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_moi" sheetId="1" state="visible" r:id="rId3"/>
    <sheet name="Parametres" sheetId="2" state="visible" r:id="rId4"/>
    <sheet name="Profils_horaires" sheetId="3" state="visible" r:id="rId5"/>
    <sheet name="Resultats" sheetId="4" state="visible" r:id="rId6"/>
    <sheet name="Grille_dimensionnemen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<sst xmlns="http://schemas.openxmlformats.org/spreadsheetml/2006/main" count="123" uniqueCount="102">
  <si>
    <t xml:space="preserve">Simulation horaire PV + éolien → électrolyseur (heures pleine charge réelles)</t>
  </si>
  <si>
    <t xml:space="preserve">Complément du module e-fuels — Sherpa Engineering</t>
  </si>
  <si>
    <t xml:space="preserve">Élément</t>
  </si>
  <si>
    <t xml:space="preserve">Description</t>
  </si>
  <si>
    <t xml:space="preserve">Objet</t>
  </si>
  <si>
    <t xml:space="preserve">Estimer les heures pleine charge réelles de l'électrolyseur, l'énergie écrêtée et le prix effectif de l'électricité à partir de profils horaires PV et éolien. Résultat à reporter dans capex_data.xlsx (Parametres) et dans le Calculateur_LCOE.</t>
  </si>
  <si>
    <t xml:space="preserve">ATTENTION — profils synthétiques</t>
  </si>
  <si>
    <t xml:space="preserve">Les colonnes pv_cf et wind_cf de Profils_horaires sont des profils SYNTHÉTIQUES (graine fixe, facteurs de charge cibles 30 % PV et 45 % éolien, latitude 28°N). Ils illustrent la méthode ; ils ne représentent pas un site réel. Remplacer les deux colonnes bleues par des séries horaires mesurées/modélisées du site (ERA5, PVGIS, Renewables.ninja, mât de mesure).</t>
  </si>
  <si>
    <t xml:space="preserve">Utilisation</t>
  </si>
  <si>
    <t xml:space="preserve">1) Régler Parametres (MW PV, MW éolien, MW électrolyseur, charge minimale). 2) Lire Resultats (FLH, écrêtage, prix effectif, LCOH). 3) Coller vos profils réels dans Profils_horaires (colonnes C et D, 8760 lignes, valeurs 0–1). 4) Consulter Grille_dimensionnement pour l'effet du surdimensionnement ENR.</t>
  </si>
  <si>
    <t xml:space="preserve">Logique</t>
  </si>
  <si>
    <t xml:space="preserve">Électrolyseur = MIN(production ENR ; puissance nominale), mis à l'arrêt si la production est inférieure à la charge minimale. Écrêtage = production non utilisée. Pas de stockage dans ce classeur (la batterie est dans economics/hourly_sim.py).</t>
  </si>
  <si>
    <t xml:space="preserve">Prix effectif</t>
  </si>
  <si>
    <t xml:space="preserve">L'énergie écrêtée est payée : prix effectif (€/MWh consommé) = coût total de l'énergie produite ÷ énergie consommée par l'électrolyseur. Il augmente avec le surdimensionnement : le gain d'heures a un coût.</t>
  </si>
  <si>
    <t xml:space="preserve">Limites</t>
  </si>
  <si>
    <t xml:space="preserve">Pas de rampes, pas de dégradation, pas de pertes réseau, pas de disponibilité des équipements, pas de charge de synthèse/captage. Pas de stockage H2 : à étudier si l'aval (synthèse) exige une charge stable.</t>
  </si>
  <si>
    <t xml:space="preserve">Code couleur</t>
  </si>
  <si>
    <t xml:space="preserve">Bleu = entrée · noir = formule · vert = lien · jaune = hypothèse.</t>
  </si>
  <si>
    <t xml:space="preserve">Paramètres de simulation</t>
  </si>
  <si>
    <t xml:space="preserve">Bleu = entrée · jaune = hypothèse à valider.</t>
  </si>
  <si>
    <t xml:space="preserve">Paramètre</t>
  </si>
  <si>
    <t xml:space="preserve">Valeur</t>
  </si>
  <si>
    <t xml:space="preserve">Unité</t>
  </si>
  <si>
    <t xml:space="preserve">Source / note</t>
  </si>
  <si>
    <t xml:space="preserve">Capacité PV</t>
  </si>
  <si>
    <t xml:space="preserve">MW</t>
  </si>
  <si>
    <t xml:space="preserve">[HYP] exemple</t>
  </si>
  <si>
    <t xml:space="preserve">Capacité éolienne</t>
  </si>
  <si>
    <t xml:space="preserve">Puissance de l'électrolyseur</t>
  </si>
  <si>
    <t xml:space="preserve">[HYP] exemple (ratio ENR/électrolyseur = 2,0)</t>
  </si>
  <si>
    <t xml:space="preserve">Charge minimale de l'électrolyseur</t>
  </si>
  <si>
    <t xml:space="preserve">% de la puissance</t>
  </si>
  <si>
    <t xml:space="preserve">[HYP] PEM 0–10 % ; AEL ≈ 20 % ([ART] Table 4 : charge nominale)</t>
  </si>
  <si>
    <t xml:space="preserve">Consommation système électrolyseur</t>
  </si>
  <si>
    <t xml:space="preserve">kWh/kg H2</t>
  </si>
  <si>
    <t xml:space="preserve">[ART] PEM 5,0–5,6 kWh/Nm³ ÷ 0,08988</t>
  </si>
  <si>
    <t xml:space="preserve">Coût de production PV (LCOE)</t>
  </si>
  <si>
    <t xml:space="preserve">€/MWh</t>
  </si>
  <si>
    <t xml:space="preserve">[HYP]</t>
  </si>
  <si>
    <t xml:space="preserve">Coût de production éolien (LCOE)</t>
  </si>
  <si>
    <t xml:space="preserve">CAPEX électrolyseur</t>
  </si>
  <si>
    <t xml:space="preserve">€/kW</t>
  </si>
  <si>
    <t xml:space="preserve">[ART] PEM milieu Table 4</t>
  </si>
  <si>
    <t xml:space="preserve">OPEX électrolyseur</t>
  </si>
  <si>
    <t xml:space="preserve">% CAPEX/an</t>
  </si>
  <si>
    <t xml:space="preserve">[ART] PEM 3–5 %</t>
  </si>
  <si>
    <t xml:space="preserve">WACC</t>
  </si>
  <si>
    <t xml:space="preserve">%</t>
  </si>
  <si>
    <t xml:space="preserve">Durée de vie</t>
  </si>
  <si>
    <t xml:space="preserve">ans</t>
  </si>
  <si>
    <t xml:space="preserve">Facteur de recouvrement (CRF)</t>
  </si>
  <si>
    <t xml:space="preserve">[CALC]</t>
  </si>
  <si>
    <t xml:space="preserve">Profils horaires (8 760 h) — SYNTHÉTIQUES : à remplacer par des séries réelles</t>
  </si>
  <si>
    <t xml:space="preserve">Colonnes C et D = entrées (facteur de charge 0–1). Colonnes E à J = formules.</t>
  </si>
  <si>
    <t xml:space="preserve">Heure</t>
  </si>
  <si>
    <t xml:space="preserve">Mois</t>
  </si>
  <si>
    <t xml:space="preserve">PV (facteur de charge)</t>
  </si>
  <si>
    <t xml:space="preserve">Éolien (facteur de charge)</t>
  </si>
  <si>
    <t xml:space="preserve">PV (MWh)</t>
  </si>
  <si>
    <t xml:space="preserve">Éolien (MWh)</t>
  </si>
  <si>
    <t xml:space="preserve">Production ENR (MWh)</t>
  </si>
  <si>
    <t xml:space="preserve">Électrolyseur (MWh)</t>
  </si>
  <si>
    <t xml:space="preserve">Écrêté (MWh)</t>
  </si>
  <si>
    <t xml:space="preserve">H2 produit (kg)</t>
  </si>
  <si>
    <t xml:space="preserve">Résultats de la simulation [CALC]</t>
  </si>
  <si>
    <t xml:space="preserve">Toutes les valeurs sont des formules liées à Profils_horaires et Parametres.</t>
  </si>
  <si>
    <t xml:space="preserve">Indicateur</t>
  </si>
  <si>
    <t xml:space="preserve">Production ENR totale</t>
  </si>
  <si>
    <t xml:space="preserve">MWh/an</t>
  </si>
  <si>
    <t xml:space="preserve">Énergie consommée par l'électrolyseur</t>
  </si>
  <si>
    <t xml:space="preserve">Énergie écrêtée</t>
  </si>
  <si>
    <t xml:space="preserve">Heures pleine charge équivalentes (FLH)</t>
  </si>
  <si>
    <t xml:space="preserve">h/an</t>
  </si>
  <si>
    <t xml:space="preserve">Écrêtage</t>
  </si>
  <si>
    <t xml:space="preserve">% de la production</t>
  </si>
  <si>
    <t xml:space="preserve">Facteur de charge ENR hybride</t>
  </si>
  <si>
    <t xml:space="preserve">Rapport capacité ENR / électrolyseur</t>
  </si>
  <si>
    <t xml:space="preserve">x</t>
  </si>
  <si>
    <t xml:space="preserve">Heures de fonctionnement (&gt; 0)</t>
  </si>
  <si>
    <t xml:space="preserve">Heures à pleine puissance</t>
  </si>
  <si>
    <t xml:space="preserve">Hydrogène produit</t>
  </si>
  <si>
    <t xml:space="preserve">t/an</t>
  </si>
  <si>
    <t xml:space="preserve">Prix effectif de l'électricité (par MWh consommé)</t>
  </si>
  <si>
    <t xml:space="preserve">Impact sur le coût de l'hydrogène (LCOH) [CALC]</t>
  </si>
  <si>
    <t xml:space="preserve">Cas</t>
  </si>
  <si>
    <t xml:space="preserve">FLH (h/an)</t>
  </si>
  <si>
    <t xml:space="preserve">Prix électricité (€/MWh)</t>
  </si>
  <si>
    <t xml:space="preserve">LCOH (€/kg H2)</t>
  </si>
  <si>
    <t xml:space="preserve">Simulation (prix effectif, FLH simulées)</t>
  </si>
  <si>
    <t xml:space="preserve">Hypothèse par défaut du Calculateur (30 €/MWh ; 5 000 h)</t>
  </si>
  <si>
    <t xml:space="preserve">LCOH hors eau (≈ 0,02 €/kg). À comparer avec l'article : 3–6 €/kg. Si la simulation donne moins de 5 000 h ou plus de 30 €/MWh, mettre à jour Parametres dans capex_data.xlsx et le Calculateur_LCOE.</t>
  </si>
  <si>
    <t xml:space="preserve">Synthèse mensuelle [CALC]</t>
  </si>
  <si>
    <t xml:space="preserve">H2 (t)</t>
  </si>
  <si>
    <t xml:space="preserve">FLH du mois (h)</t>
  </si>
  <si>
    <t xml:space="preserve">Écrêtage (%)</t>
  </si>
  <si>
    <t xml:space="preserve">Total</t>
  </si>
  <si>
    <t xml:space="preserve">Effet du surdimensionnement ENR (valeurs figées — calcul Python, profils synthétiques)</t>
  </si>
  <si>
    <t xml:space="preserve">Mix PV/éolien et électrolyseur de Parametres au moment de la génération (300/200 MW ; 250 MW). Non recalculé si vous changez Parametres.</t>
  </si>
  <si>
    <t xml:space="preserve">Rapport ENR / électrolyseur</t>
  </si>
  <si>
    <t xml:space="preserve">Prix effectif (€/MWh)</t>
  </si>
  <si>
    <t xml:space="preserve">Lecture : doubler la capacité ENR par rapport à l'électrolyseur (rapport 2) donne ≈ 5 000 h mais écrête ≈ 20 % ; au-delà de 2,6, chaque heure gagnée coûte de plus en plus cher en prix effectif.</t>
  </si>
  <si>
    <t xml:space="preserve">Ces chiffres dépendent entièrement des profils : avec des données réelles du site, relancer economics/hourly_sim.py (sweep_re_ratio) ou la page Streamlit.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</si>
</sst>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%"/>
    <numFmt numFmtId="167" formatCode="0.0"/>
    <numFmt numFmtId="168" formatCode="#,##0.0"/>
    <numFmt numFmtId="169" formatCode="0.0%"/>
    <numFmt numFmtId="170" formatCode="0"/>
    <numFmt numFmtId="171" formatCode="0.0000"/>
    <numFmt numFmtId="172" formatCode="0.000"/>
    <numFmt numFmtId="173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6F78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78"/>
      <rgbColor rgb="FFBFBFBF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Heures pleine charge équivalentes par mois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Resultats!F24</c:f>
              <c:strCache>
                <c:ptCount val="1"/>
                <c:pt idx="0">
                  <c:v>FLH du mois (h)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Resultats!$A$25:$A$36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Resultats!$F$25:$F$36</c:f>
              <c:numCache>
                <c:formatCode>#,##0</c:formatCode>
                <c:ptCount val="12"/>
                <c:pt idx="0">
                  <c:v>227.16728</c:v>
                </c:pt>
                <c:pt idx="1">
                  <c:v>261.56276</c:v>
                </c:pt>
                <c:pt idx="2">
                  <c:v>345.07052</c:v>
                </c:pt>
                <c:pt idx="3">
                  <c:v>434.8622</c:v>
                </c:pt>
                <c:pt idx="4">
                  <c:v>536.28788</c:v>
                </c:pt>
                <c:pt idx="5">
                  <c:v>493.16012</c:v>
                </c:pt>
                <c:pt idx="6">
                  <c:v>505.74232</c:v>
                </c:pt>
                <c:pt idx="7">
                  <c:v>558.50404</c:v>
                </c:pt>
                <c:pt idx="8">
                  <c:v>411.33516</c:v>
                </c:pt>
                <c:pt idx="9">
                  <c:v>500.01876</c:v>
                </c:pt>
                <c:pt idx="10">
                  <c:v>435.89444</c:v>
                </c:pt>
                <c:pt idx="11">
                  <c:v>318.16328</c:v>
                </c:pt>
              </c:numCache>
            </c:numRef>
          </c:val>
        </c:ser>
        <c:gapWidth val="150"/>
        <c:overlap val="0"/>
        <c:axId val="59188996"/>
        <c:axId val="15028255"/>
      </c:barChart>
      <c:catAx>
        <c:axId val="591889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28255"/>
        <c:crosses val="autoZero"/>
        <c:auto val="1"/>
        <c:lblAlgn val="ctr"/>
        <c:lblOffset val="100"/>
        <c:noMultiLvlLbl val="0"/>
      </c:catAx>
      <c:valAx>
        <c:axId val="150282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889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17</xdr:col>
      <xdr:colOff>255960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1160712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</row>
    <row r="5" customFormat="false" ht="48" hidden="false" customHeight="true" outlineLevel="0" collapsed="false">
      <c r="A5" s="4" t="s">
        <v>4</v>
      </c>
      <c r="B5" s="4" t="s">
        <v>5</v>
      </c>
    </row>
    <row r="6" customFormat="false" ht="48" hidden="false" customHeight="true" outlineLevel="0" collapsed="false">
      <c r="A6" s="5" t="s">
        <v>6</v>
      </c>
      <c r="B6" s="5" t="s">
        <v>7</v>
      </c>
    </row>
    <row r="7" customFormat="false" ht="48" hidden="false" customHeight="true" outlineLevel="0" collapsed="false">
      <c r="A7" s="4" t="s">
        <v>8</v>
      </c>
      <c r="B7" s="4" t="s">
        <v>9</v>
      </c>
    </row>
    <row r="8" customFormat="false" ht="48" hidden="false" customHeight="true" outlineLevel="0" collapsed="false">
      <c r="A8" s="5" t="s">
        <v>10</v>
      </c>
      <c r="B8" s="5" t="s">
        <v>11</v>
      </c>
    </row>
    <row r="9" customFormat="false" ht="48" hidden="false" customHeight="true" outlineLevel="0" collapsed="false">
      <c r="A9" s="4" t="s">
        <v>12</v>
      </c>
      <c r="B9" s="4" t="s">
        <v>13</v>
      </c>
    </row>
    <row r="10" customFormat="false" ht="48" hidden="false" customHeight="true" outlineLevel="0" collapsed="false">
      <c r="A10" s="5" t="s">
        <v>14</v>
      </c>
      <c r="B10" s="5" t="s">
        <v>15</v>
      </c>
    </row>
    <row r="11" customFormat="false" ht="48" hidden="false" customHeight="true" outlineLevel="0" collapsed="false">
      <c r="A11" s="4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3" t="s">
        <v>20</v>
      </c>
      <c r="B4" s="3" t="s">
        <v>21</v>
      </c>
      <c r="C4" s="3" t="s">
        <v>22</v>
      </c>
      <c r="D4" s="3" t="s">
        <v>23</v>
      </c>
    </row>
    <row r="5" customFormat="false" ht="15" hidden="false" customHeight="false" outlineLevel="0" collapsed="false">
      <c r="A5" s="6" t="s">
        <v>24</v>
      </c>
      <c r="B5" s="7" t="n">
        <v>300</v>
      </c>
      <c r="C5" s="6" t="s">
        <v>25</v>
      </c>
      <c r="D5" s="8" t="s">
        <v>26</v>
      </c>
    </row>
    <row r="6" customFormat="false" ht="15" hidden="false" customHeight="false" outlineLevel="0" collapsed="false">
      <c r="A6" s="6" t="s">
        <v>27</v>
      </c>
      <c r="B6" s="7" t="n">
        <v>200</v>
      </c>
      <c r="C6" s="6" t="s">
        <v>25</v>
      </c>
      <c r="D6" s="8" t="s">
        <v>26</v>
      </c>
    </row>
    <row r="7" customFormat="false" ht="15" hidden="false" customHeight="false" outlineLevel="0" collapsed="false">
      <c r="A7" s="6" t="s">
        <v>28</v>
      </c>
      <c r="B7" s="7" t="n">
        <v>250</v>
      </c>
      <c r="C7" s="6" t="s">
        <v>25</v>
      </c>
      <c r="D7" s="8" t="s">
        <v>29</v>
      </c>
    </row>
    <row r="8" customFormat="false" ht="15" hidden="false" customHeight="false" outlineLevel="0" collapsed="false">
      <c r="A8" s="6" t="s">
        <v>30</v>
      </c>
      <c r="B8" s="9" t="n">
        <v>0.1</v>
      </c>
      <c r="C8" s="6" t="s">
        <v>31</v>
      </c>
      <c r="D8" s="8" t="s">
        <v>32</v>
      </c>
    </row>
    <row r="9" customFormat="false" ht="15" hidden="false" customHeight="false" outlineLevel="0" collapsed="false">
      <c r="A9" s="6" t="s">
        <v>33</v>
      </c>
      <c r="B9" s="10" t="n">
        <v>58.97</v>
      </c>
      <c r="C9" s="6" t="s">
        <v>34</v>
      </c>
      <c r="D9" s="8" t="s">
        <v>35</v>
      </c>
    </row>
    <row r="10" customFormat="false" ht="15" hidden="false" customHeight="false" outlineLevel="0" collapsed="false">
      <c r="A10" s="6" t="s">
        <v>36</v>
      </c>
      <c r="B10" s="11" t="n">
        <v>22</v>
      </c>
      <c r="C10" s="6" t="s">
        <v>37</v>
      </c>
      <c r="D10" s="8" t="s">
        <v>38</v>
      </c>
    </row>
    <row r="11" customFormat="false" ht="15" hidden="false" customHeight="false" outlineLevel="0" collapsed="false">
      <c r="A11" s="6" t="s">
        <v>39</v>
      </c>
      <c r="B11" s="11" t="n">
        <v>30</v>
      </c>
      <c r="C11" s="6" t="s">
        <v>37</v>
      </c>
      <c r="D11" s="8" t="s">
        <v>38</v>
      </c>
    </row>
    <row r="12" customFormat="false" ht="15" hidden="false" customHeight="false" outlineLevel="0" collapsed="false">
      <c r="A12" s="6" t="s">
        <v>40</v>
      </c>
      <c r="B12" s="12" t="n">
        <v>1750</v>
      </c>
      <c r="C12" s="6" t="s">
        <v>41</v>
      </c>
      <c r="D12" s="8" t="s">
        <v>42</v>
      </c>
    </row>
    <row r="13" customFormat="false" ht="15" hidden="false" customHeight="false" outlineLevel="0" collapsed="false">
      <c r="A13" s="6" t="s">
        <v>43</v>
      </c>
      <c r="B13" s="13" t="n">
        <v>0.04</v>
      </c>
      <c r="C13" s="6" t="s">
        <v>44</v>
      </c>
      <c r="D13" s="8" t="s">
        <v>45</v>
      </c>
    </row>
    <row r="14" customFormat="false" ht="15" hidden="false" customHeight="false" outlineLevel="0" collapsed="false">
      <c r="A14" s="6" t="s">
        <v>46</v>
      </c>
      <c r="B14" s="14" t="n">
        <v>0.08</v>
      </c>
      <c r="C14" s="6" t="s">
        <v>47</v>
      </c>
      <c r="D14" s="8" t="s">
        <v>38</v>
      </c>
    </row>
    <row r="15" customFormat="false" ht="15" hidden="false" customHeight="false" outlineLevel="0" collapsed="false">
      <c r="A15" s="6" t="s">
        <v>48</v>
      </c>
      <c r="B15" s="15" t="n">
        <v>20</v>
      </c>
      <c r="C15" s="6" t="s">
        <v>49</v>
      </c>
      <c r="D15" s="8" t="s">
        <v>38</v>
      </c>
    </row>
    <row r="16" customFormat="false" ht="15" hidden="false" customHeight="false" outlineLevel="0" collapsed="false">
      <c r="A16" s="16" t="s">
        <v>50</v>
      </c>
      <c r="B16" s="17" t="n">
        <f aca="false">B14*(1+B14)^B15/((1+B14)^B15-1)</f>
        <v>0.101852208823151</v>
      </c>
      <c r="D16" s="18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39.75" hidden="false" customHeight="true" outlineLevel="0" collapsed="false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</row>
    <row r="5" customFormat="false" ht="15" hidden="false" customHeight="false" outlineLevel="0" collapsed="false">
      <c r="A5" s="0" t="n">
        <v>1</v>
      </c>
      <c r="B5" s="0" t="n">
        <v>1</v>
      </c>
      <c r="C5" s="19" t="n">
        <v>0</v>
      </c>
      <c r="D5" s="19" t="n">
        <v>0.0922</v>
      </c>
      <c r="E5" s="20" t="n">
        <f aca="false">Parametres!$B$5*C5</f>
        <v>0</v>
      </c>
      <c r="F5" s="20" t="n">
        <f aca="false">Parametres!$B$6*D5</f>
        <v>18.44</v>
      </c>
      <c r="G5" s="20" t="n">
        <f aca="false">E5+F5</f>
        <v>18.44</v>
      </c>
      <c r="H5" s="20" t="n">
        <f aca="false">IF(G5&lt;Parametres!$B$8*Parametres!$B$7,0,MIN(G5,Parametres!$B$7))</f>
        <v>0</v>
      </c>
      <c r="I5" s="20" t="n">
        <f aca="false">G5-H5</f>
        <v>18.44</v>
      </c>
      <c r="J5" s="21" t="n">
        <f aca="false">H5*1000/Parametres!$B$9</f>
        <v>0</v>
      </c>
    </row>
    <row r="6" customFormat="false" ht="15" hidden="false" customHeight="false" outlineLevel="0" collapsed="false">
      <c r="A6" s="0" t="n">
        <v>2</v>
      </c>
      <c r="B6" s="0" t="n">
        <v>1</v>
      </c>
      <c r="C6" s="19" t="n">
        <v>0</v>
      </c>
      <c r="D6" s="19" t="n">
        <v>0.0618</v>
      </c>
      <c r="E6" s="20" t="n">
        <f aca="false">Parametres!$B$5*C6</f>
        <v>0</v>
      </c>
      <c r="F6" s="20" t="n">
        <f aca="false">Parametres!$B$6*D6</f>
        <v>12.36</v>
      </c>
      <c r="G6" s="20" t="n">
        <f aca="false">E6+F6</f>
        <v>12.36</v>
      </c>
      <c r="H6" s="20" t="n">
        <f aca="false">IF(G6&lt;Parametres!$B$8*Parametres!$B$7,0,MIN(G6,Parametres!$B$7))</f>
        <v>0</v>
      </c>
      <c r="I6" s="20" t="n">
        <f aca="false">G6-H6</f>
        <v>12.36</v>
      </c>
      <c r="J6" s="21" t="n">
        <f aca="false">H6*1000/Parametres!$B$9</f>
        <v>0</v>
      </c>
    </row>
    <row r="7" customFormat="false" ht="15" hidden="false" customHeight="false" outlineLevel="0" collapsed="false">
      <c r="A7" s="0" t="n">
        <v>3</v>
      </c>
      <c r="B7" s="0" t="n">
        <v>1</v>
      </c>
      <c r="C7" s="19" t="n">
        <v>0</v>
      </c>
      <c r="D7" s="19" t="n">
        <v>0.0441</v>
      </c>
      <c r="E7" s="20" t="n">
        <f aca="false">Parametres!$B$5*C7</f>
        <v>0</v>
      </c>
      <c r="F7" s="20" t="n">
        <f aca="false">Parametres!$B$6*D7</f>
        <v>8.82</v>
      </c>
      <c r="G7" s="20" t="n">
        <f aca="false">E7+F7</f>
        <v>8.82</v>
      </c>
      <c r="H7" s="20" t="n">
        <f aca="false">IF(G7&lt;Parametres!$B$8*Parametres!$B$7,0,MIN(G7,Parametres!$B$7))</f>
        <v>0</v>
      </c>
      <c r="I7" s="20" t="n">
        <f aca="false">G7-H7</f>
        <v>8.82</v>
      </c>
      <c r="J7" s="21" t="n">
        <f aca="false">H7*1000/Parametres!$B$9</f>
        <v>0</v>
      </c>
    </row>
    <row r="8" customFormat="false" ht="15" hidden="false" customHeight="false" outlineLevel="0" collapsed="false">
      <c r="A8" s="0" t="n">
        <v>4</v>
      </c>
      <c r="B8" s="0" t="n">
        <v>1</v>
      </c>
      <c r="C8" s="19" t="n">
        <v>0</v>
      </c>
      <c r="D8" s="19" t="n">
        <v>0.0073</v>
      </c>
      <c r="E8" s="20" t="n">
        <f aca="false">Parametres!$B$5*C8</f>
        <v>0</v>
      </c>
      <c r="F8" s="20" t="n">
        <f aca="false">Parametres!$B$6*D8</f>
        <v>1.46</v>
      </c>
      <c r="G8" s="20" t="n">
        <f aca="false">E8+F8</f>
        <v>1.46</v>
      </c>
      <c r="H8" s="20" t="n">
        <f aca="false">IF(G8&lt;Parametres!$B$8*Parametres!$B$7,0,MIN(G8,Parametres!$B$7))</f>
        <v>0</v>
      </c>
      <c r="I8" s="20" t="n">
        <f aca="false">G8-H8</f>
        <v>1.46</v>
      </c>
      <c r="J8" s="21" t="n">
        <f aca="false">H8*1000/Parametres!$B$9</f>
        <v>0</v>
      </c>
    </row>
    <row r="9" customFormat="false" ht="15" hidden="false" customHeight="false" outlineLevel="0" collapsed="false">
      <c r="A9" s="0" t="n">
        <v>5</v>
      </c>
      <c r="B9" s="0" t="n">
        <v>1</v>
      </c>
      <c r="C9" s="19" t="n">
        <v>0</v>
      </c>
      <c r="D9" s="19" t="n">
        <v>0.0281</v>
      </c>
      <c r="E9" s="20" t="n">
        <f aca="false">Parametres!$B$5*C9</f>
        <v>0</v>
      </c>
      <c r="F9" s="20" t="n">
        <f aca="false">Parametres!$B$6*D9</f>
        <v>5.62</v>
      </c>
      <c r="G9" s="20" t="n">
        <f aca="false">E9+F9</f>
        <v>5.62</v>
      </c>
      <c r="H9" s="20" t="n">
        <f aca="false">IF(G9&lt;Parametres!$B$8*Parametres!$B$7,0,MIN(G9,Parametres!$B$7))</f>
        <v>0</v>
      </c>
      <c r="I9" s="20" t="n">
        <f aca="false">G9-H9</f>
        <v>5.62</v>
      </c>
      <c r="J9" s="21" t="n">
        <f aca="false">H9*1000/Parametres!$B$9</f>
        <v>0</v>
      </c>
    </row>
    <row r="10" customFormat="false" ht="15" hidden="false" customHeight="false" outlineLevel="0" collapsed="false">
      <c r="A10" s="0" t="n">
        <v>6</v>
      </c>
      <c r="B10" s="0" t="n">
        <v>1</v>
      </c>
      <c r="C10" s="19" t="n">
        <v>0</v>
      </c>
      <c r="D10" s="19" t="n">
        <v>0.056</v>
      </c>
      <c r="E10" s="20" t="n">
        <f aca="false">Parametres!$B$5*C10</f>
        <v>0</v>
      </c>
      <c r="F10" s="20" t="n">
        <f aca="false">Parametres!$B$6*D10</f>
        <v>11.2</v>
      </c>
      <c r="G10" s="20" t="n">
        <f aca="false">E10+F10</f>
        <v>11.2</v>
      </c>
      <c r="H10" s="20" t="n">
        <f aca="false">IF(G10&lt;Parametres!$B$8*Parametres!$B$7,0,MIN(G10,Parametres!$B$7))</f>
        <v>0</v>
      </c>
      <c r="I10" s="20" t="n">
        <f aca="false">G10-H10</f>
        <v>11.2</v>
      </c>
      <c r="J10" s="21" t="n">
        <f aca="false">H10*1000/Parametres!$B$9</f>
        <v>0</v>
      </c>
    </row>
    <row r="11" customFormat="false" ht="15" hidden="false" customHeight="false" outlineLevel="0" collapsed="false">
      <c r="A11" s="0" t="n">
        <v>7</v>
      </c>
      <c r="B11" s="0" t="n">
        <v>1</v>
      </c>
      <c r="C11" s="19" t="n">
        <v>0</v>
      </c>
      <c r="D11" s="19" t="n">
        <v>0.0511</v>
      </c>
      <c r="E11" s="20" t="n">
        <f aca="false">Parametres!$B$5*C11</f>
        <v>0</v>
      </c>
      <c r="F11" s="20" t="n">
        <f aca="false">Parametres!$B$6*D11</f>
        <v>10.22</v>
      </c>
      <c r="G11" s="20" t="n">
        <f aca="false">E11+F11</f>
        <v>10.22</v>
      </c>
      <c r="H11" s="20" t="n">
        <f aca="false">IF(G11&lt;Parametres!$B$8*Parametres!$B$7,0,MIN(G11,Parametres!$B$7))</f>
        <v>0</v>
      </c>
      <c r="I11" s="20" t="n">
        <f aca="false">G11-H11</f>
        <v>10.22</v>
      </c>
      <c r="J11" s="21" t="n">
        <f aca="false">H11*1000/Parametres!$B$9</f>
        <v>0</v>
      </c>
    </row>
    <row r="12" customFormat="false" ht="15" hidden="false" customHeight="false" outlineLevel="0" collapsed="false">
      <c r="A12" s="0" t="n">
        <v>8</v>
      </c>
      <c r="B12" s="0" t="n">
        <v>1</v>
      </c>
      <c r="C12" s="19" t="n">
        <v>0.1196</v>
      </c>
      <c r="D12" s="19" t="n">
        <v>0.085</v>
      </c>
      <c r="E12" s="20" t="n">
        <f aca="false">Parametres!$B$5*C12</f>
        <v>35.88</v>
      </c>
      <c r="F12" s="20" t="n">
        <f aca="false">Parametres!$B$6*D12</f>
        <v>17</v>
      </c>
      <c r="G12" s="20" t="n">
        <f aca="false">E12+F12</f>
        <v>52.88</v>
      </c>
      <c r="H12" s="20" t="n">
        <f aca="false">IF(G12&lt;Parametres!$B$8*Parametres!$B$7,0,MIN(G12,Parametres!$B$7))</f>
        <v>52.88</v>
      </c>
      <c r="I12" s="20" t="n">
        <f aca="false">G12-H12</f>
        <v>0</v>
      </c>
      <c r="J12" s="21" t="n">
        <f aca="false">H12*1000/Parametres!$B$9</f>
        <v>896.727149397999</v>
      </c>
    </row>
    <row r="13" customFormat="false" ht="15" hidden="false" customHeight="false" outlineLevel="0" collapsed="false">
      <c r="A13" s="0" t="n">
        <v>9</v>
      </c>
      <c r="B13" s="0" t="n">
        <v>1</v>
      </c>
      <c r="C13" s="19" t="n">
        <v>0.3606</v>
      </c>
      <c r="D13" s="19" t="n">
        <v>0.111</v>
      </c>
      <c r="E13" s="20" t="n">
        <f aca="false">Parametres!$B$5*C13</f>
        <v>108.18</v>
      </c>
      <c r="F13" s="20" t="n">
        <f aca="false">Parametres!$B$6*D13</f>
        <v>22.2</v>
      </c>
      <c r="G13" s="20" t="n">
        <f aca="false">E13+F13</f>
        <v>130.38</v>
      </c>
      <c r="H13" s="20" t="n">
        <f aca="false">IF(G13&lt;Parametres!$B$8*Parametres!$B$7,0,MIN(G13,Parametres!$B$7))</f>
        <v>130.38</v>
      </c>
      <c r="I13" s="20" t="n">
        <f aca="false">G13-H13</f>
        <v>0</v>
      </c>
      <c r="J13" s="21" t="n">
        <f aca="false">H13*1000/Parametres!$B$9</f>
        <v>2210.95472274038</v>
      </c>
    </row>
    <row r="14" customFormat="false" ht="15" hidden="false" customHeight="false" outlineLevel="0" collapsed="false">
      <c r="A14" s="0" t="n">
        <v>10</v>
      </c>
      <c r="B14" s="0" t="n">
        <v>1</v>
      </c>
      <c r="C14" s="19" t="n">
        <v>0.5095</v>
      </c>
      <c r="D14" s="19" t="n">
        <v>0.1003</v>
      </c>
      <c r="E14" s="20" t="n">
        <f aca="false">Parametres!$B$5*C14</f>
        <v>152.85</v>
      </c>
      <c r="F14" s="20" t="n">
        <f aca="false">Parametres!$B$6*D14</f>
        <v>20.06</v>
      </c>
      <c r="G14" s="20" t="n">
        <f aca="false">E14+F14</f>
        <v>172.91</v>
      </c>
      <c r="H14" s="20" t="n">
        <f aca="false">IF(G14&lt;Parametres!$B$8*Parametres!$B$7,0,MIN(G14,Parametres!$B$7))</f>
        <v>172.91</v>
      </c>
      <c r="I14" s="20" t="n">
        <f aca="false">G14-H14</f>
        <v>0</v>
      </c>
      <c r="J14" s="21" t="n">
        <f aca="false">H14*1000/Parametres!$B$9</f>
        <v>2932.16889944039</v>
      </c>
    </row>
    <row r="15" customFormat="false" ht="15" hidden="false" customHeight="false" outlineLevel="0" collapsed="false">
      <c r="A15" s="0" t="n">
        <v>11</v>
      </c>
      <c r="B15" s="0" t="n">
        <v>1</v>
      </c>
      <c r="C15" s="19" t="n">
        <v>0.6509</v>
      </c>
      <c r="D15" s="19" t="n">
        <v>0.1802</v>
      </c>
      <c r="E15" s="20" t="n">
        <f aca="false">Parametres!$B$5*C15</f>
        <v>195.27</v>
      </c>
      <c r="F15" s="20" t="n">
        <f aca="false">Parametres!$B$6*D15</f>
        <v>36.04</v>
      </c>
      <c r="G15" s="20" t="n">
        <f aca="false">E15+F15</f>
        <v>231.31</v>
      </c>
      <c r="H15" s="20" t="n">
        <f aca="false">IF(G15&lt;Parametres!$B$8*Parametres!$B$7,0,MIN(G15,Parametres!$B$7))</f>
        <v>231.31</v>
      </c>
      <c r="I15" s="20" t="n">
        <f aca="false">G15-H15</f>
        <v>0</v>
      </c>
      <c r="J15" s="21" t="n">
        <f aca="false">H15*1000/Parametres!$B$9</f>
        <v>3922.50296761065</v>
      </c>
    </row>
    <row r="16" customFormat="false" ht="15" hidden="false" customHeight="false" outlineLevel="0" collapsed="false">
      <c r="A16" s="0" t="n">
        <v>12</v>
      </c>
      <c r="B16" s="0" t="n">
        <v>1</v>
      </c>
      <c r="C16" s="19" t="n">
        <v>0.7761</v>
      </c>
      <c r="D16" s="19" t="n">
        <v>0.1824</v>
      </c>
      <c r="E16" s="20" t="n">
        <f aca="false">Parametres!$B$5*C16</f>
        <v>232.83</v>
      </c>
      <c r="F16" s="20" t="n">
        <f aca="false">Parametres!$B$6*D16</f>
        <v>36.48</v>
      </c>
      <c r="G16" s="20" t="n">
        <f aca="false">E16+F16</f>
        <v>269.31</v>
      </c>
      <c r="H16" s="20" t="n">
        <f aca="false">IF(G16&lt;Parametres!$B$8*Parametres!$B$7,0,MIN(G16,Parametres!$B$7))</f>
        <v>250</v>
      </c>
      <c r="I16" s="20" t="n">
        <f aca="false">G16-H16</f>
        <v>19.31</v>
      </c>
      <c r="J16" s="21" t="n">
        <f aca="false">H16*1000/Parametres!$B$9</f>
        <v>4239.44378497541</v>
      </c>
    </row>
    <row r="17" customFormat="false" ht="15" hidden="false" customHeight="false" outlineLevel="0" collapsed="false">
      <c r="A17" s="0" t="n">
        <v>13</v>
      </c>
      <c r="B17" s="0" t="n">
        <v>1</v>
      </c>
      <c r="C17" s="19" t="n">
        <v>0.7914</v>
      </c>
      <c r="D17" s="19" t="n">
        <v>0.1806</v>
      </c>
      <c r="E17" s="20" t="n">
        <f aca="false">Parametres!$B$5*C17</f>
        <v>237.42</v>
      </c>
      <c r="F17" s="20" t="n">
        <f aca="false">Parametres!$B$6*D17</f>
        <v>36.12</v>
      </c>
      <c r="G17" s="20" t="n">
        <f aca="false">E17+F17</f>
        <v>273.54</v>
      </c>
      <c r="H17" s="20" t="n">
        <f aca="false">IF(G17&lt;Parametres!$B$8*Parametres!$B$7,0,MIN(G17,Parametres!$B$7))</f>
        <v>250</v>
      </c>
      <c r="I17" s="20" t="n">
        <f aca="false">G17-H17</f>
        <v>23.54</v>
      </c>
      <c r="J17" s="21" t="n">
        <f aca="false">H17*1000/Parametres!$B$9</f>
        <v>4239.44378497541</v>
      </c>
    </row>
    <row r="18" customFormat="false" ht="15" hidden="false" customHeight="false" outlineLevel="0" collapsed="false">
      <c r="A18" s="0" t="n">
        <v>14</v>
      </c>
      <c r="B18" s="0" t="n">
        <v>1</v>
      </c>
      <c r="C18" s="19" t="n">
        <v>0.6654</v>
      </c>
      <c r="D18" s="19" t="n">
        <v>0.142</v>
      </c>
      <c r="E18" s="20" t="n">
        <f aca="false">Parametres!$B$5*C18</f>
        <v>199.62</v>
      </c>
      <c r="F18" s="20" t="n">
        <f aca="false">Parametres!$B$6*D18</f>
        <v>28.4</v>
      </c>
      <c r="G18" s="20" t="n">
        <f aca="false">E18+F18</f>
        <v>228.02</v>
      </c>
      <c r="H18" s="20" t="n">
        <f aca="false">IF(G18&lt;Parametres!$B$8*Parametres!$B$7,0,MIN(G18,Parametres!$B$7))</f>
        <v>228.02</v>
      </c>
      <c r="I18" s="20" t="n">
        <f aca="false">G18-H18</f>
        <v>0</v>
      </c>
      <c r="J18" s="21" t="n">
        <f aca="false">H18*1000/Parametres!$B$9</f>
        <v>3866.71188740037</v>
      </c>
    </row>
    <row r="19" customFormat="false" ht="15" hidden="false" customHeight="false" outlineLevel="0" collapsed="false">
      <c r="A19" s="0" t="n">
        <v>15</v>
      </c>
      <c r="B19" s="0" t="n">
        <v>1</v>
      </c>
      <c r="C19" s="19" t="n">
        <v>0.5503</v>
      </c>
      <c r="D19" s="19" t="n">
        <v>0.1901</v>
      </c>
      <c r="E19" s="20" t="n">
        <f aca="false">Parametres!$B$5*C19</f>
        <v>165.09</v>
      </c>
      <c r="F19" s="20" t="n">
        <f aca="false">Parametres!$B$6*D19</f>
        <v>38.02</v>
      </c>
      <c r="G19" s="20" t="n">
        <f aca="false">E19+F19</f>
        <v>203.11</v>
      </c>
      <c r="H19" s="20" t="n">
        <f aca="false">IF(G19&lt;Parametres!$B$8*Parametres!$B$7,0,MIN(G19,Parametres!$B$7))</f>
        <v>203.11</v>
      </c>
      <c r="I19" s="20" t="n">
        <f aca="false">G19-H19</f>
        <v>0</v>
      </c>
      <c r="J19" s="21" t="n">
        <f aca="false">H19*1000/Parametres!$B$9</f>
        <v>3444.29370866542</v>
      </c>
    </row>
    <row r="20" customFormat="false" ht="15" hidden="false" customHeight="false" outlineLevel="0" collapsed="false">
      <c r="A20" s="0" t="n">
        <v>16</v>
      </c>
      <c r="B20" s="0" t="n">
        <v>1</v>
      </c>
      <c r="C20" s="19" t="n">
        <v>0.344</v>
      </c>
      <c r="D20" s="19" t="n">
        <v>0.1919</v>
      </c>
      <c r="E20" s="20" t="n">
        <f aca="false">Parametres!$B$5*C20</f>
        <v>103.2</v>
      </c>
      <c r="F20" s="20" t="n">
        <f aca="false">Parametres!$B$6*D20</f>
        <v>38.38</v>
      </c>
      <c r="G20" s="20" t="n">
        <f aca="false">E20+F20</f>
        <v>141.58</v>
      </c>
      <c r="H20" s="20" t="n">
        <f aca="false">IF(G20&lt;Parametres!$B$8*Parametres!$B$7,0,MIN(G20,Parametres!$B$7))</f>
        <v>141.58</v>
      </c>
      <c r="I20" s="20" t="n">
        <f aca="false">G20-H20</f>
        <v>0</v>
      </c>
      <c r="J20" s="21" t="n">
        <f aca="false">H20*1000/Parametres!$B$9</f>
        <v>2400.88180430727</v>
      </c>
    </row>
    <row r="21" customFormat="false" ht="15" hidden="false" customHeight="false" outlineLevel="0" collapsed="false">
      <c r="A21" s="0" t="n">
        <v>17</v>
      </c>
      <c r="B21" s="0" t="n">
        <v>1</v>
      </c>
      <c r="C21" s="19" t="n">
        <v>0.1297</v>
      </c>
      <c r="D21" s="19" t="n">
        <v>0.2459</v>
      </c>
      <c r="E21" s="20" t="n">
        <f aca="false">Parametres!$B$5*C21</f>
        <v>38.91</v>
      </c>
      <c r="F21" s="20" t="n">
        <f aca="false">Parametres!$B$6*D21</f>
        <v>49.18</v>
      </c>
      <c r="G21" s="20" t="n">
        <f aca="false">E21+F21</f>
        <v>88.09</v>
      </c>
      <c r="H21" s="20" t="n">
        <f aca="false">IF(G21&lt;Parametres!$B$8*Parametres!$B$7,0,MIN(G21,Parametres!$B$7))</f>
        <v>88.09</v>
      </c>
      <c r="I21" s="20" t="n">
        <f aca="false">G21-H21</f>
        <v>0</v>
      </c>
      <c r="J21" s="21" t="n">
        <f aca="false">H21*1000/Parametres!$B$9</f>
        <v>1493.81041207394</v>
      </c>
    </row>
    <row r="22" customFormat="false" ht="15" hidden="false" customHeight="false" outlineLevel="0" collapsed="false">
      <c r="A22" s="0" t="n">
        <v>18</v>
      </c>
      <c r="B22" s="0" t="n">
        <v>1</v>
      </c>
      <c r="C22" s="19" t="n">
        <v>0</v>
      </c>
      <c r="D22" s="19" t="n">
        <v>0.1867</v>
      </c>
      <c r="E22" s="20" t="n">
        <f aca="false">Parametres!$B$5*C22</f>
        <v>0</v>
      </c>
      <c r="F22" s="20" t="n">
        <f aca="false">Parametres!$B$6*D22</f>
        <v>37.34</v>
      </c>
      <c r="G22" s="20" t="n">
        <f aca="false">E22+F22</f>
        <v>37.34</v>
      </c>
      <c r="H22" s="20" t="n">
        <f aca="false">IF(G22&lt;Parametres!$B$8*Parametres!$B$7,0,MIN(G22,Parametres!$B$7))</f>
        <v>37.34</v>
      </c>
      <c r="I22" s="20" t="n">
        <f aca="false">G22-H22</f>
        <v>0</v>
      </c>
      <c r="J22" s="21" t="n">
        <f aca="false">H22*1000/Parametres!$B$9</f>
        <v>633.203323723927</v>
      </c>
    </row>
    <row r="23" customFormat="false" ht="15" hidden="false" customHeight="false" outlineLevel="0" collapsed="false">
      <c r="A23" s="0" t="n">
        <v>19</v>
      </c>
      <c r="B23" s="0" t="n">
        <v>1</v>
      </c>
      <c r="C23" s="19" t="n">
        <v>0</v>
      </c>
      <c r="D23" s="19" t="n">
        <v>0.1879</v>
      </c>
      <c r="E23" s="20" t="n">
        <f aca="false">Parametres!$B$5*C23</f>
        <v>0</v>
      </c>
      <c r="F23" s="20" t="n">
        <f aca="false">Parametres!$B$6*D23</f>
        <v>37.58</v>
      </c>
      <c r="G23" s="20" t="n">
        <f aca="false">E23+F23</f>
        <v>37.58</v>
      </c>
      <c r="H23" s="20" t="n">
        <f aca="false">IF(G23&lt;Parametres!$B$8*Parametres!$B$7,0,MIN(G23,Parametres!$B$7))</f>
        <v>37.58</v>
      </c>
      <c r="I23" s="20" t="n">
        <f aca="false">G23-H23</f>
        <v>0</v>
      </c>
      <c r="J23" s="21" t="n">
        <f aca="false">H23*1000/Parametres!$B$9</f>
        <v>637.273189757504</v>
      </c>
    </row>
    <row r="24" customFormat="false" ht="15" hidden="false" customHeight="false" outlineLevel="0" collapsed="false">
      <c r="A24" s="0" t="n">
        <v>20</v>
      </c>
      <c r="B24" s="0" t="n">
        <v>1</v>
      </c>
      <c r="C24" s="19" t="n">
        <v>0</v>
      </c>
      <c r="D24" s="19" t="n">
        <v>0.1146</v>
      </c>
      <c r="E24" s="20" t="n">
        <f aca="false">Parametres!$B$5*C24</f>
        <v>0</v>
      </c>
      <c r="F24" s="20" t="n">
        <f aca="false">Parametres!$B$6*D24</f>
        <v>22.92</v>
      </c>
      <c r="G24" s="20" t="n">
        <f aca="false">E24+F24</f>
        <v>22.92</v>
      </c>
      <c r="H24" s="20" t="n">
        <f aca="false">IF(G24&lt;Parametres!$B$8*Parametres!$B$7,0,MIN(G24,Parametres!$B$7))</f>
        <v>0</v>
      </c>
      <c r="I24" s="20" t="n">
        <f aca="false">G24-H24</f>
        <v>22.92</v>
      </c>
      <c r="J24" s="21" t="n">
        <f aca="false">H24*1000/Parametres!$B$9</f>
        <v>0</v>
      </c>
    </row>
    <row r="25" customFormat="false" ht="15" hidden="false" customHeight="false" outlineLevel="0" collapsed="false">
      <c r="A25" s="0" t="n">
        <v>21</v>
      </c>
      <c r="B25" s="0" t="n">
        <v>1</v>
      </c>
      <c r="C25" s="19" t="n">
        <v>0</v>
      </c>
      <c r="D25" s="19" t="n">
        <v>0.1524</v>
      </c>
      <c r="E25" s="20" t="n">
        <f aca="false">Parametres!$B$5*C25</f>
        <v>0</v>
      </c>
      <c r="F25" s="20" t="n">
        <f aca="false">Parametres!$B$6*D25</f>
        <v>30.48</v>
      </c>
      <c r="G25" s="20" t="n">
        <f aca="false">E25+F25</f>
        <v>30.48</v>
      </c>
      <c r="H25" s="20" t="n">
        <f aca="false">IF(G25&lt;Parametres!$B$8*Parametres!$B$7,0,MIN(G25,Parametres!$B$7))</f>
        <v>30.48</v>
      </c>
      <c r="I25" s="20" t="n">
        <f aca="false">G25-H25</f>
        <v>0</v>
      </c>
      <c r="J25" s="21" t="n">
        <f aca="false">H25*1000/Parametres!$B$9</f>
        <v>516.872986264202</v>
      </c>
    </row>
    <row r="26" customFormat="false" ht="15" hidden="false" customHeight="false" outlineLevel="0" collapsed="false">
      <c r="A26" s="0" t="n">
        <v>22</v>
      </c>
      <c r="B26" s="0" t="n">
        <v>1</v>
      </c>
      <c r="C26" s="19" t="n">
        <v>0</v>
      </c>
      <c r="D26" s="19" t="n">
        <v>0.145</v>
      </c>
      <c r="E26" s="20" t="n">
        <f aca="false">Parametres!$B$5*C26</f>
        <v>0</v>
      </c>
      <c r="F26" s="20" t="n">
        <f aca="false">Parametres!$B$6*D26</f>
        <v>29</v>
      </c>
      <c r="G26" s="20" t="n">
        <f aca="false">E26+F26</f>
        <v>29</v>
      </c>
      <c r="H26" s="20" t="n">
        <f aca="false">IF(G26&lt;Parametres!$B$8*Parametres!$B$7,0,MIN(G26,Parametres!$B$7))</f>
        <v>29</v>
      </c>
      <c r="I26" s="20" t="n">
        <f aca="false">G26-H26</f>
        <v>0</v>
      </c>
      <c r="J26" s="21" t="n">
        <f aca="false">H26*1000/Parametres!$B$9</f>
        <v>491.775479057148</v>
      </c>
    </row>
    <row r="27" customFormat="false" ht="15" hidden="false" customHeight="false" outlineLevel="0" collapsed="false">
      <c r="A27" s="0" t="n">
        <v>23</v>
      </c>
      <c r="B27" s="0" t="n">
        <v>1</v>
      </c>
      <c r="C27" s="19" t="n">
        <v>0</v>
      </c>
      <c r="D27" s="19" t="n">
        <v>0.1443</v>
      </c>
      <c r="E27" s="20" t="n">
        <f aca="false">Parametres!$B$5*C27</f>
        <v>0</v>
      </c>
      <c r="F27" s="20" t="n">
        <f aca="false">Parametres!$B$6*D27</f>
        <v>28.86</v>
      </c>
      <c r="G27" s="20" t="n">
        <f aca="false">E27+F27</f>
        <v>28.86</v>
      </c>
      <c r="H27" s="20" t="n">
        <f aca="false">IF(G27&lt;Parametres!$B$8*Parametres!$B$7,0,MIN(G27,Parametres!$B$7))</f>
        <v>28.86</v>
      </c>
      <c r="I27" s="20" t="n">
        <f aca="false">G27-H27</f>
        <v>0</v>
      </c>
      <c r="J27" s="21" t="n">
        <f aca="false">H27*1000/Parametres!$B$9</f>
        <v>489.401390537562</v>
      </c>
    </row>
    <row r="28" customFormat="false" ht="15" hidden="false" customHeight="false" outlineLevel="0" collapsed="false">
      <c r="A28" s="0" t="n">
        <v>24</v>
      </c>
      <c r="B28" s="0" t="n">
        <v>1</v>
      </c>
      <c r="C28" s="19" t="n">
        <v>0</v>
      </c>
      <c r="D28" s="19" t="n">
        <v>0.1472</v>
      </c>
      <c r="E28" s="20" t="n">
        <f aca="false">Parametres!$B$5*C28</f>
        <v>0</v>
      </c>
      <c r="F28" s="20" t="n">
        <f aca="false">Parametres!$B$6*D28</f>
        <v>29.44</v>
      </c>
      <c r="G28" s="20" t="n">
        <f aca="false">E28+F28</f>
        <v>29.44</v>
      </c>
      <c r="H28" s="20" t="n">
        <f aca="false">IF(G28&lt;Parametres!$B$8*Parametres!$B$7,0,MIN(G28,Parametres!$B$7))</f>
        <v>29.44</v>
      </c>
      <c r="I28" s="20" t="n">
        <f aca="false">G28-H28</f>
        <v>0</v>
      </c>
      <c r="J28" s="21" t="n">
        <f aca="false">H28*1000/Parametres!$B$9</f>
        <v>499.236900118704</v>
      </c>
    </row>
    <row r="29" customFormat="false" ht="15" hidden="false" customHeight="false" outlineLevel="0" collapsed="false">
      <c r="A29" s="0" t="n">
        <v>25</v>
      </c>
      <c r="B29" s="0" t="n">
        <v>1</v>
      </c>
      <c r="C29" s="19" t="n">
        <v>0</v>
      </c>
      <c r="D29" s="19" t="n">
        <v>0.0791</v>
      </c>
      <c r="E29" s="20" t="n">
        <f aca="false">Parametres!$B$5*C29</f>
        <v>0</v>
      </c>
      <c r="F29" s="20" t="n">
        <f aca="false">Parametres!$B$6*D29</f>
        <v>15.82</v>
      </c>
      <c r="G29" s="20" t="n">
        <f aca="false">E29+F29</f>
        <v>15.82</v>
      </c>
      <c r="H29" s="20" t="n">
        <f aca="false">IF(G29&lt;Parametres!$B$8*Parametres!$B$7,0,MIN(G29,Parametres!$B$7))</f>
        <v>0</v>
      </c>
      <c r="I29" s="20" t="n">
        <f aca="false">G29-H29</f>
        <v>15.82</v>
      </c>
      <c r="J29" s="21" t="n">
        <f aca="false">H29*1000/Parametres!$B$9</f>
        <v>0</v>
      </c>
    </row>
    <row r="30" customFormat="false" ht="15" hidden="false" customHeight="false" outlineLevel="0" collapsed="false">
      <c r="A30" s="0" t="n">
        <v>26</v>
      </c>
      <c r="B30" s="0" t="n">
        <v>1</v>
      </c>
      <c r="C30" s="19" t="n">
        <v>0</v>
      </c>
      <c r="D30" s="19" t="n">
        <v>0.0996</v>
      </c>
      <c r="E30" s="20" t="n">
        <f aca="false">Parametres!$B$5*C30</f>
        <v>0</v>
      </c>
      <c r="F30" s="20" t="n">
        <f aca="false">Parametres!$B$6*D30</f>
        <v>19.92</v>
      </c>
      <c r="G30" s="20" t="n">
        <f aca="false">E30+F30</f>
        <v>19.92</v>
      </c>
      <c r="H30" s="20" t="n">
        <f aca="false">IF(G30&lt;Parametres!$B$8*Parametres!$B$7,0,MIN(G30,Parametres!$B$7))</f>
        <v>0</v>
      </c>
      <c r="I30" s="20" t="n">
        <f aca="false">G30-H30</f>
        <v>19.92</v>
      </c>
      <c r="J30" s="21" t="n">
        <f aca="false">H30*1000/Parametres!$B$9</f>
        <v>0</v>
      </c>
    </row>
    <row r="31" customFormat="false" ht="15" hidden="false" customHeight="false" outlineLevel="0" collapsed="false">
      <c r="A31" s="0" t="n">
        <v>27</v>
      </c>
      <c r="B31" s="0" t="n">
        <v>1</v>
      </c>
      <c r="C31" s="19" t="n">
        <v>0</v>
      </c>
      <c r="D31" s="19" t="n">
        <v>0.2064</v>
      </c>
      <c r="E31" s="20" t="n">
        <f aca="false">Parametres!$B$5*C31</f>
        <v>0</v>
      </c>
      <c r="F31" s="20" t="n">
        <f aca="false">Parametres!$B$6*D31</f>
        <v>41.28</v>
      </c>
      <c r="G31" s="20" t="n">
        <f aca="false">E31+F31</f>
        <v>41.28</v>
      </c>
      <c r="H31" s="20" t="n">
        <f aca="false">IF(G31&lt;Parametres!$B$8*Parametres!$B$7,0,MIN(G31,Parametres!$B$7))</f>
        <v>41.28</v>
      </c>
      <c r="I31" s="20" t="n">
        <f aca="false">G31-H31</f>
        <v>0</v>
      </c>
      <c r="J31" s="21" t="n">
        <f aca="false">H31*1000/Parametres!$B$9</f>
        <v>700.01695777514</v>
      </c>
    </row>
    <row r="32" customFormat="false" ht="15" hidden="false" customHeight="false" outlineLevel="0" collapsed="false">
      <c r="A32" s="0" t="n">
        <v>28</v>
      </c>
      <c r="B32" s="0" t="n">
        <v>1</v>
      </c>
      <c r="C32" s="19" t="n">
        <v>0</v>
      </c>
      <c r="D32" s="19" t="n">
        <v>0.0985</v>
      </c>
      <c r="E32" s="20" t="n">
        <f aca="false">Parametres!$B$5*C32</f>
        <v>0</v>
      </c>
      <c r="F32" s="20" t="n">
        <f aca="false">Parametres!$B$6*D32</f>
        <v>19.7</v>
      </c>
      <c r="G32" s="20" t="n">
        <f aca="false">E32+F32</f>
        <v>19.7</v>
      </c>
      <c r="H32" s="20" t="n">
        <f aca="false">IF(G32&lt;Parametres!$B$8*Parametres!$B$7,0,MIN(G32,Parametres!$B$7))</f>
        <v>0</v>
      </c>
      <c r="I32" s="20" t="n">
        <f aca="false">G32-H32</f>
        <v>19.7</v>
      </c>
      <c r="J32" s="21" t="n">
        <f aca="false">H32*1000/Parametres!$B$9</f>
        <v>0</v>
      </c>
    </row>
    <row r="33" customFormat="false" ht="15" hidden="false" customHeight="false" outlineLevel="0" collapsed="false">
      <c r="A33" s="0" t="n">
        <v>29</v>
      </c>
      <c r="B33" s="0" t="n">
        <v>1</v>
      </c>
      <c r="C33" s="19" t="n">
        <v>0</v>
      </c>
      <c r="D33" s="19" t="n">
        <v>0.0403</v>
      </c>
      <c r="E33" s="20" t="n">
        <f aca="false">Parametres!$B$5*C33</f>
        <v>0</v>
      </c>
      <c r="F33" s="20" t="n">
        <f aca="false">Parametres!$B$6*D33</f>
        <v>8.06</v>
      </c>
      <c r="G33" s="20" t="n">
        <f aca="false">E33+F33</f>
        <v>8.06</v>
      </c>
      <c r="H33" s="20" t="n">
        <f aca="false">IF(G33&lt;Parametres!$B$8*Parametres!$B$7,0,MIN(G33,Parametres!$B$7))</f>
        <v>0</v>
      </c>
      <c r="I33" s="20" t="n">
        <f aca="false">G33-H33</f>
        <v>8.06</v>
      </c>
      <c r="J33" s="21" t="n">
        <f aca="false">H33*1000/Parametres!$B$9</f>
        <v>0</v>
      </c>
    </row>
    <row r="34" customFormat="false" ht="15" hidden="false" customHeight="false" outlineLevel="0" collapsed="false">
      <c r="A34" s="0" t="n">
        <v>30</v>
      </c>
      <c r="B34" s="0" t="n">
        <v>1</v>
      </c>
      <c r="C34" s="19" t="n">
        <v>0</v>
      </c>
      <c r="D34" s="19" t="n">
        <v>0.016</v>
      </c>
      <c r="E34" s="20" t="n">
        <f aca="false">Parametres!$B$5*C34</f>
        <v>0</v>
      </c>
      <c r="F34" s="20" t="n">
        <f aca="false">Parametres!$B$6*D34</f>
        <v>3.2</v>
      </c>
      <c r="G34" s="20" t="n">
        <f aca="false">E34+F34</f>
        <v>3.2</v>
      </c>
      <c r="H34" s="20" t="n">
        <f aca="false">IF(G34&lt;Parametres!$B$8*Parametres!$B$7,0,MIN(G34,Parametres!$B$7))</f>
        <v>0</v>
      </c>
      <c r="I34" s="20" t="n">
        <f aca="false">G34-H34</f>
        <v>3.2</v>
      </c>
      <c r="J34" s="21" t="n">
        <f aca="false">H34*1000/Parametres!$B$9</f>
        <v>0</v>
      </c>
    </row>
    <row r="35" customFormat="false" ht="15" hidden="false" customHeight="false" outlineLevel="0" collapsed="false">
      <c r="A35" s="0" t="n">
        <v>31</v>
      </c>
      <c r="B35" s="0" t="n">
        <v>1</v>
      </c>
      <c r="C35" s="19" t="n">
        <v>0</v>
      </c>
      <c r="D35" s="19" t="n">
        <v>0.0313</v>
      </c>
      <c r="E35" s="20" t="n">
        <f aca="false">Parametres!$B$5*C35</f>
        <v>0</v>
      </c>
      <c r="F35" s="20" t="n">
        <f aca="false">Parametres!$B$6*D35</f>
        <v>6.26</v>
      </c>
      <c r="G35" s="20" t="n">
        <f aca="false">E35+F35</f>
        <v>6.26</v>
      </c>
      <c r="H35" s="20" t="n">
        <f aca="false">IF(G35&lt;Parametres!$B$8*Parametres!$B$7,0,MIN(G35,Parametres!$B$7))</f>
        <v>0</v>
      </c>
      <c r="I35" s="20" t="n">
        <f aca="false">G35-H35</f>
        <v>6.26</v>
      </c>
      <c r="J35" s="21" t="n">
        <f aca="false">H35*1000/Parametres!$B$9</f>
        <v>0</v>
      </c>
    </row>
    <row r="36" customFormat="false" ht="15" hidden="false" customHeight="false" outlineLevel="0" collapsed="false">
      <c r="A36" s="0" t="n">
        <v>32</v>
      </c>
      <c r="B36" s="0" t="n">
        <v>1</v>
      </c>
      <c r="C36" s="19" t="n">
        <v>0.1317</v>
      </c>
      <c r="D36" s="19" t="n">
        <v>0.039</v>
      </c>
      <c r="E36" s="20" t="n">
        <f aca="false">Parametres!$B$5*C36</f>
        <v>39.51</v>
      </c>
      <c r="F36" s="20" t="n">
        <f aca="false">Parametres!$B$6*D36</f>
        <v>7.8</v>
      </c>
      <c r="G36" s="20" t="n">
        <f aca="false">E36+F36</f>
        <v>47.31</v>
      </c>
      <c r="H36" s="20" t="n">
        <f aca="false">IF(G36&lt;Parametres!$B$8*Parametres!$B$7,0,MIN(G36,Parametres!$B$7))</f>
        <v>47.31</v>
      </c>
      <c r="I36" s="20" t="n">
        <f aca="false">G36-H36</f>
        <v>0</v>
      </c>
      <c r="J36" s="21" t="n">
        <f aca="false">H36*1000/Parametres!$B$9</f>
        <v>802.272341868747</v>
      </c>
    </row>
    <row r="37" customFormat="false" ht="15" hidden="false" customHeight="false" outlineLevel="0" collapsed="false">
      <c r="A37" s="0" t="n">
        <v>33</v>
      </c>
      <c r="B37" s="0" t="n">
        <v>1</v>
      </c>
      <c r="C37" s="19" t="n">
        <v>0.3681</v>
      </c>
      <c r="D37" s="19" t="n">
        <v>0.0813</v>
      </c>
      <c r="E37" s="20" t="n">
        <f aca="false">Parametres!$B$5*C37</f>
        <v>110.43</v>
      </c>
      <c r="F37" s="20" t="n">
        <f aca="false">Parametres!$B$6*D37</f>
        <v>16.26</v>
      </c>
      <c r="G37" s="20" t="n">
        <f aca="false">E37+F37</f>
        <v>126.69</v>
      </c>
      <c r="H37" s="20" t="n">
        <f aca="false">IF(G37&lt;Parametres!$B$8*Parametres!$B$7,0,MIN(G37,Parametres!$B$7))</f>
        <v>126.69</v>
      </c>
      <c r="I37" s="20" t="n">
        <f aca="false">G37-H37</f>
        <v>0</v>
      </c>
      <c r="J37" s="21" t="n">
        <f aca="false">H37*1000/Parametres!$B$9</f>
        <v>2148.38053247414</v>
      </c>
    </row>
    <row r="38" customFormat="false" ht="15" hidden="false" customHeight="false" outlineLevel="0" collapsed="false">
      <c r="A38" s="0" t="n">
        <v>34</v>
      </c>
      <c r="B38" s="0" t="n">
        <v>1</v>
      </c>
      <c r="C38" s="19" t="n">
        <v>0.5535</v>
      </c>
      <c r="D38" s="19" t="n">
        <v>0.1326</v>
      </c>
      <c r="E38" s="20" t="n">
        <f aca="false">Parametres!$B$5*C38</f>
        <v>166.05</v>
      </c>
      <c r="F38" s="20" t="n">
        <f aca="false">Parametres!$B$6*D38</f>
        <v>26.52</v>
      </c>
      <c r="G38" s="20" t="n">
        <f aca="false">E38+F38</f>
        <v>192.57</v>
      </c>
      <c r="H38" s="20" t="n">
        <f aca="false">IF(G38&lt;Parametres!$B$8*Parametres!$B$7,0,MIN(G38,Parametres!$B$7))</f>
        <v>192.57</v>
      </c>
      <c r="I38" s="20" t="n">
        <f aca="false">G38-H38</f>
        <v>0</v>
      </c>
      <c r="J38" s="21" t="n">
        <f aca="false">H38*1000/Parametres!$B$9</f>
        <v>3265.55875869086</v>
      </c>
    </row>
    <row r="39" customFormat="false" ht="15" hidden="false" customHeight="false" outlineLevel="0" collapsed="false">
      <c r="A39" s="0" t="n">
        <v>35</v>
      </c>
      <c r="B39" s="0" t="n">
        <v>1</v>
      </c>
      <c r="C39" s="19" t="n">
        <v>0.7491</v>
      </c>
      <c r="D39" s="19" t="n">
        <v>0.1687</v>
      </c>
      <c r="E39" s="20" t="n">
        <f aca="false">Parametres!$B$5*C39</f>
        <v>224.73</v>
      </c>
      <c r="F39" s="20" t="n">
        <f aca="false">Parametres!$B$6*D39</f>
        <v>33.74</v>
      </c>
      <c r="G39" s="20" t="n">
        <f aca="false">E39+F39</f>
        <v>258.47</v>
      </c>
      <c r="H39" s="20" t="n">
        <f aca="false">IF(G39&lt;Parametres!$B$8*Parametres!$B$7,0,MIN(G39,Parametres!$B$7))</f>
        <v>250</v>
      </c>
      <c r="I39" s="20" t="n">
        <f aca="false">G39-H39</f>
        <v>8.46999999999997</v>
      </c>
      <c r="J39" s="21" t="n">
        <f aca="false">H39*1000/Parametres!$B$9</f>
        <v>4239.44378497541</v>
      </c>
    </row>
    <row r="40" customFormat="false" ht="15" hidden="false" customHeight="false" outlineLevel="0" collapsed="false">
      <c r="A40" s="0" t="n">
        <v>36</v>
      </c>
      <c r="B40" s="0" t="n">
        <v>1</v>
      </c>
      <c r="C40" s="19" t="n">
        <v>0.7646</v>
      </c>
      <c r="D40" s="19" t="n">
        <v>0.2181</v>
      </c>
      <c r="E40" s="20" t="n">
        <f aca="false">Parametres!$B$5*C40</f>
        <v>229.38</v>
      </c>
      <c r="F40" s="20" t="n">
        <f aca="false">Parametres!$B$6*D40</f>
        <v>43.62</v>
      </c>
      <c r="G40" s="20" t="n">
        <f aca="false">E40+F40</f>
        <v>273</v>
      </c>
      <c r="H40" s="20" t="n">
        <f aca="false">IF(G40&lt;Parametres!$B$8*Parametres!$B$7,0,MIN(G40,Parametres!$B$7))</f>
        <v>250</v>
      </c>
      <c r="I40" s="20" t="n">
        <f aca="false">G40-H40</f>
        <v>23</v>
      </c>
      <c r="J40" s="21" t="n">
        <f aca="false">H40*1000/Parametres!$B$9</f>
        <v>4239.44378497541</v>
      </c>
    </row>
    <row r="41" customFormat="false" ht="15" hidden="false" customHeight="false" outlineLevel="0" collapsed="false">
      <c r="A41" s="0" t="n">
        <v>37</v>
      </c>
      <c r="B41" s="0" t="n">
        <v>1</v>
      </c>
      <c r="C41" s="19" t="n">
        <v>0.7912</v>
      </c>
      <c r="D41" s="19" t="n">
        <v>0.2305</v>
      </c>
      <c r="E41" s="20" t="n">
        <f aca="false">Parametres!$B$5*C41</f>
        <v>237.36</v>
      </c>
      <c r="F41" s="20" t="n">
        <f aca="false">Parametres!$B$6*D41</f>
        <v>46.1</v>
      </c>
      <c r="G41" s="20" t="n">
        <f aca="false">E41+F41</f>
        <v>283.46</v>
      </c>
      <c r="H41" s="20" t="n">
        <f aca="false">IF(G41&lt;Parametres!$B$8*Parametres!$B$7,0,MIN(G41,Parametres!$B$7))</f>
        <v>250</v>
      </c>
      <c r="I41" s="20" t="n">
        <f aca="false">G41-H41</f>
        <v>33.46</v>
      </c>
      <c r="J41" s="21" t="n">
        <f aca="false">H41*1000/Parametres!$B$9</f>
        <v>4239.44378497541</v>
      </c>
    </row>
    <row r="42" customFormat="false" ht="15" hidden="false" customHeight="false" outlineLevel="0" collapsed="false">
      <c r="A42" s="0" t="n">
        <v>38</v>
      </c>
      <c r="B42" s="0" t="n">
        <v>1</v>
      </c>
      <c r="C42" s="19" t="n">
        <v>0.7136</v>
      </c>
      <c r="D42" s="19" t="n">
        <v>0.3544</v>
      </c>
      <c r="E42" s="20" t="n">
        <f aca="false">Parametres!$B$5*C42</f>
        <v>214.08</v>
      </c>
      <c r="F42" s="20" t="n">
        <f aca="false">Parametres!$B$6*D42</f>
        <v>70.88</v>
      </c>
      <c r="G42" s="20" t="n">
        <f aca="false">E42+F42</f>
        <v>284.96</v>
      </c>
      <c r="H42" s="20" t="n">
        <f aca="false">IF(G42&lt;Parametres!$B$8*Parametres!$B$7,0,MIN(G42,Parametres!$B$7))</f>
        <v>250</v>
      </c>
      <c r="I42" s="20" t="n">
        <f aca="false">G42-H42</f>
        <v>34.96</v>
      </c>
      <c r="J42" s="21" t="n">
        <f aca="false">H42*1000/Parametres!$B$9</f>
        <v>4239.44378497541</v>
      </c>
    </row>
    <row r="43" customFormat="false" ht="15" hidden="false" customHeight="false" outlineLevel="0" collapsed="false">
      <c r="A43" s="0" t="n">
        <v>39</v>
      </c>
      <c r="B43" s="0" t="n">
        <v>1</v>
      </c>
      <c r="C43" s="19" t="n">
        <v>0.6189</v>
      </c>
      <c r="D43" s="19" t="n">
        <v>0.2467</v>
      </c>
      <c r="E43" s="20" t="n">
        <f aca="false">Parametres!$B$5*C43</f>
        <v>185.67</v>
      </c>
      <c r="F43" s="20" t="n">
        <f aca="false">Parametres!$B$6*D43</f>
        <v>49.34</v>
      </c>
      <c r="G43" s="20" t="n">
        <f aca="false">E43+F43</f>
        <v>235.01</v>
      </c>
      <c r="H43" s="20" t="n">
        <f aca="false">IF(G43&lt;Parametres!$B$8*Parametres!$B$7,0,MIN(G43,Parametres!$B$7))</f>
        <v>235.01</v>
      </c>
      <c r="I43" s="20" t="n">
        <f aca="false">G43-H43</f>
        <v>0</v>
      </c>
      <c r="J43" s="21" t="n">
        <f aca="false">H43*1000/Parametres!$B$9</f>
        <v>3985.24673562829</v>
      </c>
    </row>
    <row r="44" customFormat="false" ht="15" hidden="false" customHeight="false" outlineLevel="0" collapsed="false">
      <c r="A44" s="0" t="n">
        <v>40</v>
      </c>
      <c r="B44" s="0" t="n">
        <v>1</v>
      </c>
      <c r="C44" s="19" t="n">
        <v>0.3414</v>
      </c>
      <c r="D44" s="19" t="n">
        <v>0.2174</v>
      </c>
      <c r="E44" s="20" t="n">
        <f aca="false">Parametres!$B$5*C44</f>
        <v>102.42</v>
      </c>
      <c r="F44" s="20" t="n">
        <f aca="false">Parametres!$B$6*D44</f>
        <v>43.48</v>
      </c>
      <c r="G44" s="20" t="n">
        <f aca="false">E44+F44</f>
        <v>145.9</v>
      </c>
      <c r="H44" s="20" t="n">
        <f aca="false">IF(G44&lt;Parametres!$B$8*Parametres!$B$7,0,MIN(G44,Parametres!$B$7))</f>
        <v>145.9</v>
      </c>
      <c r="I44" s="20" t="n">
        <f aca="false">G44-H44</f>
        <v>0</v>
      </c>
      <c r="J44" s="21" t="n">
        <f aca="false">H44*1000/Parametres!$B$9</f>
        <v>2474.13939291165</v>
      </c>
    </row>
    <row r="45" customFormat="false" ht="15" hidden="false" customHeight="false" outlineLevel="0" collapsed="false">
      <c r="A45" s="0" t="n">
        <v>41</v>
      </c>
      <c r="B45" s="0" t="n">
        <v>1</v>
      </c>
      <c r="C45" s="19" t="n">
        <v>0.1336</v>
      </c>
      <c r="D45" s="19" t="n">
        <v>0.2445</v>
      </c>
      <c r="E45" s="20" t="n">
        <f aca="false">Parametres!$B$5*C45</f>
        <v>40.08</v>
      </c>
      <c r="F45" s="20" t="n">
        <f aca="false">Parametres!$B$6*D45</f>
        <v>48.9</v>
      </c>
      <c r="G45" s="20" t="n">
        <f aca="false">E45+F45</f>
        <v>88.98</v>
      </c>
      <c r="H45" s="20" t="n">
        <f aca="false">IF(G45&lt;Parametres!$B$8*Parametres!$B$7,0,MIN(G45,Parametres!$B$7))</f>
        <v>88.98</v>
      </c>
      <c r="I45" s="20" t="n">
        <f aca="false">G45-H45</f>
        <v>0</v>
      </c>
      <c r="J45" s="21" t="n">
        <f aca="false">H45*1000/Parametres!$B$9</f>
        <v>1508.90283194845</v>
      </c>
    </row>
    <row r="46" customFormat="false" ht="15" hidden="false" customHeight="false" outlineLevel="0" collapsed="false">
      <c r="A46" s="0" t="n">
        <v>42</v>
      </c>
      <c r="B46" s="0" t="n">
        <v>1</v>
      </c>
      <c r="C46" s="19" t="n">
        <v>0</v>
      </c>
      <c r="D46" s="19" t="n">
        <v>0.4705</v>
      </c>
      <c r="E46" s="20" t="n">
        <f aca="false">Parametres!$B$5*C46</f>
        <v>0</v>
      </c>
      <c r="F46" s="20" t="n">
        <f aca="false">Parametres!$B$6*D46</f>
        <v>94.1</v>
      </c>
      <c r="G46" s="20" t="n">
        <f aca="false">E46+F46</f>
        <v>94.1</v>
      </c>
      <c r="H46" s="20" t="n">
        <f aca="false">IF(G46&lt;Parametres!$B$8*Parametres!$B$7,0,MIN(G46,Parametres!$B$7))</f>
        <v>94.1</v>
      </c>
      <c r="I46" s="20" t="n">
        <f aca="false">G46-H46</f>
        <v>0</v>
      </c>
      <c r="J46" s="21" t="n">
        <f aca="false">H46*1000/Parametres!$B$9</f>
        <v>1595.72664066474</v>
      </c>
    </row>
    <row r="47" customFormat="false" ht="15" hidden="false" customHeight="false" outlineLevel="0" collapsed="false">
      <c r="A47" s="0" t="n">
        <v>43</v>
      </c>
      <c r="B47" s="0" t="n">
        <v>1</v>
      </c>
      <c r="C47" s="19" t="n">
        <v>0</v>
      </c>
      <c r="D47" s="19" t="n">
        <v>0.3382</v>
      </c>
      <c r="E47" s="20" t="n">
        <f aca="false">Parametres!$B$5*C47</f>
        <v>0</v>
      </c>
      <c r="F47" s="20" t="n">
        <f aca="false">Parametres!$B$6*D47</f>
        <v>67.64</v>
      </c>
      <c r="G47" s="20" t="n">
        <f aca="false">E47+F47</f>
        <v>67.64</v>
      </c>
      <c r="H47" s="20" t="n">
        <f aca="false">IF(G47&lt;Parametres!$B$8*Parametres!$B$7,0,MIN(G47,Parametres!$B$7))</f>
        <v>67.64</v>
      </c>
      <c r="I47" s="20" t="n">
        <f aca="false">G47-H47</f>
        <v>0</v>
      </c>
      <c r="J47" s="21" t="n">
        <f aca="false">H47*1000/Parametres!$B$9</f>
        <v>1147.02391046295</v>
      </c>
    </row>
    <row r="48" customFormat="false" ht="15" hidden="false" customHeight="false" outlineLevel="0" collapsed="false">
      <c r="A48" s="0" t="n">
        <v>44</v>
      </c>
      <c r="B48" s="0" t="n">
        <v>1</v>
      </c>
      <c r="C48" s="19" t="n">
        <v>0</v>
      </c>
      <c r="D48" s="19" t="n">
        <v>0.2025</v>
      </c>
      <c r="E48" s="20" t="n">
        <f aca="false">Parametres!$B$5*C48</f>
        <v>0</v>
      </c>
      <c r="F48" s="20" t="n">
        <f aca="false">Parametres!$B$6*D48</f>
        <v>40.5</v>
      </c>
      <c r="G48" s="20" t="n">
        <f aca="false">E48+F48</f>
        <v>40.5</v>
      </c>
      <c r="H48" s="20" t="n">
        <f aca="false">IF(G48&lt;Parametres!$B$8*Parametres!$B$7,0,MIN(G48,Parametres!$B$7))</f>
        <v>40.5</v>
      </c>
      <c r="I48" s="20" t="n">
        <f aca="false">G48-H48</f>
        <v>0</v>
      </c>
      <c r="J48" s="21" t="n">
        <f aca="false">H48*1000/Parametres!$B$9</f>
        <v>686.789893166017</v>
      </c>
    </row>
    <row r="49" customFormat="false" ht="15" hidden="false" customHeight="false" outlineLevel="0" collapsed="false">
      <c r="A49" s="0" t="n">
        <v>45</v>
      </c>
      <c r="B49" s="0" t="n">
        <v>1</v>
      </c>
      <c r="C49" s="19" t="n">
        <v>0</v>
      </c>
      <c r="D49" s="19" t="n">
        <v>0.1415</v>
      </c>
      <c r="E49" s="20" t="n">
        <f aca="false">Parametres!$B$5*C49</f>
        <v>0</v>
      </c>
      <c r="F49" s="20" t="n">
        <f aca="false">Parametres!$B$6*D49</f>
        <v>28.3</v>
      </c>
      <c r="G49" s="20" t="n">
        <f aca="false">E49+F49</f>
        <v>28.3</v>
      </c>
      <c r="H49" s="20" t="n">
        <f aca="false">IF(G49&lt;Parametres!$B$8*Parametres!$B$7,0,MIN(G49,Parametres!$B$7))</f>
        <v>28.3</v>
      </c>
      <c r="I49" s="20" t="n">
        <f aca="false">G49-H49</f>
        <v>0</v>
      </c>
      <c r="J49" s="21" t="n">
        <f aca="false">H49*1000/Parametres!$B$9</f>
        <v>479.905036459217</v>
      </c>
    </row>
    <row r="50" customFormat="false" ht="15" hidden="false" customHeight="false" outlineLevel="0" collapsed="false">
      <c r="A50" s="0" t="n">
        <v>46</v>
      </c>
      <c r="B50" s="0" t="n">
        <v>1</v>
      </c>
      <c r="C50" s="19" t="n">
        <v>0</v>
      </c>
      <c r="D50" s="19" t="n">
        <v>0.1889</v>
      </c>
      <c r="E50" s="20" t="n">
        <f aca="false">Parametres!$B$5*C50</f>
        <v>0</v>
      </c>
      <c r="F50" s="20" t="n">
        <f aca="false">Parametres!$B$6*D50</f>
        <v>37.78</v>
      </c>
      <c r="G50" s="20" t="n">
        <f aca="false">E50+F50</f>
        <v>37.78</v>
      </c>
      <c r="H50" s="20" t="n">
        <f aca="false">IF(G50&lt;Parametres!$B$8*Parametres!$B$7,0,MIN(G50,Parametres!$B$7))</f>
        <v>37.78</v>
      </c>
      <c r="I50" s="20" t="n">
        <f aca="false">G50-H50</f>
        <v>0</v>
      </c>
      <c r="J50" s="21" t="n">
        <f aca="false">H50*1000/Parametres!$B$9</f>
        <v>640.664744785484</v>
      </c>
    </row>
    <row r="51" customFormat="false" ht="15" hidden="false" customHeight="false" outlineLevel="0" collapsed="false">
      <c r="A51" s="0" t="n">
        <v>47</v>
      </c>
      <c r="B51" s="0" t="n">
        <v>1</v>
      </c>
      <c r="C51" s="19" t="n">
        <v>0</v>
      </c>
      <c r="D51" s="19" t="n">
        <v>0.147</v>
      </c>
      <c r="E51" s="20" t="n">
        <f aca="false">Parametres!$B$5*C51</f>
        <v>0</v>
      </c>
      <c r="F51" s="20" t="n">
        <f aca="false">Parametres!$B$6*D51</f>
        <v>29.4</v>
      </c>
      <c r="G51" s="20" t="n">
        <f aca="false">E51+F51</f>
        <v>29.4</v>
      </c>
      <c r="H51" s="20" t="n">
        <f aca="false">IF(G51&lt;Parametres!$B$8*Parametres!$B$7,0,MIN(G51,Parametres!$B$7))</f>
        <v>29.4</v>
      </c>
      <c r="I51" s="20" t="n">
        <f aca="false">G51-H51</f>
        <v>0</v>
      </c>
      <c r="J51" s="21" t="n">
        <f aca="false">H51*1000/Parametres!$B$9</f>
        <v>498.558589113108</v>
      </c>
    </row>
    <row r="52" customFormat="false" ht="15" hidden="false" customHeight="false" outlineLevel="0" collapsed="false">
      <c r="A52" s="0" t="n">
        <v>48</v>
      </c>
      <c r="B52" s="0" t="n">
        <v>1</v>
      </c>
      <c r="C52" s="19" t="n">
        <v>0</v>
      </c>
      <c r="D52" s="19" t="n">
        <v>0.2161</v>
      </c>
      <c r="E52" s="20" t="n">
        <f aca="false">Parametres!$B$5*C52</f>
        <v>0</v>
      </c>
      <c r="F52" s="20" t="n">
        <f aca="false">Parametres!$B$6*D52</f>
        <v>43.22</v>
      </c>
      <c r="G52" s="20" t="n">
        <f aca="false">E52+F52</f>
        <v>43.22</v>
      </c>
      <c r="H52" s="20" t="n">
        <f aca="false">IF(G52&lt;Parametres!$B$8*Parametres!$B$7,0,MIN(G52,Parametres!$B$7))</f>
        <v>43.22</v>
      </c>
      <c r="I52" s="20" t="n">
        <f aca="false">G52-H52</f>
        <v>0</v>
      </c>
      <c r="J52" s="21" t="n">
        <f aca="false">H52*1000/Parametres!$B$9</f>
        <v>732.915041546549</v>
      </c>
    </row>
    <row r="53" customFormat="false" ht="15" hidden="false" customHeight="false" outlineLevel="0" collapsed="false">
      <c r="A53" s="0" t="n">
        <v>49</v>
      </c>
      <c r="B53" s="0" t="n">
        <v>1</v>
      </c>
      <c r="C53" s="19" t="n">
        <v>0</v>
      </c>
      <c r="D53" s="19" t="n">
        <v>0.0823</v>
      </c>
      <c r="E53" s="20" t="n">
        <f aca="false">Parametres!$B$5*C53</f>
        <v>0</v>
      </c>
      <c r="F53" s="20" t="n">
        <f aca="false">Parametres!$B$6*D53</f>
        <v>16.46</v>
      </c>
      <c r="G53" s="20" t="n">
        <f aca="false">E53+F53</f>
        <v>16.46</v>
      </c>
      <c r="H53" s="20" t="n">
        <f aca="false">IF(G53&lt;Parametres!$B$8*Parametres!$B$7,0,MIN(G53,Parametres!$B$7))</f>
        <v>0</v>
      </c>
      <c r="I53" s="20" t="n">
        <f aca="false">G53-H53</f>
        <v>16.46</v>
      </c>
      <c r="J53" s="21" t="n">
        <f aca="false">H53*1000/Parametres!$B$9</f>
        <v>0</v>
      </c>
    </row>
    <row r="54" customFormat="false" ht="15" hidden="false" customHeight="false" outlineLevel="0" collapsed="false">
      <c r="A54" s="0" t="n">
        <v>50</v>
      </c>
      <c r="B54" s="0" t="n">
        <v>1</v>
      </c>
      <c r="C54" s="19" t="n">
        <v>0</v>
      </c>
      <c r="D54" s="19" t="n">
        <v>0.1201</v>
      </c>
      <c r="E54" s="20" t="n">
        <f aca="false">Parametres!$B$5*C54</f>
        <v>0</v>
      </c>
      <c r="F54" s="20" t="n">
        <f aca="false">Parametres!$B$6*D54</f>
        <v>24.02</v>
      </c>
      <c r="G54" s="20" t="n">
        <f aca="false">E54+F54</f>
        <v>24.02</v>
      </c>
      <c r="H54" s="20" t="n">
        <f aca="false">IF(G54&lt;Parametres!$B$8*Parametres!$B$7,0,MIN(G54,Parametres!$B$7))</f>
        <v>0</v>
      </c>
      <c r="I54" s="20" t="n">
        <f aca="false">G54-H54</f>
        <v>24.02</v>
      </c>
      <c r="J54" s="21" t="n">
        <f aca="false">H54*1000/Parametres!$B$9</f>
        <v>0</v>
      </c>
    </row>
    <row r="55" customFormat="false" ht="15" hidden="false" customHeight="false" outlineLevel="0" collapsed="false">
      <c r="A55" s="0" t="n">
        <v>51</v>
      </c>
      <c r="B55" s="0" t="n">
        <v>1</v>
      </c>
      <c r="C55" s="19" t="n">
        <v>0</v>
      </c>
      <c r="D55" s="19" t="n">
        <v>0.1644</v>
      </c>
      <c r="E55" s="20" t="n">
        <f aca="false">Parametres!$B$5*C55</f>
        <v>0</v>
      </c>
      <c r="F55" s="20" t="n">
        <f aca="false">Parametres!$B$6*D55</f>
        <v>32.88</v>
      </c>
      <c r="G55" s="20" t="n">
        <f aca="false">E55+F55</f>
        <v>32.88</v>
      </c>
      <c r="H55" s="20" t="n">
        <f aca="false">IF(G55&lt;Parametres!$B$8*Parametres!$B$7,0,MIN(G55,Parametres!$B$7))</f>
        <v>32.88</v>
      </c>
      <c r="I55" s="20" t="n">
        <f aca="false">G55-H55</f>
        <v>0</v>
      </c>
      <c r="J55" s="21" t="n">
        <f aca="false">H55*1000/Parametres!$B$9</f>
        <v>557.571646599966</v>
      </c>
    </row>
    <row r="56" customFormat="false" ht="15" hidden="false" customHeight="false" outlineLevel="0" collapsed="false">
      <c r="A56" s="0" t="n">
        <v>52</v>
      </c>
      <c r="B56" s="0" t="n">
        <v>1</v>
      </c>
      <c r="C56" s="19" t="n">
        <v>0</v>
      </c>
      <c r="D56" s="19" t="n">
        <v>0.0831</v>
      </c>
      <c r="E56" s="20" t="n">
        <f aca="false">Parametres!$B$5*C56</f>
        <v>0</v>
      </c>
      <c r="F56" s="20" t="n">
        <f aca="false">Parametres!$B$6*D56</f>
        <v>16.62</v>
      </c>
      <c r="G56" s="20" t="n">
        <f aca="false">E56+F56</f>
        <v>16.62</v>
      </c>
      <c r="H56" s="20" t="n">
        <f aca="false">IF(G56&lt;Parametres!$B$8*Parametres!$B$7,0,MIN(G56,Parametres!$B$7))</f>
        <v>0</v>
      </c>
      <c r="I56" s="20" t="n">
        <f aca="false">G56-H56</f>
        <v>16.62</v>
      </c>
      <c r="J56" s="21" t="n">
        <f aca="false">H56*1000/Parametres!$B$9</f>
        <v>0</v>
      </c>
    </row>
    <row r="57" customFormat="false" ht="15" hidden="false" customHeight="false" outlineLevel="0" collapsed="false">
      <c r="A57" s="0" t="n">
        <v>53</v>
      </c>
      <c r="B57" s="0" t="n">
        <v>1</v>
      </c>
      <c r="C57" s="19" t="n">
        <v>0</v>
      </c>
      <c r="D57" s="19" t="n">
        <v>0.0868</v>
      </c>
      <c r="E57" s="20" t="n">
        <f aca="false">Parametres!$B$5*C57</f>
        <v>0</v>
      </c>
      <c r="F57" s="20" t="n">
        <f aca="false">Parametres!$B$6*D57</f>
        <v>17.36</v>
      </c>
      <c r="G57" s="20" t="n">
        <f aca="false">E57+F57</f>
        <v>17.36</v>
      </c>
      <c r="H57" s="20" t="n">
        <f aca="false">IF(G57&lt;Parametres!$B$8*Parametres!$B$7,0,MIN(G57,Parametres!$B$7))</f>
        <v>0</v>
      </c>
      <c r="I57" s="20" t="n">
        <f aca="false">G57-H57</f>
        <v>17.36</v>
      </c>
      <c r="J57" s="21" t="n">
        <f aca="false">H57*1000/Parametres!$B$9</f>
        <v>0</v>
      </c>
    </row>
    <row r="58" customFormat="false" ht="15" hidden="false" customHeight="false" outlineLevel="0" collapsed="false">
      <c r="A58" s="0" t="n">
        <v>54</v>
      </c>
      <c r="B58" s="0" t="n">
        <v>1</v>
      </c>
      <c r="C58" s="19" t="n">
        <v>0</v>
      </c>
      <c r="D58" s="19" t="n">
        <v>0.1484</v>
      </c>
      <c r="E58" s="20" t="n">
        <f aca="false">Parametres!$B$5*C58</f>
        <v>0</v>
      </c>
      <c r="F58" s="20" t="n">
        <f aca="false">Parametres!$B$6*D58</f>
        <v>29.68</v>
      </c>
      <c r="G58" s="20" t="n">
        <f aca="false">E58+F58</f>
        <v>29.68</v>
      </c>
      <c r="H58" s="20" t="n">
        <f aca="false">IF(G58&lt;Parametres!$B$8*Parametres!$B$7,0,MIN(G58,Parametres!$B$7))</f>
        <v>29.68</v>
      </c>
      <c r="I58" s="20" t="n">
        <f aca="false">G58-H58</f>
        <v>0</v>
      </c>
      <c r="J58" s="21" t="n">
        <f aca="false">H58*1000/Parametres!$B$9</f>
        <v>503.306766152281</v>
      </c>
    </row>
    <row r="59" customFormat="false" ht="15" hidden="false" customHeight="false" outlineLevel="0" collapsed="false">
      <c r="A59" s="0" t="n">
        <v>55</v>
      </c>
      <c r="B59" s="0" t="n">
        <v>1</v>
      </c>
      <c r="C59" s="19" t="n">
        <v>0</v>
      </c>
      <c r="D59" s="19" t="n">
        <v>0.1623</v>
      </c>
      <c r="E59" s="20" t="n">
        <f aca="false">Parametres!$B$5*C59</f>
        <v>0</v>
      </c>
      <c r="F59" s="20" t="n">
        <f aca="false">Parametres!$B$6*D59</f>
        <v>32.46</v>
      </c>
      <c r="G59" s="20" t="n">
        <f aca="false">E59+F59</f>
        <v>32.46</v>
      </c>
      <c r="H59" s="20" t="n">
        <f aca="false">IF(G59&lt;Parametres!$B$8*Parametres!$B$7,0,MIN(G59,Parametres!$B$7))</f>
        <v>32.46</v>
      </c>
      <c r="I59" s="20" t="n">
        <f aca="false">G59-H59</f>
        <v>0</v>
      </c>
      <c r="J59" s="21" t="n">
        <f aca="false">H59*1000/Parametres!$B$9</f>
        <v>550.449381041207</v>
      </c>
    </row>
    <row r="60" customFormat="false" ht="15" hidden="false" customHeight="false" outlineLevel="0" collapsed="false">
      <c r="A60" s="0" t="n">
        <v>56</v>
      </c>
      <c r="B60" s="0" t="n">
        <v>1</v>
      </c>
      <c r="C60" s="19" t="n">
        <v>0.123</v>
      </c>
      <c r="D60" s="19" t="n">
        <v>0.2563</v>
      </c>
      <c r="E60" s="20" t="n">
        <f aca="false">Parametres!$B$5*C60</f>
        <v>36.9</v>
      </c>
      <c r="F60" s="20" t="n">
        <f aca="false">Parametres!$B$6*D60</f>
        <v>51.26</v>
      </c>
      <c r="G60" s="20" t="n">
        <f aca="false">E60+F60</f>
        <v>88.16</v>
      </c>
      <c r="H60" s="20" t="n">
        <f aca="false">IF(G60&lt;Parametres!$B$8*Parametres!$B$7,0,MIN(G60,Parametres!$B$7))</f>
        <v>88.16</v>
      </c>
      <c r="I60" s="20" t="n">
        <f aca="false">G60-H60</f>
        <v>0</v>
      </c>
      <c r="J60" s="21" t="n">
        <f aca="false">H60*1000/Parametres!$B$9</f>
        <v>1494.99745633373</v>
      </c>
    </row>
    <row r="61" customFormat="false" ht="15" hidden="false" customHeight="false" outlineLevel="0" collapsed="false">
      <c r="A61" s="0" t="n">
        <v>57</v>
      </c>
      <c r="B61" s="0" t="n">
        <v>1</v>
      </c>
      <c r="C61" s="19" t="n">
        <v>0.3447</v>
      </c>
      <c r="D61" s="19" t="n">
        <v>0.5972</v>
      </c>
      <c r="E61" s="20" t="n">
        <f aca="false">Parametres!$B$5*C61</f>
        <v>103.41</v>
      </c>
      <c r="F61" s="20" t="n">
        <f aca="false">Parametres!$B$6*D61</f>
        <v>119.44</v>
      </c>
      <c r="G61" s="20" t="n">
        <f aca="false">E61+F61</f>
        <v>222.85</v>
      </c>
      <c r="H61" s="20" t="n">
        <f aca="false">IF(G61&lt;Parametres!$B$8*Parametres!$B$7,0,MIN(G61,Parametres!$B$7))</f>
        <v>222.85</v>
      </c>
      <c r="I61" s="20" t="n">
        <f aca="false">G61-H61</f>
        <v>0</v>
      </c>
      <c r="J61" s="21" t="n">
        <f aca="false">H61*1000/Parametres!$B$9</f>
        <v>3779.04018992708</v>
      </c>
    </row>
    <row r="62" customFormat="false" ht="15" hidden="false" customHeight="false" outlineLevel="0" collapsed="false">
      <c r="A62" s="0" t="n">
        <v>58</v>
      </c>
      <c r="B62" s="0" t="n">
        <v>1</v>
      </c>
      <c r="C62" s="19" t="n">
        <v>0.5358</v>
      </c>
      <c r="D62" s="19" t="n">
        <v>0.7152</v>
      </c>
      <c r="E62" s="20" t="n">
        <f aca="false">Parametres!$B$5*C62</f>
        <v>160.74</v>
      </c>
      <c r="F62" s="20" t="n">
        <f aca="false">Parametres!$B$6*D62</f>
        <v>143.04</v>
      </c>
      <c r="G62" s="20" t="n">
        <f aca="false">E62+F62</f>
        <v>303.78</v>
      </c>
      <c r="H62" s="20" t="n">
        <f aca="false">IF(G62&lt;Parametres!$B$8*Parametres!$B$7,0,MIN(G62,Parametres!$B$7))</f>
        <v>250</v>
      </c>
      <c r="I62" s="20" t="n">
        <f aca="false">G62-H62</f>
        <v>53.78</v>
      </c>
      <c r="J62" s="21" t="n">
        <f aca="false">H62*1000/Parametres!$B$9</f>
        <v>4239.44378497541</v>
      </c>
    </row>
    <row r="63" customFormat="false" ht="15" hidden="false" customHeight="false" outlineLevel="0" collapsed="false">
      <c r="A63" s="0" t="n">
        <v>59</v>
      </c>
      <c r="B63" s="0" t="n">
        <v>1</v>
      </c>
      <c r="C63" s="19" t="n">
        <v>0.702</v>
      </c>
      <c r="D63" s="19" t="n">
        <v>0.7371</v>
      </c>
      <c r="E63" s="20" t="n">
        <f aca="false">Parametres!$B$5*C63</f>
        <v>210.6</v>
      </c>
      <c r="F63" s="20" t="n">
        <f aca="false">Parametres!$B$6*D63</f>
        <v>147.42</v>
      </c>
      <c r="G63" s="20" t="n">
        <f aca="false">E63+F63</f>
        <v>358.02</v>
      </c>
      <c r="H63" s="20" t="n">
        <f aca="false">IF(G63&lt;Parametres!$B$8*Parametres!$B$7,0,MIN(G63,Parametres!$B$7))</f>
        <v>250</v>
      </c>
      <c r="I63" s="20" t="n">
        <f aca="false">G63-H63</f>
        <v>108.02</v>
      </c>
      <c r="J63" s="21" t="n">
        <f aca="false">H63*1000/Parametres!$B$9</f>
        <v>4239.44378497541</v>
      </c>
    </row>
    <row r="64" customFormat="false" ht="15" hidden="false" customHeight="false" outlineLevel="0" collapsed="false">
      <c r="A64" s="0" t="n">
        <v>60</v>
      </c>
      <c r="B64" s="0" t="n">
        <v>1</v>
      </c>
      <c r="C64" s="19" t="n">
        <v>0.7713</v>
      </c>
      <c r="D64" s="19" t="n">
        <v>0.6565</v>
      </c>
      <c r="E64" s="20" t="n">
        <f aca="false">Parametres!$B$5*C64</f>
        <v>231.39</v>
      </c>
      <c r="F64" s="20" t="n">
        <f aca="false">Parametres!$B$6*D64</f>
        <v>131.3</v>
      </c>
      <c r="G64" s="20" t="n">
        <f aca="false">E64+F64</f>
        <v>362.69</v>
      </c>
      <c r="H64" s="20" t="n">
        <f aca="false">IF(G64&lt;Parametres!$B$8*Parametres!$B$7,0,MIN(G64,Parametres!$B$7))</f>
        <v>250</v>
      </c>
      <c r="I64" s="20" t="n">
        <f aca="false">G64-H64</f>
        <v>112.69</v>
      </c>
      <c r="J64" s="21" t="n">
        <f aca="false">H64*1000/Parametres!$B$9</f>
        <v>4239.44378497541</v>
      </c>
    </row>
    <row r="65" customFormat="false" ht="15" hidden="false" customHeight="false" outlineLevel="0" collapsed="false">
      <c r="A65" s="0" t="n">
        <v>61</v>
      </c>
      <c r="B65" s="0" t="n">
        <v>1</v>
      </c>
      <c r="C65" s="19" t="n">
        <v>0.7512</v>
      </c>
      <c r="D65" s="19" t="n">
        <v>0.8694</v>
      </c>
      <c r="E65" s="20" t="n">
        <f aca="false">Parametres!$B$5*C65</f>
        <v>225.36</v>
      </c>
      <c r="F65" s="20" t="n">
        <f aca="false">Parametres!$B$6*D65</f>
        <v>173.88</v>
      </c>
      <c r="G65" s="20" t="n">
        <f aca="false">E65+F65</f>
        <v>399.24</v>
      </c>
      <c r="H65" s="20" t="n">
        <f aca="false">IF(G65&lt;Parametres!$B$8*Parametres!$B$7,0,MIN(G65,Parametres!$B$7))</f>
        <v>250</v>
      </c>
      <c r="I65" s="20" t="n">
        <f aca="false">G65-H65</f>
        <v>149.24</v>
      </c>
      <c r="J65" s="21" t="n">
        <f aca="false">H65*1000/Parametres!$B$9</f>
        <v>4239.44378497541</v>
      </c>
    </row>
    <row r="66" customFormat="false" ht="15" hidden="false" customHeight="false" outlineLevel="0" collapsed="false">
      <c r="A66" s="0" t="n">
        <v>62</v>
      </c>
      <c r="B66" s="0" t="n">
        <v>1</v>
      </c>
      <c r="C66" s="19" t="n">
        <v>0.7127</v>
      </c>
      <c r="D66" s="19" t="n">
        <v>0.8858</v>
      </c>
      <c r="E66" s="20" t="n">
        <f aca="false">Parametres!$B$5*C66</f>
        <v>213.81</v>
      </c>
      <c r="F66" s="20" t="n">
        <f aca="false">Parametres!$B$6*D66</f>
        <v>177.16</v>
      </c>
      <c r="G66" s="20" t="n">
        <f aca="false">E66+F66</f>
        <v>390.97</v>
      </c>
      <c r="H66" s="20" t="n">
        <f aca="false">IF(G66&lt;Parametres!$B$8*Parametres!$B$7,0,MIN(G66,Parametres!$B$7))</f>
        <v>250</v>
      </c>
      <c r="I66" s="20" t="n">
        <f aca="false">G66-H66</f>
        <v>140.97</v>
      </c>
      <c r="J66" s="21" t="n">
        <f aca="false">H66*1000/Parametres!$B$9</f>
        <v>4239.44378497541</v>
      </c>
    </row>
    <row r="67" customFormat="false" ht="15" hidden="false" customHeight="false" outlineLevel="0" collapsed="false">
      <c r="A67" s="0" t="n">
        <v>63</v>
      </c>
      <c r="B67" s="0" t="n">
        <v>1</v>
      </c>
      <c r="C67" s="19" t="n">
        <v>0.527</v>
      </c>
      <c r="D67" s="19" t="n">
        <v>0.8864</v>
      </c>
      <c r="E67" s="20" t="n">
        <f aca="false">Parametres!$B$5*C67</f>
        <v>158.1</v>
      </c>
      <c r="F67" s="20" t="n">
        <f aca="false">Parametres!$B$6*D67</f>
        <v>177.28</v>
      </c>
      <c r="G67" s="20" t="n">
        <f aca="false">E67+F67</f>
        <v>335.38</v>
      </c>
      <c r="H67" s="20" t="n">
        <f aca="false">IF(G67&lt;Parametres!$B$8*Parametres!$B$7,0,MIN(G67,Parametres!$B$7))</f>
        <v>250</v>
      </c>
      <c r="I67" s="20" t="n">
        <f aca="false">G67-H67</f>
        <v>85.38</v>
      </c>
      <c r="J67" s="21" t="n">
        <f aca="false">H67*1000/Parametres!$B$9</f>
        <v>4239.44378497541</v>
      </c>
    </row>
    <row r="68" customFormat="false" ht="15" hidden="false" customHeight="false" outlineLevel="0" collapsed="false">
      <c r="A68" s="0" t="n">
        <v>64</v>
      </c>
      <c r="B68" s="0" t="n">
        <v>1</v>
      </c>
      <c r="C68" s="19" t="n">
        <v>0.3478</v>
      </c>
      <c r="D68" s="19" t="n">
        <v>0.8822</v>
      </c>
      <c r="E68" s="20" t="n">
        <f aca="false">Parametres!$B$5*C68</f>
        <v>104.34</v>
      </c>
      <c r="F68" s="20" t="n">
        <f aca="false">Parametres!$B$6*D68</f>
        <v>176.44</v>
      </c>
      <c r="G68" s="20" t="n">
        <f aca="false">E68+F68</f>
        <v>280.78</v>
      </c>
      <c r="H68" s="20" t="n">
        <f aca="false">IF(G68&lt;Parametres!$B$8*Parametres!$B$7,0,MIN(G68,Parametres!$B$7))</f>
        <v>250</v>
      </c>
      <c r="I68" s="20" t="n">
        <f aca="false">G68-H68</f>
        <v>30.78</v>
      </c>
      <c r="J68" s="21" t="n">
        <f aca="false">H68*1000/Parametres!$B$9</f>
        <v>4239.44378497541</v>
      </c>
    </row>
    <row r="69" customFormat="false" ht="15" hidden="false" customHeight="false" outlineLevel="0" collapsed="false">
      <c r="A69" s="0" t="n">
        <v>65</v>
      </c>
      <c r="B69" s="0" t="n">
        <v>1</v>
      </c>
      <c r="C69" s="19" t="n">
        <v>0.1258</v>
      </c>
      <c r="D69" s="19" t="n">
        <v>1</v>
      </c>
      <c r="E69" s="20" t="n">
        <f aca="false">Parametres!$B$5*C69</f>
        <v>37.74</v>
      </c>
      <c r="F69" s="20" t="n">
        <f aca="false">Parametres!$B$6*D69</f>
        <v>200</v>
      </c>
      <c r="G69" s="20" t="n">
        <f aca="false">E69+F69</f>
        <v>237.74</v>
      </c>
      <c r="H69" s="20" t="n">
        <f aca="false">IF(G69&lt;Parametres!$B$8*Parametres!$B$7,0,MIN(G69,Parametres!$B$7))</f>
        <v>237.74</v>
      </c>
      <c r="I69" s="20" t="n">
        <f aca="false">G69-H69</f>
        <v>0</v>
      </c>
      <c r="J69" s="21" t="n">
        <f aca="false">H69*1000/Parametres!$B$9</f>
        <v>4031.54146176022</v>
      </c>
    </row>
    <row r="70" customFormat="false" ht="15" hidden="false" customHeight="false" outlineLevel="0" collapsed="false">
      <c r="A70" s="0" t="n">
        <v>66</v>
      </c>
      <c r="B70" s="0" t="n">
        <v>1</v>
      </c>
      <c r="C70" s="19" t="n">
        <v>0</v>
      </c>
      <c r="D70" s="19" t="n">
        <v>0.7508</v>
      </c>
      <c r="E70" s="20" t="n">
        <f aca="false">Parametres!$B$5*C70</f>
        <v>0</v>
      </c>
      <c r="F70" s="20" t="n">
        <f aca="false">Parametres!$B$6*D70</f>
        <v>150.16</v>
      </c>
      <c r="G70" s="20" t="n">
        <f aca="false">E70+F70</f>
        <v>150.16</v>
      </c>
      <c r="H70" s="20" t="n">
        <f aca="false">IF(G70&lt;Parametres!$B$8*Parametres!$B$7,0,MIN(G70,Parametres!$B$7))</f>
        <v>150.16</v>
      </c>
      <c r="I70" s="20" t="n">
        <f aca="false">G70-H70</f>
        <v>0</v>
      </c>
      <c r="J70" s="21" t="n">
        <f aca="false">H70*1000/Parametres!$B$9</f>
        <v>2546.37951500763</v>
      </c>
    </row>
    <row r="71" customFormat="false" ht="15" hidden="false" customHeight="false" outlineLevel="0" collapsed="false">
      <c r="A71" s="0" t="n">
        <v>67</v>
      </c>
      <c r="B71" s="0" t="n">
        <v>1</v>
      </c>
      <c r="C71" s="19" t="n">
        <v>0</v>
      </c>
      <c r="D71" s="19" t="n">
        <v>0.43</v>
      </c>
      <c r="E71" s="20" t="n">
        <f aca="false">Parametres!$B$5*C71</f>
        <v>0</v>
      </c>
      <c r="F71" s="20" t="n">
        <f aca="false">Parametres!$B$6*D71</f>
        <v>86</v>
      </c>
      <c r="G71" s="20" t="n">
        <f aca="false">E71+F71</f>
        <v>86</v>
      </c>
      <c r="H71" s="20" t="n">
        <f aca="false">IF(G71&lt;Parametres!$B$8*Parametres!$B$7,0,MIN(G71,Parametres!$B$7))</f>
        <v>86</v>
      </c>
      <c r="I71" s="20" t="n">
        <f aca="false">G71-H71</f>
        <v>0</v>
      </c>
      <c r="J71" s="21" t="n">
        <f aca="false">H71*1000/Parametres!$B$9</f>
        <v>1458.36866203154</v>
      </c>
    </row>
    <row r="72" customFormat="false" ht="15" hidden="false" customHeight="false" outlineLevel="0" collapsed="false">
      <c r="A72" s="0" t="n">
        <v>68</v>
      </c>
      <c r="B72" s="0" t="n">
        <v>1</v>
      </c>
      <c r="C72" s="19" t="n">
        <v>0</v>
      </c>
      <c r="D72" s="19" t="n">
        <v>0.1495</v>
      </c>
      <c r="E72" s="20" t="n">
        <f aca="false">Parametres!$B$5*C72</f>
        <v>0</v>
      </c>
      <c r="F72" s="20" t="n">
        <f aca="false">Parametres!$B$6*D72</f>
        <v>29.9</v>
      </c>
      <c r="G72" s="20" t="n">
        <f aca="false">E72+F72</f>
        <v>29.9</v>
      </c>
      <c r="H72" s="20" t="n">
        <f aca="false">IF(G72&lt;Parametres!$B$8*Parametres!$B$7,0,MIN(G72,Parametres!$B$7))</f>
        <v>29.9</v>
      </c>
      <c r="I72" s="20" t="n">
        <f aca="false">G72-H72</f>
        <v>0</v>
      </c>
      <c r="J72" s="21" t="n">
        <f aca="false">H72*1000/Parametres!$B$9</f>
        <v>507.037476683059</v>
      </c>
    </row>
    <row r="73" customFormat="false" ht="15" hidden="false" customHeight="false" outlineLevel="0" collapsed="false">
      <c r="A73" s="0" t="n">
        <v>69</v>
      </c>
      <c r="B73" s="0" t="n">
        <v>1</v>
      </c>
      <c r="C73" s="19" t="n">
        <v>0</v>
      </c>
      <c r="D73" s="19" t="n">
        <v>0.2242</v>
      </c>
      <c r="E73" s="20" t="n">
        <f aca="false">Parametres!$B$5*C73</f>
        <v>0</v>
      </c>
      <c r="F73" s="20" t="n">
        <f aca="false">Parametres!$B$6*D73</f>
        <v>44.84</v>
      </c>
      <c r="G73" s="20" t="n">
        <f aca="false">E73+F73</f>
        <v>44.84</v>
      </c>
      <c r="H73" s="20" t="n">
        <f aca="false">IF(G73&lt;Parametres!$B$8*Parametres!$B$7,0,MIN(G73,Parametres!$B$7))</f>
        <v>44.84</v>
      </c>
      <c r="I73" s="20" t="n">
        <f aca="false">G73-H73</f>
        <v>0</v>
      </c>
      <c r="J73" s="21" t="n">
        <f aca="false">H73*1000/Parametres!$B$9</f>
        <v>760.38663727319</v>
      </c>
    </row>
    <row r="74" customFormat="false" ht="15" hidden="false" customHeight="false" outlineLevel="0" collapsed="false">
      <c r="A74" s="0" t="n">
        <v>70</v>
      </c>
      <c r="B74" s="0" t="n">
        <v>1</v>
      </c>
      <c r="C74" s="19" t="n">
        <v>0</v>
      </c>
      <c r="D74" s="19" t="n">
        <v>0.2021</v>
      </c>
      <c r="E74" s="20" t="n">
        <f aca="false">Parametres!$B$5*C74</f>
        <v>0</v>
      </c>
      <c r="F74" s="20" t="n">
        <f aca="false">Parametres!$B$6*D74</f>
        <v>40.42</v>
      </c>
      <c r="G74" s="20" t="n">
        <f aca="false">E74+F74</f>
        <v>40.42</v>
      </c>
      <c r="H74" s="20" t="n">
        <f aca="false">IF(G74&lt;Parametres!$B$8*Parametres!$B$7,0,MIN(G74,Parametres!$B$7))</f>
        <v>40.42</v>
      </c>
      <c r="I74" s="20" t="n">
        <f aca="false">G74-H74</f>
        <v>0</v>
      </c>
      <c r="J74" s="21" t="n">
        <f aca="false">H74*1000/Parametres!$B$9</f>
        <v>685.433271154825</v>
      </c>
    </row>
    <row r="75" customFormat="false" ht="15" hidden="false" customHeight="false" outlineLevel="0" collapsed="false">
      <c r="A75" s="0" t="n">
        <v>71</v>
      </c>
      <c r="B75" s="0" t="n">
        <v>1</v>
      </c>
      <c r="C75" s="19" t="n">
        <v>0</v>
      </c>
      <c r="D75" s="19" t="n">
        <v>0.3098</v>
      </c>
      <c r="E75" s="20" t="n">
        <f aca="false">Parametres!$B$5*C75</f>
        <v>0</v>
      </c>
      <c r="F75" s="20" t="n">
        <f aca="false">Parametres!$B$6*D75</f>
        <v>61.96</v>
      </c>
      <c r="G75" s="20" t="n">
        <f aca="false">E75+F75</f>
        <v>61.96</v>
      </c>
      <c r="H75" s="20" t="n">
        <f aca="false">IF(G75&lt;Parametres!$B$8*Parametres!$B$7,0,MIN(G75,Parametres!$B$7))</f>
        <v>61.96</v>
      </c>
      <c r="I75" s="20" t="n">
        <f aca="false">G75-H75</f>
        <v>0</v>
      </c>
      <c r="J75" s="21" t="n">
        <f aca="false">H75*1000/Parametres!$B$9</f>
        <v>1050.70374766831</v>
      </c>
    </row>
    <row r="76" customFormat="false" ht="15" hidden="false" customHeight="false" outlineLevel="0" collapsed="false">
      <c r="A76" s="0" t="n">
        <v>72</v>
      </c>
      <c r="B76" s="0" t="n">
        <v>1</v>
      </c>
      <c r="C76" s="19" t="n">
        <v>0</v>
      </c>
      <c r="D76" s="19" t="n">
        <v>0.2646</v>
      </c>
      <c r="E76" s="20" t="n">
        <f aca="false">Parametres!$B$5*C76</f>
        <v>0</v>
      </c>
      <c r="F76" s="20" t="n">
        <f aca="false">Parametres!$B$6*D76</f>
        <v>52.92</v>
      </c>
      <c r="G76" s="20" t="n">
        <f aca="false">E76+F76</f>
        <v>52.92</v>
      </c>
      <c r="H76" s="20" t="n">
        <f aca="false">IF(G76&lt;Parametres!$B$8*Parametres!$B$7,0,MIN(G76,Parametres!$B$7))</f>
        <v>52.92</v>
      </c>
      <c r="I76" s="20" t="n">
        <f aca="false">G76-H76</f>
        <v>0</v>
      </c>
      <c r="J76" s="21" t="n">
        <f aca="false">H76*1000/Parametres!$B$9</f>
        <v>897.405460403595</v>
      </c>
    </row>
    <row r="77" customFormat="false" ht="15" hidden="false" customHeight="false" outlineLevel="0" collapsed="false">
      <c r="A77" s="0" t="n">
        <v>73</v>
      </c>
      <c r="B77" s="0" t="n">
        <v>1</v>
      </c>
      <c r="C77" s="19" t="n">
        <v>0</v>
      </c>
      <c r="D77" s="19" t="n">
        <v>0.1711</v>
      </c>
      <c r="E77" s="20" t="n">
        <f aca="false">Parametres!$B$5*C77</f>
        <v>0</v>
      </c>
      <c r="F77" s="20" t="n">
        <f aca="false">Parametres!$B$6*D77</f>
        <v>34.22</v>
      </c>
      <c r="G77" s="20" t="n">
        <f aca="false">E77+F77</f>
        <v>34.22</v>
      </c>
      <c r="H77" s="20" t="n">
        <f aca="false">IF(G77&lt;Parametres!$B$8*Parametres!$B$7,0,MIN(G77,Parametres!$B$7))</f>
        <v>34.22</v>
      </c>
      <c r="I77" s="20" t="n">
        <f aca="false">G77-H77</f>
        <v>0</v>
      </c>
      <c r="J77" s="21" t="n">
        <f aca="false">H77*1000/Parametres!$B$9</f>
        <v>580.295065287434</v>
      </c>
    </row>
    <row r="78" customFormat="false" ht="15" hidden="false" customHeight="false" outlineLevel="0" collapsed="false">
      <c r="A78" s="0" t="n">
        <v>74</v>
      </c>
      <c r="B78" s="0" t="n">
        <v>1</v>
      </c>
      <c r="C78" s="19" t="n">
        <v>0</v>
      </c>
      <c r="D78" s="19" t="n">
        <v>0.1799</v>
      </c>
      <c r="E78" s="20" t="n">
        <f aca="false">Parametres!$B$5*C78</f>
        <v>0</v>
      </c>
      <c r="F78" s="20" t="n">
        <f aca="false">Parametres!$B$6*D78</f>
        <v>35.98</v>
      </c>
      <c r="G78" s="20" t="n">
        <f aca="false">E78+F78</f>
        <v>35.98</v>
      </c>
      <c r="H78" s="20" t="n">
        <f aca="false">IF(G78&lt;Parametres!$B$8*Parametres!$B$7,0,MIN(G78,Parametres!$B$7))</f>
        <v>35.98</v>
      </c>
      <c r="I78" s="20" t="n">
        <f aca="false">G78-H78</f>
        <v>0</v>
      </c>
      <c r="J78" s="21" t="n">
        <f aca="false">H78*1000/Parametres!$B$9</f>
        <v>610.140749533661</v>
      </c>
    </row>
    <row r="79" customFormat="false" ht="15" hidden="false" customHeight="false" outlineLevel="0" collapsed="false">
      <c r="A79" s="0" t="n">
        <v>75</v>
      </c>
      <c r="B79" s="0" t="n">
        <v>1</v>
      </c>
      <c r="C79" s="19" t="n">
        <v>0</v>
      </c>
      <c r="D79" s="19" t="n">
        <v>0.156</v>
      </c>
      <c r="E79" s="20" t="n">
        <f aca="false">Parametres!$B$5*C79</f>
        <v>0</v>
      </c>
      <c r="F79" s="20" t="n">
        <f aca="false">Parametres!$B$6*D79</f>
        <v>31.2</v>
      </c>
      <c r="G79" s="20" t="n">
        <f aca="false">E79+F79</f>
        <v>31.2</v>
      </c>
      <c r="H79" s="20" t="n">
        <f aca="false">IF(G79&lt;Parametres!$B$8*Parametres!$B$7,0,MIN(G79,Parametres!$B$7))</f>
        <v>31.2</v>
      </c>
      <c r="I79" s="20" t="n">
        <f aca="false">G79-H79</f>
        <v>0</v>
      </c>
      <c r="J79" s="21" t="n">
        <f aca="false">H79*1000/Parametres!$B$9</f>
        <v>529.082584364931</v>
      </c>
    </row>
    <row r="80" customFormat="false" ht="15" hidden="false" customHeight="false" outlineLevel="0" collapsed="false">
      <c r="A80" s="0" t="n">
        <v>76</v>
      </c>
      <c r="B80" s="0" t="n">
        <v>1</v>
      </c>
      <c r="C80" s="19" t="n">
        <v>0</v>
      </c>
      <c r="D80" s="19" t="n">
        <v>0.0844</v>
      </c>
      <c r="E80" s="20" t="n">
        <f aca="false">Parametres!$B$5*C80</f>
        <v>0</v>
      </c>
      <c r="F80" s="20" t="n">
        <f aca="false">Parametres!$B$6*D80</f>
        <v>16.88</v>
      </c>
      <c r="G80" s="20" t="n">
        <f aca="false">E80+F80</f>
        <v>16.88</v>
      </c>
      <c r="H80" s="20" t="n">
        <f aca="false">IF(G80&lt;Parametres!$B$8*Parametres!$B$7,0,MIN(G80,Parametres!$B$7))</f>
        <v>0</v>
      </c>
      <c r="I80" s="20" t="n">
        <f aca="false">G80-H80</f>
        <v>16.88</v>
      </c>
      <c r="J80" s="21" t="n">
        <f aca="false">H80*1000/Parametres!$B$9</f>
        <v>0</v>
      </c>
    </row>
    <row r="81" customFormat="false" ht="15" hidden="false" customHeight="false" outlineLevel="0" collapsed="false">
      <c r="A81" s="0" t="n">
        <v>77</v>
      </c>
      <c r="B81" s="0" t="n">
        <v>1</v>
      </c>
      <c r="C81" s="19" t="n">
        <v>0</v>
      </c>
      <c r="D81" s="19" t="n">
        <v>0.0531</v>
      </c>
      <c r="E81" s="20" t="n">
        <f aca="false">Parametres!$B$5*C81</f>
        <v>0</v>
      </c>
      <c r="F81" s="20" t="n">
        <f aca="false">Parametres!$B$6*D81</f>
        <v>10.62</v>
      </c>
      <c r="G81" s="20" t="n">
        <f aca="false">E81+F81</f>
        <v>10.62</v>
      </c>
      <c r="H81" s="20" t="n">
        <f aca="false">IF(G81&lt;Parametres!$B$8*Parametres!$B$7,0,MIN(G81,Parametres!$B$7))</f>
        <v>0</v>
      </c>
      <c r="I81" s="20" t="n">
        <f aca="false">G81-H81</f>
        <v>10.62</v>
      </c>
      <c r="J81" s="21" t="n">
        <f aca="false">H81*1000/Parametres!$B$9</f>
        <v>0</v>
      </c>
    </row>
    <row r="82" customFormat="false" ht="15" hidden="false" customHeight="false" outlineLevel="0" collapsed="false">
      <c r="A82" s="0" t="n">
        <v>78</v>
      </c>
      <c r="B82" s="0" t="n">
        <v>1</v>
      </c>
      <c r="C82" s="19" t="n">
        <v>0</v>
      </c>
      <c r="D82" s="19" t="n">
        <v>0.1241</v>
      </c>
      <c r="E82" s="20" t="n">
        <f aca="false">Parametres!$B$5*C82</f>
        <v>0</v>
      </c>
      <c r="F82" s="20" t="n">
        <f aca="false">Parametres!$B$6*D82</f>
        <v>24.82</v>
      </c>
      <c r="G82" s="20" t="n">
        <f aca="false">E82+F82</f>
        <v>24.82</v>
      </c>
      <c r="H82" s="20" t="n">
        <f aca="false">IF(G82&lt;Parametres!$B$8*Parametres!$B$7,0,MIN(G82,Parametres!$B$7))</f>
        <v>0</v>
      </c>
      <c r="I82" s="20" t="n">
        <f aca="false">G82-H82</f>
        <v>24.82</v>
      </c>
      <c r="J82" s="21" t="n">
        <f aca="false">H82*1000/Parametres!$B$9</f>
        <v>0</v>
      </c>
    </row>
    <row r="83" customFormat="false" ht="15" hidden="false" customHeight="false" outlineLevel="0" collapsed="false">
      <c r="A83" s="0" t="n">
        <v>79</v>
      </c>
      <c r="B83" s="0" t="n">
        <v>1</v>
      </c>
      <c r="C83" s="19" t="n">
        <v>0</v>
      </c>
      <c r="D83" s="19" t="n">
        <v>0.1519</v>
      </c>
      <c r="E83" s="20" t="n">
        <f aca="false">Parametres!$B$5*C83</f>
        <v>0</v>
      </c>
      <c r="F83" s="20" t="n">
        <f aca="false">Parametres!$B$6*D83</f>
        <v>30.38</v>
      </c>
      <c r="G83" s="20" t="n">
        <f aca="false">E83+F83</f>
        <v>30.38</v>
      </c>
      <c r="H83" s="20" t="n">
        <f aca="false">IF(G83&lt;Parametres!$B$8*Parametres!$B$7,0,MIN(G83,Parametres!$B$7))</f>
        <v>30.38</v>
      </c>
      <c r="I83" s="20" t="n">
        <f aca="false">G83-H83</f>
        <v>0</v>
      </c>
      <c r="J83" s="21" t="n">
        <f aca="false">H83*1000/Parametres!$B$9</f>
        <v>515.177208750212</v>
      </c>
    </row>
    <row r="84" customFormat="false" ht="15" hidden="false" customHeight="false" outlineLevel="0" collapsed="false">
      <c r="A84" s="0" t="n">
        <v>80</v>
      </c>
      <c r="B84" s="0" t="n">
        <v>1</v>
      </c>
      <c r="C84" s="19" t="n">
        <v>0.1015</v>
      </c>
      <c r="D84" s="19" t="n">
        <v>0.1955</v>
      </c>
      <c r="E84" s="20" t="n">
        <f aca="false">Parametres!$B$5*C84</f>
        <v>30.45</v>
      </c>
      <c r="F84" s="20" t="n">
        <f aca="false">Parametres!$B$6*D84</f>
        <v>39.1</v>
      </c>
      <c r="G84" s="20" t="n">
        <f aca="false">E84+F84</f>
        <v>69.55</v>
      </c>
      <c r="H84" s="20" t="n">
        <f aca="false">IF(G84&lt;Parametres!$B$8*Parametres!$B$7,0,MIN(G84,Parametres!$B$7))</f>
        <v>69.55</v>
      </c>
      <c r="I84" s="20" t="n">
        <f aca="false">G84-H84</f>
        <v>0</v>
      </c>
      <c r="J84" s="21" t="n">
        <f aca="false">H84*1000/Parametres!$B$9</f>
        <v>1179.41326098016</v>
      </c>
    </row>
    <row r="85" customFormat="false" ht="15" hidden="false" customHeight="false" outlineLevel="0" collapsed="false">
      <c r="A85" s="0" t="n">
        <v>81</v>
      </c>
      <c r="B85" s="0" t="n">
        <v>1</v>
      </c>
      <c r="C85" s="19" t="n">
        <v>0.2755</v>
      </c>
      <c r="D85" s="19" t="n">
        <v>0.1973</v>
      </c>
      <c r="E85" s="20" t="n">
        <f aca="false">Parametres!$B$5*C85</f>
        <v>82.65</v>
      </c>
      <c r="F85" s="20" t="n">
        <f aca="false">Parametres!$B$6*D85</f>
        <v>39.46</v>
      </c>
      <c r="G85" s="20" t="n">
        <f aca="false">E85+F85</f>
        <v>122.11</v>
      </c>
      <c r="H85" s="20" t="n">
        <f aca="false">IF(G85&lt;Parametres!$B$8*Parametres!$B$7,0,MIN(G85,Parametres!$B$7))</f>
        <v>122.11</v>
      </c>
      <c r="I85" s="20" t="n">
        <f aca="false">G85-H85</f>
        <v>0</v>
      </c>
      <c r="J85" s="21" t="n">
        <f aca="false">H85*1000/Parametres!$B$9</f>
        <v>2070.71392233339</v>
      </c>
    </row>
    <row r="86" customFormat="false" ht="15" hidden="false" customHeight="false" outlineLevel="0" collapsed="false">
      <c r="A86" s="0" t="n">
        <v>82</v>
      </c>
      <c r="B86" s="0" t="n">
        <v>1</v>
      </c>
      <c r="C86" s="19" t="n">
        <v>0.4189</v>
      </c>
      <c r="D86" s="19" t="n">
        <v>0.1719</v>
      </c>
      <c r="E86" s="20" t="n">
        <f aca="false">Parametres!$B$5*C86</f>
        <v>125.67</v>
      </c>
      <c r="F86" s="20" t="n">
        <f aca="false">Parametres!$B$6*D86</f>
        <v>34.38</v>
      </c>
      <c r="G86" s="20" t="n">
        <f aca="false">E86+F86</f>
        <v>160.05</v>
      </c>
      <c r="H86" s="20" t="n">
        <f aca="false">IF(G86&lt;Parametres!$B$8*Parametres!$B$7,0,MIN(G86,Parametres!$B$7))</f>
        <v>160.05</v>
      </c>
      <c r="I86" s="20" t="n">
        <f aca="false">G86-H86</f>
        <v>0</v>
      </c>
      <c r="J86" s="21" t="n">
        <f aca="false">H86*1000/Parametres!$B$9</f>
        <v>2714.09191114126</v>
      </c>
    </row>
    <row r="87" customFormat="false" ht="15" hidden="false" customHeight="false" outlineLevel="0" collapsed="false">
      <c r="A87" s="0" t="n">
        <v>83</v>
      </c>
      <c r="B87" s="0" t="n">
        <v>1</v>
      </c>
      <c r="C87" s="19" t="n">
        <v>0.5415</v>
      </c>
      <c r="D87" s="19" t="n">
        <v>0.2787</v>
      </c>
      <c r="E87" s="20" t="n">
        <f aca="false">Parametres!$B$5*C87</f>
        <v>162.45</v>
      </c>
      <c r="F87" s="20" t="n">
        <f aca="false">Parametres!$B$6*D87</f>
        <v>55.74</v>
      </c>
      <c r="G87" s="20" t="n">
        <f aca="false">E87+F87</f>
        <v>218.19</v>
      </c>
      <c r="H87" s="20" t="n">
        <f aca="false">IF(G87&lt;Parametres!$B$8*Parametres!$B$7,0,MIN(G87,Parametres!$B$7))</f>
        <v>218.19</v>
      </c>
      <c r="I87" s="20" t="n">
        <f aca="false">G87-H87</f>
        <v>0</v>
      </c>
      <c r="J87" s="21" t="n">
        <f aca="false">H87*1000/Parametres!$B$9</f>
        <v>3700.01695777514</v>
      </c>
    </row>
    <row r="88" customFormat="false" ht="15" hidden="false" customHeight="false" outlineLevel="0" collapsed="false">
      <c r="A88" s="0" t="n">
        <v>84</v>
      </c>
      <c r="B88" s="0" t="n">
        <v>1</v>
      </c>
      <c r="C88" s="19" t="n">
        <v>0.622</v>
      </c>
      <c r="D88" s="19" t="n">
        <v>0.3047</v>
      </c>
      <c r="E88" s="20" t="n">
        <f aca="false">Parametres!$B$5*C88</f>
        <v>186.6</v>
      </c>
      <c r="F88" s="20" t="n">
        <f aca="false">Parametres!$B$6*D88</f>
        <v>60.94</v>
      </c>
      <c r="G88" s="20" t="n">
        <f aca="false">E88+F88</f>
        <v>247.54</v>
      </c>
      <c r="H88" s="20" t="n">
        <f aca="false">IF(G88&lt;Parametres!$B$8*Parametres!$B$7,0,MIN(G88,Parametres!$B$7))</f>
        <v>247.54</v>
      </c>
      <c r="I88" s="20" t="n">
        <f aca="false">G88-H88</f>
        <v>0</v>
      </c>
      <c r="J88" s="21" t="n">
        <f aca="false">H88*1000/Parametres!$B$9</f>
        <v>4197.72765813125</v>
      </c>
    </row>
    <row r="89" customFormat="false" ht="15" hidden="false" customHeight="false" outlineLevel="0" collapsed="false">
      <c r="A89" s="0" t="n">
        <v>85</v>
      </c>
      <c r="B89" s="0" t="n">
        <v>1</v>
      </c>
      <c r="C89" s="19" t="n">
        <v>0.652</v>
      </c>
      <c r="D89" s="19" t="n">
        <v>0.2571</v>
      </c>
      <c r="E89" s="20" t="n">
        <f aca="false">Parametres!$B$5*C89</f>
        <v>195.6</v>
      </c>
      <c r="F89" s="20" t="n">
        <f aca="false">Parametres!$B$6*D89</f>
        <v>51.42</v>
      </c>
      <c r="G89" s="20" t="n">
        <f aca="false">E89+F89</f>
        <v>247.02</v>
      </c>
      <c r="H89" s="20" t="n">
        <f aca="false">IF(G89&lt;Parametres!$B$8*Parametres!$B$7,0,MIN(G89,Parametres!$B$7))</f>
        <v>247.02</v>
      </c>
      <c r="I89" s="20" t="n">
        <f aca="false">G89-H89</f>
        <v>0</v>
      </c>
      <c r="J89" s="21" t="n">
        <f aca="false">H89*1000/Parametres!$B$9</f>
        <v>4188.9096150585</v>
      </c>
    </row>
    <row r="90" customFormat="false" ht="15" hidden="false" customHeight="false" outlineLevel="0" collapsed="false">
      <c r="A90" s="0" t="n">
        <v>86</v>
      </c>
      <c r="B90" s="0" t="n">
        <v>1</v>
      </c>
      <c r="C90" s="19" t="n">
        <v>0.5601</v>
      </c>
      <c r="D90" s="19" t="n">
        <v>0.2696</v>
      </c>
      <c r="E90" s="20" t="n">
        <f aca="false">Parametres!$B$5*C90</f>
        <v>168.03</v>
      </c>
      <c r="F90" s="20" t="n">
        <f aca="false">Parametres!$B$6*D90</f>
        <v>53.92</v>
      </c>
      <c r="G90" s="20" t="n">
        <f aca="false">E90+F90</f>
        <v>221.95</v>
      </c>
      <c r="H90" s="20" t="n">
        <f aca="false">IF(G90&lt;Parametres!$B$8*Parametres!$B$7,0,MIN(G90,Parametres!$B$7))</f>
        <v>221.95</v>
      </c>
      <c r="I90" s="20" t="n">
        <f aca="false">G90-H90</f>
        <v>0</v>
      </c>
      <c r="J90" s="21" t="n">
        <f aca="false">H90*1000/Parametres!$B$9</f>
        <v>3763.77819230117</v>
      </c>
    </row>
    <row r="91" customFormat="false" ht="15" hidden="false" customHeight="false" outlineLevel="0" collapsed="false">
      <c r="A91" s="0" t="n">
        <v>87</v>
      </c>
      <c r="B91" s="0" t="n">
        <v>1</v>
      </c>
      <c r="C91" s="19" t="n">
        <v>0.4214</v>
      </c>
      <c r="D91" s="19" t="n">
        <v>0.2011</v>
      </c>
      <c r="E91" s="20" t="n">
        <f aca="false">Parametres!$B$5*C91</f>
        <v>126.42</v>
      </c>
      <c r="F91" s="20" t="n">
        <f aca="false">Parametres!$B$6*D91</f>
        <v>40.22</v>
      </c>
      <c r="G91" s="20" t="n">
        <f aca="false">E91+F91</f>
        <v>166.64</v>
      </c>
      <c r="H91" s="20" t="n">
        <f aca="false">IF(G91&lt;Parametres!$B$8*Parametres!$B$7,0,MIN(G91,Parametres!$B$7))</f>
        <v>166.64</v>
      </c>
      <c r="I91" s="20" t="n">
        <f aca="false">G91-H91</f>
        <v>0</v>
      </c>
      <c r="J91" s="21" t="n">
        <f aca="false">H91*1000/Parametres!$B$9</f>
        <v>2825.84364931321</v>
      </c>
    </row>
    <row r="92" customFormat="false" ht="15" hidden="false" customHeight="false" outlineLevel="0" collapsed="false">
      <c r="A92" s="0" t="n">
        <v>88</v>
      </c>
      <c r="B92" s="0" t="n">
        <v>1</v>
      </c>
      <c r="C92" s="19" t="n">
        <v>0.272</v>
      </c>
      <c r="D92" s="19" t="n">
        <v>0.2291</v>
      </c>
      <c r="E92" s="20" t="n">
        <f aca="false">Parametres!$B$5*C92</f>
        <v>81.6</v>
      </c>
      <c r="F92" s="20" t="n">
        <f aca="false">Parametres!$B$6*D92</f>
        <v>45.82</v>
      </c>
      <c r="G92" s="20" t="n">
        <f aca="false">E92+F92</f>
        <v>127.42</v>
      </c>
      <c r="H92" s="20" t="n">
        <f aca="false">IF(G92&lt;Parametres!$B$8*Parametres!$B$7,0,MIN(G92,Parametres!$B$7))</f>
        <v>127.42</v>
      </c>
      <c r="I92" s="20" t="n">
        <f aca="false">G92-H92</f>
        <v>0</v>
      </c>
      <c r="J92" s="21" t="n">
        <f aca="false">H92*1000/Parametres!$B$9</f>
        <v>2160.75970832627</v>
      </c>
    </row>
    <row r="93" customFormat="false" ht="15" hidden="false" customHeight="false" outlineLevel="0" collapsed="false">
      <c r="A93" s="0" t="n">
        <v>89</v>
      </c>
      <c r="B93" s="0" t="n">
        <v>1</v>
      </c>
      <c r="C93" s="19" t="n">
        <v>0.0962</v>
      </c>
      <c r="D93" s="19" t="n">
        <v>0.3615</v>
      </c>
      <c r="E93" s="20" t="n">
        <f aca="false">Parametres!$B$5*C93</f>
        <v>28.86</v>
      </c>
      <c r="F93" s="20" t="n">
        <f aca="false">Parametres!$B$6*D93</f>
        <v>72.3</v>
      </c>
      <c r="G93" s="20" t="n">
        <f aca="false">E93+F93</f>
        <v>101.16</v>
      </c>
      <c r="H93" s="20" t="n">
        <f aca="false">IF(G93&lt;Parametres!$B$8*Parametres!$B$7,0,MIN(G93,Parametres!$B$7))</f>
        <v>101.16</v>
      </c>
      <c r="I93" s="20" t="n">
        <f aca="false">G93-H93</f>
        <v>0</v>
      </c>
      <c r="J93" s="21" t="n">
        <f aca="false">H93*1000/Parametres!$B$9</f>
        <v>1715.44853315245</v>
      </c>
    </row>
    <row r="94" customFormat="false" ht="15" hidden="false" customHeight="false" outlineLevel="0" collapsed="false">
      <c r="A94" s="0" t="n">
        <v>90</v>
      </c>
      <c r="B94" s="0" t="n">
        <v>1</v>
      </c>
      <c r="C94" s="19" t="n">
        <v>0</v>
      </c>
      <c r="D94" s="19" t="n">
        <v>0.2559</v>
      </c>
      <c r="E94" s="20" t="n">
        <f aca="false">Parametres!$B$5*C94</f>
        <v>0</v>
      </c>
      <c r="F94" s="20" t="n">
        <f aca="false">Parametres!$B$6*D94</f>
        <v>51.18</v>
      </c>
      <c r="G94" s="20" t="n">
        <f aca="false">E94+F94</f>
        <v>51.18</v>
      </c>
      <c r="H94" s="20" t="n">
        <f aca="false">IF(G94&lt;Parametres!$B$8*Parametres!$B$7,0,MIN(G94,Parametres!$B$7))</f>
        <v>51.18</v>
      </c>
      <c r="I94" s="20" t="n">
        <f aca="false">G94-H94</f>
        <v>0</v>
      </c>
      <c r="J94" s="21" t="n">
        <f aca="false">H94*1000/Parametres!$B$9</f>
        <v>867.898931660166</v>
      </c>
    </row>
    <row r="95" customFormat="false" ht="15" hidden="false" customHeight="false" outlineLevel="0" collapsed="false">
      <c r="A95" s="0" t="n">
        <v>91</v>
      </c>
      <c r="B95" s="0" t="n">
        <v>1</v>
      </c>
      <c r="C95" s="19" t="n">
        <v>0</v>
      </c>
      <c r="D95" s="19" t="n">
        <v>0.416</v>
      </c>
      <c r="E95" s="20" t="n">
        <f aca="false">Parametres!$B$5*C95</f>
        <v>0</v>
      </c>
      <c r="F95" s="20" t="n">
        <f aca="false">Parametres!$B$6*D95</f>
        <v>83.2</v>
      </c>
      <c r="G95" s="20" t="n">
        <f aca="false">E95+F95</f>
        <v>83.2</v>
      </c>
      <c r="H95" s="20" t="n">
        <f aca="false">IF(G95&lt;Parametres!$B$8*Parametres!$B$7,0,MIN(G95,Parametres!$B$7))</f>
        <v>83.2</v>
      </c>
      <c r="I95" s="20" t="n">
        <f aca="false">G95-H95</f>
        <v>0</v>
      </c>
      <c r="J95" s="21" t="n">
        <f aca="false">H95*1000/Parametres!$B$9</f>
        <v>1410.88689163982</v>
      </c>
    </row>
    <row r="96" customFormat="false" ht="15" hidden="false" customHeight="false" outlineLevel="0" collapsed="false">
      <c r="A96" s="0" t="n">
        <v>92</v>
      </c>
      <c r="B96" s="0" t="n">
        <v>1</v>
      </c>
      <c r="C96" s="19" t="n">
        <v>0</v>
      </c>
      <c r="D96" s="19" t="n">
        <v>0.299</v>
      </c>
      <c r="E96" s="20" t="n">
        <f aca="false">Parametres!$B$5*C96</f>
        <v>0</v>
      </c>
      <c r="F96" s="20" t="n">
        <f aca="false">Parametres!$B$6*D96</f>
        <v>59.8</v>
      </c>
      <c r="G96" s="20" t="n">
        <f aca="false">E96+F96</f>
        <v>59.8</v>
      </c>
      <c r="H96" s="20" t="n">
        <f aca="false">IF(G96&lt;Parametres!$B$8*Parametres!$B$7,0,MIN(G96,Parametres!$B$7))</f>
        <v>59.8</v>
      </c>
      <c r="I96" s="20" t="n">
        <f aca="false">G96-H96</f>
        <v>0</v>
      </c>
      <c r="J96" s="21" t="n">
        <f aca="false">H96*1000/Parametres!$B$9</f>
        <v>1014.07495336612</v>
      </c>
    </row>
    <row r="97" customFormat="false" ht="15" hidden="false" customHeight="false" outlineLevel="0" collapsed="false">
      <c r="A97" s="0" t="n">
        <v>93</v>
      </c>
      <c r="B97" s="0" t="n">
        <v>1</v>
      </c>
      <c r="C97" s="19" t="n">
        <v>0</v>
      </c>
      <c r="D97" s="19" t="n">
        <v>0.2835</v>
      </c>
      <c r="E97" s="20" t="n">
        <f aca="false">Parametres!$B$5*C97</f>
        <v>0</v>
      </c>
      <c r="F97" s="20" t="n">
        <f aca="false">Parametres!$B$6*D97</f>
        <v>56.7</v>
      </c>
      <c r="G97" s="20" t="n">
        <f aca="false">E97+F97</f>
        <v>56.7</v>
      </c>
      <c r="H97" s="20" t="n">
        <f aca="false">IF(G97&lt;Parametres!$B$8*Parametres!$B$7,0,MIN(G97,Parametres!$B$7))</f>
        <v>56.7</v>
      </c>
      <c r="I97" s="20" t="n">
        <f aca="false">G97-H97</f>
        <v>0</v>
      </c>
      <c r="J97" s="21" t="n">
        <f aca="false">H97*1000/Parametres!$B$9</f>
        <v>961.505850432423</v>
      </c>
    </row>
    <row r="98" customFormat="false" ht="15" hidden="false" customHeight="false" outlineLevel="0" collapsed="false">
      <c r="A98" s="0" t="n">
        <v>94</v>
      </c>
      <c r="B98" s="0" t="n">
        <v>1</v>
      </c>
      <c r="C98" s="19" t="n">
        <v>0</v>
      </c>
      <c r="D98" s="19" t="n">
        <v>0.1773</v>
      </c>
      <c r="E98" s="20" t="n">
        <f aca="false">Parametres!$B$5*C98</f>
        <v>0</v>
      </c>
      <c r="F98" s="20" t="n">
        <f aca="false">Parametres!$B$6*D98</f>
        <v>35.46</v>
      </c>
      <c r="G98" s="20" t="n">
        <f aca="false">E98+F98</f>
        <v>35.46</v>
      </c>
      <c r="H98" s="20" t="n">
        <f aca="false">IF(G98&lt;Parametres!$B$8*Parametres!$B$7,0,MIN(G98,Parametres!$B$7))</f>
        <v>35.46</v>
      </c>
      <c r="I98" s="20" t="n">
        <f aca="false">G98-H98</f>
        <v>0</v>
      </c>
      <c r="J98" s="21" t="n">
        <f aca="false">H98*1000/Parametres!$B$9</f>
        <v>601.322706460912</v>
      </c>
    </row>
    <row r="99" customFormat="false" ht="15" hidden="false" customHeight="false" outlineLevel="0" collapsed="false">
      <c r="A99" s="0" t="n">
        <v>95</v>
      </c>
      <c r="B99" s="0" t="n">
        <v>1</v>
      </c>
      <c r="C99" s="19" t="n">
        <v>0</v>
      </c>
      <c r="D99" s="19" t="n">
        <v>0.1385</v>
      </c>
      <c r="E99" s="20" t="n">
        <f aca="false">Parametres!$B$5*C99</f>
        <v>0</v>
      </c>
      <c r="F99" s="20" t="n">
        <f aca="false">Parametres!$B$6*D99</f>
        <v>27.7</v>
      </c>
      <c r="G99" s="20" t="n">
        <f aca="false">E99+F99</f>
        <v>27.7</v>
      </c>
      <c r="H99" s="20" t="n">
        <f aca="false">IF(G99&lt;Parametres!$B$8*Parametres!$B$7,0,MIN(G99,Parametres!$B$7))</f>
        <v>27.7</v>
      </c>
      <c r="I99" s="20" t="n">
        <f aca="false">G99-H99</f>
        <v>0</v>
      </c>
      <c r="J99" s="21" t="n">
        <f aca="false">H99*1000/Parametres!$B$9</f>
        <v>469.730371375276</v>
      </c>
    </row>
    <row r="100" customFormat="false" ht="15" hidden="false" customHeight="false" outlineLevel="0" collapsed="false">
      <c r="A100" s="0" t="n">
        <v>96</v>
      </c>
      <c r="B100" s="0" t="n">
        <v>1</v>
      </c>
      <c r="C100" s="19" t="n">
        <v>0</v>
      </c>
      <c r="D100" s="19" t="n">
        <v>0.1207</v>
      </c>
      <c r="E100" s="20" t="n">
        <f aca="false">Parametres!$B$5*C100</f>
        <v>0</v>
      </c>
      <c r="F100" s="20" t="n">
        <f aca="false">Parametres!$B$6*D100</f>
        <v>24.14</v>
      </c>
      <c r="G100" s="20" t="n">
        <f aca="false">E100+F100</f>
        <v>24.14</v>
      </c>
      <c r="H100" s="20" t="n">
        <f aca="false">IF(G100&lt;Parametres!$B$8*Parametres!$B$7,0,MIN(G100,Parametres!$B$7))</f>
        <v>0</v>
      </c>
      <c r="I100" s="20" t="n">
        <f aca="false">G100-H100</f>
        <v>24.14</v>
      </c>
      <c r="J100" s="21" t="n">
        <f aca="false">H100*1000/Parametres!$B$9</f>
        <v>0</v>
      </c>
    </row>
    <row r="101" customFormat="false" ht="15" hidden="false" customHeight="false" outlineLevel="0" collapsed="false">
      <c r="A101" s="0" t="n">
        <v>97</v>
      </c>
      <c r="B101" s="0" t="n">
        <v>1</v>
      </c>
      <c r="C101" s="19" t="n">
        <v>0</v>
      </c>
      <c r="D101" s="19" t="n">
        <v>0.0842</v>
      </c>
      <c r="E101" s="20" t="n">
        <f aca="false">Parametres!$B$5*C101</f>
        <v>0</v>
      </c>
      <c r="F101" s="20" t="n">
        <f aca="false">Parametres!$B$6*D101</f>
        <v>16.84</v>
      </c>
      <c r="G101" s="20" t="n">
        <f aca="false">E101+F101</f>
        <v>16.84</v>
      </c>
      <c r="H101" s="20" t="n">
        <f aca="false">IF(G101&lt;Parametres!$B$8*Parametres!$B$7,0,MIN(G101,Parametres!$B$7))</f>
        <v>0</v>
      </c>
      <c r="I101" s="20" t="n">
        <f aca="false">G101-H101</f>
        <v>16.84</v>
      </c>
      <c r="J101" s="21" t="n">
        <f aca="false">H101*1000/Parametres!$B$9</f>
        <v>0</v>
      </c>
    </row>
    <row r="102" customFormat="false" ht="15" hidden="false" customHeight="false" outlineLevel="0" collapsed="false">
      <c r="A102" s="0" t="n">
        <v>98</v>
      </c>
      <c r="B102" s="0" t="n">
        <v>1</v>
      </c>
      <c r="C102" s="19" t="n">
        <v>0</v>
      </c>
      <c r="D102" s="19" t="n">
        <v>0.0508</v>
      </c>
      <c r="E102" s="20" t="n">
        <f aca="false">Parametres!$B$5*C102</f>
        <v>0</v>
      </c>
      <c r="F102" s="20" t="n">
        <f aca="false">Parametres!$B$6*D102</f>
        <v>10.16</v>
      </c>
      <c r="G102" s="20" t="n">
        <f aca="false">E102+F102</f>
        <v>10.16</v>
      </c>
      <c r="H102" s="20" t="n">
        <f aca="false">IF(G102&lt;Parametres!$B$8*Parametres!$B$7,0,MIN(G102,Parametres!$B$7))</f>
        <v>0</v>
      </c>
      <c r="I102" s="20" t="n">
        <f aca="false">G102-H102</f>
        <v>10.16</v>
      </c>
      <c r="J102" s="21" t="n">
        <f aca="false">H102*1000/Parametres!$B$9</f>
        <v>0</v>
      </c>
    </row>
    <row r="103" customFormat="false" ht="15" hidden="false" customHeight="false" outlineLevel="0" collapsed="false">
      <c r="A103" s="0" t="n">
        <v>99</v>
      </c>
      <c r="B103" s="0" t="n">
        <v>1</v>
      </c>
      <c r="C103" s="19" t="n">
        <v>0</v>
      </c>
      <c r="D103" s="19" t="n">
        <v>0.0305</v>
      </c>
      <c r="E103" s="20" t="n">
        <f aca="false">Parametres!$B$5*C103</f>
        <v>0</v>
      </c>
      <c r="F103" s="20" t="n">
        <f aca="false">Parametres!$B$6*D103</f>
        <v>6.1</v>
      </c>
      <c r="G103" s="20" t="n">
        <f aca="false">E103+F103</f>
        <v>6.1</v>
      </c>
      <c r="H103" s="20" t="n">
        <f aca="false">IF(G103&lt;Parametres!$B$8*Parametres!$B$7,0,MIN(G103,Parametres!$B$7))</f>
        <v>0</v>
      </c>
      <c r="I103" s="20" t="n">
        <f aca="false">G103-H103</f>
        <v>6.1</v>
      </c>
      <c r="J103" s="21" t="n">
        <f aca="false">H103*1000/Parametres!$B$9</f>
        <v>0</v>
      </c>
    </row>
    <row r="104" customFormat="false" ht="15" hidden="false" customHeight="false" outlineLevel="0" collapsed="false">
      <c r="A104" s="0" t="n">
        <v>100</v>
      </c>
      <c r="B104" s="0" t="n">
        <v>1</v>
      </c>
      <c r="C104" s="19" t="n">
        <v>0</v>
      </c>
      <c r="D104" s="19" t="n">
        <v>0.0164</v>
      </c>
      <c r="E104" s="20" t="n">
        <f aca="false">Parametres!$B$5*C104</f>
        <v>0</v>
      </c>
      <c r="F104" s="20" t="n">
        <f aca="false">Parametres!$B$6*D104</f>
        <v>3.28</v>
      </c>
      <c r="G104" s="20" t="n">
        <f aca="false">E104+F104</f>
        <v>3.28</v>
      </c>
      <c r="H104" s="20" t="n">
        <f aca="false">IF(G104&lt;Parametres!$B$8*Parametres!$B$7,0,MIN(G104,Parametres!$B$7))</f>
        <v>0</v>
      </c>
      <c r="I104" s="20" t="n">
        <f aca="false">G104-H104</f>
        <v>3.28</v>
      </c>
      <c r="J104" s="21" t="n">
        <f aca="false">H104*1000/Parametres!$B$9</f>
        <v>0</v>
      </c>
    </row>
    <row r="105" customFormat="false" ht="15" hidden="false" customHeight="false" outlineLevel="0" collapsed="false">
      <c r="A105" s="0" t="n">
        <v>101</v>
      </c>
      <c r="B105" s="0" t="n">
        <v>1</v>
      </c>
      <c r="C105" s="19" t="n">
        <v>0</v>
      </c>
      <c r="D105" s="19" t="n">
        <v>0.0042</v>
      </c>
      <c r="E105" s="20" t="n">
        <f aca="false">Parametres!$B$5*C105</f>
        <v>0</v>
      </c>
      <c r="F105" s="20" t="n">
        <f aca="false">Parametres!$B$6*D105</f>
        <v>0.84</v>
      </c>
      <c r="G105" s="20" t="n">
        <f aca="false">E105+F105</f>
        <v>0.84</v>
      </c>
      <c r="H105" s="20" t="n">
        <f aca="false">IF(G105&lt;Parametres!$B$8*Parametres!$B$7,0,MIN(G105,Parametres!$B$7))</f>
        <v>0</v>
      </c>
      <c r="I105" s="20" t="n">
        <f aca="false">G105-H105</f>
        <v>0.84</v>
      </c>
      <c r="J105" s="21" t="n">
        <f aca="false">H105*1000/Parametres!$B$9</f>
        <v>0</v>
      </c>
    </row>
    <row r="106" customFormat="false" ht="15" hidden="false" customHeight="false" outlineLevel="0" collapsed="false">
      <c r="A106" s="0" t="n">
        <v>102</v>
      </c>
      <c r="B106" s="0" t="n">
        <v>1</v>
      </c>
      <c r="C106" s="19" t="n">
        <v>0</v>
      </c>
      <c r="D106" s="19" t="n">
        <v>0.0035</v>
      </c>
      <c r="E106" s="20" t="n">
        <f aca="false">Parametres!$B$5*C106</f>
        <v>0</v>
      </c>
      <c r="F106" s="20" t="n">
        <f aca="false">Parametres!$B$6*D106</f>
        <v>0.7</v>
      </c>
      <c r="G106" s="20" t="n">
        <f aca="false">E106+F106</f>
        <v>0.7</v>
      </c>
      <c r="H106" s="20" t="n">
        <f aca="false">IF(G106&lt;Parametres!$B$8*Parametres!$B$7,0,MIN(G106,Parametres!$B$7))</f>
        <v>0</v>
      </c>
      <c r="I106" s="20" t="n">
        <f aca="false">G106-H106</f>
        <v>0.7</v>
      </c>
      <c r="J106" s="21" t="n">
        <f aca="false">H106*1000/Parametres!$B$9</f>
        <v>0</v>
      </c>
    </row>
    <row r="107" customFormat="false" ht="15" hidden="false" customHeight="false" outlineLevel="0" collapsed="false">
      <c r="A107" s="0" t="n">
        <v>103</v>
      </c>
      <c r="B107" s="0" t="n">
        <v>1</v>
      </c>
      <c r="C107" s="19" t="n">
        <v>0</v>
      </c>
      <c r="D107" s="19" t="n">
        <v>0.0063</v>
      </c>
      <c r="E107" s="20" t="n">
        <f aca="false">Parametres!$B$5*C107</f>
        <v>0</v>
      </c>
      <c r="F107" s="20" t="n">
        <f aca="false">Parametres!$B$6*D107</f>
        <v>1.26</v>
      </c>
      <c r="G107" s="20" t="n">
        <f aca="false">E107+F107</f>
        <v>1.26</v>
      </c>
      <c r="H107" s="20" t="n">
        <f aca="false">IF(G107&lt;Parametres!$B$8*Parametres!$B$7,0,MIN(G107,Parametres!$B$7))</f>
        <v>0</v>
      </c>
      <c r="I107" s="20" t="n">
        <f aca="false">G107-H107</f>
        <v>1.26</v>
      </c>
      <c r="J107" s="21" t="n">
        <f aca="false">H107*1000/Parametres!$B$9</f>
        <v>0</v>
      </c>
    </row>
    <row r="108" customFormat="false" ht="15" hidden="false" customHeight="false" outlineLevel="0" collapsed="false">
      <c r="A108" s="0" t="n">
        <v>104</v>
      </c>
      <c r="B108" s="0" t="n">
        <v>1</v>
      </c>
      <c r="C108" s="19" t="n">
        <v>0.134</v>
      </c>
      <c r="D108" s="19" t="n">
        <v>0.0166</v>
      </c>
      <c r="E108" s="20" t="n">
        <f aca="false">Parametres!$B$5*C108</f>
        <v>40.2</v>
      </c>
      <c r="F108" s="20" t="n">
        <f aca="false">Parametres!$B$6*D108</f>
        <v>3.32</v>
      </c>
      <c r="G108" s="20" t="n">
        <f aca="false">E108+F108</f>
        <v>43.52</v>
      </c>
      <c r="H108" s="20" t="n">
        <f aca="false">IF(G108&lt;Parametres!$B$8*Parametres!$B$7,0,MIN(G108,Parametres!$B$7))</f>
        <v>43.52</v>
      </c>
      <c r="I108" s="20" t="n">
        <f aca="false">G108-H108</f>
        <v>0</v>
      </c>
      <c r="J108" s="21" t="n">
        <f aca="false">H108*1000/Parametres!$B$9</f>
        <v>738.00237408852</v>
      </c>
    </row>
    <row r="109" customFormat="false" ht="15" hidden="false" customHeight="false" outlineLevel="0" collapsed="false">
      <c r="A109" s="0" t="n">
        <v>105</v>
      </c>
      <c r="B109" s="0" t="n">
        <v>1</v>
      </c>
      <c r="C109" s="19" t="n">
        <v>0.3746</v>
      </c>
      <c r="D109" s="19" t="n">
        <v>0.0315</v>
      </c>
      <c r="E109" s="20" t="n">
        <f aca="false">Parametres!$B$5*C109</f>
        <v>112.38</v>
      </c>
      <c r="F109" s="20" t="n">
        <f aca="false">Parametres!$B$6*D109</f>
        <v>6.3</v>
      </c>
      <c r="G109" s="20" t="n">
        <f aca="false">E109+F109</f>
        <v>118.68</v>
      </c>
      <c r="H109" s="20" t="n">
        <f aca="false">IF(G109&lt;Parametres!$B$8*Parametres!$B$7,0,MIN(G109,Parametres!$B$7))</f>
        <v>118.68</v>
      </c>
      <c r="I109" s="20" t="n">
        <f aca="false">G109-H109</f>
        <v>0</v>
      </c>
      <c r="J109" s="21" t="n">
        <f aca="false">H109*1000/Parametres!$B$9</f>
        <v>2012.54875360353</v>
      </c>
    </row>
    <row r="110" customFormat="false" ht="15" hidden="false" customHeight="false" outlineLevel="0" collapsed="false">
      <c r="A110" s="0" t="n">
        <v>106</v>
      </c>
      <c r="B110" s="0" t="n">
        <v>1</v>
      </c>
      <c r="C110" s="19" t="n">
        <v>0.5941</v>
      </c>
      <c r="D110" s="19" t="n">
        <v>0.1352</v>
      </c>
      <c r="E110" s="20" t="n">
        <f aca="false">Parametres!$B$5*C110</f>
        <v>178.23</v>
      </c>
      <c r="F110" s="20" t="n">
        <f aca="false">Parametres!$B$6*D110</f>
        <v>27.04</v>
      </c>
      <c r="G110" s="20" t="n">
        <f aca="false">E110+F110</f>
        <v>205.27</v>
      </c>
      <c r="H110" s="20" t="n">
        <f aca="false">IF(G110&lt;Parametres!$B$8*Parametres!$B$7,0,MIN(G110,Parametres!$B$7))</f>
        <v>205.27</v>
      </c>
      <c r="I110" s="20" t="n">
        <f aca="false">G110-H110</f>
        <v>0</v>
      </c>
      <c r="J110" s="21" t="n">
        <f aca="false">H110*1000/Parametres!$B$9</f>
        <v>3480.92250296761</v>
      </c>
    </row>
    <row r="111" customFormat="false" ht="15" hidden="false" customHeight="false" outlineLevel="0" collapsed="false">
      <c r="A111" s="0" t="n">
        <v>107</v>
      </c>
      <c r="B111" s="0" t="n">
        <v>1</v>
      </c>
      <c r="C111" s="19" t="n">
        <v>0.7139</v>
      </c>
      <c r="D111" s="19" t="n">
        <v>0.1796</v>
      </c>
      <c r="E111" s="20" t="n">
        <f aca="false">Parametres!$B$5*C111</f>
        <v>214.17</v>
      </c>
      <c r="F111" s="20" t="n">
        <f aca="false">Parametres!$B$6*D111</f>
        <v>35.92</v>
      </c>
      <c r="G111" s="20" t="n">
        <f aca="false">E111+F111</f>
        <v>250.09</v>
      </c>
      <c r="H111" s="20" t="n">
        <f aca="false">IF(G111&lt;Parametres!$B$8*Parametres!$B$7,0,MIN(G111,Parametres!$B$7))</f>
        <v>250</v>
      </c>
      <c r="I111" s="20" t="n">
        <f aca="false">G111-H111</f>
        <v>0.089999999999975</v>
      </c>
      <c r="J111" s="21" t="n">
        <f aca="false">H111*1000/Parametres!$B$9</f>
        <v>4239.44378497541</v>
      </c>
    </row>
    <row r="112" customFormat="false" ht="15" hidden="false" customHeight="false" outlineLevel="0" collapsed="false">
      <c r="A112" s="0" t="n">
        <v>108</v>
      </c>
      <c r="B112" s="0" t="n">
        <v>1</v>
      </c>
      <c r="C112" s="19" t="n">
        <v>0.8224</v>
      </c>
      <c r="D112" s="19" t="n">
        <v>0.171</v>
      </c>
      <c r="E112" s="20" t="n">
        <f aca="false">Parametres!$B$5*C112</f>
        <v>246.72</v>
      </c>
      <c r="F112" s="20" t="n">
        <f aca="false">Parametres!$B$6*D112</f>
        <v>34.2</v>
      </c>
      <c r="G112" s="20" t="n">
        <f aca="false">E112+F112</f>
        <v>280.92</v>
      </c>
      <c r="H112" s="20" t="n">
        <f aca="false">IF(G112&lt;Parametres!$B$8*Parametres!$B$7,0,MIN(G112,Parametres!$B$7))</f>
        <v>250</v>
      </c>
      <c r="I112" s="20" t="n">
        <f aca="false">G112-H112</f>
        <v>30.92</v>
      </c>
      <c r="J112" s="21" t="n">
        <f aca="false">H112*1000/Parametres!$B$9</f>
        <v>4239.44378497541</v>
      </c>
    </row>
    <row r="113" customFormat="false" ht="15" hidden="false" customHeight="false" outlineLevel="0" collapsed="false">
      <c r="A113" s="0" t="n">
        <v>109</v>
      </c>
      <c r="B113" s="0" t="n">
        <v>1</v>
      </c>
      <c r="C113" s="19" t="n">
        <v>0.7726</v>
      </c>
      <c r="D113" s="19" t="n">
        <v>0.3959</v>
      </c>
      <c r="E113" s="20" t="n">
        <f aca="false">Parametres!$B$5*C113</f>
        <v>231.78</v>
      </c>
      <c r="F113" s="20" t="n">
        <f aca="false">Parametres!$B$6*D113</f>
        <v>79.18</v>
      </c>
      <c r="G113" s="20" t="n">
        <f aca="false">E113+F113</f>
        <v>310.96</v>
      </c>
      <c r="H113" s="20" t="n">
        <f aca="false">IF(G113&lt;Parametres!$B$8*Parametres!$B$7,0,MIN(G113,Parametres!$B$7))</f>
        <v>250</v>
      </c>
      <c r="I113" s="20" t="n">
        <f aca="false">G113-H113</f>
        <v>60.96</v>
      </c>
      <c r="J113" s="21" t="n">
        <f aca="false">H113*1000/Parametres!$B$9</f>
        <v>4239.44378497541</v>
      </c>
    </row>
    <row r="114" customFormat="false" ht="15" hidden="false" customHeight="false" outlineLevel="0" collapsed="false">
      <c r="A114" s="0" t="n">
        <v>110</v>
      </c>
      <c r="B114" s="0" t="n">
        <v>1</v>
      </c>
      <c r="C114" s="19" t="n">
        <v>0.7478</v>
      </c>
      <c r="D114" s="19" t="n">
        <v>0.2968</v>
      </c>
      <c r="E114" s="20" t="n">
        <f aca="false">Parametres!$B$5*C114</f>
        <v>224.34</v>
      </c>
      <c r="F114" s="20" t="n">
        <f aca="false">Parametres!$B$6*D114</f>
        <v>59.36</v>
      </c>
      <c r="G114" s="20" t="n">
        <f aca="false">E114+F114</f>
        <v>283.7</v>
      </c>
      <c r="H114" s="20" t="n">
        <f aca="false">IF(G114&lt;Parametres!$B$8*Parametres!$B$7,0,MIN(G114,Parametres!$B$7))</f>
        <v>250</v>
      </c>
      <c r="I114" s="20" t="n">
        <f aca="false">G114-H114</f>
        <v>33.7</v>
      </c>
      <c r="J114" s="21" t="n">
        <f aca="false">H114*1000/Parametres!$B$9</f>
        <v>4239.44378497541</v>
      </c>
    </row>
    <row r="115" customFormat="false" ht="15" hidden="false" customHeight="false" outlineLevel="0" collapsed="false">
      <c r="A115" s="0" t="n">
        <v>111</v>
      </c>
      <c r="B115" s="0" t="n">
        <v>1</v>
      </c>
      <c r="C115" s="19" t="n">
        <v>0.5985</v>
      </c>
      <c r="D115" s="19" t="n">
        <v>0.4515</v>
      </c>
      <c r="E115" s="20" t="n">
        <f aca="false">Parametres!$B$5*C115</f>
        <v>179.55</v>
      </c>
      <c r="F115" s="20" t="n">
        <f aca="false">Parametres!$B$6*D115</f>
        <v>90.3</v>
      </c>
      <c r="G115" s="20" t="n">
        <f aca="false">E115+F115</f>
        <v>269.85</v>
      </c>
      <c r="H115" s="20" t="n">
        <f aca="false">IF(G115&lt;Parametres!$B$8*Parametres!$B$7,0,MIN(G115,Parametres!$B$7))</f>
        <v>250</v>
      </c>
      <c r="I115" s="20" t="n">
        <f aca="false">G115-H115</f>
        <v>19.85</v>
      </c>
      <c r="J115" s="21" t="n">
        <f aca="false">H115*1000/Parametres!$B$9</f>
        <v>4239.44378497541</v>
      </c>
    </row>
    <row r="116" customFormat="false" ht="15" hidden="false" customHeight="false" outlineLevel="0" collapsed="false">
      <c r="A116" s="0" t="n">
        <v>112</v>
      </c>
      <c r="B116" s="0" t="n">
        <v>1</v>
      </c>
      <c r="C116" s="19" t="n">
        <v>0.3749</v>
      </c>
      <c r="D116" s="19" t="n">
        <v>0.3322</v>
      </c>
      <c r="E116" s="20" t="n">
        <f aca="false">Parametres!$B$5*C116</f>
        <v>112.47</v>
      </c>
      <c r="F116" s="20" t="n">
        <f aca="false">Parametres!$B$6*D116</f>
        <v>66.44</v>
      </c>
      <c r="G116" s="20" t="n">
        <f aca="false">E116+F116</f>
        <v>178.91</v>
      </c>
      <c r="H116" s="20" t="n">
        <f aca="false">IF(G116&lt;Parametres!$B$8*Parametres!$B$7,0,MIN(G116,Parametres!$B$7))</f>
        <v>178.91</v>
      </c>
      <c r="I116" s="20" t="n">
        <f aca="false">G116-H116</f>
        <v>0</v>
      </c>
      <c r="J116" s="21" t="n">
        <f aca="false">H116*1000/Parametres!$B$9</f>
        <v>3033.9155502798</v>
      </c>
    </row>
    <row r="117" customFormat="false" ht="15" hidden="false" customHeight="false" outlineLevel="0" collapsed="false">
      <c r="A117" s="0" t="n">
        <v>113</v>
      </c>
      <c r="B117" s="0" t="n">
        <v>1</v>
      </c>
      <c r="C117" s="19" t="n">
        <v>0.1367</v>
      </c>
      <c r="D117" s="19" t="n">
        <v>0.3824</v>
      </c>
      <c r="E117" s="20" t="n">
        <f aca="false">Parametres!$B$5*C117</f>
        <v>41.01</v>
      </c>
      <c r="F117" s="20" t="n">
        <f aca="false">Parametres!$B$6*D117</f>
        <v>76.48</v>
      </c>
      <c r="G117" s="20" t="n">
        <f aca="false">E117+F117</f>
        <v>117.49</v>
      </c>
      <c r="H117" s="20" t="n">
        <f aca="false">IF(G117&lt;Parametres!$B$8*Parametres!$B$7,0,MIN(G117,Parametres!$B$7))</f>
        <v>117.49</v>
      </c>
      <c r="I117" s="20" t="n">
        <f aca="false">G117-H117</f>
        <v>0</v>
      </c>
      <c r="J117" s="21" t="n">
        <f aca="false">H117*1000/Parametres!$B$9</f>
        <v>1992.36900118704</v>
      </c>
    </row>
    <row r="118" customFormat="false" ht="15" hidden="false" customHeight="false" outlineLevel="0" collapsed="false">
      <c r="A118" s="0" t="n">
        <v>114</v>
      </c>
      <c r="B118" s="0" t="n">
        <v>1</v>
      </c>
      <c r="C118" s="19" t="n">
        <v>0</v>
      </c>
      <c r="D118" s="19" t="n">
        <v>0.1687</v>
      </c>
      <c r="E118" s="20" t="n">
        <f aca="false">Parametres!$B$5*C118</f>
        <v>0</v>
      </c>
      <c r="F118" s="20" t="n">
        <f aca="false">Parametres!$B$6*D118</f>
        <v>33.74</v>
      </c>
      <c r="G118" s="20" t="n">
        <f aca="false">E118+F118</f>
        <v>33.74</v>
      </c>
      <c r="H118" s="20" t="n">
        <f aca="false">IF(G118&lt;Parametres!$B$8*Parametres!$B$7,0,MIN(G118,Parametres!$B$7))</f>
        <v>33.74</v>
      </c>
      <c r="I118" s="20" t="n">
        <f aca="false">G118-H118</f>
        <v>0</v>
      </c>
      <c r="J118" s="21" t="n">
        <f aca="false">H118*1000/Parametres!$B$9</f>
        <v>572.155333220281</v>
      </c>
    </row>
    <row r="119" customFormat="false" ht="15" hidden="false" customHeight="false" outlineLevel="0" collapsed="false">
      <c r="A119" s="0" t="n">
        <v>115</v>
      </c>
      <c r="B119" s="0" t="n">
        <v>1</v>
      </c>
      <c r="C119" s="19" t="n">
        <v>0</v>
      </c>
      <c r="D119" s="19" t="n">
        <v>0.2364</v>
      </c>
      <c r="E119" s="20" t="n">
        <f aca="false">Parametres!$B$5*C119</f>
        <v>0</v>
      </c>
      <c r="F119" s="20" t="n">
        <f aca="false">Parametres!$B$6*D119</f>
        <v>47.28</v>
      </c>
      <c r="G119" s="20" t="n">
        <f aca="false">E119+F119</f>
        <v>47.28</v>
      </c>
      <c r="H119" s="20" t="n">
        <f aca="false">IF(G119&lt;Parametres!$B$8*Parametres!$B$7,0,MIN(G119,Parametres!$B$7))</f>
        <v>47.28</v>
      </c>
      <c r="I119" s="20" t="n">
        <f aca="false">G119-H119</f>
        <v>0</v>
      </c>
      <c r="J119" s="21" t="n">
        <f aca="false">H119*1000/Parametres!$B$9</f>
        <v>801.76360861455</v>
      </c>
    </row>
    <row r="120" customFormat="false" ht="15" hidden="false" customHeight="false" outlineLevel="0" collapsed="false">
      <c r="A120" s="0" t="n">
        <v>116</v>
      </c>
      <c r="B120" s="0" t="n">
        <v>1</v>
      </c>
      <c r="C120" s="19" t="n">
        <v>0</v>
      </c>
      <c r="D120" s="19" t="n">
        <v>0.2037</v>
      </c>
      <c r="E120" s="20" t="n">
        <f aca="false">Parametres!$B$5*C120</f>
        <v>0</v>
      </c>
      <c r="F120" s="20" t="n">
        <f aca="false">Parametres!$B$6*D120</f>
        <v>40.74</v>
      </c>
      <c r="G120" s="20" t="n">
        <f aca="false">E120+F120</f>
        <v>40.74</v>
      </c>
      <c r="H120" s="20" t="n">
        <f aca="false">IF(G120&lt;Parametres!$B$8*Parametres!$B$7,0,MIN(G120,Parametres!$B$7))</f>
        <v>40.74</v>
      </c>
      <c r="I120" s="20" t="n">
        <f aca="false">G120-H120</f>
        <v>0</v>
      </c>
      <c r="J120" s="21" t="n">
        <f aca="false">H120*1000/Parametres!$B$9</f>
        <v>690.859759199593</v>
      </c>
    </row>
    <row r="121" customFormat="false" ht="15" hidden="false" customHeight="false" outlineLevel="0" collapsed="false">
      <c r="A121" s="0" t="n">
        <v>117</v>
      </c>
      <c r="B121" s="0" t="n">
        <v>1</v>
      </c>
      <c r="C121" s="19" t="n">
        <v>0</v>
      </c>
      <c r="D121" s="19" t="n">
        <v>0.1179</v>
      </c>
      <c r="E121" s="20" t="n">
        <f aca="false">Parametres!$B$5*C121</f>
        <v>0</v>
      </c>
      <c r="F121" s="20" t="n">
        <f aca="false">Parametres!$B$6*D121</f>
        <v>23.58</v>
      </c>
      <c r="G121" s="20" t="n">
        <f aca="false">E121+F121</f>
        <v>23.58</v>
      </c>
      <c r="H121" s="20" t="n">
        <f aca="false">IF(G121&lt;Parametres!$B$8*Parametres!$B$7,0,MIN(G121,Parametres!$B$7))</f>
        <v>0</v>
      </c>
      <c r="I121" s="20" t="n">
        <f aca="false">G121-H121</f>
        <v>23.58</v>
      </c>
      <c r="J121" s="21" t="n">
        <f aca="false">H121*1000/Parametres!$B$9</f>
        <v>0</v>
      </c>
    </row>
    <row r="122" customFormat="false" ht="15" hidden="false" customHeight="false" outlineLevel="0" collapsed="false">
      <c r="A122" s="0" t="n">
        <v>118</v>
      </c>
      <c r="B122" s="0" t="n">
        <v>1</v>
      </c>
      <c r="C122" s="19" t="n">
        <v>0</v>
      </c>
      <c r="D122" s="19" t="n">
        <v>0.2154</v>
      </c>
      <c r="E122" s="20" t="n">
        <f aca="false">Parametres!$B$5*C122</f>
        <v>0</v>
      </c>
      <c r="F122" s="20" t="n">
        <f aca="false">Parametres!$B$6*D122</f>
        <v>43.08</v>
      </c>
      <c r="G122" s="20" t="n">
        <f aca="false">E122+F122</f>
        <v>43.08</v>
      </c>
      <c r="H122" s="20" t="n">
        <f aca="false">IF(G122&lt;Parametres!$B$8*Parametres!$B$7,0,MIN(G122,Parametres!$B$7))</f>
        <v>43.08</v>
      </c>
      <c r="I122" s="20" t="n">
        <f aca="false">G122-H122</f>
        <v>0</v>
      </c>
      <c r="J122" s="21" t="n">
        <f aca="false">H122*1000/Parametres!$B$9</f>
        <v>730.540953026963</v>
      </c>
    </row>
    <row r="123" customFormat="false" ht="15" hidden="false" customHeight="false" outlineLevel="0" collapsed="false">
      <c r="A123" s="0" t="n">
        <v>119</v>
      </c>
      <c r="B123" s="0" t="n">
        <v>1</v>
      </c>
      <c r="C123" s="19" t="n">
        <v>0</v>
      </c>
      <c r="D123" s="19" t="n">
        <v>0.25</v>
      </c>
      <c r="E123" s="20" t="n">
        <f aca="false">Parametres!$B$5*C123</f>
        <v>0</v>
      </c>
      <c r="F123" s="20" t="n">
        <f aca="false">Parametres!$B$6*D123</f>
        <v>50</v>
      </c>
      <c r="G123" s="20" t="n">
        <f aca="false">E123+F123</f>
        <v>50</v>
      </c>
      <c r="H123" s="20" t="n">
        <f aca="false">IF(G123&lt;Parametres!$B$8*Parametres!$B$7,0,MIN(G123,Parametres!$B$7))</f>
        <v>50</v>
      </c>
      <c r="I123" s="20" t="n">
        <f aca="false">G123-H123</f>
        <v>0</v>
      </c>
      <c r="J123" s="21" t="n">
        <f aca="false">H123*1000/Parametres!$B$9</f>
        <v>847.888756995082</v>
      </c>
    </row>
    <row r="124" customFormat="false" ht="15" hidden="false" customHeight="false" outlineLevel="0" collapsed="false">
      <c r="A124" s="0" t="n">
        <v>120</v>
      </c>
      <c r="B124" s="0" t="n">
        <v>1</v>
      </c>
      <c r="C124" s="19" t="n">
        <v>0</v>
      </c>
      <c r="D124" s="19" t="n">
        <v>0.2178</v>
      </c>
      <c r="E124" s="20" t="n">
        <f aca="false">Parametres!$B$5*C124</f>
        <v>0</v>
      </c>
      <c r="F124" s="20" t="n">
        <f aca="false">Parametres!$B$6*D124</f>
        <v>43.56</v>
      </c>
      <c r="G124" s="20" t="n">
        <f aca="false">E124+F124</f>
        <v>43.56</v>
      </c>
      <c r="H124" s="20" t="n">
        <f aca="false">IF(G124&lt;Parametres!$B$8*Parametres!$B$7,0,MIN(G124,Parametres!$B$7))</f>
        <v>43.56</v>
      </c>
      <c r="I124" s="20" t="n">
        <f aca="false">G124-H124</f>
        <v>0</v>
      </c>
      <c r="J124" s="21" t="n">
        <f aca="false">H124*1000/Parametres!$B$9</f>
        <v>738.680685094116</v>
      </c>
    </row>
    <row r="125" customFormat="false" ht="15" hidden="false" customHeight="false" outlineLevel="0" collapsed="false">
      <c r="A125" s="0" t="n">
        <v>121</v>
      </c>
      <c r="B125" s="0" t="n">
        <v>1</v>
      </c>
      <c r="C125" s="19" t="n">
        <v>0</v>
      </c>
      <c r="D125" s="19" t="n">
        <v>0.1383</v>
      </c>
      <c r="E125" s="20" t="n">
        <f aca="false">Parametres!$B$5*C125</f>
        <v>0</v>
      </c>
      <c r="F125" s="20" t="n">
        <f aca="false">Parametres!$B$6*D125</f>
        <v>27.66</v>
      </c>
      <c r="G125" s="20" t="n">
        <f aca="false">E125+F125</f>
        <v>27.66</v>
      </c>
      <c r="H125" s="20" t="n">
        <f aca="false">IF(G125&lt;Parametres!$B$8*Parametres!$B$7,0,MIN(G125,Parametres!$B$7))</f>
        <v>27.66</v>
      </c>
      <c r="I125" s="20" t="n">
        <f aca="false">G125-H125</f>
        <v>0</v>
      </c>
      <c r="J125" s="21" t="n">
        <f aca="false">H125*1000/Parametres!$B$9</f>
        <v>469.05206036968</v>
      </c>
    </row>
    <row r="126" customFormat="false" ht="15" hidden="false" customHeight="false" outlineLevel="0" collapsed="false">
      <c r="A126" s="0" t="n">
        <v>122</v>
      </c>
      <c r="B126" s="0" t="n">
        <v>1</v>
      </c>
      <c r="C126" s="19" t="n">
        <v>0</v>
      </c>
      <c r="D126" s="19" t="n">
        <v>0.1181</v>
      </c>
      <c r="E126" s="20" t="n">
        <f aca="false">Parametres!$B$5*C126</f>
        <v>0</v>
      </c>
      <c r="F126" s="20" t="n">
        <f aca="false">Parametres!$B$6*D126</f>
        <v>23.62</v>
      </c>
      <c r="G126" s="20" t="n">
        <f aca="false">E126+F126</f>
        <v>23.62</v>
      </c>
      <c r="H126" s="20" t="n">
        <f aca="false">IF(G126&lt;Parametres!$B$8*Parametres!$B$7,0,MIN(G126,Parametres!$B$7))</f>
        <v>0</v>
      </c>
      <c r="I126" s="20" t="n">
        <f aca="false">G126-H126</f>
        <v>23.62</v>
      </c>
      <c r="J126" s="21" t="n">
        <f aca="false">H126*1000/Parametres!$B$9</f>
        <v>0</v>
      </c>
    </row>
    <row r="127" customFormat="false" ht="15" hidden="false" customHeight="false" outlineLevel="0" collapsed="false">
      <c r="A127" s="0" t="n">
        <v>123</v>
      </c>
      <c r="B127" s="0" t="n">
        <v>1</v>
      </c>
      <c r="C127" s="19" t="n">
        <v>0</v>
      </c>
      <c r="D127" s="19" t="n">
        <v>0.0981</v>
      </c>
      <c r="E127" s="20" t="n">
        <f aca="false">Parametres!$B$5*C127</f>
        <v>0</v>
      </c>
      <c r="F127" s="20" t="n">
        <f aca="false">Parametres!$B$6*D127</f>
        <v>19.62</v>
      </c>
      <c r="G127" s="20" t="n">
        <f aca="false">E127+F127</f>
        <v>19.62</v>
      </c>
      <c r="H127" s="20" t="n">
        <f aca="false">IF(G127&lt;Parametres!$B$8*Parametres!$B$7,0,MIN(G127,Parametres!$B$7))</f>
        <v>0</v>
      </c>
      <c r="I127" s="20" t="n">
        <f aca="false">G127-H127</f>
        <v>19.62</v>
      </c>
      <c r="J127" s="21" t="n">
        <f aca="false">H127*1000/Parametres!$B$9</f>
        <v>0</v>
      </c>
    </row>
    <row r="128" customFormat="false" ht="15" hidden="false" customHeight="false" outlineLevel="0" collapsed="false">
      <c r="A128" s="0" t="n">
        <v>124</v>
      </c>
      <c r="B128" s="0" t="n">
        <v>1</v>
      </c>
      <c r="C128" s="19" t="n">
        <v>0</v>
      </c>
      <c r="D128" s="19" t="n">
        <v>0.1247</v>
      </c>
      <c r="E128" s="20" t="n">
        <f aca="false">Parametres!$B$5*C128</f>
        <v>0</v>
      </c>
      <c r="F128" s="20" t="n">
        <f aca="false">Parametres!$B$6*D128</f>
        <v>24.94</v>
      </c>
      <c r="G128" s="20" t="n">
        <f aca="false">E128+F128</f>
        <v>24.94</v>
      </c>
      <c r="H128" s="20" t="n">
        <f aca="false">IF(G128&lt;Parametres!$B$8*Parametres!$B$7,0,MIN(G128,Parametres!$B$7))</f>
        <v>0</v>
      </c>
      <c r="I128" s="20" t="n">
        <f aca="false">G128-H128</f>
        <v>24.94</v>
      </c>
      <c r="J128" s="21" t="n">
        <f aca="false">H128*1000/Parametres!$B$9</f>
        <v>0</v>
      </c>
    </row>
    <row r="129" customFormat="false" ht="15" hidden="false" customHeight="false" outlineLevel="0" collapsed="false">
      <c r="A129" s="0" t="n">
        <v>125</v>
      </c>
      <c r="B129" s="0" t="n">
        <v>1</v>
      </c>
      <c r="C129" s="19" t="n">
        <v>0</v>
      </c>
      <c r="D129" s="19" t="n">
        <v>0.1661</v>
      </c>
      <c r="E129" s="20" t="n">
        <f aca="false">Parametres!$B$5*C129</f>
        <v>0</v>
      </c>
      <c r="F129" s="20" t="n">
        <f aca="false">Parametres!$B$6*D129</f>
        <v>33.22</v>
      </c>
      <c r="G129" s="20" t="n">
        <f aca="false">E129+F129</f>
        <v>33.22</v>
      </c>
      <c r="H129" s="20" t="n">
        <f aca="false">IF(G129&lt;Parametres!$B$8*Parametres!$B$7,0,MIN(G129,Parametres!$B$7))</f>
        <v>33.22</v>
      </c>
      <c r="I129" s="20" t="n">
        <f aca="false">G129-H129</f>
        <v>0</v>
      </c>
      <c r="J129" s="21" t="n">
        <f aca="false">H129*1000/Parametres!$B$9</f>
        <v>563.337290147533</v>
      </c>
    </row>
    <row r="130" customFormat="false" ht="15" hidden="false" customHeight="false" outlineLevel="0" collapsed="false">
      <c r="A130" s="0" t="n">
        <v>126</v>
      </c>
      <c r="B130" s="0" t="n">
        <v>1</v>
      </c>
      <c r="C130" s="19" t="n">
        <v>0</v>
      </c>
      <c r="D130" s="19" t="n">
        <v>0.1287</v>
      </c>
      <c r="E130" s="20" t="n">
        <f aca="false">Parametres!$B$5*C130</f>
        <v>0</v>
      </c>
      <c r="F130" s="20" t="n">
        <f aca="false">Parametres!$B$6*D130</f>
        <v>25.74</v>
      </c>
      <c r="G130" s="20" t="n">
        <f aca="false">E130+F130</f>
        <v>25.74</v>
      </c>
      <c r="H130" s="20" t="n">
        <f aca="false">IF(G130&lt;Parametres!$B$8*Parametres!$B$7,0,MIN(G130,Parametres!$B$7))</f>
        <v>25.74</v>
      </c>
      <c r="I130" s="20" t="n">
        <f aca="false">G130-H130</f>
        <v>0</v>
      </c>
      <c r="J130" s="21" t="n">
        <f aca="false">H130*1000/Parametres!$B$9</f>
        <v>436.493132101068</v>
      </c>
    </row>
    <row r="131" customFormat="false" ht="15" hidden="false" customHeight="false" outlineLevel="0" collapsed="false">
      <c r="A131" s="0" t="n">
        <v>127</v>
      </c>
      <c r="B131" s="0" t="n">
        <v>1</v>
      </c>
      <c r="C131" s="19" t="n">
        <v>0</v>
      </c>
      <c r="D131" s="19" t="n">
        <v>0.1081</v>
      </c>
      <c r="E131" s="20" t="n">
        <f aca="false">Parametres!$B$5*C131</f>
        <v>0</v>
      </c>
      <c r="F131" s="20" t="n">
        <f aca="false">Parametres!$B$6*D131</f>
        <v>21.62</v>
      </c>
      <c r="G131" s="20" t="n">
        <f aca="false">E131+F131</f>
        <v>21.62</v>
      </c>
      <c r="H131" s="20" t="n">
        <f aca="false">IF(G131&lt;Parametres!$B$8*Parametres!$B$7,0,MIN(G131,Parametres!$B$7))</f>
        <v>0</v>
      </c>
      <c r="I131" s="20" t="n">
        <f aca="false">G131-H131</f>
        <v>21.62</v>
      </c>
      <c r="J131" s="21" t="n">
        <f aca="false">H131*1000/Parametres!$B$9</f>
        <v>0</v>
      </c>
    </row>
    <row r="132" customFormat="false" ht="15" hidden="false" customHeight="false" outlineLevel="0" collapsed="false">
      <c r="A132" s="0" t="n">
        <v>128</v>
      </c>
      <c r="B132" s="0" t="n">
        <v>1</v>
      </c>
      <c r="C132" s="19" t="n">
        <v>0.1344</v>
      </c>
      <c r="D132" s="19" t="n">
        <v>0.0944</v>
      </c>
      <c r="E132" s="20" t="n">
        <f aca="false">Parametres!$B$5*C132</f>
        <v>40.32</v>
      </c>
      <c r="F132" s="20" t="n">
        <f aca="false">Parametres!$B$6*D132</f>
        <v>18.88</v>
      </c>
      <c r="G132" s="20" t="n">
        <f aca="false">E132+F132</f>
        <v>59.2</v>
      </c>
      <c r="H132" s="20" t="n">
        <f aca="false">IF(G132&lt;Parametres!$B$8*Parametres!$B$7,0,MIN(G132,Parametres!$B$7))</f>
        <v>59.2</v>
      </c>
      <c r="I132" s="20" t="n">
        <f aca="false">G132-H132</f>
        <v>0</v>
      </c>
      <c r="J132" s="21" t="n">
        <f aca="false">H132*1000/Parametres!$B$9</f>
        <v>1003.90028828218</v>
      </c>
    </row>
    <row r="133" customFormat="false" ht="15" hidden="false" customHeight="false" outlineLevel="0" collapsed="false">
      <c r="A133" s="0" t="n">
        <v>129</v>
      </c>
      <c r="B133" s="0" t="n">
        <v>1</v>
      </c>
      <c r="C133" s="19" t="n">
        <v>0.357</v>
      </c>
      <c r="D133" s="19" t="n">
        <v>0.0556</v>
      </c>
      <c r="E133" s="20" t="n">
        <f aca="false">Parametres!$B$5*C133</f>
        <v>107.1</v>
      </c>
      <c r="F133" s="20" t="n">
        <f aca="false">Parametres!$B$6*D133</f>
        <v>11.12</v>
      </c>
      <c r="G133" s="20" t="n">
        <f aca="false">E133+F133</f>
        <v>118.22</v>
      </c>
      <c r="H133" s="20" t="n">
        <f aca="false">IF(G133&lt;Parametres!$B$8*Parametres!$B$7,0,MIN(G133,Parametres!$B$7))</f>
        <v>118.22</v>
      </c>
      <c r="I133" s="20" t="n">
        <f aca="false">G133-H133</f>
        <v>0</v>
      </c>
      <c r="J133" s="21" t="n">
        <f aca="false">H133*1000/Parametres!$B$9</f>
        <v>2004.74817703917</v>
      </c>
    </row>
    <row r="134" customFormat="false" ht="15" hidden="false" customHeight="false" outlineLevel="0" collapsed="false">
      <c r="A134" s="0" t="n">
        <v>130</v>
      </c>
      <c r="B134" s="0" t="n">
        <v>1</v>
      </c>
      <c r="C134" s="19" t="n">
        <v>0.5569</v>
      </c>
      <c r="D134" s="19" t="n">
        <v>0.048</v>
      </c>
      <c r="E134" s="20" t="n">
        <f aca="false">Parametres!$B$5*C134</f>
        <v>167.07</v>
      </c>
      <c r="F134" s="20" t="n">
        <f aca="false">Parametres!$B$6*D134</f>
        <v>9.6</v>
      </c>
      <c r="G134" s="20" t="n">
        <f aca="false">E134+F134</f>
        <v>176.67</v>
      </c>
      <c r="H134" s="20" t="n">
        <f aca="false">IF(G134&lt;Parametres!$B$8*Parametres!$B$7,0,MIN(G134,Parametres!$B$7))</f>
        <v>176.67</v>
      </c>
      <c r="I134" s="20" t="n">
        <f aca="false">G134-H134</f>
        <v>0</v>
      </c>
      <c r="J134" s="21" t="n">
        <f aca="false">H134*1000/Parametres!$B$9</f>
        <v>2995.93013396642</v>
      </c>
    </row>
    <row r="135" customFormat="false" ht="15" hidden="false" customHeight="false" outlineLevel="0" collapsed="false">
      <c r="A135" s="0" t="n">
        <v>131</v>
      </c>
      <c r="B135" s="0" t="n">
        <v>1</v>
      </c>
      <c r="C135" s="19" t="n">
        <v>0.6901</v>
      </c>
      <c r="D135" s="19" t="n">
        <v>0.0552</v>
      </c>
      <c r="E135" s="20" t="n">
        <f aca="false">Parametres!$B$5*C135</f>
        <v>207.03</v>
      </c>
      <c r="F135" s="20" t="n">
        <f aca="false">Parametres!$B$6*D135</f>
        <v>11.04</v>
      </c>
      <c r="G135" s="20" t="n">
        <f aca="false">E135+F135</f>
        <v>218.07</v>
      </c>
      <c r="H135" s="20" t="n">
        <f aca="false">IF(G135&lt;Parametres!$B$8*Parametres!$B$7,0,MIN(G135,Parametres!$B$7))</f>
        <v>218.07</v>
      </c>
      <c r="I135" s="20" t="n">
        <f aca="false">G135-H135</f>
        <v>0</v>
      </c>
      <c r="J135" s="21" t="n">
        <f aca="false">H135*1000/Parametres!$B$9</f>
        <v>3697.98202475835</v>
      </c>
    </row>
    <row r="136" customFormat="false" ht="15" hidden="false" customHeight="false" outlineLevel="0" collapsed="false">
      <c r="A136" s="0" t="n">
        <v>132</v>
      </c>
      <c r="B136" s="0" t="n">
        <v>1</v>
      </c>
      <c r="C136" s="19" t="n">
        <v>0.7963</v>
      </c>
      <c r="D136" s="19" t="n">
        <v>0.095</v>
      </c>
      <c r="E136" s="20" t="n">
        <f aca="false">Parametres!$B$5*C136</f>
        <v>238.89</v>
      </c>
      <c r="F136" s="20" t="n">
        <f aca="false">Parametres!$B$6*D136</f>
        <v>19</v>
      </c>
      <c r="G136" s="20" t="n">
        <f aca="false">E136+F136</f>
        <v>257.89</v>
      </c>
      <c r="H136" s="20" t="n">
        <f aca="false">IF(G136&lt;Parametres!$B$8*Parametres!$B$7,0,MIN(G136,Parametres!$B$7))</f>
        <v>250</v>
      </c>
      <c r="I136" s="20" t="n">
        <f aca="false">G136-H136</f>
        <v>7.88999999999999</v>
      </c>
      <c r="J136" s="21" t="n">
        <f aca="false">H136*1000/Parametres!$B$9</f>
        <v>4239.44378497541</v>
      </c>
    </row>
    <row r="137" customFormat="false" ht="15" hidden="false" customHeight="false" outlineLevel="0" collapsed="false">
      <c r="A137" s="0" t="n">
        <v>133</v>
      </c>
      <c r="B137" s="0" t="n">
        <v>1</v>
      </c>
      <c r="C137" s="19" t="n">
        <v>0.7123</v>
      </c>
      <c r="D137" s="19" t="n">
        <v>0.1993</v>
      </c>
      <c r="E137" s="20" t="n">
        <f aca="false">Parametres!$B$5*C137</f>
        <v>213.69</v>
      </c>
      <c r="F137" s="20" t="n">
        <f aca="false">Parametres!$B$6*D137</f>
        <v>39.86</v>
      </c>
      <c r="G137" s="20" t="n">
        <f aca="false">E137+F137</f>
        <v>253.55</v>
      </c>
      <c r="H137" s="20" t="n">
        <f aca="false">IF(G137&lt;Parametres!$B$8*Parametres!$B$7,0,MIN(G137,Parametres!$B$7))</f>
        <v>250</v>
      </c>
      <c r="I137" s="20" t="n">
        <f aca="false">G137-H137</f>
        <v>3.55000000000001</v>
      </c>
      <c r="J137" s="21" t="n">
        <f aca="false">H137*1000/Parametres!$B$9</f>
        <v>4239.44378497541</v>
      </c>
    </row>
    <row r="138" customFormat="false" ht="15" hidden="false" customHeight="false" outlineLevel="0" collapsed="false">
      <c r="A138" s="0" t="n">
        <v>134</v>
      </c>
      <c r="B138" s="0" t="n">
        <v>1</v>
      </c>
      <c r="C138" s="19" t="n">
        <v>0.7072</v>
      </c>
      <c r="D138" s="19" t="n">
        <v>0.1567</v>
      </c>
      <c r="E138" s="20" t="n">
        <f aca="false">Parametres!$B$5*C138</f>
        <v>212.16</v>
      </c>
      <c r="F138" s="20" t="n">
        <f aca="false">Parametres!$B$6*D138</f>
        <v>31.34</v>
      </c>
      <c r="G138" s="20" t="n">
        <f aca="false">E138+F138</f>
        <v>243.5</v>
      </c>
      <c r="H138" s="20" t="n">
        <f aca="false">IF(G138&lt;Parametres!$B$8*Parametres!$B$7,0,MIN(G138,Parametres!$B$7))</f>
        <v>243.5</v>
      </c>
      <c r="I138" s="20" t="n">
        <f aca="false">G138-H138</f>
        <v>0</v>
      </c>
      <c r="J138" s="21" t="n">
        <f aca="false">H138*1000/Parametres!$B$9</f>
        <v>4129.21824656605</v>
      </c>
    </row>
    <row r="139" customFormat="false" ht="15" hidden="false" customHeight="false" outlineLevel="0" collapsed="false">
      <c r="A139" s="0" t="n">
        <v>135</v>
      </c>
      <c r="B139" s="0" t="n">
        <v>1</v>
      </c>
      <c r="C139" s="19" t="n">
        <v>0.5537</v>
      </c>
      <c r="D139" s="19" t="n">
        <v>0.2166</v>
      </c>
      <c r="E139" s="20" t="n">
        <f aca="false">Parametres!$B$5*C139</f>
        <v>166.11</v>
      </c>
      <c r="F139" s="20" t="n">
        <f aca="false">Parametres!$B$6*D139</f>
        <v>43.32</v>
      </c>
      <c r="G139" s="20" t="n">
        <f aca="false">E139+F139</f>
        <v>209.43</v>
      </c>
      <c r="H139" s="20" t="n">
        <f aca="false">IF(G139&lt;Parametres!$B$8*Parametres!$B$7,0,MIN(G139,Parametres!$B$7))</f>
        <v>209.43</v>
      </c>
      <c r="I139" s="20" t="n">
        <f aca="false">G139-H139</f>
        <v>0</v>
      </c>
      <c r="J139" s="21" t="n">
        <f aca="false">H139*1000/Parametres!$B$9</f>
        <v>3551.4668475496</v>
      </c>
    </row>
    <row r="140" customFormat="false" ht="15" hidden="false" customHeight="false" outlineLevel="0" collapsed="false">
      <c r="A140" s="0" t="n">
        <v>136</v>
      </c>
      <c r="B140" s="0" t="n">
        <v>1</v>
      </c>
      <c r="C140" s="19" t="n">
        <v>0.3338</v>
      </c>
      <c r="D140" s="19" t="n">
        <v>0.1884</v>
      </c>
      <c r="E140" s="20" t="n">
        <f aca="false">Parametres!$B$5*C140</f>
        <v>100.14</v>
      </c>
      <c r="F140" s="20" t="n">
        <f aca="false">Parametres!$B$6*D140</f>
        <v>37.68</v>
      </c>
      <c r="G140" s="20" t="n">
        <f aca="false">E140+F140</f>
        <v>137.82</v>
      </c>
      <c r="H140" s="20" t="n">
        <f aca="false">IF(G140&lt;Parametres!$B$8*Parametres!$B$7,0,MIN(G140,Parametres!$B$7))</f>
        <v>137.82</v>
      </c>
      <c r="I140" s="20" t="n">
        <f aca="false">G140-H140</f>
        <v>0</v>
      </c>
      <c r="J140" s="21" t="n">
        <f aca="false">H140*1000/Parametres!$B$9</f>
        <v>2337.12056978124</v>
      </c>
    </row>
    <row r="141" customFormat="false" ht="15" hidden="false" customHeight="false" outlineLevel="0" collapsed="false">
      <c r="A141" s="0" t="n">
        <v>137</v>
      </c>
      <c r="B141" s="0" t="n">
        <v>1</v>
      </c>
      <c r="C141" s="19" t="n">
        <v>0.1399</v>
      </c>
      <c r="D141" s="19" t="n">
        <v>0.4315</v>
      </c>
      <c r="E141" s="20" t="n">
        <f aca="false">Parametres!$B$5*C141</f>
        <v>41.97</v>
      </c>
      <c r="F141" s="20" t="n">
        <f aca="false">Parametres!$B$6*D141</f>
        <v>86.3</v>
      </c>
      <c r="G141" s="20" t="n">
        <f aca="false">E141+F141</f>
        <v>128.27</v>
      </c>
      <c r="H141" s="20" t="n">
        <f aca="false">IF(G141&lt;Parametres!$B$8*Parametres!$B$7,0,MIN(G141,Parametres!$B$7))</f>
        <v>128.27</v>
      </c>
      <c r="I141" s="20" t="n">
        <f aca="false">G141-H141</f>
        <v>0</v>
      </c>
      <c r="J141" s="21" t="n">
        <f aca="false">H141*1000/Parametres!$B$9</f>
        <v>2175.17381719518</v>
      </c>
    </row>
    <row r="142" customFormat="false" ht="15" hidden="false" customHeight="false" outlineLevel="0" collapsed="false">
      <c r="A142" s="0" t="n">
        <v>138</v>
      </c>
      <c r="B142" s="0" t="n">
        <v>1</v>
      </c>
      <c r="C142" s="19" t="n">
        <v>0</v>
      </c>
      <c r="D142" s="19" t="n">
        <v>0.4135</v>
      </c>
      <c r="E142" s="20" t="n">
        <f aca="false">Parametres!$B$5*C142</f>
        <v>0</v>
      </c>
      <c r="F142" s="20" t="n">
        <f aca="false">Parametres!$B$6*D142</f>
        <v>82.7</v>
      </c>
      <c r="G142" s="20" t="n">
        <f aca="false">E142+F142</f>
        <v>82.7</v>
      </c>
      <c r="H142" s="20" t="n">
        <f aca="false">IF(G142&lt;Parametres!$B$8*Parametres!$B$7,0,MIN(G142,Parametres!$B$7))</f>
        <v>82.7</v>
      </c>
      <c r="I142" s="20" t="n">
        <f aca="false">G142-H142</f>
        <v>0</v>
      </c>
      <c r="J142" s="21" t="n">
        <f aca="false">H142*1000/Parametres!$B$9</f>
        <v>1402.40800406987</v>
      </c>
    </row>
    <row r="143" customFormat="false" ht="15" hidden="false" customHeight="false" outlineLevel="0" collapsed="false">
      <c r="A143" s="0" t="n">
        <v>139</v>
      </c>
      <c r="B143" s="0" t="n">
        <v>1</v>
      </c>
      <c r="C143" s="19" t="n">
        <v>0</v>
      </c>
      <c r="D143" s="19" t="n">
        <v>0.4657</v>
      </c>
      <c r="E143" s="20" t="n">
        <f aca="false">Parametres!$B$5*C143</f>
        <v>0</v>
      </c>
      <c r="F143" s="20" t="n">
        <f aca="false">Parametres!$B$6*D143</f>
        <v>93.14</v>
      </c>
      <c r="G143" s="20" t="n">
        <f aca="false">E143+F143</f>
        <v>93.14</v>
      </c>
      <c r="H143" s="20" t="n">
        <f aca="false">IF(G143&lt;Parametres!$B$8*Parametres!$B$7,0,MIN(G143,Parametres!$B$7))</f>
        <v>93.14</v>
      </c>
      <c r="I143" s="20" t="n">
        <f aca="false">G143-H143</f>
        <v>0</v>
      </c>
      <c r="J143" s="21" t="n">
        <f aca="false">H143*1000/Parametres!$B$9</f>
        <v>1579.44717653044</v>
      </c>
    </row>
    <row r="144" customFormat="false" ht="15" hidden="false" customHeight="false" outlineLevel="0" collapsed="false">
      <c r="A144" s="0" t="n">
        <v>140</v>
      </c>
      <c r="B144" s="0" t="n">
        <v>1</v>
      </c>
      <c r="C144" s="19" t="n">
        <v>0</v>
      </c>
      <c r="D144" s="19" t="n">
        <v>0.3051</v>
      </c>
      <c r="E144" s="20" t="n">
        <f aca="false">Parametres!$B$5*C144</f>
        <v>0</v>
      </c>
      <c r="F144" s="20" t="n">
        <f aca="false">Parametres!$B$6*D144</f>
        <v>61.02</v>
      </c>
      <c r="G144" s="20" t="n">
        <f aca="false">E144+F144</f>
        <v>61.02</v>
      </c>
      <c r="H144" s="20" t="n">
        <f aca="false">IF(G144&lt;Parametres!$B$8*Parametres!$B$7,0,MIN(G144,Parametres!$B$7))</f>
        <v>61.02</v>
      </c>
      <c r="I144" s="20" t="n">
        <f aca="false">G144-H144</f>
        <v>0</v>
      </c>
      <c r="J144" s="21" t="n">
        <f aca="false">H144*1000/Parametres!$B$9</f>
        <v>1034.7634390368</v>
      </c>
    </row>
    <row r="145" customFormat="false" ht="15" hidden="false" customHeight="false" outlineLevel="0" collapsed="false">
      <c r="A145" s="0" t="n">
        <v>141</v>
      </c>
      <c r="B145" s="0" t="n">
        <v>1</v>
      </c>
      <c r="C145" s="19" t="n">
        <v>0</v>
      </c>
      <c r="D145" s="19" t="n">
        <v>0.1976</v>
      </c>
      <c r="E145" s="20" t="n">
        <f aca="false">Parametres!$B$5*C145</f>
        <v>0</v>
      </c>
      <c r="F145" s="20" t="n">
        <f aca="false">Parametres!$B$6*D145</f>
        <v>39.52</v>
      </c>
      <c r="G145" s="20" t="n">
        <f aca="false">E145+F145</f>
        <v>39.52</v>
      </c>
      <c r="H145" s="20" t="n">
        <f aca="false">IF(G145&lt;Parametres!$B$8*Parametres!$B$7,0,MIN(G145,Parametres!$B$7))</f>
        <v>39.52</v>
      </c>
      <c r="I145" s="20" t="n">
        <f aca="false">G145-H145</f>
        <v>0</v>
      </c>
      <c r="J145" s="21" t="n">
        <f aca="false">H145*1000/Parametres!$B$9</f>
        <v>670.171273528913</v>
      </c>
    </row>
    <row r="146" customFormat="false" ht="15" hidden="false" customHeight="false" outlineLevel="0" collapsed="false">
      <c r="A146" s="0" t="n">
        <v>142</v>
      </c>
      <c r="B146" s="0" t="n">
        <v>1</v>
      </c>
      <c r="C146" s="19" t="n">
        <v>0</v>
      </c>
      <c r="D146" s="19" t="n">
        <v>0.188</v>
      </c>
      <c r="E146" s="20" t="n">
        <f aca="false">Parametres!$B$5*C146</f>
        <v>0</v>
      </c>
      <c r="F146" s="20" t="n">
        <f aca="false">Parametres!$B$6*D146</f>
        <v>37.6</v>
      </c>
      <c r="G146" s="20" t="n">
        <f aca="false">E146+F146</f>
        <v>37.6</v>
      </c>
      <c r="H146" s="20" t="n">
        <f aca="false">IF(G146&lt;Parametres!$B$8*Parametres!$B$7,0,MIN(G146,Parametres!$B$7))</f>
        <v>37.6</v>
      </c>
      <c r="I146" s="20" t="n">
        <f aca="false">G146-H146</f>
        <v>0</v>
      </c>
      <c r="J146" s="21" t="n">
        <f aca="false">H146*1000/Parametres!$B$9</f>
        <v>637.612345260302</v>
      </c>
    </row>
    <row r="147" customFormat="false" ht="15" hidden="false" customHeight="false" outlineLevel="0" collapsed="false">
      <c r="A147" s="0" t="n">
        <v>143</v>
      </c>
      <c r="B147" s="0" t="n">
        <v>1</v>
      </c>
      <c r="C147" s="19" t="n">
        <v>0</v>
      </c>
      <c r="D147" s="19" t="n">
        <v>0.1371</v>
      </c>
      <c r="E147" s="20" t="n">
        <f aca="false">Parametres!$B$5*C147</f>
        <v>0</v>
      </c>
      <c r="F147" s="20" t="n">
        <f aca="false">Parametres!$B$6*D147</f>
        <v>27.42</v>
      </c>
      <c r="G147" s="20" t="n">
        <f aca="false">E147+F147</f>
        <v>27.42</v>
      </c>
      <c r="H147" s="20" t="n">
        <f aca="false">IF(G147&lt;Parametres!$B$8*Parametres!$B$7,0,MIN(G147,Parametres!$B$7))</f>
        <v>27.42</v>
      </c>
      <c r="I147" s="20" t="n">
        <f aca="false">G147-H147</f>
        <v>0</v>
      </c>
      <c r="J147" s="21" t="n">
        <f aca="false">H147*1000/Parametres!$B$9</f>
        <v>464.982194336103</v>
      </c>
    </row>
    <row r="148" customFormat="false" ht="15" hidden="false" customHeight="false" outlineLevel="0" collapsed="false">
      <c r="A148" s="0" t="n">
        <v>144</v>
      </c>
      <c r="B148" s="0" t="n">
        <v>1</v>
      </c>
      <c r="C148" s="19" t="n">
        <v>0</v>
      </c>
      <c r="D148" s="19" t="n">
        <v>0.1367</v>
      </c>
      <c r="E148" s="20" t="n">
        <f aca="false">Parametres!$B$5*C148</f>
        <v>0</v>
      </c>
      <c r="F148" s="20" t="n">
        <f aca="false">Parametres!$B$6*D148</f>
        <v>27.34</v>
      </c>
      <c r="G148" s="20" t="n">
        <f aca="false">E148+F148</f>
        <v>27.34</v>
      </c>
      <c r="H148" s="20" t="n">
        <f aca="false">IF(G148&lt;Parametres!$B$8*Parametres!$B$7,0,MIN(G148,Parametres!$B$7))</f>
        <v>27.34</v>
      </c>
      <c r="I148" s="20" t="n">
        <f aca="false">G148-H148</f>
        <v>0</v>
      </c>
      <c r="J148" s="21" t="n">
        <f aca="false">H148*1000/Parametres!$B$9</f>
        <v>463.625572324911</v>
      </c>
    </row>
    <row r="149" customFormat="false" ht="15" hidden="false" customHeight="false" outlineLevel="0" collapsed="false">
      <c r="A149" s="0" t="n">
        <v>145</v>
      </c>
      <c r="B149" s="0" t="n">
        <v>1</v>
      </c>
      <c r="C149" s="19" t="n">
        <v>0</v>
      </c>
      <c r="D149" s="19" t="n">
        <v>0.0546</v>
      </c>
      <c r="E149" s="20" t="n">
        <f aca="false">Parametres!$B$5*C149</f>
        <v>0</v>
      </c>
      <c r="F149" s="20" t="n">
        <f aca="false">Parametres!$B$6*D149</f>
        <v>10.92</v>
      </c>
      <c r="G149" s="20" t="n">
        <f aca="false">E149+F149</f>
        <v>10.92</v>
      </c>
      <c r="H149" s="20" t="n">
        <f aca="false">IF(G149&lt;Parametres!$B$8*Parametres!$B$7,0,MIN(G149,Parametres!$B$7))</f>
        <v>0</v>
      </c>
      <c r="I149" s="20" t="n">
        <f aca="false">G149-H149</f>
        <v>10.92</v>
      </c>
      <c r="J149" s="21" t="n">
        <f aca="false">H149*1000/Parametres!$B$9</f>
        <v>0</v>
      </c>
    </row>
    <row r="150" customFormat="false" ht="15" hidden="false" customHeight="false" outlineLevel="0" collapsed="false">
      <c r="A150" s="0" t="n">
        <v>146</v>
      </c>
      <c r="B150" s="0" t="n">
        <v>1</v>
      </c>
      <c r="C150" s="19" t="n">
        <v>0</v>
      </c>
      <c r="D150" s="19" t="n">
        <v>0.0671</v>
      </c>
      <c r="E150" s="20" t="n">
        <f aca="false">Parametres!$B$5*C150</f>
        <v>0</v>
      </c>
      <c r="F150" s="20" t="n">
        <f aca="false">Parametres!$B$6*D150</f>
        <v>13.42</v>
      </c>
      <c r="G150" s="20" t="n">
        <f aca="false">E150+F150</f>
        <v>13.42</v>
      </c>
      <c r="H150" s="20" t="n">
        <f aca="false">IF(G150&lt;Parametres!$B$8*Parametres!$B$7,0,MIN(G150,Parametres!$B$7))</f>
        <v>0</v>
      </c>
      <c r="I150" s="20" t="n">
        <f aca="false">G150-H150</f>
        <v>13.42</v>
      </c>
      <c r="J150" s="21" t="n">
        <f aca="false">H150*1000/Parametres!$B$9</f>
        <v>0</v>
      </c>
    </row>
    <row r="151" customFormat="false" ht="15" hidden="false" customHeight="false" outlineLevel="0" collapsed="false">
      <c r="A151" s="0" t="n">
        <v>147</v>
      </c>
      <c r="B151" s="0" t="n">
        <v>1</v>
      </c>
      <c r="C151" s="19" t="n">
        <v>0</v>
      </c>
      <c r="D151" s="19" t="n">
        <v>0.0366</v>
      </c>
      <c r="E151" s="20" t="n">
        <f aca="false">Parametres!$B$5*C151</f>
        <v>0</v>
      </c>
      <c r="F151" s="20" t="n">
        <f aca="false">Parametres!$B$6*D151</f>
        <v>7.32</v>
      </c>
      <c r="G151" s="20" t="n">
        <f aca="false">E151+F151</f>
        <v>7.32</v>
      </c>
      <c r="H151" s="20" t="n">
        <f aca="false">IF(G151&lt;Parametres!$B$8*Parametres!$B$7,0,MIN(G151,Parametres!$B$7))</f>
        <v>0</v>
      </c>
      <c r="I151" s="20" t="n">
        <f aca="false">G151-H151</f>
        <v>7.32</v>
      </c>
      <c r="J151" s="21" t="n">
        <f aca="false">H151*1000/Parametres!$B$9</f>
        <v>0</v>
      </c>
    </row>
    <row r="152" customFormat="false" ht="15" hidden="false" customHeight="false" outlineLevel="0" collapsed="false">
      <c r="A152" s="0" t="n">
        <v>148</v>
      </c>
      <c r="B152" s="0" t="n">
        <v>1</v>
      </c>
      <c r="C152" s="19" t="n">
        <v>0</v>
      </c>
      <c r="D152" s="19" t="n">
        <v>0.0838</v>
      </c>
      <c r="E152" s="20" t="n">
        <f aca="false">Parametres!$B$5*C152</f>
        <v>0</v>
      </c>
      <c r="F152" s="20" t="n">
        <f aca="false">Parametres!$B$6*D152</f>
        <v>16.76</v>
      </c>
      <c r="G152" s="20" t="n">
        <f aca="false">E152+F152</f>
        <v>16.76</v>
      </c>
      <c r="H152" s="20" t="n">
        <f aca="false">IF(G152&lt;Parametres!$B$8*Parametres!$B$7,0,MIN(G152,Parametres!$B$7))</f>
        <v>0</v>
      </c>
      <c r="I152" s="20" t="n">
        <f aca="false">G152-H152</f>
        <v>16.76</v>
      </c>
      <c r="J152" s="21" t="n">
        <f aca="false">H152*1000/Parametres!$B$9</f>
        <v>0</v>
      </c>
    </row>
    <row r="153" customFormat="false" ht="15" hidden="false" customHeight="false" outlineLevel="0" collapsed="false">
      <c r="A153" s="0" t="n">
        <v>149</v>
      </c>
      <c r="B153" s="0" t="n">
        <v>1</v>
      </c>
      <c r="C153" s="19" t="n">
        <v>0</v>
      </c>
      <c r="D153" s="19" t="n">
        <v>0.0711</v>
      </c>
      <c r="E153" s="20" t="n">
        <f aca="false">Parametres!$B$5*C153</f>
        <v>0</v>
      </c>
      <c r="F153" s="20" t="n">
        <f aca="false">Parametres!$B$6*D153</f>
        <v>14.22</v>
      </c>
      <c r="G153" s="20" t="n">
        <f aca="false">E153+F153</f>
        <v>14.22</v>
      </c>
      <c r="H153" s="20" t="n">
        <f aca="false">IF(G153&lt;Parametres!$B$8*Parametres!$B$7,0,MIN(G153,Parametres!$B$7))</f>
        <v>0</v>
      </c>
      <c r="I153" s="20" t="n">
        <f aca="false">G153-H153</f>
        <v>14.22</v>
      </c>
      <c r="J153" s="21" t="n">
        <f aca="false">H153*1000/Parametres!$B$9</f>
        <v>0</v>
      </c>
    </row>
    <row r="154" customFormat="false" ht="15" hidden="false" customHeight="false" outlineLevel="0" collapsed="false">
      <c r="A154" s="0" t="n">
        <v>150</v>
      </c>
      <c r="B154" s="0" t="n">
        <v>1</v>
      </c>
      <c r="C154" s="19" t="n">
        <v>0</v>
      </c>
      <c r="D154" s="19" t="n">
        <v>0.1192</v>
      </c>
      <c r="E154" s="20" t="n">
        <f aca="false">Parametres!$B$5*C154</f>
        <v>0</v>
      </c>
      <c r="F154" s="20" t="n">
        <f aca="false">Parametres!$B$6*D154</f>
        <v>23.84</v>
      </c>
      <c r="G154" s="20" t="n">
        <f aca="false">E154+F154</f>
        <v>23.84</v>
      </c>
      <c r="H154" s="20" t="n">
        <f aca="false">IF(G154&lt;Parametres!$B$8*Parametres!$B$7,0,MIN(G154,Parametres!$B$7))</f>
        <v>0</v>
      </c>
      <c r="I154" s="20" t="n">
        <f aca="false">G154-H154</f>
        <v>23.84</v>
      </c>
      <c r="J154" s="21" t="n">
        <f aca="false">H154*1000/Parametres!$B$9</f>
        <v>0</v>
      </c>
    </row>
    <row r="155" customFormat="false" ht="15" hidden="false" customHeight="false" outlineLevel="0" collapsed="false">
      <c r="A155" s="0" t="n">
        <v>151</v>
      </c>
      <c r="B155" s="0" t="n">
        <v>1</v>
      </c>
      <c r="C155" s="19" t="n">
        <v>0</v>
      </c>
      <c r="D155" s="19" t="n">
        <v>0.0671</v>
      </c>
      <c r="E155" s="20" t="n">
        <f aca="false">Parametres!$B$5*C155</f>
        <v>0</v>
      </c>
      <c r="F155" s="20" t="n">
        <f aca="false">Parametres!$B$6*D155</f>
        <v>13.42</v>
      </c>
      <c r="G155" s="20" t="n">
        <f aca="false">E155+F155</f>
        <v>13.42</v>
      </c>
      <c r="H155" s="20" t="n">
        <f aca="false">IF(G155&lt;Parametres!$B$8*Parametres!$B$7,0,MIN(G155,Parametres!$B$7))</f>
        <v>0</v>
      </c>
      <c r="I155" s="20" t="n">
        <f aca="false">G155-H155</f>
        <v>13.42</v>
      </c>
      <c r="J155" s="21" t="n">
        <f aca="false">H155*1000/Parametres!$B$9</f>
        <v>0</v>
      </c>
    </row>
    <row r="156" customFormat="false" ht="15" hidden="false" customHeight="false" outlineLevel="0" collapsed="false">
      <c r="A156" s="0" t="n">
        <v>152</v>
      </c>
      <c r="B156" s="0" t="n">
        <v>1</v>
      </c>
      <c r="C156" s="19" t="n">
        <v>0.1172</v>
      </c>
      <c r="D156" s="19" t="n">
        <v>0.0923</v>
      </c>
      <c r="E156" s="20" t="n">
        <f aca="false">Parametres!$B$5*C156</f>
        <v>35.16</v>
      </c>
      <c r="F156" s="20" t="n">
        <f aca="false">Parametres!$B$6*D156</f>
        <v>18.46</v>
      </c>
      <c r="G156" s="20" t="n">
        <f aca="false">E156+F156</f>
        <v>53.62</v>
      </c>
      <c r="H156" s="20" t="n">
        <f aca="false">IF(G156&lt;Parametres!$B$8*Parametres!$B$7,0,MIN(G156,Parametres!$B$7))</f>
        <v>53.62</v>
      </c>
      <c r="I156" s="20" t="n">
        <f aca="false">G156-H156</f>
        <v>0</v>
      </c>
      <c r="J156" s="21" t="n">
        <f aca="false">H156*1000/Parametres!$B$9</f>
        <v>909.275903001526</v>
      </c>
    </row>
    <row r="157" customFormat="false" ht="15" hidden="false" customHeight="false" outlineLevel="0" collapsed="false">
      <c r="A157" s="0" t="n">
        <v>153</v>
      </c>
      <c r="B157" s="0" t="n">
        <v>1</v>
      </c>
      <c r="C157" s="19" t="n">
        <v>0.313</v>
      </c>
      <c r="D157" s="19" t="n">
        <v>0.069</v>
      </c>
      <c r="E157" s="20" t="n">
        <f aca="false">Parametres!$B$5*C157</f>
        <v>93.9</v>
      </c>
      <c r="F157" s="20" t="n">
        <f aca="false">Parametres!$B$6*D157</f>
        <v>13.8</v>
      </c>
      <c r="G157" s="20" t="n">
        <f aca="false">E157+F157</f>
        <v>107.7</v>
      </c>
      <c r="H157" s="20" t="n">
        <f aca="false">IF(G157&lt;Parametres!$B$8*Parametres!$B$7,0,MIN(G157,Parametres!$B$7))</f>
        <v>107.7</v>
      </c>
      <c r="I157" s="20" t="n">
        <f aca="false">G157-H157</f>
        <v>0</v>
      </c>
      <c r="J157" s="21" t="n">
        <f aca="false">H157*1000/Parametres!$B$9</f>
        <v>1826.35238256741</v>
      </c>
    </row>
    <row r="158" customFormat="false" ht="15" hidden="false" customHeight="false" outlineLevel="0" collapsed="false">
      <c r="A158" s="0" t="n">
        <v>154</v>
      </c>
      <c r="B158" s="0" t="n">
        <v>1</v>
      </c>
      <c r="C158" s="19" t="n">
        <v>0.4992</v>
      </c>
      <c r="D158" s="19" t="n">
        <v>0.0636</v>
      </c>
      <c r="E158" s="20" t="n">
        <f aca="false">Parametres!$B$5*C158</f>
        <v>149.76</v>
      </c>
      <c r="F158" s="20" t="n">
        <f aca="false">Parametres!$B$6*D158</f>
        <v>12.72</v>
      </c>
      <c r="G158" s="20" t="n">
        <f aca="false">E158+F158</f>
        <v>162.48</v>
      </c>
      <c r="H158" s="20" t="n">
        <f aca="false">IF(G158&lt;Parametres!$B$8*Parametres!$B$7,0,MIN(G158,Parametres!$B$7))</f>
        <v>162.48</v>
      </c>
      <c r="I158" s="20" t="n">
        <f aca="false">G158-H158</f>
        <v>0</v>
      </c>
      <c r="J158" s="21" t="n">
        <f aca="false">H158*1000/Parametres!$B$9</f>
        <v>2755.29930473122</v>
      </c>
    </row>
    <row r="159" customFormat="false" ht="15" hidden="false" customHeight="false" outlineLevel="0" collapsed="false">
      <c r="A159" s="0" t="n">
        <v>155</v>
      </c>
      <c r="B159" s="0" t="n">
        <v>1</v>
      </c>
      <c r="C159" s="19" t="n">
        <v>0.5877</v>
      </c>
      <c r="D159" s="19" t="n">
        <v>0.077</v>
      </c>
      <c r="E159" s="20" t="n">
        <f aca="false">Parametres!$B$5*C159</f>
        <v>176.31</v>
      </c>
      <c r="F159" s="20" t="n">
        <f aca="false">Parametres!$B$6*D159</f>
        <v>15.4</v>
      </c>
      <c r="G159" s="20" t="n">
        <f aca="false">E159+F159</f>
        <v>191.71</v>
      </c>
      <c r="H159" s="20" t="n">
        <f aca="false">IF(G159&lt;Parametres!$B$8*Parametres!$B$7,0,MIN(G159,Parametres!$B$7))</f>
        <v>191.71</v>
      </c>
      <c r="I159" s="20" t="n">
        <f aca="false">G159-H159</f>
        <v>0</v>
      </c>
      <c r="J159" s="21" t="n">
        <f aca="false">H159*1000/Parametres!$B$9</f>
        <v>3250.97507207054</v>
      </c>
    </row>
    <row r="160" customFormat="false" ht="15" hidden="false" customHeight="false" outlineLevel="0" collapsed="false">
      <c r="A160" s="0" t="n">
        <v>156</v>
      </c>
      <c r="B160" s="0" t="n">
        <v>1</v>
      </c>
      <c r="C160" s="19" t="n">
        <v>0.708</v>
      </c>
      <c r="D160" s="19" t="n">
        <v>0.0776</v>
      </c>
      <c r="E160" s="20" t="n">
        <f aca="false">Parametres!$B$5*C160</f>
        <v>212.4</v>
      </c>
      <c r="F160" s="20" t="n">
        <f aca="false">Parametres!$B$6*D160</f>
        <v>15.52</v>
      </c>
      <c r="G160" s="20" t="n">
        <f aca="false">E160+F160</f>
        <v>227.92</v>
      </c>
      <c r="H160" s="20" t="n">
        <f aca="false">IF(G160&lt;Parametres!$B$8*Parametres!$B$7,0,MIN(G160,Parametres!$B$7))</f>
        <v>227.92</v>
      </c>
      <c r="I160" s="20" t="n">
        <f aca="false">G160-H160</f>
        <v>0</v>
      </c>
      <c r="J160" s="21" t="n">
        <f aca="false">H160*1000/Parametres!$B$9</f>
        <v>3865.01610988638</v>
      </c>
    </row>
    <row r="161" customFormat="false" ht="15" hidden="false" customHeight="false" outlineLevel="0" collapsed="false">
      <c r="A161" s="0" t="n">
        <v>157</v>
      </c>
      <c r="B161" s="0" t="n">
        <v>1</v>
      </c>
      <c r="C161" s="19" t="n">
        <v>0.6977</v>
      </c>
      <c r="D161" s="19" t="n">
        <v>0.1036</v>
      </c>
      <c r="E161" s="20" t="n">
        <f aca="false">Parametres!$B$5*C161</f>
        <v>209.31</v>
      </c>
      <c r="F161" s="20" t="n">
        <f aca="false">Parametres!$B$6*D161</f>
        <v>20.72</v>
      </c>
      <c r="G161" s="20" t="n">
        <f aca="false">E161+F161</f>
        <v>230.03</v>
      </c>
      <c r="H161" s="20" t="n">
        <f aca="false">IF(G161&lt;Parametres!$B$8*Parametres!$B$7,0,MIN(G161,Parametres!$B$7))</f>
        <v>230.03</v>
      </c>
      <c r="I161" s="20" t="n">
        <f aca="false">G161-H161</f>
        <v>0</v>
      </c>
      <c r="J161" s="21" t="n">
        <f aca="false">H161*1000/Parametres!$B$9</f>
        <v>3900.79701543158</v>
      </c>
    </row>
    <row r="162" customFormat="false" ht="15" hidden="false" customHeight="false" outlineLevel="0" collapsed="false">
      <c r="A162" s="0" t="n">
        <v>158</v>
      </c>
      <c r="B162" s="0" t="n">
        <v>1</v>
      </c>
      <c r="C162" s="19" t="n">
        <v>0.5747</v>
      </c>
      <c r="D162" s="19" t="n">
        <v>0.166</v>
      </c>
      <c r="E162" s="20" t="n">
        <f aca="false">Parametres!$B$5*C162</f>
        <v>172.41</v>
      </c>
      <c r="F162" s="20" t="n">
        <f aca="false">Parametres!$B$6*D162</f>
        <v>33.2</v>
      </c>
      <c r="G162" s="20" t="n">
        <f aca="false">E162+F162</f>
        <v>205.61</v>
      </c>
      <c r="H162" s="20" t="n">
        <f aca="false">IF(G162&lt;Parametres!$B$8*Parametres!$B$7,0,MIN(G162,Parametres!$B$7))</f>
        <v>205.61</v>
      </c>
      <c r="I162" s="20" t="n">
        <f aca="false">G162-H162</f>
        <v>0</v>
      </c>
      <c r="J162" s="21" t="n">
        <f aca="false">H162*1000/Parametres!$B$9</f>
        <v>3486.68814651518</v>
      </c>
    </row>
    <row r="163" customFormat="false" ht="15" hidden="false" customHeight="false" outlineLevel="0" collapsed="false">
      <c r="A163" s="0" t="n">
        <v>159</v>
      </c>
      <c r="B163" s="0" t="n">
        <v>1</v>
      </c>
      <c r="C163" s="19" t="n">
        <v>0.5146</v>
      </c>
      <c r="D163" s="19" t="n">
        <v>0.2382</v>
      </c>
      <c r="E163" s="20" t="n">
        <f aca="false">Parametres!$B$5*C163</f>
        <v>154.38</v>
      </c>
      <c r="F163" s="20" t="n">
        <f aca="false">Parametres!$B$6*D163</f>
        <v>47.64</v>
      </c>
      <c r="G163" s="20" t="n">
        <f aca="false">E163+F163</f>
        <v>202.02</v>
      </c>
      <c r="H163" s="20" t="n">
        <f aca="false">IF(G163&lt;Parametres!$B$8*Parametres!$B$7,0,MIN(G163,Parametres!$B$7))</f>
        <v>202.02</v>
      </c>
      <c r="I163" s="20" t="n">
        <f aca="false">G163-H163</f>
        <v>0</v>
      </c>
      <c r="J163" s="21" t="n">
        <f aca="false">H163*1000/Parametres!$B$9</f>
        <v>3425.80973376293</v>
      </c>
    </row>
    <row r="164" customFormat="false" ht="15" hidden="false" customHeight="false" outlineLevel="0" collapsed="false">
      <c r="A164" s="0" t="n">
        <v>160</v>
      </c>
      <c r="B164" s="0" t="n">
        <v>1</v>
      </c>
      <c r="C164" s="19" t="n">
        <v>0.3383</v>
      </c>
      <c r="D164" s="19" t="n">
        <v>0.241</v>
      </c>
      <c r="E164" s="20" t="n">
        <f aca="false">Parametres!$B$5*C164</f>
        <v>101.49</v>
      </c>
      <c r="F164" s="20" t="n">
        <f aca="false">Parametres!$B$6*D164</f>
        <v>48.2</v>
      </c>
      <c r="G164" s="20" t="n">
        <f aca="false">E164+F164</f>
        <v>149.69</v>
      </c>
      <c r="H164" s="20" t="n">
        <f aca="false">IF(G164&lt;Parametres!$B$8*Parametres!$B$7,0,MIN(G164,Parametres!$B$7))</f>
        <v>149.69</v>
      </c>
      <c r="I164" s="20" t="n">
        <f aca="false">G164-H164</f>
        <v>0</v>
      </c>
      <c r="J164" s="21" t="n">
        <f aca="false">H164*1000/Parametres!$B$9</f>
        <v>2538.40936069188</v>
      </c>
    </row>
    <row r="165" customFormat="false" ht="15" hidden="false" customHeight="false" outlineLevel="0" collapsed="false">
      <c r="A165" s="0" t="n">
        <v>161</v>
      </c>
      <c r="B165" s="0" t="n">
        <v>1</v>
      </c>
      <c r="C165" s="19" t="n">
        <v>0.11</v>
      </c>
      <c r="D165" s="19" t="n">
        <v>0.1341</v>
      </c>
      <c r="E165" s="20" t="n">
        <f aca="false">Parametres!$B$5*C165</f>
        <v>33</v>
      </c>
      <c r="F165" s="20" t="n">
        <f aca="false">Parametres!$B$6*D165</f>
        <v>26.82</v>
      </c>
      <c r="G165" s="20" t="n">
        <f aca="false">E165+F165</f>
        <v>59.82</v>
      </c>
      <c r="H165" s="20" t="n">
        <f aca="false">IF(G165&lt;Parametres!$B$8*Parametres!$B$7,0,MIN(G165,Parametres!$B$7))</f>
        <v>59.82</v>
      </c>
      <c r="I165" s="20" t="n">
        <f aca="false">G165-H165</f>
        <v>0</v>
      </c>
      <c r="J165" s="21" t="n">
        <f aca="false">H165*1000/Parametres!$B$9</f>
        <v>1014.41410886892</v>
      </c>
    </row>
    <row r="166" customFormat="false" ht="15" hidden="false" customHeight="false" outlineLevel="0" collapsed="false">
      <c r="A166" s="0" t="n">
        <v>162</v>
      </c>
      <c r="B166" s="0" t="n">
        <v>1</v>
      </c>
      <c r="C166" s="19" t="n">
        <v>0</v>
      </c>
      <c r="D166" s="19" t="n">
        <v>0.0884</v>
      </c>
      <c r="E166" s="20" t="n">
        <f aca="false">Parametres!$B$5*C166</f>
        <v>0</v>
      </c>
      <c r="F166" s="20" t="n">
        <f aca="false">Parametres!$B$6*D166</f>
        <v>17.68</v>
      </c>
      <c r="G166" s="20" t="n">
        <f aca="false">E166+F166</f>
        <v>17.68</v>
      </c>
      <c r="H166" s="20" t="n">
        <f aca="false">IF(G166&lt;Parametres!$B$8*Parametres!$B$7,0,MIN(G166,Parametres!$B$7))</f>
        <v>0</v>
      </c>
      <c r="I166" s="20" t="n">
        <f aca="false">G166-H166</f>
        <v>17.68</v>
      </c>
      <c r="J166" s="21" t="n">
        <f aca="false">H166*1000/Parametres!$B$9</f>
        <v>0</v>
      </c>
    </row>
    <row r="167" customFormat="false" ht="15" hidden="false" customHeight="false" outlineLevel="0" collapsed="false">
      <c r="A167" s="0" t="n">
        <v>163</v>
      </c>
      <c r="B167" s="0" t="n">
        <v>1</v>
      </c>
      <c r="C167" s="19" t="n">
        <v>0</v>
      </c>
      <c r="D167" s="19" t="n">
        <v>0.0763</v>
      </c>
      <c r="E167" s="20" t="n">
        <f aca="false">Parametres!$B$5*C167</f>
        <v>0</v>
      </c>
      <c r="F167" s="20" t="n">
        <f aca="false">Parametres!$B$6*D167</f>
        <v>15.26</v>
      </c>
      <c r="G167" s="20" t="n">
        <f aca="false">E167+F167</f>
        <v>15.26</v>
      </c>
      <c r="H167" s="20" t="n">
        <f aca="false">IF(G167&lt;Parametres!$B$8*Parametres!$B$7,0,MIN(G167,Parametres!$B$7))</f>
        <v>0</v>
      </c>
      <c r="I167" s="20" t="n">
        <f aca="false">G167-H167</f>
        <v>15.26</v>
      </c>
      <c r="J167" s="21" t="n">
        <f aca="false">H167*1000/Parametres!$B$9</f>
        <v>0</v>
      </c>
    </row>
    <row r="168" customFormat="false" ht="15" hidden="false" customHeight="false" outlineLevel="0" collapsed="false">
      <c r="A168" s="0" t="n">
        <v>164</v>
      </c>
      <c r="B168" s="0" t="n">
        <v>1</v>
      </c>
      <c r="C168" s="19" t="n">
        <v>0</v>
      </c>
      <c r="D168" s="19" t="n">
        <v>0.0173</v>
      </c>
      <c r="E168" s="20" t="n">
        <f aca="false">Parametres!$B$5*C168</f>
        <v>0</v>
      </c>
      <c r="F168" s="20" t="n">
        <f aca="false">Parametres!$B$6*D168</f>
        <v>3.46</v>
      </c>
      <c r="G168" s="20" t="n">
        <f aca="false">E168+F168</f>
        <v>3.46</v>
      </c>
      <c r="H168" s="20" t="n">
        <f aca="false">IF(G168&lt;Parametres!$B$8*Parametres!$B$7,0,MIN(G168,Parametres!$B$7))</f>
        <v>0</v>
      </c>
      <c r="I168" s="20" t="n">
        <f aca="false">G168-H168</f>
        <v>3.46</v>
      </c>
      <c r="J168" s="21" t="n">
        <f aca="false">H168*1000/Parametres!$B$9</f>
        <v>0</v>
      </c>
    </row>
    <row r="169" customFormat="false" ht="15" hidden="false" customHeight="false" outlineLevel="0" collapsed="false">
      <c r="A169" s="0" t="n">
        <v>165</v>
      </c>
      <c r="B169" s="0" t="n">
        <v>1</v>
      </c>
      <c r="C169" s="19" t="n">
        <v>0</v>
      </c>
      <c r="D169" s="19" t="n">
        <v>0.0273</v>
      </c>
      <c r="E169" s="20" t="n">
        <f aca="false">Parametres!$B$5*C169</f>
        <v>0</v>
      </c>
      <c r="F169" s="20" t="n">
        <f aca="false">Parametres!$B$6*D169</f>
        <v>5.46</v>
      </c>
      <c r="G169" s="20" t="n">
        <f aca="false">E169+F169</f>
        <v>5.46</v>
      </c>
      <c r="H169" s="20" t="n">
        <f aca="false">IF(G169&lt;Parametres!$B$8*Parametres!$B$7,0,MIN(G169,Parametres!$B$7))</f>
        <v>0</v>
      </c>
      <c r="I169" s="20" t="n">
        <f aca="false">G169-H169</f>
        <v>5.46</v>
      </c>
      <c r="J169" s="21" t="n">
        <f aca="false">H169*1000/Parametres!$B$9</f>
        <v>0</v>
      </c>
    </row>
    <row r="170" customFormat="false" ht="15" hidden="false" customHeight="false" outlineLevel="0" collapsed="false">
      <c r="A170" s="0" t="n">
        <v>166</v>
      </c>
      <c r="B170" s="0" t="n">
        <v>1</v>
      </c>
      <c r="C170" s="19" t="n">
        <v>0</v>
      </c>
      <c r="D170" s="19" t="n">
        <v>0.0199</v>
      </c>
      <c r="E170" s="20" t="n">
        <f aca="false">Parametres!$B$5*C170</f>
        <v>0</v>
      </c>
      <c r="F170" s="20" t="n">
        <f aca="false">Parametres!$B$6*D170</f>
        <v>3.98</v>
      </c>
      <c r="G170" s="20" t="n">
        <f aca="false">E170+F170</f>
        <v>3.98</v>
      </c>
      <c r="H170" s="20" t="n">
        <f aca="false">IF(G170&lt;Parametres!$B$8*Parametres!$B$7,0,MIN(G170,Parametres!$B$7))</f>
        <v>0</v>
      </c>
      <c r="I170" s="20" t="n">
        <f aca="false">G170-H170</f>
        <v>3.98</v>
      </c>
      <c r="J170" s="21" t="n">
        <f aca="false">H170*1000/Parametres!$B$9</f>
        <v>0</v>
      </c>
    </row>
    <row r="171" customFormat="false" ht="15" hidden="false" customHeight="false" outlineLevel="0" collapsed="false">
      <c r="A171" s="0" t="n">
        <v>167</v>
      </c>
      <c r="B171" s="0" t="n">
        <v>1</v>
      </c>
      <c r="C171" s="19" t="n">
        <v>0</v>
      </c>
      <c r="D171" s="19" t="n">
        <v>0.0138</v>
      </c>
      <c r="E171" s="20" t="n">
        <f aca="false">Parametres!$B$5*C171</f>
        <v>0</v>
      </c>
      <c r="F171" s="20" t="n">
        <f aca="false">Parametres!$B$6*D171</f>
        <v>2.76</v>
      </c>
      <c r="G171" s="20" t="n">
        <f aca="false">E171+F171</f>
        <v>2.76</v>
      </c>
      <c r="H171" s="20" t="n">
        <f aca="false">IF(G171&lt;Parametres!$B$8*Parametres!$B$7,0,MIN(G171,Parametres!$B$7))</f>
        <v>0</v>
      </c>
      <c r="I171" s="20" t="n">
        <f aca="false">G171-H171</f>
        <v>2.76</v>
      </c>
      <c r="J171" s="21" t="n">
        <f aca="false">H171*1000/Parametres!$B$9</f>
        <v>0</v>
      </c>
    </row>
    <row r="172" customFormat="false" ht="15" hidden="false" customHeight="false" outlineLevel="0" collapsed="false">
      <c r="A172" s="0" t="n">
        <v>168</v>
      </c>
      <c r="B172" s="0" t="n">
        <v>1</v>
      </c>
      <c r="C172" s="19" t="n">
        <v>0</v>
      </c>
      <c r="D172" s="19" t="n">
        <v>0.0236</v>
      </c>
      <c r="E172" s="20" t="n">
        <f aca="false">Parametres!$B$5*C172</f>
        <v>0</v>
      </c>
      <c r="F172" s="20" t="n">
        <f aca="false">Parametres!$B$6*D172</f>
        <v>4.72</v>
      </c>
      <c r="G172" s="20" t="n">
        <f aca="false">E172+F172</f>
        <v>4.72</v>
      </c>
      <c r="H172" s="20" t="n">
        <f aca="false">IF(G172&lt;Parametres!$B$8*Parametres!$B$7,0,MIN(G172,Parametres!$B$7))</f>
        <v>0</v>
      </c>
      <c r="I172" s="20" t="n">
        <f aca="false">G172-H172</f>
        <v>4.72</v>
      </c>
      <c r="J172" s="21" t="n">
        <f aca="false">H172*1000/Parametres!$B$9</f>
        <v>0</v>
      </c>
    </row>
    <row r="173" customFormat="false" ht="15" hidden="false" customHeight="false" outlineLevel="0" collapsed="false">
      <c r="A173" s="0" t="n">
        <v>169</v>
      </c>
      <c r="B173" s="0" t="n">
        <v>1</v>
      </c>
      <c r="C173" s="19" t="n">
        <v>0</v>
      </c>
      <c r="D173" s="19" t="n">
        <v>0.0312</v>
      </c>
      <c r="E173" s="20" t="n">
        <f aca="false">Parametres!$B$5*C173</f>
        <v>0</v>
      </c>
      <c r="F173" s="20" t="n">
        <f aca="false">Parametres!$B$6*D173</f>
        <v>6.24</v>
      </c>
      <c r="G173" s="20" t="n">
        <f aca="false">E173+F173</f>
        <v>6.24</v>
      </c>
      <c r="H173" s="20" t="n">
        <f aca="false">IF(G173&lt;Parametres!$B$8*Parametres!$B$7,0,MIN(G173,Parametres!$B$7))</f>
        <v>0</v>
      </c>
      <c r="I173" s="20" t="n">
        <f aca="false">G173-H173</f>
        <v>6.24</v>
      </c>
      <c r="J173" s="21" t="n">
        <f aca="false">H173*1000/Parametres!$B$9</f>
        <v>0</v>
      </c>
    </row>
    <row r="174" customFormat="false" ht="15" hidden="false" customHeight="false" outlineLevel="0" collapsed="false">
      <c r="A174" s="0" t="n">
        <v>170</v>
      </c>
      <c r="B174" s="0" t="n">
        <v>1</v>
      </c>
      <c r="C174" s="19" t="n">
        <v>0</v>
      </c>
      <c r="D174" s="19" t="n">
        <v>0.0309</v>
      </c>
      <c r="E174" s="20" t="n">
        <f aca="false">Parametres!$B$5*C174</f>
        <v>0</v>
      </c>
      <c r="F174" s="20" t="n">
        <f aca="false">Parametres!$B$6*D174</f>
        <v>6.18</v>
      </c>
      <c r="G174" s="20" t="n">
        <f aca="false">E174+F174</f>
        <v>6.18</v>
      </c>
      <c r="H174" s="20" t="n">
        <f aca="false">IF(G174&lt;Parametres!$B$8*Parametres!$B$7,0,MIN(G174,Parametres!$B$7))</f>
        <v>0</v>
      </c>
      <c r="I174" s="20" t="n">
        <f aca="false">G174-H174</f>
        <v>6.18</v>
      </c>
      <c r="J174" s="21" t="n">
        <f aca="false">H174*1000/Parametres!$B$9</f>
        <v>0</v>
      </c>
    </row>
    <row r="175" customFormat="false" ht="15" hidden="false" customHeight="false" outlineLevel="0" collapsed="false">
      <c r="A175" s="0" t="n">
        <v>171</v>
      </c>
      <c r="B175" s="0" t="n">
        <v>1</v>
      </c>
      <c r="C175" s="19" t="n">
        <v>0</v>
      </c>
      <c r="D175" s="19" t="n">
        <v>0.0137</v>
      </c>
      <c r="E175" s="20" t="n">
        <f aca="false">Parametres!$B$5*C175</f>
        <v>0</v>
      </c>
      <c r="F175" s="20" t="n">
        <f aca="false">Parametres!$B$6*D175</f>
        <v>2.74</v>
      </c>
      <c r="G175" s="20" t="n">
        <f aca="false">E175+F175</f>
        <v>2.74</v>
      </c>
      <c r="H175" s="20" t="n">
        <f aca="false">IF(G175&lt;Parametres!$B$8*Parametres!$B$7,0,MIN(G175,Parametres!$B$7))</f>
        <v>0</v>
      </c>
      <c r="I175" s="20" t="n">
        <f aca="false">G175-H175</f>
        <v>2.74</v>
      </c>
      <c r="J175" s="21" t="n">
        <f aca="false">H175*1000/Parametres!$B$9</f>
        <v>0</v>
      </c>
    </row>
    <row r="176" customFormat="false" ht="15" hidden="false" customHeight="false" outlineLevel="0" collapsed="false">
      <c r="A176" s="0" t="n">
        <v>172</v>
      </c>
      <c r="B176" s="0" t="n">
        <v>1</v>
      </c>
      <c r="C176" s="19" t="n">
        <v>0</v>
      </c>
      <c r="D176" s="19" t="n">
        <v>0.0162</v>
      </c>
      <c r="E176" s="20" t="n">
        <f aca="false">Parametres!$B$5*C176</f>
        <v>0</v>
      </c>
      <c r="F176" s="20" t="n">
        <f aca="false">Parametres!$B$6*D176</f>
        <v>3.24</v>
      </c>
      <c r="G176" s="20" t="n">
        <f aca="false">E176+F176</f>
        <v>3.24</v>
      </c>
      <c r="H176" s="20" t="n">
        <f aca="false">IF(G176&lt;Parametres!$B$8*Parametres!$B$7,0,MIN(G176,Parametres!$B$7))</f>
        <v>0</v>
      </c>
      <c r="I176" s="20" t="n">
        <f aca="false">G176-H176</f>
        <v>3.24</v>
      </c>
      <c r="J176" s="21" t="n">
        <f aca="false">H176*1000/Parametres!$B$9</f>
        <v>0</v>
      </c>
    </row>
    <row r="177" customFormat="false" ht="15" hidden="false" customHeight="false" outlineLevel="0" collapsed="false">
      <c r="A177" s="0" t="n">
        <v>173</v>
      </c>
      <c r="B177" s="0" t="n">
        <v>1</v>
      </c>
      <c r="C177" s="19" t="n">
        <v>0</v>
      </c>
      <c r="D177" s="19" t="n">
        <v>0.0205</v>
      </c>
      <c r="E177" s="20" t="n">
        <f aca="false">Parametres!$B$5*C177</f>
        <v>0</v>
      </c>
      <c r="F177" s="20" t="n">
        <f aca="false">Parametres!$B$6*D177</f>
        <v>4.1</v>
      </c>
      <c r="G177" s="20" t="n">
        <f aca="false">E177+F177</f>
        <v>4.1</v>
      </c>
      <c r="H177" s="20" t="n">
        <f aca="false">IF(G177&lt;Parametres!$B$8*Parametres!$B$7,0,MIN(G177,Parametres!$B$7))</f>
        <v>0</v>
      </c>
      <c r="I177" s="20" t="n">
        <f aca="false">G177-H177</f>
        <v>4.1</v>
      </c>
      <c r="J177" s="21" t="n">
        <f aca="false">H177*1000/Parametres!$B$9</f>
        <v>0</v>
      </c>
    </row>
    <row r="178" customFormat="false" ht="15" hidden="false" customHeight="false" outlineLevel="0" collapsed="false">
      <c r="A178" s="0" t="n">
        <v>174</v>
      </c>
      <c r="B178" s="0" t="n">
        <v>1</v>
      </c>
      <c r="C178" s="19" t="n">
        <v>0</v>
      </c>
      <c r="D178" s="19" t="n">
        <v>0.0113</v>
      </c>
      <c r="E178" s="20" t="n">
        <f aca="false">Parametres!$B$5*C178</f>
        <v>0</v>
      </c>
      <c r="F178" s="20" t="n">
        <f aca="false">Parametres!$B$6*D178</f>
        <v>2.26</v>
      </c>
      <c r="G178" s="20" t="n">
        <f aca="false">E178+F178</f>
        <v>2.26</v>
      </c>
      <c r="H178" s="20" t="n">
        <f aca="false">IF(G178&lt;Parametres!$B$8*Parametres!$B$7,0,MIN(G178,Parametres!$B$7))</f>
        <v>0</v>
      </c>
      <c r="I178" s="20" t="n">
        <f aca="false">G178-H178</f>
        <v>2.26</v>
      </c>
      <c r="J178" s="21" t="n">
        <f aca="false">H178*1000/Parametres!$B$9</f>
        <v>0</v>
      </c>
    </row>
    <row r="179" customFormat="false" ht="15" hidden="false" customHeight="false" outlineLevel="0" collapsed="false">
      <c r="A179" s="0" t="n">
        <v>175</v>
      </c>
      <c r="B179" s="0" t="n">
        <v>1</v>
      </c>
      <c r="C179" s="19" t="n">
        <v>0</v>
      </c>
      <c r="D179" s="19" t="n">
        <v>0.0269</v>
      </c>
      <c r="E179" s="20" t="n">
        <f aca="false">Parametres!$B$5*C179</f>
        <v>0</v>
      </c>
      <c r="F179" s="20" t="n">
        <f aca="false">Parametres!$B$6*D179</f>
        <v>5.38</v>
      </c>
      <c r="G179" s="20" t="n">
        <f aca="false">E179+F179</f>
        <v>5.38</v>
      </c>
      <c r="H179" s="20" t="n">
        <f aca="false">IF(G179&lt;Parametres!$B$8*Parametres!$B$7,0,MIN(G179,Parametres!$B$7))</f>
        <v>0</v>
      </c>
      <c r="I179" s="20" t="n">
        <f aca="false">G179-H179</f>
        <v>5.38</v>
      </c>
      <c r="J179" s="21" t="n">
        <f aca="false">H179*1000/Parametres!$B$9</f>
        <v>0</v>
      </c>
    </row>
    <row r="180" customFormat="false" ht="15" hidden="false" customHeight="false" outlineLevel="0" collapsed="false">
      <c r="A180" s="0" t="n">
        <v>176</v>
      </c>
      <c r="B180" s="0" t="n">
        <v>1</v>
      </c>
      <c r="C180" s="19" t="n">
        <v>0.1336</v>
      </c>
      <c r="D180" s="19" t="n">
        <v>0.0422</v>
      </c>
      <c r="E180" s="20" t="n">
        <f aca="false">Parametres!$B$5*C180</f>
        <v>40.08</v>
      </c>
      <c r="F180" s="20" t="n">
        <f aca="false">Parametres!$B$6*D180</f>
        <v>8.44</v>
      </c>
      <c r="G180" s="20" t="n">
        <f aca="false">E180+F180</f>
        <v>48.52</v>
      </c>
      <c r="H180" s="20" t="n">
        <f aca="false">IF(G180&lt;Parametres!$B$8*Parametres!$B$7,0,MIN(G180,Parametres!$B$7))</f>
        <v>48.52</v>
      </c>
      <c r="I180" s="20" t="n">
        <f aca="false">G180-H180</f>
        <v>0</v>
      </c>
      <c r="J180" s="21" t="n">
        <f aca="false">H180*1000/Parametres!$B$9</f>
        <v>822.791249788028</v>
      </c>
    </row>
    <row r="181" customFormat="false" ht="15" hidden="false" customHeight="false" outlineLevel="0" collapsed="false">
      <c r="A181" s="0" t="n">
        <v>177</v>
      </c>
      <c r="B181" s="0" t="n">
        <v>1</v>
      </c>
      <c r="C181" s="19" t="n">
        <v>0.3768</v>
      </c>
      <c r="D181" s="19" t="n">
        <v>0.0136</v>
      </c>
      <c r="E181" s="20" t="n">
        <f aca="false">Parametres!$B$5*C181</f>
        <v>113.04</v>
      </c>
      <c r="F181" s="20" t="n">
        <f aca="false">Parametres!$B$6*D181</f>
        <v>2.72</v>
      </c>
      <c r="G181" s="20" t="n">
        <f aca="false">E181+F181</f>
        <v>115.76</v>
      </c>
      <c r="H181" s="20" t="n">
        <f aca="false">IF(G181&lt;Parametres!$B$8*Parametres!$B$7,0,MIN(G181,Parametres!$B$7))</f>
        <v>115.76</v>
      </c>
      <c r="I181" s="20" t="n">
        <f aca="false">G181-H181</f>
        <v>0</v>
      </c>
      <c r="J181" s="21" t="n">
        <f aca="false">H181*1000/Parametres!$B$9</f>
        <v>1963.03205019501</v>
      </c>
    </row>
    <row r="182" customFormat="false" ht="15" hidden="false" customHeight="false" outlineLevel="0" collapsed="false">
      <c r="A182" s="0" t="n">
        <v>178</v>
      </c>
      <c r="B182" s="0" t="n">
        <v>1</v>
      </c>
      <c r="C182" s="19" t="n">
        <v>0.5446</v>
      </c>
      <c r="D182" s="19" t="n">
        <v>0.0191</v>
      </c>
      <c r="E182" s="20" t="n">
        <f aca="false">Parametres!$B$5*C182</f>
        <v>163.38</v>
      </c>
      <c r="F182" s="20" t="n">
        <f aca="false">Parametres!$B$6*D182</f>
        <v>3.82</v>
      </c>
      <c r="G182" s="20" t="n">
        <f aca="false">E182+F182</f>
        <v>167.2</v>
      </c>
      <c r="H182" s="20" t="n">
        <f aca="false">IF(G182&lt;Parametres!$B$8*Parametres!$B$7,0,MIN(G182,Parametres!$B$7))</f>
        <v>167.2</v>
      </c>
      <c r="I182" s="20" t="n">
        <f aca="false">G182-H182</f>
        <v>0</v>
      </c>
      <c r="J182" s="21" t="n">
        <f aca="false">H182*1000/Parametres!$B$9</f>
        <v>2835.34000339156</v>
      </c>
    </row>
    <row r="183" customFormat="false" ht="15" hidden="false" customHeight="false" outlineLevel="0" collapsed="false">
      <c r="A183" s="0" t="n">
        <v>179</v>
      </c>
      <c r="B183" s="0" t="n">
        <v>1</v>
      </c>
      <c r="C183" s="19" t="n">
        <v>0.7386</v>
      </c>
      <c r="D183" s="19" t="n">
        <v>0.0088</v>
      </c>
      <c r="E183" s="20" t="n">
        <f aca="false">Parametres!$B$5*C183</f>
        <v>221.58</v>
      </c>
      <c r="F183" s="20" t="n">
        <f aca="false">Parametres!$B$6*D183</f>
        <v>1.76</v>
      </c>
      <c r="G183" s="20" t="n">
        <f aca="false">E183+F183</f>
        <v>223.34</v>
      </c>
      <c r="H183" s="20" t="n">
        <f aca="false">IF(G183&lt;Parametres!$B$8*Parametres!$B$7,0,MIN(G183,Parametres!$B$7))</f>
        <v>223.34</v>
      </c>
      <c r="I183" s="20" t="n">
        <f aca="false">G183-H183</f>
        <v>0</v>
      </c>
      <c r="J183" s="21" t="n">
        <f aca="false">H183*1000/Parametres!$B$9</f>
        <v>3787.34949974563</v>
      </c>
    </row>
    <row r="184" customFormat="false" ht="15" hidden="false" customHeight="false" outlineLevel="0" collapsed="false">
      <c r="A184" s="0" t="n">
        <v>180</v>
      </c>
      <c r="B184" s="0" t="n">
        <v>1</v>
      </c>
      <c r="C184" s="19" t="n">
        <v>0.7939</v>
      </c>
      <c r="D184" s="19" t="n">
        <v>0.0282</v>
      </c>
      <c r="E184" s="20" t="n">
        <f aca="false">Parametres!$B$5*C184</f>
        <v>238.17</v>
      </c>
      <c r="F184" s="20" t="n">
        <f aca="false">Parametres!$B$6*D184</f>
        <v>5.64</v>
      </c>
      <c r="G184" s="20" t="n">
        <f aca="false">E184+F184</f>
        <v>243.81</v>
      </c>
      <c r="H184" s="20" t="n">
        <f aca="false">IF(G184&lt;Parametres!$B$8*Parametres!$B$7,0,MIN(G184,Parametres!$B$7))</f>
        <v>243.81</v>
      </c>
      <c r="I184" s="20" t="n">
        <f aca="false">G184-H184</f>
        <v>0</v>
      </c>
      <c r="J184" s="21" t="n">
        <f aca="false">H184*1000/Parametres!$B$9</f>
        <v>4134.47515685942</v>
      </c>
    </row>
    <row r="185" customFormat="false" ht="15" hidden="false" customHeight="false" outlineLevel="0" collapsed="false">
      <c r="A185" s="0" t="n">
        <v>181</v>
      </c>
      <c r="B185" s="0" t="n">
        <v>1</v>
      </c>
      <c r="C185" s="19" t="n">
        <v>0.8327</v>
      </c>
      <c r="D185" s="19" t="n">
        <v>0.0567</v>
      </c>
      <c r="E185" s="20" t="n">
        <f aca="false">Parametres!$B$5*C185</f>
        <v>249.81</v>
      </c>
      <c r="F185" s="20" t="n">
        <f aca="false">Parametres!$B$6*D185</f>
        <v>11.34</v>
      </c>
      <c r="G185" s="20" t="n">
        <f aca="false">E185+F185</f>
        <v>261.15</v>
      </c>
      <c r="H185" s="20" t="n">
        <f aca="false">IF(G185&lt;Parametres!$B$8*Parametres!$B$7,0,MIN(G185,Parametres!$B$7))</f>
        <v>250</v>
      </c>
      <c r="I185" s="20" t="n">
        <f aca="false">G185-H185</f>
        <v>11.15</v>
      </c>
      <c r="J185" s="21" t="n">
        <f aca="false">H185*1000/Parametres!$B$9</f>
        <v>4239.44378497541</v>
      </c>
    </row>
    <row r="186" customFormat="false" ht="15" hidden="false" customHeight="false" outlineLevel="0" collapsed="false">
      <c r="A186" s="0" t="n">
        <v>182</v>
      </c>
      <c r="B186" s="0" t="n">
        <v>1</v>
      </c>
      <c r="C186" s="19" t="n">
        <v>0.7304</v>
      </c>
      <c r="D186" s="19" t="n">
        <v>0.0333</v>
      </c>
      <c r="E186" s="20" t="n">
        <f aca="false">Parametres!$B$5*C186</f>
        <v>219.12</v>
      </c>
      <c r="F186" s="20" t="n">
        <f aca="false">Parametres!$B$6*D186</f>
        <v>6.66</v>
      </c>
      <c r="G186" s="20" t="n">
        <f aca="false">E186+F186</f>
        <v>225.78</v>
      </c>
      <c r="H186" s="20" t="n">
        <f aca="false">IF(G186&lt;Parametres!$B$8*Parametres!$B$7,0,MIN(G186,Parametres!$B$7))</f>
        <v>225.78</v>
      </c>
      <c r="I186" s="20" t="n">
        <f aca="false">G186-H186</f>
        <v>0</v>
      </c>
      <c r="J186" s="21" t="n">
        <f aca="false">H186*1000/Parametres!$B$9</f>
        <v>3828.72647108699</v>
      </c>
    </row>
    <row r="187" customFormat="false" ht="15" hidden="false" customHeight="false" outlineLevel="0" collapsed="false">
      <c r="A187" s="0" t="n">
        <v>183</v>
      </c>
      <c r="B187" s="0" t="n">
        <v>1</v>
      </c>
      <c r="C187" s="19" t="n">
        <v>0.5418</v>
      </c>
      <c r="D187" s="19" t="n">
        <v>0.0203</v>
      </c>
      <c r="E187" s="20" t="n">
        <f aca="false">Parametres!$B$5*C187</f>
        <v>162.54</v>
      </c>
      <c r="F187" s="20" t="n">
        <f aca="false">Parametres!$B$6*D187</f>
        <v>4.06</v>
      </c>
      <c r="G187" s="20" t="n">
        <f aca="false">E187+F187</f>
        <v>166.6</v>
      </c>
      <c r="H187" s="20" t="n">
        <f aca="false">IF(G187&lt;Parametres!$B$8*Parametres!$B$7,0,MIN(G187,Parametres!$B$7))</f>
        <v>166.6</v>
      </c>
      <c r="I187" s="20" t="n">
        <f aca="false">G187-H187</f>
        <v>0</v>
      </c>
      <c r="J187" s="21" t="n">
        <f aca="false">H187*1000/Parametres!$B$9</f>
        <v>2825.16533830761</v>
      </c>
    </row>
    <row r="188" customFormat="false" ht="15" hidden="false" customHeight="false" outlineLevel="0" collapsed="false">
      <c r="A188" s="0" t="n">
        <v>184</v>
      </c>
      <c r="B188" s="0" t="n">
        <v>1</v>
      </c>
      <c r="C188" s="19" t="n">
        <v>0.3644</v>
      </c>
      <c r="D188" s="19" t="n">
        <v>0.0246</v>
      </c>
      <c r="E188" s="20" t="n">
        <f aca="false">Parametres!$B$5*C188</f>
        <v>109.32</v>
      </c>
      <c r="F188" s="20" t="n">
        <f aca="false">Parametres!$B$6*D188</f>
        <v>4.92</v>
      </c>
      <c r="G188" s="20" t="n">
        <f aca="false">E188+F188</f>
        <v>114.24</v>
      </c>
      <c r="H188" s="20" t="n">
        <f aca="false">IF(G188&lt;Parametres!$B$8*Parametres!$B$7,0,MIN(G188,Parametres!$B$7))</f>
        <v>114.24</v>
      </c>
      <c r="I188" s="20" t="n">
        <f aca="false">G188-H188</f>
        <v>0</v>
      </c>
      <c r="J188" s="21" t="n">
        <f aca="false">H188*1000/Parametres!$B$9</f>
        <v>1937.25623198236</v>
      </c>
    </row>
    <row r="189" customFormat="false" ht="15" hidden="false" customHeight="false" outlineLevel="0" collapsed="false">
      <c r="A189" s="0" t="n">
        <v>185</v>
      </c>
      <c r="B189" s="0" t="n">
        <v>1</v>
      </c>
      <c r="C189" s="19" t="n">
        <v>0.14</v>
      </c>
      <c r="D189" s="19" t="n">
        <v>0.022</v>
      </c>
      <c r="E189" s="20" t="n">
        <f aca="false">Parametres!$B$5*C189</f>
        <v>42</v>
      </c>
      <c r="F189" s="20" t="n">
        <f aca="false">Parametres!$B$6*D189</f>
        <v>4.4</v>
      </c>
      <c r="G189" s="20" t="n">
        <f aca="false">E189+F189</f>
        <v>46.4</v>
      </c>
      <c r="H189" s="20" t="n">
        <f aca="false">IF(G189&lt;Parametres!$B$8*Parametres!$B$7,0,MIN(G189,Parametres!$B$7))</f>
        <v>46.4</v>
      </c>
      <c r="I189" s="20" t="n">
        <f aca="false">G189-H189</f>
        <v>0</v>
      </c>
      <c r="J189" s="21" t="n">
        <f aca="false">H189*1000/Parametres!$B$9</f>
        <v>786.840766491437</v>
      </c>
    </row>
    <row r="190" customFormat="false" ht="15" hidden="false" customHeight="false" outlineLevel="0" collapsed="false">
      <c r="A190" s="0" t="n">
        <v>186</v>
      </c>
      <c r="B190" s="0" t="n">
        <v>1</v>
      </c>
      <c r="C190" s="19" t="n">
        <v>0</v>
      </c>
      <c r="D190" s="19" t="n">
        <v>0.0621</v>
      </c>
      <c r="E190" s="20" t="n">
        <f aca="false">Parametres!$B$5*C190</f>
        <v>0</v>
      </c>
      <c r="F190" s="20" t="n">
        <f aca="false">Parametres!$B$6*D190</f>
        <v>12.42</v>
      </c>
      <c r="G190" s="20" t="n">
        <f aca="false">E190+F190</f>
        <v>12.42</v>
      </c>
      <c r="H190" s="20" t="n">
        <f aca="false">IF(G190&lt;Parametres!$B$8*Parametres!$B$7,0,MIN(G190,Parametres!$B$7))</f>
        <v>0</v>
      </c>
      <c r="I190" s="20" t="n">
        <f aca="false">G190-H190</f>
        <v>12.42</v>
      </c>
      <c r="J190" s="21" t="n">
        <f aca="false">H190*1000/Parametres!$B$9</f>
        <v>0</v>
      </c>
    </row>
    <row r="191" customFormat="false" ht="15" hidden="false" customHeight="false" outlineLevel="0" collapsed="false">
      <c r="A191" s="0" t="n">
        <v>187</v>
      </c>
      <c r="B191" s="0" t="n">
        <v>1</v>
      </c>
      <c r="C191" s="19" t="n">
        <v>0</v>
      </c>
      <c r="D191" s="19" t="n">
        <v>0.0901</v>
      </c>
      <c r="E191" s="20" t="n">
        <f aca="false">Parametres!$B$5*C191</f>
        <v>0</v>
      </c>
      <c r="F191" s="20" t="n">
        <f aca="false">Parametres!$B$6*D191</f>
        <v>18.02</v>
      </c>
      <c r="G191" s="20" t="n">
        <f aca="false">E191+F191</f>
        <v>18.02</v>
      </c>
      <c r="H191" s="20" t="n">
        <f aca="false">IF(G191&lt;Parametres!$B$8*Parametres!$B$7,0,MIN(G191,Parametres!$B$7))</f>
        <v>0</v>
      </c>
      <c r="I191" s="20" t="n">
        <f aca="false">G191-H191</f>
        <v>18.02</v>
      </c>
      <c r="J191" s="21" t="n">
        <f aca="false">H191*1000/Parametres!$B$9</f>
        <v>0</v>
      </c>
    </row>
    <row r="192" customFormat="false" ht="15" hidden="false" customHeight="false" outlineLevel="0" collapsed="false">
      <c r="A192" s="0" t="n">
        <v>188</v>
      </c>
      <c r="B192" s="0" t="n">
        <v>1</v>
      </c>
      <c r="C192" s="19" t="n">
        <v>0</v>
      </c>
      <c r="D192" s="19" t="n">
        <v>0.0715</v>
      </c>
      <c r="E192" s="20" t="n">
        <f aca="false">Parametres!$B$5*C192</f>
        <v>0</v>
      </c>
      <c r="F192" s="20" t="n">
        <f aca="false">Parametres!$B$6*D192</f>
        <v>14.3</v>
      </c>
      <c r="G192" s="20" t="n">
        <f aca="false">E192+F192</f>
        <v>14.3</v>
      </c>
      <c r="H192" s="20" t="n">
        <f aca="false">IF(G192&lt;Parametres!$B$8*Parametres!$B$7,0,MIN(G192,Parametres!$B$7))</f>
        <v>0</v>
      </c>
      <c r="I192" s="20" t="n">
        <f aca="false">G192-H192</f>
        <v>14.3</v>
      </c>
      <c r="J192" s="21" t="n">
        <f aca="false">H192*1000/Parametres!$B$9</f>
        <v>0</v>
      </c>
    </row>
    <row r="193" customFormat="false" ht="15" hidden="false" customHeight="false" outlineLevel="0" collapsed="false">
      <c r="A193" s="0" t="n">
        <v>189</v>
      </c>
      <c r="B193" s="0" t="n">
        <v>1</v>
      </c>
      <c r="C193" s="19" t="n">
        <v>0</v>
      </c>
      <c r="D193" s="19" t="n">
        <v>0.0874</v>
      </c>
      <c r="E193" s="20" t="n">
        <f aca="false">Parametres!$B$5*C193</f>
        <v>0</v>
      </c>
      <c r="F193" s="20" t="n">
        <f aca="false">Parametres!$B$6*D193</f>
        <v>17.48</v>
      </c>
      <c r="G193" s="20" t="n">
        <f aca="false">E193+F193</f>
        <v>17.48</v>
      </c>
      <c r="H193" s="20" t="n">
        <f aca="false">IF(G193&lt;Parametres!$B$8*Parametres!$B$7,0,MIN(G193,Parametres!$B$7))</f>
        <v>0</v>
      </c>
      <c r="I193" s="20" t="n">
        <f aca="false">G193-H193</f>
        <v>17.48</v>
      </c>
      <c r="J193" s="21" t="n">
        <f aca="false">H193*1000/Parametres!$B$9</f>
        <v>0</v>
      </c>
    </row>
    <row r="194" customFormat="false" ht="15" hidden="false" customHeight="false" outlineLevel="0" collapsed="false">
      <c r="A194" s="0" t="n">
        <v>190</v>
      </c>
      <c r="B194" s="0" t="n">
        <v>1</v>
      </c>
      <c r="C194" s="19" t="n">
        <v>0</v>
      </c>
      <c r="D194" s="19" t="n">
        <v>0.0217</v>
      </c>
      <c r="E194" s="20" t="n">
        <f aca="false">Parametres!$B$5*C194</f>
        <v>0</v>
      </c>
      <c r="F194" s="20" t="n">
        <f aca="false">Parametres!$B$6*D194</f>
        <v>4.34</v>
      </c>
      <c r="G194" s="20" t="n">
        <f aca="false">E194+F194</f>
        <v>4.34</v>
      </c>
      <c r="H194" s="20" t="n">
        <f aca="false">IF(G194&lt;Parametres!$B$8*Parametres!$B$7,0,MIN(G194,Parametres!$B$7))</f>
        <v>0</v>
      </c>
      <c r="I194" s="20" t="n">
        <f aca="false">G194-H194</f>
        <v>4.34</v>
      </c>
      <c r="J194" s="21" t="n">
        <f aca="false">H194*1000/Parametres!$B$9</f>
        <v>0</v>
      </c>
    </row>
    <row r="195" customFormat="false" ht="15" hidden="false" customHeight="false" outlineLevel="0" collapsed="false">
      <c r="A195" s="0" t="n">
        <v>191</v>
      </c>
      <c r="B195" s="0" t="n">
        <v>1</v>
      </c>
      <c r="C195" s="19" t="n">
        <v>0</v>
      </c>
      <c r="D195" s="19" t="n">
        <v>0.023</v>
      </c>
      <c r="E195" s="20" t="n">
        <f aca="false">Parametres!$B$5*C195</f>
        <v>0</v>
      </c>
      <c r="F195" s="20" t="n">
        <f aca="false">Parametres!$B$6*D195</f>
        <v>4.6</v>
      </c>
      <c r="G195" s="20" t="n">
        <f aca="false">E195+F195</f>
        <v>4.6</v>
      </c>
      <c r="H195" s="20" t="n">
        <f aca="false">IF(G195&lt;Parametres!$B$8*Parametres!$B$7,0,MIN(G195,Parametres!$B$7))</f>
        <v>0</v>
      </c>
      <c r="I195" s="20" t="n">
        <f aca="false">G195-H195</f>
        <v>4.6</v>
      </c>
      <c r="J195" s="21" t="n">
        <f aca="false">H195*1000/Parametres!$B$9</f>
        <v>0</v>
      </c>
    </row>
    <row r="196" customFormat="false" ht="15" hidden="false" customHeight="false" outlineLevel="0" collapsed="false">
      <c r="A196" s="0" t="n">
        <v>192</v>
      </c>
      <c r="B196" s="0" t="n">
        <v>1</v>
      </c>
      <c r="C196" s="19" t="n">
        <v>0</v>
      </c>
      <c r="D196" s="19" t="n">
        <v>0.0347</v>
      </c>
      <c r="E196" s="20" t="n">
        <f aca="false">Parametres!$B$5*C196</f>
        <v>0</v>
      </c>
      <c r="F196" s="20" t="n">
        <f aca="false">Parametres!$B$6*D196</f>
        <v>6.94</v>
      </c>
      <c r="G196" s="20" t="n">
        <f aca="false">E196+F196</f>
        <v>6.94</v>
      </c>
      <c r="H196" s="20" t="n">
        <f aca="false">IF(G196&lt;Parametres!$B$8*Parametres!$B$7,0,MIN(G196,Parametres!$B$7))</f>
        <v>0</v>
      </c>
      <c r="I196" s="20" t="n">
        <f aca="false">G196-H196</f>
        <v>6.94</v>
      </c>
      <c r="J196" s="21" t="n">
        <f aca="false">H196*1000/Parametres!$B$9</f>
        <v>0</v>
      </c>
    </row>
    <row r="197" customFormat="false" ht="15" hidden="false" customHeight="false" outlineLevel="0" collapsed="false">
      <c r="A197" s="0" t="n">
        <v>193</v>
      </c>
      <c r="B197" s="0" t="n">
        <v>1</v>
      </c>
      <c r="C197" s="19" t="n">
        <v>0</v>
      </c>
      <c r="D197" s="19" t="n">
        <v>0.0261</v>
      </c>
      <c r="E197" s="20" t="n">
        <f aca="false">Parametres!$B$5*C197</f>
        <v>0</v>
      </c>
      <c r="F197" s="20" t="n">
        <f aca="false">Parametres!$B$6*D197</f>
        <v>5.22</v>
      </c>
      <c r="G197" s="20" t="n">
        <f aca="false">E197+F197</f>
        <v>5.22</v>
      </c>
      <c r="H197" s="20" t="n">
        <f aca="false">IF(G197&lt;Parametres!$B$8*Parametres!$B$7,0,MIN(G197,Parametres!$B$7))</f>
        <v>0</v>
      </c>
      <c r="I197" s="20" t="n">
        <f aca="false">G197-H197</f>
        <v>5.22</v>
      </c>
      <c r="J197" s="21" t="n">
        <f aca="false">H197*1000/Parametres!$B$9</f>
        <v>0</v>
      </c>
    </row>
    <row r="198" customFormat="false" ht="15" hidden="false" customHeight="false" outlineLevel="0" collapsed="false">
      <c r="A198" s="0" t="n">
        <v>194</v>
      </c>
      <c r="B198" s="0" t="n">
        <v>1</v>
      </c>
      <c r="C198" s="19" t="n">
        <v>0</v>
      </c>
      <c r="D198" s="19" t="n">
        <v>0.0134</v>
      </c>
      <c r="E198" s="20" t="n">
        <f aca="false">Parametres!$B$5*C198</f>
        <v>0</v>
      </c>
      <c r="F198" s="20" t="n">
        <f aca="false">Parametres!$B$6*D198</f>
        <v>2.68</v>
      </c>
      <c r="G198" s="20" t="n">
        <f aca="false">E198+F198</f>
        <v>2.68</v>
      </c>
      <c r="H198" s="20" t="n">
        <f aca="false">IF(G198&lt;Parametres!$B$8*Parametres!$B$7,0,MIN(G198,Parametres!$B$7))</f>
        <v>0</v>
      </c>
      <c r="I198" s="20" t="n">
        <f aca="false">G198-H198</f>
        <v>2.68</v>
      </c>
      <c r="J198" s="21" t="n">
        <f aca="false">H198*1000/Parametres!$B$9</f>
        <v>0</v>
      </c>
    </row>
    <row r="199" customFormat="false" ht="15" hidden="false" customHeight="false" outlineLevel="0" collapsed="false">
      <c r="A199" s="0" t="n">
        <v>195</v>
      </c>
      <c r="B199" s="0" t="n">
        <v>1</v>
      </c>
      <c r="C199" s="19" t="n">
        <v>0</v>
      </c>
      <c r="D199" s="19" t="n">
        <v>0.0182</v>
      </c>
      <c r="E199" s="20" t="n">
        <f aca="false">Parametres!$B$5*C199</f>
        <v>0</v>
      </c>
      <c r="F199" s="20" t="n">
        <f aca="false">Parametres!$B$6*D199</f>
        <v>3.64</v>
      </c>
      <c r="G199" s="20" t="n">
        <f aca="false">E199+F199</f>
        <v>3.64</v>
      </c>
      <c r="H199" s="20" t="n">
        <f aca="false">IF(G199&lt;Parametres!$B$8*Parametres!$B$7,0,MIN(G199,Parametres!$B$7))</f>
        <v>0</v>
      </c>
      <c r="I199" s="20" t="n">
        <f aca="false">G199-H199</f>
        <v>3.64</v>
      </c>
      <c r="J199" s="21" t="n">
        <f aca="false">H199*1000/Parametres!$B$9</f>
        <v>0</v>
      </c>
    </row>
    <row r="200" customFormat="false" ht="15" hidden="false" customHeight="false" outlineLevel="0" collapsed="false">
      <c r="A200" s="0" t="n">
        <v>196</v>
      </c>
      <c r="B200" s="0" t="n">
        <v>1</v>
      </c>
      <c r="C200" s="19" t="n">
        <v>0</v>
      </c>
      <c r="D200" s="19" t="n">
        <v>0.0559</v>
      </c>
      <c r="E200" s="20" t="n">
        <f aca="false">Parametres!$B$5*C200</f>
        <v>0</v>
      </c>
      <c r="F200" s="20" t="n">
        <f aca="false">Parametres!$B$6*D200</f>
        <v>11.18</v>
      </c>
      <c r="G200" s="20" t="n">
        <f aca="false">E200+F200</f>
        <v>11.18</v>
      </c>
      <c r="H200" s="20" t="n">
        <f aca="false">IF(G200&lt;Parametres!$B$8*Parametres!$B$7,0,MIN(G200,Parametres!$B$7))</f>
        <v>0</v>
      </c>
      <c r="I200" s="20" t="n">
        <f aca="false">G200-H200</f>
        <v>11.18</v>
      </c>
      <c r="J200" s="21" t="n">
        <f aca="false">H200*1000/Parametres!$B$9</f>
        <v>0</v>
      </c>
    </row>
    <row r="201" customFormat="false" ht="15" hidden="false" customHeight="false" outlineLevel="0" collapsed="false">
      <c r="A201" s="0" t="n">
        <v>197</v>
      </c>
      <c r="B201" s="0" t="n">
        <v>1</v>
      </c>
      <c r="C201" s="19" t="n">
        <v>0</v>
      </c>
      <c r="D201" s="19" t="n">
        <v>0.0606</v>
      </c>
      <c r="E201" s="20" t="n">
        <f aca="false">Parametres!$B$5*C201</f>
        <v>0</v>
      </c>
      <c r="F201" s="20" t="n">
        <f aca="false">Parametres!$B$6*D201</f>
        <v>12.12</v>
      </c>
      <c r="G201" s="20" t="n">
        <f aca="false">E201+F201</f>
        <v>12.12</v>
      </c>
      <c r="H201" s="20" t="n">
        <f aca="false">IF(G201&lt;Parametres!$B$8*Parametres!$B$7,0,MIN(G201,Parametres!$B$7))</f>
        <v>0</v>
      </c>
      <c r="I201" s="20" t="n">
        <f aca="false">G201-H201</f>
        <v>12.12</v>
      </c>
      <c r="J201" s="21" t="n">
        <f aca="false">H201*1000/Parametres!$B$9</f>
        <v>0</v>
      </c>
    </row>
    <row r="202" customFormat="false" ht="15" hidden="false" customHeight="false" outlineLevel="0" collapsed="false">
      <c r="A202" s="0" t="n">
        <v>198</v>
      </c>
      <c r="B202" s="0" t="n">
        <v>1</v>
      </c>
      <c r="C202" s="19" t="n">
        <v>0</v>
      </c>
      <c r="D202" s="19" t="n">
        <v>0.0338</v>
      </c>
      <c r="E202" s="20" t="n">
        <f aca="false">Parametres!$B$5*C202</f>
        <v>0</v>
      </c>
      <c r="F202" s="20" t="n">
        <f aca="false">Parametres!$B$6*D202</f>
        <v>6.76</v>
      </c>
      <c r="G202" s="20" t="n">
        <f aca="false">E202+F202</f>
        <v>6.76</v>
      </c>
      <c r="H202" s="20" t="n">
        <f aca="false">IF(G202&lt;Parametres!$B$8*Parametres!$B$7,0,MIN(G202,Parametres!$B$7))</f>
        <v>0</v>
      </c>
      <c r="I202" s="20" t="n">
        <f aca="false">G202-H202</f>
        <v>6.76</v>
      </c>
      <c r="J202" s="21" t="n">
        <f aca="false">H202*1000/Parametres!$B$9</f>
        <v>0</v>
      </c>
    </row>
    <row r="203" customFormat="false" ht="15" hidden="false" customHeight="false" outlineLevel="0" collapsed="false">
      <c r="A203" s="0" t="n">
        <v>199</v>
      </c>
      <c r="B203" s="0" t="n">
        <v>1</v>
      </c>
      <c r="C203" s="19" t="n">
        <v>0</v>
      </c>
      <c r="D203" s="19" t="n">
        <v>0.0792</v>
      </c>
      <c r="E203" s="20" t="n">
        <f aca="false">Parametres!$B$5*C203</f>
        <v>0</v>
      </c>
      <c r="F203" s="20" t="n">
        <f aca="false">Parametres!$B$6*D203</f>
        <v>15.84</v>
      </c>
      <c r="G203" s="20" t="n">
        <f aca="false">E203+F203</f>
        <v>15.84</v>
      </c>
      <c r="H203" s="20" t="n">
        <f aca="false">IF(G203&lt;Parametres!$B$8*Parametres!$B$7,0,MIN(G203,Parametres!$B$7))</f>
        <v>0</v>
      </c>
      <c r="I203" s="20" t="n">
        <f aca="false">G203-H203</f>
        <v>15.84</v>
      </c>
      <c r="J203" s="21" t="n">
        <f aca="false">H203*1000/Parametres!$B$9</f>
        <v>0</v>
      </c>
    </row>
    <row r="204" customFormat="false" ht="15" hidden="false" customHeight="false" outlineLevel="0" collapsed="false">
      <c r="A204" s="0" t="n">
        <v>200</v>
      </c>
      <c r="B204" s="0" t="n">
        <v>1</v>
      </c>
      <c r="C204" s="19" t="n">
        <v>0.1284</v>
      </c>
      <c r="D204" s="19" t="n">
        <v>0.0324</v>
      </c>
      <c r="E204" s="20" t="n">
        <f aca="false">Parametres!$B$5*C204</f>
        <v>38.52</v>
      </c>
      <c r="F204" s="20" t="n">
        <f aca="false">Parametres!$B$6*D204</f>
        <v>6.48</v>
      </c>
      <c r="G204" s="20" t="n">
        <f aca="false">E204+F204</f>
        <v>45</v>
      </c>
      <c r="H204" s="20" t="n">
        <f aca="false">IF(G204&lt;Parametres!$B$8*Parametres!$B$7,0,MIN(G204,Parametres!$B$7))</f>
        <v>45</v>
      </c>
      <c r="I204" s="20" t="n">
        <f aca="false">G204-H204</f>
        <v>0</v>
      </c>
      <c r="J204" s="21" t="n">
        <f aca="false">H204*1000/Parametres!$B$9</f>
        <v>763.099881295574</v>
      </c>
    </row>
    <row r="205" customFormat="false" ht="15" hidden="false" customHeight="false" outlineLevel="0" collapsed="false">
      <c r="A205" s="0" t="n">
        <v>201</v>
      </c>
      <c r="B205" s="0" t="n">
        <v>1</v>
      </c>
      <c r="C205" s="19" t="n">
        <v>0.3555</v>
      </c>
      <c r="D205" s="19" t="n">
        <v>0.0516</v>
      </c>
      <c r="E205" s="20" t="n">
        <f aca="false">Parametres!$B$5*C205</f>
        <v>106.65</v>
      </c>
      <c r="F205" s="20" t="n">
        <f aca="false">Parametres!$B$6*D205</f>
        <v>10.32</v>
      </c>
      <c r="G205" s="20" t="n">
        <f aca="false">E205+F205</f>
        <v>116.97</v>
      </c>
      <c r="H205" s="20" t="n">
        <f aca="false">IF(G205&lt;Parametres!$B$8*Parametres!$B$7,0,MIN(G205,Parametres!$B$7))</f>
        <v>116.97</v>
      </c>
      <c r="I205" s="20" t="n">
        <f aca="false">G205-H205</f>
        <v>0</v>
      </c>
      <c r="J205" s="21" t="n">
        <f aca="false">H205*1000/Parametres!$B$9</f>
        <v>1983.5509581143</v>
      </c>
    </row>
    <row r="206" customFormat="false" ht="15" hidden="false" customHeight="false" outlineLevel="0" collapsed="false">
      <c r="A206" s="0" t="n">
        <v>202</v>
      </c>
      <c r="B206" s="0" t="n">
        <v>1</v>
      </c>
      <c r="C206" s="19" t="n">
        <v>0.5493</v>
      </c>
      <c r="D206" s="19" t="n">
        <v>0.0446</v>
      </c>
      <c r="E206" s="20" t="n">
        <f aca="false">Parametres!$B$5*C206</f>
        <v>164.79</v>
      </c>
      <c r="F206" s="20" t="n">
        <f aca="false">Parametres!$B$6*D206</f>
        <v>8.92</v>
      </c>
      <c r="G206" s="20" t="n">
        <f aca="false">E206+F206</f>
        <v>173.71</v>
      </c>
      <c r="H206" s="20" t="n">
        <f aca="false">IF(G206&lt;Parametres!$B$8*Parametres!$B$7,0,MIN(G206,Parametres!$B$7))</f>
        <v>173.71</v>
      </c>
      <c r="I206" s="20" t="n">
        <f aca="false">G206-H206</f>
        <v>0</v>
      </c>
      <c r="J206" s="21" t="n">
        <f aca="false">H206*1000/Parametres!$B$9</f>
        <v>2945.73511955231</v>
      </c>
    </row>
    <row r="207" customFormat="false" ht="15" hidden="false" customHeight="false" outlineLevel="0" collapsed="false">
      <c r="A207" s="0" t="n">
        <v>203</v>
      </c>
      <c r="B207" s="0" t="n">
        <v>1</v>
      </c>
      <c r="C207" s="19" t="n">
        <v>0.7497</v>
      </c>
      <c r="D207" s="19" t="n">
        <v>0.0887</v>
      </c>
      <c r="E207" s="20" t="n">
        <f aca="false">Parametres!$B$5*C207</f>
        <v>224.91</v>
      </c>
      <c r="F207" s="20" t="n">
        <f aca="false">Parametres!$B$6*D207</f>
        <v>17.74</v>
      </c>
      <c r="G207" s="20" t="n">
        <f aca="false">E207+F207</f>
        <v>242.65</v>
      </c>
      <c r="H207" s="20" t="n">
        <f aca="false">IF(G207&lt;Parametres!$B$8*Parametres!$B$7,0,MIN(G207,Parametres!$B$7))</f>
        <v>242.65</v>
      </c>
      <c r="I207" s="20" t="n">
        <f aca="false">G207-H207</f>
        <v>0</v>
      </c>
      <c r="J207" s="21" t="n">
        <f aca="false">H207*1000/Parametres!$B$9</f>
        <v>4114.80413769713</v>
      </c>
    </row>
    <row r="208" customFormat="false" ht="15" hidden="false" customHeight="false" outlineLevel="0" collapsed="false">
      <c r="A208" s="0" t="n">
        <v>204</v>
      </c>
      <c r="B208" s="0" t="n">
        <v>1</v>
      </c>
      <c r="C208" s="19" t="n">
        <v>0.7827</v>
      </c>
      <c r="D208" s="19" t="n">
        <v>0.0676</v>
      </c>
      <c r="E208" s="20" t="n">
        <f aca="false">Parametres!$B$5*C208</f>
        <v>234.81</v>
      </c>
      <c r="F208" s="20" t="n">
        <f aca="false">Parametres!$B$6*D208</f>
        <v>13.52</v>
      </c>
      <c r="G208" s="20" t="n">
        <f aca="false">E208+F208</f>
        <v>248.33</v>
      </c>
      <c r="H208" s="20" t="n">
        <f aca="false">IF(G208&lt;Parametres!$B$8*Parametres!$B$7,0,MIN(G208,Parametres!$B$7))</f>
        <v>248.33</v>
      </c>
      <c r="I208" s="20" t="n">
        <f aca="false">G208-H208</f>
        <v>0</v>
      </c>
      <c r="J208" s="21" t="n">
        <f aca="false">H208*1000/Parametres!$B$9</f>
        <v>4211.12430049178</v>
      </c>
    </row>
    <row r="209" customFormat="false" ht="15" hidden="false" customHeight="false" outlineLevel="0" collapsed="false">
      <c r="A209" s="0" t="n">
        <v>205</v>
      </c>
      <c r="B209" s="0" t="n">
        <v>1</v>
      </c>
      <c r="C209" s="19" t="n">
        <v>0.7187</v>
      </c>
      <c r="D209" s="19" t="n">
        <v>0.1512</v>
      </c>
      <c r="E209" s="20" t="n">
        <f aca="false">Parametres!$B$5*C209</f>
        <v>215.61</v>
      </c>
      <c r="F209" s="20" t="n">
        <f aca="false">Parametres!$B$6*D209</f>
        <v>30.24</v>
      </c>
      <c r="G209" s="20" t="n">
        <f aca="false">E209+F209</f>
        <v>245.85</v>
      </c>
      <c r="H209" s="20" t="n">
        <f aca="false">IF(G209&lt;Parametres!$B$8*Parametres!$B$7,0,MIN(G209,Parametres!$B$7))</f>
        <v>245.85</v>
      </c>
      <c r="I209" s="20" t="n">
        <f aca="false">G209-H209</f>
        <v>0</v>
      </c>
      <c r="J209" s="21" t="n">
        <f aca="false">H209*1000/Parametres!$B$9</f>
        <v>4169.06901814482</v>
      </c>
    </row>
    <row r="210" customFormat="false" ht="15" hidden="false" customHeight="false" outlineLevel="0" collapsed="false">
      <c r="A210" s="0" t="n">
        <v>206</v>
      </c>
      <c r="B210" s="0" t="n">
        <v>1</v>
      </c>
      <c r="C210" s="19" t="n">
        <v>0.7108</v>
      </c>
      <c r="D210" s="19" t="n">
        <v>0.193</v>
      </c>
      <c r="E210" s="20" t="n">
        <f aca="false">Parametres!$B$5*C210</f>
        <v>213.24</v>
      </c>
      <c r="F210" s="20" t="n">
        <f aca="false">Parametres!$B$6*D210</f>
        <v>38.6</v>
      </c>
      <c r="G210" s="20" t="n">
        <f aca="false">E210+F210</f>
        <v>251.84</v>
      </c>
      <c r="H210" s="20" t="n">
        <f aca="false">IF(G210&lt;Parametres!$B$8*Parametres!$B$7,0,MIN(G210,Parametres!$B$7))</f>
        <v>250</v>
      </c>
      <c r="I210" s="20" t="n">
        <f aca="false">G210-H210</f>
        <v>1.84</v>
      </c>
      <c r="J210" s="21" t="n">
        <f aca="false">H210*1000/Parametres!$B$9</f>
        <v>4239.44378497541</v>
      </c>
    </row>
    <row r="211" customFormat="false" ht="15" hidden="false" customHeight="false" outlineLevel="0" collapsed="false">
      <c r="A211" s="0" t="n">
        <v>207</v>
      </c>
      <c r="B211" s="0" t="n">
        <v>1</v>
      </c>
      <c r="C211" s="19" t="n">
        <v>0.5946</v>
      </c>
      <c r="D211" s="19" t="n">
        <v>0.0934</v>
      </c>
      <c r="E211" s="20" t="n">
        <f aca="false">Parametres!$B$5*C211</f>
        <v>178.38</v>
      </c>
      <c r="F211" s="20" t="n">
        <f aca="false">Parametres!$B$6*D211</f>
        <v>18.68</v>
      </c>
      <c r="G211" s="20" t="n">
        <f aca="false">E211+F211</f>
        <v>197.06</v>
      </c>
      <c r="H211" s="20" t="n">
        <f aca="false">IF(G211&lt;Parametres!$B$8*Parametres!$B$7,0,MIN(G211,Parametres!$B$7))</f>
        <v>197.06</v>
      </c>
      <c r="I211" s="20" t="n">
        <f aca="false">G211-H211</f>
        <v>0</v>
      </c>
      <c r="J211" s="21" t="n">
        <f aca="false">H211*1000/Parametres!$B$9</f>
        <v>3341.69916906902</v>
      </c>
    </row>
    <row r="212" customFormat="false" ht="15" hidden="false" customHeight="false" outlineLevel="0" collapsed="false">
      <c r="A212" s="0" t="n">
        <v>208</v>
      </c>
      <c r="B212" s="0" t="n">
        <v>1</v>
      </c>
      <c r="C212" s="19" t="n">
        <v>0.3641</v>
      </c>
      <c r="D212" s="19" t="n">
        <v>0.0307</v>
      </c>
      <c r="E212" s="20" t="n">
        <f aca="false">Parametres!$B$5*C212</f>
        <v>109.23</v>
      </c>
      <c r="F212" s="20" t="n">
        <f aca="false">Parametres!$B$6*D212</f>
        <v>6.14</v>
      </c>
      <c r="G212" s="20" t="n">
        <f aca="false">E212+F212</f>
        <v>115.37</v>
      </c>
      <c r="H212" s="20" t="n">
        <f aca="false">IF(G212&lt;Parametres!$B$8*Parametres!$B$7,0,MIN(G212,Parametres!$B$7))</f>
        <v>115.37</v>
      </c>
      <c r="I212" s="20" t="n">
        <f aca="false">G212-H212</f>
        <v>0</v>
      </c>
      <c r="J212" s="21" t="n">
        <f aca="false">H212*1000/Parametres!$B$9</f>
        <v>1956.41851789045</v>
      </c>
    </row>
    <row r="213" customFormat="false" ht="15" hidden="false" customHeight="false" outlineLevel="0" collapsed="false">
      <c r="A213" s="0" t="n">
        <v>209</v>
      </c>
      <c r="B213" s="0" t="n">
        <v>1</v>
      </c>
      <c r="C213" s="19" t="n">
        <v>0.1358</v>
      </c>
      <c r="D213" s="19" t="n">
        <v>0.026</v>
      </c>
      <c r="E213" s="20" t="n">
        <f aca="false">Parametres!$B$5*C213</f>
        <v>40.74</v>
      </c>
      <c r="F213" s="20" t="n">
        <f aca="false">Parametres!$B$6*D213</f>
        <v>5.2</v>
      </c>
      <c r="G213" s="20" t="n">
        <f aca="false">E213+F213</f>
        <v>45.94</v>
      </c>
      <c r="H213" s="20" t="n">
        <f aca="false">IF(G213&lt;Parametres!$B$8*Parametres!$B$7,0,MIN(G213,Parametres!$B$7))</f>
        <v>45.94</v>
      </c>
      <c r="I213" s="20" t="n">
        <f aca="false">G213-H213</f>
        <v>0</v>
      </c>
      <c r="J213" s="21" t="n">
        <f aca="false">H213*1000/Parametres!$B$9</f>
        <v>779.040189927082</v>
      </c>
    </row>
    <row r="214" customFormat="false" ht="15" hidden="false" customHeight="false" outlineLevel="0" collapsed="false">
      <c r="A214" s="0" t="n">
        <v>210</v>
      </c>
      <c r="B214" s="0" t="n">
        <v>1</v>
      </c>
      <c r="C214" s="19" t="n">
        <v>0</v>
      </c>
      <c r="D214" s="19" t="n">
        <v>0.0616</v>
      </c>
      <c r="E214" s="20" t="n">
        <f aca="false">Parametres!$B$5*C214</f>
        <v>0</v>
      </c>
      <c r="F214" s="20" t="n">
        <f aca="false">Parametres!$B$6*D214</f>
        <v>12.32</v>
      </c>
      <c r="G214" s="20" t="n">
        <f aca="false">E214+F214</f>
        <v>12.32</v>
      </c>
      <c r="H214" s="20" t="n">
        <f aca="false">IF(G214&lt;Parametres!$B$8*Parametres!$B$7,0,MIN(G214,Parametres!$B$7))</f>
        <v>0</v>
      </c>
      <c r="I214" s="20" t="n">
        <f aca="false">G214-H214</f>
        <v>12.32</v>
      </c>
      <c r="J214" s="21" t="n">
        <f aca="false">H214*1000/Parametres!$B$9</f>
        <v>0</v>
      </c>
    </row>
    <row r="215" customFormat="false" ht="15" hidden="false" customHeight="false" outlineLevel="0" collapsed="false">
      <c r="A215" s="0" t="n">
        <v>211</v>
      </c>
      <c r="B215" s="0" t="n">
        <v>1</v>
      </c>
      <c r="C215" s="19" t="n">
        <v>0</v>
      </c>
      <c r="D215" s="19" t="n">
        <v>0.0639</v>
      </c>
      <c r="E215" s="20" t="n">
        <f aca="false">Parametres!$B$5*C215</f>
        <v>0</v>
      </c>
      <c r="F215" s="20" t="n">
        <f aca="false">Parametres!$B$6*D215</f>
        <v>12.78</v>
      </c>
      <c r="G215" s="20" t="n">
        <f aca="false">E215+F215</f>
        <v>12.78</v>
      </c>
      <c r="H215" s="20" t="n">
        <f aca="false">IF(G215&lt;Parametres!$B$8*Parametres!$B$7,0,MIN(G215,Parametres!$B$7))</f>
        <v>0</v>
      </c>
      <c r="I215" s="20" t="n">
        <f aca="false">G215-H215</f>
        <v>12.78</v>
      </c>
      <c r="J215" s="21" t="n">
        <f aca="false">H215*1000/Parametres!$B$9</f>
        <v>0</v>
      </c>
    </row>
    <row r="216" customFormat="false" ht="15" hidden="false" customHeight="false" outlineLevel="0" collapsed="false">
      <c r="A216" s="0" t="n">
        <v>212</v>
      </c>
      <c r="B216" s="0" t="n">
        <v>1</v>
      </c>
      <c r="C216" s="19" t="n">
        <v>0</v>
      </c>
      <c r="D216" s="19" t="n">
        <v>0.0616</v>
      </c>
      <c r="E216" s="20" t="n">
        <f aca="false">Parametres!$B$5*C216</f>
        <v>0</v>
      </c>
      <c r="F216" s="20" t="n">
        <f aca="false">Parametres!$B$6*D216</f>
        <v>12.32</v>
      </c>
      <c r="G216" s="20" t="n">
        <f aca="false">E216+F216</f>
        <v>12.32</v>
      </c>
      <c r="H216" s="20" t="n">
        <f aca="false">IF(G216&lt;Parametres!$B$8*Parametres!$B$7,0,MIN(G216,Parametres!$B$7))</f>
        <v>0</v>
      </c>
      <c r="I216" s="20" t="n">
        <f aca="false">G216-H216</f>
        <v>12.32</v>
      </c>
      <c r="J216" s="21" t="n">
        <f aca="false">H216*1000/Parametres!$B$9</f>
        <v>0</v>
      </c>
    </row>
    <row r="217" customFormat="false" ht="15" hidden="false" customHeight="false" outlineLevel="0" collapsed="false">
      <c r="A217" s="0" t="n">
        <v>213</v>
      </c>
      <c r="B217" s="0" t="n">
        <v>1</v>
      </c>
      <c r="C217" s="19" t="n">
        <v>0</v>
      </c>
      <c r="D217" s="19" t="n">
        <v>0.048</v>
      </c>
      <c r="E217" s="20" t="n">
        <f aca="false">Parametres!$B$5*C217</f>
        <v>0</v>
      </c>
      <c r="F217" s="20" t="n">
        <f aca="false">Parametres!$B$6*D217</f>
        <v>9.6</v>
      </c>
      <c r="G217" s="20" t="n">
        <f aca="false">E217+F217</f>
        <v>9.6</v>
      </c>
      <c r="H217" s="20" t="n">
        <f aca="false">IF(G217&lt;Parametres!$B$8*Parametres!$B$7,0,MIN(G217,Parametres!$B$7))</f>
        <v>0</v>
      </c>
      <c r="I217" s="20" t="n">
        <f aca="false">G217-H217</f>
        <v>9.6</v>
      </c>
      <c r="J217" s="21" t="n">
        <f aca="false">H217*1000/Parametres!$B$9</f>
        <v>0</v>
      </c>
    </row>
    <row r="218" customFormat="false" ht="15" hidden="false" customHeight="false" outlineLevel="0" collapsed="false">
      <c r="A218" s="0" t="n">
        <v>214</v>
      </c>
      <c r="B218" s="0" t="n">
        <v>1</v>
      </c>
      <c r="C218" s="19" t="n">
        <v>0</v>
      </c>
      <c r="D218" s="19" t="n">
        <v>0.0642</v>
      </c>
      <c r="E218" s="20" t="n">
        <f aca="false">Parametres!$B$5*C218</f>
        <v>0</v>
      </c>
      <c r="F218" s="20" t="n">
        <f aca="false">Parametres!$B$6*D218</f>
        <v>12.84</v>
      </c>
      <c r="G218" s="20" t="n">
        <f aca="false">E218+F218</f>
        <v>12.84</v>
      </c>
      <c r="H218" s="20" t="n">
        <f aca="false">IF(G218&lt;Parametres!$B$8*Parametres!$B$7,0,MIN(G218,Parametres!$B$7))</f>
        <v>0</v>
      </c>
      <c r="I218" s="20" t="n">
        <f aca="false">G218-H218</f>
        <v>12.84</v>
      </c>
      <c r="J218" s="21" t="n">
        <f aca="false">H218*1000/Parametres!$B$9</f>
        <v>0</v>
      </c>
    </row>
    <row r="219" customFormat="false" ht="15" hidden="false" customHeight="false" outlineLevel="0" collapsed="false">
      <c r="A219" s="0" t="n">
        <v>215</v>
      </c>
      <c r="B219" s="0" t="n">
        <v>1</v>
      </c>
      <c r="C219" s="19" t="n">
        <v>0</v>
      </c>
      <c r="D219" s="19" t="n">
        <v>0.0675</v>
      </c>
      <c r="E219" s="20" t="n">
        <f aca="false">Parametres!$B$5*C219</f>
        <v>0</v>
      </c>
      <c r="F219" s="20" t="n">
        <f aca="false">Parametres!$B$6*D219</f>
        <v>13.5</v>
      </c>
      <c r="G219" s="20" t="n">
        <f aca="false">E219+F219</f>
        <v>13.5</v>
      </c>
      <c r="H219" s="20" t="n">
        <f aca="false">IF(G219&lt;Parametres!$B$8*Parametres!$B$7,0,MIN(G219,Parametres!$B$7))</f>
        <v>0</v>
      </c>
      <c r="I219" s="20" t="n">
        <f aca="false">G219-H219</f>
        <v>13.5</v>
      </c>
      <c r="J219" s="21" t="n">
        <f aca="false">H219*1000/Parametres!$B$9</f>
        <v>0</v>
      </c>
    </row>
    <row r="220" customFormat="false" ht="15" hidden="false" customHeight="false" outlineLevel="0" collapsed="false">
      <c r="A220" s="0" t="n">
        <v>216</v>
      </c>
      <c r="B220" s="0" t="n">
        <v>1</v>
      </c>
      <c r="C220" s="19" t="n">
        <v>0</v>
      </c>
      <c r="D220" s="19" t="n">
        <v>0.0666</v>
      </c>
      <c r="E220" s="20" t="n">
        <f aca="false">Parametres!$B$5*C220</f>
        <v>0</v>
      </c>
      <c r="F220" s="20" t="n">
        <f aca="false">Parametres!$B$6*D220</f>
        <v>13.32</v>
      </c>
      <c r="G220" s="20" t="n">
        <f aca="false">E220+F220</f>
        <v>13.32</v>
      </c>
      <c r="H220" s="20" t="n">
        <f aca="false">IF(G220&lt;Parametres!$B$8*Parametres!$B$7,0,MIN(G220,Parametres!$B$7))</f>
        <v>0</v>
      </c>
      <c r="I220" s="20" t="n">
        <f aca="false">G220-H220</f>
        <v>13.32</v>
      </c>
      <c r="J220" s="21" t="n">
        <f aca="false">H220*1000/Parametres!$B$9</f>
        <v>0</v>
      </c>
    </row>
    <row r="221" customFormat="false" ht="15" hidden="false" customHeight="false" outlineLevel="0" collapsed="false">
      <c r="A221" s="0" t="n">
        <v>217</v>
      </c>
      <c r="B221" s="0" t="n">
        <v>1</v>
      </c>
      <c r="C221" s="19" t="n">
        <v>0</v>
      </c>
      <c r="D221" s="19" t="n">
        <v>0.0321</v>
      </c>
      <c r="E221" s="20" t="n">
        <f aca="false">Parametres!$B$5*C221</f>
        <v>0</v>
      </c>
      <c r="F221" s="20" t="n">
        <f aca="false">Parametres!$B$6*D221</f>
        <v>6.42</v>
      </c>
      <c r="G221" s="20" t="n">
        <f aca="false">E221+F221</f>
        <v>6.42</v>
      </c>
      <c r="H221" s="20" t="n">
        <f aca="false">IF(G221&lt;Parametres!$B$8*Parametres!$B$7,0,MIN(G221,Parametres!$B$7))</f>
        <v>0</v>
      </c>
      <c r="I221" s="20" t="n">
        <f aca="false">G221-H221</f>
        <v>6.42</v>
      </c>
      <c r="J221" s="21" t="n">
        <f aca="false">H221*1000/Parametres!$B$9</f>
        <v>0</v>
      </c>
    </row>
    <row r="222" customFormat="false" ht="15" hidden="false" customHeight="false" outlineLevel="0" collapsed="false">
      <c r="A222" s="0" t="n">
        <v>218</v>
      </c>
      <c r="B222" s="0" t="n">
        <v>1</v>
      </c>
      <c r="C222" s="19" t="n">
        <v>0</v>
      </c>
      <c r="D222" s="19" t="n">
        <v>0.0552</v>
      </c>
      <c r="E222" s="20" t="n">
        <f aca="false">Parametres!$B$5*C222</f>
        <v>0</v>
      </c>
      <c r="F222" s="20" t="n">
        <f aca="false">Parametres!$B$6*D222</f>
        <v>11.04</v>
      </c>
      <c r="G222" s="20" t="n">
        <f aca="false">E222+F222</f>
        <v>11.04</v>
      </c>
      <c r="H222" s="20" t="n">
        <f aca="false">IF(G222&lt;Parametres!$B$8*Parametres!$B$7,0,MIN(G222,Parametres!$B$7))</f>
        <v>0</v>
      </c>
      <c r="I222" s="20" t="n">
        <f aca="false">G222-H222</f>
        <v>11.04</v>
      </c>
      <c r="J222" s="21" t="n">
        <f aca="false">H222*1000/Parametres!$B$9</f>
        <v>0</v>
      </c>
    </row>
    <row r="223" customFormat="false" ht="15" hidden="false" customHeight="false" outlineLevel="0" collapsed="false">
      <c r="A223" s="0" t="n">
        <v>219</v>
      </c>
      <c r="B223" s="0" t="n">
        <v>1</v>
      </c>
      <c r="C223" s="19" t="n">
        <v>0</v>
      </c>
      <c r="D223" s="19" t="n">
        <v>0.0964</v>
      </c>
      <c r="E223" s="20" t="n">
        <f aca="false">Parametres!$B$5*C223</f>
        <v>0</v>
      </c>
      <c r="F223" s="20" t="n">
        <f aca="false">Parametres!$B$6*D223</f>
        <v>19.28</v>
      </c>
      <c r="G223" s="20" t="n">
        <f aca="false">E223+F223</f>
        <v>19.28</v>
      </c>
      <c r="H223" s="20" t="n">
        <f aca="false">IF(G223&lt;Parametres!$B$8*Parametres!$B$7,0,MIN(G223,Parametres!$B$7))</f>
        <v>0</v>
      </c>
      <c r="I223" s="20" t="n">
        <f aca="false">G223-H223</f>
        <v>19.28</v>
      </c>
      <c r="J223" s="21" t="n">
        <f aca="false">H223*1000/Parametres!$B$9</f>
        <v>0</v>
      </c>
    </row>
    <row r="224" customFormat="false" ht="15" hidden="false" customHeight="false" outlineLevel="0" collapsed="false">
      <c r="A224" s="0" t="n">
        <v>220</v>
      </c>
      <c r="B224" s="0" t="n">
        <v>1</v>
      </c>
      <c r="C224" s="19" t="n">
        <v>0</v>
      </c>
      <c r="D224" s="19" t="n">
        <v>0.0469</v>
      </c>
      <c r="E224" s="20" t="n">
        <f aca="false">Parametres!$B$5*C224</f>
        <v>0</v>
      </c>
      <c r="F224" s="20" t="n">
        <f aca="false">Parametres!$B$6*D224</f>
        <v>9.38</v>
      </c>
      <c r="G224" s="20" t="n">
        <f aca="false">E224+F224</f>
        <v>9.38</v>
      </c>
      <c r="H224" s="20" t="n">
        <f aca="false">IF(G224&lt;Parametres!$B$8*Parametres!$B$7,0,MIN(G224,Parametres!$B$7))</f>
        <v>0</v>
      </c>
      <c r="I224" s="20" t="n">
        <f aca="false">G224-H224</f>
        <v>9.38</v>
      </c>
      <c r="J224" s="21" t="n">
        <f aca="false">H224*1000/Parametres!$B$9</f>
        <v>0</v>
      </c>
    </row>
    <row r="225" customFormat="false" ht="15" hidden="false" customHeight="false" outlineLevel="0" collapsed="false">
      <c r="A225" s="0" t="n">
        <v>221</v>
      </c>
      <c r="B225" s="0" t="n">
        <v>1</v>
      </c>
      <c r="C225" s="19" t="n">
        <v>0</v>
      </c>
      <c r="D225" s="19" t="n">
        <v>0.1348</v>
      </c>
      <c r="E225" s="20" t="n">
        <f aca="false">Parametres!$B$5*C225</f>
        <v>0</v>
      </c>
      <c r="F225" s="20" t="n">
        <f aca="false">Parametres!$B$6*D225</f>
        <v>26.96</v>
      </c>
      <c r="G225" s="20" t="n">
        <f aca="false">E225+F225</f>
        <v>26.96</v>
      </c>
      <c r="H225" s="20" t="n">
        <f aca="false">IF(G225&lt;Parametres!$B$8*Parametres!$B$7,0,MIN(G225,Parametres!$B$7))</f>
        <v>26.96</v>
      </c>
      <c r="I225" s="20" t="n">
        <f aca="false">G225-H225</f>
        <v>0</v>
      </c>
      <c r="J225" s="21" t="n">
        <f aca="false">H225*1000/Parametres!$B$9</f>
        <v>457.181617771748</v>
      </c>
    </row>
    <row r="226" customFormat="false" ht="15" hidden="false" customHeight="false" outlineLevel="0" collapsed="false">
      <c r="A226" s="0" t="n">
        <v>222</v>
      </c>
      <c r="B226" s="0" t="n">
        <v>1</v>
      </c>
      <c r="C226" s="19" t="n">
        <v>0</v>
      </c>
      <c r="D226" s="19" t="n">
        <v>0.181</v>
      </c>
      <c r="E226" s="20" t="n">
        <f aca="false">Parametres!$B$5*C226</f>
        <v>0</v>
      </c>
      <c r="F226" s="20" t="n">
        <f aca="false">Parametres!$B$6*D226</f>
        <v>36.2</v>
      </c>
      <c r="G226" s="20" t="n">
        <f aca="false">E226+F226</f>
        <v>36.2</v>
      </c>
      <c r="H226" s="20" t="n">
        <f aca="false">IF(G226&lt;Parametres!$B$8*Parametres!$B$7,0,MIN(G226,Parametres!$B$7))</f>
        <v>36.2</v>
      </c>
      <c r="I226" s="20" t="n">
        <f aca="false">G226-H226</f>
        <v>0</v>
      </c>
      <c r="J226" s="21" t="n">
        <f aca="false">H226*1000/Parametres!$B$9</f>
        <v>613.87146006444</v>
      </c>
    </row>
    <row r="227" customFormat="false" ht="15" hidden="false" customHeight="false" outlineLevel="0" collapsed="false">
      <c r="A227" s="0" t="n">
        <v>223</v>
      </c>
      <c r="B227" s="0" t="n">
        <v>1</v>
      </c>
      <c r="C227" s="19" t="n">
        <v>0</v>
      </c>
      <c r="D227" s="19" t="n">
        <v>0.158</v>
      </c>
      <c r="E227" s="20" t="n">
        <f aca="false">Parametres!$B$5*C227</f>
        <v>0</v>
      </c>
      <c r="F227" s="20" t="n">
        <f aca="false">Parametres!$B$6*D227</f>
        <v>31.6</v>
      </c>
      <c r="G227" s="20" t="n">
        <f aca="false">E227+F227</f>
        <v>31.6</v>
      </c>
      <c r="H227" s="20" t="n">
        <f aca="false">IF(G227&lt;Parametres!$B$8*Parametres!$B$7,0,MIN(G227,Parametres!$B$7))</f>
        <v>31.6</v>
      </c>
      <c r="I227" s="20" t="n">
        <f aca="false">G227-H227</f>
        <v>0</v>
      </c>
      <c r="J227" s="21" t="n">
        <f aca="false">H227*1000/Parametres!$B$9</f>
        <v>535.865694420892</v>
      </c>
    </row>
    <row r="228" customFormat="false" ht="15" hidden="false" customHeight="false" outlineLevel="0" collapsed="false">
      <c r="A228" s="0" t="n">
        <v>224</v>
      </c>
      <c r="B228" s="0" t="n">
        <v>1</v>
      </c>
      <c r="C228" s="19" t="n">
        <v>0.1258</v>
      </c>
      <c r="D228" s="19" t="n">
        <v>0.0756</v>
      </c>
      <c r="E228" s="20" t="n">
        <f aca="false">Parametres!$B$5*C228</f>
        <v>37.74</v>
      </c>
      <c r="F228" s="20" t="n">
        <f aca="false">Parametres!$B$6*D228</f>
        <v>15.12</v>
      </c>
      <c r="G228" s="20" t="n">
        <f aca="false">E228+F228</f>
        <v>52.86</v>
      </c>
      <c r="H228" s="20" t="n">
        <f aca="false">IF(G228&lt;Parametres!$B$8*Parametres!$B$7,0,MIN(G228,Parametres!$B$7))</f>
        <v>52.86</v>
      </c>
      <c r="I228" s="20" t="n">
        <f aca="false">G228-H228</f>
        <v>0</v>
      </c>
      <c r="J228" s="21" t="n">
        <f aca="false">H228*1000/Parametres!$B$9</f>
        <v>896.387993895201</v>
      </c>
    </row>
    <row r="229" customFormat="false" ht="15" hidden="false" customHeight="false" outlineLevel="0" collapsed="false">
      <c r="A229" s="0" t="n">
        <v>225</v>
      </c>
      <c r="B229" s="0" t="n">
        <v>1</v>
      </c>
      <c r="C229" s="19" t="n">
        <v>0.3543</v>
      </c>
      <c r="D229" s="19" t="n">
        <v>0.1179</v>
      </c>
      <c r="E229" s="20" t="n">
        <f aca="false">Parametres!$B$5*C229</f>
        <v>106.29</v>
      </c>
      <c r="F229" s="20" t="n">
        <f aca="false">Parametres!$B$6*D229</f>
        <v>23.58</v>
      </c>
      <c r="G229" s="20" t="n">
        <f aca="false">E229+F229</f>
        <v>129.87</v>
      </c>
      <c r="H229" s="20" t="n">
        <f aca="false">IF(G229&lt;Parametres!$B$8*Parametres!$B$7,0,MIN(G229,Parametres!$B$7))</f>
        <v>129.87</v>
      </c>
      <c r="I229" s="20" t="n">
        <f aca="false">G229-H229</f>
        <v>0</v>
      </c>
      <c r="J229" s="21" t="n">
        <f aca="false">H229*1000/Parametres!$B$9</f>
        <v>2202.30625741903</v>
      </c>
    </row>
    <row r="230" customFormat="false" ht="15" hidden="false" customHeight="false" outlineLevel="0" collapsed="false">
      <c r="A230" s="0" t="n">
        <v>226</v>
      </c>
      <c r="B230" s="0" t="n">
        <v>1</v>
      </c>
      <c r="C230" s="19" t="n">
        <v>0.4823</v>
      </c>
      <c r="D230" s="19" t="n">
        <v>0.1726</v>
      </c>
      <c r="E230" s="20" t="n">
        <f aca="false">Parametres!$B$5*C230</f>
        <v>144.69</v>
      </c>
      <c r="F230" s="20" t="n">
        <f aca="false">Parametres!$B$6*D230</f>
        <v>34.52</v>
      </c>
      <c r="G230" s="20" t="n">
        <f aca="false">E230+F230</f>
        <v>179.21</v>
      </c>
      <c r="H230" s="20" t="n">
        <f aca="false">IF(G230&lt;Parametres!$B$8*Parametres!$B$7,0,MIN(G230,Parametres!$B$7))</f>
        <v>179.21</v>
      </c>
      <c r="I230" s="20" t="n">
        <f aca="false">G230-H230</f>
        <v>0</v>
      </c>
      <c r="J230" s="21" t="n">
        <f aca="false">H230*1000/Parametres!$B$9</f>
        <v>3039.00288282177</v>
      </c>
    </row>
    <row r="231" customFormat="false" ht="15" hidden="false" customHeight="false" outlineLevel="0" collapsed="false">
      <c r="A231" s="0" t="n">
        <v>227</v>
      </c>
      <c r="B231" s="0" t="n">
        <v>1</v>
      </c>
      <c r="C231" s="19" t="n">
        <v>0.6856</v>
      </c>
      <c r="D231" s="19" t="n">
        <v>0.1558</v>
      </c>
      <c r="E231" s="20" t="n">
        <f aca="false">Parametres!$B$5*C231</f>
        <v>205.68</v>
      </c>
      <c r="F231" s="20" t="n">
        <f aca="false">Parametres!$B$6*D231</f>
        <v>31.16</v>
      </c>
      <c r="G231" s="20" t="n">
        <f aca="false">E231+F231</f>
        <v>236.84</v>
      </c>
      <c r="H231" s="20" t="n">
        <f aca="false">IF(G231&lt;Parametres!$B$8*Parametres!$B$7,0,MIN(G231,Parametres!$B$7))</f>
        <v>236.84</v>
      </c>
      <c r="I231" s="20" t="n">
        <f aca="false">G231-H231</f>
        <v>0</v>
      </c>
      <c r="J231" s="21" t="n">
        <f aca="false">H231*1000/Parametres!$B$9</f>
        <v>4016.27946413431</v>
      </c>
    </row>
    <row r="232" customFormat="false" ht="15" hidden="false" customHeight="false" outlineLevel="0" collapsed="false">
      <c r="A232" s="0" t="n">
        <v>228</v>
      </c>
      <c r="B232" s="0" t="n">
        <v>1</v>
      </c>
      <c r="C232" s="19" t="n">
        <v>0.7622</v>
      </c>
      <c r="D232" s="19" t="n">
        <v>0.078</v>
      </c>
      <c r="E232" s="20" t="n">
        <f aca="false">Parametres!$B$5*C232</f>
        <v>228.66</v>
      </c>
      <c r="F232" s="20" t="n">
        <f aca="false">Parametres!$B$6*D232</f>
        <v>15.6</v>
      </c>
      <c r="G232" s="20" t="n">
        <f aca="false">E232+F232</f>
        <v>244.26</v>
      </c>
      <c r="H232" s="20" t="n">
        <f aca="false">IF(G232&lt;Parametres!$B$8*Parametres!$B$7,0,MIN(G232,Parametres!$B$7))</f>
        <v>244.26</v>
      </c>
      <c r="I232" s="20" t="n">
        <f aca="false">G232-H232</f>
        <v>0</v>
      </c>
      <c r="J232" s="21" t="n">
        <f aca="false">H232*1000/Parametres!$B$9</f>
        <v>4142.10615567238</v>
      </c>
    </row>
    <row r="233" customFormat="false" ht="15" hidden="false" customHeight="false" outlineLevel="0" collapsed="false">
      <c r="A233" s="0" t="n">
        <v>229</v>
      </c>
      <c r="B233" s="0" t="n">
        <v>1</v>
      </c>
      <c r="C233" s="19" t="n">
        <v>0.7284</v>
      </c>
      <c r="D233" s="19" t="n">
        <v>0.1557</v>
      </c>
      <c r="E233" s="20" t="n">
        <f aca="false">Parametres!$B$5*C233</f>
        <v>218.52</v>
      </c>
      <c r="F233" s="20" t="n">
        <f aca="false">Parametres!$B$6*D233</f>
        <v>31.14</v>
      </c>
      <c r="G233" s="20" t="n">
        <f aca="false">E233+F233</f>
        <v>249.66</v>
      </c>
      <c r="H233" s="20" t="n">
        <f aca="false">IF(G233&lt;Parametres!$B$8*Parametres!$B$7,0,MIN(G233,Parametres!$B$7))</f>
        <v>249.66</v>
      </c>
      <c r="I233" s="20" t="n">
        <f aca="false">G233-H233</f>
        <v>0</v>
      </c>
      <c r="J233" s="21" t="n">
        <f aca="false">H233*1000/Parametres!$B$9</f>
        <v>4233.67814142785</v>
      </c>
    </row>
    <row r="234" customFormat="false" ht="15" hidden="false" customHeight="false" outlineLevel="0" collapsed="false">
      <c r="A234" s="0" t="n">
        <v>230</v>
      </c>
      <c r="B234" s="0" t="n">
        <v>1</v>
      </c>
      <c r="C234" s="19" t="n">
        <v>0.6543</v>
      </c>
      <c r="D234" s="19" t="n">
        <v>0.1336</v>
      </c>
      <c r="E234" s="20" t="n">
        <f aca="false">Parametres!$B$5*C234</f>
        <v>196.29</v>
      </c>
      <c r="F234" s="20" t="n">
        <f aca="false">Parametres!$B$6*D234</f>
        <v>26.72</v>
      </c>
      <c r="G234" s="20" t="n">
        <f aca="false">E234+F234</f>
        <v>223.01</v>
      </c>
      <c r="H234" s="20" t="n">
        <f aca="false">IF(G234&lt;Parametres!$B$8*Parametres!$B$7,0,MIN(G234,Parametres!$B$7))</f>
        <v>223.01</v>
      </c>
      <c r="I234" s="20" t="n">
        <f aca="false">G234-H234</f>
        <v>0</v>
      </c>
      <c r="J234" s="21" t="n">
        <f aca="false">H234*1000/Parametres!$B$9</f>
        <v>3781.75343394947</v>
      </c>
    </row>
    <row r="235" customFormat="false" ht="15" hidden="false" customHeight="false" outlineLevel="0" collapsed="false">
      <c r="A235" s="0" t="n">
        <v>231</v>
      </c>
      <c r="B235" s="0" t="n">
        <v>1</v>
      </c>
      <c r="C235" s="19" t="n">
        <v>0.5399</v>
      </c>
      <c r="D235" s="19" t="n">
        <v>0.1168</v>
      </c>
      <c r="E235" s="20" t="n">
        <f aca="false">Parametres!$B$5*C235</f>
        <v>161.97</v>
      </c>
      <c r="F235" s="20" t="n">
        <f aca="false">Parametres!$B$6*D235</f>
        <v>23.36</v>
      </c>
      <c r="G235" s="20" t="n">
        <f aca="false">E235+F235</f>
        <v>185.33</v>
      </c>
      <c r="H235" s="20" t="n">
        <f aca="false">IF(G235&lt;Parametres!$B$8*Parametres!$B$7,0,MIN(G235,Parametres!$B$7))</f>
        <v>185.33</v>
      </c>
      <c r="I235" s="20" t="n">
        <f aca="false">G235-H235</f>
        <v>0</v>
      </c>
      <c r="J235" s="21" t="n">
        <f aca="false">H235*1000/Parametres!$B$9</f>
        <v>3142.78446667797</v>
      </c>
    </row>
    <row r="236" customFormat="false" ht="15" hidden="false" customHeight="false" outlineLevel="0" collapsed="false">
      <c r="A236" s="0" t="n">
        <v>232</v>
      </c>
      <c r="B236" s="0" t="n">
        <v>1</v>
      </c>
      <c r="C236" s="19" t="n">
        <v>0.3452</v>
      </c>
      <c r="D236" s="19" t="n">
        <v>0.405</v>
      </c>
      <c r="E236" s="20" t="n">
        <f aca="false">Parametres!$B$5*C236</f>
        <v>103.56</v>
      </c>
      <c r="F236" s="20" t="n">
        <f aca="false">Parametres!$B$6*D236</f>
        <v>81</v>
      </c>
      <c r="G236" s="20" t="n">
        <f aca="false">E236+F236</f>
        <v>184.56</v>
      </c>
      <c r="H236" s="20" t="n">
        <f aca="false">IF(G236&lt;Parametres!$B$8*Parametres!$B$7,0,MIN(G236,Parametres!$B$7))</f>
        <v>184.56</v>
      </c>
      <c r="I236" s="20" t="n">
        <f aca="false">G236-H236</f>
        <v>0</v>
      </c>
      <c r="J236" s="21" t="n">
        <f aca="false">H236*1000/Parametres!$B$9</f>
        <v>3129.72697982025</v>
      </c>
    </row>
    <row r="237" customFormat="false" ht="15" hidden="false" customHeight="false" outlineLevel="0" collapsed="false">
      <c r="A237" s="0" t="n">
        <v>233</v>
      </c>
      <c r="B237" s="0" t="n">
        <v>1</v>
      </c>
      <c r="C237" s="19" t="n">
        <v>0.138</v>
      </c>
      <c r="D237" s="19" t="n">
        <v>0.8127</v>
      </c>
      <c r="E237" s="20" t="n">
        <f aca="false">Parametres!$B$5*C237</f>
        <v>41.4</v>
      </c>
      <c r="F237" s="20" t="n">
        <f aca="false">Parametres!$B$6*D237</f>
        <v>162.54</v>
      </c>
      <c r="G237" s="20" t="n">
        <f aca="false">E237+F237</f>
        <v>203.94</v>
      </c>
      <c r="H237" s="20" t="n">
        <f aca="false">IF(G237&lt;Parametres!$B$8*Parametres!$B$7,0,MIN(G237,Parametres!$B$7))</f>
        <v>203.94</v>
      </c>
      <c r="I237" s="20" t="n">
        <f aca="false">G237-H237</f>
        <v>0</v>
      </c>
      <c r="J237" s="21" t="n">
        <f aca="false">H237*1000/Parametres!$B$9</f>
        <v>3458.36866203154</v>
      </c>
    </row>
    <row r="238" customFormat="false" ht="15" hidden="false" customHeight="false" outlineLevel="0" collapsed="false">
      <c r="A238" s="0" t="n">
        <v>234</v>
      </c>
      <c r="B238" s="0" t="n">
        <v>1</v>
      </c>
      <c r="C238" s="19" t="n">
        <v>0</v>
      </c>
      <c r="D238" s="19" t="n">
        <v>1</v>
      </c>
      <c r="E238" s="20" t="n">
        <f aca="false">Parametres!$B$5*C238</f>
        <v>0</v>
      </c>
      <c r="F238" s="20" t="n">
        <f aca="false">Parametres!$B$6*D238</f>
        <v>200</v>
      </c>
      <c r="G238" s="20" t="n">
        <f aca="false">E238+F238</f>
        <v>200</v>
      </c>
      <c r="H238" s="20" t="n">
        <f aca="false">IF(G238&lt;Parametres!$B$8*Parametres!$B$7,0,MIN(G238,Parametres!$B$7))</f>
        <v>200</v>
      </c>
      <c r="I238" s="20" t="n">
        <f aca="false">G238-H238</f>
        <v>0</v>
      </c>
      <c r="J238" s="21" t="n">
        <f aca="false">H238*1000/Parametres!$B$9</f>
        <v>3391.55502798033</v>
      </c>
    </row>
    <row r="239" customFormat="false" ht="15" hidden="false" customHeight="false" outlineLevel="0" collapsed="false">
      <c r="A239" s="0" t="n">
        <v>235</v>
      </c>
      <c r="B239" s="0" t="n">
        <v>1</v>
      </c>
      <c r="C239" s="19" t="n">
        <v>0</v>
      </c>
      <c r="D239" s="19" t="n">
        <v>0.8543</v>
      </c>
      <c r="E239" s="20" t="n">
        <f aca="false">Parametres!$B$5*C239</f>
        <v>0</v>
      </c>
      <c r="F239" s="20" t="n">
        <f aca="false">Parametres!$B$6*D239</f>
        <v>170.86</v>
      </c>
      <c r="G239" s="20" t="n">
        <f aca="false">E239+F239</f>
        <v>170.86</v>
      </c>
      <c r="H239" s="20" t="n">
        <f aca="false">IF(G239&lt;Parametres!$B$8*Parametres!$B$7,0,MIN(G239,Parametres!$B$7))</f>
        <v>170.86</v>
      </c>
      <c r="I239" s="20" t="n">
        <f aca="false">G239-H239</f>
        <v>0</v>
      </c>
      <c r="J239" s="21" t="n">
        <f aca="false">H239*1000/Parametres!$B$9</f>
        <v>2897.40546040359</v>
      </c>
    </row>
    <row r="240" customFormat="false" ht="15" hidden="false" customHeight="false" outlineLevel="0" collapsed="false">
      <c r="A240" s="0" t="n">
        <v>236</v>
      </c>
      <c r="B240" s="0" t="n">
        <v>1</v>
      </c>
      <c r="C240" s="19" t="n">
        <v>0</v>
      </c>
      <c r="D240" s="19" t="n">
        <v>0.9399</v>
      </c>
      <c r="E240" s="20" t="n">
        <f aca="false">Parametres!$B$5*C240</f>
        <v>0</v>
      </c>
      <c r="F240" s="20" t="n">
        <f aca="false">Parametres!$B$6*D240</f>
        <v>187.98</v>
      </c>
      <c r="G240" s="20" t="n">
        <f aca="false">E240+F240</f>
        <v>187.98</v>
      </c>
      <c r="H240" s="20" t="n">
        <f aca="false">IF(G240&lt;Parametres!$B$8*Parametres!$B$7,0,MIN(G240,Parametres!$B$7))</f>
        <v>187.98</v>
      </c>
      <c r="I240" s="20" t="n">
        <f aca="false">G240-H240</f>
        <v>0</v>
      </c>
      <c r="J240" s="21" t="n">
        <f aca="false">H240*1000/Parametres!$B$9</f>
        <v>3187.72257079871</v>
      </c>
    </row>
    <row r="241" customFormat="false" ht="15" hidden="false" customHeight="false" outlineLevel="0" collapsed="false">
      <c r="A241" s="0" t="n">
        <v>237</v>
      </c>
      <c r="B241" s="0" t="n">
        <v>1</v>
      </c>
      <c r="C241" s="19" t="n">
        <v>0</v>
      </c>
      <c r="D241" s="19" t="n">
        <v>0.4149</v>
      </c>
      <c r="E241" s="20" t="n">
        <f aca="false">Parametres!$B$5*C241</f>
        <v>0</v>
      </c>
      <c r="F241" s="20" t="n">
        <f aca="false">Parametres!$B$6*D241</f>
        <v>82.98</v>
      </c>
      <c r="G241" s="20" t="n">
        <f aca="false">E241+F241</f>
        <v>82.98</v>
      </c>
      <c r="H241" s="20" t="n">
        <f aca="false">IF(G241&lt;Parametres!$B$8*Parametres!$B$7,0,MIN(G241,Parametres!$B$7))</f>
        <v>82.98</v>
      </c>
      <c r="I241" s="20" t="n">
        <f aca="false">G241-H241</f>
        <v>0</v>
      </c>
      <c r="J241" s="21" t="n">
        <f aca="false">H241*1000/Parametres!$B$9</f>
        <v>1407.15618110904</v>
      </c>
    </row>
    <row r="242" customFormat="false" ht="15" hidden="false" customHeight="false" outlineLevel="0" collapsed="false">
      <c r="A242" s="0" t="n">
        <v>238</v>
      </c>
      <c r="B242" s="0" t="n">
        <v>1</v>
      </c>
      <c r="C242" s="19" t="n">
        <v>0</v>
      </c>
      <c r="D242" s="19" t="n">
        <v>0.3767</v>
      </c>
      <c r="E242" s="20" t="n">
        <f aca="false">Parametres!$B$5*C242</f>
        <v>0</v>
      </c>
      <c r="F242" s="20" t="n">
        <f aca="false">Parametres!$B$6*D242</f>
        <v>75.34</v>
      </c>
      <c r="G242" s="20" t="n">
        <f aca="false">E242+F242</f>
        <v>75.34</v>
      </c>
      <c r="H242" s="20" t="n">
        <f aca="false">IF(G242&lt;Parametres!$B$8*Parametres!$B$7,0,MIN(G242,Parametres!$B$7))</f>
        <v>75.34</v>
      </c>
      <c r="I242" s="20" t="n">
        <f aca="false">G242-H242</f>
        <v>0</v>
      </c>
      <c r="J242" s="21" t="n">
        <f aca="false">H242*1000/Parametres!$B$9</f>
        <v>1277.59877904019</v>
      </c>
    </row>
    <row r="243" customFormat="false" ht="15" hidden="false" customHeight="false" outlineLevel="0" collapsed="false">
      <c r="A243" s="0" t="n">
        <v>239</v>
      </c>
      <c r="B243" s="0" t="n">
        <v>1</v>
      </c>
      <c r="C243" s="19" t="n">
        <v>0</v>
      </c>
      <c r="D243" s="19" t="n">
        <v>0.2468</v>
      </c>
      <c r="E243" s="20" t="n">
        <f aca="false">Parametres!$B$5*C243</f>
        <v>0</v>
      </c>
      <c r="F243" s="20" t="n">
        <f aca="false">Parametres!$B$6*D243</f>
        <v>49.36</v>
      </c>
      <c r="G243" s="20" t="n">
        <f aca="false">E243+F243</f>
        <v>49.36</v>
      </c>
      <c r="H243" s="20" t="n">
        <f aca="false">IF(G243&lt;Parametres!$B$8*Parametres!$B$7,0,MIN(G243,Parametres!$B$7))</f>
        <v>49.36</v>
      </c>
      <c r="I243" s="20" t="n">
        <f aca="false">G243-H243</f>
        <v>0</v>
      </c>
      <c r="J243" s="21" t="n">
        <f aca="false">H243*1000/Parametres!$B$9</f>
        <v>837.035780905545</v>
      </c>
    </row>
    <row r="244" customFormat="false" ht="15" hidden="false" customHeight="false" outlineLevel="0" collapsed="false">
      <c r="A244" s="0" t="n">
        <v>240</v>
      </c>
      <c r="B244" s="0" t="n">
        <v>1</v>
      </c>
      <c r="C244" s="19" t="n">
        <v>0</v>
      </c>
      <c r="D244" s="19" t="n">
        <v>0.1244</v>
      </c>
      <c r="E244" s="20" t="n">
        <f aca="false">Parametres!$B$5*C244</f>
        <v>0</v>
      </c>
      <c r="F244" s="20" t="n">
        <f aca="false">Parametres!$B$6*D244</f>
        <v>24.88</v>
      </c>
      <c r="G244" s="20" t="n">
        <f aca="false">E244+F244</f>
        <v>24.88</v>
      </c>
      <c r="H244" s="20" t="n">
        <f aca="false">IF(G244&lt;Parametres!$B$8*Parametres!$B$7,0,MIN(G244,Parametres!$B$7))</f>
        <v>0</v>
      </c>
      <c r="I244" s="20" t="n">
        <f aca="false">G244-H244</f>
        <v>24.88</v>
      </c>
      <c r="J244" s="21" t="n">
        <f aca="false">H244*1000/Parametres!$B$9</f>
        <v>0</v>
      </c>
    </row>
    <row r="245" customFormat="false" ht="15" hidden="false" customHeight="false" outlineLevel="0" collapsed="false">
      <c r="A245" s="0" t="n">
        <v>241</v>
      </c>
      <c r="B245" s="0" t="n">
        <v>1</v>
      </c>
      <c r="C245" s="19" t="n">
        <v>0</v>
      </c>
      <c r="D245" s="19" t="n">
        <v>0.048</v>
      </c>
      <c r="E245" s="20" t="n">
        <f aca="false">Parametres!$B$5*C245</f>
        <v>0</v>
      </c>
      <c r="F245" s="20" t="n">
        <f aca="false">Parametres!$B$6*D245</f>
        <v>9.6</v>
      </c>
      <c r="G245" s="20" t="n">
        <f aca="false">E245+F245</f>
        <v>9.6</v>
      </c>
      <c r="H245" s="20" t="n">
        <f aca="false">IF(G245&lt;Parametres!$B$8*Parametres!$B$7,0,MIN(G245,Parametres!$B$7))</f>
        <v>0</v>
      </c>
      <c r="I245" s="20" t="n">
        <f aca="false">G245-H245</f>
        <v>9.6</v>
      </c>
      <c r="J245" s="21" t="n">
        <f aca="false">H245*1000/Parametres!$B$9</f>
        <v>0</v>
      </c>
    </row>
    <row r="246" customFormat="false" ht="15" hidden="false" customHeight="false" outlineLevel="0" collapsed="false">
      <c r="A246" s="0" t="n">
        <v>242</v>
      </c>
      <c r="B246" s="0" t="n">
        <v>1</v>
      </c>
      <c r="C246" s="19" t="n">
        <v>0</v>
      </c>
      <c r="D246" s="19" t="n">
        <v>0.0555</v>
      </c>
      <c r="E246" s="20" t="n">
        <f aca="false">Parametres!$B$5*C246</f>
        <v>0</v>
      </c>
      <c r="F246" s="20" t="n">
        <f aca="false">Parametres!$B$6*D246</f>
        <v>11.1</v>
      </c>
      <c r="G246" s="20" t="n">
        <f aca="false">E246+F246</f>
        <v>11.1</v>
      </c>
      <c r="H246" s="20" t="n">
        <f aca="false">IF(G246&lt;Parametres!$B$8*Parametres!$B$7,0,MIN(G246,Parametres!$B$7))</f>
        <v>0</v>
      </c>
      <c r="I246" s="20" t="n">
        <f aca="false">G246-H246</f>
        <v>11.1</v>
      </c>
      <c r="J246" s="21" t="n">
        <f aca="false">H246*1000/Parametres!$B$9</f>
        <v>0</v>
      </c>
    </row>
    <row r="247" customFormat="false" ht="15" hidden="false" customHeight="false" outlineLevel="0" collapsed="false">
      <c r="A247" s="0" t="n">
        <v>243</v>
      </c>
      <c r="B247" s="0" t="n">
        <v>1</v>
      </c>
      <c r="C247" s="19" t="n">
        <v>0</v>
      </c>
      <c r="D247" s="19" t="n">
        <v>0.052</v>
      </c>
      <c r="E247" s="20" t="n">
        <f aca="false">Parametres!$B$5*C247</f>
        <v>0</v>
      </c>
      <c r="F247" s="20" t="n">
        <f aca="false">Parametres!$B$6*D247</f>
        <v>10.4</v>
      </c>
      <c r="G247" s="20" t="n">
        <f aca="false">E247+F247</f>
        <v>10.4</v>
      </c>
      <c r="H247" s="20" t="n">
        <f aca="false">IF(G247&lt;Parametres!$B$8*Parametres!$B$7,0,MIN(G247,Parametres!$B$7))</f>
        <v>0</v>
      </c>
      <c r="I247" s="20" t="n">
        <f aca="false">G247-H247</f>
        <v>10.4</v>
      </c>
      <c r="J247" s="21" t="n">
        <f aca="false">H247*1000/Parametres!$B$9</f>
        <v>0</v>
      </c>
    </row>
    <row r="248" customFormat="false" ht="15" hidden="false" customHeight="false" outlineLevel="0" collapsed="false">
      <c r="A248" s="0" t="n">
        <v>244</v>
      </c>
      <c r="B248" s="0" t="n">
        <v>1</v>
      </c>
      <c r="C248" s="19" t="n">
        <v>0</v>
      </c>
      <c r="D248" s="19" t="n">
        <v>0.0527</v>
      </c>
      <c r="E248" s="20" t="n">
        <f aca="false">Parametres!$B$5*C248</f>
        <v>0</v>
      </c>
      <c r="F248" s="20" t="n">
        <f aca="false">Parametres!$B$6*D248</f>
        <v>10.54</v>
      </c>
      <c r="G248" s="20" t="n">
        <f aca="false">E248+F248</f>
        <v>10.54</v>
      </c>
      <c r="H248" s="20" t="n">
        <f aca="false">IF(G248&lt;Parametres!$B$8*Parametres!$B$7,0,MIN(G248,Parametres!$B$7))</f>
        <v>0</v>
      </c>
      <c r="I248" s="20" t="n">
        <f aca="false">G248-H248</f>
        <v>10.54</v>
      </c>
      <c r="J248" s="21" t="n">
        <f aca="false">H248*1000/Parametres!$B$9</f>
        <v>0</v>
      </c>
    </row>
    <row r="249" customFormat="false" ht="15" hidden="false" customHeight="false" outlineLevel="0" collapsed="false">
      <c r="A249" s="0" t="n">
        <v>245</v>
      </c>
      <c r="B249" s="0" t="n">
        <v>1</v>
      </c>
      <c r="C249" s="19" t="n">
        <v>0</v>
      </c>
      <c r="D249" s="19" t="n">
        <v>0.0783</v>
      </c>
      <c r="E249" s="20" t="n">
        <f aca="false">Parametres!$B$5*C249</f>
        <v>0</v>
      </c>
      <c r="F249" s="20" t="n">
        <f aca="false">Parametres!$B$6*D249</f>
        <v>15.66</v>
      </c>
      <c r="G249" s="20" t="n">
        <f aca="false">E249+F249</f>
        <v>15.66</v>
      </c>
      <c r="H249" s="20" t="n">
        <f aca="false">IF(G249&lt;Parametres!$B$8*Parametres!$B$7,0,MIN(G249,Parametres!$B$7))</f>
        <v>0</v>
      </c>
      <c r="I249" s="20" t="n">
        <f aca="false">G249-H249</f>
        <v>15.66</v>
      </c>
      <c r="J249" s="21" t="n">
        <f aca="false">H249*1000/Parametres!$B$9</f>
        <v>0</v>
      </c>
    </row>
    <row r="250" customFormat="false" ht="15" hidden="false" customHeight="false" outlineLevel="0" collapsed="false">
      <c r="A250" s="0" t="n">
        <v>246</v>
      </c>
      <c r="B250" s="0" t="n">
        <v>1</v>
      </c>
      <c r="C250" s="19" t="n">
        <v>0</v>
      </c>
      <c r="D250" s="19" t="n">
        <v>0.0526</v>
      </c>
      <c r="E250" s="20" t="n">
        <f aca="false">Parametres!$B$5*C250</f>
        <v>0</v>
      </c>
      <c r="F250" s="20" t="n">
        <f aca="false">Parametres!$B$6*D250</f>
        <v>10.52</v>
      </c>
      <c r="G250" s="20" t="n">
        <f aca="false">E250+F250</f>
        <v>10.52</v>
      </c>
      <c r="H250" s="20" t="n">
        <f aca="false">IF(G250&lt;Parametres!$B$8*Parametres!$B$7,0,MIN(G250,Parametres!$B$7))</f>
        <v>0</v>
      </c>
      <c r="I250" s="20" t="n">
        <f aca="false">G250-H250</f>
        <v>10.52</v>
      </c>
      <c r="J250" s="21" t="n">
        <f aca="false">H250*1000/Parametres!$B$9</f>
        <v>0</v>
      </c>
    </row>
    <row r="251" customFormat="false" ht="15" hidden="false" customHeight="false" outlineLevel="0" collapsed="false">
      <c r="A251" s="0" t="n">
        <v>247</v>
      </c>
      <c r="B251" s="0" t="n">
        <v>1</v>
      </c>
      <c r="C251" s="19" t="n">
        <v>0</v>
      </c>
      <c r="D251" s="19" t="n">
        <v>0.0281</v>
      </c>
      <c r="E251" s="20" t="n">
        <f aca="false">Parametres!$B$5*C251</f>
        <v>0</v>
      </c>
      <c r="F251" s="20" t="n">
        <f aca="false">Parametres!$B$6*D251</f>
        <v>5.62</v>
      </c>
      <c r="G251" s="20" t="n">
        <f aca="false">E251+F251</f>
        <v>5.62</v>
      </c>
      <c r="H251" s="20" t="n">
        <f aca="false">IF(G251&lt;Parametres!$B$8*Parametres!$B$7,0,MIN(G251,Parametres!$B$7))</f>
        <v>0</v>
      </c>
      <c r="I251" s="20" t="n">
        <f aca="false">G251-H251</f>
        <v>5.62</v>
      </c>
      <c r="J251" s="21" t="n">
        <f aca="false">H251*1000/Parametres!$B$9</f>
        <v>0</v>
      </c>
    </row>
    <row r="252" customFormat="false" ht="15" hidden="false" customHeight="false" outlineLevel="0" collapsed="false">
      <c r="A252" s="0" t="n">
        <v>248</v>
      </c>
      <c r="B252" s="0" t="n">
        <v>1</v>
      </c>
      <c r="C252" s="19" t="n">
        <v>0.1282</v>
      </c>
      <c r="D252" s="19" t="n">
        <v>0.0089</v>
      </c>
      <c r="E252" s="20" t="n">
        <f aca="false">Parametres!$B$5*C252</f>
        <v>38.46</v>
      </c>
      <c r="F252" s="20" t="n">
        <f aca="false">Parametres!$B$6*D252</f>
        <v>1.78</v>
      </c>
      <c r="G252" s="20" t="n">
        <f aca="false">E252+F252</f>
        <v>40.24</v>
      </c>
      <c r="H252" s="20" t="n">
        <f aca="false">IF(G252&lt;Parametres!$B$8*Parametres!$B$7,0,MIN(G252,Parametres!$B$7))</f>
        <v>40.24</v>
      </c>
      <c r="I252" s="20" t="n">
        <f aca="false">G252-H252</f>
        <v>0</v>
      </c>
      <c r="J252" s="21" t="n">
        <f aca="false">H252*1000/Parametres!$B$9</f>
        <v>682.380871629642</v>
      </c>
    </row>
    <row r="253" customFormat="false" ht="15" hidden="false" customHeight="false" outlineLevel="0" collapsed="false">
      <c r="A253" s="0" t="n">
        <v>249</v>
      </c>
      <c r="B253" s="0" t="n">
        <v>1</v>
      </c>
      <c r="C253" s="19" t="n">
        <v>0.3232</v>
      </c>
      <c r="D253" s="19" t="n">
        <v>0.0086</v>
      </c>
      <c r="E253" s="20" t="n">
        <f aca="false">Parametres!$B$5*C253</f>
        <v>96.96</v>
      </c>
      <c r="F253" s="20" t="n">
        <f aca="false">Parametres!$B$6*D253</f>
        <v>1.72</v>
      </c>
      <c r="G253" s="20" t="n">
        <f aca="false">E253+F253</f>
        <v>98.68</v>
      </c>
      <c r="H253" s="20" t="n">
        <f aca="false">IF(G253&lt;Parametres!$B$8*Parametres!$B$7,0,MIN(G253,Parametres!$B$7))</f>
        <v>98.68</v>
      </c>
      <c r="I253" s="20" t="n">
        <f aca="false">G253-H253</f>
        <v>0</v>
      </c>
      <c r="J253" s="21" t="n">
        <f aca="false">H253*1000/Parametres!$B$9</f>
        <v>1673.39325080549</v>
      </c>
    </row>
    <row r="254" customFormat="false" ht="15" hidden="false" customHeight="false" outlineLevel="0" collapsed="false">
      <c r="A254" s="0" t="n">
        <v>250</v>
      </c>
      <c r="B254" s="0" t="n">
        <v>1</v>
      </c>
      <c r="C254" s="19" t="n">
        <v>0.5357</v>
      </c>
      <c r="D254" s="19" t="n">
        <v>0.0205</v>
      </c>
      <c r="E254" s="20" t="n">
        <f aca="false">Parametres!$B$5*C254</f>
        <v>160.71</v>
      </c>
      <c r="F254" s="20" t="n">
        <f aca="false">Parametres!$B$6*D254</f>
        <v>4.1</v>
      </c>
      <c r="G254" s="20" t="n">
        <f aca="false">E254+F254</f>
        <v>164.81</v>
      </c>
      <c r="H254" s="20" t="n">
        <f aca="false">IF(G254&lt;Parametres!$B$8*Parametres!$B$7,0,MIN(G254,Parametres!$B$7))</f>
        <v>164.81</v>
      </c>
      <c r="I254" s="20" t="n">
        <f aca="false">G254-H254</f>
        <v>0</v>
      </c>
      <c r="J254" s="21" t="n">
        <f aca="false">H254*1000/Parametres!$B$9</f>
        <v>2794.81092080719</v>
      </c>
    </row>
    <row r="255" customFormat="false" ht="15" hidden="false" customHeight="false" outlineLevel="0" collapsed="false">
      <c r="A255" s="0" t="n">
        <v>251</v>
      </c>
      <c r="B255" s="0" t="n">
        <v>1</v>
      </c>
      <c r="C255" s="19" t="n">
        <v>0.6975</v>
      </c>
      <c r="D255" s="19" t="n">
        <v>0.0234</v>
      </c>
      <c r="E255" s="20" t="n">
        <f aca="false">Parametres!$B$5*C255</f>
        <v>209.25</v>
      </c>
      <c r="F255" s="20" t="n">
        <f aca="false">Parametres!$B$6*D255</f>
        <v>4.68</v>
      </c>
      <c r="G255" s="20" t="n">
        <f aca="false">E255+F255</f>
        <v>213.93</v>
      </c>
      <c r="H255" s="20" t="n">
        <f aca="false">IF(G255&lt;Parametres!$B$8*Parametres!$B$7,0,MIN(G255,Parametres!$B$7))</f>
        <v>213.93</v>
      </c>
      <c r="I255" s="20" t="n">
        <f aca="false">G255-H255</f>
        <v>0</v>
      </c>
      <c r="J255" s="21" t="n">
        <f aca="false">H255*1000/Parametres!$B$9</f>
        <v>3627.77683567916</v>
      </c>
    </row>
    <row r="256" customFormat="false" ht="15" hidden="false" customHeight="false" outlineLevel="0" collapsed="false">
      <c r="A256" s="0" t="n">
        <v>252</v>
      </c>
      <c r="B256" s="0" t="n">
        <v>1</v>
      </c>
      <c r="C256" s="19" t="n">
        <v>0.7407</v>
      </c>
      <c r="D256" s="19" t="n">
        <v>0.0442</v>
      </c>
      <c r="E256" s="20" t="n">
        <f aca="false">Parametres!$B$5*C256</f>
        <v>222.21</v>
      </c>
      <c r="F256" s="20" t="n">
        <f aca="false">Parametres!$B$6*D256</f>
        <v>8.84</v>
      </c>
      <c r="G256" s="20" t="n">
        <f aca="false">E256+F256</f>
        <v>231.05</v>
      </c>
      <c r="H256" s="20" t="n">
        <f aca="false">IF(G256&lt;Parametres!$B$8*Parametres!$B$7,0,MIN(G256,Parametres!$B$7))</f>
        <v>231.05</v>
      </c>
      <c r="I256" s="20" t="n">
        <f aca="false">G256-H256</f>
        <v>0</v>
      </c>
      <c r="J256" s="21" t="n">
        <f aca="false">H256*1000/Parametres!$B$9</f>
        <v>3918.09394607428</v>
      </c>
    </row>
    <row r="257" customFormat="false" ht="15" hidden="false" customHeight="false" outlineLevel="0" collapsed="false">
      <c r="A257" s="0" t="n">
        <v>253</v>
      </c>
      <c r="B257" s="0" t="n">
        <v>1</v>
      </c>
      <c r="C257" s="19" t="n">
        <v>0.7698</v>
      </c>
      <c r="D257" s="19" t="n">
        <v>0.0245</v>
      </c>
      <c r="E257" s="20" t="n">
        <f aca="false">Parametres!$B$5*C257</f>
        <v>230.94</v>
      </c>
      <c r="F257" s="20" t="n">
        <f aca="false">Parametres!$B$6*D257</f>
        <v>4.9</v>
      </c>
      <c r="G257" s="20" t="n">
        <f aca="false">E257+F257</f>
        <v>235.84</v>
      </c>
      <c r="H257" s="20" t="n">
        <f aca="false">IF(G257&lt;Parametres!$B$8*Parametres!$B$7,0,MIN(G257,Parametres!$B$7))</f>
        <v>235.84</v>
      </c>
      <c r="I257" s="20" t="n">
        <f aca="false">G257-H257</f>
        <v>0</v>
      </c>
      <c r="J257" s="21" t="n">
        <f aca="false">H257*1000/Parametres!$B$9</f>
        <v>3999.3216889944</v>
      </c>
    </row>
    <row r="258" customFormat="false" ht="15" hidden="false" customHeight="false" outlineLevel="0" collapsed="false">
      <c r="A258" s="0" t="n">
        <v>254</v>
      </c>
      <c r="B258" s="0" t="n">
        <v>1</v>
      </c>
      <c r="C258" s="19" t="n">
        <v>0.693</v>
      </c>
      <c r="D258" s="19" t="n">
        <v>0.0209</v>
      </c>
      <c r="E258" s="20" t="n">
        <f aca="false">Parametres!$B$5*C258</f>
        <v>207.9</v>
      </c>
      <c r="F258" s="20" t="n">
        <f aca="false">Parametres!$B$6*D258</f>
        <v>4.18</v>
      </c>
      <c r="G258" s="20" t="n">
        <f aca="false">E258+F258</f>
        <v>212.08</v>
      </c>
      <c r="H258" s="20" t="n">
        <f aca="false">IF(G258&lt;Parametres!$B$8*Parametres!$B$7,0,MIN(G258,Parametres!$B$7))</f>
        <v>212.08</v>
      </c>
      <c r="I258" s="20" t="n">
        <f aca="false">G258-H258</f>
        <v>0</v>
      </c>
      <c r="J258" s="21" t="n">
        <f aca="false">H258*1000/Parametres!$B$9</f>
        <v>3596.40495167034</v>
      </c>
    </row>
    <row r="259" customFormat="false" ht="15" hidden="false" customHeight="false" outlineLevel="0" collapsed="false">
      <c r="A259" s="0" t="n">
        <v>255</v>
      </c>
      <c r="B259" s="0" t="n">
        <v>1</v>
      </c>
      <c r="C259" s="19" t="n">
        <v>0.5425</v>
      </c>
      <c r="D259" s="19" t="n">
        <v>0.0133</v>
      </c>
      <c r="E259" s="20" t="n">
        <f aca="false">Parametres!$B$5*C259</f>
        <v>162.75</v>
      </c>
      <c r="F259" s="20" t="n">
        <f aca="false">Parametres!$B$6*D259</f>
        <v>2.66</v>
      </c>
      <c r="G259" s="20" t="n">
        <f aca="false">E259+F259</f>
        <v>165.41</v>
      </c>
      <c r="H259" s="20" t="n">
        <f aca="false">IF(G259&lt;Parametres!$B$8*Parametres!$B$7,0,MIN(G259,Parametres!$B$7))</f>
        <v>165.41</v>
      </c>
      <c r="I259" s="20" t="n">
        <f aca="false">G259-H259</f>
        <v>0</v>
      </c>
      <c r="J259" s="21" t="n">
        <f aca="false">H259*1000/Parametres!$B$9</f>
        <v>2804.98558589113</v>
      </c>
    </row>
    <row r="260" customFormat="false" ht="15" hidden="false" customHeight="false" outlineLevel="0" collapsed="false">
      <c r="A260" s="0" t="n">
        <v>256</v>
      </c>
      <c r="B260" s="0" t="n">
        <v>1</v>
      </c>
      <c r="C260" s="19" t="n">
        <v>0.366</v>
      </c>
      <c r="D260" s="19" t="n">
        <v>0.0044</v>
      </c>
      <c r="E260" s="20" t="n">
        <f aca="false">Parametres!$B$5*C260</f>
        <v>109.8</v>
      </c>
      <c r="F260" s="20" t="n">
        <f aca="false">Parametres!$B$6*D260</f>
        <v>0.88</v>
      </c>
      <c r="G260" s="20" t="n">
        <f aca="false">E260+F260</f>
        <v>110.68</v>
      </c>
      <c r="H260" s="20" t="n">
        <f aca="false">IF(G260&lt;Parametres!$B$8*Parametres!$B$7,0,MIN(G260,Parametres!$B$7))</f>
        <v>110.68</v>
      </c>
      <c r="I260" s="20" t="n">
        <f aca="false">G260-H260</f>
        <v>0</v>
      </c>
      <c r="J260" s="21" t="n">
        <f aca="false">H260*1000/Parametres!$B$9</f>
        <v>1876.88655248431</v>
      </c>
    </row>
    <row r="261" customFormat="false" ht="15" hidden="false" customHeight="false" outlineLevel="0" collapsed="false">
      <c r="A261" s="0" t="n">
        <v>257</v>
      </c>
      <c r="B261" s="0" t="n">
        <v>1</v>
      </c>
      <c r="C261" s="19" t="n">
        <v>0.1322</v>
      </c>
      <c r="D261" s="19" t="n">
        <v>0.0269</v>
      </c>
      <c r="E261" s="20" t="n">
        <f aca="false">Parametres!$B$5*C261</f>
        <v>39.66</v>
      </c>
      <c r="F261" s="20" t="n">
        <f aca="false">Parametres!$B$6*D261</f>
        <v>5.38</v>
      </c>
      <c r="G261" s="20" t="n">
        <f aca="false">E261+F261</f>
        <v>45.04</v>
      </c>
      <c r="H261" s="20" t="n">
        <f aca="false">IF(G261&lt;Parametres!$B$8*Parametres!$B$7,0,MIN(G261,Parametres!$B$7))</f>
        <v>45.04</v>
      </c>
      <c r="I261" s="20" t="n">
        <f aca="false">G261-H261</f>
        <v>0</v>
      </c>
      <c r="J261" s="21" t="n">
        <f aca="false">H261*1000/Parametres!$B$9</f>
        <v>763.77819230117</v>
      </c>
    </row>
    <row r="262" customFormat="false" ht="15" hidden="false" customHeight="false" outlineLevel="0" collapsed="false">
      <c r="A262" s="0" t="n">
        <v>258</v>
      </c>
      <c r="B262" s="0" t="n">
        <v>1</v>
      </c>
      <c r="C262" s="19" t="n">
        <v>0</v>
      </c>
      <c r="D262" s="19" t="n">
        <v>0.0485</v>
      </c>
      <c r="E262" s="20" t="n">
        <f aca="false">Parametres!$B$5*C262</f>
        <v>0</v>
      </c>
      <c r="F262" s="20" t="n">
        <f aca="false">Parametres!$B$6*D262</f>
        <v>9.7</v>
      </c>
      <c r="G262" s="20" t="n">
        <f aca="false">E262+F262</f>
        <v>9.7</v>
      </c>
      <c r="H262" s="20" t="n">
        <f aca="false">IF(G262&lt;Parametres!$B$8*Parametres!$B$7,0,MIN(G262,Parametres!$B$7))</f>
        <v>0</v>
      </c>
      <c r="I262" s="20" t="n">
        <f aca="false">G262-H262</f>
        <v>9.7</v>
      </c>
      <c r="J262" s="21" t="n">
        <f aca="false">H262*1000/Parametres!$B$9</f>
        <v>0</v>
      </c>
    </row>
    <row r="263" customFormat="false" ht="15" hidden="false" customHeight="false" outlineLevel="0" collapsed="false">
      <c r="A263" s="0" t="n">
        <v>259</v>
      </c>
      <c r="B263" s="0" t="n">
        <v>1</v>
      </c>
      <c r="C263" s="19" t="n">
        <v>0</v>
      </c>
      <c r="D263" s="19" t="n">
        <v>0.0282</v>
      </c>
      <c r="E263" s="20" t="n">
        <f aca="false">Parametres!$B$5*C263</f>
        <v>0</v>
      </c>
      <c r="F263" s="20" t="n">
        <f aca="false">Parametres!$B$6*D263</f>
        <v>5.64</v>
      </c>
      <c r="G263" s="20" t="n">
        <f aca="false">E263+F263</f>
        <v>5.64</v>
      </c>
      <c r="H263" s="20" t="n">
        <f aca="false">IF(G263&lt;Parametres!$B$8*Parametres!$B$7,0,MIN(G263,Parametres!$B$7))</f>
        <v>0</v>
      </c>
      <c r="I263" s="20" t="n">
        <f aca="false">G263-H263</f>
        <v>5.64</v>
      </c>
      <c r="J263" s="21" t="n">
        <f aca="false">H263*1000/Parametres!$B$9</f>
        <v>0</v>
      </c>
    </row>
    <row r="264" customFormat="false" ht="15" hidden="false" customHeight="false" outlineLevel="0" collapsed="false">
      <c r="A264" s="0" t="n">
        <v>260</v>
      </c>
      <c r="B264" s="0" t="n">
        <v>1</v>
      </c>
      <c r="C264" s="19" t="n">
        <v>0</v>
      </c>
      <c r="D264" s="19" t="n">
        <v>0.0145</v>
      </c>
      <c r="E264" s="20" t="n">
        <f aca="false">Parametres!$B$5*C264</f>
        <v>0</v>
      </c>
      <c r="F264" s="20" t="n">
        <f aca="false">Parametres!$B$6*D264</f>
        <v>2.9</v>
      </c>
      <c r="G264" s="20" t="n">
        <f aca="false">E264+F264</f>
        <v>2.9</v>
      </c>
      <c r="H264" s="20" t="n">
        <f aca="false">IF(G264&lt;Parametres!$B$8*Parametres!$B$7,0,MIN(G264,Parametres!$B$7))</f>
        <v>0</v>
      </c>
      <c r="I264" s="20" t="n">
        <f aca="false">G264-H264</f>
        <v>2.9</v>
      </c>
      <c r="J264" s="21" t="n">
        <f aca="false">H264*1000/Parametres!$B$9</f>
        <v>0</v>
      </c>
    </row>
    <row r="265" customFormat="false" ht="15" hidden="false" customHeight="false" outlineLevel="0" collapsed="false">
      <c r="A265" s="0" t="n">
        <v>261</v>
      </c>
      <c r="B265" s="0" t="n">
        <v>1</v>
      </c>
      <c r="C265" s="19" t="n">
        <v>0</v>
      </c>
      <c r="D265" s="19" t="n">
        <v>0.0123</v>
      </c>
      <c r="E265" s="20" t="n">
        <f aca="false">Parametres!$B$5*C265</f>
        <v>0</v>
      </c>
      <c r="F265" s="20" t="n">
        <f aca="false">Parametres!$B$6*D265</f>
        <v>2.46</v>
      </c>
      <c r="G265" s="20" t="n">
        <f aca="false">E265+F265</f>
        <v>2.46</v>
      </c>
      <c r="H265" s="20" t="n">
        <f aca="false">IF(G265&lt;Parametres!$B$8*Parametres!$B$7,0,MIN(G265,Parametres!$B$7))</f>
        <v>0</v>
      </c>
      <c r="I265" s="20" t="n">
        <f aca="false">G265-H265</f>
        <v>2.46</v>
      </c>
      <c r="J265" s="21" t="n">
        <f aca="false">H265*1000/Parametres!$B$9</f>
        <v>0</v>
      </c>
    </row>
    <row r="266" customFormat="false" ht="15" hidden="false" customHeight="false" outlineLevel="0" collapsed="false">
      <c r="A266" s="0" t="n">
        <v>262</v>
      </c>
      <c r="B266" s="0" t="n">
        <v>1</v>
      </c>
      <c r="C266" s="19" t="n">
        <v>0</v>
      </c>
      <c r="D266" s="19" t="n">
        <v>0.0022</v>
      </c>
      <c r="E266" s="20" t="n">
        <f aca="false">Parametres!$B$5*C266</f>
        <v>0</v>
      </c>
      <c r="F266" s="20" t="n">
        <f aca="false">Parametres!$B$6*D266</f>
        <v>0.44</v>
      </c>
      <c r="G266" s="20" t="n">
        <f aca="false">E266+F266</f>
        <v>0.44</v>
      </c>
      <c r="H266" s="20" t="n">
        <f aca="false">IF(G266&lt;Parametres!$B$8*Parametres!$B$7,0,MIN(G266,Parametres!$B$7))</f>
        <v>0</v>
      </c>
      <c r="I266" s="20" t="n">
        <f aca="false">G266-H266</f>
        <v>0.44</v>
      </c>
      <c r="J266" s="21" t="n">
        <f aca="false">H266*1000/Parametres!$B$9</f>
        <v>0</v>
      </c>
    </row>
    <row r="267" customFormat="false" ht="15" hidden="false" customHeight="false" outlineLevel="0" collapsed="false">
      <c r="A267" s="0" t="n">
        <v>263</v>
      </c>
      <c r="B267" s="0" t="n">
        <v>1</v>
      </c>
      <c r="C267" s="19" t="n">
        <v>0</v>
      </c>
      <c r="D267" s="19" t="n">
        <v>0.0031</v>
      </c>
      <c r="E267" s="20" t="n">
        <f aca="false">Parametres!$B$5*C267</f>
        <v>0</v>
      </c>
      <c r="F267" s="20" t="n">
        <f aca="false">Parametres!$B$6*D267</f>
        <v>0.62</v>
      </c>
      <c r="G267" s="20" t="n">
        <f aca="false">E267+F267</f>
        <v>0.62</v>
      </c>
      <c r="H267" s="20" t="n">
        <f aca="false">IF(G267&lt;Parametres!$B$8*Parametres!$B$7,0,MIN(G267,Parametres!$B$7))</f>
        <v>0</v>
      </c>
      <c r="I267" s="20" t="n">
        <f aca="false">G267-H267</f>
        <v>0.62</v>
      </c>
      <c r="J267" s="21" t="n">
        <f aca="false">H267*1000/Parametres!$B$9</f>
        <v>0</v>
      </c>
    </row>
    <row r="268" customFormat="false" ht="15" hidden="false" customHeight="false" outlineLevel="0" collapsed="false">
      <c r="A268" s="0" t="n">
        <v>264</v>
      </c>
      <c r="B268" s="0" t="n">
        <v>1</v>
      </c>
      <c r="C268" s="19" t="n">
        <v>0</v>
      </c>
      <c r="D268" s="19" t="n">
        <v>0.0003</v>
      </c>
      <c r="E268" s="20" t="n">
        <f aca="false">Parametres!$B$5*C268</f>
        <v>0</v>
      </c>
      <c r="F268" s="20" t="n">
        <f aca="false">Parametres!$B$6*D268</f>
        <v>0.06</v>
      </c>
      <c r="G268" s="20" t="n">
        <f aca="false">E268+F268</f>
        <v>0.06</v>
      </c>
      <c r="H268" s="20" t="n">
        <f aca="false">IF(G268&lt;Parametres!$B$8*Parametres!$B$7,0,MIN(G268,Parametres!$B$7))</f>
        <v>0</v>
      </c>
      <c r="I268" s="20" t="n">
        <f aca="false">G268-H268</f>
        <v>0.06</v>
      </c>
      <c r="J268" s="21" t="n">
        <f aca="false">H268*1000/Parametres!$B$9</f>
        <v>0</v>
      </c>
    </row>
    <row r="269" customFormat="false" ht="15" hidden="false" customHeight="false" outlineLevel="0" collapsed="false">
      <c r="A269" s="0" t="n">
        <v>265</v>
      </c>
      <c r="B269" s="0" t="n">
        <v>1</v>
      </c>
      <c r="C269" s="19" t="n">
        <v>0</v>
      </c>
      <c r="D269" s="19" t="n">
        <v>0.0001</v>
      </c>
      <c r="E269" s="20" t="n">
        <f aca="false">Parametres!$B$5*C269</f>
        <v>0</v>
      </c>
      <c r="F269" s="20" t="n">
        <f aca="false">Parametres!$B$6*D269</f>
        <v>0.02</v>
      </c>
      <c r="G269" s="20" t="n">
        <f aca="false">E269+F269</f>
        <v>0.02</v>
      </c>
      <c r="H269" s="20" t="n">
        <f aca="false">IF(G269&lt;Parametres!$B$8*Parametres!$B$7,0,MIN(G269,Parametres!$B$7))</f>
        <v>0</v>
      </c>
      <c r="I269" s="20" t="n">
        <f aca="false">G269-H269</f>
        <v>0.02</v>
      </c>
      <c r="J269" s="21" t="n">
        <f aca="false">H269*1000/Parametres!$B$9</f>
        <v>0</v>
      </c>
    </row>
    <row r="270" customFormat="false" ht="15" hidden="false" customHeight="false" outlineLevel="0" collapsed="false">
      <c r="A270" s="0" t="n">
        <v>266</v>
      </c>
      <c r="B270" s="0" t="n">
        <v>1</v>
      </c>
      <c r="C270" s="19" t="n">
        <v>0</v>
      </c>
      <c r="D270" s="19" t="n">
        <v>0</v>
      </c>
      <c r="E270" s="20" t="n">
        <f aca="false">Parametres!$B$5*C270</f>
        <v>0</v>
      </c>
      <c r="F270" s="20" t="n">
        <f aca="false">Parametres!$B$6*D270</f>
        <v>0</v>
      </c>
      <c r="G270" s="20" t="n">
        <f aca="false">E270+F270</f>
        <v>0</v>
      </c>
      <c r="H270" s="20" t="n">
        <f aca="false">IF(G270&lt;Parametres!$B$8*Parametres!$B$7,0,MIN(G270,Parametres!$B$7))</f>
        <v>0</v>
      </c>
      <c r="I270" s="20" t="n">
        <f aca="false">G270-H270</f>
        <v>0</v>
      </c>
      <c r="J270" s="21" t="n">
        <f aca="false">H270*1000/Parametres!$B$9</f>
        <v>0</v>
      </c>
    </row>
    <row r="271" customFormat="false" ht="15" hidden="false" customHeight="false" outlineLevel="0" collapsed="false">
      <c r="A271" s="0" t="n">
        <v>267</v>
      </c>
      <c r="B271" s="0" t="n">
        <v>1</v>
      </c>
      <c r="C271" s="19" t="n">
        <v>0</v>
      </c>
      <c r="D271" s="19" t="n">
        <v>0</v>
      </c>
      <c r="E271" s="20" t="n">
        <f aca="false">Parametres!$B$5*C271</f>
        <v>0</v>
      </c>
      <c r="F271" s="20" t="n">
        <f aca="false">Parametres!$B$6*D271</f>
        <v>0</v>
      </c>
      <c r="G271" s="20" t="n">
        <f aca="false">E271+F271</f>
        <v>0</v>
      </c>
      <c r="H271" s="20" t="n">
        <f aca="false">IF(G271&lt;Parametres!$B$8*Parametres!$B$7,0,MIN(G271,Parametres!$B$7))</f>
        <v>0</v>
      </c>
      <c r="I271" s="20" t="n">
        <f aca="false">G271-H271</f>
        <v>0</v>
      </c>
      <c r="J271" s="21" t="n">
        <f aca="false">H271*1000/Parametres!$B$9</f>
        <v>0</v>
      </c>
    </row>
    <row r="272" customFormat="false" ht="15" hidden="false" customHeight="false" outlineLevel="0" collapsed="false">
      <c r="A272" s="0" t="n">
        <v>268</v>
      </c>
      <c r="B272" s="0" t="n">
        <v>1</v>
      </c>
      <c r="C272" s="19" t="n">
        <v>0</v>
      </c>
      <c r="D272" s="19" t="n">
        <v>0</v>
      </c>
      <c r="E272" s="20" t="n">
        <f aca="false">Parametres!$B$5*C272</f>
        <v>0</v>
      </c>
      <c r="F272" s="20" t="n">
        <f aca="false">Parametres!$B$6*D272</f>
        <v>0</v>
      </c>
      <c r="G272" s="20" t="n">
        <f aca="false">E272+F272</f>
        <v>0</v>
      </c>
      <c r="H272" s="20" t="n">
        <f aca="false">IF(G272&lt;Parametres!$B$8*Parametres!$B$7,0,MIN(G272,Parametres!$B$7))</f>
        <v>0</v>
      </c>
      <c r="I272" s="20" t="n">
        <f aca="false">G272-H272</f>
        <v>0</v>
      </c>
      <c r="J272" s="21" t="n">
        <f aca="false">H272*1000/Parametres!$B$9</f>
        <v>0</v>
      </c>
    </row>
    <row r="273" customFormat="false" ht="15" hidden="false" customHeight="false" outlineLevel="0" collapsed="false">
      <c r="A273" s="0" t="n">
        <v>269</v>
      </c>
      <c r="B273" s="0" t="n">
        <v>1</v>
      </c>
      <c r="C273" s="19" t="n">
        <v>0</v>
      </c>
      <c r="D273" s="19" t="n">
        <v>0</v>
      </c>
      <c r="E273" s="20" t="n">
        <f aca="false">Parametres!$B$5*C273</f>
        <v>0</v>
      </c>
      <c r="F273" s="20" t="n">
        <f aca="false">Parametres!$B$6*D273</f>
        <v>0</v>
      </c>
      <c r="G273" s="20" t="n">
        <f aca="false">E273+F273</f>
        <v>0</v>
      </c>
      <c r="H273" s="20" t="n">
        <f aca="false">IF(G273&lt;Parametres!$B$8*Parametres!$B$7,0,MIN(G273,Parametres!$B$7))</f>
        <v>0</v>
      </c>
      <c r="I273" s="20" t="n">
        <f aca="false">G273-H273</f>
        <v>0</v>
      </c>
      <c r="J273" s="21" t="n">
        <f aca="false">H273*1000/Parametres!$B$9</f>
        <v>0</v>
      </c>
    </row>
    <row r="274" customFormat="false" ht="15" hidden="false" customHeight="false" outlineLevel="0" collapsed="false">
      <c r="A274" s="0" t="n">
        <v>270</v>
      </c>
      <c r="B274" s="0" t="n">
        <v>1</v>
      </c>
      <c r="C274" s="19" t="n">
        <v>0</v>
      </c>
      <c r="D274" s="19" t="n">
        <v>0</v>
      </c>
      <c r="E274" s="20" t="n">
        <f aca="false">Parametres!$B$5*C274</f>
        <v>0</v>
      </c>
      <c r="F274" s="20" t="n">
        <f aca="false">Parametres!$B$6*D274</f>
        <v>0</v>
      </c>
      <c r="G274" s="20" t="n">
        <f aca="false">E274+F274</f>
        <v>0</v>
      </c>
      <c r="H274" s="20" t="n">
        <f aca="false">IF(G274&lt;Parametres!$B$8*Parametres!$B$7,0,MIN(G274,Parametres!$B$7))</f>
        <v>0</v>
      </c>
      <c r="I274" s="20" t="n">
        <f aca="false">G274-H274</f>
        <v>0</v>
      </c>
      <c r="J274" s="21" t="n">
        <f aca="false">H274*1000/Parametres!$B$9</f>
        <v>0</v>
      </c>
    </row>
    <row r="275" customFormat="false" ht="15" hidden="false" customHeight="false" outlineLevel="0" collapsed="false">
      <c r="A275" s="0" t="n">
        <v>271</v>
      </c>
      <c r="B275" s="0" t="n">
        <v>1</v>
      </c>
      <c r="C275" s="19" t="n">
        <v>0</v>
      </c>
      <c r="D275" s="19" t="n">
        <v>0</v>
      </c>
      <c r="E275" s="20" t="n">
        <f aca="false">Parametres!$B$5*C275</f>
        <v>0</v>
      </c>
      <c r="F275" s="20" t="n">
        <f aca="false">Parametres!$B$6*D275</f>
        <v>0</v>
      </c>
      <c r="G275" s="20" t="n">
        <f aca="false">E275+F275</f>
        <v>0</v>
      </c>
      <c r="H275" s="20" t="n">
        <f aca="false">IF(G275&lt;Parametres!$B$8*Parametres!$B$7,0,MIN(G275,Parametres!$B$7))</f>
        <v>0</v>
      </c>
      <c r="I275" s="20" t="n">
        <f aca="false">G275-H275</f>
        <v>0</v>
      </c>
      <c r="J275" s="21" t="n">
        <f aca="false">H275*1000/Parametres!$B$9</f>
        <v>0</v>
      </c>
    </row>
    <row r="276" customFormat="false" ht="15" hidden="false" customHeight="false" outlineLevel="0" collapsed="false">
      <c r="A276" s="0" t="n">
        <v>272</v>
      </c>
      <c r="B276" s="0" t="n">
        <v>1</v>
      </c>
      <c r="C276" s="19" t="n">
        <v>0.1362</v>
      </c>
      <c r="D276" s="19" t="n">
        <v>0</v>
      </c>
      <c r="E276" s="20" t="n">
        <f aca="false">Parametres!$B$5*C276</f>
        <v>40.86</v>
      </c>
      <c r="F276" s="20" t="n">
        <f aca="false">Parametres!$B$6*D276</f>
        <v>0</v>
      </c>
      <c r="G276" s="20" t="n">
        <f aca="false">E276+F276</f>
        <v>40.86</v>
      </c>
      <c r="H276" s="20" t="n">
        <f aca="false">IF(G276&lt;Parametres!$B$8*Parametres!$B$7,0,MIN(G276,Parametres!$B$7))</f>
        <v>40.86</v>
      </c>
      <c r="I276" s="20" t="n">
        <f aca="false">G276-H276</f>
        <v>0</v>
      </c>
      <c r="J276" s="21" t="n">
        <f aca="false">H276*1000/Parametres!$B$9</f>
        <v>692.894692216381</v>
      </c>
    </row>
    <row r="277" customFormat="false" ht="15" hidden="false" customHeight="false" outlineLevel="0" collapsed="false">
      <c r="A277" s="0" t="n">
        <v>273</v>
      </c>
      <c r="B277" s="0" t="n">
        <v>1</v>
      </c>
      <c r="C277" s="19" t="n">
        <v>0.3635</v>
      </c>
      <c r="D277" s="19" t="n">
        <v>0</v>
      </c>
      <c r="E277" s="20" t="n">
        <f aca="false">Parametres!$B$5*C277</f>
        <v>109.05</v>
      </c>
      <c r="F277" s="20" t="n">
        <f aca="false">Parametres!$B$6*D277</f>
        <v>0</v>
      </c>
      <c r="G277" s="20" t="n">
        <f aca="false">E277+F277</f>
        <v>109.05</v>
      </c>
      <c r="H277" s="20" t="n">
        <f aca="false">IF(G277&lt;Parametres!$B$8*Parametres!$B$7,0,MIN(G277,Parametres!$B$7))</f>
        <v>109.05</v>
      </c>
      <c r="I277" s="20" t="n">
        <f aca="false">G277-H277</f>
        <v>0</v>
      </c>
      <c r="J277" s="21" t="n">
        <f aca="false">H277*1000/Parametres!$B$9</f>
        <v>1849.24537900627</v>
      </c>
    </row>
    <row r="278" customFormat="false" ht="15" hidden="false" customHeight="false" outlineLevel="0" collapsed="false">
      <c r="A278" s="0" t="n">
        <v>274</v>
      </c>
      <c r="B278" s="0" t="n">
        <v>1</v>
      </c>
      <c r="C278" s="19" t="n">
        <v>0.588</v>
      </c>
      <c r="D278" s="19" t="n">
        <v>0</v>
      </c>
      <c r="E278" s="20" t="n">
        <f aca="false">Parametres!$B$5*C278</f>
        <v>176.4</v>
      </c>
      <c r="F278" s="20" t="n">
        <f aca="false">Parametres!$B$6*D278</f>
        <v>0</v>
      </c>
      <c r="G278" s="20" t="n">
        <f aca="false">E278+F278</f>
        <v>176.4</v>
      </c>
      <c r="H278" s="20" t="n">
        <f aca="false">IF(G278&lt;Parametres!$B$8*Parametres!$B$7,0,MIN(G278,Parametres!$B$7))</f>
        <v>176.4</v>
      </c>
      <c r="I278" s="20" t="n">
        <f aca="false">G278-H278</f>
        <v>0</v>
      </c>
      <c r="J278" s="21" t="n">
        <f aca="false">H278*1000/Parametres!$B$9</f>
        <v>2991.35153467865</v>
      </c>
    </row>
    <row r="279" customFormat="false" ht="15" hidden="false" customHeight="false" outlineLevel="0" collapsed="false">
      <c r="A279" s="0" t="n">
        <v>275</v>
      </c>
      <c r="B279" s="0" t="n">
        <v>1</v>
      </c>
      <c r="C279" s="19" t="n">
        <v>0.7276</v>
      </c>
      <c r="D279" s="19" t="n">
        <v>0</v>
      </c>
      <c r="E279" s="20" t="n">
        <f aca="false">Parametres!$B$5*C279</f>
        <v>218.28</v>
      </c>
      <c r="F279" s="20" t="n">
        <f aca="false">Parametres!$B$6*D279</f>
        <v>0</v>
      </c>
      <c r="G279" s="20" t="n">
        <f aca="false">E279+F279</f>
        <v>218.28</v>
      </c>
      <c r="H279" s="20" t="n">
        <f aca="false">IF(G279&lt;Parametres!$B$8*Parametres!$B$7,0,MIN(G279,Parametres!$B$7))</f>
        <v>218.28</v>
      </c>
      <c r="I279" s="20" t="n">
        <f aca="false">G279-H279</f>
        <v>0</v>
      </c>
      <c r="J279" s="21" t="n">
        <f aca="false">H279*1000/Parametres!$B$9</f>
        <v>3701.54315753773</v>
      </c>
    </row>
    <row r="280" customFormat="false" ht="15" hidden="false" customHeight="false" outlineLevel="0" collapsed="false">
      <c r="A280" s="0" t="n">
        <v>276</v>
      </c>
      <c r="B280" s="0" t="n">
        <v>1</v>
      </c>
      <c r="C280" s="19" t="n">
        <v>0.8163</v>
      </c>
      <c r="D280" s="19" t="n">
        <v>0</v>
      </c>
      <c r="E280" s="20" t="n">
        <f aca="false">Parametres!$B$5*C280</f>
        <v>244.89</v>
      </c>
      <c r="F280" s="20" t="n">
        <f aca="false">Parametres!$B$6*D280</f>
        <v>0</v>
      </c>
      <c r="G280" s="20" t="n">
        <f aca="false">E280+F280</f>
        <v>244.89</v>
      </c>
      <c r="H280" s="20" t="n">
        <f aca="false">IF(G280&lt;Parametres!$B$8*Parametres!$B$7,0,MIN(G280,Parametres!$B$7))</f>
        <v>244.89</v>
      </c>
      <c r="I280" s="20" t="n">
        <f aca="false">G280-H280</f>
        <v>0</v>
      </c>
      <c r="J280" s="21" t="n">
        <f aca="false">H280*1000/Parametres!$B$9</f>
        <v>4152.78955401052</v>
      </c>
    </row>
    <row r="281" customFormat="false" ht="15" hidden="false" customHeight="false" outlineLevel="0" collapsed="false">
      <c r="A281" s="0" t="n">
        <v>277</v>
      </c>
      <c r="B281" s="0" t="n">
        <v>1</v>
      </c>
      <c r="C281" s="19" t="n">
        <v>0.8225</v>
      </c>
      <c r="D281" s="19" t="n">
        <v>0</v>
      </c>
      <c r="E281" s="20" t="n">
        <f aca="false">Parametres!$B$5*C281</f>
        <v>246.75</v>
      </c>
      <c r="F281" s="20" t="n">
        <f aca="false">Parametres!$B$6*D281</f>
        <v>0</v>
      </c>
      <c r="G281" s="20" t="n">
        <f aca="false">E281+F281</f>
        <v>246.75</v>
      </c>
      <c r="H281" s="20" t="n">
        <f aca="false">IF(G281&lt;Parametres!$B$8*Parametres!$B$7,0,MIN(G281,Parametres!$B$7))</f>
        <v>246.75</v>
      </c>
      <c r="I281" s="20" t="n">
        <f aca="false">G281-H281</f>
        <v>0</v>
      </c>
      <c r="J281" s="21" t="n">
        <f aca="false">H281*1000/Parametres!$B$9</f>
        <v>4184.33101577073</v>
      </c>
    </row>
    <row r="282" customFormat="false" ht="15" hidden="false" customHeight="false" outlineLevel="0" collapsed="false">
      <c r="A282" s="0" t="n">
        <v>278</v>
      </c>
      <c r="B282" s="0" t="n">
        <v>1</v>
      </c>
      <c r="C282" s="19" t="n">
        <v>0.7245</v>
      </c>
      <c r="D282" s="19" t="n">
        <v>0</v>
      </c>
      <c r="E282" s="20" t="n">
        <f aca="false">Parametres!$B$5*C282</f>
        <v>217.35</v>
      </c>
      <c r="F282" s="20" t="n">
        <f aca="false">Parametres!$B$6*D282</f>
        <v>0</v>
      </c>
      <c r="G282" s="20" t="n">
        <f aca="false">E282+F282</f>
        <v>217.35</v>
      </c>
      <c r="H282" s="20" t="n">
        <f aca="false">IF(G282&lt;Parametres!$B$8*Parametres!$B$7,0,MIN(G282,Parametres!$B$7))</f>
        <v>217.35</v>
      </c>
      <c r="I282" s="20" t="n">
        <f aca="false">G282-H282</f>
        <v>0</v>
      </c>
      <c r="J282" s="21" t="n">
        <f aca="false">H282*1000/Parametres!$B$9</f>
        <v>3685.77242665762</v>
      </c>
    </row>
    <row r="283" customFormat="false" ht="15" hidden="false" customHeight="false" outlineLevel="0" collapsed="false">
      <c r="A283" s="0" t="n">
        <v>279</v>
      </c>
      <c r="B283" s="0" t="n">
        <v>1</v>
      </c>
      <c r="C283" s="19" t="n">
        <v>0.5984</v>
      </c>
      <c r="D283" s="19" t="n">
        <v>0.0002</v>
      </c>
      <c r="E283" s="20" t="n">
        <f aca="false">Parametres!$B$5*C283</f>
        <v>179.52</v>
      </c>
      <c r="F283" s="20" t="n">
        <f aca="false">Parametres!$B$6*D283</f>
        <v>0.04</v>
      </c>
      <c r="G283" s="20" t="n">
        <f aca="false">E283+F283</f>
        <v>179.56</v>
      </c>
      <c r="H283" s="20" t="n">
        <f aca="false">IF(G283&lt;Parametres!$B$8*Parametres!$B$7,0,MIN(G283,Parametres!$B$7))</f>
        <v>179.56</v>
      </c>
      <c r="I283" s="20" t="n">
        <f aca="false">G283-H283</f>
        <v>0</v>
      </c>
      <c r="J283" s="21" t="n">
        <f aca="false">H283*1000/Parametres!$B$9</f>
        <v>3044.93810412074</v>
      </c>
    </row>
    <row r="284" customFormat="false" ht="15" hidden="false" customHeight="false" outlineLevel="0" collapsed="false">
      <c r="A284" s="0" t="n">
        <v>280</v>
      </c>
      <c r="B284" s="0" t="n">
        <v>1</v>
      </c>
      <c r="C284" s="19" t="n">
        <v>0.3579</v>
      </c>
      <c r="D284" s="19" t="n">
        <v>0.0012</v>
      </c>
      <c r="E284" s="20" t="n">
        <f aca="false">Parametres!$B$5*C284</f>
        <v>107.37</v>
      </c>
      <c r="F284" s="20" t="n">
        <f aca="false">Parametres!$B$6*D284</f>
        <v>0.24</v>
      </c>
      <c r="G284" s="20" t="n">
        <f aca="false">E284+F284</f>
        <v>107.61</v>
      </c>
      <c r="H284" s="20" t="n">
        <f aca="false">IF(G284&lt;Parametres!$B$8*Parametres!$B$7,0,MIN(G284,Parametres!$B$7))</f>
        <v>107.61</v>
      </c>
      <c r="I284" s="20" t="n">
        <f aca="false">G284-H284</f>
        <v>0</v>
      </c>
      <c r="J284" s="21" t="n">
        <f aca="false">H284*1000/Parametres!$B$9</f>
        <v>1824.82618280482</v>
      </c>
    </row>
    <row r="285" customFormat="false" ht="15" hidden="false" customHeight="false" outlineLevel="0" collapsed="false">
      <c r="A285" s="0" t="n">
        <v>281</v>
      </c>
      <c r="B285" s="0" t="n">
        <v>1</v>
      </c>
      <c r="C285" s="19" t="n">
        <v>0.1308</v>
      </c>
      <c r="D285" s="19" t="n">
        <v>0</v>
      </c>
      <c r="E285" s="20" t="n">
        <f aca="false">Parametres!$B$5*C285</f>
        <v>39.24</v>
      </c>
      <c r="F285" s="20" t="n">
        <f aca="false">Parametres!$B$6*D285</f>
        <v>0</v>
      </c>
      <c r="G285" s="20" t="n">
        <f aca="false">E285+F285</f>
        <v>39.24</v>
      </c>
      <c r="H285" s="20" t="n">
        <f aca="false">IF(G285&lt;Parametres!$B$8*Parametres!$B$7,0,MIN(G285,Parametres!$B$7))</f>
        <v>39.24</v>
      </c>
      <c r="I285" s="20" t="n">
        <f aca="false">G285-H285</f>
        <v>0</v>
      </c>
      <c r="J285" s="21" t="n">
        <f aca="false">H285*1000/Parametres!$B$9</f>
        <v>665.423096489741</v>
      </c>
    </row>
    <row r="286" customFormat="false" ht="15" hidden="false" customHeight="false" outlineLevel="0" collapsed="false">
      <c r="A286" s="0" t="n">
        <v>282</v>
      </c>
      <c r="B286" s="0" t="n">
        <v>1</v>
      </c>
      <c r="C286" s="19" t="n">
        <v>0</v>
      </c>
      <c r="D286" s="19" t="n">
        <v>0.0006</v>
      </c>
      <c r="E286" s="20" t="n">
        <f aca="false">Parametres!$B$5*C286</f>
        <v>0</v>
      </c>
      <c r="F286" s="20" t="n">
        <f aca="false">Parametres!$B$6*D286</f>
        <v>0.12</v>
      </c>
      <c r="G286" s="20" t="n">
        <f aca="false">E286+F286</f>
        <v>0.12</v>
      </c>
      <c r="H286" s="20" t="n">
        <f aca="false">IF(G286&lt;Parametres!$B$8*Parametres!$B$7,0,MIN(G286,Parametres!$B$7))</f>
        <v>0</v>
      </c>
      <c r="I286" s="20" t="n">
        <f aca="false">G286-H286</f>
        <v>0.12</v>
      </c>
      <c r="J286" s="21" t="n">
        <f aca="false">H286*1000/Parametres!$B$9</f>
        <v>0</v>
      </c>
    </row>
    <row r="287" customFormat="false" ht="15" hidden="false" customHeight="false" outlineLevel="0" collapsed="false">
      <c r="A287" s="0" t="n">
        <v>283</v>
      </c>
      <c r="B287" s="0" t="n">
        <v>1</v>
      </c>
      <c r="C287" s="19" t="n">
        <v>0</v>
      </c>
      <c r="D287" s="19" t="n">
        <v>0.0024</v>
      </c>
      <c r="E287" s="20" t="n">
        <f aca="false">Parametres!$B$5*C287</f>
        <v>0</v>
      </c>
      <c r="F287" s="20" t="n">
        <f aca="false">Parametres!$B$6*D287</f>
        <v>0.48</v>
      </c>
      <c r="G287" s="20" t="n">
        <f aca="false">E287+F287</f>
        <v>0.48</v>
      </c>
      <c r="H287" s="20" t="n">
        <f aca="false">IF(G287&lt;Parametres!$B$8*Parametres!$B$7,0,MIN(G287,Parametres!$B$7))</f>
        <v>0</v>
      </c>
      <c r="I287" s="20" t="n">
        <f aca="false">G287-H287</f>
        <v>0.48</v>
      </c>
      <c r="J287" s="21" t="n">
        <f aca="false">H287*1000/Parametres!$B$9</f>
        <v>0</v>
      </c>
    </row>
    <row r="288" customFormat="false" ht="15" hidden="false" customHeight="false" outlineLevel="0" collapsed="false">
      <c r="A288" s="0" t="n">
        <v>284</v>
      </c>
      <c r="B288" s="0" t="n">
        <v>1</v>
      </c>
      <c r="C288" s="19" t="n">
        <v>0</v>
      </c>
      <c r="D288" s="19" t="n">
        <v>0</v>
      </c>
      <c r="E288" s="20" t="n">
        <f aca="false">Parametres!$B$5*C288</f>
        <v>0</v>
      </c>
      <c r="F288" s="20" t="n">
        <f aca="false">Parametres!$B$6*D288</f>
        <v>0</v>
      </c>
      <c r="G288" s="20" t="n">
        <f aca="false">E288+F288</f>
        <v>0</v>
      </c>
      <c r="H288" s="20" t="n">
        <f aca="false">IF(G288&lt;Parametres!$B$8*Parametres!$B$7,0,MIN(G288,Parametres!$B$7))</f>
        <v>0</v>
      </c>
      <c r="I288" s="20" t="n">
        <f aca="false">G288-H288</f>
        <v>0</v>
      </c>
      <c r="J288" s="21" t="n">
        <f aca="false">H288*1000/Parametres!$B$9</f>
        <v>0</v>
      </c>
    </row>
    <row r="289" customFormat="false" ht="15" hidden="false" customHeight="false" outlineLevel="0" collapsed="false">
      <c r="A289" s="0" t="n">
        <v>285</v>
      </c>
      <c r="B289" s="0" t="n">
        <v>1</v>
      </c>
      <c r="C289" s="19" t="n">
        <v>0</v>
      </c>
      <c r="D289" s="19" t="n">
        <v>0</v>
      </c>
      <c r="E289" s="20" t="n">
        <f aca="false">Parametres!$B$5*C289</f>
        <v>0</v>
      </c>
      <c r="F289" s="20" t="n">
        <f aca="false">Parametres!$B$6*D289</f>
        <v>0</v>
      </c>
      <c r="G289" s="20" t="n">
        <f aca="false">E289+F289</f>
        <v>0</v>
      </c>
      <c r="H289" s="20" t="n">
        <f aca="false">IF(G289&lt;Parametres!$B$8*Parametres!$B$7,0,MIN(G289,Parametres!$B$7))</f>
        <v>0</v>
      </c>
      <c r="I289" s="20" t="n">
        <f aca="false">G289-H289</f>
        <v>0</v>
      </c>
      <c r="J289" s="21" t="n">
        <f aca="false">H289*1000/Parametres!$B$9</f>
        <v>0</v>
      </c>
    </row>
    <row r="290" customFormat="false" ht="15" hidden="false" customHeight="false" outlineLevel="0" collapsed="false">
      <c r="A290" s="0" t="n">
        <v>286</v>
      </c>
      <c r="B290" s="0" t="n">
        <v>1</v>
      </c>
      <c r="C290" s="19" t="n">
        <v>0</v>
      </c>
      <c r="D290" s="19" t="n">
        <v>0</v>
      </c>
      <c r="E290" s="20" t="n">
        <f aca="false">Parametres!$B$5*C290</f>
        <v>0</v>
      </c>
      <c r="F290" s="20" t="n">
        <f aca="false">Parametres!$B$6*D290</f>
        <v>0</v>
      </c>
      <c r="G290" s="20" t="n">
        <f aca="false">E290+F290</f>
        <v>0</v>
      </c>
      <c r="H290" s="20" t="n">
        <f aca="false">IF(G290&lt;Parametres!$B$8*Parametres!$B$7,0,MIN(G290,Parametres!$B$7))</f>
        <v>0</v>
      </c>
      <c r="I290" s="20" t="n">
        <f aca="false">G290-H290</f>
        <v>0</v>
      </c>
      <c r="J290" s="21" t="n">
        <f aca="false">H290*1000/Parametres!$B$9</f>
        <v>0</v>
      </c>
    </row>
    <row r="291" customFormat="false" ht="15" hidden="false" customHeight="false" outlineLevel="0" collapsed="false">
      <c r="A291" s="0" t="n">
        <v>287</v>
      </c>
      <c r="B291" s="0" t="n">
        <v>1</v>
      </c>
      <c r="C291" s="19" t="n">
        <v>0</v>
      </c>
      <c r="D291" s="19" t="n">
        <v>0</v>
      </c>
      <c r="E291" s="20" t="n">
        <f aca="false">Parametres!$B$5*C291</f>
        <v>0</v>
      </c>
      <c r="F291" s="20" t="n">
        <f aca="false">Parametres!$B$6*D291</f>
        <v>0</v>
      </c>
      <c r="G291" s="20" t="n">
        <f aca="false">E291+F291</f>
        <v>0</v>
      </c>
      <c r="H291" s="20" t="n">
        <f aca="false">IF(G291&lt;Parametres!$B$8*Parametres!$B$7,0,MIN(G291,Parametres!$B$7))</f>
        <v>0</v>
      </c>
      <c r="I291" s="20" t="n">
        <f aca="false">G291-H291</f>
        <v>0</v>
      </c>
      <c r="J291" s="21" t="n">
        <f aca="false">H291*1000/Parametres!$B$9</f>
        <v>0</v>
      </c>
    </row>
    <row r="292" customFormat="false" ht="15" hidden="false" customHeight="false" outlineLevel="0" collapsed="false">
      <c r="A292" s="0" t="n">
        <v>288</v>
      </c>
      <c r="B292" s="0" t="n">
        <v>1</v>
      </c>
      <c r="C292" s="19" t="n">
        <v>0</v>
      </c>
      <c r="D292" s="19" t="n">
        <v>0</v>
      </c>
      <c r="E292" s="20" t="n">
        <f aca="false">Parametres!$B$5*C292</f>
        <v>0</v>
      </c>
      <c r="F292" s="20" t="n">
        <f aca="false">Parametres!$B$6*D292</f>
        <v>0</v>
      </c>
      <c r="G292" s="20" t="n">
        <f aca="false">E292+F292</f>
        <v>0</v>
      </c>
      <c r="H292" s="20" t="n">
        <f aca="false">IF(G292&lt;Parametres!$B$8*Parametres!$B$7,0,MIN(G292,Parametres!$B$7))</f>
        <v>0</v>
      </c>
      <c r="I292" s="20" t="n">
        <f aca="false">G292-H292</f>
        <v>0</v>
      </c>
      <c r="J292" s="21" t="n">
        <f aca="false">H292*1000/Parametres!$B$9</f>
        <v>0</v>
      </c>
    </row>
    <row r="293" customFormat="false" ht="15" hidden="false" customHeight="false" outlineLevel="0" collapsed="false">
      <c r="A293" s="0" t="n">
        <v>289</v>
      </c>
      <c r="B293" s="0" t="n">
        <v>1</v>
      </c>
      <c r="C293" s="19" t="n">
        <v>0</v>
      </c>
      <c r="D293" s="19" t="n">
        <v>0</v>
      </c>
      <c r="E293" s="20" t="n">
        <f aca="false">Parametres!$B$5*C293</f>
        <v>0</v>
      </c>
      <c r="F293" s="20" t="n">
        <f aca="false">Parametres!$B$6*D293</f>
        <v>0</v>
      </c>
      <c r="G293" s="20" t="n">
        <f aca="false">E293+F293</f>
        <v>0</v>
      </c>
      <c r="H293" s="20" t="n">
        <f aca="false">IF(G293&lt;Parametres!$B$8*Parametres!$B$7,0,MIN(G293,Parametres!$B$7))</f>
        <v>0</v>
      </c>
      <c r="I293" s="20" t="n">
        <f aca="false">G293-H293</f>
        <v>0</v>
      </c>
      <c r="J293" s="21" t="n">
        <f aca="false">H293*1000/Parametres!$B$9</f>
        <v>0</v>
      </c>
    </row>
    <row r="294" customFormat="false" ht="15" hidden="false" customHeight="false" outlineLevel="0" collapsed="false">
      <c r="A294" s="0" t="n">
        <v>290</v>
      </c>
      <c r="B294" s="0" t="n">
        <v>1</v>
      </c>
      <c r="C294" s="19" t="n">
        <v>0</v>
      </c>
      <c r="D294" s="19" t="n">
        <v>0</v>
      </c>
      <c r="E294" s="20" t="n">
        <f aca="false">Parametres!$B$5*C294</f>
        <v>0</v>
      </c>
      <c r="F294" s="20" t="n">
        <f aca="false">Parametres!$B$6*D294</f>
        <v>0</v>
      </c>
      <c r="G294" s="20" t="n">
        <f aca="false">E294+F294</f>
        <v>0</v>
      </c>
      <c r="H294" s="20" t="n">
        <f aca="false">IF(G294&lt;Parametres!$B$8*Parametres!$B$7,0,MIN(G294,Parametres!$B$7))</f>
        <v>0</v>
      </c>
      <c r="I294" s="20" t="n">
        <f aca="false">G294-H294</f>
        <v>0</v>
      </c>
      <c r="J294" s="21" t="n">
        <f aca="false">H294*1000/Parametres!$B$9</f>
        <v>0</v>
      </c>
    </row>
    <row r="295" customFormat="false" ht="15" hidden="false" customHeight="false" outlineLevel="0" collapsed="false">
      <c r="A295" s="0" t="n">
        <v>291</v>
      </c>
      <c r="B295" s="0" t="n">
        <v>1</v>
      </c>
      <c r="C295" s="19" t="n">
        <v>0</v>
      </c>
      <c r="D295" s="19" t="n">
        <v>0</v>
      </c>
      <c r="E295" s="20" t="n">
        <f aca="false">Parametres!$B$5*C295</f>
        <v>0</v>
      </c>
      <c r="F295" s="20" t="n">
        <f aca="false">Parametres!$B$6*D295</f>
        <v>0</v>
      </c>
      <c r="G295" s="20" t="n">
        <f aca="false">E295+F295</f>
        <v>0</v>
      </c>
      <c r="H295" s="20" t="n">
        <f aca="false">IF(G295&lt;Parametres!$B$8*Parametres!$B$7,0,MIN(G295,Parametres!$B$7))</f>
        <v>0</v>
      </c>
      <c r="I295" s="20" t="n">
        <f aca="false">G295-H295</f>
        <v>0</v>
      </c>
      <c r="J295" s="21" t="n">
        <f aca="false">H295*1000/Parametres!$B$9</f>
        <v>0</v>
      </c>
    </row>
    <row r="296" customFormat="false" ht="15" hidden="false" customHeight="false" outlineLevel="0" collapsed="false">
      <c r="A296" s="0" t="n">
        <v>292</v>
      </c>
      <c r="B296" s="0" t="n">
        <v>1</v>
      </c>
      <c r="C296" s="19" t="n">
        <v>0</v>
      </c>
      <c r="D296" s="19" t="n">
        <v>0</v>
      </c>
      <c r="E296" s="20" t="n">
        <f aca="false">Parametres!$B$5*C296</f>
        <v>0</v>
      </c>
      <c r="F296" s="20" t="n">
        <f aca="false">Parametres!$B$6*D296</f>
        <v>0</v>
      </c>
      <c r="G296" s="20" t="n">
        <f aca="false">E296+F296</f>
        <v>0</v>
      </c>
      <c r="H296" s="20" t="n">
        <f aca="false">IF(G296&lt;Parametres!$B$8*Parametres!$B$7,0,MIN(G296,Parametres!$B$7))</f>
        <v>0</v>
      </c>
      <c r="I296" s="20" t="n">
        <f aca="false">G296-H296</f>
        <v>0</v>
      </c>
      <c r="J296" s="21" t="n">
        <f aca="false">H296*1000/Parametres!$B$9</f>
        <v>0</v>
      </c>
    </row>
    <row r="297" customFormat="false" ht="15" hidden="false" customHeight="false" outlineLevel="0" collapsed="false">
      <c r="A297" s="0" t="n">
        <v>293</v>
      </c>
      <c r="B297" s="0" t="n">
        <v>1</v>
      </c>
      <c r="C297" s="19" t="n">
        <v>0</v>
      </c>
      <c r="D297" s="19" t="n">
        <v>0</v>
      </c>
      <c r="E297" s="20" t="n">
        <f aca="false">Parametres!$B$5*C297</f>
        <v>0</v>
      </c>
      <c r="F297" s="20" t="n">
        <f aca="false">Parametres!$B$6*D297</f>
        <v>0</v>
      </c>
      <c r="G297" s="20" t="n">
        <f aca="false">E297+F297</f>
        <v>0</v>
      </c>
      <c r="H297" s="20" t="n">
        <f aca="false">IF(G297&lt;Parametres!$B$8*Parametres!$B$7,0,MIN(G297,Parametres!$B$7))</f>
        <v>0</v>
      </c>
      <c r="I297" s="20" t="n">
        <f aca="false">G297-H297</f>
        <v>0</v>
      </c>
      <c r="J297" s="21" t="n">
        <f aca="false">H297*1000/Parametres!$B$9</f>
        <v>0</v>
      </c>
    </row>
    <row r="298" customFormat="false" ht="15" hidden="false" customHeight="false" outlineLevel="0" collapsed="false">
      <c r="A298" s="0" t="n">
        <v>294</v>
      </c>
      <c r="B298" s="0" t="n">
        <v>1</v>
      </c>
      <c r="C298" s="19" t="n">
        <v>0</v>
      </c>
      <c r="D298" s="19" t="n">
        <v>0</v>
      </c>
      <c r="E298" s="20" t="n">
        <f aca="false">Parametres!$B$5*C298</f>
        <v>0</v>
      </c>
      <c r="F298" s="20" t="n">
        <f aca="false">Parametres!$B$6*D298</f>
        <v>0</v>
      </c>
      <c r="G298" s="20" t="n">
        <f aca="false">E298+F298</f>
        <v>0</v>
      </c>
      <c r="H298" s="20" t="n">
        <f aca="false">IF(G298&lt;Parametres!$B$8*Parametres!$B$7,0,MIN(G298,Parametres!$B$7))</f>
        <v>0</v>
      </c>
      <c r="I298" s="20" t="n">
        <f aca="false">G298-H298</f>
        <v>0</v>
      </c>
      <c r="J298" s="21" t="n">
        <f aca="false">H298*1000/Parametres!$B$9</f>
        <v>0</v>
      </c>
    </row>
    <row r="299" customFormat="false" ht="15" hidden="false" customHeight="false" outlineLevel="0" collapsed="false">
      <c r="A299" s="0" t="n">
        <v>295</v>
      </c>
      <c r="B299" s="0" t="n">
        <v>1</v>
      </c>
      <c r="C299" s="19" t="n">
        <v>0</v>
      </c>
      <c r="D299" s="19" t="n">
        <v>0</v>
      </c>
      <c r="E299" s="20" t="n">
        <f aca="false">Parametres!$B$5*C299</f>
        <v>0</v>
      </c>
      <c r="F299" s="20" t="n">
        <f aca="false">Parametres!$B$6*D299</f>
        <v>0</v>
      </c>
      <c r="G299" s="20" t="n">
        <f aca="false">E299+F299</f>
        <v>0</v>
      </c>
      <c r="H299" s="20" t="n">
        <f aca="false">IF(G299&lt;Parametres!$B$8*Parametres!$B$7,0,MIN(G299,Parametres!$B$7))</f>
        <v>0</v>
      </c>
      <c r="I299" s="20" t="n">
        <f aca="false">G299-H299</f>
        <v>0</v>
      </c>
      <c r="J299" s="21" t="n">
        <f aca="false">H299*1000/Parametres!$B$9</f>
        <v>0</v>
      </c>
    </row>
    <row r="300" customFormat="false" ht="15" hidden="false" customHeight="false" outlineLevel="0" collapsed="false">
      <c r="A300" s="0" t="n">
        <v>296</v>
      </c>
      <c r="B300" s="0" t="n">
        <v>1</v>
      </c>
      <c r="C300" s="19" t="n">
        <v>0.1165</v>
      </c>
      <c r="D300" s="19" t="n">
        <v>0</v>
      </c>
      <c r="E300" s="20" t="n">
        <f aca="false">Parametres!$B$5*C300</f>
        <v>34.95</v>
      </c>
      <c r="F300" s="20" t="n">
        <f aca="false">Parametres!$B$6*D300</f>
        <v>0</v>
      </c>
      <c r="G300" s="20" t="n">
        <f aca="false">E300+F300</f>
        <v>34.95</v>
      </c>
      <c r="H300" s="20" t="n">
        <f aca="false">IF(G300&lt;Parametres!$B$8*Parametres!$B$7,0,MIN(G300,Parametres!$B$7))</f>
        <v>34.95</v>
      </c>
      <c r="I300" s="20" t="n">
        <f aca="false">G300-H300</f>
        <v>0</v>
      </c>
      <c r="J300" s="21" t="n">
        <f aca="false">H300*1000/Parametres!$B$9</f>
        <v>592.674241139563</v>
      </c>
    </row>
    <row r="301" customFormat="false" ht="15" hidden="false" customHeight="false" outlineLevel="0" collapsed="false">
      <c r="A301" s="0" t="n">
        <v>297</v>
      </c>
      <c r="B301" s="0" t="n">
        <v>1</v>
      </c>
      <c r="C301" s="19" t="n">
        <v>0.2841</v>
      </c>
      <c r="D301" s="19" t="n">
        <v>0</v>
      </c>
      <c r="E301" s="20" t="n">
        <f aca="false">Parametres!$B$5*C301</f>
        <v>85.23</v>
      </c>
      <c r="F301" s="20" t="n">
        <f aca="false">Parametres!$B$6*D301</f>
        <v>0</v>
      </c>
      <c r="G301" s="20" t="n">
        <f aca="false">E301+F301</f>
        <v>85.23</v>
      </c>
      <c r="H301" s="20" t="n">
        <f aca="false">IF(G301&lt;Parametres!$B$8*Parametres!$B$7,0,MIN(G301,Parametres!$B$7))</f>
        <v>85.23</v>
      </c>
      <c r="I301" s="20" t="n">
        <f aca="false">G301-H301</f>
        <v>0</v>
      </c>
      <c r="J301" s="21" t="n">
        <f aca="false">H301*1000/Parametres!$B$9</f>
        <v>1445.31117517382</v>
      </c>
    </row>
    <row r="302" customFormat="false" ht="15" hidden="false" customHeight="false" outlineLevel="0" collapsed="false">
      <c r="A302" s="0" t="n">
        <v>298</v>
      </c>
      <c r="B302" s="0" t="n">
        <v>1</v>
      </c>
      <c r="C302" s="19" t="n">
        <v>0.4852</v>
      </c>
      <c r="D302" s="19" t="n">
        <v>0</v>
      </c>
      <c r="E302" s="20" t="n">
        <f aca="false">Parametres!$B$5*C302</f>
        <v>145.56</v>
      </c>
      <c r="F302" s="20" t="n">
        <f aca="false">Parametres!$B$6*D302</f>
        <v>0</v>
      </c>
      <c r="G302" s="20" t="n">
        <f aca="false">E302+F302</f>
        <v>145.56</v>
      </c>
      <c r="H302" s="20" t="n">
        <f aca="false">IF(G302&lt;Parametres!$B$8*Parametres!$B$7,0,MIN(G302,Parametres!$B$7))</f>
        <v>145.56</v>
      </c>
      <c r="I302" s="20" t="n">
        <f aca="false">G302-H302</f>
        <v>0</v>
      </c>
      <c r="J302" s="21" t="n">
        <f aca="false">H302*1000/Parametres!$B$9</f>
        <v>2468.37374936408</v>
      </c>
    </row>
    <row r="303" customFormat="false" ht="15" hidden="false" customHeight="false" outlineLevel="0" collapsed="false">
      <c r="A303" s="0" t="n">
        <v>299</v>
      </c>
      <c r="B303" s="0" t="n">
        <v>1</v>
      </c>
      <c r="C303" s="19" t="n">
        <v>0.5899</v>
      </c>
      <c r="D303" s="19" t="n">
        <v>0</v>
      </c>
      <c r="E303" s="20" t="n">
        <f aca="false">Parametres!$B$5*C303</f>
        <v>176.97</v>
      </c>
      <c r="F303" s="20" t="n">
        <f aca="false">Parametres!$B$6*D303</f>
        <v>0</v>
      </c>
      <c r="G303" s="20" t="n">
        <f aca="false">E303+F303</f>
        <v>176.97</v>
      </c>
      <c r="H303" s="20" t="n">
        <f aca="false">IF(G303&lt;Parametres!$B$8*Parametres!$B$7,0,MIN(G303,Parametres!$B$7))</f>
        <v>176.97</v>
      </c>
      <c r="I303" s="20" t="n">
        <f aca="false">G303-H303</f>
        <v>0</v>
      </c>
      <c r="J303" s="21" t="n">
        <f aca="false">H303*1000/Parametres!$B$9</f>
        <v>3001.01746650839</v>
      </c>
    </row>
    <row r="304" customFormat="false" ht="15" hidden="false" customHeight="false" outlineLevel="0" collapsed="false">
      <c r="A304" s="0" t="n">
        <v>300</v>
      </c>
      <c r="B304" s="0" t="n">
        <v>1</v>
      </c>
      <c r="C304" s="19" t="n">
        <v>0.6186</v>
      </c>
      <c r="D304" s="19" t="n">
        <v>0</v>
      </c>
      <c r="E304" s="20" t="n">
        <f aca="false">Parametres!$B$5*C304</f>
        <v>185.58</v>
      </c>
      <c r="F304" s="20" t="n">
        <f aca="false">Parametres!$B$6*D304</f>
        <v>0</v>
      </c>
      <c r="G304" s="20" t="n">
        <f aca="false">E304+F304</f>
        <v>185.58</v>
      </c>
      <c r="H304" s="20" t="n">
        <f aca="false">IF(G304&lt;Parametres!$B$8*Parametres!$B$7,0,MIN(G304,Parametres!$B$7))</f>
        <v>185.58</v>
      </c>
      <c r="I304" s="20" t="n">
        <f aca="false">G304-H304</f>
        <v>0</v>
      </c>
      <c r="J304" s="21" t="n">
        <f aca="false">H304*1000/Parametres!$B$9</f>
        <v>3147.02391046295</v>
      </c>
    </row>
    <row r="305" customFormat="false" ht="15" hidden="false" customHeight="false" outlineLevel="0" collapsed="false">
      <c r="A305" s="0" t="n">
        <v>301</v>
      </c>
      <c r="B305" s="0" t="n">
        <v>1</v>
      </c>
      <c r="C305" s="19" t="n">
        <v>0.6776</v>
      </c>
      <c r="D305" s="19" t="n">
        <v>0</v>
      </c>
      <c r="E305" s="20" t="n">
        <f aca="false">Parametres!$B$5*C305</f>
        <v>203.28</v>
      </c>
      <c r="F305" s="20" t="n">
        <f aca="false">Parametres!$B$6*D305</f>
        <v>0</v>
      </c>
      <c r="G305" s="20" t="n">
        <f aca="false">E305+F305</f>
        <v>203.28</v>
      </c>
      <c r="H305" s="20" t="n">
        <f aca="false">IF(G305&lt;Parametres!$B$8*Parametres!$B$7,0,MIN(G305,Parametres!$B$7))</f>
        <v>203.28</v>
      </c>
      <c r="I305" s="20" t="n">
        <f aca="false">G305-H305</f>
        <v>0</v>
      </c>
      <c r="J305" s="21" t="n">
        <f aca="false">H305*1000/Parametres!$B$9</f>
        <v>3447.17653043921</v>
      </c>
    </row>
    <row r="306" customFormat="false" ht="15" hidden="false" customHeight="false" outlineLevel="0" collapsed="false">
      <c r="A306" s="0" t="n">
        <v>302</v>
      </c>
      <c r="B306" s="0" t="n">
        <v>1</v>
      </c>
      <c r="C306" s="19" t="n">
        <v>0.6523</v>
      </c>
      <c r="D306" s="19" t="n">
        <v>0.0001</v>
      </c>
      <c r="E306" s="20" t="n">
        <f aca="false">Parametres!$B$5*C306</f>
        <v>195.69</v>
      </c>
      <c r="F306" s="20" t="n">
        <f aca="false">Parametres!$B$6*D306</f>
        <v>0.02</v>
      </c>
      <c r="G306" s="20" t="n">
        <f aca="false">E306+F306</f>
        <v>195.71</v>
      </c>
      <c r="H306" s="20" t="n">
        <f aca="false">IF(G306&lt;Parametres!$B$8*Parametres!$B$7,0,MIN(G306,Parametres!$B$7))</f>
        <v>195.71</v>
      </c>
      <c r="I306" s="20" t="n">
        <f aca="false">G306-H306</f>
        <v>0</v>
      </c>
      <c r="J306" s="21" t="n">
        <f aca="false">H306*1000/Parametres!$B$9</f>
        <v>3318.80617263015</v>
      </c>
    </row>
    <row r="307" customFormat="false" ht="15" hidden="false" customHeight="false" outlineLevel="0" collapsed="false">
      <c r="A307" s="0" t="n">
        <v>303</v>
      </c>
      <c r="B307" s="0" t="n">
        <v>1</v>
      </c>
      <c r="C307" s="19" t="n">
        <v>0.4838</v>
      </c>
      <c r="D307" s="19" t="n">
        <v>0.0006</v>
      </c>
      <c r="E307" s="20" t="n">
        <f aca="false">Parametres!$B$5*C307</f>
        <v>145.14</v>
      </c>
      <c r="F307" s="20" t="n">
        <f aca="false">Parametres!$B$6*D307</f>
        <v>0.12</v>
      </c>
      <c r="G307" s="20" t="n">
        <f aca="false">E307+F307</f>
        <v>145.26</v>
      </c>
      <c r="H307" s="20" t="n">
        <f aca="false">IF(G307&lt;Parametres!$B$8*Parametres!$B$7,0,MIN(G307,Parametres!$B$7))</f>
        <v>145.26</v>
      </c>
      <c r="I307" s="20" t="n">
        <f aca="false">G307-H307</f>
        <v>0</v>
      </c>
      <c r="J307" s="21" t="n">
        <f aca="false">H307*1000/Parametres!$B$9</f>
        <v>2463.28641682211</v>
      </c>
    </row>
    <row r="308" customFormat="false" ht="15" hidden="false" customHeight="false" outlineLevel="0" collapsed="false">
      <c r="A308" s="0" t="n">
        <v>304</v>
      </c>
      <c r="B308" s="0" t="n">
        <v>1</v>
      </c>
      <c r="C308" s="19" t="n">
        <v>0.3248</v>
      </c>
      <c r="D308" s="19" t="n">
        <v>0.0001</v>
      </c>
      <c r="E308" s="20" t="n">
        <f aca="false">Parametres!$B$5*C308</f>
        <v>97.44</v>
      </c>
      <c r="F308" s="20" t="n">
        <f aca="false">Parametres!$B$6*D308</f>
        <v>0.02</v>
      </c>
      <c r="G308" s="20" t="n">
        <f aca="false">E308+F308</f>
        <v>97.46</v>
      </c>
      <c r="H308" s="20" t="n">
        <f aca="false">IF(G308&lt;Parametres!$B$8*Parametres!$B$7,0,MIN(G308,Parametres!$B$7))</f>
        <v>97.46</v>
      </c>
      <c r="I308" s="20" t="n">
        <f aca="false">G308-H308</f>
        <v>0</v>
      </c>
      <c r="J308" s="21" t="n">
        <f aca="false">H308*1000/Parametres!$B$9</f>
        <v>1652.70476513481</v>
      </c>
    </row>
    <row r="309" customFormat="false" ht="15" hidden="false" customHeight="false" outlineLevel="0" collapsed="false">
      <c r="A309" s="0" t="n">
        <v>305</v>
      </c>
      <c r="B309" s="0" t="n">
        <v>1</v>
      </c>
      <c r="C309" s="19" t="n">
        <v>0.1173</v>
      </c>
      <c r="D309" s="19" t="n">
        <v>0.0032</v>
      </c>
      <c r="E309" s="20" t="n">
        <f aca="false">Parametres!$B$5*C309</f>
        <v>35.19</v>
      </c>
      <c r="F309" s="20" t="n">
        <f aca="false">Parametres!$B$6*D309</f>
        <v>0.64</v>
      </c>
      <c r="G309" s="20" t="n">
        <f aca="false">E309+F309</f>
        <v>35.83</v>
      </c>
      <c r="H309" s="20" t="n">
        <f aca="false">IF(G309&lt;Parametres!$B$8*Parametres!$B$7,0,MIN(G309,Parametres!$B$7))</f>
        <v>35.83</v>
      </c>
      <c r="I309" s="20" t="n">
        <f aca="false">G309-H309</f>
        <v>0</v>
      </c>
      <c r="J309" s="21" t="n">
        <f aca="false">H309*1000/Parametres!$B$9</f>
        <v>607.597083262676</v>
      </c>
    </row>
    <row r="310" customFormat="false" ht="15" hidden="false" customHeight="false" outlineLevel="0" collapsed="false">
      <c r="A310" s="0" t="n">
        <v>306</v>
      </c>
      <c r="B310" s="0" t="n">
        <v>1</v>
      </c>
      <c r="C310" s="19" t="n">
        <v>0</v>
      </c>
      <c r="D310" s="19" t="n">
        <v>0.0141</v>
      </c>
      <c r="E310" s="20" t="n">
        <f aca="false">Parametres!$B$5*C310</f>
        <v>0</v>
      </c>
      <c r="F310" s="20" t="n">
        <f aca="false">Parametres!$B$6*D310</f>
        <v>2.82</v>
      </c>
      <c r="G310" s="20" t="n">
        <f aca="false">E310+F310</f>
        <v>2.82</v>
      </c>
      <c r="H310" s="20" t="n">
        <f aca="false">IF(G310&lt;Parametres!$B$8*Parametres!$B$7,0,MIN(G310,Parametres!$B$7))</f>
        <v>0</v>
      </c>
      <c r="I310" s="20" t="n">
        <f aca="false">G310-H310</f>
        <v>2.82</v>
      </c>
      <c r="J310" s="21" t="n">
        <f aca="false">H310*1000/Parametres!$B$9</f>
        <v>0</v>
      </c>
    </row>
    <row r="311" customFormat="false" ht="15" hidden="false" customHeight="false" outlineLevel="0" collapsed="false">
      <c r="A311" s="0" t="n">
        <v>307</v>
      </c>
      <c r="B311" s="0" t="n">
        <v>1</v>
      </c>
      <c r="C311" s="19" t="n">
        <v>0</v>
      </c>
      <c r="D311" s="19" t="n">
        <v>0.0085</v>
      </c>
      <c r="E311" s="20" t="n">
        <f aca="false">Parametres!$B$5*C311</f>
        <v>0</v>
      </c>
      <c r="F311" s="20" t="n">
        <f aca="false">Parametres!$B$6*D311</f>
        <v>1.7</v>
      </c>
      <c r="G311" s="20" t="n">
        <f aca="false">E311+F311</f>
        <v>1.7</v>
      </c>
      <c r="H311" s="20" t="n">
        <f aca="false">IF(G311&lt;Parametres!$B$8*Parametres!$B$7,0,MIN(G311,Parametres!$B$7))</f>
        <v>0</v>
      </c>
      <c r="I311" s="20" t="n">
        <f aca="false">G311-H311</f>
        <v>1.7</v>
      </c>
      <c r="J311" s="21" t="n">
        <f aca="false">H311*1000/Parametres!$B$9</f>
        <v>0</v>
      </c>
    </row>
    <row r="312" customFormat="false" ht="15" hidden="false" customHeight="false" outlineLevel="0" collapsed="false">
      <c r="A312" s="0" t="n">
        <v>308</v>
      </c>
      <c r="B312" s="0" t="n">
        <v>1</v>
      </c>
      <c r="C312" s="19" t="n">
        <v>0</v>
      </c>
      <c r="D312" s="19" t="n">
        <v>0.0076</v>
      </c>
      <c r="E312" s="20" t="n">
        <f aca="false">Parametres!$B$5*C312</f>
        <v>0</v>
      </c>
      <c r="F312" s="20" t="n">
        <f aca="false">Parametres!$B$6*D312</f>
        <v>1.52</v>
      </c>
      <c r="G312" s="20" t="n">
        <f aca="false">E312+F312</f>
        <v>1.52</v>
      </c>
      <c r="H312" s="20" t="n">
        <f aca="false">IF(G312&lt;Parametres!$B$8*Parametres!$B$7,0,MIN(G312,Parametres!$B$7))</f>
        <v>0</v>
      </c>
      <c r="I312" s="20" t="n">
        <f aca="false">G312-H312</f>
        <v>1.52</v>
      </c>
      <c r="J312" s="21" t="n">
        <f aca="false">H312*1000/Parametres!$B$9</f>
        <v>0</v>
      </c>
    </row>
    <row r="313" customFormat="false" ht="15" hidden="false" customHeight="false" outlineLevel="0" collapsed="false">
      <c r="A313" s="0" t="n">
        <v>309</v>
      </c>
      <c r="B313" s="0" t="n">
        <v>1</v>
      </c>
      <c r="C313" s="19" t="n">
        <v>0</v>
      </c>
      <c r="D313" s="19" t="n">
        <v>0.002</v>
      </c>
      <c r="E313" s="20" t="n">
        <f aca="false">Parametres!$B$5*C313</f>
        <v>0</v>
      </c>
      <c r="F313" s="20" t="n">
        <f aca="false">Parametres!$B$6*D313</f>
        <v>0.4</v>
      </c>
      <c r="G313" s="20" t="n">
        <f aca="false">E313+F313</f>
        <v>0.4</v>
      </c>
      <c r="H313" s="20" t="n">
        <f aca="false">IF(G313&lt;Parametres!$B$8*Parametres!$B$7,0,MIN(G313,Parametres!$B$7))</f>
        <v>0</v>
      </c>
      <c r="I313" s="20" t="n">
        <f aca="false">G313-H313</f>
        <v>0.4</v>
      </c>
      <c r="J313" s="21" t="n">
        <f aca="false">H313*1000/Parametres!$B$9</f>
        <v>0</v>
      </c>
    </row>
    <row r="314" customFormat="false" ht="15" hidden="false" customHeight="false" outlineLevel="0" collapsed="false">
      <c r="A314" s="0" t="n">
        <v>310</v>
      </c>
      <c r="B314" s="0" t="n">
        <v>1</v>
      </c>
      <c r="C314" s="19" t="n">
        <v>0</v>
      </c>
      <c r="D314" s="19" t="n">
        <v>0.0094</v>
      </c>
      <c r="E314" s="20" t="n">
        <f aca="false">Parametres!$B$5*C314</f>
        <v>0</v>
      </c>
      <c r="F314" s="20" t="n">
        <f aca="false">Parametres!$B$6*D314</f>
        <v>1.88</v>
      </c>
      <c r="G314" s="20" t="n">
        <f aca="false">E314+F314</f>
        <v>1.88</v>
      </c>
      <c r="H314" s="20" t="n">
        <f aca="false">IF(G314&lt;Parametres!$B$8*Parametres!$B$7,0,MIN(G314,Parametres!$B$7))</f>
        <v>0</v>
      </c>
      <c r="I314" s="20" t="n">
        <f aca="false">G314-H314</f>
        <v>1.88</v>
      </c>
      <c r="J314" s="21" t="n">
        <f aca="false">H314*1000/Parametres!$B$9</f>
        <v>0</v>
      </c>
    </row>
    <row r="315" customFormat="false" ht="15" hidden="false" customHeight="false" outlineLevel="0" collapsed="false">
      <c r="A315" s="0" t="n">
        <v>311</v>
      </c>
      <c r="B315" s="0" t="n">
        <v>1</v>
      </c>
      <c r="C315" s="19" t="n">
        <v>0</v>
      </c>
      <c r="D315" s="19" t="n">
        <v>0.0113</v>
      </c>
      <c r="E315" s="20" t="n">
        <f aca="false">Parametres!$B$5*C315</f>
        <v>0</v>
      </c>
      <c r="F315" s="20" t="n">
        <f aca="false">Parametres!$B$6*D315</f>
        <v>2.26</v>
      </c>
      <c r="G315" s="20" t="n">
        <f aca="false">E315+F315</f>
        <v>2.26</v>
      </c>
      <c r="H315" s="20" t="n">
        <f aca="false">IF(G315&lt;Parametres!$B$8*Parametres!$B$7,0,MIN(G315,Parametres!$B$7))</f>
        <v>0</v>
      </c>
      <c r="I315" s="20" t="n">
        <f aca="false">G315-H315</f>
        <v>2.26</v>
      </c>
      <c r="J315" s="21" t="n">
        <f aca="false">H315*1000/Parametres!$B$9</f>
        <v>0</v>
      </c>
    </row>
    <row r="316" customFormat="false" ht="15" hidden="false" customHeight="false" outlineLevel="0" collapsed="false">
      <c r="A316" s="0" t="n">
        <v>312</v>
      </c>
      <c r="B316" s="0" t="n">
        <v>1</v>
      </c>
      <c r="C316" s="19" t="n">
        <v>0</v>
      </c>
      <c r="D316" s="19" t="n">
        <v>0.0086</v>
      </c>
      <c r="E316" s="20" t="n">
        <f aca="false">Parametres!$B$5*C316</f>
        <v>0</v>
      </c>
      <c r="F316" s="20" t="n">
        <f aca="false">Parametres!$B$6*D316</f>
        <v>1.72</v>
      </c>
      <c r="G316" s="20" t="n">
        <f aca="false">E316+F316</f>
        <v>1.72</v>
      </c>
      <c r="H316" s="20" t="n">
        <f aca="false">IF(G316&lt;Parametres!$B$8*Parametres!$B$7,0,MIN(G316,Parametres!$B$7))</f>
        <v>0</v>
      </c>
      <c r="I316" s="20" t="n">
        <f aca="false">G316-H316</f>
        <v>1.72</v>
      </c>
      <c r="J316" s="21" t="n">
        <f aca="false">H316*1000/Parametres!$B$9</f>
        <v>0</v>
      </c>
    </row>
    <row r="317" customFormat="false" ht="15" hidden="false" customHeight="false" outlineLevel="0" collapsed="false">
      <c r="A317" s="0" t="n">
        <v>313</v>
      </c>
      <c r="B317" s="0" t="n">
        <v>1</v>
      </c>
      <c r="C317" s="19" t="n">
        <v>0</v>
      </c>
      <c r="D317" s="19" t="n">
        <v>0.0103</v>
      </c>
      <c r="E317" s="20" t="n">
        <f aca="false">Parametres!$B$5*C317</f>
        <v>0</v>
      </c>
      <c r="F317" s="20" t="n">
        <f aca="false">Parametres!$B$6*D317</f>
        <v>2.06</v>
      </c>
      <c r="G317" s="20" t="n">
        <f aca="false">E317+F317</f>
        <v>2.06</v>
      </c>
      <c r="H317" s="20" t="n">
        <f aca="false">IF(G317&lt;Parametres!$B$8*Parametres!$B$7,0,MIN(G317,Parametres!$B$7))</f>
        <v>0</v>
      </c>
      <c r="I317" s="20" t="n">
        <f aca="false">G317-H317</f>
        <v>2.06</v>
      </c>
      <c r="J317" s="21" t="n">
        <f aca="false">H317*1000/Parametres!$B$9</f>
        <v>0</v>
      </c>
    </row>
    <row r="318" customFormat="false" ht="15" hidden="false" customHeight="false" outlineLevel="0" collapsed="false">
      <c r="A318" s="0" t="n">
        <v>314</v>
      </c>
      <c r="B318" s="0" t="n">
        <v>1</v>
      </c>
      <c r="C318" s="19" t="n">
        <v>0</v>
      </c>
      <c r="D318" s="19" t="n">
        <v>0.0127</v>
      </c>
      <c r="E318" s="20" t="n">
        <f aca="false">Parametres!$B$5*C318</f>
        <v>0</v>
      </c>
      <c r="F318" s="20" t="n">
        <f aca="false">Parametres!$B$6*D318</f>
        <v>2.54</v>
      </c>
      <c r="G318" s="20" t="n">
        <f aca="false">E318+F318</f>
        <v>2.54</v>
      </c>
      <c r="H318" s="20" t="n">
        <f aca="false">IF(G318&lt;Parametres!$B$8*Parametres!$B$7,0,MIN(G318,Parametres!$B$7))</f>
        <v>0</v>
      </c>
      <c r="I318" s="20" t="n">
        <f aca="false">G318-H318</f>
        <v>2.54</v>
      </c>
      <c r="J318" s="21" t="n">
        <f aca="false">H318*1000/Parametres!$B$9</f>
        <v>0</v>
      </c>
    </row>
    <row r="319" customFormat="false" ht="15" hidden="false" customHeight="false" outlineLevel="0" collapsed="false">
      <c r="A319" s="0" t="n">
        <v>315</v>
      </c>
      <c r="B319" s="0" t="n">
        <v>1</v>
      </c>
      <c r="C319" s="19" t="n">
        <v>0</v>
      </c>
      <c r="D319" s="19" t="n">
        <v>0.0079</v>
      </c>
      <c r="E319" s="20" t="n">
        <f aca="false">Parametres!$B$5*C319</f>
        <v>0</v>
      </c>
      <c r="F319" s="20" t="n">
        <f aca="false">Parametres!$B$6*D319</f>
        <v>1.58</v>
      </c>
      <c r="G319" s="20" t="n">
        <f aca="false">E319+F319</f>
        <v>1.58</v>
      </c>
      <c r="H319" s="20" t="n">
        <f aca="false">IF(G319&lt;Parametres!$B$8*Parametres!$B$7,0,MIN(G319,Parametres!$B$7))</f>
        <v>0</v>
      </c>
      <c r="I319" s="20" t="n">
        <f aca="false">G319-H319</f>
        <v>1.58</v>
      </c>
      <c r="J319" s="21" t="n">
        <f aca="false">H319*1000/Parametres!$B$9</f>
        <v>0</v>
      </c>
    </row>
    <row r="320" customFormat="false" ht="15" hidden="false" customHeight="false" outlineLevel="0" collapsed="false">
      <c r="A320" s="0" t="n">
        <v>316</v>
      </c>
      <c r="B320" s="0" t="n">
        <v>1</v>
      </c>
      <c r="C320" s="19" t="n">
        <v>0</v>
      </c>
      <c r="D320" s="19" t="n">
        <v>0.0019</v>
      </c>
      <c r="E320" s="20" t="n">
        <f aca="false">Parametres!$B$5*C320</f>
        <v>0</v>
      </c>
      <c r="F320" s="20" t="n">
        <f aca="false">Parametres!$B$6*D320</f>
        <v>0.38</v>
      </c>
      <c r="G320" s="20" t="n">
        <f aca="false">E320+F320</f>
        <v>0.38</v>
      </c>
      <c r="H320" s="20" t="n">
        <f aca="false">IF(G320&lt;Parametres!$B$8*Parametres!$B$7,0,MIN(G320,Parametres!$B$7))</f>
        <v>0</v>
      </c>
      <c r="I320" s="20" t="n">
        <f aca="false">G320-H320</f>
        <v>0.38</v>
      </c>
      <c r="J320" s="21" t="n">
        <f aca="false">H320*1000/Parametres!$B$9</f>
        <v>0</v>
      </c>
    </row>
    <row r="321" customFormat="false" ht="15" hidden="false" customHeight="false" outlineLevel="0" collapsed="false">
      <c r="A321" s="0" t="n">
        <v>317</v>
      </c>
      <c r="B321" s="0" t="n">
        <v>1</v>
      </c>
      <c r="C321" s="19" t="n">
        <v>0</v>
      </c>
      <c r="D321" s="19" t="n">
        <v>0.0002</v>
      </c>
      <c r="E321" s="20" t="n">
        <f aca="false">Parametres!$B$5*C321</f>
        <v>0</v>
      </c>
      <c r="F321" s="20" t="n">
        <f aca="false">Parametres!$B$6*D321</f>
        <v>0.04</v>
      </c>
      <c r="G321" s="20" t="n">
        <f aca="false">E321+F321</f>
        <v>0.04</v>
      </c>
      <c r="H321" s="20" t="n">
        <f aca="false">IF(G321&lt;Parametres!$B$8*Parametres!$B$7,0,MIN(G321,Parametres!$B$7))</f>
        <v>0</v>
      </c>
      <c r="I321" s="20" t="n">
        <f aca="false">G321-H321</f>
        <v>0.04</v>
      </c>
      <c r="J321" s="21" t="n">
        <f aca="false">H321*1000/Parametres!$B$9</f>
        <v>0</v>
      </c>
    </row>
    <row r="322" customFormat="false" ht="15" hidden="false" customHeight="false" outlineLevel="0" collapsed="false">
      <c r="A322" s="0" t="n">
        <v>318</v>
      </c>
      <c r="B322" s="0" t="n">
        <v>1</v>
      </c>
      <c r="C322" s="19" t="n">
        <v>0</v>
      </c>
      <c r="D322" s="19" t="n">
        <v>0</v>
      </c>
      <c r="E322" s="20" t="n">
        <f aca="false">Parametres!$B$5*C322</f>
        <v>0</v>
      </c>
      <c r="F322" s="20" t="n">
        <f aca="false">Parametres!$B$6*D322</f>
        <v>0</v>
      </c>
      <c r="G322" s="20" t="n">
        <f aca="false">E322+F322</f>
        <v>0</v>
      </c>
      <c r="H322" s="20" t="n">
        <f aca="false">IF(G322&lt;Parametres!$B$8*Parametres!$B$7,0,MIN(G322,Parametres!$B$7))</f>
        <v>0</v>
      </c>
      <c r="I322" s="20" t="n">
        <f aca="false">G322-H322</f>
        <v>0</v>
      </c>
      <c r="J322" s="21" t="n">
        <f aca="false">H322*1000/Parametres!$B$9</f>
        <v>0</v>
      </c>
    </row>
    <row r="323" customFormat="false" ht="15" hidden="false" customHeight="false" outlineLevel="0" collapsed="false">
      <c r="A323" s="0" t="n">
        <v>319</v>
      </c>
      <c r="B323" s="0" t="n">
        <v>1</v>
      </c>
      <c r="C323" s="19" t="n">
        <v>0</v>
      </c>
      <c r="D323" s="19" t="n">
        <v>0</v>
      </c>
      <c r="E323" s="20" t="n">
        <f aca="false">Parametres!$B$5*C323</f>
        <v>0</v>
      </c>
      <c r="F323" s="20" t="n">
        <f aca="false">Parametres!$B$6*D323</f>
        <v>0</v>
      </c>
      <c r="G323" s="20" t="n">
        <f aca="false">E323+F323</f>
        <v>0</v>
      </c>
      <c r="H323" s="20" t="n">
        <f aca="false">IF(G323&lt;Parametres!$B$8*Parametres!$B$7,0,MIN(G323,Parametres!$B$7))</f>
        <v>0</v>
      </c>
      <c r="I323" s="20" t="n">
        <f aca="false">G323-H323</f>
        <v>0</v>
      </c>
      <c r="J323" s="21" t="n">
        <f aca="false">H323*1000/Parametres!$B$9</f>
        <v>0</v>
      </c>
    </row>
    <row r="324" customFormat="false" ht="15" hidden="false" customHeight="false" outlineLevel="0" collapsed="false">
      <c r="A324" s="0" t="n">
        <v>320</v>
      </c>
      <c r="B324" s="0" t="n">
        <v>1</v>
      </c>
      <c r="C324" s="19" t="n">
        <v>0.1307</v>
      </c>
      <c r="D324" s="19" t="n">
        <v>0.0029</v>
      </c>
      <c r="E324" s="20" t="n">
        <f aca="false">Parametres!$B$5*C324</f>
        <v>39.21</v>
      </c>
      <c r="F324" s="20" t="n">
        <f aca="false">Parametres!$B$6*D324</f>
        <v>0.58</v>
      </c>
      <c r="G324" s="20" t="n">
        <f aca="false">E324+F324</f>
        <v>39.79</v>
      </c>
      <c r="H324" s="20" t="n">
        <f aca="false">IF(G324&lt;Parametres!$B$8*Parametres!$B$7,0,MIN(G324,Parametres!$B$7))</f>
        <v>39.79</v>
      </c>
      <c r="I324" s="20" t="n">
        <f aca="false">G324-H324</f>
        <v>0</v>
      </c>
      <c r="J324" s="21" t="n">
        <f aca="false">H324*1000/Parametres!$B$9</f>
        <v>674.749872816686</v>
      </c>
    </row>
    <row r="325" customFormat="false" ht="15" hidden="false" customHeight="false" outlineLevel="0" collapsed="false">
      <c r="A325" s="0" t="n">
        <v>321</v>
      </c>
      <c r="B325" s="0" t="n">
        <v>1</v>
      </c>
      <c r="C325" s="19" t="n">
        <v>0.3589</v>
      </c>
      <c r="D325" s="19" t="n">
        <v>0.0003</v>
      </c>
      <c r="E325" s="20" t="n">
        <f aca="false">Parametres!$B$5*C325</f>
        <v>107.67</v>
      </c>
      <c r="F325" s="20" t="n">
        <f aca="false">Parametres!$B$6*D325</f>
        <v>0.06</v>
      </c>
      <c r="G325" s="20" t="n">
        <f aca="false">E325+F325</f>
        <v>107.73</v>
      </c>
      <c r="H325" s="20" t="n">
        <f aca="false">IF(G325&lt;Parametres!$B$8*Parametres!$B$7,0,MIN(G325,Parametres!$B$7))</f>
        <v>107.73</v>
      </c>
      <c r="I325" s="20" t="n">
        <f aca="false">G325-H325</f>
        <v>0</v>
      </c>
      <c r="J325" s="21" t="n">
        <f aca="false">H325*1000/Parametres!$B$9</f>
        <v>1826.8611158216</v>
      </c>
    </row>
    <row r="326" customFormat="false" ht="15" hidden="false" customHeight="false" outlineLevel="0" collapsed="false">
      <c r="A326" s="0" t="n">
        <v>322</v>
      </c>
      <c r="B326" s="0" t="n">
        <v>1</v>
      </c>
      <c r="C326" s="19" t="n">
        <v>0.5086</v>
      </c>
      <c r="D326" s="19" t="n">
        <v>0.0007</v>
      </c>
      <c r="E326" s="20" t="n">
        <f aca="false">Parametres!$B$5*C326</f>
        <v>152.58</v>
      </c>
      <c r="F326" s="20" t="n">
        <f aca="false">Parametres!$B$6*D326</f>
        <v>0.14</v>
      </c>
      <c r="G326" s="20" t="n">
        <f aca="false">E326+F326</f>
        <v>152.72</v>
      </c>
      <c r="H326" s="20" t="n">
        <f aca="false">IF(G326&lt;Parametres!$B$8*Parametres!$B$7,0,MIN(G326,Parametres!$B$7))</f>
        <v>152.72</v>
      </c>
      <c r="I326" s="20" t="n">
        <f aca="false">G326-H326</f>
        <v>0</v>
      </c>
      <c r="J326" s="21" t="n">
        <f aca="false">H326*1000/Parametres!$B$9</f>
        <v>2589.79141936578</v>
      </c>
    </row>
    <row r="327" customFormat="false" ht="15" hidden="false" customHeight="false" outlineLevel="0" collapsed="false">
      <c r="A327" s="0" t="n">
        <v>323</v>
      </c>
      <c r="B327" s="0" t="n">
        <v>1</v>
      </c>
      <c r="C327" s="19" t="n">
        <v>0.6509</v>
      </c>
      <c r="D327" s="19" t="n">
        <v>0.0023</v>
      </c>
      <c r="E327" s="20" t="n">
        <f aca="false">Parametres!$B$5*C327</f>
        <v>195.27</v>
      </c>
      <c r="F327" s="20" t="n">
        <f aca="false">Parametres!$B$6*D327</f>
        <v>0.46</v>
      </c>
      <c r="G327" s="20" t="n">
        <f aca="false">E327+F327</f>
        <v>195.73</v>
      </c>
      <c r="H327" s="20" t="n">
        <f aca="false">IF(G327&lt;Parametres!$B$8*Parametres!$B$7,0,MIN(G327,Parametres!$B$7))</f>
        <v>195.73</v>
      </c>
      <c r="I327" s="20" t="n">
        <f aca="false">G327-H327</f>
        <v>0</v>
      </c>
      <c r="J327" s="21" t="n">
        <f aca="false">H327*1000/Parametres!$B$9</f>
        <v>3319.14532813295</v>
      </c>
    </row>
    <row r="328" customFormat="false" ht="15" hidden="false" customHeight="false" outlineLevel="0" collapsed="false">
      <c r="A328" s="0" t="n">
        <v>324</v>
      </c>
      <c r="B328" s="0" t="n">
        <v>1</v>
      </c>
      <c r="C328" s="19" t="n">
        <v>0.761</v>
      </c>
      <c r="D328" s="19" t="n">
        <v>0.0008</v>
      </c>
      <c r="E328" s="20" t="n">
        <f aca="false">Parametres!$B$5*C328</f>
        <v>228.3</v>
      </c>
      <c r="F328" s="20" t="n">
        <f aca="false">Parametres!$B$6*D328</f>
        <v>0.16</v>
      </c>
      <c r="G328" s="20" t="n">
        <f aca="false">E328+F328</f>
        <v>228.46</v>
      </c>
      <c r="H328" s="20" t="n">
        <f aca="false">IF(G328&lt;Parametres!$B$8*Parametres!$B$7,0,MIN(G328,Parametres!$B$7))</f>
        <v>228.46</v>
      </c>
      <c r="I328" s="20" t="n">
        <f aca="false">G328-H328</f>
        <v>0</v>
      </c>
      <c r="J328" s="21" t="n">
        <f aca="false">H328*1000/Parametres!$B$9</f>
        <v>3874.17330846193</v>
      </c>
    </row>
    <row r="329" customFormat="false" ht="15" hidden="false" customHeight="false" outlineLevel="0" collapsed="false">
      <c r="A329" s="0" t="n">
        <v>325</v>
      </c>
      <c r="B329" s="0" t="n">
        <v>1</v>
      </c>
      <c r="C329" s="19" t="n">
        <v>0.6555</v>
      </c>
      <c r="D329" s="19" t="n">
        <v>0.0018</v>
      </c>
      <c r="E329" s="20" t="n">
        <f aca="false">Parametres!$B$5*C329</f>
        <v>196.65</v>
      </c>
      <c r="F329" s="20" t="n">
        <f aca="false">Parametres!$B$6*D329</f>
        <v>0.36</v>
      </c>
      <c r="G329" s="20" t="n">
        <f aca="false">E329+F329</f>
        <v>197.01</v>
      </c>
      <c r="H329" s="20" t="n">
        <f aca="false">IF(G329&lt;Parametres!$B$8*Parametres!$B$7,0,MIN(G329,Parametres!$B$7))</f>
        <v>197.01</v>
      </c>
      <c r="I329" s="20" t="n">
        <f aca="false">G329-H329</f>
        <v>0</v>
      </c>
      <c r="J329" s="21" t="n">
        <f aca="false">H329*1000/Parametres!$B$9</f>
        <v>3340.85128031202</v>
      </c>
    </row>
    <row r="330" customFormat="false" ht="15" hidden="false" customHeight="false" outlineLevel="0" collapsed="false">
      <c r="A330" s="0" t="n">
        <v>326</v>
      </c>
      <c r="B330" s="0" t="n">
        <v>1</v>
      </c>
      <c r="C330" s="19" t="n">
        <v>0.6352</v>
      </c>
      <c r="D330" s="19" t="n">
        <v>0.0004</v>
      </c>
      <c r="E330" s="20" t="n">
        <f aca="false">Parametres!$B$5*C330</f>
        <v>190.56</v>
      </c>
      <c r="F330" s="20" t="n">
        <f aca="false">Parametres!$B$6*D330</f>
        <v>0.08</v>
      </c>
      <c r="G330" s="20" t="n">
        <f aca="false">E330+F330</f>
        <v>190.64</v>
      </c>
      <c r="H330" s="20" t="n">
        <f aca="false">IF(G330&lt;Parametres!$B$8*Parametres!$B$7,0,MIN(G330,Parametres!$B$7))</f>
        <v>190.64</v>
      </c>
      <c r="I330" s="20" t="n">
        <f aca="false">G330-H330</f>
        <v>0</v>
      </c>
      <c r="J330" s="21" t="n">
        <f aca="false">H330*1000/Parametres!$B$9</f>
        <v>3232.83025267085</v>
      </c>
    </row>
    <row r="331" customFormat="false" ht="15" hidden="false" customHeight="false" outlineLevel="0" collapsed="false">
      <c r="A331" s="0" t="n">
        <v>327</v>
      </c>
      <c r="B331" s="0" t="n">
        <v>1</v>
      </c>
      <c r="C331" s="19" t="n">
        <v>0.5477</v>
      </c>
      <c r="D331" s="19" t="n">
        <v>0.0041</v>
      </c>
      <c r="E331" s="20" t="n">
        <f aca="false">Parametres!$B$5*C331</f>
        <v>164.31</v>
      </c>
      <c r="F331" s="20" t="n">
        <f aca="false">Parametres!$B$6*D331</f>
        <v>0.82</v>
      </c>
      <c r="G331" s="20" t="n">
        <f aca="false">E331+F331</f>
        <v>165.13</v>
      </c>
      <c r="H331" s="20" t="n">
        <f aca="false">IF(G331&lt;Parametres!$B$8*Parametres!$B$7,0,MIN(G331,Parametres!$B$7))</f>
        <v>165.13</v>
      </c>
      <c r="I331" s="20" t="n">
        <f aca="false">G331-H331</f>
        <v>0</v>
      </c>
      <c r="J331" s="21" t="n">
        <f aca="false">H331*1000/Parametres!$B$9</f>
        <v>2800.23740885196</v>
      </c>
    </row>
    <row r="332" customFormat="false" ht="15" hidden="false" customHeight="false" outlineLevel="0" collapsed="false">
      <c r="A332" s="0" t="n">
        <v>328</v>
      </c>
      <c r="B332" s="0" t="n">
        <v>1</v>
      </c>
      <c r="C332" s="19" t="n">
        <v>0.3457</v>
      </c>
      <c r="D332" s="19" t="n">
        <v>0.0023</v>
      </c>
      <c r="E332" s="20" t="n">
        <f aca="false">Parametres!$B$5*C332</f>
        <v>103.71</v>
      </c>
      <c r="F332" s="20" t="n">
        <f aca="false">Parametres!$B$6*D332</f>
        <v>0.46</v>
      </c>
      <c r="G332" s="20" t="n">
        <f aca="false">E332+F332</f>
        <v>104.17</v>
      </c>
      <c r="H332" s="20" t="n">
        <f aca="false">IF(G332&lt;Parametres!$B$8*Parametres!$B$7,0,MIN(G332,Parametres!$B$7))</f>
        <v>104.17</v>
      </c>
      <c r="I332" s="20" t="n">
        <f aca="false">G332-H332</f>
        <v>0</v>
      </c>
      <c r="J332" s="21" t="n">
        <f aca="false">H332*1000/Parametres!$B$9</f>
        <v>1766.49143632355</v>
      </c>
    </row>
    <row r="333" customFormat="false" ht="15" hidden="false" customHeight="false" outlineLevel="0" collapsed="false">
      <c r="A333" s="0" t="n">
        <v>329</v>
      </c>
      <c r="B333" s="0" t="n">
        <v>1</v>
      </c>
      <c r="C333" s="19" t="n">
        <v>0.1345</v>
      </c>
      <c r="D333" s="19" t="n">
        <v>0.0032</v>
      </c>
      <c r="E333" s="20" t="n">
        <f aca="false">Parametres!$B$5*C333</f>
        <v>40.35</v>
      </c>
      <c r="F333" s="20" t="n">
        <f aca="false">Parametres!$B$6*D333</f>
        <v>0.64</v>
      </c>
      <c r="G333" s="20" t="n">
        <f aca="false">E333+F333</f>
        <v>40.99</v>
      </c>
      <c r="H333" s="20" t="n">
        <f aca="false">IF(G333&lt;Parametres!$B$8*Parametres!$B$7,0,MIN(G333,Parametres!$B$7))</f>
        <v>40.99</v>
      </c>
      <c r="I333" s="20" t="n">
        <f aca="false">G333-H333</f>
        <v>0</v>
      </c>
      <c r="J333" s="21" t="n">
        <f aca="false">H333*1000/Parametres!$B$9</f>
        <v>695.099202984569</v>
      </c>
    </row>
    <row r="334" customFormat="false" ht="15" hidden="false" customHeight="false" outlineLevel="0" collapsed="false">
      <c r="A334" s="0" t="n">
        <v>330</v>
      </c>
      <c r="B334" s="0" t="n">
        <v>1</v>
      </c>
      <c r="C334" s="19" t="n">
        <v>0</v>
      </c>
      <c r="D334" s="19" t="n">
        <v>0.0075</v>
      </c>
      <c r="E334" s="20" t="n">
        <f aca="false">Parametres!$B$5*C334</f>
        <v>0</v>
      </c>
      <c r="F334" s="20" t="n">
        <f aca="false">Parametres!$B$6*D334</f>
        <v>1.5</v>
      </c>
      <c r="G334" s="20" t="n">
        <f aca="false">E334+F334</f>
        <v>1.5</v>
      </c>
      <c r="H334" s="20" t="n">
        <f aca="false">IF(G334&lt;Parametres!$B$8*Parametres!$B$7,0,MIN(G334,Parametres!$B$7))</f>
        <v>0</v>
      </c>
      <c r="I334" s="20" t="n">
        <f aca="false">G334-H334</f>
        <v>1.5</v>
      </c>
      <c r="J334" s="21" t="n">
        <f aca="false">H334*1000/Parametres!$B$9</f>
        <v>0</v>
      </c>
    </row>
    <row r="335" customFormat="false" ht="15" hidden="false" customHeight="false" outlineLevel="0" collapsed="false">
      <c r="A335" s="0" t="n">
        <v>331</v>
      </c>
      <c r="B335" s="0" t="n">
        <v>1</v>
      </c>
      <c r="C335" s="19" t="n">
        <v>0</v>
      </c>
      <c r="D335" s="19" t="n">
        <v>0.0047</v>
      </c>
      <c r="E335" s="20" t="n">
        <f aca="false">Parametres!$B$5*C335</f>
        <v>0</v>
      </c>
      <c r="F335" s="20" t="n">
        <f aca="false">Parametres!$B$6*D335</f>
        <v>0.94</v>
      </c>
      <c r="G335" s="20" t="n">
        <f aca="false">E335+F335</f>
        <v>0.94</v>
      </c>
      <c r="H335" s="20" t="n">
        <f aca="false">IF(G335&lt;Parametres!$B$8*Parametres!$B$7,0,MIN(G335,Parametres!$B$7))</f>
        <v>0</v>
      </c>
      <c r="I335" s="20" t="n">
        <f aca="false">G335-H335</f>
        <v>0.94</v>
      </c>
      <c r="J335" s="21" t="n">
        <f aca="false">H335*1000/Parametres!$B$9</f>
        <v>0</v>
      </c>
    </row>
    <row r="336" customFormat="false" ht="15" hidden="false" customHeight="false" outlineLevel="0" collapsed="false">
      <c r="A336" s="0" t="n">
        <v>332</v>
      </c>
      <c r="B336" s="0" t="n">
        <v>1</v>
      </c>
      <c r="C336" s="19" t="n">
        <v>0</v>
      </c>
      <c r="D336" s="19" t="n">
        <v>0.0002</v>
      </c>
      <c r="E336" s="20" t="n">
        <f aca="false">Parametres!$B$5*C336</f>
        <v>0</v>
      </c>
      <c r="F336" s="20" t="n">
        <f aca="false">Parametres!$B$6*D336</f>
        <v>0.04</v>
      </c>
      <c r="G336" s="20" t="n">
        <f aca="false">E336+F336</f>
        <v>0.04</v>
      </c>
      <c r="H336" s="20" t="n">
        <f aca="false">IF(G336&lt;Parametres!$B$8*Parametres!$B$7,0,MIN(G336,Parametres!$B$7))</f>
        <v>0</v>
      </c>
      <c r="I336" s="20" t="n">
        <f aca="false">G336-H336</f>
        <v>0.04</v>
      </c>
      <c r="J336" s="21" t="n">
        <f aca="false">H336*1000/Parametres!$B$9</f>
        <v>0</v>
      </c>
    </row>
    <row r="337" customFormat="false" ht="15" hidden="false" customHeight="false" outlineLevel="0" collapsed="false">
      <c r="A337" s="0" t="n">
        <v>333</v>
      </c>
      <c r="B337" s="0" t="n">
        <v>1</v>
      </c>
      <c r="C337" s="19" t="n">
        <v>0</v>
      </c>
      <c r="D337" s="19" t="n">
        <v>0</v>
      </c>
      <c r="E337" s="20" t="n">
        <f aca="false">Parametres!$B$5*C337</f>
        <v>0</v>
      </c>
      <c r="F337" s="20" t="n">
        <f aca="false">Parametres!$B$6*D337</f>
        <v>0</v>
      </c>
      <c r="G337" s="20" t="n">
        <f aca="false">E337+F337</f>
        <v>0</v>
      </c>
      <c r="H337" s="20" t="n">
        <f aca="false">IF(G337&lt;Parametres!$B$8*Parametres!$B$7,0,MIN(G337,Parametres!$B$7))</f>
        <v>0</v>
      </c>
      <c r="I337" s="20" t="n">
        <f aca="false">G337-H337</f>
        <v>0</v>
      </c>
      <c r="J337" s="21" t="n">
        <f aca="false">H337*1000/Parametres!$B$9</f>
        <v>0</v>
      </c>
    </row>
    <row r="338" customFormat="false" ht="15" hidden="false" customHeight="false" outlineLevel="0" collapsed="false">
      <c r="A338" s="0" t="n">
        <v>334</v>
      </c>
      <c r="B338" s="0" t="n">
        <v>1</v>
      </c>
      <c r="C338" s="19" t="n">
        <v>0</v>
      </c>
      <c r="D338" s="19" t="n">
        <v>0.0002</v>
      </c>
      <c r="E338" s="20" t="n">
        <f aca="false">Parametres!$B$5*C338</f>
        <v>0</v>
      </c>
      <c r="F338" s="20" t="n">
        <f aca="false">Parametres!$B$6*D338</f>
        <v>0.04</v>
      </c>
      <c r="G338" s="20" t="n">
        <f aca="false">E338+F338</f>
        <v>0.04</v>
      </c>
      <c r="H338" s="20" t="n">
        <f aca="false">IF(G338&lt;Parametres!$B$8*Parametres!$B$7,0,MIN(G338,Parametres!$B$7))</f>
        <v>0</v>
      </c>
      <c r="I338" s="20" t="n">
        <f aca="false">G338-H338</f>
        <v>0.04</v>
      </c>
      <c r="J338" s="21" t="n">
        <f aca="false">H338*1000/Parametres!$B$9</f>
        <v>0</v>
      </c>
    </row>
    <row r="339" customFormat="false" ht="15" hidden="false" customHeight="false" outlineLevel="0" collapsed="false">
      <c r="A339" s="0" t="n">
        <v>335</v>
      </c>
      <c r="B339" s="0" t="n">
        <v>1</v>
      </c>
      <c r="C339" s="19" t="n">
        <v>0</v>
      </c>
      <c r="D339" s="19" t="n">
        <v>0.0001</v>
      </c>
      <c r="E339" s="20" t="n">
        <f aca="false">Parametres!$B$5*C339</f>
        <v>0</v>
      </c>
      <c r="F339" s="20" t="n">
        <f aca="false">Parametres!$B$6*D339</f>
        <v>0.02</v>
      </c>
      <c r="G339" s="20" t="n">
        <f aca="false">E339+F339</f>
        <v>0.02</v>
      </c>
      <c r="H339" s="20" t="n">
        <f aca="false">IF(G339&lt;Parametres!$B$8*Parametres!$B$7,0,MIN(G339,Parametres!$B$7))</f>
        <v>0</v>
      </c>
      <c r="I339" s="20" t="n">
        <f aca="false">G339-H339</f>
        <v>0.02</v>
      </c>
      <c r="J339" s="21" t="n">
        <f aca="false">H339*1000/Parametres!$B$9</f>
        <v>0</v>
      </c>
    </row>
    <row r="340" customFormat="false" ht="15" hidden="false" customHeight="false" outlineLevel="0" collapsed="false">
      <c r="A340" s="0" t="n">
        <v>336</v>
      </c>
      <c r="B340" s="0" t="n">
        <v>1</v>
      </c>
      <c r="C340" s="19" t="n">
        <v>0</v>
      </c>
      <c r="D340" s="19" t="n">
        <v>0.0002</v>
      </c>
      <c r="E340" s="20" t="n">
        <f aca="false">Parametres!$B$5*C340</f>
        <v>0</v>
      </c>
      <c r="F340" s="20" t="n">
        <f aca="false">Parametres!$B$6*D340</f>
        <v>0.04</v>
      </c>
      <c r="G340" s="20" t="n">
        <f aca="false">E340+F340</f>
        <v>0.04</v>
      </c>
      <c r="H340" s="20" t="n">
        <f aca="false">IF(G340&lt;Parametres!$B$8*Parametres!$B$7,0,MIN(G340,Parametres!$B$7))</f>
        <v>0</v>
      </c>
      <c r="I340" s="20" t="n">
        <f aca="false">G340-H340</f>
        <v>0.04</v>
      </c>
      <c r="J340" s="21" t="n">
        <f aca="false">H340*1000/Parametres!$B$9</f>
        <v>0</v>
      </c>
    </row>
    <row r="341" customFormat="false" ht="15" hidden="false" customHeight="false" outlineLevel="0" collapsed="false">
      <c r="A341" s="0" t="n">
        <v>337</v>
      </c>
      <c r="B341" s="0" t="n">
        <v>1</v>
      </c>
      <c r="C341" s="19" t="n">
        <v>0</v>
      </c>
      <c r="D341" s="19" t="n">
        <v>0</v>
      </c>
      <c r="E341" s="20" t="n">
        <f aca="false">Parametres!$B$5*C341</f>
        <v>0</v>
      </c>
      <c r="F341" s="20" t="n">
        <f aca="false">Parametres!$B$6*D341</f>
        <v>0</v>
      </c>
      <c r="G341" s="20" t="n">
        <f aca="false">E341+F341</f>
        <v>0</v>
      </c>
      <c r="H341" s="20" t="n">
        <f aca="false">IF(G341&lt;Parametres!$B$8*Parametres!$B$7,0,MIN(G341,Parametres!$B$7))</f>
        <v>0</v>
      </c>
      <c r="I341" s="20" t="n">
        <f aca="false">G341-H341</f>
        <v>0</v>
      </c>
      <c r="J341" s="21" t="n">
        <f aca="false">H341*1000/Parametres!$B$9</f>
        <v>0</v>
      </c>
    </row>
    <row r="342" customFormat="false" ht="15" hidden="false" customHeight="false" outlineLevel="0" collapsed="false">
      <c r="A342" s="0" t="n">
        <v>338</v>
      </c>
      <c r="B342" s="0" t="n">
        <v>1</v>
      </c>
      <c r="C342" s="19" t="n">
        <v>0</v>
      </c>
      <c r="D342" s="19" t="n">
        <v>0</v>
      </c>
      <c r="E342" s="20" t="n">
        <f aca="false">Parametres!$B$5*C342</f>
        <v>0</v>
      </c>
      <c r="F342" s="20" t="n">
        <f aca="false">Parametres!$B$6*D342</f>
        <v>0</v>
      </c>
      <c r="G342" s="20" t="n">
        <f aca="false">E342+F342</f>
        <v>0</v>
      </c>
      <c r="H342" s="20" t="n">
        <f aca="false">IF(G342&lt;Parametres!$B$8*Parametres!$B$7,0,MIN(G342,Parametres!$B$7))</f>
        <v>0</v>
      </c>
      <c r="I342" s="20" t="n">
        <f aca="false">G342-H342</f>
        <v>0</v>
      </c>
      <c r="J342" s="21" t="n">
        <f aca="false">H342*1000/Parametres!$B$9</f>
        <v>0</v>
      </c>
    </row>
    <row r="343" customFormat="false" ht="15" hidden="false" customHeight="false" outlineLevel="0" collapsed="false">
      <c r="A343" s="0" t="n">
        <v>339</v>
      </c>
      <c r="B343" s="0" t="n">
        <v>1</v>
      </c>
      <c r="C343" s="19" t="n">
        <v>0</v>
      </c>
      <c r="D343" s="19" t="n">
        <v>0</v>
      </c>
      <c r="E343" s="20" t="n">
        <f aca="false">Parametres!$B$5*C343</f>
        <v>0</v>
      </c>
      <c r="F343" s="20" t="n">
        <f aca="false">Parametres!$B$6*D343</f>
        <v>0</v>
      </c>
      <c r="G343" s="20" t="n">
        <f aca="false">E343+F343</f>
        <v>0</v>
      </c>
      <c r="H343" s="20" t="n">
        <f aca="false">IF(G343&lt;Parametres!$B$8*Parametres!$B$7,0,MIN(G343,Parametres!$B$7))</f>
        <v>0</v>
      </c>
      <c r="I343" s="20" t="n">
        <f aca="false">G343-H343</f>
        <v>0</v>
      </c>
      <c r="J343" s="21" t="n">
        <f aca="false">H343*1000/Parametres!$B$9</f>
        <v>0</v>
      </c>
    </row>
    <row r="344" customFormat="false" ht="15" hidden="false" customHeight="false" outlineLevel="0" collapsed="false">
      <c r="A344" s="0" t="n">
        <v>340</v>
      </c>
      <c r="B344" s="0" t="n">
        <v>1</v>
      </c>
      <c r="C344" s="19" t="n">
        <v>0</v>
      </c>
      <c r="D344" s="19" t="n">
        <v>0</v>
      </c>
      <c r="E344" s="20" t="n">
        <f aca="false">Parametres!$B$5*C344</f>
        <v>0</v>
      </c>
      <c r="F344" s="20" t="n">
        <f aca="false">Parametres!$B$6*D344</f>
        <v>0</v>
      </c>
      <c r="G344" s="20" t="n">
        <f aca="false">E344+F344</f>
        <v>0</v>
      </c>
      <c r="H344" s="20" t="n">
        <f aca="false">IF(G344&lt;Parametres!$B$8*Parametres!$B$7,0,MIN(G344,Parametres!$B$7))</f>
        <v>0</v>
      </c>
      <c r="I344" s="20" t="n">
        <f aca="false">G344-H344</f>
        <v>0</v>
      </c>
      <c r="J344" s="21" t="n">
        <f aca="false">H344*1000/Parametres!$B$9</f>
        <v>0</v>
      </c>
    </row>
    <row r="345" customFormat="false" ht="15" hidden="false" customHeight="false" outlineLevel="0" collapsed="false">
      <c r="A345" s="0" t="n">
        <v>341</v>
      </c>
      <c r="B345" s="0" t="n">
        <v>1</v>
      </c>
      <c r="C345" s="19" t="n">
        <v>0</v>
      </c>
      <c r="D345" s="19" t="n">
        <v>0.0026</v>
      </c>
      <c r="E345" s="20" t="n">
        <f aca="false">Parametres!$B$5*C345</f>
        <v>0</v>
      </c>
      <c r="F345" s="20" t="n">
        <f aca="false">Parametres!$B$6*D345</f>
        <v>0.52</v>
      </c>
      <c r="G345" s="20" t="n">
        <f aca="false">E345+F345</f>
        <v>0.52</v>
      </c>
      <c r="H345" s="20" t="n">
        <f aca="false">IF(G345&lt;Parametres!$B$8*Parametres!$B$7,0,MIN(G345,Parametres!$B$7))</f>
        <v>0</v>
      </c>
      <c r="I345" s="20" t="n">
        <f aca="false">G345-H345</f>
        <v>0.52</v>
      </c>
      <c r="J345" s="21" t="n">
        <f aca="false">H345*1000/Parametres!$B$9</f>
        <v>0</v>
      </c>
    </row>
    <row r="346" customFormat="false" ht="15" hidden="false" customHeight="false" outlineLevel="0" collapsed="false">
      <c r="A346" s="0" t="n">
        <v>342</v>
      </c>
      <c r="B346" s="0" t="n">
        <v>1</v>
      </c>
      <c r="C346" s="19" t="n">
        <v>0</v>
      </c>
      <c r="D346" s="19" t="n">
        <v>0.0023</v>
      </c>
      <c r="E346" s="20" t="n">
        <f aca="false">Parametres!$B$5*C346</f>
        <v>0</v>
      </c>
      <c r="F346" s="20" t="n">
        <f aca="false">Parametres!$B$6*D346</f>
        <v>0.46</v>
      </c>
      <c r="G346" s="20" t="n">
        <f aca="false">E346+F346</f>
        <v>0.46</v>
      </c>
      <c r="H346" s="20" t="n">
        <f aca="false">IF(G346&lt;Parametres!$B$8*Parametres!$B$7,0,MIN(G346,Parametres!$B$7))</f>
        <v>0</v>
      </c>
      <c r="I346" s="20" t="n">
        <f aca="false">G346-H346</f>
        <v>0.46</v>
      </c>
      <c r="J346" s="21" t="n">
        <f aca="false">H346*1000/Parametres!$B$9</f>
        <v>0</v>
      </c>
    </row>
    <row r="347" customFormat="false" ht="15" hidden="false" customHeight="false" outlineLevel="0" collapsed="false">
      <c r="A347" s="0" t="n">
        <v>343</v>
      </c>
      <c r="B347" s="0" t="n">
        <v>1</v>
      </c>
      <c r="C347" s="19" t="n">
        <v>0</v>
      </c>
      <c r="D347" s="19" t="n">
        <v>0.0006</v>
      </c>
      <c r="E347" s="20" t="n">
        <f aca="false">Parametres!$B$5*C347</f>
        <v>0</v>
      </c>
      <c r="F347" s="20" t="n">
        <f aca="false">Parametres!$B$6*D347</f>
        <v>0.12</v>
      </c>
      <c r="G347" s="20" t="n">
        <f aca="false">E347+F347</f>
        <v>0.12</v>
      </c>
      <c r="H347" s="20" t="n">
        <f aca="false">IF(G347&lt;Parametres!$B$8*Parametres!$B$7,0,MIN(G347,Parametres!$B$7))</f>
        <v>0</v>
      </c>
      <c r="I347" s="20" t="n">
        <f aca="false">G347-H347</f>
        <v>0.12</v>
      </c>
      <c r="J347" s="21" t="n">
        <f aca="false">H347*1000/Parametres!$B$9</f>
        <v>0</v>
      </c>
    </row>
    <row r="348" customFormat="false" ht="15" hidden="false" customHeight="false" outlineLevel="0" collapsed="false">
      <c r="A348" s="0" t="n">
        <v>344</v>
      </c>
      <c r="B348" s="0" t="n">
        <v>1</v>
      </c>
      <c r="C348" s="19" t="n">
        <v>0.1137</v>
      </c>
      <c r="D348" s="19" t="n">
        <v>0</v>
      </c>
      <c r="E348" s="20" t="n">
        <f aca="false">Parametres!$B$5*C348</f>
        <v>34.11</v>
      </c>
      <c r="F348" s="20" t="n">
        <f aca="false">Parametres!$B$6*D348</f>
        <v>0</v>
      </c>
      <c r="G348" s="20" t="n">
        <f aca="false">E348+F348</f>
        <v>34.11</v>
      </c>
      <c r="H348" s="20" t="n">
        <f aca="false">IF(G348&lt;Parametres!$B$8*Parametres!$B$7,0,MIN(G348,Parametres!$B$7))</f>
        <v>34.11</v>
      </c>
      <c r="I348" s="20" t="n">
        <f aca="false">G348-H348</f>
        <v>0</v>
      </c>
      <c r="J348" s="21" t="n">
        <f aca="false">H348*1000/Parametres!$B$9</f>
        <v>578.429710022045</v>
      </c>
    </row>
    <row r="349" customFormat="false" ht="15" hidden="false" customHeight="false" outlineLevel="0" collapsed="false">
      <c r="A349" s="0" t="n">
        <v>345</v>
      </c>
      <c r="B349" s="0" t="n">
        <v>1</v>
      </c>
      <c r="C349" s="19" t="n">
        <v>0.3527</v>
      </c>
      <c r="D349" s="19" t="n">
        <v>0.0007</v>
      </c>
      <c r="E349" s="20" t="n">
        <f aca="false">Parametres!$B$5*C349</f>
        <v>105.81</v>
      </c>
      <c r="F349" s="20" t="n">
        <f aca="false">Parametres!$B$6*D349</f>
        <v>0.14</v>
      </c>
      <c r="G349" s="20" t="n">
        <f aca="false">E349+F349</f>
        <v>105.95</v>
      </c>
      <c r="H349" s="20" t="n">
        <f aca="false">IF(G349&lt;Parametres!$B$8*Parametres!$B$7,0,MIN(G349,Parametres!$B$7))</f>
        <v>105.95</v>
      </c>
      <c r="I349" s="20" t="n">
        <f aca="false">G349-H349</f>
        <v>0</v>
      </c>
      <c r="J349" s="21" t="n">
        <f aca="false">H349*1000/Parametres!$B$9</f>
        <v>1796.67627607258</v>
      </c>
    </row>
    <row r="350" customFormat="false" ht="15" hidden="false" customHeight="false" outlineLevel="0" collapsed="false">
      <c r="A350" s="0" t="n">
        <v>346</v>
      </c>
      <c r="B350" s="0" t="n">
        <v>1</v>
      </c>
      <c r="C350" s="19" t="n">
        <v>0.4826</v>
      </c>
      <c r="D350" s="19" t="n">
        <v>0.0011</v>
      </c>
      <c r="E350" s="20" t="n">
        <f aca="false">Parametres!$B$5*C350</f>
        <v>144.78</v>
      </c>
      <c r="F350" s="20" t="n">
        <f aca="false">Parametres!$B$6*D350</f>
        <v>0.22</v>
      </c>
      <c r="G350" s="20" t="n">
        <f aca="false">E350+F350</f>
        <v>145</v>
      </c>
      <c r="H350" s="20" t="n">
        <f aca="false">IF(G350&lt;Parametres!$B$8*Parametres!$B$7,0,MIN(G350,Parametres!$B$7))</f>
        <v>145</v>
      </c>
      <c r="I350" s="20" t="n">
        <f aca="false">G350-H350</f>
        <v>0</v>
      </c>
      <c r="J350" s="21" t="n">
        <f aca="false">H350*1000/Parametres!$B$9</f>
        <v>2458.87739528574</v>
      </c>
    </row>
    <row r="351" customFormat="false" ht="15" hidden="false" customHeight="false" outlineLevel="0" collapsed="false">
      <c r="A351" s="0" t="n">
        <v>347</v>
      </c>
      <c r="B351" s="0" t="n">
        <v>1</v>
      </c>
      <c r="C351" s="19" t="n">
        <v>0.6794</v>
      </c>
      <c r="D351" s="19" t="n">
        <v>0.0063</v>
      </c>
      <c r="E351" s="20" t="n">
        <f aca="false">Parametres!$B$5*C351</f>
        <v>203.82</v>
      </c>
      <c r="F351" s="20" t="n">
        <f aca="false">Parametres!$B$6*D351</f>
        <v>1.26</v>
      </c>
      <c r="G351" s="20" t="n">
        <f aca="false">E351+F351</f>
        <v>205.08</v>
      </c>
      <c r="H351" s="20" t="n">
        <f aca="false">IF(G351&lt;Parametres!$B$8*Parametres!$B$7,0,MIN(G351,Parametres!$B$7))</f>
        <v>205.08</v>
      </c>
      <c r="I351" s="20" t="n">
        <f aca="false">G351-H351</f>
        <v>0</v>
      </c>
      <c r="J351" s="21" t="n">
        <f aca="false">H351*1000/Parametres!$B$9</f>
        <v>3477.70052569103</v>
      </c>
    </row>
    <row r="352" customFormat="false" ht="15" hidden="false" customHeight="false" outlineLevel="0" collapsed="false">
      <c r="A352" s="0" t="n">
        <v>348</v>
      </c>
      <c r="B352" s="0" t="n">
        <v>1</v>
      </c>
      <c r="C352" s="19" t="n">
        <v>0.7503</v>
      </c>
      <c r="D352" s="19" t="n">
        <v>0.0131</v>
      </c>
      <c r="E352" s="20" t="n">
        <f aca="false">Parametres!$B$5*C352</f>
        <v>225.09</v>
      </c>
      <c r="F352" s="20" t="n">
        <f aca="false">Parametres!$B$6*D352</f>
        <v>2.62</v>
      </c>
      <c r="G352" s="20" t="n">
        <f aca="false">E352+F352</f>
        <v>227.71</v>
      </c>
      <c r="H352" s="20" t="n">
        <f aca="false">IF(G352&lt;Parametres!$B$8*Parametres!$B$7,0,MIN(G352,Parametres!$B$7))</f>
        <v>227.71</v>
      </c>
      <c r="I352" s="20" t="n">
        <f aca="false">G352-H352</f>
        <v>0</v>
      </c>
      <c r="J352" s="21" t="n">
        <f aca="false">H352*1000/Parametres!$B$9</f>
        <v>3861.454977107</v>
      </c>
    </row>
    <row r="353" customFormat="false" ht="15" hidden="false" customHeight="false" outlineLevel="0" collapsed="false">
      <c r="A353" s="0" t="n">
        <v>349</v>
      </c>
      <c r="B353" s="0" t="n">
        <v>1</v>
      </c>
      <c r="C353" s="19" t="n">
        <v>0.7139</v>
      </c>
      <c r="D353" s="19" t="n">
        <v>0.0511</v>
      </c>
      <c r="E353" s="20" t="n">
        <f aca="false">Parametres!$B$5*C353</f>
        <v>214.17</v>
      </c>
      <c r="F353" s="20" t="n">
        <f aca="false">Parametres!$B$6*D353</f>
        <v>10.22</v>
      </c>
      <c r="G353" s="20" t="n">
        <f aca="false">E353+F353</f>
        <v>224.39</v>
      </c>
      <c r="H353" s="20" t="n">
        <f aca="false">IF(G353&lt;Parametres!$B$8*Parametres!$B$7,0,MIN(G353,Parametres!$B$7))</f>
        <v>224.39</v>
      </c>
      <c r="I353" s="20" t="n">
        <f aca="false">G353-H353</f>
        <v>0</v>
      </c>
      <c r="J353" s="21" t="n">
        <f aca="false">H353*1000/Parametres!$B$9</f>
        <v>3805.15516364253</v>
      </c>
    </row>
    <row r="354" customFormat="false" ht="15" hidden="false" customHeight="false" outlineLevel="0" collapsed="false">
      <c r="A354" s="0" t="n">
        <v>350</v>
      </c>
      <c r="B354" s="0" t="n">
        <v>1</v>
      </c>
      <c r="C354" s="19" t="n">
        <v>0.622</v>
      </c>
      <c r="D354" s="19" t="n">
        <v>0.1163</v>
      </c>
      <c r="E354" s="20" t="n">
        <f aca="false">Parametres!$B$5*C354</f>
        <v>186.6</v>
      </c>
      <c r="F354" s="20" t="n">
        <f aca="false">Parametres!$B$6*D354</f>
        <v>23.26</v>
      </c>
      <c r="G354" s="20" t="n">
        <f aca="false">E354+F354</f>
        <v>209.86</v>
      </c>
      <c r="H354" s="20" t="n">
        <f aca="false">IF(G354&lt;Parametres!$B$8*Parametres!$B$7,0,MIN(G354,Parametres!$B$7))</f>
        <v>209.86</v>
      </c>
      <c r="I354" s="20" t="n">
        <f aca="false">G354-H354</f>
        <v>0</v>
      </c>
      <c r="J354" s="21" t="n">
        <f aca="false">H354*1000/Parametres!$B$9</f>
        <v>3558.75869085976</v>
      </c>
    </row>
    <row r="355" customFormat="false" ht="15" hidden="false" customHeight="false" outlineLevel="0" collapsed="false">
      <c r="A355" s="0" t="n">
        <v>351</v>
      </c>
      <c r="B355" s="0" t="n">
        <v>1</v>
      </c>
      <c r="C355" s="19" t="n">
        <v>0.5075</v>
      </c>
      <c r="D355" s="19" t="n">
        <v>0.1063</v>
      </c>
      <c r="E355" s="20" t="n">
        <f aca="false">Parametres!$B$5*C355</f>
        <v>152.25</v>
      </c>
      <c r="F355" s="20" t="n">
        <f aca="false">Parametres!$B$6*D355</f>
        <v>21.26</v>
      </c>
      <c r="G355" s="20" t="n">
        <f aca="false">E355+F355</f>
        <v>173.51</v>
      </c>
      <c r="H355" s="20" t="n">
        <f aca="false">IF(G355&lt;Parametres!$B$8*Parametres!$B$7,0,MIN(G355,Parametres!$B$7))</f>
        <v>173.51</v>
      </c>
      <c r="I355" s="20" t="n">
        <f aca="false">G355-H355</f>
        <v>0</v>
      </c>
      <c r="J355" s="21" t="n">
        <f aca="false">H355*1000/Parametres!$B$9</f>
        <v>2942.34356452433</v>
      </c>
    </row>
    <row r="356" customFormat="false" ht="15" hidden="false" customHeight="false" outlineLevel="0" collapsed="false">
      <c r="A356" s="0" t="n">
        <v>352</v>
      </c>
      <c r="B356" s="0" t="n">
        <v>1</v>
      </c>
      <c r="C356" s="19" t="n">
        <v>0.3113</v>
      </c>
      <c r="D356" s="19" t="n">
        <v>0.1298</v>
      </c>
      <c r="E356" s="20" t="n">
        <f aca="false">Parametres!$B$5*C356</f>
        <v>93.39</v>
      </c>
      <c r="F356" s="20" t="n">
        <f aca="false">Parametres!$B$6*D356</f>
        <v>25.96</v>
      </c>
      <c r="G356" s="20" t="n">
        <f aca="false">E356+F356</f>
        <v>119.35</v>
      </c>
      <c r="H356" s="20" t="n">
        <f aca="false">IF(G356&lt;Parametres!$B$8*Parametres!$B$7,0,MIN(G356,Parametres!$B$7))</f>
        <v>119.35</v>
      </c>
      <c r="I356" s="20" t="n">
        <f aca="false">G356-H356</f>
        <v>0</v>
      </c>
      <c r="J356" s="21" t="n">
        <f aca="false">H356*1000/Parametres!$B$9</f>
        <v>2023.91046294726</v>
      </c>
    </row>
    <row r="357" customFormat="false" ht="15" hidden="false" customHeight="false" outlineLevel="0" collapsed="false">
      <c r="A357" s="0" t="n">
        <v>353</v>
      </c>
      <c r="B357" s="0" t="n">
        <v>1</v>
      </c>
      <c r="C357" s="19" t="n">
        <v>0.1265</v>
      </c>
      <c r="D357" s="19" t="n">
        <v>0.2169</v>
      </c>
      <c r="E357" s="20" t="n">
        <f aca="false">Parametres!$B$5*C357</f>
        <v>37.95</v>
      </c>
      <c r="F357" s="20" t="n">
        <f aca="false">Parametres!$B$6*D357</f>
        <v>43.38</v>
      </c>
      <c r="G357" s="20" t="n">
        <f aca="false">E357+F357</f>
        <v>81.33</v>
      </c>
      <c r="H357" s="20" t="n">
        <f aca="false">IF(G357&lt;Parametres!$B$8*Parametres!$B$7,0,MIN(G357,Parametres!$B$7))</f>
        <v>81.33</v>
      </c>
      <c r="I357" s="20" t="n">
        <f aca="false">G357-H357</f>
        <v>0</v>
      </c>
      <c r="J357" s="21" t="n">
        <f aca="false">H357*1000/Parametres!$B$9</f>
        <v>1379.1758521282</v>
      </c>
    </row>
    <row r="358" customFormat="false" ht="15" hidden="false" customHeight="false" outlineLevel="0" collapsed="false">
      <c r="A358" s="0" t="n">
        <v>354</v>
      </c>
      <c r="B358" s="0" t="n">
        <v>1</v>
      </c>
      <c r="C358" s="19" t="n">
        <v>0</v>
      </c>
      <c r="D358" s="19" t="n">
        <v>0.1216</v>
      </c>
      <c r="E358" s="20" t="n">
        <f aca="false">Parametres!$B$5*C358</f>
        <v>0</v>
      </c>
      <c r="F358" s="20" t="n">
        <f aca="false">Parametres!$B$6*D358</f>
        <v>24.32</v>
      </c>
      <c r="G358" s="20" t="n">
        <f aca="false">E358+F358</f>
        <v>24.32</v>
      </c>
      <c r="H358" s="20" t="n">
        <f aca="false">IF(G358&lt;Parametres!$B$8*Parametres!$B$7,0,MIN(G358,Parametres!$B$7))</f>
        <v>0</v>
      </c>
      <c r="I358" s="20" t="n">
        <f aca="false">G358-H358</f>
        <v>24.32</v>
      </c>
      <c r="J358" s="21" t="n">
        <f aca="false">H358*1000/Parametres!$B$9</f>
        <v>0</v>
      </c>
    </row>
    <row r="359" customFormat="false" ht="15" hidden="false" customHeight="false" outlineLevel="0" collapsed="false">
      <c r="A359" s="0" t="n">
        <v>355</v>
      </c>
      <c r="B359" s="0" t="n">
        <v>1</v>
      </c>
      <c r="C359" s="19" t="n">
        <v>0</v>
      </c>
      <c r="D359" s="19" t="n">
        <v>0.2236</v>
      </c>
      <c r="E359" s="20" t="n">
        <f aca="false">Parametres!$B$5*C359</f>
        <v>0</v>
      </c>
      <c r="F359" s="20" t="n">
        <f aca="false">Parametres!$B$6*D359</f>
        <v>44.72</v>
      </c>
      <c r="G359" s="20" t="n">
        <f aca="false">E359+F359</f>
        <v>44.72</v>
      </c>
      <c r="H359" s="20" t="n">
        <f aca="false">IF(G359&lt;Parametres!$B$8*Parametres!$B$7,0,MIN(G359,Parametres!$B$7))</f>
        <v>44.72</v>
      </c>
      <c r="I359" s="20" t="n">
        <f aca="false">G359-H359</f>
        <v>0</v>
      </c>
      <c r="J359" s="21" t="n">
        <f aca="false">H359*1000/Parametres!$B$9</f>
        <v>758.351704256402</v>
      </c>
    </row>
    <row r="360" customFormat="false" ht="15" hidden="false" customHeight="false" outlineLevel="0" collapsed="false">
      <c r="A360" s="0" t="n">
        <v>356</v>
      </c>
      <c r="B360" s="0" t="n">
        <v>1</v>
      </c>
      <c r="C360" s="19" t="n">
        <v>0</v>
      </c>
      <c r="D360" s="19" t="n">
        <v>0.3311</v>
      </c>
      <c r="E360" s="20" t="n">
        <f aca="false">Parametres!$B$5*C360</f>
        <v>0</v>
      </c>
      <c r="F360" s="20" t="n">
        <f aca="false">Parametres!$B$6*D360</f>
        <v>66.22</v>
      </c>
      <c r="G360" s="20" t="n">
        <f aca="false">E360+F360</f>
        <v>66.22</v>
      </c>
      <c r="H360" s="20" t="n">
        <f aca="false">IF(G360&lt;Parametres!$B$8*Parametres!$B$7,0,MIN(G360,Parametres!$B$7))</f>
        <v>66.22</v>
      </c>
      <c r="I360" s="20" t="n">
        <f aca="false">G360-H360</f>
        <v>0</v>
      </c>
      <c r="J360" s="21" t="n">
        <f aca="false">H360*1000/Parametres!$B$9</f>
        <v>1122.94386976429</v>
      </c>
    </row>
    <row r="361" customFormat="false" ht="15" hidden="false" customHeight="false" outlineLevel="0" collapsed="false">
      <c r="A361" s="0" t="n">
        <v>357</v>
      </c>
      <c r="B361" s="0" t="n">
        <v>1</v>
      </c>
      <c r="C361" s="19" t="n">
        <v>0</v>
      </c>
      <c r="D361" s="19" t="n">
        <v>0.4202</v>
      </c>
      <c r="E361" s="20" t="n">
        <f aca="false">Parametres!$B$5*C361</f>
        <v>0</v>
      </c>
      <c r="F361" s="20" t="n">
        <f aca="false">Parametres!$B$6*D361</f>
        <v>84.04</v>
      </c>
      <c r="G361" s="20" t="n">
        <f aca="false">E361+F361</f>
        <v>84.04</v>
      </c>
      <c r="H361" s="20" t="n">
        <f aca="false">IF(G361&lt;Parametres!$B$8*Parametres!$B$7,0,MIN(G361,Parametres!$B$7))</f>
        <v>84.04</v>
      </c>
      <c r="I361" s="20" t="n">
        <f aca="false">G361-H361</f>
        <v>0</v>
      </c>
      <c r="J361" s="21" t="n">
        <f aca="false">H361*1000/Parametres!$B$9</f>
        <v>1425.13142275733</v>
      </c>
    </row>
    <row r="362" customFormat="false" ht="15" hidden="false" customHeight="false" outlineLevel="0" collapsed="false">
      <c r="A362" s="0" t="n">
        <v>358</v>
      </c>
      <c r="B362" s="0" t="n">
        <v>1</v>
      </c>
      <c r="C362" s="19" t="n">
        <v>0</v>
      </c>
      <c r="D362" s="19" t="n">
        <v>0.343</v>
      </c>
      <c r="E362" s="20" t="n">
        <f aca="false">Parametres!$B$5*C362</f>
        <v>0</v>
      </c>
      <c r="F362" s="20" t="n">
        <f aca="false">Parametres!$B$6*D362</f>
        <v>68.6</v>
      </c>
      <c r="G362" s="20" t="n">
        <f aca="false">E362+F362</f>
        <v>68.6</v>
      </c>
      <c r="H362" s="20" t="n">
        <f aca="false">IF(G362&lt;Parametres!$B$8*Parametres!$B$7,0,MIN(G362,Parametres!$B$7))</f>
        <v>68.6</v>
      </c>
      <c r="I362" s="20" t="n">
        <f aca="false">G362-H362</f>
        <v>0</v>
      </c>
      <c r="J362" s="21" t="n">
        <f aca="false">H362*1000/Parametres!$B$9</f>
        <v>1163.30337459725</v>
      </c>
    </row>
    <row r="363" customFormat="false" ht="15" hidden="false" customHeight="false" outlineLevel="0" collapsed="false">
      <c r="A363" s="0" t="n">
        <v>359</v>
      </c>
      <c r="B363" s="0" t="n">
        <v>1</v>
      </c>
      <c r="C363" s="19" t="n">
        <v>0</v>
      </c>
      <c r="D363" s="19" t="n">
        <v>0.3291</v>
      </c>
      <c r="E363" s="20" t="n">
        <f aca="false">Parametres!$B$5*C363</f>
        <v>0</v>
      </c>
      <c r="F363" s="20" t="n">
        <f aca="false">Parametres!$B$6*D363</f>
        <v>65.82</v>
      </c>
      <c r="G363" s="20" t="n">
        <f aca="false">E363+F363</f>
        <v>65.82</v>
      </c>
      <c r="H363" s="20" t="n">
        <f aca="false">IF(G363&lt;Parametres!$B$8*Parametres!$B$7,0,MIN(G363,Parametres!$B$7))</f>
        <v>65.82</v>
      </c>
      <c r="I363" s="20" t="n">
        <f aca="false">G363-H363</f>
        <v>0</v>
      </c>
      <c r="J363" s="21" t="n">
        <f aca="false">H363*1000/Parametres!$B$9</f>
        <v>1116.16075970833</v>
      </c>
    </row>
    <row r="364" customFormat="false" ht="15" hidden="false" customHeight="false" outlineLevel="0" collapsed="false">
      <c r="A364" s="0" t="n">
        <v>360</v>
      </c>
      <c r="B364" s="0" t="n">
        <v>1</v>
      </c>
      <c r="C364" s="19" t="n">
        <v>0</v>
      </c>
      <c r="D364" s="19" t="n">
        <v>0.1854</v>
      </c>
      <c r="E364" s="20" t="n">
        <f aca="false">Parametres!$B$5*C364</f>
        <v>0</v>
      </c>
      <c r="F364" s="20" t="n">
        <f aca="false">Parametres!$B$6*D364</f>
        <v>37.08</v>
      </c>
      <c r="G364" s="20" t="n">
        <f aca="false">E364+F364</f>
        <v>37.08</v>
      </c>
      <c r="H364" s="20" t="n">
        <f aca="false">IF(G364&lt;Parametres!$B$8*Parametres!$B$7,0,MIN(G364,Parametres!$B$7))</f>
        <v>37.08</v>
      </c>
      <c r="I364" s="20" t="n">
        <f aca="false">G364-H364</f>
        <v>0</v>
      </c>
      <c r="J364" s="21" t="n">
        <f aca="false">H364*1000/Parametres!$B$9</f>
        <v>628.794302187553</v>
      </c>
    </row>
    <row r="365" customFormat="false" ht="15" hidden="false" customHeight="false" outlineLevel="0" collapsed="false">
      <c r="A365" s="0" t="n">
        <v>361</v>
      </c>
      <c r="B365" s="0" t="n">
        <v>1</v>
      </c>
      <c r="C365" s="19" t="n">
        <v>0</v>
      </c>
      <c r="D365" s="19" t="n">
        <v>0.163</v>
      </c>
      <c r="E365" s="20" t="n">
        <f aca="false">Parametres!$B$5*C365</f>
        <v>0</v>
      </c>
      <c r="F365" s="20" t="n">
        <f aca="false">Parametres!$B$6*D365</f>
        <v>32.6</v>
      </c>
      <c r="G365" s="20" t="n">
        <f aca="false">E365+F365</f>
        <v>32.6</v>
      </c>
      <c r="H365" s="20" t="n">
        <f aca="false">IF(G365&lt;Parametres!$B$8*Parametres!$B$7,0,MIN(G365,Parametres!$B$7))</f>
        <v>32.6</v>
      </c>
      <c r="I365" s="20" t="n">
        <f aca="false">G365-H365</f>
        <v>0</v>
      </c>
      <c r="J365" s="21" t="n">
        <f aca="false">H365*1000/Parametres!$B$9</f>
        <v>552.823469560794</v>
      </c>
    </row>
    <row r="366" customFormat="false" ht="15" hidden="false" customHeight="false" outlineLevel="0" collapsed="false">
      <c r="A366" s="0" t="n">
        <v>362</v>
      </c>
      <c r="B366" s="0" t="n">
        <v>1</v>
      </c>
      <c r="C366" s="19" t="n">
        <v>0</v>
      </c>
      <c r="D366" s="19" t="n">
        <v>0.1106</v>
      </c>
      <c r="E366" s="20" t="n">
        <f aca="false">Parametres!$B$5*C366</f>
        <v>0</v>
      </c>
      <c r="F366" s="20" t="n">
        <f aca="false">Parametres!$B$6*D366</f>
        <v>22.12</v>
      </c>
      <c r="G366" s="20" t="n">
        <f aca="false">E366+F366</f>
        <v>22.12</v>
      </c>
      <c r="H366" s="20" t="n">
        <f aca="false">IF(G366&lt;Parametres!$B$8*Parametres!$B$7,0,MIN(G366,Parametres!$B$7))</f>
        <v>0</v>
      </c>
      <c r="I366" s="20" t="n">
        <f aca="false">G366-H366</f>
        <v>22.12</v>
      </c>
      <c r="J366" s="21" t="n">
        <f aca="false">H366*1000/Parametres!$B$9</f>
        <v>0</v>
      </c>
    </row>
    <row r="367" customFormat="false" ht="15" hidden="false" customHeight="false" outlineLevel="0" collapsed="false">
      <c r="A367" s="0" t="n">
        <v>363</v>
      </c>
      <c r="B367" s="0" t="n">
        <v>1</v>
      </c>
      <c r="C367" s="19" t="n">
        <v>0</v>
      </c>
      <c r="D367" s="19" t="n">
        <v>0.1027</v>
      </c>
      <c r="E367" s="20" t="n">
        <f aca="false">Parametres!$B$5*C367</f>
        <v>0</v>
      </c>
      <c r="F367" s="20" t="n">
        <f aca="false">Parametres!$B$6*D367</f>
        <v>20.54</v>
      </c>
      <c r="G367" s="20" t="n">
        <f aca="false">E367+F367</f>
        <v>20.54</v>
      </c>
      <c r="H367" s="20" t="n">
        <f aca="false">IF(G367&lt;Parametres!$B$8*Parametres!$B$7,0,MIN(G367,Parametres!$B$7))</f>
        <v>0</v>
      </c>
      <c r="I367" s="20" t="n">
        <f aca="false">G367-H367</f>
        <v>20.54</v>
      </c>
      <c r="J367" s="21" t="n">
        <f aca="false">H367*1000/Parametres!$B$9</f>
        <v>0</v>
      </c>
    </row>
    <row r="368" customFormat="false" ht="15" hidden="false" customHeight="false" outlineLevel="0" collapsed="false">
      <c r="A368" s="0" t="n">
        <v>364</v>
      </c>
      <c r="B368" s="0" t="n">
        <v>1</v>
      </c>
      <c r="C368" s="19" t="n">
        <v>0</v>
      </c>
      <c r="D368" s="19" t="n">
        <v>0.0758</v>
      </c>
      <c r="E368" s="20" t="n">
        <f aca="false">Parametres!$B$5*C368</f>
        <v>0</v>
      </c>
      <c r="F368" s="20" t="n">
        <f aca="false">Parametres!$B$6*D368</f>
        <v>15.16</v>
      </c>
      <c r="G368" s="20" t="n">
        <f aca="false">E368+F368</f>
        <v>15.16</v>
      </c>
      <c r="H368" s="20" t="n">
        <f aca="false">IF(G368&lt;Parametres!$B$8*Parametres!$B$7,0,MIN(G368,Parametres!$B$7))</f>
        <v>0</v>
      </c>
      <c r="I368" s="20" t="n">
        <f aca="false">G368-H368</f>
        <v>15.16</v>
      </c>
      <c r="J368" s="21" t="n">
        <f aca="false">H368*1000/Parametres!$B$9</f>
        <v>0</v>
      </c>
    </row>
    <row r="369" customFormat="false" ht="15" hidden="false" customHeight="false" outlineLevel="0" collapsed="false">
      <c r="A369" s="0" t="n">
        <v>365</v>
      </c>
      <c r="B369" s="0" t="n">
        <v>1</v>
      </c>
      <c r="C369" s="19" t="n">
        <v>0</v>
      </c>
      <c r="D369" s="19" t="n">
        <v>0.0844</v>
      </c>
      <c r="E369" s="20" t="n">
        <f aca="false">Parametres!$B$5*C369</f>
        <v>0</v>
      </c>
      <c r="F369" s="20" t="n">
        <f aca="false">Parametres!$B$6*D369</f>
        <v>16.88</v>
      </c>
      <c r="G369" s="20" t="n">
        <f aca="false">E369+F369</f>
        <v>16.88</v>
      </c>
      <c r="H369" s="20" t="n">
        <f aca="false">IF(G369&lt;Parametres!$B$8*Parametres!$B$7,0,MIN(G369,Parametres!$B$7))</f>
        <v>0</v>
      </c>
      <c r="I369" s="20" t="n">
        <f aca="false">G369-H369</f>
        <v>16.88</v>
      </c>
      <c r="J369" s="21" t="n">
        <f aca="false">H369*1000/Parametres!$B$9</f>
        <v>0</v>
      </c>
    </row>
    <row r="370" customFormat="false" ht="15" hidden="false" customHeight="false" outlineLevel="0" collapsed="false">
      <c r="A370" s="0" t="n">
        <v>366</v>
      </c>
      <c r="B370" s="0" t="n">
        <v>1</v>
      </c>
      <c r="C370" s="19" t="n">
        <v>0</v>
      </c>
      <c r="D370" s="19" t="n">
        <v>0.1428</v>
      </c>
      <c r="E370" s="20" t="n">
        <f aca="false">Parametres!$B$5*C370</f>
        <v>0</v>
      </c>
      <c r="F370" s="20" t="n">
        <f aca="false">Parametres!$B$6*D370</f>
        <v>28.56</v>
      </c>
      <c r="G370" s="20" t="n">
        <f aca="false">E370+F370</f>
        <v>28.56</v>
      </c>
      <c r="H370" s="20" t="n">
        <f aca="false">IF(G370&lt;Parametres!$B$8*Parametres!$B$7,0,MIN(G370,Parametres!$B$7))</f>
        <v>28.56</v>
      </c>
      <c r="I370" s="20" t="n">
        <f aca="false">G370-H370</f>
        <v>0</v>
      </c>
      <c r="J370" s="21" t="n">
        <f aca="false">H370*1000/Parametres!$B$9</f>
        <v>484.314057995591</v>
      </c>
    </row>
    <row r="371" customFormat="false" ht="15" hidden="false" customHeight="false" outlineLevel="0" collapsed="false">
      <c r="A371" s="0" t="n">
        <v>367</v>
      </c>
      <c r="B371" s="0" t="n">
        <v>1</v>
      </c>
      <c r="C371" s="19" t="n">
        <v>0</v>
      </c>
      <c r="D371" s="19" t="n">
        <v>0.086</v>
      </c>
      <c r="E371" s="20" t="n">
        <f aca="false">Parametres!$B$5*C371</f>
        <v>0</v>
      </c>
      <c r="F371" s="20" t="n">
        <f aca="false">Parametres!$B$6*D371</f>
        <v>17.2</v>
      </c>
      <c r="G371" s="20" t="n">
        <f aca="false">E371+F371</f>
        <v>17.2</v>
      </c>
      <c r="H371" s="20" t="n">
        <f aca="false">IF(G371&lt;Parametres!$B$8*Parametres!$B$7,0,MIN(G371,Parametres!$B$7))</f>
        <v>0</v>
      </c>
      <c r="I371" s="20" t="n">
        <f aca="false">G371-H371</f>
        <v>17.2</v>
      </c>
      <c r="J371" s="21" t="n">
        <f aca="false">H371*1000/Parametres!$B$9</f>
        <v>0</v>
      </c>
    </row>
    <row r="372" customFormat="false" ht="15" hidden="false" customHeight="false" outlineLevel="0" collapsed="false">
      <c r="A372" s="0" t="n">
        <v>368</v>
      </c>
      <c r="B372" s="0" t="n">
        <v>1</v>
      </c>
      <c r="C372" s="19" t="n">
        <v>0.1485</v>
      </c>
      <c r="D372" s="19" t="n">
        <v>0.1429</v>
      </c>
      <c r="E372" s="20" t="n">
        <f aca="false">Parametres!$B$5*C372</f>
        <v>44.55</v>
      </c>
      <c r="F372" s="20" t="n">
        <f aca="false">Parametres!$B$6*D372</f>
        <v>28.58</v>
      </c>
      <c r="G372" s="20" t="n">
        <f aca="false">E372+F372</f>
        <v>73.13</v>
      </c>
      <c r="H372" s="20" t="n">
        <f aca="false">IF(G372&lt;Parametres!$B$8*Parametres!$B$7,0,MIN(G372,Parametres!$B$7))</f>
        <v>73.13</v>
      </c>
      <c r="I372" s="20" t="n">
        <f aca="false">G372-H372</f>
        <v>0</v>
      </c>
      <c r="J372" s="21" t="n">
        <f aca="false">H372*1000/Parametres!$B$9</f>
        <v>1240.12209598101</v>
      </c>
    </row>
    <row r="373" customFormat="false" ht="15" hidden="false" customHeight="false" outlineLevel="0" collapsed="false">
      <c r="A373" s="0" t="n">
        <v>369</v>
      </c>
      <c r="B373" s="0" t="n">
        <v>1</v>
      </c>
      <c r="C373" s="19" t="n">
        <v>0.3715</v>
      </c>
      <c r="D373" s="19" t="n">
        <v>0.0651</v>
      </c>
      <c r="E373" s="20" t="n">
        <f aca="false">Parametres!$B$5*C373</f>
        <v>111.45</v>
      </c>
      <c r="F373" s="20" t="n">
        <f aca="false">Parametres!$B$6*D373</f>
        <v>13.02</v>
      </c>
      <c r="G373" s="20" t="n">
        <f aca="false">E373+F373</f>
        <v>124.47</v>
      </c>
      <c r="H373" s="20" t="n">
        <f aca="false">IF(G373&lt;Parametres!$B$8*Parametres!$B$7,0,MIN(G373,Parametres!$B$7))</f>
        <v>124.47</v>
      </c>
      <c r="I373" s="20" t="n">
        <f aca="false">G373-H373</f>
        <v>0</v>
      </c>
      <c r="J373" s="21" t="n">
        <f aca="false">H373*1000/Parametres!$B$9</f>
        <v>2110.73427166356</v>
      </c>
    </row>
    <row r="374" customFormat="false" ht="15" hidden="false" customHeight="false" outlineLevel="0" collapsed="false">
      <c r="A374" s="0" t="n">
        <v>370</v>
      </c>
      <c r="B374" s="0" t="n">
        <v>1</v>
      </c>
      <c r="C374" s="19" t="n">
        <v>0.5603</v>
      </c>
      <c r="D374" s="19" t="n">
        <v>0.0213</v>
      </c>
      <c r="E374" s="20" t="n">
        <f aca="false">Parametres!$B$5*C374</f>
        <v>168.09</v>
      </c>
      <c r="F374" s="20" t="n">
        <f aca="false">Parametres!$B$6*D374</f>
        <v>4.26</v>
      </c>
      <c r="G374" s="20" t="n">
        <f aca="false">E374+F374</f>
        <v>172.35</v>
      </c>
      <c r="H374" s="20" t="n">
        <f aca="false">IF(G374&lt;Parametres!$B$8*Parametres!$B$7,0,MIN(G374,Parametres!$B$7))</f>
        <v>172.35</v>
      </c>
      <c r="I374" s="20" t="n">
        <f aca="false">G374-H374</f>
        <v>0</v>
      </c>
      <c r="J374" s="21" t="n">
        <f aca="false">H374*1000/Parametres!$B$9</f>
        <v>2922.67254536205</v>
      </c>
    </row>
    <row r="375" customFormat="false" ht="15" hidden="false" customHeight="false" outlineLevel="0" collapsed="false">
      <c r="A375" s="0" t="n">
        <v>371</v>
      </c>
      <c r="B375" s="0" t="n">
        <v>1</v>
      </c>
      <c r="C375" s="19" t="n">
        <v>0.7533</v>
      </c>
      <c r="D375" s="19" t="n">
        <v>0.0248</v>
      </c>
      <c r="E375" s="20" t="n">
        <f aca="false">Parametres!$B$5*C375</f>
        <v>225.99</v>
      </c>
      <c r="F375" s="20" t="n">
        <f aca="false">Parametres!$B$6*D375</f>
        <v>4.96</v>
      </c>
      <c r="G375" s="20" t="n">
        <f aca="false">E375+F375</f>
        <v>230.95</v>
      </c>
      <c r="H375" s="20" t="n">
        <f aca="false">IF(G375&lt;Parametres!$B$8*Parametres!$B$7,0,MIN(G375,Parametres!$B$7))</f>
        <v>230.95</v>
      </c>
      <c r="I375" s="20" t="n">
        <f aca="false">G375-H375</f>
        <v>0</v>
      </c>
      <c r="J375" s="21" t="n">
        <f aca="false">H375*1000/Parametres!$B$9</f>
        <v>3916.39816856029</v>
      </c>
    </row>
    <row r="376" customFormat="false" ht="15" hidden="false" customHeight="false" outlineLevel="0" collapsed="false">
      <c r="A376" s="0" t="n">
        <v>372</v>
      </c>
      <c r="B376" s="0" t="n">
        <v>1</v>
      </c>
      <c r="C376" s="19" t="n">
        <v>0.8296</v>
      </c>
      <c r="D376" s="19" t="n">
        <v>0.0311</v>
      </c>
      <c r="E376" s="20" t="n">
        <f aca="false">Parametres!$B$5*C376</f>
        <v>248.88</v>
      </c>
      <c r="F376" s="20" t="n">
        <f aca="false">Parametres!$B$6*D376</f>
        <v>6.22</v>
      </c>
      <c r="G376" s="20" t="n">
        <f aca="false">E376+F376</f>
        <v>255.1</v>
      </c>
      <c r="H376" s="20" t="n">
        <f aca="false">IF(G376&lt;Parametres!$B$8*Parametres!$B$7,0,MIN(G376,Parametres!$B$7))</f>
        <v>250</v>
      </c>
      <c r="I376" s="20" t="n">
        <f aca="false">G376-H376</f>
        <v>5.09999999999999</v>
      </c>
      <c r="J376" s="21" t="n">
        <f aca="false">H376*1000/Parametres!$B$9</f>
        <v>4239.44378497541</v>
      </c>
    </row>
    <row r="377" customFormat="false" ht="15" hidden="false" customHeight="false" outlineLevel="0" collapsed="false">
      <c r="A377" s="0" t="n">
        <v>373</v>
      </c>
      <c r="B377" s="0" t="n">
        <v>1</v>
      </c>
      <c r="C377" s="19" t="n">
        <v>0.7845</v>
      </c>
      <c r="D377" s="19" t="n">
        <v>0.0498</v>
      </c>
      <c r="E377" s="20" t="n">
        <f aca="false">Parametres!$B$5*C377</f>
        <v>235.35</v>
      </c>
      <c r="F377" s="20" t="n">
        <f aca="false">Parametres!$B$6*D377</f>
        <v>9.96</v>
      </c>
      <c r="G377" s="20" t="n">
        <f aca="false">E377+F377</f>
        <v>245.31</v>
      </c>
      <c r="H377" s="20" t="n">
        <f aca="false">IF(G377&lt;Parametres!$B$8*Parametres!$B$7,0,MIN(G377,Parametres!$B$7))</f>
        <v>245.31</v>
      </c>
      <c r="I377" s="20" t="n">
        <f aca="false">G377-H377</f>
        <v>0</v>
      </c>
      <c r="J377" s="21" t="n">
        <f aca="false">H377*1000/Parametres!$B$9</f>
        <v>4159.91181956927</v>
      </c>
    </row>
    <row r="378" customFormat="false" ht="15" hidden="false" customHeight="false" outlineLevel="0" collapsed="false">
      <c r="A378" s="0" t="n">
        <v>374</v>
      </c>
      <c r="B378" s="0" t="n">
        <v>1</v>
      </c>
      <c r="C378" s="19" t="n">
        <v>0.7574</v>
      </c>
      <c r="D378" s="19" t="n">
        <v>0.0191</v>
      </c>
      <c r="E378" s="20" t="n">
        <f aca="false">Parametres!$B$5*C378</f>
        <v>227.22</v>
      </c>
      <c r="F378" s="20" t="n">
        <f aca="false">Parametres!$B$6*D378</f>
        <v>3.82</v>
      </c>
      <c r="G378" s="20" t="n">
        <f aca="false">E378+F378</f>
        <v>231.04</v>
      </c>
      <c r="H378" s="20" t="n">
        <f aca="false">IF(G378&lt;Parametres!$B$8*Parametres!$B$7,0,MIN(G378,Parametres!$B$7))</f>
        <v>231.04</v>
      </c>
      <c r="I378" s="20" t="n">
        <f aca="false">G378-H378</f>
        <v>0</v>
      </c>
      <c r="J378" s="21" t="n">
        <f aca="false">H378*1000/Parametres!$B$9</f>
        <v>3917.92436832288</v>
      </c>
    </row>
    <row r="379" customFormat="false" ht="15" hidden="false" customHeight="false" outlineLevel="0" collapsed="false">
      <c r="A379" s="0" t="n">
        <v>375</v>
      </c>
      <c r="B379" s="0" t="n">
        <v>1</v>
      </c>
      <c r="C379" s="19" t="n">
        <v>0.5464</v>
      </c>
      <c r="D379" s="19" t="n">
        <v>0.0215</v>
      </c>
      <c r="E379" s="20" t="n">
        <f aca="false">Parametres!$B$5*C379</f>
        <v>163.92</v>
      </c>
      <c r="F379" s="20" t="n">
        <f aca="false">Parametres!$B$6*D379</f>
        <v>4.3</v>
      </c>
      <c r="G379" s="20" t="n">
        <f aca="false">E379+F379</f>
        <v>168.22</v>
      </c>
      <c r="H379" s="20" t="n">
        <f aca="false">IF(G379&lt;Parametres!$B$8*Parametres!$B$7,0,MIN(G379,Parametres!$B$7))</f>
        <v>168.22</v>
      </c>
      <c r="I379" s="20" t="n">
        <f aca="false">G379-H379</f>
        <v>0</v>
      </c>
      <c r="J379" s="21" t="n">
        <f aca="false">H379*1000/Parametres!$B$9</f>
        <v>2852.63693403426</v>
      </c>
    </row>
    <row r="380" customFormat="false" ht="15" hidden="false" customHeight="false" outlineLevel="0" collapsed="false">
      <c r="A380" s="0" t="n">
        <v>376</v>
      </c>
      <c r="B380" s="0" t="n">
        <v>1</v>
      </c>
      <c r="C380" s="19" t="n">
        <v>0.3775</v>
      </c>
      <c r="D380" s="19" t="n">
        <v>0.0265</v>
      </c>
      <c r="E380" s="20" t="n">
        <f aca="false">Parametres!$B$5*C380</f>
        <v>113.25</v>
      </c>
      <c r="F380" s="20" t="n">
        <f aca="false">Parametres!$B$6*D380</f>
        <v>5.3</v>
      </c>
      <c r="G380" s="20" t="n">
        <f aca="false">E380+F380</f>
        <v>118.55</v>
      </c>
      <c r="H380" s="20" t="n">
        <f aca="false">IF(G380&lt;Parametres!$B$8*Parametres!$B$7,0,MIN(G380,Parametres!$B$7))</f>
        <v>118.55</v>
      </c>
      <c r="I380" s="20" t="n">
        <f aca="false">G380-H380</f>
        <v>0</v>
      </c>
      <c r="J380" s="21" t="n">
        <f aca="false">H380*1000/Parametres!$B$9</f>
        <v>2010.34424283534</v>
      </c>
    </row>
    <row r="381" customFormat="false" ht="15" hidden="false" customHeight="false" outlineLevel="0" collapsed="false">
      <c r="A381" s="0" t="n">
        <v>377</v>
      </c>
      <c r="B381" s="0" t="n">
        <v>1</v>
      </c>
      <c r="C381" s="19" t="n">
        <v>0.1432</v>
      </c>
      <c r="D381" s="19" t="n">
        <v>0.0635</v>
      </c>
      <c r="E381" s="20" t="n">
        <f aca="false">Parametres!$B$5*C381</f>
        <v>42.96</v>
      </c>
      <c r="F381" s="20" t="n">
        <f aca="false">Parametres!$B$6*D381</f>
        <v>12.7</v>
      </c>
      <c r="G381" s="20" t="n">
        <f aca="false">E381+F381</f>
        <v>55.66</v>
      </c>
      <c r="H381" s="20" t="n">
        <f aca="false">IF(G381&lt;Parametres!$B$8*Parametres!$B$7,0,MIN(G381,Parametres!$B$7))</f>
        <v>55.66</v>
      </c>
      <c r="I381" s="20" t="n">
        <f aca="false">G381-H381</f>
        <v>0</v>
      </c>
      <c r="J381" s="21" t="n">
        <f aca="false">H381*1000/Parametres!$B$9</f>
        <v>943.869764286926</v>
      </c>
    </row>
    <row r="382" customFormat="false" ht="15" hidden="false" customHeight="false" outlineLevel="0" collapsed="false">
      <c r="A382" s="0" t="n">
        <v>378</v>
      </c>
      <c r="B382" s="0" t="n">
        <v>1</v>
      </c>
      <c r="C382" s="19" t="n">
        <v>0</v>
      </c>
      <c r="D382" s="19" t="n">
        <v>0.0599</v>
      </c>
      <c r="E382" s="20" t="n">
        <f aca="false">Parametres!$B$5*C382</f>
        <v>0</v>
      </c>
      <c r="F382" s="20" t="n">
        <f aca="false">Parametres!$B$6*D382</f>
        <v>11.98</v>
      </c>
      <c r="G382" s="20" t="n">
        <f aca="false">E382+F382</f>
        <v>11.98</v>
      </c>
      <c r="H382" s="20" t="n">
        <f aca="false">IF(G382&lt;Parametres!$B$8*Parametres!$B$7,0,MIN(G382,Parametres!$B$7))</f>
        <v>0</v>
      </c>
      <c r="I382" s="20" t="n">
        <f aca="false">G382-H382</f>
        <v>11.98</v>
      </c>
      <c r="J382" s="21" t="n">
        <f aca="false">H382*1000/Parametres!$B$9</f>
        <v>0</v>
      </c>
    </row>
    <row r="383" customFormat="false" ht="15" hidden="false" customHeight="false" outlineLevel="0" collapsed="false">
      <c r="A383" s="0" t="n">
        <v>379</v>
      </c>
      <c r="B383" s="0" t="n">
        <v>1</v>
      </c>
      <c r="C383" s="19" t="n">
        <v>0</v>
      </c>
      <c r="D383" s="19" t="n">
        <v>0.0779</v>
      </c>
      <c r="E383" s="20" t="n">
        <f aca="false">Parametres!$B$5*C383</f>
        <v>0</v>
      </c>
      <c r="F383" s="20" t="n">
        <f aca="false">Parametres!$B$6*D383</f>
        <v>15.58</v>
      </c>
      <c r="G383" s="20" t="n">
        <f aca="false">E383+F383</f>
        <v>15.58</v>
      </c>
      <c r="H383" s="20" t="n">
        <f aca="false">IF(G383&lt;Parametres!$B$8*Parametres!$B$7,0,MIN(G383,Parametres!$B$7))</f>
        <v>0</v>
      </c>
      <c r="I383" s="20" t="n">
        <f aca="false">G383-H383</f>
        <v>15.58</v>
      </c>
      <c r="J383" s="21" t="n">
        <f aca="false">H383*1000/Parametres!$B$9</f>
        <v>0</v>
      </c>
    </row>
    <row r="384" customFormat="false" ht="15" hidden="false" customHeight="false" outlineLevel="0" collapsed="false">
      <c r="A384" s="0" t="n">
        <v>380</v>
      </c>
      <c r="B384" s="0" t="n">
        <v>1</v>
      </c>
      <c r="C384" s="19" t="n">
        <v>0</v>
      </c>
      <c r="D384" s="19" t="n">
        <v>0.0403</v>
      </c>
      <c r="E384" s="20" t="n">
        <f aca="false">Parametres!$B$5*C384</f>
        <v>0</v>
      </c>
      <c r="F384" s="20" t="n">
        <f aca="false">Parametres!$B$6*D384</f>
        <v>8.06</v>
      </c>
      <c r="G384" s="20" t="n">
        <f aca="false">E384+F384</f>
        <v>8.06</v>
      </c>
      <c r="H384" s="20" t="n">
        <f aca="false">IF(G384&lt;Parametres!$B$8*Parametres!$B$7,0,MIN(G384,Parametres!$B$7))</f>
        <v>0</v>
      </c>
      <c r="I384" s="20" t="n">
        <f aca="false">G384-H384</f>
        <v>8.06</v>
      </c>
      <c r="J384" s="21" t="n">
        <f aca="false">H384*1000/Parametres!$B$9</f>
        <v>0</v>
      </c>
    </row>
    <row r="385" customFormat="false" ht="15" hidden="false" customHeight="false" outlineLevel="0" collapsed="false">
      <c r="A385" s="0" t="n">
        <v>381</v>
      </c>
      <c r="B385" s="0" t="n">
        <v>1</v>
      </c>
      <c r="C385" s="19" t="n">
        <v>0</v>
      </c>
      <c r="D385" s="19" t="n">
        <v>0.0319</v>
      </c>
      <c r="E385" s="20" t="n">
        <f aca="false">Parametres!$B$5*C385</f>
        <v>0</v>
      </c>
      <c r="F385" s="20" t="n">
        <f aca="false">Parametres!$B$6*D385</f>
        <v>6.38</v>
      </c>
      <c r="G385" s="20" t="n">
        <f aca="false">E385+F385</f>
        <v>6.38</v>
      </c>
      <c r="H385" s="20" t="n">
        <f aca="false">IF(G385&lt;Parametres!$B$8*Parametres!$B$7,0,MIN(G385,Parametres!$B$7))</f>
        <v>0</v>
      </c>
      <c r="I385" s="20" t="n">
        <f aca="false">G385-H385</f>
        <v>6.38</v>
      </c>
      <c r="J385" s="21" t="n">
        <f aca="false">H385*1000/Parametres!$B$9</f>
        <v>0</v>
      </c>
    </row>
    <row r="386" customFormat="false" ht="15" hidden="false" customHeight="false" outlineLevel="0" collapsed="false">
      <c r="A386" s="0" t="n">
        <v>382</v>
      </c>
      <c r="B386" s="0" t="n">
        <v>1</v>
      </c>
      <c r="C386" s="19" t="n">
        <v>0</v>
      </c>
      <c r="D386" s="19" t="n">
        <v>0.0201</v>
      </c>
      <c r="E386" s="20" t="n">
        <f aca="false">Parametres!$B$5*C386</f>
        <v>0</v>
      </c>
      <c r="F386" s="20" t="n">
        <f aca="false">Parametres!$B$6*D386</f>
        <v>4.02</v>
      </c>
      <c r="G386" s="20" t="n">
        <f aca="false">E386+F386</f>
        <v>4.02</v>
      </c>
      <c r="H386" s="20" t="n">
        <f aca="false">IF(G386&lt;Parametres!$B$8*Parametres!$B$7,0,MIN(G386,Parametres!$B$7))</f>
        <v>0</v>
      </c>
      <c r="I386" s="20" t="n">
        <f aca="false">G386-H386</f>
        <v>4.02</v>
      </c>
      <c r="J386" s="21" t="n">
        <f aca="false">H386*1000/Parametres!$B$9</f>
        <v>0</v>
      </c>
    </row>
    <row r="387" customFormat="false" ht="15" hidden="false" customHeight="false" outlineLevel="0" collapsed="false">
      <c r="A387" s="0" t="n">
        <v>383</v>
      </c>
      <c r="B387" s="0" t="n">
        <v>1</v>
      </c>
      <c r="C387" s="19" t="n">
        <v>0</v>
      </c>
      <c r="D387" s="19" t="n">
        <v>0.0282</v>
      </c>
      <c r="E387" s="20" t="n">
        <f aca="false">Parametres!$B$5*C387</f>
        <v>0</v>
      </c>
      <c r="F387" s="20" t="n">
        <f aca="false">Parametres!$B$6*D387</f>
        <v>5.64</v>
      </c>
      <c r="G387" s="20" t="n">
        <f aca="false">E387+F387</f>
        <v>5.64</v>
      </c>
      <c r="H387" s="20" t="n">
        <f aca="false">IF(G387&lt;Parametres!$B$8*Parametres!$B$7,0,MIN(G387,Parametres!$B$7))</f>
        <v>0</v>
      </c>
      <c r="I387" s="20" t="n">
        <f aca="false">G387-H387</f>
        <v>5.64</v>
      </c>
      <c r="J387" s="21" t="n">
        <f aca="false">H387*1000/Parametres!$B$9</f>
        <v>0</v>
      </c>
    </row>
    <row r="388" customFormat="false" ht="15" hidden="false" customHeight="false" outlineLevel="0" collapsed="false">
      <c r="A388" s="0" t="n">
        <v>384</v>
      </c>
      <c r="B388" s="0" t="n">
        <v>1</v>
      </c>
      <c r="C388" s="19" t="n">
        <v>0</v>
      </c>
      <c r="D388" s="19" t="n">
        <v>0.0111</v>
      </c>
      <c r="E388" s="20" t="n">
        <f aca="false">Parametres!$B$5*C388</f>
        <v>0</v>
      </c>
      <c r="F388" s="20" t="n">
        <f aca="false">Parametres!$B$6*D388</f>
        <v>2.22</v>
      </c>
      <c r="G388" s="20" t="n">
        <f aca="false">E388+F388</f>
        <v>2.22</v>
      </c>
      <c r="H388" s="20" t="n">
        <f aca="false">IF(G388&lt;Parametres!$B$8*Parametres!$B$7,0,MIN(G388,Parametres!$B$7))</f>
        <v>0</v>
      </c>
      <c r="I388" s="20" t="n">
        <f aca="false">G388-H388</f>
        <v>2.22</v>
      </c>
      <c r="J388" s="21" t="n">
        <f aca="false">H388*1000/Parametres!$B$9</f>
        <v>0</v>
      </c>
    </row>
    <row r="389" customFormat="false" ht="15" hidden="false" customHeight="false" outlineLevel="0" collapsed="false">
      <c r="A389" s="0" t="n">
        <v>385</v>
      </c>
      <c r="B389" s="0" t="n">
        <v>1</v>
      </c>
      <c r="C389" s="19" t="n">
        <v>0</v>
      </c>
      <c r="D389" s="19" t="n">
        <v>0.0041</v>
      </c>
      <c r="E389" s="20" t="n">
        <f aca="false">Parametres!$B$5*C389</f>
        <v>0</v>
      </c>
      <c r="F389" s="20" t="n">
        <f aca="false">Parametres!$B$6*D389</f>
        <v>0.82</v>
      </c>
      <c r="G389" s="20" t="n">
        <f aca="false">E389+F389</f>
        <v>0.82</v>
      </c>
      <c r="H389" s="20" t="n">
        <f aca="false">IF(G389&lt;Parametres!$B$8*Parametres!$B$7,0,MIN(G389,Parametres!$B$7))</f>
        <v>0</v>
      </c>
      <c r="I389" s="20" t="n">
        <f aca="false">G389-H389</f>
        <v>0.82</v>
      </c>
      <c r="J389" s="21" t="n">
        <f aca="false">H389*1000/Parametres!$B$9</f>
        <v>0</v>
      </c>
    </row>
    <row r="390" customFormat="false" ht="15" hidden="false" customHeight="false" outlineLevel="0" collapsed="false">
      <c r="A390" s="0" t="n">
        <v>386</v>
      </c>
      <c r="B390" s="0" t="n">
        <v>1</v>
      </c>
      <c r="C390" s="19" t="n">
        <v>0</v>
      </c>
      <c r="D390" s="19" t="n">
        <v>0.0063</v>
      </c>
      <c r="E390" s="20" t="n">
        <f aca="false">Parametres!$B$5*C390</f>
        <v>0</v>
      </c>
      <c r="F390" s="20" t="n">
        <f aca="false">Parametres!$B$6*D390</f>
        <v>1.26</v>
      </c>
      <c r="G390" s="20" t="n">
        <f aca="false">E390+F390</f>
        <v>1.26</v>
      </c>
      <c r="H390" s="20" t="n">
        <f aca="false">IF(G390&lt;Parametres!$B$8*Parametres!$B$7,0,MIN(G390,Parametres!$B$7))</f>
        <v>0</v>
      </c>
      <c r="I390" s="20" t="n">
        <f aca="false">G390-H390</f>
        <v>1.26</v>
      </c>
      <c r="J390" s="21" t="n">
        <f aca="false">H390*1000/Parametres!$B$9</f>
        <v>0</v>
      </c>
    </row>
    <row r="391" customFormat="false" ht="15" hidden="false" customHeight="false" outlineLevel="0" collapsed="false">
      <c r="A391" s="0" t="n">
        <v>387</v>
      </c>
      <c r="B391" s="0" t="n">
        <v>1</v>
      </c>
      <c r="C391" s="19" t="n">
        <v>0</v>
      </c>
      <c r="D391" s="19" t="n">
        <v>0.0234</v>
      </c>
      <c r="E391" s="20" t="n">
        <f aca="false">Parametres!$B$5*C391</f>
        <v>0</v>
      </c>
      <c r="F391" s="20" t="n">
        <f aca="false">Parametres!$B$6*D391</f>
        <v>4.68</v>
      </c>
      <c r="G391" s="20" t="n">
        <f aca="false">E391+F391</f>
        <v>4.68</v>
      </c>
      <c r="H391" s="20" t="n">
        <f aca="false">IF(G391&lt;Parametres!$B$8*Parametres!$B$7,0,MIN(G391,Parametres!$B$7))</f>
        <v>0</v>
      </c>
      <c r="I391" s="20" t="n">
        <f aca="false">G391-H391</f>
        <v>4.68</v>
      </c>
      <c r="J391" s="21" t="n">
        <f aca="false">H391*1000/Parametres!$B$9</f>
        <v>0</v>
      </c>
    </row>
    <row r="392" customFormat="false" ht="15" hidden="false" customHeight="false" outlineLevel="0" collapsed="false">
      <c r="A392" s="0" t="n">
        <v>388</v>
      </c>
      <c r="B392" s="0" t="n">
        <v>1</v>
      </c>
      <c r="C392" s="19" t="n">
        <v>0</v>
      </c>
      <c r="D392" s="19" t="n">
        <v>0.028</v>
      </c>
      <c r="E392" s="20" t="n">
        <f aca="false">Parametres!$B$5*C392</f>
        <v>0</v>
      </c>
      <c r="F392" s="20" t="n">
        <f aca="false">Parametres!$B$6*D392</f>
        <v>5.6</v>
      </c>
      <c r="G392" s="20" t="n">
        <f aca="false">E392+F392</f>
        <v>5.6</v>
      </c>
      <c r="H392" s="20" t="n">
        <f aca="false">IF(G392&lt;Parametres!$B$8*Parametres!$B$7,0,MIN(G392,Parametres!$B$7))</f>
        <v>0</v>
      </c>
      <c r="I392" s="20" t="n">
        <f aca="false">G392-H392</f>
        <v>5.6</v>
      </c>
      <c r="J392" s="21" t="n">
        <f aca="false">H392*1000/Parametres!$B$9</f>
        <v>0</v>
      </c>
    </row>
    <row r="393" customFormat="false" ht="15" hidden="false" customHeight="false" outlineLevel="0" collapsed="false">
      <c r="A393" s="0" t="n">
        <v>389</v>
      </c>
      <c r="B393" s="0" t="n">
        <v>1</v>
      </c>
      <c r="C393" s="19" t="n">
        <v>0</v>
      </c>
      <c r="D393" s="19" t="n">
        <v>0.0332</v>
      </c>
      <c r="E393" s="20" t="n">
        <f aca="false">Parametres!$B$5*C393</f>
        <v>0</v>
      </c>
      <c r="F393" s="20" t="n">
        <f aca="false">Parametres!$B$6*D393</f>
        <v>6.64</v>
      </c>
      <c r="G393" s="20" t="n">
        <f aca="false">E393+F393</f>
        <v>6.64</v>
      </c>
      <c r="H393" s="20" t="n">
        <f aca="false">IF(G393&lt;Parametres!$B$8*Parametres!$B$7,0,MIN(G393,Parametres!$B$7))</f>
        <v>0</v>
      </c>
      <c r="I393" s="20" t="n">
        <f aca="false">G393-H393</f>
        <v>6.64</v>
      </c>
      <c r="J393" s="21" t="n">
        <f aca="false">H393*1000/Parametres!$B$9</f>
        <v>0</v>
      </c>
    </row>
    <row r="394" customFormat="false" ht="15" hidden="false" customHeight="false" outlineLevel="0" collapsed="false">
      <c r="A394" s="0" t="n">
        <v>390</v>
      </c>
      <c r="B394" s="0" t="n">
        <v>1</v>
      </c>
      <c r="C394" s="19" t="n">
        <v>0</v>
      </c>
      <c r="D394" s="19" t="n">
        <v>0.028</v>
      </c>
      <c r="E394" s="20" t="n">
        <f aca="false">Parametres!$B$5*C394</f>
        <v>0</v>
      </c>
      <c r="F394" s="20" t="n">
        <f aca="false">Parametres!$B$6*D394</f>
        <v>5.6</v>
      </c>
      <c r="G394" s="20" t="n">
        <f aca="false">E394+F394</f>
        <v>5.6</v>
      </c>
      <c r="H394" s="20" t="n">
        <f aca="false">IF(G394&lt;Parametres!$B$8*Parametres!$B$7,0,MIN(G394,Parametres!$B$7))</f>
        <v>0</v>
      </c>
      <c r="I394" s="20" t="n">
        <f aca="false">G394-H394</f>
        <v>5.6</v>
      </c>
      <c r="J394" s="21" t="n">
        <f aca="false">H394*1000/Parametres!$B$9</f>
        <v>0</v>
      </c>
    </row>
    <row r="395" customFormat="false" ht="15" hidden="false" customHeight="false" outlineLevel="0" collapsed="false">
      <c r="A395" s="0" t="n">
        <v>391</v>
      </c>
      <c r="B395" s="0" t="n">
        <v>1</v>
      </c>
      <c r="C395" s="19" t="n">
        <v>0</v>
      </c>
      <c r="D395" s="19" t="n">
        <v>0.057</v>
      </c>
      <c r="E395" s="20" t="n">
        <f aca="false">Parametres!$B$5*C395</f>
        <v>0</v>
      </c>
      <c r="F395" s="20" t="n">
        <f aca="false">Parametres!$B$6*D395</f>
        <v>11.4</v>
      </c>
      <c r="G395" s="20" t="n">
        <f aca="false">E395+F395</f>
        <v>11.4</v>
      </c>
      <c r="H395" s="20" t="n">
        <f aca="false">IF(G395&lt;Parametres!$B$8*Parametres!$B$7,0,MIN(G395,Parametres!$B$7))</f>
        <v>0</v>
      </c>
      <c r="I395" s="20" t="n">
        <f aca="false">G395-H395</f>
        <v>11.4</v>
      </c>
      <c r="J395" s="21" t="n">
        <f aca="false">H395*1000/Parametres!$B$9</f>
        <v>0</v>
      </c>
    </row>
    <row r="396" customFormat="false" ht="15" hidden="false" customHeight="false" outlineLevel="0" collapsed="false">
      <c r="A396" s="0" t="n">
        <v>392</v>
      </c>
      <c r="B396" s="0" t="n">
        <v>1</v>
      </c>
      <c r="C396" s="19" t="n">
        <v>0.1394</v>
      </c>
      <c r="D396" s="19" t="n">
        <v>0.0839</v>
      </c>
      <c r="E396" s="20" t="n">
        <f aca="false">Parametres!$B$5*C396</f>
        <v>41.82</v>
      </c>
      <c r="F396" s="20" t="n">
        <f aca="false">Parametres!$B$6*D396</f>
        <v>16.78</v>
      </c>
      <c r="G396" s="20" t="n">
        <f aca="false">E396+F396</f>
        <v>58.6</v>
      </c>
      <c r="H396" s="20" t="n">
        <f aca="false">IF(G396&lt;Parametres!$B$8*Parametres!$B$7,0,MIN(G396,Parametres!$B$7))</f>
        <v>58.6</v>
      </c>
      <c r="I396" s="20" t="n">
        <f aca="false">G396-H396</f>
        <v>0</v>
      </c>
      <c r="J396" s="21" t="n">
        <f aca="false">H396*1000/Parametres!$B$9</f>
        <v>993.725623198237</v>
      </c>
    </row>
    <row r="397" customFormat="false" ht="15" hidden="false" customHeight="false" outlineLevel="0" collapsed="false">
      <c r="A397" s="0" t="n">
        <v>393</v>
      </c>
      <c r="B397" s="0" t="n">
        <v>1</v>
      </c>
      <c r="C397" s="19" t="n">
        <v>0.335</v>
      </c>
      <c r="D397" s="19" t="n">
        <v>0.1999</v>
      </c>
      <c r="E397" s="20" t="n">
        <f aca="false">Parametres!$B$5*C397</f>
        <v>100.5</v>
      </c>
      <c r="F397" s="20" t="n">
        <f aca="false">Parametres!$B$6*D397</f>
        <v>39.98</v>
      </c>
      <c r="G397" s="20" t="n">
        <f aca="false">E397+F397</f>
        <v>140.48</v>
      </c>
      <c r="H397" s="20" t="n">
        <f aca="false">IF(G397&lt;Parametres!$B$8*Parametres!$B$7,0,MIN(G397,Parametres!$B$7))</f>
        <v>140.48</v>
      </c>
      <c r="I397" s="20" t="n">
        <f aca="false">G397-H397</f>
        <v>0</v>
      </c>
      <c r="J397" s="21" t="n">
        <f aca="false">H397*1000/Parametres!$B$9</f>
        <v>2382.22825165338</v>
      </c>
    </row>
    <row r="398" customFormat="false" ht="15" hidden="false" customHeight="false" outlineLevel="0" collapsed="false">
      <c r="A398" s="0" t="n">
        <v>394</v>
      </c>
      <c r="B398" s="0" t="n">
        <v>1</v>
      </c>
      <c r="C398" s="19" t="n">
        <v>0.5516</v>
      </c>
      <c r="D398" s="19" t="n">
        <v>0.2576</v>
      </c>
      <c r="E398" s="20" t="n">
        <f aca="false">Parametres!$B$5*C398</f>
        <v>165.48</v>
      </c>
      <c r="F398" s="20" t="n">
        <f aca="false">Parametres!$B$6*D398</f>
        <v>51.52</v>
      </c>
      <c r="G398" s="20" t="n">
        <f aca="false">E398+F398</f>
        <v>217</v>
      </c>
      <c r="H398" s="20" t="n">
        <f aca="false">IF(G398&lt;Parametres!$B$8*Parametres!$B$7,0,MIN(G398,Parametres!$B$7))</f>
        <v>217</v>
      </c>
      <c r="I398" s="20" t="n">
        <f aca="false">G398-H398</f>
        <v>0</v>
      </c>
      <c r="J398" s="21" t="n">
        <f aca="false">H398*1000/Parametres!$B$9</f>
        <v>3679.83720535866</v>
      </c>
    </row>
    <row r="399" customFormat="false" ht="15" hidden="false" customHeight="false" outlineLevel="0" collapsed="false">
      <c r="A399" s="0" t="n">
        <v>395</v>
      </c>
      <c r="B399" s="0" t="n">
        <v>1</v>
      </c>
      <c r="C399" s="19" t="n">
        <v>0.6959</v>
      </c>
      <c r="D399" s="19" t="n">
        <v>0.2055</v>
      </c>
      <c r="E399" s="20" t="n">
        <f aca="false">Parametres!$B$5*C399</f>
        <v>208.77</v>
      </c>
      <c r="F399" s="20" t="n">
        <f aca="false">Parametres!$B$6*D399</f>
        <v>41.1</v>
      </c>
      <c r="G399" s="20" t="n">
        <f aca="false">E399+F399</f>
        <v>249.87</v>
      </c>
      <c r="H399" s="20" t="n">
        <f aca="false">IF(G399&lt;Parametres!$B$8*Parametres!$B$7,0,MIN(G399,Parametres!$B$7))</f>
        <v>249.87</v>
      </c>
      <c r="I399" s="20" t="n">
        <f aca="false">G399-H399</f>
        <v>0</v>
      </c>
      <c r="J399" s="21" t="n">
        <f aca="false">H399*1000/Parametres!$B$9</f>
        <v>4237.23927420722</v>
      </c>
    </row>
    <row r="400" customFormat="false" ht="15" hidden="false" customHeight="false" outlineLevel="0" collapsed="false">
      <c r="A400" s="0" t="n">
        <v>396</v>
      </c>
      <c r="B400" s="0" t="n">
        <v>1</v>
      </c>
      <c r="C400" s="19" t="n">
        <v>0.7489</v>
      </c>
      <c r="D400" s="19" t="n">
        <v>0.1872</v>
      </c>
      <c r="E400" s="20" t="n">
        <f aca="false">Parametres!$B$5*C400</f>
        <v>224.67</v>
      </c>
      <c r="F400" s="20" t="n">
        <f aca="false">Parametres!$B$6*D400</f>
        <v>37.44</v>
      </c>
      <c r="G400" s="20" t="n">
        <f aca="false">E400+F400</f>
        <v>262.11</v>
      </c>
      <c r="H400" s="20" t="n">
        <f aca="false">IF(G400&lt;Parametres!$B$8*Parametres!$B$7,0,MIN(G400,Parametres!$B$7))</f>
        <v>250</v>
      </c>
      <c r="I400" s="20" t="n">
        <f aca="false">G400-H400</f>
        <v>12.11</v>
      </c>
      <c r="J400" s="21" t="n">
        <f aca="false">H400*1000/Parametres!$B$9</f>
        <v>4239.44378497541</v>
      </c>
    </row>
    <row r="401" customFormat="false" ht="15" hidden="false" customHeight="false" outlineLevel="0" collapsed="false">
      <c r="A401" s="0" t="n">
        <v>397</v>
      </c>
      <c r="B401" s="0" t="n">
        <v>1</v>
      </c>
      <c r="C401" s="19" t="n">
        <v>0.7528</v>
      </c>
      <c r="D401" s="19" t="n">
        <v>0.1388</v>
      </c>
      <c r="E401" s="20" t="n">
        <f aca="false">Parametres!$B$5*C401</f>
        <v>225.84</v>
      </c>
      <c r="F401" s="20" t="n">
        <f aca="false">Parametres!$B$6*D401</f>
        <v>27.76</v>
      </c>
      <c r="G401" s="20" t="n">
        <f aca="false">E401+F401</f>
        <v>253.6</v>
      </c>
      <c r="H401" s="20" t="n">
        <f aca="false">IF(G401&lt;Parametres!$B$8*Parametres!$B$7,0,MIN(G401,Parametres!$B$7))</f>
        <v>250</v>
      </c>
      <c r="I401" s="20" t="n">
        <f aca="false">G401-H401</f>
        <v>3.59999999999999</v>
      </c>
      <c r="J401" s="21" t="n">
        <f aca="false">H401*1000/Parametres!$B$9</f>
        <v>4239.44378497541</v>
      </c>
    </row>
    <row r="402" customFormat="false" ht="15" hidden="false" customHeight="false" outlineLevel="0" collapsed="false">
      <c r="A402" s="0" t="n">
        <v>398</v>
      </c>
      <c r="B402" s="0" t="n">
        <v>1</v>
      </c>
      <c r="C402" s="19" t="n">
        <v>0.6951</v>
      </c>
      <c r="D402" s="19" t="n">
        <v>0.0847</v>
      </c>
      <c r="E402" s="20" t="n">
        <f aca="false">Parametres!$B$5*C402</f>
        <v>208.53</v>
      </c>
      <c r="F402" s="20" t="n">
        <f aca="false">Parametres!$B$6*D402</f>
        <v>16.94</v>
      </c>
      <c r="G402" s="20" t="n">
        <f aca="false">E402+F402</f>
        <v>225.47</v>
      </c>
      <c r="H402" s="20" t="n">
        <f aca="false">IF(G402&lt;Parametres!$B$8*Parametres!$B$7,0,MIN(G402,Parametres!$B$7))</f>
        <v>225.47</v>
      </c>
      <c r="I402" s="20" t="n">
        <f aca="false">G402-H402</f>
        <v>0</v>
      </c>
      <c r="J402" s="21" t="n">
        <f aca="false">H402*1000/Parametres!$B$9</f>
        <v>3823.46956079362</v>
      </c>
    </row>
    <row r="403" customFormat="false" ht="15" hidden="false" customHeight="false" outlineLevel="0" collapsed="false">
      <c r="A403" s="0" t="n">
        <v>399</v>
      </c>
      <c r="B403" s="0" t="n">
        <v>1</v>
      </c>
      <c r="C403" s="19" t="n">
        <v>0.5303</v>
      </c>
      <c r="D403" s="19" t="n">
        <v>0.1725</v>
      </c>
      <c r="E403" s="20" t="n">
        <f aca="false">Parametres!$B$5*C403</f>
        <v>159.09</v>
      </c>
      <c r="F403" s="20" t="n">
        <f aca="false">Parametres!$B$6*D403</f>
        <v>34.5</v>
      </c>
      <c r="G403" s="20" t="n">
        <f aca="false">E403+F403</f>
        <v>193.59</v>
      </c>
      <c r="H403" s="20" t="n">
        <f aca="false">IF(G403&lt;Parametres!$B$8*Parametres!$B$7,0,MIN(G403,Parametres!$B$7))</f>
        <v>193.59</v>
      </c>
      <c r="I403" s="20" t="n">
        <f aca="false">G403-H403</f>
        <v>0</v>
      </c>
      <c r="J403" s="21" t="n">
        <f aca="false">H403*1000/Parametres!$B$9</f>
        <v>3282.85568933356</v>
      </c>
    </row>
    <row r="404" customFormat="false" ht="15" hidden="false" customHeight="false" outlineLevel="0" collapsed="false">
      <c r="A404" s="0" t="n">
        <v>400</v>
      </c>
      <c r="B404" s="0" t="n">
        <v>1</v>
      </c>
      <c r="C404" s="19" t="n">
        <v>0.3438</v>
      </c>
      <c r="D404" s="19" t="n">
        <v>0.2558</v>
      </c>
      <c r="E404" s="20" t="n">
        <f aca="false">Parametres!$B$5*C404</f>
        <v>103.14</v>
      </c>
      <c r="F404" s="20" t="n">
        <f aca="false">Parametres!$B$6*D404</f>
        <v>51.16</v>
      </c>
      <c r="G404" s="20" t="n">
        <f aca="false">E404+F404</f>
        <v>154.3</v>
      </c>
      <c r="H404" s="20" t="n">
        <f aca="false">IF(G404&lt;Parametres!$B$8*Parametres!$B$7,0,MIN(G404,Parametres!$B$7))</f>
        <v>154.3</v>
      </c>
      <c r="I404" s="20" t="n">
        <f aca="false">G404-H404</f>
        <v>0</v>
      </c>
      <c r="J404" s="21" t="n">
        <f aca="false">H404*1000/Parametres!$B$9</f>
        <v>2616.58470408682</v>
      </c>
    </row>
    <row r="405" customFormat="false" ht="15" hidden="false" customHeight="false" outlineLevel="0" collapsed="false">
      <c r="A405" s="0" t="n">
        <v>401</v>
      </c>
      <c r="B405" s="0" t="n">
        <v>1</v>
      </c>
      <c r="C405" s="19" t="n">
        <v>0.1426</v>
      </c>
      <c r="D405" s="19" t="n">
        <v>0.1521</v>
      </c>
      <c r="E405" s="20" t="n">
        <f aca="false">Parametres!$B$5*C405</f>
        <v>42.78</v>
      </c>
      <c r="F405" s="20" t="n">
        <f aca="false">Parametres!$B$6*D405</f>
        <v>30.42</v>
      </c>
      <c r="G405" s="20" t="n">
        <f aca="false">E405+F405</f>
        <v>73.2</v>
      </c>
      <c r="H405" s="20" t="n">
        <f aca="false">IF(G405&lt;Parametres!$B$8*Parametres!$B$7,0,MIN(G405,Parametres!$B$7))</f>
        <v>73.2</v>
      </c>
      <c r="I405" s="20" t="n">
        <f aca="false">G405-H405</f>
        <v>0</v>
      </c>
      <c r="J405" s="21" t="n">
        <f aca="false">H405*1000/Parametres!$B$9</f>
        <v>1241.3091402408</v>
      </c>
    </row>
    <row r="406" customFormat="false" ht="15" hidden="false" customHeight="false" outlineLevel="0" collapsed="false">
      <c r="A406" s="0" t="n">
        <v>402</v>
      </c>
      <c r="B406" s="0" t="n">
        <v>1</v>
      </c>
      <c r="C406" s="19" t="n">
        <v>0</v>
      </c>
      <c r="D406" s="19" t="n">
        <v>0.3171</v>
      </c>
      <c r="E406" s="20" t="n">
        <f aca="false">Parametres!$B$5*C406</f>
        <v>0</v>
      </c>
      <c r="F406" s="20" t="n">
        <f aca="false">Parametres!$B$6*D406</f>
        <v>63.42</v>
      </c>
      <c r="G406" s="20" t="n">
        <f aca="false">E406+F406</f>
        <v>63.42</v>
      </c>
      <c r="H406" s="20" t="n">
        <f aca="false">IF(G406&lt;Parametres!$B$8*Parametres!$B$7,0,MIN(G406,Parametres!$B$7))</f>
        <v>63.42</v>
      </c>
      <c r="I406" s="20" t="n">
        <f aca="false">G406-H406</f>
        <v>0</v>
      </c>
      <c r="J406" s="21" t="n">
        <f aca="false">H406*1000/Parametres!$B$9</f>
        <v>1075.46209937256</v>
      </c>
    </row>
    <row r="407" customFormat="false" ht="15" hidden="false" customHeight="false" outlineLevel="0" collapsed="false">
      <c r="A407" s="0" t="n">
        <v>403</v>
      </c>
      <c r="B407" s="0" t="n">
        <v>1</v>
      </c>
      <c r="C407" s="19" t="n">
        <v>0</v>
      </c>
      <c r="D407" s="19" t="n">
        <v>0.3295</v>
      </c>
      <c r="E407" s="20" t="n">
        <f aca="false">Parametres!$B$5*C407</f>
        <v>0</v>
      </c>
      <c r="F407" s="20" t="n">
        <f aca="false">Parametres!$B$6*D407</f>
        <v>65.9</v>
      </c>
      <c r="G407" s="20" t="n">
        <f aca="false">E407+F407</f>
        <v>65.9</v>
      </c>
      <c r="H407" s="20" t="n">
        <f aca="false">IF(G407&lt;Parametres!$B$8*Parametres!$B$7,0,MIN(G407,Parametres!$B$7))</f>
        <v>65.9</v>
      </c>
      <c r="I407" s="20" t="n">
        <f aca="false">G407-H407</f>
        <v>0</v>
      </c>
      <c r="J407" s="21" t="n">
        <f aca="false">H407*1000/Parametres!$B$9</f>
        <v>1117.51738171952</v>
      </c>
    </row>
    <row r="408" customFormat="false" ht="15" hidden="false" customHeight="false" outlineLevel="0" collapsed="false">
      <c r="A408" s="0" t="n">
        <v>404</v>
      </c>
      <c r="B408" s="0" t="n">
        <v>1</v>
      </c>
      <c r="C408" s="19" t="n">
        <v>0</v>
      </c>
      <c r="D408" s="19" t="n">
        <v>0.2071</v>
      </c>
      <c r="E408" s="20" t="n">
        <f aca="false">Parametres!$B$5*C408</f>
        <v>0</v>
      </c>
      <c r="F408" s="20" t="n">
        <f aca="false">Parametres!$B$6*D408</f>
        <v>41.42</v>
      </c>
      <c r="G408" s="20" t="n">
        <f aca="false">E408+F408</f>
        <v>41.42</v>
      </c>
      <c r="H408" s="20" t="n">
        <f aca="false">IF(G408&lt;Parametres!$B$8*Parametres!$B$7,0,MIN(G408,Parametres!$B$7))</f>
        <v>41.42</v>
      </c>
      <c r="I408" s="20" t="n">
        <f aca="false">G408-H408</f>
        <v>0</v>
      </c>
      <c r="J408" s="21" t="n">
        <f aca="false">H408*1000/Parametres!$B$9</f>
        <v>702.391046294726</v>
      </c>
    </row>
    <row r="409" customFormat="false" ht="15" hidden="false" customHeight="false" outlineLevel="0" collapsed="false">
      <c r="A409" s="0" t="n">
        <v>405</v>
      </c>
      <c r="B409" s="0" t="n">
        <v>1</v>
      </c>
      <c r="C409" s="19" t="n">
        <v>0</v>
      </c>
      <c r="D409" s="19" t="n">
        <v>0.2176</v>
      </c>
      <c r="E409" s="20" t="n">
        <f aca="false">Parametres!$B$5*C409</f>
        <v>0</v>
      </c>
      <c r="F409" s="20" t="n">
        <f aca="false">Parametres!$B$6*D409</f>
        <v>43.52</v>
      </c>
      <c r="G409" s="20" t="n">
        <f aca="false">E409+F409</f>
        <v>43.52</v>
      </c>
      <c r="H409" s="20" t="n">
        <f aca="false">IF(G409&lt;Parametres!$B$8*Parametres!$B$7,0,MIN(G409,Parametres!$B$7))</f>
        <v>43.52</v>
      </c>
      <c r="I409" s="20" t="n">
        <f aca="false">G409-H409</f>
        <v>0</v>
      </c>
      <c r="J409" s="21" t="n">
        <f aca="false">H409*1000/Parametres!$B$9</f>
        <v>738.002374088519</v>
      </c>
    </row>
    <row r="410" customFormat="false" ht="15" hidden="false" customHeight="false" outlineLevel="0" collapsed="false">
      <c r="A410" s="0" t="n">
        <v>406</v>
      </c>
      <c r="B410" s="0" t="n">
        <v>1</v>
      </c>
      <c r="C410" s="19" t="n">
        <v>0</v>
      </c>
      <c r="D410" s="19" t="n">
        <v>0.1849</v>
      </c>
      <c r="E410" s="20" t="n">
        <f aca="false">Parametres!$B$5*C410</f>
        <v>0</v>
      </c>
      <c r="F410" s="20" t="n">
        <f aca="false">Parametres!$B$6*D410</f>
        <v>36.98</v>
      </c>
      <c r="G410" s="20" t="n">
        <f aca="false">E410+F410</f>
        <v>36.98</v>
      </c>
      <c r="H410" s="20" t="n">
        <f aca="false">IF(G410&lt;Parametres!$B$8*Parametres!$B$7,0,MIN(G410,Parametres!$B$7))</f>
        <v>36.98</v>
      </c>
      <c r="I410" s="20" t="n">
        <f aca="false">G410-H410</f>
        <v>0</v>
      </c>
      <c r="J410" s="21" t="n">
        <f aca="false">H410*1000/Parametres!$B$9</f>
        <v>627.098524673563</v>
      </c>
    </row>
    <row r="411" customFormat="false" ht="15" hidden="false" customHeight="false" outlineLevel="0" collapsed="false">
      <c r="A411" s="0" t="n">
        <v>407</v>
      </c>
      <c r="B411" s="0" t="n">
        <v>1</v>
      </c>
      <c r="C411" s="19" t="n">
        <v>0</v>
      </c>
      <c r="D411" s="19" t="n">
        <v>0.113</v>
      </c>
      <c r="E411" s="20" t="n">
        <f aca="false">Parametres!$B$5*C411</f>
        <v>0</v>
      </c>
      <c r="F411" s="20" t="n">
        <f aca="false">Parametres!$B$6*D411</f>
        <v>22.6</v>
      </c>
      <c r="G411" s="20" t="n">
        <f aca="false">E411+F411</f>
        <v>22.6</v>
      </c>
      <c r="H411" s="20" t="n">
        <f aca="false">IF(G411&lt;Parametres!$B$8*Parametres!$B$7,0,MIN(G411,Parametres!$B$7))</f>
        <v>0</v>
      </c>
      <c r="I411" s="20" t="n">
        <f aca="false">G411-H411</f>
        <v>22.6</v>
      </c>
      <c r="J411" s="21" t="n">
        <f aca="false">H411*1000/Parametres!$B$9</f>
        <v>0</v>
      </c>
    </row>
    <row r="412" customFormat="false" ht="15" hidden="false" customHeight="false" outlineLevel="0" collapsed="false">
      <c r="A412" s="0" t="n">
        <v>408</v>
      </c>
      <c r="B412" s="0" t="n">
        <v>1</v>
      </c>
      <c r="C412" s="19" t="n">
        <v>0</v>
      </c>
      <c r="D412" s="19" t="n">
        <v>0.0333</v>
      </c>
      <c r="E412" s="20" t="n">
        <f aca="false">Parametres!$B$5*C412</f>
        <v>0</v>
      </c>
      <c r="F412" s="20" t="n">
        <f aca="false">Parametres!$B$6*D412</f>
        <v>6.66</v>
      </c>
      <c r="G412" s="20" t="n">
        <f aca="false">E412+F412</f>
        <v>6.66</v>
      </c>
      <c r="H412" s="20" t="n">
        <f aca="false">IF(G412&lt;Parametres!$B$8*Parametres!$B$7,0,MIN(G412,Parametres!$B$7))</f>
        <v>0</v>
      </c>
      <c r="I412" s="20" t="n">
        <f aca="false">G412-H412</f>
        <v>6.66</v>
      </c>
      <c r="J412" s="21" t="n">
        <f aca="false">H412*1000/Parametres!$B$9</f>
        <v>0</v>
      </c>
    </row>
    <row r="413" customFormat="false" ht="15" hidden="false" customHeight="false" outlineLevel="0" collapsed="false">
      <c r="A413" s="0" t="n">
        <v>409</v>
      </c>
      <c r="B413" s="0" t="n">
        <v>1</v>
      </c>
      <c r="C413" s="19" t="n">
        <v>0</v>
      </c>
      <c r="D413" s="19" t="n">
        <v>0.0289</v>
      </c>
      <c r="E413" s="20" t="n">
        <f aca="false">Parametres!$B$5*C413</f>
        <v>0</v>
      </c>
      <c r="F413" s="20" t="n">
        <f aca="false">Parametres!$B$6*D413</f>
        <v>5.78</v>
      </c>
      <c r="G413" s="20" t="n">
        <f aca="false">E413+F413</f>
        <v>5.78</v>
      </c>
      <c r="H413" s="20" t="n">
        <f aca="false">IF(G413&lt;Parametres!$B$8*Parametres!$B$7,0,MIN(G413,Parametres!$B$7))</f>
        <v>0</v>
      </c>
      <c r="I413" s="20" t="n">
        <f aca="false">G413-H413</f>
        <v>5.78</v>
      </c>
      <c r="J413" s="21" t="n">
        <f aca="false">H413*1000/Parametres!$B$9</f>
        <v>0</v>
      </c>
    </row>
    <row r="414" customFormat="false" ht="15" hidden="false" customHeight="false" outlineLevel="0" collapsed="false">
      <c r="A414" s="0" t="n">
        <v>410</v>
      </c>
      <c r="B414" s="0" t="n">
        <v>1</v>
      </c>
      <c r="C414" s="19" t="n">
        <v>0</v>
      </c>
      <c r="D414" s="19" t="n">
        <v>0.0301</v>
      </c>
      <c r="E414" s="20" t="n">
        <f aca="false">Parametres!$B$5*C414</f>
        <v>0</v>
      </c>
      <c r="F414" s="20" t="n">
        <f aca="false">Parametres!$B$6*D414</f>
        <v>6.02</v>
      </c>
      <c r="G414" s="20" t="n">
        <f aca="false">E414+F414</f>
        <v>6.02</v>
      </c>
      <c r="H414" s="20" t="n">
        <f aca="false">IF(G414&lt;Parametres!$B$8*Parametres!$B$7,0,MIN(G414,Parametres!$B$7))</f>
        <v>0</v>
      </c>
      <c r="I414" s="20" t="n">
        <f aca="false">G414-H414</f>
        <v>6.02</v>
      </c>
      <c r="J414" s="21" t="n">
        <f aca="false">H414*1000/Parametres!$B$9</f>
        <v>0</v>
      </c>
    </row>
    <row r="415" customFormat="false" ht="15" hidden="false" customHeight="false" outlineLevel="0" collapsed="false">
      <c r="A415" s="0" t="n">
        <v>411</v>
      </c>
      <c r="B415" s="0" t="n">
        <v>1</v>
      </c>
      <c r="C415" s="19" t="n">
        <v>0</v>
      </c>
      <c r="D415" s="19" t="n">
        <v>0.003</v>
      </c>
      <c r="E415" s="20" t="n">
        <f aca="false">Parametres!$B$5*C415</f>
        <v>0</v>
      </c>
      <c r="F415" s="20" t="n">
        <f aca="false">Parametres!$B$6*D415</f>
        <v>0.6</v>
      </c>
      <c r="G415" s="20" t="n">
        <f aca="false">E415+F415</f>
        <v>0.6</v>
      </c>
      <c r="H415" s="20" t="n">
        <f aca="false">IF(G415&lt;Parametres!$B$8*Parametres!$B$7,0,MIN(G415,Parametres!$B$7))</f>
        <v>0</v>
      </c>
      <c r="I415" s="20" t="n">
        <f aca="false">G415-H415</f>
        <v>0.6</v>
      </c>
      <c r="J415" s="21" t="n">
        <f aca="false">H415*1000/Parametres!$B$9</f>
        <v>0</v>
      </c>
    </row>
    <row r="416" customFormat="false" ht="15" hidden="false" customHeight="false" outlineLevel="0" collapsed="false">
      <c r="A416" s="0" t="n">
        <v>412</v>
      </c>
      <c r="B416" s="0" t="n">
        <v>1</v>
      </c>
      <c r="C416" s="19" t="n">
        <v>0</v>
      </c>
      <c r="D416" s="19" t="n">
        <v>0.0051</v>
      </c>
      <c r="E416" s="20" t="n">
        <f aca="false">Parametres!$B$5*C416</f>
        <v>0</v>
      </c>
      <c r="F416" s="20" t="n">
        <f aca="false">Parametres!$B$6*D416</f>
        <v>1.02</v>
      </c>
      <c r="G416" s="20" t="n">
        <f aca="false">E416+F416</f>
        <v>1.02</v>
      </c>
      <c r="H416" s="20" t="n">
        <f aca="false">IF(G416&lt;Parametres!$B$8*Parametres!$B$7,0,MIN(G416,Parametres!$B$7))</f>
        <v>0</v>
      </c>
      <c r="I416" s="20" t="n">
        <f aca="false">G416-H416</f>
        <v>1.02</v>
      </c>
      <c r="J416" s="21" t="n">
        <f aca="false">H416*1000/Parametres!$B$9</f>
        <v>0</v>
      </c>
    </row>
    <row r="417" customFormat="false" ht="15" hidden="false" customHeight="false" outlineLevel="0" collapsed="false">
      <c r="A417" s="0" t="n">
        <v>413</v>
      </c>
      <c r="B417" s="0" t="n">
        <v>1</v>
      </c>
      <c r="C417" s="19" t="n">
        <v>0</v>
      </c>
      <c r="D417" s="19" t="n">
        <v>0.0092</v>
      </c>
      <c r="E417" s="20" t="n">
        <f aca="false">Parametres!$B$5*C417</f>
        <v>0</v>
      </c>
      <c r="F417" s="20" t="n">
        <f aca="false">Parametres!$B$6*D417</f>
        <v>1.84</v>
      </c>
      <c r="G417" s="20" t="n">
        <f aca="false">E417+F417</f>
        <v>1.84</v>
      </c>
      <c r="H417" s="20" t="n">
        <f aca="false">IF(G417&lt;Parametres!$B$8*Parametres!$B$7,0,MIN(G417,Parametres!$B$7))</f>
        <v>0</v>
      </c>
      <c r="I417" s="20" t="n">
        <f aca="false">G417-H417</f>
        <v>1.84</v>
      </c>
      <c r="J417" s="21" t="n">
        <f aca="false">H417*1000/Parametres!$B$9</f>
        <v>0</v>
      </c>
    </row>
    <row r="418" customFormat="false" ht="15" hidden="false" customHeight="false" outlineLevel="0" collapsed="false">
      <c r="A418" s="0" t="n">
        <v>414</v>
      </c>
      <c r="B418" s="0" t="n">
        <v>1</v>
      </c>
      <c r="C418" s="19" t="n">
        <v>0</v>
      </c>
      <c r="D418" s="19" t="n">
        <v>0.0065</v>
      </c>
      <c r="E418" s="20" t="n">
        <f aca="false">Parametres!$B$5*C418</f>
        <v>0</v>
      </c>
      <c r="F418" s="20" t="n">
        <f aca="false">Parametres!$B$6*D418</f>
        <v>1.3</v>
      </c>
      <c r="G418" s="20" t="n">
        <f aca="false">E418+F418</f>
        <v>1.3</v>
      </c>
      <c r="H418" s="20" t="n">
        <f aca="false">IF(G418&lt;Parametres!$B$8*Parametres!$B$7,0,MIN(G418,Parametres!$B$7))</f>
        <v>0</v>
      </c>
      <c r="I418" s="20" t="n">
        <f aca="false">G418-H418</f>
        <v>1.3</v>
      </c>
      <c r="J418" s="21" t="n">
        <f aca="false">H418*1000/Parametres!$B$9</f>
        <v>0</v>
      </c>
    </row>
    <row r="419" customFormat="false" ht="15" hidden="false" customHeight="false" outlineLevel="0" collapsed="false">
      <c r="A419" s="0" t="n">
        <v>415</v>
      </c>
      <c r="B419" s="0" t="n">
        <v>1</v>
      </c>
      <c r="C419" s="19" t="n">
        <v>0</v>
      </c>
      <c r="D419" s="19" t="n">
        <v>0.0085</v>
      </c>
      <c r="E419" s="20" t="n">
        <f aca="false">Parametres!$B$5*C419</f>
        <v>0</v>
      </c>
      <c r="F419" s="20" t="n">
        <f aca="false">Parametres!$B$6*D419</f>
        <v>1.7</v>
      </c>
      <c r="G419" s="20" t="n">
        <f aca="false">E419+F419</f>
        <v>1.7</v>
      </c>
      <c r="H419" s="20" t="n">
        <f aca="false">IF(G419&lt;Parametres!$B$8*Parametres!$B$7,0,MIN(G419,Parametres!$B$7))</f>
        <v>0</v>
      </c>
      <c r="I419" s="20" t="n">
        <f aca="false">G419-H419</f>
        <v>1.7</v>
      </c>
      <c r="J419" s="21" t="n">
        <f aca="false">H419*1000/Parametres!$B$9</f>
        <v>0</v>
      </c>
    </row>
    <row r="420" customFormat="false" ht="15" hidden="false" customHeight="false" outlineLevel="0" collapsed="false">
      <c r="A420" s="0" t="n">
        <v>416</v>
      </c>
      <c r="B420" s="0" t="n">
        <v>1</v>
      </c>
      <c r="C420" s="19" t="n">
        <v>0.1325</v>
      </c>
      <c r="D420" s="19" t="n">
        <v>0.0082</v>
      </c>
      <c r="E420" s="20" t="n">
        <f aca="false">Parametres!$B$5*C420</f>
        <v>39.75</v>
      </c>
      <c r="F420" s="20" t="n">
        <f aca="false">Parametres!$B$6*D420</f>
        <v>1.64</v>
      </c>
      <c r="G420" s="20" t="n">
        <f aca="false">E420+F420</f>
        <v>41.39</v>
      </c>
      <c r="H420" s="20" t="n">
        <f aca="false">IF(G420&lt;Parametres!$B$8*Parametres!$B$7,0,MIN(G420,Parametres!$B$7))</f>
        <v>41.39</v>
      </c>
      <c r="I420" s="20" t="n">
        <f aca="false">G420-H420</f>
        <v>0</v>
      </c>
      <c r="J420" s="21" t="n">
        <f aca="false">H420*1000/Parametres!$B$9</f>
        <v>701.882313040529</v>
      </c>
    </row>
    <row r="421" customFormat="false" ht="15" hidden="false" customHeight="false" outlineLevel="0" collapsed="false">
      <c r="A421" s="0" t="n">
        <v>417</v>
      </c>
      <c r="B421" s="0" t="n">
        <v>1</v>
      </c>
      <c r="C421" s="19" t="n">
        <v>0.3624</v>
      </c>
      <c r="D421" s="19" t="n">
        <v>0.0048</v>
      </c>
      <c r="E421" s="20" t="n">
        <f aca="false">Parametres!$B$5*C421</f>
        <v>108.72</v>
      </c>
      <c r="F421" s="20" t="n">
        <f aca="false">Parametres!$B$6*D421</f>
        <v>0.96</v>
      </c>
      <c r="G421" s="20" t="n">
        <f aca="false">E421+F421</f>
        <v>109.68</v>
      </c>
      <c r="H421" s="20" t="n">
        <f aca="false">IF(G421&lt;Parametres!$B$8*Parametres!$B$7,0,MIN(G421,Parametres!$B$7))</f>
        <v>109.68</v>
      </c>
      <c r="I421" s="20" t="n">
        <f aca="false">G421-H421</f>
        <v>0</v>
      </c>
      <c r="J421" s="21" t="n">
        <f aca="false">H421*1000/Parametres!$B$9</f>
        <v>1859.92877734441</v>
      </c>
    </row>
    <row r="422" customFormat="false" ht="15" hidden="false" customHeight="false" outlineLevel="0" collapsed="false">
      <c r="A422" s="0" t="n">
        <v>418</v>
      </c>
      <c r="B422" s="0" t="n">
        <v>1</v>
      </c>
      <c r="C422" s="19" t="n">
        <v>0.5203</v>
      </c>
      <c r="D422" s="19" t="n">
        <v>0.0045</v>
      </c>
      <c r="E422" s="20" t="n">
        <f aca="false">Parametres!$B$5*C422</f>
        <v>156.09</v>
      </c>
      <c r="F422" s="20" t="n">
        <f aca="false">Parametres!$B$6*D422</f>
        <v>0.9</v>
      </c>
      <c r="G422" s="20" t="n">
        <f aca="false">E422+F422</f>
        <v>156.99</v>
      </c>
      <c r="H422" s="20" t="n">
        <f aca="false">IF(G422&lt;Parametres!$B$8*Parametres!$B$7,0,MIN(G422,Parametres!$B$7))</f>
        <v>156.99</v>
      </c>
      <c r="I422" s="20" t="n">
        <f aca="false">G422-H422</f>
        <v>0</v>
      </c>
      <c r="J422" s="21" t="n">
        <f aca="false">H422*1000/Parametres!$B$9</f>
        <v>2662.20111921316</v>
      </c>
    </row>
    <row r="423" customFormat="false" ht="15" hidden="false" customHeight="false" outlineLevel="0" collapsed="false">
      <c r="A423" s="0" t="n">
        <v>419</v>
      </c>
      <c r="B423" s="0" t="n">
        <v>1</v>
      </c>
      <c r="C423" s="19" t="n">
        <v>0.6822</v>
      </c>
      <c r="D423" s="19" t="n">
        <v>0.0205</v>
      </c>
      <c r="E423" s="20" t="n">
        <f aca="false">Parametres!$B$5*C423</f>
        <v>204.66</v>
      </c>
      <c r="F423" s="20" t="n">
        <f aca="false">Parametres!$B$6*D423</f>
        <v>4.1</v>
      </c>
      <c r="G423" s="20" t="n">
        <f aca="false">E423+F423</f>
        <v>208.76</v>
      </c>
      <c r="H423" s="20" t="n">
        <f aca="false">IF(G423&lt;Parametres!$B$8*Parametres!$B$7,0,MIN(G423,Parametres!$B$7))</f>
        <v>208.76</v>
      </c>
      <c r="I423" s="20" t="n">
        <f aca="false">G423-H423</f>
        <v>0</v>
      </c>
      <c r="J423" s="21" t="n">
        <f aca="false">H423*1000/Parametres!$B$9</f>
        <v>3540.10513820587</v>
      </c>
    </row>
    <row r="424" customFormat="false" ht="15" hidden="false" customHeight="false" outlineLevel="0" collapsed="false">
      <c r="A424" s="0" t="n">
        <v>420</v>
      </c>
      <c r="B424" s="0" t="n">
        <v>1</v>
      </c>
      <c r="C424" s="19" t="n">
        <v>0.7147</v>
      </c>
      <c r="D424" s="19" t="n">
        <v>0.0079</v>
      </c>
      <c r="E424" s="20" t="n">
        <f aca="false">Parametres!$B$5*C424</f>
        <v>214.41</v>
      </c>
      <c r="F424" s="20" t="n">
        <f aca="false">Parametres!$B$6*D424</f>
        <v>1.58</v>
      </c>
      <c r="G424" s="20" t="n">
        <f aca="false">E424+F424</f>
        <v>215.99</v>
      </c>
      <c r="H424" s="20" t="n">
        <f aca="false">IF(G424&lt;Parametres!$B$8*Parametres!$B$7,0,MIN(G424,Parametres!$B$7))</f>
        <v>215.99</v>
      </c>
      <c r="I424" s="20" t="n">
        <f aca="false">G424-H424</f>
        <v>0</v>
      </c>
      <c r="J424" s="21" t="n">
        <f aca="false">H424*1000/Parametres!$B$9</f>
        <v>3662.70985246736</v>
      </c>
    </row>
    <row r="425" customFormat="false" ht="15" hidden="false" customHeight="false" outlineLevel="0" collapsed="false">
      <c r="A425" s="0" t="n">
        <v>421</v>
      </c>
      <c r="B425" s="0" t="n">
        <v>1</v>
      </c>
      <c r="C425" s="19" t="n">
        <v>0.7073</v>
      </c>
      <c r="D425" s="19" t="n">
        <v>0.0128</v>
      </c>
      <c r="E425" s="20" t="n">
        <f aca="false">Parametres!$B$5*C425</f>
        <v>212.19</v>
      </c>
      <c r="F425" s="20" t="n">
        <f aca="false">Parametres!$B$6*D425</f>
        <v>2.56</v>
      </c>
      <c r="G425" s="20" t="n">
        <f aca="false">E425+F425</f>
        <v>214.75</v>
      </c>
      <c r="H425" s="20" t="n">
        <f aca="false">IF(G425&lt;Parametres!$B$8*Parametres!$B$7,0,MIN(G425,Parametres!$B$7))</f>
        <v>214.75</v>
      </c>
      <c r="I425" s="20" t="n">
        <f aca="false">G425-H425</f>
        <v>0</v>
      </c>
      <c r="J425" s="21" t="n">
        <f aca="false">H425*1000/Parametres!$B$9</f>
        <v>3641.68221129388</v>
      </c>
    </row>
    <row r="426" customFormat="false" ht="15" hidden="false" customHeight="false" outlineLevel="0" collapsed="false">
      <c r="A426" s="0" t="n">
        <v>422</v>
      </c>
      <c r="B426" s="0" t="n">
        <v>1</v>
      </c>
      <c r="C426" s="19" t="n">
        <v>0.622</v>
      </c>
      <c r="D426" s="19" t="n">
        <v>0.0185</v>
      </c>
      <c r="E426" s="20" t="n">
        <f aca="false">Parametres!$B$5*C426</f>
        <v>186.6</v>
      </c>
      <c r="F426" s="20" t="n">
        <f aca="false">Parametres!$B$6*D426</f>
        <v>3.7</v>
      </c>
      <c r="G426" s="20" t="n">
        <f aca="false">E426+F426</f>
        <v>190.3</v>
      </c>
      <c r="H426" s="20" t="n">
        <f aca="false">IF(G426&lt;Parametres!$B$8*Parametres!$B$7,0,MIN(G426,Parametres!$B$7))</f>
        <v>190.3</v>
      </c>
      <c r="I426" s="20" t="n">
        <f aca="false">G426-H426</f>
        <v>0</v>
      </c>
      <c r="J426" s="21" t="n">
        <f aca="false">H426*1000/Parametres!$B$9</f>
        <v>3227.06460912328</v>
      </c>
    </row>
    <row r="427" customFormat="false" ht="15" hidden="false" customHeight="false" outlineLevel="0" collapsed="false">
      <c r="A427" s="0" t="n">
        <v>423</v>
      </c>
      <c r="B427" s="0" t="n">
        <v>1</v>
      </c>
      <c r="C427" s="19" t="n">
        <v>0.5477</v>
      </c>
      <c r="D427" s="19" t="n">
        <v>0.0122</v>
      </c>
      <c r="E427" s="20" t="n">
        <f aca="false">Parametres!$B$5*C427</f>
        <v>164.31</v>
      </c>
      <c r="F427" s="20" t="n">
        <f aca="false">Parametres!$B$6*D427</f>
        <v>2.44</v>
      </c>
      <c r="G427" s="20" t="n">
        <f aca="false">E427+F427</f>
        <v>166.75</v>
      </c>
      <c r="H427" s="20" t="n">
        <f aca="false">IF(G427&lt;Parametres!$B$8*Parametres!$B$7,0,MIN(G427,Parametres!$B$7))</f>
        <v>166.75</v>
      </c>
      <c r="I427" s="20" t="n">
        <f aca="false">G427-H427</f>
        <v>0</v>
      </c>
      <c r="J427" s="21" t="n">
        <f aca="false">H427*1000/Parametres!$B$9</f>
        <v>2827.7090045786</v>
      </c>
    </row>
    <row r="428" customFormat="false" ht="15" hidden="false" customHeight="false" outlineLevel="0" collapsed="false">
      <c r="A428" s="0" t="n">
        <v>424</v>
      </c>
      <c r="B428" s="0" t="n">
        <v>1</v>
      </c>
      <c r="C428" s="19" t="n">
        <v>0.3408</v>
      </c>
      <c r="D428" s="19" t="n">
        <v>0.0094</v>
      </c>
      <c r="E428" s="20" t="n">
        <f aca="false">Parametres!$B$5*C428</f>
        <v>102.24</v>
      </c>
      <c r="F428" s="20" t="n">
        <f aca="false">Parametres!$B$6*D428</f>
        <v>1.88</v>
      </c>
      <c r="G428" s="20" t="n">
        <f aca="false">E428+F428</f>
        <v>104.12</v>
      </c>
      <c r="H428" s="20" t="n">
        <f aca="false">IF(G428&lt;Parametres!$B$8*Parametres!$B$7,0,MIN(G428,Parametres!$B$7))</f>
        <v>104.12</v>
      </c>
      <c r="I428" s="20" t="n">
        <f aca="false">G428-H428</f>
        <v>0</v>
      </c>
      <c r="J428" s="21" t="n">
        <f aca="false">H428*1000/Parametres!$B$9</f>
        <v>1765.64354756656</v>
      </c>
    </row>
    <row r="429" customFormat="false" ht="15" hidden="false" customHeight="false" outlineLevel="0" collapsed="false">
      <c r="A429" s="0" t="n">
        <v>425</v>
      </c>
      <c r="B429" s="0" t="n">
        <v>1</v>
      </c>
      <c r="C429" s="19" t="n">
        <v>0.1424</v>
      </c>
      <c r="D429" s="19" t="n">
        <v>0.002</v>
      </c>
      <c r="E429" s="20" t="n">
        <f aca="false">Parametres!$B$5*C429</f>
        <v>42.72</v>
      </c>
      <c r="F429" s="20" t="n">
        <f aca="false">Parametres!$B$6*D429</f>
        <v>0.4</v>
      </c>
      <c r="G429" s="20" t="n">
        <f aca="false">E429+F429</f>
        <v>43.12</v>
      </c>
      <c r="H429" s="20" t="n">
        <f aca="false">IF(G429&lt;Parametres!$B$8*Parametres!$B$7,0,MIN(G429,Parametres!$B$7))</f>
        <v>43.12</v>
      </c>
      <c r="I429" s="20" t="n">
        <f aca="false">G429-H429</f>
        <v>0</v>
      </c>
      <c r="J429" s="21" t="n">
        <f aca="false">H429*1000/Parametres!$B$9</f>
        <v>731.219264032559</v>
      </c>
    </row>
    <row r="430" customFormat="false" ht="15" hidden="false" customHeight="false" outlineLevel="0" collapsed="false">
      <c r="A430" s="0" t="n">
        <v>426</v>
      </c>
      <c r="B430" s="0" t="n">
        <v>1</v>
      </c>
      <c r="C430" s="19" t="n">
        <v>0</v>
      </c>
      <c r="D430" s="19" t="n">
        <v>0.0005</v>
      </c>
      <c r="E430" s="20" t="n">
        <f aca="false">Parametres!$B$5*C430</f>
        <v>0</v>
      </c>
      <c r="F430" s="20" t="n">
        <f aca="false">Parametres!$B$6*D430</f>
        <v>0.1</v>
      </c>
      <c r="G430" s="20" t="n">
        <f aca="false">E430+F430</f>
        <v>0.1</v>
      </c>
      <c r="H430" s="20" t="n">
        <f aca="false">IF(G430&lt;Parametres!$B$8*Parametres!$B$7,0,MIN(G430,Parametres!$B$7))</f>
        <v>0</v>
      </c>
      <c r="I430" s="20" t="n">
        <f aca="false">G430-H430</f>
        <v>0.1</v>
      </c>
      <c r="J430" s="21" t="n">
        <f aca="false">H430*1000/Parametres!$B$9</f>
        <v>0</v>
      </c>
    </row>
    <row r="431" customFormat="false" ht="15" hidden="false" customHeight="false" outlineLevel="0" collapsed="false">
      <c r="A431" s="0" t="n">
        <v>427</v>
      </c>
      <c r="B431" s="0" t="n">
        <v>1</v>
      </c>
      <c r="C431" s="19" t="n">
        <v>0</v>
      </c>
      <c r="D431" s="19" t="n">
        <v>0.0005</v>
      </c>
      <c r="E431" s="20" t="n">
        <f aca="false">Parametres!$B$5*C431</f>
        <v>0</v>
      </c>
      <c r="F431" s="20" t="n">
        <f aca="false">Parametres!$B$6*D431</f>
        <v>0.1</v>
      </c>
      <c r="G431" s="20" t="n">
        <f aca="false">E431+F431</f>
        <v>0.1</v>
      </c>
      <c r="H431" s="20" t="n">
        <f aca="false">IF(G431&lt;Parametres!$B$8*Parametres!$B$7,0,MIN(G431,Parametres!$B$7))</f>
        <v>0</v>
      </c>
      <c r="I431" s="20" t="n">
        <f aca="false">G431-H431</f>
        <v>0.1</v>
      </c>
      <c r="J431" s="21" t="n">
        <f aca="false">H431*1000/Parametres!$B$9</f>
        <v>0</v>
      </c>
    </row>
    <row r="432" customFormat="false" ht="15" hidden="false" customHeight="false" outlineLevel="0" collapsed="false">
      <c r="A432" s="0" t="n">
        <v>428</v>
      </c>
      <c r="B432" s="0" t="n">
        <v>1</v>
      </c>
      <c r="C432" s="19" t="n">
        <v>0</v>
      </c>
      <c r="D432" s="19" t="n">
        <v>0.001</v>
      </c>
      <c r="E432" s="20" t="n">
        <f aca="false">Parametres!$B$5*C432</f>
        <v>0</v>
      </c>
      <c r="F432" s="20" t="n">
        <f aca="false">Parametres!$B$6*D432</f>
        <v>0.2</v>
      </c>
      <c r="G432" s="20" t="n">
        <f aca="false">E432+F432</f>
        <v>0.2</v>
      </c>
      <c r="H432" s="20" t="n">
        <f aca="false">IF(G432&lt;Parametres!$B$8*Parametres!$B$7,0,MIN(G432,Parametres!$B$7))</f>
        <v>0</v>
      </c>
      <c r="I432" s="20" t="n">
        <f aca="false">G432-H432</f>
        <v>0.2</v>
      </c>
      <c r="J432" s="21" t="n">
        <f aca="false">H432*1000/Parametres!$B$9</f>
        <v>0</v>
      </c>
    </row>
    <row r="433" customFormat="false" ht="15" hidden="false" customHeight="false" outlineLevel="0" collapsed="false">
      <c r="A433" s="0" t="n">
        <v>429</v>
      </c>
      <c r="B433" s="0" t="n">
        <v>1</v>
      </c>
      <c r="C433" s="19" t="n">
        <v>0</v>
      </c>
      <c r="D433" s="19" t="n">
        <v>0.0001</v>
      </c>
      <c r="E433" s="20" t="n">
        <f aca="false">Parametres!$B$5*C433</f>
        <v>0</v>
      </c>
      <c r="F433" s="20" t="n">
        <f aca="false">Parametres!$B$6*D433</f>
        <v>0.02</v>
      </c>
      <c r="G433" s="20" t="n">
        <f aca="false">E433+F433</f>
        <v>0.02</v>
      </c>
      <c r="H433" s="20" t="n">
        <f aca="false">IF(G433&lt;Parametres!$B$8*Parametres!$B$7,0,MIN(G433,Parametres!$B$7))</f>
        <v>0</v>
      </c>
      <c r="I433" s="20" t="n">
        <f aca="false">G433-H433</f>
        <v>0.02</v>
      </c>
      <c r="J433" s="21" t="n">
        <f aca="false">H433*1000/Parametres!$B$9</f>
        <v>0</v>
      </c>
    </row>
    <row r="434" customFormat="false" ht="15" hidden="false" customHeight="false" outlineLevel="0" collapsed="false">
      <c r="A434" s="0" t="n">
        <v>430</v>
      </c>
      <c r="B434" s="0" t="n">
        <v>1</v>
      </c>
      <c r="C434" s="19" t="n">
        <v>0</v>
      </c>
      <c r="D434" s="19" t="n">
        <v>0.0112</v>
      </c>
      <c r="E434" s="20" t="n">
        <f aca="false">Parametres!$B$5*C434</f>
        <v>0</v>
      </c>
      <c r="F434" s="20" t="n">
        <f aca="false">Parametres!$B$6*D434</f>
        <v>2.24</v>
      </c>
      <c r="G434" s="20" t="n">
        <f aca="false">E434+F434</f>
        <v>2.24</v>
      </c>
      <c r="H434" s="20" t="n">
        <f aca="false">IF(G434&lt;Parametres!$B$8*Parametres!$B$7,0,MIN(G434,Parametres!$B$7))</f>
        <v>0</v>
      </c>
      <c r="I434" s="20" t="n">
        <f aca="false">G434-H434</f>
        <v>2.24</v>
      </c>
      <c r="J434" s="21" t="n">
        <f aca="false">H434*1000/Parametres!$B$9</f>
        <v>0</v>
      </c>
    </row>
    <row r="435" customFormat="false" ht="15" hidden="false" customHeight="false" outlineLevel="0" collapsed="false">
      <c r="A435" s="0" t="n">
        <v>431</v>
      </c>
      <c r="B435" s="0" t="n">
        <v>1</v>
      </c>
      <c r="C435" s="19" t="n">
        <v>0</v>
      </c>
      <c r="D435" s="19" t="n">
        <v>0.0053</v>
      </c>
      <c r="E435" s="20" t="n">
        <f aca="false">Parametres!$B$5*C435</f>
        <v>0</v>
      </c>
      <c r="F435" s="20" t="n">
        <f aca="false">Parametres!$B$6*D435</f>
        <v>1.06</v>
      </c>
      <c r="G435" s="20" t="n">
        <f aca="false">E435+F435</f>
        <v>1.06</v>
      </c>
      <c r="H435" s="20" t="n">
        <f aca="false">IF(G435&lt;Parametres!$B$8*Parametres!$B$7,0,MIN(G435,Parametres!$B$7))</f>
        <v>0</v>
      </c>
      <c r="I435" s="20" t="n">
        <f aca="false">G435-H435</f>
        <v>1.06</v>
      </c>
      <c r="J435" s="21" t="n">
        <f aca="false">H435*1000/Parametres!$B$9</f>
        <v>0</v>
      </c>
    </row>
    <row r="436" customFormat="false" ht="15" hidden="false" customHeight="false" outlineLevel="0" collapsed="false">
      <c r="A436" s="0" t="n">
        <v>432</v>
      </c>
      <c r="B436" s="0" t="n">
        <v>1</v>
      </c>
      <c r="C436" s="19" t="n">
        <v>0</v>
      </c>
      <c r="D436" s="19" t="n">
        <v>0.005</v>
      </c>
      <c r="E436" s="20" t="n">
        <f aca="false">Parametres!$B$5*C436</f>
        <v>0</v>
      </c>
      <c r="F436" s="20" t="n">
        <f aca="false">Parametres!$B$6*D436</f>
        <v>1</v>
      </c>
      <c r="G436" s="20" t="n">
        <f aca="false">E436+F436</f>
        <v>1</v>
      </c>
      <c r="H436" s="20" t="n">
        <f aca="false">IF(G436&lt;Parametres!$B$8*Parametres!$B$7,0,MIN(G436,Parametres!$B$7))</f>
        <v>0</v>
      </c>
      <c r="I436" s="20" t="n">
        <f aca="false">G436-H436</f>
        <v>1</v>
      </c>
      <c r="J436" s="21" t="n">
        <f aca="false">H436*1000/Parametres!$B$9</f>
        <v>0</v>
      </c>
    </row>
    <row r="437" customFormat="false" ht="15" hidden="false" customHeight="false" outlineLevel="0" collapsed="false">
      <c r="A437" s="0" t="n">
        <v>433</v>
      </c>
      <c r="B437" s="0" t="n">
        <v>1</v>
      </c>
      <c r="C437" s="19" t="n">
        <v>0</v>
      </c>
      <c r="D437" s="19" t="n">
        <v>0.0032</v>
      </c>
      <c r="E437" s="20" t="n">
        <f aca="false">Parametres!$B$5*C437</f>
        <v>0</v>
      </c>
      <c r="F437" s="20" t="n">
        <f aca="false">Parametres!$B$6*D437</f>
        <v>0.64</v>
      </c>
      <c r="G437" s="20" t="n">
        <f aca="false">E437+F437</f>
        <v>0.64</v>
      </c>
      <c r="H437" s="20" t="n">
        <f aca="false">IF(G437&lt;Parametres!$B$8*Parametres!$B$7,0,MIN(G437,Parametres!$B$7))</f>
        <v>0</v>
      </c>
      <c r="I437" s="20" t="n">
        <f aca="false">G437-H437</f>
        <v>0.64</v>
      </c>
      <c r="J437" s="21" t="n">
        <f aca="false">H437*1000/Parametres!$B$9</f>
        <v>0</v>
      </c>
    </row>
    <row r="438" customFormat="false" ht="15" hidden="false" customHeight="false" outlineLevel="0" collapsed="false">
      <c r="A438" s="0" t="n">
        <v>434</v>
      </c>
      <c r="B438" s="0" t="n">
        <v>1</v>
      </c>
      <c r="C438" s="19" t="n">
        <v>0</v>
      </c>
      <c r="D438" s="19" t="n">
        <v>0.0015</v>
      </c>
      <c r="E438" s="20" t="n">
        <f aca="false">Parametres!$B$5*C438</f>
        <v>0</v>
      </c>
      <c r="F438" s="20" t="n">
        <f aca="false">Parametres!$B$6*D438</f>
        <v>0.3</v>
      </c>
      <c r="G438" s="20" t="n">
        <f aca="false">E438+F438</f>
        <v>0.3</v>
      </c>
      <c r="H438" s="20" t="n">
        <f aca="false">IF(G438&lt;Parametres!$B$8*Parametres!$B$7,0,MIN(G438,Parametres!$B$7))</f>
        <v>0</v>
      </c>
      <c r="I438" s="20" t="n">
        <f aca="false">G438-H438</f>
        <v>0.3</v>
      </c>
      <c r="J438" s="21" t="n">
        <f aca="false">H438*1000/Parametres!$B$9</f>
        <v>0</v>
      </c>
    </row>
    <row r="439" customFormat="false" ht="15" hidden="false" customHeight="false" outlineLevel="0" collapsed="false">
      <c r="A439" s="0" t="n">
        <v>435</v>
      </c>
      <c r="B439" s="0" t="n">
        <v>1</v>
      </c>
      <c r="C439" s="19" t="n">
        <v>0</v>
      </c>
      <c r="D439" s="19" t="n">
        <v>0.0062</v>
      </c>
      <c r="E439" s="20" t="n">
        <f aca="false">Parametres!$B$5*C439</f>
        <v>0</v>
      </c>
      <c r="F439" s="20" t="n">
        <f aca="false">Parametres!$B$6*D439</f>
        <v>1.24</v>
      </c>
      <c r="G439" s="20" t="n">
        <f aca="false">E439+F439</f>
        <v>1.24</v>
      </c>
      <c r="H439" s="20" t="n">
        <f aca="false">IF(G439&lt;Parametres!$B$8*Parametres!$B$7,0,MIN(G439,Parametres!$B$7))</f>
        <v>0</v>
      </c>
      <c r="I439" s="20" t="n">
        <f aca="false">G439-H439</f>
        <v>1.24</v>
      </c>
      <c r="J439" s="21" t="n">
        <f aca="false">H439*1000/Parametres!$B$9</f>
        <v>0</v>
      </c>
    </row>
    <row r="440" customFormat="false" ht="15" hidden="false" customHeight="false" outlineLevel="0" collapsed="false">
      <c r="A440" s="0" t="n">
        <v>436</v>
      </c>
      <c r="B440" s="0" t="n">
        <v>1</v>
      </c>
      <c r="C440" s="19" t="n">
        <v>0</v>
      </c>
      <c r="D440" s="19" t="n">
        <v>0.0036</v>
      </c>
      <c r="E440" s="20" t="n">
        <f aca="false">Parametres!$B$5*C440</f>
        <v>0</v>
      </c>
      <c r="F440" s="20" t="n">
        <f aca="false">Parametres!$B$6*D440</f>
        <v>0.72</v>
      </c>
      <c r="G440" s="20" t="n">
        <f aca="false">E440+F440</f>
        <v>0.72</v>
      </c>
      <c r="H440" s="20" t="n">
        <f aca="false">IF(G440&lt;Parametres!$B$8*Parametres!$B$7,0,MIN(G440,Parametres!$B$7))</f>
        <v>0</v>
      </c>
      <c r="I440" s="20" t="n">
        <f aca="false">G440-H440</f>
        <v>0.72</v>
      </c>
      <c r="J440" s="21" t="n">
        <f aca="false">H440*1000/Parametres!$B$9</f>
        <v>0</v>
      </c>
    </row>
    <row r="441" customFormat="false" ht="15" hidden="false" customHeight="false" outlineLevel="0" collapsed="false">
      <c r="A441" s="0" t="n">
        <v>437</v>
      </c>
      <c r="B441" s="0" t="n">
        <v>1</v>
      </c>
      <c r="C441" s="19" t="n">
        <v>0</v>
      </c>
      <c r="D441" s="19" t="n">
        <v>0.0125</v>
      </c>
      <c r="E441" s="20" t="n">
        <f aca="false">Parametres!$B$5*C441</f>
        <v>0</v>
      </c>
      <c r="F441" s="20" t="n">
        <f aca="false">Parametres!$B$6*D441</f>
        <v>2.5</v>
      </c>
      <c r="G441" s="20" t="n">
        <f aca="false">E441+F441</f>
        <v>2.5</v>
      </c>
      <c r="H441" s="20" t="n">
        <f aca="false">IF(G441&lt;Parametres!$B$8*Parametres!$B$7,0,MIN(G441,Parametres!$B$7))</f>
        <v>0</v>
      </c>
      <c r="I441" s="20" t="n">
        <f aca="false">G441-H441</f>
        <v>2.5</v>
      </c>
      <c r="J441" s="21" t="n">
        <f aca="false">H441*1000/Parametres!$B$9</f>
        <v>0</v>
      </c>
    </row>
    <row r="442" customFormat="false" ht="15" hidden="false" customHeight="false" outlineLevel="0" collapsed="false">
      <c r="A442" s="0" t="n">
        <v>438</v>
      </c>
      <c r="B442" s="0" t="n">
        <v>1</v>
      </c>
      <c r="C442" s="19" t="n">
        <v>0</v>
      </c>
      <c r="D442" s="19" t="n">
        <v>0.0293</v>
      </c>
      <c r="E442" s="20" t="n">
        <f aca="false">Parametres!$B$5*C442</f>
        <v>0</v>
      </c>
      <c r="F442" s="20" t="n">
        <f aca="false">Parametres!$B$6*D442</f>
        <v>5.86</v>
      </c>
      <c r="G442" s="20" t="n">
        <f aca="false">E442+F442</f>
        <v>5.86</v>
      </c>
      <c r="H442" s="20" t="n">
        <f aca="false">IF(G442&lt;Parametres!$B$8*Parametres!$B$7,0,MIN(G442,Parametres!$B$7))</f>
        <v>0</v>
      </c>
      <c r="I442" s="20" t="n">
        <f aca="false">G442-H442</f>
        <v>5.86</v>
      </c>
      <c r="J442" s="21" t="n">
        <f aca="false">H442*1000/Parametres!$B$9</f>
        <v>0</v>
      </c>
    </row>
    <row r="443" customFormat="false" ht="15" hidden="false" customHeight="false" outlineLevel="0" collapsed="false">
      <c r="A443" s="0" t="n">
        <v>439</v>
      </c>
      <c r="B443" s="0" t="n">
        <v>1</v>
      </c>
      <c r="C443" s="19" t="n">
        <v>0</v>
      </c>
      <c r="D443" s="19" t="n">
        <v>0.0161</v>
      </c>
      <c r="E443" s="20" t="n">
        <f aca="false">Parametres!$B$5*C443</f>
        <v>0</v>
      </c>
      <c r="F443" s="20" t="n">
        <f aca="false">Parametres!$B$6*D443</f>
        <v>3.22</v>
      </c>
      <c r="G443" s="20" t="n">
        <f aca="false">E443+F443</f>
        <v>3.22</v>
      </c>
      <c r="H443" s="20" t="n">
        <f aca="false">IF(G443&lt;Parametres!$B$8*Parametres!$B$7,0,MIN(G443,Parametres!$B$7))</f>
        <v>0</v>
      </c>
      <c r="I443" s="20" t="n">
        <f aca="false">G443-H443</f>
        <v>3.22</v>
      </c>
      <c r="J443" s="21" t="n">
        <f aca="false">H443*1000/Parametres!$B$9</f>
        <v>0</v>
      </c>
    </row>
    <row r="444" customFormat="false" ht="15" hidden="false" customHeight="false" outlineLevel="0" collapsed="false">
      <c r="A444" s="0" t="n">
        <v>440</v>
      </c>
      <c r="B444" s="0" t="n">
        <v>1</v>
      </c>
      <c r="C444" s="19" t="n">
        <v>0.1309</v>
      </c>
      <c r="D444" s="19" t="n">
        <v>0.0373</v>
      </c>
      <c r="E444" s="20" t="n">
        <f aca="false">Parametres!$B$5*C444</f>
        <v>39.27</v>
      </c>
      <c r="F444" s="20" t="n">
        <f aca="false">Parametres!$B$6*D444</f>
        <v>7.46</v>
      </c>
      <c r="G444" s="20" t="n">
        <f aca="false">E444+F444</f>
        <v>46.73</v>
      </c>
      <c r="H444" s="20" t="n">
        <f aca="false">IF(G444&lt;Parametres!$B$8*Parametres!$B$7,0,MIN(G444,Parametres!$B$7))</f>
        <v>46.73</v>
      </c>
      <c r="I444" s="20" t="n">
        <f aca="false">G444-H444</f>
        <v>0</v>
      </c>
      <c r="J444" s="21" t="n">
        <f aca="false">H444*1000/Parametres!$B$9</f>
        <v>792.436832287604</v>
      </c>
    </row>
    <row r="445" customFormat="false" ht="15" hidden="false" customHeight="false" outlineLevel="0" collapsed="false">
      <c r="A445" s="0" t="n">
        <v>441</v>
      </c>
      <c r="B445" s="0" t="n">
        <v>1</v>
      </c>
      <c r="C445" s="19" t="n">
        <v>0.325</v>
      </c>
      <c r="D445" s="19" t="n">
        <v>0.0298</v>
      </c>
      <c r="E445" s="20" t="n">
        <f aca="false">Parametres!$B$5*C445</f>
        <v>97.5</v>
      </c>
      <c r="F445" s="20" t="n">
        <f aca="false">Parametres!$B$6*D445</f>
        <v>5.96</v>
      </c>
      <c r="G445" s="20" t="n">
        <f aca="false">E445+F445</f>
        <v>103.46</v>
      </c>
      <c r="H445" s="20" t="n">
        <f aca="false">IF(G445&lt;Parametres!$B$8*Parametres!$B$7,0,MIN(G445,Parametres!$B$7))</f>
        <v>103.46</v>
      </c>
      <c r="I445" s="20" t="n">
        <f aca="false">G445-H445</f>
        <v>0</v>
      </c>
      <c r="J445" s="21" t="n">
        <f aca="false">H445*1000/Parametres!$B$9</f>
        <v>1754.45141597422</v>
      </c>
    </row>
    <row r="446" customFormat="false" ht="15" hidden="false" customHeight="false" outlineLevel="0" collapsed="false">
      <c r="A446" s="0" t="n">
        <v>442</v>
      </c>
      <c r="B446" s="0" t="n">
        <v>1</v>
      </c>
      <c r="C446" s="19" t="n">
        <v>0.4945</v>
      </c>
      <c r="D446" s="19" t="n">
        <v>0.1471</v>
      </c>
      <c r="E446" s="20" t="n">
        <f aca="false">Parametres!$B$5*C446</f>
        <v>148.35</v>
      </c>
      <c r="F446" s="20" t="n">
        <f aca="false">Parametres!$B$6*D446</f>
        <v>29.42</v>
      </c>
      <c r="G446" s="20" t="n">
        <f aca="false">E446+F446</f>
        <v>177.77</v>
      </c>
      <c r="H446" s="20" t="n">
        <f aca="false">IF(G446&lt;Parametres!$B$8*Parametres!$B$7,0,MIN(G446,Parametres!$B$7))</f>
        <v>177.77</v>
      </c>
      <c r="I446" s="20" t="n">
        <f aca="false">G446-H446</f>
        <v>0</v>
      </c>
      <c r="J446" s="21" t="n">
        <f aca="false">H446*1000/Parametres!$B$9</f>
        <v>3014.58368662032</v>
      </c>
    </row>
    <row r="447" customFormat="false" ht="15" hidden="false" customHeight="false" outlineLevel="0" collapsed="false">
      <c r="A447" s="0" t="n">
        <v>443</v>
      </c>
      <c r="B447" s="0" t="n">
        <v>1</v>
      </c>
      <c r="C447" s="19" t="n">
        <v>0.5933</v>
      </c>
      <c r="D447" s="19" t="n">
        <v>0.1448</v>
      </c>
      <c r="E447" s="20" t="n">
        <f aca="false">Parametres!$B$5*C447</f>
        <v>177.99</v>
      </c>
      <c r="F447" s="20" t="n">
        <f aca="false">Parametres!$B$6*D447</f>
        <v>28.96</v>
      </c>
      <c r="G447" s="20" t="n">
        <f aca="false">E447+F447</f>
        <v>206.95</v>
      </c>
      <c r="H447" s="20" t="n">
        <f aca="false">IF(G447&lt;Parametres!$B$8*Parametres!$B$7,0,MIN(G447,Parametres!$B$7))</f>
        <v>206.95</v>
      </c>
      <c r="I447" s="20" t="n">
        <f aca="false">G447-H447</f>
        <v>0</v>
      </c>
      <c r="J447" s="21" t="n">
        <f aca="false">H447*1000/Parametres!$B$9</f>
        <v>3509.41156520265</v>
      </c>
    </row>
    <row r="448" customFormat="false" ht="15" hidden="false" customHeight="false" outlineLevel="0" collapsed="false">
      <c r="A448" s="0" t="n">
        <v>444</v>
      </c>
      <c r="B448" s="0" t="n">
        <v>1</v>
      </c>
      <c r="C448" s="19" t="n">
        <v>0.7012</v>
      </c>
      <c r="D448" s="19" t="n">
        <v>0.1097</v>
      </c>
      <c r="E448" s="20" t="n">
        <f aca="false">Parametres!$B$5*C448</f>
        <v>210.36</v>
      </c>
      <c r="F448" s="20" t="n">
        <f aca="false">Parametres!$B$6*D448</f>
        <v>21.94</v>
      </c>
      <c r="G448" s="20" t="n">
        <f aca="false">E448+F448</f>
        <v>232.3</v>
      </c>
      <c r="H448" s="20" t="n">
        <f aca="false">IF(G448&lt;Parametres!$B$8*Parametres!$B$7,0,MIN(G448,Parametres!$B$7))</f>
        <v>232.3</v>
      </c>
      <c r="I448" s="20" t="n">
        <f aca="false">G448-H448</f>
        <v>0</v>
      </c>
      <c r="J448" s="21" t="n">
        <f aca="false">H448*1000/Parametres!$B$9</f>
        <v>3939.29116499915</v>
      </c>
    </row>
    <row r="449" customFormat="false" ht="15" hidden="false" customHeight="false" outlineLevel="0" collapsed="false">
      <c r="A449" s="0" t="n">
        <v>445</v>
      </c>
      <c r="B449" s="0" t="n">
        <v>1</v>
      </c>
      <c r="C449" s="19" t="n">
        <v>0.7339</v>
      </c>
      <c r="D449" s="19" t="n">
        <v>0.0456</v>
      </c>
      <c r="E449" s="20" t="n">
        <f aca="false">Parametres!$B$5*C449</f>
        <v>220.17</v>
      </c>
      <c r="F449" s="20" t="n">
        <f aca="false">Parametres!$B$6*D449</f>
        <v>9.12</v>
      </c>
      <c r="G449" s="20" t="n">
        <f aca="false">E449+F449</f>
        <v>229.29</v>
      </c>
      <c r="H449" s="20" t="n">
        <f aca="false">IF(G449&lt;Parametres!$B$8*Parametres!$B$7,0,MIN(G449,Parametres!$B$7))</f>
        <v>229.29</v>
      </c>
      <c r="I449" s="20" t="n">
        <f aca="false">G449-H449</f>
        <v>0</v>
      </c>
      <c r="J449" s="21" t="n">
        <f aca="false">H449*1000/Parametres!$B$9</f>
        <v>3888.24826182805</v>
      </c>
    </row>
    <row r="450" customFormat="false" ht="15" hidden="false" customHeight="false" outlineLevel="0" collapsed="false">
      <c r="A450" s="0" t="n">
        <v>446</v>
      </c>
      <c r="B450" s="0" t="n">
        <v>1</v>
      </c>
      <c r="C450" s="19" t="n">
        <v>0.5878</v>
      </c>
      <c r="D450" s="19" t="n">
        <v>0.0224</v>
      </c>
      <c r="E450" s="20" t="n">
        <f aca="false">Parametres!$B$5*C450</f>
        <v>176.34</v>
      </c>
      <c r="F450" s="20" t="n">
        <f aca="false">Parametres!$B$6*D450</f>
        <v>4.48</v>
      </c>
      <c r="G450" s="20" t="n">
        <f aca="false">E450+F450</f>
        <v>180.82</v>
      </c>
      <c r="H450" s="20" t="n">
        <f aca="false">IF(G450&lt;Parametres!$B$8*Parametres!$B$7,0,MIN(G450,Parametres!$B$7))</f>
        <v>180.82</v>
      </c>
      <c r="I450" s="20" t="n">
        <f aca="false">G450-H450</f>
        <v>0</v>
      </c>
      <c r="J450" s="21" t="n">
        <f aca="false">H450*1000/Parametres!$B$9</f>
        <v>3066.30490079702</v>
      </c>
    </row>
    <row r="451" customFormat="false" ht="15" hidden="false" customHeight="false" outlineLevel="0" collapsed="false">
      <c r="A451" s="0" t="n">
        <v>447</v>
      </c>
      <c r="B451" s="0" t="n">
        <v>1</v>
      </c>
      <c r="C451" s="19" t="n">
        <v>0.4919</v>
      </c>
      <c r="D451" s="19" t="n">
        <v>0.0167</v>
      </c>
      <c r="E451" s="20" t="n">
        <f aca="false">Parametres!$B$5*C451</f>
        <v>147.57</v>
      </c>
      <c r="F451" s="20" t="n">
        <f aca="false">Parametres!$B$6*D451</f>
        <v>3.34</v>
      </c>
      <c r="G451" s="20" t="n">
        <f aca="false">E451+F451</f>
        <v>150.91</v>
      </c>
      <c r="H451" s="20" t="n">
        <f aca="false">IF(G451&lt;Parametres!$B$8*Parametres!$B$7,0,MIN(G451,Parametres!$B$7))</f>
        <v>150.91</v>
      </c>
      <c r="I451" s="20" t="n">
        <f aca="false">G451-H451</f>
        <v>0</v>
      </c>
      <c r="J451" s="21" t="n">
        <f aca="false">H451*1000/Parametres!$B$9</f>
        <v>2559.09784636256</v>
      </c>
    </row>
    <row r="452" customFormat="false" ht="15" hidden="false" customHeight="false" outlineLevel="0" collapsed="false">
      <c r="A452" s="0" t="n">
        <v>448</v>
      </c>
      <c r="B452" s="0" t="n">
        <v>1</v>
      </c>
      <c r="C452" s="19" t="n">
        <v>0.3143</v>
      </c>
      <c r="D452" s="19" t="n">
        <v>0.0078</v>
      </c>
      <c r="E452" s="20" t="n">
        <f aca="false">Parametres!$B$5*C452</f>
        <v>94.29</v>
      </c>
      <c r="F452" s="20" t="n">
        <f aca="false">Parametres!$B$6*D452</f>
        <v>1.56</v>
      </c>
      <c r="G452" s="20" t="n">
        <f aca="false">E452+F452</f>
        <v>95.85</v>
      </c>
      <c r="H452" s="20" t="n">
        <f aca="false">IF(G452&lt;Parametres!$B$8*Parametres!$B$7,0,MIN(G452,Parametres!$B$7))</f>
        <v>95.85</v>
      </c>
      <c r="I452" s="20" t="n">
        <f aca="false">G452-H452</f>
        <v>0</v>
      </c>
      <c r="J452" s="21" t="n">
        <f aca="false">H452*1000/Parametres!$B$9</f>
        <v>1625.40274715957</v>
      </c>
    </row>
    <row r="453" customFormat="false" ht="15" hidden="false" customHeight="false" outlineLevel="0" collapsed="false">
      <c r="A453" s="0" t="n">
        <v>449</v>
      </c>
      <c r="B453" s="0" t="n">
        <v>1</v>
      </c>
      <c r="C453" s="19" t="n">
        <v>0.128</v>
      </c>
      <c r="D453" s="19" t="n">
        <v>0.002</v>
      </c>
      <c r="E453" s="20" t="n">
        <f aca="false">Parametres!$B$5*C453</f>
        <v>38.4</v>
      </c>
      <c r="F453" s="20" t="n">
        <f aca="false">Parametres!$B$6*D453</f>
        <v>0.4</v>
      </c>
      <c r="G453" s="20" t="n">
        <f aca="false">E453+F453</f>
        <v>38.8</v>
      </c>
      <c r="H453" s="20" t="n">
        <f aca="false">IF(G453&lt;Parametres!$B$8*Parametres!$B$7,0,MIN(G453,Parametres!$B$7))</f>
        <v>38.8</v>
      </c>
      <c r="I453" s="20" t="n">
        <f aca="false">G453-H453</f>
        <v>0</v>
      </c>
      <c r="J453" s="21" t="n">
        <f aca="false">H453*1000/Parametres!$B$9</f>
        <v>657.961675428184</v>
      </c>
    </row>
    <row r="454" customFormat="false" ht="15" hidden="false" customHeight="false" outlineLevel="0" collapsed="false">
      <c r="A454" s="0" t="n">
        <v>450</v>
      </c>
      <c r="B454" s="0" t="n">
        <v>1</v>
      </c>
      <c r="C454" s="19" t="n">
        <v>0</v>
      </c>
      <c r="D454" s="19" t="n">
        <v>0.0007</v>
      </c>
      <c r="E454" s="20" t="n">
        <f aca="false">Parametres!$B$5*C454</f>
        <v>0</v>
      </c>
      <c r="F454" s="20" t="n">
        <f aca="false">Parametres!$B$6*D454</f>
        <v>0.14</v>
      </c>
      <c r="G454" s="20" t="n">
        <f aca="false">E454+F454</f>
        <v>0.14</v>
      </c>
      <c r="H454" s="20" t="n">
        <f aca="false">IF(G454&lt;Parametres!$B$8*Parametres!$B$7,0,MIN(G454,Parametres!$B$7))</f>
        <v>0</v>
      </c>
      <c r="I454" s="20" t="n">
        <f aca="false">G454-H454</f>
        <v>0.14</v>
      </c>
      <c r="J454" s="21" t="n">
        <f aca="false">H454*1000/Parametres!$B$9</f>
        <v>0</v>
      </c>
    </row>
    <row r="455" customFormat="false" ht="15" hidden="false" customHeight="false" outlineLevel="0" collapsed="false">
      <c r="A455" s="0" t="n">
        <v>451</v>
      </c>
      <c r="B455" s="0" t="n">
        <v>1</v>
      </c>
      <c r="C455" s="19" t="n">
        <v>0</v>
      </c>
      <c r="D455" s="19" t="n">
        <v>0.0005</v>
      </c>
      <c r="E455" s="20" t="n">
        <f aca="false">Parametres!$B$5*C455</f>
        <v>0</v>
      </c>
      <c r="F455" s="20" t="n">
        <f aca="false">Parametres!$B$6*D455</f>
        <v>0.1</v>
      </c>
      <c r="G455" s="20" t="n">
        <f aca="false">E455+F455</f>
        <v>0.1</v>
      </c>
      <c r="H455" s="20" t="n">
        <f aca="false">IF(G455&lt;Parametres!$B$8*Parametres!$B$7,0,MIN(G455,Parametres!$B$7))</f>
        <v>0</v>
      </c>
      <c r="I455" s="20" t="n">
        <f aca="false">G455-H455</f>
        <v>0.1</v>
      </c>
      <c r="J455" s="21" t="n">
        <f aca="false">H455*1000/Parametres!$B$9</f>
        <v>0</v>
      </c>
    </row>
    <row r="456" customFormat="false" ht="15" hidden="false" customHeight="false" outlineLevel="0" collapsed="false">
      <c r="A456" s="0" t="n">
        <v>452</v>
      </c>
      <c r="B456" s="0" t="n">
        <v>1</v>
      </c>
      <c r="C456" s="19" t="n">
        <v>0</v>
      </c>
      <c r="D456" s="19" t="n">
        <v>0.0044</v>
      </c>
      <c r="E456" s="20" t="n">
        <f aca="false">Parametres!$B$5*C456</f>
        <v>0</v>
      </c>
      <c r="F456" s="20" t="n">
        <f aca="false">Parametres!$B$6*D456</f>
        <v>0.88</v>
      </c>
      <c r="G456" s="20" t="n">
        <f aca="false">E456+F456</f>
        <v>0.88</v>
      </c>
      <c r="H456" s="20" t="n">
        <f aca="false">IF(G456&lt;Parametres!$B$8*Parametres!$B$7,0,MIN(G456,Parametres!$B$7))</f>
        <v>0</v>
      </c>
      <c r="I456" s="20" t="n">
        <f aca="false">G456-H456</f>
        <v>0.88</v>
      </c>
      <c r="J456" s="21" t="n">
        <f aca="false">H456*1000/Parametres!$B$9</f>
        <v>0</v>
      </c>
    </row>
    <row r="457" customFormat="false" ht="15" hidden="false" customHeight="false" outlineLevel="0" collapsed="false">
      <c r="A457" s="0" t="n">
        <v>453</v>
      </c>
      <c r="B457" s="0" t="n">
        <v>1</v>
      </c>
      <c r="C457" s="19" t="n">
        <v>0</v>
      </c>
      <c r="D457" s="19" t="n">
        <v>0.0002</v>
      </c>
      <c r="E457" s="20" t="n">
        <f aca="false">Parametres!$B$5*C457</f>
        <v>0</v>
      </c>
      <c r="F457" s="20" t="n">
        <f aca="false">Parametres!$B$6*D457</f>
        <v>0.04</v>
      </c>
      <c r="G457" s="20" t="n">
        <f aca="false">E457+F457</f>
        <v>0.04</v>
      </c>
      <c r="H457" s="20" t="n">
        <f aca="false">IF(G457&lt;Parametres!$B$8*Parametres!$B$7,0,MIN(G457,Parametres!$B$7))</f>
        <v>0</v>
      </c>
      <c r="I457" s="20" t="n">
        <f aca="false">G457-H457</f>
        <v>0.04</v>
      </c>
      <c r="J457" s="21" t="n">
        <f aca="false">H457*1000/Parametres!$B$9</f>
        <v>0</v>
      </c>
    </row>
    <row r="458" customFormat="false" ht="15" hidden="false" customHeight="false" outlineLevel="0" collapsed="false">
      <c r="A458" s="0" t="n">
        <v>454</v>
      </c>
      <c r="B458" s="0" t="n">
        <v>1</v>
      </c>
      <c r="C458" s="19" t="n">
        <v>0</v>
      </c>
      <c r="D458" s="19" t="n">
        <v>0</v>
      </c>
      <c r="E458" s="20" t="n">
        <f aca="false">Parametres!$B$5*C458</f>
        <v>0</v>
      </c>
      <c r="F458" s="20" t="n">
        <f aca="false">Parametres!$B$6*D458</f>
        <v>0</v>
      </c>
      <c r="G458" s="20" t="n">
        <f aca="false">E458+F458</f>
        <v>0</v>
      </c>
      <c r="H458" s="20" t="n">
        <f aca="false">IF(G458&lt;Parametres!$B$8*Parametres!$B$7,0,MIN(G458,Parametres!$B$7))</f>
        <v>0</v>
      </c>
      <c r="I458" s="20" t="n">
        <f aca="false">G458-H458</f>
        <v>0</v>
      </c>
      <c r="J458" s="21" t="n">
        <f aca="false">H458*1000/Parametres!$B$9</f>
        <v>0</v>
      </c>
    </row>
    <row r="459" customFormat="false" ht="15" hidden="false" customHeight="false" outlineLevel="0" collapsed="false">
      <c r="A459" s="0" t="n">
        <v>455</v>
      </c>
      <c r="B459" s="0" t="n">
        <v>1</v>
      </c>
      <c r="C459" s="19" t="n">
        <v>0</v>
      </c>
      <c r="D459" s="19" t="n">
        <v>0</v>
      </c>
      <c r="E459" s="20" t="n">
        <f aca="false">Parametres!$B$5*C459</f>
        <v>0</v>
      </c>
      <c r="F459" s="20" t="n">
        <f aca="false">Parametres!$B$6*D459</f>
        <v>0</v>
      </c>
      <c r="G459" s="20" t="n">
        <f aca="false">E459+F459</f>
        <v>0</v>
      </c>
      <c r="H459" s="20" t="n">
        <f aca="false">IF(G459&lt;Parametres!$B$8*Parametres!$B$7,0,MIN(G459,Parametres!$B$7))</f>
        <v>0</v>
      </c>
      <c r="I459" s="20" t="n">
        <f aca="false">G459-H459</f>
        <v>0</v>
      </c>
      <c r="J459" s="21" t="n">
        <f aca="false">H459*1000/Parametres!$B$9</f>
        <v>0</v>
      </c>
    </row>
    <row r="460" customFormat="false" ht="15" hidden="false" customHeight="false" outlineLevel="0" collapsed="false">
      <c r="A460" s="0" t="n">
        <v>456</v>
      </c>
      <c r="B460" s="0" t="n">
        <v>1</v>
      </c>
      <c r="C460" s="19" t="n">
        <v>0</v>
      </c>
      <c r="D460" s="19" t="n">
        <v>0</v>
      </c>
      <c r="E460" s="20" t="n">
        <f aca="false">Parametres!$B$5*C460</f>
        <v>0</v>
      </c>
      <c r="F460" s="20" t="n">
        <f aca="false">Parametres!$B$6*D460</f>
        <v>0</v>
      </c>
      <c r="G460" s="20" t="n">
        <f aca="false">E460+F460</f>
        <v>0</v>
      </c>
      <c r="H460" s="20" t="n">
        <f aca="false">IF(G460&lt;Parametres!$B$8*Parametres!$B$7,0,MIN(G460,Parametres!$B$7))</f>
        <v>0</v>
      </c>
      <c r="I460" s="20" t="n">
        <f aca="false">G460-H460</f>
        <v>0</v>
      </c>
      <c r="J460" s="21" t="n">
        <f aca="false">H460*1000/Parametres!$B$9</f>
        <v>0</v>
      </c>
    </row>
    <row r="461" customFormat="false" ht="15" hidden="false" customHeight="false" outlineLevel="0" collapsed="false">
      <c r="A461" s="0" t="n">
        <v>457</v>
      </c>
      <c r="B461" s="0" t="n">
        <v>1</v>
      </c>
      <c r="C461" s="19" t="n">
        <v>0</v>
      </c>
      <c r="D461" s="19" t="n">
        <v>0</v>
      </c>
      <c r="E461" s="20" t="n">
        <f aca="false">Parametres!$B$5*C461</f>
        <v>0</v>
      </c>
      <c r="F461" s="20" t="n">
        <f aca="false">Parametres!$B$6*D461</f>
        <v>0</v>
      </c>
      <c r="G461" s="20" t="n">
        <f aca="false">E461+F461</f>
        <v>0</v>
      </c>
      <c r="H461" s="20" t="n">
        <f aca="false">IF(G461&lt;Parametres!$B$8*Parametres!$B$7,0,MIN(G461,Parametres!$B$7))</f>
        <v>0</v>
      </c>
      <c r="I461" s="20" t="n">
        <f aca="false">G461-H461</f>
        <v>0</v>
      </c>
      <c r="J461" s="21" t="n">
        <f aca="false">H461*1000/Parametres!$B$9</f>
        <v>0</v>
      </c>
    </row>
    <row r="462" customFormat="false" ht="15" hidden="false" customHeight="false" outlineLevel="0" collapsed="false">
      <c r="A462" s="0" t="n">
        <v>458</v>
      </c>
      <c r="B462" s="0" t="n">
        <v>1</v>
      </c>
      <c r="C462" s="19" t="n">
        <v>0</v>
      </c>
      <c r="D462" s="19" t="n">
        <v>0</v>
      </c>
      <c r="E462" s="20" t="n">
        <f aca="false">Parametres!$B$5*C462</f>
        <v>0</v>
      </c>
      <c r="F462" s="20" t="n">
        <f aca="false">Parametres!$B$6*D462</f>
        <v>0</v>
      </c>
      <c r="G462" s="20" t="n">
        <f aca="false">E462+F462</f>
        <v>0</v>
      </c>
      <c r="H462" s="20" t="n">
        <f aca="false">IF(G462&lt;Parametres!$B$8*Parametres!$B$7,0,MIN(G462,Parametres!$B$7))</f>
        <v>0</v>
      </c>
      <c r="I462" s="20" t="n">
        <f aca="false">G462-H462</f>
        <v>0</v>
      </c>
      <c r="J462" s="21" t="n">
        <f aca="false">H462*1000/Parametres!$B$9</f>
        <v>0</v>
      </c>
    </row>
    <row r="463" customFormat="false" ht="15" hidden="false" customHeight="false" outlineLevel="0" collapsed="false">
      <c r="A463" s="0" t="n">
        <v>459</v>
      </c>
      <c r="B463" s="0" t="n">
        <v>1</v>
      </c>
      <c r="C463" s="19" t="n">
        <v>0</v>
      </c>
      <c r="D463" s="19" t="n">
        <v>0</v>
      </c>
      <c r="E463" s="20" t="n">
        <f aca="false">Parametres!$B$5*C463</f>
        <v>0</v>
      </c>
      <c r="F463" s="20" t="n">
        <f aca="false">Parametres!$B$6*D463</f>
        <v>0</v>
      </c>
      <c r="G463" s="20" t="n">
        <f aca="false">E463+F463</f>
        <v>0</v>
      </c>
      <c r="H463" s="20" t="n">
        <f aca="false">IF(G463&lt;Parametres!$B$8*Parametres!$B$7,0,MIN(G463,Parametres!$B$7))</f>
        <v>0</v>
      </c>
      <c r="I463" s="20" t="n">
        <f aca="false">G463-H463</f>
        <v>0</v>
      </c>
      <c r="J463" s="21" t="n">
        <f aca="false">H463*1000/Parametres!$B$9</f>
        <v>0</v>
      </c>
    </row>
    <row r="464" customFormat="false" ht="15" hidden="false" customHeight="false" outlineLevel="0" collapsed="false">
      <c r="A464" s="0" t="n">
        <v>460</v>
      </c>
      <c r="B464" s="0" t="n">
        <v>1</v>
      </c>
      <c r="C464" s="19" t="n">
        <v>0</v>
      </c>
      <c r="D464" s="19" t="n">
        <v>0</v>
      </c>
      <c r="E464" s="20" t="n">
        <f aca="false">Parametres!$B$5*C464</f>
        <v>0</v>
      </c>
      <c r="F464" s="20" t="n">
        <f aca="false">Parametres!$B$6*D464</f>
        <v>0</v>
      </c>
      <c r="G464" s="20" t="n">
        <f aca="false">E464+F464</f>
        <v>0</v>
      </c>
      <c r="H464" s="20" t="n">
        <f aca="false">IF(G464&lt;Parametres!$B$8*Parametres!$B$7,0,MIN(G464,Parametres!$B$7))</f>
        <v>0</v>
      </c>
      <c r="I464" s="20" t="n">
        <f aca="false">G464-H464</f>
        <v>0</v>
      </c>
      <c r="J464" s="21" t="n">
        <f aca="false">H464*1000/Parametres!$B$9</f>
        <v>0</v>
      </c>
    </row>
    <row r="465" customFormat="false" ht="15" hidden="false" customHeight="false" outlineLevel="0" collapsed="false">
      <c r="A465" s="0" t="n">
        <v>461</v>
      </c>
      <c r="B465" s="0" t="n">
        <v>1</v>
      </c>
      <c r="C465" s="19" t="n">
        <v>0</v>
      </c>
      <c r="D465" s="19" t="n">
        <v>0</v>
      </c>
      <c r="E465" s="20" t="n">
        <f aca="false">Parametres!$B$5*C465</f>
        <v>0</v>
      </c>
      <c r="F465" s="20" t="n">
        <f aca="false">Parametres!$B$6*D465</f>
        <v>0</v>
      </c>
      <c r="G465" s="20" t="n">
        <f aca="false">E465+F465</f>
        <v>0</v>
      </c>
      <c r="H465" s="20" t="n">
        <f aca="false">IF(G465&lt;Parametres!$B$8*Parametres!$B$7,0,MIN(G465,Parametres!$B$7))</f>
        <v>0</v>
      </c>
      <c r="I465" s="20" t="n">
        <f aca="false">G465-H465</f>
        <v>0</v>
      </c>
      <c r="J465" s="21" t="n">
        <f aca="false">H465*1000/Parametres!$B$9</f>
        <v>0</v>
      </c>
    </row>
    <row r="466" customFormat="false" ht="15" hidden="false" customHeight="false" outlineLevel="0" collapsed="false">
      <c r="A466" s="0" t="n">
        <v>462</v>
      </c>
      <c r="B466" s="0" t="n">
        <v>1</v>
      </c>
      <c r="C466" s="19" t="n">
        <v>0</v>
      </c>
      <c r="D466" s="19" t="n">
        <v>0</v>
      </c>
      <c r="E466" s="20" t="n">
        <f aca="false">Parametres!$B$5*C466</f>
        <v>0</v>
      </c>
      <c r="F466" s="20" t="n">
        <f aca="false">Parametres!$B$6*D466</f>
        <v>0</v>
      </c>
      <c r="G466" s="20" t="n">
        <f aca="false">E466+F466</f>
        <v>0</v>
      </c>
      <c r="H466" s="20" t="n">
        <f aca="false">IF(G466&lt;Parametres!$B$8*Parametres!$B$7,0,MIN(G466,Parametres!$B$7))</f>
        <v>0</v>
      </c>
      <c r="I466" s="20" t="n">
        <f aca="false">G466-H466</f>
        <v>0</v>
      </c>
      <c r="J466" s="21" t="n">
        <f aca="false">H466*1000/Parametres!$B$9</f>
        <v>0</v>
      </c>
    </row>
    <row r="467" customFormat="false" ht="15" hidden="false" customHeight="false" outlineLevel="0" collapsed="false">
      <c r="A467" s="0" t="n">
        <v>463</v>
      </c>
      <c r="B467" s="0" t="n">
        <v>1</v>
      </c>
      <c r="C467" s="19" t="n">
        <v>0</v>
      </c>
      <c r="D467" s="19" t="n">
        <v>0</v>
      </c>
      <c r="E467" s="20" t="n">
        <f aca="false">Parametres!$B$5*C467</f>
        <v>0</v>
      </c>
      <c r="F467" s="20" t="n">
        <f aca="false">Parametres!$B$6*D467</f>
        <v>0</v>
      </c>
      <c r="G467" s="20" t="n">
        <f aca="false">E467+F467</f>
        <v>0</v>
      </c>
      <c r="H467" s="20" t="n">
        <f aca="false">IF(G467&lt;Parametres!$B$8*Parametres!$B$7,0,MIN(G467,Parametres!$B$7))</f>
        <v>0</v>
      </c>
      <c r="I467" s="20" t="n">
        <f aca="false">G467-H467</f>
        <v>0</v>
      </c>
      <c r="J467" s="21" t="n">
        <f aca="false">H467*1000/Parametres!$B$9</f>
        <v>0</v>
      </c>
    </row>
    <row r="468" customFormat="false" ht="15" hidden="false" customHeight="false" outlineLevel="0" collapsed="false">
      <c r="A468" s="0" t="n">
        <v>464</v>
      </c>
      <c r="B468" s="0" t="n">
        <v>1</v>
      </c>
      <c r="C468" s="19" t="n">
        <v>0.1397</v>
      </c>
      <c r="D468" s="19" t="n">
        <v>0</v>
      </c>
      <c r="E468" s="20" t="n">
        <f aca="false">Parametres!$B$5*C468</f>
        <v>41.91</v>
      </c>
      <c r="F468" s="20" t="n">
        <f aca="false">Parametres!$B$6*D468</f>
        <v>0</v>
      </c>
      <c r="G468" s="20" t="n">
        <f aca="false">E468+F468</f>
        <v>41.91</v>
      </c>
      <c r="H468" s="20" t="n">
        <f aca="false">IF(G468&lt;Parametres!$B$8*Parametres!$B$7,0,MIN(G468,Parametres!$B$7))</f>
        <v>41.91</v>
      </c>
      <c r="I468" s="20" t="n">
        <f aca="false">G468-H468</f>
        <v>0</v>
      </c>
      <c r="J468" s="21" t="n">
        <f aca="false">H468*1000/Parametres!$B$9</f>
        <v>710.700356113278</v>
      </c>
    </row>
    <row r="469" customFormat="false" ht="15" hidden="false" customHeight="false" outlineLevel="0" collapsed="false">
      <c r="A469" s="0" t="n">
        <v>465</v>
      </c>
      <c r="B469" s="0" t="n">
        <v>1</v>
      </c>
      <c r="C469" s="19" t="n">
        <v>0.3492</v>
      </c>
      <c r="D469" s="19" t="n">
        <v>0</v>
      </c>
      <c r="E469" s="20" t="n">
        <f aca="false">Parametres!$B$5*C469</f>
        <v>104.76</v>
      </c>
      <c r="F469" s="20" t="n">
        <f aca="false">Parametres!$B$6*D469</f>
        <v>0</v>
      </c>
      <c r="G469" s="20" t="n">
        <f aca="false">E469+F469</f>
        <v>104.76</v>
      </c>
      <c r="H469" s="20" t="n">
        <f aca="false">IF(G469&lt;Parametres!$B$8*Parametres!$B$7,0,MIN(G469,Parametres!$B$7))</f>
        <v>104.76</v>
      </c>
      <c r="I469" s="20" t="n">
        <f aca="false">G469-H469</f>
        <v>0</v>
      </c>
      <c r="J469" s="21" t="n">
        <f aca="false">H469*1000/Parametres!$B$9</f>
        <v>1776.4965236561</v>
      </c>
    </row>
    <row r="470" customFormat="false" ht="15" hidden="false" customHeight="false" outlineLevel="0" collapsed="false">
      <c r="A470" s="0" t="n">
        <v>466</v>
      </c>
      <c r="B470" s="0" t="n">
        <v>1</v>
      </c>
      <c r="C470" s="19" t="n">
        <v>0.5385</v>
      </c>
      <c r="D470" s="19" t="n">
        <v>0</v>
      </c>
      <c r="E470" s="20" t="n">
        <f aca="false">Parametres!$B$5*C470</f>
        <v>161.55</v>
      </c>
      <c r="F470" s="20" t="n">
        <f aca="false">Parametres!$B$6*D470</f>
        <v>0</v>
      </c>
      <c r="G470" s="20" t="n">
        <f aca="false">E470+F470</f>
        <v>161.55</v>
      </c>
      <c r="H470" s="20" t="n">
        <f aca="false">IF(G470&lt;Parametres!$B$8*Parametres!$B$7,0,MIN(G470,Parametres!$B$7))</f>
        <v>161.55</v>
      </c>
      <c r="I470" s="20" t="n">
        <f aca="false">G470-H470</f>
        <v>0</v>
      </c>
      <c r="J470" s="21" t="n">
        <f aca="false">H470*1000/Parametres!$B$9</f>
        <v>2739.52857385111</v>
      </c>
    </row>
    <row r="471" customFormat="false" ht="15" hidden="false" customHeight="false" outlineLevel="0" collapsed="false">
      <c r="A471" s="0" t="n">
        <v>467</v>
      </c>
      <c r="B471" s="0" t="n">
        <v>1</v>
      </c>
      <c r="C471" s="19" t="n">
        <v>0.6374</v>
      </c>
      <c r="D471" s="19" t="n">
        <v>0</v>
      </c>
      <c r="E471" s="20" t="n">
        <f aca="false">Parametres!$B$5*C471</f>
        <v>191.22</v>
      </c>
      <c r="F471" s="20" t="n">
        <f aca="false">Parametres!$B$6*D471</f>
        <v>0</v>
      </c>
      <c r="G471" s="20" t="n">
        <f aca="false">E471+F471</f>
        <v>191.22</v>
      </c>
      <c r="H471" s="20" t="n">
        <f aca="false">IF(G471&lt;Parametres!$B$8*Parametres!$B$7,0,MIN(G471,Parametres!$B$7))</f>
        <v>191.22</v>
      </c>
      <c r="I471" s="20" t="n">
        <f aca="false">G471-H471</f>
        <v>0</v>
      </c>
      <c r="J471" s="21" t="n">
        <f aca="false">H471*1000/Parametres!$B$9</f>
        <v>3242.66576225199</v>
      </c>
    </row>
    <row r="472" customFormat="false" ht="15" hidden="false" customHeight="false" outlineLevel="0" collapsed="false">
      <c r="A472" s="0" t="n">
        <v>468</v>
      </c>
      <c r="B472" s="0" t="n">
        <v>1</v>
      </c>
      <c r="C472" s="19" t="n">
        <v>0.7569</v>
      </c>
      <c r="D472" s="19" t="n">
        <v>0</v>
      </c>
      <c r="E472" s="20" t="n">
        <f aca="false">Parametres!$B$5*C472</f>
        <v>227.07</v>
      </c>
      <c r="F472" s="20" t="n">
        <f aca="false">Parametres!$B$6*D472</f>
        <v>0</v>
      </c>
      <c r="G472" s="20" t="n">
        <f aca="false">E472+F472</f>
        <v>227.07</v>
      </c>
      <c r="H472" s="20" t="n">
        <f aca="false">IF(G472&lt;Parametres!$B$8*Parametres!$B$7,0,MIN(G472,Parametres!$B$7))</f>
        <v>227.07</v>
      </c>
      <c r="I472" s="20" t="n">
        <f aca="false">G472-H472</f>
        <v>0</v>
      </c>
      <c r="J472" s="21" t="n">
        <f aca="false">H472*1000/Parametres!$B$9</f>
        <v>3850.60200101747</v>
      </c>
    </row>
    <row r="473" customFormat="false" ht="15" hidden="false" customHeight="false" outlineLevel="0" collapsed="false">
      <c r="A473" s="0" t="n">
        <v>469</v>
      </c>
      <c r="B473" s="0" t="n">
        <v>1</v>
      </c>
      <c r="C473" s="19" t="n">
        <v>0.7827</v>
      </c>
      <c r="D473" s="19" t="n">
        <v>0</v>
      </c>
      <c r="E473" s="20" t="n">
        <f aca="false">Parametres!$B$5*C473</f>
        <v>234.81</v>
      </c>
      <c r="F473" s="20" t="n">
        <f aca="false">Parametres!$B$6*D473</f>
        <v>0</v>
      </c>
      <c r="G473" s="20" t="n">
        <f aca="false">E473+F473</f>
        <v>234.81</v>
      </c>
      <c r="H473" s="20" t="n">
        <f aca="false">IF(G473&lt;Parametres!$B$8*Parametres!$B$7,0,MIN(G473,Parametres!$B$7))</f>
        <v>234.81</v>
      </c>
      <c r="I473" s="20" t="n">
        <f aca="false">G473-H473</f>
        <v>0</v>
      </c>
      <c r="J473" s="21" t="n">
        <f aca="false">H473*1000/Parametres!$B$9</f>
        <v>3981.8551806003</v>
      </c>
    </row>
    <row r="474" customFormat="false" ht="15" hidden="false" customHeight="false" outlineLevel="0" collapsed="false">
      <c r="A474" s="0" t="n">
        <v>470</v>
      </c>
      <c r="B474" s="0" t="n">
        <v>1</v>
      </c>
      <c r="C474" s="19" t="n">
        <v>0.6864</v>
      </c>
      <c r="D474" s="19" t="n">
        <v>0</v>
      </c>
      <c r="E474" s="20" t="n">
        <f aca="false">Parametres!$B$5*C474</f>
        <v>205.92</v>
      </c>
      <c r="F474" s="20" t="n">
        <f aca="false">Parametres!$B$6*D474</f>
        <v>0</v>
      </c>
      <c r="G474" s="20" t="n">
        <f aca="false">E474+F474</f>
        <v>205.92</v>
      </c>
      <c r="H474" s="20" t="n">
        <f aca="false">IF(G474&lt;Parametres!$B$8*Parametres!$B$7,0,MIN(G474,Parametres!$B$7))</f>
        <v>205.92</v>
      </c>
      <c r="I474" s="20" t="n">
        <f aca="false">G474-H474</f>
        <v>0</v>
      </c>
      <c r="J474" s="21" t="n">
        <f aca="false">H474*1000/Parametres!$B$9</f>
        <v>3491.94505680855</v>
      </c>
    </row>
    <row r="475" customFormat="false" ht="15" hidden="false" customHeight="false" outlineLevel="0" collapsed="false">
      <c r="A475" s="0" t="n">
        <v>471</v>
      </c>
      <c r="B475" s="0" t="n">
        <v>1</v>
      </c>
      <c r="C475" s="19" t="n">
        <v>0.5006</v>
      </c>
      <c r="D475" s="19" t="n">
        <v>0</v>
      </c>
      <c r="E475" s="20" t="n">
        <f aca="false">Parametres!$B$5*C475</f>
        <v>150.18</v>
      </c>
      <c r="F475" s="20" t="n">
        <f aca="false">Parametres!$B$6*D475</f>
        <v>0</v>
      </c>
      <c r="G475" s="20" t="n">
        <f aca="false">E475+F475</f>
        <v>150.18</v>
      </c>
      <c r="H475" s="20" t="n">
        <f aca="false">IF(G475&lt;Parametres!$B$8*Parametres!$B$7,0,MIN(G475,Parametres!$B$7))</f>
        <v>150.18</v>
      </c>
      <c r="I475" s="20" t="n">
        <f aca="false">G475-H475</f>
        <v>0</v>
      </c>
      <c r="J475" s="21" t="n">
        <f aca="false">H475*1000/Parametres!$B$9</f>
        <v>2546.71867051043</v>
      </c>
    </row>
    <row r="476" customFormat="false" ht="15" hidden="false" customHeight="false" outlineLevel="0" collapsed="false">
      <c r="A476" s="0" t="n">
        <v>472</v>
      </c>
      <c r="B476" s="0" t="n">
        <v>1</v>
      </c>
      <c r="C476" s="19" t="n">
        <v>0.352</v>
      </c>
      <c r="D476" s="19" t="n">
        <v>0</v>
      </c>
      <c r="E476" s="20" t="n">
        <f aca="false">Parametres!$B$5*C476</f>
        <v>105.6</v>
      </c>
      <c r="F476" s="20" t="n">
        <f aca="false">Parametres!$B$6*D476</f>
        <v>0</v>
      </c>
      <c r="G476" s="20" t="n">
        <f aca="false">E476+F476</f>
        <v>105.6</v>
      </c>
      <c r="H476" s="20" t="n">
        <f aca="false">IF(G476&lt;Parametres!$B$8*Parametres!$B$7,0,MIN(G476,Parametres!$B$7))</f>
        <v>105.6</v>
      </c>
      <c r="I476" s="20" t="n">
        <f aca="false">G476-H476</f>
        <v>0</v>
      </c>
      <c r="J476" s="21" t="n">
        <f aca="false">H476*1000/Parametres!$B$9</f>
        <v>1790.74105477361</v>
      </c>
    </row>
    <row r="477" customFormat="false" ht="15" hidden="false" customHeight="false" outlineLevel="0" collapsed="false">
      <c r="A477" s="0" t="n">
        <v>473</v>
      </c>
      <c r="B477" s="0" t="n">
        <v>1</v>
      </c>
      <c r="C477" s="19" t="n">
        <v>0.1332</v>
      </c>
      <c r="D477" s="19" t="n">
        <v>0.0091</v>
      </c>
      <c r="E477" s="20" t="n">
        <f aca="false">Parametres!$B$5*C477</f>
        <v>39.96</v>
      </c>
      <c r="F477" s="20" t="n">
        <f aca="false">Parametres!$B$6*D477</f>
        <v>1.82</v>
      </c>
      <c r="G477" s="20" t="n">
        <f aca="false">E477+F477</f>
        <v>41.78</v>
      </c>
      <c r="H477" s="20" t="n">
        <f aca="false">IF(G477&lt;Parametres!$B$8*Parametres!$B$7,0,MIN(G477,Parametres!$B$7))</f>
        <v>41.78</v>
      </c>
      <c r="I477" s="20" t="n">
        <f aca="false">G477-H477</f>
        <v>0</v>
      </c>
      <c r="J477" s="21" t="n">
        <f aca="false">H477*1000/Parametres!$B$9</f>
        <v>708.495845345091</v>
      </c>
    </row>
    <row r="478" customFormat="false" ht="15" hidden="false" customHeight="false" outlineLevel="0" collapsed="false">
      <c r="A478" s="0" t="n">
        <v>474</v>
      </c>
      <c r="B478" s="0" t="n">
        <v>1</v>
      </c>
      <c r="C478" s="19" t="n">
        <v>0</v>
      </c>
      <c r="D478" s="19" t="n">
        <v>0.0048</v>
      </c>
      <c r="E478" s="20" t="n">
        <f aca="false">Parametres!$B$5*C478</f>
        <v>0</v>
      </c>
      <c r="F478" s="20" t="n">
        <f aca="false">Parametres!$B$6*D478</f>
        <v>0.96</v>
      </c>
      <c r="G478" s="20" t="n">
        <f aca="false">E478+F478</f>
        <v>0.96</v>
      </c>
      <c r="H478" s="20" t="n">
        <f aca="false">IF(G478&lt;Parametres!$B$8*Parametres!$B$7,0,MIN(G478,Parametres!$B$7))</f>
        <v>0</v>
      </c>
      <c r="I478" s="20" t="n">
        <f aca="false">G478-H478</f>
        <v>0.96</v>
      </c>
      <c r="J478" s="21" t="n">
        <f aca="false">H478*1000/Parametres!$B$9</f>
        <v>0</v>
      </c>
    </row>
    <row r="479" customFormat="false" ht="15" hidden="false" customHeight="false" outlineLevel="0" collapsed="false">
      <c r="A479" s="0" t="n">
        <v>475</v>
      </c>
      <c r="B479" s="0" t="n">
        <v>1</v>
      </c>
      <c r="C479" s="19" t="n">
        <v>0</v>
      </c>
      <c r="D479" s="19" t="n">
        <v>0.0115</v>
      </c>
      <c r="E479" s="20" t="n">
        <f aca="false">Parametres!$B$5*C479</f>
        <v>0</v>
      </c>
      <c r="F479" s="20" t="n">
        <f aca="false">Parametres!$B$6*D479</f>
        <v>2.3</v>
      </c>
      <c r="G479" s="20" t="n">
        <f aca="false">E479+F479</f>
        <v>2.3</v>
      </c>
      <c r="H479" s="20" t="n">
        <f aca="false">IF(G479&lt;Parametres!$B$8*Parametres!$B$7,0,MIN(G479,Parametres!$B$7))</f>
        <v>0</v>
      </c>
      <c r="I479" s="20" t="n">
        <f aca="false">G479-H479</f>
        <v>2.3</v>
      </c>
      <c r="J479" s="21" t="n">
        <f aca="false">H479*1000/Parametres!$B$9</f>
        <v>0</v>
      </c>
    </row>
    <row r="480" customFormat="false" ht="15" hidden="false" customHeight="false" outlineLevel="0" collapsed="false">
      <c r="A480" s="0" t="n">
        <v>476</v>
      </c>
      <c r="B480" s="0" t="n">
        <v>1</v>
      </c>
      <c r="C480" s="19" t="n">
        <v>0</v>
      </c>
      <c r="D480" s="19" t="n">
        <v>0.0071</v>
      </c>
      <c r="E480" s="20" t="n">
        <f aca="false">Parametres!$B$5*C480</f>
        <v>0</v>
      </c>
      <c r="F480" s="20" t="n">
        <f aca="false">Parametres!$B$6*D480</f>
        <v>1.42</v>
      </c>
      <c r="G480" s="20" t="n">
        <f aca="false">E480+F480</f>
        <v>1.42</v>
      </c>
      <c r="H480" s="20" t="n">
        <f aca="false">IF(G480&lt;Parametres!$B$8*Parametres!$B$7,0,MIN(G480,Parametres!$B$7))</f>
        <v>0</v>
      </c>
      <c r="I480" s="20" t="n">
        <f aca="false">G480-H480</f>
        <v>1.42</v>
      </c>
      <c r="J480" s="21" t="n">
        <f aca="false">H480*1000/Parametres!$B$9</f>
        <v>0</v>
      </c>
    </row>
    <row r="481" customFormat="false" ht="15" hidden="false" customHeight="false" outlineLevel="0" collapsed="false">
      <c r="A481" s="0" t="n">
        <v>477</v>
      </c>
      <c r="B481" s="0" t="n">
        <v>1</v>
      </c>
      <c r="C481" s="19" t="n">
        <v>0</v>
      </c>
      <c r="D481" s="19" t="n">
        <v>0.0082</v>
      </c>
      <c r="E481" s="20" t="n">
        <f aca="false">Parametres!$B$5*C481</f>
        <v>0</v>
      </c>
      <c r="F481" s="20" t="n">
        <f aca="false">Parametres!$B$6*D481</f>
        <v>1.64</v>
      </c>
      <c r="G481" s="20" t="n">
        <f aca="false">E481+F481</f>
        <v>1.64</v>
      </c>
      <c r="H481" s="20" t="n">
        <f aca="false">IF(G481&lt;Parametres!$B$8*Parametres!$B$7,0,MIN(G481,Parametres!$B$7))</f>
        <v>0</v>
      </c>
      <c r="I481" s="20" t="n">
        <f aca="false">G481-H481</f>
        <v>1.64</v>
      </c>
      <c r="J481" s="21" t="n">
        <f aca="false">H481*1000/Parametres!$B$9</f>
        <v>0</v>
      </c>
    </row>
    <row r="482" customFormat="false" ht="15" hidden="false" customHeight="false" outlineLevel="0" collapsed="false">
      <c r="A482" s="0" t="n">
        <v>478</v>
      </c>
      <c r="B482" s="0" t="n">
        <v>1</v>
      </c>
      <c r="C482" s="19" t="n">
        <v>0</v>
      </c>
      <c r="D482" s="19" t="n">
        <v>0.0149</v>
      </c>
      <c r="E482" s="20" t="n">
        <f aca="false">Parametres!$B$5*C482</f>
        <v>0</v>
      </c>
      <c r="F482" s="20" t="n">
        <f aca="false">Parametres!$B$6*D482</f>
        <v>2.98</v>
      </c>
      <c r="G482" s="20" t="n">
        <f aca="false">E482+F482</f>
        <v>2.98</v>
      </c>
      <c r="H482" s="20" t="n">
        <f aca="false">IF(G482&lt;Parametres!$B$8*Parametres!$B$7,0,MIN(G482,Parametres!$B$7))</f>
        <v>0</v>
      </c>
      <c r="I482" s="20" t="n">
        <f aca="false">G482-H482</f>
        <v>2.98</v>
      </c>
      <c r="J482" s="21" t="n">
        <f aca="false">H482*1000/Parametres!$B$9</f>
        <v>0</v>
      </c>
    </row>
    <row r="483" customFormat="false" ht="15" hidden="false" customHeight="false" outlineLevel="0" collapsed="false">
      <c r="A483" s="0" t="n">
        <v>479</v>
      </c>
      <c r="B483" s="0" t="n">
        <v>1</v>
      </c>
      <c r="C483" s="19" t="n">
        <v>0</v>
      </c>
      <c r="D483" s="19" t="n">
        <v>0.006</v>
      </c>
      <c r="E483" s="20" t="n">
        <f aca="false">Parametres!$B$5*C483</f>
        <v>0</v>
      </c>
      <c r="F483" s="20" t="n">
        <f aca="false">Parametres!$B$6*D483</f>
        <v>1.2</v>
      </c>
      <c r="G483" s="20" t="n">
        <f aca="false">E483+F483</f>
        <v>1.2</v>
      </c>
      <c r="H483" s="20" t="n">
        <f aca="false">IF(G483&lt;Parametres!$B$8*Parametres!$B$7,0,MIN(G483,Parametres!$B$7))</f>
        <v>0</v>
      </c>
      <c r="I483" s="20" t="n">
        <f aca="false">G483-H483</f>
        <v>1.2</v>
      </c>
      <c r="J483" s="21" t="n">
        <f aca="false">H483*1000/Parametres!$B$9</f>
        <v>0</v>
      </c>
    </row>
    <row r="484" customFormat="false" ht="15" hidden="false" customHeight="false" outlineLevel="0" collapsed="false">
      <c r="A484" s="0" t="n">
        <v>480</v>
      </c>
      <c r="B484" s="0" t="n">
        <v>1</v>
      </c>
      <c r="C484" s="19" t="n">
        <v>0</v>
      </c>
      <c r="D484" s="19" t="n">
        <v>0.0044</v>
      </c>
      <c r="E484" s="20" t="n">
        <f aca="false">Parametres!$B$5*C484</f>
        <v>0</v>
      </c>
      <c r="F484" s="20" t="n">
        <f aca="false">Parametres!$B$6*D484</f>
        <v>0.88</v>
      </c>
      <c r="G484" s="20" t="n">
        <f aca="false">E484+F484</f>
        <v>0.88</v>
      </c>
      <c r="H484" s="20" t="n">
        <f aca="false">IF(G484&lt;Parametres!$B$8*Parametres!$B$7,0,MIN(G484,Parametres!$B$7))</f>
        <v>0</v>
      </c>
      <c r="I484" s="20" t="n">
        <f aca="false">G484-H484</f>
        <v>0.88</v>
      </c>
      <c r="J484" s="21" t="n">
        <f aca="false">H484*1000/Parametres!$B$9</f>
        <v>0</v>
      </c>
    </row>
    <row r="485" customFormat="false" ht="15" hidden="false" customHeight="false" outlineLevel="0" collapsed="false">
      <c r="A485" s="0" t="n">
        <v>481</v>
      </c>
      <c r="B485" s="0" t="n">
        <v>1</v>
      </c>
      <c r="C485" s="19" t="n">
        <v>0</v>
      </c>
      <c r="D485" s="19" t="n">
        <v>0.0043</v>
      </c>
      <c r="E485" s="20" t="n">
        <f aca="false">Parametres!$B$5*C485</f>
        <v>0</v>
      </c>
      <c r="F485" s="20" t="n">
        <f aca="false">Parametres!$B$6*D485</f>
        <v>0.86</v>
      </c>
      <c r="G485" s="20" t="n">
        <f aca="false">E485+F485</f>
        <v>0.86</v>
      </c>
      <c r="H485" s="20" t="n">
        <f aca="false">IF(G485&lt;Parametres!$B$8*Parametres!$B$7,0,MIN(G485,Parametres!$B$7))</f>
        <v>0</v>
      </c>
      <c r="I485" s="20" t="n">
        <f aca="false">G485-H485</f>
        <v>0.86</v>
      </c>
      <c r="J485" s="21" t="n">
        <f aca="false">H485*1000/Parametres!$B$9</f>
        <v>0</v>
      </c>
    </row>
    <row r="486" customFormat="false" ht="15" hidden="false" customHeight="false" outlineLevel="0" collapsed="false">
      <c r="A486" s="0" t="n">
        <v>482</v>
      </c>
      <c r="B486" s="0" t="n">
        <v>1</v>
      </c>
      <c r="C486" s="19" t="n">
        <v>0</v>
      </c>
      <c r="D486" s="19" t="n">
        <v>0.0041</v>
      </c>
      <c r="E486" s="20" t="n">
        <f aca="false">Parametres!$B$5*C486</f>
        <v>0</v>
      </c>
      <c r="F486" s="20" t="n">
        <f aca="false">Parametres!$B$6*D486</f>
        <v>0.82</v>
      </c>
      <c r="G486" s="20" t="n">
        <f aca="false">E486+F486</f>
        <v>0.82</v>
      </c>
      <c r="H486" s="20" t="n">
        <f aca="false">IF(G486&lt;Parametres!$B$8*Parametres!$B$7,0,MIN(G486,Parametres!$B$7))</f>
        <v>0</v>
      </c>
      <c r="I486" s="20" t="n">
        <f aca="false">G486-H486</f>
        <v>0.82</v>
      </c>
      <c r="J486" s="21" t="n">
        <f aca="false">H486*1000/Parametres!$B$9</f>
        <v>0</v>
      </c>
    </row>
    <row r="487" customFormat="false" ht="15" hidden="false" customHeight="false" outlineLevel="0" collapsed="false">
      <c r="A487" s="0" t="n">
        <v>483</v>
      </c>
      <c r="B487" s="0" t="n">
        <v>1</v>
      </c>
      <c r="C487" s="19" t="n">
        <v>0</v>
      </c>
      <c r="D487" s="19" t="n">
        <v>0.0066</v>
      </c>
      <c r="E487" s="20" t="n">
        <f aca="false">Parametres!$B$5*C487</f>
        <v>0</v>
      </c>
      <c r="F487" s="20" t="n">
        <f aca="false">Parametres!$B$6*D487</f>
        <v>1.32</v>
      </c>
      <c r="G487" s="20" t="n">
        <f aca="false">E487+F487</f>
        <v>1.32</v>
      </c>
      <c r="H487" s="20" t="n">
        <f aca="false">IF(G487&lt;Parametres!$B$8*Parametres!$B$7,0,MIN(G487,Parametres!$B$7))</f>
        <v>0</v>
      </c>
      <c r="I487" s="20" t="n">
        <f aca="false">G487-H487</f>
        <v>1.32</v>
      </c>
      <c r="J487" s="21" t="n">
        <f aca="false">H487*1000/Parametres!$B$9</f>
        <v>0</v>
      </c>
    </row>
    <row r="488" customFormat="false" ht="15" hidden="false" customHeight="false" outlineLevel="0" collapsed="false">
      <c r="A488" s="0" t="n">
        <v>484</v>
      </c>
      <c r="B488" s="0" t="n">
        <v>1</v>
      </c>
      <c r="C488" s="19" t="n">
        <v>0</v>
      </c>
      <c r="D488" s="19" t="n">
        <v>0.0147</v>
      </c>
      <c r="E488" s="20" t="n">
        <f aca="false">Parametres!$B$5*C488</f>
        <v>0</v>
      </c>
      <c r="F488" s="20" t="n">
        <f aca="false">Parametres!$B$6*D488</f>
        <v>2.94</v>
      </c>
      <c r="G488" s="20" t="n">
        <f aca="false">E488+F488</f>
        <v>2.94</v>
      </c>
      <c r="H488" s="20" t="n">
        <f aca="false">IF(G488&lt;Parametres!$B$8*Parametres!$B$7,0,MIN(G488,Parametres!$B$7))</f>
        <v>0</v>
      </c>
      <c r="I488" s="20" t="n">
        <f aca="false">G488-H488</f>
        <v>2.94</v>
      </c>
      <c r="J488" s="21" t="n">
        <f aca="false">H488*1000/Parametres!$B$9</f>
        <v>0</v>
      </c>
    </row>
    <row r="489" customFormat="false" ht="15" hidden="false" customHeight="false" outlineLevel="0" collapsed="false">
      <c r="A489" s="0" t="n">
        <v>485</v>
      </c>
      <c r="B489" s="0" t="n">
        <v>1</v>
      </c>
      <c r="C489" s="19" t="n">
        <v>0</v>
      </c>
      <c r="D489" s="19" t="n">
        <v>0.0261</v>
      </c>
      <c r="E489" s="20" t="n">
        <f aca="false">Parametres!$B$5*C489</f>
        <v>0</v>
      </c>
      <c r="F489" s="20" t="n">
        <f aca="false">Parametres!$B$6*D489</f>
        <v>5.22</v>
      </c>
      <c r="G489" s="20" t="n">
        <f aca="false">E489+F489</f>
        <v>5.22</v>
      </c>
      <c r="H489" s="20" t="n">
        <f aca="false">IF(G489&lt;Parametres!$B$8*Parametres!$B$7,0,MIN(G489,Parametres!$B$7))</f>
        <v>0</v>
      </c>
      <c r="I489" s="20" t="n">
        <f aca="false">G489-H489</f>
        <v>5.22</v>
      </c>
      <c r="J489" s="21" t="n">
        <f aca="false">H489*1000/Parametres!$B$9</f>
        <v>0</v>
      </c>
    </row>
    <row r="490" customFormat="false" ht="15" hidden="false" customHeight="false" outlineLevel="0" collapsed="false">
      <c r="A490" s="0" t="n">
        <v>486</v>
      </c>
      <c r="B490" s="0" t="n">
        <v>1</v>
      </c>
      <c r="C490" s="19" t="n">
        <v>0</v>
      </c>
      <c r="D490" s="19" t="n">
        <v>0.0321</v>
      </c>
      <c r="E490" s="20" t="n">
        <f aca="false">Parametres!$B$5*C490</f>
        <v>0</v>
      </c>
      <c r="F490" s="20" t="n">
        <f aca="false">Parametres!$B$6*D490</f>
        <v>6.42</v>
      </c>
      <c r="G490" s="20" t="n">
        <f aca="false">E490+F490</f>
        <v>6.42</v>
      </c>
      <c r="H490" s="20" t="n">
        <f aca="false">IF(G490&lt;Parametres!$B$8*Parametres!$B$7,0,MIN(G490,Parametres!$B$7))</f>
        <v>0</v>
      </c>
      <c r="I490" s="20" t="n">
        <f aca="false">G490-H490</f>
        <v>6.42</v>
      </c>
      <c r="J490" s="21" t="n">
        <f aca="false">H490*1000/Parametres!$B$9</f>
        <v>0</v>
      </c>
    </row>
    <row r="491" customFormat="false" ht="15" hidden="false" customHeight="false" outlineLevel="0" collapsed="false">
      <c r="A491" s="0" t="n">
        <v>487</v>
      </c>
      <c r="B491" s="0" t="n">
        <v>1</v>
      </c>
      <c r="C491" s="19" t="n">
        <v>0</v>
      </c>
      <c r="D491" s="19" t="n">
        <v>0.0285</v>
      </c>
      <c r="E491" s="20" t="n">
        <f aca="false">Parametres!$B$5*C491</f>
        <v>0</v>
      </c>
      <c r="F491" s="20" t="n">
        <f aca="false">Parametres!$B$6*D491</f>
        <v>5.7</v>
      </c>
      <c r="G491" s="20" t="n">
        <f aca="false">E491+F491</f>
        <v>5.7</v>
      </c>
      <c r="H491" s="20" t="n">
        <f aca="false">IF(G491&lt;Parametres!$B$8*Parametres!$B$7,0,MIN(G491,Parametres!$B$7))</f>
        <v>0</v>
      </c>
      <c r="I491" s="20" t="n">
        <f aca="false">G491-H491</f>
        <v>5.7</v>
      </c>
      <c r="J491" s="21" t="n">
        <f aca="false">H491*1000/Parametres!$B$9</f>
        <v>0</v>
      </c>
    </row>
    <row r="492" customFormat="false" ht="15" hidden="false" customHeight="false" outlineLevel="0" collapsed="false">
      <c r="A492" s="0" t="n">
        <v>488</v>
      </c>
      <c r="B492" s="0" t="n">
        <v>1</v>
      </c>
      <c r="C492" s="19" t="n">
        <v>0.1509</v>
      </c>
      <c r="D492" s="19" t="n">
        <v>0.0153</v>
      </c>
      <c r="E492" s="20" t="n">
        <f aca="false">Parametres!$B$5*C492</f>
        <v>45.27</v>
      </c>
      <c r="F492" s="20" t="n">
        <f aca="false">Parametres!$B$6*D492</f>
        <v>3.06</v>
      </c>
      <c r="G492" s="20" t="n">
        <f aca="false">E492+F492</f>
        <v>48.33</v>
      </c>
      <c r="H492" s="20" t="n">
        <f aca="false">IF(G492&lt;Parametres!$B$8*Parametres!$B$7,0,MIN(G492,Parametres!$B$7))</f>
        <v>48.33</v>
      </c>
      <c r="I492" s="20" t="n">
        <f aca="false">G492-H492</f>
        <v>0</v>
      </c>
      <c r="J492" s="21" t="n">
        <f aca="false">H492*1000/Parametres!$B$9</f>
        <v>819.569272511447</v>
      </c>
    </row>
    <row r="493" customFormat="false" ht="15" hidden="false" customHeight="false" outlineLevel="0" collapsed="false">
      <c r="A493" s="0" t="n">
        <v>489</v>
      </c>
      <c r="B493" s="0" t="n">
        <v>1</v>
      </c>
      <c r="C493" s="19" t="n">
        <v>0.3827</v>
      </c>
      <c r="D493" s="19" t="n">
        <v>0.0107</v>
      </c>
      <c r="E493" s="20" t="n">
        <f aca="false">Parametres!$B$5*C493</f>
        <v>114.81</v>
      </c>
      <c r="F493" s="20" t="n">
        <f aca="false">Parametres!$B$6*D493</f>
        <v>2.14</v>
      </c>
      <c r="G493" s="20" t="n">
        <f aca="false">E493+F493</f>
        <v>116.95</v>
      </c>
      <c r="H493" s="20" t="n">
        <f aca="false">IF(G493&lt;Parametres!$B$8*Parametres!$B$7,0,MIN(G493,Parametres!$B$7))</f>
        <v>116.95</v>
      </c>
      <c r="I493" s="20" t="n">
        <f aca="false">G493-H493</f>
        <v>0</v>
      </c>
      <c r="J493" s="21" t="n">
        <f aca="false">H493*1000/Parametres!$B$9</f>
        <v>1983.2118026115</v>
      </c>
    </row>
    <row r="494" customFormat="false" ht="15" hidden="false" customHeight="false" outlineLevel="0" collapsed="false">
      <c r="A494" s="0" t="n">
        <v>490</v>
      </c>
      <c r="B494" s="0" t="n">
        <v>1</v>
      </c>
      <c r="C494" s="19" t="n">
        <v>0.5489</v>
      </c>
      <c r="D494" s="19" t="n">
        <v>0.0089</v>
      </c>
      <c r="E494" s="20" t="n">
        <f aca="false">Parametres!$B$5*C494</f>
        <v>164.67</v>
      </c>
      <c r="F494" s="20" t="n">
        <f aca="false">Parametres!$B$6*D494</f>
        <v>1.78</v>
      </c>
      <c r="G494" s="20" t="n">
        <f aca="false">E494+F494</f>
        <v>166.45</v>
      </c>
      <c r="H494" s="20" t="n">
        <f aca="false">IF(G494&lt;Parametres!$B$8*Parametres!$B$7,0,MIN(G494,Parametres!$B$7))</f>
        <v>166.45</v>
      </c>
      <c r="I494" s="20" t="n">
        <f aca="false">G494-H494</f>
        <v>0</v>
      </c>
      <c r="J494" s="21" t="n">
        <f aca="false">H494*1000/Parametres!$B$9</f>
        <v>2822.62167203663</v>
      </c>
    </row>
    <row r="495" customFormat="false" ht="15" hidden="false" customHeight="false" outlineLevel="0" collapsed="false">
      <c r="A495" s="0" t="n">
        <v>491</v>
      </c>
      <c r="B495" s="0" t="n">
        <v>1</v>
      </c>
      <c r="C495" s="19" t="n">
        <v>0.7087</v>
      </c>
      <c r="D495" s="19" t="n">
        <v>0.0204</v>
      </c>
      <c r="E495" s="20" t="n">
        <f aca="false">Parametres!$B$5*C495</f>
        <v>212.61</v>
      </c>
      <c r="F495" s="20" t="n">
        <f aca="false">Parametres!$B$6*D495</f>
        <v>4.08</v>
      </c>
      <c r="G495" s="20" t="n">
        <f aca="false">E495+F495</f>
        <v>216.69</v>
      </c>
      <c r="H495" s="20" t="n">
        <f aca="false">IF(G495&lt;Parametres!$B$8*Parametres!$B$7,0,MIN(G495,Parametres!$B$7))</f>
        <v>216.69</v>
      </c>
      <c r="I495" s="20" t="n">
        <f aca="false">G495-H495</f>
        <v>0</v>
      </c>
      <c r="J495" s="21" t="n">
        <f aca="false">H495*1000/Parametres!$B$9</f>
        <v>3674.58029506529</v>
      </c>
    </row>
    <row r="496" customFormat="false" ht="15" hidden="false" customHeight="false" outlineLevel="0" collapsed="false">
      <c r="A496" s="0" t="n">
        <v>492</v>
      </c>
      <c r="B496" s="0" t="n">
        <v>1</v>
      </c>
      <c r="C496" s="19" t="n">
        <v>0.7781</v>
      </c>
      <c r="D496" s="19" t="n">
        <v>0.0198</v>
      </c>
      <c r="E496" s="20" t="n">
        <f aca="false">Parametres!$B$5*C496</f>
        <v>233.43</v>
      </c>
      <c r="F496" s="20" t="n">
        <f aca="false">Parametres!$B$6*D496</f>
        <v>3.96</v>
      </c>
      <c r="G496" s="20" t="n">
        <f aca="false">E496+F496</f>
        <v>237.39</v>
      </c>
      <c r="H496" s="20" t="n">
        <f aca="false">IF(G496&lt;Parametres!$B$8*Parametres!$B$7,0,MIN(G496,Parametres!$B$7))</f>
        <v>237.39</v>
      </c>
      <c r="I496" s="20" t="n">
        <f aca="false">G496-H496</f>
        <v>0</v>
      </c>
      <c r="J496" s="21" t="n">
        <f aca="false">H496*1000/Parametres!$B$9</f>
        <v>4025.60624046125</v>
      </c>
    </row>
    <row r="497" customFormat="false" ht="15" hidden="false" customHeight="false" outlineLevel="0" collapsed="false">
      <c r="A497" s="0" t="n">
        <v>493</v>
      </c>
      <c r="B497" s="0" t="n">
        <v>1</v>
      </c>
      <c r="C497" s="19" t="n">
        <v>0.8145</v>
      </c>
      <c r="D497" s="19" t="n">
        <v>0.0088</v>
      </c>
      <c r="E497" s="20" t="n">
        <f aca="false">Parametres!$B$5*C497</f>
        <v>244.35</v>
      </c>
      <c r="F497" s="20" t="n">
        <f aca="false">Parametres!$B$6*D497</f>
        <v>1.76</v>
      </c>
      <c r="G497" s="20" t="n">
        <f aca="false">E497+F497</f>
        <v>246.11</v>
      </c>
      <c r="H497" s="20" t="n">
        <f aca="false">IF(G497&lt;Parametres!$B$8*Parametres!$B$7,0,MIN(G497,Parametres!$B$7))</f>
        <v>246.11</v>
      </c>
      <c r="I497" s="20" t="n">
        <f aca="false">G497-H497</f>
        <v>0</v>
      </c>
      <c r="J497" s="21" t="n">
        <f aca="false">H497*1000/Parametres!$B$9</f>
        <v>4173.47803968119</v>
      </c>
    </row>
    <row r="498" customFormat="false" ht="15" hidden="false" customHeight="false" outlineLevel="0" collapsed="false">
      <c r="A498" s="0" t="n">
        <v>494</v>
      </c>
      <c r="B498" s="0" t="n">
        <v>1</v>
      </c>
      <c r="C498" s="19" t="n">
        <v>0.7443</v>
      </c>
      <c r="D498" s="19" t="n">
        <v>0.0191</v>
      </c>
      <c r="E498" s="20" t="n">
        <f aca="false">Parametres!$B$5*C498</f>
        <v>223.29</v>
      </c>
      <c r="F498" s="20" t="n">
        <f aca="false">Parametres!$B$6*D498</f>
        <v>3.82</v>
      </c>
      <c r="G498" s="20" t="n">
        <f aca="false">E498+F498</f>
        <v>227.11</v>
      </c>
      <c r="H498" s="20" t="n">
        <f aca="false">IF(G498&lt;Parametres!$B$8*Parametres!$B$7,0,MIN(G498,Parametres!$B$7))</f>
        <v>227.11</v>
      </c>
      <c r="I498" s="20" t="n">
        <f aca="false">G498-H498</f>
        <v>0</v>
      </c>
      <c r="J498" s="21" t="n">
        <f aca="false">H498*1000/Parametres!$B$9</f>
        <v>3851.28031202306</v>
      </c>
    </row>
    <row r="499" customFormat="false" ht="15" hidden="false" customHeight="false" outlineLevel="0" collapsed="false">
      <c r="A499" s="0" t="n">
        <v>495</v>
      </c>
      <c r="B499" s="0" t="n">
        <v>1</v>
      </c>
      <c r="C499" s="19" t="n">
        <v>0.5493</v>
      </c>
      <c r="D499" s="19" t="n">
        <v>0.0115</v>
      </c>
      <c r="E499" s="20" t="n">
        <f aca="false">Parametres!$B$5*C499</f>
        <v>164.79</v>
      </c>
      <c r="F499" s="20" t="n">
        <f aca="false">Parametres!$B$6*D499</f>
        <v>2.3</v>
      </c>
      <c r="G499" s="20" t="n">
        <f aca="false">E499+F499</f>
        <v>167.09</v>
      </c>
      <c r="H499" s="20" t="n">
        <f aca="false">IF(G499&lt;Parametres!$B$8*Parametres!$B$7,0,MIN(G499,Parametres!$B$7))</f>
        <v>167.09</v>
      </c>
      <c r="I499" s="20" t="n">
        <f aca="false">G499-H499</f>
        <v>0</v>
      </c>
      <c r="J499" s="21" t="n">
        <f aca="false">H499*1000/Parametres!$B$9</f>
        <v>2833.47464812617</v>
      </c>
    </row>
    <row r="500" customFormat="false" ht="15" hidden="false" customHeight="false" outlineLevel="0" collapsed="false">
      <c r="A500" s="0" t="n">
        <v>496</v>
      </c>
      <c r="B500" s="0" t="n">
        <v>1</v>
      </c>
      <c r="C500" s="19" t="n">
        <v>0.4009</v>
      </c>
      <c r="D500" s="19" t="n">
        <v>0.0063</v>
      </c>
      <c r="E500" s="20" t="n">
        <f aca="false">Parametres!$B$5*C500</f>
        <v>120.27</v>
      </c>
      <c r="F500" s="20" t="n">
        <f aca="false">Parametres!$B$6*D500</f>
        <v>1.26</v>
      </c>
      <c r="G500" s="20" t="n">
        <f aca="false">E500+F500</f>
        <v>121.53</v>
      </c>
      <c r="H500" s="20" t="n">
        <f aca="false">IF(G500&lt;Parametres!$B$8*Parametres!$B$7,0,MIN(G500,Parametres!$B$7))</f>
        <v>121.53</v>
      </c>
      <c r="I500" s="20" t="n">
        <f aca="false">G500-H500</f>
        <v>0</v>
      </c>
      <c r="J500" s="21" t="n">
        <f aca="false">H500*1000/Parametres!$B$9</f>
        <v>2060.87841275225</v>
      </c>
    </row>
    <row r="501" customFormat="false" ht="15" hidden="false" customHeight="false" outlineLevel="0" collapsed="false">
      <c r="A501" s="0" t="n">
        <v>497</v>
      </c>
      <c r="B501" s="0" t="n">
        <v>1</v>
      </c>
      <c r="C501" s="19" t="n">
        <v>0.1456</v>
      </c>
      <c r="D501" s="19" t="n">
        <v>0.0056</v>
      </c>
      <c r="E501" s="20" t="n">
        <f aca="false">Parametres!$B$5*C501</f>
        <v>43.68</v>
      </c>
      <c r="F501" s="20" t="n">
        <f aca="false">Parametres!$B$6*D501</f>
        <v>1.12</v>
      </c>
      <c r="G501" s="20" t="n">
        <f aca="false">E501+F501</f>
        <v>44.8</v>
      </c>
      <c r="H501" s="20" t="n">
        <f aca="false">IF(G501&lt;Parametres!$B$8*Parametres!$B$7,0,MIN(G501,Parametres!$B$7))</f>
        <v>44.8</v>
      </c>
      <c r="I501" s="20" t="n">
        <f aca="false">G501-H501</f>
        <v>0</v>
      </c>
      <c r="J501" s="21" t="n">
        <f aca="false">H501*1000/Parametres!$B$9</f>
        <v>759.708326267594</v>
      </c>
    </row>
    <row r="502" customFormat="false" ht="15" hidden="false" customHeight="false" outlineLevel="0" collapsed="false">
      <c r="A502" s="0" t="n">
        <v>498</v>
      </c>
      <c r="B502" s="0" t="n">
        <v>1</v>
      </c>
      <c r="C502" s="19" t="n">
        <v>0</v>
      </c>
      <c r="D502" s="19" t="n">
        <v>0.0096</v>
      </c>
      <c r="E502" s="20" t="n">
        <f aca="false">Parametres!$B$5*C502</f>
        <v>0</v>
      </c>
      <c r="F502" s="20" t="n">
        <f aca="false">Parametres!$B$6*D502</f>
        <v>1.92</v>
      </c>
      <c r="G502" s="20" t="n">
        <f aca="false">E502+F502</f>
        <v>1.92</v>
      </c>
      <c r="H502" s="20" t="n">
        <f aca="false">IF(G502&lt;Parametres!$B$8*Parametres!$B$7,0,MIN(G502,Parametres!$B$7))</f>
        <v>0</v>
      </c>
      <c r="I502" s="20" t="n">
        <f aca="false">G502-H502</f>
        <v>1.92</v>
      </c>
      <c r="J502" s="21" t="n">
        <f aca="false">H502*1000/Parametres!$B$9</f>
        <v>0</v>
      </c>
    </row>
    <row r="503" customFormat="false" ht="15" hidden="false" customHeight="false" outlineLevel="0" collapsed="false">
      <c r="A503" s="0" t="n">
        <v>499</v>
      </c>
      <c r="B503" s="0" t="n">
        <v>1</v>
      </c>
      <c r="C503" s="19" t="n">
        <v>0</v>
      </c>
      <c r="D503" s="19" t="n">
        <v>0.0002</v>
      </c>
      <c r="E503" s="20" t="n">
        <f aca="false">Parametres!$B$5*C503</f>
        <v>0</v>
      </c>
      <c r="F503" s="20" t="n">
        <f aca="false">Parametres!$B$6*D503</f>
        <v>0.04</v>
      </c>
      <c r="G503" s="20" t="n">
        <f aca="false">E503+F503</f>
        <v>0.04</v>
      </c>
      <c r="H503" s="20" t="n">
        <f aca="false">IF(G503&lt;Parametres!$B$8*Parametres!$B$7,0,MIN(G503,Parametres!$B$7))</f>
        <v>0</v>
      </c>
      <c r="I503" s="20" t="n">
        <f aca="false">G503-H503</f>
        <v>0.04</v>
      </c>
      <c r="J503" s="21" t="n">
        <f aca="false">H503*1000/Parametres!$B$9</f>
        <v>0</v>
      </c>
    </row>
    <row r="504" customFormat="false" ht="15" hidden="false" customHeight="false" outlineLevel="0" collapsed="false">
      <c r="A504" s="0" t="n">
        <v>500</v>
      </c>
      <c r="B504" s="0" t="n">
        <v>1</v>
      </c>
      <c r="C504" s="19" t="n">
        <v>0</v>
      </c>
      <c r="D504" s="19" t="n">
        <v>0</v>
      </c>
      <c r="E504" s="20" t="n">
        <f aca="false">Parametres!$B$5*C504</f>
        <v>0</v>
      </c>
      <c r="F504" s="20" t="n">
        <f aca="false">Parametres!$B$6*D504</f>
        <v>0</v>
      </c>
      <c r="G504" s="20" t="n">
        <f aca="false">E504+F504</f>
        <v>0</v>
      </c>
      <c r="H504" s="20" t="n">
        <f aca="false">IF(G504&lt;Parametres!$B$8*Parametres!$B$7,0,MIN(G504,Parametres!$B$7))</f>
        <v>0</v>
      </c>
      <c r="I504" s="20" t="n">
        <f aca="false">G504-H504</f>
        <v>0</v>
      </c>
      <c r="J504" s="21" t="n">
        <f aca="false">H504*1000/Parametres!$B$9</f>
        <v>0</v>
      </c>
    </row>
    <row r="505" customFormat="false" ht="15" hidden="false" customHeight="false" outlineLevel="0" collapsed="false">
      <c r="A505" s="0" t="n">
        <v>501</v>
      </c>
      <c r="B505" s="0" t="n">
        <v>1</v>
      </c>
      <c r="C505" s="19" t="n">
        <v>0</v>
      </c>
      <c r="D505" s="19" t="n">
        <v>0</v>
      </c>
      <c r="E505" s="20" t="n">
        <f aca="false">Parametres!$B$5*C505</f>
        <v>0</v>
      </c>
      <c r="F505" s="20" t="n">
        <f aca="false">Parametres!$B$6*D505</f>
        <v>0</v>
      </c>
      <c r="G505" s="20" t="n">
        <f aca="false">E505+F505</f>
        <v>0</v>
      </c>
      <c r="H505" s="20" t="n">
        <f aca="false">IF(G505&lt;Parametres!$B$8*Parametres!$B$7,0,MIN(G505,Parametres!$B$7))</f>
        <v>0</v>
      </c>
      <c r="I505" s="20" t="n">
        <f aca="false">G505-H505</f>
        <v>0</v>
      </c>
      <c r="J505" s="21" t="n">
        <f aca="false">H505*1000/Parametres!$B$9</f>
        <v>0</v>
      </c>
    </row>
    <row r="506" customFormat="false" ht="15" hidden="false" customHeight="false" outlineLevel="0" collapsed="false">
      <c r="A506" s="0" t="n">
        <v>502</v>
      </c>
      <c r="B506" s="0" t="n">
        <v>1</v>
      </c>
      <c r="C506" s="19" t="n">
        <v>0</v>
      </c>
      <c r="D506" s="19" t="n">
        <v>0</v>
      </c>
      <c r="E506" s="20" t="n">
        <f aca="false">Parametres!$B$5*C506</f>
        <v>0</v>
      </c>
      <c r="F506" s="20" t="n">
        <f aca="false">Parametres!$B$6*D506</f>
        <v>0</v>
      </c>
      <c r="G506" s="20" t="n">
        <f aca="false">E506+F506</f>
        <v>0</v>
      </c>
      <c r="H506" s="20" t="n">
        <f aca="false">IF(G506&lt;Parametres!$B$8*Parametres!$B$7,0,MIN(G506,Parametres!$B$7))</f>
        <v>0</v>
      </c>
      <c r="I506" s="20" t="n">
        <f aca="false">G506-H506</f>
        <v>0</v>
      </c>
      <c r="J506" s="21" t="n">
        <f aca="false">H506*1000/Parametres!$B$9</f>
        <v>0</v>
      </c>
    </row>
    <row r="507" customFormat="false" ht="15" hidden="false" customHeight="false" outlineLevel="0" collapsed="false">
      <c r="A507" s="0" t="n">
        <v>503</v>
      </c>
      <c r="B507" s="0" t="n">
        <v>1</v>
      </c>
      <c r="C507" s="19" t="n">
        <v>0</v>
      </c>
      <c r="D507" s="19" t="n">
        <v>0</v>
      </c>
      <c r="E507" s="20" t="n">
        <f aca="false">Parametres!$B$5*C507</f>
        <v>0</v>
      </c>
      <c r="F507" s="20" t="n">
        <f aca="false">Parametres!$B$6*D507</f>
        <v>0</v>
      </c>
      <c r="G507" s="20" t="n">
        <f aca="false">E507+F507</f>
        <v>0</v>
      </c>
      <c r="H507" s="20" t="n">
        <f aca="false">IF(G507&lt;Parametres!$B$8*Parametres!$B$7,0,MIN(G507,Parametres!$B$7))</f>
        <v>0</v>
      </c>
      <c r="I507" s="20" t="n">
        <f aca="false">G507-H507</f>
        <v>0</v>
      </c>
      <c r="J507" s="21" t="n">
        <f aca="false">H507*1000/Parametres!$B$9</f>
        <v>0</v>
      </c>
    </row>
    <row r="508" customFormat="false" ht="15" hidden="false" customHeight="false" outlineLevel="0" collapsed="false">
      <c r="A508" s="0" t="n">
        <v>504</v>
      </c>
      <c r="B508" s="0" t="n">
        <v>1</v>
      </c>
      <c r="C508" s="19" t="n">
        <v>0</v>
      </c>
      <c r="D508" s="19" t="n">
        <v>0</v>
      </c>
      <c r="E508" s="20" t="n">
        <f aca="false">Parametres!$B$5*C508</f>
        <v>0</v>
      </c>
      <c r="F508" s="20" t="n">
        <f aca="false">Parametres!$B$6*D508</f>
        <v>0</v>
      </c>
      <c r="G508" s="20" t="n">
        <f aca="false">E508+F508</f>
        <v>0</v>
      </c>
      <c r="H508" s="20" t="n">
        <f aca="false">IF(G508&lt;Parametres!$B$8*Parametres!$B$7,0,MIN(G508,Parametres!$B$7))</f>
        <v>0</v>
      </c>
      <c r="I508" s="20" t="n">
        <f aca="false">G508-H508</f>
        <v>0</v>
      </c>
      <c r="J508" s="21" t="n">
        <f aca="false">H508*1000/Parametres!$B$9</f>
        <v>0</v>
      </c>
    </row>
    <row r="509" customFormat="false" ht="15" hidden="false" customHeight="false" outlineLevel="0" collapsed="false">
      <c r="A509" s="0" t="n">
        <v>505</v>
      </c>
      <c r="B509" s="0" t="n">
        <v>1</v>
      </c>
      <c r="C509" s="19" t="n">
        <v>0</v>
      </c>
      <c r="D509" s="19" t="n">
        <v>0</v>
      </c>
      <c r="E509" s="20" t="n">
        <f aca="false">Parametres!$B$5*C509</f>
        <v>0</v>
      </c>
      <c r="F509" s="20" t="n">
        <f aca="false">Parametres!$B$6*D509</f>
        <v>0</v>
      </c>
      <c r="G509" s="20" t="n">
        <f aca="false">E509+F509</f>
        <v>0</v>
      </c>
      <c r="H509" s="20" t="n">
        <f aca="false">IF(G509&lt;Parametres!$B$8*Parametres!$B$7,0,MIN(G509,Parametres!$B$7))</f>
        <v>0</v>
      </c>
      <c r="I509" s="20" t="n">
        <f aca="false">G509-H509</f>
        <v>0</v>
      </c>
      <c r="J509" s="21" t="n">
        <f aca="false">H509*1000/Parametres!$B$9</f>
        <v>0</v>
      </c>
    </row>
    <row r="510" customFormat="false" ht="15" hidden="false" customHeight="false" outlineLevel="0" collapsed="false">
      <c r="A510" s="0" t="n">
        <v>506</v>
      </c>
      <c r="B510" s="0" t="n">
        <v>1</v>
      </c>
      <c r="C510" s="19" t="n">
        <v>0</v>
      </c>
      <c r="D510" s="19" t="n">
        <v>0</v>
      </c>
      <c r="E510" s="20" t="n">
        <f aca="false">Parametres!$B$5*C510</f>
        <v>0</v>
      </c>
      <c r="F510" s="20" t="n">
        <f aca="false">Parametres!$B$6*D510</f>
        <v>0</v>
      </c>
      <c r="G510" s="20" t="n">
        <f aca="false">E510+F510</f>
        <v>0</v>
      </c>
      <c r="H510" s="20" t="n">
        <f aca="false">IF(G510&lt;Parametres!$B$8*Parametres!$B$7,0,MIN(G510,Parametres!$B$7))</f>
        <v>0</v>
      </c>
      <c r="I510" s="20" t="n">
        <f aca="false">G510-H510</f>
        <v>0</v>
      </c>
      <c r="J510" s="21" t="n">
        <f aca="false">H510*1000/Parametres!$B$9</f>
        <v>0</v>
      </c>
    </row>
    <row r="511" customFormat="false" ht="15" hidden="false" customHeight="false" outlineLevel="0" collapsed="false">
      <c r="A511" s="0" t="n">
        <v>507</v>
      </c>
      <c r="B511" s="0" t="n">
        <v>1</v>
      </c>
      <c r="C511" s="19" t="n">
        <v>0</v>
      </c>
      <c r="D511" s="19" t="n">
        <v>0</v>
      </c>
      <c r="E511" s="20" t="n">
        <f aca="false">Parametres!$B$5*C511</f>
        <v>0</v>
      </c>
      <c r="F511" s="20" t="n">
        <f aca="false">Parametres!$B$6*D511</f>
        <v>0</v>
      </c>
      <c r="G511" s="20" t="n">
        <f aca="false">E511+F511</f>
        <v>0</v>
      </c>
      <c r="H511" s="20" t="n">
        <f aca="false">IF(G511&lt;Parametres!$B$8*Parametres!$B$7,0,MIN(G511,Parametres!$B$7))</f>
        <v>0</v>
      </c>
      <c r="I511" s="20" t="n">
        <f aca="false">G511-H511</f>
        <v>0</v>
      </c>
      <c r="J511" s="21" t="n">
        <f aca="false">H511*1000/Parametres!$B$9</f>
        <v>0</v>
      </c>
    </row>
    <row r="512" customFormat="false" ht="15" hidden="false" customHeight="false" outlineLevel="0" collapsed="false">
      <c r="A512" s="0" t="n">
        <v>508</v>
      </c>
      <c r="B512" s="0" t="n">
        <v>1</v>
      </c>
      <c r="C512" s="19" t="n">
        <v>0</v>
      </c>
      <c r="D512" s="19" t="n">
        <v>0</v>
      </c>
      <c r="E512" s="20" t="n">
        <f aca="false">Parametres!$B$5*C512</f>
        <v>0</v>
      </c>
      <c r="F512" s="20" t="n">
        <f aca="false">Parametres!$B$6*D512</f>
        <v>0</v>
      </c>
      <c r="G512" s="20" t="n">
        <f aca="false">E512+F512</f>
        <v>0</v>
      </c>
      <c r="H512" s="20" t="n">
        <f aca="false">IF(G512&lt;Parametres!$B$8*Parametres!$B$7,0,MIN(G512,Parametres!$B$7))</f>
        <v>0</v>
      </c>
      <c r="I512" s="20" t="n">
        <f aca="false">G512-H512</f>
        <v>0</v>
      </c>
      <c r="J512" s="21" t="n">
        <f aca="false">H512*1000/Parametres!$B$9</f>
        <v>0</v>
      </c>
    </row>
    <row r="513" customFormat="false" ht="15" hidden="false" customHeight="false" outlineLevel="0" collapsed="false">
      <c r="A513" s="0" t="n">
        <v>509</v>
      </c>
      <c r="B513" s="0" t="n">
        <v>1</v>
      </c>
      <c r="C513" s="19" t="n">
        <v>0</v>
      </c>
      <c r="D513" s="19" t="n">
        <v>0</v>
      </c>
      <c r="E513" s="20" t="n">
        <f aca="false">Parametres!$B$5*C513</f>
        <v>0</v>
      </c>
      <c r="F513" s="20" t="n">
        <f aca="false">Parametres!$B$6*D513</f>
        <v>0</v>
      </c>
      <c r="G513" s="20" t="n">
        <f aca="false">E513+F513</f>
        <v>0</v>
      </c>
      <c r="H513" s="20" t="n">
        <f aca="false">IF(G513&lt;Parametres!$B$8*Parametres!$B$7,0,MIN(G513,Parametres!$B$7))</f>
        <v>0</v>
      </c>
      <c r="I513" s="20" t="n">
        <f aca="false">G513-H513</f>
        <v>0</v>
      </c>
      <c r="J513" s="21" t="n">
        <f aca="false">H513*1000/Parametres!$B$9</f>
        <v>0</v>
      </c>
    </row>
    <row r="514" customFormat="false" ht="15" hidden="false" customHeight="false" outlineLevel="0" collapsed="false">
      <c r="A514" s="0" t="n">
        <v>510</v>
      </c>
      <c r="B514" s="0" t="n">
        <v>1</v>
      </c>
      <c r="C514" s="19" t="n">
        <v>0</v>
      </c>
      <c r="D514" s="19" t="n">
        <v>0</v>
      </c>
      <c r="E514" s="20" t="n">
        <f aca="false">Parametres!$B$5*C514</f>
        <v>0</v>
      </c>
      <c r="F514" s="20" t="n">
        <f aca="false">Parametres!$B$6*D514</f>
        <v>0</v>
      </c>
      <c r="G514" s="20" t="n">
        <f aca="false">E514+F514</f>
        <v>0</v>
      </c>
      <c r="H514" s="20" t="n">
        <f aca="false">IF(G514&lt;Parametres!$B$8*Parametres!$B$7,0,MIN(G514,Parametres!$B$7))</f>
        <v>0</v>
      </c>
      <c r="I514" s="20" t="n">
        <f aca="false">G514-H514</f>
        <v>0</v>
      </c>
      <c r="J514" s="21" t="n">
        <f aca="false">H514*1000/Parametres!$B$9</f>
        <v>0</v>
      </c>
    </row>
    <row r="515" customFormat="false" ht="15" hidden="false" customHeight="false" outlineLevel="0" collapsed="false">
      <c r="A515" s="0" t="n">
        <v>511</v>
      </c>
      <c r="B515" s="0" t="n">
        <v>1</v>
      </c>
      <c r="C515" s="19" t="n">
        <v>0</v>
      </c>
      <c r="D515" s="19" t="n">
        <v>0</v>
      </c>
      <c r="E515" s="20" t="n">
        <f aca="false">Parametres!$B$5*C515</f>
        <v>0</v>
      </c>
      <c r="F515" s="20" t="n">
        <f aca="false">Parametres!$B$6*D515</f>
        <v>0</v>
      </c>
      <c r="G515" s="20" t="n">
        <f aca="false">E515+F515</f>
        <v>0</v>
      </c>
      <c r="H515" s="20" t="n">
        <f aca="false">IF(G515&lt;Parametres!$B$8*Parametres!$B$7,0,MIN(G515,Parametres!$B$7))</f>
        <v>0</v>
      </c>
      <c r="I515" s="20" t="n">
        <f aca="false">G515-H515</f>
        <v>0</v>
      </c>
      <c r="J515" s="21" t="n">
        <f aca="false">H515*1000/Parametres!$B$9</f>
        <v>0</v>
      </c>
    </row>
    <row r="516" customFormat="false" ht="15" hidden="false" customHeight="false" outlineLevel="0" collapsed="false">
      <c r="A516" s="0" t="n">
        <v>512</v>
      </c>
      <c r="B516" s="0" t="n">
        <v>1</v>
      </c>
      <c r="C516" s="19" t="n">
        <v>0.1436</v>
      </c>
      <c r="D516" s="19" t="n">
        <v>0</v>
      </c>
      <c r="E516" s="20" t="n">
        <f aca="false">Parametres!$B$5*C516</f>
        <v>43.08</v>
      </c>
      <c r="F516" s="20" t="n">
        <f aca="false">Parametres!$B$6*D516</f>
        <v>0</v>
      </c>
      <c r="G516" s="20" t="n">
        <f aca="false">E516+F516</f>
        <v>43.08</v>
      </c>
      <c r="H516" s="20" t="n">
        <f aca="false">IF(G516&lt;Parametres!$B$8*Parametres!$B$7,0,MIN(G516,Parametres!$B$7))</f>
        <v>43.08</v>
      </c>
      <c r="I516" s="20" t="n">
        <f aca="false">G516-H516</f>
        <v>0</v>
      </c>
      <c r="J516" s="21" t="n">
        <f aca="false">H516*1000/Parametres!$B$9</f>
        <v>730.540953026963</v>
      </c>
    </row>
    <row r="517" customFormat="false" ht="15" hidden="false" customHeight="false" outlineLevel="0" collapsed="false">
      <c r="A517" s="0" t="n">
        <v>513</v>
      </c>
      <c r="B517" s="0" t="n">
        <v>1</v>
      </c>
      <c r="C517" s="19" t="n">
        <v>0.3412</v>
      </c>
      <c r="D517" s="19" t="n">
        <v>0</v>
      </c>
      <c r="E517" s="20" t="n">
        <f aca="false">Parametres!$B$5*C517</f>
        <v>102.36</v>
      </c>
      <c r="F517" s="20" t="n">
        <f aca="false">Parametres!$B$6*D517</f>
        <v>0</v>
      </c>
      <c r="G517" s="20" t="n">
        <f aca="false">E517+F517</f>
        <v>102.36</v>
      </c>
      <c r="H517" s="20" t="n">
        <f aca="false">IF(G517&lt;Parametres!$B$8*Parametres!$B$7,0,MIN(G517,Parametres!$B$7))</f>
        <v>102.36</v>
      </c>
      <c r="I517" s="20" t="n">
        <f aca="false">G517-H517</f>
        <v>0</v>
      </c>
      <c r="J517" s="21" t="n">
        <f aca="false">H517*1000/Parametres!$B$9</f>
        <v>1735.79786332033</v>
      </c>
    </row>
    <row r="518" customFormat="false" ht="15" hidden="false" customHeight="false" outlineLevel="0" collapsed="false">
      <c r="A518" s="0" t="n">
        <v>514</v>
      </c>
      <c r="B518" s="0" t="n">
        <v>1</v>
      </c>
      <c r="C518" s="19" t="n">
        <v>0.5483</v>
      </c>
      <c r="D518" s="19" t="n">
        <v>0</v>
      </c>
      <c r="E518" s="20" t="n">
        <f aca="false">Parametres!$B$5*C518</f>
        <v>164.49</v>
      </c>
      <c r="F518" s="20" t="n">
        <f aca="false">Parametres!$B$6*D518</f>
        <v>0</v>
      </c>
      <c r="G518" s="20" t="n">
        <f aca="false">E518+F518</f>
        <v>164.49</v>
      </c>
      <c r="H518" s="20" t="n">
        <f aca="false">IF(G518&lt;Parametres!$B$8*Parametres!$B$7,0,MIN(G518,Parametres!$B$7))</f>
        <v>164.49</v>
      </c>
      <c r="I518" s="20" t="n">
        <f aca="false">G518-H518</f>
        <v>0</v>
      </c>
      <c r="J518" s="21" t="n">
        <f aca="false">H518*1000/Parametres!$B$9</f>
        <v>2789.38443276242</v>
      </c>
    </row>
    <row r="519" customFormat="false" ht="15" hidden="false" customHeight="false" outlineLevel="0" collapsed="false">
      <c r="A519" s="0" t="n">
        <v>515</v>
      </c>
      <c r="B519" s="0" t="n">
        <v>1</v>
      </c>
      <c r="C519" s="19" t="n">
        <v>0.7145</v>
      </c>
      <c r="D519" s="19" t="n">
        <v>0</v>
      </c>
      <c r="E519" s="20" t="n">
        <f aca="false">Parametres!$B$5*C519</f>
        <v>214.35</v>
      </c>
      <c r="F519" s="20" t="n">
        <f aca="false">Parametres!$B$6*D519</f>
        <v>0</v>
      </c>
      <c r="G519" s="20" t="n">
        <f aca="false">E519+F519</f>
        <v>214.35</v>
      </c>
      <c r="H519" s="20" t="n">
        <f aca="false">IF(G519&lt;Parametres!$B$8*Parametres!$B$7,0,MIN(G519,Parametres!$B$7))</f>
        <v>214.35</v>
      </c>
      <c r="I519" s="20" t="n">
        <f aca="false">G519-H519</f>
        <v>0</v>
      </c>
      <c r="J519" s="21" t="n">
        <f aca="false">H519*1000/Parametres!$B$9</f>
        <v>3634.89910123792</v>
      </c>
    </row>
    <row r="520" customFormat="false" ht="15" hidden="false" customHeight="false" outlineLevel="0" collapsed="false">
      <c r="A520" s="0" t="n">
        <v>516</v>
      </c>
      <c r="B520" s="0" t="n">
        <v>1</v>
      </c>
      <c r="C520" s="19" t="n">
        <v>0.709</v>
      </c>
      <c r="D520" s="19" t="n">
        <v>0</v>
      </c>
      <c r="E520" s="20" t="n">
        <f aca="false">Parametres!$B$5*C520</f>
        <v>212.7</v>
      </c>
      <c r="F520" s="20" t="n">
        <f aca="false">Parametres!$B$6*D520</f>
        <v>0</v>
      </c>
      <c r="G520" s="20" t="n">
        <f aca="false">E520+F520</f>
        <v>212.7</v>
      </c>
      <c r="H520" s="20" t="n">
        <f aca="false">IF(G520&lt;Parametres!$B$8*Parametres!$B$7,0,MIN(G520,Parametres!$B$7))</f>
        <v>212.7</v>
      </c>
      <c r="I520" s="20" t="n">
        <f aca="false">G520-H520</f>
        <v>0</v>
      </c>
      <c r="J520" s="21" t="n">
        <f aca="false">H520*1000/Parametres!$B$9</f>
        <v>3606.91877225708</v>
      </c>
    </row>
    <row r="521" customFormat="false" ht="15" hidden="false" customHeight="false" outlineLevel="0" collapsed="false">
      <c r="A521" s="0" t="n">
        <v>517</v>
      </c>
      <c r="B521" s="0" t="n">
        <v>1</v>
      </c>
      <c r="C521" s="19" t="n">
        <v>0.7432</v>
      </c>
      <c r="D521" s="19" t="n">
        <v>0</v>
      </c>
      <c r="E521" s="20" t="n">
        <f aca="false">Parametres!$B$5*C521</f>
        <v>222.96</v>
      </c>
      <c r="F521" s="20" t="n">
        <f aca="false">Parametres!$B$6*D521</f>
        <v>0</v>
      </c>
      <c r="G521" s="20" t="n">
        <f aca="false">E521+F521</f>
        <v>222.96</v>
      </c>
      <c r="H521" s="20" t="n">
        <f aca="false">IF(G521&lt;Parametres!$B$8*Parametres!$B$7,0,MIN(G521,Parametres!$B$7))</f>
        <v>222.96</v>
      </c>
      <c r="I521" s="20" t="n">
        <f aca="false">G521-H521</f>
        <v>0</v>
      </c>
      <c r="J521" s="21" t="n">
        <f aca="false">H521*1000/Parametres!$B$9</f>
        <v>3780.90554519247</v>
      </c>
    </row>
    <row r="522" customFormat="false" ht="15" hidden="false" customHeight="false" outlineLevel="0" collapsed="false">
      <c r="A522" s="0" t="n">
        <v>518</v>
      </c>
      <c r="B522" s="0" t="n">
        <v>1</v>
      </c>
      <c r="C522" s="19" t="n">
        <v>0.6832</v>
      </c>
      <c r="D522" s="19" t="n">
        <v>0.0004</v>
      </c>
      <c r="E522" s="20" t="n">
        <f aca="false">Parametres!$B$5*C522</f>
        <v>204.96</v>
      </c>
      <c r="F522" s="20" t="n">
        <f aca="false">Parametres!$B$6*D522</f>
        <v>0.08</v>
      </c>
      <c r="G522" s="20" t="n">
        <f aca="false">E522+F522</f>
        <v>205.04</v>
      </c>
      <c r="H522" s="20" t="n">
        <f aca="false">IF(G522&lt;Parametres!$B$8*Parametres!$B$7,0,MIN(G522,Parametres!$B$7))</f>
        <v>205.04</v>
      </c>
      <c r="I522" s="20" t="n">
        <f aca="false">G522-H522</f>
        <v>0</v>
      </c>
      <c r="J522" s="21" t="n">
        <f aca="false">H522*1000/Parametres!$B$9</f>
        <v>3477.02221468543</v>
      </c>
    </row>
    <row r="523" customFormat="false" ht="15" hidden="false" customHeight="false" outlineLevel="0" collapsed="false">
      <c r="A523" s="0" t="n">
        <v>519</v>
      </c>
      <c r="B523" s="0" t="n">
        <v>1</v>
      </c>
      <c r="C523" s="19" t="n">
        <v>0.5364</v>
      </c>
      <c r="D523" s="19" t="n">
        <v>0.0024</v>
      </c>
      <c r="E523" s="20" t="n">
        <f aca="false">Parametres!$B$5*C523</f>
        <v>160.92</v>
      </c>
      <c r="F523" s="20" t="n">
        <f aca="false">Parametres!$B$6*D523</f>
        <v>0.48</v>
      </c>
      <c r="G523" s="20" t="n">
        <f aca="false">E523+F523</f>
        <v>161.4</v>
      </c>
      <c r="H523" s="20" t="n">
        <f aca="false">IF(G523&lt;Parametres!$B$8*Parametres!$B$7,0,MIN(G523,Parametres!$B$7))</f>
        <v>161.4</v>
      </c>
      <c r="I523" s="20" t="n">
        <f aca="false">G523-H523</f>
        <v>0</v>
      </c>
      <c r="J523" s="21" t="n">
        <f aca="false">H523*1000/Parametres!$B$9</f>
        <v>2736.98490758013</v>
      </c>
    </row>
    <row r="524" customFormat="false" ht="15" hidden="false" customHeight="false" outlineLevel="0" collapsed="false">
      <c r="A524" s="0" t="n">
        <v>520</v>
      </c>
      <c r="B524" s="0" t="n">
        <v>1</v>
      </c>
      <c r="C524" s="19" t="n">
        <v>0.35</v>
      </c>
      <c r="D524" s="19" t="n">
        <v>0.0025</v>
      </c>
      <c r="E524" s="20" t="n">
        <f aca="false">Parametres!$B$5*C524</f>
        <v>105</v>
      </c>
      <c r="F524" s="20" t="n">
        <f aca="false">Parametres!$B$6*D524</f>
        <v>0.5</v>
      </c>
      <c r="G524" s="20" t="n">
        <f aca="false">E524+F524</f>
        <v>105.5</v>
      </c>
      <c r="H524" s="20" t="n">
        <f aca="false">IF(G524&lt;Parametres!$B$8*Parametres!$B$7,0,MIN(G524,Parametres!$B$7))</f>
        <v>105.5</v>
      </c>
      <c r="I524" s="20" t="n">
        <f aca="false">G524-H524</f>
        <v>0</v>
      </c>
      <c r="J524" s="21" t="n">
        <f aca="false">H524*1000/Parametres!$B$9</f>
        <v>1789.04527725962</v>
      </c>
    </row>
    <row r="525" customFormat="false" ht="15" hidden="false" customHeight="false" outlineLevel="0" collapsed="false">
      <c r="A525" s="0" t="n">
        <v>521</v>
      </c>
      <c r="B525" s="0" t="n">
        <v>1</v>
      </c>
      <c r="C525" s="19" t="n">
        <v>0.1522</v>
      </c>
      <c r="D525" s="19" t="n">
        <v>0.001</v>
      </c>
      <c r="E525" s="20" t="n">
        <f aca="false">Parametres!$B$5*C525</f>
        <v>45.66</v>
      </c>
      <c r="F525" s="20" t="n">
        <f aca="false">Parametres!$B$6*D525</f>
        <v>0.2</v>
      </c>
      <c r="G525" s="20" t="n">
        <f aca="false">E525+F525</f>
        <v>45.86</v>
      </c>
      <c r="H525" s="20" t="n">
        <f aca="false">IF(G525&lt;Parametres!$B$8*Parametres!$B$7,0,MIN(G525,Parametres!$B$7))</f>
        <v>45.86</v>
      </c>
      <c r="I525" s="20" t="n">
        <f aca="false">G525-H525</f>
        <v>0</v>
      </c>
      <c r="J525" s="21" t="n">
        <f aca="false">H525*1000/Parametres!$B$9</f>
        <v>777.68356791589</v>
      </c>
    </row>
    <row r="526" customFormat="false" ht="15" hidden="false" customHeight="false" outlineLevel="0" collapsed="false">
      <c r="A526" s="0" t="n">
        <v>522</v>
      </c>
      <c r="B526" s="0" t="n">
        <v>1</v>
      </c>
      <c r="C526" s="19" t="n">
        <v>0</v>
      </c>
      <c r="D526" s="19" t="n">
        <v>0</v>
      </c>
      <c r="E526" s="20" t="n">
        <f aca="false">Parametres!$B$5*C526</f>
        <v>0</v>
      </c>
      <c r="F526" s="20" t="n">
        <f aca="false">Parametres!$B$6*D526</f>
        <v>0</v>
      </c>
      <c r="G526" s="20" t="n">
        <f aca="false">E526+F526</f>
        <v>0</v>
      </c>
      <c r="H526" s="20" t="n">
        <f aca="false">IF(G526&lt;Parametres!$B$8*Parametres!$B$7,0,MIN(G526,Parametres!$B$7))</f>
        <v>0</v>
      </c>
      <c r="I526" s="20" t="n">
        <f aca="false">G526-H526</f>
        <v>0</v>
      </c>
      <c r="J526" s="21" t="n">
        <f aca="false">H526*1000/Parametres!$B$9</f>
        <v>0</v>
      </c>
    </row>
    <row r="527" customFormat="false" ht="15" hidden="false" customHeight="false" outlineLevel="0" collapsed="false">
      <c r="A527" s="0" t="n">
        <v>523</v>
      </c>
      <c r="B527" s="0" t="n">
        <v>1</v>
      </c>
      <c r="C527" s="19" t="n">
        <v>0</v>
      </c>
      <c r="D527" s="19" t="n">
        <v>0</v>
      </c>
      <c r="E527" s="20" t="n">
        <f aca="false">Parametres!$B$5*C527</f>
        <v>0</v>
      </c>
      <c r="F527" s="20" t="n">
        <f aca="false">Parametres!$B$6*D527</f>
        <v>0</v>
      </c>
      <c r="G527" s="20" t="n">
        <f aca="false">E527+F527</f>
        <v>0</v>
      </c>
      <c r="H527" s="20" t="n">
        <f aca="false">IF(G527&lt;Parametres!$B$8*Parametres!$B$7,0,MIN(G527,Parametres!$B$7))</f>
        <v>0</v>
      </c>
      <c r="I527" s="20" t="n">
        <f aca="false">G527-H527</f>
        <v>0</v>
      </c>
      <c r="J527" s="21" t="n">
        <f aca="false">H527*1000/Parametres!$B$9</f>
        <v>0</v>
      </c>
    </row>
    <row r="528" customFormat="false" ht="15" hidden="false" customHeight="false" outlineLevel="0" collapsed="false">
      <c r="A528" s="0" t="n">
        <v>524</v>
      </c>
      <c r="B528" s="0" t="n">
        <v>1</v>
      </c>
      <c r="C528" s="19" t="n">
        <v>0</v>
      </c>
      <c r="D528" s="19" t="n">
        <v>0.0001</v>
      </c>
      <c r="E528" s="20" t="n">
        <f aca="false">Parametres!$B$5*C528</f>
        <v>0</v>
      </c>
      <c r="F528" s="20" t="n">
        <f aca="false">Parametres!$B$6*D528</f>
        <v>0.02</v>
      </c>
      <c r="G528" s="20" t="n">
        <f aca="false">E528+F528</f>
        <v>0.02</v>
      </c>
      <c r="H528" s="20" t="n">
        <f aca="false">IF(G528&lt;Parametres!$B$8*Parametres!$B$7,0,MIN(G528,Parametres!$B$7))</f>
        <v>0</v>
      </c>
      <c r="I528" s="20" t="n">
        <f aca="false">G528-H528</f>
        <v>0.02</v>
      </c>
      <c r="J528" s="21" t="n">
        <f aca="false">H528*1000/Parametres!$B$9</f>
        <v>0</v>
      </c>
    </row>
    <row r="529" customFormat="false" ht="15" hidden="false" customHeight="false" outlineLevel="0" collapsed="false">
      <c r="A529" s="0" t="n">
        <v>525</v>
      </c>
      <c r="B529" s="0" t="n">
        <v>1</v>
      </c>
      <c r="C529" s="19" t="n">
        <v>0</v>
      </c>
      <c r="D529" s="19" t="n">
        <v>0</v>
      </c>
      <c r="E529" s="20" t="n">
        <f aca="false">Parametres!$B$5*C529</f>
        <v>0</v>
      </c>
      <c r="F529" s="20" t="n">
        <f aca="false">Parametres!$B$6*D529</f>
        <v>0</v>
      </c>
      <c r="G529" s="20" t="n">
        <f aca="false">E529+F529</f>
        <v>0</v>
      </c>
      <c r="H529" s="20" t="n">
        <f aca="false">IF(G529&lt;Parametres!$B$8*Parametres!$B$7,0,MIN(G529,Parametres!$B$7))</f>
        <v>0</v>
      </c>
      <c r="I529" s="20" t="n">
        <f aca="false">G529-H529</f>
        <v>0</v>
      </c>
      <c r="J529" s="21" t="n">
        <f aca="false">H529*1000/Parametres!$B$9</f>
        <v>0</v>
      </c>
    </row>
    <row r="530" customFormat="false" ht="15" hidden="false" customHeight="false" outlineLevel="0" collapsed="false">
      <c r="A530" s="0" t="n">
        <v>526</v>
      </c>
      <c r="B530" s="0" t="n">
        <v>1</v>
      </c>
      <c r="C530" s="19" t="n">
        <v>0</v>
      </c>
      <c r="D530" s="19" t="n">
        <v>0</v>
      </c>
      <c r="E530" s="20" t="n">
        <f aca="false">Parametres!$B$5*C530</f>
        <v>0</v>
      </c>
      <c r="F530" s="20" t="n">
        <f aca="false">Parametres!$B$6*D530</f>
        <v>0</v>
      </c>
      <c r="G530" s="20" t="n">
        <f aca="false">E530+F530</f>
        <v>0</v>
      </c>
      <c r="H530" s="20" t="n">
        <f aca="false">IF(G530&lt;Parametres!$B$8*Parametres!$B$7,0,MIN(G530,Parametres!$B$7))</f>
        <v>0</v>
      </c>
      <c r="I530" s="20" t="n">
        <f aca="false">G530-H530</f>
        <v>0</v>
      </c>
      <c r="J530" s="21" t="n">
        <f aca="false">H530*1000/Parametres!$B$9</f>
        <v>0</v>
      </c>
    </row>
    <row r="531" customFormat="false" ht="15" hidden="false" customHeight="false" outlineLevel="0" collapsed="false">
      <c r="A531" s="0" t="n">
        <v>527</v>
      </c>
      <c r="B531" s="0" t="n">
        <v>1</v>
      </c>
      <c r="C531" s="19" t="n">
        <v>0</v>
      </c>
      <c r="D531" s="19" t="n">
        <v>0.0003</v>
      </c>
      <c r="E531" s="20" t="n">
        <f aca="false">Parametres!$B$5*C531</f>
        <v>0</v>
      </c>
      <c r="F531" s="20" t="n">
        <f aca="false">Parametres!$B$6*D531</f>
        <v>0.06</v>
      </c>
      <c r="G531" s="20" t="n">
        <f aca="false">E531+F531</f>
        <v>0.06</v>
      </c>
      <c r="H531" s="20" t="n">
        <f aca="false">IF(G531&lt;Parametres!$B$8*Parametres!$B$7,0,MIN(G531,Parametres!$B$7))</f>
        <v>0</v>
      </c>
      <c r="I531" s="20" t="n">
        <f aca="false">G531-H531</f>
        <v>0.06</v>
      </c>
      <c r="J531" s="21" t="n">
        <f aca="false">H531*1000/Parametres!$B$9</f>
        <v>0</v>
      </c>
    </row>
    <row r="532" customFormat="false" ht="15" hidden="false" customHeight="false" outlineLevel="0" collapsed="false">
      <c r="A532" s="0" t="n">
        <v>528</v>
      </c>
      <c r="B532" s="0" t="n">
        <v>1</v>
      </c>
      <c r="C532" s="19" t="n">
        <v>0</v>
      </c>
      <c r="D532" s="19" t="n">
        <v>0</v>
      </c>
      <c r="E532" s="20" t="n">
        <f aca="false">Parametres!$B$5*C532</f>
        <v>0</v>
      </c>
      <c r="F532" s="20" t="n">
        <f aca="false">Parametres!$B$6*D532</f>
        <v>0</v>
      </c>
      <c r="G532" s="20" t="n">
        <f aca="false">E532+F532</f>
        <v>0</v>
      </c>
      <c r="H532" s="20" t="n">
        <f aca="false">IF(G532&lt;Parametres!$B$8*Parametres!$B$7,0,MIN(G532,Parametres!$B$7))</f>
        <v>0</v>
      </c>
      <c r="I532" s="20" t="n">
        <f aca="false">G532-H532</f>
        <v>0</v>
      </c>
      <c r="J532" s="21" t="n">
        <f aca="false">H532*1000/Parametres!$B$9</f>
        <v>0</v>
      </c>
    </row>
    <row r="533" customFormat="false" ht="15" hidden="false" customHeight="false" outlineLevel="0" collapsed="false">
      <c r="A533" s="0" t="n">
        <v>529</v>
      </c>
      <c r="B533" s="0" t="n">
        <v>1</v>
      </c>
      <c r="C533" s="19" t="n">
        <v>0</v>
      </c>
      <c r="D533" s="19" t="n">
        <v>0</v>
      </c>
      <c r="E533" s="20" t="n">
        <f aca="false">Parametres!$B$5*C533</f>
        <v>0</v>
      </c>
      <c r="F533" s="20" t="n">
        <f aca="false">Parametres!$B$6*D533</f>
        <v>0</v>
      </c>
      <c r="G533" s="20" t="n">
        <f aca="false">E533+F533</f>
        <v>0</v>
      </c>
      <c r="H533" s="20" t="n">
        <f aca="false">IF(G533&lt;Parametres!$B$8*Parametres!$B$7,0,MIN(G533,Parametres!$B$7))</f>
        <v>0</v>
      </c>
      <c r="I533" s="20" t="n">
        <f aca="false">G533-H533</f>
        <v>0</v>
      </c>
      <c r="J533" s="21" t="n">
        <f aca="false">H533*1000/Parametres!$B$9</f>
        <v>0</v>
      </c>
    </row>
    <row r="534" customFormat="false" ht="15" hidden="false" customHeight="false" outlineLevel="0" collapsed="false">
      <c r="A534" s="0" t="n">
        <v>530</v>
      </c>
      <c r="B534" s="0" t="n">
        <v>1</v>
      </c>
      <c r="C534" s="19" t="n">
        <v>0</v>
      </c>
      <c r="D534" s="19" t="n">
        <v>0</v>
      </c>
      <c r="E534" s="20" t="n">
        <f aca="false">Parametres!$B$5*C534</f>
        <v>0</v>
      </c>
      <c r="F534" s="20" t="n">
        <f aca="false">Parametres!$B$6*D534</f>
        <v>0</v>
      </c>
      <c r="G534" s="20" t="n">
        <f aca="false">E534+F534</f>
        <v>0</v>
      </c>
      <c r="H534" s="20" t="n">
        <f aca="false">IF(G534&lt;Parametres!$B$8*Parametres!$B$7,0,MIN(G534,Parametres!$B$7))</f>
        <v>0</v>
      </c>
      <c r="I534" s="20" t="n">
        <f aca="false">G534-H534</f>
        <v>0</v>
      </c>
      <c r="J534" s="21" t="n">
        <f aca="false">H534*1000/Parametres!$B$9</f>
        <v>0</v>
      </c>
    </row>
    <row r="535" customFormat="false" ht="15" hidden="false" customHeight="false" outlineLevel="0" collapsed="false">
      <c r="A535" s="0" t="n">
        <v>531</v>
      </c>
      <c r="B535" s="0" t="n">
        <v>1</v>
      </c>
      <c r="C535" s="19" t="n">
        <v>0</v>
      </c>
      <c r="D535" s="19" t="n">
        <v>0</v>
      </c>
      <c r="E535" s="20" t="n">
        <f aca="false">Parametres!$B$5*C535</f>
        <v>0</v>
      </c>
      <c r="F535" s="20" t="n">
        <f aca="false">Parametres!$B$6*D535</f>
        <v>0</v>
      </c>
      <c r="G535" s="20" t="n">
        <f aca="false">E535+F535</f>
        <v>0</v>
      </c>
      <c r="H535" s="20" t="n">
        <f aca="false">IF(G535&lt;Parametres!$B$8*Parametres!$B$7,0,MIN(G535,Parametres!$B$7))</f>
        <v>0</v>
      </c>
      <c r="I535" s="20" t="n">
        <f aca="false">G535-H535</f>
        <v>0</v>
      </c>
      <c r="J535" s="21" t="n">
        <f aca="false">H535*1000/Parametres!$B$9</f>
        <v>0</v>
      </c>
    </row>
    <row r="536" customFormat="false" ht="15" hidden="false" customHeight="false" outlineLevel="0" collapsed="false">
      <c r="A536" s="0" t="n">
        <v>532</v>
      </c>
      <c r="B536" s="0" t="n">
        <v>1</v>
      </c>
      <c r="C536" s="19" t="n">
        <v>0</v>
      </c>
      <c r="D536" s="19" t="n">
        <v>0</v>
      </c>
      <c r="E536" s="20" t="n">
        <f aca="false">Parametres!$B$5*C536</f>
        <v>0</v>
      </c>
      <c r="F536" s="20" t="n">
        <f aca="false">Parametres!$B$6*D536</f>
        <v>0</v>
      </c>
      <c r="G536" s="20" t="n">
        <f aca="false">E536+F536</f>
        <v>0</v>
      </c>
      <c r="H536" s="20" t="n">
        <f aca="false">IF(G536&lt;Parametres!$B$8*Parametres!$B$7,0,MIN(G536,Parametres!$B$7))</f>
        <v>0</v>
      </c>
      <c r="I536" s="20" t="n">
        <f aca="false">G536-H536</f>
        <v>0</v>
      </c>
      <c r="J536" s="21" t="n">
        <f aca="false">H536*1000/Parametres!$B$9</f>
        <v>0</v>
      </c>
    </row>
    <row r="537" customFormat="false" ht="15" hidden="false" customHeight="false" outlineLevel="0" collapsed="false">
      <c r="A537" s="0" t="n">
        <v>533</v>
      </c>
      <c r="B537" s="0" t="n">
        <v>1</v>
      </c>
      <c r="C537" s="19" t="n">
        <v>0</v>
      </c>
      <c r="D537" s="19" t="n">
        <v>0</v>
      </c>
      <c r="E537" s="20" t="n">
        <f aca="false">Parametres!$B$5*C537</f>
        <v>0</v>
      </c>
      <c r="F537" s="20" t="n">
        <f aca="false">Parametres!$B$6*D537</f>
        <v>0</v>
      </c>
      <c r="G537" s="20" t="n">
        <f aca="false">E537+F537</f>
        <v>0</v>
      </c>
      <c r="H537" s="20" t="n">
        <f aca="false">IF(G537&lt;Parametres!$B$8*Parametres!$B$7,0,MIN(G537,Parametres!$B$7))</f>
        <v>0</v>
      </c>
      <c r="I537" s="20" t="n">
        <f aca="false">G537-H537</f>
        <v>0</v>
      </c>
      <c r="J537" s="21" t="n">
        <f aca="false">H537*1000/Parametres!$B$9</f>
        <v>0</v>
      </c>
    </row>
    <row r="538" customFormat="false" ht="15" hidden="false" customHeight="false" outlineLevel="0" collapsed="false">
      <c r="A538" s="0" t="n">
        <v>534</v>
      </c>
      <c r="B538" s="0" t="n">
        <v>1</v>
      </c>
      <c r="C538" s="19" t="n">
        <v>0</v>
      </c>
      <c r="D538" s="19" t="n">
        <v>0</v>
      </c>
      <c r="E538" s="20" t="n">
        <f aca="false">Parametres!$B$5*C538</f>
        <v>0</v>
      </c>
      <c r="F538" s="20" t="n">
        <f aca="false">Parametres!$B$6*D538</f>
        <v>0</v>
      </c>
      <c r="G538" s="20" t="n">
        <f aca="false">E538+F538</f>
        <v>0</v>
      </c>
      <c r="H538" s="20" t="n">
        <f aca="false">IF(G538&lt;Parametres!$B$8*Parametres!$B$7,0,MIN(G538,Parametres!$B$7))</f>
        <v>0</v>
      </c>
      <c r="I538" s="20" t="n">
        <f aca="false">G538-H538</f>
        <v>0</v>
      </c>
      <c r="J538" s="21" t="n">
        <f aca="false">H538*1000/Parametres!$B$9</f>
        <v>0</v>
      </c>
    </row>
    <row r="539" customFormat="false" ht="15" hidden="false" customHeight="false" outlineLevel="0" collapsed="false">
      <c r="A539" s="0" t="n">
        <v>535</v>
      </c>
      <c r="B539" s="0" t="n">
        <v>1</v>
      </c>
      <c r="C539" s="19" t="n">
        <v>0</v>
      </c>
      <c r="D539" s="19" t="n">
        <v>0</v>
      </c>
      <c r="E539" s="20" t="n">
        <f aca="false">Parametres!$B$5*C539</f>
        <v>0</v>
      </c>
      <c r="F539" s="20" t="n">
        <f aca="false">Parametres!$B$6*D539</f>
        <v>0</v>
      </c>
      <c r="G539" s="20" t="n">
        <f aca="false">E539+F539</f>
        <v>0</v>
      </c>
      <c r="H539" s="20" t="n">
        <f aca="false">IF(G539&lt;Parametres!$B$8*Parametres!$B$7,0,MIN(G539,Parametres!$B$7))</f>
        <v>0</v>
      </c>
      <c r="I539" s="20" t="n">
        <f aca="false">G539-H539</f>
        <v>0</v>
      </c>
      <c r="J539" s="21" t="n">
        <f aca="false">H539*1000/Parametres!$B$9</f>
        <v>0</v>
      </c>
    </row>
    <row r="540" customFormat="false" ht="15" hidden="false" customHeight="false" outlineLevel="0" collapsed="false">
      <c r="A540" s="0" t="n">
        <v>536</v>
      </c>
      <c r="B540" s="0" t="n">
        <v>1</v>
      </c>
      <c r="C540" s="19" t="n">
        <v>0.1627</v>
      </c>
      <c r="D540" s="19" t="n">
        <v>0.0002</v>
      </c>
      <c r="E540" s="20" t="n">
        <f aca="false">Parametres!$B$5*C540</f>
        <v>48.81</v>
      </c>
      <c r="F540" s="20" t="n">
        <f aca="false">Parametres!$B$6*D540</f>
        <v>0.04</v>
      </c>
      <c r="G540" s="20" t="n">
        <f aca="false">E540+F540</f>
        <v>48.85</v>
      </c>
      <c r="H540" s="20" t="n">
        <f aca="false">IF(G540&lt;Parametres!$B$8*Parametres!$B$7,0,MIN(G540,Parametres!$B$7))</f>
        <v>48.85</v>
      </c>
      <c r="I540" s="20" t="n">
        <f aca="false">G540-H540</f>
        <v>0</v>
      </c>
      <c r="J540" s="21" t="n">
        <f aca="false">H540*1000/Parametres!$B$9</f>
        <v>828.387315584195</v>
      </c>
    </row>
    <row r="541" customFormat="false" ht="15" hidden="false" customHeight="false" outlineLevel="0" collapsed="false">
      <c r="A541" s="0" t="n">
        <v>537</v>
      </c>
      <c r="B541" s="0" t="n">
        <v>1</v>
      </c>
      <c r="C541" s="19" t="n">
        <v>0.4301</v>
      </c>
      <c r="D541" s="19" t="n">
        <v>0.0033</v>
      </c>
      <c r="E541" s="20" t="n">
        <f aca="false">Parametres!$B$5*C541</f>
        <v>129.03</v>
      </c>
      <c r="F541" s="20" t="n">
        <f aca="false">Parametres!$B$6*D541</f>
        <v>0.66</v>
      </c>
      <c r="G541" s="20" t="n">
        <f aca="false">E541+F541</f>
        <v>129.69</v>
      </c>
      <c r="H541" s="20" t="n">
        <f aca="false">IF(G541&lt;Parametres!$B$8*Parametres!$B$7,0,MIN(G541,Parametres!$B$7))</f>
        <v>129.69</v>
      </c>
      <c r="I541" s="20" t="n">
        <f aca="false">G541-H541</f>
        <v>0</v>
      </c>
      <c r="J541" s="21" t="n">
        <f aca="false">H541*1000/Parametres!$B$9</f>
        <v>2199.25385789384</v>
      </c>
    </row>
    <row r="542" customFormat="false" ht="15" hidden="false" customHeight="false" outlineLevel="0" collapsed="false">
      <c r="A542" s="0" t="n">
        <v>538</v>
      </c>
      <c r="B542" s="0" t="n">
        <v>1</v>
      </c>
      <c r="C542" s="19" t="n">
        <v>0.6183</v>
      </c>
      <c r="D542" s="19" t="n">
        <v>0.0038</v>
      </c>
      <c r="E542" s="20" t="n">
        <f aca="false">Parametres!$B$5*C542</f>
        <v>185.49</v>
      </c>
      <c r="F542" s="20" t="n">
        <f aca="false">Parametres!$B$6*D542</f>
        <v>0.76</v>
      </c>
      <c r="G542" s="20" t="n">
        <f aca="false">E542+F542</f>
        <v>186.25</v>
      </c>
      <c r="H542" s="20" t="n">
        <f aca="false">IF(G542&lt;Parametres!$B$8*Parametres!$B$7,0,MIN(G542,Parametres!$B$7))</f>
        <v>186.25</v>
      </c>
      <c r="I542" s="20" t="n">
        <f aca="false">G542-H542</f>
        <v>0</v>
      </c>
      <c r="J542" s="21" t="n">
        <f aca="false">H542*1000/Parametres!$B$9</f>
        <v>3158.38561980668</v>
      </c>
    </row>
    <row r="543" customFormat="false" ht="15" hidden="false" customHeight="false" outlineLevel="0" collapsed="false">
      <c r="A543" s="0" t="n">
        <v>539</v>
      </c>
      <c r="B543" s="0" t="n">
        <v>1</v>
      </c>
      <c r="C543" s="19" t="n">
        <v>0.8298</v>
      </c>
      <c r="D543" s="19" t="n">
        <v>0.0077</v>
      </c>
      <c r="E543" s="20" t="n">
        <f aca="false">Parametres!$B$5*C543</f>
        <v>248.94</v>
      </c>
      <c r="F543" s="20" t="n">
        <f aca="false">Parametres!$B$6*D543</f>
        <v>1.54</v>
      </c>
      <c r="G543" s="20" t="n">
        <f aca="false">E543+F543</f>
        <v>250.48</v>
      </c>
      <c r="H543" s="20" t="n">
        <f aca="false">IF(G543&lt;Parametres!$B$8*Parametres!$B$7,0,MIN(G543,Parametres!$B$7))</f>
        <v>250</v>
      </c>
      <c r="I543" s="20" t="n">
        <f aca="false">G543-H543</f>
        <v>0.47999999999999</v>
      </c>
      <c r="J543" s="21" t="n">
        <f aca="false">H543*1000/Parametres!$B$9</f>
        <v>4239.44378497541</v>
      </c>
    </row>
    <row r="544" customFormat="false" ht="15" hidden="false" customHeight="false" outlineLevel="0" collapsed="false">
      <c r="A544" s="0" t="n">
        <v>540</v>
      </c>
      <c r="B544" s="0" t="n">
        <v>1</v>
      </c>
      <c r="C544" s="19" t="n">
        <v>0.9287</v>
      </c>
      <c r="D544" s="19" t="n">
        <v>0.0191</v>
      </c>
      <c r="E544" s="20" t="n">
        <f aca="false">Parametres!$B$5*C544</f>
        <v>278.61</v>
      </c>
      <c r="F544" s="20" t="n">
        <f aca="false">Parametres!$B$6*D544</f>
        <v>3.82</v>
      </c>
      <c r="G544" s="20" t="n">
        <f aca="false">E544+F544</f>
        <v>282.43</v>
      </c>
      <c r="H544" s="20" t="n">
        <f aca="false">IF(G544&lt;Parametres!$B$8*Parametres!$B$7,0,MIN(G544,Parametres!$B$7))</f>
        <v>250</v>
      </c>
      <c r="I544" s="20" t="n">
        <f aca="false">G544-H544</f>
        <v>32.43</v>
      </c>
      <c r="J544" s="21" t="n">
        <f aca="false">H544*1000/Parametres!$B$9</f>
        <v>4239.44378497541</v>
      </c>
    </row>
    <row r="545" customFormat="false" ht="15" hidden="false" customHeight="false" outlineLevel="0" collapsed="false">
      <c r="A545" s="0" t="n">
        <v>541</v>
      </c>
      <c r="B545" s="0" t="n">
        <v>1</v>
      </c>
      <c r="C545" s="19" t="n">
        <v>0.8252</v>
      </c>
      <c r="D545" s="19" t="n">
        <v>0.0403</v>
      </c>
      <c r="E545" s="20" t="n">
        <f aca="false">Parametres!$B$5*C545</f>
        <v>247.56</v>
      </c>
      <c r="F545" s="20" t="n">
        <f aca="false">Parametres!$B$6*D545</f>
        <v>8.06</v>
      </c>
      <c r="G545" s="20" t="n">
        <f aca="false">E545+F545</f>
        <v>255.62</v>
      </c>
      <c r="H545" s="20" t="n">
        <f aca="false">IF(G545&lt;Parametres!$B$8*Parametres!$B$7,0,MIN(G545,Parametres!$B$7))</f>
        <v>250</v>
      </c>
      <c r="I545" s="20" t="n">
        <f aca="false">G545-H545</f>
        <v>5.62</v>
      </c>
      <c r="J545" s="21" t="n">
        <f aca="false">H545*1000/Parametres!$B$9</f>
        <v>4239.44378497541</v>
      </c>
    </row>
    <row r="546" customFormat="false" ht="15" hidden="false" customHeight="false" outlineLevel="0" collapsed="false">
      <c r="A546" s="0" t="n">
        <v>542</v>
      </c>
      <c r="B546" s="0" t="n">
        <v>1</v>
      </c>
      <c r="C546" s="19" t="n">
        <v>0.7985</v>
      </c>
      <c r="D546" s="19" t="n">
        <v>0.0427</v>
      </c>
      <c r="E546" s="20" t="n">
        <f aca="false">Parametres!$B$5*C546</f>
        <v>239.55</v>
      </c>
      <c r="F546" s="20" t="n">
        <f aca="false">Parametres!$B$6*D546</f>
        <v>8.54</v>
      </c>
      <c r="G546" s="20" t="n">
        <f aca="false">E546+F546</f>
        <v>248.09</v>
      </c>
      <c r="H546" s="20" t="n">
        <f aca="false">IF(G546&lt;Parametres!$B$8*Parametres!$B$7,0,MIN(G546,Parametres!$B$7))</f>
        <v>248.09</v>
      </c>
      <c r="I546" s="20" t="n">
        <f aca="false">G546-H546</f>
        <v>0</v>
      </c>
      <c r="J546" s="21" t="n">
        <f aca="false">H546*1000/Parametres!$B$9</f>
        <v>4207.0544344582</v>
      </c>
    </row>
    <row r="547" customFormat="false" ht="15" hidden="false" customHeight="false" outlineLevel="0" collapsed="false">
      <c r="A547" s="0" t="n">
        <v>543</v>
      </c>
      <c r="B547" s="0" t="n">
        <v>1</v>
      </c>
      <c r="C547" s="19" t="n">
        <v>0.6001</v>
      </c>
      <c r="D547" s="19" t="n">
        <v>0.0324</v>
      </c>
      <c r="E547" s="20" t="n">
        <f aca="false">Parametres!$B$5*C547</f>
        <v>180.03</v>
      </c>
      <c r="F547" s="20" t="n">
        <f aca="false">Parametres!$B$6*D547</f>
        <v>6.48</v>
      </c>
      <c r="G547" s="20" t="n">
        <f aca="false">E547+F547</f>
        <v>186.51</v>
      </c>
      <c r="H547" s="20" t="n">
        <f aca="false">IF(G547&lt;Parametres!$B$8*Parametres!$B$7,0,MIN(G547,Parametres!$B$7))</f>
        <v>186.51</v>
      </c>
      <c r="I547" s="20" t="n">
        <f aca="false">G547-H547</f>
        <v>0</v>
      </c>
      <c r="J547" s="21" t="n">
        <f aca="false">H547*1000/Parametres!$B$9</f>
        <v>3162.79464134306</v>
      </c>
    </row>
    <row r="548" customFormat="false" ht="15" hidden="false" customHeight="false" outlineLevel="0" collapsed="false">
      <c r="A548" s="0" t="n">
        <v>544</v>
      </c>
      <c r="B548" s="0" t="n">
        <v>1</v>
      </c>
      <c r="C548" s="19" t="n">
        <v>0.4188</v>
      </c>
      <c r="D548" s="19" t="n">
        <v>0.0367</v>
      </c>
      <c r="E548" s="20" t="n">
        <f aca="false">Parametres!$B$5*C548</f>
        <v>125.64</v>
      </c>
      <c r="F548" s="20" t="n">
        <f aca="false">Parametres!$B$6*D548</f>
        <v>7.34</v>
      </c>
      <c r="G548" s="20" t="n">
        <f aca="false">E548+F548</f>
        <v>132.98</v>
      </c>
      <c r="H548" s="20" t="n">
        <f aca="false">IF(G548&lt;Parametres!$B$8*Parametres!$B$7,0,MIN(G548,Parametres!$B$7))</f>
        <v>132.98</v>
      </c>
      <c r="I548" s="20" t="n">
        <f aca="false">G548-H548</f>
        <v>0</v>
      </c>
      <c r="J548" s="21" t="n">
        <f aca="false">H548*1000/Parametres!$B$9</f>
        <v>2255.04493810412</v>
      </c>
    </row>
    <row r="549" customFormat="false" ht="15" hidden="false" customHeight="false" outlineLevel="0" collapsed="false">
      <c r="A549" s="0" t="n">
        <v>545</v>
      </c>
      <c r="B549" s="0" t="n">
        <v>1</v>
      </c>
      <c r="C549" s="19" t="n">
        <v>0.1766</v>
      </c>
      <c r="D549" s="19" t="n">
        <v>0.0219</v>
      </c>
      <c r="E549" s="20" t="n">
        <f aca="false">Parametres!$B$5*C549</f>
        <v>52.98</v>
      </c>
      <c r="F549" s="20" t="n">
        <f aca="false">Parametres!$B$6*D549</f>
        <v>4.38</v>
      </c>
      <c r="G549" s="20" t="n">
        <f aca="false">E549+F549</f>
        <v>57.36</v>
      </c>
      <c r="H549" s="20" t="n">
        <f aca="false">IF(G549&lt;Parametres!$B$8*Parametres!$B$7,0,MIN(G549,Parametres!$B$7))</f>
        <v>57.36</v>
      </c>
      <c r="I549" s="20" t="n">
        <f aca="false">G549-H549</f>
        <v>0</v>
      </c>
      <c r="J549" s="21" t="n">
        <f aca="false">H549*1000/Parametres!$B$9</f>
        <v>972.697982024759</v>
      </c>
    </row>
    <row r="550" customFormat="false" ht="15" hidden="false" customHeight="false" outlineLevel="0" collapsed="false">
      <c r="A550" s="0" t="n">
        <v>546</v>
      </c>
      <c r="B550" s="0" t="n">
        <v>1</v>
      </c>
      <c r="C550" s="19" t="n">
        <v>0</v>
      </c>
      <c r="D550" s="19" t="n">
        <v>0.0143</v>
      </c>
      <c r="E550" s="20" t="n">
        <f aca="false">Parametres!$B$5*C550</f>
        <v>0</v>
      </c>
      <c r="F550" s="20" t="n">
        <f aca="false">Parametres!$B$6*D550</f>
        <v>2.86</v>
      </c>
      <c r="G550" s="20" t="n">
        <f aca="false">E550+F550</f>
        <v>2.86</v>
      </c>
      <c r="H550" s="20" t="n">
        <f aca="false">IF(G550&lt;Parametres!$B$8*Parametres!$B$7,0,MIN(G550,Parametres!$B$7))</f>
        <v>0</v>
      </c>
      <c r="I550" s="20" t="n">
        <f aca="false">G550-H550</f>
        <v>2.86</v>
      </c>
      <c r="J550" s="21" t="n">
        <f aca="false">H550*1000/Parametres!$B$9</f>
        <v>0</v>
      </c>
    </row>
    <row r="551" customFormat="false" ht="15" hidden="false" customHeight="false" outlineLevel="0" collapsed="false">
      <c r="A551" s="0" t="n">
        <v>547</v>
      </c>
      <c r="B551" s="0" t="n">
        <v>1</v>
      </c>
      <c r="C551" s="19" t="n">
        <v>0</v>
      </c>
      <c r="D551" s="19" t="n">
        <v>0.0013</v>
      </c>
      <c r="E551" s="20" t="n">
        <f aca="false">Parametres!$B$5*C551</f>
        <v>0</v>
      </c>
      <c r="F551" s="20" t="n">
        <f aca="false">Parametres!$B$6*D551</f>
        <v>0.26</v>
      </c>
      <c r="G551" s="20" t="n">
        <f aca="false">E551+F551</f>
        <v>0.26</v>
      </c>
      <c r="H551" s="20" t="n">
        <f aca="false">IF(G551&lt;Parametres!$B$8*Parametres!$B$7,0,MIN(G551,Parametres!$B$7))</f>
        <v>0</v>
      </c>
      <c r="I551" s="20" t="n">
        <f aca="false">G551-H551</f>
        <v>0.26</v>
      </c>
      <c r="J551" s="21" t="n">
        <f aca="false">H551*1000/Parametres!$B$9</f>
        <v>0</v>
      </c>
    </row>
    <row r="552" customFormat="false" ht="15" hidden="false" customHeight="false" outlineLevel="0" collapsed="false">
      <c r="A552" s="0" t="n">
        <v>548</v>
      </c>
      <c r="B552" s="0" t="n">
        <v>1</v>
      </c>
      <c r="C552" s="19" t="n">
        <v>0</v>
      </c>
      <c r="D552" s="19" t="n">
        <v>0.0014</v>
      </c>
      <c r="E552" s="20" t="n">
        <f aca="false">Parametres!$B$5*C552</f>
        <v>0</v>
      </c>
      <c r="F552" s="20" t="n">
        <f aca="false">Parametres!$B$6*D552</f>
        <v>0.28</v>
      </c>
      <c r="G552" s="20" t="n">
        <f aca="false">E552+F552</f>
        <v>0.28</v>
      </c>
      <c r="H552" s="20" t="n">
        <f aca="false">IF(G552&lt;Parametres!$B$8*Parametres!$B$7,0,MIN(G552,Parametres!$B$7))</f>
        <v>0</v>
      </c>
      <c r="I552" s="20" t="n">
        <f aca="false">G552-H552</f>
        <v>0.28</v>
      </c>
      <c r="J552" s="21" t="n">
        <f aca="false">H552*1000/Parametres!$B$9</f>
        <v>0</v>
      </c>
    </row>
    <row r="553" customFormat="false" ht="15" hidden="false" customHeight="false" outlineLevel="0" collapsed="false">
      <c r="A553" s="0" t="n">
        <v>549</v>
      </c>
      <c r="B553" s="0" t="n">
        <v>1</v>
      </c>
      <c r="C553" s="19" t="n">
        <v>0</v>
      </c>
      <c r="D553" s="19" t="n">
        <v>0.0001</v>
      </c>
      <c r="E553" s="20" t="n">
        <f aca="false">Parametres!$B$5*C553</f>
        <v>0</v>
      </c>
      <c r="F553" s="20" t="n">
        <f aca="false">Parametres!$B$6*D553</f>
        <v>0.02</v>
      </c>
      <c r="G553" s="20" t="n">
        <f aca="false">E553+F553</f>
        <v>0.02</v>
      </c>
      <c r="H553" s="20" t="n">
        <f aca="false">IF(G553&lt;Parametres!$B$8*Parametres!$B$7,0,MIN(G553,Parametres!$B$7))</f>
        <v>0</v>
      </c>
      <c r="I553" s="20" t="n">
        <f aca="false">G553-H553</f>
        <v>0.02</v>
      </c>
      <c r="J553" s="21" t="n">
        <f aca="false">H553*1000/Parametres!$B$9</f>
        <v>0</v>
      </c>
    </row>
    <row r="554" customFormat="false" ht="15" hidden="false" customHeight="false" outlineLevel="0" collapsed="false">
      <c r="A554" s="0" t="n">
        <v>550</v>
      </c>
      <c r="B554" s="0" t="n">
        <v>1</v>
      </c>
      <c r="C554" s="19" t="n">
        <v>0</v>
      </c>
      <c r="D554" s="19" t="n">
        <v>0</v>
      </c>
      <c r="E554" s="20" t="n">
        <f aca="false">Parametres!$B$5*C554</f>
        <v>0</v>
      </c>
      <c r="F554" s="20" t="n">
        <f aca="false">Parametres!$B$6*D554</f>
        <v>0</v>
      </c>
      <c r="G554" s="20" t="n">
        <f aca="false">E554+F554</f>
        <v>0</v>
      </c>
      <c r="H554" s="20" t="n">
        <f aca="false">IF(G554&lt;Parametres!$B$8*Parametres!$B$7,0,MIN(G554,Parametres!$B$7))</f>
        <v>0</v>
      </c>
      <c r="I554" s="20" t="n">
        <f aca="false">G554-H554</f>
        <v>0</v>
      </c>
      <c r="J554" s="21" t="n">
        <f aca="false">H554*1000/Parametres!$B$9</f>
        <v>0</v>
      </c>
    </row>
    <row r="555" customFormat="false" ht="15" hidden="false" customHeight="false" outlineLevel="0" collapsed="false">
      <c r="A555" s="0" t="n">
        <v>551</v>
      </c>
      <c r="B555" s="0" t="n">
        <v>1</v>
      </c>
      <c r="C555" s="19" t="n">
        <v>0</v>
      </c>
      <c r="D555" s="19" t="n">
        <v>0</v>
      </c>
      <c r="E555" s="20" t="n">
        <f aca="false">Parametres!$B$5*C555</f>
        <v>0</v>
      </c>
      <c r="F555" s="20" t="n">
        <f aca="false">Parametres!$B$6*D555</f>
        <v>0</v>
      </c>
      <c r="G555" s="20" t="n">
        <f aca="false">E555+F555</f>
        <v>0</v>
      </c>
      <c r="H555" s="20" t="n">
        <f aca="false">IF(G555&lt;Parametres!$B$8*Parametres!$B$7,0,MIN(G555,Parametres!$B$7))</f>
        <v>0</v>
      </c>
      <c r="I555" s="20" t="n">
        <f aca="false">G555-H555</f>
        <v>0</v>
      </c>
      <c r="J555" s="21" t="n">
        <f aca="false">H555*1000/Parametres!$B$9</f>
        <v>0</v>
      </c>
    </row>
    <row r="556" customFormat="false" ht="15" hidden="false" customHeight="false" outlineLevel="0" collapsed="false">
      <c r="A556" s="0" t="n">
        <v>552</v>
      </c>
      <c r="B556" s="0" t="n">
        <v>1</v>
      </c>
      <c r="C556" s="19" t="n">
        <v>0</v>
      </c>
      <c r="D556" s="19" t="n">
        <v>0</v>
      </c>
      <c r="E556" s="20" t="n">
        <f aca="false">Parametres!$B$5*C556</f>
        <v>0</v>
      </c>
      <c r="F556" s="20" t="n">
        <f aca="false">Parametres!$B$6*D556</f>
        <v>0</v>
      </c>
      <c r="G556" s="20" t="n">
        <f aca="false">E556+F556</f>
        <v>0</v>
      </c>
      <c r="H556" s="20" t="n">
        <f aca="false">IF(G556&lt;Parametres!$B$8*Parametres!$B$7,0,MIN(G556,Parametres!$B$7))</f>
        <v>0</v>
      </c>
      <c r="I556" s="20" t="n">
        <f aca="false">G556-H556</f>
        <v>0</v>
      </c>
      <c r="J556" s="21" t="n">
        <f aca="false">H556*1000/Parametres!$B$9</f>
        <v>0</v>
      </c>
    </row>
    <row r="557" customFormat="false" ht="15" hidden="false" customHeight="false" outlineLevel="0" collapsed="false">
      <c r="A557" s="0" t="n">
        <v>553</v>
      </c>
      <c r="B557" s="0" t="n">
        <v>1</v>
      </c>
      <c r="C557" s="19" t="n">
        <v>0</v>
      </c>
      <c r="D557" s="19" t="n">
        <v>0.0015</v>
      </c>
      <c r="E557" s="20" t="n">
        <f aca="false">Parametres!$B$5*C557</f>
        <v>0</v>
      </c>
      <c r="F557" s="20" t="n">
        <f aca="false">Parametres!$B$6*D557</f>
        <v>0.3</v>
      </c>
      <c r="G557" s="20" t="n">
        <f aca="false">E557+F557</f>
        <v>0.3</v>
      </c>
      <c r="H557" s="20" t="n">
        <f aca="false">IF(G557&lt;Parametres!$B$8*Parametres!$B$7,0,MIN(G557,Parametres!$B$7))</f>
        <v>0</v>
      </c>
      <c r="I557" s="20" t="n">
        <f aca="false">G557-H557</f>
        <v>0.3</v>
      </c>
      <c r="J557" s="21" t="n">
        <f aca="false">H557*1000/Parametres!$B$9</f>
        <v>0</v>
      </c>
    </row>
    <row r="558" customFormat="false" ht="15" hidden="false" customHeight="false" outlineLevel="0" collapsed="false">
      <c r="A558" s="0" t="n">
        <v>554</v>
      </c>
      <c r="B558" s="0" t="n">
        <v>1</v>
      </c>
      <c r="C558" s="19" t="n">
        <v>0</v>
      </c>
      <c r="D558" s="19" t="n">
        <v>0.0016</v>
      </c>
      <c r="E558" s="20" t="n">
        <f aca="false">Parametres!$B$5*C558</f>
        <v>0</v>
      </c>
      <c r="F558" s="20" t="n">
        <f aca="false">Parametres!$B$6*D558</f>
        <v>0.32</v>
      </c>
      <c r="G558" s="20" t="n">
        <f aca="false">E558+F558</f>
        <v>0.32</v>
      </c>
      <c r="H558" s="20" t="n">
        <f aca="false">IF(G558&lt;Parametres!$B$8*Parametres!$B$7,0,MIN(G558,Parametres!$B$7))</f>
        <v>0</v>
      </c>
      <c r="I558" s="20" t="n">
        <f aca="false">G558-H558</f>
        <v>0.32</v>
      </c>
      <c r="J558" s="21" t="n">
        <f aca="false">H558*1000/Parametres!$B$9</f>
        <v>0</v>
      </c>
    </row>
    <row r="559" customFormat="false" ht="15" hidden="false" customHeight="false" outlineLevel="0" collapsed="false">
      <c r="A559" s="0" t="n">
        <v>555</v>
      </c>
      <c r="B559" s="0" t="n">
        <v>1</v>
      </c>
      <c r="C559" s="19" t="n">
        <v>0</v>
      </c>
      <c r="D559" s="19" t="n">
        <v>0.0001</v>
      </c>
      <c r="E559" s="20" t="n">
        <f aca="false">Parametres!$B$5*C559</f>
        <v>0</v>
      </c>
      <c r="F559" s="20" t="n">
        <f aca="false">Parametres!$B$6*D559</f>
        <v>0.02</v>
      </c>
      <c r="G559" s="20" t="n">
        <f aca="false">E559+F559</f>
        <v>0.02</v>
      </c>
      <c r="H559" s="20" t="n">
        <f aca="false">IF(G559&lt;Parametres!$B$8*Parametres!$B$7,0,MIN(G559,Parametres!$B$7))</f>
        <v>0</v>
      </c>
      <c r="I559" s="20" t="n">
        <f aca="false">G559-H559</f>
        <v>0.02</v>
      </c>
      <c r="J559" s="21" t="n">
        <f aca="false">H559*1000/Parametres!$B$9</f>
        <v>0</v>
      </c>
    </row>
    <row r="560" customFormat="false" ht="15" hidden="false" customHeight="false" outlineLevel="0" collapsed="false">
      <c r="A560" s="0" t="n">
        <v>556</v>
      </c>
      <c r="B560" s="0" t="n">
        <v>1</v>
      </c>
      <c r="C560" s="19" t="n">
        <v>0</v>
      </c>
      <c r="D560" s="19" t="n">
        <v>0.0001</v>
      </c>
      <c r="E560" s="20" t="n">
        <f aca="false">Parametres!$B$5*C560</f>
        <v>0</v>
      </c>
      <c r="F560" s="20" t="n">
        <f aca="false">Parametres!$B$6*D560</f>
        <v>0.02</v>
      </c>
      <c r="G560" s="20" t="n">
        <f aca="false">E560+F560</f>
        <v>0.02</v>
      </c>
      <c r="H560" s="20" t="n">
        <f aca="false">IF(G560&lt;Parametres!$B$8*Parametres!$B$7,0,MIN(G560,Parametres!$B$7))</f>
        <v>0</v>
      </c>
      <c r="I560" s="20" t="n">
        <f aca="false">G560-H560</f>
        <v>0.02</v>
      </c>
      <c r="J560" s="21" t="n">
        <f aca="false">H560*1000/Parametres!$B$9</f>
        <v>0</v>
      </c>
    </row>
    <row r="561" customFormat="false" ht="15" hidden="false" customHeight="false" outlineLevel="0" collapsed="false">
      <c r="A561" s="0" t="n">
        <v>557</v>
      </c>
      <c r="B561" s="0" t="n">
        <v>1</v>
      </c>
      <c r="C561" s="19" t="n">
        <v>0</v>
      </c>
      <c r="D561" s="19" t="n">
        <v>0</v>
      </c>
      <c r="E561" s="20" t="n">
        <f aca="false">Parametres!$B$5*C561</f>
        <v>0</v>
      </c>
      <c r="F561" s="20" t="n">
        <f aca="false">Parametres!$B$6*D561</f>
        <v>0</v>
      </c>
      <c r="G561" s="20" t="n">
        <f aca="false">E561+F561</f>
        <v>0</v>
      </c>
      <c r="H561" s="20" t="n">
        <f aca="false">IF(G561&lt;Parametres!$B$8*Parametres!$B$7,0,MIN(G561,Parametres!$B$7))</f>
        <v>0</v>
      </c>
      <c r="I561" s="20" t="n">
        <f aca="false">G561-H561</f>
        <v>0</v>
      </c>
      <c r="J561" s="21" t="n">
        <f aca="false">H561*1000/Parametres!$B$9</f>
        <v>0</v>
      </c>
    </row>
    <row r="562" customFormat="false" ht="15" hidden="false" customHeight="false" outlineLevel="0" collapsed="false">
      <c r="A562" s="0" t="n">
        <v>558</v>
      </c>
      <c r="B562" s="0" t="n">
        <v>1</v>
      </c>
      <c r="C562" s="19" t="n">
        <v>0</v>
      </c>
      <c r="D562" s="19" t="n">
        <v>0.0001</v>
      </c>
      <c r="E562" s="20" t="n">
        <f aca="false">Parametres!$B$5*C562</f>
        <v>0</v>
      </c>
      <c r="F562" s="20" t="n">
        <f aca="false">Parametres!$B$6*D562</f>
        <v>0.02</v>
      </c>
      <c r="G562" s="20" t="n">
        <f aca="false">E562+F562</f>
        <v>0.02</v>
      </c>
      <c r="H562" s="20" t="n">
        <f aca="false">IF(G562&lt;Parametres!$B$8*Parametres!$B$7,0,MIN(G562,Parametres!$B$7))</f>
        <v>0</v>
      </c>
      <c r="I562" s="20" t="n">
        <f aca="false">G562-H562</f>
        <v>0.02</v>
      </c>
      <c r="J562" s="21" t="n">
        <f aca="false">H562*1000/Parametres!$B$9</f>
        <v>0</v>
      </c>
    </row>
    <row r="563" customFormat="false" ht="15" hidden="false" customHeight="false" outlineLevel="0" collapsed="false">
      <c r="A563" s="0" t="n">
        <v>559</v>
      </c>
      <c r="B563" s="0" t="n">
        <v>1</v>
      </c>
      <c r="C563" s="19" t="n">
        <v>0</v>
      </c>
      <c r="D563" s="19" t="n">
        <v>0</v>
      </c>
      <c r="E563" s="20" t="n">
        <f aca="false">Parametres!$B$5*C563</f>
        <v>0</v>
      </c>
      <c r="F563" s="20" t="n">
        <f aca="false">Parametres!$B$6*D563</f>
        <v>0</v>
      </c>
      <c r="G563" s="20" t="n">
        <f aca="false">E563+F563</f>
        <v>0</v>
      </c>
      <c r="H563" s="20" t="n">
        <f aca="false">IF(G563&lt;Parametres!$B$8*Parametres!$B$7,0,MIN(G563,Parametres!$B$7))</f>
        <v>0</v>
      </c>
      <c r="I563" s="20" t="n">
        <f aca="false">G563-H563</f>
        <v>0</v>
      </c>
      <c r="J563" s="21" t="n">
        <f aca="false">H563*1000/Parametres!$B$9</f>
        <v>0</v>
      </c>
    </row>
    <row r="564" customFormat="false" ht="15" hidden="false" customHeight="false" outlineLevel="0" collapsed="false">
      <c r="A564" s="0" t="n">
        <v>560</v>
      </c>
      <c r="B564" s="0" t="n">
        <v>1</v>
      </c>
      <c r="C564" s="19" t="n">
        <v>0.1702</v>
      </c>
      <c r="D564" s="19" t="n">
        <v>0</v>
      </c>
      <c r="E564" s="20" t="n">
        <f aca="false">Parametres!$B$5*C564</f>
        <v>51.06</v>
      </c>
      <c r="F564" s="20" t="n">
        <f aca="false">Parametres!$B$6*D564</f>
        <v>0</v>
      </c>
      <c r="G564" s="20" t="n">
        <f aca="false">E564+F564</f>
        <v>51.06</v>
      </c>
      <c r="H564" s="20" t="n">
        <f aca="false">IF(G564&lt;Parametres!$B$8*Parametres!$B$7,0,MIN(G564,Parametres!$B$7))</f>
        <v>51.06</v>
      </c>
      <c r="I564" s="20" t="n">
        <f aca="false">G564-H564</f>
        <v>0</v>
      </c>
      <c r="J564" s="21" t="n">
        <f aca="false">H564*1000/Parametres!$B$9</f>
        <v>865.863998643378</v>
      </c>
    </row>
    <row r="565" customFormat="false" ht="15" hidden="false" customHeight="false" outlineLevel="0" collapsed="false">
      <c r="A565" s="0" t="n">
        <v>561</v>
      </c>
      <c r="B565" s="0" t="n">
        <v>1</v>
      </c>
      <c r="C565" s="19" t="n">
        <v>0.4542</v>
      </c>
      <c r="D565" s="19" t="n">
        <v>0</v>
      </c>
      <c r="E565" s="20" t="n">
        <f aca="false">Parametres!$B$5*C565</f>
        <v>136.26</v>
      </c>
      <c r="F565" s="20" t="n">
        <f aca="false">Parametres!$B$6*D565</f>
        <v>0</v>
      </c>
      <c r="G565" s="20" t="n">
        <f aca="false">E565+F565</f>
        <v>136.26</v>
      </c>
      <c r="H565" s="20" t="n">
        <f aca="false">IF(G565&lt;Parametres!$B$8*Parametres!$B$7,0,MIN(G565,Parametres!$B$7))</f>
        <v>136.26</v>
      </c>
      <c r="I565" s="20" t="n">
        <f aca="false">G565-H565</f>
        <v>0</v>
      </c>
      <c r="J565" s="21" t="n">
        <f aca="false">H565*1000/Parametres!$B$9</f>
        <v>2310.666440563</v>
      </c>
    </row>
    <row r="566" customFormat="false" ht="15" hidden="false" customHeight="false" outlineLevel="0" collapsed="false">
      <c r="A566" s="0" t="n">
        <v>562</v>
      </c>
      <c r="B566" s="0" t="n">
        <v>1</v>
      </c>
      <c r="C566" s="19" t="n">
        <v>0.6408</v>
      </c>
      <c r="D566" s="19" t="n">
        <v>0</v>
      </c>
      <c r="E566" s="20" t="n">
        <f aca="false">Parametres!$B$5*C566</f>
        <v>192.24</v>
      </c>
      <c r="F566" s="20" t="n">
        <f aca="false">Parametres!$B$6*D566</f>
        <v>0</v>
      </c>
      <c r="G566" s="20" t="n">
        <f aca="false">E566+F566</f>
        <v>192.24</v>
      </c>
      <c r="H566" s="20" t="n">
        <f aca="false">IF(G566&lt;Parametres!$B$8*Parametres!$B$7,0,MIN(G566,Parametres!$B$7))</f>
        <v>192.24</v>
      </c>
      <c r="I566" s="20" t="n">
        <f aca="false">G566-H566</f>
        <v>0</v>
      </c>
      <c r="J566" s="21" t="n">
        <f aca="false">H566*1000/Parametres!$B$9</f>
        <v>3259.96269289469</v>
      </c>
    </row>
    <row r="567" customFormat="false" ht="15" hidden="false" customHeight="false" outlineLevel="0" collapsed="false">
      <c r="A567" s="0" t="n">
        <v>563</v>
      </c>
      <c r="B567" s="0" t="n">
        <v>1</v>
      </c>
      <c r="C567" s="19" t="n">
        <v>0.8506</v>
      </c>
      <c r="D567" s="19" t="n">
        <v>0</v>
      </c>
      <c r="E567" s="20" t="n">
        <f aca="false">Parametres!$B$5*C567</f>
        <v>255.18</v>
      </c>
      <c r="F567" s="20" t="n">
        <f aca="false">Parametres!$B$6*D567</f>
        <v>0</v>
      </c>
      <c r="G567" s="20" t="n">
        <f aca="false">E567+F567</f>
        <v>255.18</v>
      </c>
      <c r="H567" s="20" t="n">
        <f aca="false">IF(G567&lt;Parametres!$B$8*Parametres!$B$7,0,MIN(G567,Parametres!$B$7))</f>
        <v>250</v>
      </c>
      <c r="I567" s="20" t="n">
        <f aca="false">G567-H567</f>
        <v>5.18000000000001</v>
      </c>
      <c r="J567" s="21" t="n">
        <f aca="false">H567*1000/Parametres!$B$9</f>
        <v>4239.44378497541</v>
      </c>
    </row>
    <row r="568" customFormat="false" ht="15" hidden="false" customHeight="false" outlineLevel="0" collapsed="false">
      <c r="A568" s="0" t="n">
        <v>564</v>
      </c>
      <c r="B568" s="0" t="n">
        <v>1</v>
      </c>
      <c r="C568" s="19" t="n">
        <v>0.8999</v>
      </c>
      <c r="D568" s="19" t="n">
        <v>0</v>
      </c>
      <c r="E568" s="20" t="n">
        <f aca="false">Parametres!$B$5*C568</f>
        <v>269.97</v>
      </c>
      <c r="F568" s="20" t="n">
        <f aca="false">Parametres!$B$6*D568</f>
        <v>0</v>
      </c>
      <c r="G568" s="20" t="n">
        <f aca="false">E568+F568</f>
        <v>269.97</v>
      </c>
      <c r="H568" s="20" t="n">
        <f aca="false">IF(G568&lt;Parametres!$B$8*Parametres!$B$7,0,MIN(G568,Parametres!$B$7))</f>
        <v>250</v>
      </c>
      <c r="I568" s="20" t="n">
        <f aca="false">G568-H568</f>
        <v>19.97</v>
      </c>
      <c r="J568" s="21" t="n">
        <f aca="false">H568*1000/Parametres!$B$9</f>
        <v>4239.44378497541</v>
      </c>
    </row>
    <row r="569" customFormat="false" ht="15" hidden="false" customHeight="false" outlineLevel="0" collapsed="false">
      <c r="A569" s="0" t="n">
        <v>565</v>
      </c>
      <c r="B569" s="0" t="n">
        <v>1</v>
      </c>
      <c r="C569" s="19" t="n">
        <v>0.8679</v>
      </c>
      <c r="D569" s="19" t="n">
        <v>0</v>
      </c>
      <c r="E569" s="20" t="n">
        <f aca="false">Parametres!$B$5*C569</f>
        <v>260.37</v>
      </c>
      <c r="F569" s="20" t="n">
        <f aca="false">Parametres!$B$6*D569</f>
        <v>0</v>
      </c>
      <c r="G569" s="20" t="n">
        <f aca="false">E569+F569</f>
        <v>260.37</v>
      </c>
      <c r="H569" s="20" t="n">
        <f aca="false">IF(G569&lt;Parametres!$B$8*Parametres!$B$7,0,MIN(G569,Parametres!$B$7))</f>
        <v>250</v>
      </c>
      <c r="I569" s="20" t="n">
        <f aca="false">G569-H569</f>
        <v>10.37</v>
      </c>
      <c r="J569" s="21" t="n">
        <f aca="false">H569*1000/Parametres!$B$9</f>
        <v>4239.44378497541</v>
      </c>
    </row>
    <row r="570" customFormat="false" ht="15" hidden="false" customHeight="false" outlineLevel="0" collapsed="false">
      <c r="A570" s="0" t="n">
        <v>566</v>
      </c>
      <c r="B570" s="0" t="n">
        <v>1</v>
      </c>
      <c r="C570" s="19" t="n">
        <v>0.7988</v>
      </c>
      <c r="D570" s="19" t="n">
        <v>0</v>
      </c>
      <c r="E570" s="20" t="n">
        <f aca="false">Parametres!$B$5*C570</f>
        <v>239.64</v>
      </c>
      <c r="F570" s="20" t="n">
        <f aca="false">Parametres!$B$6*D570</f>
        <v>0</v>
      </c>
      <c r="G570" s="20" t="n">
        <f aca="false">E570+F570</f>
        <v>239.64</v>
      </c>
      <c r="H570" s="20" t="n">
        <f aca="false">IF(G570&lt;Parametres!$B$8*Parametres!$B$7,0,MIN(G570,Parametres!$B$7))</f>
        <v>239.64</v>
      </c>
      <c r="I570" s="20" t="n">
        <f aca="false">G570-H570</f>
        <v>0</v>
      </c>
      <c r="J570" s="21" t="n">
        <f aca="false">H570*1000/Parametres!$B$9</f>
        <v>4063.76123452603</v>
      </c>
    </row>
    <row r="571" customFormat="false" ht="15" hidden="false" customHeight="false" outlineLevel="0" collapsed="false">
      <c r="A571" s="0" t="n">
        <v>567</v>
      </c>
      <c r="B571" s="0" t="n">
        <v>1</v>
      </c>
      <c r="C571" s="19" t="n">
        <v>0.646</v>
      </c>
      <c r="D571" s="19" t="n">
        <v>0</v>
      </c>
      <c r="E571" s="20" t="n">
        <f aca="false">Parametres!$B$5*C571</f>
        <v>193.8</v>
      </c>
      <c r="F571" s="20" t="n">
        <f aca="false">Parametres!$B$6*D571</f>
        <v>0</v>
      </c>
      <c r="G571" s="20" t="n">
        <f aca="false">E571+F571</f>
        <v>193.8</v>
      </c>
      <c r="H571" s="20" t="n">
        <f aca="false">IF(G571&lt;Parametres!$B$8*Parametres!$B$7,0,MIN(G571,Parametres!$B$7))</f>
        <v>193.8</v>
      </c>
      <c r="I571" s="20" t="n">
        <f aca="false">G571-H571</f>
        <v>0</v>
      </c>
      <c r="J571" s="21" t="n">
        <f aca="false">H571*1000/Parametres!$B$9</f>
        <v>3286.41682211294</v>
      </c>
    </row>
    <row r="572" customFormat="false" ht="15" hidden="false" customHeight="false" outlineLevel="0" collapsed="false">
      <c r="A572" s="0" t="n">
        <v>568</v>
      </c>
      <c r="B572" s="0" t="n">
        <v>1</v>
      </c>
      <c r="C572" s="19" t="n">
        <v>0.416</v>
      </c>
      <c r="D572" s="19" t="n">
        <v>0</v>
      </c>
      <c r="E572" s="20" t="n">
        <f aca="false">Parametres!$B$5*C572</f>
        <v>124.8</v>
      </c>
      <c r="F572" s="20" t="n">
        <f aca="false">Parametres!$B$6*D572</f>
        <v>0</v>
      </c>
      <c r="G572" s="20" t="n">
        <f aca="false">E572+F572</f>
        <v>124.8</v>
      </c>
      <c r="H572" s="20" t="n">
        <f aca="false">IF(G572&lt;Parametres!$B$8*Parametres!$B$7,0,MIN(G572,Parametres!$B$7))</f>
        <v>124.8</v>
      </c>
      <c r="I572" s="20" t="n">
        <f aca="false">G572-H572</f>
        <v>0</v>
      </c>
      <c r="J572" s="21" t="n">
        <f aca="false">H572*1000/Parametres!$B$9</f>
        <v>2116.33033745973</v>
      </c>
    </row>
    <row r="573" customFormat="false" ht="15" hidden="false" customHeight="false" outlineLevel="0" collapsed="false">
      <c r="A573" s="0" t="n">
        <v>569</v>
      </c>
      <c r="B573" s="0" t="n">
        <v>1</v>
      </c>
      <c r="C573" s="19" t="n">
        <v>0.1672</v>
      </c>
      <c r="D573" s="19" t="n">
        <v>0</v>
      </c>
      <c r="E573" s="20" t="n">
        <f aca="false">Parametres!$B$5*C573</f>
        <v>50.16</v>
      </c>
      <c r="F573" s="20" t="n">
        <f aca="false">Parametres!$B$6*D573</f>
        <v>0</v>
      </c>
      <c r="G573" s="20" t="n">
        <f aca="false">E573+F573</f>
        <v>50.16</v>
      </c>
      <c r="H573" s="20" t="n">
        <f aca="false">IF(G573&lt;Parametres!$B$8*Parametres!$B$7,0,MIN(G573,Parametres!$B$7))</f>
        <v>50.16</v>
      </c>
      <c r="I573" s="20" t="n">
        <f aca="false">G573-H573</f>
        <v>0</v>
      </c>
      <c r="J573" s="21" t="n">
        <f aca="false">H573*1000/Parametres!$B$9</f>
        <v>850.602001017467</v>
      </c>
    </row>
    <row r="574" customFormat="false" ht="15" hidden="false" customHeight="false" outlineLevel="0" collapsed="false">
      <c r="A574" s="0" t="n">
        <v>570</v>
      </c>
      <c r="B574" s="0" t="n">
        <v>1</v>
      </c>
      <c r="C574" s="19" t="n">
        <v>0</v>
      </c>
      <c r="D574" s="19" t="n">
        <v>0</v>
      </c>
      <c r="E574" s="20" t="n">
        <f aca="false">Parametres!$B$5*C574</f>
        <v>0</v>
      </c>
      <c r="F574" s="20" t="n">
        <f aca="false">Parametres!$B$6*D574</f>
        <v>0</v>
      </c>
      <c r="G574" s="20" t="n">
        <f aca="false">E574+F574</f>
        <v>0</v>
      </c>
      <c r="H574" s="20" t="n">
        <f aca="false">IF(G574&lt;Parametres!$B$8*Parametres!$B$7,0,MIN(G574,Parametres!$B$7))</f>
        <v>0</v>
      </c>
      <c r="I574" s="20" t="n">
        <f aca="false">G574-H574</f>
        <v>0</v>
      </c>
      <c r="J574" s="21" t="n">
        <f aca="false">H574*1000/Parametres!$B$9</f>
        <v>0</v>
      </c>
    </row>
    <row r="575" customFormat="false" ht="15" hidden="false" customHeight="false" outlineLevel="0" collapsed="false">
      <c r="A575" s="0" t="n">
        <v>571</v>
      </c>
      <c r="B575" s="0" t="n">
        <v>1</v>
      </c>
      <c r="C575" s="19" t="n">
        <v>0</v>
      </c>
      <c r="D575" s="19" t="n">
        <v>0.0022</v>
      </c>
      <c r="E575" s="20" t="n">
        <f aca="false">Parametres!$B$5*C575</f>
        <v>0</v>
      </c>
      <c r="F575" s="20" t="n">
        <f aca="false">Parametres!$B$6*D575</f>
        <v>0.44</v>
      </c>
      <c r="G575" s="20" t="n">
        <f aca="false">E575+F575</f>
        <v>0.44</v>
      </c>
      <c r="H575" s="20" t="n">
        <f aca="false">IF(G575&lt;Parametres!$B$8*Parametres!$B$7,0,MIN(G575,Parametres!$B$7))</f>
        <v>0</v>
      </c>
      <c r="I575" s="20" t="n">
        <f aca="false">G575-H575</f>
        <v>0.44</v>
      </c>
      <c r="J575" s="21" t="n">
        <f aca="false">H575*1000/Parametres!$B$9</f>
        <v>0</v>
      </c>
    </row>
    <row r="576" customFormat="false" ht="15" hidden="false" customHeight="false" outlineLevel="0" collapsed="false">
      <c r="A576" s="0" t="n">
        <v>572</v>
      </c>
      <c r="B576" s="0" t="n">
        <v>1</v>
      </c>
      <c r="C576" s="19" t="n">
        <v>0</v>
      </c>
      <c r="D576" s="19" t="n">
        <v>0.0045</v>
      </c>
      <c r="E576" s="20" t="n">
        <f aca="false">Parametres!$B$5*C576</f>
        <v>0</v>
      </c>
      <c r="F576" s="20" t="n">
        <f aca="false">Parametres!$B$6*D576</f>
        <v>0.9</v>
      </c>
      <c r="G576" s="20" t="n">
        <f aca="false">E576+F576</f>
        <v>0.9</v>
      </c>
      <c r="H576" s="20" t="n">
        <f aca="false">IF(G576&lt;Parametres!$B$8*Parametres!$B$7,0,MIN(G576,Parametres!$B$7))</f>
        <v>0</v>
      </c>
      <c r="I576" s="20" t="n">
        <f aca="false">G576-H576</f>
        <v>0.9</v>
      </c>
      <c r="J576" s="21" t="n">
        <f aca="false">H576*1000/Parametres!$B$9</f>
        <v>0</v>
      </c>
    </row>
    <row r="577" customFormat="false" ht="15" hidden="false" customHeight="false" outlineLevel="0" collapsed="false">
      <c r="A577" s="0" t="n">
        <v>573</v>
      </c>
      <c r="B577" s="0" t="n">
        <v>1</v>
      </c>
      <c r="C577" s="19" t="n">
        <v>0</v>
      </c>
      <c r="D577" s="19" t="n">
        <v>0.0039</v>
      </c>
      <c r="E577" s="20" t="n">
        <f aca="false">Parametres!$B$5*C577</f>
        <v>0</v>
      </c>
      <c r="F577" s="20" t="n">
        <f aca="false">Parametres!$B$6*D577</f>
        <v>0.78</v>
      </c>
      <c r="G577" s="20" t="n">
        <f aca="false">E577+F577</f>
        <v>0.78</v>
      </c>
      <c r="H577" s="20" t="n">
        <f aca="false">IF(G577&lt;Parametres!$B$8*Parametres!$B$7,0,MIN(G577,Parametres!$B$7))</f>
        <v>0</v>
      </c>
      <c r="I577" s="20" t="n">
        <f aca="false">G577-H577</f>
        <v>0.78</v>
      </c>
      <c r="J577" s="21" t="n">
        <f aca="false">H577*1000/Parametres!$B$9</f>
        <v>0</v>
      </c>
    </row>
    <row r="578" customFormat="false" ht="15" hidden="false" customHeight="false" outlineLevel="0" collapsed="false">
      <c r="A578" s="0" t="n">
        <v>574</v>
      </c>
      <c r="B578" s="0" t="n">
        <v>1</v>
      </c>
      <c r="C578" s="19" t="n">
        <v>0</v>
      </c>
      <c r="D578" s="19" t="n">
        <v>0.0129</v>
      </c>
      <c r="E578" s="20" t="n">
        <f aca="false">Parametres!$B$5*C578</f>
        <v>0</v>
      </c>
      <c r="F578" s="20" t="n">
        <f aca="false">Parametres!$B$6*D578</f>
        <v>2.58</v>
      </c>
      <c r="G578" s="20" t="n">
        <f aca="false">E578+F578</f>
        <v>2.58</v>
      </c>
      <c r="H578" s="20" t="n">
        <f aca="false">IF(G578&lt;Parametres!$B$8*Parametres!$B$7,0,MIN(G578,Parametres!$B$7))</f>
        <v>0</v>
      </c>
      <c r="I578" s="20" t="n">
        <f aca="false">G578-H578</f>
        <v>2.58</v>
      </c>
      <c r="J578" s="21" t="n">
        <f aca="false">H578*1000/Parametres!$B$9</f>
        <v>0</v>
      </c>
    </row>
    <row r="579" customFormat="false" ht="15" hidden="false" customHeight="false" outlineLevel="0" collapsed="false">
      <c r="A579" s="0" t="n">
        <v>575</v>
      </c>
      <c r="B579" s="0" t="n">
        <v>1</v>
      </c>
      <c r="C579" s="19" t="n">
        <v>0</v>
      </c>
      <c r="D579" s="19" t="n">
        <v>0.034</v>
      </c>
      <c r="E579" s="20" t="n">
        <f aca="false">Parametres!$B$5*C579</f>
        <v>0</v>
      </c>
      <c r="F579" s="20" t="n">
        <f aca="false">Parametres!$B$6*D579</f>
        <v>6.8</v>
      </c>
      <c r="G579" s="20" t="n">
        <f aca="false">E579+F579</f>
        <v>6.8</v>
      </c>
      <c r="H579" s="20" t="n">
        <f aca="false">IF(G579&lt;Parametres!$B$8*Parametres!$B$7,0,MIN(G579,Parametres!$B$7))</f>
        <v>0</v>
      </c>
      <c r="I579" s="20" t="n">
        <f aca="false">G579-H579</f>
        <v>6.8</v>
      </c>
      <c r="J579" s="21" t="n">
        <f aca="false">H579*1000/Parametres!$B$9</f>
        <v>0</v>
      </c>
    </row>
    <row r="580" customFormat="false" ht="15" hidden="false" customHeight="false" outlineLevel="0" collapsed="false">
      <c r="A580" s="0" t="n">
        <v>576</v>
      </c>
      <c r="B580" s="0" t="n">
        <v>1</v>
      </c>
      <c r="C580" s="19" t="n">
        <v>0</v>
      </c>
      <c r="D580" s="19" t="n">
        <v>0.0207</v>
      </c>
      <c r="E580" s="20" t="n">
        <f aca="false">Parametres!$B$5*C580</f>
        <v>0</v>
      </c>
      <c r="F580" s="20" t="n">
        <f aca="false">Parametres!$B$6*D580</f>
        <v>4.14</v>
      </c>
      <c r="G580" s="20" t="n">
        <f aca="false">E580+F580</f>
        <v>4.14</v>
      </c>
      <c r="H580" s="20" t="n">
        <f aca="false">IF(G580&lt;Parametres!$B$8*Parametres!$B$7,0,MIN(G580,Parametres!$B$7))</f>
        <v>0</v>
      </c>
      <c r="I580" s="20" t="n">
        <f aca="false">G580-H580</f>
        <v>4.14</v>
      </c>
      <c r="J580" s="21" t="n">
        <f aca="false">H580*1000/Parametres!$B$9</f>
        <v>0</v>
      </c>
    </row>
    <row r="581" customFormat="false" ht="15" hidden="false" customHeight="false" outlineLevel="0" collapsed="false">
      <c r="A581" s="0" t="n">
        <v>577</v>
      </c>
      <c r="B581" s="0" t="n">
        <v>1</v>
      </c>
      <c r="C581" s="19" t="n">
        <v>0</v>
      </c>
      <c r="D581" s="19" t="n">
        <v>0.0196</v>
      </c>
      <c r="E581" s="20" t="n">
        <f aca="false">Parametres!$B$5*C581</f>
        <v>0</v>
      </c>
      <c r="F581" s="20" t="n">
        <f aca="false">Parametres!$B$6*D581</f>
        <v>3.92</v>
      </c>
      <c r="G581" s="20" t="n">
        <f aca="false">E581+F581</f>
        <v>3.92</v>
      </c>
      <c r="H581" s="20" t="n">
        <f aca="false">IF(G581&lt;Parametres!$B$8*Parametres!$B$7,0,MIN(G581,Parametres!$B$7))</f>
        <v>0</v>
      </c>
      <c r="I581" s="20" t="n">
        <f aca="false">G581-H581</f>
        <v>3.92</v>
      </c>
      <c r="J581" s="21" t="n">
        <f aca="false">H581*1000/Parametres!$B$9</f>
        <v>0</v>
      </c>
    </row>
    <row r="582" customFormat="false" ht="15" hidden="false" customHeight="false" outlineLevel="0" collapsed="false">
      <c r="A582" s="0" t="n">
        <v>578</v>
      </c>
      <c r="B582" s="0" t="n">
        <v>1</v>
      </c>
      <c r="C582" s="19" t="n">
        <v>0</v>
      </c>
      <c r="D582" s="19" t="n">
        <v>0.0037</v>
      </c>
      <c r="E582" s="20" t="n">
        <f aca="false">Parametres!$B$5*C582</f>
        <v>0</v>
      </c>
      <c r="F582" s="20" t="n">
        <f aca="false">Parametres!$B$6*D582</f>
        <v>0.74</v>
      </c>
      <c r="G582" s="20" t="n">
        <f aca="false">E582+F582</f>
        <v>0.74</v>
      </c>
      <c r="H582" s="20" t="n">
        <f aca="false">IF(G582&lt;Parametres!$B$8*Parametres!$B$7,0,MIN(G582,Parametres!$B$7))</f>
        <v>0</v>
      </c>
      <c r="I582" s="20" t="n">
        <f aca="false">G582-H582</f>
        <v>0.74</v>
      </c>
      <c r="J582" s="21" t="n">
        <f aca="false">H582*1000/Parametres!$B$9</f>
        <v>0</v>
      </c>
    </row>
    <row r="583" customFormat="false" ht="15" hidden="false" customHeight="false" outlineLevel="0" collapsed="false">
      <c r="A583" s="0" t="n">
        <v>579</v>
      </c>
      <c r="B583" s="0" t="n">
        <v>1</v>
      </c>
      <c r="C583" s="19" t="n">
        <v>0</v>
      </c>
      <c r="D583" s="19" t="n">
        <v>0.0021</v>
      </c>
      <c r="E583" s="20" t="n">
        <f aca="false">Parametres!$B$5*C583</f>
        <v>0</v>
      </c>
      <c r="F583" s="20" t="n">
        <f aca="false">Parametres!$B$6*D583</f>
        <v>0.42</v>
      </c>
      <c r="G583" s="20" t="n">
        <f aca="false">E583+F583</f>
        <v>0.42</v>
      </c>
      <c r="H583" s="20" t="n">
        <f aca="false">IF(G583&lt;Parametres!$B$8*Parametres!$B$7,0,MIN(G583,Parametres!$B$7))</f>
        <v>0</v>
      </c>
      <c r="I583" s="20" t="n">
        <f aca="false">G583-H583</f>
        <v>0.42</v>
      </c>
      <c r="J583" s="21" t="n">
        <f aca="false">H583*1000/Parametres!$B$9</f>
        <v>0</v>
      </c>
    </row>
    <row r="584" customFormat="false" ht="15" hidden="false" customHeight="false" outlineLevel="0" collapsed="false">
      <c r="A584" s="0" t="n">
        <v>580</v>
      </c>
      <c r="B584" s="0" t="n">
        <v>1</v>
      </c>
      <c r="C584" s="19" t="n">
        <v>0</v>
      </c>
      <c r="D584" s="19" t="n">
        <v>0.0005</v>
      </c>
      <c r="E584" s="20" t="n">
        <f aca="false">Parametres!$B$5*C584</f>
        <v>0</v>
      </c>
      <c r="F584" s="20" t="n">
        <f aca="false">Parametres!$B$6*D584</f>
        <v>0.1</v>
      </c>
      <c r="G584" s="20" t="n">
        <f aca="false">E584+F584</f>
        <v>0.1</v>
      </c>
      <c r="H584" s="20" t="n">
        <f aca="false">IF(G584&lt;Parametres!$B$8*Parametres!$B$7,0,MIN(G584,Parametres!$B$7))</f>
        <v>0</v>
      </c>
      <c r="I584" s="20" t="n">
        <f aca="false">G584-H584</f>
        <v>0.1</v>
      </c>
      <c r="J584" s="21" t="n">
        <f aca="false">H584*1000/Parametres!$B$9</f>
        <v>0</v>
      </c>
    </row>
    <row r="585" customFormat="false" ht="15" hidden="false" customHeight="false" outlineLevel="0" collapsed="false">
      <c r="A585" s="0" t="n">
        <v>581</v>
      </c>
      <c r="B585" s="0" t="n">
        <v>1</v>
      </c>
      <c r="C585" s="19" t="n">
        <v>0</v>
      </c>
      <c r="D585" s="19" t="n">
        <v>0.0003</v>
      </c>
      <c r="E585" s="20" t="n">
        <f aca="false">Parametres!$B$5*C585</f>
        <v>0</v>
      </c>
      <c r="F585" s="20" t="n">
        <f aca="false">Parametres!$B$6*D585</f>
        <v>0.06</v>
      </c>
      <c r="G585" s="20" t="n">
        <f aca="false">E585+F585</f>
        <v>0.06</v>
      </c>
      <c r="H585" s="20" t="n">
        <f aca="false">IF(G585&lt;Parametres!$B$8*Parametres!$B$7,0,MIN(G585,Parametres!$B$7))</f>
        <v>0</v>
      </c>
      <c r="I585" s="20" t="n">
        <f aca="false">G585-H585</f>
        <v>0.06</v>
      </c>
      <c r="J585" s="21" t="n">
        <f aca="false">H585*1000/Parametres!$B$9</f>
        <v>0</v>
      </c>
    </row>
    <row r="586" customFormat="false" ht="15" hidden="false" customHeight="false" outlineLevel="0" collapsed="false">
      <c r="A586" s="0" t="n">
        <v>582</v>
      </c>
      <c r="B586" s="0" t="n">
        <v>1</v>
      </c>
      <c r="C586" s="19" t="n">
        <v>0</v>
      </c>
      <c r="D586" s="19" t="n">
        <v>0.0001</v>
      </c>
      <c r="E586" s="20" t="n">
        <f aca="false">Parametres!$B$5*C586</f>
        <v>0</v>
      </c>
      <c r="F586" s="20" t="n">
        <f aca="false">Parametres!$B$6*D586</f>
        <v>0.02</v>
      </c>
      <c r="G586" s="20" t="n">
        <f aca="false">E586+F586</f>
        <v>0.02</v>
      </c>
      <c r="H586" s="20" t="n">
        <f aca="false">IF(G586&lt;Parametres!$B$8*Parametres!$B$7,0,MIN(G586,Parametres!$B$7))</f>
        <v>0</v>
      </c>
      <c r="I586" s="20" t="n">
        <f aca="false">G586-H586</f>
        <v>0.02</v>
      </c>
      <c r="J586" s="21" t="n">
        <f aca="false">H586*1000/Parametres!$B$9</f>
        <v>0</v>
      </c>
    </row>
    <row r="587" customFormat="false" ht="15" hidden="false" customHeight="false" outlineLevel="0" collapsed="false">
      <c r="A587" s="0" t="n">
        <v>583</v>
      </c>
      <c r="B587" s="0" t="n">
        <v>1</v>
      </c>
      <c r="C587" s="19" t="n">
        <v>0</v>
      </c>
      <c r="D587" s="19" t="n">
        <v>0.0001</v>
      </c>
      <c r="E587" s="20" t="n">
        <f aca="false">Parametres!$B$5*C587</f>
        <v>0</v>
      </c>
      <c r="F587" s="20" t="n">
        <f aca="false">Parametres!$B$6*D587</f>
        <v>0.02</v>
      </c>
      <c r="G587" s="20" t="n">
        <f aca="false">E587+F587</f>
        <v>0.02</v>
      </c>
      <c r="H587" s="20" t="n">
        <f aca="false">IF(G587&lt;Parametres!$B$8*Parametres!$B$7,0,MIN(G587,Parametres!$B$7))</f>
        <v>0</v>
      </c>
      <c r="I587" s="20" t="n">
        <f aca="false">G587-H587</f>
        <v>0.02</v>
      </c>
      <c r="J587" s="21" t="n">
        <f aca="false">H587*1000/Parametres!$B$9</f>
        <v>0</v>
      </c>
    </row>
    <row r="588" customFormat="false" ht="15" hidden="false" customHeight="false" outlineLevel="0" collapsed="false">
      <c r="A588" s="0" t="n">
        <v>584</v>
      </c>
      <c r="B588" s="0" t="n">
        <v>1</v>
      </c>
      <c r="C588" s="19" t="n">
        <v>0.1009</v>
      </c>
      <c r="D588" s="19" t="n">
        <v>0.0002</v>
      </c>
      <c r="E588" s="20" t="n">
        <f aca="false">Parametres!$B$5*C588</f>
        <v>30.27</v>
      </c>
      <c r="F588" s="20" t="n">
        <f aca="false">Parametres!$B$6*D588</f>
        <v>0.04</v>
      </c>
      <c r="G588" s="20" t="n">
        <f aca="false">E588+F588</f>
        <v>30.31</v>
      </c>
      <c r="H588" s="20" t="n">
        <f aca="false">IF(G588&lt;Parametres!$B$8*Parametres!$B$7,0,MIN(G588,Parametres!$B$7))</f>
        <v>30.31</v>
      </c>
      <c r="I588" s="20" t="n">
        <f aca="false">G588-H588</f>
        <v>0</v>
      </c>
      <c r="J588" s="21" t="n">
        <f aca="false">H588*1000/Parametres!$B$9</f>
        <v>513.990164490419</v>
      </c>
    </row>
    <row r="589" customFormat="false" ht="15" hidden="false" customHeight="false" outlineLevel="0" collapsed="false">
      <c r="A589" s="0" t="n">
        <v>585</v>
      </c>
      <c r="B589" s="0" t="n">
        <v>1</v>
      </c>
      <c r="C589" s="19" t="n">
        <v>0.2361</v>
      </c>
      <c r="D589" s="19" t="n">
        <v>0.001</v>
      </c>
      <c r="E589" s="20" t="n">
        <f aca="false">Parametres!$B$5*C589</f>
        <v>70.83</v>
      </c>
      <c r="F589" s="20" t="n">
        <f aca="false">Parametres!$B$6*D589</f>
        <v>0.2</v>
      </c>
      <c r="G589" s="20" t="n">
        <f aca="false">E589+F589</f>
        <v>71.03</v>
      </c>
      <c r="H589" s="20" t="n">
        <f aca="false">IF(G589&lt;Parametres!$B$8*Parametres!$B$7,0,MIN(G589,Parametres!$B$7))</f>
        <v>71.03</v>
      </c>
      <c r="I589" s="20" t="n">
        <f aca="false">G589-H589</f>
        <v>0</v>
      </c>
      <c r="J589" s="21" t="n">
        <f aca="false">H589*1000/Parametres!$B$9</f>
        <v>1204.51076818721</v>
      </c>
    </row>
    <row r="590" customFormat="false" ht="15" hidden="false" customHeight="false" outlineLevel="0" collapsed="false">
      <c r="A590" s="0" t="n">
        <v>586</v>
      </c>
      <c r="B590" s="0" t="n">
        <v>1</v>
      </c>
      <c r="C590" s="19" t="n">
        <v>0.3294</v>
      </c>
      <c r="D590" s="19" t="n">
        <v>0.0024</v>
      </c>
      <c r="E590" s="20" t="n">
        <f aca="false">Parametres!$B$5*C590</f>
        <v>98.82</v>
      </c>
      <c r="F590" s="20" t="n">
        <f aca="false">Parametres!$B$6*D590</f>
        <v>0.48</v>
      </c>
      <c r="G590" s="20" t="n">
        <f aca="false">E590+F590</f>
        <v>99.3</v>
      </c>
      <c r="H590" s="20" t="n">
        <f aca="false">IF(G590&lt;Parametres!$B$8*Parametres!$B$7,0,MIN(G590,Parametres!$B$7))</f>
        <v>99.3</v>
      </c>
      <c r="I590" s="20" t="n">
        <f aca="false">G590-H590</f>
        <v>0</v>
      </c>
      <c r="J590" s="21" t="n">
        <f aca="false">H590*1000/Parametres!$B$9</f>
        <v>1683.90707139223</v>
      </c>
    </row>
    <row r="591" customFormat="false" ht="15" hidden="false" customHeight="false" outlineLevel="0" collapsed="false">
      <c r="A591" s="0" t="n">
        <v>587</v>
      </c>
      <c r="B591" s="0" t="n">
        <v>1</v>
      </c>
      <c r="C591" s="19" t="n">
        <v>0.4361</v>
      </c>
      <c r="D591" s="19" t="n">
        <v>0.0017</v>
      </c>
      <c r="E591" s="20" t="n">
        <f aca="false">Parametres!$B$5*C591</f>
        <v>130.83</v>
      </c>
      <c r="F591" s="20" t="n">
        <f aca="false">Parametres!$B$6*D591</f>
        <v>0.34</v>
      </c>
      <c r="G591" s="20" t="n">
        <f aca="false">E591+F591</f>
        <v>131.17</v>
      </c>
      <c r="H591" s="20" t="n">
        <f aca="false">IF(G591&lt;Parametres!$B$8*Parametres!$B$7,0,MIN(G591,Parametres!$B$7))</f>
        <v>131.17</v>
      </c>
      <c r="I591" s="20" t="n">
        <f aca="false">G591-H591</f>
        <v>0</v>
      </c>
      <c r="J591" s="21" t="n">
        <f aca="false">H591*1000/Parametres!$B$9</f>
        <v>2224.3513651009</v>
      </c>
    </row>
    <row r="592" customFormat="false" ht="15" hidden="false" customHeight="false" outlineLevel="0" collapsed="false">
      <c r="A592" s="0" t="n">
        <v>588</v>
      </c>
      <c r="B592" s="0" t="n">
        <v>1</v>
      </c>
      <c r="C592" s="19" t="n">
        <v>0.5047</v>
      </c>
      <c r="D592" s="19" t="n">
        <v>0.0003</v>
      </c>
      <c r="E592" s="20" t="n">
        <f aca="false">Parametres!$B$5*C592</f>
        <v>151.41</v>
      </c>
      <c r="F592" s="20" t="n">
        <f aca="false">Parametres!$B$6*D592</f>
        <v>0.06</v>
      </c>
      <c r="G592" s="20" t="n">
        <f aca="false">E592+F592</f>
        <v>151.47</v>
      </c>
      <c r="H592" s="20" t="n">
        <f aca="false">IF(G592&lt;Parametres!$B$8*Parametres!$B$7,0,MIN(G592,Parametres!$B$7))</f>
        <v>151.47</v>
      </c>
      <c r="I592" s="20" t="n">
        <f aca="false">G592-H592</f>
        <v>0</v>
      </c>
      <c r="J592" s="21" t="n">
        <f aca="false">H592*1000/Parametres!$B$9</f>
        <v>2568.5942004409</v>
      </c>
    </row>
    <row r="593" customFormat="false" ht="15" hidden="false" customHeight="false" outlineLevel="0" collapsed="false">
      <c r="A593" s="0" t="n">
        <v>589</v>
      </c>
      <c r="B593" s="0" t="n">
        <v>1</v>
      </c>
      <c r="C593" s="19" t="n">
        <v>0.4883</v>
      </c>
      <c r="D593" s="19" t="n">
        <v>0.0037</v>
      </c>
      <c r="E593" s="20" t="n">
        <f aca="false">Parametres!$B$5*C593</f>
        <v>146.49</v>
      </c>
      <c r="F593" s="20" t="n">
        <f aca="false">Parametres!$B$6*D593</f>
        <v>0.74</v>
      </c>
      <c r="G593" s="20" t="n">
        <f aca="false">E593+F593</f>
        <v>147.23</v>
      </c>
      <c r="H593" s="20" t="n">
        <f aca="false">IF(G593&lt;Parametres!$B$8*Parametres!$B$7,0,MIN(G593,Parametres!$B$7))</f>
        <v>147.23</v>
      </c>
      <c r="I593" s="20" t="n">
        <f aca="false">G593-H593</f>
        <v>0</v>
      </c>
      <c r="J593" s="21" t="n">
        <f aca="false">H593*1000/Parametres!$B$9</f>
        <v>2496.69323384772</v>
      </c>
    </row>
    <row r="594" customFormat="false" ht="15" hidden="false" customHeight="false" outlineLevel="0" collapsed="false">
      <c r="A594" s="0" t="n">
        <v>590</v>
      </c>
      <c r="B594" s="0" t="n">
        <v>1</v>
      </c>
      <c r="C594" s="19" t="n">
        <v>0.4622</v>
      </c>
      <c r="D594" s="19" t="n">
        <v>0.019</v>
      </c>
      <c r="E594" s="20" t="n">
        <f aca="false">Parametres!$B$5*C594</f>
        <v>138.66</v>
      </c>
      <c r="F594" s="20" t="n">
        <f aca="false">Parametres!$B$6*D594</f>
        <v>3.8</v>
      </c>
      <c r="G594" s="20" t="n">
        <f aca="false">E594+F594</f>
        <v>142.46</v>
      </c>
      <c r="H594" s="20" t="n">
        <f aca="false">IF(G594&lt;Parametres!$B$8*Parametres!$B$7,0,MIN(G594,Parametres!$B$7))</f>
        <v>142.46</v>
      </c>
      <c r="I594" s="20" t="n">
        <f aca="false">G594-H594</f>
        <v>0</v>
      </c>
      <c r="J594" s="21" t="n">
        <f aca="false">H594*1000/Parametres!$B$9</f>
        <v>2415.80464643039</v>
      </c>
    </row>
    <row r="595" customFormat="false" ht="15" hidden="false" customHeight="false" outlineLevel="0" collapsed="false">
      <c r="A595" s="0" t="n">
        <v>591</v>
      </c>
      <c r="B595" s="0" t="n">
        <v>1</v>
      </c>
      <c r="C595" s="19" t="n">
        <v>0.3708</v>
      </c>
      <c r="D595" s="19" t="n">
        <v>0.0156</v>
      </c>
      <c r="E595" s="20" t="n">
        <f aca="false">Parametres!$B$5*C595</f>
        <v>111.24</v>
      </c>
      <c r="F595" s="20" t="n">
        <f aca="false">Parametres!$B$6*D595</f>
        <v>3.12</v>
      </c>
      <c r="G595" s="20" t="n">
        <f aca="false">E595+F595</f>
        <v>114.36</v>
      </c>
      <c r="H595" s="20" t="n">
        <f aca="false">IF(G595&lt;Parametres!$B$8*Parametres!$B$7,0,MIN(G595,Parametres!$B$7))</f>
        <v>114.36</v>
      </c>
      <c r="I595" s="20" t="n">
        <f aca="false">G595-H595</f>
        <v>0</v>
      </c>
      <c r="J595" s="21" t="n">
        <f aca="false">H595*1000/Parametres!$B$9</f>
        <v>1939.29116499915</v>
      </c>
    </row>
    <row r="596" customFormat="false" ht="15" hidden="false" customHeight="false" outlineLevel="0" collapsed="false">
      <c r="A596" s="0" t="n">
        <v>592</v>
      </c>
      <c r="B596" s="0" t="n">
        <v>1</v>
      </c>
      <c r="C596" s="19" t="n">
        <v>0.2369</v>
      </c>
      <c r="D596" s="19" t="n">
        <v>0.0273</v>
      </c>
      <c r="E596" s="20" t="n">
        <f aca="false">Parametres!$B$5*C596</f>
        <v>71.07</v>
      </c>
      <c r="F596" s="20" t="n">
        <f aca="false">Parametres!$B$6*D596</f>
        <v>5.46</v>
      </c>
      <c r="G596" s="20" t="n">
        <f aca="false">E596+F596</f>
        <v>76.53</v>
      </c>
      <c r="H596" s="20" t="n">
        <f aca="false">IF(G596&lt;Parametres!$B$8*Parametres!$B$7,0,MIN(G596,Parametres!$B$7))</f>
        <v>76.53</v>
      </c>
      <c r="I596" s="20" t="n">
        <f aca="false">G596-H596</f>
        <v>0</v>
      </c>
      <c r="J596" s="21" t="n">
        <f aca="false">H596*1000/Parametres!$B$9</f>
        <v>1297.77853145667</v>
      </c>
    </row>
    <row r="597" customFormat="false" ht="15" hidden="false" customHeight="false" outlineLevel="0" collapsed="false">
      <c r="A597" s="0" t="n">
        <v>593</v>
      </c>
      <c r="B597" s="0" t="n">
        <v>1</v>
      </c>
      <c r="C597" s="19" t="n">
        <v>0.1047</v>
      </c>
      <c r="D597" s="19" t="n">
        <v>0.008</v>
      </c>
      <c r="E597" s="20" t="n">
        <f aca="false">Parametres!$B$5*C597</f>
        <v>31.41</v>
      </c>
      <c r="F597" s="20" t="n">
        <f aca="false">Parametres!$B$6*D597</f>
        <v>1.6</v>
      </c>
      <c r="G597" s="20" t="n">
        <f aca="false">E597+F597</f>
        <v>33.01</v>
      </c>
      <c r="H597" s="20" t="n">
        <f aca="false">IF(G597&lt;Parametres!$B$8*Parametres!$B$7,0,MIN(G597,Parametres!$B$7))</f>
        <v>33.01</v>
      </c>
      <c r="I597" s="20" t="n">
        <f aca="false">G597-H597</f>
        <v>0</v>
      </c>
      <c r="J597" s="21" t="n">
        <f aca="false">H597*1000/Parametres!$B$9</f>
        <v>559.776157368153</v>
      </c>
    </row>
    <row r="598" customFormat="false" ht="15" hidden="false" customHeight="false" outlineLevel="0" collapsed="false">
      <c r="A598" s="0" t="n">
        <v>594</v>
      </c>
      <c r="B598" s="0" t="n">
        <v>1</v>
      </c>
      <c r="C598" s="19" t="n">
        <v>0</v>
      </c>
      <c r="D598" s="19" t="n">
        <v>0.0011</v>
      </c>
      <c r="E598" s="20" t="n">
        <f aca="false">Parametres!$B$5*C598</f>
        <v>0</v>
      </c>
      <c r="F598" s="20" t="n">
        <f aca="false">Parametres!$B$6*D598</f>
        <v>0.22</v>
      </c>
      <c r="G598" s="20" t="n">
        <f aca="false">E598+F598</f>
        <v>0.22</v>
      </c>
      <c r="H598" s="20" t="n">
        <f aca="false">IF(G598&lt;Parametres!$B$8*Parametres!$B$7,0,MIN(G598,Parametres!$B$7))</f>
        <v>0</v>
      </c>
      <c r="I598" s="20" t="n">
        <f aca="false">G598-H598</f>
        <v>0.22</v>
      </c>
      <c r="J598" s="21" t="n">
        <f aca="false">H598*1000/Parametres!$B$9</f>
        <v>0</v>
      </c>
    </row>
    <row r="599" customFormat="false" ht="15" hidden="false" customHeight="false" outlineLevel="0" collapsed="false">
      <c r="A599" s="0" t="n">
        <v>595</v>
      </c>
      <c r="B599" s="0" t="n">
        <v>1</v>
      </c>
      <c r="C599" s="19" t="n">
        <v>0</v>
      </c>
      <c r="D599" s="19" t="n">
        <v>0.0007</v>
      </c>
      <c r="E599" s="20" t="n">
        <f aca="false">Parametres!$B$5*C599</f>
        <v>0</v>
      </c>
      <c r="F599" s="20" t="n">
        <f aca="false">Parametres!$B$6*D599</f>
        <v>0.14</v>
      </c>
      <c r="G599" s="20" t="n">
        <f aca="false">E599+F599</f>
        <v>0.14</v>
      </c>
      <c r="H599" s="20" t="n">
        <f aca="false">IF(G599&lt;Parametres!$B$8*Parametres!$B$7,0,MIN(G599,Parametres!$B$7))</f>
        <v>0</v>
      </c>
      <c r="I599" s="20" t="n">
        <f aca="false">G599-H599</f>
        <v>0.14</v>
      </c>
      <c r="J599" s="21" t="n">
        <f aca="false">H599*1000/Parametres!$B$9</f>
        <v>0</v>
      </c>
    </row>
    <row r="600" customFormat="false" ht="15" hidden="false" customHeight="false" outlineLevel="0" collapsed="false">
      <c r="A600" s="0" t="n">
        <v>596</v>
      </c>
      <c r="B600" s="0" t="n">
        <v>1</v>
      </c>
      <c r="C600" s="19" t="n">
        <v>0</v>
      </c>
      <c r="D600" s="19" t="n">
        <v>0.0057</v>
      </c>
      <c r="E600" s="20" t="n">
        <f aca="false">Parametres!$B$5*C600</f>
        <v>0</v>
      </c>
      <c r="F600" s="20" t="n">
        <f aca="false">Parametres!$B$6*D600</f>
        <v>1.14</v>
      </c>
      <c r="G600" s="20" t="n">
        <f aca="false">E600+F600</f>
        <v>1.14</v>
      </c>
      <c r="H600" s="20" t="n">
        <f aca="false">IF(G600&lt;Parametres!$B$8*Parametres!$B$7,0,MIN(G600,Parametres!$B$7))</f>
        <v>0</v>
      </c>
      <c r="I600" s="20" t="n">
        <f aca="false">G600-H600</f>
        <v>1.14</v>
      </c>
      <c r="J600" s="21" t="n">
        <f aca="false">H600*1000/Parametres!$B$9</f>
        <v>0</v>
      </c>
    </row>
    <row r="601" customFormat="false" ht="15" hidden="false" customHeight="false" outlineLevel="0" collapsed="false">
      <c r="A601" s="0" t="n">
        <v>597</v>
      </c>
      <c r="B601" s="0" t="n">
        <v>1</v>
      </c>
      <c r="C601" s="19" t="n">
        <v>0</v>
      </c>
      <c r="D601" s="19" t="n">
        <v>0.0012</v>
      </c>
      <c r="E601" s="20" t="n">
        <f aca="false">Parametres!$B$5*C601</f>
        <v>0</v>
      </c>
      <c r="F601" s="20" t="n">
        <f aca="false">Parametres!$B$6*D601</f>
        <v>0.24</v>
      </c>
      <c r="G601" s="20" t="n">
        <f aca="false">E601+F601</f>
        <v>0.24</v>
      </c>
      <c r="H601" s="20" t="n">
        <f aca="false">IF(G601&lt;Parametres!$B$8*Parametres!$B$7,0,MIN(G601,Parametres!$B$7))</f>
        <v>0</v>
      </c>
      <c r="I601" s="20" t="n">
        <f aca="false">G601-H601</f>
        <v>0.24</v>
      </c>
      <c r="J601" s="21" t="n">
        <f aca="false">H601*1000/Parametres!$B$9</f>
        <v>0</v>
      </c>
    </row>
    <row r="602" customFormat="false" ht="15" hidden="false" customHeight="false" outlineLevel="0" collapsed="false">
      <c r="A602" s="0" t="n">
        <v>598</v>
      </c>
      <c r="B602" s="0" t="n">
        <v>1</v>
      </c>
      <c r="C602" s="19" t="n">
        <v>0</v>
      </c>
      <c r="D602" s="19" t="n">
        <v>0.0002</v>
      </c>
      <c r="E602" s="20" t="n">
        <f aca="false">Parametres!$B$5*C602</f>
        <v>0</v>
      </c>
      <c r="F602" s="20" t="n">
        <f aca="false">Parametres!$B$6*D602</f>
        <v>0.04</v>
      </c>
      <c r="G602" s="20" t="n">
        <f aca="false">E602+F602</f>
        <v>0.04</v>
      </c>
      <c r="H602" s="20" t="n">
        <f aca="false">IF(G602&lt;Parametres!$B$8*Parametres!$B$7,0,MIN(G602,Parametres!$B$7))</f>
        <v>0</v>
      </c>
      <c r="I602" s="20" t="n">
        <f aca="false">G602-H602</f>
        <v>0.04</v>
      </c>
      <c r="J602" s="21" t="n">
        <f aca="false">H602*1000/Parametres!$B$9</f>
        <v>0</v>
      </c>
    </row>
    <row r="603" customFormat="false" ht="15" hidden="false" customHeight="false" outlineLevel="0" collapsed="false">
      <c r="A603" s="0" t="n">
        <v>599</v>
      </c>
      <c r="B603" s="0" t="n">
        <v>1</v>
      </c>
      <c r="C603" s="19" t="n">
        <v>0</v>
      </c>
      <c r="D603" s="19" t="n">
        <v>0.0027</v>
      </c>
      <c r="E603" s="20" t="n">
        <f aca="false">Parametres!$B$5*C603</f>
        <v>0</v>
      </c>
      <c r="F603" s="20" t="n">
        <f aca="false">Parametres!$B$6*D603</f>
        <v>0.54</v>
      </c>
      <c r="G603" s="20" t="n">
        <f aca="false">E603+F603</f>
        <v>0.54</v>
      </c>
      <c r="H603" s="20" t="n">
        <f aca="false">IF(G603&lt;Parametres!$B$8*Parametres!$B$7,0,MIN(G603,Parametres!$B$7))</f>
        <v>0</v>
      </c>
      <c r="I603" s="20" t="n">
        <f aca="false">G603-H603</f>
        <v>0.54</v>
      </c>
      <c r="J603" s="21" t="n">
        <f aca="false">H603*1000/Parametres!$B$9</f>
        <v>0</v>
      </c>
    </row>
    <row r="604" customFormat="false" ht="15" hidden="false" customHeight="false" outlineLevel="0" collapsed="false">
      <c r="A604" s="0" t="n">
        <v>600</v>
      </c>
      <c r="B604" s="0" t="n">
        <v>1</v>
      </c>
      <c r="C604" s="19" t="n">
        <v>0</v>
      </c>
      <c r="D604" s="19" t="n">
        <v>0</v>
      </c>
      <c r="E604" s="20" t="n">
        <f aca="false">Parametres!$B$5*C604</f>
        <v>0</v>
      </c>
      <c r="F604" s="20" t="n">
        <f aca="false">Parametres!$B$6*D604</f>
        <v>0</v>
      </c>
      <c r="G604" s="20" t="n">
        <f aca="false">E604+F604</f>
        <v>0</v>
      </c>
      <c r="H604" s="20" t="n">
        <f aca="false">IF(G604&lt;Parametres!$B$8*Parametres!$B$7,0,MIN(G604,Parametres!$B$7))</f>
        <v>0</v>
      </c>
      <c r="I604" s="20" t="n">
        <f aca="false">G604-H604</f>
        <v>0</v>
      </c>
      <c r="J604" s="21" t="n">
        <f aca="false">H604*1000/Parametres!$B$9</f>
        <v>0</v>
      </c>
    </row>
    <row r="605" customFormat="false" ht="15" hidden="false" customHeight="false" outlineLevel="0" collapsed="false">
      <c r="A605" s="0" t="n">
        <v>601</v>
      </c>
      <c r="B605" s="0" t="n">
        <v>1</v>
      </c>
      <c r="C605" s="19" t="n">
        <v>0</v>
      </c>
      <c r="D605" s="19" t="n">
        <v>0.0002</v>
      </c>
      <c r="E605" s="20" t="n">
        <f aca="false">Parametres!$B$5*C605</f>
        <v>0</v>
      </c>
      <c r="F605" s="20" t="n">
        <f aca="false">Parametres!$B$6*D605</f>
        <v>0.04</v>
      </c>
      <c r="G605" s="20" t="n">
        <f aca="false">E605+F605</f>
        <v>0.04</v>
      </c>
      <c r="H605" s="20" t="n">
        <f aca="false">IF(G605&lt;Parametres!$B$8*Parametres!$B$7,0,MIN(G605,Parametres!$B$7))</f>
        <v>0</v>
      </c>
      <c r="I605" s="20" t="n">
        <f aca="false">G605-H605</f>
        <v>0.04</v>
      </c>
      <c r="J605" s="21" t="n">
        <f aca="false">H605*1000/Parametres!$B$9</f>
        <v>0</v>
      </c>
    </row>
    <row r="606" customFormat="false" ht="15" hidden="false" customHeight="false" outlineLevel="0" collapsed="false">
      <c r="A606" s="0" t="n">
        <v>602</v>
      </c>
      <c r="B606" s="0" t="n">
        <v>1</v>
      </c>
      <c r="C606" s="19" t="n">
        <v>0</v>
      </c>
      <c r="D606" s="19" t="n">
        <v>0.0004</v>
      </c>
      <c r="E606" s="20" t="n">
        <f aca="false">Parametres!$B$5*C606</f>
        <v>0</v>
      </c>
      <c r="F606" s="20" t="n">
        <f aca="false">Parametres!$B$6*D606</f>
        <v>0.08</v>
      </c>
      <c r="G606" s="20" t="n">
        <f aca="false">E606+F606</f>
        <v>0.08</v>
      </c>
      <c r="H606" s="20" t="n">
        <f aca="false">IF(G606&lt;Parametres!$B$8*Parametres!$B$7,0,MIN(G606,Parametres!$B$7))</f>
        <v>0</v>
      </c>
      <c r="I606" s="20" t="n">
        <f aca="false">G606-H606</f>
        <v>0.08</v>
      </c>
      <c r="J606" s="21" t="n">
        <f aca="false">H606*1000/Parametres!$B$9</f>
        <v>0</v>
      </c>
    </row>
    <row r="607" customFormat="false" ht="15" hidden="false" customHeight="false" outlineLevel="0" collapsed="false">
      <c r="A607" s="0" t="n">
        <v>603</v>
      </c>
      <c r="B607" s="0" t="n">
        <v>1</v>
      </c>
      <c r="C607" s="19" t="n">
        <v>0</v>
      </c>
      <c r="D607" s="19" t="n">
        <v>0.0002</v>
      </c>
      <c r="E607" s="20" t="n">
        <f aca="false">Parametres!$B$5*C607</f>
        <v>0</v>
      </c>
      <c r="F607" s="20" t="n">
        <f aca="false">Parametres!$B$6*D607</f>
        <v>0.04</v>
      </c>
      <c r="G607" s="20" t="n">
        <f aca="false">E607+F607</f>
        <v>0.04</v>
      </c>
      <c r="H607" s="20" t="n">
        <f aca="false">IF(G607&lt;Parametres!$B$8*Parametres!$B$7,0,MIN(G607,Parametres!$B$7))</f>
        <v>0</v>
      </c>
      <c r="I607" s="20" t="n">
        <f aca="false">G607-H607</f>
        <v>0.04</v>
      </c>
      <c r="J607" s="21" t="n">
        <f aca="false">H607*1000/Parametres!$B$9</f>
        <v>0</v>
      </c>
    </row>
    <row r="608" customFormat="false" ht="15" hidden="false" customHeight="false" outlineLevel="0" collapsed="false">
      <c r="A608" s="0" t="n">
        <v>604</v>
      </c>
      <c r="B608" s="0" t="n">
        <v>1</v>
      </c>
      <c r="C608" s="19" t="n">
        <v>0</v>
      </c>
      <c r="D608" s="19" t="n">
        <v>0.0003</v>
      </c>
      <c r="E608" s="20" t="n">
        <f aca="false">Parametres!$B$5*C608</f>
        <v>0</v>
      </c>
      <c r="F608" s="20" t="n">
        <f aca="false">Parametres!$B$6*D608</f>
        <v>0.06</v>
      </c>
      <c r="G608" s="20" t="n">
        <f aca="false">E608+F608</f>
        <v>0.06</v>
      </c>
      <c r="H608" s="20" t="n">
        <f aca="false">IF(G608&lt;Parametres!$B$8*Parametres!$B$7,0,MIN(G608,Parametres!$B$7))</f>
        <v>0</v>
      </c>
      <c r="I608" s="20" t="n">
        <f aca="false">G608-H608</f>
        <v>0.06</v>
      </c>
      <c r="J608" s="21" t="n">
        <f aca="false">H608*1000/Parametres!$B$9</f>
        <v>0</v>
      </c>
    </row>
    <row r="609" customFormat="false" ht="15" hidden="false" customHeight="false" outlineLevel="0" collapsed="false">
      <c r="A609" s="0" t="n">
        <v>605</v>
      </c>
      <c r="B609" s="0" t="n">
        <v>1</v>
      </c>
      <c r="C609" s="19" t="n">
        <v>0</v>
      </c>
      <c r="D609" s="19" t="n">
        <v>0.0103</v>
      </c>
      <c r="E609" s="20" t="n">
        <f aca="false">Parametres!$B$5*C609</f>
        <v>0</v>
      </c>
      <c r="F609" s="20" t="n">
        <f aca="false">Parametres!$B$6*D609</f>
        <v>2.06</v>
      </c>
      <c r="G609" s="20" t="n">
        <f aca="false">E609+F609</f>
        <v>2.06</v>
      </c>
      <c r="H609" s="20" t="n">
        <f aca="false">IF(G609&lt;Parametres!$B$8*Parametres!$B$7,0,MIN(G609,Parametres!$B$7))</f>
        <v>0</v>
      </c>
      <c r="I609" s="20" t="n">
        <f aca="false">G609-H609</f>
        <v>2.06</v>
      </c>
      <c r="J609" s="21" t="n">
        <f aca="false">H609*1000/Parametres!$B$9</f>
        <v>0</v>
      </c>
    </row>
    <row r="610" customFormat="false" ht="15" hidden="false" customHeight="false" outlineLevel="0" collapsed="false">
      <c r="A610" s="0" t="n">
        <v>606</v>
      </c>
      <c r="B610" s="0" t="n">
        <v>1</v>
      </c>
      <c r="C610" s="19" t="n">
        <v>0</v>
      </c>
      <c r="D610" s="19" t="n">
        <v>0.0038</v>
      </c>
      <c r="E610" s="20" t="n">
        <f aca="false">Parametres!$B$5*C610</f>
        <v>0</v>
      </c>
      <c r="F610" s="20" t="n">
        <f aca="false">Parametres!$B$6*D610</f>
        <v>0.76</v>
      </c>
      <c r="G610" s="20" t="n">
        <f aca="false">E610+F610</f>
        <v>0.76</v>
      </c>
      <c r="H610" s="20" t="n">
        <f aca="false">IF(G610&lt;Parametres!$B$8*Parametres!$B$7,0,MIN(G610,Parametres!$B$7))</f>
        <v>0</v>
      </c>
      <c r="I610" s="20" t="n">
        <f aca="false">G610-H610</f>
        <v>0.76</v>
      </c>
      <c r="J610" s="21" t="n">
        <f aca="false">H610*1000/Parametres!$B$9</f>
        <v>0</v>
      </c>
    </row>
    <row r="611" customFormat="false" ht="15" hidden="false" customHeight="false" outlineLevel="0" collapsed="false">
      <c r="A611" s="0" t="n">
        <v>607</v>
      </c>
      <c r="B611" s="0" t="n">
        <v>1</v>
      </c>
      <c r="C611" s="19" t="n">
        <v>0</v>
      </c>
      <c r="D611" s="19" t="n">
        <v>0.0033</v>
      </c>
      <c r="E611" s="20" t="n">
        <f aca="false">Parametres!$B$5*C611</f>
        <v>0</v>
      </c>
      <c r="F611" s="20" t="n">
        <f aca="false">Parametres!$B$6*D611</f>
        <v>0.66</v>
      </c>
      <c r="G611" s="20" t="n">
        <f aca="false">E611+F611</f>
        <v>0.66</v>
      </c>
      <c r="H611" s="20" t="n">
        <f aca="false">IF(G611&lt;Parametres!$B$8*Parametres!$B$7,0,MIN(G611,Parametres!$B$7))</f>
        <v>0</v>
      </c>
      <c r="I611" s="20" t="n">
        <f aca="false">G611-H611</f>
        <v>0.66</v>
      </c>
      <c r="J611" s="21" t="n">
        <f aca="false">H611*1000/Parametres!$B$9</f>
        <v>0</v>
      </c>
    </row>
    <row r="612" customFormat="false" ht="15" hidden="false" customHeight="false" outlineLevel="0" collapsed="false">
      <c r="A612" s="0" t="n">
        <v>608</v>
      </c>
      <c r="B612" s="0" t="n">
        <v>1</v>
      </c>
      <c r="C612" s="19" t="n">
        <v>0.1107</v>
      </c>
      <c r="D612" s="19" t="n">
        <v>0.0033</v>
      </c>
      <c r="E612" s="20" t="n">
        <f aca="false">Parametres!$B$5*C612</f>
        <v>33.21</v>
      </c>
      <c r="F612" s="20" t="n">
        <f aca="false">Parametres!$B$6*D612</f>
        <v>0.66</v>
      </c>
      <c r="G612" s="20" t="n">
        <f aca="false">E612+F612</f>
        <v>33.87</v>
      </c>
      <c r="H612" s="20" t="n">
        <f aca="false">IF(G612&lt;Parametres!$B$8*Parametres!$B$7,0,MIN(G612,Parametres!$B$7))</f>
        <v>33.87</v>
      </c>
      <c r="I612" s="20" t="n">
        <f aca="false">G612-H612</f>
        <v>0</v>
      </c>
      <c r="J612" s="21" t="n">
        <f aca="false">H612*1000/Parametres!$B$9</f>
        <v>574.359843988469</v>
      </c>
    </row>
    <row r="613" customFormat="false" ht="15" hidden="false" customHeight="false" outlineLevel="0" collapsed="false">
      <c r="A613" s="0" t="n">
        <v>609</v>
      </c>
      <c r="B613" s="0" t="n">
        <v>1</v>
      </c>
      <c r="C613" s="19" t="n">
        <v>0.2698</v>
      </c>
      <c r="D613" s="19" t="n">
        <v>0.002</v>
      </c>
      <c r="E613" s="20" t="n">
        <f aca="false">Parametres!$B$5*C613</f>
        <v>80.94</v>
      </c>
      <c r="F613" s="20" t="n">
        <f aca="false">Parametres!$B$6*D613</f>
        <v>0.4</v>
      </c>
      <c r="G613" s="20" t="n">
        <f aca="false">E613+F613</f>
        <v>81.34</v>
      </c>
      <c r="H613" s="20" t="n">
        <f aca="false">IF(G613&lt;Parametres!$B$8*Parametres!$B$7,0,MIN(G613,Parametres!$B$7))</f>
        <v>81.34</v>
      </c>
      <c r="I613" s="20" t="n">
        <f aca="false">G613-H613</f>
        <v>0</v>
      </c>
      <c r="J613" s="21" t="n">
        <f aca="false">H613*1000/Parametres!$B$9</f>
        <v>1379.3454298796</v>
      </c>
    </row>
    <row r="614" customFormat="false" ht="15" hidden="false" customHeight="false" outlineLevel="0" collapsed="false">
      <c r="A614" s="0" t="n">
        <v>610</v>
      </c>
      <c r="B614" s="0" t="n">
        <v>1</v>
      </c>
      <c r="C614" s="19" t="n">
        <v>0.4411</v>
      </c>
      <c r="D614" s="19" t="n">
        <v>0.0003</v>
      </c>
      <c r="E614" s="20" t="n">
        <f aca="false">Parametres!$B$5*C614</f>
        <v>132.33</v>
      </c>
      <c r="F614" s="20" t="n">
        <f aca="false">Parametres!$B$6*D614</f>
        <v>0.06</v>
      </c>
      <c r="G614" s="20" t="n">
        <f aca="false">E614+F614</f>
        <v>132.39</v>
      </c>
      <c r="H614" s="20" t="n">
        <f aca="false">IF(G614&lt;Parametres!$B$8*Parametres!$B$7,0,MIN(G614,Parametres!$B$7))</f>
        <v>132.39</v>
      </c>
      <c r="I614" s="20" t="n">
        <f aca="false">G614-H614</f>
        <v>0</v>
      </c>
      <c r="J614" s="21" t="n">
        <f aca="false">H614*1000/Parametres!$B$9</f>
        <v>2245.03985077158</v>
      </c>
    </row>
    <row r="615" customFormat="false" ht="15" hidden="false" customHeight="false" outlineLevel="0" collapsed="false">
      <c r="A615" s="0" t="n">
        <v>611</v>
      </c>
      <c r="B615" s="0" t="n">
        <v>1</v>
      </c>
      <c r="C615" s="19" t="n">
        <v>0.5535</v>
      </c>
      <c r="D615" s="19" t="n">
        <v>0.0059</v>
      </c>
      <c r="E615" s="20" t="n">
        <f aca="false">Parametres!$B$5*C615</f>
        <v>166.05</v>
      </c>
      <c r="F615" s="20" t="n">
        <f aca="false">Parametres!$B$6*D615</f>
        <v>1.18</v>
      </c>
      <c r="G615" s="20" t="n">
        <f aca="false">E615+F615</f>
        <v>167.23</v>
      </c>
      <c r="H615" s="20" t="n">
        <f aca="false">IF(G615&lt;Parametres!$B$8*Parametres!$B$7,0,MIN(G615,Parametres!$B$7))</f>
        <v>167.23</v>
      </c>
      <c r="I615" s="20" t="n">
        <f aca="false">G615-H615</f>
        <v>0</v>
      </c>
      <c r="J615" s="21" t="n">
        <f aca="false">H615*1000/Parametres!$B$9</f>
        <v>2835.84873664575</v>
      </c>
    </row>
    <row r="616" customFormat="false" ht="15" hidden="false" customHeight="false" outlineLevel="0" collapsed="false">
      <c r="A616" s="0" t="n">
        <v>612</v>
      </c>
      <c r="B616" s="0" t="n">
        <v>1</v>
      </c>
      <c r="C616" s="19" t="n">
        <v>0.6049</v>
      </c>
      <c r="D616" s="19" t="n">
        <v>0.01</v>
      </c>
      <c r="E616" s="20" t="n">
        <f aca="false">Parametres!$B$5*C616</f>
        <v>181.47</v>
      </c>
      <c r="F616" s="20" t="n">
        <f aca="false">Parametres!$B$6*D616</f>
        <v>2</v>
      </c>
      <c r="G616" s="20" t="n">
        <f aca="false">E616+F616</f>
        <v>183.47</v>
      </c>
      <c r="H616" s="20" t="n">
        <f aca="false">IF(G616&lt;Parametres!$B$8*Parametres!$B$7,0,MIN(G616,Parametres!$B$7))</f>
        <v>183.47</v>
      </c>
      <c r="I616" s="20" t="n">
        <f aca="false">G616-H616</f>
        <v>0</v>
      </c>
      <c r="J616" s="21" t="n">
        <f aca="false">H616*1000/Parametres!$B$9</f>
        <v>3111.24300491775</v>
      </c>
    </row>
    <row r="617" customFormat="false" ht="15" hidden="false" customHeight="false" outlineLevel="0" collapsed="false">
      <c r="A617" s="0" t="n">
        <v>613</v>
      </c>
      <c r="B617" s="0" t="n">
        <v>1</v>
      </c>
      <c r="C617" s="19" t="n">
        <v>0.5972</v>
      </c>
      <c r="D617" s="19" t="n">
        <v>0.0018</v>
      </c>
      <c r="E617" s="20" t="n">
        <f aca="false">Parametres!$B$5*C617</f>
        <v>179.16</v>
      </c>
      <c r="F617" s="20" t="n">
        <f aca="false">Parametres!$B$6*D617</f>
        <v>0.36</v>
      </c>
      <c r="G617" s="20" t="n">
        <f aca="false">E617+F617</f>
        <v>179.52</v>
      </c>
      <c r="H617" s="20" t="n">
        <f aca="false">IF(G617&lt;Parametres!$B$8*Parametres!$B$7,0,MIN(G617,Parametres!$B$7))</f>
        <v>179.52</v>
      </c>
      <c r="I617" s="20" t="n">
        <f aca="false">G617-H617</f>
        <v>0</v>
      </c>
      <c r="J617" s="21" t="n">
        <f aca="false">H617*1000/Parametres!$B$9</f>
        <v>3044.25979311514</v>
      </c>
    </row>
    <row r="618" customFormat="false" ht="15" hidden="false" customHeight="false" outlineLevel="0" collapsed="false">
      <c r="A618" s="0" t="n">
        <v>614</v>
      </c>
      <c r="B618" s="0" t="n">
        <v>1</v>
      </c>
      <c r="C618" s="19" t="n">
        <v>0.5813</v>
      </c>
      <c r="D618" s="19" t="n">
        <v>0.0009</v>
      </c>
      <c r="E618" s="20" t="n">
        <f aca="false">Parametres!$B$5*C618</f>
        <v>174.39</v>
      </c>
      <c r="F618" s="20" t="n">
        <f aca="false">Parametres!$B$6*D618</f>
        <v>0.18</v>
      </c>
      <c r="G618" s="20" t="n">
        <f aca="false">E618+F618</f>
        <v>174.57</v>
      </c>
      <c r="H618" s="20" t="n">
        <f aca="false">IF(G618&lt;Parametres!$B$8*Parametres!$B$7,0,MIN(G618,Parametres!$B$7))</f>
        <v>174.57</v>
      </c>
      <c r="I618" s="20" t="n">
        <f aca="false">G618-H618</f>
        <v>0</v>
      </c>
      <c r="J618" s="21" t="n">
        <f aca="false">H618*1000/Parametres!$B$9</f>
        <v>2960.31880617263</v>
      </c>
    </row>
    <row r="619" customFormat="false" ht="15" hidden="false" customHeight="false" outlineLevel="0" collapsed="false">
      <c r="A619" s="0" t="n">
        <v>615</v>
      </c>
      <c r="B619" s="0" t="n">
        <v>1</v>
      </c>
      <c r="C619" s="19" t="n">
        <v>0.4053</v>
      </c>
      <c r="D619" s="19" t="n">
        <v>0.0025</v>
      </c>
      <c r="E619" s="20" t="n">
        <f aca="false">Parametres!$B$5*C619</f>
        <v>121.59</v>
      </c>
      <c r="F619" s="20" t="n">
        <f aca="false">Parametres!$B$6*D619</f>
        <v>0.5</v>
      </c>
      <c r="G619" s="20" t="n">
        <f aca="false">E619+F619</f>
        <v>122.09</v>
      </c>
      <c r="H619" s="20" t="n">
        <f aca="false">IF(G619&lt;Parametres!$B$8*Parametres!$B$7,0,MIN(G619,Parametres!$B$7))</f>
        <v>122.09</v>
      </c>
      <c r="I619" s="20" t="n">
        <f aca="false">G619-H619</f>
        <v>0</v>
      </c>
      <c r="J619" s="21" t="n">
        <f aca="false">H619*1000/Parametres!$B$9</f>
        <v>2070.37476683059</v>
      </c>
    </row>
    <row r="620" customFormat="false" ht="15" hidden="false" customHeight="false" outlineLevel="0" collapsed="false">
      <c r="A620" s="0" t="n">
        <v>616</v>
      </c>
      <c r="B620" s="0" t="n">
        <v>1</v>
      </c>
      <c r="C620" s="19" t="n">
        <v>0.2725</v>
      </c>
      <c r="D620" s="19" t="n">
        <v>0.0051</v>
      </c>
      <c r="E620" s="20" t="n">
        <f aca="false">Parametres!$B$5*C620</f>
        <v>81.75</v>
      </c>
      <c r="F620" s="20" t="n">
        <f aca="false">Parametres!$B$6*D620</f>
        <v>1.02</v>
      </c>
      <c r="G620" s="20" t="n">
        <f aca="false">E620+F620</f>
        <v>82.77</v>
      </c>
      <c r="H620" s="20" t="n">
        <f aca="false">IF(G620&lt;Parametres!$B$8*Parametres!$B$7,0,MIN(G620,Parametres!$B$7))</f>
        <v>82.77</v>
      </c>
      <c r="I620" s="20" t="n">
        <f aca="false">G620-H620</f>
        <v>0</v>
      </c>
      <c r="J620" s="21" t="n">
        <f aca="false">H620*1000/Parametres!$B$9</f>
        <v>1403.59504832966</v>
      </c>
    </row>
    <row r="621" customFormat="false" ht="15" hidden="false" customHeight="false" outlineLevel="0" collapsed="false">
      <c r="A621" s="0" t="n">
        <v>617</v>
      </c>
      <c r="B621" s="0" t="n">
        <v>1</v>
      </c>
      <c r="C621" s="19" t="n">
        <v>0.1119</v>
      </c>
      <c r="D621" s="19" t="n">
        <v>0.0007</v>
      </c>
      <c r="E621" s="20" t="n">
        <f aca="false">Parametres!$B$5*C621</f>
        <v>33.57</v>
      </c>
      <c r="F621" s="20" t="n">
        <f aca="false">Parametres!$B$6*D621</f>
        <v>0.14</v>
      </c>
      <c r="G621" s="20" t="n">
        <f aca="false">E621+F621</f>
        <v>33.71</v>
      </c>
      <c r="H621" s="20" t="n">
        <f aca="false">IF(G621&lt;Parametres!$B$8*Parametres!$B$7,0,MIN(G621,Parametres!$B$7))</f>
        <v>33.71</v>
      </c>
      <c r="I621" s="20" t="n">
        <f aca="false">G621-H621</f>
        <v>0</v>
      </c>
      <c r="J621" s="21" t="n">
        <f aca="false">H621*1000/Parametres!$B$9</f>
        <v>571.646599966084</v>
      </c>
    </row>
    <row r="622" customFormat="false" ht="15" hidden="false" customHeight="false" outlineLevel="0" collapsed="false">
      <c r="A622" s="0" t="n">
        <v>618</v>
      </c>
      <c r="B622" s="0" t="n">
        <v>1</v>
      </c>
      <c r="C622" s="19" t="n">
        <v>0</v>
      </c>
      <c r="D622" s="19" t="n">
        <v>0.0007</v>
      </c>
      <c r="E622" s="20" t="n">
        <f aca="false">Parametres!$B$5*C622</f>
        <v>0</v>
      </c>
      <c r="F622" s="20" t="n">
        <f aca="false">Parametres!$B$6*D622</f>
        <v>0.14</v>
      </c>
      <c r="G622" s="20" t="n">
        <f aca="false">E622+F622</f>
        <v>0.14</v>
      </c>
      <c r="H622" s="20" t="n">
        <f aca="false">IF(G622&lt;Parametres!$B$8*Parametres!$B$7,0,MIN(G622,Parametres!$B$7))</f>
        <v>0</v>
      </c>
      <c r="I622" s="20" t="n">
        <f aca="false">G622-H622</f>
        <v>0.14</v>
      </c>
      <c r="J622" s="21" t="n">
        <f aca="false">H622*1000/Parametres!$B$9</f>
        <v>0</v>
      </c>
    </row>
    <row r="623" customFormat="false" ht="15" hidden="false" customHeight="false" outlineLevel="0" collapsed="false">
      <c r="A623" s="0" t="n">
        <v>619</v>
      </c>
      <c r="B623" s="0" t="n">
        <v>1</v>
      </c>
      <c r="C623" s="19" t="n">
        <v>0</v>
      </c>
      <c r="D623" s="19" t="n">
        <v>0.0012</v>
      </c>
      <c r="E623" s="20" t="n">
        <f aca="false">Parametres!$B$5*C623</f>
        <v>0</v>
      </c>
      <c r="F623" s="20" t="n">
        <f aca="false">Parametres!$B$6*D623</f>
        <v>0.24</v>
      </c>
      <c r="G623" s="20" t="n">
        <f aca="false">E623+F623</f>
        <v>0.24</v>
      </c>
      <c r="H623" s="20" t="n">
        <f aca="false">IF(G623&lt;Parametres!$B$8*Parametres!$B$7,0,MIN(G623,Parametres!$B$7))</f>
        <v>0</v>
      </c>
      <c r="I623" s="20" t="n">
        <f aca="false">G623-H623</f>
        <v>0.24</v>
      </c>
      <c r="J623" s="21" t="n">
        <f aca="false">H623*1000/Parametres!$B$9</f>
        <v>0</v>
      </c>
    </row>
    <row r="624" customFormat="false" ht="15" hidden="false" customHeight="false" outlineLevel="0" collapsed="false">
      <c r="A624" s="0" t="n">
        <v>620</v>
      </c>
      <c r="B624" s="0" t="n">
        <v>1</v>
      </c>
      <c r="C624" s="19" t="n">
        <v>0</v>
      </c>
      <c r="D624" s="19" t="n">
        <v>0.0021</v>
      </c>
      <c r="E624" s="20" t="n">
        <f aca="false">Parametres!$B$5*C624</f>
        <v>0</v>
      </c>
      <c r="F624" s="20" t="n">
        <f aca="false">Parametres!$B$6*D624</f>
        <v>0.42</v>
      </c>
      <c r="G624" s="20" t="n">
        <f aca="false">E624+F624</f>
        <v>0.42</v>
      </c>
      <c r="H624" s="20" t="n">
        <f aca="false">IF(G624&lt;Parametres!$B$8*Parametres!$B$7,0,MIN(G624,Parametres!$B$7))</f>
        <v>0</v>
      </c>
      <c r="I624" s="20" t="n">
        <f aca="false">G624-H624</f>
        <v>0.42</v>
      </c>
      <c r="J624" s="21" t="n">
        <f aca="false">H624*1000/Parametres!$B$9</f>
        <v>0</v>
      </c>
    </row>
    <row r="625" customFormat="false" ht="15" hidden="false" customHeight="false" outlineLevel="0" collapsed="false">
      <c r="A625" s="0" t="n">
        <v>621</v>
      </c>
      <c r="B625" s="0" t="n">
        <v>1</v>
      </c>
      <c r="C625" s="19" t="n">
        <v>0</v>
      </c>
      <c r="D625" s="19" t="n">
        <v>0.0032</v>
      </c>
      <c r="E625" s="20" t="n">
        <f aca="false">Parametres!$B$5*C625</f>
        <v>0</v>
      </c>
      <c r="F625" s="20" t="n">
        <f aca="false">Parametres!$B$6*D625</f>
        <v>0.64</v>
      </c>
      <c r="G625" s="20" t="n">
        <f aca="false">E625+F625</f>
        <v>0.64</v>
      </c>
      <c r="H625" s="20" t="n">
        <f aca="false">IF(G625&lt;Parametres!$B$8*Parametres!$B$7,0,MIN(G625,Parametres!$B$7))</f>
        <v>0</v>
      </c>
      <c r="I625" s="20" t="n">
        <f aca="false">G625-H625</f>
        <v>0.64</v>
      </c>
      <c r="J625" s="21" t="n">
        <f aca="false">H625*1000/Parametres!$B$9</f>
        <v>0</v>
      </c>
    </row>
    <row r="626" customFormat="false" ht="15" hidden="false" customHeight="false" outlineLevel="0" collapsed="false">
      <c r="A626" s="0" t="n">
        <v>622</v>
      </c>
      <c r="B626" s="0" t="n">
        <v>1</v>
      </c>
      <c r="C626" s="19" t="n">
        <v>0</v>
      </c>
      <c r="D626" s="19" t="n">
        <v>0</v>
      </c>
      <c r="E626" s="20" t="n">
        <f aca="false">Parametres!$B$5*C626</f>
        <v>0</v>
      </c>
      <c r="F626" s="20" t="n">
        <f aca="false">Parametres!$B$6*D626</f>
        <v>0</v>
      </c>
      <c r="G626" s="20" t="n">
        <f aca="false">E626+F626</f>
        <v>0</v>
      </c>
      <c r="H626" s="20" t="n">
        <f aca="false">IF(G626&lt;Parametres!$B$8*Parametres!$B$7,0,MIN(G626,Parametres!$B$7))</f>
        <v>0</v>
      </c>
      <c r="I626" s="20" t="n">
        <f aca="false">G626-H626</f>
        <v>0</v>
      </c>
      <c r="J626" s="21" t="n">
        <f aca="false">H626*1000/Parametres!$B$9</f>
        <v>0</v>
      </c>
    </row>
    <row r="627" customFormat="false" ht="15" hidden="false" customHeight="false" outlineLevel="0" collapsed="false">
      <c r="A627" s="0" t="n">
        <v>623</v>
      </c>
      <c r="B627" s="0" t="n">
        <v>1</v>
      </c>
      <c r="C627" s="19" t="n">
        <v>0</v>
      </c>
      <c r="D627" s="19" t="n">
        <v>0.0023</v>
      </c>
      <c r="E627" s="20" t="n">
        <f aca="false">Parametres!$B$5*C627</f>
        <v>0</v>
      </c>
      <c r="F627" s="20" t="n">
        <f aca="false">Parametres!$B$6*D627</f>
        <v>0.46</v>
      </c>
      <c r="G627" s="20" t="n">
        <f aca="false">E627+F627</f>
        <v>0.46</v>
      </c>
      <c r="H627" s="20" t="n">
        <f aca="false">IF(G627&lt;Parametres!$B$8*Parametres!$B$7,0,MIN(G627,Parametres!$B$7))</f>
        <v>0</v>
      </c>
      <c r="I627" s="20" t="n">
        <f aca="false">G627-H627</f>
        <v>0.46</v>
      </c>
      <c r="J627" s="21" t="n">
        <f aca="false">H627*1000/Parametres!$B$9</f>
        <v>0</v>
      </c>
    </row>
    <row r="628" customFormat="false" ht="15" hidden="false" customHeight="false" outlineLevel="0" collapsed="false">
      <c r="A628" s="0" t="n">
        <v>624</v>
      </c>
      <c r="B628" s="0" t="n">
        <v>1</v>
      </c>
      <c r="C628" s="19" t="n">
        <v>0</v>
      </c>
      <c r="D628" s="19" t="n">
        <v>0.0025</v>
      </c>
      <c r="E628" s="20" t="n">
        <f aca="false">Parametres!$B$5*C628</f>
        <v>0</v>
      </c>
      <c r="F628" s="20" t="n">
        <f aca="false">Parametres!$B$6*D628</f>
        <v>0.5</v>
      </c>
      <c r="G628" s="20" t="n">
        <f aca="false">E628+F628</f>
        <v>0.5</v>
      </c>
      <c r="H628" s="20" t="n">
        <f aca="false">IF(G628&lt;Parametres!$B$8*Parametres!$B$7,0,MIN(G628,Parametres!$B$7))</f>
        <v>0</v>
      </c>
      <c r="I628" s="20" t="n">
        <f aca="false">G628-H628</f>
        <v>0.5</v>
      </c>
      <c r="J628" s="21" t="n">
        <f aca="false">H628*1000/Parametres!$B$9</f>
        <v>0</v>
      </c>
    </row>
    <row r="629" customFormat="false" ht="15" hidden="false" customHeight="false" outlineLevel="0" collapsed="false">
      <c r="A629" s="0" t="n">
        <v>625</v>
      </c>
      <c r="B629" s="0" t="n">
        <v>1</v>
      </c>
      <c r="C629" s="19" t="n">
        <v>0</v>
      </c>
      <c r="D629" s="19" t="n">
        <v>0.0129</v>
      </c>
      <c r="E629" s="20" t="n">
        <f aca="false">Parametres!$B$5*C629</f>
        <v>0</v>
      </c>
      <c r="F629" s="20" t="n">
        <f aca="false">Parametres!$B$6*D629</f>
        <v>2.58</v>
      </c>
      <c r="G629" s="20" t="n">
        <f aca="false">E629+F629</f>
        <v>2.58</v>
      </c>
      <c r="H629" s="20" t="n">
        <f aca="false">IF(G629&lt;Parametres!$B$8*Parametres!$B$7,0,MIN(G629,Parametres!$B$7))</f>
        <v>0</v>
      </c>
      <c r="I629" s="20" t="n">
        <f aca="false">G629-H629</f>
        <v>2.58</v>
      </c>
      <c r="J629" s="21" t="n">
        <f aca="false">H629*1000/Parametres!$B$9</f>
        <v>0</v>
      </c>
    </row>
    <row r="630" customFormat="false" ht="15" hidden="false" customHeight="false" outlineLevel="0" collapsed="false">
      <c r="A630" s="0" t="n">
        <v>626</v>
      </c>
      <c r="B630" s="0" t="n">
        <v>1</v>
      </c>
      <c r="C630" s="19" t="n">
        <v>0</v>
      </c>
      <c r="D630" s="19" t="n">
        <v>0.0687</v>
      </c>
      <c r="E630" s="20" t="n">
        <f aca="false">Parametres!$B$5*C630</f>
        <v>0</v>
      </c>
      <c r="F630" s="20" t="n">
        <f aca="false">Parametres!$B$6*D630</f>
        <v>13.74</v>
      </c>
      <c r="G630" s="20" t="n">
        <f aca="false">E630+F630</f>
        <v>13.74</v>
      </c>
      <c r="H630" s="20" t="n">
        <f aca="false">IF(G630&lt;Parametres!$B$8*Parametres!$B$7,0,MIN(G630,Parametres!$B$7))</f>
        <v>0</v>
      </c>
      <c r="I630" s="20" t="n">
        <f aca="false">G630-H630</f>
        <v>13.74</v>
      </c>
      <c r="J630" s="21" t="n">
        <f aca="false">H630*1000/Parametres!$B$9</f>
        <v>0</v>
      </c>
    </row>
    <row r="631" customFormat="false" ht="15" hidden="false" customHeight="false" outlineLevel="0" collapsed="false">
      <c r="A631" s="0" t="n">
        <v>627</v>
      </c>
      <c r="B631" s="0" t="n">
        <v>1</v>
      </c>
      <c r="C631" s="19" t="n">
        <v>0</v>
      </c>
      <c r="D631" s="19" t="n">
        <v>0.0565</v>
      </c>
      <c r="E631" s="20" t="n">
        <f aca="false">Parametres!$B$5*C631</f>
        <v>0</v>
      </c>
      <c r="F631" s="20" t="n">
        <f aca="false">Parametres!$B$6*D631</f>
        <v>11.3</v>
      </c>
      <c r="G631" s="20" t="n">
        <f aca="false">E631+F631</f>
        <v>11.3</v>
      </c>
      <c r="H631" s="20" t="n">
        <f aca="false">IF(G631&lt;Parametres!$B$8*Parametres!$B$7,0,MIN(G631,Parametres!$B$7))</f>
        <v>0</v>
      </c>
      <c r="I631" s="20" t="n">
        <f aca="false">G631-H631</f>
        <v>11.3</v>
      </c>
      <c r="J631" s="21" t="n">
        <f aca="false">H631*1000/Parametres!$B$9</f>
        <v>0</v>
      </c>
    </row>
    <row r="632" customFormat="false" ht="15" hidden="false" customHeight="false" outlineLevel="0" collapsed="false">
      <c r="A632" s="0" t="n">
        <v>628</v>
      </c>
      <c r="B632" s="0" t="n">
        <v>1</v>
      </c>
      <c r="C632" s="19" t="n">
        <v>0</v>
      </c>
      <c r="D632" s="19" t="n">
        <v>0.0256</v>
      </c>
      <c r="E632" s="20" t="n">
        <f aca="false">Parametres!$B$5*C632</f>
        <v>0</v>
      </c>
      <c r="F632" s="20" t="n">
        <f aca="false">Parametres!$B$6*D632</f>
        <v>5.12</v>
      </c>
      <c r="G632" s="20" t="n">
        <f aca="false">E632+F632</f>
        <v>5.12</v>
      </c>
      <c r="H632" s="20" t="n">
        <f aca="false">IF(G632&lt;Parametres!$B$8*Parametres!$B$7,0,MIN(G632,Parametres!$B$7))</f>
        <v>0</v>
      </c>
      <c r="I632" s="20" t="n">
        <f aca="false">G632-H632</f>
        <v>5.12</v>
      </c>
      <c r="J632" s="21" t="n">
        <f aca="false">H632*1000/Parametres!$B$9</f>
        <v>0</v>
      </c>
    </row>
    <row r="633" customFormat="false" ht="15" hidden="false" customHeight="false" outlineLevel="0" collapsed="false">
      <c r="A633" s="0" t="n">
        <v>629</v>
      </c>
      <c r="B633" s="0" t="n">
        <v>1</v>
      </c>
      <c r="C633" s="19" t="n">
        <v>0</v>
      </c>
      <c r="D633" s="19" t="n">
        <v>0.0425</v>
      </c>
      <c r="E633" s="20" t="n">
        <f aca="false">Parametres!$B$5*C633</f>
        <v>0</v>
      </c>
      <c r="F633" s="20" t="n">
        <f aca="false">Parametres!$B$6*D633</f>
        <v>8.5</v>
      </c>
      <c r="G633" s="20" t="n">
        <f aca="false">E633+F633</f>
        <v>8.5</v>
      </c>
      <c r="H633" s="20" t="n">
        <f aca="false">IF(G633&lt;Parametres!$B$8*Parametres!$B$7,0,MIN(G633,Parametres!$B$7))</f>
        <v>0</v>
      </c>
      <c r="I633" s="20" t="n">
        <f aca="false">G633-H633</f>
        <v>8.5</v>
      </c>
      <c r="J633" s="21" t="n">
        <f aca="false">H633*1000/Parametres!$B$9</f>
        <v>0</v>
      </c>
    </row>
    <row r="634" customFormat="false" ht="15" hidden="false" customHeight="false" outlineLevel="0" collapsed="false">
      <c r="A634" s="0" t="n">
        <v>630</v>
      </c>
      <c r="B634" s="0" t="n">
        <v>1</v>
      </c>
      <c r="C634" s="19" t="n">
        <v>0</v>
      </c>
      <c r="D634" s="19" t="n">
        <v>0.0397</v>
      </c>
      <c r="E634" s="20" t="n">
        <f aca="false">Parametres!$B$5*C634</f>
        <v>0</v>
      </c>
      <c r="F634" s="20" t="n">
        <f aca="false">Parametres!$B$6*D634</f>
        <v>7.94</v>
      </c>
      <c r="G634" s="20" t="n">
        <f aca="false">E634+F634</f>
        <v>7.94</v>
      </c>
      <c r="H634" s="20" t="n">
        <f aca="false">IF(G634&lt;Parametres!$B$8*Parametres!$B$7,0,MIN(G634,Parametres!$B$7))</f>
        <v>0</v>
      </c>
      <c r="I634" s="20" t="n">
        <f aca="false">G634-H634</f>
        <v>7.94</v>
      </c>
      <c r="J634" s="21" t="n">
        <f aca="false">H634*1000/Parametres!$B$9</f>
        <v>0</v>
      </c>
    </row>
    <row r="635" customFormat="false" ht="15" hidden="false" customHeight="false" outlineLevel="0" collapsed="false">
      <c r="A635" s="0" t="n">
        <v>631</v>
      </c>
      <c r="B635" s="0" t="n">
        <v>1</v>
      </c>
      <c r="C635" s="19" t="n">
        <v>0</v>
      </c>
      <c r="D635" s="19" t="n">
        <v>0.0333</v>
      </c>
      <c r="E635" s="20" t="n">
        <f aca="false">Parametres!$B$5*C635</f>
        <v>0</v>
      </c>
      <c r="F635" s="20" t="n">
        <f aca="false">Parametres!$B$6*D635</f>
        <v>6.66</v>
      </c>
      <c r="G635" s="20" t="n">
        <f aca="false">E635+F635</f>
        <v>6.66</v>
      </c>
      <c r="H635" s="20" t="n">
        <f aca="false">IF(G635&lt;Parametres!$B$8*Parametres!$B$7,0,MIN(G635,Parametres!$B$7))</f>
        <v>0</v>
      </c>
      <c r="I635" s="20" t="n">
        <f aca="false">G635-H635</f>
        <v>6.66</v>
      </c>
      <c r="J635" s="21" t="n">
        <f aca="false">H635*1000/Parametres!$B$9</f>
        <v>0</v>
      </c>
    </row>
    <row r="636" customFormat="false" ht="15" hidden="false" customHeight="false" outlineLevel="0" collapsed="false">
      <c r="A636" s="0" t="n">
        <v>632</v>
      </c>
      <c r="B636" s="0" t="n">
        <v>1</v>
      </c>
      <c r="C636" s="19" t="n">
        <v>0.1407</v>
      </c>
      <c r="D636" s="19" t="n">
        <v>0.0197</v>
      </c>
      <c r="E636" s="20" t="n">
        <f aca="false">Parametres!$B$5*C636</f>
        <v>42.21</v>
      </c>
      <c r="F636" s="20" t="n">
        <f aca="false">Parametres!$B$6*D636</f>
        <v>3.94</v>
      </c>
      <c r="G636" s="20" t="n">
        <f aca="false">E636+F636</f>
        <v>46.15</v>
      </c>
      <c r="H636" s="20" t="n">
        <f aca="false">IF(G636&lt;Parametres!$B$8*Parametres!$B$7,0,MIN(G636,Parametres!$B$7))</f>
        <v>46.15</v>
      </c>
      <c r="I636" s="20" t="n">
        <f aca="false">G636-H636</f>
        <v>0</v>
      </c>
      <c r="J636" s="21" t="n">
        <f aca="false">H636*1000/Parametres!$B$9</f>
        <v>782.601322706461</v>
      </c>
    </row>
    <row r="637" customFormat="false" ht="15" hidden="false" customHeight="false" outlineLevel="0" collapsed="false">
      <c r="A637" s="0" t="n">
        <v>633</v>
      </c>
      <c r="B637" s="0" t="n">
        <v>1</v>
      </c>
      <c r="C637" s="19" t="n">
        <v>0.3714</v>
      </c>
      <c r="D637" s="19" t="n">
        <v>0.0654</v>
      </c>
      <c r="E637" s="20" t="n">
        <f aca="false">Parametres!$B$5*C637</f>
        <v>111.42</v>
      </c>
      <c r="F637" s="20" t="n">
        <f aca="false">Parametres!$B$6*D637</f>
        <v>13.08</v>
      </c>
      <c r="G637" s="20" t="n">
        <f aca="false">E637+F637</f>
        <v>124.5</v>
      </c>
      <c r="H637" s="20" t="n">
        <f aca="false">IF(G637&lt;Parametres!$B$8*Parametres!$B$7,0,MIN(G637,Parametres!$B$7))</f>
        <v>124.5</v>
      </c>
      <c r="I637" s="20" t="n">
        <f aca="false">G637-H637</f>
        <v>0</v>
      </c>
      <c r="J637" s="21" t="n">
        <f aca="false">H637*1000/Parametres!$B$9</f>
        <v>2111.24300491775</v>
      </c>
    </row>
    <row r="638" customFormat="false" ht="15" hidden="false" customHeight="false" outlineLevel="0" collapsed="false">
      <c r="A638" s="0" t="n">
        <v>634</v>
      </c>
      <c r="B638" s="0" t="n">
        <v>1</v>
      </c>
      <c r="C638" s="19" t="n">
        <v>0.5549</v>
      </c>
      <c r="D638" s="19" t="n">
        <v>0.0616</v>
      </c>
      <c r="E638" s="20" t="n">
        <f aca="false">Parametres!$B$5*C638</f>
        <v>166.47</v>
      </c>
      <c r="F638" s="20" t="n">
        <f aca="false">Parametres!$B$6*D638</f>
        <v>12.32</v>
      </c>
      <c r="G638" s="20" t="n">
        <f aca="false">E638+F638</f>
        <v>178.79</v>
      </c>
      <c r="H638" s="20" t="n">
        <f aca="false">IF(G638&lt;Parametres!$B$8*Parametres!$B$7,0,MIN(G638,Parametres!$B$7))</f>
        <v>178.79</v>
      </c>
      <c r="I638" s="20" t="n">
        <f aca="false">G638-H638</f>
        <v>0</v>
      </c>
      <c r="J638" s="21" t="n">
        <f aca="false">H638*1000/Parametres!$B$9</f>
        <v>3031.88061726301</v>
      </c>
    </row>
    <row r="639" customFormat="false" ht="15" hidden="false" customHeight="false" outlineLevel="0" collapsed="false">
      <c r="A639" s="0" t="n">
        <v>635</v>
      </c>
      <c r="B639" s="0" t="n">
        <v>1</v>
      </c>
      <c r="C639" s="19" t="n">
        <v>0.7125</v>
      </c>
      <c r="D639" s="19" t="n">
        <v>0.0328</v>
      </c>
      <c r="E639" s="20" t="n">
        <f aca="false">Parametres!$B$5*C639</f>
        <v>213.75</v>
      </c>
      <c r="F639" s="20" t="n">
        <f aca="false">Parametres!$B$6*D639</f>
        <v>6.56</v>
      </c>
      <c r="G639" s="20" t="n">
        <f aca="false">E639+F639</f>
        <v>220.31</v>
      </c>
      <c r="H639" s="20" t="n">
        <f aca="false">IF(G639&lt;Parametres!$B$8*Parametres!$B$7,0,MIN(G639,Parametres!$B$7))</f>
        <v>220.31</v>
      </c>
      <c r="I639" s="20" t="n">
        <f aca="false">G639-H639</f>
        <v>0</v>
      </c>
      <c r="J639" s="21" t="n">
        <f aca="false">H639*1000/Parametres!$B$9</f>
        <v>3735.96744107173</v>
      </c>
    </row>
    <row r="640" customFormat="false" ht="15" hidden="false" customHeight="false" outlineLevel="0" collapsed="false">
      <c r="A640" s="0" t="n">
        <v>636</v>
      </c>
      <c r="B640" s="0" t="n">
        <v>1</v>
      </c>
      <c r="C640" s="19" t="n">
        <v>0.7853</v>
      </c>
      <c r="D640" s="19" t="n">
        <v>0.0302</v>
      </c>
      <c r="E640" s="20" t="n">
        <f aca="false">Parametres!$B$5*C640</f>
        <v>235.59</v>
      </c>
      <c r="F640" s="20" t="n">
        <f aca="false">Parametres!$B$6*D640</f>
        <v>6.04</v>
      </c>
      <c r="G640" s="20" t="n">
        <f aca="false">E640+F640</f>
        <v>241.63</v>
      </c>
      <c r="H640" s="20" t="n">
        <f aca="false">IF(G640&lt;Parametres!$B$8*Parametres!$B$7,0,MIN(G640,Parametres!$B$7))</f>
        <v>241.63</v>
      </c>
      <c r="I640" s="20" t="n">
        <f aca="false">G640-H640</f>
        <v>0</v>
      </c>
      <c r="J640" s="21" t="n">
        <f aca="false">H640*1000/Parametres!$B$9</f>
        <v>4097.50720705444</v>
      </c>
    </row>
    <row r="641" customFormat="false" ht="15" hidden="false" customHeight="false" outlineLevel="0" collapsed="false">
      <c r="A641" s="0" t="n">
        <v>637</v>
      </c>
      <c r="B641" s="0" t="n">
        <v>1</v>
      </c>
      <c r="C641" s="19" t="n">
        <v>0.8053</v>
      </c>
      <c r="D641" s="19" t="n">
        <v>0.0159</v>
      </c>
      <c r="E641" s="20" t="n">
        <f aca="false">Parametres!$B$5*C641</f>
        <v>241.59</v>
      </c>
      <c r="F641" s="20" t="n">
        <f aca="false">Parametres!$B$6*D641</f>
        <v>3.18</v>
      </c>
      <c r="G641" s="20" t="n">
        <f aca="false">E641+F641</f>
        <v>244.77</v>
      </c>
      <c r="H641" s="20" t="n">
        <f aca="false">IF(G641&lt;Parametres!$B$8*Parametres!$B$7,0,MIN(G641,Parametres!$B$7))</f>
        <v>244.77</v>
      </c>
      <c r="I641" s="20" t="n">
        <f aca="false">G641-H641</f>
        <v>0</v>
      </c>
      <c r="J641" s="21" t="n">
        <f aca="false">H641*1000/Parametres!$B$9</f>
        <v>4150.75462099373</v>
      </c>
    </row>
    <row r="642" customFormat="false" ht="15" hidden="false" customHeight="false" outlineLevel="0" collapsed="false">
      <c r="A642" s="0" t="n">
        <v>638</v>
      </c>
      <c r="B642" s="0" t="n">
        <v>1</v>
      </c>
      <c r="C642" s="19" t="n">
        <v>0.704</v>
      </c>
      <c r="D642" s="19" t="n">
        <v>0.022</v>
      </c>
      <c r="E642" s="20" t="n">
        <f aca="false">Parametres!$B$5*C642</f>
        <v>211.2</v>
      </c>
      <c r="F642" s="20" t="n">
        <f aca="false">Parametres!$B$6*D642</f>
        <v>4.4</v>
      </c>
      <c r="G642" s="20" t="n">
        <f aca="false">E642+F642</f>
        <v>215.6</v>
      </c>
      <c r="H642" s="20" t="n">
        <f aca="false">IF(G642&lt;Parametres!$B$8*Parametres!$B$7,0,MIN(G642,Parametres!$B$7))</f>
        <v>215.6</v>
      </c>
      <c r="I642" s="20" t="n">
        <f aca="false">G642-H642</f>
        <v>0</v>
      </c>
      <c r="J642" s="21" t="n">
        <f aca="false">H642*1000/Parametres!$B$9</f>
        <v>3656.09632016279</v>
      </c>
    </row>
    <row r="643" customFormat="false" ht="15" hidden="false" customHeight="false" outlineLevel="0" collapsed="false">
      <c r="A643" s="0" t="n">
        <v>639</v>
      </c>
      <c r="B643" s="0" t="n">
        <v>1</v>
      </c>
      <c r="C643" s="19" t="n">
        <v>0.5815</v>
      </c>
      <c r="D643" s="19" t="n">
        <v>0.0187</v>
      </c>
      <c r="E643" s="20" t="n">
        <f aca="false">Parametres!$B$5*C643</f>
        <v>174.45</v>
      </c>
      <c r="F643" s="20" t="n">
        <f aca="false">Parametres!$B$6*D643</f>
        <v>3.74</v>
      </c>
      <c r="G643" s="20" t="n">
        <f aca="false">E643+F643</f>
        <v>178.19</v>
      </c>
      <c r="H643" s="20" t="n">
        <f aca="false">IF(G643&lt;Parametres!$B$8*Parametres!$B$7,0,MIN(G643,Parametres!$B$7))</f>
        <v>178.19</v>
      </c>
      <c r="I643" s="20" t="n">
        <f aca="false">G643-H643</f>
        <v>0</v>
      </c>
      <c r="J643" s="21" t="n">
        <f aca="false">H643*1000/Parametres!$B$9</f>
        <v>3021.70595217907</v>
      </c>
    </row>
    <row r="644" customFormat="false" ht="15" hidden="false" customHeight="false" outlineLevel="0" collapsed="false">
      <c r="A644" s="0" t="n">
        <v>640</v>
      </c>
      <c r="B644" s="0" t="n">
        <v>1</v>
      </c>
      <c r="C644" s="19" t="n">
        <v>0.3342</v>
      </c>
      <c r="D644" s="19" t="n">
        <v>0.0084</v>
      </c>
      <c r="E644" s="20" t="n">
        <f aca="false">Parametres!$B$5*C644</f>
        <v>100.26</v>
      </c>
      <c r="F644" s="20" t="n">
        <f aca="false">Parametres!$B$6*D644</f>
        <v>1.68</v>
      </c>
      <c r="G644" s="20" t="n">
        <f aca="false">E644+F644</f>
        <v>101.94</v>
      </c>
      <c r="H644" s="20" t="n">
        <f aca="false">IF(G644&lt;Parametres!$B$8*Parametres!$B$7,0,MIN(G644,Parametres!$B$7))</f>
        <v>101.94</v>
      </c>
      <c r="I644" s="20" t="n">
        <f aca="false">G644-H644</f>
        <v>0</v>
      </c>
      <c r="J644" s="21" t="n">
        <f aca="false">H644*1000/Parametres!$B$9</f>
        <v>1728.67559776157</v>
      </c>
    </row>
    <row r="645" customFormat="false" ht="15" hidden="false" customHeight="false" outlineLevel="0" collapsed="false">
      <c r="A645" s="0" t="n">
        <v>641</v>
      </c>
      <c r="B645" s="0" t="n">
        <v>1</v>
      </c>
      <c r="C645" s="19" t="n">
        <v>0.1488</v>
      </c>
      <c r="D645" s="19" t="n">
        <v>0.016</v>
      </c>
      <c r="E645" s="20" t="n">
        <f aca="false">Parametres!$B$5*C645</f>
        <v>44.64</v>
      </c>
      <c r="F645" s="20" t="n">
        <f aca="false">Parametres!$B$6*D645</f>
        <v>3.2</v>
      </c>
      <c r="G645" s="20" t="n">
        <f aca="false">E645+F645</f>
        <v>47.84</v>
      </c>
      <c r="H645" s="20" t="n">
        <f aca="false">IF(G645&lt;Parametres!$B$8*Parametres!$B$7,0,MIN(G645,Parametres!$B$7))</f>
        <v>47.84</v>
      </c>
      <c r="I645" s="20" t="n">
        <f aca="false">G645-H645</f>
        <v>0</v>
      </c>
      <c r="J645" s="21" t="n">
        <f aca="false">H645*1000/Parametres!$B$9</f>
        <v>811.259962692895</v>
      </c>
    </row>
    <row r="646" customFormat="false" ht="15" hidden="false" customHeight="false" outlineLevel="0" collapsed="false">
      <c r="A646" s="0" t="n">
        <v>642</v>
      </c>
      <c r="B646" s="0" t="n">
        <v>1</v>
      </c>
      <c r="C646" s="19" t="n">
        <v>0</v>
      </c>
      <c r="D646" s="19" t="n">
        <v>0.0093</v>
      </c>
      <c r="E646" s="20" t="n">
        <f aca="false">Parametres!$B$5*C646</f>
        <v>0</v>
      </c>
      <c r="F646" s="20" t="n">
        <f aca="false">Parametres!$B$6*D646</f>
        <v>1.86</v>
      </c>
      <c r="G646" s="20" t="n">
        <f aca="false">E646+F646</f>
        <v>1.86</v>
      </c>
      <c r="H646" s="20" t="n">
        <f aca="false">IF(G646&lt;Parametres!$B$8*Parametres!$B$7,0,MIN(G646,Parametres!$B$7))</f>
        <v>0</v>
      </c>
      <c r="I646" s="20" t="n">
        <f aca="false">G646-H646</f>
        <v>1.86</v>
      </c>
      <c r="J646" s="21" t="n">
        <f aca="false">H646*1000/Parametres!$B$9</f>
        <v>0</v>
      </c>
    </row>
    <row r="647" customFormat="false" ht="15" hidden="false" customHeight="false" outlineLevel="0" collapsed="false">
      <c r="A647" s="0" t="n">
        <v>643</v>
      </c>
      <c r="B647" s="0" t="n">
        <v>1</v>
      </c>
      <c r="C647" s="19" t="n">
        <v>0</v>
      </c>
      <c r="D647" s="19" t="n">
        <v>0.0174</v>
      </c>
      <c r="E647" s="20" t="n">
        <f aca="false">Parametres!$B$5*C647</f>
        <v>0</v>
      </c>
      <c r="F647" s="20" t="n">
        <f aca="false">Parametres!$B$6*D647</f>
        <v>3.48</v>
      </c>
      <c r="G647" s="20" t="n">
        <f aca="false">E647+F647</f>
        <v>3.48</v>
      </c>
      <c r="H647" s="20" t="n">
        <f aca="false">IF(G647&lt;Parametres!$B$8*Parametres!$B$7,0,MIN(G647,Parametres!$B$7))</f>
        <v>0</v>
      </c>
      <c r="I647" s="20" t="n">
        <f aca="false">G647-H647</f>
        <v>3.48</v>
      </c>
      <c r="J647" s="21" t="n">
        <f aca="false">H647*1000/Parametres!$B$9</f>
        <v>0</v>
      </c>
    </row>
    <row r="648" customFormat="false" ht="15" hidden="false" customHeight="false" outlineLevel="0" collapsed="false">
      <c r="A648" s="0" t="n">
        <v>644</v>
      </c>
      <c r="B648" s="0" t="n">
        <v>1</v>
      </c>
      <c r="C648" s="19" t="n">
        <v>0</v>
      </c>
      <c r="D648" s="19" t="n">
        <v>0.0406</v>
      </c>
      <c r="E648" s="20" t="n">
        <f aca="false">Parametres!$B$5*C648</f>
        <v>0</v>
      </c>
      <c r="F648" s="20" t="n">
        <f aca="false">Parametres!$B$6*D648</f>
        <v>8.12</v>
      </c>
      <c r="G648" s="20" t="n">
        <f aca="false">E648+F648</f>
        <v>8.12</v>
      </c>
      <c r="H648" s="20" t="n">
        <f aca="false">IF(G648&lt;Parametres!$B$8*Parametres!$B$7,0,MIN(G648,Parametres!$B$7))</f>
        <v>0</v>
      </c>
      <c r="I648" s="20" t="n">
        <f aca="false">G648-H648</f>
        <v>8.12</v>
      </c>
      <c r="J648" s="21" t="n">
        <f aca="false">H648*1000/Parametres!$B$9</f>
        <v>0</v>
      </c>
    </row>
    <row r="649" customFormat="false" ht="15" hidden="false" customHeight="false" outlineLevel="0" collapsed="false">
      <c r="A649" s="0" t="n">
        <v>645</v>
      </c>
      <c r="B649" s="0" t="n">
        <v>1</v>
      </c>
      <c r="C649" s="19" t="n">
        <v>0</v>
      </c>
      <c r="D649" s="19" t="n">
        <v>0.0285</v>
      </c>
      <c r="E649" s="20" t="n">
        <f aca="false">Parametres!$B$5*C649</f>
        <v>0</v>
      </c>
      <c r="F649" s="20" t="n">
        <f aca="false">Parametres!$B$6*D649</f>
        <v>5.7</v>
      </c>
      <c r="G649" s="20" t="n">
        <f aca="false">E649+F649</f>
        <v>5.7</v>
      </c>
      <c r="H649" s="20" t="n">
        <f aca="false">IF(G649&lt;Parametres!$B$8*Parametres!$B$7,0,MIN(G649,Parametres!$B$7))</f>
        <v>0</v>
      </c>
      <c r="I649" s="20" t="n">
        <f aca="false">G649-H649</f>
        <v>5.7</v>
      </c>
      <c r="J649" s="21" t="n">
        <f aca="false">H649*1000/Parametres!$B$9</f>
        <v>0</v>
      </c>
    </row>
    <row r="650" customFormat="false" ht="15" hidden="false" customHeight="false" outlineLevel="0" collapsed="false">
      <c r="A650" s="0" t="n">
        <v>646</v>
      </c>
      <c r="B650" s="0" t="n">
        <v>1</v>
      </c>
      <c r="C650" s="19" t="n">
        <v>0</v>
      </c>
      <c r="D650" s="19" t="n">
        <v>0.0151</v>
      </c>
      <c r="E650" s="20" t="n">
        <f aca="false">Parametres!$B$5*C650</f>
        <v>0</v>
      </c>
      <c r="F650" s="20" t="n">
        <f aca="false">Parametres!$B$6*D650</f>
        <v>3.02</v>
      </c>
      <c r="G650" s="20" t="n">
        <f aca="false">E650+F650</f>
        <v>3.02</v>
      </c>
      <c r="H650" s="20" t="n">
        <f aca="false">IF(G650&lt;Parametres!$B$8*Parametres!$B$7,0,MIN(G650,Parametres!$B$7))</f>
        <v>0</v>
      </c>
      <c r="I650" s="20" t="n">
        <f aca="false">G650-H650</f>
        <v>3.02</v>
      </c>
      <c r="J650" s="21" t="n">
        <f aca="false">H650*1000/Parametres!$B$9</f>
        <v>0</v>
      </c>
    </row>
    <row r="651" customFormat="false" ht="15" hidden="false" customHeight="false" outlineLevel="0" collapsed="false">
      <c r="A651" s="0" t="n">
        <v>647</v>
      </c>
      <c r="B651" s="0" t="n">
        <v>1</v>
      </c>
      <c r="C651" s="19" t="n">
        <v>0</v>
      </c>
      <c r="D651" s="19" t="n">
        <v>0.015</v>
      </c>
      <c r="E651" s="20" t="n">
        <f aca="false">Parametres!$B$5*C651</f>
        <v>0</v>
      </c>
      <c r="F651" s="20" t="n">
        <f aca="false">Parametres!$B$6*D651</f>
        <v>3</v>
      </c>
      <c r="G651" s="20" t="n">
        <f aca="false">E651+F651</f>
        <v>3</v>
      </c>
      <c r="H651" s="20" t="n">
        <f aca="false">IF(G651&lt;Parametres!$B$8*Parametres!$B$7,0,MIN(G651,Parametres!$B$7))</f>
        <v>0</v>
      </c>
      <c r="I651" s="20" t="n">
        <f aca="false">G651-H651</f>
        <v>3</v>
      </c>
      <c r="J651" s="21" t="n">
        <f aca="false">H651*1000/Parametres!$B$9</f>
        <v>0</v>
      </c>
    </row>
    <row r="652" customFormat="false" ht="15" hidden="false" customHeight="false" outlineLevel="0" collapsed="false">
      <c r="A652" s="0" t="n">
        <v>648</v>
      </c>
      <c r="B652" s="0" t="n">
        <v>1</v>
      </c>
      <c r="C652" s="19" t="n">
        <v>0</v>
      </c>
      <c r="D652" s="19" t="n">
        <v>0.0245</v>
      </c>
      <c r="E652" s="20" t="n">
        <f aca="false">Parametres!$B$5*C652</f>
        <v>0</v>
      </c>
      <c r="F652" s="20" t="n">
        <f aca="false">Parametres!$B$6*D652</f>
        <v>4.9</v>
      </c>
      <c r="G652" s="20" t="n">
        <f aca="false">E652+F652</f>
        <v>4.9</v>
      </c>
      <c r="H652" s="20" t="n">
        <f aca="false">IF(G652&lt;Parametres!$B$8*Parametres!$B$7,0,MIN(G652,Parametres!$B$7))</f>
        <v>0</v>
      </c>
      <c r="I652" s="20" t="n">
        <f aca="false">G652-H652</f>
        <v>4.9</v>
      </c>
      <c r="J652" s="21" t="n">
        <f aca="false">H652*1000/Parametres!$B$9</f>
        <v>0</v>
      </c>
    </row>
    <row r="653" customFormat="false" ht="15" hidden="false" customHeight="false" outlineLevel="0" collapsed="false">
      <c r="A653" s="0" t="n">
        <v>649</v>
      </c>
      <c r="B653" s="0" t="n">
        <v>1</v>
      </c>
      <c r="C653" s="19" t="n">
        <v>0</v>
      </c>
      <c r="D653" s="19" t="n">
        <v>0.0207</v>
      </c>
      <c r="E653" s="20" t="n">
        <f aca="false">Parametres!$B$5*C653</f>
        <v>0</v>
      </c>
      <c r="F653" s="20" t="n">
        <f aca="false">Parametres!$B$6*D653</f>
        <v>4.14</v>
      </c>
      <c r="G653" s="20" t="n">
        <f aca="false">E653+F653</f>
        <v>4.14</v>
      </c>
      <c r="H653" s="20" t="n">
        <f aca="false">IF(G653&lt;Parametres!$B$8*Parametres!$B$7,0,MIN(G653,Parametres!$B$7))</f>
        <v>0</v>
      </c>
      <c r="I653" s="20" t="n">
        <f aca="false">G653-H653</f>
        <v>4.14</v>
      </c>
      <c r="J653" s="21" t="n">
        <f aca="false">H653*1000/Parametres!$B$9</f>
        <v>0</v>
      </c>
    </row>
    <row r="654" customFormat="false" ht="15" hidden="false" customHeight="false" outlineLevel="0" collapsed="false">
      <c r="A654" s="0" t="n">
        <v>650</v>
      </c>
      <c r="B654" s="0" t="n">
        <v>1</v>
      </c>
      <c r="C654" s="19" t="n">
        <v>0</v>
      </c>
      <c r="D654" s="19" t="n">
        <v>0.0197</v>
      </c>
      <c r="E654" s="20" t="n">
        <f aca="false">Parametres!$B$5*C654</f>
        <v>0</v>
      </c>
      <c r="F654" s="20" t="n">
        <f aca="false">Parametres!$B$6*D654</f>
        <v>3.94</v>
      </c>
      <c r="G654" s="20" t="n">
        <f aca="false">E654+F654</f>
        <v>3.94</v>
      </c>
      <c r="H654" s="20" t="n">
        <f aca="false">IF(G654&lt;Parametres!$B$8*Parametres!$B$7,0,MIN(G654,Parametres!$B$7))</f>
        <v>0</v>
      </c>
      <c r="I654" s="20" t="n">
        <f aca="false">G654-H654</f>
        <v>3.94</v>
      </c>
      <c r="J654" s="21" t="n">
        <f aca="false">H654*1000/Parametres!$B$9</f>
        <v>0</v>
      </c>
    </row>
    <row r="655" customFormat="false" ht="15" hidden="false" customHeight="false" outlineLevel="0" collapsed="false">
      <c r="A655" s="0" t="n">
        <v>651</v>
      </c>
      <c r="B655" s="0" t="n">
        <v>1</v>
      </c>
      <c r="C655" s="19" t="n">
        <v>0</v>
      </c>
      <c r="D655" s="19" t="n">
        <v>0.0172</v>
      </c>
      <c r="E655" s="20" t="n">
        <f aca="false">Parametres!$B$5*C655</f>
        <v>0</v>
      </c>
      <c r="F655" s="20" t="n">
        <f aca="false">Parametres!$B$6*D655</f>
        <v>3.44</v>
      </c>
      <c r="G655" s="20" t="n">
        <f aca="false">E655+F655</f>
        <v>3.44</v>
      </c>
      <c r="H655" s="20" t="n">
        <f aca="false">IF(G655&lt;Parametres!$B$8*Parametres!$B$7,0,MIN(G655,Parametres!$B$7))</f>
        <v>0</v>
      </c>
      <c r="I655" s="20" t="n">
        <f aca="false">G655-H655</f>
        <v>3.44</v>
      </c>
      <c r="J655" s="21" t="n">
        <f aca="false">H655*1000/Parametres!$B$9</f>
        <v>0</v>
      </c>
    </row>
    <row r="656" customFormat="false" ht="15" hidden="false" customHeight="false" outlineLevel="0" collapsed="false">
      <c r="A656" s="0" t="n">
        <v>652</v>
      </c>
      <c r="B656" s="0" t="n">
        <v>1</v>
      </c>
      <c r="C656" s="19" t="n">
        <v>0</v>
      </c>
      <c r="D656" s="19" t="n">
        <v>0.02</v>
      </c>
      <c r="E656" s="20" t="n">
        <f aca="false">Parametres!$B$5*C656</f>
        <v>0</v>
      </c>
      <c r="F656" s="20" t="n">
        <f aca="false">Parametres!$B$6*D656</f>
        <v>4</v>
      </c>
      <c r="G656" s="20" t="n">
        <f aca="false">E656+F656</f>
        <v>4</v>
      </c>
      <c r="H656" s="20" t="n">
        <f aca="false">IF(G656&lt;Parametres!$B$8*Parametres!$B$7,0,MIN(G656,Parametres!$B$7))</f>
        <v>0</v>
      </c>
      <c r="I656" s="20" t="n">
        <f aca="false">G656-H656</f>
        <v>4</v>
      </c>
      <c r="J656" s="21" t="n">
        <f aca="false">H656*1000/Parametres!$B$9</f>
        <v>0</v>
      </c>
    </row>
    <row r="657" customFormat="false" ht="15" hidden="false" customHeight="false" outlineLevel="0" collapsed="false">
      <c r="A657" s="0" t="n">
        <v>653</v>
      </c>
      <c r="B657" s="0" t="n">
        <v>1</v>
      </c>
      <c r="C657" s="19" t="n">
        <v>0</v>
      </c>
      <c r="D657" s="19" t="n">
        <v>0.0299</v>
      </c>
      <c r="E657" s="20" t="n">
        <f aca="false">Parametres!$B$5*C657</f>
        <v>0</v>
      </c>
      <c r="F657" s="20" t="n">
        <f aca="false">Parametres!$B$6*D657</f>
        <v>5.98</v>
      </c>
      <c r="G657" s="20" t="n">
        <f aca="false">E657+F657</f>
        <v>5.98</v>
      </c>
      <c r="H657" s="20" t="n">
        <f aca="false">IF(G657&lt;Parametres!$B$8*Parametres!$B$7,0,MIN(G657,Parametres!$B$7))</f>
        <v>0</v>
      </c>
      <c r="I657" s="20" t="n">
        <f aca="false">G657-H657</f>
        <v>5.98</v>
      </c>
      <c r="J657" s="21" t="n">
        <f aca="false">H657*1000/Parametres!$B$9</f>
        <v>0</v>
      </c>
    </row>
    <row r="658" customFormat="false" ht="15" hidden="false" customHeight="false" outlineLevel="0" collapsed="false">
      <c r="A658" s="0" t="n">
        <v>654</v>
      </c>
      <c r="B658" s="0" t="n">
        <v>1</v>
      </c>
      <c r="C658" s="19" t="n">
        <v>0</v>
      </c>
      <c r="D658" s="19" t="n">
        <v>0.0197</v>
      </c>
      <c r="E658" s="20" t="n">
        <f aca="false">Parametres!$B$5*C658</f>
        <v>0</v>
      </c>
      <c r="F658" s="20" t="n">
        <f aca="false">Parametres!$B$6*D658</f>
        <v>3.94</v>
      </c>
      <c r="G658" s="20" t="n">
        <f aca="false">E658+F658</f>
        <v>3.94</v>
      </c>
      <c r="H658" s="20" t="n">
        <f aca="false">IF(G658&lt;Parametres!$B$8*Parametres!$B$7,0,MIN(G658,Parametres!$B$7))</f>
        <v>0</v>
      </c>
      <c r="I658" s="20" t="n">
        <f aca="false">G658-H658</f>
        <v>3.94</v>
      </c>
      <c r="J658" s="21" t="n">
        <f aca="false">H658*1000/Parametres!$B$9</f>
        <v>0</v>
      </c>
    </row>
    <row r="659" customFormat="false" ht="15" hidden="false" customHeight="false" outlineLevel="0" collapsed="false">
      <c r="A659" s="0" t="n">
        <v>655</v>
      </c>
      <c r="B659" s="0" t="n">
        <v>1</v>
      </c>
      <c r="C659" s="19" t="n">
        <v>0</v>
      </c>
      <c r="D659" s="19" t="n">
        <v>0.0157</v>
      </c>
      <c r="E659" s="20" t="n">
        <f aca="false">Parametres!$B$5*C659</f>
        <v>0</v>
      </c>
      <c r="F659" s="20" t="n">
        <f aca="false">Parametres!$B$6*D659</f>
        <v>3.14</v>
      </c>
      <c r="G659" s="20" t="n">
        <f aca="false">E659+F659</f>
        <v>3.14</v>
      </c>
      <c r="H659" s="20" t="n">
        <f aca="false">IF(G659&lt;Parametres!$B$8*Parametres!$B$7,0,MIN(G659,Parametres!$B$7))</f>
        <v>0</v>
      </c>
      <c r="I659" s="20" t="n">
        <f aca="false">G659-H659</f>
        <v>3.14</v>
      </c>
      <c r="J659" s="21" t="n">
        <f aca="false">H659*1000/Parametres!$B$9</f>
        <v>0</v>
      </c>
    </row>
    <row r="660" customFormat="false" ht="15" hidden="false" customHeight="false" outlineLevel="0" collapsed="false">
      <c r="A660" s="0" t="n">
        <v>656</v>
      </c>
      <c r="B660" s="0" t="n">
        <v>1</v>
      </c>
      <c r="C660" s="19" t="n">
        <v>0.1681</v>
      </c>
      <c r="D660" s="19" t="n">
        <v>0.0192</v>
      </c>
      <c r="E660" s="20" t="n">
        <f aca="false">Parametres!$B$5*C660</f>
        <v>50.43</v>
      </c>
      <c r="F660" s="20" t="n">
        <f aca="false">Parametres!$B$6*D660</f>
        <v>3.84</v>
      </c>
      <c r="G660" s="20" t="n">
        <f aca="false">E660+F660</f>
        <v>54.27</v>
      </c>
      <c r="H660" s="20" t="n">
        <f aca="false">IF(G660&lt;Parametres!$B$8*Parametres!$B$7,0,MIN(G660,Parametres!$B$7))</f>
        <v>54.27</v>
      </c>
      <c r="I660" s="20" t="n">
        <f aca="false">G660-H660</f>
        <v>0</v>
      </c>
      <c r="J660" s="21" t="n">
        <f aca="false">H660*1000/Parametres!$B$9</f>
        <v>920.298456842462</v>
      </c>
    </row>
    <row r="661" customFormat="false" ht="15" hidden="false" customHeight="false" outlineLevel="0" collapsed="false">
      <c r="A661" s="0" t="n">
        <v>657</v>
      </c>
      <c r="B661" s="0" t="n">
        <v>1</v>
      </c>
      <c r="C661" s="19" t="n">
        <v>0.3611</v>
      </c>
      <c r="D661" s="19" t="n">
        <v>0.0145</v>
      </c>
      <c r="E661" s="20" t="n">
        <f aca="false">Parametres!$B$5*C661</f>
        <v>108.33</v>
      </c>
      <c r="F661" s="20" t="n">
        <f aca="false">Parametres!$B$6*D661</f>
        <v>2.9</v>
      </c>
      <c r="G661" s="20" t="n">
        <f aca="false">E661+F661</f>
        <v>111.23</v>
      </c>
      <c r="H661" s="20" t="n">
        <f aca="false">IF(G661&lt;Parametres!$B$8*Parametres!$B$7,0,MIN(G661,Parametres!$B$7))</f>
        <v>111.23</v>
      </c>
      <c r="I661" s="20" t="n">
        <f aca="false">G661-H661</f>
        <v>0</v>
      </c>
      <c r="J661" s="21" t="n">
        <f aca="false">H661*1000/Parametres!$B$9</f>
        <v>1886.21332881126</v>
      </c>
    </row>
    <row r="662" customFormat="false" ht="15" hidden="false" customHeight="false" outlineLevel="0" collapsed="false">
      <c r="A662" s="0" t="n">
        <v>658</v>
      </c>
      <c r="B662" s="0" t="n">
        <v>1</v>
      </c>
      <c r="C662" s="19" t="n">
        <v>0.5465</v>
      </c>
      <c r="D662" s="19" t="n">
        <v>0.0205</v>
      </c>
      <c r="E662" s="20" t="n">
        <f aca="false">Parametres!$B$5*C662</f>
        <v>163.95</v>
      </c>
      <c r="F662" s="20" t="n">
        <f aca="false">Parametres!$B$6*D662</f>
        <v>4.1</v>
      </c>
      <c r="G662" s="20" t="n">
        <f aca="false">E662+F662</f>
        <v>168.05</v>
      </c>
      <c r="H662" s="20" t="n">
        <f aca="false">IF(G662&lt;Parametres!$B$8*Parametres!$B$7,0,MIN(G662,Parametres!$B$7))</f>
        <v>168.05</v>
      </c>
      <c r="I662" s="20" t="n">
        <f aca="false">G662-H662</f>
        <v>0</v>
      </c>
      <c r="J662" s="21" t="n">
        <f aca="false">H662*1000/Parametres!$B$9</f>
        <v>2849.75411226047</v>
      </c>
    </row>
    <row r="663" customFormat="false" ht="15" hidden="false" customHeight="false" outlineLevel="0" collapsed="false">
      <c r="A663" s="0" t="n">
        <v>659</v>
      </c>
      <c r="B663" s="0" t="n">
        <v>1</v>
      </c>
      <c r="C663" s="19" t="n">
        <v>0.6962</v>
      </c>
      <c r="D663" s="19" t="n">
        <v>0.0369</v>
      </c>
      <c r="E663" s="20" t="n">
        <f aca="false">Parametres!$B$5*C663</f>
        <v>208.86</v>
      </c>
      <c r="F663" s="20" t="n">
        <f aca="false">Parametres!$B$6*D663</f>
        <v>7.38</v>
      </c>
      <c r="G663" s="20" t="n">
        <f aca="false">E663+F663</f>
        <v>216.24</v>
      </c>
      <c r="H663" s="20" t="n">
        <f aca="false">IF(G663&lt;Parametres!$B$8*Parametres!$B$7,0,MIN(G663,Parametres!$B$7))</f>
        <v>216.24</v>
      </c>
      <c r="I663" s="20" t="n">
        <f aca="false">G663-H663</f>
        <v>0</v>
      </c>
      <c r="J663" s="21" t="n">
        <f aca="false">H663*1000/Parametres!$B$9</f>
        <v>3666.94929625233</v>
      </c>
    </row>
    <row r="664" customFormat="false" ht="15" hidden="false" customHeight="false" outlineLevel="0" collapsed="false">
      <c r="A664" s="0" t="n">
        <v>660</v>
      </c>
      <c r="B664" s="0" t="n">
        <v>1</v>
      </c>
      <c r="C664" s="19" t="n">
        <v>0.7484</v>
      </c>
      <c r="D664" s="19" t="n">
        <v>0.0446</v>
      </c>
      <c r="E664" s="20" t="n">
        <f aca="false">Parametres!$B$5*C664</f>
        <v>224.52</v>
      </c>
      <c r="F664" s="20" t="n">
        <f aca="false">Parametres!$B$6*D664</f>
        <v>8.92</v>
      </c>
      <c r="G664" s="20" t="n">
        <f aca="false">E664+F664</f>
        <v>233.44</v>
      </c>
      <c r="H664" s="20" t="n">
        <f aca="false">IF(G664&lt;Parametres!$B$8*Parametres!$B$7,0,MIN(G664,Parametres!$B$7))</f>
        <v>233.44</v>
      </c>
      <c r="I664" s="20" t="n">
        <f aca="false">G664-H664</f>
        <v>0</v>
      </c>
      <c r="J664" s="21" t="n">
        <f aca="false">H664*1000/Parametres!$B$9</f>
        <v>3958.62302865864</v>
      </c>
    </row>
    <row r="665" customFormat="false" ht="15" hidden="false" customHeight="false" outlineLevel="0" collapsed="false">
      <c r="A665" s="0" t="n">
        <v>661</v>
      </c>
      <c r="B665" s="0" t="n">
        <v>1</v>
      </c>
      <c r="C665" s="19" t="n">
        <v>0.7366</v>
      </c>
      <c r="D665" s="19" t="n">
        <v>0.0368</v>
      </c>
      <c r="E665" s="20" t="n">
        <f aca="false">Parametres!$B$5*C665</f>
        <v>220.98</v>
      </c>
      <c r="F665" s="20" t="n">
        <f aca="false">Parametres!$B$6*D665</f>
        <v>7.36</v>
      </c>
      <c r="G665" s="20" t="n">
        <f aca="false">E665+F665</f>
        <v>228.34</v>
      </c>
      <c r="H665" s="20" t="n">
        <f aca="false">IF(G665&lt;Parametres!$B$8*Parametres!$B$7,0,MIN(G665,Parametres!$B$7))</f>
        <v>228.34</v>
      </c>
      <c r="I665" s="20" t="n">
        <f aca="false">G665-H665</f>
        <v>0</v>
      </c>
      <c r="J665" s="21" t="n">
        <f aca="false">H665*1000/Parametres!$B$9</f>
        <v>3872.13837544514</v>
      </c>
    </row>
    <row r="666" customFormat="false" ht="15" hidden="false" customHeight="false" outlineLevel="0" collapsed="false">
      <c r="A666" s="0" t="n">
        <v>662</v>
      </c>
      <c r="B666" s="0" t="n">
        <v>1</v>
      </c>
      <c r="C666" s="19" t="n">
        <v>0.6861</v>
      </c>
      <c r="D666" s="19" t="n">
        <v>0.0256</v>
      </c>
      <c r="E666" s="20" t="n">
        <f aca="false">Parametres!$B$5*C666</f>
        <v>205.83</v>
      </c>
      <c r="F666" s="20" t="n">
        <f aca="false">Parametres!$B$6*D666</f>
        <v>5.12</v>
      </c>
      <c r="G666" s="20" t="n">
        <f aca="false">E666+F666</f>
        <v>210.95</v>
      </c>
      <c r="H666" s="20" t="n">
        <f aca="false">IF(G666&lt;Parametres!$B$8*Parametres!$B$7,0,MIN(G666,Parametres!$B$7))</f>
        <v>210.95</v>
      </c>
      <c r="I666" s="20" t="n">
        <f aca="false">G666-H666</f>
        <v>0</v>
      </c>
      <c r="J666" s="21" t="n">
        <f aca="false">H666*1000/Parametres!$B$9</f>
        <v>3577.24266576225</v>
      </c>
    </row>
    <row r="667" customFormat="false" ht="15" hidden="false" customHeight="false" outlineLevel="0" collapsed="false">
      <c r="A667" s="0" t="n">
        <v>663</v>
      </c>
      <c r="B667" s="0" t="n">
        <v>1</v>
      </c>
      <c r="C667" s="19" t="n">
        <v>0.5677</v>
      </c>
      <c r="D667" s="19" t="n">
        <v>0.0867</v>
      </c>
      <c r="E667" s="20" t="n">
        <f aca="false">Parametres!$B$5*C667</f>
        <v>170.31</v>
      </c>
      <c r="F667" s="20" t="n">
        <f aca="false">Parametres!$B$6*D667</f>
        <v>17.34</v>
      </c>
      <c r="G667" s="20" t="n">
        <f aca="false">E667+F667</f>
        <v>187.65</v>
      </c>
      <c r="H667" s="20" t="n">
        <f aca="false">IF(G667&lt;Parametres!$B$8*Parametres!$B$7,0,MIN(G667,Parametres!$B$7))</f>
        <v>187.65</v>
      </c>
      <c r="I667" s="20" t="n">
        <f aca="false">G667-H667</f>
        <v>0</v>
      </c>
      <c r="J667" s="21" t="n">
        <f aca="false">H667*1000/Parametres!$B$9</f>
        <v>3182.12650500254</v>
      </c>
    </row>
    <row r="668" customFormat="false" ht="15" hidden="false" customHeight="false" outlineLevel="0" collapsed="false">
      <c r="A668" s="0" t="n">
        <v>664</v>
      </c>
      <c r="B668" s="0" t="n">
        <v>1</v>
      </c>
      <c r="C668" s="19" t="n">
        <v>0.3721</v>
      </c>
      <c r="D668" s="19" t="n">
        <v>0.1442</v>
      </c>
      <c r="E668" s="20" t="n">
        <f aca="false">Parametres!$B$5*C668</f>
        <v>111.63</v>
      </c>
      <c r="F668" s="20" t="n">
        <f aca="false">Parametres!$B$6*D668</f>
        <v>28.84</v>
      </c>
      <c r="G668" s="20" t="n">
        <f aca="false">E668+F668</f>
        <v>140.47</v>
      </c>
      <c r="H668" s="20" t="n">
        <f aca="false">IF(G668&lt;Parametres!$B$8*Parametres!$B$7,0,MIN(G668,Parametres!$B$7))</f>
        <v>140.47</v>
      </c>
      <c r="I668" s="20" t="n">
        <f aca="false">G668-H668</f>
        <v>0</v>
      </c>
      <c r="J668" s="21" t="n">
        <f aca="false">H668*1000/Parametres!$B$9</f>
        <v>2382.05867390198</v>
      </c>
    </row>
    <row r="669" customFormat="false" ht="15" hidden="false" customHeight="false" outlineLevel="0" collapsed="false">
      <c r="A669" s="0" t="n">
        <v>665</v>
      </c>
      <c r="B669" s="0" t="n">
        <v>1</v>
      </c>
      <c r="C669" s="19" t="n">
        <v>0.1585</v>
      </c>
      <c r="D669" s="19" t="n">
        <v>0.0841</v>
      </c>
      <c r="E669" s="20" t="n">
        <f aca="false">Parametres!$B$5*C669</f>
        <v>47.55</v>
      </c>
      <c r="F669" s="20" t="n">
        <f aca="false">Parametres!$B$6*D669</f>
        <v>16.82</v>
      </c>
      <c r="G669" s="20" t="n">
        <f aca="false">E669+F669</f>
        <v>64.37</v>
      </c>
      <c r="H669" s="20" t="n">
        <f aca="false">IF(G669&lt;Parametres!$B$8*Parametres!$B$7,0,MIN(G669,Parametres!$B$7))</f>
        <v>64.37</v>
      </c>
      <c r="I669" s="20" t="n">
        <f aca="false">G669-H669</f>
        <v>0</v>
      </c>
      <c r="J669" s="21" t="n">
        <f aca="false">H669*1000/Parametres!$B$9</f>
        <v>1091.57198575547</v>
      </c>
    </row>
    <row r="670" customFormat="false" ht="15" hidden="false" customHeight="false" outlineLevel="0" collapsed="false">
      <c r="A670" s="0" t="n">
        <v>666</v>
      </c>
      <c r="B670" s="0" t="n">
        <v>1</v>
      </c>
      <c r="C670" s="19" t="n">
        <v>0</v>
      </c>
      <c r="D670" s="19" t="n">
        <v>0.0517</v>
      </c>
      <c r="E670" s="20" t="n">
        <f aca="false">Parametres!$B$5*C670</f>
        <v>0</v>
      </c>
      <c r="F670" s="20" t="n">
        <f aca="false">Parametres!$B$6*D670</f>
        <v>10.34</v>
      </c>
      <c r="G670" s="20" t="n">
        <f aca="false">E670+F670</f>
        <v>10.34</v>
      </c>
      <c r="H670" s="20" t="n">
        <f aca="false">IF(G670&lt;Parametres!$B$8*Parametres!$B$7,0,MIN(G670,Parametres!$B$7))</f>
        <v>0</v>
      </c>
      <c r="I670" s="20" t="n">
        <f aca="false">G670-H670</f>
        <v>10.34</v>
      </c>
      <c r="J670" s="21" t="n">
        <f aca="false">H670*1000/Parametres!$B$9</f>
        <v>0</v>
      </c>
    </row>
    <row r="671" customFormat="false" ht="15" hidden="false" customHeight="false" outlineLevel="0" collapsed="false">
      <c r="A671" s="0" t="n">
        <v>667</v>
      </c>
      <c r="B671" s="0" t="n">
        <v>1</v>
      </c>
      <c r="C671" s="19" t="n">
        <v>0</v>
      </c>
      <c r="D671" s="19" t="n">
        <v>0.1368</v>
      </c>
      <c r="E671" s="20" t="n">
        <f aca="false">Parametres!$B$5*C671</f>
        <v>0</v>
      </c>
      <c r="F671" s="20" t="n">
        <f aca="false">Parametres!$B$6*D671</f>
        <v>27.36</v>
      </c>
      <c r="G671" s="20" t="n">
        <f aca="false">E671+F671</f>
        <v>27.36</v>
      </c>
      <c r="H671" s="20" t="n">
        <f aca="false">IF(G671&lt;Parametres!$B$8*Parametres!$B$7,0,MIN(G671,Parametres!$B$7))</f>
        <v>27.36</v>
      </c>
      <c r="I671" s="20" t="n">
        <f aca="false">G671-H671</f>
        <v>0</v>
      </c>
      <c r="J671" s="21" t="n">
        <f aca="false">H671*1000/Parametres!$B$9</f>
        <v>463.964727827709</v>
      </c>
    </row>
    <row r="672" customFormat="false" ht="15" hidden="false" customHeight="false" outlineLevel="0" collapsed="false">
      <c r="A672" s="0" t="n">
        <v>668</v>
      </c>
      <c r="B672" s="0" t="n">
        <v>1</v>
      </c>
      <c r="C672" s="19" t="n">
        <v>0</v>
      </c>
      <c r="D672" s="19" t="n">
        <v>0.2445</v>
      </c>
      <c r="E672" s="20" t="n">
        <f aca="false">Parametres!$B$5*C672</f>
        <v>0</v>
      </c>
      <c r="F672" s="20" t="n">
        <f aca="false">Parametres!$B$6*D672</f>
        <v>48.9</v>
      </c>
      <c r="G672" s="20" t="n">
        <f aca="false">E672+F672</f>
        <v>48.9</v>
      </c>
      <c r="H672" s="20" t="n">
        <f aca="false">IF(G672&lt;Parametres!$B$8*Parametres!$B$7,0,MIN(G672,Parametres!$B$7))</f>
        <v>48.9</v>
      </c>
      <c r="I672" s="20" t="n">
        <f aca="false">G672-H672</f>
        <v>0</v>
      </c>
      <c r="J672" s="21" t="n">
        <f aca="false">H672*1000/Parametres!$B$9</f>
        <v>829.23520434119</v>
      </c>
    </row>
    <row r="673" customFormat="false" ht="15" hidden="false" customHeight="false" outlineLevel="0" collapsed="false">
      <c r="A673" s="0" t="n">
        <v>669</v>
      </c>
      <c r="B673" s="0" t="n">
        <v>1</v>
      </c>
      <c r="C673" s="19" t="n">
        <v>0</v>
      </c>
      <c r="D673" s="19" t="n">
        <v>0.2305</v>
      </c>
      <c r="E673" s="20" t="n">
        <f aca="false">Parametres!$B$5*C673</f>
        <v>0</v>
      </c>
      <c r="F673" s="20" t="n">
        <f aca="false">Parametres!$B$6*D673</f>
        <v>46.1</v>
      </c>
      <c r="G673" s="20" t="n">
        <f aca="false">E673+F673</f>
        <v>46.1</v>
      </c>
      <c r="H673" s="20" t="n">
        <f aca="false">IF(G673&lt;Parametres!$B$8*Parametres!$B$7,0,MIN(G673,Parametres!$B$7))</f>
        <v>46.1</v>
      </c>
      <c r="I673" s="20" t="n">
        <f aca="false">G673-H673</f>
        <v>0</v>
      </c>
      <c r="J673" s="21" t="n">
        <f aca="false">H673*1000/Parametres!$B$9</f>
        <v>781.753433949466</v>
      </c>
    </row>
    <row r="674" customFormat="false" ht="15" hidden="false" customHeight="false" outlineLevel="0" collapsed="false">
      <c r="A674" s="0" t="n">
        <v>670</v>
      </c>
      <c r="B674" s="0" t="n">
        <v>1</v>
      </c>
      <c r="C674" s="19" t="n">
        <v>0</v>
      </c>
      <c r="D674" s="19" t="n">
        <v>0.3145</v>
      </c>
      <c r="E674" s="20" t="n">
        <f aca="false">Parametres!$B$5*C674</f>
        <v>0</v>
      </c>
      <c r="F674" s="20" t="n">
        <f aca="false">Parametres!$B$6*D674</f>
        <v>62.9</v>
      </c>
      <c r="G674" s="20" t="n">
        <f aca="false">E674+F674</f>
        <v>62.9</v>
      </c>
      <c r="H674" s="20" t="n">
        <f aca="false">IF(G674&lt;Parametres!$B$8*Parametres!$B$7,0,MIN(G674,Parametres!$B$7))</f>
        <v>62.9</v>
      </c>
      <c r="I674" s="20" t="n">
        <f aca="false">G674-H674</f>
        <v>0</v>
      </c>
      <c r="J674" s="21" t="n">
        <f aca="false">H674*1000/Parametres!$B$9</f>
        <v>1066.64405629981</v>
      </c>
    </row>
    <row r="675" customFormat="false" ht="15" hidden="false" customHeight="false" outlineLevel="0" collapsed="false">
      <c r="A675" s="0" t="n">
        <v>671</v>
      </c>
      <c r="B675" s="0" t="n">
        <v>1</v>
      </c>
      <c r="C675" s="19" t="n">
        <v>0</v>
      </c>
      <c r="D675" s="19" t="n">
        <v>0.15</v>
      </c>
      <c r="E675" s="20" t="n">
        <f aca="false">Parametres!$B$5*C675</f>
        <v>0</v>
      </c>
      <c r="F675" s="20" t="n">
        <f aca="false">Parametres!$B$6*D675</f>
        <v>30</v>
      </c>
      <c r="G675" s="20" t="n">
        <f aca="false">E675+F675</f>
        <v>30</v>
      </c>
      <c r="H675" s="20" t="n">
        <f aca="false">IF(G675&lt;Parametres!$B$8*Parametres!$B$7,0,MIN(G675,Parametres!$B$7))</f>
        <v>30</v>
      </c>
      <c r="I675" s="20" t="n">
        <f aca="false">G675-H675</f>
        <v>0</v>
      </c>
      <c r="J675" s="21" t="n">
        <f aca="false">H675*1000/Parametres!$B$9</f>
        <v>508.733254197049</v>
      </c>
    </row>
    <row r="676" customFormat="false" ht="15" hidden="false" customHeight="false" outlineLevel="0" collapsed="false">
      <c r="A676" s="0" t="n">
        <v>672</v>
      </c>
      <c r="B676" s="0" t="n">
        <v>1</v>
      </c>
      <c r="C676" s="19" t="n">
        <v>0</v>
      </c>
      <c r="D676" s="19" t="n">
        <v>0.1281</v>
      </c>
      <c r="E676" s="20" t="n">
        <f aca="false">Parametres!$B$5*C676</f>
        <v>0</v>
      </c>
      <c r="F676" s="20" t="n">
        <f aca="false">Parametres!$B$6*D676</f>
        <v>25.62</v>
      </c>
      <c r="G676" s="20" t="n">
        <f aca="false">E676+F676</f>
        <v>25.62</v>
      </c>
      <c r="H676" s="20" t="n">
        <f aca="false">IF(G676&lt;Parametres!$B$8*Parametres!$B$7,0,MIN(G676,Parametres!$B$7))</f>
        <v>25.62</v>
      </c>
      <c r="I676" s="20" t="n">
        <f aca="false">G676-H676</f>
        <v>0</v>
      </c>
      <c r="J676" s="21" t="n">
        <f aca="false">H676*1000/Parametres!$B$9</f>
        <v>434.45819908428</v>
      </c>
    </row>
    <row r="677" customFormat="false" ht="15" hidden="false" customHeight="false" outlineLevel="0" collapsed="false">
      <c r="A677" s="0" t="n">
        <v>673</v>
      </c>
      <c r="B677" s="0" t="n">
        <v>1</v>
      </c>
      <c r="C677" s="19" t="n">
        <v>0</v>
      </c>
      <c r="D677" s="19" t="n">
        <v>0.1516</v>
      </c>
      <c r="E677" s="20" t="n">
        <f aca="false">Parametres!$B$5*C677</f>
        <v>0</v>
      </c>
      <c r="F677" s="20" t="n">
        <f aca="false">Parametres!$B$6*D677</f>
        <v>30.32</v>
      </c>
      <c r="G677" s="20" t="n">
        <f aca="false">E677+F677</f>
        <v>30.32</v>
      </c>
      <c r="H677" s="20" t="n">
        <f aca="false">IF(G677&lt;Parametres!$B$8*Parametres!$B$7,0,MIN(G677,Parametres!$B$7))</f>
        <v>30.32</v>
      </c>
      <c r="I677" s="20" t="n">
        <f aca="false">G677-H677</f>
        <v>0</v>
      </c>
      <c r="J677" s="21" t="n">
        <f aca="false">H677*1000/Parametres!$B$9</f>
        <v>514.159742241818</v>
      </c>
    </row>
    <row r="678" customFormat="false" ht="15" hidden="false" customHeight="false" outlineLevel="0" collapsed="false">
      <c r="A678" s="0" t="n">
        <v>674</v>
      </c>
      <c r="B678" s="0" t="n">
        <v>1</v>
      </c>
      <c r="C678" s="19" t="n">
        <v>0</v>
      </c>
      <c r="D678" s="19" t="n">
        <v>0.0547</v>
      </c>
      <c r="E678" s="20" t="n">
        <f aca="false">Parametres!$B$5*C678</f>
        <v>0</v>
      </c>
      <c r="F678" s="20" t="n">
        <f aca="false">Parametres!$B$6*D678</f>
        <v>10.94</v>
      </c>
      <c r="G678" s="20" t="n">
        <f aca="false">E678+F678</f>
        <v>10.94</v>
      </c>
      <c r="H678" s="20" t="n">
        <f aca="false">IF(G678&lt;Parametres!$B$8*Parametres!$B$7,0,MIN(G678,Parametres!$B$7))</f>
        <v>0</v>
      </c>
      <c r="I678" s="20" t="n">
        <f aca="false">G678-H678</f>
        <v>10.94</v>
      </c>
      <c r="J678" s="21" t="n">
        <f aca="false">H678*1000/Parametres!$B$9</f>
        <v>0</v>
      </c>
    </row>
    <row r="679" customFormat="false" ht="15" hidden="false" customHeight="false" outlineLevel="0" collapsed="false">
      <c r="A679" s="0" t="n">
        <v>675</v>
      </c>
      <c r="B679" s="0" t="n">
        <v>1</v>
      </c>
      <c r="C679" s="19" t="n">
        <v>0</v>
      </c>
      <c r="D679" s="19" t="n">
        <v>0.0311</v>
      </c>
      <c r="E679" s="20" t="n">
        <f aca="false">Parametres!$B$5*C679</f>
        <v>0</v>
      </c>
      <c r="F679" s="20" t="n">
        <f aca="false">Parametres!$B$6*D679</f>
        <v>6.22</v>
      </c>
      <c r="G679" s="20" t="n">
        <f aca="false">E679+F679</f>
        <v>6.22</v>
      </c>
      <c r="H679" s="20" t="n">
        <f aca="false">IF(G679&lt;Parametres!$B$8*Parametres!$B$7,0,MIN(G679,Parametres!$B$7))</f>
        <v>0</v>
      </c>
      <c r="I679" s="20" t="n">
        <f aca="false">G679-H679</f>
        <v>6.22</v>
      </c>
      <c r="J679" s="21" t="n">
        <f aca="false">H679*1000/Parametres!$B$9</f>
        <v>0</v>
      </c>
    </row>
    <row r="680" customFormat="false" ht="15" hidden="false" customHeight="false" outlineLevel="0" collapsed="false">
      <c r="A680" s="0" t="n">
        <v>676</v>
      </c>
      <c r="B680" s="0" t="n">
        <v>1</v>
      </c>
      <c r="C680" s="19" t="n">
        <v>0</v>
      </c>
      <c r="D680" s="19" t="n">
        <v>0.0458</v>
      </c>
      <c r="E680" s="20" t="n">
        <f aca="false">Parametres!$B$5*C680</f>
        <v>0</v>
      </c>
      <c r="F680" s="20" t="n">
        <f aca="false">Parametres!$B$6*D680</f>
        <v>9.16</v>
      </c>
      <c r="G680" s="20" t="n">
        <f aca="false">E680+F680</f>
        <v>9.16</v>
      </c>
      <c r="H680" s="20" t="n">
        <f aca="false">IF(G680&lt;Parametres!$B$8*Parametres!$B$7,0,MIN(G680,Parametres!$B$7))</f>
        <v>0</v>
      </c>
      <c r="I680" s="20" t="n">
        <f aca="false">G680-H680</f>
        <v>9.16</v>
      </c>
      <c r="J680" s="21" t="n">
        <f aca="false">H680*1000/Parametres!$B$9</f>
        <v>0</v>
      </c>
    </row>
    <row r="681" customFormat="false" ht="15" hidden="false" customHeight="false" outlineLevel="0" collapsed="false">
      <c r="A681" s="0" t="n">
        <v>677</v>
      </c>
      <c r="B681" s="0" t="n">
        <v>1</v>
      </c>
      <c r="C681" s="19" t="n">
        <v>0</v>
      </c>
      <c r="D681" s="19" t="n">
        <v>0.0797</v>
      </c>
      <c r="E681" s="20" t="n">
        <f aca="false">Parametres!$B$5*C681</f>
        <v>0</v>
      </c>
      <c r="F681" s="20" t="n">
        <f aca="false">Parametres!$B$6*D681</f>
        <v>15.94</v>
      </c>
      <c r="G681" s="20" t="n">
        <f aca="false">E681+F681</f>
        <v>15.94</v>
      </c>
      <c r="H681" s="20" t="n">
        <f aca="false">IF(G681&lt;Parametres!$B$8*Parametres!$B$7,0,MIN(G681,Parametres!$B$7))</f>
        <v>0</v>
      </c>
      <c r="I681" s="20" t="n">
        <f aca="false">G681-H681</f>
        <v>15.94</v>
      </c>
      <c r="J681" s="21" t="n">
        <f aca="false">H681*1000/Parametres!$B$9</f>
        <v>0</v>
      </c>
    </row>
    <row r="682" customFormat="false" ht="15" hidden="false" customHeight="false" outlineLevel="0" collapsed="false">
      <c r="A682" s="0" t="n">
        <v>678</v>
      </c>
      <c r="B682" s="0" t="n">
        <v>1</v>
      </c>
      <c r="C682" s="19" t="n">
        <v>0</v>
      </c>
      <c r="D682" s="19" t="n">
        <v>0.061</v>
      </c>
      <c r="E682" s="20" t="n">
        <f aca="false">Parametres!$B$5*C682</f>
        <v>0</v>
      </c>
      <c r="F682" s="20" t="n">
        <f aca="false">Parametres!$B$6*D682</f>
        <v>12.2</v>
      </c>
      <c r="G682" s="20" t="n">
        <f aca="false">E682+F682</f>
        <v>12.2</v>
      </c>
      <c r="H682" s="20" t="n">
        <f aca="false">IF(G682&lt;Parametres!$B$8*Parametres!$B$7,0,MIN(G682,Parametres!$B$7))</f>
        <v>0</v>
      </c>
      <c r="I682" s="20" t="n">
        <f aca="false">G682-H682</f>
        <v>12.2</v>
      </c>
      <c r="J682" s="21" t="n">
        <f aca="false">H682*1000/Parametres!$B$9</f>
        <v>0</v>
      </c>
    </row>
    <row r="683" customFormat="false" ht="15" hidden="false" customHeight="false" outlineLevel="0" collapsed="false">
      <c r="A683" s="0" t="n">
        <v>679</v>
      </c>
      <c r="B683" s="0" t="n">
        <v>1</v>
      </c>
      <c r="C683" s="19" t="n">
        <v>0</v>
      </c>
      <c r="D683" s="19" t="n">
        <v>0.076</v>
      </c>
      <c r="E683" s="20" t="n">
        <f aca="false">Parametres!$B$5*C683</f>
        <v>0</v>
      </c>
      <c r="F683" s="20" t="n">
        <f aca="false">Parametres!$B$6*D683</f>
        <v>15.2</v>
      </c>
      <c r="G683" s="20" t="n">
        <f aca="false">E683+F683</f>
        <v>15.2</v>
      </c>
      <c r="H683" s="20" t="n">
        <f aca="false">IF(G683&lt;Parametres!$B$8*Parametres!$B$7,0,MIN(G683,Parametres!$B$7))</f>
        <v>0</v>
      </c>
      <c r="I683" s="20" t="n">
        <f aca="false">G683-H683</f>
        <v>15.2</v>
      </c>
      <c r="J683" s="21" t="n">
        <f aca="false">H683*1000/Parametres!$B$9</f>
        <v>0</v>
      </c>
    </row>
    <row r="684" customFormat="false" ht="15" hidden="false" customHeight="false" outlineLevel="0" collapsed="false">
      <c r="A684" s="0" t="n">
        <v>680</v>
      </c>
      <c r="B684" s="0" t="n">
        <v>1</v>
      </c>
      <c r="C684" s="19" t="n">
        <v>0.1715</v>
      </c>
      <c r="D684" s="19" t="n">
        <v>0.1694</v>
      </c>
      <c r="E684" s="20" t="n">
        <f aca="false">Parametres!$B$5*C684</f>
        <v>51.45</v>
      </c>
      <c r="F684" s="20" t="n">
        <f aca="false">Parametres!$B$6*D684</f>
        <v>33.88</v>
      </c>
      <c r="G684" s="20" t="n">
        <f aca="false">E684+F684</f>
        <v>85.33</v>
      </c>
      <c r="H684" s="20" t="n">
        <f aca="false">IF(G684&lt;Parametres!$B$8*Parametres!$B$7,0,MIN(G684,Parametres!$B$7))</f>
        <v>85.33</v>
      </c>
      <c r="I684" s="20" t="n">
        <f aca="false">G684-H684</f>
        <v>0</v>
      </c>
      <c r="J684" s="21" t="n">
        <f aca="false">H684*1000/Parametres!$B$9</f>
        <v>1447.00695268781</v>
      </c>
    </row>
    <row r="685" customFormat="false" ht="15" hidden="false" customHeight="false" outlineLevel="0" collapsed="false">
      <c r="A685" s="0" t="n">
        <v>681</v>
      </c>
      <c r="B685" s="0" t="n">
        <v>1</v>
      </c>
      <c r="C685" s="19" t="n">
        <v>0.4078</v>
      </c>
      <c r="D685" s="19" t="n">
        <v>0.1639</v>
      </c>
      <c r="E685" s="20" t="n">
        <f aca="false">Parametres!$B$5*C685</f>
        <v>122.34</v>
      </c>
      <c r="F685" s="20" t="n">
        <f aca="false">Parametres!$B$6*D685</f>
        <v>32.78</v>
      </c>
      <c r="G685" s="20" t="n">
        <f aca="false">E685+F685</f>
        <v>155.12</v>
      </c>
      <c r="H685" s="20" t="n">
        <f aca="false">IF(G685&lt;Parametres!$B$8*Parametres!$B$7,0,MIN(G685,Parametres!$B$7))</f>
        <v>155.12</v>
      </c>
      <c r="I685" s="20" t="n">
        <f aca="false">G685-H685</f>
        <v>0</v>
      </c>
      <c r="J685" s="21" t="n">
        <f aca="false">H685*1000/Parametres!$B$9</f>
        <v>2630.49007970154</v>
      </c>
    </row>
    <row r="686" customFormat="false" ht="15" hidden="false" customHeight="false" outlineLevel="0" collapsed="false">
      <c r="A686" s="0" t="n">
        <v>682</v>
      </c>
      <c r="B686" s="0" t="n">
        <v>1</v>
      </c>
      <c r="C686" s="19" t="n">
        <v>0.6162</v>
      </c>
      <c r="D686" s="19" t="n">
        <v>0.1061</v>
      </c>
      <c r="E686" s="20" t="n">
        <f aca="false">Parametres!$B$5*C686</f>
        <v>184.86</v>
      </c>
      <c r="F686" s="20" t="n">
        <f aca="false">Parametres!$B$6*D686</f>
        <v>21.22</v>
      </c>
      <c r="G686" s="20" t="n">
        <f aca="false">E686+F686</f>
        <v>206.08</v>
      </c>
      <c r="H686" s="20" t="n">
        <f aca="false">IF(G686&lt;Parametres!$B$8*Parametres!$B$7,0,MIN(G686,Parametres!$B$7))</f>
        <v>206.08</v>
      </c>
      <c r="I686" s="20" t="n">
        <f aca="false">G686-H686</f>
        <v>0</v>
      </c>
      <c r="J686" s="21" t="n">
        <f aca="false">H686*1000/Parametres!$B$9</f>
        <v>3494.65830083093</v>
      </c>
    </row>
    <row r="687" customFormat="false" ht="15" hidden="false" customHeight="false" outlineLevel="0" collapsed="false">
      <c r="A687" s="0" t="n">
        <v>683</v>
      </c>
      <c r="B687" s="0" t="n">
        <v>1</v>
      </c>
      <c r="C687" s="19" t="n">
        <v>0.7147</v>
      </c>
      <c r="D687" s="19" t="n">
        <v>0.1211</v>
      </c>
      <c r="E687" s="20" t="n">
        <f aca="false">Parametres!$B$5*C687</f>
        <v>214.41</v>
      </c>
      <c r="F687" s="20" t="n">
        <f aca="false">Parametres!$B$6*D687</f>
        <v>24.22</v>
      </c>
      <c r="G687" s="20" t="n">
        <f aca="false">E687+F687</f>
        <v>238.63</v>
      </c>
      <c r="H687" s="20" t="n">
        <f aca="false">IF(G687&lt;Parametres!$B$8*Parametres!$B$7,0,MIN(G687,Parametres!$B$7))</f>
        <v>238.63</v>
      </c>
      <c r="I687" s="20" t="n">
        <f aca="false">G687-H687</f>
        <v>0</v>
      </c>
      <c r="J687" s="21" t="n">
        <f aca="false">H687*1000/Parametres!$B$9</f>
        <v>4046.63388163473</v>
      </c>
    </row>
    <row r="688" customFormat="false" ht="15" hidden="false" customHeight="false" outlineLevel="0" collapsed="false">
      <c r="A688" s="0" t="n">
        <v>684</v>
      </c>
      <c r="B688" s="0" t="n">
        <v>1</v>
      </c>
      <c r="C688" s="19" t="n">
        <v>0.8614</v>
      </c>
      <c r="D688" s="19" t="n">
        <v>0.1178</v>
      </c>
      <c r="E688" s="20" t="n">
        <f aca="false">Parametres!$B$5*C688</f>
        <v>258.42</v>
      </c>
      <c r="F688" s="20" t="n">
        <f aca="false">Parametres!$B$6*D688</f>
        <v>23.56</v>
      </c>
      <c r="G688" s="20" t="n">
        <f aca="false">E688+F688</f>
        <v>281.98</v>
      </c>
      <c r="H688" s="20" t="n">
        <f aca="false">IF(G688&lt;Parametres!$B$8*Parametres!$B$7,0,MIN(G688,Parametres!$B$7))</f>
        <v>250</v>
      </c>
      <c r="I688" s="20" t="n">
        <f aca="false">G688-H688</f>
        <v>31.98</v>
      </c>
      <c r="J688" s="21" t="n">
        <f aca="false">H688*1000/Parametres!$B$9</f>
        <v>4239.44378497541</v>
      </c>
    </row>
    <row r="689" customFormat="false" ht="15" hidden="false" customHeight="false" outlineLevel="0" collapsed="false">
      <c r="A689" s="0" t="n">
        <v>685</v>
      </c>
      <c r="B689" s="0" t="n">
        <v>1</v>
      </c>
      <c r="C689" s="19" t="n">
        <v>0.801</v>
      </c>
      <c r="D689" s="19" t="n">
        <v>0.237</v>
      </c>
      <c r="E689" s="20" t="n">
        <f aca="false">Parametres!$B$5*C689</f>
        <v>240.3</v>
      </c>
      <c r="F689" s="20" t="n">
        <f aca="false">Parametres!$B$6*D689</f>
        <v>47.4</v>
      </c>
      <c r="G689" s="20" t="n">
        <f aca="false">E689+F689</f>
        <v>287.7</v>
      </c>
      <c r="H689" s="20" t="n">
        <f aca="false">IF(G689&lt;Parametres!$B$8*Parametres!$B$7,0,MIN(G689,Parametres!$B$7))</f>
        <v>250</v>
      </c>
      <c r="I689" s="20" t="n">
        <f aca="false">G689-H689</f>
        <v>37.7</v>
      </c>
      <c r="J689" s="21" t="n">
        <f aca="false">H689*1000/Parametres!$B$9</f>
        <v>4239.44378497541</v>
      </c>
    </row>
    <row r="690" customFormat="false" ht="15" hidden="false" customHeight="false" outlineLevel="0" collapsed="false">
      <c r="A690" s="0" t="n">
        <v>686</v>
      </c>
      <c r="B690" s="0" t="n">
        <v>1</v>
      </c>
      <c r="C690" s="19" t="n">
        <v>0.7141</v>
      </c>
      <c r="D690" s="19" t="n">
        <v>0.2793</v>
      </c>
      <c r="E690" s="20" t="n">
        <f aca="false">Parametres!$B$5*C690</f>
        <v>214.23</v>
      </c>
      <c r="F690" s="20" t="n">
        <f aca="false">Parametres!$B$6*D690</f>
        <v>55.86</v>
      </c>
      <c r="G690" s="20" t="n">
        <f aca="false">E690+F690</f>
        <v>270.09</v>
      </c>
      <c r="H690" s="20" t="n">
        <f aca="false">IF(G690&lt;Parametres!$B$8*Parametres!$B$7,0,MIN(G690,Parametres!$B$7))</f>
        <v>250</v>
      </c>
      <c r="I690" s="20" t="n">
        <f aca="false">G690-H690</f>
        <v>20.09</v>
      </c>
      <c r="J690" s="21" t="n">
        <f aca="false">H690*1000/Parametres!$B$9</f>
        <v>4239.44378497541</v>
      </c>
    </row>
    <row r="691" customFormat="false" ht="15" hidden="false" customHeight="false" outlineLevel="0" collapsed="false">
      <c r="A691" s="0" t="n">
        <v>687</v>
      </c>
      <c r="B691" s="0" t="n">
        <v>1</v>
      </c>
      <c r="C691" s="19" t="n">
        <v>0.5782</v>
      </c>
      <c r="D691" s="19" t="n">
        <v>0.2179</v>
      </c>
      <c r="E691" s="20" t="n">
        <f aca="false">Parametres!$B$5*C691</f>
        <v>173.46</v>
      </c>
      <c r="F691" s="20" t="n">
        <f aca="false">Parametres!$B$6*D691</f>
        <v>43.58</v>
      </c>
      <c r="G691" s="20" t="n">
        <f aca="false">E691+F691</f>
        <v>217.04</v>
      </c>
      <c r="H691" s="20" t="n">
        <f aca="false">IF(G691&lt;Parametres!$B$8*Parametres!$B$7,0,MIN(G691,Parametres!$B$7))</f>
        <v>217.04</v>
      </c>
      <c r="I691" s="20" t="n">
        <f aca="false">G691-H691</f>
        <v>0</v>
      </c>
      <c r="J691" s="21" t="n">
        <f aca="false">H691*1000/Parametres!$B$9</f>
        <v>3680.51551636425</v>
      </c>
    </row>
    <row r="692" customFormat="false" ht="15" hidden="false" customHeight="false" outlineLevel="0" collapsed="false">
      <c r="A692" s="0" t="n">
        <v>688</v>
      </c>
      <c r="B692" s="0" t="n">
        <v>1</v>
      </c>
      <c r="C692" s="19" t="n">
        <v>0.3857</v>
      </c>
      <c r="D692" s="19" t="n">
        <v>0.5555</v>
      </c>
      <c r="E692" s="20" t="n">
        <f aca="false">Parametres!$B$5*C692</f>
        <v>115.71</v>
      </c>
      <c r="F692" s="20" t="n">
        <f aca="false">Parametres!$B$6*D692</f>
        <v>111.1</v>
      </c>
      <c r="G692" s="20" t="n">
        <f aca="false">E692+F692</f>
        <v>226.81</v>
      </c>
      <c r="H692" s="20" t="n">
        <f aca="false">IF(G692&lt;Parametres!$B$8*Parametres!$B$7,0,MIN(G692,Parametres!$B$7))</f>
        <v>226.81</v>
      </c>
      <c r="I692" s="20" t="n">
        <f aca="false">G692-H692</f>
        <v>0</v>
      </c>
      <c r="J692" s="21" t="n">
        <f aca="false">H692*1000/Parametres!$B$9</f>
        <v>3846.19297948109</v>
      </c>
    </row>
    <row r="693" customFormat="false" ht="15" hidden="false" customHeight="false" outlineLevel="0" collapsed="false">
      <c r="A693" s="0" t="n">
        <v>689</v>
      </c>
      <c r="B693" s="0" t="n">
        <v>1</v>
      </c>
      <c r="C693" s="19" t="n">
        <v>0.1706</v>
      </c>
      <c r="D693" s="19" t="n">
        <v>0.4709</v>
      </c>
      <c r="E693" s="20" t="n">
        <f aca="false">Parametres!$B$5*C693</f>
        <v>51.18</v>
      </c>
      <c r="F693" s="20" t="n">
        <f aca="false">Parametres!$B$6*D693</f>
        <v>94.18</v>
      </c>
      <c r="G693" s="20" t="n">
        <f aca="false">E693+F693</f>
        <v>145.36</v>
      </c>
      <c r="H693" s="20" t="n">
        <f aca="false">IF(G693&lt;Parametres!$B$8*Parametres!$B$7,0,MIN(G693,Parametres!$B$7))</f>
        <v>145.36</v>
      </c>
      <c r="I693" s="20" t="n">
        <f aca="false">G693-H693</f>
        <v>0</v>
      </c>
      <c r="J693" s="21" t="n">
        <f aca="false">H693*1000/Parametres!$B$9</f>
        <v>2464.9821943361</v>
      </c>
    </row>
    <row r="694" customFormat="false" ht="15" hidden="false" customHeight="false" outlineLevel="0" collapsed="false">
      <c r="A694" s="0" t="n">
        <v>690</v>
      </c>
      <c r="B694" s="0" t="n">
        <v>1</v>
      </c>
      <c r="C694" s="19" t="n">
        <v>0</v>
      </c>
      <c r="D694" s="19" t="n">
        <v>0.5384</v>
      </c>
      <c r="E694" s="20" t="n">
        <f aca="false">Parametres!$B$5*C694</f>
        <v>0</v>
      </c>
      <c r="F694" s="20" t="n">
        <f aca="false">Parametres!$B$6*D694</f>
        <v>107.68</v>
      </c>
      <c r="G694" s="20" t="n">
        <f aca="false">E694+F694</f>
        <v>107.68</v>
      </c>
      <c r="H694" s="20" t="n">
        <f aca="false">IF(G694&lt;Parametres!$B$8*Parametres!$B$7,0,MIN(G694,Parametres!$B$7))</f>
        <v>107.68</v>
      </c>
      <c r="I694" s="20" t="n">
        <f aca="false">G694-H694</f>
        <v>0</v>
      </c>
      <c r="J694" s="21" t="n">
        <f aca="false">H694*1000/Parametres!$B$9</f>
        <v>1826.01322706461</v>
      </c>
    </row>
    <row r="695" customFormat="false" ht="15" hidden="false" customHeight="false" outlineLevel="0" collapsed="false">
      <c r="A695" s="0" t="n">
        <v>691</v>
      </c>
      <c r="B695" s="0" t="n">
        <v>1</v>
      </c>
      <c r="C695" s="19" t="n">
        <v>0</v>
      </c>
      <c r="D695" s="19" t="n">
        <v>0.6327</v>
      </c>
      <c r="E695" s="20" t="n">
        <f aca="false">Parametres!$B$5*C695</f>
        <v>0</v>
      </c>
      <c r="F695" s="20" t="n">
        <f aca="false">Parametres!$B$6*D695</f>
        <v>126.54</v>
      </c>
      <c r="G695" s="20" t="n">
        <f aca="false">E695+F695</f>
        <v>126.54</v>
      </c>
      <c r="H695" s="20" t="n">
        <f aca="false">IF(G695&lt;Parametres!$B$8*Parametres!$B$7,0,MIN(G695,Parametres!$B$7))</f>
        <v>126.54</v>
      </c>
      <c r="I695" s="20" t="n">
        <f aca="false">G695-H695</f>
        <v>0</v>
      </c>
      <c r="J695" s="21" t="n">
        <f aca="false">H695*1000/Parametres!$B$9</f>
        <v>2145.83686620315</v>
      </c>
    </row>
    <row r="696" customFormat="false" ht="15" hidden="false" customHeight="false" outlineLevel="0" collapsed="false">
      <c r="A696" s="0" t="n">
        <v>692</v>
      </c>
      <c r="B696" s="0" t="n">
        <v>1</v>
      </c>
      <c r="C696" s="19" t="n">
        <v>0</v>
      </c>
      <c r="D696" s="19" t="n">
        <v>0.738</v>
      </c>
      <c r="E696" s="20" t="n">
        <f aca="false">Parametres!$B$5*C696</f>
        <v>0</v>
      </c>
      <c r="F696" s="20" t="n">
        <f aca="false">Parametres!$B$6*D696</f>
        <v>147.6</v>
      </c>
      <c r="G696" s="20" t="n">
        <f aca="false">E696+F696</f>
        <v>147.6</v>
      </c>
      <c r="H696" s="20" t="n">
        <f aca="false">IF(G696&lt;Parametres!$B$8*Parametres!$B$7,0,MIN(G696,Parametres!$B$7))</f>
        <v>147.6</v>
      </c>
      <c r="I696" s="20" t="n">
        <f aca="false">G696-H696</f>
        <v>0</v>
      </c>
      <c r="J696" s="21" t="n">
        <f aca="false">H696*1000/Parametres!$B$9</f>
        <v>2502.96761064948</v>
      </c>
    </row>
    <row r="697" customFormat="false" ht="15" hidden="false" customHeight="false" outlineLevel="0" collapsed="false">
      <c r="A697" s="0" t="n">
        <v>693</v>
      </c>
      <c r="B697" s="0" t="n">
        <v>1</v>
      </c>
      <c r="C697" s="19" t="n">
        <v>0</v>
      </c>
      <c r="D697" s="19" t="n">
        <v>0.6944</v>
      </c>
      <c r="E697" s="20" t="n">
        <f aca="false">Parametres!$B$5*C697</f>
        <v>0</v>
      </c>
      <c r="F697" s="20" t="n">
        <f aca="false">Parametres!$B$6*D697</f>
        <v>138.88</v>
      </c>
      <c r="G697" s="20" t="n">
        <f aca="false">E697+F697</f>
        <v>138.88</v>
      </c>
      <c r="H697" s="20" t="n">
        <f aca="false">IF(G697&lt;Parametres!$B$8*Parametres!$B$7,0,MIN(G697,Parametres!$B$7))</f>
        <v>138.88</v>
      </c>
      <c r="I697" s="20" t="n">
        <f aca="false">G697-H697</f>
        <v>0</v>
      </c>
      <c r="J697" s="21" t="n">
        <f aca="false">H697*1000/Parametres!$B$9</f>
        <v>2355.09581142954</v>
      </c>
    </row>
    <row r="698" customFormat="false" ht="15" hidden="false" customHeight="false" outlineLevel="0" collapsed="false">
      <c r="A698" s="0" t="n">
        <v>694</v>
      </c>
      <c r="B698" s="0" t="n">
        <v>1</v>
      </c>
      <c r="C698" s="19" t="n">
        <v>0</v>
      </c>
      <c r="D698" s="19" t="n">
        <v>0.7231</v>
      </c>
      <c r="E698" s="20" t="n">
        <f aca="false">Parametres!$B$5*C698</f>
        <v>0</v>
      </c>
      <c r="F698" s="20" t="n">
        <f aca="false">Parametres!$B$6*D698</f>
        <v>144.62</v>
      </c>
      <c r="G698" s="20" t="n">
        <f aca="false">E698+F698</f>
        <v>144.62</v>
      </c>
      <c r="H698" s="20" t="n">
        <f aca="false">IF(G698&lt;Parametres!$B$8*Parametres!$B$7,0,MIN(G698,Parametres!$B$7))</f>
        <v>144.62</v>
      </c>
      <c r="I698" s="20" t="n">
        <f aca="false">G698-H698</f>
        <v>0</v>
      </c>
      <c r="J698" s="21" t="n">
        <f aca="false">H698*1000/Parametres!$B$9</f>
        <v>2452.43344073258</v>
      </c>
    </row>
    <row r="699" customFormat="false" ht="15" hidden="false" customHeight="false" outlineLevel="0" collapsed="false">
      <c r="A699" s="0" t="n">
        <v>695</v>
      </c>
      <c r="B699" s="0" t="n">
        <v>1</v>
      </c>
      <c r="C699" s="19" t="n">
        <v>0</v>
      </c>
      <c r="D699" s="19" t="n">
        <v>0.6126</v>
      </c>
      <c r="E699" s="20" t="n">
        <f aca="false">Parametres!$B$5*C699</f>
        <v>0</v>
      </c>
      <c r="F699" s="20" t="n">
        <f aca="false">Parametres!$B$6*D699</f>
        <v>122.52</v>
      </c>
      <c r="G699" s="20" t="n">
        <f aca="false">E699+F699</f>
        <v>122.52</v>
      </c>
      <c r="H699" s="20" t="n">
        <f aca="false">IF(G699&lt;Parametres!$B$8*Parametres!$B$7,0,MIN(G699,Parametres!$B$7))</f>
        <v>122.52</v>
      </c>
      <c r="I699" s="20" t="n">
        <f aca="false">G699-H699</f>
        <v>0</v>
      </c>
      <c r="J699" s="21" t="n">
        <f aca="false">H699*1000/Parametres!$B$9</f>
        <v>2077.66661014075</v>
      </c>
    </row>
    <row r="700" customFormat="false" ht="15" hidden="false" customHeight="false" outlineLevel="0" collapsed="false">
      <c r="A700" s="0" t="n">
        <v>696</v>
      </c>
      <c r="B700" s="0" t="n">
        <v>1</v>
      </c>
      <c r="C700" s="19" t="n">
        <v>0</v>
      </c>
      <c r="D700" s="19" t="n">
        <v>0.3347</v>
      </c>
      <c r="E700" s="20" t="n">
        <f aca="false">Parametres!$B$5*C700</f>
        <v>0</v>
      </c>
      <c r="F700" s="20" t="n">
        <f aca="false">Parametres!$B$6*D700</f>
        <v>66.94</v>
      </c>
      <c r="G700" s="20" t="n">
        <f aca="false">E700+F700</f>
        <v>66.94</v>
      </c>
      <c r="H700" s="20" t="n">
        <f aca="false">IF(G700&lt;Parametres!$B$8*Parametres!$B$7,0,MIN(G700,Parametres!$B$7))</f>
        <v>66.94</v>
      </c>
      <c r="I700" s="20" t="n">
        <f aca="false">G700-H700</f>
        <v>0</v>
      </c>
      <c r="J700" s="21" t="n">
        <f aca="false">H700*1000/Parametres!$B$9</f>
        <v>1135.15346786502</v>
      </c>
    </row>
    <row r="701" customFormat="false" ht="15" hidden="false" customHeight="false" outlineLevel="0" collapsed="false">
      <c r="A701" s="0" t="n">
        <v>697</v>
      </c>
      <c r="B701" s="0" t="n">
        <v>1</v>
      </c>
      <c r="C701" s="19" t="n">
        <v>0</v>
      </c>
      <c r="D701" s="19" t="n">
        <v>0.2675</v>
      </c>
      <c r="E701" s="20" t="n">
        <f aca="false">Parametres!$B$5*C701</f>
        <v>0</v>
      </c>
      <c r="F701" s="20" t="n">
        <f aca="false">Parametres!$B$6*D701</f>
        <v>53.5</v>
      </c>
      <c r="G701" s="20" t="n">
        <f aca="false">E701+F701</f>
        <v>53.5</v>
      </c>
      <c r="H701" s="20" t="n">
        <f aca="false">IF(G701&lt;Parametres!$B$8*Parametres!$B$7,0,MIN(G701,Parametres!$B$7))</f>
        <v>53.5</v>
      </c>
      <c r="I701" s="20" t="n">
        <f aca="false">G701-H701</f>
        <v>0</v>
      </c>
      <c r="J701" s="21" t="n">
        <f aca="false">H701*1000/Parametres!$B$9</f>
        <v>907.240969984738</v>
      </c>
    </row>
    <row r="702" customFormat="false" ht="15" hidden="false" customHeight="false" outlineLevel="0" collapsed="false">
      <c r="A702" s="0" t="n">
        <v>698</v>
      </c>
      <c r="B702" s="0" t="n">
        <v>1</v>
      </c>
      <c r="C702" s="19" t="n">
        <v>0</v>
      </c>
      <c r="D702" s="19" t="n">
        <v>0.2171</v>
      </c>
      <c r="E702" s="20" t="n">
        <f aca="false">Parametres!$B$5*C702</f>
        <v>0</v>
      </c>
      <c r="F702" s="20" t="n">
        <f aca="false">Parametres!$B$6*D702</f>
        <v>43.42</v>
      </c>
      <c r="G702" s="20" t="n">
        <f aca="false">E702+F702</f>
        <v>43.42</v>
      </c>
      <c r="H702" s="20" t="n">
        <f aca="false">IF(G702&lt;Parametres!$B$8*Parametres!$B$7,0,MIN(G702,Parametres!$B$7))</f>
        <v>43.42</v>
      </c>
      <c r="I702" s="20" t="n">
        <f aca="false">G702-H702</f>
        <v>0</v>
      </c>
      <c r="J702" s="21" t="n">
        <f aca="false">H702*1000/Parametres!$B$9</f>
        <v>736.306596574529</v>
      </c>
    </row>
    <row r="703" customFormat="false" ht="15" hidden="false" customHeight="false" outlineLevel="0" collapsed="false">
      <c r="A703" s="0" t="n">
        <v>699</v>
      </c>
      <c r="B703" s="0" t="n">
        <v>1</v>
      </c>
      <c r="C703" s="19" t="n">
        <v>0</v>
      </c>
      <c r="D703" s="19" t="n">
        <v>0.1816</v>
      </c>
      <c r="E703" s="20" t="n">
        <f aca="false">Parametres!$B$5*C703</f>
        <v>0</v>
      </c>
      <c r="F703" s="20" t="n">
        <f aca="false">Parametres!$B$6*D703</f>
        <v>36.32</v>
      </c>
      <c r="G703" s="20" t="n">
        <f aca="false">E703+F703</f>
        <v>36.32</v>
      </c>
      <c r="H703" s="20" t="n">
        <f aca="false">IF(G703&lt;Parametres!$B$8*Parametres!$B$7,0,MIN(G703,Parametres!$B$7))</f>
        <v>36.32</v>
      </c>
      <c r="I703" s="20" t="n">
        <f aca="false">G703-H703</f>
        <v>0</v>
      </c>
      <c r="J703" s="21" t="n">
        <f aca="false">H703*1000/Parametres!$B$9</f>
        <v>615.906393081228</v>
      </c>
    </row>
    <row r="704" customFormat="false" ht="15" hidden="false" customHeight="false" outlineLevel="0" collapsed="false">
      <c r="A704" s="0" t="n">
        <v>700</v>
      </c>
      <c r="B704" s="0" t="n">
        <v>1</v>
      </c>
      <c r="C704" s="19" t="n">
        <v>0</v>
      </c>
      <c r="D704" s="19" t="n">
        <v>0.1772</v>
      </c>
      <c r="E704" s="20" t="n">
        <f aca="false">Parametres!$B$5*C704</f>
        <v>0</v>
      </c>
      <c r="F704" s="20" t="n">
        <f aca="false">Parametres!$B$6*D704</f>
        <v>35.44</v>
      </c>
      <c r="G704" s="20" t="n">
        <f aca="false">E704+F704</f>
        <v>35.44</v>
      </c>
      <c r="H704" s="20" t="n">
        <f aca="false">IF(G704&lt;Parametres!$B$8*Parametres!$B$7,0,MIN(G704,Parametres!$B$7))</f>
        <v>35.44</v>
      </c>
      <c r="I704" s="20" t="n">
        <f aca="false">G704-H704</f>
        <v>0</v>
      </c>
      <c r="J704" s="21" t="n">
        <f aca="false">H704*1000/Parametres!$B$9</f>
        <v>600.983550958114</v>
      </c>
    </row>
    <row r="705" customFormat="false" ht="15" hidden="false" customHeight="false" outlineLevel="0" collapsed="false">
      <c r="A705" s="0" t="n">
        <v>701</v>
      </c>
      <c r="B705" s="0" t="n">
        <v>1</v>
      </c>
      <c r="C705" s="19" t="n">
        <v>0</v>
      </c>
      <c r="D705" s="19" t="n">
        <v>0.1338</v>
      </c>
      <c r="E705" s="20" t="n">
        <f aca="false">Parametres!$B$5*C705</f>
        <v>0</v>
      </c>
      <c r="F705" s="20" t="n">
        <f aca="false">Parametres!$B$6*D705</f>
        <v>26.76</v>
      </c>
      <c r="G705" s="20" t="n">
        <f aca="false">E705+F705</f>
        <v>26.76</v>
      </c>
      <c r="H705" s="20" t="n">
        <f aca="false">IF(G705&lt;Parametres!$B$8*Parametres!$B$7,0,MIN(G705,Parametres!$B$7))</f>
        <v>26.76</v>
      </c>
      <c r="I705" s="20" t="n">
        <f aca="false">G705-H705</f>
        <v>0</v>
      </c>
      <c r="J705" s="21" t="n">
        <f aca="false">H705*1000/Parametres!$B$9</f>
        <v>453.790062743768</v>
      </c>
    </row>
    <row r="706" customFormat="false" ht="15" hidden="false" customHeight="false" outlineLevel="0" collapsed="false">
      <c r="A706" s="0" t="n">
        <v>702</v>
      </c>
      <c r="B706" s="0" t="n">
        <v>1</v>
      </c>
      <c r="C706" s="19" t="n">
        <v>0</v>
      </c>
      <c r="D706" s="19" t="n">
        <v>0.2243</v>
      </c>
      <c r="E706" s="20" t="n">
        <f aca="false">Parametres!$B$5*C706</f>
        <v>0</v>
      </c>
      <c r="F706" s="20" t="n">
        <f aca="false">Parametres!$B$6*D706</f>
        <v>44.86</v>
      </c>
      <c r="G706" s="20" t="n">
        <f aca="false">E706+F706</f>
        <v>44.86</v>
      </c>
      <c r="H706" s="20" t="n">
        <f aca="false">IF(G706&lt;Parametres!$B$8*Parametres!$B$7,0,MIN(G706,Parametres!$B$7))</f>
        <v>44.86</v>
      </c>
      <c r="I706" s="20" t="n">
        <f aca="false">G706-H706</f>
        <v>0</v>
      </c>
      <c r="J706" s="21" t="n">
        <f aca="false">H706*1000/Parametres!$B$9</f>
        <v>760.725792775988</v>
      </c>
    </row>
    <row r="707" customFormat="false" ht="15" hidden="false" customHeight="false" outlineLevel="0" collapsed="false">
      <c r="A707" s="0" t="n">
        <v>703</v>
      </c>
      <c r="B707" s="0" t="n">
        <v>1</v>
      </c>
      <c r="C707" s="19" t="n">
        <v>0</v>
      </c>
      <c r="D707" s="19" t="n">
        <v>0.3936</v>
      </c>
      <c r="E707" s="20" t="n">
        <f aca="false">Parametres!$B$5*C707</f>
        <v>0</v>
      </c>
      <c r="F707" s="20" t="n">
        <f aca="false">Parametres!$B$6*D707</f>
        <v>78.72</v>
      </c>
      <c r="G707" s="20" t="n">
        <f aca="false">E707+F707</f>
        <v>78.72</v>
      </c>
      <c r="H707" s="20" t="n">
        <f aca="false">IF(G707&lt;Parametres!$B$8*Parametres!$B$7,0,MIN(G707,Parametres!$B$7))</f>
        <v>78.72</v>
      </c>
      <c r="I707" s="20" t="n">
        <f aca="false">G707-H707</f>
        <v>0</v>
      </c>
      <c r="J707" s="21" t="n">
        <f aca="false">H707*1000/Parametres!$B$9</f>
        <v>1334.91605901306</v>
      </c>
    </row>
    <row r="708" customFormat="false" ht="15" hidden="false" customHeight="false" outlineLevel="0" collapsed="false">
      <c r="A708" s="0" t="n">
        <v>704</v>
      </c>
      <c r="B708" s="0" t="n">
        <v>1</v>
      </c>
      <c r="C708" s="19" t="n">
        <v>0.1682</v>
      </c>
      <c r="D708" s="19" t="n">
        <v>0.2011</v>
      </c>
      <c r="E708" s="20" t="n">
        <f aca="false">Parametres!$B$5*C708</f>
        <v>50.46</v>
      </c>
      <c r="F708" s="20" t="n">
        <f aca="false">Parametres!$B$6*D708</f>
        <v>40.22</v>
      </c>
      <c r="G708" s="20" t="n">
        <f aca="false">E708+F708</f>
        <v>90.68</v>
      </c>
      <c r="H708" s="20" t="n">
        <f aca="false">IF(G708&lt;Parametres!$B$8*Parametres!$B$7,0,MIN(G708,Parametres!$B$7))</f>
        <v>90.68</v>
      </c>
      <c r="I708" s="20" t="n">
        <f aca="false">G708-H708</f>
        <v>0</v>
      </c>
      <c r="J708" s="21" t="n">
        <f aca="false">H708*1000/Parametres!$B$9</f>
        <v>1537.73104968628</v>
      </c>
    </row>
    <row r="709" customFormat="false" ht="15" hidden="false" customHeight="false" outlineLevel="0" collapsed="false">
      <c r="A709" s="0" t="n">
        <v>705</v>
      </c>
      <c r="B709" s="0" t="n">
        <v>1</v>
      </c>
      <c r="C709" s="19" t="n">
        <v>0.3952</v>
      </c>
      <c r="D709" s="19" t="n">
        <v>0.2261</v>
      </c>
      <c r="E709" s="20" t="n">
        <f aca="false">Parametres!$B$5*C709</f>
        <v>118.56</v>
      </c>
      <c r="F709" s="20" t="n">
        <f aca="false">Parametres!$B$6*D709</f>
        <v>45.22</v>
      </c>
      <c r="G709" s="20" t="n">
        <f aca="false">E709+F709</f>
        <v>163.78</v>
      </c>
      <c r="H709" s="20" t="n">
        <f aca="false">IF(G709&lt;Parametres!$B$8*Parametres!$B$7,0,MIN(G709,Parametres!$B$7))</f>
        <v>163.78</v>
      </c>
      <c r="I709" s="20" t="n">
        <f aca="false">G709-H709</f>
        <v>0</v>
      </c>
      <c r="J709" s="21" t="n">
        <f aca="false">H709*1000/Parametres!$B$9</f>
        <v>2777.34441241309</v>
      </c>
    </row>
    <row r="710" customFormat="false" ht="15" hidden="false" customHeight="false" outlineLevel="0" collapsed="false">
      <c r="A710" s="0" t="n">
        <v>706</v>
      </c>
      <c r="B710" s="0" t="n">
        <v>1</v>
      </c>
      <c r="C710" s="19" t="n">
        <v>0.6346</v>
      </c>
      <c r="D710" s="19" t="n">
        <v>0.1963</v>
      </c>
      <c r="E710" s="20" t="n">
        <f aca="false">Parametres!$B$5*C710</f>
        <v>190.38</v>
      </c>
      <c r="F710" s="20" t="n">
        <f aca="false">Parametres!$B$6*D710</f>
        <v>39.26</v>
      </c>
      <c r="G710" s="20" t="n">
        <f aca="false">E710+F710</f>
        <v>229.64</v>
      </c>
      <c r="H710" s="20" t="n">
        <f aca="false">IF(G710&lt;Parametres!$B$8*Parametres!$B$7,0,MIN(G710,Parametres!$B$7))</f>
        <v>229.64</v>
      </c>
      <c r="I710" s="20" t="n">
        <f aca="false">G710-H710</f>
        <v>0</v>
      </c>
      <c r="J710" s="21" t="n">
        <f aca="false">H710*1000/Parametres!$B$9</f>
        <v>3894.18348312701</v>
      </c>
    </row>
    <row r="711" customFormat="false" ht="15" hidden="false" customHeight="false" outlineLevel="0" collapsed="false">
      <c r="A711" s="0" t="n">
        <v>707</v>
      </c>
      <c r="B711" s="0" t="n">
        <v>1</v>
      </c>
      <c r="C711" s="19" t="n">
        <v>0.7559</v>
      </c>
      <c r="D711" s="19" t="n">
        <v>0.0695</v>
      </c>
      <c r="E711" s="20" t="n">
        <f aca="false">Parametres!$B$5*C711</f>
        <v>226.77</v>
      </c>
      <c r="F711" s="20" t="n">
        <f aca="false">Parametres!$B$6*D711</f>
        <v>13.9</v>
      </c>
      <c r="G711" s="20" t="n">
        <f aca="false">E711+F711</f>
        <v>240.67</v>
      </c>
      <c r="H711" s="20" t="n">
        <f aca="false">IF(G711&lt;Parametres!$B$8*Parametres!$B$7,0,MIN(G711,Parametres!$B$7))</f>
        <v>240.67</v>
      </c>
      <c r="I711" s="20" t="n">
        <f aca="false">G711-H711</f>
        <v>0</v>
      </c>
      <c r="J711" s="21" t="n">
        <f aca="false">H711*1000/Parametres!$B$9</f>
        <v>4081.22774292013</v>
      </c>
    </row>
    <row r="712" customFormat="false" ht="15" hidden="false" customHeight="false" outlineLevel="0" collapsed="false">
      <c r="A712" s="0" t="n">
        <v>708</v>
      </c>
      <c r="B712" s="0" t="n">
        <v>1</v>
      </c>
      <c r="C712" s="19" t="n">
        <v>0.8306</v>
      </c>
      <c r="D712" s="19" t="n">
        <v>0.1017</v>
      </c>
      <c r="E712" s="20" t="n">
        <f aca="false">Parametres!$B$5*C712</f>
        <v>249.18</v>
      </c>
      <c r="F712" s="20" t="n">
        <f aca="false">Parametres!$B$6*D712</f>
        <v>20.34</v>
      </c>
      <c r="G712" s="20" t="n">
        <f aca="false">E712+F712</f>
        <v>269.52</v>
      </c>
      <c r="H712" s="20" t="n">
        <f aca="false">IF(G712&lt;Parametres!$B$8*Parametres!$B$7,0,MIN(G712,Parametres!$B$7))</f>
        <v>250</v>
      </c>
      <c r="I712" s="20" t="n">
        <f aca="false">G712-H712</f>
        <v>19.52</v>
      </c>
      <c r="J712" s="21" t="n">
        <f aca="false">H712*1000/Parametres!$B$9</f>
        <v>4239.44378497541</v>
      </c>
    </row>
    <row r="713" customFormat="false" ht="15" hidden="false" customHeight="false" outlineLevel="0" collapsed="false">
      <c r="A713" s="0" t="n">
        <v>709</v>
      </c>
      <c r="B713" s="0" t="n">
        <v>1</v>
      </c>
      <c r="C713" s="19" t="n">
        <v>0.7878</v>
      </c>
      <c r="D713" s="19" t="n">
        <v>0.0865</v>
      </c>
      <c r="E713" s="20" t="n">
        <f aca="false">Parametres!$B$5*C713</f>
        <v>236.34</v>
      </c>
      <c r="F713" s="20" t="n">
        <f aca="false">Parametres!$B$6*D713</f>
        <v>17.3</v>
      </c>
      <c r="G713" s="20" t="n">
        <f aca="false">E713+F713</f>
        <v>253.64</v>
      </c>
      <c r="H713" s="20" t="n">
        <f aca="false">IF(G713&lt;Parametres!$B$8*Parametres!$B$7,0,MIN(G713,Parametres!$B$7))</f>
        <v>250</v>
      </c>
      <c r="I713" s="20" t="n">
        <f aca="false">G713-H713</f>
        <v>3.63999999999999</v>
      </c>
      <c r="J713" s="21" t="n">
        <f aca="false">H713*1000/Parametres!$B$9</f>
        <v>4239.44378497541</v>
      </c>
    </row>
    <row r="714" customFormat="false" ht="15" hidden="false" customHeight="false" outlineLevel="0" collapsed="false">
      <c r="A714" s="0" t="n">
        <v>710</v>
      </c>
      <c r="B714" s="0" t="n">
        <v>1</v>
      </c>
      <c r="C714" s="19" t="n">
        <v>0.7604</v>
      </c>
      <c r="D714" s="19" t="n">
        <v>0.0811</v>
      </c>
      <c r="E714" s="20" t="n">
        <f aca="false">Parametres!$B$5*C714</f>
        <v>228.12</v>
      </c>
      <c r="F714" s="20" t="n">
        <f aca="false">Parametres!$B$6*D714</f>
        <v>16.22</v>
      </c>
      <c r="G714" s="20" t="n">
        <f aca="false">E714+F714</f>
        <v>244.34</v>
      </c>
      <c r="H714" s="20" t="n">
        <f aca="false">IF(G714&lt;Parametres!$B$8*Parametres!$B$7,0,MIN(G714,Parametres!$B$7))</f>
        <v>244.34</v>
      </c>
      <c r="I714" s="20" t="n">
        <f aca="false">G714-H714</f>
        <v>0</v>
      </c>
      <c r="J714" s="21" t="n">
        <f aca="false">H714*1000/Parametres!$B$9</f>
        <v>4143.46277768357</v>
      </c>
    </row>
    <row r="715" customFormat="false" ht="15" hidden="false" customHeight="false" outlineLevel="0" collapsed="false">
      <c r="A715" s="0" t="n">
        <v>711</v>
      </c>
      <c r="B715" s="0" t="n">
        <v>1</v>
      </c>
      <c r="C715" s="19" t="n">
        <v>0.6219</v>
      </c>
      <c r="D715" s="19" t="n">
        <v>0.0629</v>
      </c>
      <c r="E715" s="20" t="n">
        <f aca="false">Parametres!$B$5*C715</f>
        <v>186.57</v>
      </c>
      <c r="F715" s="20" t="n">
        <f aca="false">Parametres!$B$6*D715</f>
        <v>12.58</v>
      </c>
      <c r="G715" s="20" t="n">
        <f aca="false">E715+F715</f>
        <v>199.15</v>
      </c>
      <c r="H715" s="20" t="n">
        <f aca="false">IF(G715&lt;Parametres!$B$8*Parametres!$B$7,0,MIN(G715,Parametres!$B$7))</f>
        <v>199.15</v>
      </c>
      <c r="I715" s="20" t="n">
        <f aca="false">G715-H715</f>
        <v>0</v>
      </c>
      <c r="J715" s="21" t="n">
        <f aca="false">H715*1000/Parametres!$B$9</f>
        <v>3377.14091911141</v>
      </c>
    </row>
    <row r="716" customFormat="false" ht="15" hidden="false" customHeight="false" outlineLevel="0" collapsed="false">
      <c r="A716" s="0" t="n">
        <v>712</v>
      </c>
      <c r="B716" s="0" t="n">
        <v>1</v>
      </c>
      <c r="C716" s="19" t="n">
        <v>0.3902</v>
      </c>
      <c r="D716" s="19" t="n">
        <v>0.1213</v>
      </c>
      <c r="E716" s="20" t="n">
        <f aca="false">Parametres!$B$5*C716</f>
        <v>117.06</v>
      </c>
      <c r="F716" s="20" t="n">
        <f aca="false">Parametres!$B$6*D716</f>
        <v>24.26</v>
      </c>
      <c r="G716" s="20" t="n">
        <f aca="false">E716+F716</f>
        <v>141.32</v>
      </c>
      <c r="H716" s="20" t="n">
        <f aca="false">IF(G716&lt;Parametres!$B$8*Parametres!$B$7,0,MIN(G716,Parametres!$B$7))</f>
        <v>141.32</v>
      </c>
      <c r="I716" s="20" t="n">
        <f aca="false">G716-H716</f>
        <v>0</v>
      </c>
      <c r="J716" s="21" t="n">
        <f aca="false">H716*1000/Parametres!$B$9</f>
        <v>2396.4727827709</v>
      </c>
    </row>
    <row r="717" customFormat="false" ht="15" hidden="false" customHeight="false" outlineLevel="0" collapsed="false">
      <c r="A717" s="0" t="n">
        <v>713</v>
      </c>
      <c r="B717" s="0" t="n">
        <v>1</v>
      </c>
      <c r="C717" s="19" t="n">
        <v>0.1689</v>
      </c>
      <c r="D717" s="19" t="n">
        <v>0.2191</v>
      </c>
      <c r="E717" s="20" t="n">
        <f aca="false">Parametres!$B$5*C717</f>
        <v>50.67</v>
      </c>
      <c r="F717" s="20" t="n">
        <f aca="false">Parametres!$B$6*D717</f>
        <v>43.82</v>
      </c>
      <c r="G717" s="20" t="n">
        <f aca="false">E717+F717</f>
        <v>94.49</v>
      </c>
      <c r="H717" s="20" t="n">
        <f aca="false">IF(G717&lt;Parametres!$B$8*Parametres!$B$7,0,MIN(G717,Parametres!$B$7))</f>
        <v>94.49</v>
      </c>
      <c r="I717" s="20" t="n">
        <f aca="false">G717-H717</f>
        <v>0</v>
      </c>
      <c r="J717" s="21" t="n">
        <f aca="false">H717*1000/Parametres!$B$9</f>
        <v>1602.34017296931</v>
      </c>
    </row>
    <row r="718" customFormat="false" ht="15" hidden="false" customHeight="false" outlineLevel="0" collapsed="false">
      <c r="A718" s="0" t="n">
        <v>714</v>
      </c>
      <c r="B718" s="0" t="n">
        <v>1</v>
      </c>
      <c r="C718" s="19" t="n">
        <v>0</v>
      </c>
      <c r="D718" s="19" t="n">
        <v>0.2418</v>
      </c>
      <c r="E718" s="20" t="n">
        <f aca="false">Parametres!$B$5*C718</f>
        <v>0</v>
      </c>
      <c r="F718" s="20" t="n">
        <f aca="false">Parametres!$B$6*D718</f>
        <v>48.36</v>
      </c>
      <c r="G718" s="20" t="n">
        <f aca="false">E718+F718</f>
        <v>48.36</v>
      </c>
      <c r="H718" s="20" t="n">
        <f aca="false">IF(G718&lt;Parametres!$B$8*Parametres!$B$7,0,MIN(G718,Parametres!$B$7))</f>
        <v>48.36</v>
      </c>
      <c r="I718" s="20" t="n">
        <f aca="false">G718-H718</f>
        <v>0</v>
      </c>
      <c r="J718" s="21" t="n">
        <f aca="false">H718*1000/Parametres!$B$9</f>
        <v>820.078005765644</v>
      </c>
    </row>
    <row r="719" customFormat="false" ht="15" hidden="false" customHeight="false" outlineLevel="0" collapsed="false">
      <c r="A719" s="0" t="n">
        <v>715</v>
      </c>
      <c r="B719" s="0" t="n">
        <v>1</v>
      </c>
      <c r="C719" s="19" t="n">
        <v>0</v>
      </c>
      <c r="D719" s="19" t="n">
        <v>0.3027</v>
      </c>
      <c r="E719" s="20" t="n">
        <f aca="false">Parametres!$B$5*C719</f>
        <v>0</v>
      </c>
      <c r="F719" s="20" t="n">
        <f aca="false">Parametres!$B$6*D719</f>
        <v>60.54</v>
      </c>
      <c r="G719" s="20" t="n">
        <f aca="false">E719+F719</f>
        <v>60.54</v>
      </c>
      <c r="H719" s="20" t="n">
        <f aca="false">IF(G719&lt;Parametres!$B$8*Parametres!$B$7,0,MIN(G719,Parametres!$B$7))</f>
        <v>60.54</v>
      </c>
      <c r="I719" s="20" t="n">
        <f aca="false">G719-H719</f>
        <v>0</v>
      </c>
      <c r="J719" s="21" t="n">
        <f aca="false">H719*1000/Parametres!$B$9</f>
        <v>1026.62370696965</v>
      </c>
    </row>
    <row r="720" customFormat="false" ht="15" hidden="false" customHeight="false" outlineLevel="0" collapsed="false">
      <c r="A720" s="0" t="n">
        <v>716</v>
      </c>
      <c r="B720" s="0" t="n">
        <v>1</v>
      </c>
      <c r="C720" s="19" t="n">
        <v>0</v>
      </c>
      <c r="D720" s="19" t="n">
        <v>0.2664</v>
      </c>
      <c r="E720" s="20" t="n">
        <f aca="false">Parametres!$B$5*C720</f>
        <v>0</v>
      </c>
      <c r="F720" s="20" t="n">
        <f aca="false">Parametres!$B$6*D720</f>
        <v>53.28</v>
      </c>
      <c r="G720" s="20" t="n">
        <f aca="false">E720+F720</f>
        <v>53.28</v>
      </c>
      <c r="H720" s="20" t="n">
        <f aca="false">IF(G720&lt;Parametres!$B$8*Parametres!$B$7,0,MIN(G720,Parametres!$B$7))</f>
        <v>53.28</v>
      </c>
      <c r="I720" s="20" t="n">
        <f aca="false">G720-H720</f>
        <v>0</v>
      </c>
      <c r="J720" s="21" t="n">
        <f aca="false">H720*1000/Parametres!$B$9</f>
        <v>903.51025945396</v>
      </c>
    </row>
    <row r="721" customFormat="false" ht="15" hidden="false" customHeight="false" outlineLevel="0" collapsed="false">
      <c r="A721" s="0" t="n">
        <v>717</v>
      </c>
      <c r="B721" s="0" t="n">
        <v>1</v>
      </c>
      <c r="C721" s="19" t="n">
        <v>0</v>
      </c>
      <c r="D721" s="19" t="n">
        <v>0.252</v>
      </c>
      <c r="E721" s="20" t="n">
        <f aca="false">Parametres!$B$5*C721</f>
        <v>0</v>
      </c>
      <c r="F721" s="20" t="n">
        <f aca="false">Parametres!$B$6*D721</f>
        <v>50.4</v>
      </c>
      <c r="G721" s="20" t="n">
        <f aca="false">E721+F721</f>
        <v>50.4</v>
      </c>
      <c r="H721" s="20" t="n">
        <f aca="false">IF(G721&lt;Parametres!$B$8*Parametres!$B$7,0,MIN(G721,Parametres!$B$7))</f>
        <v>50.4</v>
      </c>
      <c r="I721" s="20" t="n">
        <f aca="false">G721-H721</f>
        <v>0</v>
      </c>
      <c r="J721" s="21" t="n">
        <f aca="false">H721*1000/Parametres!$B$9</f>
        <v>854.671867051043</v>
      </c>
    </row>
    <row r="722" customFormat="false" ht="15" hidden="false" customHeight="false" outlineLevel="0" collapsed="false">
      <c r="A722" s="0" t="n">
        <v>718</v>
      </c>
      <c r="B722" s="0" t="n">
        <v>1</v>
      </c>
      <c r="C722" s="19" t="n">
        <v>0</v>
      </c>
      <c r="D722" s="19" t="n">
        <v>0.1622</v>
      </c>
      <c r="E722" s="20" t="n">
        <f aca="false">Parametres!$B$5*C722</f>
        <v>0</v>
      </c>
      <c r="F722" s="20" t="n">
        <f aca="false">Parametres!$B$6*D722</f>
        <v>32.44</v>
      </c>
      <c r="G722" s="20" t="n">
        <f aca="false">E722+F722</f>
        <v>32.44</v>
      </c>
      <c r="H722" s="20" t="n">
        <f aca="false">IF(G722&lt;Parametres!$B$8*Parametres!$B$7,0,MIN(G722,Parametres!$B$7))</f>
        <v>32.44</v>
      </c>
      <c r="I722" s="20" t="n">
        <f aca="false">G722-H722</f>
        <v>0</v>
      </c>
      <c r="J722" s="21" t="n">
        <f aca="false">H722*1000/Parametres!$B$9</f>
        <v>550.110225538409</v>
      </c>
    </row>
    <row r="723" customFormat="false" ht="15" hidden="false" customHeight="false" outlineLevel="0" collapsed="false">
      <c r="A723" s="0" t="n">
        <v>719</v>
      </c>
      <c r="B723" s="0" t="n">
        <v>1</v>
      </c>
      <c r="C723" s="19" t="n">
        <v>0</v>
      </c>
      <c r="D723" s="19" t="n">
        <v>0.1417</v>
      </c>
      <c r="E723" s="20" t="n">
        <f aca="false">Parametres!$B$5*C723</f>
        <v>0</v>
      </c>
      <c r="F723" s="20" t="n">
        <f aca="false">Parametres!$B$6*D723</f>
        <v>28.34</v>
      </c>
      <c r="G723" s="20" t="n">
        <f aca="false">E723+F723</f>
        <v>28.34</v>
      </c>
      <c r="H723" s="20" t="n">
        <f aca="false">IF(G723&lt;Parametres!$B$8*Parametres!$B$7,0,MIN(G723,Parametres!$B$7))</f>
        <v>28.34</v>
      </c>
      <c r="I723" s="20" t="n">
        <f aca="false">G723-H723</f>
        <v>0</v>
      </c>
      <c r="J723" s="21" t="n">
        <f aca="false">H723*1000/Parametres!$B$9</f>
        <v>480.583347464813</v>
      </c>
    </row>
    <row r="724" customFormat="false" ht="15" hidden="false" customHeight="false" outlineLevel="0" collapsed="false">
      <c r="A724" s="0" t="n">
        <v>720</v>
      </c>
      <c r="B724" s="0" t="n">
        <v>1</v>
      </c>
      <c r="C724" s="19" t="n">
        <v>0</v>
      </c>
      <c r="D724" s="19" t="n">
        <v>0.0866</v>
      </c>
      <c r="E724" s="20" t="n">
        <f aca="false">Parametres!$B$5*C724</f>
        <v>0</v>
      </c>
      <c r="F724" s="20" t="n">
        <f aca="false">Parametres!$B$6*D724</f>
        <v>17.32</v>
      </c>
      <c r="G724" s="20" t="n">
        <f aca="false">E724+F724</f>
        <v>17.32</v>
      </c>
      <c r="H724" s="20" t="n">
        <f aca="false">IF(G724&lt;Parametres!$B$8*Parametres!$B$7,0,MIN(G724,Parametres!$B$7))</f>
        <v>0</v>
      </c>
      <c r="I724" s="20" t="n">
        <f aca="false">G724-H724</f>
        <v>17.32</v>
      </c>
      <c r="J724" s="21" t="n">
        <f aca="false">H724*1000/Parametres!$B$9</f>
        <v>0</v>
      </c>
    </row>
    <row r="725" customFormat="false" ht="15" hidden="false" customHeight="false" outlineLevel="0" collapsed="false">
      <c r="A725" s="0" t="n">
        <v>721</v>
      </c>
      <c r="B725" s="0" t="n">
        <v>1</v>
      </c>
      <c r="C725" s="19" t="n">
        <v>0</v>
      </c>
      <c r="D725" s="19" t="n">
        <v>0.0891</v>
      </c>
      <c r="E725" s="20" t="n">
        <f aca="false">Parametres!$B$5*C725</f>
        <v>0</v>
      </c>
      <c r="F725" s="20" t="n">
        <f aca="false">Parametres!$B$6*D725</f>
        <v>17.82</v>
      </c>
      <c r="G725" s="20" t="n">
        <f aca="false">E725+F725</f>
        <v>17.82</v>
      </c>
      <c r="H725" s="20" t="n">
        <f aca="false">IF(G725&lt;Parametres!$B$8*Parametres!$B$7,0,MIN(G725,Parametres!$B$7))</f>
        <v>0</v>
      </c>
      <c r="I725" s="20" t="n">
        <f aca="false">G725-H725</f>
        <v>17.82</v>
      </c>
      <c r="J725" s="21" t="n">
        <f aca="false">H725*1000/Parametres!$B$9</f>
        <v>0</v>
      </c>
    </row>
    <row r="726" customFormat="false" ht="15" hidden="false" customHeight="false" outlineLevel="0" collapsed="false">
      <c r="A726" s="0" t="n">
        <v>722</v>
      </c>
      <c r="B726" s="0" t="n">
        <v>1</v>
      </c>
      <c r="C726" s="19" t="n">
        <v>0</v>
      </c>
      <c r="D726" s="19" t="n">
        <v>0.1135</v>
      </c>
      <c r="E726" s="20" t="n">
        <f aca="false">Parametres!$B$5*C726</f>
        <v>0</v>
      </c>
      <c r="F726" s="20" t="n">
        <f aca="false">Parametres!$B$6*D726</f>
        <v>22.7</v>
      </c>
      <c r="G726" s="20" t="n">
        <f aca="false">E726+F726</f>
        <v>22.7</v>
      </c>
      <c r="H726" s="20" t="n">
        <f aca="false">IF(G726&lt;Parametres!$B$8*Parametres!$B$7,0,MIN(G726,Parametres!$B$7))</f>
        <v>0</v>
      </c>
      <c r="I726" s="20" t="n">
        <f aca="false">G726-H726</f>
        <v>22.7</v>
      </c>
      <c r="J726" s="21" t="n">
        <f aca="false">H726*1000/Parametres!$B$9</f>
        <v>0</v>
      </c>
    </row>
    <row r="727" customFormat="false" ht="15" hidden="false" customHeight="false" outlineLevel="0" collapsed="false">
      <c r="A727" s="0" t="n">
        <v>723</v>
      </c>
      <c r="B727" s="0" t="n">
        <v>1</v>
      </c>
      <c r="C727" s="19" t="n">
        <v>0</v>
      </c>
      <c r="D727" s="19" t="n">
        <v>0.1162</v>
      </c>
      <c r="E727" s="20" t="n">
        <f aca="false">Parametres!$B$5*C727</f>
        <v>0</v>
      </c>
      <c r="F727" s="20" t="n">
        <f aca="false">Parametres!$B$6*D727</f>
        <v>23.24</v>
      </c>
      <c r="G727" s="20" t="n">
        <f aca="false">E727+F727</f>
        <v>23.24</v>
      </c>
      <c r="H727" s="20" t="n">
        <f aca="false">IF(G727&lt;Parametres!$B$8*Parametres!$B$7,0,MIN(G727,Parametres!$B$7))</f>
        <v>0</v>
      </c>
      <c r="I727" s="20" t="n">
        <f aca="false">G727-H727</f>
        <v>23.24</v>
      </c>
      <c r="J727" s="21" t="n">
        <f aca="false">H727*1000/Parametres!$B$9</f>
        <v>0</v>
      </c>
    </row>
    <row r="728" customFormat="false" ht="15" hidden="false" customHeight="false" outlineLevel="0" collapsed="false">
      <c r="A728" s="0" t="n">
        <v>724</v>
      </c>
      <c r="B728" s="0" t="n">
        <v>1</v>
      </c>
      <c r="C728" s="19" t="n">
        <v>0</v>
      </c>
      <c r="D728" s="19" t="n">
        <v>0.1746</v>
      </c>
      <c r="E728" s="20" t="n">
        <f aca="false">Parametres!$B$5*C728</f>
        <v>0</v>
      </c>
      <c r="F728" s="20" t="n">
        <f aca="false">Parametres!$B$6*D728</f>
        <v>34.92</v>
      </c>
      <c r="G728" s="20" t="n">
        <f aca="false">E728+F728</f>
        <v>34.92</v>
      </c>
      <c r="H728" s="20" t="n">
        <f aca="false">IF(G728&lt;Parametres!$B$8*Parametres!$B$7,0,MIN(G728,Parametres!$B$7))</f>
        <v>34.92</v>
      </c>
      <c r="I728" s="20" t="n">
        <f aca="false">G728-H728</f>
        <v>0</v>
      </c>
      <c r="J728" s="21" t="n">
        <f aca="false">H728*1000/Parametres!$B$9</f>
        <v>592.165507885365</v>
      </c>
    </row>
    <row r="729" customFormat="false" ht="15" hidden="false" customHeight="false" outlineLevel="0" collapsed="false">
      <c r="A729" s="0" t="n">
        <v>725</v>
      </c>
      <c r="B729" s="0" t="n">
        <v>1</v>
      </c>
      <c r="C729" s="19" t="n">
        <v>0</v>
      </c>
      <c r="D729" s="19" t="n">
        <v>0.4171</v>
      </c>
      <c r="E729" s="20" t="n">
        <f aca="false">Parametres!$B$5*C729</f>
        <v>0</v>
      </c>
      <c r="F729" s="20" t="n">
        <f aca="false">Parametres!$B$6*D729</f>
        <v>83.42</v>
      </c>
      <c r="G729" s="20" t="n">
        <f aca="false">E729+F729</f>
        <v>83.42</v>
      </c>
      <c r="H729" s="20" t="n">
        <f aca="false">IF(G729&lt;Parametres!$B$8*Parametres!$B$7,0,MIN(G729,Parametres!$B$7))</f>
        <v>83.42</v>
      </c>
      <c r="I729" s="20" t="n">
        <f aca="false">G729-H729</f>
        <v>0</v>
      </c>
      <c r="J729" s="21" t="n">
        <f aca="false">H729*1000/Parametres!$B$9</f>
        <v>1414.6176021706</v>
      </c>
    </row>
    <row r="730" customFormat="false" ht="15" hidden="false" customHeight="false" outlineLevel="0" collapsed="false">
      <c r="A730" s="0" t="n">
        <v>726</v>
      </c>
      <c r="B730" s="0" t="n">
        <v>1</v>
      </c>
      <c r="C730" s="19" t="n">
        <v>0</v>
      </c>
      <c r="D730" s="19" t="n">
        <v>0.2086</v>
      </c>
      <c r="E730" s="20" t="n">
        <f aca="false">Parametres!$B$5*C730</f>
        <v>0</v>
      </c>
      <c r="F730" s="20" t="n">
        <f aca="false">Parametres!$B$6*D730</f>
        <v>41.72</v>
      </c>
      <c r="G730" s="20" t="n">
        <f aca="false">E730+F730</f>
        <v>41.72</v>
      </c>
      <c r="H730" s="20" t="n">
        <f aca="false">IF(G730&lt;Parametres!$B$8*Parametres!$B$7,0,MIN(G730,Parametres!$B$7))</f>
        <v>41.72</v>
      </c>
      <c r="I730" s="20" t="n">
        <f aca="false">G730-H730</f>
        <v>0</v>
      </c>
      <c r="J730" s="21" t="n">
        <f aca="false">H730*1000/Parametres!$B$9</f>
        <v>707.478378836697</v>
      </c>
    </row>
    <row r="731" customFormat="false" ht="15" hidden="false" customHeight="false" outlineLevel="0" collapsed="false">
      <c r="A731" s="0" t="n">
        <v>727</v>
      </c>
      <c r="B731" s="0" t="n">
        <v>1</v>
      </c>
      <c r="C731" s="19" t="n">
        <v>0</v>
      </c>
      <c r="D731" s="19" t="n">
        <v>0.2201</v>
      </c>
      <c r="E731" s="20" t="n">
        <f aca="false">Parametres!$B$5*C731</f>
        <v>0</v>
      </c>
      <c r="F731" s="20" t="n">
        <f aca="false">Parametres!$B$6*D731</f>
        <v>44.02</v>
      </c>
      <c r="G731" s="20" t="n">
        <f aca="false">E731+F731</f>
        <v>44.02</v>
      </c>
      <c r="H731" s="20" t="n">
        <f aca="false">IF(G731&lt;Parametres!$B$8*Parametres!$B$7,0,MIN(G731,Parametres!$B$7))</f>
        <v>44.02</v>
      </c>
      <c r="I731" s="20" t="n">
        <f aca="false">G731-H731</f>
        <v>0</v>
      </c>
      <c r="J731" s="21" t="n">
        <f aca="false">H731*1000/Parametres!$B$9</f>
        <v>746.48126165847</v>
      </c>
    </row>
    <row r="732" customFormat="false" ht="15" hidden="false" customHeight="false" outlineLevel="0" collapsed="false">
      <c r="A732" s="0" t="n">
        <v>728</v>
      </c>
      <c r="B732" s="0" t="n">
        <v>1</v>
      </c>
      <c r="C732" s="19" t="n">
        <v>0.1923</v>
      </c>
      <c r="D732" s="19" t="n">
        <v>0.194</v>
      </c>
      <c r="E732" s="20" t="n">
        <f aca="false">Parametres!$B$5*C732</f>
        <v>57.69</v>
      </c>
      <c r="F732" s="20" t="n">
        <f aca="false">Parametres!$B$6*D732</f>
        <v>38.8</v>
      </c>
      <c r="G732" s="20" t="n">
        <f aca="false">E732+F732</f>
        <v>96.49</v>
      </c>
      <c r="H732" s="20" t="n">
        <f aca="false">IF(G732&lt;Parametres!$B$8*Parametres!$B$7,0,MIN(G732,Parametres!$B$7))</f>
        <v>96.49</v>
      </c>
      <c r="I732" s="20" t="n">
        <f aca="false">G732-H732</f>
        <v>0</v>
      </c>
      <c r="J732" s="21" t="n">
        <f aca="false">H732*1000/Parametres!$B$9</f>
        <v>1636.25572324911</v>
      </c>
    </row>
    <row r="733" customFormat="false" ht="15" hidden="false" customHeight="false" outlineLevel="0" collapsed="false">
      <c r="A733" s="0" t="n">
        <v>729</v>
      </c>
      <c r="B733" s="0" t="n">
        <v>1</v>
      </c>
      <c r="C733" s="19" t="n">
        <v>0.4567</v>
      </c>
      <c r="D733" s="19" t="n">
        <v>0.1826</v>
      </c>
      <c r="E733" s="20" t="n">
        <f aca="false">Parametres!$B$5*C733</f>
        <v>137.01</v>
      </c>
      <c r="F733" s="20" t="n">
        <f aca="false">Parametres!$B$6*D733</f>
        <v>36.52</v>
      </c>
      <c r="G733" s="20" t="n">
        <f aca="false">E733+F733</f>
        <v>173.53</v>
      </c>
      <c r="H733" s="20" t="n">
        <f aca="false">IF(G733&lt;Parametres!$B$8*Parametres!$B$7,0,MIN(G733,Parametres!$B$7))</f>
        <v>173.53</v>
      </c>
      <c r="I733" s="20" t="n">
        <f aca="false">G733-H733</f>
        <v>0</v>
      </c>
      <c r="J733" s="21" t="n">
        <f aca="false">H733*1000/Parametres!$B$9</f>
        <v>2942.68272002713</v>
      </c>
    </row>
    <row r="734" customFormat="false" ht="15" hidden="false" customHeight="false" outlineLevel="0" collapsed="false">
      <c r="A734" s="0" t="n">
        <v>730</v>
      </c>
      <c r="B734" s="0" t="n">
        <v>1</v>
      </c>
      <c r="C734" s="19" t="n">
        <v>0.6273</v>
      </c>
      <c r="D734" s="19" t="n">
        <v>0.1185</v>
      </c>
      <c r="E734" s="20" t="n">
        <f aca="false">Parametres!$B$5*C734</f>
        <v>188.19</v>
      </c>
      <c r="F734" s="20" t="n">
        <f aca="false">Parametres!$B$6*D734</f>
        <v>23.7</v>
      </c>
      <c r="G734" s="20" t="n">
        <f aca="false">E734+F734</f>
        <v>211.89</v>
      </c>
      <c r="H734" s="20" t="n">
        <f aca="false">IF(G734&lt;Parametres!$B$8*Parametres!$B$7,0,MIN(G734,Parametres!$B$7))</f>
        <v>211.89</v>
      </c>
      <c r="I734" s="20" t="n">
        <f aca="false">G734-H734</f>
        <v>0</v>
      </c>
      <c r="J734" s="21" t="n">
        <f aca="false">H734*1000/Parametres!$B$9</f>
        <v>3593.18297439376</v>
      </c>
    </row>
    <row r="735" customFormat="false" ht="15" hidden="false" customHeight="false" outlineLevel="0" collapsed="false">
      <c r="A735" s="0" t="n">
        <v>731</v>
      </c>
      <c r="B735" s="0" t="n">
        <v>1</v>
      </c>
      <c r="C735" s="19" t="n">
        <v>0.8306</v>
      </c>
      <c r="D735" s="19" t="n">
        <v>0.1418</v>
      </c>
      <c r="E735" s="20" t="n">
        <f aca="false">Parametres!$B$5*C735</f>
        <v>249.18</v>
      </c>
      <c r="F735" s="20" t="n">
        <f aca="false">Parametres!$B$6*D735</f>
        <v>28.36</v>
      </c>
      <c r="G735" s="20" t="n">
        <f aca="false">E735+F735</f>
        <v>277.54</v>
      </c>
      <c r="H735" s="20" t="n">
        <f aca="false">IF(G735&lt;Parametres!$B$8*Parametres!$B$7,0,MIN(G735,Parametres!$B$7))</f>
        <v>250</v>
      </c>
      <c r="I735" s="20" t="n">
        <f aca="false">G735-H735</f>
        <v>27.54</v>
      </c>
      <c r="J735" s="21" t="n">
        <f aca="false">H735*1000/Parametres!$B$9</f>
        <v>4239.44378497541</v>
      </c>
    </row>
    <row r="736" customFormat="false" ht="15" hidden="false" customHeight="false" outlineLevel="0" collapsed="false">
      <c r="A736" s="0" t="n">
        <v>732</v>
      </c>
      <c r="B736" s="0" t="n">
        <v>1</v>
      </c>
      <c r="C736" s="19" t="n">
        <v>0.9223</v>
      </c>
      <c r="D736" s="19" t="n">
        <v>0.1468</v>
      </c>
      <c r="E736" s="20" t="n">
        <f aca="false">Parametres!$B$5*C736</f>
        <v>276.69</v>
      </c>
      <c r="F736" s="20" t="n">
        <f aca="false">Parametres!$B$6*D736</f>
        <v>29.36</v>
      </c>
      <c r="G736" s="20" t="n">
        <f aca="false">E736+F736</f>
        <v>306.05</v>
      </c>
      <c r="H736" s="20" t="n">
        <f aca="false">IF(G736&lt;Parametres!$B$8*Parametres!$B$7,0,MIN(G736,Parametres!$B$7))</f>
        <v>250</v>
      </c>
      <c r="I736" s="20" t="n">
        <f aca="false">G736-H736</f>
        <v>56.05</v>
      </c>
      <c r="J736" s="21" t="n">
        <f aca="false">H736*1000/Parametres!$B$9</f>
        <v>4239.44378497541</v>
      </c>
    </row>
    <row r="737" customFormat="false" ht="15" hidden="false" customHeight="false" outlineLevel="0" collapsed="false">
      <c r="A737" s="0" t="n">
        <v>733</v>
      </c>
      <c r="B737" s="0" t="n">
        <v>1</v>
      </c>
      <c r="C737" s="19" t="n">
        <v>0.9114</v>
      </c>
      <c r="D737" s="19" t="n">
        <v>0.1261</v>
      </c>
      <c r="E737" s="20" t="n">
        <f aca="false">Parametres!$B$5*C737</f>
        <v>273.42</v>
      </c>
      <c r="F737" s="20" t="n">
        <f aca="false">Parametres!$B$6*D737</f>
        <v>25.22</v>
      </c>
      <c r="G737" s="20" t="n">
        <f aca="false">E737+F737</f>
        <v>298.64</v>
      </c>
      <c r="H737" s="20" t="n">
        <f aca="false">IF(G737&lt;Parametres!$B$8*Parametres!$B$7,0,MIN(G737,Parametres!$B$7))</f>
        <v>250</v>
      </c>
      <c r="I737" s="20" t="n">
        <f aca="false">G737-H737</f>
        <v>48.64</v>
      </c>
      <c r="J737" s="21" t="n">
        <f aca="false">H737*1000/Parametres!$B$9</f>
        <v>4239.44378497541</v>
      </c>
    </row>
    <row r="738" customFormat="false" ht="15" hidden="false" customHeight="false" outlineLevel="0" collapsed="false">
      <c r="A738" s="0" t="n">
        <v>734</v>
      </c>
      <c r="B738" s="0" t="n">
        <v>1</v>
      </c>
      <c r="C738" s="19" t="n">
        <v>0.8636</v>
      </c>
      <c r="D738" s="19" t="n">
        <v>0.1261</v>
      </c>
      <c r="E738" s="20" t="n">
        <f aca="false">Parametres!$B$5*C738</f>
        <v>259.08</v>
      </c>
      <c r="F738" s="20" t="n">
        <f aca="false">Parametres!$B$6*D738</f>
        <v>25.22</v>
      </c>
      <c r="G738" s="20" t="n">
        <f aca="false">E738+F738</f>
        <v>284.3</v>
      </c>
      <c r="H738" s="20" t="n">
        <f aca="false">IF(G738&lt;Parametres!$B$8*Parametres!$B$7,0,MIN(G738,Parametres!$B$7))</f>
        <v>250</v>
      </c>
      <c r="I738" s="20" t="n">
        <f aca="false">G738-H738</f>
        <v>34.3</v>
      </c>
      <c r="J738" s="21" t="n">
        <f aca="false">H738*1000/Parametres!$B$9</f>
        <v>4239.44378497541</v>
      </c>
    </row>
    <row r="739" customFormat="false" ht="15" hidden="false" customHeight="false" outlineLevel="0" collapsed="false">
      <c r="A739" s="0" t="n">
        <v>735</v>
      </c>
      <c r="B739" s="0" t="n">
        <v>1</v>
      </c>
      <c r="C739" s="19" t="n">
        <v>0.6582</v>
      </c>
      <c r="D739" s="19" t="n">
        <v>0.1035</v>
      </c>
      <c r="E739" s="20" t="n">
        <f aca="false">Parametres!$B$5*C739</f>
        <v>197.46</v>
      </c>
      <c r="F739" s="20" t="n">
        <f aca="false">Parametres!$B$6*D739</f>
        <v>20.7</v>
      </c>
      <c r="G739" s="20" t="n">
        <f aca="false">E739+F739</f>
        <v>218.16</v>
      </c>
      <c r="H739" s="20" t="n">
        <f aca="false">IF(G739&lt;Parametres!$B$8*Parametres!$B$7,0,MIN(G739,Parametres!$B$7))</f>
        <v>218.16</v>
      </c>
      <c r="I739" s="20" t="n">
        <f aca="false">G739-H739</f>
        <v>0</v>
      </c>
      <c r="J739" s="21" t="n">
        <f aca="false">H739*1000/Parametres!$B$9</f>
        <v>3699.50822452094</v>
      </c>
    </row>
    <row r="740" customFormat="false" ht="15" hidden="false" customHeight="false" outlineLevel="0" collapsed="false">
      <c r="A740" s="0" t="n">
        <v>736</v>
      </c>
      <c r="B740" s="0" t="n">
        <v>1</v>
      </c>
      <c r="C740" s="19" t="n">
        <v>0.4421</v>
      </c>
      <c r="D740" s="19" t="n">
        <v>0.027</v>
      </c>
      <c r="E740" s="20" t="n">
        <f aca="false">Parametres!$B$5*C740</f>
        <v>132.63</v>
      </c>
      <c r="F740" s="20" t="n">
        <f aca="false">Parametres!$B$6*D740</f>
        <v>5.4</v>
      </c>
      <c r="G740" s="20" t="n">
        <f aca="false">E740+F740</f>
        <v>138.03</v>
      </c>
      <c r="H740" s="20" t="n">
        <f aca="false">IF(G740&lt;Parametres!$B$8*Parametres!$B$7,0,MIN(G740,Parametres!$B$7))</f>
        <v>138.03</v>
      </c>
      <c r="I740" s="20" t="n">
        <f aca="false">G740-H740</f>
        <v>0</v>
      </c>
      <c r="J740" s="21" t="n">
        <f aca="false">H740*1000/Parametres!$B$9</f>
        <v>2340.68170256062</v>
      </c>
    </row>
    <row r="741" customFormat="false" ht="15" hidden="false" customHeight="false" outlineLevel="0" collapsed="false">
      <c r="A741" s="0" t="n">
        <v>737</v>
      </c>
      <c r="B741" s="0" t="n">
        <v>1</v>
      </c>
      <c r="C741" s="19" t="n">
        <v>0.1936</v>
      </c>
      <c r="D741" s="19" t="n">
        <v>0.0582</v>
      </c>
      <c r="E741" s="20" t="n">
        <f aca="false">Parametres!$B$5*C741</f>
        <v>58.08</v>
      </c>
      <c r="F741" s="20" t="n">
        <f aca="false">Parametres!$B$6*D741</f>
        <v>11.64</v>
      </c>
      <c r="G741" s="20" t="n">
        <f aca="false">E741+F741</f>
        <v>69.72</v>
      </c>
      <c r="H741" s="20" t="n">
        <f aca="false">IF(G741&lt;Parametres!$B$8*Parametres!$B$7,0,MIN(G741,Parametres!$B$7))</f>
        <v>69.72</v>
      </c>
      <c r="I741" s="20" t="n">
        <f aca="false">G741-H741</f>
        <v>0</v>
      </c>
      <c r="J741" s="21" t="n">
        <f aca="false">H741*1000/Parametres!$B$9</f>
        <v>1182.29608275394</v>
      </c>
    </row>
    <row r="742" customFormat="false" ht="15" hidden="false" customHeight="false" outlineLevel="0" collapsed="false">
      <c r="A742" s="0" t="n">
        <v>738</v>
      </c>
      <c r="B742" s="0" t="n">
        <v>1</v>
      </c>
      <c r="C742" s="19" t="n">
        <v>0</v>
      </c>
      <c r="D742" s="19" t="n">
        <v>0.0486</v>
      </c>
      <c r="E742" s="20" t="n">
        <f aca="false">Parametres!$B$5*C742</f>
        <v>0</v>
      </c>
      <c r="F742" s="20" t="n">
        <f aca="false">Parametres!$B$6*D742</f>
        <v>9.72</v>
      </c>
      <c r="G742" s="20" t="n">
        <f aca="false">E742+F742</f>
        <v>9.72</v>
      </c>
      <c r="H742" s="20" t="n">
        <f aca="false">IF(G742&lt;Parametres!$B$8*Parametres!$B$7,0,MIN(G742,Parametres!$B$7))</f>
        <v>0</v>
      </c>
      <c r="I742" s="20" t="n">
        <f aca="false">G742-H742</f>
        <v>9.72</v>
      </c>
      <c r="J742" s="21" t="n">
        <f aca="false">H742*1000/Parametres!$B$9</f>
        <v>0</v>
      </c>
    </row>
    <row r="743" customFormat="false" ht="15" hidden="false" customHeight="false" outlineLevel="0" collapsed="false">
      <c r="A743" s="0" t="n">
        <v>739</v>
      </c>
      <c r="B743" s="0" t="n">
        <v>1</v>
      </c>
      <c r="C743" s="19" t="n">
        <v>0</v>
      </c>
      <c r="D743" s="19" t="n">
        <v>0.0246</v>
      </c>
      <c r="E743" s="20" t="n">
        <f aca="false">Parametres!$B$5*C743</f>
        <v>0</v>
      </c>
      <c r="F743" s="20" t="n">
        <f aca="false">Parametres!$B$6*D743</f>
        <v>4.92</v>
      </c>
      <c r="G743" s="20" t="n">
        <f aca="false">E743+F743</f>
        <v>4.92</v>
      </c>
      <c r="H743" s="20" t="n">
        <f aca="false">IF(G743&lt;Parametres!$B$8*Parametres!$B$7,0,MIN(G743,Parametres!$B$7))</f>
        <v>0</v>
      </c>
      <c r="I743" s="20" t="n">
        <f aca="false">G743-H743</f>
        <v>4.92</v>
      </c>
      <c r="J743" s="21" t="n">
        <f aca="false">H743*1000/Parametres!$B$9</f>
        <v>0</v>
      </c>
    </row>
    <row r="744" customFormat="false" ht="15" hidden="false" customHeight="false" outlineLevel="0" collapsed="false">
      <c r="A744" s="0" t="n">
        <v>740</v>
      </c>
      <c r="B744" s="0" t="n">
        <v>1</v>
      </c>
      <c r="C744" s="19" t="n">
        <v>0</v>
      </c>
      <c r="D744" s="19" t="n">
        <v>0.0287</v>
      </c>
      <c r="E744" s="20" t="n">
        <f aca="false">Parametres!$B$5*C744</f>
        <v>0</v>
      </c>
      <c r="F744" s="20" t="n">
        <f aca="false">Parametres!$B$6*D744</f>
        <v>5.74</v>
      </c>
      <c r="G744" s="20" t="n">
        <f aca="false">E744+F744</f>
        <v>5.74</v>
      </c>
      <c r="H744" s="20" t="n">
        <f aca="false">IF(G744&lt;Parametres!$B$8*Parametres!$B$7,0,MIN(G744,Parametres!$B$7))</f>
        <v>0</v>
      </c>
      <c r="I744" s="20" t="n">
        <f aca="false">G744-H744</f>
        <v>5.74</v>
      </c>
      <c r="J744" s="21" t="n">
        <f aca="false">H744*1000/Parametres!$B$9</f>
        <v>0</v>
      </c>
    </row>
    <row r="745" customFormat="false" ht="15" hidden="false" customHeight="false" outlineLevel="0" collapsed="false">
      <c r="A745" s="0" t="n">
        <v>741</v>
      </c>
      <c r="B745" s="0" t="n">
        <v>1</v>
      </c>
      <c r="C745" s="19" t="n">
        <v>0</v>
      </c>
      <c r="D745" s="19" t="n">
        <v>0.0155</v>
      </c>
      <c r="E745" s="20" t="n">
        <f aca="false">Parametres!$B$5*C745</f>
        <v>0</v>
      </c>
      <c r="F745" s="20" t="n">
        <f aca="false">Parametres!$B$6*D745</f>
        <v>3.1</v>
      </c>
      <c r="G745" s="20" t="n">
        <f aca="false">E745+F745</f>
        <v>3.1</v>
      </c>
      <c r="H745" s="20" t="n">
        <f aca="false">IF(G745&lt;Parametres!$B$8*Parametres!$B$7,0,MIN(G745,Parametres!$B$7))</f>
        <v>0</v>
      </c>
      <c r="I745" s="20" t="n">
        <f aca="false">G745-H745</f>
        <v>3.1</v>
      </c>
      <c r="J745" s="21" t="n">
        <f aca="false">H745*1000/Parametres!$B$9</f>
        <v>0</v>
      </c>
    </row>
    <row r="746" customFormat="false" ht="15" hidden="false" customHeight="false" outlineLevel="0" collapsed="false">
      <c r="A746" s="0" t="n">
        <v>742</v>
      </c>
      <c r="B746" s="0" t="n">
        <v>1</v>
      </c>
      <c r="C746" s="19" t="n">
        <v>0</v>
      </c>
      <c r="D746" s="19" t="n">
        <v>0.001</v>
      </c>
      <c r="E746" s="20" t="n">
        <f aca="false">Parametres!$B$5*C746</f>
        <v>0</v>
      </c>
      <c r="F746" s="20" t="n">
        <f aca="false">Parametres!$B$6*D746</f>
        <v>0.2</v>
      </c>
      <c r="G746" s="20" t="n">
        <f aca="false">E746+F746</f>
        <v>0.2</v>
      </c>
      <c r="H746" s="20" t="n">
        <f aca="false">IF(G746&lt;Parametres!$B$8*Parametres!$B$7,0,MIN(G746,Parametres!$B$7))</f>
        <v>0</v>
      </c>
      <c r="I746" s="20" t="n">
        <f aca="false">G746-H746</f>
        <v>0.2</v>
      </c>
      <c r="J746" s="21" t="n">
        <f aca="false">H746*1000/Parametres!$B$9</f>
        <v>0</v>
      </c>
    </row>
    <row r="747" customFormat="false" ht="15" hidden="false" customHeight="false" outlineLevel="0" collapsed="false">
      <c r="A747" s="0" t="n">
        <v>743</v>
      </c>
      <c r="B747" s="0" t="n">
        <v>1</v>
      </c>
      <c r="C747" s="19" t="n">
        <v>0</v>
      </c>
      <c r="D747" s="19" t="n">
        <v>0.0031</v>
      </c>
      <c r="E747" s="20" t="n">
        <f aca="false">Parametres!$B$5*C747</f>
        <v>0</v>
      </c>
      <c r="F747" s="20" t="n">
        <f aca="false">Parametres!$B$6*D747</f>
        <v>0.62</v>
      </c>
      <c r="G747" s="20" t="n">
        <f aca="false">E747+F747</f>
        <v>0.62</v>
      </c>
      <c r="H747" s="20" t="n">
        <f aca="false">IF(G747&lt;Parametres!$B$8*Parametres!$B$7,0,MIN(G747,Parametres!$B$7))</f>
        <v>0</v>
      </c>
      <c r="I747" s="20" t="n">
        <f aca="false">G747-H747</f>
        <v>0.62</v>
      </c>
      <c r="J747" s="21" t="n">
        <f aca="false">H747*1000/Parametres!$B$9</f>
        <v>0</v>
      </c>
    </row>
    <row r="748" customFormat="false" ht="15" hidden="false" customHeight="false" outlineLevel="0" collapsed="false">
      <c r="A748" s="0" t="n">
        <v>744</v>
      </c>
      <c r="B748" s="0" t="n">
        <v>1</v>
      </c>
      <c r="C748" s="19" t="n">
        <v>0</v>
      </c>
      <c r="D748" s="19" t="n">
        <v>0.0001</v>
      </c>
      <c r="E748" s="20" t="n">
        <f aca="false">Parametres!$B$5*C748</f>
        <v>0</v>
      </c>
      <c r="F748" s="20" t="n">
        <f aca="false">Parametres!$B$6*D748</f>
        <v>0.02</v>
      </c>
      <c r="G748" s="20" t="n">
        <f aca="false">E748+F748</f>
        <v>0.02</v>
      </c>
      <c r="H748" s="20" t="n">
        <f aca="false">IF(G748&lt;Parametres!$B$8*Parametres!$B$7,0,MIN(G748,Parametres!$B$7))</f>
        <v>0</v>
      </c>
      <c r="I748" s="20" t="n">
        <f aca="false">G748-H748</f>
        <v>0.02</v>
      </c>
      <c r="J748" s="21" t="n">
        <f aca="false">H748*1000/Parametres!$B$9</f>
        <v>0</v>
      </c>
    </row>
    <row r="749" customFormat="false" ht="15" hidden="false" customHeight="false" outlineLevel="0" collapsed="false">
      <c r="A749" s="0" t="n">
        <v>745</v>
      </c>
      <c r="B749" s="0" t="n">
        <v>2</v>
      </c>
      <c r="C749" s="19" t="n">
        <v>0</v>
      </c>
      <c r="D749" s="19" t="n">
        <v>0</v>
      </c>
      <c r="E749" s="20" t="n">
        <f aca="false">Parametres!$B$5*C749</f>
        <v>0</v>
      </c>
      <c r="F749" s="20" t="n">
        <f aca="false">Parametres!$B$6*D749</f>
        <v>0</v>
      </c>
      <c r="G749" s="20" t="n">
        <f aca="false">E749+F749</f>
        <v>0</v>
      </c>
      <c r="H749" s="20" t="n">
        <f aca="false">IF(G749&lt;Parametres!$B$8*Parametres!$B$7,0,MIN(G749,Parametres!$B$7))</f>
        <v>0</v>
      </c>
      <c r="I749" s="20" t="n">
        <f aca="false">G749-H749</f>
        <v>0</v>
      </c>
      <c r="J749" s="21" t="n">
        <f aca="false">H749*1000/Parametres!$B$9</f>
        <v>0</v>
      </c>
    </row>
    <row r="750" customFormat="false" ht="15" hidden="false" customHeight="false" outlineLevel="0" collapsed="false">
      <c r="A750" s="0" t="n">
        <v>746</v>
      </c>
      <c r="B750" s="0" t="n">
        <v>2</v>
      </c>
      <c r="C750" s="19" t="n">
        <v>0</v>
      </c>
      <c r="D750" s="19" t="n">
        <v>0</v>
      </c>
      <c r="E750" s="20" t="n">
        <f aca="false">Parametres!$B$5*C750</f>
        <v>0</v>
      </c>
      <c r="F750" s="20" t="n">
        <f aca="false">Parametres!$B$6*D750</f>
        <v>0</v>
      </c>
      <c r="G750" s="20" t="n">
        <f aca="false">E750+F750</f>
        <v>0</v>
      </c>
      <c r="H750" s="20" t="n">
        <f aca="false">IF(G750&lt;Parametres!$B$8*Parametres!$B$7,0,MIN(G750,Parametres!$B$7))</f>
        <v>0</v>
      </c>
      <c r="I750" s="20" t="n">
        <f aca="false">G750-H750</f>
        <v>0</v>
      </c>
      <c r="J750" s="21" t="n">
        <f aca="false">H750*1000/Parametres!$B$9</f>
        <v>0</v>
      </c>
    </row>
    <row r="751" customFormat="false" ht="15" hidden="false" customHeight="false" outlineLevel="0" collapsed="false">
      <c r="A751" s="0" t="n">
        <v>747</v>
      </c>
      <c r="B751" s="0" t="n">
        <v>2</v>
      </c>
      <c r="C751" s="19" t="n">
        <v>0</v>
      </c>
      <c r="D751" s="19" t="n">
        <v>0.0008</v>
      </c>
      <c r="E751" s="20" t="n">
        <f aca="false">Parametres!$B$5*C751</f>
        <v>0</v>
      </c>
      <c r="F751" s="20" t="n">
        <f aca="false">Parametres!$B$6*D751</f>
        <v>0.16</v>
      </c>
      <c r="G751" s="20" t="n">
        <f aca="false">E751+F751</f>
        <v>0.16</v>
      </c>
      <c r="H751" s="20" t="n">
        <f aca="false">IF(G751&lt;Parametres!$B$8*Parametres!$B$7,0,MIN(G751,Parametres!$B$7))</f>
        <v>0</v>
      </c>
      <c r="I751" s="20" t="n">
        <f aca="false">G751-H751</f>
        <v>0.16</v>
      </c>
      <c r="J751" s="21" t="n">
        <f aca="false">H751*1000/Parametres!$B$9</f>
        <v>0</v>
      </c>
    </row>
    <row r="752" customFormat="false" ht="15" hidden="false" customHeight="false" outlineLevel="0" collapsed="false">
      <c r="A752" s="0" t="n">
        <v>748</v>
      </c>
      <c r="B752" s="0" t="n">
        <v>2</v>
      </c>
      <c r="C752" s="19" t="n">
        <v>0</v>
      </c>
      <c r="D752" s="19" t="n">
        <v>0.004</v>
      </c>
      <c r="E752" s="20" t="n">
        <f aca="false">Parametres!$B$5*C752</f>
        <v>0</v>
      </c>
      <c r="F752" s="20" t="n">
        <f aca="false">Parametres!$B$6*D752</f>
        <v>0.8</v>
      </c>
      <c r="G752" s="20" t="n">
        <f aca="false">E752+F752</f>
        <v>0.8</v>
      </c>
      <c r="H752" s="20" t="n">
        <f aca="false">IF(G752&lt;Parametres!$B$8*Parametres!$B$7,0,MIN(G752,Parametres!$B$7))</f>
        <v>0</v>
      </c>
      <c r="I752" s="20" t="n">
        <f aca="false">G752-H752</f>
        <v>0.8</v>
      </c>
      <c r="J752" s="21" t="n">
        <f aca="false">H752*1000/Parametres!$B$9</f>
        <v>0</v>
      </c>
    </row>
    <row r="753" customFormat="false" ht="15" hidden="false" customHeight="false" outlineLevel="0" collapsed="false">
      <c r="A753" s="0" t="n">
        <v>749</v>
      </c>
      <c r="B753" s="0" t="n">
        <v>2</v>
      </c>
      <c r="C753" s="19" t="n">
        <v>0</v>
      </c>
      <c r="D753" s="19" t="n">
        <v>0.0049</v>
      </c>
      <c r="E753" s="20" t="n">
        <f aca="false">Parametres!$B$5*C753</f>
        <v>0</v>
      </c>
      <c r="F753" s="20" t="n">
        <f aca="false">Parametres!$B$6*D753</f>
        <v>0.98</v>
      </c>
      <c r="G753" s="20" t="n">
        <f aca="false">E753+F753</f>
        <v>0.98</v>
      </c>
      <c r="H753" s="20" t="n">
        <f aca="false">IF(G753&lt;Parametres!$B$8*Parametres!$B$7,0,MIN(G753,Parametres!$B$7))</f>
        <v>0</v>
      </c>
      <c r="I753" s="20" t="n">
        <f aca="false">G753-H753</f>
        <v>0.98</v>
      </c>
      <c r="J753" s="21" t="n">
        <f aca="false">H753*1000/Parametres!$B$9</f>
        <v>0</v>
      </c>
    </row>
    <row r="754" customFormat="false" ht="15" hidden="false" customHeight="false" outlineLevel="0" collapsed="false">
      <c r="A754" s="0" t="n">
        <v>750</v>
      </c>
      <c r="B754" s="0" t="n">
        <v>2</v>
      </c>
      <c r="C754" s="19" t="n">
        <v>0</v>
      </c>
      <c r="D754" s="19" t="n">
        <v>0.0023</v>
      </c>
      <c r="E754" s="20" t="n">
        <f aca="false">Parametres!$B$5*C754</f>
        <v>0</v>
      </c>
      <c r="F754" s="20" t="n">
        <f aca="false">Parametres!$B$6*D754</f>
        <v>0.46</v>
      </c>
      <c r="G754" s="20" t="n">
        <f aca="false">E754+F754</f>
        <v>0.46</v>
      </c>
      <c r="H754" s="20" t="n">
        <f aca="false">IF(G754&lt;Parametres!$B$8*Parametres!$B$7,0,MIN(G754,Parametres!$B$7))</f>
        <v>0</v>
      </c>
      <c r="I754" s="20" t="n">
        <f aca="false">G754-H754</f>
        <v>0.46</v>
      </c>
      <c r="J754" s="21" t="n">
        <f aca="false">H754*1000/Parametres!$B$9</f>
        <v>0</v>
      </c>
    </row>
    <row r="755" customFormat="false" ht="15" hidden="false" customHeight="false" outlineLevel="0" collapsed="false">
      <c r="A755" s="0" t="n">
        <v>751</v>
      </c>
      <c r="B755" s="0" t="n">
        <v>2</v>
      </c>
      <c r="C755" s="19" t="n">
        <v>0</v>
      </c>
      <c r="D755" s="19" t="n">
        <v>0.0017</v>
      </c>
      <c r="E755" s="20" t="n">
        <f aca="false">Parametres!$B$5*C755</f>
        <v>0</v>
      </c>
      <c r="F755" s="20" t="n">
        <f aca="false">Parametres!$B$6*D755</f>
        <v>0.34</v>
      </c>
      <c r="G755" s="20" t="n">
        <f aca="false">E755+F755</f>
        <v>0.34</v>
      </c>
      <c r="H755" s="20" t="n">
        <f aca="false">IF(G755&lt;Parametres!$B$8*Parametres!$B$7,0,MIN(G755,Parametres!$B$7))</f>
        <v>0</v>
      </c>
      <c r="I755" s="20" t="n">
        <f aca="false">G755-H755</f>
        <v>0.34</v>
      </c>
      <c r="J755" s="21" t="n">
        <f aca="false">H755*1000/Parametres!$B$9</f>
        <v>0</v>
      </c>
    </row>
    <row r="756" customFormat="false" ht="15" hidden="false" customHeight="false" outlineLevel="0" collapsed="false">
      <c r="A756" s="0" t="n">
        <v>752</v>
      </c>
      <c r="B756" s="0" t="n">
        <v>2</v>
      </c>
      <c r="C756" s="19" t="n">
        <v>0.1493</v>
      </c>
      <c r="D756" s="19" t="n">
        <v>0.0075</v>
      </c>
      <c r="E756" s="20" t="n">
        <f aca="false">Parametres!$B$5*C756</f>
        <v>44.79</v>
      </c>
      <c r="F756" s="20" t="n">
        <f aca="false">Parametres!$B$6*D756</f>
        <v>1.5</v>
      </c>
      <c r="G756" s="20" t="n">
        <f aca="false">E756+F756</f>
        <v>46.29</v>
      </c>
      <c r="H756" s="20" t="n">
        <f aca="false">IF(G756&lt;Parametres!$B$8*Parametres!$B$7,0,MIN(G756,Parametres!$B$7))</f>
        <v>46.29</v>
      </c>
      <c r="I756" s="20" t="n">
        <f aca="false">G756-H756</f>
        <v>0</v>
      </c>
      <c r="J756" s="21" t="n">
        <f aca="false">H756*1000/Parametres!$B$9</f>
        <v>784.975411226047</v>
      </c>
    </row>
    <row r="757" customFormat="false" ht="15" hidden="false" customHeight="false" outlineLevel="0" collapsed="false">
      <c r="A757" s="0" t="n">
        <v>753</v>
      </c>
      <c r="B757" s="0" t="n">
        <v>2</v>
      </c>
      <c r="C757" s="19" t="n">
        <v>0.3391</v>
      </c>
      <c r="D757" s="19" t="n">
        <v>0.0357</v>
      </c>
      <c r="E757" s="20" t="n">
        <f aca="false">Parametres!$B$5*C757</f>
        <v>101.73</v>
      </c>
      <c r="F757" s="20" t="n">
        <f aca="false">Parametres!$B$6*D757</f>
        <v>7.14</v>
      </c>
      <c r="G757" s="20" t="n">
        <f aca="false">E757+F757</f>
        <v>108.87</v>
      </c>
      <c r="H757" s="20" t="n">
        <f aca="false">IF(G757&lt;Parametres!$B$8*Parametres!$B$7,0,MIN(G757,Parametres!$B$7))</f>
        <v>108.87</v>
      </c>
      <c r="I757" s="20" t="n">
        <f aca="false">G757-H757</f>
        <v>0</v>
      </c>
      <c r="J757" s="21" t="n">
        <f aca="false">H757*1000/Parametres!$B$9</f>
        <v>1846.19297948109</v>
      </c>
    </row>
    <row r="758" customFormat="false" ht="15" hidden="false" customHeight="false" outlineLevel="0" collapsed="false">
      <c r="A758" s="0" t="n">
        <v>754</v>
      </c>
      <c r="B758" s="0" t="n">
        <v>2</v>
      </c>
      <c r="C758" s="19" t="n">
        <v>0.5255</v>
      </c>
      <c r="D758" s="19" t="n">
        <v>0.0591</v>
      </c>
      <c r="E758" s="20" t="n">
        <f aca="false">Parametres!$B$5*C758</f>
        <v>157.65</v>
      </c>
      <c r="F758" s="20" t="n">
        <f aca="false">Parametres!$B$6*D758</f>
        <v>11.82</v>
      </c>
      <c r="G758" s="20" t="n">
        <f aca="false">E758+F758</f>
        <v>169.47</v>
      </c>
      <c r="H758" s="20" t="n">
        <f aca="false">IF(G758&lt;Parametres!$B$8*Parametres!$B$7,0,MIN(G758,Parametres!$B$7))</f>
        <v>169.47</v>
      </c>
      <c r="I758" s="20" t="n">
        <f aca="false">G758-H758</f>
        <v>0</v>
      </c>
      <c r="J758" s="21" t="n">
        <f aca="false">H758*1000/Parametres!$B$9</f>
        <v>2873.83415295913</v>
      </c>
    </row>
    <row r="759" customFormat="false" ht="15" hidden="false" customHeight="false" outlineLevel="0" collapsed="false">
      <c r="A759" s="0" t="n">
        <v>755</v>
      </c>
      <c r="B759" s="0" t="n">
        <v>2</v>
      </c>
      <c r="C759" s="19" t="n">
        <v>0.6161</v>
      </c>
      <c r="D759" s="19" t="n">
        <v>0.0497</v>
      </c>
      <c r="E759" s="20" t="n">
        <f aca="false">Parametres!$B$5*C759</f>
        <v>184.83</v>
      </c>
      <c r="F759" s="20" t="n">
        <f aca="false">Parametres!$B$6*D759</f>
        <v>9.94</v>
      </c>
      <c r="G759" s="20" t="n">
        <f aca="false">E759+F759</f>
        <v>194.77</v>
      </c>
      <c r="H759" s="20" t="n">
        <f aca="false">IF(G759&lt;Parametres!$B$8*Parametres!$B$7,0,MIN(G759,Parametres!$B$7))</f>
        <v>194.77</v>
      </c>
      <c r="I759" s="20" t="n">
        <f aca="false">G759-H759</f>
        <v>0</v>
      </c>
      <c r="J759" s="21" t="n">
        <f aca="false">H759*1000/Parametres!$B$9</f>
        <v>3302.86586399864</v>
      </c>
    </row>
    <row r="760" customFormat="false" ht="15" hidden="false" customHeight="false" outlineLevel="0" collapsed="false">
      <c r="A760" s="0" t="n">
        <v>756</v>
      </c>
      <c r="B760" s="0" t="n">
        <v>2</v>
      </c>
      <c r="C760" s="19" t="n">
        <v>0.706</v>
      </c>
      <c r="D760" s="19" t="n">
        <v>0.1029</v>
      </c>
      <c r="E760" s="20" t="n">
        <f aca="false">Parametres!$B$5*C760</f>
        <v>211.8</v>
      </c>
      <c r="F760" s="20" t="n">
        <f aca="false">Parametres!$B$6*D760</f>
        <v>20.58</v>
      </c>
      <c r="G760" s="20" t="n">
        <f aca="false">E760+F760</f>
        <v>232.38</v>
      </c>
      <c r="H760" s="20" t="n">
        <f aca="false">IF(G760&lt;Parametres!$B$8*Parametres!$B$7,0,MIN(G760,Parametres!$B$7))</f>
        <v>232.38</v>
      </c>
      <c r="I760" s="20" t="n">
        <f aca="false">G760-H760</f>
        <v>0</v>
      </c>
      <c r="J760" s="21" t="n">
        <f aca="false">H760*1000/Parametres!$B$9</f>
        <v>3940.64778701034</v>
      </c>
    </row>
    <row r="761" customFormat="false" ht="15" hidden="false" customHeight="false" outlineLevel="0" collapsed="false">
      <c r="A761" s="0" t="n">
        <v>757</v>
      </c>
      <c r="B761" s="0" t="n">
        <v>2</v>
      </c>
      <c r="C761" s="19" t="n">
        <v>0.713</v>
      </c>
      <c r="D761" s="19" t="n">
        <v>0.0992</v>
      </c>
      <c r="E761" s="20" t="n">
        <f aca="false">Parametres!$B$5*C761</f>
        <v>213.9</v>
      </c>
      <c r="F761" s="20" t="n">
        <f aca="false">Parametres!$B$6*D761</f>
        <v>19.84</v>
      </c>
      <c r="G761" s="20" t="n">
        <f aca="false">E761+F761</f>
        <v>233.74</v>
      </c>
      <c r="H761" s="20" t="n">
        <f aca="false">IF(G761&lt;Parametres!$B$8*Parametres!$B$7,0,MIN(G761,Parametres!$B$7))</f>
        <v>233.74</v>
      </c>
      <c r="I761" s="20" t="n">
        <f aca="false">G761-H761</f>
        <v>0</v>
      </c>
      <c r="J761" s="21" t="n">
        <f aca="false">H761*1000/Parametres!$B$9</f>
        <v>3963.71036120061</v>
      </c>
    </row>
    <row r="762" customFormat="false" ht="15" hidden="false" customHeight="false" outlineLevel="0" collapsed="false">
      <c r="A762" s="0" t="n">
        <v>758</v>
      </c>
      <c r="B762" s="0" t="n">
        <v>2</v>
      </c>
      <c r="C762" s="19" t="n">
        <v>0.637</v>
      </c>
      <c r="D762" s="19" t="n">
        <v>0.0916</v>
      </c>
      <c r="E762" s="20" t="n">
        <f aca="false">Parametres!$B$5*C762</f>
        <v>191.1</v>
      </c>
      <c r="F762" s="20" t="n">
        <f aca="false">Parametres!$B$6*D762</f>
        <v>18.32</v>
      </c>
      <c r="G762" s="20" t="n">
        <f aca="false">E762+F762</f>
        <v>209.42</v>
      </c>
      <c r="H762" s="20" t="n">
        <f aca="false">IF(G762&lt;Parametres!$B$8*Parametres!$B$7,0,MIN(G762,Parametres!$B$7))</f>
        <v>209.42</v>
      </c>
      <c r="I762" s="20" t="n">
        <f aca="false">G762-H762</f>
        <v>0</v>
      </c>
      <c r="J762" s="21" t="n">
        <f aca="false">H762*1000/Parametres!$B$9</f>
        <v>3551.2972697982</v>
      </c>
    </row>
    <row r="763" customFormat="false" ht="15" hidden="false" customHeight="false" outlineLevel="0" collapsed="false">
      <c r="A763" s="0" t="n">
        <v>759</v>
      </c>
      <c r="B763" s="0" t="n">
        <v>2</v>
      </c>
      <c r="C763" s="19" t="n">
        <v>0.5056</v>
      </c>
      <c r="D763" s="19" t="n">
        <v>0.0878</v>
      </c>
      <c r="E763" s="20" t="n">
        <f aca="false">Parametres!$B$5*C763</f>
        <v>151.68</v>
      </c>
      <c r="F763" s="20" t="n">
        <f aca="false">Parametres!$B$6*D763</f>
        <v>17.56</v>
      </c>
      <c r="G763" s="20" t="n">
        <f aca="false">E763+F763</f>
        <v>169.24</v>
      </c>
      <c r="H763" s="20" t="n">
        <f aca="false">IF(G763&lt;Parametres!$B$8*Parametres!$B$7,0,MIN(G763,Parametres!$B$7))</f>
        <v>169.24</v>
      </c>
      <c r="I763" s="20" t="n">
        <f aca="false">G763-H763</f>
        <v>0</v>
      </c>
      <c r="J763" s="21" t="n">
        <f aca="false">H763*1000/Parametres!$B$9</f>
        <v>2869.93386467695</v>
      </c>
    </row>
    <row r="764" customFormat="false" ht="15" hidden="false" customHeight="false" outlineLevel="0" collapsed="false">
      <c r="A764" s="0" t="n">
        <v>760</v>
      </c>
      <c r="B764" s="0" t="n">
        <v>2</v>
      </c>
      <c r="C764" s="19" t="n">
        <v>0.3284</v>
      </c>
      <c r="D764" s="19" t="n">
        <v>0.1271</v>
      </c>
      <c r="E764" s="20" t="n">
        <f aca="false">Parametres!$B$5*C764</f>
        <v>98.52</v>
      </c>
      <c r="F764" s="20" t="n">
        <f aca="false">Parametres!$B$6*D764</f>
        <v>25.42</v>
      </c>
      <c r="G764" s="20" t="n">
        <f aca="false">E764+F764</f>
        <v>123.94</v>
      </c>
      <c r="H764" s="20" t="n">
        <f aca="false">IF(G764&lt;Parametres!$B$8*Parametres!$B$7,0,MIN(G764,Parametres!$B$7))</f>
        <v>123.94</v>
      </c>
      <c r="I764" s="20" t="n">
        <f aca="false">G764-H764</f>
        <v>0</v>
      </c>
      <c r="J764" s="21" t="n">
        <f aca="false">H764*1000/Parametres!$B$9</f>
        <v>2101.74665083941</v>
      </c>
    </row>
    <row r="765" customFormat="false" ht="15" hidden="false" customHeight="false" outlineLevel="0" collapsed="false">
      <c r="A765" s="0" t="n">
        <v>761</v>
      </c>
      <c r="B765" s="0" t="n">
        <v>2</v>
      </c>
      <c r="C765" s="19" t="n">
        <v>0.152</v>
      </c>
      <c r="D765" s="19" t="n">
        <v>0.1488</v>
      </c>
      <c r="E765" s="20" t="n">
        <f aca="false">Parametres!$B$5*C765</f>
        <v>45.6</v>
      </c>
      <c r="F765" s="20" t="n">
        <f aca="false">Parametres!$B$6*D765</f>
        <v>29.76</v>
      </c>
      <c r="G765" s="20" t="n">
        <f aca="false">E765+F765</f>
        <v>75.36</v>
      </c>
      <c r="H765" s="20" t="n">
        <f aca="false">IF(G765&lt;Parametres!$B$8*Parametres!$B$7,0,MIN(G765,Parametres!$B$7))</f>
        <v>75.36</v>
      </c>
      <c r="I765" s="20" t="n">
        <f aca="false">G765-H765</f>
        <v>0</v>
      </c>
      <c r="J765" s="21" t="n">
        <f aca="false">H765*1000/Parametres!$B$9</f>
        <v>1277.93793454299</v>
      </c>
    </row>
    <row r="766" customFormat="false" ht="15" hidden="false" customHeight="false" outlineLevel="0" collapsed="false">
      <c r="A766" s="0" t="n">
        <v>762</v>
      </c>
      <c r="B766" s="0" t="n">
        <v>2</v>
      </c>
      <c r="C766" s="19" t="n">
        <v>0</v>
      </c>
      <c r="D766" s="19" t="n">
        <v>0.2282</v>
      </c>
      <c r="E766" s="20" t="n">
        <f aca="false">Parametres!$B$5*C766</f>
        <v>0</v>
      </c>
      <c r="F766" s="20" t="n">
        <f aca="false">Parametres!$B$6*D766</f>
        <v>45.64</v>
      </c>
      <c r="G766" s="20" t="n">
        <f aca="false">E766+F766</f>
        <v>45.64</v>
      </c>
      <c r="H766" s="20" t="n">
        <f aca="false">IF(G766&lt;Parametres!$B$8*Parametres!$B$7,0,MIN(G766,Parametres!$B$7))</f>
        <v>45.64</v>
      </c>
      <c r="I766" s="20" t="n">
        <f aca="false">G766-H766</f>
        <v>0</v>
      </c>
      <c r="J766" s="21" t="n">
        <f aca="false">H766*1000/Parametres!$B$9</f>
        <v>773.952857385111</v>
      </c>
    </row>
    <row r="767" customFormat="false" ht="15" hidden="false" customHeight="false" outlineLevel="0" collapsed="false">
      <c r="A767" s="0" t="n">
        <v>763</v>
      </c>
      <c r="B767" s="0" t="n">
        <v>2</v>
      </c>
      <c r="C767" s="19" t="n">
        <v>0</v>
      </c>
      <c r="D767" s="19" t="n">
        <v>0.3606</v>
      </c>
      <c r="E767" s="20" t="n">
        <f aca="false">Parametres!$B$5*C767</f>
        <v>0</v>
      </c>
      <c r="F767" s="20" t="n">
        <f aca="false">Parametres!$B$6*D767</f>
        <v>72.12</v>
      </c>
      <c r="G767" s="20" t="n">
        <f aca="false">E767+F767</f>
        <v>72.12</v>
      </c>
      <c r="H767" s="20" t="n">
        <f aca="false">IF(G767&lt;Parametres!$B$8*Parametres!$B$7,0,MIN(G767,Parametres!$B$7))</f>
        <v>72.12</v>
      </c>
      <c r="I767" s="20" t="n">
        <f aca="false">G767-H767</f>
        <v>0</v>
      </c>
      <c r="J767" s="21" t="n">
        <f aca="false">H767*1000/Parametres!$B$9</f>
        <v>1222.99474308971</v>
      </c>
    </row>
    <row r="768" customFormat="false" ht="15" hidden="false" customHeight="false" outlineLevel="0" collapsed="false">
      <c r="A768" s="0" t="n">
        <v>764</v>
      </c>
      <c r="B768" s="0" t="n">
        <v>2</v>
      </c>
      <c r="C768" s="19" t="n">
        <v>0</v>
      </c>
      <c r="D768" s="19" t="n">
        <v>0.3989</v>
      </c>
      <c r="E768" s="20" t="n">
        <f aca="false">Parametres!$B$5*C768</f>
        <v>0</v>
      </c>
      <c r="F768" s="20" t="n">
        <f aca="false">Parametres!$B$6*D768</f>
        <v>79.78</v>
      </c>
      <c r="G768" s="20" t="n">
        <f aca="false">E768+F768</f>
        <v>79.78</v>
      </c>
      <c r="H768" s="20" t="n">
        <f aca="false">IF(G768&lt;Parametres!$B$8*Parametres!$B$7,0,MIN(G768,Parametres!$B$7))</f>
        <v>79.78</v>
      </c>
      <c r="I768" s="20" t="n">
        <f aca="false">G768-H768</f>
        <v>0</v>
      </c>
      <c r="J768" s="21" t="n">
        <f aca="false">H768*1000/Parametres!$B$9</f>
        <v>1352.89130066135</v>
      </c>
    </row>
    <row r="769" customFormat="false" ht="15" hidden="false" customHeight="false" outlineLevel="0" collapsed="false">
      <c r="A769" s="0" t="n">
        <v>765</v>
      </c>
      <c r="B769" s="0" t="n">
        <v>2</v>
      </c>
      <c r="C769" s="19" t="n">
        <v>0</v>
      </c>
      <c r="D769" s="19" t="n">
        <v>0.139</v>
      </c>
      <c r="E769" s="20" t="n">
        <f aca="false">Parametres!$B$5*C769</f>
        <v>0</v>
      </c>
      <c r="F769" s="20" t="n">
        <f aca="false">Parametres!$B$6*D769</f>
        <v>27.8</v>
      </c>
      <c r="G769" s="20" t="n">
        <f aca="false">E769+F769</f>
        <v>27.8</v>
      </c>
      <c r="H769" s="20" t="n">
        <f aca="false">IF(G769&lt;Parametres!$B$8*Parametres!$B$7,0,MIN(G769,Parametres!$B$7))</f>
        <v>27.8</v>
      </c>
      <c r="I769" s="20" t="n">
        <f aca="false">G769-H769</f>
        <v>0</v>
      </c>
      <c r="J769" s="21" t="n">
        <f aca="false">H769*1000/Parametres!$B$9</f>
        <v>471.426148889266</v>
      </c>
    </row>
    <row r="770" customFormat="false" ht="15" hidden="false" customHeight="false" outlineLevel="0" collapsed="false">
      <c r="A770" s="0" t="n">
        <v>766</v>
      </c>
      <c r="B770" s="0" t="n">
        <v>2</v>
      </c>
      <c r="C770" s="19" t="n">
        <v>0</v>
      </c>
      <c r="D770" s="19" t="n">
        <v>0.0499</v>
      </c>
      <c r="E770" s="20" t="n">
        <f aca="false">Parametres!$B$5*C770</f>
        <v>0</v>
      </c>
      <c r="F770" s="20" t="n">
        <f aca="false">Parametres!$B$6*D770</f>
        <v>9.98</v>
      </c>
      <c r="G770" s="20" t="n">
        <f aca="false">E770+F770</f>
        <v>9.98</v>
      </c>
      <c r="H770" s="20" t="n">
        <f aca="false">IF(G770&lt;Parametres!$B$8*Parametres!$B$7,0,MIN(G770,Parametres!$B$7))</f>
        <v>0</v>
      </c>
      <c r="I770" s="20" t="n">
        <f aca="false">G770-H770</f>
        <v>9.98</v>
      </c>
      <c r="J770" s="21" t="n">
        <f aca="false">H770*1000/Parametres!$B$9</f>
        <v>0</v>
      </c>
    </row>
    <row r="771" customFormat="false" ht="15" hidden="false" customHeight="false" outlineLevel="0" collapsed="false">
      <c r="A771" s="0" t="n">
        <v>767</v>
      </c>
      <c r="B771" s="0" t="n">
        <v>2</v>
      </c>
      <c r="C771" s="19" t="n">
        <v>0</v>
      </c>
      <c r="D771" s="19" t="n">
        <v>0.0469</v>
      </c>
      <c r="E771" s="20" t="n">
        <f aca="false">Parametres!$B$5*C771</f>
        <v>0</v>
      </c>
      <c r="F771" s="20" t="n">
        <f aca="false">Parametres!$B$6*D771</f>
        <v>9.38</v>
      </c>
      <c r="G771" s="20" t="n">
        <f aca="false">E771+F771</f>
        <v>9.38</v>
      </c>
      <c r="H771" s="20" t="n">
        <f aca="false">IF(G771&lt;Parametres!$B$8*Parametres!$B$7,0,MIN(G771,Parametres!$B$7))</f>
        <v>0</v>
      </c>
      <c r="I771" s="20" t="n">
        <f aca="false">G771-H771</f>
        <v>9.38</v>
      </c>
      <c r="J771" s="21" t="n">
        <f aca="false">H771*1000/Parametres!$B$9</f>
        <v>0</v>
      </c>
    </row>
    <row r="772" customFormat="false" ht="15" hidden="false" customHeight="false" outlineLevel="0" collapsed="false">
      <c r="A772" s="0" t="n">
        <v>768</v>
      </c>
      <c r="B772" s="0" t="n">
        <v>2</v>
      </c>
      <c r="C772" s="19" t="n">
        <v>0</v>
      </c>
      <c r="D772" s="19" t="n">
        <v>0.0382</v>
      </c>
      <c r="E772" s="20" t="n">
        <f aca="false">Parametres!$B$5*C772</f>
        <v>0</v>
      </c>
      <c r="F772" s="20" t="n">
        <f aca="false">Parametres!$B$6*D772</f>
        <v>7.64</v>
      </c>
      <c r="G772" s="20" t="n">
        <f aca="false">E772+F772</f>
        <v>7.64</v>
      </c>
      <c r="H772" s="20" t="n">
        <f aca="false">IF(G772&lt;Parametres!$B$8*Parametres!$B$7,0,MIN(G772,Parametres!$B$7))</f>
        <v>0</v>
      </c>
      <c r="I772" s="20" t="n">
        <f aca="false">G772-H772</f>
        <v>7.64</v>
      </c>
      <c r="J772" s="21" t="n">
        <f aca="false">H772*1000/Parametres!$B$9</f>
        <v>0</v>
      </c>
    </row>
    <row r="773" customFormat="false" ht="15" hidden="false" customHeight="false" outlineLevel="0" collapsed="false">
      <c r="A773" s="0" t="n">
        <v>769</v>
      </c>
      <c r="B773" s="0" t="n">
        <v>2</v>
      </c>
      <c r="C773" s="19" t="n">
        <v>0</v>
      </c>
      <c r="D773" s="19" t="n">
        <v>0.1032</v>
      </c>
      <c r="E773" s="20" t="n">
        <f aca="false">Parametres!$B$5*C773</f>
        <v>0</v>
      </c>
      <c r="F773" s="20" t="n">
        <f aca="false">Parametres!$B$6*D773</f>
        <v>20.64</v>
      </c>
      <c r="G773" s="20" t="n">
        <f aca="false">E773+F773</f>
        <v>20.64</v>
      </c>
      <c r="H773" s="20" t="n">
        <f aca="false">IF(G773&lt;Parametres!$B$8*Parametres!$B$7,0,MIN(G773,Parametres!$B$7))</f>
        <v>0</v>
      </c>
      <c r="I773" s="20" t="n">
        <f aca="false">G773-H773</f>
        <v>20.64</v>
      </c>
      <c r="J773" s="21" t="n">
        <f aca="false">H773*1000/Parametres!$B$9</f>
        <v>0</v>
      </c>
    </row>
    <row r="774" customFormat="false" ht="15" hidden="false" customHeight="false" outlineLevel="0" collapsed="false">
      <c r="A774" s="0" t="n">
        <v>770</v>
      </c>
      <c r="B774" s="0" t="n">
        <v>2</v>
      </c>
      <c r="C774" s="19" t="n">
        <v>0</v>
      </c>
      <c r="D774" s="19" t="n">
        <v>0.0884</v>
      </c>
      <c r="E774" s="20" t="n">
        <f aca="false">Parametres!$B$5*C774</f>
        <v>0</v>
      </c>
      <c r="F774" s="20" t="n">
        <f aca="false">Parametres!$B$6*D774</f>
        <v>17.68</v>
      </c>
      <c r="G774" s="20" t="n">
        <f aca="false">E774+F774</f>
        <v>17.68</v>
      </c>
      <c r="H774" s="20" t="n">
        <f aca="false">IF(G774&lt;Parametres!$B$8*Parametres!$B$7,0,MIN(G774,Parametres!$B$7))</f>
        <v>0</v>
      </c>
      <c r="I774" s="20" t="n">
        <f aca="false">G774-H774</f>
        <v>17.68</v>
      </c>
      <c r="J774" s="21" t="n">
        <f aca="false">H774*1000/Parametres!$B$9</f>
        <v>0</v>
      </c>
    </row>
    <row r="775" customFormat="false" ht="15" hidden="false" customHeight="false" outlineLevel="0" collapsed="false">
      <c r="A775" s="0" t="n">
        <v>771</v>
      </c>
      <c r="B775" s="0" t="n">
        <v>2</v>
      </c>
      <c r="C775" s="19" t="n">
        <v>0</v>
      </c>
      <c r="D775" s="19" t="n">
        <v>0.0734</v>
      </c>
      <c r="E775" s="20" t="n">
        <f aca="false">Parametres!$B$5*C775</f>
        <v>0</v>
      </c>
      <c r="F775" s="20" t="n">
        <f aca="false">Parametres!$B$6*D775</f>
        <v>14.68</v>
      </c>
      <c r="G775" s="20" t="n">
        <f aca="false">E775+F775</f>
        <v>14.68</v>
      </c>
      <c r="H775" s="20" t="n">
        <f aca="false">IF(G775&lt;Parametres!$B$8*Parametres!$B$7,0,MIN(G775,Parametres!$B$7))</f>
        <v>0</v>
      </c>
      <c r="I775" s="20" t="n">
        <f aca="false">G775-H775</f>
        <v>14.68</v>
      </c>
      <c r="J775" s="21" t="n">
        <f aca="false">H775*1000/Parametres!$B$9</f>
        <v>0</v>
      </c>
    </row>
    <row r="776" customFormat="false" ht="15" hidden="false" customHeight="false" outlineLevel="0" collapsed="false">
      <c r="A776" s="0" t="n">
        <v>772</v>
      </c>
      <c r="B776" s="0" t="n">
        <v>2</v>
      </c>
      <c r="C776" s="19" t="n">
        <v>0</v>
      </c>
      <c r="D776" s="19" t="n">
        <v>0.1058</v>
      </c>
      <c r="E776" s="20" t="n">
        <f aca="false">Parametres!$B$5*C776</f>
        <v>0</v>
      </c>
      <c r="F776" s="20" t="n">
        <f aca="false">Parametres!$B$6*D776</f>
        <v>21.16</v>
      </c>
      <c r="G776" s="20" t="n">
        <f aca="false">E776+F776</f>
        <v>21.16</v>
      </c>
      <c r="H776" s="20" t="n">
        <f aca="false">IF(G776&lt;Parametres!$B$8*Parametres!$B$7,0,MIN(G776,Parametres!$B$7))</f>
        <v>0</v>
      </c>
      <c r="I776" s="20" t="n">
        <f aca="false">G776-H776</f>
        <v>21.16</v>
      </c>
      <c r="J776" s="21" t="n">
        <f aca="false">H776*1000/Parametres!$B$9</f>
        <v>0</v>
      </c>
    </row>
    <row r="777" customFormat="false" ht="15" hidden="false" customHeight="false" outlineLevel="0" collapsed="false">
      <c r="A777" s="0" t="n">
        <v>773</v>
      </c>
      <c r="B777" s="0" t="n">
        <v>2</v>
      </c>
      <c r="C777" s="19" t="n">
        <v>0</v>
      </c>
      <c r="D777" s="19" t="n">
        <v>0.1595</v>
      </c>
      <c r="E777" s="20" t="n">
        <f aca="false">Parametres!$B$5*C777</f>
        <v>0</v>
      </c>
      <c r="F777" s="20" t="n">
        <f aca="false">Parametres!$B$6*D777</f>
        <v>31.9</v>
      </c>
      <c r="G777" s="20" t="n">
        <f aca="false">E777+F777</f>
        <v>31.9</v>
      </c>
      <c r="H777" s="20" t="n">
        <f aca="false">IF(G777&lt;Parametres!$B$8*Parametres!$B$7,0,MIN(G777,Parametres!$B$7))</f>
        <v>31.9</v>
      </c>
      <c r="I777" s="20" t="n">
        <f aca="false">G777-H777</f>
        <v>0</v>
      </c>
      <c r="J777" s="21" t="n">
        <f aca="false">H777*1000/Parametres!$B$9</f>
        <v>540.953026962863</v>
      </c>
    </row>
    <row r="778" customFormat="false" ht="15" hidden="false" customHeight="false" outlineLevel="0" collapsed="false">
      <c r="A778" s="0" t="n">
        <v>774</v>
      </c>
      <c r="B778" s="0" t="n">
        <v>2</v>
      </c>
      <c r="C778" s="19" t="n">
        <v>0</v>
      </c>
      <c r="D778" s="19" t="n">
        <v>0.147</v>
      </c>
      <c r="E778" s="20" t="n">
        <f aca="false">Parametres!$B$5*C778</f>
        <v>0</v>
      </c>
      <c r="F778" s="20" t="n">
        <f aca="false">Parametres!$B$6*D778</f>
        <v>29.4</v>
      </c>
      <c r="G778" s="20" t="n">
        <f aca="false">E778+F778</f>
        <v>29.4</v>
      </c>
      <c r="H778" s="20" t="n">
        <f aca="false">IF(G778&lt;Parametres!$B$8*Parametres!$B$7,0,MIN(G778,Parametres!$B$7))</f>
        <v>29.4</v>
      </c>
      <c r="I778" s="20" t="n">
        <f aca="false">G778-H778</f>
        <v>0</v>
      </c>
      <c r="J778" s="21" t="n">
        <f aca="false">H778*1000/Parametres!$B$9</f>
        <v>498.558589113108</v>
      </c>
    </row>
    <row r="779" customFormat="false" ht="15" hidden="false" customHeight="false" outlineLevel="0" collapsed="false">
      <c r="A779" s="0" t="n">
        <v>775</v>
      </c>
      <c r="B779" s="0" t="n">
        <v>2</v>
      </c>
      <c r="C779" s="19" t="n">
        <v>0</v>
      </c>
      <c r="D779" s="19" t="n">
        <v>0.1867</v>
      </c>
      <c r="E779" s="20" t="n">
        <f aca="false">Parametres!$B$5*C779</f>
        <v>0</v>
      </c>
      <c r="F779" s="20" t="n">
        <f aca="false">Parametres!$B$6*D779</f>
        <v>37.34</v>
      </c>
      <c r="G779" s="20" t="n">
        <f aca="false">E779+F779</f>
        <v>37.34</v>
      </c>
      <c r="H779" s="20" t="n">
        <f aca="false">IF(G779&lt;Parametres!$B$8*Parametres!$B$7,0,MIN(G779,Parametres!$B$7))</f>
        <v>37.34</v>
      </c>
      <c r="I779" s="20" t="n">
        <f aca="false">G779-H779</f>
        <v>0</v>
      </c>
      <c r="J779" s="21" t="n">
        <f aca="false">H779*1000/Parametres!$B$9</f>
        <v>633.203323723927</v>
      </c>
    </row>
    <row r="780" customFormat="false" ht="15" hidden="false" customHeight="false" outlineLevel="0" collapsed="false">
      <c r="A780" s="0" t="n">
        <v>776</v>
      </c>
      <c r="B780" s="0" t="n">
        <v>2</v>
      </c>
      <c r="C780" s="19" t="n">
        <v>0.1656</v>
      </c>
      <c r="D780" s="19" t="n">
        <v>0.1297</v>
      </c>
      <c r="E780" s="20" t="n">
        <f aca="false">Parametres!$B$5*C780</f>
        <v>49.68</v>
      </c>
      <c r="F780" s="20" t="n">
        <f aca="false">Parametres!$B$6*D780</f>
        <v>25.94</v>
      </c>
      <c r="G780" s="20" t="n">
        <f aca="false">E780+F780</f>
        <v>75.62</v>
      </c>
      <c r="H780" s="20" t="n">
        <f aca="false">IF(G780&lt;Parametres!$B$8*Parametres!$B$7,0,MIN(G780,Parametres!$B$7))</f>
        <v>75.62</v>
      </c>
      <c r="I780" s="20" t="n">
        <f aca="false">G780-H780</f>
        <v>0</v>
      </c>
      <c r="J780" s="21" t="n">
        <f aca="false">H780*1000/Parametres!$B$9</f>
        <v>1282.34695607936</v>
      </c>
    </row>
    <row r="781" customFormat="false" ht="15" hidden="false" customHeight="false" outlineLevel="0" collapsed="false">
      <c r="A781" s="0" t="n">
        <v>777</v>
      </c>
      <c r="B781" s="0" t="n">
        <v>2</v>
      </c>
      <c r="C781" s="19" t="n">
        <v>0.3662</v>
      </c>
      <c r="D781" s="19" t="n">
        <v>0.0971</v>
      </c>
      <c r="E781" s="20" t="n">
        <f aca="false">Parametres!$B$5*C781</f>
        <v>109.86</v>
      </c>
      <c r="F781" s="20" t="n">
        <f aca="false">Parametres!$B$6*D781</f>
        <v>19.42</v>
      </c>
      <c r="G781" s="20" t="n">
        <f aca="false">E781+F781</f>
        <v>129.28</v>
      </c>
      <c r="H781" s="20" t="n">
        <f aca="false">IF(G781&lt;Parametres!$B$8*Parametres!$B$7,0,MIN(G781,Parametres!$B$7))</f>
        <v>129.28</v>
      </c>
      <c r="I781" s="20" t="n">
        <f aca="false">G781-H781</f>
        <v>0</v>
      </c>
      <c r="J781" s="21" t="n">
        <f aca="false">H781*1000/Parametres!$B$9</f>
        <v>2192.30117008649</v>
      </c>
    </row>
    <row r="782" customFormat="false" ht="15" hidden="false" customHeight="false" outlineLevel="0" collapsed="false">
      <c r="A782" s="0" t="n">
        <v>778</v>
      </c>
      <c r="B782" s="0" t="n">
        <v>2</v>
      </c>
      <c r="C782" s="19" t="n">
        <v>0.5846</v>
      </c>
      <c r="D782" s="19" t="n">
        <v>0.1916</v>
      </c>
      <c r="E782" s="20" t="n">
        <f aca="false">Parametres!$B$5*C782</f>
        <v>175.38</v>
      </c>
      <c r="F782" s="20" t="n">
        <f aca="false">Parametres!$B$6*D782</f>
        <v>38.32</v>
      </c>
      <c r="G782" s="20" t="n">
        <f aca="false">E782+F782</f>
        <v>213.7</v>
      </c>
      <c r="H782" s="20" t="n">
        <f aca="false">IF(G782&lt;Parametres!$B$8*Parametres!$B$7,0,MIN(G782,Parametres!$B$7))</f>
        <v>213.7</v>
      </c>
      <c r="I782" s="20" t="n">
        <f aca="false">G782-H782</f>
        <v>0</v>
      </c>
      <c r="J782" s="21" t="n">
        <f aca="false">H782*1000/Parametres!$B$9</f>
        <v>3623.87654739698</v>
      </c>
    </row>
    <row r="783" customFormat="false" ht="15" hidden="false" customHeight="false" outlineLevel="0" collapsed="false">
      <c r="A783" s="0" t="n">
        <v>779</v>
      </c>
      <c r="B783" s="0" t="n">
        <v>2</v>
      </c>
      <c r="C783" s="19" t="n">
        <v>0.7159</v>
      </c>
      <c r="D783" s="19" t="n">
        <v>0.1217</v>
      </c>
      <c r="E783" s="20" t="n">
        <f aca="false">Parametres!$B$5*C783</f>
        <v>214.77</v>
      </c>
      <c r="F783" s="20" t="n">
        <f aca="false">Parametres!$B$6*D783</f>
        <v>24.34</v>
      </c>
      <c r="G783" s="20" t="n">
        <f aca="false">E783+F783</f>
        <v>239.11</v>
      </c>
      <c r="H783" s="20" t="n">
        <f aca="false">IF(G783&lt;Parametres!$B$8*Parametres!$B$7,0,MIN(G783,Parametres!$B$7))</f>
        <v>239.11</v>
      </c>
      <c r="I783" s="20" t="n">
        <f aca="false">G783-H783</f>
        <v>0</v>
      </c>
      <c r="J783" s="21" t="n">
        <f aca="false">H783*1000/Parametres!$B$9</f>
        <v>4054.77361370188</v>
      </c>
    </row>
    <row r="784" customFormat="false" ht="15" hidden="false" customHeight="false" outlineLevel="0" collapsed="false">
      <c r="A784" s="0" t="n">
        <v>780</v>
      </c>
      <c r="B784" s="0" t="n">
        <v>2</v>
      </c>
      <c r="C784" s="19" t="n">
        <v>0.7957</v>
      </c>
      <c r="D784" s="19" t="n">
        <v>0.2101</v>
      </c>
      <c r="E784" s="20" t="n">
        <f aca="false">Parametres!$B$5*C784</f>
        <v>238.71</v>
      </c>
      <c r="F784" s="20" t="n">
        <f aca="false">Parametres!$B$6*D784</f>
        <v>42.02</v>
      </c>
      <c r="G784" s="20" t="n">
        <f aca="false">E784+F784</f>
        <v>280.73</v>
      </c>
      <c r="H784" s="20" t="n">
        <f aca="false">IF(G784&lt;Parametres!$B$8*Parametres!$B$7,0,MIN(G784,Parametres!$B$7))</f>
        <v>250</v>
      </c>
      <c r="I784" s="20" t="n">
        <f aca="false">G784-H784</f>
        <v>30.73</v>
      </c>
      <c r="J784" s="21" t="n">
        <f aca="false">H784*1000/Parametres!$B$9</f>
        <v>4239.44378497541</v>
      </c>
    </row>
    <row r="785" customFormat="false" ht="15" hidden="false" customHeight="false" outlineLevel="0" collapsed="false">
      <c r="A785" s="0" t="n">
        <v>781</v>
      </c>
      <c r="B785" s="0" t="n">
        <v>2</v>
      </c>
      <c r="C785" s="19" t="n">
        <v>0.7713</v>
      </c>
      <c r="D785" s="19" t="n">
        <v>0.3087</v>
      </c>
      <c r="E785" s="20" t="n">
        <f aca="false">Parametres!$B$5*C785</f>
        <v>231.39</v>
      </c>
      <c r="F785" s="20" t="n">
        <f aca="false">Parametres!$B$6*D785</f>
        <v>61.74</v>
      </c>
      <c r="G785" s="20" t="n">
        <f aca="false">E785+F785</f>
        <v>293.13</v>
      </c>
      <c r="H785" s="20" t="n">
        <f aca="false">IF(G785&lt;Parametres!$B$8*Parametres!$B$7,0,MIN(G785,Parametres!$B$7))</f>
        <v>250</v>
      </c>
      <c r="I785" s="20" t="n">
        <f aca="false">G785-H785</f>
        <v>43.13</v>
      </c>
      <c r="J785" s="21" t="n">
        <f aca="false">H785*1000/Parametres!$B$9</f>
        <v>4239.44378497541</v>
      </c>
    </row>
    <row r="786" customFormat="false" ht="15" hidden="false" customHeight="false" outlineLevel="0" collapsed="false">
      <c r="A786" s="0" t="n">
        <v>782</v>
      </c>
      <c r="B786" s="0" t="n">
        <v>2</v>
      </c>
      <c r="C786" s="19" t="n">
        <v>0.714</v>
      </c>
      <c r="D786" s="19" t="n">
        <v>0.4463</v>
      </c>
      <c r="E786" s="20" t="n">
        <f aca="false">Parametres!$B$5*C786</f>
        <v>214.2</v>
      </c>
      <c r="F786" s="20" t="n">
        <f aca="false">Parametres!$B$6*D786</f>
        <v>89.26</v>
      </c>
      <c r="G786" s="20" t="n">
        <f aca="false">E786+F786</f>
        <v>303.46</v>
      </c>
      <c r="H786" s="20" t="n">
        <f aca="false">IF(G786&lt;Parametres!$B$8*Parametres!$B$7,0,MIN(G786,Parametres!$B$7))</f>
        <v>250</v>
      </c>
      <c r="I786" s="20" t="n">
        <f aca="false">G786-H786</f>
        <v>53.46</v>
      </c>
      <c r="J786" s="21" t="n">
        <f aca="false">H786*1000/Parametres!$B$9</f>
        <v>4239.44378497541</v>
      </c>
    </row>
    <row r="787" customFormat="false" ht="15" hidden="false" customHeight="false" outlineLevel="0" collapsed="false">
      <c r="A787" s="0" t="n">
        <v>783</v>
      </c>
      <c r="B787" s="0" t="n">
        <v>2</v>
      </c>
      <c r="C787" s="19" t="n">
        <v>0.5755</v>
      </c>
      <c r="D787" s="19" t="n">
        <v>0.6412</v>
      </c>
      <c r="E787" s="20" t="n">
        <f aca="false">Parametres!$B$5*C787</f>
        <v>172.65</v>
      </c>
      <c r="F787" s="20" t="n">
        <f aca="false">Parametres!$B$6*D787</f>
        <v>128.24</v>
      </c>
      <c r="G787" s="20" t="n">
        <f aca="false">E787+F787</f>
        <v>300.89</v>
      </c>
      <c r="H787" s="20" t="n">
        <f aca="false">IF(G787&lt;Parametres!$B$8*Parametres!$B$7,0,MIN(G787,Parametres!$B$7))</f>
        <v>250</v>
      </c>
      <c r="I787" s="20" t="n">
        <f aca="false">G787-H787</f>
        <v>50.89</v>
      </c>
      <c r="J787" s="21" t="n">
        <f aca="false">H787*1000/Parametres!$B$9</f>
        <v>4239.44378497541</v>
      </c>
    </row>
    <row r="788" customFormat="false" ht="15" hidden="false" customHeight="false" outlineLevel="0" collapsed="false">
      <c r="A788" s="0" t="n">
        <v>784</v>
      </c>
      <c r="B788" s="0" t="n">
        <v>2</v>
      </c>
      <c r="C788" s="19" t="n">
        <v>0.4081</v>
      </c>
      <c r="D788" s="19" t="n">
        <v>0.7859</v>
      </c>
      <c r="E788" s="20" t="n">
        <f aca="false">Parametres!$B$5*C788</f>
        <v>122.43</v>
      </c>
      <c r="F788" s="20" t="n">
        <f aca="false">Parametres!$B$6*D788</f>
        <v>157.18</v>
      </c>
      <c r="G788" s="20" t="n">
        <f aca="false">E788+F788</f>
        <v>279.61</v>
      </c>
      <c r="H788" s="20" t="n">
        <f aca="false">IF(G788&lt;Parametres!$B$8*Parametres!$B$7,0,MIN(G788,Parametres!$B$7))</f>
        <v>250</v>
      </c>
      <c r="I788" s="20" t="n">
        <f aca="false">G788-H788</f>
        <v>29.61</v>
      </c>
      <c r="J788" s="21" t="n">
        <f aca="false">H788*1000/Parametres!$B$9</f>
        <v>4239.44378497541</v>
      </c>
    </row>
    <row r="789" customFormat="false" ht="15" hidden="false" customHeight="false" outlineLevel="0" collapsed="false">
      <c r="A789" s="0" t="n">
        <v>785</v>
      </c>
      <c r="B789" s="0" t="n">
        <v>2</v>
      </c>
      <c r="C789" s="19" t="n">
        <v>0.1621</v>
      </c>
      <c r="D789" s="19" t="n">
        <v>0.3871</v>
      </c>
      <c r="E789" s="20" t="n">
        <f aca="false">Parametres!$B$5*C789</f>
        <v>48.63</v>
      </c>
      <c r="F789" s="20" t="n">
        <f aca="false">Parametres!$B$6*D789</f>
        <v>77.42</v>
      </c>
      <c r="G789" s="20" t="n">
        <f aca="false">E789+F789</f>
        <v>126.05</v>
      </c>
      <c r="H789" s="20" t="n">
        <f aca="false">IF(G789&lt;Parametres!$B$8*Parametres!$B$7,0,MIN(G789,Parametres!$B$7))</f>
        <v>126.05</v>
      </c>
      <c r="I789" s="20" t="n">
        <f aca="false">G789-H789</f>
        <v>0</v>
      </c>
      <c r="J789" s="21" t="n">
        <f aca="false">H789*1000/Parametres!$B$9</f>
        <v>2137.5275563846</v>
      </c>
    </row>
    <row r="790" customFormat="false" ht="15" hidden="false" customHeight="false" outlineLevel="0" collapsed="false">
      <c r="A790" s="0" t="n">
        <v>786</v>
      </c>
      <c r="B790" s="0" t="n">
        <v>2</v>
      </c>
      <c r="C790" s="19" t="n">
        <v>0</v>
      </c>
      <c r="D790" s="19" t="n">
        <v>0.2571</v>
      </c>
      <c r="E790" s="20" t="n">
        <f aca="false">Parametres!$B$5*C790</f>
        <v>0</v>
      </c>
      <c r="F790" s="20" t="n">
        <f aca="false">Parametres!$B$6*D790</f>
        <v>51.42</v>
      </c>
      <c r="G790" s="20" t="n">
        <f aca="false">E790+F790</f>
        <v>51.42</v>
      </c>
      <c r="H790" s="20" t="n">
        <f aca="false">IF(G790&lt;Parametres!$B$8*Parametres!$B$7,0,MIN(G790,Parametres!$B$7))</f>
        <v>51.42</v>
      </c>
      <c r="I790" s="20" t="n">
        <f aca="false">G790-H790</f>
        <v>0</v>
      </c>
      <c r="J790" s="21" t="n">
        <f aca="false">H790*1000/Parametres!$B$9</f>
        <v>871.968797693743</v>
      </c>
    </row>
    <row r="791" customFormat="false" ht="15" hidden="false" customHeight="false" outlineLevel="0" collapsed="false">
      <c r="A791" s="0" t="n">
        <v>787</v>
      </c>
      <c r="B791" s="0" t="n">
        <v>2</v>
      </c>
      <c r="C791" s="19" t="n">
        <v>0</v>
      </c>
      <c r="D791" s="19" t="n">
        <v>0.1896</v>
      </c>
      <c r="E791" s="20" t="n">
        <f aca="false">Parametres!$B$5*C791</f>
        <v>0</v>
      </c>
      <c r="F791" s="20" t="n">
        <f aca="false">Parametres!$B$6*D791</f>
        <v>37.92</v>
      </c>
      <c r="G791" s="20" t="n">
        <f aca="false">E791+F791</f>
        <v>37.92</v>
      </c>
      <c r="H791" s="20" t="n">
        <f aca="false">IF(G791&lt;Parametres!$B$8*Parametres!$B$7,0,MIN(G791,Parametres!$B$7))</f>
        <v>37.92</v>
      </c>
      <c r="I791" s="20" t="n">
        <f aca="false">G791-H791</f>
        <v>0</v>
      </c>
      <c r="J791" s="21" t="n">
        <f aca="false">H791*1000/Parametres!$B$9</f>
        <v>643.03883330507</v>
      </c>
    </row>
    <row r="792" customFormat="false" ht="15" hidden="false" customHeight="false" outlineLevel="0" collapsed="false">
      <c r="A792" s="0" t="n">
        <v>788</v>
      </c>
      <c r="B792" s="0" t="n">
        <v>2</v>
      </c>
      <c r="C792" s="19" t="n">
        <v>0</v>
      </c>
      <c r="D792" s="19" t="n">
        <v>0.2561</v>
      </c>
      <c r="E792" s="20" t="n">
        <f aca="false">Parametres!$B$5*C792</f>
        <v>0</v>
      </c>
      <c r="F792" s="20" t="n">
        <f aca="false">Parametres!$B$6*D792</f>
        <v>51.22</v>
      </c>
      <c r="G792" s="20" t="n">
        <f aca="false">E792+F792</f>
        <v>51.22</v>
      </c>
      <c r="H792" s="20" t="n">
        <f aca="false">IF(G792&lt;Parametres!$B$8*Parametres!$B$7,0,MIN(G792,Parametres!$B$7))</f>
        <v>51.22</v>
      </c>
      <c r="I792" s="20" t="n">
        <f aca="false">G792-H792</f>
        <v>0</v>
      </c>
      <c r="J792" s="21" t="n">
        <f aca="false">H792*1000/Parametres!$B$9</f>
        <v>868.577242665762</v>
      </c>
    </row>
    <row r="793" customFormat="false" ht="15" hidden="false" customHeight="false" outlineLevel="0" collapsed="false">
      <c r="A793" s="0" t="n">
        <v>789</v>
      </c>
      <c r="B793" s="0" t="n">
        <v>2</v>
      </c>
      <c r="C793" s="19" t="n">
        <v>0</v>
      </c>
      <c r="D793" s="19" t="n">
        <v>0.1413</v>
      </c>
      <c r="E793" s="20" t="n">
        <f aca="false">Parametres!$B$5*C793</f>
        <v>0</v>
      </c>
      <c r="F793" s="20" t="n">
        <f aca="false">Parametres!$B$6*D793</f>
        <v>28.26</v>
      </c>
      <c r="G793" s="20" t="n">
        <f aca="false">E793+F793</f>
        <v>28.26</v>
      </c>
      <c r="H793" s="20" t="n">
        <f aca="false">IF(G793&lt;Parametres!$B$8*Parametres!$B$7,0,MIN(G793,Parametres!$B$7))</f>
        <v>28.26</v>
      </c>
      <c r="I793" s="20" t="n">
        <f aca="false">G793-H793</f>
        <v>0</v>
      </c>
      <c r="J793" s="21" t="n">
        <f aca="false">H793*1000/Parametres!$B$9</f>
        <v>479.226725453621</v>
      </c>
    </row>
    <row r="794" customFormat="false" ht="15" hidden="false" customHeight="false" outlineLevel="0" collapsed="false">
      <c r="A794" s="0" t="n">
        <v>790</v>
      </c>
      <c r="B794" s="0" t="n">
        <v>2</v>
      </c>
      <c r="C794" s="19" t="n">
        <v>0</v>
      </c>
      <c r="D794" s="19" t="n">
        <v>0.0877</v>
      </c>
      <c r="E794" s="20" t="n">
        <f aca="false">Parametres!$B$5*C794</f>
        <v>0</v>
      </c>
      <c r="F794" s="20" t="n">
        <f aca="false">Parametres!$B$6*D794</f>
        <v>17.54</v>
      </c>
      <c r="G794" s="20" t="n">
        <f aca="false">E794+F794</f>
        <v>17.54</v>
      </c>
      <c r="H794" s="20" t="n">
        <f aca="false">IF(G794&lt;Parametres!$B$8*Parametres!$B$7,0,MIN(G794,Parametres!$B$7))</f>
        <v>0</v>
      </c>
      <c r="I794" s="20" t="n">
        <f aca="false">G794-H794</f>
        <v>17.54</v>
      </c>
      <c r="J794" s="21" t="n">
        <f aca="false">H794*1000/Parametres!$B$9</f>
        <v>0</v>
      </c>
    </row>
    <row r="795" customFormat="false" ht="15" hidden="false" customHeight="false" outlineLevel="0" collapsed="false">
      <c r="A795" s="0" t="n">
        <v>791</v>
      </c>
      <c r="B795" s="0" t="n">
        <v>2</v>
      </c>
      <c r="C795" s="19" t="n">
        <v>0</v>
      </c>
      <c r="D795" s="19" t="n">
        <v>0.062</v>
      </c>
      <c r="E795" s="20" t="n">
        <f aca="false">Parametres!$B$5*C795</f>
        <v>0</v>
      </c>
      <c r="F795" s="20" t="n">
        <f aca="false">Parametres!$B$6*D795</f>
        <v>12.4</v>
      </c>
      <c r="G795" s="20" t="n">
        <f aca="false">E795+F795</f>
        <v>12.4</v>
      </c>
      <c r="H795" s="20" t="n">
        <f aca="false">IF(G795&lt;Parametres!$B$8*Parametres!$B$7,0,MIN(G795,Parametres!$B$7))</f>
        <v>0</v>
      </c>
      <c r="I795" s="20" t="n">
        <f aca="false">G795-H795</f>
        <v>12.4</v>
      </c>
      <c r="J795" s="21" t="n">
        <f aca="false">H795*1000/Parametres!$B$9</f>
        <v>0</v>
      </c>
    </row>
    <row r="796" customFormat="false" ht="15" hidden="false" customHeight="false" outlineLevel="0" collapsed="false">
      <c r="A796" s="0" t="n">
        <v>792</v>
      </c>
      <c r="B796" s="0" t="n">
        <v>2</v>
      </c>
      <c r="C796" s="19" t="n">
        <v>0</v>
      </c>
      <c r="D796" s="19" t="n">
        <v>0.1033</v>
      </c>
      <c r="E796" s="20" t="n">
        <f aca="false">Parametres!$B$5*C796</f>
        <v>0</v>
      </c>
      <c r="F796" s="20" t="n">
        <f aca="false">Parametres!$B$6*D796</f>
        <v>20.66</v>
      </c>
      <c r="G796" s="20" t="n">
        <f aca="false">E796+F796</f>
        <v>20.66</v>
      </c>
      <c r="H796" s="20" t="n">
        <f aca="false">IF(G796&lt;Parametres!$B$8*Parametres!$B$7,0,MIN(G796,Parametres!$B$7))</f>
        <v>0</v>
      </c>
      <c r="I796" s="20" t="n">
        <f aca="false">G796-H796</f>
        <v>20.66</v>
      </c>
      <c r="J796" s="21" t="n">
        <f aca="false">H796*1000/Parametres!$B$9</f>
        <v>0</v>
      </c>
    </row>
    <row r="797" customFormat="false" ht="15" hidden="false" customHeight="false" outlineLevel="0" collapsed="false">
      <c r="A797" s="0" t="n">
        <v>793</v>
      </c>
      <c r="B797" s="0" t="n">
        <v>2</v>
      </c>
      <c r="C797" s="19" t="n">
        <v>0</v>
      </c>
      <c r="D797" s="19" t="n">
        <v>0.0414</v>
      </c>
      <c r="E797" s="20" t="n">
        <f aca="false">Parametres!$B$5*C797</f>
        <v>0</v>
      </c>
      <c r="F797" s="20" t="n">
        <f aca="false">Parametres!$B$6*D797</f>
        <v>8.28</v>
      </c>
      <c r="G797" s="20" t="n">
        <f aca="false">E797+F797</f>
        <v>8.28</v>
      </c>
      <c r="H797" s="20" t="n">
        <f aca="false">IF(G797&lt;Parametres!$B$8*Parametres!$B$7,0,MIN(G797,Parametres!$B$7))</f>
        <v>0</v>
      </c>
      <c r="I797" s="20" t="n">
        <f aca="false">G797-H797</f>
        <v>8.28</v>
      </c>
      <c r="J797" s="21" t="n">
        <f aca="false">H797*1000/Parametres!$B$9</f>
        <v>0</v>
      </c>
    </row>
    <row r="798" customFormat="false" ht="15" hidden="false" customHeight="false" outlineLevel="0" collapsed="false">
      <c r="A798" s="0" t="n">
        <v>794</v>
      </c>
      <c r="B798" s="0" t="n">
        <v>2</v>
      </c>
      <c r="C798" s="19" t="n">
        <v>0</v>
      </c>
      <c r="D798" s="19" t="n">
        <v>0.0142</v>
      </c>
      <c r="E798" s="20" t="n">
        <f aca="false">Parametres!$B$5*C798</f>
        <v>0</v>
      </c>
      <c r="F798" s="20" t="n">
        <f aca="false">Parametres!$B$6*D798</f>
        <v>2.84</v>
      </c>
      <c r="G798" s="20" t="n">
        <f aca="false">E798+F798</f>
        <v>2.84</v>
      </c>
      <c r="H798" s="20" t="n">
        <f aca="false">IF(G798&lt;Parametres!$B$8*Parametres!$B$7,0,MIN(G798,Parametres!$B$7))</f>
        <v>0</v>
      </c>
      <c r="I798" s="20" t="n">
        <f aca="false">G798-H798</f>
        <v>2.84</v>
      </c>
      <c r="J798" s="21" t="n">
        <f aca="false">H798*1000/Parametres!$B$9</f>
        <v>0</v>
      </c>
    </row>
    <row r="799" customFormat="false" ht="15" hidden="false" customHeight="false" outlineLevel="0" collapsed="false">
      <c r="A799" s="0" t="n">
        <v>795</v>
      </c>
      <c r="B799" s="0" t="n">
        <v>2</v>
      </c>
      <c r="C799" s="19" t="n">
        <v>0</v>
      </c>
      <c r="D799" s="19" t="n">
        <v>0.0201</v>
      </c>
      <c r="E799" s="20" t="n">
        <f aca="false">Parametres!$B$5*C799</f>
        <v>0</v>
      </c>
      <c r="F799" s="20" t="n">
        <f aca="false">Parametres!$B$6*D799</f>
        <v>4.02</v>
      </c>
      <c r="G799" s="20" t="n">
        <f aca="false">E799+F799</f>
        <v>4.02</v>
      </c>
      <c r="H799" s="20" t="n">
        <f aca="false">IF(G799&lt;Parametres!$B$8*Parametres!$B$7,0,MIN(G799,Parametres!$B$7))</f>
        <v>0</v>
      </c>
      <c r="I799" s="20" t="n">
        <f aca="false">G799-H799</f>
        <v>4.02</v>
      </c>
      <c r="J799" s="21" t="n">
        <f aca="false">H799*1000/Parametres!$B$9</f>
        <v>0</v>
      </c>
    </row>
    <row r="800" customFormat="false" ht="15" hidden="false" customHeight="false" outlineLevel="0" collapsed="false">
      <c r="A800" s="0" t="n">
        <v>796</v>
      </c>
      <c r="B800" s="0" t="n">
        <v>2</v>
      </c>
      <c r="C800" s="19" t="n">
        <v>0</v>
      </c>
      <c r="D800" s="19" t="n">
        <v>0.0027</v>
      </c>
      <c r="E800" s="20" t="n">
        <f aca="false">Parametres!$B$5*C800</f>
        <v>0</v>
      </c>
      <c r="F800" s="20" t="n">
        <f aca="false">Parametres!$B$6*D800</f>
        <v>0.54</v>
      </c>
      <c r="G800" s="20" t="n">
        <f aca="false">E800+F800</f>
        <v>0.54</v>
      </c>
      <c r="H800" s="20" t="n">
        <f aca="false">IF(G800&lt;Parametres!$B$8*Parametres!$B$7,0,MIN(G800,Parametres!$B$7))</f>
        <v>0</v>
      </c>
      <c r="I800" s="20" t="n">
        <f aca="false">G800-H800</f>
        <v>0.54</v>
      </c>
      <c r="J800" s="21" t="n">
        <f aca="false">H800*1000/Parametres!$B$9</f>
        <v>0</v>
      </c>
    </row>
    <row r="801" customFormat="false" ht="15" hidden="false" customHeight="false" outlineLevel="0" collapsed="false">
      <c r="A801" s="0" t="n">
        <v>797</v>
      </c>
      <c r="B801" s="0" t="n">
        <v>2</v>
      </c>
      <c r="C801" s="19" t="n">
        <v>0</v>
      </c>
      <c r="D801" s="19" t="n">
        <v>0.0041</v>
      </c>
      <c r="E801" s="20" t="n">
        <f aca="false">Parametres!$B$5*C801</f>
        <v>0</v>
      </c>
      <c r="F801" s="20" t="n">
        <f aca="false">Parametres!$B$6*D801</f>
        <v>0.82</v>
      </c>
      <c r="G801" s="20" t="n">
        <f aca="false">E801+F801</f>
        <v>0.82</v>
      </c>
      <c r="H801" s="20" t="n">
        <f aca="false">IF(G801&lt;Parametres!$B$8*Parametres!$B$7,0,MIN(G801,Parametres!$B$7))</f>
        <v>0</v>
      </c>
      <c r="I801" s="20" t="n">
        <f aca="false">G801-H801</f>
        <v>0.82</v>
      </c>
      <c r="J801" s="21" t="n">
        <f aca="false">H801*1000/Parametres!$B$9</f>
        <v>0</v>
      </c>
    </row>
    <row r="802" customFormat="false" ht="15" hidden="false" customHeight="false" outlineLevel="0" collapsed="false">
      <c r="A802" s="0" t="n">
        <v>798</v>
      </c>
      <c r="B802" s="0" t="n">
        <v>2</v>
      </c>
      <c r="C802" s="19" t="n">
        <v>0</v>
      </c>
      <c r="D802" s="19" t="n">
        <v>0.0027</v>
      </c>
      <c r="E802" s="20" t="n">
        <f aca="false">Parametres!$B$5*C802</f>
        <v>0</v>
      </c>
      <c r="F802" s="20" t="n">
        <f aca="false">Parametres!$B$6*D802</f>
        <v>0.54</v>
      </c>
      <c r="G802" s="20" t="n">
        <f aca="false">E802+F802</f>
        <v>0.54</v>
      </c>
      <c r="H802" s="20" t="n">
        <f aca="false">IF(G802&lt;Parametres!$B$8*Parametres!$B$7,0,MIN(G802,Parametres!$B$7))</f>
        <v>0</v>
      </c>
      <c r="I802" s="20" t="n">
        <f aca="false">G802-H802</f>
        <v>0.54</v>
      </c>
      <c r="J802" s="21" t="n">
        <f aca="false">H802*1000/Parametres!$B$9</f>
        <v>0</v>
      </c>
    </row>
    <row r="803" customFormat="false" ht="15" hidden="false" customHeight="false" outlineLevel="0" collapsed="false">
      <c r="A803" s="0" t="n">
        <v>799</v>
      </c>
      <c r="B803" s="0" t="n">
        <v>2</v>
      </c>
      <c r="C803" s="19" t="n">
        <v>0</v>
      </c>
      <c r="D803" s="19" t="n">
        <v>0.0003</v>
      </c>
      <c r="E803" s="20" t="n">
        <f aca="false">Parametres!$B$5*C803</f>
        <v>0</v>
      </c>
      <c r="F803" s="20" t="n">
        <f aca="false">Parametres!$B$6*D803</f>
        <v>0.06</v>
      </c>
      <c r="G803" s="20" t="n">
        <f aca="false">E803+F803</f>
        <v>0.06</v>
      </c>
      <c r="H803" s="20" t="n">
        <f aca="false">IF(G803&lt;Parametres!$B$8*Parametres!$B$7,0,MIN(G803,Parametres!$B$7))</f>
        <v>0</v>
      </c>
      <c r="I803" s="20" t="n">
        <f aca="false">G803-H803</f>
        <v>0.06</v>
      </c>
      <c r="J803" s="21" t="n">
        <f aca="false">H803*1000/Parametres!$B$9</f>
        <v>0</v>
      </c>
    </row>
    <row r="804" customFormat="false" ht="15" hidden="false" customHeight="false" outlineLevel="0" collapsed="false">
      <c r="A804" s="0" t="n">
        <v>800</v>
      </c>
      <c r="B804" s="0" t="n">
        <v>2</v>
      </c>
      <c r="C804" s="19" t="n">
        <v>0.2056</v>
      </c>
      <c r="D804" s="19" t="n">
        <v>0.0002</v>
      </c>
      <c r="E804" s="20" t="n">
        <f aca="false">Parametres!$B$5*C804</f>
        <v>61.68</v>
      </c>
      <c r="F804" s="20" t="n">
        <f aca="false">Parametres!$B$6*D804</f>
        <v>0.04</v>
      </c>
      <c r="G804" s="20" t="n">
        <f aca="false">E804+F804</f>
        <v>61.72</v>
      </c>
      <c r="H804" s="20" t="n">
        <f aca="false">IF(G804&lt;Parametres!$B$8*Parametres!$B$7,0,MIN(G804,Parametres!$B$7))</f>
        <v>61.72</v>
      </c>
      <c r="I804" s="20" t="n">
        <f aca="false">G804-H804</f>
        <v>0</v>
      </c>
      <c r="J804" s="21" t="n">
        <f aca="false">H804*1000/Parametres!$B$9</f>
        <v>1046.63388163473</v>
      </c>
    </row>
    <row r="805" customFormat="false" ht="15" hidden="false" customHeight="false" outlineLevel="0" collapsed="false">
      <c r="A805" s="0" t="n">
        <v>801</v>
      </c>
      <c r="B805" s="0" t="n">
        <v>2</v>
      </c>
      <c r="C805" s="19" t="n">
        <v>0.4978</v>
      </c>
      <c r="D805" s="19" t="n">
        <v>0</v>
      </c>
      <c r="E805" s="20" t="n">
        <f aca="false">Parametres!$B$5*C805</f>
        <v>149.34</v>
      </c>
      <c r="F805" s="20" t="n">
        <f aca="false">Parametres!$B$6*D805</f>
        <v>0</v>
      </c>
      <c r="G805" s="20" t="n">
        <f aca="false">E805+F805</f>
        <v>149.34</v>
      </c>
      <c r="H805" s="20" t="n">
        <f aca="false">IF(G805&lt;Parametres!$B$8*Parametres!$B$7,0,MIN(G805,Parametres!$B$7))</f>
        <v>149.34</v>
      </c>
      <c r="I805" s="20" t="n">
        <f aca="false">G805-H805</f>
        <v>0</v>
      </c>
      <c r="J805" s="21" t="n">
        <f aca="false">H805*1000/Parametres!$B$9</f>
        <v>2532.47413939291</v>
      </c>
    </row>
    <row r="806" customFormat="false" ht="15" hidden="false" customHeight="false" outlineLevel="0" collapsed="false">
      <c r="A806" s="0" t="n">
        <v>802</v>
      </c>
      <c r="B806" s="0" t="n">
        <v>2</v>
      </c>
      <c r="C806" s="19" t="n">
        <v>0.6741</v>
      </c>
      <c r="D806" s="19" t="n">
        <v>0.0001</v>
      </c>
      <c r="E806" s="20" t="n">
        <f aca="false">Parametres!$B$5*C806</f>
        <v>202.23</v>
      </c>
      <c r="F806" s="20" t="n">
        <f aca="false">Parametres!$B$6*D806</f>
        <v>0.02</v>
      </c>
      <c r="G806" s="20" t="n">
        <f aca="false">E806+F806</f>
        <v>202.25</v>
      </c>
      <c r="H806" s="20" t="n">
        <f aca="false">IF(G806&lt;Parametres!$B$8*Parametres!$B$7,0,MIN(G806,Parametres!$B$7))</f>
        <v>202.25</v>
      </c>
      <c r="I806" s="20" t="n">
        <f aca="false">G806-H806</f>
        <v>0</v>
      </c>
      <c r="J806" s="21" t="n">
        <f aca="false">H806*1000/Parametres!$B$9</f>
        <v>3429.71002204511</v>
      </c>
    </row>
    <row r="807" customFormat="false" ht="15" hidden="false" customHeight="false" outlineLevel="0" collapsed="false">
      <c r="A807" s="0" t="n">
        <v>803</v>
      </c>
      <c r="B807" s="0" t="n">
        <v>2</v>
      </c>
      <c r="C807" s="19" t="n">
        <v>0.8969</v>
      </c>
      <c r="D807" s="19" t="n">
        <v>0.0005</v>
      </c>
      <c r="E807" s="20" t="n">
        <f aca="false">Parametres!$B$5*C807</f>
        <v>269.07</v>
      </c>
      <c r="F807" s="20" t="n">
        <f aca="false">Parametres!$B$6*D807</f>
        <v>0.1</v>
      </c>
      <c r="G807" s="20" t="n">
        <f aca="false">E807+F807</f>
        <v>269.17</v>
      </c>
      <c r="H807" s="20" t="n">
        <f aca="false">IF(G807&lt;Parametres!$B$8*Parametres!$B$7,0,MIN(G807,Parametres!$B$7))</f>
        <v>250</v>
      </c>
      <c r="I807" s="20" t="n">
        <f aca="false">G807-H807</f>
        <v>19.17</v>
      </c>
      <c r="J807" s="21" t="n">
        <f aca="false">H807*1000/Parametres!$B$9</f>
        <v>4239.44378497541</v>
      </c>
    </row>
    <row r="808" customFormat="false" ht="15" hidden="false" customHeight="false" outlineLevel="0" collapsed="false">
      <c r="A808" s="0" t="n">
        <v>804</v>
      </c>
      <c r="B808" s="0" t="n">
        <v>2</v>
      </c>
      <c r="C808" s="19" t="n">
        <v>0.9753</v>
      </c>
      <c r="D808" s="19" t="n">
        <v>0.007</v>
      </c>
      <c r="E808" s="20" t="n">
        <f aca="false">Parametres!$B$5*C808</f>
        <v>292.59</v>
      </c>
      <c r="F808" s="20" t="n">
        <f aca="false">Parametres!$B$6*D808</f>
        <v>1.4</v>
      </c>
      <c r="G808" s="20" t="n">
        <f aca="false">E808+F808</f>
        <v>293.99</v>
      </c>
      <c r="H808" s="20" t="n">
        <f aca="false">IF(G808&lt;Parametres!$B$8*Parametres!$B$7,0,MIN(G808,Parametres!$B$7))</f>
        <v>250</v>
      </c>
      <c r="I808" s="20" t="n">
        <f aca="false">G808-H808</f>
        <v>43.99</v>
      </c>
      <c r="J808" s="21" t="n">
        <f aca="false">H808*1000/Parametres!$B$9</f>
        <v>4239.44378497541</v>
      </c>
    </row>
    <row r="809" customFormat="false" ht="15" hidden="false" customHeight="false" outlineLevel="0" collapsed="false">
      <c r="A809" s="0" t="n">
        <v>805</v>
      </c>
      <c r="B809" s="0" t="n">
        <v>2</v>
      </c>
      <c r="C809" s="19" t="n">
        <v>0.931</v>
      </c>
      <c r="D809" s="19" t="n">
        <v>0.0092</v>
      </c>
      <c r="E809" s="20" t="n">
        <f aca="false">Parametres!$B$5*C809</f>
        <v>279.3</v>
      </c>
      <c r="F809" s="20" t="n">
        <f aca="false">Parametres!$B$6*D809</f>
        <v>1.84</v>
      </c>
      <c r="G809" s="20" t="n">
        <f aca="false">E809+F809</f>
        <v>281.14</v>
      </c>
      <c r="H809" s="20" t="n">
        <f aca="false">IF(G809&lt;Parametres!$B$8*Parametres!$B$7,0,MIN(G809,Parametres!$B$7))</f>
        <v>250</v>
      </c>
      <c r="I809" s="20" t="n">
        <f aca="false">G809-H809</f>
        <v>31.14</v>
      </c>
      <c r="J809" s="21" t="n">
        <f aca="false">H809*1000/Parametres!$B$9</f>
        <v>4239.44378497541</v>
      </c>
    </row>
    <row r="810" customFormat="false" ht="15" hidden="false" customHeight="false" outlineLevel="0" collapsed="false">
      <c r="A810" s="0" t="n">
        <v>806</v>
      </c>
      <c r="B810" s="0" t="n">
        <v>2</v>
      </c>
      <c r="C810" s="19" t="n">
        <v>0.797</v>
      </c>
      <c r="D810" s="19" t="n">
        <v>0.0128</v>
      </c>
      <c r="E810" s="20" t="n">
        <f aca="false">Parametres!$B$5*C810</f>
        <v>239.1</v>
      </c>
      <c r="F810" s="20" t="n">
        <f aca="false">Parametres!$B$6*D810</f>
        <v>2.56</v>
      </c>
      <c r="G810" s="20" t="n">
        <f aca="false">E810+F810</f>
        <v>241.66</v>
      </c>
      <c r="H810" s="20" t="n">
        <f aca="false">IF(G810&lt;Parametres!$B$8*Parametres!$B$7,0,MIN(G810,Parametres!$B$7))</f>
        <v>241.66</v>
      </c>
      <c r="I810" s="20" t="n">
        <f aca="false">G810-H810</f>
        <v>0</v>
      </c>
      <c r="J810" s="21" t="n">
        <f aca="false">H810*1000/Parametres!$B$9</f>
        <v>4098.01594030863</v>
      </c>
    </row>
    <row r="811" customFormat="false" ht="15" hidden="false" customHeight="false" outlineLevel="0" collapsed="false">
      <c r="A811" s="0" t="n">
        <v>807</v>
      </c>
      <c r="B811" s="0" t="n">
        <v>2</v>
      </c>
      <c r="C811" s="19" t="n">
        <v>0.7287</v>
      </c>
      <c r="D811" s="19" t="n">
        <v>0.0091</v>
      </c>
      <c r="E811" s="20" t="n">
        <f aca="false">Parametres!$B$5*C811</f>
        <v>218.61</v>
      </c>
      <c r="F811" s="20" t="n">
        <f aca="false">Parametres!$B$6*D811</f>
        <v>1.82</v>
      </c>
      <c r="G811" s="20" t="n">
        <f aca="false">E811+F811</f>
        <v>220.43</v>
      </c>
      <c r="H811" s="20" t="n">
        <f aca="false">IF(G811&lt;Parametres!$B$8*Parametres!$B$7,0,MIN(G811,Parametres!$B$7))</f>
        <v>220.43</v>
      </c>
      <c r="I811" s="20" t="n">
        <f aca="false">G811-H811</f>
        <v>0</v>
      </c>
      <c r="J811" s="21" t="n">
        <f aca="false">H811*1000/Parametres!$B$9</f>
        <v>3738.00237408852</v>
      </c>
    </row>
    <row r="812" customFormat="false" ht="15" hidden="false" customHeight="false" outlineLevel="0" collapsed="false">
      <c r="A812" s="0" t="n">
        <v>808</v>
      </c>
      <c r="B812" s="0" t="n">
        <v>2</v>
      </c>
      <c r="C812" s="19" t="n">
        <v>0.4355</v>
      </c>
      <c r="D812" s="19" t="n">
        <v>0.0105</v>
      </c>
      <c r="E812" s="20" t="n">
        <f aca="false">Parametres!$B$5*C812</f>
        <v>130.65</v>
      </c>
      <c r="F812" s="20" t="n">
        <f aca="false">Parametres!$B$6*D812</f>
        <v>2.1</v>
      </c>
      <c r="G812" s="20" t="n">
        <f aca="false">E812+F812</f>
        <v>132.75</v>
      </c>
      <c r="H812" s="20" t="n">
        <f aca="false">IF(G812&lt;Parametres!$B$8*Parametres!$B$7,0,MIN(G812,Parametres!$B$7))</f>
        <v>132.75</v>
      </c>
      <c r="I812" s="20" t="n">
        <f aca="false">G812-H812</f>
        <v>0</v>
      </c>
      <c r="J812" s="21" t="n">
        <f aca="false">H812*1000/Parametres!$B$9</f>
        <v>2251.14464982194</v>
      </c>
    </row>
    <row r="813" customFormat="false" ht="15" hidden="false" customHeight="false" outlineLevel="0" collapsed="false">
      <c r="A813" s="0" t="n">
        <v>809</v>
      </c>
      <c r="B813" s="0" t="n">
        <v>2</v>
      </c>
      <c r="C813" s="19" t="n">
        <v>0.1992</v>
      </c>
      <c r="D813" s="19" t="n">
        <v>0.0272</v>
      </c>
      <c r="E813" s="20" t="n">
        <f aca="false">Parametres!$B$5*C813</f>
        <v>59.76</v>
      </c>
      <c r="F813" s="20" t="n">
        <f aca="false">Parametres!$B$6*D813</f>
        <v>5.44</v>
      </c>
      <c r="G813" s="20" t="n">
        <f aca="false">E813+F813</f>
        <v>65.2</v>
      </c>
      <c r="H813" s="20" t="n">
        <f aca="false">IF(G813&lt;Parametres!$B$8*Parametres!$B$7,0,MIN(G813,Parametres!$B$7))</f>
        <v>65.2</v>
      </c>
      <c r="I813" s="20" t="n">
        <f aca="false">G813-H813</f>
        <v>0</v>
      </c>
      <c r="J813" s="21" t="n">
        <f aca="false">H813*1000/Parametres!$B$9</f>
        <v>1105.64693912159</v>
      </c>
    </row>
    <row r="814" customFormat="false" ht="15" hidden="false" customHeight="false" outlineLevel="0" collapsed="false">
      <c r="A814" s="0" t="n">
        <v>810</v>
      </c>
      <c r="B814" s="0" t="n">
        <v>2</v>
      </c>
      <c r="C814" s="19" t="n">
        <v>0</v>
      </c>
      <c r="D814" s="19" t="n">
        <v>0.0048</v>
      </c>
      <c r="E814" s="20" t="n">
        <f aca="false">Parametres!$B$5*C814</f>
        <v>0</v>
      </c>
      <c r="F814" s="20" t="n">
        <f aca="false">Parametres!$B$6*D814</f>
        <v>0.96</v>
      </c>
      <c r="G814" s="20" t="n">
        <f aca="false">E814+F814</f>
        <v>0.96</v>
      </c>
      <c r="H814" s="20" t="n">
        <f aca="false">IF(G814&lt;Parametres!$B$8*Parametres!$B$7,0,MIN(G814,Parametres!$B$7))</f>
        <v>0</v>
      </c>
      <c r="I814" s="20" t="n">
        <f aca="false">G814-H814</f>
        <v>0.96</v>
      </c>
      <c r="J814" s="21" t="n">
        <f aca="false">H814*1000/Parametres!$B$9</f>
        <v>0</v>
      </c>
    </row>
    <row r="815" customFormat="false" ht="15" hidden="false" customHeight="false" outlineLevel="0" collapsed="false">
      <c r="A815" s="0" t="n">
        <v>811</v>
      </c>
      <c r="B815" s="0" t="n">
        <v>2</v>
      </c>
      <c r="C815" s="19" t="n">
        <v>0</v>
      </c>
      <c r="D815" s="19" t="n">
        <v>0.0097</v>
      </c>
      <c r="E815" s="20" t="n">
        <f aca="false">Parametres!$B$5*C815</f>
        <v>0</v>
      </c>
      <c r="F815" s="20" t="n">
        <f aca="false">Parametres!$B$6*D815</f>
        <v>1.94</v>
      </c>
      <c r="G815" s="20" t="n">
        <f aca="false">E815+F815</f>
        <v>1.94</v>
      </c>
      <c r="H815" s="20" t="n">
        <f aca="false">IF(G815&lt;Parametres!$B$8*Parametres!$B$7,0,MIN(G815,Parametres!$B$7))</f>
        <v>0</v>
      </c>
      <c r="I815" s="20" t="n">
        <f aca="false">G815-H815</f>
        <v>1.94</v>
      </c>
      <c r="J815" s="21" t="n">
        <f aca="false">H815*1000/Parametres!$B$9</f>
        <v>0</v>
      </c>
    </row>
    <row r="816" customFormat="false" ht="15" hidden="false" customHeight="false" outlineLevel="0" collapsed="false">
      <c r="A816" s="0" t="n">
        <v>812</v>
      </c>
      <c r="B816" s="0" t="n">
        <v>2</v>
      </c>
      <c r="C816" s="19" t="n">
        <v>0</v>
      </c>
      <c r="D816" s="19" t="n">
        <v>0.0052</v>
      </c>
      <c r="E816" s="20" t="n">
        <f aca="false">Parametres!$B$5*C816</f>
        <v>0</v>
      </c>
      <c r="F816" s="20" t="n">
        <f aca="false">Parametres!$B$6*D816</f>
        <v>1.04</v>
      </c>
      <c r="G816" s="20" t="n">
        <f aca="false">E816+F816</f>
        <v>1.04</v>
      </c>
      <c r="H816" s="20" t="n">
        <f aca="false">IF(G816&lt;Parametres!$B$8*Parametres!$B$7,0,MIN(G816,Parametres!$B$7))</f>
        <v>0</v>
      </c>
      <c r="I816" s="20" t="n">
        <f aca="false">G816-H816</f>
        <v>1.04</v>
      </c>
      <c r="J816" s="21" t="n">
        <f aca="false">H816*1000/Parametres!$B$9</f>
        <v>0</v>
      </c>
    </row>
    <row r="817" customFormat="false" ht="15" hidden="false" customHeight="false" outlineLevel="0" collapsed="false">
      <c r="A817" s="0" t="n">
        <v>813</v>
      </c>
      <c r="B817" s="0" t="n">
        <v>2</v>
      </c>
      <c r="C817" s="19" t="n">
        <v>0</v>
      </c>
      <c r="D817" s="19" t="n">
        <v>0.0051</v>
      </c>
      <c r="E817" s="20" t="n">
        <f aca="false">Parametres!$B$5*C817</f>
        <v>0</v>
      </c>
      <c r="F817" s="20" t="n">
        <f aca="false">Parametres!$B$6*D817</f>
        <v>1.02</v>
      </c>
      <c r="G817" s="20" t="n">
        <f aca="false">E817+F817</f>
        <v>1.02</v>
      </c>
      <c r="H817" s="20" t="n">
        <f aca="false">IF(G817&lt;Parametres!$B$8*Parametres!$B$7,0,MIN(G817,Parametres!$B$7))</f>
        <v>0</v>
      </c>
      <c r="I817" s="20" t="n">
        <f aca="false">G817-H817</f>
        <v>1.02</v>
      </c>
      <c r="J817" s="21" t="n">
        <f aca="false">H817*1000/Parametres!$B$9</f>
        <v>0</v>
      </c>
    </row>
    <row r="818" customFormat="false" ht="15" hidden="false" customHeight="false" outlineLevel="0" collapsed="false">
      <c r="A818" s="0" t="n">
        <v>814</v>
      </c>
      <c r="B818" s="0" t="n">
        <v>2</v>
      </c>
      <c r="C818" s="19" t="n">
        <v>0</v>
      </c>
      <c r="D818" s="19" t="n">
        <v>0.0062</v>
      </c>
      <c r="E818" s="20" t="n">
        <f aca="false">Parametres!$B$5*C818</f>
        <v>0</v>
      </c>
      <c r="F818" s="20" t="n">
        <f aca="false">Parametres!$B$6*D818</f>
        <v>1.24</v>
      </c>
      <c r="G818" s="20" t="n">
        <f aca="false">E818+F818</f>
        <v>1.24</v>
      </c>
      <c r="H818" s="20" t="n">
        <f aca="false">IF(G818&lt;Parametres!$B$8*Parametres!$B$7,0,MIN(G818,Parametres!$B$7))</f>
        <v>0</v>
      </c>
      <c r="I818" s="20" t="n">
        <f aca="false">G818-H818</f>
        <v>1.24</v>
      </c>
      <c r="J818" s="21" t="n">
        <f aca="false">H818*1000/Parametres!$B$9</f>
        <v>0</v>
      </c>
    </row>
    <row r="819" customFormat="false" ht="15" hidden="false" customHeight="false" outlineLevel="0" collapsed="false">
      <c r="A819" s="0" t="n">
        <v>815</v>
      </c>
      <c r="B819" s="0" t="n">
        <v>2</v>
      </c>
      <c r="C819" s="19" t="n">
        <v>0</v>
      </c>
      <c r="D819" s="19" t="n">
        <v>0.0116</v>
      </c>
      <c r="E819" s="20" t="n">
        <f aca="false">Parametres!$B$5*C819</f>
        <v>0</v>
      </c>
      <c r="F819" s="20" t="n">
        <f aca="false">Parametres!$B$6*D819</f>
        <v>2.32</v>
      </c>
      <c r="G819" s="20" t="n">
        <f aca="false">E819+F819</f>
        <v>2.32</v>
      </c>
      <c r="H819" s="20" t="n">
        <f aca="false">IF(G819&lt;Parametres!$B$8*Parametres!$B$7,0,MIN(G819,Parametres!$B$7))</f>
        <v>0</v>
      </c>
      <c r="I819" s="20" t="n">
        <f aca="false">G819-H819</f>
        <v>2.32</v>
      </c>
      <c r="J819" s="21" t="n">
        <f aca="false">H819*1000/Parametres!$B$9</f>
        <v>0</v>
      </c>
    </row>
    <row r="820" customFormat="false" ht="15" hidden="false" customHeight="false" outlineLevel="0" collapsed="false">
      <c r="A820" s="0" t="n">
        <v>816</v>
      </c>
      <c r="B820" s="0" t="n">
        <v>2</v>
      </c>
      <c r="C820" s="19" t="n">
        <v>0</v>
      </c>
      <c r="D820" s="19" t="n">
        <v>0.0118</v>
      </c>
      <c r="E820" s="20" t="n">
        <f aca="false">Parametres!$B$5*C820</f>
        <v>0</v>
      </c>
      <c r="F820" s="20" t="n">
        <f aca="false">Parametres!$B$6*D820</f>
        <v>2.36</v>
      </c>
      <c r="G820" s="20" t="n">
        <f aca="false">E820+F820</f>
        <v>2.36</v>
      </c>
      <c r="H820" s="20" t="n">
        <f aca="false">IF(G820&lt;Parametres!$B$8*Parametres!$B$7,0,MIN(G820,Parametres!$B$7))</f>
        <v>0</v>
      </c>
      <c r="I820" s="20" t="n">
        <f aca="false">G820-H820</f>
        <v>2.36</v>
      </c>
      <c r="J820" s="21" t="n">
        <f aca="false">H820*1000/Parametres!$B$9</f>
        <v>0</v>
      </c>
    </row>
    <row r="821" customFormat="false" ht="15" hidden="false" customHeight="false" outlineLevel="0" collapsed="false">
      <c r="A821" s="0" t="n">
        <v>817</v>
      </c>
      <c r="B821" s="0" t="n">
        <v>2</v>
      </c>
      <c r="C821" s="19" t="n">
        <v>0</v>
      </c>
      <c r="D821" s="19" t="n">
        <v>0.007</v>
      </c>
      <c r="E821" s="20" t="n">
        <f aca="false">Parametres!$B$5*C821</f>
        <v>0</v>
      </c>
      <c r="F821" s="20" t="n">
        <f aca="false">Parametres!$B$6*D821</f>
        <v>1.4</v>
      </c>
      <c r="G821" s="20" t="n">
        <f aca="false">E821+F821</f>
        <v>1.4</v>
      </c>
      <c r="H821" s="20" t="n">
        <f aca="false">IF(G821&lt;Parametres!$B$8*Parametres!$B$7,0,MIN(G821,Parametres!$B$7))</f>
        <v>0</v>
      </c>
      <c r="I821" s="20" t="n">
        <f aca="false">G821-H821</f>
        <v>1.4</v>
      </c>
      <c r="J821" s="21" t="n">
        <f aca="false">H821*1000/Parametres!$B$9</f>
        <v>0</v>
      </c>
    </row>
    <row r="822" customFormat="false" ht="15" hidden="false" customHeight="false" outlineLevel="0" collapsed="false">
      <c r="A822" s="0" t="n">
        <v>818</v>
      </c>
      <c r="B822" s="0" t="n">
        <v>2</v>
      </c>
      <c r="C822" s="19" t="n">
        <v>0</v>
      </c>
      <c r="D822" s="19" t="n">
        <v>0.0079</v>
      </c>
      <c r="E822" s="20" t="n">
        <f aca="false">Parametres!$B$5*C822</f>
        <v>0</v>
      </c>
      <c r="F822" s="20" t="n">
        <f aca="false">Parametres!$B$6*D822</f>
        <v>1.58</v>
      </c>
      <c r="G822" s="20" t="n">
        <f aca="false">E822+F822</f>
        <v>1.58</v>
      </c>
      <c r="H822" s="20" t="n">
        <f aca="false">IF(G822&lt;Parametres!$B$8*Parametres!$B$7,0,MIN(G822,Parametres!$B$7))</f>
        <v>0</v>
      </c>
      <c r="I822" s="20" t="n">
        <f aca="false">G822-H822</f>
        <v>1.58</v>
      </c>
      <c r="J822" s="21" t="n">
        <f aca="false">H822*1000/Parametres!$B$9</f>
        <v>0</v>
      </c>
    </row>
    <row r="823" customFormat="false" ht="15" hidden="false" customHeight="false" outlineLevel="0" collapsed="false">
      <c r="A823" s="0" t="n">
        <v>819</v>
      </c>
      <c r="B823" s="0" t="n">
        <v>2</v>
      </c>
      <c r="C823" s="19" t="n">
        <v>0</v>
      </c>
      <c r="D823" s="19" t="n">
        <v>0.0071</v>
      </c>
      <c r="E823" s="20" t="n">
        <f aca="false">Parametres!$B$5*C823</f>
        <v>0</v>
      </c>
      <c r="F823" s="20" t="n">
        <f aca="false">Parametres!$B$6*D823</f>
        <v>1.42</v>
      </c>
      <c r="G823" s="20" t="n">
        <f aca="false">E823+F823</f>
        <v>1.42</v>
      </c>
      <c r="H823" s="20" t="n">
        <f aca="false">IF(G823&lt;Parametres!$B$8*Parametres!$B$7,0,MIN(G823,Parametres!$B$7))</f>
        <v>0</v>
      </c>
      <c r="I823" s="20" t="n">
        <f aca="false">G823-H823</f>
        <v>1.42</v>
      </c>
      <c r="J823" s="21" t="n">
        <f aca="false">H823*1000/Parametres!$B$9</f>
        <v>0</v>
      </c>
    </row>
    <row r="824" customFormat="false" ht="15" hidden="false" customHeight="false" outlineLevel="0" collapsed="false">
      <c r="A824" s="0" t="n">
        <v>820</v>
      </c>
      <c r="B824" s="0" t="n">
        <v>2</v>
      </c>
      <c r="C824" s="19" t="n">
        <v>0</v>
      </c>
      <c r="D824" s="19" t="n">
        <v>0.0055</v>
      </c>
      <c r="E824" s="20" t="n">
        <f aca="false">Parametres!$B$5*C824</f>
        <v>0</v>
      </c>
      <c r="F824" s="20" t="n">
        <f aca="false">Parametres!$B$6*D824</f>
        <v>1.1</v>
      </c>
      <c r="G824" s="20" t="n">
        <f aca="false">E824+F824</f>
        <v>1.1</v>
      </c>
      <c r="H824" s="20" t="n">
        <f aca="false">IF(G824&lt;Parametres!$B$8*Parametres!$B$7,0,MIN(G824,Parametres!$B$7))</f>
        <v>0</v>
      </c>
      <c r="I824" s="20" t="n">
        <f aca="false">G824-H824</f>
        <v>1.1</v>
      </c>
      <c r="J824" s="21" t="n">
        <f aca="false">H824*1000/Parametres!$B$9</f>
        <v>0</v>
      </c>
    </row>
    <row r="825" customFormat="false" ht="15" hidden="false" customHeight="false" outlineLevel="0" collapsed="false">
      <c r="A825" s="0" t="n">
        <v>821</v>
      </c>
      <c r="B825" s="0" t="n">
        <v>2</v>
      </c>
      <c r="C825" s="19" t="n">
        <v>0</v>
      </c>
      <c r="D825" s="19" t="n">
        <v>0.0068</v>
      </c>
      <c r="E825" s="20" t="n">
        <f aca="false">Parametres!$B$5*C825</f>
        <v>0</v>
      </c>
      <c r="F825" s="20" t="n">
        <f aca="false">Parametres!$B$6*D825</f>
        <v>1.36</v>
      </c>
      <c r="G825" s="20" t="n">
        <f aca="false">E825+F825</f>
        <v>1.36</v>
      </c>
      <c r="H825" s="20" t="n">
        <f aca="false">IF(G825&lt;Parametres!$B$8*Parametres!$B$7,0,MIN(G825,Parametres!$B$7))</f>
        <v>0</v>
      </c>
      <c r="I825" s="20" t="n">
        <f aca="false">G825-H825</f>
        <v>1.36</v>
      </c>
      <c r="J825" s="21" t="n">
        <f aca="false">H825*1000/Parametres!$B$9</f>
        <v>0</v>
      </c>
    </row>
    <row r="826" customFormat="false" ht="15" hidden="false" customHeight="false" outlineLevel="0" collapsed="false">
      <c r="A826" s="0" t="n">
        <v>822</v>
      </c>
      <c r="B826" s="0" t="n">
        <v>2</v>
      </c>
      <c r="C826" s="19" t="n">
        <v>0</v>
      </c>
      <c r="D826" s="19" t="n">
        <v>0.0152</v>
      </c>
      <c r="E826" s="20" t="n">
        <f aca="false">Parametres!$B$5*C826</f>
        <v>0</v>
      </c>
      <c r="F826" s="20" t="n">
        <f aca="false">Parametres!$B$6*D826</f>
        <v>3.04</v>
      </c>
      <c r="G826" s="20" t="n">
        <f aca="false">E826+F826</f>
        <v>3.04</v>
      </c>
      <c r="H826" s="20" t="n">
        <f aca="false">IF(G826&lt;Parametres!$B$8*Parametres!$B$7,0,MIN(G826,Parametres!$B$7))</f>
        <v>0</v>
      </c>
      <c r="I826" s="20" t="n">
        <f aca="false">G826-H826</f>
        <v>3.04</v>
      </c>
      <c r="J826" s="21" t="n">
        <f aca="false">H826*1000/Parametres!$B$9</f>
        <v>0</v>
      </c>
    </row>
    <row r="827" customFormat="false" ht="15" hidden="false" customHeight="false" outlineLevel="0" collapsed="false">
      <c r="A827" s="0" t="n">
        <v>823</v>
      </c>
      <c r="B827" s="0" t="n">
        <v>2</v>
      </c>
      <c r="C827" s="19" t="n">
        <v>0</v>
      </c>
      <c r="D827" s="19" t="n">
        <v>0.0189</v>
      </c>
      <c r="E827" s="20" t="n">
        <f aca="false">Parametres!$B$5*C827</f>
        <v>0</v>
      </c>
      <c r="F827" s="20" t="n">
        <f aca="false">Parametres!$B$6*D827</f>
        <v>3.78</v>
      </c>
      <c r="G827" s="20" t="n">
        <f aca="false">E827+F827</f>
        <v>3.78</v>
      </c>
      <c r="H827" s="20" t="n">
        <f aca="false">IF(G827&lt;Parametres!$B$8*Parametres!$B$7,0,MIN(G827,Parametres!$B$7))</f>
        <v>0</v>
      </c>
      <c r="I827" s="20" t="n">
        <f aca="false">G827-H827</f>
        <v>3.78</v>
      </c>
      <c r="J827" s="21" t="n">
        <f aca="false">H827*1000/Parametres!$B$9</f>
        <v>0</v>
      </c>
    </row>
    <row r="828" customFormat="false" ht="15" hidden="false" customHeight="false" outlineLevel="0" collapsed="false">
      <c r="A828" s="0" t="n">
        <v>824</v>
      </c>
      <c r="B828" s="0" t="n">
        <v>2</v>
      </c>
      <c r="C828" s="19" t="n">
        <v>0.1918</v>
      </c>
      <c r="D828" s="19" t="n">
        <v>0.0248</v>
      </c>
      <c r="E828" s="20" t="n">
        <f aca="false">Parametres!$B$5*C828</f>
        <v>57.54</v>
      </c>
      <c r="F828" s="20" t="n">
        <f aca="false">Parametres!$B$6*D828</f>
        <v>4.96</v>
      </c>
      <c r="G828" s="20" t="n">
        <f aca="false">E828+F828</f>
        <v>62.5</v>
      </c>
      <c r="H828" s="20" t="n">
        <f aca="false">IF(G828&lt;Parametres!$B$8*Parametres!$B$7,0,MIN(G828,Parametres!$B$7))</f>
        <v>62.5</v>
      </c>
      <c r="I828" s="20" t="n">
        <f aca="false">G828-H828</f>
        <v>0</v>
      </c>
      <c r="J828" s="21" t="n">
        <f aca="false">H828*1000/Parametres!$B$9</f>
        <v>1059.86094624385</v>
      </c>
    </row>
    <row r="829" customFormat="false" ht="15" hidden="false" customHeight="false" outlineLevel="0" collapsed="false">
      <c r="A829" s="0" t="n">
        <v>825</v>
      </c>
      <c r="B829" s="0" t="n">
        <v>2</v>
      </c>
      <c r="C829" s="19" t="n">
        <v>0.4362</v>
      </c>
      <c r="D829" s="19" t="n">
        <v>0.0118</v>
      </c>
      <c r="E829" s="20" t="n">
        <f aca="false">Parametres!$B$5*C829</f>
        <v>130.86</v>
      </c>
      <c r="F829" s="20" t="n">
        <f aca="false">Parametres!$B$6*D829</f>
        <v>2.36</v>
      </c>
      <c r="G829" s="20" t="n">
        <f aca="false">E829+F829</f>
        <v>133.22</v>
      </c>
      <c r="H829" s="20" t="n">
        <f aca="false">IF(G829&lt;Parametres!$B$8*Parametres!$B$7,0,MIN(G829,Parametres!$B$7))</f>
        <v>133.22</v>
      </c>
      <c r="I829" s="20" t="n">
        <f aca="false">G829-H829</f>
        <v>0</v>
      </c>
      <c r="J829" s="21" t="n">
        <f aca="false">H829*1000/Parametres!$B$9</f>
        <v>2259.1148041377</v>
      </c>
    </row>
    <row r="830" customFormat="false" ht="15" hidden="false" customHeight="false" outlineLevel="0" collapsed="false">
      <c r="A830" s="0" t="n">
        <v>826</v>
      </c>
      <c r="B830" s="0" t="n">
        <v>2</v>
      </c>
      <c r="C830" s="19" t="n">
        <v>0.6473</v>
      </c>
      <c r="D830" s="19" t="n">
        <v>0.0138</v>
      </c>
      <c r="E830" s="20" t="n">
        <f aca="false">Parametres!$B$5*C830</f>
        <v>194.19</v>
      </c>
      <c r="F830" s="20" t="n">
        <f aca="false">Parametres!$B$6*D830</f>
        <v>2.76</v>
      </c>
      <c r="G830" s="20" t="n">
        <f aca="false">E830+F830</f>
        <v>196.95</v>
      </c>
      <c r="H830" s="20" t="n">
        <f aca="false">IF(G830&lt;Parametres!$B$8*Parametres!$B$7,0,MIN(G830,Parametres!$B$7))</f>
        <v>196.95</v>
      </c>
      <c r="I830" s="20" t="n">
        <f aca="false">G830-H830</f>
        <v>0</v>
      </c>
      <c r="J830" s="21" t="n">
        <f aca="false">H830*1000/Parametres!$B$9</f>
        <v>3339.83381380363</v>
      </c>
    </row>
    <row r="831" customFormat="false" ht="15" hidden="false" customHeight="false" outlineLevel="0" collapsed="false">
      <c r="A831" s="0" t="n">
        <v>827</v>
      </c>
      <c r="B831" s="0" t="n">
        <v>2</v>
      </c>
      <c r="C831" s="19" t="n">
        <v>0.8287</v>
      </c>
      <c r="D831" s="19" t="n">
        <v>0.0029</v>
      </c>
      <c r="E831" s="20" t="n">
        <f aca="false">Parametres!$B$5*C831</f>
        <v>248.61</v>
      </c>
      <c r="F831" s="20" t="n">
        <f aca="false">Parametres!$B$6*D831</f>
        <v>0.58</v>
      </c>
      <c r="G831" s="20" t="n">
        <f aca="false">E831+F831</f>
        <v>249.19</v>
      </c>
      <c r="H831" s="20" t="n">
        <f aca="false">IF(G831&lt;Parametres!$B$8*Parametres!$B$7,0,MIN(G831,Parametres!$B$7))</f>
        <v>249.19</v>
      </c>
      <c r="I831" s="20" t="n">
        <f aca="false">G831-H831</f>
        <v>0</v>
      </c>
      <c r="J831" s="21" t="n">
        <f aca="false">H831*1000/Parametres!$B$9</f>
        <v>4225.70798711209</v>
      </c>
    </row>
    <row r="832" customFormat="false" ht="15" hidden="false" customHeight="false" outlineLevel="0" collapsed="false">
      <c r="A832" s="0" t="n">
        <v>828</v>
      </c>
      <c r="B832" s="0" t="n">
        <v>2</v>
      </c>
      <c r="C832" s="19" t="n">
        <v>0.9012</v>
      </c>
      <c r="D832" s="19" t="n">
        <v>0.0091</v>
      </c>
      <c r="E832" s="20" t="n">
        <f aca="false">Parametres!$B$5*C832</f>
        <v>270.36</v>
      </c>
      <c r="F832" s="20" t="n">
        <f aca="false">Parametres!$B$6*D832</f>
        <v>1.82</v>
      </c>
      <c r="G832" s="20" t="n">
        <f aca="false">E832+F832</f>
        <v>272.18</v>
      </c>
      <c r="H832" s="20" t="n">
        <f aca="false">IF(G832&lt;Parametres!$B$8*Parametres!$B$7,0,MIN(G832,Parametres!$B$7))</f>
        <v>250</v>
      </c>
      <c r="I832" s="20" t="n">
        <f aca="false">G832-H832</f>
        <v>22.18</v>
      </c>
      <c r="J832" s="21" t="n">
        <f aca="false">H832*1000/Parametres!$B$9</f>
        <v>4239.44378497541</v>
      </c>
    </row>
    <row r="833" customFormat="false" ht="15" hidden="false" customHeight="false" outlineLevel="0" collapsed="false">
      <c r="A833" s="0" t="n">
        <v>829</v>
      </c>
      <c r="B833" s="0" t="n">
        <v>2</v>
      </c>
      <c r="C833" s="19" t="n">
        <v>0.9307</v>
      </c>
      <c r="D833" s="19" t="n">
        <v>0.0047</v>
      </c>
      <c r="E833" s="20" t="n">
        <f aca="false">Parametres!$B$5*C833</f>
        <v>279.21</v>
      </c>
      <c r="F833" s="20" t="n">
        <f aca="false">Parametres!$B$6*D833</f>
        <v>0.94</v>
      </c>
      <c r="G833" s="20" t="n">
        <f aca="false">E833+F833</f>
        <v>280.15</v>
      </c>
      <c r="H833" s="20" t="n">
        <f aca="false">IF(G833&lt;Parametres!$B$8*Parametres!$B$7,0,MIN(G833,Parametres!$B$7))</f>
        <v>250</v>
      </c>
      <c r="I833" s="20" t="n">
        <f aca="false">G833-H833</f>
        <v>30.15</v>
      </c>
      <c r="J833" s="21" t="n">
        <f aca="false">H833*1000/Parametres!$B$9</f>
        <v>4239.44378497541</v>
      </c>
    </row>
    <row r="834" customFormat="false" ht="15" hidden="false" customHeight="false" outlineLevel="0" collapsed="false">
      <c r="A834" s="0" t="n">
        <v>830</v>
      </c>
      <c r="B834" s="0" t="n">
        <v>2</v>
      </c>
      <c r="C834" s="19" t="n">
        <v>0.8731</v>
      </c>
      <c r="D834" s="19" t="n">
        <v>0.0203</v>
      </c>
      <c r="E834" s="20" t="n">
        <f aca="false">Parametres!$B$5*C834</f>
        <v>261.93</v>
      </c>
      <c r="F834" s="20" t="n">
        <f aca="false">Parametres!$B$6*D834</f>
        <v>4.06</v>
      </c>
      <c r="G834" s="20" t="n">
        <f aca="false">E834+F834</f>
        <v>265.99</v>
      </c>
      <c r="H834" s="20" t="n">
        <f aca="false">IF(G834&lt;Parametres!$B$8*Parametres!$B$7,0,MIN(G834,Parametres!$B$7))</f>
        <v>250</v>
      </c>
      <c r="I834" s="20" t="n">
        <f aca="false">G834-H834</f>
        <v>15.99</v>
      </c>
      <c r="J834" s="21" t="n">
        <f aca="false">H834*1000/Parametres!$B$9</f>
        <v>4239.44378497541</v>
      </c>
    </row>
    <row r="835" customFormat="false" ht="15" hidden="false" customHeight="false" outlineLevel="0" collapsed="false">
      <c r="A835" s="0" t="n">
        <v>831</v>
      </c>
      <c r="B835" s="0" t="n">
        <v>2</v>
      </c>
      <c r="C835" s="19" t="n">
        <v>0.6811</v>
      </c>
      <c r="D835" s="19" t="n">
        <v>0.1391</v>
      </c>
      <c r="E835" s="20" t="n">
        <f aca="false">Parametres!$B$5*C835</f>
        <v>204.33</v>
      </c>
      <c r="F835" s="20" t="n">
        <f aca="false">Parametres!$B$6*D835</f>
        <v>27.82</v>
      </c>
      <c r="G835" s="20" t="n">
        <f aca="false">E835+F835</f>
        <v>232.15</v>
      </c>
      <c r="H835" s="20" t="n">
        <f aca="false">IF(G835&lt;Parametres!$B$8*Parametres!$B$7,0,MIN(G835,Parametres!$B$7))</f>
        <v>232.15</v>
      </c>
      <c r="I835" s="20" t="n">
        <f aca="false">G835-H835</f>
        <v>0</v>
      </c>
      <c r="J835" s="21" t="n">
        <f aca="false">H835*1000/Parametres!$B$9</f>
        <v>3936.74749872817</v>
      </c>
    </row>
    <row r="836" customFormat="false" ht="15" hidden="false" customHeight="false" outlineLevel="0" collapsed="false">
      <c r="A836" s="0" t="n">
        <v>832</v>
      </c>
      <c r="B836" s="0" t="n">
        <v>2</v>
      </c>
      <c r="C836" s="19" t="n">
        <v>0.4232</v>
      </c>
      <c r="D836" s="19" t="n">
        <v>0.122</v>
      </c>
      <c r="E836" s="20" t="n">
        <f aca="false">Parametres!$B$5*C836</f>
        <v>126.96</v>
      </c>
      <c r="F836" s="20" t="n">
        <f aca="false">Parametres!$B$6*D836</f>
        <v>24.4</v>
      </c>
      <c r="G836" s="20" t="n">
        <f aca="false">E836+F836</f>
        <v>151.36</v>
      </c>
      <c r="H836" s="20" t="n">
        <f aca="false">IF(G836&lt;Parametres!$B$8*Parametres!$B$7,0,MIN(G836,Parametres!$B$7))</f>
        <v>151.36</v>
      </c>
      <c r="I836" s="20" t="n">
        <f aca="false">G836-H836</f>
        <v>0</v>
      </c>
      <c r="J836" s="21" t="n">
        <f aca="false">H836*1000/Parametres!$B$9</f>
        <v>2566.72884517551</v>
      </c>
    </row>
    <row r="837" customFormat="false" ht="15" hidden="false" customHeight="false" outlineLevel="0" collapsed="false">
      <c r="A837" s="0" t="n">
        <v>833</v>
      </c>
      <c r="B837" s="0" t="n">
        <v>2</v>
      </c>
      <c r="C837" s="19" t="n">
        <v>0.1848</v>
      </c>
      <c r="D837" s="19" t="n">
        <v>0.229</v>
      </c>
      <c r="E837" s="20" t="n">
        <f aca="false">Parametres!$B$5*C837</f>
        <v>55.44</v>
      </c>
      <c r="F837" s="20" t="n">
        <f aca="false">Parametres!$B$6*D837</f>
        <v>45.8</v>
      </c>
      <c r="G837" s="20" t="n">
        <f aca="false">E837+F837</f>
        <v>101.24</v>
      </c>
      <c r="H837" s="20" t="n">
        <f aca="false">IF(G837&lt;Parametres!$B$8*Parametres!$B$7,0,MIN(G837,Parametres!$B$7))</f>
        <v>101.24</v>
      </c>
      <c r="I837" s="20" t="n">
        <f aca="false">G837-H837</f>
        <v>0</v>
      </c>
      <c r="J837" s="21" t="n">
        <f aca="false">H837*1000/Parametres!$B$9</f>
        <v>1716.80515516364</v>
      </c>
    </row>
    <row r="838" customFormat="false" ht="15" hidden="false" customHeight="false" outlineLevel="0" collapsed="false">
      <c r="A838" s="0" t="n">
        <v>834</v>
      </c>
      <c r="B838" s="0" t="n">
        <v>2</v>
      </c>
      <c r="C838" s="19" t="n">
        <v>0</v>
      </c>
      <c r="D838" s="19" t="n">
        <v>0.2657</v>
      </c>
      <c r="E838" s="20" t="n">
        <f aca="false">Parametres!$B$5*C838</f>
        <v>0</v>
      </c>
      <c r="F838" s="20" t="n">
        <f aca="false">Parametres!$B$6*D838</f>
        <v>53.14</v>
      </c>
      <c r="G838" s="20" t="n">
        <f aca="false">E838+F838</f>
        <v>53.14</v>
      </c>
      <c r="H838" s="20" t="n">
        <f aca="false">IF(G838&lt;Parametres!$B$8*Parametres!$B$7,0,MIN(G838,Parametres!$B$7))</f>
        <v>53.14</v>
      </c>
      <c r="I838" s="20" t="n">
        <f aca="false">G838-H838</f>
        <v>0</v>
      </c>
      <c r="J838" s="21" t="n">
        <f aca="false">H838*1000/Parametres!$B$9</f>
        <v>901.136170934374</v>
      </c>
    </row>
    <row r="839" customFormat="false" ht="15" hidden="false" customHeight="false" outlineLevel="0" collapsed="false">
      <c r="A839" s="0" t="n">
        <v>835</v>
      </c>
      <c r="B839" s="0" t="n">
        <v>2</v>
      </c>
      <c r="C839" s="19" t="n">
        <v>0</v>
      </c>
      <c r="D839" s="19" t="n">
        <v>0.2001</v>
      </c>
      <c r="E839" s="20" t="n">
        <f aca="false">Parametres!$B$5*C839</f>
        <v>0</v>
      </c>
      <c r="F839" s="20" t="n">
        <f aca="false">Parametres!$B$6*D839</f>
        <v>40.02</v>
      </c>
      <c r="G839" s="20" t="n">
        <f aca="false">E839+F839</f>
        <v>40.02</v>
      </c>
      <c r="H839" s="20" t="n">
        <f aca="false">IF(G839&lt;Parametres!$B$8*Parametres!$B$7,0,MIN(G839,Parametres!$B$7))</f>
        <v>40.02</v>
      </c>
      <c r="I839" s="20" t="n">
        <f aca="false">G839-H839</f>
        <v>0</v>
      </c>
      <c r="J839" s="21" t="n">
        <f aca="false">H839*1000/Parametres!$B$9</f>
        <v>678.650161098864</v>
      </c>
    </row>
    <row r="840" customFormat="false" ht="15" hidden="false" customHeight="false" outlineLevel="0" collapsed="false">
      <c r="A840" s="0" t="n">
        <v>836</v>
      </c>
      <c r="B840" s="0" t="n">
        <v>2</v>
      </c>
      <c r="C840" s="19" t="n">
        <v>0</v>
      </c>
      <c r="D840" s="19" t="n">
        <v>0.1257</v>
      </c>
      <c r="E840" s="20" t="n">
        <f aca="false">Parametres!$B$5*C840</f>
        <v>0</v>
      </c>
      <c r="F840" s="20" t="n">
        <f aca="false">Parametres!$B$6*D840</f>
        <v>25.14</v>
      </c>
      <c r="G840" s="20" t="n">
        <f aca="false">E840+F840</f>
        <v>25.14</v>
      </c>
      <c r="H840" s="20" t="n">
        <f aca="false">IF(G840&lt;Parametres!$B$8*Parametres!$B$7,0,MIN(G840,Parametres!$B$7))</f>
        <v>25.14</v>
      </c>
      <c r="I840" s="20" t="n">
        <f aca="false">G840-H840</f>
        <v>0</v>
      </c>
      <c r="J840" s="21" t="n">
        <f aca="false">H840*1000/Parametres!$B$9</f>
        <v>426.318467017127</v>
      </c>
    </row>
    <row r="841" customFormat="false" ht="15" hidden="false" customHeight="false" outlineLevel="0" collapsed="false">
      <c r="A841" s="0" t="n">
        <v>837</v>
      </c>
      <c r="B841" s="0" t="n">
        <v>2</v>
      </c>
      <c r="C841" s="19" t="n">
        <v>0</v>
      </c>
      <c r="D841" s="19" t="n">
        <v>0.1467</v>
      </c>
      <c r="E841" s="20" t="n">
        <f aca="false">Parametres!$B$5*C841</f>
        <v>0</v>
      </c>
      <c r="F841" s="20" t="n">
        <f aca="false">Parametres!$B$6*D841</f>
        <v>29.34</v>
      </c>
      <c r="G841" s="20" t="n">
        <f aca="false">E841+F841</f>
        <v>29.34</v>
      </c>
      <c r="H841" s="20" t="n">
        <f aca="false">IF(G841&lt;Parametres!$B$8*Parametres!$B$7,0,MIN(G841,Parametres!$B$7))</f>
        <v>29.34</v>
      </c>
      <c r="I841" s="20" t="n">
        <f aca="false">G841-H841</f>
        <v>0</v>
      </c>
      <c r="J841" s="21" t="n">
        <f aca="false">H841*1000/Parametres!$B$9</f>
        <v>497.541122604714</v>
      </c>
    </row>
    <row r="842" customFormat="false" ht="15" hidden="false" customHeight="false" outlineLevel="0" collapsed="false">
      <c r="A842" s="0" t="n">
        <v>838</v>
      </c>
      <c r="B842" s="0" t="n">
        <v>2</v>
      </c>
      <c r="C842" s="19" t="n">
        <v>0</v>
      </c>
      <c r="D842" s="19" t="n">
        <v>0.2324</v>
      </c>
      <c r="E842" s="20" t="n">
        <f aca="false">Parametres!$B$5*C842</f>
        <v>0</v>
      </c>
      <c r="F842" s="20" t="n">
        <f aca="false">Parametres!$B$6*D842</f>
        <v>46.48</v>
      </c>
      <c r="G842" s="20" t="n">
        <f aca="false">E842+F842</f>
        <v>46.48</v>
      </c>
      <c r="H842" s="20" t="n">
        <f aca="false">IF(G842&lt;Parametres!$B$8*Parametres!$B$7,0,MIN(G842,Parametres!$B$7))</f>
        <v>46.48</v>
      </c>
      <c r="I842" s="20" t="n">
        <f aca="false">G842-H842</f>
        <v>0</v>
      </c>
      <c r="J842" s="21" t="n">
        <f aca="false">H842*1000/Parametres!$B$9</f>
        <v>788.197388502628</v>
      </c>
    </row>
    <row r="843" customFormat="false" ht="15" hidden="false" customHeight="false" outlineLevel="0" collapsed="false">
      <c r="A843" s="0" t="n">
        <v>839</v>
      </c>
      <c r="B843" s="0" t="n">
        <v>2</v>
      </c>
      <c r="C843" s="19" t="n">
        <v>0</v>
      </c>
      <c r="D843" s="19" t="n">
        <v>0.2302</v>
      </c>
      <c r="E843" s="20" t="n">
        <f aca="false">Parametres!$B$5*C843</f>
        <v>0</v>
      </c>
      <c r="F843" s="20" t="n">
        <f aca="false">Parametres!$B$6*D843</f>
        <v>46.04</v>
      </c>
      <c r="G843" s="20" t="n">
        <f aca="false">E843+F843</f>
        <v>46.04</v>
      </c>
      <c r="H843" s="20" t="n">
        <f aca="false">IF(G843&lt;Parametres!$B$8*Parametres!$B$7,0,MIN(G843,Parametres!$B$7))</f>
        <v>46.04</v>
      </c>
      <c r="I843" s="20" t="n">
        <f aca="false">G843-H843</f>
        <v>0</v>
      </c>
      <c r="J843" s="21" t="n">
        <f aca="false">H843*1000/Parametres!$B$9</f>
        <v>780.735967441072</v>
      </c>
    </row>
    <row r="844" customFormat="false" ht="15" hidden="false" customHeight="false" outlineLevel="0" collapsed="false">
      <c r="A844" s="0" t="n">
        <v>840</v>
      </c>
      <c r="B844" s="0" t="n">
        <v>2</v>
      </c>
      <c r="C844" s="19" t="n">
        <v>0</v>
      </c>
      <c r="D844" s="19" t="n">
        <v>0.103</v>
      </c>
      <c r="E844" s="20" t="n">
        <f aca="false">Parametres!$B$5*C844</f>
        <v>0</v>
      </c>
      <c r="F844" s="20" t="n">
        <f aca="false">Parametres!$B$6*D844</f>
        <v>20.6</v>
      </c>
      <c r="G844" s="20" t="n">
        <f aca="false">E844+F844</f>
        <v>20.6</v>
      </c>
      <c r="H844" s="20" t="n">
        <f aca="false">IF(G844&lt;Parametres!$B$8*Parametres!$B$7,0,MIN(G844,Parametres!$B$7))</f>
        <v>0</v>
      </c>
      <c r="I844" s="20" t="n">
        <f aca="false">G844-H844</f>
        <v>20.6</v>
      </c>
      <c r="J844" s="21" t="n">
        <f aca="false">H844*1000/Parametres!$B$9</f>
        <v>0</v>
      </c>
    </row>
    <row r="845" customFormat="false" ht="15" hidden="false" customHeight="false" outlineLevel="0" collapsed="false">
      <c r="A845" s="0" t="n">
        <v>841</v>
      </c>
      <c r="B845" s="0" t="n">
        <v>2</v>
      </c>
      <c r="C845" s="19" t="n">
        <v>0</v>
      </c>
      <c r="D845" s="19" t="n">
        <v>0.0517</v>
      </c>
      <c r="E845" s="20" t="n">
        <f aca="false">Parametres!$B$5*C845</f>
        <v>0</v>
      </c>
      <c r="F845" s="20" t="n">
        <f aca="false">Parametres!$B$6*D845</f>
        <v>10.34</v>
      </c>
      <c r="G845" s="20" t="n">
        <f aca="false">E845+F845</f>
        <v>10.34</v>
      </c>
      <c r="H845" s="20" t="n">
        <f aca="false">IF(G845&lt;Parametres!$B$8*Parametres!$B$7,0,MIN(G845,Parametres!$B$7))</f>
        <v>0</v>
      </c>
      <c r="I845" s="20" t="n">
        <f aca="false">G845-H845</f>
        <v>10.34</v>
      </c>
      <c r="J845" s="21" t="n">
        <f aca="false">H845*1000/Parametres!$B$9</f>
        <v>0</v>
      </c>
    </row>
    <row r="846" customFormat="false" ht="15" hidden="false" customHeight="false" outlineLevel="0" collapsed="false">
      <c r="A846" s="0" t="n">
        <v>842</v>
      </c>
      <c r="B846" s="0" t="n">
        <v>2</v>
      </c>
      <c r="C846" s="19" t="n">
        <v>0</v>
      </c>
      <c r="D846" s="19" t="n">
        <v>0.0393</v>
      </c>
      <c r="E846" s="20" t="n">
        <f aca="false">Parametres!$B$5*C846</f>
        <v>0</v>
      </c>
      <c r="F846" s="20" t="n">
        <f aca="false">Parametres!$B$6*D846</f>
        <v>7.86</v>
      </c>
      <c r="G846" s="20" t="n">
        <f aca="false">E846+F846</f>
        <v>7.86</v>
      </c>
      <c r="H846" s="20" t="n">
        <f aca="false">IF(G846&lt;Parametres!$B$8*Parametres!$B$7,0,MIN(G846,Parametres!$B$7))</f>
        <v>0</v>
      </c>
      <c r="I846" s="20" t="n">
        <f aca="false">G846-H846</f>
        <v>7.86</v>
      </c>
      <c r="J846" s="21" t="n">
        <f aca="false">H846*1000/Parametres!$B$9</f>
        <v>0</v>
      </c>
    </row>
    <row r="847" customFormat="false" ht="15" hidden="false" customHeight="false" outlineLevel="0" collapsed="false">
      <c r="A847" s="0" t="n">
        <v>843</v>
      </c>
      <c r="B847" s="0" t="n">
        <v>2</v>
      </c>
      <c r="C847" s="19" t="n">
        <v>0</v>
      </c>
      <c r="D847" s="19" t="n">
        <v>0.073</v>
      </c>
      <c r="E847" s="20" t="n">
        <f aca="false">Parametres!$B$5*C847</f>
        <v>0</v>
      </c>
      <c r="F847" s="20" t="n">
        <f aca="false">Parametres!$B$6*D847</f>
        <v>14.6</v>
      </c>
      <c r="G847" s="20" t="n">
        <f aca="false">E847+F847</f>
        <v>14.6</v>
      </c>
      <c r="H847" s="20" t="n">
        <f aca="false">IF(G847&lt;Parametres!$B$8*Parametres!$B$7,0,MIN(G847,Parametres!$B$7))</f>
        <v>0</v>
      </c>
      <c r="I847" s="20" t="n">
        <f aca="false">G847-H847</f>
        <v>14.6</v>
      </c>
      <c r="J847" s="21" t="n">
        <f aca="false">H847*1000/Parametres!$B$9</f>
        <v>0</v>
      </c>
    </row>
    <row r="848" customFormat="false" ht="15" hidden="false" customHeight="false" outlineLevel="0" collapsed="false">
      <c r="A848" s="0" t="n">
        <v>844</v>
      </c>
      <c r="B848" s="0" t="n">
        <v>2</v>
      </c>
      <c r="C848" s="19" t="n">
        <v>0</v>
      </c>
      <c r="D848" s="19" t="n">
        <v>0.0779</v>
      </c>
      <c r="E848" s="20" t="n">
        <f aca="false">Parametres!$B$5*C848</f>
        <v>0</v>
      </c>
      <c r="F848" s="20" t="n">
        <f aca="false">Parametres!$B$6*D848</f>
        <v>15.58</v>
      </c>
      <c r="G848" s="20" t="n">
        <f aca="false">E848+F848</f>
        <v>15.58</v>
      </c>
      <c r="H848" s="20" t="n">
        <f aca="false">IF(G848&lt;Parametres!$B$8*Parametres!$B$7,0,MIN(G848,Parametres!$B$7))</f>
        <v>0</v>
      </c>
      <c r="I848" s="20" t="n">
        <f aca="false">G848-H848</f>
        <v>15.58</v>
      </c>
      <c r="J848" s="21" t="n">
        <f aca="false">H848*1000/Parametres!$B$9</f>
        <v>0</v>
      </c>
    </row>
    <row r="849" customFormat="false" ht="15" hidden="false" customHeight="false" outlineLevel="0" collapsed="false">
      <c r="A849" s="0" t="n">
        <v>845</v>
      </c>
      <c r="B849" s="0" t="n">
        <v>2</v>
      </c>
      <c r="C849" s="19" t="n">
        <v>0</v>
      </c>
      <c r="D849" s="19" t="n">
        <v>0.0885</v>
      </c>
      <c r="E849" s="20" t="n">
        <f aca="false">Parametres!$B$5*C849</f>
        <v>0</v>
      </c>
      <c r="F849" s="20" t="n">
        <f aca="false">Parametres!$B$6*D849</f>
        <v>17.7</v>
      </c>
      <c r="G849" s="20" t="n">
        <f aca="false">E849+F849</f>
        <v>17.7</v>
      </c>
      <c r="H849" s="20" t="n">
        <f aca="false">IF(G849&lt;Parametres!$B$8*Parametres!$B$7,0,MIN(G849,Parametres!$B$7))</f>
        <v>0</v>
      </c>
      <c r="I849" s="20" t="n">
        <f aca="false">G849-H849</f>
        <v>17.7</v>
      </c>
      <c r="J849" s="21" t="n">
        <f aca="false">H849*1000/Parametres!$B$9</f>
        <v>0</v>
      </c>
    </row>
    <row r="850" customFormat="false" ht="15" hidden="false" customHeight="false" outlineLevel="0" collapsed="false">
      <c r="A850" s="0" t="n">
        <v>846</v>
      </c>
      <c r="B850" s="0" t="n">
        <v>2</v>
      </c>
      <c r="C850" s="19" t="n">
        <v>0</v>
      </c>
      <c r="D850" s="19" t="n">
        <v>0.1512</v>
      </c>
      <c r="E850" s="20" t="n">
        <f aca="false">Parametres!$B$5*C850</f>
        <v>0</v>
      </c>
      <c r="F850" s="20" t="n">
        <f aca="false">Parametres!$B$6*D850</f>
        <v>30.24</v>
      </c>
      <c r="G850" s="20" t="n">
        <f aca="false">E850+F850</f>
        <v>30.24</v>
      </c>
      <c r="H850" s="20" t="n">
        <f aca="false">IF(G850&lt;Parametres!$B$8*Parametres!$B$7,0,MIN(G850,Parametres!$B$7))</f>
        <v>30.24</v>
      </c>
      <c r="I850" s="20" t="n">
        <f aca="false">G850-H850</f>
        <v>0</v>
      </c>
      <c r="J850" s="21" t="n">
        <f aca="false">H850*1000/Parametres!$B$9</f>
        <v>512.803120230626</v>
      </c>
    </row>
    <row r="851" customFormat="false" ht="15" hidden="false" customHeight="false" outlineLevel="0" collapsed="false">
      <c r="A851" s="0" t="n">
        <v>847</v>
      </c>
      <c r="B851" s="0" t="n">
        <v>2</v>
      </c>
      <c r="C851" s="19" t="n">
        <v>0</v>
      </c>
      <c r="D851" s="19" t="n">
        <v>0.1473</v>
      </c>
      <c r="E851" s="20" t="n">
        <f aca="false">Parametres!$B$5*C851</f>
        <v>0</v>
      </c>
      <c r="F851" s="20" t="n">
        <f aca="false">Parametres!$B$6*D851</f>
        <v>29.46</v>
      </c>
      <c r="G851" s="20" t="n">
        <f aca="false">E851+F851</f>
        <v>29.46</v>
      </c>
      <c r="H851" s="20" t="n">
        <f aca="false">IF(G851&lt;Parametres!$B$8*Parametres!$B$7,0,MIN(G851,Parametres!$B$7))</f>
        <v>29.46</v>
      </c>
      <c r="I851" s="20" t="n">
        <f aca="false">G851-H851</f>
        <v>0</v>
      </c>
      <c r="J851" s="21" t="n">
        <f aca="false">H851*1000/Parametres!$B$9</f>
        <v>499.576055621502</v>
      </c>
    </row>
    <row r="852" customFormat="false" ht="15" hidden="false" customHeight="false" outlineLevel="0" collapsed="false">
      <c r="A852" s="0" t="n">
        <v>848</v>
      </c>
      <c r="B852" s="0" t="n">
        <v>2</v>
      </c>
      <c r="C852" s="19" t="n">
        <v>0.2062</v>
      </c>
      <c r="D852" s="19" t="n">
        <v>0.156</v>
      </c>
      <c r="E852" s="20" t="n">
        <f aca="false">Parametres!$B$5*C852</f>
        <v>61.86</v>
      </c>
      <c r="F852" s="20" t="n">
        <f aca="false">Parametres!$B$6*D852</f>
        <v>31.2</v>
      </c>
      <c r="G852" s="20" t="n">
        <f aca="false">E852+F852</f>
        <v>93.06</v>
      </c>
      <c r="H852" s="20" t="n">
        <f aca="false">IF(G852&lt;Parametres!$B$8*Parametres!$B$7,0,MIN(G852,Parametres!$B$7))</f>
        <v>93.06</v>
      </c>
      <c r="I852" s="20" t="n">
        <f aca="false">G852-H852</f>
        <v>0</v>
      </c>
      <c r="J852" s="21" t="n">
        <f aca="false">H852*1000/Parametres!$B$9</f>
        <v>1578.09055451925</v>
      </c>
    </row>
    <row r="853" customFormat="false" ht="15" hidden="false" customHeight="false" outlineLevel="0" collapsed="false">
      <c r="A853" s="0" t="n">
        <v>849</v>
      </c>
      <c r="B853" s="0" t="n">
        <v>2</v>
      </c>
      <c r="C853" s="19" t="n">
        <v>0.4511</v>
      </c>
      <c r="D853" s="19" t="n">
        <v>0.1636</v>
      </c>
      <c r="E853" s="20" t="n">
        <f aca="false">Parametres!$B$5*C853</f>
        <v>135.33</v>
      </c>
      <c r="F853" s="20" t="n">
        <f aca="false">Parametres!$B$6*D853</f>
        <v>32.72</v>
      </c>
      <c r="G853" s="20" t="n">
        <f aca="false">E853+F853</f>
        <v>168.05</v>
      </c>
      <c r="H853" s="20" t="n">
        <f aca="false">IF(G853&lt;Parametres!$B$8*Parametres!$B$7,0,MIN(G853,Parametres!$B$7))</f>
        <v>168.05</v>
      </c>
      <c r="I853" s="20" t="n">
        <f aca="false">G853-H853</f>
        <v>0</v>
      </c>
      <c r="J853" s="21" t="n">
        <f aca="false">H853*1000/Parametres!$B$9</f>
        <v>2849.75411226047</v>
      </c>
    </row>
    <row r="854" customFormat="false" ht="15" hidden="false" customHeight="false" outlineLevel="0" collapsed="false">
      <c r="A854" s="0" t="n">
        <v>850</v>
      </c>
      <c r="B854" s="0" t="n">
        <v>2</v>
      </c>
      <c r="C854" s="19" t="n">
        <v>0.6366</v>
      </c>
      <c r="D854" s="19" t="n">
        <v>0.0854</v>
      </c>
      <c r="E854" s="20" t="n">
        <f aca="false">Parametres!$B$5*C854</f>
        <v>190.98</v>
      </c>
      <c r="F854" s="20" t="n">
        <f aca="false">Parametres!$B$6*D854</f>
        <v>17.08</v>
      </c>
      <c r="G854" s="20" t="n">
        <f aca="false">E854+F854</f>
        <v>208.06</v>
      </c>
      <c r="H854" s="20" t="n">
        <f aca="false">IF(G854&lt;Parametres!$B$8*Parametres!$B$7,0,MIN(G854,Parametres!$B$7))</f>
        <v>208.06</v>
      </c>
      <c r="I854" s="20" t="n">
        <f aca="false">G854-H854</f>
        <v>0</v>
      </c>
      <c r="J854" s="21" t="n">
        <f aca="false">H854*1000/Parametres!$B$9</f>
        <v>3528.23469560794</v>
      </c>
    </row>
    <row r="855" customFormat="false" ht="15" hidden="false" customHeight="false" outlineLevel="0" collapsed="false">
      <c r="A855" s="0" t="n">
        <v>851</v>
      </c>
      <c r="B855" s="0" t="n">
        <v>2</v>
      </c>
      <c r="C855" s="19" t="n">
        <v>0.8191</v>
      </c>
      <c r="D855" s="19" t="n">
        <v>0.1258</v>
      </c>
      <c r="E855" s="20" t="n">
        <f aca="false">Parametres!$B$5*C855</f>
        <v>245.73</v>
      </c>
      <c r="F855" s="20" t="n">
        <f aca="false">Parametres!$B$6*D855</f>
        <v>25.16</v>
      </c>
      <c r="G855" s="20" t="n">
        <f aca="false">E855+F855</f>
        <v>270.89</v>
      </c>
      <c r="H855" s="20" t="n">
        <f aca="false">IF(G855&lt;Parametres!$B$8*Parametres!$B$7,0,MIN(G855,Parametres!$B$7))</f>
        <v>250</v>
      </c>
      <c r="I855" s="20" t="n">
        <f aca="false">G855-H855</f>
        <v>20.89</v>
      </c>
      <c r="J855" s="21" t="n">
        <f aca="false">H855*1000/Parametres!$B$9</f>
        <v>4239.44378497541</v>
      </c>
    </row>
    <row r="856" customFormat="false" ht="15" hidden="false" customHeight="false" outlineLevel="0" collapsed="false">
      <c r="A856" s="0" t="n">
        <v>852</v>
      </c>
      <c r="B856" s="0" t="n">
        <v>2</v>
      </c>
      <c r="C856" s="19" t="n">
        <v>0.9376</v>
      </c>
      <c r="D856" s="19" t="n">
        <v>0.1751</v>
      </c>
      <c r="E856" s="20" t="n">
        <f aca="false">Parametres!$B$5*C856</f>
        <v>281.28</v>
      </c>
      <c r="F856" s="20" t="n">
        <f aca="false">Parametres!$B$6*D856</f>
        <v>35.02</v>
      </c>
      <c r="G856" s="20" t="n">
        <f aca="false">E856+F856</f>
        <v>316.3</v>
      </c>
      <c r="H856" s="20" t="n">
        <f aca="false">IF(G856&lt;Parametres!$B$8*Parametres!$B$7,0,MIN(G856,Parametres!$B$7))</f>
        <v>250</v>
      </c>
      <c r="I856" s="20" t="n">
        <f aca="false">G856-H856</f>
        <v>66.3</v>
      </c>
      <c r="J856" s="21" t="n">
        <f aca="false">H856*1000/Parametres!$B$9</f>
        <v>4239.44378497541</v>
      </c>
    </row>
    <row r="857" customFormat="false" ht="15" hidden="false" customHeight="false" outlineLevel="0" collapsed="false">
      <c r="A857" s="0" t="n">
        <v>853</v>
      </c>
      <c r="B857" s="0" t="n">
        <v>2</v>
      </c>
      <c r="C857" s="19" t="n">
        <v>0.9823</v>
      </c>
      <c r="D857" s="19" t="n">
        <v>0.2937</v>
      </c>
      <c r="E857" s="20" t="n">
        <f aca="false">Parametres!$B$5*C857</f>
        <v>294.69</v>
      </c>
      <c r="F857" s="20" t="n">
        <f aca="false">Parametres!$B$6*D857</f>
        <v>58.74</v>
      </c>
      <c r="G857" s="20" t="n">
        <f aca="false">E857+F857</f>
        <v>353.43</v>
      </c>
      <c r="H857" s="20" t="n">
        <f aca="false">IF(G857&lt;Parametres!$B$8*Parametres!$B$7,0,MIN(G857,Parametres!$B$7))</f>
        <v>250</v>
      </c>
      <c r="I857" s="20" t="n">
        <f aca="false">G857-H857</f>
        <v>103.43</v>
      </c>
      <c r="J857" s="21" t="n">
        <f aca="false">H857*1000/Parametres!$B$9</f>
        <v>4239.44378497541</v>
      </c>
    </row>
    <row r="858" customFormat="false" ht="15" hidden="false" customHeight="false" outlineLevel="0" collapsed="false">
      <c r="A858" s="0" t="n">
        <v>854</v>
      </c>
      <c r="B858" s="0" t="n">
        <v>2</v>
      </c>
      <c r="C858" s="19" t="n">
        <v>0.7912</v>
      </c>
      <c r="D858" s="19" t="n">
        <v>0.2016</v>
      </c>
      <c r="E858" s="20" t="n">
        <f aca="false">Parametres!$B$5*C858</f>
        <v>237.36</v>
      </c>
      <c r="F858" s="20" t="n">
        <f aca="false">Parametres!$B$6*D858</f>
        <v>40.32</v>
      </c>
      <c r="G858" s="20" t="n">
        <f aca="false">E858+F858</f>
        <v>277.68</v>
      </c>
      <c r="H858" s="20" t="n">
        <f aca="false">IF(G858&lt;Parametres!$B$8*Parametres!$B$7,0,MIN(G858,Parametres!$B$7))</f>
        <v>250</v>
      </c>
      <c r="I858" s="20" t="n">
        <f aca="false">G858-H858</f>
        <v>27.68</v>
      </c>
      <c r="J858" s="21" t="n">
        <f aca="false">H858*1000/Parametres!$B$9</f>
        <v>4239.44378497541</v>
      </c>
    </row>
    <row r="859" customFormat="false" ht="15" hidden="false" customHeight="false" outlineLevel="0" collapsed="false">
      <c r="A859" s="0" t="n">
        <v>855</v>
      </c>
      <c r="B859" s="0" t="n">
        <v>2</v>
      </c>
      <c r="C859" s="19" t="n">
        <v>0.6776</v>
      </c>
      <c r="D859" s="19" t="n">
        <v>0.1528</v>
      </c>
      <c r="E859" s="20" t="n">
        <f aca="false">Parametres!$B$5*C859</f>
        <v>203.28</v>
      </c>
      <c r="F859" s="20" t="n">
        <f aca="false">Parametres!$B$6*D859</f>
        <v>30.56</v>
      </c>
      <c r="G859" s="20" t="n">
        <f aca="false">E859+F859</f>
        <v>233.84</v>
      </c>
      <c r="H859" s="20" t="n">
        <f aca="false">IF(G859&lt;Parametres!$B$8*Parametres!$B$7,0,MIN(G859,Parametres!$B$7))</f>
        <v>233.84</v>
      </c>
      <c r="I859" s="20" t="n">
        <f aca="false">G859-H859</f>
        <v>0</v>
      </c>
      <c r="J859" s="21" t="n">
        <f aca="false">H859*1000/Parametres!$B$9</f>
        <v>3965.4061387146</v>
      </c>
    </row>
    <row r="860" customFormat="false" ht="15" hidden="false" customHeight="false" outlineLevel="0" collapsed="false">
      <c r="A860" s="0" t="n">
        <v>856</v>
      </c>
      <c r="B860" s="0" t="n">
        <v>2</v>
      </c>
      <c r="C860" s="19" t="n">
        <v>0.4454</v>
      </c>
      <c r="D860" s="19" t="n">
        <v>0.2427</v>
      </c>
      <c r="E860" s="20" t="n">
        <f aca="false">Parametres!$B$5*C860</f>
        <v>133.62</v>
      </c>
      <c r="F860" s="20" t="n">
        <f aca="false">Parametres!$B$6*D860</f>
        <v>48.54</v>
      </c>
      <c r="G860" s="20" t="n">
        <f aca="false">E860+F860</f>
        <v>182.16</v>
      </c>
      <c r="H860" s="20" t="n">
        <f aca="false">IF(G860&lt;Parametres!$B$8*Parametres!$B$7,0,MIN(G860,Parametres!$B$7))</f>
        <v>182.16</v>
      </c>
      <c r="I860" s="20" t="n">
        <f aca="false">G860-H860</f>
        <v>0</v>
      </c>
      <c r="J860" s="21" t="n">
        <f aca="false">H860*1000/Parametres!$B$9</f>
        <v>3089.02831948448</v>
      </c>
    </row>
    <row r="861" customFormat="false" ht="15" hidden="false" customHeight="false" outlineLevel="0" collapsed="false">
      <c r="A861" s="0" t="n">
        <v>857</v>
      </c>
      <c r="B861" s="0" t="n">
        <v>2</v>
      </c>
      <c r="C861" s="19" t="n">
        <v>0.208</v>
      </c>
      <c r="D861" s="19" t="n">
        <v>0.2809</v>
      </c>
      <c r="E861" s="20" t="n">
        <f aca="false">Parametres!$B$5*C861</f>
        <v>62.4</v>
      </c>
      <c r="F861" s="20" t="n">
        <f aca="false">Parametres!$B$6*D861</f>
        <v>56.18</v>
      </c>
      <c r="G861" s="20" t="n">
        <f aca="false">E861+F861</f>
        <v>118.58</v>
      </c>
      <c r="H861" s="20" t="n">
        <f aca="false">IF(G861&lt;Parametres!$B$8*Parametres!$B$7,0,MIN(G861,Parametres!$B$7))</f>
        <v>118.58</v>
      </c>
      <c r="I861" s="20" t="n">
        <f aca="false">G861-H861</f>
        <v>0</v>
      </c>
      <c r="J861" s="21" t="n">
        <f aca="false">H861*1000/Parametres!$B$9</f>
        <v>2010.85297608954</v>
      </c>
    </row>
    <row r="862" customFormat="false" ht="15" hidden="false" customHeight="false" outlineLevel="0" collapsed="false">
      <c r="A862" s="0" t="n">
        <v>858</v>
      </c>
      <c r="B862" s="0" t="n">
        <v>2</v>
      </c>
      <c r="C862" s="19" t="n">
        <v>0</v>
      </c>
      <c r="D862" s="19" t="n">
        <v>0.4591</v>
      </c>
      <c r="E862" s="20" t="n">
        <f aca="false">Parametres!$B$5*C862</f>
        <v>0</v>
      </c>
      <c r="F862" s="20" t="n">
        <f aca="false">Parametres!$B$6*D862</f>
        <v>91.82</v>
      </c>
      <c r="G862" s="20" t="n">
        <f aca="false">E862+F862</f>
        <v>91.82</v>
      </c>
      <c r="H862" s="20" t="n">
        <f aca="false">IF(G862&lt;Parametres!$B$8*Parametres!$B$7,0,MIN(G862,Parametres!$B$7))</f>
        <v>91.82</v>
      </c>
      <c r="I862" s="20" t="n">
        <f aca="false">G862-H862</f>
        <v>0</v>
      </c>
      <c r="J862" s="21" t="n">
        <f aca="false">H862*1000/Parametres!$B$9</f>
        <v>1557.06291334577</v>
      </c>
    </row>
    <row r="863" customFormat="false" ht="15" hidden="false" customHeight="false" outlineLevel="0" collapsed="false">
      <c r="A863" s="0" t="n">
        <v>859</v>
      </c>
      <c r="B863" s="0" t="n">
        <v>2</v>
      </c>
      <c r="C863" s="19" t="n">
        <v>0</v>
      </c>
      <c r="D863" s="19" t="n">
        <v>0.3168</v>
      </c>
      <c r="E863" s="20" t="n">
        <f aca="false">Parametres!$B$5*C863</f>
        <v>0</v>
      </c>
      <c r="F863" s="20" t="n">
        <f aca="false">Parametres!$B$6*D863</f>
        <v>63.36</v>
      </c>
      <c r="G863" s="20" t="n">
        <f aca="false">E863+F863</f>
        <v>63.36</v>
      </c>
      <c r="H863" s="20" t="n">
        <f aca="false">IF(G863&lt;Parametres!$B$8*Parametres!$B$7,0,MIN(G863,Parametres!$B$7))</f>
        <v>63.36</v>
      </c>
      <c r="I863" s="20" t="n">
        <f aca="false">G863-H863</f>
        <v>0</v>
      </c>
      <c r="J863" s="21" t="n">
        <f aca="false">H863*1000/Parametres!$B$9</f>
        <v>1074.44463286417</v>
      </c>
    </row>
    <row r="864" customFormat="false" ht="15" hidden="false" customHeight="false" outlineLevel="0" collapsed="false">
      <c r="A864" s="0" t="n">
        <v>860</v>
      </c>
      <c r="B864" s="0" t="n">
        <v>2</v>
      </c>
      <c r="C864" s="19" t="n">
        <v>0</v>
      </c>
      <c r="D864" s="19" t="n">
        <v>0.3145</v>
      </c>
      <c r="E864" s="20" t="n">
        <f aca="false">Parametres!$B$5*C864</f>
        <v>0</v>
      </c>
      <c r="F864" s="20" t="n">
        <f aca="false">Parametres!$B$6*D864</f>
        <v>62.9</v>
      </c>
      <c r="G864" s="20" t="n">
        <f aca="false">E864+F864</f>
        <v>62.9</v>
      </c>
      <c r="H864" s="20" t="n">
        <f aca="false">IF(G864&lt;Parametres!$B$8*Parametres!$B$7,0,MIN(G864,Parametres!$B$7))</f>
        <v>62.9</v>
      </c>
      <c r="I864" s="20" t="n">
        <f aca="false">G864-H864</f>
        <v>0</v>
      </c>
      <c r="J864" s="21" t="n">
        <f aca="false">H864*1000/Parametres!$B$9</f>
        <v>1066.64405629981</v>
      </c>
    </row>
    <row r="865" customFormat="false" ht="15" hidden="false" customHeight="false" outlineLevel="0" collapsed="false">
      <c r="A865" s="0" t="n">
        <v>861</v>
      </c>
      <c r="B865" s="0" t="n">
        <v>2</v>
      </c>
      <c r="C865" s="19" t="n">
        <v>0</v>
      </c>
      <c r="D865" s="19" t="n">
        <v>0.2155</v>
      </c>
      <c r="E865" s="20" t="n">
        <f aca="false">Parametres!$B$5*C865</f>
        <v>0</v>
      </c>
      <c r="F865" s="20" t="n">
        <f aca="false">Parametres!$B$6*D865</f>
        <v>43.1</v>
      </c>
      <c r="G865" s="20" t="n">
        <f aca="false">E865+F865</f>
        <v>43.1</v>
      </c>
      <c r="H865" s="20" t="n">
        <f aca="false">IF(G865&lt;Parametres!$B$8*Parametres!$B$7,0,MIN(G865,Parametres!$B$7))</f>
        <v>43.1</v>
      </c>
      <c r="I865" s="20" t="n">
        <f aca="false">G865-H865</f>
        <v>0</v>
      </c>
      <c r="J865" s="21" t="n">
        <f aca="false">H865*1000/Parametres!$B$9</f>
        <v>730.880108529761</v>
      </c>
    </row>
    <row r="866" customFormat="false" ht="15" hidden="false" customHeight="false" outlineLevel="0" collapsed="false">
      <c r="A866" s="0" t="n">
        <v>862</v>
      </c>
      <c r="B866" s="0" t="n">
        <v>2</v>
      </c>
      <c r="C866" s="19" t="n">
        <v>0</v>
      </c>
      <c r="D866" s="19" t="n">
        <v>0.2141</v>
      </c>
      <c r="E866" s="20" t="n">
        <f aca="false">Parametres!$B$5*C866</f>
        <v>0</v>
      </c>
      <c r="F866" s="20" t="n">
        <f aca="false">Parametres!$B$6*D866</f>
        <v>42.82</v>
      </c>
      <c r="G866" s="20" t="n">
        <f aca="false">E866+F866</f>
        <v>42.82</v>
      </c>
      <c r="H866" s="20" t="n">
        <f aca="false">IF(G866&lt;Parametres!$B$8*Parametres!$B$7,0,MIN(G866,Parametres!$B$7))</f>
        <v>42.82</v>
      </c>
      <c r="I866" s="20" t="n">
        <f aca="false">G866-H866</f>
        <v>0</v>
      </c>
      <c r="J866" s="21" t="n">
        <f aca="false">H866*1000/Parametres!$B$9</f>
        <v>726.131931490589</v>
      </c>
    </row>
    <row r="867" customFormat="false" ht="15" hidden="false" customHeight="false" outlineLevel="0" collapsed="false">
      <c r="A867" s="0" t="n">
        <v>863</v>
      </c>
      <c r="B867" s="0" t="n">
        <v>2</v>
      </c>
      <c r="C867" s="19" t="n">
        <v>0</v>
      </c>
      <c r="D867" s="19" t="n">
        <v>0.1504</v>
      </c>
      <c r="E867" s="20" t="n">
        <f aca="false">Parametres!$B$5*C867</f>
        <v>0</v>
      </c>
      <c r="F867" s="20" t="n">
        <f aca="false">Parametres!$B$6*D867</f>
        <v>30.08</v>
      </c>
      <c r="G867" s="20" t="n">
        <f aca="false">E867+F867</f>
        <v>30.08</v>
      </c>
      <c r="H867" s="20" t="n">
        <f aca="false">IF(G867&lt;Parametres!$B$8*Parametres!$B$7,0,MIN(G867,Parametres!$B$7))</f>
        <v>30.08</v>
      </c>
      <c r="I867" s="20" t="n">
        <f aca="false">G867-H867</f>
        <v>0</v>
      </c>
      <c r="J867" s="21" t="n">
        <f aca="false">H867*1000/Parametres!$B$9</f>
        <v>510.089876208242</v>
      </c>
    </row>
    <row r="868" customFormat="false" ht="15" hidden="false" customHeight="false" outlineLevel="0" collapsed="false">
      <c r="A868" s="0" t="n">
        <v>864</v>
      </c>
      <c r="B868" s="0" t="n">
        <v>2</v>
      </c>
      <c r="C868" s="19" t="n">
        <v>0</v>
      </c>
      <c r="D868" s="19" t="n">
        <v>0.1617</v>
      </c>
      <c r="E868" s="20" t="n">
        <f aca="false">Parametres!$B$5*C868</f>
        <v>0</v>
      </c>
      <c r="F868" s="20" t="n">
        <f aca="false">Parametres!$B$6*D868</f>
        <v>32.34</v>
      </c>
      <c r="G868" s="20" t="n">
        <f aca="false">E868+F868</f>
        <v>32.34</v>
      </c>
      <c r="H868" s="20" t="n">
        <f aca="false">IF(G868&lt;Parametres!$B$8*Parametres!$B$7,0,MIN(G868,Parametres!$B$7))</f>
        <v>32.34</v>
      </c>
      <c r="I868" s="20" t="n">
        <f aca="false">G868-H868</f>
        <v>0</v>
      </c>
      <c r="J868" s="21" t="n">
        <f aca="false">H868*1000/Parametres!$B$9</f>
        <v>548.414448024419</v>
      </c>
    </row>
    <row r="869" customFormat="false" ht="15" hidden="false" customHeight="false" outlineLevel="0" collapsed="false">
      <c r="A869" s="0" t="n">
        <v>865</v>
      </c>
      <c r="B869" s="0" t="n">
        <v>2</v>
      </c>
      <c r="C869" s="19" t="n">
        <v>0</v>
      </c>
      <c r="D869" s="19" t="n">
        <v>0.2147</v>
      </c>
      <c r="E869" s="20" t="n">
        <f aca="false">Parametres!$B$5*C869</f>
        <v>0</v>
      </c>
      <c r="F869" s="20" t="n">
        <f aca="false">Parametres!$B$6*D869</f>
        <v>42.94</v>
      </c>
      <c r="G869" s="20" t="n">
        <f aca="false">E869+F869</f>
        <v>42.94</v>
      </c>
      <c r="H869" s="20" t="n">
        <f aca="false">IF(G869&lt;Parametres!$B$8*Parametres!$B$7,0,MIN(G869,Parametres!$B$7))</f>
        <v>42.94</v>
      </c>
      <c r="I869" s="20" t="n">
        <f aca="false">G869-H869</f>
        <v>0</v>
      </c>
      <c r="J869" s="21" t="n">
        <f aca="false">H869*1000/Parametres!$B$9</f>
        <v>728.166864507377</v>
      </c>
    </row>
    <row r="870" customFormat="false" ht="15" hidden="false" customHeight="false" outlineLevel="0" collapsed="false">
      <c r="A870" s="0" t="n">
        <v>866</v>
      </c>
      <c r="B870" s="0" t="n">
        <v>2</v>
      </c>
      <c r="C870" s="19" t="n">
        <v>0</v>
      </c>
      <c r="D870" s="19" t="n">
        <v>0.2406</v>
      </c>
      <c r="E870" s="20" t="n">
        <f aca="false">Parametres!$B$5*C870</f>
        <v>0</v>
      </c>
      <c r="F870" s="20" t="n">
        <f aca="false">Parametres!$B$6*D870</f>
        <v>48.12</v>
      </c>
      <c r="G870" s="20" t="n">
        <f aca="false">E870+F870</f>
        <v>48.12</v>
      </c>
      <c r="H870" s="20" t="n">
        <f aca="false">IF(G870&lt;Parametres!$B$8*Parametres!$B$7,0,MIN(G870,Parametres!$B$7))</f>
        <v>48.12</v>
      </c>
      <c r="I870" s="20" t="n">
        <f aca="false">G870-H870</f>
        <v>0</v>
      </c>
      <c r="J870" s="21" t="n">
        <f aca="false">H870*1000/Parametres!$B$9</f>
        <v>816.008139732067</v>
      </c>
    </row>
    <row r="871" customFormat="false" ht="15" hidden="false" customHeight="false" outlineLevel="0" collapsed="false">
      <c r="A871" s="0" t="n">
        <v>867</v>
      </c>
      <c r="B871" s="0" t="n">
        <v>2</v>
      </c>
      <c r="C871" s="19" t="n">
        <v>0</v>
      </c>
      <c r="D871" s="19" t="n">
        <v>0.1041</v>
      </c>
      <c r="E871" s="20" t="n">
        <f aca="false">Parametres!$B$5*C871</f>
        <v>0</v>
      </c>
      <c r="F871" s="20" t="n">
        <f aca="false">Parametres!$B$6*D871</f>
        <v>20.82</v>
      </c>
      <c r="G871" s="20" t="n">
        <f aca="false">E871+F871</f>
        <v>20.82</v>
      </c>
      <c r="H871" s="20" t="n">
        <f aca="false">IF(G871&lt;Parametres!$B$8*Parametres!$B$7,0,MIN(G871,Parametres!$B$7))</f>
        <v>0</v>
      </c>
      <c r="I871" s="20" t="n">
        <f aca="false">G871-H871</f>
        <v>20.82</v>
      </c>
      <c r="J871" s="21" t="n">
        <f aca="false">H871*1000/Parametres!$B$9</f>
        <v>0</v>
      </c>
    </row>
    <row r="872" customFormat="false" ht="15" hidden="false" customHeight="false" outlineLevel="0" collapsed="false">
      <c r="A872" s="0" t="n">
        <v>868</v>
      </c>
      <c r="B872" s="0" t="n">
        <v>2</v>
      </c>
      <c r="C872" s="19" t="n">
        <v>0</v>
      </c>
      <c r="D872" s="19" t="n">
        <v>0.1442</v>
      </c>
      <c r="E872" s="20" t="n">
        <f aca="false">Parametres!$B$5*C872</f>
        <v>0</v>
      </c>
      <c r="F872" s="20" t="n">
        <f aca="false">Parametres!$B$6*D872</f>
        <v>28.84</v>
      </c>
      <c r="G872" s="20" t="n">
        <f aca="false">E872+F872</f>
        <v>28.84</v>
      </c>
      <c r="H872" s="20" t="n">
        <f aca="false">IF(G872&lt;Parametres!$B$8*Parametres!$B$7,0,MIN(G872,Parametres!$B$7))</f>
        <v>28.84</v>
      </c>
      <c r="I872" s="20" t="n">
        <f aca="false">G872-H872</f>
        <v>0</v>
      </c>
      <c r="J872" s="21" t="n">
        <f aca="false">H872*1000/Parametres!$B$9</f>
        <v>489.062235034763</v>
      </c>
    </row>
    <row r="873" customFormat="false" ht="15" hidden="false" customHeight="false" outlineLevel="0" collapsed="false">
      <c r="A873" s="0" t="n">
        <v>869</v>
      </c>
      <c r="B873" s="0" t="n">
        <v>2</v>
      </c>
      <c r="C873" s="19" t="n">
        <v>0</v>
      </c>
      <c r="D873" s="19" t="n">
        <v>0.1666</v>
      </c>
      <c r="E873" s="20" t="n">
        <f aca="false">Parametres!$B$5*C873</f>
        <v>0</v>
      </c>
      <c r="F873" s="20" t="n">
        <f aca="false">Parametres!$B$6*D873</f>
        <v>33.32</v>
      </c>
      <c r="G873" s="20" t="n">
        <f aca="false">E873+F873</f>
        <v>33.32</v>
      </c>
      <c r="H873" s="20" t="n">
        <f aca="false">IF(G873&lt;Parametres!$B$8*Parametres!$B$7,0,MIN(G873,Parametres!$B$7))</f>
        <v>33.32</v>
      </c>
      <c r="I873" s="20" t="n">
        <f aca="false">G873-H873</f>
        <v>0</v>
      </c>
      <c r="J873" s="21" t="n">
        <f aca="false">H873*1000/Parametres!$B$9</f>
        <v>565.033067661523</v>
      </c>
    </row>
    <row r="874" customFormat="false" ht="15" hidden="false" customHeight="false" outlineLevel="0" collapsed="false">
      <c r="A874" s="0" t="n">
        <v>870</v>
      </c>
      <c r="B874" s="0" t="n">
        <v>2</v>
      </c>
      <c r="C874" s="19" t="n">
        <v>0</v>
      </c>
      <c r="D874" s="19" t="n">
        <v>0.1099</v>
      </c>
      <c r="E874" s="20" t="n">
        <f aca="false">Parametres!$B$5*C874</f>
        <v>0</v>
      </c>
      <c r="F874" s="20" t="n">
        <f aca="false">Parametres!$B$6*D874</f>
        <v>21.98</v>
      </c>
      <c r="G874" s="20" t="n">
        <f aca="false">E874+F874</f>
        <v>21.98</v>
      </c>
      <c r="H874" s="20" t="n">
        <f aca="false">IF(G874&lt;Parametres!$B$8*Parametres!$B$7,0,MIN(G874,Parametres!$B$7))</f>
        <v>0</v>
      </c>
      <c r="I874" s="20" t="n">
        <f aca="false">G874-H874</f>
        <v>21.98</v>
      </c>
      <c r="J874" s="21" t="n">
        <f aca="false">H874*1000/Parametres!$B$9</f>
        <v>0</v>
      </c>
    </row>
    <row r="875" customFormat="false" ht="15" hidden="false" customHeight="false" outlineLevel="0" collapsed="false">
      <c r="A875" s="0" t="n">
        <v>871</v>
      </c>
      <c r="B875" s="0" t="n">
        <v>2</v>
      </c>
      <c r="C875" s="19" t="n">
        <v>0</v>
      </c>
      <c r="D875" s="19" t="n">
        <v>0.0782</v>
      </c>
      <c r="E875" s="20" t="n">
        <f aca="false">Parametres!$B$5*C875</f>
        <v>0</v>
      </c>
      <c r="F875" s="20" t="n">
        <f aca="false">Parametres!$B$6*D875</f>
        <v>15.64</v>
      </c>
      <c r="G875" s="20" t="n">
        <f aca="false">E875+F875</f>
        <v>15.64</v>
      </c>
      <c r="H875" s="20" t="n">
        <f aca="false">IF(G875&lt;Parametres!$B$8*Parametres!$B$7,0,MIN(G875,Parametres!$B$7))</f>
        <v>0</v>
      </c>
      <c r="I875" s="20" t="n">
        <f aca="false">G875-H875</f>
        <v>15.64</v>
      </c>
      <c r="J875" s="21" t="n">
        <f aca="false">H875*1000/Parametres!$B$9</f>
        <v>0</v>
      </c>
    </row>
    <row r="876" customFormat="false" ht="15" hidden="false" customHeight="false" outlineLevel="0" collapsed="false">
      <c r="A876" s="0" t="n">
        <v>872</v>
      </c>
      <c r="B876" s="0" t="n">
        <v>2</v>
      </c>
      <c r="C876" s="19" t="n">
        <v>0.1784</v>
      </c>
      <c r="D876" s="19" t="n">
        <v>0.0878</v>
      </c>
      <c r="E876" s="20" t="n">
        <f aca="false">Parametres!$B$5*C876</f>
        <v>53.52</v>
      </c>
      <c r="F876" s="20" t="n">
        <f aca="false">Parametres!$B$6*D876</f>
        <v>17.56</v>
      </c>
      <c r="G876" s="20" t="n">
        <f aca="false">E876+F876</f>
        <v>71.08</v>
      </c>
      <c r="H876" s="20" t="n">
        <f aca="false">IF(G876&lt;Parametres!$B$8*Parametres!$B$7,0,MIN(G876,Parametres!$B$7))</f>
        <v>71.08</v>
      </c>
      <c r="I876" s="20" t="n">
        <f aca="false">G876-H876</f>
        <v>0</v>
      </c>
      <c r="J876" s="21" t="n">
        <f aca="false">H876*1000/Parametres!$B$9</f>
        <v>1205.35865694421</v>
      </c>
    </row>
    <row r="877" customFormat="false" ht="15" hidden="false" customHeight="false" outlineLevel="0" collapsed="false">
      <c r="A877" s="0" t="n">
        <v>873</v>
      </c>
      <c r="B877" s="0" t="n">
        <v>2</v>
      </c>
      <c r="C877" s="19" t="n">
        <v>0.3712</v>
      </c>
      <c r="D877" s="19" t="n">
        <v>0.1303</v>
      </c>
      <c r="E877" s="20" t="n">
        <f aca="false">Parametres!$B$5*C877</f>
        <v>111.36</v>
      </c>
      <c r="F877" s="20" t="n">
        <f aca="false">Parametres!$B$6*D877</f>
        <v>26.06</v>
      </c>
      <c r="G877" s="20" t="n">
        <f aca="false">E877+F877</f>
        <v>137.42</v>
      </c>
      <c r="H877" s="20" t="n">
        <f aca="false">IF(G877&lt;Parametres!$B$8*Parametres!$B$7,0,MIN(G877,Parametres!$B$7))</f>
        <v>137.42</v>
      </c>
      <c r="I877" s="20" t="n">
        <f aca="false">G877-H877</f>
        <v>0</v>
      </c>
      <c r="J877" s="21" t="n">
        <f aca="false">H877*1000/Parametres!$B$9</f>
        <v>2330.33745972528</v>
      </c>
    </row>
    <row r="878" customFormat="false" ht="15" hidden="false" customHeight="false" outlineLevel="0" collapsed="false">
      <c r="A878" s="0" t="n">
        <v>874</v>
      </c>
      <c r="B878" s="0" t="n">
        <v>2</v>
      </c>
      <c r="C878" s="19" t="n">
        <v>0.6118</v>
      </c>
      <c r="D878" s="19" t="n">
        <v>0.1238</v>
      </c>
      <c r="E878" s="20" t="n">
        <f aca="false">Parametres!$B$5*C878</f>
        <v>183.54</v>
      </c>
      <c r="F878" s="20" t="n">
        <f aca="false">Parametres!$B$6*D878</f>
        <v>24.76</v>
      </c>
      <c r="G878" s="20" t="n">
        <f aca="false">E878+F878</f>
        <v>208.3</v>
      </c>
      <c r="H878" s="20" t="n">
        <f aca="false">IF(G878&lt;Parametres!$B$8*Parametres!$B$7,0,MIN(G878,Parametres!$B$7))</f>
        <v>208.3</v>
      </c>
      <c r="I878" s="20" t="n">
        <f aca="false">G878-H878</f>
        <v>0</v>
      </c>
      <c r="J878" s="21" t="n">
        <f aca="false">H878*1000/Parametres!$B$9</f>
        <v>3532.30456164151</v>
      </c>
    </row>
    <row r="879" customFormat="false" ht="15" hidden="false" customHeight="false" outlineLevel="0" collapsed="false">
      <c r="A879" s="0" t="n">
        <v>875</v>
      </c>
      <c r="B879" s="0" t="n">
        <v>2</v>
      </c>
      <c r="C879" s="19" t="n">
        <v>0.6835</v>
      </c>
      <c r="D879" s="19" t="n">
        <v>0.0657</v>
      </c>
      <c r="E879" s="20" t="n">
        <f aca="false">Parametres!$B$5*C879</f>
        <v>205.05</v>
      </c>
      <c r="F879" s="20" t="n">
        <f aca="false">Parametres!$B$6*D879</f>
        <v>13.14</v>
      </c>
      <c r="G879" s="20" t="n">
        <f aca="false">E879+F879</f>
        <v>218.19</v>
      </c>
      <c r="H879" s="20" t="n">
        <f aca="false">IF(G879&lt;Parametres!$B$8*Parametres!$B$7,0,MIN(G879,Parametres!$B$7))</f>
        <v>218.19</v>
      </c>
      <c r="I879" s="20" t="n">
        <f aca="false">G879-H879</f>
        <v>0</v>
      </c>
      <c r="J879" s="21" t="n">
        <f aca="false">H879*1000/Parametres!$B$9</f>
        <v>3700.01695777514</v>
      </c>
    </row>
    <row r="880" customFormat="false" ht="15" hidden="false" customHeight="false" outlineLevel="0" collapsed="false">
      <c r="A880" s="0" t="n">
        <v>876</v>
      </c>
      <c r="B880" s="0" t="n">
        <v>2</v>
      </c>
      <c r="C880" s="19" t="n">
        <v>0.7472</v>
      </c>
      <c r="D880" s="19" t="n">
        <v>0.0907</v>
      </c>
      <c r="E880" s="20" t="n">
        <f aca="false">Parametres!$B$5*C880</f>
        <v>224.16</v>
      </c>
      <c r="F880" s="20" t="n">
        <f aca="false">Parametres!$B$6*D880</f>
        <v>18.14</v>
      </c>
      <c r="G880" s="20" t="n">
        <f aca="false">E880+F880</f>
        <v>242.3</v>
      </c>
      <c r="H880" s="20" t="n">
        <f aca="false">IF(G880&lt;Parametres!$B$8*Parametres!$B$7,0,MIN(G880,Parametres!$B$7))</f>
        <v>242.3</v>
      </c>
      <c r="I880" s="20" t="n">
        <f aca="false">G880-H880</f>
        <v>0</v>
      </c>
      <c r="J880" s="21" t="n">
        <f aca="false">H880*1000/Parametres!$B$9</f>
        <v>4108.86891639817</v>
      </c>
    </row>
    <row r="881" customFormat="false" ht="15" hidden="false" customHeight="false" outlineLevel="0" collapsed="false">
      <c r="A881" s="0" t="n">
        <v>877</v>
      </c>
      <c r="B881" s="0" t="n">
        <v>2</v>
      </c>
      <c r="C881" s="19" t="n">
        <v>0.8043</v>
      </c>
      <c r="D881" s="19" t="n">
        <v>0.1147</v>
      </c>
      <c r="E881" s="20" t="n">
        <f aca="false">Parametres!$B$5*C881</f>
        <v>241.29</v>
      </c>
      <c r="F881" s="20" t="n">
        <f aca="false">Parametres!$B$6*D881</f>
        <v>22.94</v>
      </c>
      <c r="G881" s="20" t="n">
        <f aca="false">E881+F881</f>
        <v>264.23</v>
      </c>
      <c r="H881" s="20" t="n">
        <f aca="false">IF(G881&lt;Parametres!$B$8*Parametres!$B$7,0,MIN(G881,Parametres!$B$7))</f>
        <v>250</v>
      </c>
      <c r="I881" s="20" t="n">
        <f aca="false">G881-H881</f>
        <v>14.23</v>
      </c>
      <c r="J881" s="21" t="n">
        <f aca="false">H881*1000/Parametres!$B$9</f>
        <v>4239.44378497541</v>
      </c>
    </row>
    <row r="882" customFormat="false" ht="15" hidden="false" customHeight="false" outlineLevel="0" collapsed="false">
      <c r="A882" s="0" t="n">
        <v>878</v>
      </c>
      <c r="B882" s="0" t="n">
        <v>2</v>
      </c>
      <c r="C882" s="19" t="n">
        <v>0.7176</v>
      </c>
      <c r="D882" s="19" t="n">
        <v>0.3577</v>
      </c>
      <c r="E882" s="20" t="n">
        <f aca="false">Parametres!$B$5*C882</f>
        <v>215.28</v>
      </c>
      <c r="F882" s="20" t="n">
        <f aca="false">Parametres!$B$6*D882</f>
        <v>71.54</v>
      </c>
      <c r="G882" s="20" t="n">
        <f aca="false">E882+F882</f>
        <v>286.82</v>
      </c>
      <c r="H882" s="20" t="n">
        <f aca="false">IF(G882&lt;Parametres!$B$8*Parametres!$B$7,0,MIN(G882,Parametres!$B$7))</f>
        <v>250</v>
      </c>
      <c r="I882" s="20" t="n">
        <f aca="false">G882-H882</f>
        <v>36.82</v>
      </c>
      <c r="J882" s="21" t="n">
        <f aca="false">H882*1000/Parametres!$B$9</f>
        <v>4239.44378497541</v>
      </c>
    </row>
    <row r="883" customFormat="false" ht="15" hidden="false" customHeight="false" outlineLevel="0" collapsed="false">
      <c r="A883" s="0" t="n">
        <v>879</v>
      </c>
      <c r="B883" s="0" t="n">
        <v>2</v>
      </c>
      <c r="C883" s="19" t="n">
        <v>0.5704</v>
      </c>
      <c r="D883" s="19" t="n">
        <v>0.2328</v>
      </c>
      <c r="E883" s="20" t="n">
        <f aca="false">Parametres!$B$5*C883</f>
        <v>171.12</v>
      </c>
      <c r="F883" s="20" t="n">
        <f aca="false">Parametres!$B$6*D883</f>
        <v>46.56</v>
      </c>
      <c r="G883" s="20" t="n">
        <f aca="false">E883+F883</f>
        <v>217.68</v>
      </c>
      <c r="H883" s="20" t="n">
        <f aca="false">IF(G883&lt;Parametres!$B$8*Parametres!$B$7,0,MIN(G883,Parametres!$B$7))</f>
        <v>217.68</v>
      </c>
      <c r="I883" s="20" t="n">
        <f aca="false">G883-H883</f>
        <v>0</v>
      </c>
      <c r="J883" s="21" t="n">
        <f aca="false">H883*1000/Parametres!$B$9</f>
        <v>3691.36849245379</v>
      </c>
    </row>
    <row r="884" customFormat="false" ht="15" hidden="false" customHeight="false" outlineLevel="0" collapsed="false">
      <c r="A884" s="0" t="n">
        <v>880</v>
      </c>
      <c r="B884" s="0" t="n">
        <v>2</v>
      </c>
      <c r="C884" s="19" t="n">
        <v>0.3862</v>
      </c>
      <c r="D884" s="19" t="n">
        <v>0.6107</v>
      </c>
      <c r="E884" s="20" t="n">
        <f aca="false">Parametres!$B$5*C884</f>
        <v>115.86</v>
      </c>
      <c r="F884" s="20" t="n">
        <f aca="false">Parametres!$B$6*D884</f>
        <v>122.14</v>
      </c>
      <c r="G884" s="20" t="n">
        <f aca="false">E884+F884</f>
        <v>238</v>
      </c>
      <c r="H884" s="20" t="n">
        <f aca="false">IF(G884&lt;Parametres!$B$8*Parametres!$B$7,0,MIN(G884,Parametres!$B$7))</f>
        <v>238</v>
      </c>
      <c r="I884" s="20" t="n">
        <f aca="false">G884-H884</f>
        <v>0</v>
      </c>
      <c r="J884" s="21" t="n">
        <f aca="false">H884*1000/Parametres!$B$9</f>
        <v>4035.95048329659</v>
      </c>
    </row>
    <row r="885" customFormat="false" ht="15" hidden="false" customHeight="false" outlineLevel="0" collapsed="false">
      <c r="A885" s="0" t="n">
        <v>881</v>
      </c>
      <c r="B885" s="0" t="n">
        <v>2</v>
      </c>
      <c r="C885" s="19" t="n">
        <v>0.1761</v>
      </c>
      <c r="D885" s="19" t="n">
        <v>1</v>
      </c>
      <c r="E885" s="20" t="n">
        <f aca="false">Parametres!$B$5*C885</f>
        <v>52.83</v>
      </c>
      <c r="F885" s="20" t="n">
        <f aca="false">Parametres!$B$6*D885</f>
        <v>200</v>
      </c>
      <c r="G885" s="20" t="n">
        <f aca="false">E885+F885</f>
        <v>252.83</v>
      </c>
      <c r="H885" s="20" t="n">
        <f aca="false">IF(G885&lt;Parametres!$B$8*Parametres!$B$7,0,MIN(G885,Parametres!$B$7))</f>
        <v>250</v>
      </c>
      <c r="I885" s="20" t="n">
        <f aca="false">G885-H885</f>
        <v>2.83000000000001</v>
      </c>
      <c r="J885" s="21" t="n">
        <f aca="false">H885*1000/Parametres!$B$9</f>
        <v>4239.44378497541</v>
      </c>
    </row>
    <row r="886" customFormat="false" ht="15" hidden="false" customHeight="false" outlineLevel="0" collapsed="false">
      <c r="A886" s="0" t="n">
        <v>882</v>
      </c>
      <c r="B886" s="0" t="n">
        <v>2</v>
      </c>
      <c r="C886" s="19" t="n">
        <v>0</v>
      </c>
      <c r="D886" s="19" t="n">
        <v>1</v>
      </c>
      <c r="E886" s="20" t="n">
        <f aca="false">Parametres!$B$5*C886</f>
        <v>0</v>
      </c>
      <c r="F886" s="20" t="n">
        <f aca="false">Parametres!$B$6*D886</f>
        <v>200</v>
      </c>
      <c r="G886" s="20" t="n">
        <f aca="false">E886+F886</f>
        <v>200</v>
      </c>
      <c r="H886" s="20" t="n">
        <f aca="false">IF(G886&lt;Parametres!$B$8*Parametres!$B$7,0,MIN(G886,Parametres!$B$7))</f>
        <v>200</v>
      </c>
      <c r="I886" s="20" t="n">
        <f aca="false">G886-H886</f>
        <v>0</v>
      </c>
      <c r="J886" s="21" t="n">
        <f aca="false">H886*1000/Parametres!$B$9</f>
        <v>3391.55502798033</v>
      </c>
    </row>
    <row r="887" customFormat="false" ht="15" hidden="false" customHeight="false" outlineLevel="0" collapsed="false">
      <c r="A887" s="0" t="n">
        <v>883</v>
      </c>
      <c r="B887" s="0" t="n">
        <v>2</v>
      </c>
      <c r="C887" s="19" t="n">
        <v>0</v>
      </c>
      <c r="D887" s="19" t="n">
        <v>1</v>
      </c>
      <c r="E887" s="20" t="n">
        <f aca="false">Parametres!$B$5*C887</f>
        <v>0</v>
      </c>
      <c r="F887" s="20" t="n">
        <f aca="false">Parametres!$B$6*D887</f>
        <v>200</v>
      </c>
      <c r="G887" s="20" t="n">
        <f aca="false">E887+F887</f>
        <v>200</v>
      </c>
      <c r="H887" s="20" t="n">
        <f aca="false">IF(G887&lt;Parametres!$B$8*Parametres!$B$7,0,MIN(G887,Parametres!$B$7))</f>
        <v>200</v>
      </c>
      <c r="I887" s="20" t="n">
        <f aca="false">G887-H887</f>
        <v>0</v>
      </c>
      <c r="J887" s="21" t="n">
        <f aca="false">H887*1000/Parametres!$B$9</f>
        <v>3391.55502798033</v>
      </c>
    </row>
    <row r="888" customFormat="false" ht="15" hidden="false" customHeight="false" outlineLevel="0" collapsed="false">
      <c r="A888" s="0" t="n">
        <v>884</v>
      </c>
      <c r="B888" s="0" t="n">
        <v>2</v>
      </c>
      <c r="C888" s="19" t="n">
        <v>0</v>
      </c>
      <c r="D888" s="19" t="n">
        <v>1</v>
      </c>
      <c r="E888" s="20" t="n">
        <f aca="false">Parametres!$B$5*C888</f>
        <v>0</v>
      </c>
      <c r="F888" s="20" t="n">
        <f aca="false">Parametres!$B$6*D888</f>
        <v>200</v>
      </c>
      <c r="G888" s="20" t="n">
        <f aca="false">E888+F888</f>
        <v>200</v>
      </c>
      <c r="H888" s="20" t="n">
        <f aca="false">IF(G888&lt;Parametres!$B$8*Parametres!$B$7,0,MIN(G888,Parametres!$B$7))</f>
        <v>200</v>
      </c>
      <c r="I888" s="20" t="n">
        <f aca="false">G888-H888</f>
        <v>0</v>
      </c>
      <c r="J888" s="21" t="n">
        <f aca="false">H888*1000/Parametres!$B$9</f>
        <v>3391.55502798033</v>
      </c>
    </row>
    <row r="889" customFormat="false" ht="15" hidden="false" customHeight="false" outlineLevel="0" collapsed="false">
      <c r="A889" s="0" t="n">
        <v>885</v>
      </c>
      <c r="B889" s="0" t="n">
        <v>2</v>
      </c>
      <c r="C889" s="19" t="n">
        <v>0</v>
      </c>
      <c r="D889" s="19" t="n">
        <v>1</v>
      </c>
      <c r="E889" s="20" t="n">
        <f aca="false">Parametres!$B$5*C889</f>
        <v>0</v>
      </c>
      <c r="F889" s="20" t="n">
        <f aca="false">Parametres!$B$6*D889</f>
        <v>200</v>
      </c>
      <c r="G889" s="20" t="n">
        <f aca="false">E889+F889</f>
        <v>200</v>
      </c>
      <c r="H889" s="20" t="n">
        <f aca="false">IF(G889&lt;Parametres!$B$8*Parametres!$B$7,0,MIN(G889,Parametres!$B$7))</f>
        <v>200</v>
      </c>
      <c r="I889" s="20" t="n">
        <f aca="false">G889-H889</f>
        <v>0</v>
      </c>
      <c r="J889" s="21" t="n">
        <f aca="false">H889*1000/Parametres!$B$9</f>
        <v>3391.55502798033</v>
      </c>
    </row>
    <row r="890" customFormat="false" ht="15" hidden="false" customHeight="false" outlineLevel="0" collapsed="false">
      <c r="A890" s="0" t="n">
        <v>886</v>
      </c>
      <c r="B890" s="0" t="n">
        <v>2</v>
      </c>
      <c r="C890" s="19" t="n">
        <v>0</v>
      </c>
      <c r="D890" s="19" t="n">
        <v>1</v>
      </c>
      <c r="E890" s="20" t="n">
        <f aca="false">Parametres!$B$5*C890</f>
        <v>0</v>
      </c>
      <c r="F890" s="20" t="n">
        <f aca="false">Parametres!$B$6*D890</f>
        <v>200</v>
      </c>
      <c r="G890" s="20" t="n">
        <f aca="false">E890+F890</f>
        <v>200</v>
      </c>
      <c r="H890" s="20" t="n">
        <f aca="false">IF(G890&lt;Parametres!$B$8*Parametres!$B$7,0,MIN(G890,Parametres!$B$7))</f>
        <v>200</v>
      </c>
      <c r="I890" s="20" t="n">
        <f aca="false">G890-H890</f>
        <v>0</v>
      </c>
      <c r="J890" s="21" t="n">
        <f aca="false">H890*1000/Parametres!$B$9</f>
        <v>3391.55502798033</v>
      </c>
    </row>
    <row r="891" customFormat="false" ht="15" hidden="false" customHeight="false" outlineLevel="0" collapsed="false">
      <c r="A891" s="0" t="n">
        <v>887</v>
      </c>
      <c r="B891" s="0" t="n">
        <v>2</v>
      </c>
      <c r="C891" s="19" t="n">
        <v>0</v>
      </c>
      <c r="D891" s="19" t="n">
        <v>1</v>
      </c>
      <c r="E891" s="20" t="n">
        <f aca="false">Parametres!$B$5*C891</f>
        <v>0</v>
      </c>
      <c r="F891" s="20" t="n">
        <f aca="false">Parametres!$B$6*D891</f>
        <v>200</v>
      </c>
      <c r="G891" s="20" t="n">
        <f aca="false">E891+F891</f>
        <v>200</v>
      </c>
      <c r="H891" s="20" t="n">
        <f aca="false">IF(G891&lt;Parametres!$B$8*Parametres!$B$7,0,MIN(G891,Parametres!$B$7))</f>
        <v>200</v>
      </c>
      <c r="I891" s="20" t="n">
        <f aca="false">G891-H891</f>
        <v>0</v>
      </c>
      <c r="J891" s="21" t="n">
        <f aca="false">H891*1000/Parametres!$B$9</f>
        <v>3391.55502798033</v>
      </c>
    </row>
    <row r="892" customFormat="false" ht="15" hidden="false" customHeight="false" outlineLevel="0" collapsed="false">
      <c r="A892" s="0" t="n">
        <v>888</v>
      </c>
      <c r="B892" s="0" t="n">
        <v>2</v>
      </c>
      <c r="C892" s="19" t="n">
        <v>0</v>
      </c>
      <c r="D892" s="19" t="n">
        <v>0.707</v>
      </c>
      <c r="E892" s="20" t="n">
        <f aca="false">Parametres!$B$5*C892</f>
        <v>0</v>
      </c>
      <c r="F892" s="20" t="n">
        <f aca="false">Parametres!$B$6*D892</f>
        <v>141.4</v>
      </c>
      <c r="G892" s="20" t="n">
        <f aca="false">E892+F892</f>
        <v>141.4</v>
      </c>
      <c r="H892" s="20" t="n">
        <f aca="false">IF(G892&lt;Parametres!$B$8*Parametres!$B$7,0,MIN(G892,Parametres!$B$7))</f>
        <v>141.4</v>
      </c>
      <c r="I892" s="20" t="n">
        <f aca="false">G892-H892</f>
        <v>0</v>
      </c>
      <c r="J892" s="21" t="n">
        <f aca="false">H892*1000/Parametres!$B$9</f>
        <v>2397.82940478209</v>
      </c>
    </row>
    <row r="893" customFormat="false" ht="15" hidden="false" customHeight="false" outlineLevel="0" collapsed="false">
      <c r="A893" s="0" t="n">
        <v>889</v>
      </c>
      <c r="B893" s="0" t="n">
        <v>2</v>
      </c>
      <c r="C893" s="19" t="n">
        <v>0</v>
      </c>
      <c r="D893" s="19" t="n">
        <v>0.381</v>
      </c>
      <c r="E893" s="20" t="n">
        <f aca="false">Parametres!$B$5*C893</f>
        <v>0</v>
      </c>
      <c r="F893" s="20" t="n">
        <f aca="false">Parametres!$B$6*D893</f>
        <v>76.2</v>
      </c>
      <c r="G893" s="20" t="n">
        <f aca="false">E893+F893</f>
        <v>76.2</v>
      </c>
      <c r="H893" s="20" t="n">
        <f aca="false">IF(G893&lt;Parametres!$B$8*Parametres!$B$7,0,MIN(G893,Parametres!$B$7))</f>
        <v>76.2</v>
      </c>
      <c r="I893" s="20" t="n">
        <f aca="false">G893-H893</f>
        <v>0</v>
      </c>
      <c r="J893" s="21" t="n">
        <f aca="false">H893*1000/Parametres!$B$9</f>
        <v>1292.18246566051</v>
      </c>
    </row>
    <row r="894" customFormat="false" ht="15" hidden="false" customHeight="false" outlineLevel="0" collapsed="false">
      <c r="A894" s="0" t="n">
        <v>890</v>
      </c>
      <c r="B894" s="0" t="n">
        <v>2</v>
      </c>
      <c r="C894" s="19" t="n">
        <v>0</v>
      </c>
      <c r="D894" s="19" t="n">
        <v>0.3041</v>
      </c>
      <c r="E894" s="20" t="n">
        <f aca="false">Parametres!$B$5*C894</f>
        <v>0</v>
      </c>
      <c r="F894" s="20" t="n">
        <f aca="false">Parametres!$B$6*D894</f>
        <v>60.82</v>
      </c>
      <c r="G894" s="20" t="n">
        <f aca="false">E894+F894</f>
        <v>60.82</v>
      </c>
      <c r="H894" s="20" t="n">
        <f aca="false">IF(G894&lt;Parametres!$B$8*Parametres!$B$7,0,MIN(G894,Parametres!$B$7))</f>
        <v>60.82</v>
      </c>
      <c r="I894" s="20" t="n">
        <f aca="false">G894-H894</f>
        <v>0</v>
      </c>
      <c r="J894" s="21" t="n">
        <f aca="false">H894*1000/Parametres!$B$9</f>
        <v>1031.37188400882</v>
      </c>
    </row>
    <row r="895" customFormat="false" ht="15" hidden="false" customHeight="false" outlineLevel="0" collapsed="false">
      <c r="A895" s="0" t="n">
        <v>891</v>
      </c>
      <c r="B895" s="0" t="n">
        <v>2</v>
      </c>
      <c r="C895" s="19" t="n">
        <v>0</v>
      </c>
      <c r="D895" s="19" t="n">
        <v>0.2157</v>
      </c>
      <c r="E895" s="20" t="n">
        <f aca="false">Parametres!$B$5*C895</f>
        <v>0</v>
      </c>
      <c r="F895" s="20" t="n">
        <f aca="false">Parametres!$B$6*D895</f>
        <v>43.14</v>
      </c>
      <c r="G895" s="20" t="n">
        <f aca="false">E895+F895</f>
        <v>43.14</v>
      </c>
      <c r="H895" s="20" t="n">
        <f aca="false">IF(G895&lt;Parametres!$B$8*Parametres!$B$7,0,MIN(G895,Parametres!$B$7))</f>
        <v>43.14</v>
      </c>
      <c r="I895" s="20" t="n">
        <f aca="false">G895-H895</f>
        <v>0</v>
      </c>
      <c r="J895" s="21" t="n">
        <f aca="false">H895*1000/Parametres!$B$9</f>
        <v>731.558419535357</v>
      </c>
    </row>
    <row r="896" customFormat="false" ht="15" hidden="false" customHeight="false" outlineLevel="0" collapsed="false">
      <c r="A896" s="0" t="n">
        <v>892</v>
      </c>
      <c r="B896" s="0" t="n">
        <v>2</v>
      </c>
      <c r="C896" s="19" t="n">
        <v>0</v>
      </c>
      <c r="D896" s="19" t="n">
        <v>0.2452</v>
      </c>
      <c r="E896" s="20" t="n">
        <f aca="false">Parametres!$B$5*C896</f>
        <v>0</v>
      </c>
      <c r="F896" s="20" t="n">
        <f aca="false">Parametres!$B$6*D896</f>
        <v>49.04</v>
      </c>
      <c r="G896" s="20" t="n">
        <f aca="false">E896+F896</f>
        <v>49.04</v>
      </c>
      <c r="H896" s="20" t="n">
        <f aca="false">IF(G896&lt;Parametres!$B$8*Parametres!$B$7,0,MIN(G896,Parametres!$B$7))</f>
        <v>49.04</v>
      </c>
      <c r="I896" s="20" t="n">
        <f aca="false">G896-H896</f>
        <v>0</v>
      </c>
      <c r="J896" s="21" t="n">
        <f aca="false">H896*1000/Parametres!$B$9</f>
        <v>831.609292860777</v>
      </c>
    </row>
    <row r="897" customFormat="false" ht="15" hidden="false" customHeight="false" outlineLevel="0" collapsed="false">
      <c r="A897" s="0" t="n">
        <v>893</v>
      </c>
      <c r="B897" s="0" t="n">
        <v>2</v>
      </c>
      <c r="C897" s="19" t="n">
        <v>0</v>
      </c>
      <c r="D897" s="19" t="n">
        <v>0.3594</v>
      </c>
      <c r="E897" s="20" t="n">
        <f aca="false">Parametres!$B$5*C897</f>
        <v>0</v>
      </c>
      <c r="F897" s="20" t="n">
        <f aca="false">Parametres!$B$6*D897</f>
        <v>71.88</v>
      </c>
      <c r="G897" s="20" t="n">
        <f aca="false">E897+F897</f>
        <v>71.88</v>
      </c>
      <c r="H897" s="20" t="n">
        <f aca="false">IF(G897&lt;Parametres!$B$8*Parametres!$B$7,0,MIN(G897,Parametres!$B$7))</f>
        <v>71.88</v>
      </c>
      <c r="I897" s="20" t="n">
        <f aca="false">G897-H897</f>
        <v>0</v>
      </c>
      <c r="J897" s="21" t="n">
        <f aca="false">H897*1000/Parametres!$B$9</f>
        <v>1218.92487705613</v>
      </c>
    </row>
    <row r="898" customFormat="false" ht="15" hidden="false" customHeight="false" outlineLevel="0" collapsed="false">
      <c r="A898" s="0" t="n">
        <v>894</v>
      </c>
      <c r="B898" s="0" t="n">
        <v>2</v>
      </c>
      <c r="C898" s="19" t="n">
        <v>0</v>
      </c>
      <c r="D898" s="19" t="n">
        <v>0.341</v>
      </c>
      <c r="E898" s="20" t="n">
        <f aca="false">Parametres!$B$5*C898</f>
        <v>0</v>
      </c>
      <c r="F898" s="20" t="n">
        <f aca="false">Parametres!$B$6*D898</f>
        <v>68.2</v>
      </c>
      <c r="G898" s="20" t="n">
        <f aca="false">E898+F898</f>
        <v>68.2</v>
      </c>
      <c r="H898" s="20" t="n">
        <f aca="false">IF(G898&lt;Parametres!$B$8*Parametres!$B$7,0,MIN(G898,Parametres!$B$7))</f>
        <v>68.2</v>
      </c>
      <c r="I898" s="20" t="n">
        <f aca="false">G898-H898</f>
        <v>0</v>
      </c>
      <c r="J898" s="21" t="n">
        <f aca="false">H898*1000/Parametres!$B$9</f>
        <v>1156.52026454129</v>
      </c>
    </row>
    <row r="899" customFormat="false" ht="15" hidden="false" customHeight="false" outlineLevel="0" collapsed="false">
      <c r="A899" s="0" t="n">
        <v>895</v>
      </c>
      <c r="B899" s="0" t="n">
        <v>2</v>
      </c>
      <c r="C899" s="19" t="n">
        <v>0</v>
      </c>
      <c r="D899" s="19" t="n">
        <v>0.3618</v>
      </c>
      <c r="E899" s="20" t="n">
        <f aca="false">Parametres!$B$5*C899</f>
        <v>0</v>
      </c>
      <c r="F899" s="20" t="n">
        <f aca="false">Parametres!$B$6*D899</f>
        <v>72.36</v>
      </c>
      <c r="G899" s="20" t="n">
        <f aca="false">E899+F899</f>
        <v>72.36</v>
      </c>
      <c r="H899" s="20" t="n">
        <f aca="false">IF(G899&lt;Parametres!$B$8*Parametres!$B$7,0,MIN(G899,Parametres!$B$7))</f>
        <v>72.36</v>
      </c>
      <c r="I899" s="20" t="n">
        <f aca="false">G899-H899</f>
        <v>0</v>
      </c>
      <c r="J899" s="21" t="n">
        <f aca="false">H899*1000/Parametres!$B$9</f>
        <v>1227.06460912328</v>
      </c>
    </row>
    <row r="900" customFormat="false" ht="15" hidden="false" customHeight="false" outlineLevel="0" collapsed="false">
      <c r="A900" s="0" t="n">
        <v>896</v>
      </c>
      <c r="B900" s="0" t="n">
        <v>2</v>
      </c>
      <c r="C900" s="19" t="n">
        <v>0.1524</v>
      </c>
      <c r="D900" s="19" t="n">
        <v>0.4128</v>
      </c>
      <c r="E900" s="20" t="n">
        <f aca="false">Parametres!$B$5*C900</f>
        <v>45.72</v>
      </c>
      <c r="F900" s="20" t="n">
        <f aca="false">Parametres!$B$6*D900</f>
        <v>82.56</v>
      </c>
      <c r="G900" s="20" t="n">
        <f aca="false">E900+F900</f>
        <v>128.28</v>
      </c>
      <c r="H900" s="20" t="n">
        <f aca="false">IF(G900&lt;Parametres!$B$8*Parametres!$B$7,0,MIN(G900,Parametres!$B$7))</f>
        <v>128.28</v>
      </c>
      <c r="I900" s="20" t="n">
        <f aca="false">G900-H900</f>
        <v>0</v>
      </c>
      <c r="J900" s="21" t="n">
        <f aca="false">H900*1000/Parametres!$B$9</f>
        <v>2175.34339494658</v>
      </c>
    </row>
    <row r="901" customFormat="false" ht="15" hidden="false" customHeight="false" outlineLevel="0" collapsed="false">
      <c r="A901" s="0" t="n">
        <v>897</v>
      </c>
      <c r="B901" s="0" t="n">
        <v>2</v>
      </c>
      <c r="C901" s="19" t="n">
        <v>0.3244</v>
      </c>
      <c r="D901" s="19" t="n">
        <v>0.261</v>
      </c>
      <c r="E901" s="20" t="n">
        <f aca="false">Parametres!$B$5*C901</f>
        <v>97.32</v>
      </c>
      <c r="F901" s="20" t="n">
        <f aca="false">Parametres!$B$6*D901</f>
        <v>52.2</v>
      </c>
      <c r="G901" s="20" t="n">
        <f aca="false">E901+F901</f>
        <v>149.52</v>
      </c>
      <c r="H901" s="20" t="n">
        <f aca="false">IF(G901&lt;Parametres!$B$8*Parametres!$B$7,0,MIN(G901,Parametres!$B$7))</f>
        <v>149.52</v>
      </c>
      <c r="I901" s="20" t="n">
        <f aca="false">G901-H901</f>
        <v>0</v>
      </c>
      <c r="J901" s="21" t="n">
        <f aca="false">H901*1000/Parametres!$B$9</f>
        <v>2535.52653891809</v>
      </c>
    </row>
    <row r="902" customFormat="false" ht="15" hidden="false" customHeight="false" outlineLevel="0" collapsed="false">
      <c r="A902" s="0" t="n">
        <v>898</v>
      </c>
      <c r="B902" s="0" t="n">
        <v>2</v>
      </c>
      <c r="C902" s="19" t="n">
        <v>0.4657</v>
      </c>
      <c r="D902" s="19" t="n">
        <v>0.3247</v>
      </c>
      <c r="E902" s="20" t="n">
        <f aca="false">Parametres!$B$5*C902</f>
        <v>139.71</v>
      </c>
      <c r="F902" s="20" t="n">
        <f aca="false">Parametres!$B$6*D902</f>
        <v>64.94</v>
      </c>
      <c r="G902" s="20" t="n">
        <f aca="false">E902+F902</f>
        <v>204.65</v>
      </c>
      <c r="H902" s="20" t="n">
        <f aca="false">IF(G902&lt;Parametres!$B$8*Parametres!$B$7,0,MIN(G902,Parametres!$B$7))</f>
        <v>204.65</v>
      </c>
      <c r="I902" s="20" t="n">
        <f aca="false">G902-H902</f>
        <v>0</v>
      </c>
      <c r="J902" s="21" t="n">
        <f aca="false">H902*1000/Parametres!$B$9</f>
        <v>3470.40868238087</v>
      </c>
    </row>
    <row r="903" customFormat="false" ht="15" hidden="false" customHeight="false" outlineLevel="0" collapsed="false">
      <c r="A903" s="0" t="n">
        <v>899</v>
      </c>
      <c r="B903" s="0" t="n">
        <v>2</v>
      </c>
      <c r="C903" s="19" t="n">
        <v>0.5701</v>
      </c>
      <c r="D903" s="19" t="n">
        <v>0.3698</v>
      </c>
      <c r="E903" s="20" t="n">
        <f aca="false">Parametres!$B$5*C903</f>
        <v>171.03</v>
      </c>
      <c r="F903" s="20" t="n">
        <f aca="false">Parametres!$B$6*D903</f>
        <v>73.96</v>
      </c>
      <c r="G903" s="20" t="n">
        <f aca="false">E903+F903</f>
        <v>244.99</v>
      </c>
      <c r="H903" s="20" t="n">
        <f aca="false">IF(G903&lt;Parametres!$B$8*Parametres!$B$7,0,MIN(G903,Parametres!$B$7))</f>
        <v>244.99</v>
      </c>
      <c r="I903" s="20" t="n">
        <f aca="false">G903-H903</f>
        <v>0</v>
      </c>
      <c r="J903" s="21" t="n">
        <f aca="false">H903*1000/Parametres!$B$9</f>
        <v>4154.4853315245</v>
      </c>
    </row>
    <row r="904" customFormat="false" ht="15" hidden="false" customHeight="false" outlineLevel="0" collapsed="false">
      <c r="A904" s="0" t="n">
        <v>900</v>
      </c>
      <c r="B904" s="0" t="n">
        <v>2</v>
      </c>
      <c r="C904" s="19" t="n">
        <v>0.67</v>
      </c>
      <c r="D904" s="19" t="n">
        <v>0.4107</v>
      </c>
      <c r="E904" s="20" t="n">
        <f aca="false">Parametres!$B$5*C904</f>
        <v>201</v>
      </c>
      <c r="F904" s="20" t="n">
        <f aca="false">Parametres!$B$6*D904</f>
        <v>82.14</v>
      </c>
      <c r="G904" s="20" t="n">
        <f aca="false">E904+F904</f>
        <v>283.14</v>
      </c>
      <c r="H904" s="20" t="n">
        <f aca="false">IF(G904&lt;Parametres!$B$8*Parametres!$B$7,0,MIN(G904,Parametres!$B$7))</f>
        <v>250</v>
      </c>
      <c r="I904" s="20" t="n">
        <f aca="false">G904-H904</f>
        <v>33.14</v>
      </c>
      <c r="J904" s="21" t="n">
        <f aca="false">H904*1000/Parametres!$B$9</f>
        <v>4239.44378497541</v>
      </c>
    </row>
    <row r="905" customFormat="false" ht="15" hidden="false" customHeight="false" outlineLevel="0" collapsed="false">
      <c r="A905" s="0" t="n">
        <v>901</v>
      </c>
      <c r="B905" s="0" t="n">
        <v>2</v>
      </c>
      <c r="C905" s="19" t="n">
        <v>0.6695</v>
      </c>
      <c r="D905" s="19" t="n">
        <v>0.3099</v>
      </c>
      <c r="E905" s="20" t="n">
        <f aca="false">Parametres!$B$5*C905</f>
        <v>200.85</v>
      </c>
      <c r="F905" s="20" t="n">
        <f aca="false">Parametres!$B$6*D905</f>
        <v>61.98</v>
      </c>
      <c r="G905" s="20" t="n">
        <f aca="false">E905+F905</f>
        <v>262.83</v>
      </c>
      <c r="H905" s="20" t="n">
        <f aca="false">IF(G905&lt;Parametres!$B$8*Parametres!$B$7,0,MIN(G905,Parametres!$B$7))</f>
        <v>250</v>
      </c>
      <c r="I905" s="20" t="n">
        <f aca="false">G905-H905</f>
        <v>12.83</v>
      </c>
      <c r="J905" s="21" t="n">
        <f aca="false">H905*1000/Parametres!$B$9</f>
        <v>4239.44378497541</v>
      </c>
    </row>
    <row r="906" customFormat="false" ht="15" hidden="false" customHeight="false" outlineLevel="0" collapsed="false">
      <c r="A906" s="0" t="n">
        <v>902</v>
      </c>
      <c r="B906" s="0" t="n">
        <v>2</v>
      </c>
      <c r="C906" s="19" t="n">
        <v>0.5925</v>
      </c>
      <c r="D906" s="19" t="n">
        <v>0.1512</v>
      </c>
      <c r="E906" s="20" t="n">
        <f aca="false">Parametres!$B$5*C906</f>
        <v>177.75</v>
      </c>
      <c r="F906" s="20" t="n">
        <f aca="false">Parametres!$B$6*D906</f>
        <v>30.24</v>
      </c>
      <c r="G906" s="20" t="n">
        <f aca="false">E906+F906</f>
        <v>207.99</v>
      </c>
      <c r="H906" s="20" t="n">
        <f aca="false">IF(G906&lt;Parametres!$B$8*Parametres!$B$7,0,MIN(G906,Parametres!$B$7))</f>
        <v>207.99</v>
      </c>
      <c r="I906" s="20" t="n">
        <f aca="false">G906-H906</f>
        <v>0</v>
      </c>
      <c r="J906" s="21" t="n">
        <f aca="false">H906*1000/Parametres!$B$9</f>
        <v>3527.04765134814</v>
      </c>
    </row>
    <row r="907" customFormat="false" ht="15" hidden="false" customHeight="false" outlineLevel="0" collapsed="false">
      <c r="A907" s="0" t="n">
        <v>903</v>
      </c>
      <c r="B907" s="0" t="n">
        <v>2</v>
      </c>
      <c r="C907" s="19" t="n">
        <v>0.4983</v>
      </c>
      <c r="D907" s="19" t="n">
        <v>0.1473</v>
      </c>
      <c r="E907" s="20" t="n">
        <f aca="false">Parametres!$B$5*C907</f>
        <v>149.49</v>
      </c>
      <c r="F907" s="20" t="n">
        <f aca="false">Parametres!$B$6*D907</f>
        <v>29.46</v>
      </c>
      <c r="G907" s="20" t="n">
        <f aca="false">E907+F907</f>
        <v>178.95</v>
      </c>
      <c r="H907" s="20" t="n">
        <f aca="false">IF(G907&lt;Parametres!$B$8*Parametres!$B$7,0,MIN(G907,Parametres!$B$7))</f>
        <v>178.95</v>
      </c>
      <c r="I907" s="20" t="n">
        <f aca="false">G907-H907</f>
        <v>0</v>
      </c>
      <c r="J907" s="21" t="n">
        <f aca="false">H907*1000/Parametres!$B$9</f>
        <v>3034.5938612854</v>
      </c>
    </row>
    <row r="908" customFormat="false" ht="15" hidden="false" customHeight="false" outlineLevel="0" collapsed="false">
      <c r="A908" s="0" t="n">
        <v>904</v>
      </c>
      <c r="B908" s="0" t="n">
        <v>2</v>
      </c>
      <c r="C908" s="19" t="n">
        <v>0.3179</v>
      </c>
      <c r="D908" s="19" t="n">
        <v>0.1803</v>
      </c>
      <c r="E908" s="20" t="n">
        <f aca="false">Parametres!$B$5*C908</f>
        <v>95.37</v>
      </c>
      <c r="F908" s="20" t="n">
        <f aca="false">Parametres!$B$6*D908</f>
        <v>36.06</v>
      </c>
      <c r="G908" s="20" t="n">
        <f aca="false">E908+F908</f>
        <v>131.43</v>
      </c>
      <c r="H908" s="20" t="n">
        <f aca="false">IF(G908&lt;Parametres!$B$8*Parametres!$B$7,0,MIN(G908,Parametres!$B$7))</f>
        <v>131.43</v>
      </c>
      <c r="I908" s="20" t="n">
        <f aca="false">G908-H908</f>
        <v>0</v>
      </c>
      <c r="J908" s="21" t="n">
        <f aca="false">H908*1000/Parametres!$B$9</f>
        <v>2228.76038663727</v>
      </c>
    </row>
    <row r="909" customFormat="false" ht="15" hidden="false" customHeight="false" outlineLevel="0" collapsed="false">
      <c r="A909" s="0" t="n">
        <v>905</v>
      </c>
      <c r="B909" s="0" t="n">
        <v>2</v>
      </c>
      <c r="C909" s="19" t="n">
        <v>0.1545</v>
      </c>
      <c r="D909" s="19" t="n">
        <v>0.3201</v>
      </c>
      <c r="E909" s="20" t="n">
        <f aca="false">Parametres!$B$5*C909</f>
        <v>46.35</v>
      </c>
      <c r="F909" s="20" t="n">
        <f aca="false">Parametres!$B$6*D909</f>
        <v>64.02</v>
      </c>
      <c r="G909" s="20" t="n">
        <f aca="false">E909+F909</f>
        <v>110.37</v>
      </c>
      <c r="H909" s="20" t="n">
        <f aca="false">IF(G909&lt;Parametres!$B$8*Parametres!$B$7,0,MIN(G909,Parametres!$B$7))</f>
        <v>110.37</v>
      </c>
      <c r="I909" s="20" t="n">
        <f aca="false">G909-H909</f>
        <v>0</v>
      </c>
      <c r="J909" s="21" t="n">
        <f aca="false">H909*1000/Parametres!$B$9</f>
        <v>1871.62964219094</v>
      </c>
    </row>
    <row r="910" customFormat="false" ht="15" hidden="false" customHeight="false" outlineLevel="0" collapsed="false">
      <c r="A910" s="0" t="n">
        <v>906</v>
      </c>
      <c r="B910" s="0" t="n">
        <v>2</v>
      </c>
      <c r="C910" s="19" t="n">
        <v>0</v>
      </c>
      <c r="D910" s="19" t="n">
        <v>0.4732</v>
      </c>
      <c r="E910" s="20" t="n">
        <f aca="false">Parametres!$B$5*C910</f>
        <v>0</v>
      </c>
      <c r="F910" s="20" t="n">
        <f aca="false">Parametres!$B$6*D910</f>
        <v>94.64</v>
      </c>
      <c r="G910" s="20" t="n">
        <f aca="false">E910+F910</f>
        <v>94.64</v>
      </c>
      <c r="H910" s="20" t="n">
        <f aca="false">IF(G910&lt;Parametres!$B$8*Parametres!$B$7,0,MIN(G910,Parametres!$B$7))</f>
        <v>94.64</v>
      </c>
      <c r="I910" s="20" t="n">
        <f aca="false">G910-H910</f>
        <v>0</v>
      </c>
      <c r="J910" s="21" t="n">
        <f aca="false">H910*1000/Parametres!$B$9</f>
        <v>1604.88383924029</v>
      </c>
    </row>
    <row r="911" customFormat="false" ht="15" hidden="false" customHeight="false" outlineLevel="0" collapsed="false">
      <c r="A911" s="0" t="n">
        <v>907</v>
      </c>
      <c r="B911" s="0" t="n">
        <v>2</v>
      </c>
      <c r="C911" s="19" t="n">
        <v>0</v>
      </c>
      <c r="D911" s="19" t="n">
        <v>0.7184</v>
      </c>
      <c r="E911" s="20" t="n">
        <f aca="false">Parametres!$B$5*C911</f>
        <v>0</v>
      </c>
      <c r="F911" s="20" t="n">
        <f aca="false">Parametres!$B$6*D911</f>
        <v>143.68</v>
      </c>
      <c r="G911" s="20" t="n">
        <f aca="false">E911+F911</f>
        <v>143.68</v>
      </c>
      <c r="H911" s="20" t="n">
        <f aca="false">IF(G911&lt;Parametres!$B$8*Parametres!$B$7,0,MIN(G911,Parametres!$B$7))</f>
        <v>143.68</v>
      </c>
      <c r="I911" s="20" t="n">
        <f aca="false">G911-H911</f>
        <v>0</v>
      </c>
      <c r="J911" s="21" t="n">
        <f aca="false">H911*1000/Parametres!$B$9</f>
        <v>2436.49313210107</v>
      </c>
    </row>
    <row r="912" customFormat="false" ht="15" hidden="false" customHeight="false" outlineLevel="0" collapsed="false">
      <c r="A912" s="0" t="n">
        <v>908</v>
      </c>
      <c r="B912" s="0" t="n">
        <v>2</v>
      </c>
      <c r="C912" s="19" t="n">
        <v>0</v>
      </c>
      <c r="D912" s="19" t="n">
        <v>0.7366</v>
      </c>
      <c r="E912" s="20" t="n">
        <f aca="false">Parametres!$B$5*C912</f>
        <v>0</v>
      </c>
      <c r="F912" s="20" t="n">
        <f aca="false">Parametres!$B$6*D912</f>
        <v>147.32</v>
      </c>
      <c r="G912" s="20" t="n">
        <f aca="false">E912+F912</f>
        <v>147.32</v>
      </c>
      <c r="H912" s="20" t="n">
        <f aca="false">IF(G912&lt;Parametres!$B$8*Parametres!$B$7,0,MIN(G912,Parametres!$B$7))</f>
        <v>147.32</v>
      </c>
      <c r="I912" s="20" t="n">
        <f aca="false">G912-H912</f>
        <v>0</v>
      </c>
      <c r="J912" s="21" t="n">
        <f aca="false">H912*1000/Parametres!$B$9</f>
        <v>2498.21943361031</v>
      </c>
    </row>
    <row r="913" customFormat="false" ht="15" hidden="false" customHeight="false" outlineLevel="0" collapsed="false">
      <c r="A913" s="0" t="n">
        <v>909</v>
      </c>
      <c r="B913" s="0" t="n">
        <v>2</v>
      </c>
      <c r="C913" s="19" t="n">
        <v>0</v>
      </c>
      <c r="D913" s="19" t="n">
        <v>0.92</v>
      </c>
      <c r="E913" s="20" t="n">
        <f aca="false">Parametres!$B$5*C913</f>
        <v>0</v>
      </c>
      <c r="F913" s="20" t="n">
        <f aca="false">Parametres!$B$6*D913</f>
        <v>184</v>
      </c>
      <c r="G913" s="20" t="n">
        <f aca="false">E913+F913</f>
        <v>184</v>
      </c>
      <c r="H913" s="20" t="n">
        <f aca="false">IF(G913&lt;Parametres!$B$8*Parametres!$B$7,0,MIN(G913,Parametres!$B$7))</f>
        <v>184</v>
      </c>
      <c r="I913" s="20" t="n">
        <f aca="false">G913-H913</f>
        <v>0</v>
      </c>
      <c r="J913" s="21" t="n">
        <f aca="false">H913*1000/Parametres!$B$9</f>
        <v>3120.2306257419</v>
      </c>
    </row>
    <row r="914" customFormat="false" ht="15" hidden="false" customHeight="false" outlineLevel="0" collapsed="false">
      <c r="A914" s="0" t="n">
        <v>910</v>
      </c>
      <c r="B914" s="0" t="n">
        <v>2</v>
      </c>
      <c r="C914" s="19" t="n">
        <v>0</v>
      </c>
      <c r="D914" s="19" t="n">
        <v>0.7605</v>
      </c>
      <c r="E914" s="20" t="n">
        <f aca="false">Parametres!$B$5*C914</f>
        <v>0</v>
      </c>
      <c r="F914" s="20" t="n">
        <f aca="false">Parametres!$B$6*D914</f>
        <v>152.1</v>
      </c>
      <c r="G914" s="20" t="n">
        <f aca="false">E914+F914</f>
        <v>152.1</v>
      </c>
      <c r="H914" s="20" t="n">
        <f aca="false">IF(G914&lt;Parametres!$B$8*Parametres!$B$7,0,MIN(G914,Parametres!$B$7))</f>
        <v>152.1</v>
      </c>
      <c r="I914" s="20" t="n">
        <f aca="false">G914-H914</f>
        <v>0</v>
      </c>
      <c r="J914" s="21" t="n">
        <f aca="false">H914*1000/Parametres!$B$9</f>
        <v>2579.27759877904</v>
      </c>
    </row>
    <row r="915" customFormat="false" ht="15" hidden="false" customHeight="false" outlineLevel="0" collapsed="false">
      <c r="A915" s="0" t="n">
        <v>911</v>
      </c>
      <c r="B915" s="0" t="n">
        <v>2</v>
      </c>
      <c r="C915" s="19" t="n">
        <v>0</v>
      </c>
      <c r="D915" s="19" t="n">
        <v>0.7855</v>
      </c>
      <c r="E915" s="20" t="n">
        <f aca="false">Parametres!$B$5*C915</f>
        <v>0</v>
      </c>
      <c r="F915" s="20" t="n">
        <f aca="false">Parametres!$B$6*D915</f>
        <v>157.1</v>
      </c>
      <c r="G915" s="20" t="n">
        <f aca="false">E915+F915</f>
        <v>157.1</v>
      </c>
      <c r="H915" s="20" t="n">
        <f aca="false">IF(G915&lt;Parametres!$B$8*Parametres!$B$7,0,MIN(G915,Parametres!$B$7))</f>
        <v>157.1</v>
      </c>
      <c r="I915" s="20" t="n">
        <f aca="false">G915-H915</f>
        <v>0</v>
      </c>
      <c r="J915" s="21" t="n">
        <f aca="false">H915*1000/Parametres!$B$9</f>
        <v>2664.06647447855</v>
      </c>
    </row>
    <row r="916" customFormat="false" ht="15" hidden="false" customHeight="false" outlineLevel="0" collapsed="false">
      <c r="A916" s="0" t="n">
        <v>912</v>
      </c>
      <c r="B916" s="0" t="n">
        <v>2</v>
      </c>
      <c r="C916" s="19" t="n">
        <v>0</v>
      </c>
      <c r="D916" s="19" t="n">
        <v>0.8696</v>
      </c>
      <c r="E916" s="20" t="n">
        <f aca="false">Parametres!$B$5*C916</f>
        <v>0</v>
      </c>
      <c r="F916" s="20" t="n">
        <f aca="false">Parametres!$B$6*D916</f>
        <v>173.92</v>
      </c>
      <c r="G916" s="20" t="n">
        <f aca="false">E916+F916</f>
        <v>173.92</v>
      </c>
      <c r="H916" s="20" t="n">
        <f aca="false">IF(G916&lt;Parametres!$B$8*Parametres!$B$7,0,MIN(G916,Parametres!$B$7))</f>
        <v>173.92</v>
      </c>
      <c r="I916" s="20" t="n">
        <f aca="false">G916-H916</f>
        <v>0</v>
      </c>
      <c r="J916" s="21" t="n">
        <f aca="false">H916*1000/Parametres!$B$9</f>
        <v>2949.29625233169</v>
      </c>
    </row>
    <row r="917" customFormat="false" ht="15" hidden="false" customHeight="false" outlineLevel="0" collapsed="false">
      <c r="A917" s="0" t="n">
        <v>913</v>
      </c>
      <c r="B917" s="0" t="n">
        <v>2</v>
      </c>
      <c r="C917" s="19" t="n">
        <v>0</v>
      </c>
      <c r="D917" s="19" t="n">
        <v>1</v>
      </c>
      <c r="E917" s="20" t="n">
        <f aca="false">Parametres!$B$5*C917</f>
        <v>0</v>
      </c>
      <c r="F917" s="20" t="n">
        <f aca="false">Parametres!$B$6*D917</f>
        <v>200</v>
      </c>
      <c r="G917" s="20" t="n">
        <f aca="false">E917+F917</f>
        <v>200</v>
      </c>
      <c r="H917" s="20" t="n">
        <f aca="false">IF(G917&lt;Parametres!$B$8*Parametres!$B$7,0,MIN(G917,Parametres!$B$7))</f>
        <v>200</v>
      </c>
      <c r="I917" s="20" t="n">
        <f aca="false">G917-H917</f>
        <v>0</v>
      </c>
      <c r="J917" s="21" t="n">
        <f aca="false">H917*1000/Parametres!$B$9</f>
        <v>3391.55502798033</v>
      </c>
    </row>
    <row r="918" customFormat="false" ht="15" hidden="false" customHeight="false" outlineLevel="0" collapsed="false">
      <c r="A918" s="0" t="n">
        <v>914</v>
      </c>
      <c r="B918" s="0" t="n">
        <v>2</v>
      </c>
      <c r="C918" s="19" t="n">
        <v>0</v>
      </c>
      <c r="D918" s="19" t="n">
        <v>1</v>
      </c>
      <c r="E918" s="20" t="n">
        <f aca="false">Parametres!$B$5*C918</f>
        <v>0</v>
      </c>
      <c r="F918" s="20" t="n">
        <f aca="false">Parametres!$B$6*D918</f>
        <v>200</v>
      </c>
      <c r="G918" s="20" t="n">
        <f aca="false">E918+F918</f>
        <v>200</v>
      </c>
      <c r="H918" s="20" t="n">
        <f aca="false">IF(G918&lt;Parametres!$B$8*Parametres!$B$7,0,MIN(G918,Parametres!$B$7))</f>
        <v>200</v>
      </c>
      <c r="I918" s="20" t="n">
        <f aca="false">G918-H918</f>
        <v>0</v>
      </c>
      <c r="J918" s="21" t="n">
        <f aca="false">H918*1000/Parametres!$B$9</f>
        <v>3391.55502798033</v>
      </c>
    </row>
    <row r="919" customFormat="false" ht="15" hidden="false" customHeight="false" outlineLevel="0" collapsed="false">
      <c r="A919" s="0" t="n">
        <v>915</v>
      </c>
      <c r="B919" s="0" t="n">
        <v>2</v>
      </c>
      <c r="C919" s="19" t="n">
        <v>0</v>
      </c>
      <c r="D919" s="19" t="n">
        <v>0.8866</v>
      </c>
      <c r="E919" s="20" t="n">
        <f aca="false">Parametres!$B$5*C919</f>
        <v>0</v>
      </c>
      <c r="F919" s="20" t="n">
        <f aca="false">Parametres!$B$6*D919</f>
        <v>177.32</v>
      </c>
      <c r="G919" s="20" t="n">
        <f aca="false">E919+F919</f>
        <v>177.32</v>
      </c>
      <c r="H919" s="20" t="n">
        <f aca="false">IF(G919&lt;Parametres!$B$8*Parametres!$B$7,0,MIN(G919,Parametres!$B$7))</f>
        <v>177.32</v>
      </c>
      <c r="I919" s="20" t="n">
        <f aca="false">G919-H919</f>
        <v>0</v>
      </c>
      <c r="J919" s="21" t="n">
        <f aca="false">H919*1000/Parametres!$B$9</f>
        <v>3006.95268780736</v>
      </c>
    </row>
    <row r="920" customFormat="false" ht="15" hidden="false" customHeight="false" outlineLevel="0" collapsed="false">
      <c r="A920" s="0" t="n">
        <v>916</v>
      </c>
      <c r="B920" s="0" t="n">
        <v>2</v>
      </c>
      <c r="C920" s="19" t="n">
        <v>0</v>
      </c>
      <c r="D920" s="19" t="n">
        <v>1</v>
      </c>
      <c r="E920" s="20" t="n">
        <f aca="false">Parametres!$B$5*C920</f>
        <v>0</v>
      </c>
      <c r="F920" s="20" t="n">
        <f aca="false">Parametres!$B$6*D920</f>
        <v>200</v>
      </c>
      <c r="G920" s="20" t="n">
        <f aca="false">E920+F920</f>
        <v>200</v>
      </c>
      <c r="H920" s="20" t="n">
        <f aca="false">IF(G920&lt;Parametres!$B$8*Parametres!$B$7,0,MIN(G920,Parametres!$B$7))</f>
        <v>200</v>
      </c>
      <c r="I920" s="20" t="n">
        <f aca="false">G920-H920</f>
        <v>0</v>
      </c>
      <c r="J920" s="21" t="n">
        <f aca="false">H920*1000/Parametres!$B$9</f>
        <v>3391.55502798033</v>
      </c>
    </row>
    <row r="921" customFormat="false" ht="15" hidden="false" customHeight="false" outlineLevel="0" collapsed="false">
      <c r="A921" s="0" t="n">
        <v>917</v>
      </c>
      <c r="B921" s="0" t="n">
        <v>2</v>
      </c>
      <c r="C921" s="19" t="n">
        <v>0</v>
      </c>
      <c r="D921" s="19" t="n">
        <v>0.897</v>
      </c>
      <c r="E921" s="20" t="n">
        <f aca="false">Parametres!$B$5*C921</f>
        <v>0</v>
      </c>
      <c r="F921" s="20" t="n">
        <f aca="false">Parametres!$B$6*D921</f>
        <v>179.4</v>
      </c>
      <c r="G921" s="20" t="n">
        <f aca="false">E921+F921</f>
        <v>179.4</v>
      </c>
      <c r="H921" s="20" t="n">
        <f aca="false">IF(G921&lt;Parametres!$B$8*Parametres!$B$7,0,MIN(G921,Parametres!$B$7))</f>
        <v>179.4</v>
      </c>
      <c r="I921" s="20" t="n">
        <f aca="false">G921-H921</f>
        <v>0</v>
      </c>
      <c r="J921" s="21" t="n">
        <f aca="false">H921*1000/Parametres!$B$9</f>
        <v>3042.22486009836</v>
      </c>
    </row>
    <row r="922" customFormat="false" ht="15" hidden="false" customHeight="false" outlineLevel="0" collapsed="false">
      <c r="A922" s="0" t="n">
        <v>918</v>
      </c>
      <c r="B922" s="0" t="n">
        <v>2</v>
      </c>
      <c r="C922" s="19" t="n">
        <v>0</v>
      </c>
      <c r="D922" s="19" t="n">
        <v>0.8764</v>
      </c>
      <c r="E922" s="20" t="n">
        <f aca="false">Parametres!$B$5*C922</f>
        <v>0</v>
      </c>
      <c r="F922" s="20" t="n">
        <f aca="false">Parametres!$B$6*D922</f>
        <v>175.28</v>
      </c>
      <c r="G922" s="20" t="n">
        <f aca="false">E922+F922</f>
        <v>175.28</v>
      </c>
      <c r="H922" s="20" t="n">
        <f aca="false">IF(G922&lt;Parametres!$B$8*Parametres!$B$7,0,MIN(G922,Parametres!$B$7))</f>
        <v>175.28</v>
      </c>
      <c r="I922" s="20" t="n">
        <f aca="false">G922-H922</f>
        <v>0</v>
      </c>
      <c r="J922" s="21" t="n">
        <f aca="false">H922*1000/Parametres!$B$9</f>
        <v>2972.35882652196</v>
      </c>
    </row>
    <row r="923" customFormat="false" ht="15" hidden="false" customHeight="false" outlineLevel="0" collapsed="false">
      <c r="A923" s="0" t="n">
        <v>919</v>
      </c>
      <c r="B923" s="0" t="n">
        <v>2</v>
      </c>
      <c r="C923" s="19" t="n">
        <v>0</v>
      </c>
      <c r="D923" s="19" t="n">
        <v>0.838</v>
      </c>
      <c r="E923" s="20" t="n">
        <f aca="false">Parametres!$B$5*C923</f>
        <v>0</v>
      </c>
      <c r="F923" s="20" t="n">
        <f aca="false">Parametres!$B$6*D923</f>
        <v>167.6</v>
      </c>
      <c r="G923" s="20" t="n">
        <f aca="false">E923+F923</f>
        <v>167.6</v>
      </c>
      <c r="H923" s="20" t="n">
        <f aca="false">IF(G923&lt;Parametres!$B$8*Parametres!$B$7,0,MIN(G923,Parametres!$B$7))</f>
        <v>167.6</v>
      </c>
      <c r="I923" s="20" t="n">
        <f aca="false">G923-H923</f>
        <v>0</v>
      </c>
      <c r="J923" s="21" t="n">
        <f aca="false">H923*1000/Parametres!$B$9</f>
        <v>2842.12311344752</v>
      </c>
    </row>
    <row r="924" customFormat="false" ht="15" hidden="false" customHeight="false" outlineLevel="0" collapsed="false">
      <c r="A924" s="0" t="n">
        <v>920</v>
      </c>
      <c r="B924" s="0" t="n">
        <v>2</v>
      </c>
      <c r="C924" s="19" t="n">
        <v>0.1869</v>
      </c>
      <c r="D924" s="19" t="n">
        <v>0.7045</v>
      </c>
      <c r="E924" s="20" t="n">
        <f aca="false">Parametres!$B$5*C924</f>
        <v>56.07</v>
      </c>
      <c r="F924" s="20" t="n">
        <f aca="false">Parametres!$B$6*D924</f>
        <v>140.9</v>
      </c>
      <c r="G924" s="20" t="n">
        <f aca="false">E924+F924</f>
        <v>196.97</v>
      </c>
      <c r="H924" s="20" t="n">
        <f aca="false">IF(G924&lt;Parametres!$B$8*Parametres!$B$7,0,MIN(G924,Parametres!$B$7))</f>
        <v>196.97</v>
      </c>
      <c r="I924" s="20" t="n">
        <f aca="false">G924-H924</f>
        <v>0</v>
      </c>
      <c r="J924" s="21" t="n">
        <f aca="false">H924*1000/Parametres!$B$9</f>
        <v>3340.17296930643</v>
      </c>
    </row>
    <row r="925" customFormat="false" ht="15" hidden="false" customHeight="false" outlineLevel="0" collapsed="false">
      <c r="A925" s="0" t="n">
        <v>921</v>
      </c>
      <c r="B925" s="0" t="n">
        <v>2</v>
      </c>
      <c r="C925" s="19" t="n">
        <v>0.3926</v>
      </c>
      <c r="D925" s="19" t="n">
        <v>1</v>
      </c>
      <c r="E925" s="20" t="n">
        <f aca="false">Parametres!$B$5*C925</f>
        <v>117.78</v>
      </c>
      <c r="F925" s="20" t="n">
        <f aca="false">Parametres!$B$6*D925</f>
        <v>200</v>
      </c>
      <c r="G925" s="20" t="n">
        <f aca="false">E925+F925</f>
        <v>317.78</v>
      </c>
      <c r="H925" s="20" t="n">
        <f aca="false">IF(G925&lt;Parametres!$B$8*Parametres!$B$7,0,MIN(G925,Parametres!$B$7))</f>
        <v>250</v>
      </c>
      <c r="I925" s="20" t="n">
        <f aca="false">G925-H925</f>
        <v>67.78</v>
      </c>
      <c r="J925" s="21" t="n">
        <f aca="false">H925*1000/Parametres!$B$9</f>
        <v>4239.44378497541</v>
      </c>
    </row>
    <row r="926" customFormat="false" ht="15" hidden="false" customHeight="false" outlineLevel="0" collapsed="false">
      <c r="A926" s="0" t="n">
        <v>922</v>
      </c>
      <c r="B926" s="0" t="n">
        <v>2</v>
      </c>
      <c r="C926" s="19" t="n">
        <v>0.6629</v>
      </c>
      <c r="D926" s="19" t="n">
        <v>1</v>
      </c>
      <c r="E926" s="20" t="n">
        <f aca="false">Parametres!$B$5*C926</f>
        <v>198.87</v>
      </c>
      <c r="F926" s="20" t="n">
        <f aca="false">Parametres!$B$6*D926</f>
        <v>200</v>
      </c>
      <c r="G926" s="20" t="n">
        <f aca="false">E926+F926</f>
        <v>398.87</v>
      </c>
      <c r="H926" s="20" t="n">
        <f aca="false">IF(G926&lt;Parametres!$B$8*Parametres!$B$7,0,MIN(G926,Parametres!$B$7))</f>
        <v>250</v>
      </c>
      <c r="I926" s="20" t="n">
        <f aca="false">G926-H926</f>
        <v>148.87</v>
      </c>
      <c r="J926" s="21" t="n">
        <f aca="false">H926*1000/Parametres!$B$9</f>
        <v>4239.44378497541</v>
      </c>
    </row>
    <row r="927" customFormat="false" ht="15" hidden="false" customHeight="false" outlineLevel="0" collapsed="false">
      <c r="A927" s="0" t="n">
        <v>923</v>
      </c>
      <c r="B927" s="0" t="n">
        <v>2</v>
      </c>
      <c r="C927" s="19" t="n">
        <v>0.8162</v>
      </c>
      <c r="D927" s="19" t="n">
        <v>1</v>
      </c>
      <c r="E927" s="20" t="n">
        <f aca="false">Parametres!$B$5*C927</f>
        <v>244.86</v>
      </c>
      <c r="F927" s="20" t="n">
        <f aca="false">Parametres!$B$6*D927</f>
        <v>200</v>
      </c>
      <c r="G927" s="20" t="n">
        <f aca="false">E927+F927</f>
        <v>444.86</v>
      </c>
      <c r="H927" s="20" t="n">
        <f aca="false">IF(G927&lt;Parametres!$B$8*Parametres!$B$7,0,MIN(G927,Parametres!$B$7))</f>
        <v>250</v>
      </c>
      <c r="I927" s="20" t="n">
        <f aca="false">G927-H927</f>
        <v>194.86</v>
      </c>
      <c r="J927" s="21" t="n">
        <f aca="false">H927*1000/Parametres!$B$9</f>
        <v>4239.44378497541</v>
      </c>
    </row>
    <row r="928" customFormat="false" ht="15" hidden="false" customHeight="false" outlineLevel="0" collapsed="false">
      <c r="A928" s="0" t="n">
        <v>924</v>
      </c>
      <c r="B928" s="0" t="n">
        <v>2</v>
      </c>
      <c r="C928" s="19" t="n">
        <v>0.8977</v>
      </c>
      <c r="D928" s="19" t="n">
        <v>1</v>
      </c>
      <c r="E928" s="20" t="n">
        <f aca="false">Parametres!$B$5*C928</f>
        <v>269.31</v>
      </c>
      <c r="F928" s="20" t="n">
        <f aca="false">Parametres!$B$6*D928</f>
        <v>200</v>
      </c>
      <c r="G928" s="20" t="n">
        <f aca="false">E928+F928</f>
        <v>469.31</v>
      </c>
      <c r="H928" s="20" t="n">
        <f aca="false">IF(G928&lt;Parametres!$B$8*Parametres!$B$7,0,MIN(G928,Parametres!$B$7))</f>
        <v>250</v>
      </c>
      <c r="I928" s="20" t="n">
        <f aca="false">G928-H928</f>
        <v>219.31</v>
      </c>
      <c r="J928" s="21" t="n">
        <f aca="false">H928*1000/Parametres!$B$9</f>
        <v>4239.44378497541</v>
      </c>
    </row>
    <row r="929" customFormat="false" ht="15" hidden="false" customHeight="false" outlineLevel="0" collapsed="false">
      <c r="A929" s="0" t="n">
        <v>925</v>
      </c>
      <c r="B929" s="0" t="n">
        <v>2</v>
      </c>
      <c r="C929" s="19" t="n">
        <v>0.8551</v>
      </c>
      <c r="D929" s="19" t="n">
        <v>1</v>
      </c>
      <c r="E929" s="20" t="n">
        <f aca="false">Parametres!$B$5*C929</f>
        <v>256.53</v>
      </c>
      <c r="F929" s="20" t="n">
        <f aca="false">Parametres!$B$6*D929</f>
        <v>200</v>
      </c>
      <c r="G929" s="20" t="n">
        <f aca="false">E929+F929</f>
        <v>456.53</v>
      </c>
      <c r="H929" s="20" t="n">
        <f aca="false">IF(G929&lt;Parametres!$B$8*Parametres!$B$7,0,MIN(G929,Parametres!$B$7))</f>
        <v>250</v>
      </c>
      <c r="I929" s="20" t="n">
        <f aca="false">G929-H929</f>
        <v>206.53</v>
      </c>
      <c r="J929" s="21" t="n">
        <f aca="false">H929*1000/Parametres!$B$9</f>
        <v>4239.44378497541</v>
      </c>
    </row>
    <row r="930" customFormat="false" ht="15" hidden="false" customHeight="false" outlineLevel="0" collapsed="false">
      <c r="A930" s="0" t="n">
        <v>926</v>
      </c>
      <c r="B930" s="0" t="n">
        <v>2</v>
      </c>
      <c r="C930" s="19" t="n">
        <v>0.7978</v>
      </c>
      <c r="D930" s="19" t="n">
        <v>1</v>
      </c>
      <c r="E930" s="20" t="n">
        <f aca="false">Parametres!$B$5*C930</f>
        <v>239.34</v>
      </c>
      <c r="F930" s="20" t="n">
        <f aca="false">Parametres!$B$6*D930</f>
        <v>200</v>
      </c>
      <c r="G930" s="20" t="n">
        <f aca="false">E930+F930</f>
        <v>439.34</v>
      </c>
      <c r="H930" s="20" t="n">
        <f aca="false">IF(G930&lt;Parametres!$B$8*Parametres!$B$7,0,MIN(G930,Parametres!$B$7))</f>
        <v>250</v>
      </c>
      <c r="I930" s="20" t="n">
        <f aca="false">G930-H930</f>
        <v>189.34</v>
      </c>
      <c r="J930" s="21" t="n">
        <f aca="false">H930*1000/Parametres!$B$9</f>
        <v>4239.44378497541</v>
      </c>
    </row>
    <row r="931" customFormat="false" ht="15" hidden="false" customHeight="false" outlineLevel="0" collapsed="false">
      <c r="A931" s="0" t="n">
        <v>927</v>
      </c>
      <c r="B931" s="0" t="n">
        <v>2</v>
      </c>
      <c r="C931" s="19" t="n">
        <v>0.6156</v>
      </c>
      <c r="D931" s="19" t="n">
        <v>1</v>
      </c>
      <c r="E931" s="20" t="n">
        <f aca="false">Parametres!$B$5*C931</f>
        <v>184.68</v>
      </c>
      <c r="F931" s="20" t="n">
        <f aca="false">Parametres!$B$6*D931</f>
        <v>200</v>
      </c>
      <c r="G931" s="20" t="n">
        <f aca="false">E931+F931</f>
        <v>384.68</v>
      </c>
      <c r="H931" s="20" t="n">
        <f aca="false">IF(G931&lt;Parametres!$B$8*Parametres!$B$7,0,MIN(G931,Parametres!$B$7))</f>
        <v>250</v>
      </c>
      <c r="I931" s="20" t="n">
        <f aca="false">G931-H931</f>
        <v>134.68</v>
      </c>
      <c r="J931" s="21" t="n">
        <f aca="false">H931*1000/Parametres!$B$9</f>
        <v>4239.44378497541</v>
      </c>
    </row>
    <row r="932" customFormat="false" ht="15" hidden="false" customHeight="false" outlineLevel="0" collapsed="false">
      <c r="A932" s="0" t="n">
        <v>928</v>
      </c>
      <c r="B932" s="0" t="n">
        <v>2</v>
      </c>
      <c r="C932" s="19" t="n">
        <v>0.4639</v>
      </c>
      <c r="D932" s="19" t="n">
        <v>1</v>
      </c>
      <c r="E932" s="20" t="n">
        <f aca="false">Parametres!$B$5*C932</f>
        <v>139.17</v>
      </c>
      <c r="F932" s="20" t="n">
        <f aca="false">Parametres!$B$6*D932</f>
        <v>200</v>
      </c>
      <c r="G932" s="20" t="n">
        <f aca="false">E932+F932</f>
        <v>339.17</v>
      </c>
      <c r="H932" s="20" t="n">
        <f aca="false">IF(G932&lt;Parametres!$B$8*Parametres!$B$7,0,MIN(G932,Parametres!$B$7))</f>
        <v>250</v>
      </c>
      <c r="I932" s="20" t="n">
        <f aca="false">G932-H932</f>
        <v>89.17</v>
      </c>
      <c r="J932" s="21" t="n">
        <f aca="false">H932*1000/Parametres!$B$9</f>
        <v>4239.44378497541</v>
      </c>
    </row>
    <row r="933" customFormat="false" ht="15" hidden="false" customHeight="false" outlineLevel="0" collapsed="false">
      <c r="A933" s="0" t="n">
        <v>929</v>
      </c>
      <c r="B933" s="0" t="n">
        <v>2</v>
      </c>
      <c r="C933" s="19" t="n">
        <v>0.2047</v>
      </c>
      <c r="D933" s="19" t="n">
        <v>1</v>
      </c>
      <c r="E933" s="20" t="n">
        <f aca="false">Parametres!$B$5*C933</f>
        <v>61.41</v>
      </c>
      <c r="F933" s="20" t="n">
        <f aca="false">Parametres!$B$6*D933</f>
        <v>200</v>
      </c>
      <c r="G933" s="20" t="n">
        <f aca="false">E933+F933</f>
        <v>261.41</v>
      </c>
      <c r="H933" s="20" t="n">
        <f aca="false">IF(G933&lt;Parametres!$B$8*Parametres!$B$7,0,MIN(G933,Parametres!$B$7))</f>
        <v>250</v>
      </c>
      <c r="I933" s="20" t="n">
        <f aca="false">G933-H933</f>
        <v>11.41</v>
      </c>
      <c r="J933" s="21" t="n">
        <f aca="false">H933*1000/Parametres!$B$9</f>
        <v>4239.44378497541</v>
      </c>
    </row>
    <row r="934" customFormat="false" ht="15" hidden="false" customHeight="false" outlineLevel="0" collapsed="false">
      <c r="A934" s="0" t="n">
        <v>930</v>
      </c>
      <c r="B934" s="0" t="n">
        <v>2</v>
      </c>
      <c r="C934" s="19" t="n">
        <v>0</v>
      </c>
      <c r="D934" s="19" t="n">
        <v>1</v>
      </c>
      <c r="E934" s="20" t="n">
        <f aca="false">Parametres!$B$5*C934</f>
        <v>0</v>
      </c>
      <c r="F934" s="20" t="n">
        <f aca="false">Parametres!$B$6*D934</f>
        <v>200</v>
      </c>
      <c r="G934" s="20" t="n">
        <f aca="false">E934+F934</f>
        <v>200</v>
      </c>
      <c r="H934" s="20" t="n">
        <f aca="false">IF(G934&lt;Parametres!$B$8*Parametres!$B$7,0,MIN(G934,Parametres!$B$7))</f>
        <v>200</v>
      </c>
      <c r="I934" s="20" t="n">
        <f aca="false">G934-H934</f>
        <v>0</v>
      </c>
      <c r="J934" s="21" t="n">
        <f aca="false">H934*1000/Parametres!$B$9</f>
        <v>3391.55502798033</v>
      </c>
    </row>
    <row r="935" customFormat="false" ht="15" hidden="false" customHeight="false" outlineLevel="0" collapsed="false">
      <c r="A935" s="0" t="n">
        <v>931</v>
      </c>
      <c r="B935" s="0" t="n">
        <v>2</v>
      </c>
      <c r="C935" s="19" t="n">
        <v>0</v>
      </c>
      <c r="D935" s="19" t="n">
        <v>1</v>
      </c>
      <c r="E935" s="20" t="n">
        <f aca="false">Parametres!$B$5*C935</f>
        <v>0</v>
      </c>
      <c r="F935" s="20" t="n">
        <f aca="false">Parametres!$B$6*D935</f>
        <v>200</v>
      </c>
      <c r="G935" s="20" t="n">
        <f aca="false">E935+F935</f>
        <v>200</v>
      </c>
      <c r="H935" s="20" t="n">
        <f aca="false">IF(G935&lt;Parametres!$B$8*Parametres!$B$7,0,MIN(G935,Parametres!$B$7))</f>
        <v>200</v>
      </c>
      <c r="I935" s="20" t="n">
        <f aca="false">G935-H935</f>
        <v>0</v>
      </c>
      <c r="J935" s="21" t="n">
        <f aca="false">H935*1000/Parametres!$B$9</f>
        <v>3391.55502798033</v>
      </c>
    </row>
    <row r="936" customFormat="false" ht="15" hidden="false" customHeight="false" outlineLevel="0" collapsed="false">
      <c r="A936" s="0" t="n">
        <v>932</v>
      </c>
      <c r="B936" s="0" t="n">
        <v>2</v>
      </c>
      <c r="C936" s="19" t="n">
        <v>0</v>
      </c>
      <c r="D936" s="19" t="n">
        <v>0.7211</v>
      </c>
      <c r="E936" s="20" t="n">
        <f aca="false">Parametres!$B$5*C936</f>
        <v>0</v>
      </c>
      <c r="F936" s="20" t="n">
        <f aca="false">Parametres!$B$6*D936</f>
        <v>144.22</v>
      </c>
      <c r="G936" s="20" t="n">
        <f aca="false">E936+F936</f>
        <v>144.22</v>
      </c>
      <c r="H936" s="20" t="n">
        <f aca="false">IF(G936&lt;Parametres!$B$8*Parametres!$B$7,0,MIN(G936,Parametres!$B$7))</f>
        <v>144.22</v>
      </c>
      <c r="I936" s="20" t="n">
        <f aca="false">G936-H936</f>
        <v>0</v>
      </c>
      <c r="J936" s="21" t="n">
        <f aca="false">H936*1000/Parametres!$B$9</f>
        <v>2445.65033067662</v>
      </c>
    </row>
    <row r="937" customFormat="false" ht="15" hidden="false" customHeight="false" outlineLevel="0" collapsed="false">
      <c r="A937" s="0" t="n">
        <v>933</v>
      </c>
      <c r="B937" s="0" t="n">
        <v>2</v>
      </c>
      <c r="C937" s="19" t="n">
        <v>0</v>
      </c>
      <c r="D937" s="19" t="n">
        <v>0.6272</v>
      </c>
      <c r="E937" s="20" t="n">
        <f aca="false">Parametres!$B$5*C937</f>
        <v>0</v>
      </c>
      <c r="F937" s="20" t="n">
        <f aca="false">Parametres!$B$6*D937</f>
        <v>125.44</v>
      </c>
      <c r="G937" s="20" t="n">
        <f aca="false">E937+F937</f>
        <v>125.44</v>
      </c>
      <c r="H937" s="20" t="n">
        <f aca="false">IF(G937&lt;Parametres!$B$8*Parametres!$B$7,0,MIN(G937,Parametres!$B$7))</f>
        <v>125.44</v>
      </c>
      <c r="I937" s="20" t="n">
        <f aca="false">G937-H937</f>
        <v>0</v>
      </c>
      <c r="J937" s="21" t="n">
        <f aca="false">H937*1000/Parametres!$B$9</f>
        <v>2127.18331354926</v>
      </c>
    </row>
    <row r="938" customFormat="false" ht="15" hidden="false" customHeight="false" outlineLevel="0" collapsed="false">
      <c r="A938" s="0" t="n">
        <v>934</v>
      </c>
      <c r="B938" s="0" t="n">
        <v>2</v>
      </c>
      <c r="C938" s="19" t="n">
        <v>0</v>
      </c>
      <c r="D938" s="19" t="n">
        <v>0.6296</v>
      </c>
      <c r="E938" s="20" t="n">
        <f aca="false">Parametres!$B$5*C938</f>
        <v>0</v>
      </c>
      <c r="F938" s="20" t="n">
        <f aca="false">Parametres!$B$6*D938</f>
        <v>125.92</v>
      </c>
      <c r="G938" s="20" t="n">
        <f aca="false">E938+F938</f>
        <v>125.92</v>
      </c>
      <c r="H938" s="20" t="n">
        <f aca="false">IF(G938&lt;Parametres!$B$8*Parametres!$B$7,0,MIN(G938,Parametres!$B$7))</f>
        <v>125.92</v>
      </c>
      <c r="I938" s="20" t="n">
        <f aca="false">G938-H938</f>
        <v>0</v>
      </c>
      <c r="J938" s="21" t="n">
        <f aca="false">H938*1000/Parametres!$B$9</f>
        <v>2135.32304561642</v>
      </c>
    </row>
    <row r="939" customFormat="false" ht="15" hidden="false" customHeight="false" outlineLevel="0" collapsed="false">
      <c r="A939" s="0" t="n">
        <v>935</v>
      </c>
      <c r="B939" s="0" t="n">
        <v>2</v>
      </c>
      <c r="C939" s="19" t="n">
        <v>0</v>
      </c>
      <c r="D939" s="19" t="n">
        <v>1</v>
      </c>
      <c r="E939" s="20" t="n">
        <f aca="false">Parametres!$B$5*C939</f>
        <v>0</v>
      </c>
      <c r="F939" s="20" t="n">
        <f aca="false">Parametres!$B$6*D939</f>
        <v>200</v>
      </c>
      <c r="G939" s="20" t="n">
        <f aca="false">E939+F939</f>
        <v>200</v>
      </c>
      <c r="H939" s="20" t="n">
        <f aca="false">IF(G939&lt;Parametres!$B$8*Parametres!$B$7,0,MIN(G939,Parametres!$B$7))</f>
        <v>200</v>
      </c>
      <c r="I939" s="20" t="n">
        <f aca="false">G939-H939</f>
        <v>0</v>
      </c>
      <c r="J939" s="21" t="n">
        <f aca="false">H939*1000/Parametres!$B$9</f>
        <v>3391.55502798033</v>
      </c>
    </row>
    <row r="940" customFormat="false" ht="15" hidden="false" customHeight="false" outlineLevel="0" collapsed="false">
      <c r="A940" s="0" t="n">
        <v>936</v>
      </c>
      <c r="B940" s="0" t="n">
        <v>2</v>
      </c>
      <c r="C940" s="19" t="n">
        <v>0</v>
      </c>
      <c r="D940" s="19" t="n">
        <v>1</v>
      </c>
      <c r="E940" s="20" t="n">
        <f aca="false">Parametres!$B$5*C940</f>
        <v>0</v>
      </c>
      <c r="F940" s="20" t="n">
        <f aca="false">Parametres!$B$6*D940</f>
        <v>200</v>
      </c>
      <c r="G940" s="20" t="n">
        <f aca="false">E940+F940</f>
        <v>200</v>
      </c>
      <c r="H940" s="20" t="n">
        <f aca="false">IF(G940&lt;Parametres!$B$8*Parametres!$B$7,0,MIN(G940,Parametres!$B$7))</f>
        <v>200</v>
      </c>
      <c r="I940" s="20" t="n">
        <f aca="false">G940-H940</f>
        <v>0</v>
      </c>
      <c r="J940" s="21" t="n">
        <f aca="false">H940*1000/Parametres!$B$9</f>
        <v>3391.55502798033</v>
      </c>
    </row>
    <row r="941" customFormat="false" ht="15" hidden="false" customHeight="false" outlineLevel="0" collapsed="false">
      <c r="A941" s="0" t="n">
        <v>937</v>
      </c>
      <c r="B941" s="0" t="n">
        <v>2</v>
      </c>
      <c r="C941" s="19" t="n">
        <v>0</v>
      </c>
      <c r="D941" s="19" t="n">
        <v>0.4213</v>
      </c>
      <c r="E941" s="20" t="n">
        <f aca="false">Parametres!$B$5*C941</f>
        <v>0</v>
      </c>
      <c r="F941" s="20" t="n">
        <f aca="false">Parametres!$B$6*D941</f>
        <v>84.26</v>
      </c>
      <c r="G941" s="20" t="n">
        <f aca="false">E941+F941</f>
        <v>84.26</v>
      </c>
      <c r="H941" s="20" t="n">
        <f aca="false">IF(G941&lt;Parametres!$B$8*Parametres!$B$7,0,MIN(G941,Parametres!$B$7))</f>
        <v>84.26</v>
      </c>
      <c r="I941" s="20" t="n">
        <f aca="false">G941-H941</f>
        <v>0</v>
      </c>
      <c r="J941" s="21" t="n">
        <f aca="false">H941*1000/Parametres!$B$9</f>
        <v>1428.86213328811</v>
      </c>
    </row>
    <row r="942" customFormat="false" ht="15" hidden="false" customHeight="false" outlineLevel="0" collapsed="false">
      <c r="A942" s="0" t="n">
        <v>938</v>
      </c>
      <c r="B942" s="0" t="n">
        <v>2</v>
      </c>
      <c r="C942" s="19" t="n">
        <v>0</v>
      </c>
      <c r="D942" s="19" t="n">
        <v>0.3115</v>
      </c>
      <c r="E942" s="20" t="n">
        <f aca="false">Parametres!$B$5*C942</f>
        <v>0</v>
      </c>
      <c r="F942" s="20" t="n">
        <f aca="false">Parametres!$B$6*D942</f>
        <v>62.3</v>
      </c>
      <c r="G942" s="20" t="n">
        <f aca="false">E942+F942</f>
        <v>62.3</v>
      </c>
      <c r="H942" s="20" t="n">
        <f aca="false">IF(G942&lt;Parametres!$B$8*Parametres!$B$7,0,MIN(G942,Parametres!$B$7))</f>
        <v>62.3</v>
      </c>
      <c r="I942" s="20" t="n">
        <f aca="false">G942-H942</f>
        <v>0</v>
      </c>
      <c r="J942" s="21" t="n">
        <f aca="false">H942*1000/Parametres!$B$9</f>
        <v>1056.46939121587</v>
      </c>
    </row>
    <row r="943" customFormat="false" ht="15" hidden="false" customHeight="false" outlineLevel="0" collapsed="false">
      <c r="A943" s="0" t="n">
        <v>939</v>
      </c>
      <c r="B943" s="0" t="n">
        <v>2</v>
      </c>
      <c r="C943" s="19" t="n">
        <v>0</v>
      </c>
      <c r="D943" s="19" t="n">
        <v>0.243</v>
      </c>
      <c r="E943" s="20" t="n">
        <f aca="false">Parametres!$B$5*C943</f>
        <v>0</v>
      </c>
      <c r="F943" s="20" t="n">
        <f aca="false">Parametres!$B$6*D943</f>
        <v>48.6</v>
      </c>
      <c r="G943" s="20" t="n">
        <f aca="false">E943+F943</f>
        <v>48.6</v>
      </c>
      <c r="H943" s="20" t="n">
        <f aca="false">IF(G943&lt;Parametres!$B$8*Parametres!$B$7,0,MIN(G943,Parametres!$B$7))</f>
        <v>48.6</v>
      </c>
      <c r="I943" s="20" t="n">
        <f aca="false">G943-H943</f>
        <v>0</v>
      </c>
      <c r="J943" s="21" t="n">
        <f aca="false">H943*1000/Parametres!$B$9</f>
        <v>824.14787179922</v>
      </c>
    </row>
    <row r="944" customFormat="false" ht="15" hidden="false" customHeight="false" outlineLevel="0" collapsed="false">
      <c r="A944" s="0" t="n">
        <v>940</v>
      </c>
      <c r="B944" s="0" t="n">
        <v>2</v>
      </c>
      <c r="C944" s="19" t="n">
        <v>0</v>
      </c>
      <c r="D944" s="19" t="n">
        <v>0.2518</v>
      </c>
      <c r="E944" s="20" t="n">
        <f aca="false">Parametres!$B$5*C944</f>
        <v>0</v>
      </c>
      <c r="F944" s="20" t="n">
        <f aca="false">Parametres!$B$6*D944</f>
        <v>50.36</v>
      </c>
      <c r="G944" s="20" t="n">
        <f aca="false">E944+F944</f>
        <v>50.36</v>
      </c>
      <c r="H944" s="20" t="n">
        <f aca="false">IF(G944&lt;Parametres!$B$8*Parametres!$B$7,0,MIN(G944,Parametres!$B$7))</f>
        <v>50.36</v>
      </c>
      <c r="I944" s="20" t="n">
        <f aca="false">G944-H944</f>
        <v>0</v>
      </c>
      <c r="J944" s="21" t="n">
        <f aca="false">H944*1000/Parametres!$B$9</f>
        <v>853.993556045447</v>
      </c>
    </row>
    <row r="945" customFormat="false" ht="15" hidden="false" customHeight="false" outlineLevel="0" collapsed="false">
      <c r="A945" s="0" t="n">
        <v>941</v>
      </c>
      <c r="B945" s="0" t="n">
        <v>2</v>
      </c>
      <c r="C945" s="19" t="n">
        <v>0</v>
      </c>
      <c r="D945" s="19" t="n">
        <v>0.4032</v>
      </c>
      <c r="E945" s="20" t="n">
        <f aca="false">Parametres!$B$5*C945</f>
        <v>0</v>
      </c>
      <c r="F945" s="20" t="n">
        <f aca="false">Parametres!$B$6*D945</f>
        <v>80.64</v>
      </c>
      <c r="G945" s="20" t="n">
        <f aca="false">E945+F945</f>
        <v>80.64</v>
      </c>
      <c r="H945" s="20" t="n">
        <f aca="false">IF(G945&lt;Parametres!$B$8*Parametres!$B$7,0,MIN(G945,Parametres!$B$7))</f>
        <v>80.64</v>
      </c>
      <c r="I945" s="20" t="n">
        <f aca="false">G945-H945</f>
        <v>0</v>
      </c>
      <c r="J945" s="21" t="n">
        <f aca="false">H945*1000/Parametres!$B$9</f>
        <v>1367.47498728167</v>
      </c>
    </row>
    <row r="946" customFormat="false" ht="15" hidden="false" customHeight="false" outlineLevel="0" collapsed="false">
      <c r="A946" s="0" t="n">
        <v>942</v>
      </c>
      <c r="B946" s="0" t="n">
        <v>2</v>
      </c>
      <c r="C946" s="19" t="n">
        <v>0</v>
      </c>
      <c r="D946" s="19" t="n">
        <v>0.5011</v>
      </c>
      <c r="E946" s="20" t="n">
        <f aca="false">Parametres!$B$5*C946</f>
        <v>0</v>
      </c>
      <c r="F946" s="20" t="n">
        <f aca="false">Parametres!$B$6*D946</f>
        <v>100.22</v>
      </c>
      <c r="G946" s="20" t="n">
        <f aca="false">E946+F946</f>
        <v>100.22</v>
      </c>
      <c r="H946" s="20" t="n">
        <f aca="false">IF(G946&lt;Parametres!$B$8*Parametres!$B$7,0,MIN(G946,Parametres!$B$7))</f>
        <v>100.22</v>
      </c>
      <c r="I946" s="20" t="n">
        <f aca="false">G946-H946</f>
        <v>0</v>
      </c>
      <c r="J946" s="21" t="n">
        <f aca="false">H946*1000/Parametres!$B$9</f>
        <v>1699.50822452094</v>
      </c>
    </row>
    <row r="947" customFormat="false" ht="15" hidden="false" customHeight="false" outlineLevel="0" collapsed="false">
      <c r="A947" s="0" t="n">
        <v>943</v>
      </c>
      <c r="B947" s="0" t="n">
        <v>2</v>
      </c>
      <c r="C947" s="19" t="n">
        <v>0</v>
      </c>
      <c r="D947" s="19" t="n">
        <v>0.2511</v>
      </c>
      <c r="E947" s="20" t="n">
        <f aca="false">Parametres!$B$5*C947</f>
        <v>0</v>
      </c>
      <c r="F947" s="20" t="n">
        <f aca="false">Parametres!$B$6*D947</f>
        <v>50.22</v>
      </c>
      <c r="G947" s="20" t="n">
        <f aca="false">E947+F947</f>
        <v>50.22</v>
      </c>
      <c r="H947" s="20" t="n">
        <f aca="false">IF(G947&lt;Parametres!$B$8*Parametres!$B$7,0,MIN(G947,Parametres!$B$7))</f>
        <v>50.22</v>
      </c>
      <c r="I947" s="20" t="n">
        <f aca="false">G947-H947</f>
        <v>0</v>
      </c>
      <c r="J947" s="21" t="n">
        <f aca="false">H947*1000/Parametres!$B$9</f>
        <v>851.619467525861</v>
      </c>
    </row>
    <row r="948" customFormat="false" ht="15" hidden="false" customHeight="false" outlineLevel="0" collapsed="false">
      <c r="A948" s="0" t="n">
        <v>944</v>
      </c>
      <c r="B948" s="0" t="n">
        <v>2</v>
      </c>
      <c r="C948" s="19" t="n">
        <v>0.2</v>
      </c>
      <c r="D948" s="19" t="n">
        <v>0.3025</v>
      </c>
      <c r="E948" s="20" t="n">
        <f aca="false">Parametres!$B$5*C948</f>
        <v>60</v>
      </c>
      <c r="F948" s="20" t="n">
        <f aca="false">Parametres!$B$6*D948</f>
        <v>60.5</v>
      </c>
      <c r="G948" s="20" t="n">
        <f aca="false">E948+F948</f>
        <v>120.5</v>
      </c>
      <c r="H948" s="20" t="n">
        <f aca="false">IF(G948&lt;Parametres!$B$8*Parametres!$B$7,0,MIN(G948,Parametres!$B$7))</f>
        <v>120.5</v>
      </c>
      <c r="I948" s="20" t="n">
        <f aca="false">G948-H948</f>
        <v>0</v>
      </c>
      <c r="J948" s="21" t="n">
        <f aca="false">H948*1000/Parametres!$B$9</f>
        <v>2043.41190435815</v>
      </c>
    </row>
    <row r="949" customFormat="false" ht="15" hidden="false" customHeight="false" outlineLevel="0" collapsed="false">
      <c r="A949" s="0" t="n">
        <v>945</v>
      </c>
      <c r="B949" s="0" t="n">
        <v>2</v>
      </c>
      <c r="C949" s="19" t="n">
        <v>0.4244</v>
      </c>
      <c r="D949" s="19" t="n">
        <v>0.3479</v>
      </c>
      <c r="E949" s="20" t="n">
        <f aca="false">Parametres!$B$5*C949</f>
        <v>127.32</v>
      </c>
      <c r="F949" s="20" t="n">
        <f aca="false">Parametres!$B$6*D949</f>
        <v>69.58</v>
      </c>
      <c r="G949" s="20" t="n">
        <f aca="false">E949+F949</f>
        <v>196.9</v>
      </c>
      <c r="H949" s="20" t="n">
        <f aca="false">IF(G949&lt;Parametres!$B$8*Parametres!$B$7,0,MIN(G949,Parametres!$B$7))</f>
        <v>196.9</v>
      </c>
      <c r="I949" s="20" t="n">
        <f aca="false">G949-H949</f>
        <v>0</v>
      </c>
      <c r="J949" s="21" t="n">
        <f aca="false">H949*1000/Parametres!$B$9</f>
        <v>3338.98592504663</v>
      </c>
    </row>
    <row r="950" customFormat="false" ht="15" hidden="false" customHeight="false" outlineLevel="0" collapsed="false">
      <c r="A950" s="0" t="n">
        <v>946</v>
      </c>
      <c r="B950" s="0" t="n">
        <v>2</v>
      </c>
      <c r="C950" s="19" t="n">
        <v>0.6663</v>
      </c>
      <c r="D950" s="19" t="n">
        <v>0.4468</v>
      </c>
      <c r="E950" s="20" t="n">
        <f aca="false">Parametres!$B$5*C950</f>
        <v>199.89</v>
      </c>
      <c r="F950" s="20" t="n">
        <f aca="false">Parametres!$B$6*D950</f>
        <v>89.36</v>
      </c>
      <c r="G950" s="20" t="n">
        <f aca="false">E950+F950</f>
        <v>289.25</v>
      </c>
      <c r="H950" s="20" t="n">
        <f aca="false">IF(G950&lt;Parametres!$B$8*Parametres!$B$7,0,MIN(G950,Parametres!$B$7))</f>
        <v>250</v>
      </c>
      <c r="I950" s="20" t="n">
        <f aca="false">G950-H950</f>
        <v>39.25</v>
      </c>
      <c r="J950" s="21" t="n">
        <f aca="false">H950*1000/Parametres!$B$9</f>
        <v>4239.44378497541</v>
      </c>
    </row>
    <row r="951" customFormat="false" ht="15" hidden="false" customHeight="false" outlineLevel="0" collapsed="false">
      <c r="A951" s="0" t="n">
        <v>947</v>
      </c>
      <c r="B951" s="0" t="n">
        <v>2</v>
      </c>
      <c r="C951" s="19" t="n">
        <v>0.836</v>
      </c>
      <c r="D951" s="19" t="n">
        <v>0.7518</v>
      </c>
      <c r="E951" s="20" t="n">
        <f aca="false">Parametres!$B$5*C951</f>
        <v>250.8</v>
      </c>
      <c r="F951" s="20" t="n">
        <f aca="false">Parametres!$B$6*D951</f>
        <v>150.36</v>
      </c>
      <c r="G951" s="20" t="n">
        <f aca="false">E951+F951</f>
        <v>401.16</v>
      </c>
      <c r="H951" s="20" t="n">
        <f aca="false">IF(G951&lt;Parametres!$B$8*Parametres!$B$7,0,MIN(G951,Parametres!$B$7))</f>
        <v>250</v>
      </c>
      <c r="I951" s="20" t="n">
        <f aca="false">G951-H951</f>
        <v>151.16</v>
      </c>
      <c r="J951" s="21" t="n">
        <f aca="false">H951*1000/Parametres!$B$9</f>
        <v>4239.44378497541</v>
      </c>
    </row>
    <row r="952" customFormat="false" ht="15" hidden="false" customHeight="false" outlineLevel="0" collapsed="false">
      <c r="A952" s="0" t="n">
        <v>948</v>
      </c>
      <c r="B952" s="0" t="n">
        <v>2</v>
      </c>
      <c r="C952" s="19" t="n">
        <v>0.9137</v>
      </c>
      <c r="D952" s="19" t="n">
        <v>0.6076</v>
      </c>
      <c r="E952" s="20" t="n">
        <f aca="false">Parametres!$B$5*C952</f>
        <v>274.11</v>
      </c>
      <c r="F952" s="20" t="n">
        <f aca="false">Parametres!$B$6*D952</f>
        <v>121.52</v>
      </c>
      <c r="G952" s="20" t="n">
        <f aca="false">E952+F952</f>
        <v>395.63</v>
      </c>
      <c r="H952" s="20" t="n">
        <f aca="false">IF(G952&lt;Parametres!$B$8*Parametres!$B$7,0,MIN(G952,Parametres!$B$7))</f>
        <v>250</v>
      </c>
      <c r="I952" s="20" t="n">
        <f aca="false">G952-H952</f>
        <v>145.63</v>
      </c>
      <c r="J952" s="21" t="n">
        <f aca="false">H952*1000/Parametres!$B$9</f>
        <v>4239.44378497541</v>
      </c>
    </row>
    <row r="953" customFormat="false" ht="15" hidden="false" customHeight="false" outlineLevel="0" collapsed="false">
      <c r="A953" s="0" t="n">
        <v>949</v>
      </c>
      <c r="B953" s="0" t="n">
        <v>2</v>
      </c>
      <c r="C953" s="19" t="n">
        <v>0.8967</v>
      </c>
      <c r="D953" s="19" t="n">
        <v>0.9222</v>
      </c>
      <c r="E953" s="20" t="n">
        <f aca="false">Parametres!$B$5*C953</f>
        <v>269.01</v>
      </c>
      <c r="F953" s="20" t="n">
        <f aca="false">Parametres!$B$6*D953</f>
        <v>184.44</v>
      </c>
      <c r="G953" s="20" t="n">
        <f aca="false">E953+F953</f>
        <v>453.45</v>
      </c>
      <c r="H953" s="20" t="n">
        <f aca="false">IF(G953&lt;Parametres!$B$8*Parametres!$B$7,0,MIN(G953,Parametres!$B$7))</f>
        <v>250</v>
      </c>
      <c r="I953" s="20" t="n">
        <f aca="false">G953-H953</f>
        <v>203.45</v>
      </c>
      <c r="J953" s="21" t="n">
        <f aca="false">H953*1000/Parametres!$B$9</f>
        <v>4239.44378497541</v>
      </c>
    </row>
    <row r="954" customFormat="false" ht="15" hidden="false" customHeight="false" outlineLevel="0" collapsed="false">
      <c r="A954" s="0" t="n">
        <v>950</v>
      </c>
      <c r="B954" s="0" t="n">
        <v>2</v>
      </c>
      <c r="C954" s="19" t="n">
        <v>0.7464</v>
      </c>
      <c r="D954" s="19" t="n">
        <v>0.6092</v>
      </c>
      <c r="E954" s="20" t="n">
        <f aca="false">Parametres!$B$5*C954</f>
        <v>223.92</v>
      </c>
      <c r="F954" s="20" t="n">
        <f aca="false">Parametres!$B$6*D954</f>
        <v>121.84</v>
      </c>
      <c r="G954" s="20" t="n">
        <f aca="false">E954+F954</f>
        <v>345.76</v>
      </c>
      <c r="H954" s="20" t="n">
        <f aca="false">IF(G954&lt;Parametres!$B$8*Parametres!$B$7,0,MIN(G954,Parametres!$B$7))</f>
        <v>250</v>
      </c>
      <c r="I954" s="20" t="n">
        <f aca="false">G954-H954</f>
        <v>95.76</v>
      </c>
      <c r="J954" s="21" t="n">
        <f aca="false">H954*1000/Parametres!$B$9</f>
        <v>4239.44378497541</v>
      </c>
    </row>
    <row r="955" customFormat="false" ht="15" hidden="false" customHeight="false" outlineLevel="0" collapsed="false">
      <c r="A955" s="0" t="n">
        <v>951</v>
      </c>
      <c r="B955" s="0" t="n">
        <v>2</v>
      </c>
      <c r="C955" s="19" t="n">
        <v>0.6931</v>
      </c>
      <c r="D955" s="19" t="n">
        <v>0.6562</v>
      </c>
      <c r="E955" s="20" t="n">
        <f aca="false">Parametres!$B$5*C955</f>
        <v>207.93</v>
      </c>
      <c r="F955" s="20" t="n">
        <f aca="false">Parametres!$B$6*D955</f>
        <v>131.24</v>
      </c>
      <c r="G955" s="20" t="n">
        <f aca="false">E955+F955</f>
        <v>339.17</v>
      </c>
      <c r="H955" s="20" t="n">
        <f aca="false">IF(G955&lt;Parametres!$B$8*Parametres!$B$7,0,MIN(G955,Parametres!$B$7))</f>
        <v>250</v>
      </c>
      <c r="I955" s="20" t="n">
        <f aca="false">G955-H955</f>
        <v>89.17</v>
      </c>
      <c r="J955" s="21" t="n">
        <f aca="false">H955*1000/Parametres!$B$9</f>
        <v>4239.44378497541</v>
      </c>
    </row>
    <row r="956" customFormat="false" ht="15" hidden="false" customHeight="false" outlineLevel="0" collapsed="false">
      <c r="A956" s="0" t="n">
        <v>952</v>
      </c>
      <c r="B956" s="0" t="n">
        <v>2</v>
      </c>
      <c r="C956" s="19" t="n">
        <v>0.4434</v>
      </c>
      <c r="D956" s="19" t="n">
        <v>0.7608</v>
      </c>
      <c r="E956" s="20" t="n">
        <f aca="false">Parametres!$B$5*C956</f>
        <v>133.02</v>
      </c>
      <c r="F956" s="20" t="n">
        <f aca="false">Parametres!$B$6*D956</f>
        <v>152.16</v>
      </c>
      <c r="G956" s="20" t="n">
        <f aca="false">E956+F956</f>
        <v>285.18</v>
      </c>
      <c r="H956" s="20" t="n">
        <f aca="false">IF(G956&lt;Parametres!$B$8*Parametres!$B$7,0,MIN(G956,Parametres!$B$7))</f>
        <v>250</v>
      </c>
      <c r="I956" s="20" t="n">
        <f aca="false">G956-H956</f>
        <v>35.18</v>
      </c>
      <c r="J956" s="21" t="n">
        <f aca="false">H956*1000/Parametres!$B$9</f>
        <v>4239.44378497541</v>
      </c>
    </row>
    <row r="957" customFormat="false" ht="15" hidden="false" customHeight="false" outlineLevel="0" collapsed="false">
      <c r="A957" s="0" t="n">
        <v>953</v>
      </c>
      <c r="B957" s="0" t="n">
        <v>2</v>
      </c>
      <c r="C957" s="19" t="n">
        <v>0.1993</v>
      </c>
      <c r="D957" s="19" t="n">
        <v>1</v>
      </c>
      <c r="E957" s="20" t="n">
        <f aca="false">Parametres!$B$5*C957</f>
        <v>59.79</v>
      </c>
      <c r="F957" s="20" t="n">
        <f aca="false">Parametres!$B$6*D957</f>
        <v>200</v>
      </c>
      <c r="G957" s="20" t="n">
        <f aca="false">E957+F957</f>
        <v>259.79</v>
      </c>
      <c r="H957" s="20" t="n">
        <f aca="false">IF(G957&lt;Parametres!$B$8*Parametres!$B$7,0,MIN(G957,Parametres!$B$7))</f>
        <v>250</v>
      </c>
      <c r="I957" s="20" t="n">
        <f aca="false">G957-H957</f>
        <v>9.79000000000002</v>
      </c>
      <c r="J957" s="21" t="n">
        <f aca="false">H957*1000/Parametres!$B$9</f>
        <v>4239.44378497541</v>
      </c>
    </row>
    <row r="958" customFormat="false" ht="15" hidden="false" customHeight="false" outlineLevel="0" collapsed="false">
      <c r="A958" s="0" t="n">
        <v>954</v>
      </c>
      <c r="B958" s="0" t="n">
        <v>2</v>
      </c>
      <c r="C958" s="19" t="n">
        <v>0</v>
      </c>
      <c r="D958" s="19" t="n">
        <v>1</v>
      </c>
      <c r="E958" s="20" t="n">
        <f aca="false">Parametres!$B$5*C958</f>
        <v>0</v>
      </c>
      <c r="F958" s="20" t="n">
        <f aca="false">Parametres!$B$6*D958</f>
        <v>200</v>
      </c>
      <c r="G958" s="20" t="n">
        <f aca="false">E958+F958</f>
        <v>200</v>
      </c>
      <c r="H958" s="20" t="n">
        <f aca="false">IF(G958&lt;Parametres!$B$8*Parametres!$B$7,0,MIN(G958,Parametres!$B$7))</f>
        <v>200</v>
      </c>
      <c r="I958" s="20" t="n">
        <f aca="false">G958-H958</f>
        <v>0</v>
      </c>
      <c r="J958" s="21" t="n">
        <f aca="false">H958*1000/Parametres!$B$9</f>
        <v>3391.55502798033</v>
      </c>
    </row>
    <row r="959" customFormat="false" ht="15" hidden="false" customHeight="false" outlineLevel="0" collapsed="false">
      <c r="A959" s="0" t="n">
        <v>955</v>
      </c>
      <c r="B959" s="0" t="n">
        <v>2</v>
      </c>
      <c r="C959" s="19" t="n">
        <v>0</v>
      </c>
      <c r="D959" s="19" t="n">
        <v>0.6596</v>
      </c>
      <c r="E959" s="20" t="n">
        <f aca="false">Parametres!$B$5*C959</f>
        <v>0</v>
      </c>
      <c r="F959" s="20" t="n">
        <f aca="false">Parametres!$B$6*D959</f>
        <v>131.92</v>
      </c>
      <c r="G959" s="20" t="n">
        <f aca="false">E959+F959</f>
        <v>131.92</v>
      </c>
      <c r="H959" s="20" t="n">
        <f aca="false">IF(G959&lt;Parametres!$B$8*Parametres!$B$7,0,MIN(G959,Parametres!$B$7))</f>
        <v>131.92</v>
      </c>
      <c r="I959" s="20" t="n">
        <f aca="false">G959-H959</f>
        <v>0</v>
      </c>
      <c r="J959" s="21" t="n">
        <f aca="false">H959*1000/Parametres!$B$9</f>
        <v>2237.06969645583</v>
      </c>
    </row>
    <row r="960" customFormat="false" ht="15" hidden="false" customHeight="false" outlineLevel="0" collapsed="false">
      <c r="A960" s="0" t="n">
        <v>956</v>
      </c>
      <c r="B960" s="0" t="n">
        <v>2</v>
      </c>
      <c r="C960" s="19" t="n">
        <v>0</v>
      </c>
      <c r="D960" s="19" t="n">
        <v>0.7469</v>
      </c>
      <c r="E960" s="20" t="n">
        <f aca="false">Parametres!$B$5*C960</f>
        <v>0</v>
      </c>
      <c r="F960" s="20" t="n">
        <f aca="false">Parametres!$B$6*D960</f>
        <v>149.38</v>
      </c>
      <c r="G960" s="20" t="n">
        <f aca="false">E960+F960</f>
        <v>149.38</v>
      </c>
      <c r="H960" s="20" t="n">
        <f aca="false">IF(G960&lt;Parametres!$B$8*Parametres!$B$7,0,MIN(G960,Parametres!$B$7))</f>
        <v>149.38</v>
      </c>
      <c r="I960" s="20" t="n">
        <f aca="false">G960-H960</f>
        <v>0</v>
      </c>
      <c r="J960" s="21" t="n">
        <f aca="false">H960*1000/Parametres!$B$9</f>
        <v>2533.15245039851</v>
      </c>
    </row>
    <row r="961" customFormat="false" ht="15" hidden="false" customHeight="false" outlineLevel="0" collapsed="false">
      <c r="A961" s="0" t="n">
        <v>957</v>
      </c>
      <c r="B961" s="0" t="n">
        <v>2</v>
      </c>
      <c r="C961" s="19" t="n">
        <v>0</v>
      </c>
      <c r="D961" s="19" t="n">
        <v>0.5434</v>
      </c>
      <c r="E961" s="20" t="n">
        <f aca="false">Parametres!$B$5*C961</f>
        <v>0</v>
      </c>
      <c r="F961" s="20" t="n">
        <f aca="false">Parametres!$B$6*D961</f>
        <v>108.68</v>
      </c>
      <c r="G961" s="20" t="n">
        <f aca="false">E961+F961</f>
        <v>108.68</v>
      </c>
      <c r="H961" s="20" t="n">
        <f aca="false">IF(G961&lt;Parametres!$B$8*Parametres!$B$7,0,MIN(G961,Parametres!$B$7))</f>
        <v>108.68</v>
      </c>
      <c r="I961" s="20" t="n">
        <f aca="false">G961-H961</f>
        <v>0</v>
      </c>
      <c r="J961" s="21" t="n">
        <f aca="false">H961*1000/Parametres!$B$9</f>
        <v>1842.97100220451</v>
      </c>
    </row>
    <row r="962" customFormat="false" ht="15" hidden="false" customHeight="false" outlineLevel="0" collapsed="false">
      <c r="A962" s="0" t="n">
        <v>958</v>
      </c>
      <c r="B962" s="0" t="n">
        <v>2</v>
      </c>
      <c r="C962" s="19" t="n">
        <v>0</v>
      </c>
      <c r="D962" s="19" t="n">
        <v>0.7664</v>
      </c>
      <c r="E962" s="20" t="n">
        <f aca="false">Parametres!$B$5*C962</f>
        <v>0</v>
      </c>
      <c r="F962" s="20" t="n">
        <f aca="false">Parametres!$B$6*D962</f>
        <v>153.28</v>
      </c>
      <c r="G962" s="20" t="n">
        <f aca="false">E962+F962</f>
        <v>153.28</v>
      </c>
      <c r="H962" s="20" t="n">
        <f aca="false">IF(G962&lt;Parametres!$B$8*Parametres!$B$7,0,MIN(G962,Parametres!$B$7))</f>
        <v>153.28</v>
      </c>
      <c r="I962" s="20" t="n">
        <f aca="false">G962-H962</f>
        <v>0</v>
      </c>
      <c r="J962" s="21" t="n">
        <f aca="false">H962*1000/Parametres!$B$9</f>
        <v>2599.28777344412</v>
      </c>
    </row>
    <row r="963" customFormat="false" ht="15" hidden="false" customHeight="false" outlineLevel="0" collapsed="false">
      <c r="A963" s="0" t="n">
        <v>959</v>
      </c>
      <c r="B963" s="0" t="n">
        <v>2</v>
      </c>
      <c r="C963" s="19" t="n">
        <v>0</v>
      </c>
      <c r="D963" s="19" t="n">
        <v>0.5364</v>
      </c>
      <c r="E963" s="20" t="n">
        <f aca="false">Parametres!$B$5*C963</f>
        <v>0</v>
      </c>
      <c r="F963" s="20" t="n">
        <f aca="false">Parametres!$B$6*D963</f>
        <v>107.28</v>
      </c>
      <c r="G963" s="20" t="n">
        <f aca="false">E963+F963</f>
        <v>107.28</v>
      </c>
      <c r="H963" s="20" t="n">
        <f aca="false">IF(G963&lt;Parametres!$B$8*Parametres!$B$7,0,MIN(G963,Parametres!$B$7))</f>
        <v>107.28</v>
      </c>
      <c r="I963" s="20" t="n">
        <f aca="false">G963-H963</f>
        <v>0</v>
      </c>
      <c r="J963" s="21" t="n">
        <f aca="false">H963*1000/Parametres!$B$9</f>
        <v>1819.23011700865</v>
      </c>
    </row>
    <row r="964" customFormat="false" ht="15" hidden="false" customHeight="false" outlineLevel="0" collapsed="false">
      <c r="A964" s="0" t="n">
        <v>960</v>
      </c>
      <c r="B964" s="0" t="n">
        <v>2</v>
      </c>
      <c r="C964" s="19" t="n">
        <v>0</v>
      </c>
      <c r="D964" s="19" t="n">
        <v>0.3463</v>
      </c>
      <c r="E964" s="20" t="n">
        <f aca="false">Parametres!$B$5*C964</f>
        <v>0</v>
      </c>
      <c r="F964" s="20" t="n">
        <f aca="false">Parametres!$B$6*D964</f>
        <v>69.26</v>
      </c>
      <c r="G964" s="20" t="n">
        <f aca="false">E964+F964</f>
        <v>69.26</v>
      </c>
      <c r="H964" s="20" t="n">
        <f aca="false">IF(G964&lt;Parametres!$B$8*Parametres!$B$7,0,MIN(G964,Parametres!$B$7))</f>
        <v>69.26</v>
      </c>
      <c r="I964" s="20" t="n">
        <f aca="false">G964-H964</f>
        <v>0</v>
      </c>
      <c r="J964" s="21" t="n">
        <f aca="false">H964*1000/Parametres!$B$9</f>
        <v>1174.49550618959</v>
      </c>
    </row>
    <row r="965" customFormat="false" ht="15" hidden="false" customHeight="false" outlineLevel="0" collapsed="false">
      <c r="A965" s="0" t="n">
        <v>961</v>
      </c>
      <c r="B965" s="0" t="n">
        <v>2</v>
      </c>
      <c r="C965" s="19" t="n">
        <v>0</v>
      </c>
      <c r="D965" s="19" t="n">
        <v>0.4495</v>
      </c>
      <c r="E965" s="20" t="n">
        <f aca="false">Parametres!$B$5*C965</f>
        <v>0</v>
      </c>
      <c r="F965" s="20" t="n">
        <f aca="false">Parametres!$B$6*D965</f>
        <v>89.9</v>
      </c>
      <c r="G965" s="20" t="n">
        <f aca="false">E965+F965</f>
        <v>89.9</v>
      </c>
      <c r="H965" s="20" t="n">
        <f aca="false">IF(G965&lt;Parametres!$B$8*Parametres!$B$7,0,MIN(G965,Parametres!$B$7))</f>
        <v>89.9</v>
      </c>
      <c r="I965" s="20" t="n">
        <f aca="false">G965-H965</f>
        <v>0</v>
      </c>
      <c r="J965" s="21" t="n">
        <f aca="false">H965*1000/Parametres!$B$9</f>
        <v>1524.50398507716</v>
      </c>
    </row>
    <row r="966" customFormat="false" ht="15" hidden="false" customHeight="false" outlineLevel="0" collapsed="false">
      <c r="A966" s="0" t="n">
        <v>962</v>
      </c>
      <c r="B966" s="0" t="n">
        <v>2</v>
      </c>
      <c r="C966" s="19" t="n">
        <v>0</v>
      </c>
      <c r="D966" s="19" t="n">
        <v>0.4034</v>
      </c>
      <c r="E966" s="20" t="n">
        <f aca="false">Parametres!$B$5*C966</f>
        <v>0</v>
      </c>
      <c r="F966" s="20" t="n">
        <f aca="false">Parametres!$B$6*D966</f>
        <v>80.68</v>
      </c>
      <c r="G966" s="20" t="n">
        <f aca="false">E966+F966</f>
        <v>80.68</v>
      </c>
      <c r="H966" s="20" t="n">
        <f aca="false">IF(G966&lt;Parametres!$B$8*Parametres!$B$7,0,MIN(G966,Parametres!$B$7))</f>
        <v>80.68</v>
      </c>
      <c r="I966" s="20" t="n">
        <f aca="false">G966-H966</f>
        <v>0</v>
      </c>
      <c r="J966" s="21" t="n">
        <f aca="false">H966*1000/Parametres!$B$9</f>
        <v>1368.15329828726</v>
      </c>
    </row>
    <row r="967" customFormat="false" ht="15" hidden="false" customHeight="false" outlineLevel="0" collapsed="false">
      <c r="A967" s="0" t="n">
        <v>963</v>
      </c>
      <c r="B967" s="0" t="n">
        <v>2</v>
      </c>
      <c r="C967" s="19" t="n">
        <v>0</v>
      </c>
      <c r="D967" s="19" t="n">
        <v>0.4887</v>
      </c>
      <c r="E967" s="20" t="n">
        <f aca="false">Parametres!$B$5*C967</f>
        <v>0</v>
      </c>
      <c r="F967" s="20" t="n">
        <f aca="false">Parametres!$B$6*D967</f>
        <v>97.74</v>
      </c>
      <c r="G967" s="20" t="n">
        <f aca="false">E967+F967</f>
        <v>97.74</v>
      </c>
      <c r="H967" s="20" t="n">
        <f aca="false">IF(G967&lt;Parametres!$B$8*Parametres!$B$7,0,MIN(G967,Parametres!$B$7))</f>
        <v>97.74</v>
      </c>
      <c r="I967" s="20" t="n">
        <f aca="false">G967-H967</f>
        <v>0</v>
      </c>
      <c r="J967" s="21" t="n">
        <f aca="false">H967*1000/Parametres!$B$9</f>
        <v>1657.45294217399</v>
      </c>
    </row>
    <row r="968" customFormat="false" ht="15" hidden="false" customHeight="false" outlineLevel="0" collapsed="false">
      <c r="A968" s="0" t="n">
        <v>964</v>
      </c>
      <c r="B968" s="0" t="n">
        <v>2</v>
      </c>
      <c r="C968" s="19" t="n">
        <v>0</v>
      </c>
      <c r="D968" s="19" t="n">
        <v>0.2887</v>
      </c>
      <c r="E968" s="20" t="n">
        <f aca="false">Parametres!$B$5*C968</f>
        <v>0</v>
      </c>
      <c r="F968" s="20" t="n">
        <f aca="false">Parametres!$B$6*D968</f>
        <v>57.74</v>
      </c>
      <c r="G968" s="20" t="n">
        <f aca="false">E968+F968</f>
        <v>57.74</v>
      </c>
      <c r="H968" s="20" t="n">
        <f aca="false">IF(G968&lt;Parametres!$B$8*Parametres!$B$7,0,MIN(G968,Parametres!$B$7))</f>
        <v>57.74</v>
      </c>
      <c r="I968" s="20" t="n">
        <f aca="false">G968-H968</f>
        <v>0</v>
      </c>
      <c r="J968" s="21" t="n">
        <f aca="false">H968*1000/Parametres!$B$9</f>
        <v>979.141936577921</v>
      </c>
    </row>
    <row r="969" customFormat="false" ht="15" hidden="false" customHeight="false" outlineLevel="0" collapsed="false">
      <c r="A969" s="0" t="n">
        <v>965</v>
      </c>
      <c r="B969" s="0" t="n">
        <v>2</v>
      </c>
      <c r="C969" s="19" t="n">
        <v>0</v>
      </c>
      <c r="D969" s="19" t="n">
        <v>0.4649</v>
      </c>
      <c r="E969" s="20" t="n">
        <f aca="false">Parametres!$B$5*C969</f>
        <v>0</v>
      </c>
      <c r="F969" s="20" t="n">
        <f aca="false">Parametres!$B$6*D969</f>
        <v>92.98</v>
      </c>
      <c r="G969" s="20" t="n">
        <f aca="false">E969+F969</f>
        <v>92.98</v>
      </c>
      <c r="H969" s="20" t="n">
        <f aca="false">IF(G969&lt;Parametres!$B$8*Parametres!$B$7,0,MIN(G969,Parametres!$B$7))</f>
        <v>92.98</v>
      </c>
      <c r="I969" s="20" t="n">
        <f aca="false">G969-H969</f>
        <v>0</v>
      </c>
      <c r="J969" s="21" t="n">
        <f aca="false">H969*1000/Parametres!$B$9</f>
        <v>1576.73393250805</v>
      </c>
    </row>
    <row r="970" customFormat="false" ht="15" hidden="false" customHeight="false" outlineLevel="0" collapsed="false">
      <c r="A970" s="0" t="n">
        <v>966</v>
      </c>
      <c r="B970" s="0" t="n">
        <v>2</v>
      </c>
      <c r="C970" s="19" t="n">
        <v>0</v>
      </c>
      <c r="D970" s="19" t="n">
        <v>0.3891</v>
      </c>
      <c r="E970" s="20" t="n">
        <f aca="false">Parametres!$B$5*C970</f>
        <v>0</v>
      </c>
      <c r="F970" s="20" t="n">
        <f aca="false">Parametres!$B$6*D970</f>
        <v>77.82</v>
      </c>
      <c r="G970" s="20" t="n">
        <f aca="false">E970+F970</f>
        <v>77.82</v>
      </c>
      <c r="H970" s="20" t="n">
        <f aca="false">IF(G970&lt;Parametres!$B$8*Parametres!$B$7,0,MIN(G970,Parametres!$B$7))</f>
        <v>77.82</v>
      </c>
      <c r="I970" s="20" t="n">
        <f aca="false">G970-H970</f>
        <v>0</v>
      </c>
      <c r="J970" s="21" t="n">
        <f aca="false">H970*1000/Parametres!$B$9</f>
        <v>1319.65406138715</v>
      </c>
    </row>
    <row r="971" customFormat="false" ht="15" hidden="false" customHeight="false" outlineLevel="0" collapsed="false">
      <c r="A971" s="0" t="n">
        <v>967</v>
      </c>
      <c r="B971" s="0" t="n">
        <v>2</v>
      </c>
      <c r="C971" s="19" t="n">
        <v>0</v>
      </c>
      <c r="D971" s="19" t="n">
        <v>0.5153</v>
      </c>
      <c r="E971" s="20" t="n">
        <f aca="false">Parametres!$B$5*C971</f>
        <v>0</v>
      </c>
      <c r="F971" s="20" t="n">
        <f aca="false">Parametres!$B$6*D971</f>
        <v>103.06</v>
      </c>
      <c r="G971" s="20" t="n">
        <f aca="false">E971+F971</f>
        <v>103.06</v>
      </c>
      <c r="H971" s="20" t="n">
        <f aca="false">IF(G971&lt;Parametres!$B$8*Parametres!$B$7,0,MIN(G971,Parametres!$B$7))</f>
        <v>103.06</v>
      </c>
      <c r="I971" s="20" t="n">
        <f aca="false">G971-H971</f>
        <v>0</v>
      </c>
      <c r="J971" s="21" t="n">
        <f aca="false">H971*1000/Parametres!$B$9</f>
        <v>1747.66830591826</v>
      </c>
    </row>
    <row r="972" customFormat="false" ht="15" hidden="false" customHeight="false" outlineLevel="0" collapsed="false">
      <c r="A972" s="0" t="n">
        <v>968</v>
      </c>
      <c r="B972" s="0" t="n">
        <v>2</v>
      </c>
      <c r="C972" s="19" t="n">
        <v>0.1539</v>
      </c>
      <c r="D972" s="19" t="n">
        <v>0.4088</v>
      </c>
      <c r="E972" s="20" t="n">
        <f aca="false">Parametres!$B$5*C972</f>
        <v>46.17</v>
      </c>
      <c r="F972" s="20" t="n">
        <f aca="false">Parametres!$B$6*D972</f>
        <v>81.76</v>
      </c>
      <c r="G972" s="20" t="n">
        <f aca="false">E972+F972</f>
        <v>127.93</v>
      </c>
      <c r="H972" s="20" t="n">
        <f aca="false">IF(G972&lt;Parametres!$B$8*Parametres!$B$7,0,MIN(G972,Parametres!$B$7))</f>
        <v>127.93</v>
      </c>
      <c r="I972" s="20" t="n">
        <f aca="false">G972-H972</f>
        <v>0</v>
      </c>
      <c r="J972" s="21" t="n">
        <f aca="false">H972*1000/Parametres!$B$9</f>
        <v>2169.40817364762</v>
      </c>
    </row>
    <row r="973" customFormat="false" ht="15" hidden="false" customHeight="false" outlineLevel="0" collapsed="false">
      <c r="A973" s="0" t="n">
        <v>969</v>
      </c>
      <c r="B973" s="0" t="n">
        <v>2</v>
      </c>
      <c r="C973" s="19" t="n">
        <v>0.3416</v>
      </c>
      <c r="D973" s="19" t="n">
        <v>0.2698</v>
      </c>
      <c r="E973" s="20" t="n">
        <f aca="false">Parametres!$B$5*C973</f>
        <v>102.48</v>
      </c>
      <c r="F973" s="20" t="n">
        <f aca="false">Parametres!$B$6*D973</f>
        <v>53.96</v>
      </c>
      <c r="G973" s="20" t="n">
        <f aca="false">E973+F973</f>
        <v>156.44</v>
      </c>
      <c r="H973" s="20" t="n">
        <f aca="false">IF(G973&lt;Parametres!$B$8*Parametres!$B$7,0,MIN(G973,Parametres!$B$7))</f>
        <v>156.44</v>
      </c>
      <c r="I973" s="20" t="n">
        <f aca="false">G973-H973</f>
        <v>0</v>
      </c>
      <c r="J973" s="21" t="n">
        <f aca="false">H973*1000/Parametres!$B$9</f>
        <v>2652.87434288621</v>
      </c>
    </row>
    <row r="974" customFormat="false" ht="15" hidden="false" customHeight="false" outlineLevel="0" collapsed="false">
      <c r="A974" s="0" t="n">
        <v>970</v>
      </c>
      <c r="B974" s="0" t="n">
        <v>2</v>
      </c>
      <c r="C974" s="19" t="n">
        <v>0.5095</v>
      </c>
      <c r="D974" s="19" t="n">
        <v>0.2788</v>
      </c>
      <c r="E974" s="20" t="n">
        <f aca="false">Parametres!$B$5*C974</f>
        <v>152.85</v>
      </c>
      <c r="F974" s="20" t="n">
        <f aca="false">Parametres!$B$6*D974</f>
        <v>55.76</v>
      </c>
      <c r="G974" s="20" t="n">
        <f aca="false">E974+F974</f>
        <v>208.61</v>
      </c>
      <c r="H974" s="20" t="n">
        <f aca="false">IF(G974&lt;Parametres!$B$8*Parametres!$B$7,0,MIN(G974,Parametres!$B$7))</f>
        <v>208.61</v>
      </c>
      <c r="I974" s="20" t="n">
        <f aca="false">G974-H974</f>
        <v>0</v>
      </c>
      <c r="J974" s="21" t="n">
        <f aca="false">H974*1000/Parametres!$B$9</f>
        <v>3537.56147193488</v>
      </c>
    </row>
    <row r="975" customFormat="false" ht="15" hidden="false" customHeight="false" outlineLevel="0" collapsed="false">
      <c r="A975" s="0" t="n">
        <v>971</v>
      </c>
      <c r="B975" s="0" t="n">
        <v>2</v>
      </c>
      <c r="C975" s="19" t="n">
        <v>0.5889</v>
      </c>
      <c r="D975" s="19" t="n">
        <v>0.3377</v>
      </c>
      <c r="E975" s="20" t="n">
        <f aca="false">Parametres!$B$5*C975</f>
        <v>176.67</v>
      </c>
      <c r="F975" s="20" t="n">
        <f aca="false">Parametres!$B$6*D975</f>
        <v>67.54</v>
      </c>
      <c r="G975" s="20" t="n">
        <f aca="false">E975+F975</f>
        <v>244.21</v>
      </c>
      <c r="H975" s="20" t="n">
        <f aca="false">IF(G975&lt;Parametres!$B$8*Parametres!$B$7,0,MIN(G975,Parametres!$B$7))</f>
        <v>244.21</v>
      </c>
      <c r="I975" s="20" t="n">
        <f aca="false">G975-H975</f>
        <v>0</v>
      </c>
      <c r="J975" s="21" t="n">
        <f aca="false">H975*1000/Parametres!$B$9</f>
        <v>4141.25826691538</v>
      </c>
    </row>
    <row r="976" customFormat="false" ht="15" hidden="false" customHeight="false" outlineLevel="0" collapsed="false">
      <c r="A976" s="0" t="n">
        <v>972</v>
      </c>
      <c r="B976" s="0" t="n">
        <v>2</v>
      </c>
      <c r="C976" s="19" t="n">
        <v>0.6895</v>
      </c>
      <c r="D976" s="19" t="n">
        <v>0.6346</v>
      </c>
      <c r="E976" s="20" t="n">
        <f aca="false">Parametres!$B$5*C976</f>
        <v>206.85</v>
      </c>
      <c r="F976" s="20" t="n">
        <f aca="false">Parametres!$B$6*D976</f>
        <v>126.92</v>
      </c>
      <c r="G976" s="20" t="n">
        <f aca="false">E976+F976</f>
        <v>333.77</v>
      </c>
      <c r="H976" s="20" t="n">
        <f aca="false">IF(G976&lt;Parametres!$B$8*Parametres!$B$7,0,MIN(G976,Parametres!$B$7))</f>
        <v>250</v>
      </c>
      <c r="I976" s="20" t="n">
        <f aca="false">G976-H976</f>
        <v>83.77</v>
      </c>
      <c r="J976" s="21" t="n">
        <f aca="false">H976*1000/Parametres!$B$9</f>
        <v>4239.44378497541</v>
      </c>
    </row>
    <row r="977" customFormat="false" ht="15" hidden="false" customHeight="false" outlineLevel="0" collapsed="false">
      <c r="A977" s="0" t="n">
        <v>973</v>
      </c>
      <c r="B977" s="0" t="n">
        <v>2</v>
      </c>
      <c r="C977" s="19" t="n">
        <v>0.7541</v>
      </c>
      <c r="D977" s="19" t="n">
        <v>0.7756</v>
      </c>
      <c r="E977" s="20" t="n">
        <f aca="false">Parametres!$B$5*C977</f>
        <v>226.23</v>
      </c>
      <c r="F977" s="20" t="n">
        <f aca="false">Parametres!$B$6*D977</f>
        <v>155.12</v>
      </c>
      <c r="G977" s="20" t="n">
        <f aca="false">E977+F977</f>
        <v>381.35</v>
      </c>
      <c r="H977" s="20" t="n">
        <f aca="false">IF(G977&lt;Parametres!$B$8*Parametres!$B$7,0,MIN(G977,Parametres!$B$7))</f>
        <v>250</v>
      </c>
      <c r="I977" s="20" t="n">
        <f aca="false">G977-H977</f>
        <v>131.35</v>
      </c>
      <c r="J977" s="21" t="n">
        <f aca="false">H977*1000/Parametres!$B$9</f>
        <v>4239.44378497541</v>
      </c>
    </row>
    <row r="978" customFormat="false" ht="15" hidden="false" customHeight="false" outlineLevel="0" collapsed="false">
      <c r="A978" s="0" t="n">
        <v>974</v>
      </c>
      <c r="B978" s="0" t="n">
        <v>2</v>
      </c>
      <c r="C978" s="19" t="n">
        <v>0.6852</v>
      </c>
      <c r="D978" s="19" t="n">
        <v>1</v>
      </c>
      <c r="E978" s="20" t="n">
        <f aca="false">Parametres!$B$5*C978</f>
        <v>205.56</v>
      </c>
      <c r="F978" s="20" t="n">
        <f aca="false">Parametres!$B$6*D978</f>
        <v>200</v>
      </c>
      <c r="G978" s="20" t="n">
        <f aca="false">E978+F978</f>
        <v>405.56</v>
      </c>
      <c r="H978" s="20" t="n">
        <f aca="false">IF(G978&lt;Parametres!$B$8*Parametres!$B$7,0,MIN(G978,Parametres!$B$7))</f>
        <v>250</v>
      </c>
      <c r="I978" s="20" t="n">
        <f aca="false">G978-H978</f>
        <v>155.56</v>
      </c>
      <c r="J978" s="21" t="n">
        <f aca="false">H978*1000/Parametres!$B$9</f>
        <v>4239.44378497541</v>
      </c>
    </row>
    <row r="979" customFormat="false" ht="15" hidden="false" customHeight="false" outlineLevel="0" collapsed="false">
      <c r="A979" s="0" t="n">
        <v>975</v>
      </c>
      <c r="B979" s="0" t="n">
        <v>2</v>
      </c>
      <c r="C979" s="19" t="n">
        <v>0.5307</v>
      </c>
      <c r="D979" s="19" t="n">
        <v>1</v>
      </c>
      <c r="E979" s="20" t="n">
        <f aca="false">Parametres!$B$5*C979</f>
        <v>159.21</v>
      </c>
      <c r="F979" s="20" t="n">
        <f aca="false">Parametres!$B$6*D979</f>
        <v>200</v>
      </c>
      <c r="G979" s="20" t="n">
        <f aca="false">E979+F979</f>
        <v>359.21</v>
      </c>
      <c r="H979" s="20" t="n">
        <f aca="false">IF(G979&lt;Parametres!$B$8*Parametres!$B$7,0,MIN(G979,Parametres!$B$7))</f>
        <v>250</v>
      </c>
      <c r="I979" s="20" t="n">
        <f aca="false">G979-H979</f>
        <v>109.21</v>
      </c>
      <c r="J979" s="21" t="n">
        <f aca="false">H979*1000/Parametres!$B$9</f>
        <v>4239.44378497541</v>
      </c>
    </row>
    <row r="980" customFormat="false" ht="15" hidden="false" customHeight="false" outlineLevel="0" collapsed="false">
      <c r="A980" s="0" t="n">
        <v>976</v>
      </c>
      <c r="B980" s="0" t="n">
        <v>2</v>
      </c>
      <c r="C980" s="19" t="n">
        <v>0.3845</v>
      </c>
      <c r="D980" s="19" t="n">
        <v>1</v>
      </c>
      <c r="E980" s="20" t="n">
        <f aca="false">Parametres!$B$5*C980</f>
        <v>115.35</v>
      </c>
      <c r="F980" s="20" t="n">
        <f aca="false">Parametres!$B$6*D980</f>
        <v>200</v>
      </c>
      <c r="G980" s="20" t="n">
        <f aca="false">E980+F980</f>
        <v>315.35</v>
      </c>
      <c r="H980" s="20" t="n">
        <f aca="false">IF(G980&lt;Parametres!$B$8*Parametres!$B$7,0,MIN(G980,Parametres!$B$7))</f>
        <v>250</v>
      </c>
      <c r="I980" s="20" t="n">
        <f aca="false">G980-H980</f>
        <v>65.35</v>
      </c>
      <c r="J980" s="21" t="n">
        <f aca="false">H980*1000/Parametres!$B$9</f>
        <v>4239.44378497541</v>
      </c>
    </row>
    <row r="981" customFormat="false" ht="15" hidden="false" customHeight="false" outlineLevel="0" collapsed="false">
      <c r="A981" s="0" t="n">
        <v>977</v>
      </c>
      <c r="B981" s="0" t="n">
        <v>2</v>
      </c>
      <c r="C981" s="19" t="n">
        <v>0.1686</v>
      </c>
      <c r="D981" s="19" t="n">
        <v>1</v>
      </c>
      <c r="E981" s="20" t="n">
        <f aca="false">Parametres!$B$5*C981</f>
        <v>50.58</v>
      </c>
      <c r="F981" s="20" t="n">
        <f aca="false">Parametres!$B$6*D981</f>
        <v>200</v>
      </c>
      <c r="G981" s="20" t="n">
        <f aca="false">E981+F981</f>
        <v>250.58</v>
      </c>
      <c r="H981" s="20" t="n">
        <f aca="false">IF(G981&lt;Parametres!$B$8*Parametres!$B$7,0,MIN(G981,Parametres!$B$7))</f>
        <v>250</v>
      </c>
      <c r="I981" s="20" t="n">
        <f aca="false">G981-H981</f>
        <v>0.579999999999984</v>
      </c>
      <c r="J981" s="21" t="n">
        <f aca="false">H981*1000/Parametres!$B$9</f>
        <v>4239.44378497541</v>
      </c>
    </row>
    <row r="982" customFormat="false" ht="15" hidden="false" customHeight="false" outlineLevel="0" collapsed="false">
      <c r="A982" s="0" t="n">
        <v>978</v>
      </c>
      <c r="B982" s="0" t="n">
        <v>2</v>
      </c>
      <c r="C982" s="19" t="n">
        <v>0</v>
      </c>
      <c r="D982" s="19" t="n">
        <v>1</v>
      </c>
      <c r="E982" s="20" t="n">
        <f aca="false">Parametres!$B$5*C982</f>
        <v>0</v>
      </c>
      <c r="F982" s="20" t="n">
        <f aca="false">Parametres!$B$6*D982</f>
        <v>200</v>
      </c>
      <c r="G982" s="20" t="n">
        <f aca="false">E982+F982</f>
        <v>200</v>
      </c>
      <c r="H982" s="20" t="n">
        <f aca="false">IF(G982&lt;Parametres!$B$8*Parametres!$B$7,0,MIN(G982,Parametres!$B$7))</f>
        <v>200</v>
      </c>
      <c r="I982" s="20" t="n">
        <f aca="false">G982-H982</f>
        <v>0</v>
      </c>
      <c r="J982" s="21" t="n">
        <f aca="false">H982*1000/Parametres!$B$9</f>
        <v>3391.55502798033</v>
      </c>
    </row>
    <row r="983" customFormat="false" ht="15" hidden="false" customHeight="false" outlineLevel="0" collapsed="false">
      <c r="A983" s="0" t="n">
        <v>979</v>
      </c>
      <c r="B983" s="0" t="n">
        <v>2</v>
      </c>
      <c r="C983" s="19" t="n">
        <v>0</v>
      </c>
      <c r="D983" s="19" t="n">
        <v>1</v>
      </c>
      <c r="E983" s="20" t="n">
        <f aca="false">Parametres!$B$5*C983</f>
        <v>0</v>
      </c>
      <c r="F983" s="20" t="n">
        <f aca="false">Parametres!$B$6*D983</f>
        <v>200</v>
      </c>
      <c r="G983" s="20" t="n">
        <f aca="false">E983+F983</f>
        <v>200</v>
      </c>
      <c r="H983" s="20" t="n">
        <f aca="false">IF(G983&lt;Parametres!$B$8*Parametres!$B$7,0,MIN(G983,Parametres!$B$7))</f>
        <v>200</v>
      </c>
      <c r="I983" s="20" t="n">
        <f aca="false">G983-H983</f>
        <v>0</v>
      </c>
      <c r="J983" s="21" t="n">
        <f aca="false">H983*1000/Parametres!$B$9</f>
        <v>3391.55502798033</v>
      </c>
    </row>
    <row r="984" customFormat="false" ht="15" hidden="false" customHeight="false" outlineLevel="0" collapsed="false">
      <c r="A984" s="0" t="n">
        <v>980</v>
      </c>
      <c r="B984" s="0" t="n">
        <v>2</v>
      </c>
      <c r="C984" s="19" t="n">
        <v>0</v>
      </c>
      <c r="D984" s="19" t="n">
        <v>1</v>
      </c>
      <c r="E984" s="20" t="n">
        <f aca="false">Parametres!$B$5*C984</f>
        <v>0</v>
      </c>
      <c r="F984" s="20" t="n">
        <f aca="false">Parametres!$B$6*D984</f>
        <v>200</v>
      </c>
      <c r="G984" s="20" t="n">
        <f aca="false">E984+F984</f>
        <v>200</v>
      </c>
      <c r="H984" s="20" t="n">
        <f aca="false">IF(G984&lt;Parametres!$B$8*Parametres!$B$7,0,MIN(G984,Parametres!$B$7))</f>
        <v>200</v>
      </c>
      <c r="I984" s="20" t="n">
        <f aca="false">G984-H984</f>
        <v>0</v>
      </c>
      <c r="J984" s="21" t="n">
        <f aca="false">H984*1000/Parametres!$B$9</f>
        <v>3391.55502798033</v>
      </c>
    </row>
    <row r="985" customFormat="false" ht="15" hidden="false" customHeight="false" outlineLevel="0" collapsed="false">
      <c r="A985" s="0" t="n">
        <v>981</v>
      </c>
      <c r="B985" s="0" t="n">
        <v>2</v>
      </c>
      <c r="C985" s="19" t="n">
        <v>0</v>
      </c>
      <c r="D985" s="19" t="n">
        <v>1</v>
      </c>
      <c r="E985" s="20" t="n">
        <f aca="false">Parametres!$B$5*C985</f>
        <v>0</v>
      </c>
      <c r="F985" s="20" t="n">
        <f aca="false">Parametres!$B$6*D985</f>
        <v>200</v>
      </c>
      <c r="G985" s="20" t="n">
        <f aca="false">E985+F985</f>
        <v>200</v>
      </c>
      <c r="H985" s="20" t="n">
        <f aca="false">IF(G985&lt;Parametres!$B$8*Parametres!$B$7,0,MIN(G985,Parametres!$B$7))</f>
        <v>200</v>
      </c>
      <c r="I985" s="20" t="n">
        <f aca="false">G985-H985</f>
        <v>0</v>
      </c>
      <c r="J985" s="21" t="n">
        <f aca="false">H985*1000/Parametres!$B$9</f>
        <v>3391.55502798033</v>
      </c>
    </row>
    <row r="986" customFormat="false" ht="15" hidden="false" customHeight="false" outlineLevel="0" collapsed="false">
      <c r="A986" s="0" t="n">
        <v>982</v>
      </c>
      <c r="B986" s="0" t="n">
        <v>2</v>
      </c>
      <c r="C986" s="19" t="n">
        <v>0</v>
      </c>
      <c r="D986" s="19" t="n">
        <v>1</v>
      </c>
      <c r="E986" s="20" t="n">
        <f aca="false">Parametres!$B$5*C986</f>
        <v>0</v>
      </c>
      <c r="F986" s="20" t="n">
        <f aca="false">Parametres!$B$6*D986</f>
        <v>200</v>
      </c>
      <c r="G986" s="20" t="n">
        <f aca="false">E986+F986</f>
        <v>200</v>
      </c>
      <c r="H986" s="20" t="n">
        <f aca="false">IF(G986&lt;Parametres!$B$8*Parametres!$B$7,0,MIN(G986,Parametres!$B$7))</f>
        <v>200</v>
      </c>
      <c r="I986" s="20" t="n">
        <f aca="false">G986-H986</f>
        <v>0</v>
      </c>
      <c r="J986" s="21" t="n">
        <f aca="false">H986*1000/Parametres!$B$9</f>
        <v>3391.55502798033</v>
      </c>
    </row>
    <row r="987" customFormat="false" ht="15" hidden="false" customHeight="false" outlineLevel="0" collapsed="false">
      <c r="A987" s="0" t="n">
        <v>983</v>
      </c>
      <c r="B987" s="0" t="n">
        <v>2</v>
      </c>
      <c r="C987" s="19" t="n">
        <v>0</v>
      </c>
      <c r="D987" s="19" t="n">
        <v>1</v>
      </c>
      <c r="E987" s="20" t="n">
        <f aca="false">Parametres!$B$5*C987</f>
        <v>0</v>
      </c>
      <c r="F987" s="20" t="n">
        <f aca="false">Parametres!$B$6*D987</f>
        <v>200</v>
      </c>
      <c r="G987" s="20" t="n">
        <f aca="false">E987+F987</f>
        <v>200</v>
      </c>
      <c r="H987" s="20" t="n">
        <f aca="false">IF(G987&lt;Parametres!$B$8*Parametres!$B$7,0,MIN(G987,Parametres!$B$7))</f>
        <v>200</v>
      </c>
      <c r="I987" s="20" t="n">
        <f aca="false">G987-H987</f>
        <v>0</v>
      </c>
      <c r="J987" s="21" t="n">
        <f aca="false">H987*1000/Parametres!$B$9</f>
        <v>3391.55502798033</v>
      </c>
    </row>
    <row r="988" customFormat="false" ht="15" hidden="false" customHeight="false" outlineLevel="0" collapsed="false">
      <c r="A988" s="0" t="n">
        <v>984</v>
      </c>
      <c r="B988" s="0" t="n">
        <v>2</v>
      </c>
      <c r="C988" s="19" t="n">
        <v>0</v>
      </c>
      <c r="D988" s="19" t="n">
        <v>0.9018</v>
      </c>
      <c r="E988" s="20" t="n">
        <f aca="false">Parametres!$B$5*C988</f>
        <v>0</v>
      </c>
      <c r="F988" s="20" t="n">
        <f aca="false">Parametres!$B$6*D988</f>
        <v>180.36</v>
      </c>
      <c r="G988" s="20" t="n">
        <f aca="false">E988+F988</f>
        <v>180.36</v>
      </c>
      <c r="H988" s="20" t="n">
        <f aca="false">IF(G988&lt;Parametres!$B$8*Parametres!$B$7,0,MIN(G988,Parametres!$B$7))</f>
        <v>180.36</v>
      </c>
      <c r="I988" s="20" t="n">
        <f aca="false">G988-H988</f>
        <v>0</v>
      </c>
      <c r="J988" s="21" t="n">
        <f aca="false">H988*1000/Parametres!$B$9</f>
        <v>3058.50432423266</v>
      </c>
    </row>
    <row r="989" customFormat="false" ht="15" hidden="false" customHeight="false" outlineLevel="0" collapsed="false">
      <c r="A989" s="0" t="n">
        <v>985</v>
      </c>
      <c r="B989" s="0" t="n">
        <v>2</v>
      </c>
      <c r="C989" s="19" t="n">
        <v>0</v>
      </c>
      <c r="D989" s="19" t="n">
        <v>0.7399</v>
      </c>
      <c r="E989" s="20" t="n">
        <f aca="false">Parametres!$B$5*C989</f>
        <v>0</v>
      </c>
      <c r="F989" s="20" t="n">
        <f aca="false">Parametres!$B$6*D989</f>
        <v>147.98</v>
      </c>
      <c r="G989" s="20" t="n">
        <f aca="false">E989+F989</f>
        <v>147.98</v>
      </c>
      <c r="H989" s="20" t="n">
        <f aca="false">IF(G989&lt;Parametres!$B$8*Parametres!$B$7,0,MIN(G989,Parametres!$B$7))</f>
        <v>147.98</v>
      </c>
      <c r="I989" s="20" t="n">
        <f aca="false">G989-H989</f>
        <v>0</v>
      </c>
      <c r="J989" s="21" t="n">
        <f aca="false">H989*1000/Parametres!$B$9</f>
        <v>2509.41156520265</v>
      </c>
    </row>
    <row r="990" customFormat="false" ht="15" hidden="false" customHeight="false" outlineLevel="0" collapsed="false">
      <c r="A990" s="0" t="n">
        <v>986</v>
      </c>
      <c r="B990" s="0" t="n">
        <v>2</v>
      </c>
      <c r="C990" s="19" t="n">
        <v>0</v>
      </c>
      <c r="D990" s="19" t="n">
        <v>0.465</v>
      </c>
      <c r="E990" s="20" t="n">
        <f aca="false">Parametres!$B$5*C990</f>
        <v>0</v>
      </c>
      <c r="F990" s="20" t="n">
        <f aca="false">Parametres!$B$6*D990</f>
        <v>93</v>
      </c>
      <c r="G990" s="20" t="n">
        <f aca="false">E990+F990</f>
        <v>93</v>
      </c>
      <c r="H990" s="20" t="n">
        <f aca="false">IF(G990&lt;Parametres!$B$8*Parametres!$B$7,0,MIN(G990,Parametres!$B$7))</f>
        <v>93</v>
      </c>
      <c r="I990" s="20" t="n">
        <f aca="false">G990-H990</f>
        <v>0</v>
      </c>
      <c r="J990" s="21" t="n">
        <f aca="false">H990*1000/Parametres!$B$9</f>
        <v>1577.07308801085</v>
      </c>
    </row>
    <row r="991" customFormat="false" ht="15" hidden="false" customHeight="false" outlineLevel="0" collapsed="false">
      <c r="A991" s="0" t="n">
        <v>987</v>
      </c>
      <c r="B991" s="0" t="n">
        <v>2</v>
      </c>
      <c r="C991" s="19" t="n">
        <v>0</v>
      </c>
      <c r="D991" s="19" t="n">
        <v>0.5121</v>
      </c>
      <c r="E991" s="20" t="n">
        <f aca="false">Parametres!$B$5*C991</f>
        <v>0</v>
      </c>
      <c r="F991" s="20" t="n">
        <f aca="false">Parametres!$B$6*D991</f>
        <v>102.42</v>
      </c>
      <c r="G991" s="20" t="n">
        <f aca="false">E991+F991</f>
        <v>102.42</v>
      </c>
      <c r="H991" s="20" t="n">
        <f aca="false">IF(G991&lt;Parametres!$B$8*Parametres!$B$7,0,MIN(G991,Parametres!$B$7))</f>
        <v>102.42</v>
      </c>
      <c r="I991" s="20" t="n">
        <f aca="false">G991-H991</f>
        <v>0</v>
      </c>
      <c r="J991" s="21" t="n">
        <f aca="false">H991*1000/Parametres!$B$9</f>
        <v>1736.81532982873</v>
      </c>
    </row>
    <row r="992" customFormat="false" ht="15" hidden="false" customHeight="false" outlineLevel="0" collapsed="false">
      <c r="A992" s="0" t="n">
        <v>988</v>
      </c>
      <c r="B992" s="0" t="n">
        <v>2</v>
      </c>
      <c r="C992" s="19" t="n">
        <v>0</v>
      </c>
      <c r="D992" s="19" t="n">
        <v>0.6119</v>
      </c>
      <c r="E992" s="20" t="n">
        <f aca="false">Parametres!$B$5*C992</f>
        <v>0</v>
      </c>
      <c r="F992" s="20" t="n">
        <f aca="false">Parametres!$B$6*D992</f>
        <v>122.38</v>
      </c>
      <c r="G992" s="20" t="n">
        <f aca="false">E992+F992</f>
        <v>122.38</v>
      </c>
      <c r="H992" s="20" t="n">
        <f aca="false">IF(G992&lt;Parametres!$B$8*Parametres!$B$7,0,MIN(G992,Parametres!$B$7))</f>
        <v>122.38</v>
      </c>
      <c r="I992" s="20" t="n">
        <f aca="false">G992-H992</f>
        <v>0</v>
      </c>
      <c r="J992" s="21" t="n">
        <f aca="false">H992*1000/Parametres!$B$9</f>
        <v>2075.29252162116</v>
      </c>
    </row>
    <row r="993" customFormat="false" ht="15" hidden="false" customHeight="false" outlineLevel="0" collapsed="false">
      <c r="A993" s="0" t="n">
        <v>989</v>
      </c>
      <c r="B993" s="0" t="n">
        <v>2</v>
      </c>
      <c r="C993" s="19" t="n">
        <v>0</v>
      </c>
      <c r="D993" s="19" t="n">
        <v>0.4745</v>
      </c>
      <c r="E993" s="20" t="n">
        <f aca="false">Parametres!$B$5*C993</f>
        <v>0</v>
      </c>
      <c r="F993" s="20" t="n">
        <f aca="false">Parametres!$B$6*D993</f>
        <v>94.9</v>
      </c>
      <c r="G993" s="20" t="n">
        <f aca="false">E993+F993</f>
        <v>94.9</v>
      </c>
      <c r="H993" s="20" t="n">
        <f aca="false">IF(G993&lt;Parametres!$B$8*Parametres!$B$7,0,MIN(G993,Parametres!$B$7))</f>
        <v>94.9</v>
      </c>
      <c r="I993" s="20" t="n">
        <f aca="false">G993-H993</f>
        <v>0</v>
      </c>
      <c r="J993" s="21" t="n">
        <f aca="false">H993*1000/Parametres!$B$9</f>
        <v>1609.29286077667</v>
      </c>
    </row>
    <row r="994" customFormat="false" ht="15" hidden="false" customHeight="false" outlineLevel="0" collapsed="false">
      <c r="A994" s="0" t="n">
        <v>990</v>
      </c>
      <c r="B994" s="0" t="n">
        <v>2</v>
      </c>
      <c r="C994" s="19" t="n">
        <v>0</v>
      </c>
      <c r="D994" s="19" t="n">
        <v>0.59</v>
      </c>
      <c r="E994" s="20" t="n">
        <f aca="false">Parametres!$B$5*C994</f>
        <v>0</v>
      </c>
      <c r="F994" s="20" t="n">
        <f aca="false">Parametres!$B$6*D994</f>
        <v>118</v>
      </c>
      <c r="G994" s="20" t="n">
        <f aca="false">E994+F994</f>
        <v>118</v>
      </c>
      <c r="H994" s="20" t="n">
        <f aca="false">IF(G994&lt;Parametres!$B$8*Parametres!$B$7,0,MIN(G994,Parametres!$B$7))</f>
        <v>118</v>
      </c>
      <c r="I994" s="20" t="n">
        <f aca="false">G994-H994</f>
        <v>0</v>
      </c>
      <c r="J994" s="21" t="n">
        <f aca="false">H994*1000/Parametres!$B$9</f>
        <v>2001.01746650839</v>
      </c>
    </row>
    <row r="995" customFormat="false" ht="15" hidden="false" customHeight="false" outlineLevel="0" collapsed="false">
      <c r="A995" s="0" t="n">
        <v>991</v>
      </c>
      <c r="B995" s="0" t="n">
        <v>2</v>
      </c>
      <c r="C995" s="19" t="n">
        <v>0</v>
      </c>
      <c r="D995" s="19" t="n">
        <v>0.5064</v>
      </c>
      <c r="E995" s="20" t="n">
        <f aca="false">Parametres!$B$5*C995</f>
        <v>0</v>
      </c>
      <c r="F995" s="20" t="n">
        <f aca="false">Parametres!$B$6*D995</f>
        <v>101.28</v>
      </c>
      <c r="G995" s="20" t="n">
        <f aca="false">E995+F995</f>
        <v>101.28</v>
      </c>
      <c r="H995" s="20" t="n">
        <f aca="false">IF(G995&lt;Parametres!$B$8*Parametres!$B$7,0,MIN(G995,Parametres!$B$7))</f>
        <v>101.28</v>
      </c>
      <c r="I995" s="20" t="n">
        <f aca="false">G995-H995</f>
        <v>0</v>
      </c>
      <c r="J995" s="21" t="n">
        <f aca="false">H995*1000/Parametres!$B$9</f>
        <v>1717.48346616924</v>
      </c>
    </row>
    <row r="996" customFormat="false" ht="15" hidden="false" customHeight="false" outlineLevel="0" collapsed="false">
      <c r="A996" s="0" t="n">
        <v>992</v>
      </c>
      <c r="B996" s="0" t="n">
        <v>2</v>
      </c>
      <c r="C996" s="19" t="n">
        <v>0.1884</v>
      </c>
      <c r="D996" s="19" t="n">
        <v>0.535</v>
      </c>
      <c r="E996" s="20" t="n">
        <f aca="false">Parametres!$B$5*C996</f>
        <v>56.52</v>
      </c>
      <c r="F996" s="20" t="n">
        <f aca="false">Parametres!$B$6*D996</f>
        <v>107</v>
      </c>
      <c r="G996" s="20" t="n">
        <f aca="false">E996+F996</f>
        <v>163.52</v>
      </c>
      <c r="H996" s="20" t="n">
        <f aca="false">IF(G996&lt;Parametres!$B$8*Parametres!$B$7,0,MIN(G996,Parametres!$B$7))</f>
        <v>163.52</v>
      </c>
      <c r="I996" s="20" t="n">
        <f aca="false">G996-H996</f>
        <v>0</v>
      </c>
      <c r="J996" s="21" t="n">
        <f aca="false">H996*1000/Parametres!$B$9</f>
        <v>2772.93539087672</v>
      </c>
    </row>
    <row r="997" customFormat="false" ht="15" hidden="false" customHeight="false" outlineLevel="0" collapsed="false">
      <c r="A997" s="0" t="n">
        <v>993</v>
      </c>
      <c r="B997" s="0" t="n">
        <v>2</v>
      </c>
      <c r="C997" s="19" t="n">
        <v>0.3871</v>
      </c>
      <c r="D997" s="19" t="n">
        <v>0.5874</v>
      </c>
      <c r="E997" s="20" t="n">
        <f aca="false">Parametres!$B$5*C997</f>
        <v>116.13</v>
      </c>
      <c r="F997" s="20" t="n">
        <f aca="false">Parametres!$B$6*D997</f>
        <v>117.48</v>
      </c>
      <c r="G997" s="20" t="n">
        <f aca="false">E997+F997</f>
        <v>233.61</v>
      </c>
      <c r="H997" s="20" t="n">
        <f aca="false">IF(G997&lt;Parametres!$B$8*Parametres!$B$7,0,MIN(G997,Parametres!$B$7))</f>
        <v>233.61</v>
      </c>
      <c r="I997" s="20" t="n">
        <f aca="false">G997-H997</f>
        <v>0</v>
      </c>
      <c r="J997" s="21" t="n">
        <f aca="false">H997*1000/Parametres!$B$9</f>
        <v>3961.50585043242</v>
      </c>
    </row>
    <row r="998" customFormat="false" ht="15" hidden="false" customHeight="false" outlineLevel="0" collapsed="false">
      <c r="A998" s="0" t="n">
        <v>994</v>
      </c>
      <c r="B998" s="0" t="n">
        <v>2</v>
      </c>
      <c r="C998" s="19" t="n">
        <v>0.6082</v>
      </c>
      <c r="D998" s="19" t="n">
        <v>1</v>
      </c>
      <c r="E998" s="20" t="n">
        <f aca="false">Parametres!$B$5*C998</f>
        <v>182.46</v>
      </c>
      <c r="F998" s="20" t="n">
        <f aca="false">Parametres!$B$6*D998</f>
        <v>200</v>
      </c>
      <c r="G998" s="20" t="n">
        <f aca="false">E998+F998</f>
        <v>382.46</v>
      </c>
      <c r="H998" s="20" t="n">
        <f aca="false">IF(G998&lt;Parametres!$B$8*Parametres!$B$7,0,MIN(G998,Parametres!$B$7))</f>
        <v>250</v>
      </c>
      <c r="I998" s="20" t="n">
        <f aca="false">G998-H998</f>
        <v>132.46</v>
      </c>
      <c r="J998" s="21" t="n">
        <f aca="false">H998*1000/Parametres!$B$9</f>
        <v>4239.44378497541</v>
      </c>
    </row>
    <row r="999" customFormat="false" ht="15" hidden="false" customHeight="false" outlineLevel="0" collapsed="false">
      <c r="A999" s="0" t="n">
        <v>995</v>
      </c>
      <c r="B999" s="0" t="n">
        <v>2</v>
      </c>
      <c r="C999" s="19" t="n">
        <v>0.7183</v>
      </c>
      <c r="D999" s="19" t="n">
        <v>1</v>
      </c>
      <c r="E999" s="20" t="n">
        <f aca="false">Parametres!$B$5*C999</f>
        <v>215.49</v>
      </c>
      <c r="F999" s="20" t="n">
        <f aca="false">Parametres!$B$6*D999</f>
        <v>200</v>
      </c>
      <c r="G999" s="20" t="n">
        <f aca="false">E999+F999</f>
        <v>415.49</v>
      </c>
      <c r="H999" s="20" t="n">
        <f aca="false">IF(G999&lt;Parametres!$B$8*Parametres!$B$7,0,MIN(G999,Parametres!$B$7))</f>
        <v>250</v>
      </c>
      <c r="I999" s="20" t="n">
        <f aca="false">G999-H999</f>
        <v>165.49</v>
      </c>
      <c r="J999" s="21" t="n">
        <f aca="false">H999*1000/Parametres!$B$9</f>
        <v>4239.44378497541</v>
      </c>
    </row>
    <row r="1000" customFormat="false" ht="15" hidden="false" customHeight="false" outlineLevel="0" collapsed="false">
      <c r="A1000" s="0" t="n">
        <v>996</v>
      </c>
      <c r="B1000" s="0" t="n">
        <v>2</v>
      </c>
      <c r="C1000" s="19" t="n">
        <v>0.8233</v>
      </c>
      <c r="D1000" s="19" t="n">
        <v>1</v>
      </c>
      <c r="E1000" s="20" t="n">
        <f aca="false">Parametres!$B$5*C1000</f>
        <v>246.99</v>
      </c>
      <c r="F1000" s="20" t="n">
        <f aca="false">Parametres!$B$6*D1000</f>
        <v>200</v>
      </c>
      <c r="G1000" s="20" t="n">
        <f aca="false">E1000+F1000</f>
        <v>446.99</v>
      </c>
      <c r="H1000" s="20" t="n">
        <f aca="false">IF(G1000&lt;Parametres!$B$8*Parametres!$B$7,0,MIN(G1000,Parametres!$B$7))</f>
        <v>250</v>
      </c>
      <c r="I1000" s="20" t="n">
        <f aca="false">G1000-H1000</f>
        <v>196.99</v>
      </c>
      <c r="J1000" s="21" t="n">
        <f aca="false">H1000*1000/Parametres!$B$9</f>
        <v>4239.44378497541</v>
      </c>
    </row>
    <row r="1001" customFormat="false" ht="15" hidden="false" customHeight="false" outlineLevel="0" collapsed="false">
      <c r="A1001" s="0" t="n">
        <v>997</v>
      </c>
      <c r="B1001" s="0" t="n">
        <v>2</v>
      </c>
      <c r="C1001" s="19" t="n">
        <v>0.86</v>
      </c>
      <c r="D1001" s="19" t="n">
        <v>0.8825</v>
      </c>
      <c r="E1001" s="20" t="n">
        <f aca="false">Parametres!$B$5*C1001</f>
        <v>258</v>
      </c>
      <c r="F1001" s="20" t="n">
        <f aca="false">Parametres!$B$6*D1001</f>
        <v>176.5</v>
      </c>
      <c r="G1001" s="20" t="n">
        <f aca="false">E1001+F1001</f>
        <v>434.5</v>
      </c>
      <c r="H1001" s="20" t="n">
        <f aca="false">IF(G1001&lt;Parametres!$B$8*Parametres!$B$7,0,MIN(G1001,Parametres!$B$7))</f>
        <v>250</v>
      </c>
      <c r="I1001" s="20" t="n">
        <f aca="false">G1001-H1001</f>
        <v>184.5</v>
      </c>
      <c r="J1001" s="21" t="n">
        <f aca="false">H1001*1000/Parametres!$B$9</f>
        <v>4239.44378497541</v>
      </c>
    </row>
    <row r="1002" customFormat="false" ht="15" hidden="false" customHeight="false" outlineLevel="0" collapsed="false">
      <c r="A1002" s="0" t="n">
        <v>998</v>
      </c>
      <c r="B1002" s="0" t="n">
        <v>2</v>
      </c>
      <c r="C1002" s="19" t="n">
        <v>0.7373</v>
      </c>
      <c r="D1002" s="19" t="n">
        <v>1</v>
      </c>
      <c r="E1002" s="20" t="n">
        <f aca="false">Parametres!$B$5*C1002</f>
        <v>221.19</v>
      </c>
      <c r="F1002" s="20" t="n">
        <f aca="false">Parametres!$B$6*D1002</f>
        <v>200</v>
      </c>
      <c r="G1002" s="20" t="n">
        <f aca="false">E1002+F1002</f>
        <v>421.19</v>
      </c>
      <c r="H1002" s="20" t="n">
        <f aca="false">IF(G1002&lt;Parametres!$B$8*Parametres!$B$7,0,MIN(G1002,Parametres!$B$7))</f>
        <v>250</v>
      </c>
      <c r="I1002" s="20" t="n">
        <f aca="false">G1002-H1002</f>
        <v>171.19</v>
      </c>
      <c r="J1002" s="21" t="n">
        <f aca="false">H1002*1000/Parametres!$B$9</f>
        <v>4239.44378497541</v>
      </c>
    </row>
    <row r="1003" customFormat="false" ht="15" hidden="false" customHeight="false" outlineLevel="0" collapsed="false">
      <c r="A1003" s="0" t="n">
        <v>999</v>
      </c>
      <c r="B1003" s="0" t="n">
        <v>2</v>
      </c>
      <c r="C1003" s="19" t="n">
        <v>0.5677</v>
      </c>
      <c r="D1003" s="19" t="n">
        <v>0.8706</v>
      </c>
      <c r="E1003" s="20" t="n">
        <f aca="false">Parametres!$B$5*C1003</f>
        <v>170.31</v>
      </c>
      <c r="F1003" s="20" t="n">
        <f aca="false">Parametres!$B$6*D1003</f>
        <v>174.12</v>
      </c>
      <c r="G1003" s="20" t="n">
        <f aca="false">E1003+F1003</f>
        <v>344.43</v>
      </c>
      <c r="H1003" s="20" t="n">
        <f aca="false">IF(G1003&lt;Parametres!$B$8*Parametres!$B$7,0,MIN(G1003,Parametres!$B$7))</f>
        <v>250</v>
      </c>
      <c r="I1003" s="20" t="n">
        <f aca="false">G1003-H1003</f>
        <v>94.43</v>
      </c>
      <c r="J1003" s="21" t="n">
        <f aca="false">H1003*1000/Parametres!$B$9</f>
        <v>4239.44378497541</v>
      </c>
    </row>
    <row r="1004" customFormat="false" ht="15" hidden="false" customHeight="false" outlineLevel="0" collapsed="false">
      <c r="A1004" s="0" t="n">
        <v>1000</v>
      </c>
      <c r="B1004" s="0" t="n">
        <v>2</v>
      </c>
      <c r="C1004" s="19" t="n">
        <v>0.3887</v>
      </c>
      <c r="D1004" s="19" t="n">
        <v>0.7777</v>
      </c>
      <c r="E1004" s="20" t="n">
        <f aca="false">Parametres!$B$5*C1004</f>
        <v>116.61</v>
      </c>
      <c r="F1004" s="20" t="n">
        <f aca="false">Parametres!$B$6*D1004</f>
        <v>155.54</v>
      </c>
      <c r="G1004" s="20" t="n">
        <f aca="false">E1004+F1004</f>
        <v>272.15</v>
      </c>
      <c r="H1004" s="20" t="n">
        <f aca="false">IF(G1004&lt;Parametres!$B$8*Parametres!$B$7,0,MIN(G1004,Parametres!$B$7))</f>
        <v>250</v>
      </c>
      <c r="I1004" s="20" t="n">
        <f aca="false">G1004-H1004</f>
        <v>22.15</v>
      </c>
      <c r="J1004" s="21" t="n">
        <f aca="false">H1004*1000/Parametres!$B$9</f>
        <v>4239.44378497541</v>
      </c>
    </row>
    <row r="1005" customFormat="false" ht="15" hidden="false" customHeight="false" outlineLevel="0" collapsed="false">
      <c r="A1005" s="0" t="n">
        <v>1001</v>
      </c>
      <c r="B1005" s="0" t="n">
        <v>2</v>
      </c>
      <c r="C1005" s="19" t="n">
        <v>0.1892</v>
      </c>
      <c r="D1005" s="19" t="n">
        <v>0.6914</v>
      </c>
      <c r="E1005" s="20" t="n">
        <f aca="false">Parametres!$B$5*C1005</f>
        <v>56.76</v>
      </c>
      <c r="F1005" s="20" t="n">
        <f aca="false">Parametres!$B$6*D1005</f>
        <v>138.28</v>
      </c>
      <c r="G1005" s="20" t="n">
        <f aca="false">E1005+F1005</f>
        <v>195.04</v>
      </c>
      <c r="H1005" s="20" t="n">
        <f aca="false">IF(G1005&lt;Parametres!$B$8*Parametres!$B$7,0,MIN(G1005,Parametres!$B$7))</f>
        <v>195.04</v>
      </c>
      <c r="I1005" s="20" t="n">
        <f aca="false">G1005-H1005</f>
        <v>0</v>
      </c>
      <c r="J1005" s="21" t="n">
        <f aca="false">H1005*1000/Parametres!$B$9</f>
        <v>3307.44446328642</v>
      </c>
    </row>
    <row r="1006" customFormat="false" ht="15" hidden="false" customHeight="false" outlineLevel="0" collapsed="false">
      <c r="A1006" s="0" t="n">
        <v>1002</v>
      </c>
      <c r="B1006" s="0" t="n">
        <v>2</v>
      </c>
      <c r="C1006" s="19" t="n">
        <v>0</v>
      </c>
      <c r="D1006" s="19" t="n">
        <v>0.283</v>
      </c>
      <c r="E1006" s="20" t="n">
        <f aca="false">Parametres!$B$5*C1006</f>
        <v>0</v>
      </c>
      <c r="F1006" s="20" t="n">
        <f aca="false">Parametres!$B$6*D1006</f>
        <v>56.6</v>
      </c>
      <c r="G1006" s="20" t="n">
        <f aca="false">E1006+F1006</f>
        <v>56.6</v>
      </c>
      <c r="H1006" s="20" t="n">
        <f aca="false">IF(G1006&lt;Parametres!$B$8*Parametres!$B$7,0,MIN(G1006,Parametres!$B$7))</f>
        <v>56.6</v>
      </c>
      <c r="I1006" s="20" t="n">
        <f aca="false">G1006-H1006</f>
        <v>0</v>
      </c>
      <c r="J1006" s="21" t="n">
        <f aca="false">H1006*1000/Parametres!$B$9</f>
        <v>959.810072918433</v>
      </c>
    </row>
    <row r="1007" customFormat="false" ht="15" hidden="false" customHeight="false" outlineLevel="0" collapsed="false">
      <c r="A1007" s="0" t="n">
        <v>1003</v>
      </c>
      <c r="B1007" s="0" t="n">
        <v>2</v>
      </c>
      <c r="C1007" s="19" t="n">
        <v>0</v>
      </c>
      <c r="D1007" s="19" t="n">
        <v>0.2218</v>
      </c>
      <c r="E1007" s="20" t="n">
        <f aca="false">Parametres!$B$5*C1007</f>
        <v>0</v>
      </c>
      <c r="F1007" s="20" t="n">
        <f aca="false">Parametres!$B$6*D1007</f>
        <v>44.36</v>
      </c>
      <c r="G1007" s="20" t="n">
        <f aca="false">E1007+F1007</f>
        <v>44.36</v>
      </c>
      <c r="H1007" s="20" t="n">
        <f aca="false">IF(G1007&lt;Parametres!$B$8*Parametres!$B$7,0,MIN(G1007,Parametres!$B$7))</f>
        <v>44.36</v>
      </c>
      <c r="I1007" s="20" t="n">
        <f aca="false">G1007-H1007</f>
        <v>0</v>
      </c>
      <c r="J1007" s="21" t="n">
        <f aca="false">H1007*1000/Parametres!$B$9</f>
        <v>752.246905206037</v>
      </c>
    </row>
    <row r="1008" customFormat="false" ht="15" hidden="false" customHeight="false" outlineLevel="0" collapsed="false">
      <c r="A1008" s="0" t="n">
        <v>1004</v>
      </c>
      <c r="B1008" s="0" t="n">
        <v>2</v>
      </c>
      <c r="C1008" s="19" t="n">
        <v>0</v>
      </c>
      <c r="D1008" s="19" t="n">
        <v>0.3057</v>
      </c>
      <c r="E1008" s="20" t="n">
        <f aca="false">Parametres!$B$5*C1008</f>
        <v>0</v>
      </c>
      <c r="F1008" s="20" t="n">
        <f aca="false">Parametres!$B$6*D1008</f>
        <v>61.14</v>
      </c>
      <c r="G1008" s="20" t="n">
        <f aca="false">E1008+F1008</f>
        <v>61.14</v>
      </c>
      <c r="H1008" s="20" t="n">
        <f aca="false">IF(G1008&lt;Parametres!$B$8*Parametres!$B$7,0,MIN(G1008,Parametres!$B$7))</f>
        <v>61.14</v>
      </c>
      <c r="I1008" s="20" t="n">
        <f aca="false">G1008-H1008</f>
        <v>0</v>
      </c>
      <c r="J1008" s="21" t="n">
        <f aca="false">H1008*1000/Parametres!$B$9</f>
        <v>1036.79837205359</v>
      </c>
    </row>
    <row r="1009" customFormat="false" ht="15" hidden="false" customHeight="false" outlineLevel="0" collapsed="false">
      <c r="A1009" s="0" t="n">
        <v>1005</v>
      </c>
      <c r="B1009" s="0" t="n">
        <v>2</v>
      </c>
      <c r="C1009" s="19" t="n">
        <v>0</v>
      </c>
      <c r="D1009" s="19" t="n">
        <v>0.2989</v>
      </c>
      <c r="E1009" s="20" t="n">
        <f aca="false">Parametres!$B$5*C1009</f>
        <v>0</v>
      </c>
      <c r="F1009" s="20" t="n">
        <f aca="false">Parametres!$B$6*D1009</f>
        <v>59.78</v>
      </c>
      <c r="G1009" s="20" t="n">
        <f aca="false">E1009+F1009</f>
        <v>59.78</v>
      </c>
      <c r="H1009" s="20" t="n">
        <f aca="false">IF(G1009&lt;Parametres!$B$8*Parametres!$B$7,0,MIN(G1009,Parametres!$B$7))</f>
        <v>59.78</v>
      </c>
      <c r="I1009" s="20" t="n">
        <f aca="false">G1009-H1009</f>
        <v>0</v>
      </c>
      <c r="J1009" s="21" t="n">
        <f aca="false">H1009*1000/Parametres!$B$9</f>
        <v>1013.73579786332</v>
      </c>
    </row>
    <row r="1010" customFormat="false" ht="15" hidden="false" customHeight="false" outlineLevel="0" collapsed="false">
      <c r="A1010" s="0" t="n">
        <v>1006</v>
      </c>
      <c r="B1010" s="0" t="n">
        <v>2</v>
      </c>
      <c r="C1010" s="19" t="n">
        <v>0</v>
      </c>
      <c r="D1010" s="19" t="n">
        <v>0.1823</v>
      </c>
      <c r="E1010" s="20" t="n">
        <f aca="false">Parametres!$B$5*C1010</f>
        <v>0</v>
      </c>
      <c r="F1010" s="20" t="n">
        <f aca="false">Parametres!$B$6*D1010</f>
        <v>36.46</v>
      </c>
      <c r="G1010" s="20" t="n">
        <f aca="false">E1010+F1010</f>
        <v>36.46</v>
      </c>
      <c r="H1010" s="20" t="n">
        <f aca="false">IF(G1010&lt;Parametres!$B$8*Parametres!$B$7,0,MIN(G1010,Parametres!$B$7))</f>
        <v>36.46</v>
      </c>
      <c r="I1010" s="20" t="n">
        <f aca="false">G1010-H1010</f>
        <v>0</v>
      </c>
      <c r="J1010" s="21" t="n">
        <f aca="false">H1010*1000/Parametres!$B$9</f>
        <v>618.280481600814</v>
      </c>
    </row>
    <row r="1011" customFormat="false" ht="15" hidden="false" customHeight="false" outlineLevel="0" collapsed="false">
      <c r="A1011" s="0" t="n">
        <v>1007</v>
      </c>
      <c r="B1011" s="0" t="n">
        <v>2</v>
      </c>
      <c r="C1011" s="19" t="n">
        <v>0</v>
      </c>
      <c r="D1011" s="19" t="n">
        <v>0.209</v>
      </c>
      <c r="E1011" s="20" t="n">
        <f aca="false">Parametres!$B$5*C1011</f>
        <v>0</v>
      </c>
      <c r="F1011" s="20" t="n">
        <f aca="false">Parametres!$B$6*D1011</f>
        <v>41.8</v>
      </c>
      <c r="G1011" s="20" t="n">
        <f aca="false">E1011+F1011</f>
        <v>41.8</v>
      </c>
      <c r="H1011" s="20" t="n">
        <f aca="false">IF(G1011&lt;Parametres!$B$8*Parametres!$B$7,0,MIN(G1011,Parametres!$B$7))</f>
        <v>41.8</v>
      </c>
      <c r="I1011" s="20" t="n">
        <f aca="false">G1011-H1011</f>
        <v>0</v>
      </c>
      <c r="J1011" s="21" t="n">
        <f aca="false">H1011*1000/Parametres!$B$9</f>
        <v>708.835000847889</v>
      </c>
    </row>
    <row r="1012" customFormat="false" ht="15" hidden="false" customHeight="false" outlineLevel="0" collapsed="false">
      <c r="A1012" s="0" t="n">
        <v>1008</v>
      </c>
      <c r="B1012" s="0" t="n">
        <v>2</v>
      </c>
      <c r="C1012" s="19" t="n">
        <v>0</v>
      </c>
      <c r="D1012" s="19" t="n">
        <v>0.2195</v>
      </c>
      <c r="E1012" s="20" t="n">
        <f aca="false">Parametres!$B$5*C1012</f>
        <v>0</v>
      </c>
      <c r="F1012" s="20" t="n">
        <f aca="false">Parametres!$B$6*D1012</f>
        <v>43.9</v>
      </c>
      <c r="G1012" s="20" t="n">
        <f aca="false">E1012+F1012</f>
        <v>43.9</v>
      </c>
      <c r="H1012" s="20" t="n">
        <f aca="false">IF(G1012&lt;Parametres!$B$8*Parametres!$B$7,0,MIN(G1012,Parametres!$B$7))</f>
        <v>43.9</v>
      </c>
      <c r="I1012" s="20" t="n">
        <f aca="false">G1012-H1012</f>
        <v>0</v>
      </c>
      <c r="J1012" s="21" t="n">
        <f aca="false">H1012*1000/Parametres!$B$9</f>
        <v>744.446328641682</v>
      </c>
    </row>
    <row r="1013" customFormat="false" ht="15" hidden="false" customHeight="false" outlineLevel="0" collapsed="false">
      <c r="A1013" s="0" t="n">
        <v>1009</v>
      </c>
      <c r="B1013" s="0" t="n">
        <v>2</v>
      </c>
      <c r="C1013" s="19" t="n">
        <v>0</v>
      </c>
      <c r="D1013" s="19" t="n">
        <v>0.3886</v>
      </c>
      <c r="E1013" s="20" t="n">
        <f aca="false">Parametres!$B$5*C1013</f>
        <v>0</v>
      </c>
      <c r="F1013" s="20" t="n">
        <f aca="false">Parametres!$B$6*D1013</f>
        <v>77.72</v>
      </c>
      <c r="G1013" s="20" t="n">
        <f aca="false">E1013+F1013</f>
        <v>77.72</v>
      </c>
      <c r="H1013" s="20" t="n">
        <f aca="false">IF(G1013&lt;Parametres!$B$8*Parametres!$B$7,0,MIN(G1013,Parametres!$B$7))</f>
        <v>77.72</v>
      </c>
      <c r="I1013" s="20" t="n">
        <f aca="false">G1013-H1013</f>
        <v>0</v>
      </c>
      <c r="J1013" s="21" t="n">
        <f aca="false">H1013*1000/Parametres!$B$9</f>
        <v>1317.95828387316</v>
      </c>
    </row>
    <row r="1014" customFormat="false" ht="15" hidden="false" customHeight="false" outlineLevel="0" collapsed="false">
      <c r="A1014" s="0" t="n">
        <v>1010</v>
      </c>
      <c r="B1014" s="0" t="n">
        <v>2</v>
      </c>
      <c r="C1014" s="19" t="n">
        <v>0</v>
      </c>
      <c r="D1014" s="19" t="n">
        <v>0.2641</v>
      </c>
      <c r="E1014" s="20" t="n">
        <f aca="false">Parametres!$B$5*C1014</f>
        <v>0</v>
      </c>
      <c r="F1014" s="20" t="n">
        <f aca="false">Parametres!$B$6*D1014</f>
        <v>52.82</v>
      </c>
      <c r="G1014" s="20" t="n">
        <f aca="false">E1014+F1014</f>
        <v>52.82</v>
      </c>
      <c r="H1014" s="20" t="n">
        <f aca="false">IF(G1014&lt;Parametres!$B$8*Parametres!$B$7,0,MIN(G1014,Parametres!$B$7))</f>
        <v>52.82</v>
      </c>
      <c r="I1014" s="20" t="n">
        <f aca="false">G1014-H1014</f>
        <v>0</v>
      </c>
      <c r="J1014" s="21" t="n">
        <f aca="false">H1014*1000/Parametres!$B$9</f>
        <v>895.709682889605</v>
      </c>
    </row>
    <row r="1015" customFormat="false" ht="15" hidden="false" customHeight="false" outlineLevel="0" collapsed="false">
      <c r="A1015" s="0" t="n">
        <v>1011</v>
      </c>
      <c r="B1015" s="0" t="n">
        <v>2</v>
      </c>
      <c r="C1015" s="19" t="n">
        <v>0</v>
      </c>
      <c r="D1015" s="19" t="n">
        <v>0.2052</v>
      </c>
      <c r="E1015" s="20" t="n">
        <f aca="false">Parametres!$B$5*C1015</f>
        <v>0</v>
      </c>
      <c r="F1015" s="20" t="n">
        <f aca="false">Parametres!$B$6*D1015</f>
        <v>41.04</v>
      </c>
      <c r="G1015" s="20" t="n">
        <f aca="false">E1015+F1015</f>
        <v>41.04</v>
      </c>
      <c r="H1015" s="20" t="n">
        <f aca="false">IF(G1015&lt;Parametres!$B$8*Parametres!$B$7,0,MIN(G1015,Parametres!$B$7))</f>
        <v>41.04</v>
      </c>
      <c r="I1015" s="20" t="n">
        <f aca="false">G1015-H1015</f>
        <v>0</v>
      </c>
      <c r="J1015" s="21" t="n">
        <f aca="false">H1015*1000/Parametres!$B$9</f>
        <v>695.947091741564</v>
      </c>
    </row>
    <row r="1016" customFormat="false" ht="15" hidden="false" customHeight="false" outlineLevel="0" collapsed="false">
      <c r="A1016" s="0" t="n">
        <v>1012</v>
      </c>
      <c r="B1016" s="0" t="n">
        <v>2</v>
      </c>
      <c r="C1016" s="19" t="n">
        <v>0</v>
      </c>
      <c r="D1016" s="19" t="n">
        <v>0.1931</v>
      </c>
      <c r="E1016" s="20" t="n">
        <f aca="false">Parametres!$B$5*C1016</f>
        <v>0</v>
      </c>
      <c r="F1016" s="20" t="n">
        <f aca="false">Parametres!$B$6*D1016</f>
        <v>38.62</v>
      </c>
      <c r="G1016" s="20" t="n">
        <f aca="false">E1016+F1016</f>
        <v>38.62</v>
      </c>
      <c r="H1016" s="20" t="n">
        <f aca="false">IF(G1016&lt;Parametres!$B$8*Parametres!$B$7,0,MIN(G1016,Parametres!$B$7))</f>
        <v>38.62</v>
      </c>
      <c r="I1016" s="20" t="n">
        <f aca="false">G1016-H1016</f>
        <v>0</v>
      </c>
      <c r="J1016" s="21" t="n">
        <f aca="false">H1016*1000/Parametres!$B$9</f>
        <v>654.909275903002</v>
      </c>
    </row>
    <row r="1017" customFormat="false" ht="15" hidden="false" customHeight="false" outlineLevel="0" collapsed="false">
      <c r="A1017" s="0" t="n">
        <v>1013</v>
      </c>
      <c r="B1017" s="0" t="n">
        <v>2</v>
      </c>
      <c r="C1017" s="19" t="n">
        <v>0</v>
      </c>
      <c r="D1017" s="19" t="n">
        <v>0.177</v>
      </c>
      <c r="E1017" s="20" t="n">
        <f aca="false">Parametres!$B$5*C1017</f>
        <v>0</v>
      </c>
      <c r="F1017" s="20" t="n">
        <f aca="false">Parametres!$B$6*D1017</f>
        <v>35.4</v>
      </c>
      <c r="G1017" s="20" t="n">
        <f aca="false">E1017+F1017</f>
        <v>35.4</v>
      </c>
      <c r="H1017" s="20" t="n">
        <f aca="false">IF(G1017&lt;Parametres!$B$8*Parametres!$B$7,0,MIN(G1017,Parametres!$B$7))</f>
        <v>35.4</v>
      </c>
      <c r="I1017" s="20" t="n">
        <f aca="false">G1017-H1017</f>
        <v>0</v>
      </c>
      <c r="J1017" s="21" t="n">
        <f aca="false">H1017*1000/Parametres!$B$9</f>
        <v>600.305239952518</v>
      </c>
    </row>
    <row r="1018" customFormat="false" ht="15" hidden="false" customHeight="false" outlineLevel="0" collapsed="false">
      <c r="A1018" s="0" t="n">
        <v>1014</v>
      </c>
      <c r="B1018" s="0" t="n">
        <v>2</v>
      </c>
      <c r="C1018" s="19" t="n">
        <v>0</v>
      </c>
      <c r="D1018" s="19" t="n">
        <v>0.1847</v>
      </c>
      <c r="E1018" s="20" t="n">
        <f aca="false">Parametres!$B$5*C1018</f>
        <v>0</v>
      </c>
      <c r="F1018" s="20" t="n">
        <f aca="false">Parametres!$B$6*D1018</f>
        <v>36.94</v>
      </c>
      <c r="G1018" s="20" t="n">
        <f aca="false">E1018+F1018</f>
        <v>36.94</v>
      </c>
      <c r="H1018" s="20" t="n">
        <f aca="false">IF(G1018&lt;Parametres!$B$8*Parametres!$B$7,0,MIN(G1018,Parametres!$B$7))</f>
        <v>36.94</v>
      </c>
      <c r="I1018" s="20" t="n">
        <f aca="false">G1018-H1018</f>
        <v>0</v>
      </c>
      <c r="J1018" s="21" t="n">
        <f aca="false">H1018*1000/Parametres!$B$9</f>
        <v>626.420213667967</v>
      </c>
    </row>
    <row r="1019" customFormat="false" ht="15" hidden="false" customHeight="false" outlineLevel="0" collapsed="false">
      <c r="A1019" s="0" t="n">
        <v>1015</v>
      </c>
      <c r="B1019" s="0" t="n">
        <v>2</v>
      </c>
      <c r="C1019" s="19" t="n">
        <v>0</v>
      </c>
      <c r="D1019" s="19" t="n">
        <v>0.1868</v>
      </c>
      <c r="E1019" s="20" t="n">
        <f aca="false">Parametres!$B$5*C1019</f>
        <v>0</v>
      </c>
      <c r="F1019" s="20" t="n">
        <f aca="false">Parametres!$B$6*D1019</f>
        <v>37.36</v>
      </c>
      <c r="G1019" s="20" t="n">
        <f aca="false">E1019+F1019</f>
        <v>37.36</v>
      </c>
      <c r="H1019" s="20" t="n">
        <f aca="false">IF(G1019&lt;Parametres!$B$8*Parametres!$B$7,0,MIN(G1019,Parametres!$B$7))</f>
        <v>37.36</v>
      </c>
      <c r="I1019" s="20" t="n">
        <f aca="false">G1019-H1019</f>
        <v>0</v>
      </c>
      <c r="J1019" s="21" t="n">
        <f aca="false">H1019*1000/Parametres!$B$9</f>
        <v>633.542479226726</v>
      </c>
    </row>
    <row r="1020" customFormat="false" ht="15" hidden="false" customHeight="false" outlineLevel="0" collapsed="false">
      <c r="A1020" s="0" t="n">
        <v>1016</v>
      </c>
      <c r="B1020" s="0" t="n">
        <v>2</v>
      </c>
      <c r="C1020" s="19" t="n">
        <v>0.2152</v>
      </c>
      <c r="D1020" s="19" t="n">
        <v>0.1554</v>
      </c>
      <c r="E1020" s="20" t="n">
        <f aca="false">Parametres!$B$5*C1020</f>
        <v>64.56</v>
      </c>
      <c r="F1020" s="20" t="n">
        <f aca="false">Parametres!$B$6*D1020</f>
        <v>31.08</v>
      </c>
      <c r="G1020" s="20" t="n">
        <f aca="false">E1020+F1020</f>
        <v>95.64</v>
      </c>
      <c r="H1020" s="20" t="n">
        <f aca="false">IF(G1020&lt;Parametres!$B$8*Parametres!$B$7,0,MIN(G1020,Parametres!$B$7))</f>
        <v>95.64</v>
      </c>
      <c r="I1020" s="20" t="n">
        <f aca="false">G1020-H1020</f>
        <v>0</v>
      </c>
      <c r="J1020" s="21" t="n">
        <f aca="false">H1020*1000/Parametres!$B$9</f>
        <v>1621.84161438019</v>
      </c>
    </row>
    <row r="1021" customFormat="false" ht="15" hidden="false" customHeight="false" outlineLevel="0" collapsed="false">
      <c r="A1021" s="0" t="n">
        <v>1017</v>
      </c>
      <c r="B1021" s="0" t="n">
        <v>2</v>
      </c>
      <c r="C1021" s="19" t="n">
        <v>0.4322</v>
      </c>
      <c r="D1021" s="19" t="n">
        <v>0.0867</v>
      </c>
      <c r="E1021" s="20" t="n">
        <f aca="false">Parametres!$B$5*C1021</f>
        <v>129.66</v>
      </c>
      <c r="F1021" s="20" t="n">
        <f aca="false">Parametres!$B$6*D1021</f>
        <v>17.34</v>
      </c>
      <c r="G1021" s="20" t="n">
        <f aca="false">E1021+F1021</f>
        <v>147</v>
      </c>
      <c r="H1021" s="20" t="n">
        <f aca="false">IF(G1021&lt;Parametres!$B$8*Parametres!$B$7,0,MIN(G1021,Parametres!$B$7))</f>
        <v>147</v>
      </c>
      <c r="I1021" s="20" t="n">
        <f aca="false">G1021-H1021</f>
        <v>0</v>
      </c>
      <c r="J1021" s="21" t="n">
        <f aca="false">H1021*1000/Parametres!$B$9</f>
        <v>2492.79294556554</v>
      </c>
    </row>
    <row r="1022" customFormat="false" ht="15" hidden="false" customHeight="false" outlineLevel="0" collapsed="false">
      <c r="A1022" s="0" t="n">
        <v>1018</v>
      </c>
      <c r="B1022" s="0" t="n">
        <v>2</v>
      </c>
      <c r="C1022" s="19" t="n">
        <v>0.624</v>
      </c>
      <c r="D1022" s="19" t="n">
        <v>0.0772</v>
      </c>
      <c r="E1022" s="20" t="n">
        <f aca="false">Parametres!$B$5*C1022</f>
        <v>187.2</v>
      </c>
      <c r="F1022" s="20" t="n">
        <f aca="false">Parametres!$B$6*D1022</f>
        <v>15.44</v>
      </c>
      <c r="G1022" s="20" t="n">
        <f aca="false">E1022+F1022</f>
        <v>202.64</v>
      </c>
      <c r="H1022" s="20" t="n">
        <f aca="false">IF(G1022&lt;Parametres!$B$8*Parametres!$B$7,0,MIN(G1022,Parametres!$B$7))</f>
        <v>202.64</v>
      </c>
      <c r="I1022" s="20" t="n">
        <f aca="false">G1022-H1022</f>
        <v>0</v>
      </c>
      <c r="J1022" s="21" t="n">
        <f aca="false">H1022*1000/Parametres!$B$9</f>
        <v>3436.32355434967</v>
      </c>
    </row>
    <row r="1023" customFormat="false" ht="15" hidden="false" customHeight="false" outlineLevel="0" collapsed="false">
      <c r="A1023" s="0" t="n">
        <v>1019</v>
      </c>
      <c r="B1023" s="0" t="n">
        <v>2</v>
      </c>
      <c r="C1023" s="19" t="n">
        <v>0.7772</v>
      </c>
      <c r="D1023" s="19" t="n">
        <v>0.0427</v>
      </c>
      <c r="E1023" s="20" t="n">
        <f aca="false">Parametres!$B$5*C1023</f>
        <v>233.16</v>
      </c>
      <c r="F1023" s="20" t="n">
        <f aca="false">Parametres!$B$6*D1023</f>
        <v>8.54</v>
      </c>
      <c r="G1023" s="20" t="n">
        <f aca="false">E1023+F1023</f>
        <v>241.7</v>
      </c>
      <c r="H1023" s="20" t="n">
        <f aca="false">IF(G1023&lt;Parametres!$B$8*Parametres!$B$7,0,MIN(G1023,Parametres!$B$7))</f>
        <v>241.7</v>
      </c>
      <c r="I1023" s="20" t="n">
        <f aca="false">G1023-H1023</f>
        <v>0</v>
      </c>
      <c r="J1023" s="21" t="n">
        <f aca="false">H1023*1000/Parametres!$B$9</f>
        <v>4098.69425131423</v>
      </c>
    </row>
    <row r="1024" customFormat="false" ht="15" hidden="false" customHeight="false" outlineLevel="0" collapsed="false">
      <c r="A1024" s="0" t="n">
        <v>1020</v>
      </c>
      <c r="B1024" s="0" t="n">
        <v>2</v>
      </c>
      <c r="C1024" s="19" t="n">
        <v>0.8179</v>
      </c>
      <c r="D1024" s="19" t="n">
        <v>0.0264</v>
      </c>
      <c r="E1024" s="20" t="n">
        <f aca="false">Parametres!$B$5*C1024</f>
        <v>245.37</v>
      </c>
      <c r="F1024" s="20" t="n">
        <f aca="false">Parametres!$B$6*D1024</f>
        <v>5.28</v>
      </c>
      <c r="G1024" s="20" t="n">
        <f aca="false">E1024+F1024</f>
        <v>250.65</v>
      </c>
      <c r="H1024" s="20" t="n">
        <f aca="false">IF(G1024&lt;Parametres!$B$8*Parametres!$B$7,0,MIN(G1024,Parametres!$B$7))</f>
        <v>250</v>
      </c>
      <c r="I1024" s="20" t="n">
        <f aca="false">G1024-H1024</f>
        <v>0.649999999999977</v>
      </c>
      <c r="J1024" s="21" t="n">
        <f aca="false">H1024*1000/Parametres!$B$9</f>
        <v>4239.44378497541</v>
      </c>
    </row>
    <row r="1025" customFormat="false" ht="15" hidden="false" customHeight="false" outlineLevel="0" collapsed="false">
      <c r="A1025" s="0" t="n">
        <v>1021</v>
      </c>
      <c r="B1025" s="0" t="n">
        <v>2</v>
      </c>
      <c r="C1025" s="19" t="n">
        <v>0.8747</v>
      </c>
      <c r="D1025" s="19" t="n">
        <v>0.022</v>
      </c>
      <c r="E1025" s="20" t="n">
        <f aca="false">Parametres!$B$5*C1025</f>
        <v>262.41</v>
      </c>
      <c r="F1025" s="20" t="n">
        <f aca="false">Parametres!$B$6*D1025</f>
        <v>4.4</v>
      </c>
      <c r="G1025" s="20" t="n">
        <f aca="false">E1025+F1025</f>
        <v>266.81</v>
      </c>
      <c r="H1025" s="20" t="n">
        <f aca="false">IF(G1025&lt;Parametres!$B$8*Parametres!$B$7,0,MIN(G1025,Parametres!$B$7))</f>
        <v>250</v>
      </c>
      <c r="I1025" s="20" t="n">
        <f aca="false">G1025-H1025</f>
        <v>16.81</v>
      </c>
      <c r="J1025" s="21" t="n">
        <f aca="false">H1025*1000/Parametres!$B$9</f>
        <v>4239.44378497541</v>
      </c>
    </row>
    <row r="1026" customFormat="false" ht="15" hidden="false" customHeight="false" outlineLevel="0" collapsed="false">
      <c r="A1026" s="0" t="n">
        <v>1022</v>
      </c>
      <c r="B1026" s="0" t="n">
        <v>2</v>
      </c>
      <c r="C1026" s="19" t="n">
        <v>0.8274</v>
      </c>
      <c r="D1026" s="19" t="n">
        <v>0.0377</v>
      </c>
      <c r="E1026" s="20" t="n">
        <f aca="false">Parametres!$B$5*C1026</f>
        <v>248.22</v>
      </c>
      <c r="F1026" s="20" t="n">
        <f aca="false">Parametres!$B$6*D1026</f>
        <v>7.54</v>
      </c>
      <c r="G1026" s="20" t="n">
        <f aca="false">E1026+F1026</f>
        <v>255.76</v>
      </c>
      <c r="H1026" s="20" t="n">
        <f aca="false">IF(G1026&lt;Parametres!$B$8*Parametres!$B$7,0,MIN(G1026,Parametres!$B$7))</f>
        <v>250</v>
      </c>
      <c r="I1026" s="20" t="n">
        <f aca="false">G1026-H1026</f>
        <v>5.75999999999999</v>
      </c>
      <c r="J1026" s="21" t="n">
        <f aca="false">H1026*1000/Parametres!$B$9</f>
        <v>4239.44378497541</v>
      </c>
    </row>
    <row r="1027" customFormat="false" ht="15" hidden="false" customHeight="false" outlineLevel="0" collapsed="false">
      <c r="A1027" s="0" t="n">
        <v>1023</v>
      </c>
      <c r="B1027" s="0" t="n">
        <v>2</v>
      </c>
      <c r="C1027" s="19" t="n">
        <v>0.6668</v>
      </c>
      <c r="D1027" s="19" t="n">
        <v>0.0719</v>
      </c>
      <c r="E1027" s="20" t="n">
        <f aca="false">Parametres!$B$5*C1027</f>
        <v>200.04</v>
      </c>
      <c r="F1027" s="20" t="n">
        <f aca="false">Parametres!$B$6*D1027</f>
        <v>14.38</v>
      </c>
      <c r="G1027" s="20" t="n">
        <f aca="false">E1027+F1027</f>
        <v>214.42</v>
      </c>
      <c r="H1027" s="20" t="n">
        <f aca="false">IF(G1027&lt;Parametres!$B$8*Parametres!$B$7,0,MIN(G1027,Parametres!$B$7))</f>
        <v>214.42</v>
      </c>
      <c r="I1027" s="20" t="n">
        <f aca="false">G1027-H1027</f>
        <v>0</v>
      </c>
      <c r="J1027" s="21" t="n">
        <f aca="false">H1027*1000/Parametres!$B$9</f>
        <v>3636.08614549771</v>
      </c>
    </row>
    <row r="1028" customFormat="false" ht="15" hidden="false" customHeight="false" outlineLevel="0" collapsed="false">
      <c r="A1028" s="0" t="n">
        <v>1024</v>
      </c>
      <c r="B1028" s="0" t="n">
        <v>2</v>
      </c>
      <c r="C1028" s="19" t="n">
        <v>0.4085</v>
      </c>
      <c r="D1028" s="19" t="n">
        <v>0.0414</v>
      </c>
      <c r="E1028" s="20" t="n">
        <f aca="false">Parametres!$B$5*C1028</f>
        <v>122.55</v>
      </c>
      <c r="F1028" s="20" t="n">
        <f aca="false">Parametres!$B$6*D1028</f>
        <v>8.28</v>
      </c>
      <c r="G1028" s="20" t="n">
        <f aca="false">E1028+F1028</f>
        <v>130.83</v>
      </c>
      <c r="H1028" s="20" t="n">
        <f aca="false">IF(G1028&lt;Parametres!$B$8*Parametres!$B$7,0,MIN(G1028,Parametres!$B$7))</f>
        <v>130.83</v>
      </c>
      <c r="I1028" s="20" t="n">
        <f aca="false">G1028-H1028</f>
        <v>0</v>
      </c>
      <c r="J1028" s="21" t="n">
        <f aca="false">H1028*1000/Parametres!$B$9</f>
        <v>2218.58572155333</v>
      </c>
    </row>
    <row r="1029" customFormat="false" ht="15" hidden="false" customHeight="false" outlineLevel="0" collapsed="false">
      <c r="A1029" s="0" t="n">
        <v>1025</v>
      </c>
      <c r="B1029" s="0" t="n">
        <v>2</v>
      </c>
      <c r="C1029" s="19" t="n">
        <v>0.2164</v>
      </c>
      <c r="D1029" s="19" t="n">
        <v>0.0527</v>
      </c>
      <c r="E1029" s="20" t="n">
        <f aca="false">Parametres!$B$5*C1029</f>
        <v>64.92</v>
      </c>
      <c r="F1029" s="20" t="n">
        <f aca="false">Parametres!$B$6*D1029</f>
        <v>10.54</v>
      </c>
      <c r="G1029" s="20" t="n">
        <f aca="false">E1029+F1029</f>
        <v>75.46</v>
      </c>
      <c r="H1029" s="20" t="n">
        <f aca="false">IF(G1029&lt;Parametres!$B$8*Parametres!$B$7,0,MIN(G1029,Parametres!$B$7))</f>
        <v>75.46</v>
      </c>
      <c r="I1029" s="20" t="n">
        <f aca="false">G1029-H1029</f>
        <v>0</v>
      </c>
      <c r="J1029" s="21" t="n">
        <f aca="false">H1029*1000/Parametres!$B$9</f>
        <v>1279.63371205698</v>
      </c>
    </row>
    <row r="1030" customFormat="false" ht="15" hidden="false" customHeight="false" outlineLevel="0" collapsed="false">
      <c r="A1030" s="0" t="n">
        <v>1026</v>
      </c>
      <c r="B1030" s="0" t="n">
        <v>2</v>
      </c>
      <c r="C1030" s="19" t="n">
        <v>0</v>
      </c>
      <c r="D1030" s="19" t="n">
        <v>0.0839</v>
      </c>
      <c r="E1030" s="20" t="n">
        <f aca="false">Parametres!$B$5*C1030</f>
        <v>0</v>
      </c>
      <c r="F1030" s="20" t="n">
        <f aca="false">Parametres!$B$6*D1030</f>
        <v>16.78</v>
      </c>
      <c r="G1030" s="20" t="n">
        <f aca="false">E1030+F1030</f>
        <v>16.78</v>
      </c>
      <c r="H1030" s="20" t="n">
        <f aca="false">IF(G1030&lt;Parametres!$B$8*Parametres!$B$7,0,MIN(G1030,Parametres!$B$7))</f>
        <v>0</v>
      </c>
      <c r="I1030" s="20" t="n">
        <f aca="false">G1030-H1030</f>
        <v>16.78</v>
      </c>
      <c r="J1030" s="21" t="n">
        <f aca="false">H1030*1000/Parametres!$B$9</f>
        <v>0</v>
      </c>
    </row>
    <row r="1031" customFormat="false" ht="15" hidden="false" customHeight="false" outlineLevel="0" collapsed="false">
      <c r="A1031" s="0" t="n">
        <v>1027</v>
      </c>
      <c r="B1031" s="0" t="n">
        <v>2</v>
      </c>
      <c r="C1031" s="19" t="n">
        <v>0</v>
      </c>
      <c r="D1031" s="19" t="n">
        <v>0.0781</v>
      </c>
      <c r="E1031" s="20" t="n">
        <f aca="false">Parametres!$B$5*C1031</f>
        <v>0</v>
      </c>
      <c r="F1031" s="20" t="n">
        <f aca="false">Parametres!$B$6*D1031</f>
        <v>15.62</v>
      </c>
      <c r="G1031" s="20" t="n">
        <f aca="false">E1031+F1031</f>
        <v>15.62</v>
      </c>
      <c r="H1031" s="20" t="n">
        <f aca="false">IF(G1031&lt;Parametres!$B$8*Parametres!$B$7,0,MIN(G1031,Parametres!$B$7))</f>
        <v>0</v>
      </c>
      <c r="I1031" s="20" t="n">
        <f aca="false">G1031-H1031</f>
        <v>15.62</v>
      </c>
      <c r="J1031" s="21" t="n">
        <f aca="false">H1031*1000/Parametres!$B$9</f>
        <v>0</v>
      </c>
    </row>
    <row r="1032" customFormat="false" ht="15" hidden="false" customHeight="false" outlineLevel="0" collapsed="false">
      <c r="A1032" s="0" t="n">
        <v>1028</v>
      </c>
      <c r="B1032" s="0" t="n">
        <v>2</v>
      </c>
      <c r="C1032" s="19" t="n">
        <v>0</v>
      </c>
      <c r="D1032" s="19" t="n">
        <v>0.0252</v>
      </c>
      <c r="E1032" s="20" t="n">
        <f aca="false">Parametres!$B$5*C1032</f>
        <v>0</v>
      </c>
      <c r="F1032" s="20" t="n">
        <f aca="false">Parametres!$B$6*D1032</f>
        <v>5.04</v>
      </c>
      <c r="G1032" s="20" t="n">
        <f aca="false">E1032+F1032</f>
        <v>5.04</v>
      </c>
      <c r="H1032" s="20" t="n">
        <f aca="false">IF(G1032&lt;Parametres!$B$8*Parametres!$B$7,0,MIN(G1032,Parametres!$B$7))</f>
        <v>0</v>
      </c>
      <c r="I1032" s="20" t="n">
        <f aca="false">G1032-H1032</f>
        <v>5.04</v>
      </c>
      <c r="J1032" s="21" t="n">
        <f aca="false">H1032*1000/Parametres!$B$9</f>
        <v>0</v>
      </c>
    </row>
    <row r="1033" customFormat="false" ht="15" hidden="false" customHeight="false" outlineLevel="0" collapsed="false">
      <c r="A1033" s="0" t="n">
        <v>1029</v>
      </c>
      <c r="B1033" s="0" t="n">
        <v>2</v>
      </c>
      <c r="C1033" s="19" t="n">
        <v>0</v>
      </c>
      <c r="D1033" s="19" t="n">
        <v>0.0027</v>
      </c>
      <c r="E1033" s="20" t="n">
        <f aca="false">Parametres!$B$5*C1033</f>
        <v>0</v>
      </c>
      <c r="F1033" s="20" t="n">
        <f aca="false">Parametres!$B$6*D1033</f>
        <v>0.54</v>
      </c>
      <c r="G1033" s="20" t="n">
        <f aca="false">E1033+F1033</f>
        <v>0.54</v>
      </c>
      <c r="H1033" s="20" t="n">
        <f aca="false">IF(G1033&lt;Parametres!$B$8*Parametres!$B$7,0,MIN(G1033,Parametres!$B$7))</f>
        <v>0</v>
      </c>
      <c r="I1033" s="20" t="n">
        <f aca="false">G1033-H1033</f>
        <v>0.54</v>
      </c>
      <c r="J1033" s="21" t="n">
        <f aca="false">H1033*1000/Parametres!$B$9</f>
        <v>0</v>
      </c>
    </row>
    <row r="1034" customFormat="false" ht="15" hidden="false" customHeight="false" outlineLevel="0" collapsed="false">
      <c r="A1034" s="0" t="n">
        <v>1030</v>
      </c>
      <c r="B1034" s="0" t="n">
        <v>2</v>
      </c>
      <c r="C1034" s="19" t="n">
        <v>0</v>
      </c>
      <c r="D1034" s="19" t="n">
        <v>0.0058</v>
      </c>
      <c r="E1034" s="20" t="n">
        <f aca="false">Parametres!$B$5*C1034</f>
        <v>0</v>
      </c>
      <c r="F1034" s="20" t="n">
        <f aca="false">Parametres!$B$6*D1034</f>
        <v>1.16</v>
      </c>
      <c r="G1034" s="20" t="n">
        <f aca="false">E1034+F1034</f>
        <v>1.16</v>
      </c>
      <c r="H1034" s="20" t="n">
        <f aca="false">IF(G1034&lt;Parametres!$B$8*Parametres!$B$7,0,MIN(G1034,Parametres!$B$7))</f>
        <v>0</v>
      </c>
      <c r="I1034" s="20" t="n">
        <f aca="false">G1034-H1034</f>
        <v>1.16</v>
      </c>
      <c r="J1034" s="21" t="n">
        <f aca="false">H1034*1000/Parametres!$B$9</f>
        <v>0</v>
      </c>
    </row>
    <row r="1035" customFormat="false" ht="15" hidden="false" customHeight="false" outlineLevel="0" collapsed="false">
      <c r="A1035" s="0" t="n">
        <v>1031</v>
      </c>
      <c r="B1035" s="0" t="n">
        <v>2</v>
      </c>
      <c r="C1035" s="19" t="n">
        <v>0</v>
      </c>
      <c r="D1035" s="19" t="n">
        <v>0.0116</v>
      </c>
      <c r="E1035" s="20" t="n">
        <f aca="false">Parametres!$B$5*C1035</f>
        <v>0</v>
      </c>
      <c r="F1035" s="20" t="n">
        <f aca="false">Parametres!$B$6*D1035</f>
        <v>2.32</v>
      </c>
      <c r="G1035" s="20" t="n">
        <f aca="false">E1035+F1035</f>
        <v>2.32</v>
      </c>
      <c r="H1035" s="20" t="n">
        <f aca="false">IF(G1035&lt;Parametres!$B$8*Parametres!$B$7,0,MIN(G1035,Parametres!$B$7))</f>
        <v>0</v>
      </c>
      <c r="I1035" s="20" t="n">
        <f aca="false">G1035-H1035</f>
        <v>2.32</v>
      </c>
      <c r="J1035" s="21" t="n">
        <f aca="false">H1035*1000/Parametres!$B$9</f>
        <v>0</v>
      </c>
    </row>
    <row r="1036" customFormat="false" ht="15" hidden="false" customHeight="false" outlineLevel="0" collapsed="false">
      <c r="A1036" s="0" t="n">
        <v>1032</v>
      </c>
      <c r="B1036" s="0" t="n">
        <v>2</v>
      </c>
      <c r="C1036" s="19" t="n">
        <v>0</v>
      </c>
      <c r="D1036" s="19" t="n">
        <v>0.012</v>
      </c>
      <c r="E1036" s="20" t="n">
        <f aca="false">Parametres!$B$5*C1036</f>
        <v>0</v>
      </c>
      <c r="F1036" s="20" t="n">
        <f aca="false">Parametres!$B$6*D1036</f>
        <v>2.4</v>
      </c>
      <c r="G1036" s="20" t="n">
        <f aca="false">E1036+F1036</f>
        <v>2.4</v>
      </c>
      <c r="H1036" s="20" t="n">
        <f aca="false">IF(G1036&lt;Parametres!$B$8*Parametres!$B$7,0,MIN(G1036,Parametres!$B$7))</f>
        <v>0</v>
      </c>
      <c r="I1036" s="20" t="n">
        <f aca="false">G1036-H1036</f>
        <v>2.4</v>
      </c>
      <c r="J1036" s="21" t="n">
        <f aca="false">H1036*1000/Parametres!$B$9</f>
        <v>0</v>
      </c>
    </row>
    <row r="1037" customFormat="false" ht="15" hidden="false" customHeight="false" outlineLevel="0" collapsed="false">
      <c r="A1037" s="0" t="n">
        <v>1033</v>
      </c>
      <c r="B1037" s="0" t="n">
        <v>2</v>
      </c>
      <c r="C1037" s="19" t="n">
        <v>0</v>
      </c>
      <c r="D1037" s="19" t="n">
        <v>0.0034</v>
      </c>
      <c r="E1037" s="20" t="n">
        <f aca="false">Parametres!$B$5*C1037</f>
        <v>0</v>
      </c>
      <c r="F1037" s="20" t="n">
        <f aca="false">Parametres!$B$6*D1037</f>
        <v>0.68</v>
      </c>
      <c r="G1037" s="20" t="n">
        <f aca="false">E1037+F1037</f>
        <v>0.68</v>
      </c>
      <c r="H1037" s="20" t="n">
        <f aca="false">IF(G1037&lt;Parametres!$B$8*Parametres!$B$7,0,MIN(G1037,Parametres!$B$7))</f>
        <v>0</v>
      </c>
      <c r="I1037" s="20" t="n">
        <f aca="false">G1037-H1037</f>
        <v>0.68</v>
      </c>
      <c r="J1037" s="21" t="n">
        <f aca="false">H1037*1000/Parametres!$B$9</f>
        <v>0</v>
      </c>
    </row>
    <row r="1038" customFormat="false" ht="15" hidden="false" customHeight="false" outlineLevel="0" collapsed="false">
      <c r="A1038" s="0" t="n">
        <v>1034</v>
      </c>
      <c r="B1038" s="0" t="n">
        <v>2</v>
      </c>
      <c r="C1038" s="19" t="n">
        <v>0</v>
      </c>
      <c r="D1038" s="19" t="n">
        <v>0.0119</v>
      </c>
      <c r="E1038" s="20" t="n">
        <f aca="false">Parametres!$B$5*C1038</f>
        <v>0</v>
      </c>
      <c r="F1038" s="20" t="n">
        <f aca="false">Parametres!$B$6*D1038</f>
        <v>2.38</v>
      </c>
      <c r="G1038" s="20" t="n">
        <f aca="false">E1038+F1038</f>
        <v>2.38</v>
      </c>
      <c r="H1038" s="20" t="n">
        <f aca="false">IF(G1038&lt;Parametres!$B$8*Parametres!$B$7,0,MIN(G1038,Parametres!$B$7))</f>
        <v>0</v>
      </c>
      <c r="I1038" s="20" t="n">
        <f aca="false">G1038-H1038</f>
        <v>2.38</v>
      </c>
      <c r="J1038" s="21" t="n">
        <f aca="false">H1038*1000/Parametres!$B$9</f>
        <v>0</v>
      </c>
    </row>
    <row r="1039" customFormat="false" ht="15" hidden="false" customHeight="false" outlineLevel="0" collapsed="false">
      <c r="A1039" s="0" t="n">
        <v>1035</v>
      </c>
      <c r="B1039" s="0" t="n">
        <v>2</v>
      </c>
      <c r="C1039" s="19" t="n">
        <v>0</v>
      </c>
      <c r="D1039" s="19" t="n">
        <v>0.0255</v>
      </c>
      <c r="E1039" s="20" t="n">
        <f aca="false">Parametres!$B$5*C1039</f>
        <v>0</v>
      </c>
      <c r="F1039" s="20" t="n">
        <f aca="false">Parametres!$B$6*D1039</f>
        <v>5.1</v>
      </c>
      <c r="G1039" s="20" t="n">
        <f aca="false">E1039+F1039</f>
        <v>5.1</v>
      </c>
      <c r="H1039" s="20" t="n">
        <f aca="false">IF(G1039&lt;Parametres!$B$8*Parametres!$B$7,0,MIN(G1039,Parametres!$B$7))</f>
        <v>0</v>
      </c>
      <c r="I1039" s="20" t="n">
        <f aca="false">G1039-H1039</f>
        <v>5.1</v>
      </c>
      <c r="J1039" s="21" t="n">
        <f aca="false">H1039*1000/Parametres!$B$9</f>
        <v>0</v>
      </c>
    </row>
    <row r="1040" customFormat="false" ht="15" hidden="false" customHeight="false" outlineLevel="0" collapsed="false">
      <c r="A1040" s="0" t="n">
        <v>1036</v>
      </c>
      <c r="B1040" s="0" t="n">
        <v>2</v>
      </c>
      <c r="C1040" s="19" t="n">
        <v>0</v>
      </c>
      <c r="D1040" s="19" t="n">
        <v>0.0228</v>
      </c>
      <c r="E1040" s="20" t="n">
        <f aca="false">Parametres!$B$5*C1040</f>
        <v>0</v>
      </c>
      <c r="F1040" s="20" t="n">
        <f aca="false">Parametres!$B$6*D1040</f>
        <v>4.56</v>
      </c>
      <c r="G1040" s="20" t="n">
        <f aca="false">E1040+F1040</f>
        <v>4.56</v>
      </c>
      <c r="H1040" s="20" t="n">
        <f aca="false">IF(G1040&lt;Parametres!$B$8*Parametres!$B$7,0,MIN(G1040,Parametres!$B$7))</f>
        <v>0</v>
      </c>
      <c r="I1040" s="20" t="n">
        <f aca="false">G1040-H1040</f>
        <v>4.56</v>
      </c>
      <c r="J1040" s="21" t="n">
        <f aca="false">H1040*1000/Parametres!$B$9</f>
        <v>0</v>
      </c>
    </row>
    <row r="1041" customFormat="false" ht="15" hidden="false" customHeight="false" outlineLevel="0" collapsed="false">
      <c r="A1041" s="0" t="n">
        <v>1037</v>
      </c>
      <c r="B1041" s="0" t="n">
        <v>2</v>
      </c>
      <c r="C1041" s="19" t="n">
        <v>0</v>
      </c>
      <c r="D1041" s="19" t="n">
        <v>0.019</v>
      </c>
      <c r="E1041" s="20" t="n">
        <f aca="false">Parametres!$B$5*C1041</f>
        <v>0</v>
      </c>
      <c r="F1041" s="20" t="n">
        <f aca="false">Parametres!$B$6*D1041</f>
        <v>3.8</v>
      </c>
      <c r="G1041" s="20" t="n">
        <f aca="false">E1041+F1041</f>
        <v>3.8</v>
      </c>
      <c r="H1041" s="20" t="n">
        <f aca="false">IF(G1041&lt;Parametres!$B$8*Parametres!$B$7,0,MIN(G1041,Parametres!$B$7))</f>
        <v>0</v>
      </c>
      <c r="I1041" s="20" t="n">
        <f aca="false">G1041-H1041</f>
        <v>3.8</v>
      </c>
      <c r="J1041" s="21" t="n">
        <f aca="false">H1041*1000/Parametres!$B$9</f>
        <v>0</v>
      </c>
    </row>
    <row r="1042" customFormat="false" ht="15" hidden="false" customHeight="false" outlineLevel="0" collapsed="false">
      <c r="A1042" s="0" t="n">
        <v>1038</v>
      </c>
      <c r="B1042" s="0" t="n">
        <v>2</v>
      </c>
      <c r="C1042" s="19" t="n">
        <v>0</v>
      </c>
      <c r="D1042" s="19" t="n">
        <v>0.0036</v>
      </c>
      <c r="E1042" s="20" t="n">
        <f aca="false">Parametres!$B$5*C1042</f>
        <v>0</v>
      </c>
      <c r="F1042" s="20" t="n">
        <f aca="false">Parametres!$B$6*D1042</f>
        <v>0.72</v>
      </c>
      <c r="G1042" s="20" t="n">
        <f aca="false">E1042+F1042</f>
        <v>0.72</v>
      </c>
      <c r="H1042" s="20" t="n">
        <f aca="false">IF(G1042&lt;Parametres!$B$8*Parametres!$B$7,0,MIN(G1042,Parametres!$B$7))</f>
        <v>0</v>
      </c>
      <c r="I1042" s="20" t="n">
        <f aca="false">G1042-H1042</f>
        <v>0.72</v>
      </c>
      <c r="J1042" s="21" t="n">
        <f aca="false">H1042*1000/Parametres!$B$9</f>
        <v>0</v>
      </c>
    </row>
    <row r="1043" customFormat="false" ht="15" hidden="false" customHeight="false" outlineLevel="0" collapsed="false">
      <c r="A1043" s="0" t="n">
        <v>1039</v>
      </c>
      <c r="B1043" s="0" t="n">
        <v>2</v>
      </c>
      <c r="C1043" s="19" t="n">
        <v>0</v>
      </c>
      <c r="D1043" s="19" t="n">
        <v>0.0088</v>
      </c>
      <c r="E1043" s="20" t="n">
        <f aca="false">Parametres!$B$5*C1043</f>
        <v>0</v>
      </c>
      <c r="F1043" s="20" t="n">
        <f aca="false">Parametres!$B$6*D1043</f>
        <v>1.76</v>
      </c>
      <c r="G1043" s="20" t="n">
        <f aca="false">E1043+F1043</f>
        <v>1.76</v>
      </c>
      <c r="H1043" s="20" t="n">
        <f aca="false">IF(G1043&lt;Parametres!$B$8*Parametres!$B$7,0,MIN(G1043,Parametres!$B$7))</f>
        <v>0</v>
      </c>
      <c r="I1043" s="20" t="n">
        <f aca="false">G1043-H1043</f>
        <v>1.76</v>
      </c>
      <c r="J1043" s="21" t="n">
        <f aca="false">H1043*1000/Parametres!$B$9</f>
        <v>0</v>
      </c>
    </row>
    <row r="1044" customFormat="false" ht="15" hidden="false" customHeight="false" outlineLevel="0" collapsed="false">
      <c r="A1044" s="0" t="n">
        <v>1040</v>
      </c>
      <c r="B1044" s="0" t="n">
        <v>2</v>
      </c>
      <c r="C1044" s="19" t="n">
        <v>0.1915</v>
      </c>
      <c r="D1044" s="19" t="n">
        <v>0.0019</v>
      </c>
      <c r="E1044" s="20" t="n">
        <f aca="false">Parametres!$B$5*C1044</f>
        <v>57.45</v>
      </c>
      <c r="F1044" s="20" t="n">
        <f aca="false">Parametres!$B$6*D1044</f>
        <v>0.38</v>
      </c>
      <c r="G1044" s="20" t="n">
        <f aca="false">E1044+F1044</f>
        <v>57.83</v>
      </c>
      <c r="H1044" s="20" t="n">
        <f aca="false">IF(G1044&lt;Parametres!$B$8*Parametres!$B$7,0,MIN(G1044,Parametres!$B$7))</f>
        <v>57.83</v>
      </c>
      <c r="I1044" s="20" t="n">
        <f aca="false">G1044-H1044</f>
        <v>0</v>
      </c>
      <c r="J1044" s="21" t="n">
        <f aca="false">H1044*1000/Parametres!$B$9</f>
        <v>980.668136340512</v>
      </c>
    </row>
    <row r="1045" customFormat="false" ht="15" hidden="false" customHeight="false" outlineLevel="0" collapsed="false">
      <c r="A1045" s="0" t="n">
        <v>1041</v>
      </c>
      <c r="B1045" s="0" t="n">
        <v>2</v>
      </c>
      <c r="C1045" s="19" t="n">
        <v>0.3672</v>
      </c>
      <c r="D1045" s="19" t="n">
        <v>0.0058</v>
      </c>
      <c r="E1045" s="20" t="n">
        <f aca="false">Parametres!$B$5*C1045</f>
        <v>110.16</v>
      </c>
      <c r="F1045" s="20" t="n">
        <f aca="false">Parametres!$B$6*D1045</f>
        <v>1.16</v>
      </c>
      <c r="G1045" s="20" t="n">
        <f aca="false">E1045+F1045</f>
        <v>111.32</v>
      </c>
      <c r="H1045" s="20" t="n">
        <f aca="false">IF(G1045&lt;Parametres!$B$8*Parametres!$B$7,0,MIN(G1045,Parametres!$B$7))</f>
        <v>111.32</v>
      </c>
      <c r="I1045" s="20" t="n">
        <f aca="false">G1045-H1045</f>
        <v>0</v>
      </c>
      <c r="J1045" s="21" t="n">
        <f aca="false">H1045*1000/Parametres!$B$9</f>
        <v>1887.73952857385</v>
      </c>
    </row>
    <row r="1046" customFormat="false" ht="15" hidden="false" customHeight="false" outlineLevel="0" collapsed="false">
      <c r="A1046" s="0" t="n">
        <v>1042</v>
      </c>
      <c r="B1046" s="0" t="n">
        <v>2</v>
      </c>
      <c r="C1046" s="19" t="n">
        <v>0.5517</v>
      </c>
      <c r="D1046" s="19" t="n">
        <v>0.0146</v>
      </c>
      <c r="E1046" s="20" t="n">
        <f aca="false">Parametres!$B$5*C1046</f>
        <v>165.51</v>
      </c>
      <c r="F1046" s="20" t="n">
        <f aca="false">Parametres!$B$6*D1046</f>
        <v>2.92</v>
      </c>
      <c r="G1046" s="20" t="n">
        <f aca="false">E1046+F1046</f>
        <v>168.43</v>
      </c>
      <c r="H1046" s="20" t="n">
        <f aca="false">IF(G1046&lt;Parametres!$B$8*Parametres!$B$7,0,MIN(G1046,Parametres!$B$7))</f>
        <v>168.43</v>
      </c>
      <c r="I1046" s="20" t="n">
        <f aca="false">G1046-H1046</f>
        <v>0</v>
      </c>
      <c r="J1046" s="21" t="n">
        <f aca="false">H1046*1000/Parametres!$B$9</f>
        <v>2856.19806681363</v>
      </c>
    </row>
    <row r="1047" customFormat="false" ht="15" hidden="false" customHeight="false" outlineLevel="0" collapsed="false">
      <c r="A1047" s="0" t="n">
        <v>1043</v>
      </c>
      <c r="B1047" s="0" t="n">
        <v>2</v>
      </c>
      <c r="C1047" s="19" t="n">
        <v>0.6932</v>
      </c>
      <c r="D1047" s="19" t="n">
        <v>0.0199</v>
      </c>
      <c r="E1047" s="20" t="n">
        <f aca="false">Parametres!$B$5*C1047</f>
        <v>207.96</v>
      </c>
      <c r="F1047" s="20" t="n">
        <f aca="false">Parametres!$B$6*D1047</f>
        <v>3.98</v>
      </c>
      <c r="G1047" s="20" t="n">
        <f aca="false">E1047+F1047</f>
        <v>211.94</v>
      </c>
      <c r="H1047" s="20" t="n">
        <f aca="false">IF(G1047&lt;Parametres!$B$8*Parametres!$B$7,0,MIN(G1047,Parametres!$B$7))</f>
        <v>211.94</v>
      </c>
      <c r="I1047" s="20" t="n">
        <f aca="false">G1047-H1047</f>
        <v>0</v>
      </c>
      <c r="J1047" s="21" t="n">
        <f aca="false">H1047*1000/Parametres!$B$9</f>
        <v>3594.03086315075</v>
      </c>
    </row>
    <row r="1048" customFormat="false" ht="15" hidden="false" customHeight="false" outlineLevel="0" collapsed="false">
      <c r="A1048" s="0" t="n">
        <v>1044</v>
      </c>
      <c r="B1048" s="0" t="n">
        <v>2</v>
      </c>
      <c r="C1048" s="19" t="n">
        <v>0.8413</v>
      </c>
      <c r="D1048" s="19" t="n">
        <v>0.0667</v>
      </c>
      <c r="E1048" s="20" t="n">
        <f aca="false">Parametres!$B$5*C1048</f>
        <v>252.39</v>
      </c>
      <c r="F1048" s="20" t="n">
        <f aca="false">Parametres!$B$6*D1048</f>
        <v>13.34</v>
      </c>
      <c r="G1048" s="20" t="n">
        <f aca="false">E1048+F1048</f>
        <v>265.73</v>
      </c>
      <c r="H1048" s="20" t="n">
        <f aca="false">IF(G1048&lt;Parametres!$B$8*Parametres!$B$7,0,MIN(G1048,Parametres!$B$7))</f>
        <v>250</v>
      </c>
      <c r="I1048" s="20" t="n">
        <f aca="false">G1048-H1048</f>
        <v>15.73</v>
      </c>
      <c r="J1048" s="21" t="n">
        <f aca="false">H1048*1000/Parametres!$B$9</f>
        <v>4239.44378497541</v>
      </c>
    </row>
    <row r="1049" customFormat="false" ht="15" hidden="false" customHeight="false" outlineLevel="0" collapsed="false">
      <c r="A1049" s="0" t="n">
        <v>1045</v>
      </c>
      <c r="B1049" s="0" t="n">
        <v>2</v>
      </c>
      <c r="C1049" s="19" t="n">
        <v>0.7415</v>
      </c>
      <c r="D1049" s="19" t="n">
        <v>0.0648</v>
      </c>
      <c r="E1049" s="20" t="n">
        <f aca="false">Parametres!$B$5*C1049</f>
        <v>222.45</v>
      </c>
      <c r="F1049" s="20" t="n">
        <f aca="false">Parametres!$B$6*D1049</f>
        <v>12.96</v>
      </c>
      <c r="G1049" s="20" t="n">
        <f aca="false">E1049+F1049</f>
        <v>235.41</v>
      </c>
      <c r="H1049" s="20" t="n">
        <f aca="false">IF(G1049&lt;Parametres!$B$8*Parametres!$B$7,0,MIN(G1049,Parametres!$B$7))</f>
        <v>235.41</v>
      </c>
      <c r="I1049" s="20" t="n">
        <f aca="false">G1049-H1049</f>
        <v>0</v>
      </c>
      <c r="J1049" s="21" t="n">
        <f aca="false">H1049*1000/Parametres!$B$9</f>
        <v>3992.02984568425</v>
      </c>
    </row>
    <row r="1050" customFormat="false" ht="15" hidden="false" customHeight="false" outlineLevel="0" collapsed="false">
      <c r="A1050" s="0" t="n">
        <v>1046</v>
      </c>
      <c r="B1050" s="0" t="n">
        <v>2</v>
      </c>
      <c r="C1050" s="19" t="n">
        <v>0.6433</v>
      </c>
      <c r="D1050" s="19" t="n">
        <v>0.101</v>
      </c>
      <c r="E1050" s="20" t="n">
        <f aca="false">Parametres!$B$5*C1050</f>
        <v>192.99</v>
      </c>
      <c r="F1050" s="20" t="n">
        <f aca="false">Parametres!$B$6*D1050</f>
        <v>20.2</v>
      </c>
      <c r="G1050" s="20" t="n">
        <f aca="false">E1050+F1050</f>
        <v>213.19</v>
      </c>
      <c r="H1050" s="20" t="n">
        <f aca="false">IF(G1050&lt;Parametres!$B$8*Parametres!$B$7,0,MIN(G1050,Parametres!$B$7))</f>
        <v>213.19</v>
      </c>
      <c r="I1050" s="20" t="n">
        <f aca="false">G1050-H1050</f>
        <v>0</v>
      </c>
      <c r="J1050" s="21" t="n">
        <f aca="false">H1050*1000/Parametres!$B$9</f>
        <v>3615.22808207563</v>
      </c>
    </row>
    <row r="1051" customFormat="false" ht="15" hidden="false" customHeight="false" outlineLevel="0" collapsed="false">
      <c r="A1051" s="0" t="n">
        <v>1047</v>
      </c>
      <c r="B1051" s="0" t="n">
        <v>2</v>
      </c>
      <c r="C1051" s="19" t="n">
        <v>0.5945</v>
      </c>
      <c r="D1051" s="19" t="n">
        <v>0.1617</v>
      </c>
      <c r="E1051" s="20" t="n">
        <f aca="false">Parametres!$B$5*C1051</f>
        <v>178.35</v>
      </c>
      <c r="F1051" s="20" t="n">
        <f aca="false">Parametres!$B$6*D1051</f>
        <v>32.34</v>
      </c>
      <c r="G1051" s="20" t="n">
        <f aca="false">E1051+F1051</f>
        <v>210.69</v>
      </c>
      <c r="H1051" s="20" t="n">
        <f aca="false">IF(G1051&lt;Parametres!$B$8*Parametres!$B$7,0,MIN(G1051,Parametres!$B$7))</f>
        <v>210.69</v>
      </c>
      <c r="I1051" s="20" t="n">
        <f aca="false">G1051-H1051</f>
        <v>0</v>
      </c>
      <c r="J1051" s="21" t="n">
        <f aca="false">H1051*1000/Parametres!$B$9</f>
        <v>3572.83364422588</v>
      </c>
    </row>
    <row r="1052" customFormat="false" ht="15" hidden="false" customHeight="false" outlineLevel="0" collapsed="false">
      <c r="A1052" s="0" t="n">
        <v>1048</v>
      </c>
      <c r="B1052" s="0" t="n">
        <v>2</v>
      </c>
      <c r="C1052" s="19" t="n">
        <v>0.374</v>
      </c>
      <c r="D1052" s="19" t="n">
        <v>0.1891</v>
      </c>
      <c r="E1052" s="20" t="n">
        <f aca="false">Parametres!$B$5*C1052</f>
        <v>112.2</v>
      </c>
      <c r="F1052" s="20" t="n">
        <f aca="false">Parametres!$B$6*D1052</f>
        <v>37.82</v>
      </c>
      <c r="G1052" s="20" t="n">
        <f aca="false">E1052+F1052</f>
        <v>150.02</v>
      </c>
      <c r="H1052" s="20" t="n">
        <f aca="false">IF(G1052&lt;Parametres!$B$8*Parametres!$B$7,0,MIN(G1052,Parametres!$B$7))</f>
        <v>150.02</v>
      </c>
      <c r="I1052" s="20" t="n">
        <f aca="false">G1052-H1052</f>
        <v>0</v>
      </c>
      <c r="J1052" s="21" t="n">
        <f aca="false">H1052*1000/Parametres!$B$9</f>
        <v>2544.00542648805</v>
      </c>
    </row>
    <row r="1053" customFormat="false" ht="15" hidden="false" customHeight="false" outlineLevel="0" collapsed="false">
      <c r="A1053" s="0" t="n">
        <v>1049</v>
      </c>
      <c r="B1053" s="0" t="n">
        <v>2</v>
      </c>
      <c r="C1053" s="19" t="n">
        <v>0.1817</v>
      </c>
      <c r="D1053" s="19" t="n">
        <v>0.158</v>
      </c>
      <c r="E1053" s="20" t="n">
        <f aca="false">Parametres!$B$5*C1053</f>
        <v>54.51</v>
      </c>
      <c r="F1053" s="20" t="n">
        <f aca="false">Parametres!$B$6*D1053</f>
        <v>31.6</v>
      </c>
      <c r="G1053" s="20" t="n">
        <f aca="false">E1053+F1053</f>
        <v>86.11</v>
      </c>
      <c r="H1053" s="20" t="n">
        <f aca="false">IF(G1053&lt;Parametres!$B$8*Parametres!$B$7,0,MIN(G1053,Parametres!$B$7))</f>
        <v>86.11</v>
      </c>
      <c r="I1053" s="20" t="n">
        <f aca="false">G1053-H1053</f>
        <v>0</v>
      </c>
      <c r="J1053" s="21" t="n">
        <f aca="false">H1053*1000/Parametres!$B$9</f>
        <v>1460.23401729693</v>
      </c>
    </row>
    <row r="1054" customFormat="false" ht="15" hidden="false" customHeight="false" outlineLevel="0" collapsed="false">
      <c r="A1054" s="0" t="n">
        <v>1050</v>
      </c>
      <c r="B1054" s="0" t="n">
        <v>2</v>
      </c>
      <c r="C1054" s="19" t="n">
        <v>0</v>
      </c>
      <c r="D1054" s="19" t="n">
        <v>0.2633</v>
      </c>
      <c r="E1054" s="20" t="n">
        <f aca="false">Parametres!$B$5*C1054</f>
        <v>0</v>
      </c>
      <c r="F1054" s="20" t="n">
        <f aca="false">Parametres!$B$6*D1054</f>
        <v>52.66</v>
      </c>
      <c r="G1054" s="20" t="n">
        <f aca="false">E1054+F1054</f>
        <v>52.66</v>
      </c>
      <c r="H1054" s="20" t="n">
        <f aca="false">IF(G1054&lt;Parametres!$B$8*Parametres!$B$7,0,MIN(G1054,Parametres!$B$7))</f>
        <v>52.66</v>
      </c>
      <c r="I1054" s="20" t="n">
        <f aca="false">G1054-H1054</f>
        <v>0</v>
      </c>
      <c r="J1054" s="21" t="n">
        <f aca="false">H1054*1000/Parametres!$B$9</f>
        <v>892.996438867221</v>
      </c>
    </row>
    <row r="1055" customFormat="false" ht="15" hidden="false" customHeight="false" outlineLevel="0" collapsed="false">
      <c r="A1055" s="0" t="n">
        <v>1051</v>
      </c>
      <c r="B1055" s="0" t="n">
        <v>2</v>
      </c>
      <c r="C1055" s="19" t="n">
        <v>0</v>
      </c>
      <c r="D1055" s="19" t="n">
        <v>0.2931</v>
      </c>
      <c r="E1055" s="20" t="n">
        <f aca="false">Parametres!$B$5*C1055</f>
        <v>0</v>
      </c>
      <c r="F1055" s="20" t="n">
        <f aca="false">Parametres!$B$6*D1055</f>
        <v>58.62</v>
      </c>
      <c r="G1055" s="20" t="n">
        <f aca="false">E1055+F1055</f>
        <v>58.62</v>
      </c>
      <c r="H1055" s="20" t="n">
        <f aca="false">IF(G1055&lt;Parametres!$B$8*Parametres!$B$7,0,MIN(G1055,Parametres!$B$7))</f>
        <v>58.62</v>
      </c>
      <c r="I1055" s="20" t="n">
        <f aca="false">G1055-H1055</f>
        <v>0</v>
      </c>
      <c r="J1055" s="21" t="n">
        <f aca="false">H1055*1000/Parametres!$B$9</f>
        <v>994.064778701035</v>
      </c>
    </row>
    <row r="1056" customFormat="false" ht="15" hidden="false" customHeight="false" outlineLevel="0" collapsed="false">
      <c r="A1056" s="0" t="n">
        <v>1052</v>
      </c>
      <c r="B1056" s="0" t="n">
        <v>2</v>
      </c>
      <c r="C1056" s="19" t="n">
        <v>0</v>
      </c>
      <c r="D1056" s="19" t="n">
        <v>0.2473</v>
      </c>
      <c r="E1056" s="20" t="n">
        <f aca="false">Parametres!$B$5*C1056</f>
        <v>0</v>
      </c>
      <c r="F1056" s="20" t="n">
        <f aca="false">Parametres!$B$6*D1056</f>
        <v>49.46</v>
      </c>
      <c r="G1056" s="20" t="n">
        <f aca="false">E1056+F1056</f>
        <v>49.46</v>
      </c>
      <c r="H1056" s="20" t="n">
        <f aca="false">IF(G1056&lt;Parametres!$B$8*Parametres!$B$7,0,MIN(G1056,Parametres!$B$7))</f>
        <v>49.46</v>
      </c>
      <c r="I1056" s="20" t="n">
        <f aca="false">G1056-H1056</f>
        <v>0</v>
      </c>
      <c r="J1056" s="21" t="n">
        <f aca="false">H1056*1000/Parametres!$B$9</f>
        <v>838.731558419535</v>
      </c>
    </row>
    <row r="1057" customFormat="false" ht="15" hidden="false" customHeight="false" outlineLevel="0" collapsed="false">
      <c r="A1057" s="0" t="n">
        <v>1053</v>
      </c>
      <c r="B1057" s="0" t="n">
        <v>2</v>
      </c>
      <c r="C1057" s="19" t="n">
        <v>0</v>
      </c>
      <c r="D1057" s="19" t="n">
        <v>0.2048</v>
      </c>
      <c r="E1057" s="20" t="n">
        <f aca="false">Parametres!$B$5*C1057</f>
        <v>0</v>
      </c>
      <c r="F1057" s="20" t="n">
        <f aca="false">Parametres!$B$6*D1057</f>
        <v>40.96</v>
      </c>
      <c r="G1057" s="20" t="n">
        <f aca="false">E1057+F1057</f>
        <v>40.96</v>
      </c>
      <c r="H1057" s="20" t="n">
        <f aca="false">IF(G1057&lt;Parametres!$B$8*Parametres!$B$7,0,MIN(G1057,Parametres!$B$7))</f>
        <v>40.96</v>
      </c>
      <c r="I1057" s="20" t="n">
        <f aca="false">G1057-H1057</f>
        <v>0</v>
      </c>
      <c r="J1057" s="21" t="n">
        <f aca="false">H1057*1000/Parametres!$B$9</f>
        <v>694.590469730371</v>
      </c>
    </row>
    <row r="1058" customFormat="false" ht="15" hidden="false" customHeight="false" outlineLevel="0" collapsed="false">
      <c r="A1058" s="0" t="n">
        <v>1054</v>
      </c>
      <c r="B1058" s="0" t="n">
        <v>2</v>
      </c>
      <c r="C1058" s="19" t="n">
        <v>0</v>
      </c>
      <c r="D1058" s="19" t="n">
        <v>0.1875</v>
      </c>
      <c r="E1058" s="20" t="n">
        <f aca="false">Parametres!$B$5*C1058</f>
        <v>0</v>
      </c>
      <c r="F1058" s="20" t="n">
        <f aca="false">Parametres!$B$6*D1058</f>
        <v>37.5</v>
      </c>
      <c r="G1058" s="20" t="n">
        <f aca="false">E1058+F1058</f>
        <v>37.5</v>
      </c>
      <c r="H1058" s="20" t="n">
        <f aca="false">IF(G1058&lt;Parametres!$B$8*Parametres!$B$7,0,MIN(G1058,Parametres!$B$7))</f>
        <v>37.5</v>
      </c>
      <c r="I1058" s="20" t="n">
        <f aca="false">G1058-H1058</f>
        <v>0</v>
      </c>
      <c r="J1058" s="21" t="n">
        <f aca="false">H1058*1000/Parametres!$B$9</f>
        <v>635.916567746312</v>
      </c>
    </row>
    <row r="1059" customFormat="false" ht="15" hidden="false" customHeight="false" outlineLevel="0" collapsed="false">
      <c r="A1059" s="0" t="n">
        <v>1055</v>
      </c>
      <c r="B1059" s="0" t="n">
        <v>2</v>
      </c>
      <c r="C1059" s="19" t="n">
        <v>0</v>
      </c>
      <c r="D1059" s="19" t="n">
        <v>0.3808</v>
      </c>
      <c r="E1059" s="20" t="n">
        <f aca="false">Parametres!$B$5*C1059</f>
        <v>0</v>
      </c>
      <c r="F1059" s="20" t="n">
        <f aca="false">Parametres!$B$6*D1059</f>
        <v>76.16</v>
      </c>
      <c r="G1059" s="20" t="n">
        <f aca="false">E1059+F1059</f>
        <v>76.16</v>
      </c>
      <c r="H1059" s="20" t="n">
        <f aca="false">IF(G1059&lt;Parametres!$B$8*Parametres!$B$7,0,MIN(G1059,Parametres!$B$7))</f>
        <v>76.16</v>
      </c>
      <c r="I1059" s="20" t="n">
        <f aca="false">G1059-H1059</f>
        <v>0</v>
      </c>
      <c r="J1059" s="21" t="n">
        <f aca="false">H1059*1000/Parametres!$B$9</f>
        <v>1291.50415465491</v>
      </c>
    </row>
    <row r="1060" customFormat="false" ht="15" hidden="false" customHeight="false" outlineLevel="0" collapsed="false">
      <c r="A1060" s="0" t="n">
        <v>1056</v>
      </c>
      <c r="B1060" s="0" t="n">
        <v>2</v>
      </c>
      <c r="C1060" s="19" t="n">
        <v>0</v>
      </c>
      <c r="D1060" s="19" t="n">
        <v>0.3362</v>
      </c>
      <c r="E1060" s="20" t="n">
        <f aca="false">Parametres!$B$5*C1060</f>
        <v>0</v>
      </c>
      <c r="F1060" s="20" t="n">
        <f aca="false">Parametres!$B$6*D1060</f>
        <v>67.24</v>
      </c>
      <c r="G1060" s="20" t="n">
        <f aca="false">E1060+F1060</f>
        <v>67.24</v>
      </c>
      <c r="H1060" s="20" t="n">
        <f aca="false">IF(G1060&lt;Parametres!$B$8*Parametres!$B$7,0,MIN(G1060,Parametres!$B$7))</f>
        <v>67.24</v>
      </c>
      <c r="I1060" s="20" t="n">
        <f aca="false">G1060-H1060</f>
        <v>0</v>
      </c>
      <c r="J1060" s="21" t="n">
        <f aca="false">H1060*1000/Parametres!$B$9</f>
        <v>1140.24080040699</v>
      </c>
    </row>
    <row r="1061" customFormat="false" ht="15" hidden="false" customHeight="false" outlineLevel="0" collapsed="false">
      <c r="A1061" s="0" t="n">
        <v>1057</v>
      </c>
      <c r="B1061" s="0" t="n">
        <v>2</v>
      </c>
      <c r="C1061" s="19" t="n">
        <v>0</v>
      </c>
      <c r="D1061" s="19" t="n">
        <v>0.265</v>
      </c>
      <c r="E1061" s="20" t="n">
        <f aca="false">Parametres!$B$5*C1061</f>
        <v>0</v>
      </c>
      <c r="F1061" s="20" t="n">
        <f aca="false">Parametres!$B$6*D1061</f>
        <v>53</v>
      </c>
      <c r="G1061" s="20" t="n">
        <f aca="false">E1061+F1061</f>
        <v>53</v>
      </c>
      <c r="H1061" s="20" t="n">
        <f aca="false">IF(G1061&lt;Parametres!$B$8*Parametres!$B$7,0,MIN(G1061,Parametres!$B$7))</f>
        <v>53</v>
      </c>
      <c r="I1061" s="20" t="n">
        <f aca="false">G1061-H1061</f>
        <v>0</v>
      </c>
      <c r="J1061" s="21" t="n">
        <f aca="false">H1061*1000/Parametres!$B$9</f>
        <v>898.762082414787</v>
      </c>
    </row>
    <row r="1062" customFormat="false" ht="15" hidden="false" customHeight="false" outlineLevel="0" collapsed="false">
      <c r="A1062" s="0" t="n">
        <v>1058</v>
      </c>
      <c r="B1062" s="0" t="n">
        <v>2</v>
      </c>
      <c r="C1062" s="19" t="n">
        <v>0</v>
      </c>
      <c r="D1062" s="19" t="n">
        <v>0.1519</v>
      </c>
      <c r="E1062" s="20" t="n">
        <f aca="false">Parametres!$B$5*C1062</f>
        <v>0</v>
      </c>
      <c r="F1062" s="20" t="n">
        <f aca="false">Parametres!$B$6*D1062</f>
        <v>30.38</v>
      </c>
      <c r="G1062" s="20" t="n">
        <f aca="false">E1062+F1062</f>
        <v>30.38</v>
      </c>
      <c r="H1062" s="20" t="n">
        <f aca="false">IF(G1062&lt;Parametres!$B$8*Parametres!$B$7,0,MIN(G1062,Parametres!$B$7))</f>
        <v>30.38</v>
      </c>
      <c r="I1062" s="20" t="n">
        <f aca="false">G1062-H1062</f>
        <v>0</v>
      </c>
      <c r="J1062" s="21" t="n">
        <f aca="false">H1062*1000/Parametres!$B$9</f>
        <v>515.177208750212</v>
      </c>
    </row>
    <row r="1063" customFormat="false" ht="15" hidden="false" customHeight="false" outlineLevel="0" collapsed="false">
      <c r="A1063" s="0" t="n">
        <v>1059</v>
      </c>
      <c r="B1063" s="0" t="n">
        <v>2</v>
      </c>
      <c r="C1063" s="19" t="n">
        <v>0</v>
      </c>
      <c r="D1063" s="19" t="n">
        <v>0.0779</v>
      </c>
      <c r="E1063" s="20" t="n">
        <f aca="false">Parametres!$B$5*C1063</f>
        <v>0</v>
      </c>
      <c r="F1063" s="20" t="n">
        <f aca="false">Parametres!$B$6*D1063</f>
        <v>15.58</v>
      </c>
      <c r="G1063" s="20" t="n">
        <f aca="false">E1063+F1063</f>
        <v>15.58</v>
      </c>
      <c r="H1063" s="20" t="n">
        <f aca="false">IF(G1063&lt;Parametres!$B$8*Parametres!$B$7,0,MIN(G1063,Parametres!$B$7))</f>
        <v>0</v>
      </c>
      <c r="I1063" s="20" t="n">
        <f aca="false">G1063-H1063</f>
        <v>15.58</v>
      </c>
      <c r="J1063" s="21" t="n">
        <f aca="false">H1063*1000/Parametres!$B$9</f>
        <v>0</v>
      </c>
    </row>
    <row r="1064" customFormat="false" ht="15" hidden="false" customHeight="false" outlineLevel="0" collapsed="false">
      <c r="A1064" s="0" t="n">
        <v>1060</v>
      </c>
      <c r="B1064" s="0" t="n">
        <v>2</v>
      </c>
      <c r="C1064" s="19" t="n">
        <v>0</v>
      </c>
      <c r="D1064" s="19" t="n">
        <v>0.0245</v>
      </c>
      <c r="E1064" s="20" t="n">
        <f aca="false">Parametres!$B$5*C1064</f>
        <v>0</v>
      </c>
      <c r="F1064" s="20" t="n">
        <f aca="false">Parametres!$B$6*D1064</f>
        <v>4.9</v>
      </c>
      <c r="G1064" s="20" t="n">
        <f aca="false">E1064+F1064</f>
        <v>4.9</v>
      </c>
      <c r="H1064" s="20" t="n">
        <f aca="false">IF(G1064&lt;Parametres!$B$8*Parametres!$B$7,0,MIN(G1064,Parametres!$B$7))</f>
        <v>0</v>
      </c>
      <c r="I1064" s="20" t="n">
        <f aca="false">G1064-H1064</f>
        <v>4.9</v>
      </c>
      <c r="J1064" s="21" t="n">
        <f aca="false">H1064*1000/Parametres!$B$9</f>
        <v>0</v>
      </c>
    </row>
    <row r="1065" customFormat="false" ht="15" hidden="false" customHeight="false" outlineLevel="0" collapsed="false">
      <c r="A1065" s="0" t="n">
        <v>1061</v>
      </c>
      <c r="B1065" s="0" t="n">
        <v>2</v>
      </c>
      <c r="C1065" s="19" t="n">
        <v>0</v>
      </c>
      <c r="D1065" s="19" t="n">
        <v>0.0277</v>
      </c>
      <c r="E1065" s="20" t="n">
        <f aca="false">Parametres!$B$5*C1065</f>
        <v>0</v>
      </c>
      <c r="F1065" s="20" t="n">
        <f aca="false">Parametres!$B$6*D1065</f>
        <v>5.54</v>
      </c>
      <c r="G1065" s="20" t="n">
        <f aca="false">E1065+F1065</f>
        <v>5.54</v>
      </c>
      <c r="H1065" s="20" t="n">
        <f aca="false">IF(G1065&lt;Parametres!$B$8*Parametres!$B$7,0,MIN(G1065,Parametres!$B$7))</f>
        <v>0</v>
      </c>
      <c r="I1065" s="20" t="n">
        <f aca="false">G1065-H1065</f>
        <v>5.54</v>
      </c>
      <c r="J1065" s="21" t="n">
        <f aca="false">H1065*1000/Parametres!$B$9</f>
        <v>0</v>
      </c>
    </row>
    <row r="1066" customFormat="false" ht="15" hidden="false" customHeight="false" outlineLevel="0" collapsed="false">
      <c r="A1066" s="0" t="n">
        <v>1062</v>
      </c>
      <c r="B1066" s="0" t="n">
        <v>2</v>
      </c>
      <c r="C1066" s="19" t="n">
        <v>0</v>
      </c>
      <c r="D1066" s="19" t="n">
        <v>0.0291</v>
      </c>
      <c r="E1066" s="20" t="n">
        <f aca="false">Parametres!$B$5*C1066</f>
        <v>0</v>
      </c>
      <c r="F1066" s="20" t="n">
        <f aca="false">Parametres!$B$6*D1066</f>
        <v>5.82</v>
      </c>
      <c r="G1066" s="20" t="n">
        <f aca="false">E1066+F1066</f>
        <v>5.82</v>
      </c>
      <c r="H1066" s="20" t="n">
        <f aca="false">IF(G1066&lt;Parametres!$B$8*Parametres!$B$7,0,MIN(G1066,Parametres!$B$7))</f>
        <v>0</v>
      </c>
      <c r="I1066" s="20" t="n">
        <f aca="false">G1066-H1066</f>
        <v>5.82</v>
      </c>
      <c r="J1066" s="21" t="n">
        <f aca="false">H1066*1000/Parametres!$B$9</f>
        <v>0</v>
      </c>
    </row>
    <row r="1067" customFormat="false" ht="15" hidden="false" customHeight="false" outlineLevel="0" collapsed="false">
      <c r="A1067" s="0" t="n">
        <v>1063</v>
      </c>
      <c r="B1067" s="0" t="n">
        <v>2</v>
      </c>
      <c r="C1067" s="19" t="n">
        <v>0</v>
      </c>
      <c r="D1067" s="19" t="n">
        <v>0.0157</v>
      </c>
      <c r="E1067" s="20" t="n">
        <f aca="false">Parametres!$B$5*C1067</f>
        <v>0</v>
      </c>
      <c r="F1067" s="20" t="n">
        <f aca="false">Parametres!$B$6*D1067</f>
        <v>3.14</v>
      </c>
      <c r="G1067" s="20" t="n">
        <f aca="false">E1067+F1067</f>
        <v>3.14</v>
      </c>
      <c r="H1067" s="20" t="n">
        <f aca="false">IF(G1067&lt;Parametres!$B$8*Parametres!$B$7,0,MIN(G1067,Parametres!$B$7))</f>
        <v>0</v>
      </c>
      <c r="I1067" s="20" t="n">
        <f aca="false">G1067-H1067</f>
        <v>3.14</v>
      </c>
      <c r="J1067" s="21" t="n">
        <f aca="false">H1067*1000/Parametres!$B$9</f>
        <v>0</v>
      </c>
    </row>
    <row r="1068" customFormat="false" ht="15" hidden="false" customHeight="false" outlineLevel="0" collapsed="false">
      <c r="A1068" s="0" t="n">
        <v>1064</v>
      </c>
      <c r="B1068" s="0" t="n">
        <v>2</v>
      </c>
      <c r="C1068" s="19" t="n">
        <v>0.213</v>
      </c>
      <c r="D1068" s="19" t="n">
        <v>0.0051</v>
      </c>
      <c r="E1068" s="20" t="n">
        <f aca="false">Parametres!$B$5*C1068</f>
        <v>63.9</v>
      </c>
      <c r="F1068" s="20" t="n">
        <f aca="false">Parametres!$B$6*D1068</f>
        <v>1.02</v>
      </c>
      <c r="G1068" s="20" t="n">
        <f aca="false">E1068+F1068</f>
        <v>64.92</v>
      </c>
      <c r="H1068" s="20" t="n">
        <f aca="false">IF(G1068&lt;Parametres!$B$8*Parametres!$B$7,0,MIN(G1068,Parametres!$B$7))</f>
        <v>64.92</v>
      </c>
      <c r="I1068" s="20" t="n">
        <f aca="false">G1068-H1068</f>
        <v>0</v>
      </c>
      <c r="J1068" s="21" t="n">
        <f aca="false">H1068*1000/Parametres!$B$9</f>
        <v>1100.89876208241</v>
      </c>
    </row>
    <row r="1069" customFormat="false" ht="15" hidden="false" customHeight="false" outlineLevel="0" collapsed="false">
      <c r="A1069" s="0" t="n">
        <v>1065</v>
      </c>
      <c r="B1069" s="0" t="n">
        <v>2</v>
      </c>
      <c r="C1069" s="19" t="n">
        <v>0.4557</v>
      </c>
      <c r="D1069" s="19" t="n">
        <v>0.0048</v>
      </c>
      <c r="E1069" s="20" t="n">
        <f aca="false">Parametres!$B$5*C1069</f>
        <v>136.71</v>
      </c>
      <c r="F1069" s="20" t="n">
        <f aca="false">Parametres!$B$6*D1069</f>
        <v>0.96</v>
      </c>
      <c r="G1069" s="20" t="n">
        <f aca="false">E1069+F1069</f>
        <v>137.67</v>
      </c>
      <c r="H1069" s="20" t="n">
        <f aca="false">IF(G1069&lt;Parametres!$B$8*Parametres!$B$7,0,MIN(G1069,Parametres!$B$7))</f>
        <v>137.67</v>
      </c>
      <c r="I1069" s="20" t="n">
        <f aca="false">G1069-H1069</f>
        <v>0</v>
      </c>
      <c r="J1069" s="21" t="n">
        <f aca="false">H1069*1000/Parametres!$B$9</f>
        <v>2334.57690351026</v>
      </c>
    </row>
    <row r="1070" customFormat="false" ht="15" hidden="false" customHeight="false" outlineLevel="0" collapsed="false">
      <c r="A1070" s="0" t="n">
        <v>1066</v>
      </c>
      <c r="B1070" s="0" t="n">
        <v>2</v>
      </c>
      <c r="C1070" s="19" t="n">
        <v>0.6136</v>
      </c>
      <c r="D1070" s="19" t="n">
        <v>0.0037</v>
      </c>
      <c r="E1070" s="20" t="n">
        <f aca="false">Parametres!$B$5*C1070</f>
        <v>184.08</v>
      </c>
      <c r="F1070" s="20" t="n">
        <f aca="false">Parametres!$B$6*D1070</f>
        <v>0.74</v>
      </c>
      <c r="G1070" s="20" t="n">
        <f aca="false">E1070+F1070</f>
        <v>184.82</v>
      </c>
      <c r="H1070" s="20" t="n">
        <f aca="false">IF(G1070&lt;Parametres!$B$8*Parametres!$B$7,0,MIN(G1070,Parametres!$B$7))</f>
        <v>184.82</v>
      </c>
      <c r="I1070" s="20" t="n">
        <f aca="false">G1070-H1070</f>
        <v>0</v>
      </c>
      <c r="J1070" s="21" t="n">
        <f aca="false">H1070*1000/Parametres!$B$9</f>
        <v>3134.13600135662</v>
      </c>
    </row>
    <row r="1071" customFormat="false" ht="15" hidden="false" customHeight="false" outlineLevel="0" collapsed="false">
      <c r="A1071" s="0" t="n">
        <v>1067</v>
      </c>
      <c r="B1071" s="0" t="n">
        <v>2</v>
      </c>
      <c r="C1071" s="19" t="n">
        <v>0.7587</v>
      </c>
      <c r="D1071" s="19" t="n">
        <v>0.0008</v>
      </c>
      <c r="E1071" s="20" t="n">
        <f aca="false">Parametres!$B$5*C1071</f>
        <v>227.61</v>
      </c>
      <c r="F1071" s="20" t="n">
        <f aca="false">Parametres!$B$6*D1071</f>
        <v>0.16</v>
      </c>
      <c r="G1071" s="20" t="n">
        <f aca="false">E1071+F1071</f>
        <v>227.77</v>
      </c>
      <c r="H1071" s="20" t="n">
        <f aca="false">IF(G1071&lt;Parametres!$B$8*Parametres!$B$7,0,MIN(G1071,Parametres!$B$7))</f>
        <v>227.77</v>
      </c>
      <c r="I1071" s="20" t="n">
        <f aca="false">G1071-H1071</f>
        <v>0</v>
      </c>
      <c r="J1071" s="21" t="n">
        <f aca="false">H1071*1000/Parametres!$B$9</f>
        <v>3862.4724436154</v>
      </c>
    </row>
    <row r="1072" customFormat="false" ht="15" hidden="false" customHeight="false" outlineLevel="0" collapsed="false">
      <c r="A1072" s="0" t="n">
        <v>1068</v>
      </c>
      <c r="B1072" s="0" t="n">
        <v>2</v>
      </c>
      <c r="C1072" s="19" t="n">
        <v>0.8604</v>
      </c>
      <c r="D1072" s="19" t="n">
        <v>0.0021</v>
      </c>
      <c r="E1072" s="20" t="n">
        <f aca="false">Parametres!$B$5*C1072</f>
        <v>258.12</v>
      </c>
      <c r="F1072" s="20" t="n">
        <f aca="false">Parametres!$B$6*D1072</f>
        <v>0.42</v>
      </c>
      <c r="G1072" s="20" t="n">
        <f aca="false">E1072+F1072</f>
        <v>258.54</v>
      </c>
      <c r="H1072" s="20" t="n">
        <f aca="false">IF(G1072&lt;Parametres!$B$8*Parametres!$B$7,0,MIN(G1072,Parametres!$B$7))</f>
        <v>250</v>
      </c>
      <c r="I1072" s="20" t="n">
        <f aca="false">G1072-H1072</f>
        <v>8.54000000000002</v>
      </c>
      <c r="J1072" s="21" t="n">
        <f aca="false">H1072*1000/Parametres!$B$9</f>
        <v>4239.44378497541</v>
      </c>
    </row>
    <row r="1073" customFormat="false" ht="15" hidden="false" customHeight="false" outlineLevel="0" collapsed="false">
      <c r="A1073" s="0" t="n">
        <v>1069</v>
      </c>
      <c r="B1073" s="0" t="n">
        <v>2</v>
      </c>
      <c r="C1073" s="19" t="n">
        <v>0.8289</v>
      </c>
      <c r="D1073" s="19" t="n">
        <v>0.0036</v>
      </c>
      <c r="E1073" s="20" t="n">
        <f aca="false">Parametres!$B$5*C1073</f>
        <v>248.67</v>
      </c>
      <c r="F1073" s="20" t="n">
        <f aca="false">Parametres!$B$6*D1073</f>
        <v>0.72</v>
      </c>
      <c r="G1073" s="20" t="n">
        <f aca="false">E1073+F1073</f>
        <v>249.39</v>
      </c>
      <c r="H1073" s="20" t="n">
        <f aca="false">IF(G1073&lt;Parametres!$B$8*Parametres!$B$7,0,MIN(G1073,Parametres!$B$7))</f>
        <v>249.39</v>
      </c>
      <c r="I1073" s="20" t="n">
        <f aca="false">G1073-H1073</f>
        <v>0</v>
      </c>
      <c r="J1073" s="21" t="n">
        <f aca="false">H1073*1000/Parametres!$B$9</f>
        <v>4229.09954214007</v>
      </c>
    </row>
    <row r="1074" customFormat="false" ht="15" hidden="false" customHeight="false" outlineLevel="0" collapsed="false">
      <c r="A1074" s="0" t="n">
        <v>1070</v>
      </c>
      <c r="B1074" s="0" t="n">
        <v>2</v>
      </c>
      <c r="C1074" s="19" t="n">
        <v>0.8149</v>
      </c>
      <c r="D1074" s="19" t="n">
        <v>0.0045</v>
      </c>
      <c r="E1074" s="20" t="n">
        <f aca="false">Parametres!$B$5*C1074</f>
        <v>244.47</v>
      </c>
      <c r="F1074" s="20" t="n">
        <f aca="false">Parametres!$B$6*D1074</f>
        <v>0.9</v>
      </c>
      <c r="G1074" s="20" t="n">
        <f aca="false">E1074+F1074</f>
        <v>245.37</v>
      </c>
      <c r="H1074" s="20" t="n">
        <f aca="false">IF(G1074&lt;Parametres!$B$8*Parametres!$B$7,0,MIN(G1074,Parametres!$B$7))</f>
        <v>245.37</v>
      </c>
      <c r="I1074" s="20" t="n">
        <f aca="false">G1074-H1074</f>
        <v>0</v>
      </c>
      <c r="J1074" s="21" t="n">
        <f aca="false">H1074*1000/Parametres!$B$9</f>
        <v>4160.92928607767</v>
      </c>
    </row>
    <row r="1075" customFormat="false" ht="15" hidden="false" customHeight="false" outlineLevel="0" collapsed="false">
      <c r="A1075" s="0" t="n">
        <v>1071</v>
      </c>
      <c r="B1075" s="0" t="n">
        <v>2</v>
      </c>
      <c r="C1075" s="19" t="n">
        <v>0.6102</v>
      </c>
      <c r="D1075" s="19" t="n">
        <v>0.0122</v>
      </c>
      <c r="E1075" s="20" t="n">
        <f aca="false">Parametres!$B$5*C1075</f>
        <v>183.06</v>
      </c>
      <c r="F1075" s="20" t="n">
        <f aca="false">Parametres!$B$6*D1075</f>
        <v>2.44</v>
      </c>
      <c r="G1075" s="20" t="n">
        <f aca="false">E1075+F1075</f>
        <v>185.5</v>
      </c>
      <c r="H1075" s="20" t="n">
        <f aca="false">IF(G1075&lt;Parametres!$B$8*Parametres!$B$7,0,MIN(G1075,Parametres!$B$7))</f>
        <v>185.5</v>
      </c>
      <c r="I1075" s="20" t="n">
        <f aca="false">G1075-H1075</f>
        <v>0</v>
      </c>
      <c r="J1075" s="21" t="n">
        <f aca="false">H1075*1000/Parametres!$B$9</f>
        <v>3145.66728845176</v>
      </c>
    </row>
    <row r="1076" customFormat="false" ht="15" hidden="false" customHeight="false" outlineLevel="0" collapsed="false">
      <c r="A1076" s="0" t="n">
        <v>1072</v>
      </c>
      <c r="B1076" s="0" t="n">
        <v>2</v>
      </c>
      <c r="C1076" s="19" t="n">
        <v>0.4436</v>
      </c>
      <c r="D1076" s="19" t="n">
        <v>0.0073</v>
      </c>
      <c r="E1076" s="20" t="n">
        <f aca="false">Parametres!$B$5*C1076</f>
        <v>133.08</v>
      </c>
      <c r="F1076" s="20" t="n">
        <f aca="false">Parametres!$B$6*D1076</f>
        <v>1.46</v>
      </c>
      <c r="G1076" s="20" t="n">
        <f aca="false">E1076+F1076</f>
        <v>134.54</v>
      </c>
      <c r="H1076" s="20" t="n">
        <f aca="false">IF(G1076&lt;Parametres!$B$8*Parametres!$B$7,0,MIN(G1076,Parametres!$B$7))</f>
        <v>134.54</v>
      </c>
      <c r="I1076" s="20" t="n">
        <f aca="false">G1076-H1076</f>
        <v>0</v>
      </c>
      <c r="J1076" s="21" t="n">
        <f aca="false">H1076*1000/Parametres!$B$9</f>
        <v>2281.49906732237</v>
      </c>
    </row>
    <row r="1077" customFormat="false" ht="15" hidden="false" customHeight="false" outlineLevel="0" collapsed="false">
      <c r="A1077" s="0" t="n">
        <v>1073</v>
      </c>
      <c r="B1077" s="0" t="n">
        <v>2</v>
      </c>
      <c r="C1077" s="19" t="n">
        <v>0.1905</v>
      </c>
      <c r="D1077" s="19" t="n">
        <v>0.0259</v>
      </c>
      <c r="E1077" s="20" t="n">
        <f aca="false">Parametres!$B$5*C1077</f>
        <v>57.15</v>
      </c>
      <c r="F1077" s="20" t="n">
        <f aca="false">Parametres!$B$6*D1077</f>
        <v>5.18</v>
      </c>
      <c r="G1077" s="20" t="n">
        <f aca="false">E1077+F1077</f>
        <v>62.33</v>
      </c>
      <c r="H1077" s="20" t="n">
        <f aca="false">IF(G1077&lt;Parametres!$B$8*Parametres!$B$7,0,MIN(G1077,Parametres!$B$7))</f>
        <v>62.33</v>
      </c>
      <c r="I1077" s="20" t="n">
        <f aca="false">G1077-H1077</f>
        <v>0</v>
      </c>
      <c r="J1077" s="21" t="n">
        <f aca="false">H1077*1000/Parametres!$B$9</f>
        <v>1056.97812447007</v>
      </c>
    </row>
    <row r="1078" customFormat="false" ht="15" hidden="false" customHeight="false" outlineLevel="0" collapsed="false">
      <c r="A1078" s="0" t="n">
        <v>1074</v>
      </c>
      <c r="B1078" s="0" t="n">
        <v>2</v>
      </c>
      <c r="C1078" s="19" t="n">
        <v>0</v>
      </c>
      <c r="D1078" s="19" t="n">
        <v>0.0112</v>
      </c>
      <c r="E1078" s="20" t="n">
        <f aca="false">Parametres!$B$5*C1078</f>
        <v>0</v>
      </c>
      <c r="F1078" s="20" t="n">
        <f aca="false">Parametres!$B$6*D1078</f>
        <v>2.24</v>
      </c>
      <c r="G1078" s="20" t="n">
        <f aca="false">E1078+F1078</f>
        <v>2.24</v>
      </c>
      <c r="H1078" s="20" t="n">
        <f aca="false">IF(G1078&lt;Parametres!$B$8*Parametres!$B$7,0,MIN(G1078,Parametres!$B$7))</f>
        <v>0</v>
      </c>
      <c r="I1078" s="20" t="n">
        <f aca="false">G1078-H1078</f>
        <v>2.24</v>
      </c>
      <c r="J1078" s="21" t="n">
        <f aca="false">H1078*1000/Parametres!$B$9</f>
        <v>0</v>
      </c>
    </row>
    <row r="1079" customFormat="false" ht="15" hidden="false" customHeight="false" outlineLevel="0" collapsed="false">
      <c r="A1079" s="0" t="n">
        <v>1075</v>
      </c>
      <c r="B1079" s="0" t="n">
        <v>2</v>
      </c>
      <c r="C1079" s="19" t="n">
        <v>0</v>
      </c>
      <c r="D1079" s="19" t="n">
        <v>0.0169</v>
      </c>
      <c r="E1079" s="20" t="n">
        <f aca="false">Parametres!$B$5*C1079</f>
        <v>0</v>
      </c>
      <c r="F1079" s="20" t="n">
        <f aca="false">Parametres!$B$6*D1079</f>
        <v>3.38</v>
      </c>
      <c r="G1079" s="20" t="n">
        <f aca="false">E1079+F1079</f>
        <v>3.38</v>
      </c>
      <c r="H1079" s="20" t="n">
        <f aca="false">IF(G1079&lt;Parametres!$B$8*Parametres!$B$7,0,MIN(G1079,Parametres!$B$7))</f>
        <v>0</v>
      </c>
      <c r="I1079" s="20" t="n">
        <f aca="false">G1079-H1079</f>
        <v>3.38</v>
      </c>
      <c r="J1079" s="21" t="n">
        <f aca="false">H1079*1000/Parametres!$B$9</f>
        <v>0</v>
      </c>
    </row>
    <row r="1080" customFormat="false" ht="15" hidden="false" customHeight="false" outlineLevel="0" collapsed="false">
      <c r="A1080" s="0" t="n">
        <v>1076</v>
      </c>
      <c r="B1080" s="0" t="n">
        <v>2</v>
      </c>
      <c r="C1080" s="19" t="n">
        <v>0</v>
      </c>
      <c r="D1080" s="19" t="n">
        <v>0.0254</v>
      </c>
      <c r="E1080" s="20" t="n">
        <f aca="false">Parametres!$B$5*C1080</f>
        <v>0</v>
      </c>
      <c r="F1080" s="20" t="n">
        <f aca="false">Parametres!$B$6*D1080</f>
        <v>5.08</v>
      </c>
      <c r="G1080" s="20" t="n">
        <f aca="false">E1080+F1080</f>
        <v>5.08</v>
      </c>
      <c r="H1080" s="20" t="n">
        <f aca="false">IF(G1080&lt;Parametres!$B$8*Parametres!$B$7,0,MIN(G1080,Parametres!$B$7))</f>
        <v>0</v>
      </c>
      <c r="I1080" s="20" t="n">
        <f aca="false">G1080-H1080</f>
        <v>5.08</v>
      </c>
      <c r="J1080" s="21" t="n">
        <f aca="false">H1080*1000/Parametres!$B$9</f>
        <v>0</v>
      </c>
    </row>
    <row r="1081" customFormat="false" ht="15" hidden="false" customHeight="false" outlineLevel="0" collapsed="false">
      <c r="A1081" s="0" t="n">
        <v>1077</v>
      </c>
      <c r="B1081" s="0" t="n">
        <v>2</v>
      </c>
      <c r="C1081" s="19" t="n">
        <v>0</v>
      </c>
      <c r="D1081" s="19" t="n">
        <v>0.0183</v>
      </c>
      <c r="E1081" s="20" t="n">
        <f aca="false">Parametres!$B$5*C1081</f>
        <v>0</v>
      </c>
      <c r="F1081" s="20" t="n">
        <f aca="false">Parametres!$B$6*D1081</f>
        <v>3.66</v>
      </c>
      <c r="G1081" s="20" t="n">
        <f aca="false">E1081+F1081</f>
        <v>3.66</v>
      </c>
      <c r="H1081" s="20" t="n">
        <f aca="false">IF(G1081&lt;Parametres!$B$8*Parametres!$B$7,0,MIN(G1081,Parametres!$B$7))</f>
        <v>0</v>
      </c>
      <c r="I1081" s="20" t="n">
        <f aca="false">G1081-H1081</f>
        <v>3.66</v>
      </c>
      <c r="J1081" s="21" t="n">
        <f aca="false">H1081*1000/Parametres!$B$9</f>
        <v>0</v>
      </c>
    </row>
    <row r="1082" customFormat="false" ht="15" hidden="false" customHeight="false" outlineLevel="0" collapsed="false">
      <c r="A1082" s="0" t="n">
        <v>1078</v>
      </c>
      <c r="B1082" s="0" t="n">
        <v>2</v>
      </c>
      <c r="C1082" s="19" t="n">
        <v>0</v>
      </c>
      <c r="D1082" s="19" t="n">
        <v>0.0204</v>
      </c>
      <c r="E1082" s="20" t="n">
        <f aca="false">Parametres!$B$5*C1082</f>
        <v>0</v>
      </c>
      <c r="F1082" s="20" t="n">
        <f aca="false">Parametres!$B$6*D1082</f>
        <v>4.08</v>
      </c>
      <c r="G1082" s="20" t="n">
        <f aca="false">E1082+F1082</f>
        <v>4.08</v>
      </c>
      <c r="H1082" s="20" t="n">
        <f aca="false">IF(G1082&lt;Parametres!$B$8*Parametres!$B$7,0,MIN(G1082,Parametres!$B$7))</f>
        <v>0</v>
      </c>
      <c r="I1082" s="20" t="n">
        <f aca="false">G1082-H1082</f>
        <v>4.08</v>
      </c>
      <c r="J1082" s="21" t="n">
        <f aca="false">H1082*1000/Parametres!$B$9</f>
        <v>0</v>
      </c>
    </row>
    <row r="1083" customFormat="false" ht="15" hidden="false" customHeight="false" outlineLevel="0" collapsed="false">
      <c r="A1083" s="0" t="n">
        <v>1079</v>
      </c>
      <c r="B1083" s="0" t="n">
        <v>2</v>
      </c>
      <c r="C1083" s="19" t="n">
        <v>0</v>
      </c>
      <c r="D1083" s="19" t="n">
        <v>0.0052</v>
      </c>
      <c r="E1083" s="20" t="n">
        <f aca="false">Parametres!$B$5*C1083</f>
        <v>0</v>
      </c>
      <c r="F1083" s="20" t="n">
        <f aca="false">Parametres!$B$6*D1083</f>
        <v>1.04</v>
      </c>
      <c r="G1083" s="20" t="n">
        <f aca="false">E1083+F1083</f>
        <v>1.04</v>
      </c>
      <c r="H1083" s="20" t="n">
        <f aca="false">IF(G1083&lt;Parametres!$B$8*Parametres!$B$7,0,MIN(G1083,Parametres!$B$7))</f>
        <v>0</v>
      </c>
      <c r="I1083" s="20" t="n">
        <f aca="false">G1083-H1083</f>
        <v>1.04</v>
      </c>
      <c r="J1083" s="21" t="n">
        <f aca="false">H1083*1000/Parametres!$B$9</f>
        <v>0</v>
      </c>
    </row>
    <row r="1084" customFormat="false" ht="15" hidden="false" customHeight="false" outlineLevel="0" collapsed="false">
      <c r="A1084" s="0" t="n">
        <v>1080</v>
      </c>
      <c r="B1084" s="0" t="n">
        <v>2</v>
      </c>
      <c r="C1084" s="19" t="n">
        <v>0</v>
      </c>
      <c r="D1084" s="19" t="n">
        <v>0.0004</v>
      </c>
      <c r="E1084" s="20" t="n">
        <f aca="false">Parametres!$B$5*C1084</f>
        <v>0</v>
      </c>
      <c r="F1084" s="20" t="n">
        <f aca="false">Parametres!$B$6*D1084</f>
        <v>0.08</v>
      </c>
      <c r="G1084" s="20" t="n">
        <f aca="false">E1084+F1084</f>
        <v>0.08</v>
      </c>
      <c r="H1084" s="20" t="n">
        <f aca="false">IF(G1084&lt;Parametres!$B$8*Parametres!$B$7,0,MIN(G1084,Parametres!$B$7))</f>
        <v>0</v>
      </c>
      <c r="I1084" s="20" t="n">
        <f aca="false">G1084-H1084</f>
        <v>0.08</v>
      </c>
      <c r="J1084" s="21" t="n">
        <f aca="false">H1084*1000/Parametres!$B$9</f>
        <v>0</v>
      </c>
    </row>
    <row r="1085" customFormat="false" ht="15" hidden="false" customHeight="false" outlineLevel="0" collapsed="false">
      <c r="A1085" s="0" t="n">
        <v>1081</v>
      </c>
      <c r="B1085" s="0" t="n">
        <v>2</v>
      </c>
      <c r="C1085" s="19" t="n">
        <v>0</v>
      </c>
      <c r="D1085" s="19" t="n">
        <v>0.0002</v>
      </c>
      <c r="E1085" s="20" t="n">
        <f aca="false">Parametres!$B$5*C1085</f>
        <v>0</v>
      </c>
      <c r="F1085" s="20" t="n">
        <f aca="false">Parametres!$B$6*D1085</f>
        <v>0.04</v>
      </c>
      <c r="G1085" s="20" t="n">
        <f aca="false">E1085+F1085</f>
        <v>0.04</v>
      </c>
      <c r="H1085" s="20" t="n">
        <f aca="false">IF(G1085&lt;Parametres!$B$8*Parametres!$B$7,0,MIN(G1085,Parametres!$B$7))</f>
        <v>0</v>
      </c>
      <c r="I1085" s="20" t="n">
        <f aca="false">G1085-H1085</f>
        <v>0.04</v>
      </c>
      <c r="J1085" s="21" t="n">
        <f aca="false">H1085*1000/Parametres!$B$9</f>
        <v>0</v>
      </c>
    </row>
    <row r="1086" customFormat="false" ht="15" hidden="false" customHeight="false" outlineLevel="0" collapsed="false">
      <c r="A1086" s="0" t="n">
        <v>1082</v>
      </c>
      <c r="B1086" s="0" t="n">
        <v>2</v>
      </c>
      <c r="C1086" s="19" t="n">
        <v>0</v>
      </c>
      <c r="D1086" s="19" t="n">
        <v>0</v>
      </c>
      <c r="E1086" s="20" t="n">
        <f aca="false">Parametres!$B$5*C1086</f>
        <v>0</v>
      </c>
      <c r="F1086" s="20" t="n">
        <f aca="false">Parametres!$B$6*D1086</f>
        <v>0</v>
      </c>
      <c r="G1086" s="20" t="n">
        <f aca="false">E1086+F1086</f>
        <v>0</v>
      </c>
      <c r="H1086" s="20" t="n">
        <f aca="false">IF(G1086&lt;Parametres!$B$8*Parametres!$B$7,0,MIN(G1086,Parametres!$B$7))</f>
        <v>0</v>
      </c>
      <c r="I1086" s="20" t="n">
        <f aca="false">G1086-H1086</f>
        <v>0</v>
      </c>
      <c r="J1086" s="21" t="n">
        <f aca="false">H1086*1000/Parametres!$B$9</f>
        <v>0</v>
      </c>
    </row>
    <row r="1087" customFormat="false" ht="15" hidden="false" customHeight="false" outlineLevel="0" collapsed="false">
      <c r="A1087" s="0" t="n">
        <v>1083</v>
      </c>
      <c r="B1087" s="0" t="n">
        <v>2</v>
      </c>
      <c r="C1087" s="19" t="n">
        <v>0</v>
      </c>
      <c r="D1087" s="19" t="n">
        <v>0</v>
      </c>
      <c r="E1087" s="20" t="n">
        <f aca="false">Parametres!$B$5*C1087</f>
        <v>0</v>
      </c>
      <c r="F1087" s="20" t="n">
        <f aca="false">Parametres!$B$6*D1087</f>
        <v>0</v>
      </c>
      <c r="G1087" s="20" t="n">
        <f aca="false">E1087+F1087</f>
        <v>0</v>
      </c>
      <c r="H1087" s="20" t="n">
        <f aca="false">IF(G1087&lt;Parametres!$B$8*Parametres!$B$7,0,MIN(G1087,Parametres!$B$7))</f>
        <v>0</v>
      </c>
      <c r="I1087" s="20" t="n">
        <f aca="false">G1087-H1087</f>
        <v>0</v>
      </c>
      <c r="J1087" s="21" t="n">
        <f aca="false">H1087*1000/Parametres!$B$9</f>
        <v>0</v>
      </c>
    </row>
    <row r="1088" customFormat="false" ht="15" hidden="false" customHeight="false" outlineLevel="0" collapsed="false">
      <c r="A1088" s="0" t="n">
        <v>1084</v>
      </c>
      <c r="B1088" s="0" t="n">
        <v>2</v>
      </c>
      <c r="C1088" s="19" t="n">
        <v>0</v>
      </c>
      <c r="D1088" s="19" t="n">
        <v>0</v>
      </c>
      <c r="E1088" s="20" t="n">
        <f aca="false">Parametres!$B$5*C1088</f>
        <v>0</v>
      </c>
      <c r="F1088" s="20" t="n">
        <f aca="false">Parametres!$B$6*D1088</f>
        <v>0</v>
      </c>
      <c r="G1088" s="20" t="n">
        <f aca="false">E1088+F1088</f>
        <v>0</v>
      </c>
      <c r="H1088" s="20" t="n">
        <f aca="false">IF(G1088&lt;Parametres!$B$8*Parametres!$B$7,0,MIN(G1088,Parametres!$B$7))</f>
        <v>0</v>
      </c>
      <c r="I1088" s="20" t="n">
        <f aca="false">G1088-H1088</f>
        <v>0</v>
      </c>
      <c r="J1088" s="21" t="n">
        <f aca="false">H1088*1000/Parametres!$B$9</f>
        <v>0</v>
      </c>
    </row>
    <row r="1089" customFormat="false" ht="15" hidden="false" customHeight="false" outlineLevel="0" collapsed="false">
      <c r="A1089" s="0" t="n">
        <v>1085</v>
      </c>
      <c r="B1089" s="0" t="n">
        <v>2</v>
      </c>
      <c r="C1089" s="19" t="n">
        <v>0</v>
      </c>
      <c r="D1089" s="19" t="n">
        <v>0.0003</v>
      </c>
      <c r="E1089" s="20" t="n">
        <f aca="false">Parametres!$B$5*C1089</f>
        <v>0</v>
      </c>
      <c r="F1089" s="20" t="n">
        <f aca="false">Parametres!$B$6*D1089</f>
        <v>0.06</v>
      </c>
      <c r="G1089" s="20" t="n">
        <f aca="false">E1089+F1089</f>
        <v>0.06</v>
      </c>
      <c r="H1089" s="20" t="n">
        <f aca="false">IF(G1089&lt;Parametres!$B$8*Parametres!$B$7,0,MIN(G1089,Parametres!$B$7))</f>
        <v>0</v>
      </c>
      <c r="I1089" s="20" t="n">
        <f aca="false">G1089-H1089</f>
        <v>0.06</v>
      </c>
      <c r="J1089" s="21" t="n">
        <f aca="false">H1089*1000/Parametres!$B$9</f>
        <v>0</v>
      </c>
    </row>
    <row r="1090" customFormat="false" ht="15" hidden="false" customHeight="false" outlineLevel="0" collapsed="false">
      <c r="A1090" s="0" t="n">
        <v>1086</v>
      </c>
      <c r="B1090" s="0" t="n">
        <v>2</v>
      </c>
      <c r="C1090" s="19" t="n">
        <v>0</v>
      </c>
      <c r="D1090" s="19" t="n">
        <v>0.0008</v>
      </c>
      <c r="E1090" s="20" t="n">
        <f aca="false">Parametres!$B$5*C1090</f>
        <v>0</v>
      </c>
      <c r="F1090" s="20" t="n">
        <f aca="false">Parametres!$B$6*D1090</f>
        <v>0.16</v>
      </c>
      <c r="G1090" s="20" t="n">
        <f aca="false">E1090+F1090</f>
        <v>0.16</v>
      </c>
      <c r="H1090" s="20" t="n">
        <f aca="false">IF(G1090&lt;Parametres!$B$8*Parametres!$B$7,0,MIN(G1090,Parametres!$B$7))</f>
        <v>0</v>
      </c>
      <c r="I1090" s="20" t="n">
        <f aca="false">G1090-H1090</f>
        <v>0.16</v>
      </c>
      <c r="J1090" s="21" t="n">
        <f aca="false">H1090*1000/Parametres!$B$9</f>
        <v>0</v>
      </c>
    </row>
    <row r="1091" customFormat="false" ht="15" hidden="false" customHeight="false" outlineLevel="0" collapsed="false">
      <c r="A1091" s="0" t="n">
        <v>1087</v>
      </c>
      <c r="B1091" s="0" t="n">
        <v>2</v>
      </c>
      <c r="C1091" s="19" t="n">
        <v>0.0006</v>
      </c>
      <c r="D1091" s="19" t="n">
        <v>0.0014</v>
      </c>
      <c r="E1091" s="20" t="n">
        <f aca="false">Parametres!$B$5*C1091</f>
        <v>0.18</v>
      </c>
      <c r="F1091" s="20" t="n">
        <f aca="false">Parametres!$B$6*D1091</f>
        <v>0.28</v>
      </c>
      <c r="G1091" s="20" t="n">
        <f aca="false">E1091+F1091</f>
        <v>0.46</v>
      </c>
      <c r="H1091" s="20" t="n">
        <f aca="false">IF(G1091&lt;Parametres!$B$8*Parametres!$B$7,0,MIN(G1091,Parametres!$B$7))</f>
        <v>0</v>
      </c>
      <c r="I1091" s="20" t="n">
        <f aca="false">G1091-H1091</f>
        <v>0.46</v>
      </c>
      <c r="J1091" s="21" t="n">
        <f aca="false">H1091*1000/Parametres!$B$9</f>
        <v>0</v>
      </c>
    </row>
    <row r="1092" customFormat="false" ht="15" hidden="false" customHeight="false" outlineLevel="0" collapsed="false">
      <c r="A1092" s="0" t="n">
        <v>1088</v>
      </c>
      <c r="B1092" s="0" t="n">
        <v>2</v>
      </c>
      <c r="C1092" s="19" t="n">
        <v>0.2222</v>
      </c>
      <c r="D1092" s="19" t="n">
        <v>0.0021</v>
      </c>
      <c r="E1092" s="20" t="n">
        <f aca="false">Parametres!$B$5*C1092</f>
        <v>66.66</v>
      </c>
      <c r="F1092" s="20" t="n">
        <f aca="false">Parametres!$B$6*D1092</f>
        <v>0.42</v>
      </c>
      <c r="G1092" s="20" t="n">
        <f aca="false">E1092+F1092</f>
        <v>67.08</v>
      </c>
      <c r="H1092" s="20" t="n">
        <f aca="false">IF(G1092&lt;Parametres!$B$8*Parametres!$B$7,0,MIN(G1092,Parametres!$B$7))</f>
        <v>67.08</v>
      </c>
      <c r="I1092" s="20" t="n">
        <f aca="false">G1092-H1092</f>
        <v>0</v>
      </c>
      <c r="J1092" s="21" t="n">
        <f aca="false">H1092*1000/Parametres!$B$9</f>
        <v>1137.5275563846</v>
      </c>
    </row>
    <row r="1093" customFormat="false" ht="15" hidden="false" customHeight="false" outlineLevel="0" collapsed="false">
      <c r="A1093" s="0" t="n">
        <v>1089</v>
      </c>
      <c r="B1093" s="0" t="n">
        <v>2</v>
      </c>
      <c r="C1093" s="19" t="n">
        <v>0.4715</v>
      </c>
      <c r="D1093" s="19" t="n">
        <v>0.0018</v>
      </c>
      <c r="E1093" s="20" t="n">
        <f aca="false">Parametres!$B$5*C1093</f>
        <v>141.45</v>
      </c>
      <c r="F1093" s="20" t="n">
        <f aca="false">Parametres!$B$6*D1093</f>
        <v>0.36</v>
      </c>
      <c r="G1093" s="20" t="n">
        <f aca="false">E1093+F1093</f>
        <v>141.81</v>
      </c>
      <c r="H1093" s="20" t="n">
        <f aca="false">IF(G1093&lt;Parametres!$B$8*Parametres!$B$7,0,MIN(G1093,Parametres!$B$7))</f>
        <v>141.81</v>
      </c>
      <c r="I1093" s="20" t="n">
        <f aca="false">G1093-H1093</f>
        <v>0</v>
      </c>
      <c r="J1093" s="21" t="n">
        <f aca="false">H1093*1000/Parametres!$B$9</f>
        <v>2404.78209258945</v>
      </c>
    </row>
    <row r="1094" customFormat="false" ht="15" hidden="false" customHeight="false" outlineLevel="0" collapsed="false">
      <c r="A1094" s="0" t="n">
        <v>1090</v>
      </c>
      <c r="B1094" s="0" t="n">
        <v>2</v>
      </c>
      <c r="C1094" s="19" t="n">
        <v>0.5941</v>
      </c>
      <c r="D1094" s="19" t="n">
        <v>0.0014</v>
      </c>
      <c r="E1094" s="20" t="n">
        <f aca="false">Parametres!$B$5*C1094</f>
        <v>178.23</v>
      </c>
      <c r="F1094" s="20" t="n">
        <f aca="false">Parametres!$B$6*D1094</f>
        <v>0.28</v>
      </c>
      <c r="G1094" s="20" t="n">
        <f aca="false">E1094+F1094</f>
        <v>178.51</v>
      </c>
      <c r="H1094" s="20" t="n">
        <f aca="false">IF(G1094&lt;Parametres!$B$8*Parametres!$B$7,0,MIN(G1094,Parametres!$B$7))</f>
        <v>178.51</v>
      </c>
      <c r="I1094" s="20" t="n">
        <f aca="false">G1094-H1094</f>
        <v>0</v>
      </c>
      <c r="J1094" s="21" t="n">
        <f aca="false">H1094*1000/Parametres!$B$9</f>
        <v>3027.13244022384</v>
      </c>
    </row>
    <row r="1095" customFormat="false" ht="15" hidden="false" customHeight="false" outlineLevel="0" collapsed="false">
      <c r="A1095" s="0" t="n">
        <v>1091</v>
      </c>
      <c r="B1095" s="0" t="n">
        <v>2</v>
      </c>
      <c r="C1095" s="19" t="n">
        <v>0.8239</v>
      </c>
      <c r="D1095" s="19" t="n">
        <v>0.0171</v>
      </c>
      <c r="E1095" s="20" t="n">
        <f aca="false">Parametres!$B$5*C1095</f>
        <v>247.17</v>
      </c>
      <c r="F1095" s="20" t="n">
        <f aca="false">Parametres!$B$6*D1095</f>
        <v>3.42</v>
      </c>
      <c r="G1095" s="20" t="n">
        <f aca="false">E1095+F1095</f>
        <v>250.59</v>
      </c>
      <c r="H1095" s="20" t="n">
        <f aca="false">IF(G1095&lt;Parametres!$B$8*Parametres!$B$7,0,MIN(G1095,Parametres!$B$7))</f>
        <v>250</v>
      </c>
      <c r="I1095" s="20" t="n">
        <f aca="false">G1095-H1095</f>
        <v>0.589999999999975</v>
      </c>
      <c r="J1095" s="21" t="n">
        <f aca="false">H1095*1000/Parametres!$B$9</f>
        <v>4239.44378497541</v>
      </c>
    </row>
    <row r="1096" customFormat="false" ht="15" hidden="false" customHeight="false" outlineLevel="0" collapsed="false">
      <c r="A1096" s="0" t="n">
        <v>1092</v>
      </c>
      <c r="B1096" s="0" t="n">
        <v>2</v>
      </c>
      <c r="C1096" s="19" t="n">
        <v>0.9778</v>
      </c>
      <c r="D1096" s="19" t="n">
        <v>0.0042</v>
      </c>
      <c r="E1096" s="20" t="n">
        <f aca="false">Parametres!$B$5*C1096</f>
        <v>293.34</v>
      </c>
      <c r="F1096" s="20" t="n">
        <f aca="false">Parametres!$B$6*D1096</f>
        <v>0.84</v>
      </c>
      <c r="G1096" s="20" t="n">
        <f aca="false">E1096+F1096</f>
        <v>294.18</v>
      </c>
      <c r="H1096" s="20" t="n">
        <f aca="false">IF(G1096&lt;Parametres!$B$8*Parametres!$B$7,0,MIN(G1096,Parametres!$B$7))</f>
        <v>250</v>
      </c>
      <c r="I1096" s="20" t="n">
        <f aca="false">G1096-H1096</f>
        <v>44.18</v>
      </c>
      <c r="J1096" s="21" t="n">
        <f aca="false">H1096*1000/Parametres!$B$9</f>
        <v>4239.44378497541</v>
      </c>
    </row>
    <row r="1097" customFormat="false" ht="15" hidden="false" customHeight="false" outlineLevel="0" collapsed="false">
      <c r="A1097" s="0" t="n">
        <v>1093</v>
      </c>
      <c r="B1097" s="0" t="n">
        <v>2</v>
      </c>
      <c r="C1097" s="19" t="n">
        <v>0.9295</v>
      </c>
      <c r="D1097" s="19" t="n">
        <v>0.0046</v>
      </c>
      <c r="E1097" s="20" t="n">
        <f aca="false">Parametres!$B$5*C1097</f>
        <v>278.85</v>
      </c>
      <c r="F1097" s="20" t="n">
        <f aca="false">Parametres!$B$6*D1097</f>
        <v>0.92</v>
      </c>
      <c r="G1097" s="20" t="n">
        <f aca="false">E1097+F1097</f>
        <v>279.77</v>
      </c>
      <c r="H1097" s="20" t="n">
        <f aca="false">IF(G1097&lt;Parametres!$B$8*Parametres!$B$7,0,MIN(G1097,Parametres!$B$7))</f>
        <v>250</v>
      </c>
      <c r="I1097" s="20" t="n">
        <f aca="false">G1097-H1097</f>
        <v>29.77</v>
      </c>
      <c r="J1097" s="21" t="n">
        <f aca="false">H1097*1000/Parametres!$B$9</f>
        <v>4239.44378497541</v>
      </c>
    </row>
    <row r="1098" customFormat="false" ht="15" hidden="false" customHeight="false" outlineLevel="0" collapsed="false">
      <c r="A1098" s="0" t="n">
        <v>1094</v>
      </c>
      <c r="B1098" s="0" t="n">
        <v>2</v>
      </c>
      <c r="C1098" s="19" t="n">
        <v>0.8374</v>
      </c>
      <c r="D1098" s="19" t="n">
        <v>0.0154</v>
      </c>
      <c r="E1098" s="20" t="n">
        <f aca="false">Parametres!$B$5*C1098</f>
        <v>251.22</v>
      </c>
      <c r="F1098" s="20" t="n">
        <f aca="false">Parametres!$B$6*D1098</f>
        <v>3.08</v>
      </c>
      <c r="G1098" s="20" t="n">
        <f aca="false">E1098+F1098</f>
        <v>254.3</v>
      </c>
      <c r="H1098" s="20" t="n">
        <f aca="false">IF(G1098&lt;Parametres!$B$8*Parametres!$B$7,0,MIN(G1098,Parametres!$B$7))</f>
        <v>250</v>
      </c>
      <c r="I1098" s="20" t="n">
        <f aca="false">G1098-H1098</f>
        <v>4.30000000000001</v>
      </c>
      <c r="J1098" s="21" t="n">
        <f aca="false">H1098*1000/Parametres!$B$9</f>
        <v>4239.44378497541</v>
      </c>
    </row>
    <row r="1099" customFormat="false" ht="15" hidden="false" customHeight="false" outlineLevel="0" collapsed="false">
      <c r="A1099" s="0" t="n">
        <v>1095</v>
      </c>
      <c r="B1099" s="0" t="n">
        <v>2</v>
      </c>
      <c r="C1099" s="19" t="n">
        <v>0.6774</v>
      </c>
      <c r="D1099" s="19" t="n">
        <v>0.0249</v>
      </c>
      <c r="E1099" s="20" t="n">
        <f aca="false">Parametres!$B$5*C1099</f>
        <v>203.22</v>
      </c>
      <c r="F1099" s="20" t="n">
        <f aca="false">Parametres!$B$6*D1099</f>
        <v>4.98</v>
      </c>
      <c r="G1099" s="20" t="n">
        <f aca="false">E1099+F1099</f>
        <v>208.2</v>
      </c>
      <c r="H1099" s="20" t="n">
        <f aca="false">IF(G1099&lt;Parametres!$B$8*Parametres!$B$7,0,MIN(G1099,Parametres!$B$7))</f>
        <v>208.2</v>
      </c>
      <c r="I1099" s="20" t="n">
        <f aca="false">G1099-H1099</f>
        <v>0</v>
      </c>
      <c r="J1099" s="21" t="n">
        <f aca="false">H1099*1000/Parametres!$B$9</f>
        <v>3530.60878412752</v>
      </c>
    </row>
    <row r="1100" customFormat="false" ht="15" hidden="false" customHeight="false" outlineLevel="0" collapsed="false">
      <c r="A1100" s="0" t="n">
        <v>1096</v>
      </c>
      <c r="B1100" s="0" t="n">
        <v>2</v>
      </c>
      <c r="C1100" s="19" t="n">
        <v>0.478</v>
      </c>
      <c r="D1100" s="19" t="n">
        <v>0.0678</v>
      </c>
      <c r="E1100" s="20" t="n">
        <f aca="false">Parametres!$B$5*C1100</f>
        <v>143.4</v>
      </c>
      <c r="F1100" s="20" t="n">
        <f aca="false">Parametres!$B$6*D1100</f>
        <v>13.56</v>
      </c>
      <c r="G1100" s="20" t="n">
        <f aca="false">E1100+F1100</f>
        <v>156.96</v>
      </c>
      <c r="H1100" s="20" t="n">
        <f aca="false">IF(G1100&lt;Parametres!$B$8*Parametres!$B$7,0,MIN(G1100,Parametres!$B$7))</f>
        <v>156.96</v>
      </c>
      <c r="I1100" s="20" t="n">
        <f aca="false">G1100-H1100</f>
        <v>0</v>
      </c>
      <c r="J1100" s="21" t="n">
        <f aca="false">H1100*1000/Parametres!$B$9</f>
        <v>2661.69238595896</v>
      </c>
    </row>
    <row r="1101" customFormat="false" ht="15" hidden="false" customHeight="false" outlineLevel="0" collapsed="false">
      <c r="A1101" s="0" t="n">
        <v>1097</v>
      </c>
      <c r="B1101" s="0" t="n">
        <v>2</v>
      </c>
      <c r="C1101" s="19" t="n">
        <v>0.2121</v>
      </c>
      <c r="D1101" s="19" t="n">
        <v>0.094</v>
      </c>
      <c r="E1101" s="20" t="n">
        <f aca="false">Parametres!$B$5*C1101</f>
        <v>63.63</v>
      </c>
      <c r="F1101" s="20" t="n">
        <f aca="false">Parametres!$B$6*D1101</f>
        <v>18.8</v>
      </c>
      <c r="G1101" s="20" t="n">
        <f aca="false">E1101+F1101</f>
        <v>82.43</v>
      </c>
      <c r="H1101" s="20" t="n">
        <f aca="false">IF(G1101&lt;Parametres!$B$8*Parametres!$B$7,0,MIN(G1101,Parametres!$B$7))</f>
        <v>82.43</v>
      </c>
      <c r="I1101" s="20" t="n">
        <f aca="false">G1101-H1101</f>
        <v>0</v>
      </c>
      <c r="J1101" s="21" t="n">
        <f aca="false">H1101*1000/Parametres!$B$9</f>
        <v>1397.82940478209</v>
      </c>
    </row>
    <row r="1102" customFormat="false" ht="15" hidden="false" customHeight="false" outlineLevel="0" collapsed="false">
      <c r="A1102" s="0" t="n">
        <v>1098</v>
      </c>
      <c r="B1102" s="0" t="n">
        <v>2</v>
      </c>
      <c r="C1102" s="19" t="n">
        <v>0.0007</v>
      </c>
      <c r="D1102" s="19" t="n">
        <v>0.0439</v>
      </c>
      <c r="E1102" s="20" t="n">
        <f aca="false">Parametres!$B$5*C1102</f>
        <v>0.21</v>
      </c>
      <c r="F1102" s="20" t="n">
        <f aca="false">Parametres!$B$6*D1102</f>
        <v>8.78</v>
      </c>
      <c r="G1102" s="20" t="n">
        <f aca="false">E1102+F1102</f>
        <v>8.99</v>
      </c>
      <c r="H1102" s="20" t="n">
        <f aca="false">IF(G1102&lt;Parametres!$B$8*Parametres!$B$7,0,MIN(G1102,Parametres!$B$7))</f>
        <v>0</v>
      </c>
      <c r="I1102" s="20" t="n">
        <f aca="false">G1102-H1102</f>
        <v>8.99</v>
      </c>
      <c r="J1102" s="21" t="n">
        <f aca="false">H1102*1000/Parametres!$B$9</f>
        <v>0</v>
      </c>
    </row>
    <row r="1103" customFormat="false" ht="15" hidden="false" customHeight="false" outlineLevel="0" collapsed="false">
      <c r="A1103" s="0" t="n">
        <v>1099</v>
      </c>
      <c r="B1103" s="0" t="n">
        <v>2</v>
      </c>
      <c r="C1103" s="19" t="n">
        <v>0</v>
      </c>
      <c r="D1103" s="19" t="n">
        <v>0.0334</v>
      </c>
      <c r="E1103" s="20" t="n">
        <f aca="false">Parametres!$B$5*C1103</f>
        <v>0</v>
      </c>
      <c r="F1103" s="20" t="n">
        <f aca="false">Parametres!$B$6*D1103</f>
        <v>6.68</v>
      </c>
      <c r="G1103" s="20" t="n">
        <f aca="false">E1103+F1103</f>
        <v>6.68</v>
      </c>
      <c r="H1103" s="20" t="n">
        <f aca="false">IF(G1103&lt;Parametres!$B$8*Parametres!$B$7,0,MIN(G1103,Parametres!$B$7))</f>
        <v>0</v>
      </c>
      <c r="I1103" s="20" t="n">
        <f aca="false">G1103-H1103</f>
        <v>6.68</v>
      </c>
      <c r="J1103" s="21" t="n">
        <f aca="false">H1103*1000/Parametres!$B$9</f>
        <v>0</v>
      </c>
    </row>
    <row r="1104" customFormat="false" ht="15" hidden="false" customHeight="false" outlineLevel="0" collapsed="false">
      <c r="A1104" s="0" t="n">
        <v>1100</v>
      </c>
      <c r="B1104" s="0" t="n">
        <v>2</v>
      </c>
      <c r="C1104" s="19" t="n">
        <v>0</v>
      </c>
      <c r="D1104" s="19" t="n">
        <v>0.0097</v>
      </c>
      <c r="E1104" s="20" t="n">
        <f aca="false">Parametres!$B$5*C1104</f>
        <v>0</v>
      </c>
      <c r="F1104" s="20" t="n">
        <f aca="false">Parametres!$B$6*D1104</f>
        <v>1.94</v>
      </c>
      <c r="G1104" s="20" t="n">
        <f aca="false">E1104+F1104</f>
        <v>1.94</v>
      </c>
      <c r="H1104" s="20" t="n">
        <f aca="false">IF(G1104&lt;Parametres!$B$8*Parametres!$B$7,0,MIN(G1104,Parametres!$B$7))</f>
        <v>0</v>
      </c>
      <c r="I1104" s="20" t="n">
        <f aca="false">G1104-H1104</f>
        <v>1.94</v>
      </c>
      <c r="J1104" s="21" t="n">
        <f aca="false">H1104*1000/Parametres!$B$9</f>
        <v>0</v>
      </c>
    </row>
    <row r="1105" customFormat="false" ht="15" hidden="false" customHeight="false" outlineLevel="0" collapsed="false">
      <c r="A1105" s="0" t="n">
        <v>1101</v>
      </c>
      <c r="B1105" s="0" t="n">
        <v>2</v>
      </c>
      <c r="C1105" s="19" t="n">
        <v>0</v>
      </c>
      <c r="D1105" s="19" t="n">
        <v>0.0198</v>
      </c>
      <c r="E1105" s="20" t="n">
        <f aca="false">Parametres!$B$5*C1105</f>
        <v>0</v>
      </c>
      <c r="F1105" s="20" t="n">
        <f aca="false">Parametres!$B$6*D1105</f>
        <v>3.96</v>
      </c>
      <c r="G1105" s="20" t="n">
        <f aca="false">E1105+F1105</f>
        <v>3.96</v>
      </c>
      <c r="H1105" s="20" t="n">
        <f aca="false">IF(G1105&lt;Parametres!$B$8*Parametres!$B$7,0,MIN(G1105,Parametres!$B$7))</f>
        <v>0</v>
      </c>
      <c r="I1105" s="20" t="n">
        <f aca="false">G1105-H1105</f>
        <v>3.96</v>
      </c>
      <c r="J1105" s="21" t="n">
        <f aca="false">H1105*1000/Parametres!$B$9</f>
        <v>0</v>
      </c>
    </row>
    <row r="1106" customFormat="false" ht="15" hidden="false" customHeight="false" outlineLevel="0" collapsed="false">
      <c r="A1106" s="0" t="n">
        <v>1102</v>
      </c>
      <c r="B1106" s="0" t="n">
        <v>2</v>
      </c>
      <c r="C1106" s="19" t="n">
        <v>0</v>
      </c>
      <c r="D1106" s="19" t="n">
        <v>0.0457</v>
      </c>
      <c r="E1106" s="20" t="n">
        <f aca="false">Parametres!$B$5*C1106</f>
        <v>0</v>
      </c>
      <c r="F1106" s="20" t="n">
        <f aca="false">Parametres!$B$6*D1106</f>
        <v>9.14</v>
      </c>
      <c r="G1106" s="20" t="n">
        <f aca="false">E1106+F1106</f>
        <v>9.14</v>
      </c>
      <c r="H1106" s="20" t="n">
        <f aca="false">IF(G1106&lt;Parametres!$B$8*Parametres!$B$7,0,MIN(G1106,Parametres!$B$7))</f>
        <v>0</v>
      </c>
      <c r="I1106" s="20" t="n">
        <f aca="false">G1106-H1106</f>
        <v>9.14</v>
      </c>
      <c r="J1106" s="21" t="n">
        <f aca="false">H1106*1000/Parametres!$B$9</f>
        <v>0</v>
      </c>
    </row>
    <row r="1107" customFormat="false" ht="15" hidden="false" customHeight="false" outlineLevel="0" collapsed="false">
      <c r="A1107" s="0" t="n">
        <v>1103</v>
      </c>
      <c r="B1107" s="0" t="n">
        <v>2</v>
      </c>
      <c r="C1107" s="19" t="n">
        <v>0</v>
      </c>
      <c r="D1107" s="19" t="n">
        <v>0.0286</v>
      </c>
      <c r="E1107" s="20" t="n">
        <f aca="false">Parametres!$B$5*C1107</f>
        <v>0</v>
      </c>
      <c r="F1107" s="20" t="n">
        <f aca="false">Parametres!$B$6*D1107</f>
        <v>5.72</v>
      </c>
      <c r="G1107" s="20" t="n">
        <f aca="false">E1107+F1107</f>
        <v>5.72</v>
      </c>
      <c r="H1107" s="20" t="n">
        <f aca="false">IF(G1107&lt;Parametres!$B$8*Parametres!$B$7,0,MIN(G1107,Parametres!$B$7))</f>
        <v>0</v>
      </c>
      <c r="I1107" s="20" t="n">
        <f aca="false">G1107-H1107</f>
        <v>5.72</v>
      </c>
      <c r="J1107" s="21" t="n">
        <f aca="false">H1107*1000/Parametres!$B$9</f>
        <v>0</v>
      </c>
    </row>
    <row r="1108" customFormat="false" ht="15" hidden="false" customHeight="false" outlineLevel="0" collapsed="false">
      <c r="A1108" s="0" t="n">
        <v>1104</v>
      </c>
      <c r="B1108" s="0" t="n">
        <v>2</v>
      </c>
      <c r="C1108" s="19" t="n">
        <v>0</v>
      </c>
      <c r="D1108" s="19" t="n">
        <v>0.0338</v>
      </c>
      <c r="E1108" s="20" t="n">
        <f aca="false">Parametres!$B$5*C1108</f>
        <v>0</v>
      </c>
      <c r="F1108" s="20" t="n">
        <f aca="false">Parametres!$B$6*D1108</f>
        <v>6.76</v>
      </c>
      <c r="G1108" s="20" t="n">
        <f aca="false">E1108+F1108</f>
        <v>6.76</v>
      </c>
      <c r="H1108" s="20" t="n">
        <f aca="false">IF(G1108&lt;Parametres!$B$8*Parametres!$B$7,0,MIN(G1108,Parametres!$B$7))</f>
        <v>0</v>
      </c>
      <c r="I1108" s="20" t="n">
        <f aca="false">G1108-H1108</f>
        <v>6.76</v>
      </c>
      <c r="J1108" s="21" t="n">
        <f aca="false">H1108*1000/Parametres!$B$9</f>
        <v>0</v>
      </c>
    </row>
    <row r="1109" customFormat="false" ht="15" hidden="false" customHeight="false" outlineLevel="0" collapsed="false">
      <c r="A1109" s="0" t="n">
        <v>1105</v>
      </c>
      <c r="B1109" s="0" t="n">
        <v>2</v>
      </c>
      <c r="C1109" s="19" t="n">
        <v>0</v>
      </c>
      <c r="D1109" s="19" t="n">
        <v>0.0213</v>
      </c>
      <c r="E1109" s="20" t="n">
        <f aca="false">Parametres!$B$5*C1109</f>
        <v>0</v>
      </c>
      <c r="F1109" s="20" t="n">
        <f aca="false">Parametres!$B$6*D1109</f>
        <v>4.26</v>
      </c>
      <c r="G1109" s="20" t="n">
        <f aca="false">E1109+F1109</f>
        <v>4.26</v>
      </c>
      <c r="H1109" s="20" t="n">
        <f aca="false">IF(G1109&lt;Parametres!$B$8*Parametres!$B$7,0,MIN(G1109,Parametres!$B$7))</f>
        <v>0</v>
      </c>
      <c r="I1109" s="20" t="n">
        <f aca="false">G1109-H1109</f>
        <v>4.26</v>
      </c>
      <c r="J1109" s="21" t="n">
        <f aca="false">H1109*1000/Parametres!$B$9</f>
        <v>0</v>
      </c>
    </row>
    <row r="1110" customFormat="false" ht="15" hidden="false" customHeight="false" outlineLevel="0" collapsed="false">
      <c r="A1110" s="0" t="n">
        <v>1106</v>
      </c>
      <c r="B1110" s="0" t="n">
        <v>2</v>
      </c>
      <c r="C1110" s="19" t="n">
        <v>0</v>
      </c>
      <c r="D1110" s="19" t="n">
        <v>0.0051</v>
      </c>
      <c r="E1110" s="20" t="n">
        <f aca="false">Parametres!$B$5*C1110</f>
        <v>0</v>
      </c>
      <c r="F1110" s="20" t="n">
        <f aca="false">Parametres!$B$6*D1110</f>
        <v>1.02</v>
      </c>
      <c r="G1110" s="20" t="n">
        <f aca="false">E1110+F1110</f>
        <v>1.02</v>
      </c>
      <c r="H1110" s="20" t="n">
        <f aca="false">IF(G1110&lt;Parametres!$B$8*Parametres!$B$7,0,MIN(G1110,Parametres!$B$7))</f>
        <v>0</v>
      </c>
      <c r="I1110" s="20" t="n">
        <f aca="false">G1110-H1110</f>
        <v>1.02</v>
      </c>
      <c r="J1110" s="21" t="n">
        <f aca="false">H1110*1000/Parametres!$B$9</f>
        <v>0</v>
      </c>
    </row>
    <row r="1111" customFormat="false" ht="15" hidden="false" customHeight="false" outlineLevel="0" collapsed="false">
      <c r="A1111" s="0" t="n">
        <v>1107</v>
      </c>
      <c r="B1111" s="0" t="n">
        <v>2</v>
      </c>
      <c r="C1111" s="19" t="n">
        <v>0</v>
      </c>
      <c r="D1111" s="19" t="n">
        <v>0.0026</v>
      </c>
      <c r="E1111" s="20" t="n">
        <f aca="false">Parametres!$B$5*C1111</f>
        <v>0</v>
      </c>
      <c r="F1111" s="20" t="n">
        <f aca="false">Parametres!$B$6*D1111</f>
        <v>0.52</v>
      </c>
      <c r="G1111" s="20" t="n">
        <f aca="false">E1111+F1111</f>
        <v>0.52</v>
      </c>
      <c r="H1111" s="20" t="n">
        <f aca="false">IF(G1111&lt;Parametres!$B$8*Parametres!$B$7,0,MIN(G1111,Parametres!$B$7))</f>
        <v>0</v>
      </c>
      <c r="I1111" s="20" t="n">
        <f aca="false">G1111-H1111</f>
        <v>0.52</v>
      </c>
      <c r="J1111" s="21" t="n">
        <f aca="false">H1111*1000/Parametres!$B$9</f>
        <v>0</v>
      </c>
    </row>
    <row r="1112" customFormat="false" ht="15" hidden="false" customHeight="false" outlineLevel="0" collapsed="false">
      <c r="A1112" s="0" t="n">
        <v>1108</v>
      </c>
      <c r="B1112" s="0" t="n">
        <v>2</v>
      </c>
      <c r="C1112" s="19" t="n">
        <v>0</v>
      </c>
      <c r="D1112" s="19" t="n">
        <v>0.0001</v>
      </c>
      <c r="E1112" s="20" t="n">
        <f aca="false">Parametres!$B$5*C1112</f>
        <v>0</v>
      </c>
      <c r="F1112" s="20" t="n">
        <f aca="false">Parametres!$B$6*D1112</f>
        <v>0.02</v>
      </c>
      <c r="G1112" s="20" t="n">
        <f aca="false">E1112+F1112</f>
        <v>0.02</v>
      </c>
      <c r="H1112" s="20" t="n">
        <f aca="false">IF(G1112&lt;Parametres!$B$8*Parametres!$B$7,0,MIN(G1112,Parametres!$B$7))</f>
        <v>0</v>
      </c>
      <c r="I1112" s="20" t="n">
        <f aca="false">G1112-H1112</f>
        <v>0.02</v>
      </c>
      <c r="J1112" s="21" t="n">
        <f aca="false">H1112*1000/Parametres!$B$9</f>
        <v>0</v>
      </c>
    </row>
    <row r="1113" customFormat="false" ht="15" hidden="false" customHeight="false" outlineLevel="0" collapsed="false">
      <c r="A1113" s="0" t="n">
        <v>1109</v>
      </c>
      <c r="B1113" s="0" t="n">
        <v>2</v>
      </c>
      <c r="C1113" s="19" t="n">
        <v>0</v>
      </c>
      <c r="D1113" s="19" t="n">
        <v>0</v>
      </c>
      <c r="E1113" s="20" t="n">
        <f aca="false">Parametres!$B$5*C1113</f>
        <v>0</v>
      </c>
      <c r="F1113" s="20" t="n">
        <f aca="false">Parametres!$B$6*D1113</f>
        <v>0</v>
      </c>
      <c r="G1113" s="20" t="n">
        <f aca="false">E1113+F1113</f>
        <v>0</v>
      </c>
      <c r="H1113" s="20" t="n">
        <f aca="false">IF(G1113&lt;Parametres!$B$8*Parametres!$B$7,0,MIN(G1113,Parametres!$B$7))</f>
        <v>0</v>
      </c>
      <c r="I1113" s="20" t="n">
        <f aca="false">G1113-H1113</f>
        <v>0</v>
      </c>
      <c r="J1113" s="21" t="n">
        <f aca="false">H1113*1000/Parametres!$B$9</f>
        <v>0</v>
      </c>
    </row>
    <row r="1114" customFormat="false" ht="15" hidden="false" customHeight="false" outlineLevel="0" collapsed="false">
      <c r="A1114" s="0" t="n">
        <v>1110</v>
      </c>
      <c r="B1114" s="0" t="n">
        <v>2</v>
      </c>
      <c r="C1114" s="19" t="n">
        <v>0</v>
      </c>
      <c r="D1114" s="19" t="n">
        <v>0</v>
      </c>
      <c r="E1114" s="20" t="n">
        <f aca="false">Parametres!$B$5*C1114</f>
        <v>0</v>
      </c>
      <c r="F1114" s="20" t="n">
        <f aca="false">Parametres!$B$6*D1114</f>
        <v>0</v>
      </c>
      <c r="G1114" s="20" t="n">
        <f aca="false">E1114+F1114</f>
        <v>0</v>
      </c>
      <c r="H1114" s="20" t="n">
        <f aca="false">IF(G1114&lt;Parametres!$B$8*Parametres!$B$7,0,MIN(G1114,Parametres!$B$7))</f>
        <v>0</v>
      </c>
      <c r="I1114" s="20" t="n">
        <f aca="false">G1114-H1114</f>
        <v>0</v>
      </c>
      <c r="J1114" s="21" t="n">
        <f aca="false">H1114*1000/Parametres!$B$9</f>
        <v>0</v>
      </c>
    </row>
    <row r="1115" customFormat="false" ht="15" hidden="false" customHeight="false" outlineLevel="0" collapsed="false">
      <c r="A1115" s="0" t="n">
        <v>1111</v>
      </c>
      <c r="B1115" s="0" t="n">
        <v>2</v>
      </c>
      <c r="C1115" s="19" t="n">
        <v>0.0023</v>
      </c>
      <c r="D1115" s="19" t="n">
        <v>0.0005</v>
      </c>
      <c r="E1115" s="20" t="n">
        <f aca="false">Parametres!$B$5*C1115</f>
        <v>0.69</v>
      </c>
      <c r="F1115" s="20" t="n">
        <f aca="false">Parametres!$B$6*D1115</f>
        <v>0.1</v>
      </c>
      <c r="G1115" s="20" t="n">
        <f aca="false">E1115+F1115</f>
        <v>0.79</v>
      </c>
      <c r="H1115" s="20" t="n">
        <f aca="false">IF(G1115&lt;Parametres!$B$8*Parametres!$B$7,0,MIN(G1115,Parametres!$B$7))</f>
        <v>0</v>
      </c>
      <c r="I1115" s="20" t="n">
        <f aca="false">G1115-H1115</f>
        <v>0.79</v>
      </c>
      <c r="J1115" s="21" t="n">
        <f aca="false">H1115*1000/Parametres!$B$9</f>
        <v>0</v>
      </c>
    </row>
    <row r="1116" customFormat="false" ht="15" hidden="false" customHeight="false" outlineLevel="0" collapsed="false">
      <c r="A1116" s="0" t="n">
        <v>1112</v>
      </c>
      <c r="B1116" s="0" t="n">
        <v>2</v>
      </c>
      <c r="C1116" s="19" t="n">
        <v>0.2132</v>
      </c>
      <c r="D1116" s="19" t="n">
        <v>0.0046</v>
      </c>
      <c r="E1116" s="20" t="n">
        <f aca="false">Parametres!$B$5*C1116</f>
        <v>63.96</v>
      </c>
      <c r="F1116" s="20" t="n">
        <f aca="false">Parametres!$B$6*D1116</f>
        <v>0.92</v>
      </c>
      <c r="G1116" s="20" t="n">
        <f aca="false">E1116+F1116</f>
        <v>64.88</v>
      </c>
      <c r="H1116" s="20" t="n">
        <f aca="false">IF(G1116&lt;Parametres!$B$8*Parametres!$B$7,0,MIN(G1116,Parametres!$B$7))</f>
        <v>64.88</v>
      </c>
      <c r="I1116" s="20" t="n">
        <f aca="false">G1116-H1116</f>
        <v>0</v>
      </c>
      <c r="J1116" s="21" t="n">
        <f aca="false">H1116*1000/Parametres!$B$9</f>
        <v>1100.22045107682</v>
      </c>
    </row>
    <row r="1117" customFormat="false" ht="15" hidden="false" customHeight="false" outlineLevel="0" collapsed="false">
      <c r="A1117" s="0" t="n">
        <v>1113</v>
      </c>
      <c r="B1117" s="0" t="n">
        <v>2</v>
      </c>
      <c r="C1117" s="19" t="n">
        <v>0.4598</v>
      </c>
      <c r="D1117" s="19" t="n">
        <v>0.0042</v>
      </c>
      <c r="E1117" s="20" t="n">
        <f aca="false">Parametres!$B$5*C1117</f>
        <v>137.94</v>
      </c>
      <c r="F1117" s="20" t="n">
        <f aca="false">Parametres!$B$6*D1117</f>
        <v>0.84</v>
      </c>
      <c r="G1117" s="20" t="n">
        <f aca="false">E1117+F1117</f>
        <v>138.78</v>
      </c>
      <c r="H1117" s="20" t="n">
        <f aca="false">IF(G1117&lt;Parametres!$B$8*Parametres!$B$7,0,MIN(G1117,Parametres!$B$7))</f>
        <v>138.78</v>
      </c>
      <c r="I1117" s="20" t="n">
        <f aca="false">G1117-H1117</f>
        <v>0</v>
      </c>
      <c r="J1117" s="21" t="n">
        <f aca="false">H1117*1000/Parametres!$B$9</f>
        <v>2353.40003391555</v>
      </c>
    </row>
    <row r="1118" customFormat="false" ht="15" hidden="false" customHeight="false" outlineLevel="0" collapsed="false">
      <c r="A1118" s="0" t="n">
        <v>1114</v>
      </c>
      <c r="B1118" s="0" t="n">
        <v>2</v>
      </c>
      <c r="C1118" s="19" t="n">
        <v>0.6487</v>
      </c>
      <c r="D1118" s="19" t="n">
        <v>0.0071</v>
      </c>
      <c r="E1118" s="20" t="n">
        <f aca="false">Parametres!$B$5*C1118</f>
        <v>194.61</v>
      </c>
      <c r="F1118" s="20" t="n">
        <f aca="false">Parametres!$B$6*D1118</f>
        <v>1.42</v>
      </c>
      <c r="G1118" s="20" t="n">
        <f aca="false">E1118+F1118</f>
        <v>196.03</v>
      </c>
      <c r="H1118" s="20" t="n">
        <f aca="false">IF(G1118&lt;Parametres!$B$8*Parametres!$B$7,0,MIN(G1118,Parametres!$B$7))</f>
        <v>196.03</v>
      </c>
      <c r="I1118" s="20" t="n">
        <f aca="false">G1118-H1118</f>
        <v>0</v>
      </c>
      <c r="J1118" s="21" t="n">
        <f aca="false">H1118*1000/Parametres!$B$9</f>
        <v>3324.23266067492</v>
      </c>
    </row>
    <row r="1119" customFormat="false" ht="15" hidden="false" customHeight="false" outlineLevel="0" collapsed="false">
      <c r="A1119" s="0" t="n">
        <v>1115</v>
      </c>
      <c r="B1119" s="0" t="n">
        <v>2</v>
      </c>
      <c r="C1119" s="19" t="n">
        <v>0.7704</v>
      </c>
      <c r="D1119" s="19" t="n">
        <v>0.0135</v>
      </c>
      <c r="E1119" s="20" t="n">
        <f aca="false">Parametres!$B$5*C1119</f>
        <v>231.12</v>
      </c>
      <c r="F1119" s="20" t="n">
        <f aca="false">Parametres!$B$6*D1119</f>
        <v>2.7</v>
      </c>
      <c r="G1119" s="20" t="n">
        <f aca="false">E1119+F1119</f>
        <v>233.82</v>
      </c>
      <c r="H1119" s="20" t="n">
        <f aca="false">IF(G1119&lt;Parametres!$B$8*Parametres!$B$7,0,MIN(G1119,Parametres!$B$7))</f>
        <v>233.82</v>
      </c>
      <c r="I1119" s="20" t="n">
        <f aca="false">G1119-H1119</f>
        <v>0</v>
      </c>
      <c r="J1119" s="21" t="n">
        <f aca="false">H1119*1000/Parametres!$B$9</f>
        <v>3965.0669832118</v>
      </c>
    </row>
    <row r="1120" customFormat="false" ht="15" hidden="false" customHeight="false" outlineLevel="0" collapsed="false">
      <c r="A1120" s="0" t="n">
        <v>1116</v>
      </c>
      <c r="B1120" s="0" t="n">
        <v>2</v>
      </c>
      <c r="C1120" s="19" t="n">
        <v>0.8423</v>
      </c>
      <c r="D1120" s="19" t="n">
        <v>0.0258</v>
      </c>
      <c r="E1120" s="20" t="n">
        <f aca="false">Parametres!$B$5*C1120</f>
        <v>252.69</v>
      </c>
      <c r="F1120" s="20" t="n">
        <f aca="false">Parametres!$B$6*D1120</f>
        <v>5.16</v>
      </c>
      <c r="G1120" s="20" t="n">
        <f aca="false">E1120+F1120</f>
        <v>257.85</v>
      </c>
      <c r="H1120" s="20" t="n">
        <f aca="false">IF(G1120&lt;Parametres!$B$8*Parametres!$B$7,0,MIN(G1120,Parametres!$B$7))</f>
        <v>250</v>
      </c>
      <c r="I1120" s="20" t="n">
        <f aca="false">G1120-H1120</f>
        <v>7.85000000000002</v>
      </c>
      <c r="J1120" s="21" t="n">
        <f aca="false">H1120*1000/Parametres!$B$9</f>
        <v>4239.44378497541</v>
      </c>
    </row>
    <row r="1121" customFormat="false" ht="15" hidden="false" customHeight="false" outlineLevel="0" collapsed="false">
      <c r="A1121" s="0" t="n">
        <v>1117</v>
      </c>
      <c r="B1121" s="0" t="n">
        <v>2</v>
      </c>
      <c r="C1121" s="19" t="n">
        <v>0.9415</v>
      </c>
      <c r="D1121" s="19" t="n">
        <v>0.0019</v>
      </c>
      <c r="E1121" s="20" t="n">
        <f aca="false">Parametres!$B$5*C1121</f>
        <v>282.45</v>
      </c>
      <c r="F1121" s="20" t="n">
        <f aca="false">Parametres!$B$6*D1121</f>
        <v>0.38</v>
      </c>
      <c r="G1121" s="20" t="n">
        <f aca="false">E1121+F1121</f>
        <v>282.83</v>
      </c>
      <c r="H1121" s="20" t="n">
        <f aca="false">IF(G1121&lt;Parametres!$B$8*Parametres!$B$7,0,MIN(G1121,Parametres!$B$7))</f>
        <v>250</v>
      </c>
      <c r="I1121" s="20" t="n">
        <f aca="false">G1121-H1121</f>
        <v>32.83</v>
      </c>
      <c r="J1121" s="21" t="n">
        <f aca="false">H1121*1000/Parametres!$B$9</f>
        <v>4239.44378497541</v>
      </c>
    </row>
    <row r="1122" customFormat="false" ht="15" hidden="false" customHeight="false" outlineLevel="0" collapsed="false">
      <c r="A1122" s="0" t="n">
        <v>1118</v>
      </c>
      <c r="B1122" s="0" t="n">
        <v>2</v>
      </c>
      <c r="C1122" s="19" t="n">
        <v>0.8156</v>
      </c>
      <c r="D1122" s="19" t="n">
        <v>0.0007</v>
      </c>
      <c r="E1122" s="20" t="n">
        <f aca="false">Parametres!$B$5*C1122</f>
        <v>244.68</v>
      </c>
      <c r="F1122" s="20" t="n">
        <f aca="false">Parametres!$B$6*D1122</f>
        <v>0.14</v>
      </c>
      <c r="G1122" s="20" t="n">
        <f aca="false">E1122+F1122</f>
        <v>244.82</v>
      </c>
      <c r="H1122" s="20" t="n">
        <f aca="false">IF(G1122&lt;Parametres!$B$8*Parametres!$B$7,0,MIN(G1122,Parametres!$B$7))</f>
        <v>244.82</v>
      </c>
      <c r="I1122" s="20" t="n">
        <f aca="false">G1122-H1122</f>
        <v>0</v>
      </c>
      <c r="J1122" s="21" t="n">
        <f aca="false">H1122*1000/Parametres!$B$9</f>
        <v>4151.60250975072</v>
      </c>
    </row>
    <row r="1123" customFormat="false" ht="15" hidden="false" customHeight="false" outlineLevel="0" collapsed="false">
      <c r="A1123" s="0" t="n">
        <v>1119</v>
      </c>
      <c r="B1123" s="0" t="n">
        <v>2</v>
      </c>
      <c r="C1123" s="19" t="n">
        <v>0.66</v>
      </c>
      <c r="D1123" s="19" t="n">
        <v>0.0034</v>
      </c>
      <c r="E1123" s="20" t="n">
        <f aca="false">Parametres!$B$5*C1123</f>
        <v>198</v>
      </c>
      <c r="F1123" s="20" t="n">
        <f aca="false">Parametres!$B$6*D1123</f>
        <v>0.68</v>
      </c>
      <c r="G1123" s="20" t="n">
        <f aca="false">E1123+F1123</f>
        <v>198.68</v>
      </c>
      <c r="H1123" s="20" t="n">
        <f aca="false">IF(G1123&lt;Parametres!$B$8*Parametres!$B$7,0,MIN(G1123,Parametres!$B$7))</f>
        <v>198.68</v>
      </c>
      <c r="I1123" s="20" t="n">
        <f aca="false">G1123-H1123</f>
        <v>0</v>
      </c>
      <c r="J1123" s="21" t="n">
        <f aca="false">H1123*1000/Parametres!$B$9</f>
        <v>3369.17076479566</v>
      </c>
    </row>
    <row r="1124" customFormat="false" ht="15" hidden="false" customHeight="false" outlineLevel="0" collapsed="false">
      <c r="A1124" s="0" t="n">
        <v>1120</v>
      </c>
      <c r="B1124" s="0" t="n">
        <v>2</v>
      </c>
      <c r="C1124" s="19" t="n">
        <v>0.4596</v>
      </c>
      <c r="D1124" s="19" t="n">
        <v>0.0007</v>
      </c>
      <c r="E1124" s="20" t="n">
        <f aca="false">Parametres!$B$5*C1124</f>
        <v>137.88</v>
      </c>
      <c r="F1124" s="20" t="n">
        <f aca="false">Parametres!$B$6*D1124</f>
        <v>0.14</v>
      </c>
      <c r="G1124" s="20" t="n">
        <f aca="false">E1124+F1124</f>
        <v>138.02</v>
      </c>
      <c r="H1124" s="20" t="n">
        <f aca="false">IF(G1124&lt;Parametres!$B$8*Parametres!$B$7,0,MIN(G1124,Parametres!$B$7))</f>
        <v>138.02</v>
      </c>
      <c r="I1124" s="20" t="n">
        <f aca="false">G1124-H1124</f>
        <v>0</v>
      </c>
      <c r="J1124" s="21" t="n">
        <f aca="false">H1124*1000/Parametres!$B$9</f>
        <v>2340.51212480922</v>
      </c>
    </row>
    <row r="1125" customFormat="false" ht="15" hidden="false" customHeight="false" outlineLevel="0" collapsed="false">
      <c r="A1125" s="0" t="n">
        <v>1121</v>
      </c>
      <c r="B1125" s="0" t="n">
        <v>2</v>
      </c>
      <c r="C1125" s="19" t="n">
        <v>0.2215</v>
      </c>
      <c r="D1125" s="19" t="n">
        <v>0.0013</v>
      </c>
      <c r="E1125" s="20" t="n">
        <f aca="false">Parametres!$B$5*C1125</f>
        <v>66.45</v>
      </c>
      <c r="F1125" s="20" t="n">
        <f aca="false">Parametres!$B$6*D1125</f>
        <v>0.26</v>
      </c>
      <c r="G1125" s="20" t="n">
        <f aca="false">E1125+F1125</f>
        <v>66.71</v>
      </c>
      <c r="H1125" s="20" t="n">
        <f aca="false">IF(G1125&lt;Parametres!$B$8*Parametres!$B$7,0,MIN(G1125,Parametres!$B$7))</f>
        <v>66.71</v>
      </c>
      <c r="I1125" s="20" t="n">
        <f aca="false">G1125-H1125</f>
        <v>0</v>
      </c>
      <c r="J1125" s="21" t="n">
        <f aca="false">H1125*1000/Parametres!$B$9</f>
        <v>1131.25317958284</v>
      </c>
    </row>
    <row r="1126" customFormat="false" ht="15" hidden="false" customHeight="false" outlineLevel="0" collapsed="false">
      <c r="A1126" s="0" t="n">
        <v>1122</v>
      </c>
      <c r="B1126" s="0" t="n">
        <v>2</v>
      </c>
      <c r="C1126" s="19" t="n">
        <v>0.0024</v>
      </c>
      <c r="D1126" s="19" t="n">
        <v>0.0043</v>
      </c>
      <c r="E1126" s="20" t="n">
        <f aca="false">Parametres!$B$5*C1126</f>
        <v>0.72</v>
      </c>
      <c r="F1126" s="20" t="n">
        <f aca="false">Parametres!$B$6*D1126</f>
        <v>0.86</v>
      </c>
      <c r="G1126" s="20" t="n">
        <f aca="false">E1126+F1126</f>
        <v>1.58</v>
      </c>
      <c r="H1126" s="20" t="n">
        <f aca="false">IF(G1126&lt;Parametres!$B$8*Parametres!$B$7,0,MIN(G1126,Parametres!$B$7))</f>
        <v>0</v>
      </c>
      <c r="I1126" s="20" t="n">
        <f aca="false">G1126-H1126</f>
        <v>1.58</v>
      </c>
      <c r="J1126" s="21" t="n">
        <f aca="false">H1126*1000/Parametres!$B$9</f>
        <v>0</v>
      </c>
    </row>
    <row r="1127" customFormat="false" ht="15" hidden="false" customHeight="false" outlineLevel="0" collapsed="false">
      <c r="A1127" s="0" t="n">
        <v>1123</v>
      </c>
      <c r="B1127" s="0" t="n">
        <v>2</v>
      </c>
      <c r="C1127" s="19" t="n">
        <v>0</v>
      </c>
      <c r="D1127" s="19" t="n">
        <v>0.0001</v>
      </c>
      <c r="E1127" s="20" t="n">
        <f aca="false">Parametres!$B$5*C1127</f>
        <v>0</v>
      </c>
      <c r="F1127" s="20" t="n">
        <f aca="false">Parametres!$B$6*D1127</f>
        <v>0.02</v>
      </c>
      <c r="G1127" s="20" t="n">
        <f aca="false">E1127+F1127</f>
        <v>0.02</v>
      </c>
      <c r="H1127" s="20" t="n">
        <f aca="false">IF(G1127&lt;Parametres!$B$8*Parametres!$B$7,0,MIN(G1127,Parametres!$B$7))</f>
        <v>0</v>
      </c>
      <c r="I1127" s="20" t="n">
        <f aca="false">G1127-H1127</f>
        <v>0.02</v>
      </c>
      <c r="J1127" s="21" t="n">
        <f aca="false">H1127*1000/Parametres!$B$9</f>
        <v>0</v>
      </c>
    </row>
    <row r="1128" customFormat="false" ht="15" hidden="false" customHeight="false" outlineLevel="0" collapsed="false">
      <c r="A1128" s="0" t="n">
        <v>1124</v>
      </c>
      <c r="B1128" s="0" t="n">
        <v>2</v>
      </c>
      <c r="C1128" s="19" t="n">
        <v>0</v>
      </c>
      <c r="D1128" s="19" t="n">
        <v>0</v>
      </c>
      <c r="E1128" s="20" t="n">
        <f aca="false">Parametres!$B$5*C1128</f>
        <v>0</v>
      </c>
      <c r="F1128" s="20" t="n">
        <f aca="false">Parametres!$B$6*D1128</f>
        <v>0</v>
      </c>
      <c r="G1128" s="20" t="n">
        <f aca="false">E1128+F1128</f>
        <v>0</v>
      </c>
      <c r="H1128" s="20" t="n">
        <f aca="false">IF(G1128&lt;Parametres!$B$8*Parametres!$B$7,0,MIN(G1128,Parametres!$B$7))</f>
        <v>0</v>
      </c>
      <c r="I1128" s="20" t="n">
        <f aca="false">G1128-H1128</f>
        <v>0</v>
      </c>
      <c r="J1128" s="21" t="n">
        <f aca="false">H1128*1000/Parametres!$B$9</f>
        <v>0</v>
      </c>
    </row>
    <row r="1129" customFormat="false" ht="15" hidden="false" customHeight="false" outlineLevel="0" collapsed="false">
      <c r="A1129" s="0" t="n">
        <v>1125</v>
      </c>
      <c r="B1129" s="0" t="n">
        <v>2</v>
      </c>
      <c r="C1129" s="19" t="n">
        <v>0</v>
      </c>
      <c r="D1129" s="19" t="n">
        <v>0.0001</v>
      </c>
      <c r="E1129" s="20" t="n">
        <f aca="false">Parametres!$B$5*C1129</f>
        <v>0</v>
      </c>
      <c r="F1129" s="20" t="n">
        <f aca="false">Parametres!$B$6*D1129</f>
        <v>0.02</v>
      </c>
      <c r="G1129" s="20" t="n">
        <f aca="false">E1129+F1129</f>
        <v>0.02</v>
      </c>
      <c r="H1129" s="20" t="n">
        <f aca="false">IF(G1129&lt;Parametres!$B$8*Parametres!$B$7,0,MIN(G1129,Parametres!$B$7))</f>
        <v>0</v>
      </c>
      <c r="I1129" s="20" t="n">
        <f aca="false">G1129-H1129</f>
        <v>0.02</v>
      </c>
      <c r="J1129" s="21" t="n">
        <f aca="false">H1129*1000/Parametres!$B$9</f>
        <v>0</v>
      </c>
    </row>
    <row r="1130" customFormat="false" ht="15" hidden="false" customHeight="false" outlineLevel="0" collapsed="false">
      <c r="A1130" s="0" t="n">
        <v>1126</v>
      </c>
      <c r="B1130" s="0" t="n">
        <v>2</v>
      </c>
      <c r="C1130" s="19" t="n">
        <v>0</v>
      </c>
      <c r="D1130" s="19" t="n">
        <v>0</v>
      </c>
      <c r="E1130" s="20" t="n">
        <f aca="false">Parametres!$B$5*C1130</f>
        <v>0</v>
      </c>
      <c r="F1130" s="20" t="n">
        <f aca="false">Parametres!$B$6*D1130</f>
        <v>0</v>
      </c>
      <c r="G1130" s="20" t="n">
        <f aca="false">E1130+F1130</f>
        <v>0</v>
      </c>
      <c r="H1130" s="20" t="n">
        <f aca="false">IF(G1130&lt;Parametres!$B$8*Parametres!$B$7,0,MIN(G1130,Parametres!$B$7))</f>
        <v>0</v>
      </c>
      <c r="I1130" s="20" t="n">
        <f aca="false">G1130-H1130</f>
        <v>0</v>
      </c>
      <c r="J1130" s="21" t="n">
        <f aca="false">H1130*1000/Parametres!$B$9</f>
        <v>0</v>
      </c>
    </row>
    <row r="1131" customFormat="false" ht="15" hidden="false" customHeight="false" outlineLevel="0" collapsed="false">
      <c r="A1131" s="0" t="n">
        <v>1127</v>
      </c>
      <c r="B1131" s="0" t="n">
        <v>2</v>
      </c>
      <c r="C1131" s="19" t="n">
        <v>0</v>
      </c>
      <c r="D1131" s="19" t="n">
        <v>0</v>
      </c>
      <c r="E1131" s="20" t="n">
        <f aca="false">Parametres!$B$5*C1131</f>
        <v>0</v>
      </c>
      <c r="F1131" s="20" t="n">
        <f aca="false">Parametres!$B$6*D1131</f>
        <v>0</v>
      </c>
      <c r="G1131" s="20" t="n">
        <f aca="false">E1131+F1131</f>
        <v>0</v>
      </c>
      <c r="H1131" s="20" t="n">
        <f aca="false">IF(G1131&lt;Parametres!$B$8*Parametres!$B$7,0,MIN(G1131,Parametres!$B$7))</f>
        <v>0</v>
      </c>
      <c r="I1131" s="20" t="n">
        <f aca="false">G1131-H1131</f>
        <v>0</v>
      </c>
      <c r="J1131" s="21" t="n">
        <f aca="false">H1131*1000/Parametres!$B$9</f>
        <v>0</v>
      </c>
    </row>
    <row r="1132" customFormat="false" ht="15" hidden="false" customHeight="false" outlineLevel="0" collapsed="false">
      <c r="A1132" s="0" t="n">
        <v>1128</v>
      </c>
      <c r="B1132" s="0" t="n">
        <v>2</v>
      </c>
      <c r="C1132" s="19" t="n">
        <v>0</v>
      </c>
      <c r="D1132" s="19" t="n">
        <v>0</v>
      </c>
      <c r="E1132" s="20" t="n">
        <f aca="false">Parametres!$B$5*C1132</f>
        <v>0</v>
      </c>
      <c r="F1132" s="20" t="n">
        <f aca="false">Parametres!$B$6*D1132</f>
        <v>0</v>
      </c>
      <c r="G1132" s="20" t="n">
        <f aca="false">E1132+F1132</f>
        <v>0</v>
      </c>
      <c r="H1132" s="20" t="n">
        <f aca="false">IF(G1132&lt;Parametres!$B$8*Parametres!$B$7,0,MIN(G1132,Parametres!$B$7))</f>
        <v>0</v>
      </c>
      <c r="I1132" s="20" t="n">
        <f aca="false">G1132-H1132</f>
        <v>0</v>
      </c>
      <c r="J1132" s="21" t="n">
        <f aca="false">H1132*1000/Parametres!$B$9</f>
        <v>0</v>
      </c>
    </row>
    <row r="1133" customFormat="false" ht="15" hidden="false" customHeight="false" outlineLevel="0" collapsed="false">
      <c r="A1133" s="0" t="n">
        <v>1129</v>
      </c>
      <c r="B1133" s="0" t="n">
        <v>2</v>
      </c>
      <c r="C1133" s="19" t="n">
        <v>0</v>
      </c>
      <c r="D1133" s="19" t="n">
        <v>0</v>
      </c>
      <c r="E1133" s="20" t="n">
        <f aca="false">Parametres!$B$5*C1133</f>
        <v>0</v>
      </c>
      <c r="F1133" s="20" t="n">
        <f aca="false">Parametres!$B$6*D1133</f>
        <v>0</v>
      </c>
      <c r="G1133" s="20" t="n">
        <f aca="false">E1133+F1133</f>
        <v>0</v>
      </c>
      <c r="H1133" s="20" t="n">
        <f aca="false">IF(G1133&lt;Parametres!$B$8*Parametres!$B$7,0,MIN(G1133,Parametres!$B$7))</f>
        <v>0</v>
      </c>
      <c r="I1133" s="20" t="n">
        <f aca="false">G1133-H1133</f>
        <v>0</v>
      </c>
      <c r="J1133" s="21" t="n">
        <f aca="false">H1133*1000/Parametres!$B$9</f>
        <v>0</v>
      </c>
    </row>
    <row r="1134" customFormat="false" ht="15" hidden="false" customHeight="false" outlineLevel="0" collapsed="false">
      <c r="A1134" s="0" t="n">
        <v>1130</v>
      </c>
      <c r="B1134" s="0" t="n">
        <v>2</v>
      </c>
      <c r="C1134" s="19" t="n">
        <v>0</v>
      </c>
      <c r="D1134" s="19" t="n">
        <v>0</v>
      </c>
      <c r="E1134" s="20" t="n">
        <f aca="false">Parametres!$B$5*C1134</f>
        <v>0</v>
      </c>
      <c r="F1134" s="20" t="n">
        <f aca="false">Parametres!$B$6*D1134</f>
        <v>0</v>
      </c>
      <c r="G1134" s="20" t="n">
        <f aca="false">E1134+F1134</f>
        <v>0</v>
      </c>
      <c r="H1134" s="20" t="n">
        <f aca="false">IF(G1134&lt;Parametres!$B$8*Parametres!$B$7,0,MIN(G1134,Parametres!$B$7))</f>
        <v>0</v>
      </c>
      <c r="I1134" s="20" t="n">
        <f aca="false">G1134-H1134</f>
        <v>0</v>
      </c>
      <c r="J1134" s="21" t="n">
        <f aca="false">H1134*1000/Parametres!$B$9</f>
        <v>0</v>
      </c>
    </row>
    <row r="1135" customFormat="false" ht="15" hidden="false" customHeight="false" outlineLevel="0" collapsed="false">
      <c r="A1135" s="0" t="n">
        <v>1131</v>
      </c>
      <c r="B1135" s="0" t="n">
        <v>2</v>
      </c>
      <c r="C1135" s="19" t="n">
        <v>0</v>
      </c>
      <c r="D1135" s="19" t="n">
        <v>0</v>
      </c>
      <c r="E1135" s="20" t="n">
        <f aca="false">Parametres!$B$5*C1135</f>
        <v>0</v>
      </c>
      <c r="F1135" s="20" t="n">
        <f aca="false">Parametres!$B$6*D1135</f>
        <v>0</v>
      </c>
      <c r="G1135" s="20" t="n">
        <f aca="false">E1135+F1135</f>
        <v>0</v>
      </c>
      <c r="H1135" s="20" t="n">
        <f aca="false">IF(G1135&lt;Parametres!$B$8*Parametres!$B$7,0,MIN(G1135,Parametres!$B$7))</f>
        <v>0</v>
      </c>
      <c r="I1135" s="20" t="n">
        <f aca="false">G1135-H1135</f>
        <v>0</v>
      </c>
      <c r="J1135" s="21" t="n">
        <f aca="false">H1135*1000/Parametres!$B$9</f>
        <v>0</v>
      </c>
    </row>
    <row r="1136" customFormat="false" ht="15" hidden="false" customHeight="false" outlineLevel="0" collapsed="false">
      <c r="A1136" s="0" t="n">
        <v>1132</v>
      </c>
      <c r="B1136" s="0" t="n">
        <v>2</v>
      </c>
      <c r="C1136" s="19" t="n">
        <v>0</v>
      </c>
      <c r="D1136" s="19" t="n">
        <v>0</v>
      </c>
      <c r="E1136" s="20" t="n">
        <f aca="false">Parametres!$B$5*C1136</f>
        <v>0</v>
      </c>
      <c r="F1136" s="20" t="n">
        <f aca="false">Parametres!$B$6*D1136</f>
        <v>0</v>
      </c>
      <c r="G1136" s="20" t="n">
        <f aca="false">E1136+F1136</f>
        <v>0</v>
      </c>
      <c r="H1136" s="20" t="n">
        <f aca="false">IF(G1136&lt;Parametres!$B$8*Parametres!$B$7,0,MIN(G1136,Parametres!$B$7))</f>
        <v>0</v>
      </c>
      <c r="I1136" s="20" t="n">
        <f aca="false">G1136-H1136</f>
        <v>0</v>
      </c>
      <c r="J1136" s="21" t="n">
        <f aca="false">H1136*1000/Parametres!$B$9</f>
        <v>0</v>
      </c>
    </row>
    <row r="1137" customFormat="false" ht="15" hidden="false" customHeight="false" outlineLevel="0" collapsed="false">
      <c r="A1137" s="0" t="n">
        <v>1133</v>
      </c>
      <c r="B1137" s="0" t="n">
        <v>2</v>
      </c>
      <c r="C1137" s="19" t="n">
        <v>0</v>
      </c>
      <c r="D1137" s="19" t="n">
        <v>0</v>
      </c>
      <c r="E1137" s="20" t="n">
        <f aca="false">Parametres!$B$5*C1137</f>
        <v>0</v>
      </c>
      <c r="F1137" s="20" t="n">
        <f aca="false">Parametres!$B$6*D1137</f>
        <v>0</v>
      </c>
      <c r="G1137" s="20" t="n">
        <f aca="false">E1137+F1137</f>
        <v>0</v>
      </c>
      <c r="H1137" s="20" t="n">
        <f aca="false">IF(G1137&lt;Parametres!$B$8*Parametres!$B$7,0,MIN(G1137,Parametres!$B$7))</f>
        <v>0</v>
      </c>
      <c r="I1137" s="20" t="n">
        <f aca="false">G1137-H1137</f>
        <v>0</v>
      </c>
      <c r="J1137" s="21" t="n">
        <f aca="false">H1137*1000/Parametres!$B$9</f>
        <v>0</v>
      </c>
    </row>
    <row r="1138" customFormat="false" ht="15" hidden="false" customHeight="false" outlineLevel="0" collapsed="false">
      <c r="A1138" s="0" t="n">
        <v>1134</v>
      </c>
      <c r="B1138" s="0" t="n">
        <v>2</v>
      </c>
      <c r="C1138" s="19" t="n">
        <v>0</v>
      </c>
      <c r="D1138" s="19" t="n">
        <v>0</v>
      </c>
      <c r="E1138" s="20" t="n">
        <f aca="false">Parametres!$B$5*C1138</f>
        <v>0</v>
      </c>
      <c r="F1138" s="20" t="n">
        <f aca="false">Parametres!$B$6*D1138</f>
        <v>0</v>
      </c>
      <c r="G1138" s="20" t="n">
        <f aca="false">E1138+F1138</f>
        <v>0</v>
      </c>
      <c r="H1138" s="20" t="n">
        <f aca="false">IF(G1138&lt;Parametres!$B$8*Parametres!$B$7,0,MIN(G1138,Parametres!$B$7))</f>
        <v>0</v>
      </c>
      <c r="I1138" s="20" t="n">
        <f aca="false">G1138-H1138</f>
        <v>0</v>
      </c>
      <c r="J1138" s="21" t="n">
        <f aca="false">H1138*1000/Parametres!$B$9</f>
        <v>0</v>
      </c>
    </row>
    <row r="1139" customFormat="false" ht="15" hidden="false" customHeight="false" outlineLevel="0" collapsed="false">
      <c r="A1139" s="0" t="n">
        <v>1135</v>
      </c>
      <c r="B1139" s="0" t="n">
        <v>2</v>
      </c>
      <c r="C1139" s="19" t="n">
        <v>0.004</v>
      </c>
      <c r="D1139" s="19" t="n">
        <v>0</v>
      </c>
      <c r="E1139" s="20" t="n">
        <f aca="false">Parametres!$B$5*C1139</f>
        <v>1.2</v>
      </c>
      <c r="F1139" s="20" t="n">
        <f aca="false">Parametres!$B$6*D1139</f>
        <v>0</v>
      </c>
      <c r="G1139" s="20" t="n">
        <f aca="false">E1139+F1139</f>
        <v>1.2</v>
      </c>
      <c r="H1139" s="20" t="n">
        <f aca="false">IF(G1139&lt;Parametres!$B$8*Parametres!$B$7,0,MIN(G1139,Parametres!$B$7))</f>
        <v>0</v>
      </c>
      <c r="I1139" s="20" t="n">
        <f aca="false">G1139-H1139</f>
        <v>1.2</v>
      </c>
      <c r="J1139" s="21" t="n">
        <f aca="false">H1139*1000/Parametres!$B$9</f>
        <v>0</v>
      </c>
    </row>
    <row r="1140" customFormat="false" ht="15" hidden="false" customHeight="false" outlineLevel="0" collapsed="false">
      <c r="A1140" s="0" t="n">
        <v>1136</v>
      </c>
      <c r="B1140" s="0" t="n">
        <v>2</v>
      </c>
      <c r="C1140" s="19" t="n">
        <v>0.2125</v>
      </c>
      <c r="D1140" s="19" t="n">
        <v>0</v>
      </c>
      <c r="E1140" s="20" t="n">
        <f aca="false">Parametres!$B$5*C1140</f>
        <v>63.75</v>
      </c>
      <c r="F1140" s="20" t="n">
        <f aca="false">Parametres!$B$6*D1140</f>
        <v>0</v>
      </c>
      <c r="G1140" s="20" t="n">
        <f aca="false">E1140+F1140</f>
        <v>63.75</v>
      </c>
      <c r="H1140" s="20" t="n">
        <f aca="false">IF(G1140&lt;Parametres!$B$8*Parametres!$B$7,0,MIN(G1140,Parametres!$B$7))</f>
        <v>63.75</v>
      </c>
      <c r="I1140" s="20" t="n">
        <f aca="false">G1140-H1140</f>
        <v>0</v>
      </c>
      <c r="J1140" s="21" t="n">
        <f aca="false">H1140*1000/Parametres!$B$9</f>
        <v>1081.05816516873</v>
      </c>
    </row>
    <row r="1141" customFormat="false" ht="15" hidden="false" customHeight="false" outlineLevel="0" collapsed="false">
      <c r="A1141" s="0" t="n">
        <v>1137</v>
      </c>
      <c r="B1141" s="0" t="n">
        <v>2</v>
      </c>
      <c r="C1141" s="19" t="n">
        <v>0.4511</v>
      </c>
      <c r="D1141" s="19" t="n">
        <v>0</v>
      </c>
      <c r="E1141" s="20" t="n">
        <f aca="false">Parametres!$B$5*C1141</f>
        <v>135.33</v>
      </c>
      <c r="F1141" s="20" t="n">
        <f aca="false">Parametres!$B$6*D1141</f>
        <v>0</v>
      </c>
      <c r="G1141" s="20" t="n">
        <f aca="false">E1141+F1141</f>
        <v>135.33</v>
      </c>
      <c r="H1141" s="20" t="n">
        <f aca="false">IF(G1141&lt;Parametres!$B$8*Parametres!$B$7,0,MIN(G1141,Parametres!$B$7))</f>
        <v>135.33</v>
      </c>
      <c r="I1141" s="20" t="n">
        <f aca="false">G1141-H1141</f>
        <v>0</v>
      </c>
      <c r="J1141" s="21" t="n">
        <f aca="false">H1141*1000/Parametres!$B$9</f>
        <v>2294.89570968289</v>
      </c>
    </row>
    <row r="1142" customFormat="false" ht="15" hidden="false" customHeight="false" outlineLevel="0" collapsed="false">
      <c r="A1142" s="0" t="n">
        <v>1138</v>
      </c>
      <c r="B1142" s="0" t="n">
        <v>2</v>
      </c>
      <c r="C1142" s="19" t="n">
        <v>0.6754</v>
      </c>
      <c r="D1142" s="19" t="n">
        <v>0</v>
      </c>
      <c r="E1142" s="20" t="n">
        <f aca="false">Parametres!$B$5*C1142</f>
        <v>202.62</v>
      </c>
      <c r="F1142" s="20" t="n">
        <f aca="false">Parametres!$B$6*D1142</f>
        <v>0</v>
      </c>
      <c r="G1142" s="20" t="n">
        <f aca="false">E1142+F1142</f>
        <v>202.62</v>
      </c>
      <c r="H1142" s="20" t="n">
        <f aca="false">IF(G1142&lt;Parametres!$B$8*Parametres!$B$7,0,MIN(G1142,Parametres!$B$7))</f>
        <v>202.62</v>
      </c>
      <c r="I1142" s="20" t="n">
        <f aca="false">G1142-H1142</f>
        <v>0</v>
      </c>
      <c r="J1142" s="21" t="n">
        <f aca="false">H1142*1000/Parametres!$B$9</f>
        <v>3435.98439884687</v>
      </c>
    </row>
    <row r="1143" customFormat="false" ht="15" hidden="false" customHeight="false" outlineLevel="0" collapsed="false">
      <c r="A1143" s="0" t="n">
        <v>1139</v>
      </c>
      <c r="B1143" s="0" t="n">
        <v>2</v>
      </c>
      <c r="C1143" s="19" t="n">
        <v>0.8387</v>
      </c>
      <c r="D1143" s="19" t="n">
        <v>0</v>
      </c>
      <c r="E1143" s="20" t="n">
        <f aca="false">Parametres!$B$5*C1143</f>
        <v>251.61</v>
      </c>
      <c r="F1143" s="20" t="n">
        <f aca="false">Parametres!$B$6*D1143</f>
        <v>0</v>
      </c>
      <c r="G1143" s="20" t="n">
        <f aca="false">E1143+F1143</f>
        <v>251.61</v>
      </c>
      <c r="H1143" s="20" t="n">
        <f aca="false">IF(G1143&lt;Parametres!$B$8*Parametres!$B$7,0,MIN(G1143,Parametres!$B$7))</f>
        <v>250</v>
      </c>
      <c r="I1143" s="20" t="n">
        <f aca="false">G1143-H1143</f>
        <v>1.61000000000001</v>
      </c>
      <c r="J1143" s="21" t="n">
        <f aca="false">H1143*1000/Parametres!$B$9</f>
        <v>4239.44378497541</v>
      </c>
    </row>
    <row r="1144" customFormat="false" ht="15" hidden="false" customHeight="false" outlineLevel="0" collapsed="false">
      <c r="A1144" s="0" t="n">
        <v>1140</v>
      </c>
      <c r="B1144" s="0" t="n">
        <v>2</v>
      </c>
      <c r="C1144" s="19" t="n">
        <v>0.8821</v>
      </c>
      <c r="D1144" s="19" t="n">
        <v>0</v>
      </c>
      <c r="E1144" s="20" t="n">
        <f aca="false">Parametres!$B$5*C1144</f>
        <v>264.63</v>
      </c>
      <c r="F1144" s="20" t="n">
        <f aca="false">Parametres!$B$6*D1144</f>
        <v>0</v>
      </c>
      <c r="G1144" s="20" t="n">
        <f aca="false">E1144+F1144</f>
        <v>264.63</v>
      </c>
      <c r="H1144" s="20" t="n">
        <f aca="false">IF(G1144&lt;Parametres!$B$8*Parametres!$B$7,0,MIN(G1144,Parametres!$B$7))</f>
        <v>250</v>
      </c>
      <c r="I1144" s="20" t="n">
        <f aca="false">G1144-H1144</f>
        <v>14.63</v>
      </c>
      <c r="J1144" s="21" t="n">
        <f aca="false">H1144*1000/Parametres!$B$9</f>
        <v>4239.44378497541</v>
      </c>
    </row>
    <row r="1145" customFormat="false" ht="15" hidden="false" customHeight="false" outlineLevel="0" collapsed="false">
      <c r="A1145" s="0" t="n">
        <v>1141</v>
      </c>
      <c r="B1145" s="0" t="n">
        <v>2</v>
      </c>
      <c r="C1145" s="19" t="n">
        <v>0.798</v>
      </c>
      <c r="D1145" s="19" t="n">
        <v>0</v>
      </c>
      <c r="E1145" s="20" t="n">
        <f aca="false">Parametres!$B$5*C1145</f>
        <v>239.4</v>
      </c>
      <c r="F1145" s="20" t="n">
        <f aca="false">Parametres!$B$6*D1145</f>
        <v>0</v>
      </c>
      <c r="G1145" s="20" t="n">
        <f aca="false">E1145+F1145</f>
        <v>239.4</v>
      </c>
      <c r="H1145" s="20" t="n">
        <f aca="false">IF(G1145&lt;Parametres!$B$8*Parametres!$B$7,0,MIN(G1145,Parametres!$B$7))</f>
        <v>239.4</v>
      </c>
      <c r="I1145" s="20" t="n">
        <f aca="false">G1145-H1145</f>
        <v>0</v>
      </c>
      <c r="J1145" s="21" t="n">
        <f aca="false">H1145*1000/Parametres!$B$9</f>
        <v>4059.69136849245</v>
      </c>
    </row>
    <row r="1146" customFormat="false" ht="15" hidden="false" customHeight="false" outlineLevel="0" collapsed="false">
      <c r="A1146" s="0" t="n">
        <v>1142</v>
      </c>
      <c r="B1146" s="0" t="n">
        <v>2</v>
      </c>
      <c r="C1146" s="19" t="n">
        <v>0.7501</v>
      </c>
      <c r="D1146" s="19" t="n">
        <v>0</v>
      </c>
      <c r="E1146" s="20" t="n">
        <f aca="false">Parametres!$B$5*C1146</f>
        <v>225.03</v>
      </c>
      <c r="F1146" s="20" t="n">
        <f aca="false">Parametres!$B$6*D1146</f>
        <v>0</v>
      </c>
      <c r="G1146" s="20" t="n">
        <f aca="false">E1146+F1146</f>
        <v>225.03</v>
      </c>
      <c r="H1146" s="20" t="n">
        <f aca="false">IF(G1146&lt;Parametres!$B$8*Parametres!$B$7,0,MIN(G1146,Parametres!$B$7))</f>
        <v>225.03</v>
      </c>
      <c r="I1146" s="20" t="n">
        <f aca="false">G1146-H1146</f>
        <v>0</v>
      </c>
      <c r="J1146" s="21" t="n">
        <f aca="false">H1146*1000/Parametres!$B$9</f>
        <v>3816.00813973207</v>
      </c>
    </row>
    <row r="1147" customFormat="false" ht="15" hidden="false" customHeight="false" outlineLevel="0" collapsed="false">
      <c r="A1147" s="0" t="n">
        <v>1143</v>
      </c>
      <c r="B1147" s="0" t="n">
        <v>2</v>
      </c>
      <c r="C1147" s="19" t="n">
        <v>0.6277</v>
      </c>
      <c r="D1147" s="19" t="n">
        <v>0</v>
      </c>
      <c r="E1147" s="20" t="n">
        <f aca="false">Parametres!$B$5*C1147</f>
        <v>188.31</v>
      </c>
      <c r="F1147" s="20" t="n">
        <f aca="false">Parametres!$B$6*D1147</f>
        <v>0</v>
      </c>
      <c r="G1147" s="20" t="n">
        <f aca="false">E1147+F1147</f>
        <v>188.31</v>
      </c>
      <c r="H1147" s="20" t="n">
        <f aca="false">IF(G1147&lt;Parametres!$B$8*Parametres!$B$7,0,MIN(G1147,Parametres!$B$7))</f>
        <v>188.31</v>
      </c>
      <c r="I1147" s="20" t="n">
        <f aca="false">G1147-H1147</f>
        <v>0</v>
      </c>
      <c r="J1147" s="21" t="n">
        <f aca="false">H1147*1000/Parametres!$B$9</f>
        <v>3193.31863659488</v>
      </c>
    </row>
    <row r="1148" customFormat="false" ht="15" hidden="false" customHeight="false" outlineLevel="0" collapsed="false">
      <c r="A1148" s="0" t="n">
        <v>1144</v>
      </c>
      <c r="B1148" s="0" t="n">
        <v>2</v>
      </c>
      <c r="C1148" s="19" t="n">
        <v>0.4648</v>
      </c>
      <c r="D1148" s="19" t="n">
        <v>0</v>
      </c>
      <c r="E1148" s="20" t="n">
        <f aca="false">Parametres!$B$5*C1148</f>
        <v>139.44</v>
      </c>
      <c r="F1148" s="20" t="n">
        <f aca="false">Parametres!$B$6*D1148</f>
        <v>0</v>
      </c>
      <c r="G1148" s="20" t="n">
        <f aca="false">E1148+F1148</f>
        <v>139.44</v>
      </c>
      <c r="H1148" s="20" t="n">
        <f aca="false">IF(G1148&lt;Parametres!$B$8*Parametres!$B$7,0,MIN(G1148,Parametres!$B$7))</f>
        <v>139.44</v>
      </c>
      <c r="I1148" s="20" t="n">
        <f aca="false">G1148-H1148</f>
        <v>0</v>
      </c>
      <c r="J1148" s="21" t="n">
        <f aca="false">H1148*1000/Parametres!$B$9</f>
        <v>2364.59216550789</v>
      </c>
    </row>
    <row r="1149" customFormat="false" ht="15" hidden="false" customHeight="false" outlineLevel="0" collapsed="false">
      <c r="A1149" s="0" t="n">
        <v>1145</v>
      </c>
      <c r="B1149" s="0" t="n">
        <v>2</v>
      </c>
      <c r="C1149" s="19" t="n">
        <v>0.2149</v>
      </c>
      <c r="D1149" s="19" t="n">
        <v>0</v>
      </c>
      <c r="E1149" s="20" t="n">
        <f aca="false">Parametres!$B$5*C1149</f>
        <v>64.47</v>
      </c>
      <c r="F1149" s="20" t="n">
        <f aca="false">Parametres!$B$6*D1149</f>
        <v>0</v>
      </c>
      <c r="G1149" s="20" t="n">
        <f aca="false">E1149+F1149</f>
        <v>64.47</v>
      </c>
      <c r="H1149" s="20" t="n">
        <f aca="false">IF(G1149&lt;Parametres!$B$8*Parametres!$B$7,0,MIN(G1149,Parametres!$B$7))</f>
        <v>64.47</v>
      </c>
      <c r="I1149" s="20" t="n">
        <f aca="false">G1149-H1149</f>
        <v>0</v>
      </c>
      <c r="J1149" s="21" t="n">
        <f aca="false">H1149*1000/Parametres!$B$9</f>
        <v>1093.26776326946</v>
      </c>
    </row>
    <row r="1150" customFormat="false" ht="15" hidden="false" customHeight="false" outlineLevel="0" collapsed="false">
      <c r="A1150" s="0" t="n">
        <v>1146</v>
      </c>
      <c r="B1150" s="0" t="n">
        <v>2</v>
      </c>
      <c r="C1150" s="19" t="n">
        <v>0.0041</v>
      </c>
      <c r="D1150" s="19" t="n">
        <v>0</v>
      </c>
      <c r="E1150" s="20" t="n">
        <f aca="false">Parametres!$B$5*C1150</f>
        <v>1.23</v>
      </c>
      <c r="F1150" s="20" t="n">
        <f aca="false">Parametres!$B$6*D1150</f>
        <v>0</v>
      </c>
      <c r="G1150" s="20" t="n">
        <f aca="false">E1150+F1150</f>
        <v>1.23</v>
      </c>
      <c r="H1150" s="20" t="n">
        <f aca="false">IF(G1150&lt;Parametres!$B$8*Parametres!$B$7,0,MIN(G1150,Parametres!$B$7))</f>
        <v>0</v>
      </c>
      <c r="I1150" s="20" t="n">
        <f aca="false">G1150-H1150</f>
        <v>1.23</v>
      </c>
      <c r="J1150" s="21" t="n">
        <f aca="false">H1150*1000/Parametres!$B$9</f>
        <v>0</v>
      </c>
    </row>
    <row r="1151" customFormat="false" ht="15" hidden="false" customHeight="false" outlineLevel="0" collapsed="false">
      <c r="A1151" s="0" t="n">
        <v>1147</v>
      </c>
      <c r="B1151" s="0" t="n">
        <v>2</v>
      </c>
      <c r="C1151" s="19" t="n">
        <v>0</v>
      </c>
      <c r="D1151" s="19" t="n">
        <v>0.0009</v>
      </c>
      <c r="E1151" s="20" t="n">
        <f aca="false">Parametres!$B$5*C1151</f>
        <v>0</v>
      </c>
      <c r="F1151" s="20" t="n">
        <f aca="false">Parametres!$B$6*D1151</f>
        <v>0.18</v>
      </c>
      <c r="G1151" s="20" t="n">
        <f aca="false">E1151+F1151</f>
        <v>0.18</v>
      </c>
      <c r="H1151" s="20" t="n">
        <f aca="false">IF(G1151&lt;Parametres!$B$8*Parametres!$B$7,0,MIN(G1151,Parametres!$B$7))</f>
        <v>0</v>
      </c>
      <c r="I1151" s="20" t="n">
        <f aca="false">G1151-H1151</f>
        <v>0.18</v>
      </c>
      <c r="J1151" s="21" t="n">
        <f aca="false">H1151*1000/Parametres!$B$9</f>
        <v>0</v>
      </c>
    </row>
    <row r="1152" customFormat="false" ht="15" hidden="false" customHeight="false" outlineLevel="0" collapsed="false">
      <c r="A1152" s="0" t="n">
        <v>1148</v>
      </c>
      <c r="B1152" s="0" t="n">
        <v>2</v>
      </c>
      <c r="C1152" s="19" t="n">
        <v>0</v>
      </c>
      <c r="D1152" s="19" t="n">
        <v>0.0042</v>
      </c>
      <c r="E1152" s="20" t="n">
        <f aca="false">Parametres!$B$5*C1152</f>
        <v>0</v>
      </c>
      <c r="F1152" s="20" t="n">
        <f aca="false">Parametres!$B$6*D1152</f>
        <v>0.84</v>
      </c>
      <c r="G1152" s="20" t="n">
        <f aca="false">E1152+F1152</f>
        <v>0.84</v>
      </c>
      <c r="H1152" s="20" t="n">
        <f aca="false">IF(G1152&lt;Parametres!$B$8*Parametres!$B$7,0,MIN(G1152,Parametres!$B$7))</f>
        <v>0</v>
      </c>
      <c r="I1152" s="20" t="n">
        <f aca="false">G1152-H1152</f>
        <v>0.84</v>
      </c>
      <c r="J1152" s="21" t="n">
        <f aca="false">H1152*1000/Parametres!$B$9</f>
        <v>0</v>
      </c>
    </row>
    <row r="1153" customFormat="false" ht="15" hidden="false" customHeight="false" outlineLevel="0" collapsed="false">
      <c r="A1153" s="0" t="n">
        <v>1149</v>
      </c>
      <c r="B1153" s="0" t="n">
        <v>2</v>
      </c>
      <c r="C1153" s="19" t="n">
        <v>0</v>
      </c>
      <c r="D1153" s="19" t="n">
        <v>0.0019</v>
      </c>
      <c r="E1153" s="20" t="n">
        <f aca="false">Parametres!$B$5*C1153</f>
        <v>0</v>
      </c>
      <c r="F1153" s="20" t="n">
        <f aca="false">Parametres!$B$6*D1153</f>
        <v>0.38</v>
      </c>
      <c r="G1153" s="20" t="n">
        <f aca="false">E1153+F1153</f>
        <v>0.38</v>
      </c>
      <c r="H1153" s="20" t="n">
        <f aca="false">IF(G1153&lt;Parametres!$B$8*Parametres!$B$7,0,MIN(G1153,Parametres!$B$7))</f>
        <v>0</v>
      </c>
      <c r="I1153" s="20" t="n">
        <f aca="false">G1153-H1153</f>
        <v>0.38</v>
      </c>
      <c r="J1153" s="21" t="n">
        <f aca="false">H1153*1000/Parametres!$B$9</f>
        <v>0</v>
      </c>
    </row>
    <row r="1154" customFormat="false" ht="15" hidden="false" customHeight="false" outlineLevel="0" collapsed="false">
      <c r="A1154" s="0" t="n">
        <v>1150</v>
      </c>
      <c r="B1154" s="0" t="n">
        <v>2</v>
      </c>
      <c r="C1154" s="19" t="n">
        <v>0</v>
      </c>
      <c r="D1154" s="19" t="n">
        <v>0.0038</v>
      </c>
      <c r="E1154" s="20" t="n">
        <f aca="false">Parametres!$B$5*C1154</f>
        <v>0</v>
      </c>
      <c r="F1154" s="20" t="n">
        <f aca="false">Parametres!$B$6*D1154</f>
        <v>0.76</v>
      </c>
      <c r="G1154" s="20" t="n">
        <f aca="false">E1154+F1154</f>
        <v>0.76</v>
      </c>
      <c r="H1154" s="20" t="n">
        <f aca="false">IF(G1154&lt;Parametres!$B$8*Parametres!$B$7,0,MIN(G1154,Parametres!$B$7))</f>
        <v>0</v>
      </c>
      <c r="I1154" s="20" t="n">
        <f aca="false">G1154-H1154</f>
        <v>0.76</v>
      </c>
      <c r="J1154" s="21" t="n">
        <f aca="false">H1154*1000/Parametres!$B$9</f>
        <v>0</v>
      </c>
    </row>
    <row r="1155" customFormat="false" ht="15" hidden="false" customHeight="false" outlineLevel="0" collapsed="false">
      <c r="A1155" s="0" t="n">
        <v>1151</v>
      </c>
      <c r="B1155" s="0" t="n">
        <v>2</v>
      </c>
      <c r="C1155" s="19" t="n">
        <v>0</v>
      </c>
      <c r="D1155" s="19" t="n">
        <v>0.0038</v>
      </c>
      <c r="E1155" s="20" t="n">
        <f aca="false">Parametres!$B$5*C1155</f>
        <v>0</v>
      </c>
      <c r="F1155" s="20" t="n">
        <f aca="false">Parametres!$B$6*D1155</f>
        <v>0.76</v>
      </c>
      <c r="G1155" s="20" t="n">
        <f aca="false">E1155+F1155</f>
        <v>0.76</v>
      </c>
      <c r="H1155" s="20" t="n">
        <f aca="false">IF(G1155&lt;Parametres!$B$8*Parametres!$B$7,0,MIN(G1155,Parametres!$B$7))</f>
        <v>0</v>
      </c>
      <c r="I1155" s="20" t="n">
        <f aca="false">G1155-H1155</f>
        <v>0.76</v>
      </c>
      <c r="J1155" s="21" t="n">
        <f aca="false">H1155*1000/Parametres!$B$9</f>
        <v>0</v>
      </c>
    </row>
    <row r="1156" customFormat="false" ht="15" hidden="false" customHeight="false" outlineLevel="0" collapsed="false">
      <c r="A1156" s="0" t="n">
        <v>1152</v>
      </c>
      <c r="B1156" s="0" t="n">
        <v>2</v>
      </c>
      <c r="C1156" s="19" t="n">
        <v>0</v>
      </c>
      <c r="D1156" s="19" t="n">
        <v>0.0047</v>
      </c>
      <c r="E1156" s="20" t="n">
        <f aca="false">Parametres!$B$5*C1156</f>
        <v>0</v>
      </c>
      <c r="F1156" s="20" t="n">
        <f aca="false">Parametres!$B$6*D1156</f>
        <v>0.94</v>
      </c>
      <c r="G1156" s="20" t="n">
        <f aca="false">E1156+F1156</f>
        <v>0.94</v>
      </c>
      <c r="H1156" s="20" t="n">
        <f aca="false">IF(G1156&lt;Parametres!$B$8*Parametres!$B$7,0,MIN(G1156,Parametres!$B$7))</f>
        <v>0</v>
      </c>
      <c r="I1156" s="20" t="n">
        <f aca="false">G1156-H1156</f>
        <v>0.94</v>
      </c>
      <c r="J1156" s="21" t="n">
        <f aca="false">H1156*1000/Parametres!$B$9</f>
        <v>0</v>
      </c>
    </row>
    <row r="1157" customFormat="false" ht="15" hidden="false" customHeight="false" outlineLevel="0" collapsed="false">
      <c r="A1157" s="0" t="n">
        <v>1153</v>
      </c>
      <c r="B1157" s="0" t="n">
        <v>2</v>
      </c>
      <c r="C1157" s="19" t="n">
        <v>0</v>
      </c>
      <c r="D1157" s="19" t="n">
        <v>0.008</v>
      </c>
      <c r="E1157" s="20" t="n">
        <f aca="false">Parametres!$B$5*C1157</f>
        <v>0</v>
      </c>
      <c r="F1157" s="20" t="n">
        <f aca="false">Parametres!$B$6*D1157</f>
        <v>1.6</v>
      </c>
      <c r="G1157" s="20" t="n">
        <f aca="false">E1157+F1157</f>
        <v>1.6</v>
      </c>
      <c r="H1157" s="20" t="n">
        <f aca="false">IF(G1157&lt;Parametres!$B$8*Parametres!$B$7,0,MIN(G1157,Parametres!$B$7))</f>
        <v>0</v>
      </c>
      <c r="I1157" s="20" t="n">
        <f aca="false">G1157-H1157</f>
        <v>1.6</v>
      </c>
      <c r="J1157" s="21" t="n">
        <f aca="false">H1157*1000/Parametres!$B$9</f>
        <v>0</v>
      </c>
    </row>
    <row r="1158" customFormat="false" ht="15" hidden="false" customHeight="false" outlineLevel="0" collapsed="false">
      <c r="A1158" s="0" t="n">
        <v>1154</v>
      </c>
      <c r="B1158" s="0" t="n">
        <v>2</v>
      </c>
      <c r="C1158" s="19" t="n">
        <v>0</v>
      </c>
      <c r="D1158" s="19" t="n">
        <v>0.0034</v>
      </c>
      <c r="E1158" s="20" t="n">
        <f aca="false">Parametres!$B$5*C1158</f>
        <v>0</v>
      </c>
      <c r="F1158" s="20" t="n">
        <f aca="false">Parametres!$B$6*D1158</f>
        <v>0.68</v>
      </c>
      <c r="G1158" s="20" t="n">
        <f aca="false">E1158+F1158</f>
        <v>0.68</v>
      </c>
      <c r="H1158" s="20" t="n">
        <f aca="false">IF(G1158&lt;Parametres!$B$8*Parametres!$B$7,0,MIN(G1158,Parametres!$B$7))</f>
        <v>0</v>
      </c>
      <c r="I1158" s="20" t="n">
        <f aca="false">G1158-H1158</f>
        <v>0.68</v>
      </c>
      <c r="J1158" s="21" t="n">
        <f aca="false">H1158*1000/Parametres!$B$9</f>
        <v>0</v>
      </c>
    </row>
    <row r="1159" customFormat="false" ht="15" hidden="false" customHeight="false" outlineLevel="0" collapsed="false">
      <c r="A1159" s="0" t="n">
        <v>1155</v>
      </c>
      <c r="B1159" s="0" t="n">
        <v>2</v>
      </c>
      <c r="C1159" s="19" t="n">
        <v>0</v>
      </c>
      <c r="D1159" s="19" t="n">
        <v>0.0011</v>
      </c>
      <c r="E1159" s="20" t="n">
        <f aca="false">Parametres!$B$5*C1159</f>
        <v>0</v>
      </c>
      <c r="F1159" s="20" t="n">
        <f aca="false">Parametres!$B$6*D1159</f>
        <v>0.22</v>
      </c>
      <c r="G1159" s="20" t="n">
        <f aca="false">E1159+F1159</f>
        <v>0.22</v>
      </c>
      <c r="H1159" s="20" t="n">
        <f aca="false">IF(G1159&lt;Parametres!$B$8*Parametres!$B$7,0,MIN(G1159,Parametres!$B$7))</f>
        <v>0</v>
      </c>
      <c r="I1159" s="20" t="n">
        <f aca="false">G1159-H1159</f>
        <v>0.22</v>
      </c>
      <c r="J1159" s="21" t="n">
        <f aca="false">H1159*1000/Parametres!$B$9</f>
        <v>0</v>
      </c>
    </row>
    <row r="1160" customFormat="false" ht="15" hidden="false" customHeight="false" outlineLevel="0" collapsed="false">
      <c r="A1160" s="0" t="n">
        <v>1156</v>
      </c>
      <c r="B1160" s="0" t="n">
        <v>2</v>
      </c>
      <c r="C1160" s="19" t="n">
        <v>0</v>
      </c>
      <c r="D1160" s="19" t="n">
        <v>0.0004</v>
      </c>
      <c r="E1160" s="20" t="n">
        <f aca="false">Parametres!$B$5*C1160</f>
        <v>0</v>
      </c>
      <c r="F1160" s="20" t="n">
        <f aca="false">Parametres!$B$6*D1160</f>
        <v>0.08</v>
      </c>
      <c r="G1160" s="20" t="n">
        <f aca="false">E1160+F1160</f>
        <v>0.08</v>
      </c>
      <c r="H1160" s="20" t="n">
        <f aca="false">IF(G1160&lt;Parametres!$B$8*Parametres!$B$7,0,MIN(G1160,Parametres!$B$7))</f>
        <v>0</v>
      </c>
      <c r="I1160" s="20" t="n">
        <f aca="false">G1160-H1160</f>
        <v>0.08</v>
      </c>
      <c r="J1160" s="21" t="n">
        <f aca="false">H1160*1000/Parametres!$B$9</f>
        <v>0</v>
      </c>
    </row>
    <row r="1161" customFormat="false" ht="15" hidden="false" customHeight="false" outlineLevel="0" collapsed="false">
      <c r="A1161" s="0" t="n">
        <v>1157</v>
      </c>
      <c r="B1161" s="0" t="n">
        <v>2</v>
      </c>
      <c r="C1161" s="19" t="n">
        <v>0</v>
      </c>
      <c r="D1161" s="19" t="n">
        <v>0</v>
      </c>
      <c r="E1161" s="20" t="n">
        <f aca="false">Parametres!$B$5*C1161</f>
        <v>0</v>
      </c>
      <c r="F1161" s="20" t="n">
        <f aca="false">Parametres!$B$6*D1161</f>
        <v>0</v>
      </c>
      <c r="G1161" s="20" t="n">
        <f aca="false">E1161+F1161</f>
        <v>0</v>
      </c>
      <c r="H1161" s="20" t="n">
        <f aca="false">IF(G1161&lt;Parametres!$B$8*Parametres!$B$7,0,MIN(G1161,Parametres!$B$7))</f>
        <v>0</v>
      </c>
      <c r="I1161" s="20" t="n">
        <f aca="false">G1161-H1161</f>
        <v>0</v>
      </c>
      <c r="J1161" s="21" t="n">
        <f aca="false">H1161*1000/Parametres!$B$9</f>
        <v>0</v>
      </c>
    </row>
    <row r="1162" customFormat="false" ht="15" hidden="false" customHeight="false" outlineLevel="0" collapsed="false">
      <c r="A1162" s="0" t="n">
        <v>1158</v>
      </c>
      <c r="B1162" s="0" t="n">
        <v>2</v>
      </c>
      <c r="C1162" s="19" t="n">
        <v>0</v>
      </c>
      <c r="D1162" s="19" t="n">
        <v>0</v>
      </c>
      <c r="E1162" s="20" t="n">
        <f aca="false">Parametres!$B$5*C1162</f>
        <v>0</v>
      </c>
      <c r="F1162" s="20" t="n">
        <f aca="false">Parametres!$B$6*D1162</f>
        <v>0</v>
      </c>
      <c r="G1162" s="20" t="n">
        <f aca="false">E1162+F1162</f>
        <v>0</v>
      </c>
      <c r="H1162" s="20" t="n">
        <f aca="false">IF(G1162&lt;Parametres!$B$8*Parametres!$B$7,0,MIN(G1162,Parametres!$B$7))</f>
        <v>0</v>
      </c>
      <c r="I1162" s="20" t="n">
        <f aca="false">G1162-H1162</f>
        <v>0</v>
      </c>
      <c r="J1162" s="21" t="n">
        <f aca="false">H1162*1000/Parametres!$B$9</f>
        <v>0</v>
      </c>
    </row>
    <row r="1163" customFormat="false" ht="15" hidden="false" customHeight="false" outlineLevel="0" collapsed="false">
      <c r="A1163" s="0" t="n">
        <v>1159</v>
      </c>
      <c r="B1163" s="0" t="n">
        <v>2</v>
      </c>
      <c r="C1163" s="19" t="n">
        <v>0.0066</v>
      </c>
      <c r="D1163" s="19" t="n">
        <v>0</v>
      </c>
      <c r="E1163" s="20" t="n">
        <f aca="false">Parametres!$B$5*C1163</f>
        <v>1.98</v>
      </c>
      <c r="F1163" s="20" t="n">
        <f aca="false">Parametres!$B$6*D1163</f>
        <v>0</v>
      </c>
      <c r="G1163" s="20" t="n">
        <f aca="false">E1163+F1163</f>
        <v>1.98</v>
      </c>
      <c r="H1163" s="20" t="n">
        <f aca="false">IF(G1163&lt;Parametres!$B$8*Parametres!$B$7,0,MIN(G1163,Parametres!$B$7))</f>
        <v>0</v>
      </c>
      <c r="I1163" s="20" t="n">
        <f aca="false">G1163-H1163</f>
        <v>1.98</v>
      </c>
      <c r="J1163" s="21" t="n">
        <f aca="false">H1163*1000/Parametres!$B$9</f>
        <v>0</v>
      </c>
    </row>
    <row r="1164" customFormat="false" ht="15" hidden="false" customHeight="false" outlineLevel="0" collapsed="false">
      <c r="A1164" s="0" t="n">
        <v>1160</v>
      </c>
      <c r="B1164" s="0" t="n">
        <v>2</v>
      </c>
      <c r="C1164" s="19" t="n">
        <v>0.2484</v>
      </c>
      <c r="D1164" s="19" t="n">
        <v>0</v>
      </c>
      <c r="E1164" s="20" t="n">
        <f aca="false">Parametres!$B$5*C1164</f>
        <v>74.52</v>
      </c>
      <c r="F1164" s="20" t="n">
        <f aca="false">Parametres!$B$6*D1164</f>
        <v>0</v>
      </c>
      <c r="G1164" s="20" t="n">
        <f aca="false">E1164+F1164</f>
        <v>74.52</v>
      </c>
      <c r="H1164" s="20" t="n">
        <f aca="false">IF(G1164&lt;Parametres!$B$8*Parametres!$B$7,0,MIN(G1164,Parametres!$B$7))</f>
        <v>74.52</v>
      </c>
      <c r="I1164" s="20" t="n">
        <f aca="false">G1164-H1164</f>
        <v>0</v>
      </c>
      <c r="J1164" s="21" t="n">
        <f aca="false">H1164*1000/Parametres!$B$9</f>
        <v>1263.69340342547</v>
      </c>
    </row>
    <row r="1165" customFormat="false" ht="15" hidden="false" customHeight="false" outlineLevel="0" collapsed="false">
      <c r="A1165" s="0" t="n">
        <v>1161</v>
      </c>
      <c r="B1165" s="0" t="n">
        <v>2</v>
      </c>
      <c r="C1165" s="19" t="n">
        <v>0.4949</v>
      </c>
      <c r="D1165" s="19" t="n">
        <v>0.0001</v>
      </c>
      <c r="E1165" s="20" t="n">
        <f aca="false">Parametres!$B$5*C1165</f>
        <v>148.47</v>
      </c>
      <c r="F1165" s="20" t="n">
        <f aca="false">Parametres!$B$6*D1165</f>
        <v>0.02</v>
      </c>
      <c r="G1165" s="20" t="n">
        <f aca="false">E1165+F1165</f>
        <v>148.49</v>
      </c>
      <c r="H1165" s="20" t="n">
        <f aca="false">IF(G1165&lt;Parametres!$B$8*Parametres!$B$7,0,MIN(G1165,Parametres!$B$7))</f>
        <v>148.49</v>
      </c>
      <c r="I1165" s="20" t="n">
        <f aca="false">G1165-H1165</f>
        <v>0</v>
      </c>
      <c r="J1165" s="21" t="n">
        <f aca="false">H1165*1000/Parametres!$B$9</f>
        <v>2518.060030524</v>
      </c>
    </row>
    <row r="1166" customFormat="false" ht="15" hidden="false" customHeight="false" outlineLevel="0" collapsed="false">
      <c r="A1166" s="0" t="n">
        <v>1162</v>
      </c>
      <c r="B1166" s="0" t="n">
        <v>2</v>
      </c>
      <c r="C1166" s="19" t="n">
        <v>0.7178</v>
      </c>
      <c r="D1166" s="19" t="n">
        <v>0</v>
      </c>
      <c r="E1166" s="20" t="n">
        <f aca="false">Parametres!$B$5*C1166</f>
        <v>215.34</v>
      </c>
      <c r="F1166" s="20" t="n">
        <f aca="false">Parametres!$B$6*D1166</f>
        <v>0</v>
      </c>
      <c r="G1166" s="20" t="n">
        <f aca="false">E1166+F1166</f>
        <v>215.34</v>
      </c>
      <c r="H1166" s="20" t="n">
        <f aca="false">IF(G1166&lt;Parametres!$B$8*Parametres!$B$7,0,MIN(G1166,Parametres!$B$7))</f>
        <v>215.34</v>
      </c>
      <c r="I1166" s="20" t="n">
        <f aca="false">G1166-H1166</f>
        <v>0</v>
      </c>
      <c r="J1166" s="21" t="n">
        <f aca="false">H1166*1000/Parametres!$B$9</f>
        <v>3651.68729862642</v>
      </c>
    </row>
    <row r="1167" customFormat="false" ht="15" hidden="false" customHeight="false" outlineLevel="0" collapsed="false">
      <c r="A1167" s="0" t="n">
        <v>1163</v>
      </c>
      <c r="B1167" s="0" t="n">
        <v>2</v>
      </c>
      <c r="C1167" s="19" t="n">
        <v>0.8633</v>
      </c>
      <c r="D1167" s="19" t="n">
        <v>0.0008</v>
      </c>
      <c r="E1167" s="20" t="n">
        <f aca="false">Parametres!$B$5*C1167</f>
        <v>258.99</v>
      </c>
      <c r="F1167" s="20" t="n">
        <f aca="false">Parametres!$B$6*D1167</f>
        <v>0.16</v>
      </c>
      <c r="G1167" s="20" t="n">
        <f aca="false">E1167+F1167</f>
        <v>259.15</v>
      </c>
      <c r="H1167" s="20" t="n">
        <f aca="false">IF(G1167&lt;Parametres!$B$8*Parametres!$B$7,0,MIN(G1167,Parametres!$B$7))</f>
        <v>250</v>
      </c>
      <c r="I1167" s="20" t="n">
        <f aca="false">G1167-H1167</f>
        <v>9.15000000000003</v>
      </c>
      <c r="J1167" s="21" t="n">
        <f aca="false">H1167*1000/Parametres!$B$9</f>
        <v>4239.44378497541</v>
      </c>
    </row>
    <row r="1168" customFormat="false" ht="15" hidden="false" customHeight="false" outlineLevel="0" collapsed="false">
      <c r="A1168" s="0" t="n">
        <v>1164</v>
      </c>
      <c r="B1168" s="0" t="n">
        <v>2</v>
      </c>
      <c r="C1168" s="19" t="n">
        <v>0.9174</v>
      </c>
      <c r="D1168" s="19" t="n">
        <v>0</v>
      </c>
      <c r="E1168" s="20" t="n">
        <f aca="false">Parametres!$B$5*C1168</f>
        <v>275.22</v>
      </c>
      <c r="F1168" s="20" t="n">
        <f aca="false">Parametres!$B$6*D1168</f>
        <v>0</v>
      </c>
      <c r="G1168" s="20" t="n">
        <f aca="false">E1168+F1168</f>
        <v>275.22</v>
      </c>
      <c r="H1168" s="20" t="n">
        <f aca="false">IF(G1168&lt;Parametres!$B$8*Parametres!$B$7,0,MIN(G1168,Parametres!$B$7))</f>
        <v>250</v>
      </c>
      <c r="I1168" s="20" t="n">
        <f aca="false">G1168-H1168</f>
        <v>25.22</v>
      </c>
      <c r="J1168" s="21" t="n">
        <f aca="false">H1168*1000/Parametres!$B$9</f>
        <v>4239.44378497541</v>
      </c>
    </row>
    <row r="1169" customFormat="false" ht="15" hidden="false" customHeight="false" outlineLevel="0" collapsed="false">
      <c r="A1169" s="0" t="n">
        <v>1165</v>
      </c>
      <c r="B1169" s="0" t="n">
        <v>2</v>
      </c>
      <c r="C1169" s="19" t="n">
        <v>0.9408</v>
      </c>
      <c r="D1169" s="19" t="n">
        <v>0</v>
      </c>
      <c r="E1169" s="20" t="n">
        <f aca="false">Parametres!$B$5*C1169</f>
        <v>282.24</v>
      </c>
      <c r="F1169" s="20" t="n">
        <f aca="false">Parametres!$B$6*D1169</f>
        <v>0</v>
      </c>
      <c r="G1169" s="20" t="n">
        <f aca="false">E1169+F1169</f>
        <v>282.24</v>
      </c>
      <c r="H1169" s="20" t="n">
        <f aca="false">IF(G1169&lt;Parametres!$B$8*Parametres!$B$7,0,MIN(G1169,Parametres!$B$7))</f>
        <v>250</v>
      </c>
      <c r="I1169" s="20" t="n">
        <f aca="false">G1169-H1169</f>
        <v>32.24</v>
      </c>
      <c r="J1169" s="21" t="n">
        <f aca="false">H1169*1000/Parametres!$B$9</f>
        <v>4239.44378497541</v>
      </c>
    </row>
    <row r="1170" customFormat="false" ht="15" hidden="false" customHeight="false" outlineLevel="0" collapsed="false">
      <c r="A1170" s="0" t="n">
        <v>1166</v>
      </c>
      <c r="B1170" s="0" t="n">
        <v>2</v>
      </c>
      <c r="C1170" s="19" t="n">
        <v>0.9026</v>
      </c>
      <c r="D1170" s="19" t="n">
        <v>0</v>
      </c>
      <c r="E1170" s="20" t="n">
        <f aca="false">Parametres!$B$5*C1170</f>
        <v>270.78</v>
      </c>
      <c r="F1170" s="20" t="n">
        <f aca="false">Parametres!$B$6*D1170</f>
        <v>0</v>
      </c>
      <c r="G1170" s="20" t="n">
        <f aca="false">E1170+F1170</f>
        <v>270.78</v>
      </c>
      <c r="H1170" s="20" t="n">
        <f aca="false">IF(G1170&lt;Parametres!$B$8*Parametres!$B$7,0,MIN(G1170,Parametres!$B$7))</f>
        <v>250</v>
      </c>
      <c r="I1170" s="20" t="n">
        <f aca="false">G1170-H1170</f>
        <v>20.78</v>
      </c>
      <c r="J1170" s="21" t="n">
        <f aca="false">H1170*1000/Parametres!$B$9</f>
        <v>4239.44378497541</v>
      </c>
    </row>
    <row r="1171" customFormat="false" ht="15" hidden="false" customHeight="false" outlineLevel="0" collapsed="false">
      <c r="A1171" s="0" t="n">
        <v>1167</v>
      </c>
      <c r="B1171" s="0" t="n">
        <v>2</v>
      </c>
      <c r="C1171" s="19" t="n">
        <v>0.6925</v>
      </c>
      <c r="D1171" s="19" t="n">
        <v>0</v>
      </c>
      <c r="E1171" s="20" t="n">
        <f aca="false">Parametres!$B$5*C1171</f>
        <v>207.75</v>
      </c>
      <c r="F1171" s="20" t="n">
        <f aca="false">Parametres!$B$6*D1171</f>
        <v>0</v>
      </c>
      <c r="G1171" s="20" t="n">
        <f aca="false">E1171+F1171</f>
        <v>207.75</v>
      </c>
      <c r="H1171" s="20" t="n">
        <f aca="false">IF(G1171&lt;Parametres!$B$8*Parametres!$B$7,0,MIN(G1171,Parametres!$B$7))</f>
        <v>207.75</v>
      </c>
      <c r="I1171" s="20" t="n">
        <f aca="false">G1171-H1171</f>
        <v>0</v>
      </c>
      <c r="J1171" s="21" t="n">
        <f aca="false">H1171*1000/Parametres!$B$9</f>
        <v>3522.97778531457</v>
      </c>
    </row>
    <row r="1172" customFormat="false" ht="15" hidden="false" customHeight="false" outlineLevel="0" collapsed="false">
      <c r="A1172" s="0" t="n">
        <v>1168</v>
      </c>
      <c r="B1172" s="0" t="n">
        <v>2</v>
      </c>
      <c r="C1172" s="19" t="n">
        <v>0.4901</v>
      </c>
      <c r="D1172" s="19" t="n">
        <v>0.0003</v>
      </c>
      <c r="E1172" s="20" t="n">
        <f aca="false">Parametres!$B$5*C1172</f>
        <v>147.03</v>
      </c>
      <c r="F1172" s="20" t="n">
        <f aca="false">Parametres!$B$6*D1172</f>
        <v>0.06</v>
      </c>
      <c r="G1172" s="20" t="n">
        <f aca="false">E1172+F1172</f>
        <v>147.09</v>
      </c>
      <c r="H1172" s="20" t="n">
        <f aca="false">IF(G1172&lt;Parametres!$B$8*Parametres!$B$7,0,MIN(G1172,Parametres!$B$7))</f>
        <v>147.09</v>
      </c>
      <c r="I1172" s="20" t="n">
        <f aca="false">G1172-H1172</f>
        <v>0</v>
      </c>
      <c r="J1172" s="21" t="n">
        <f aca="false">H1172*1000/Parametres!$B$9</f>
        <v>2494.31914532813</v>
      </c>
    </row>
    <row r="1173" customFormat="false" ht="15" hidden="false" customHeight="false" outlineLevel="0" collapsed="false">
      <c r="A1173" s="0" t="n">
        <v>1169</v>
      </c>
      <c r="B1173" s="0" t="n">
        <v>2</v>
      </c>
      <c r="C1173" s="19" t="n">
        <v>0.2631</v>
      </c>
      <c r="D1173" s="19" t="n">
        <v>0.0015</v>
      </c>
      <c r="E1173" s="20" t="n">
        <f aca="false">Parametres!$B$5*C1173</f>
        <v>78.93</v>
      </c>
      <c r="F1173" s="20" t="n">
        <f aca="false">Parametres!$B$6*D1173</f>
        <v>0.3</v>
      </c>
      <c r="G1173" s="20" t="n">
        <f aca="false">E1173+F1173</f>
        <v>79.23</v>
      </c>
      <c r="H1173" s="20" t="n">
        <f aca="false">IF(G1173&lt;Parametres!$B$8*Parametres!$B$7,0,MIN(G1173,Parametres!$B$7))</f>
        <v>79.23</v>
      </c>
      <c r="I1173" s="20" t="n">
        <f aca="false">G1173-H1173</f>
        <v>0</v>
      </c>
      <c r="J1173" s="21" t="n">
        <f aca="false">H1173*1000/Parametres!$B$9</f>
        <v>1343.56452433441</v>
      </c>
    </row>
    <row r="1174" customFormat="false" ht="15" hidden="false" customHeight="false" outlineLevel="0" collapsed="false">
      <c r="A1174" s="0" t="n">
        <v>1170</v>
      </c>
      <c r="B1174" s="0" t="n">
        <v>2</v>
      </c>
      <c r="C1174" s="19" t="n">
        <v>0.007</v>
      </c>
      <c r="D1174" s="19" t="n">
        <v>0.0014</v>
      </c>
      <c r="E1174" s="20" t="n">
        <f aca="false">Parametres!$B$5*C1174</f>
        <v>2.1</v>
      </c>
      <c r="F1174" s="20" t="n">
        <f aca="false">Parametres!$B$6*D1174</f>
        <v>0.28</v>
      </c>
      <c r="G1174" s="20" t="n">
        <f aca="false">E1174+F1174</f>
        <v>2.38</v>
      </c>
      <c r="H1174" s="20" t="n">
        <f aca="false">IF(G1174&lt;Parametres!$B$8*Parametres!$B$7,0,MIN(G1174,Parametres!$B$7))</f>
        <v>0</v>
      </c>
      <c r="I1174" s="20" t="n">
        <f aca="false">G1174-H1174</f>
        <v>2.38</v>
      </c>
      <c r="J1174" s="21" t="n">
        <f aca="false">H1174*1000/Parametres!$B$9</f>
        <v>0</v>
      </c>
    </row>
    <row r="1175" customFormat="false" ht="15" hidden="false" customHeight="false" outlineLevel="0" collapsed="false">
      <c r="A1175" s="0" t="n">
        <v>1171</v>
      </c>
      <c r="B1175" s="0" t="n">
        <v>2</v>
      </c>
      <c r="C1175" s="19" t="n">
        <v>0</v>
      </c>
      <c r="D1175" s="19" t="n">
        <v>0.0045</v>
      </c>
      <c r="E1175" s="20" t="n">
        <f aca="false">Parametres!$B$5*C1175</f>
        <v>0</v>
      </c>
      <c r="F1175" s="20" t="n">
        <f aca="false">Parametres!$B$6*D1175</f>
        <v>0.9</v>
      </c>
      <c r="G1175" s="20" t="n">
        <f aca="false">E1175+F1175</f>
        <v>0.9</v>
      </c>
      <c r="H1175" s="20" t="n">
        <f aca="false">IF(G1175&lt;Parametres!$B$8*Parametres!$B$7,0,MIN(G1175,Parametres!$B$7))</f>
        <v>0</v>
      </c>
      <c r="I1175" s="20" t="n">
        <f aca="false">G1175-H1175</f>
        <v>0.9</v>
      </c>
      <c r="J1175" s="21" t="n">
        <f aca="false">H1175*1000/Parametres!$B$9</f>
        <v>0</v>
      </c>
    </row>
    <row r="1176" customFormat="false" ht="15" hidden="false" customHeight="false" outlineLevel="0" collapsed="false">
      <c r="A1176" s="0" t="n">
        <v>1172</v>
      </c>
      <c r="B1176" s="0" t="n">
        <v>2</v>
      </c>
      <c r="C1176" s="19" t="n">
        <v>0</v>
      </c>
      <c r="D1176" s="19" t="n">
        <v>0.0008</v>
      </c>
      <c r="E1176" s="20" t="n">
        <f aca="false">Parametres!$B$5*C1176</f>
        <v>0</v>
      </c>
      <c r="F1176" s="20" t="n">
        <f aca="false">Parametres!$B$6*D1176</f>
        <v>0.16</v>
      </c>
      <c r="G1176" s="20" t="n">
        <f aca="false">E1176+F1176</f>
        <v>0.16</v>
      </c>
      <c r="H1176" s="20" t="n">
        <f aca="false">IF(G1176&lt;Parametres!$B$8*Parametres!$B$7,0,MIN(G1176,Parametres!$B$7))</f>
        <v>0</v>
      </c>
      <c r="I1176" s="20" t="n">
        <f aca="false">G1176-H1176</f>
        <v>0.16</v>
      </c>
      <c r="J1176" s="21" t="n">
        <f aca="false">H1176*1000/Parametres!$B$9</f>
        <v>0</v>
      </c>
    </row>
    <row r="1177" customFormat="false" ht="15" hidden="false" customHeight="false" outlineLevel="0" collapsed="false">
      <c r="A1177" s="0" t="n">
        <v>1173</v>
      </c>
      <c r="B1177" s="0" t="n">
        <v>2</v>
      </c>
      <c r="C1177" s="19" t="n">
        <v>0</v>
      </c>
      <c r="D1177" s="19" t="n">
        <v>0.0006</v>
      </c>
      <c r="E1177" s="20" t="n">
        <f aca="false">Parametres!$B$5*C1177</f>
        <v>0</v>
      </c>
      <c r="F1177" s="20" t="n">
        <f aca="false">Parametres!$B$6*D1177</f>
        <v>0.12</v>
      </c>
      <c r="G1177" s="20" t="n">
        <f aca="false">E1177+F1177</f>
        <v>0.12</v>
      </c>
      <c r="H1177" s="20" t="n">
        <f aca="false">IF(G1177&lt;Parametres!$B$8*Parametres!$B$7,0,MIN(G1177,Parametres!$B$7))</f>
        <v>0</v>
      </c>
      <c r="I1177" s="20" t="n">
        <f aca="false">G1177-H1177</f>
        <v>0.12</v>
      </c>
      <c r="J1177" s="21" t="n">
        <f aca="false">H1177*1000/Parametres!$B$9</f>
        <v>0</v>
      </c>
    </row>
    <row r="1178" customFormat="false" ht="15" hidden="false" customHeight="false" outlineLevel="0" collapsed="false">
      <c r="A1178" s="0" t="n">
        <v>1174</v>
      </c>
      <c r="B1178" s="0" t="n">
        <v>2</v>
      </c>
      <c r="C1178" s="19" t="n">
        <v>0</v>
      </c>
      <c r="D1178" s="19" t="n">
        <v>0</v>
      </c>
      <c r="E1178" s="20" t="n">
        <f aca="false">Parametres!$B$5*C1178</f>
        <v>0</v>
      </c>
      <c r="F1178" s="20" t="n">
        <f aca="false">Parametres!$B$6*D1178</f>
        <v>0</v>
      </c>
      <c r="G1178" s="20" t="n">
        <f aca="false">E1178+F1178</f>
        <v>0</v>
      </c>
      <c r="H1178" s="20" t="n">
        <f aca="false">IF(G1178&lt;Parametres!$B$8*Parametres!$B$7,0,MIN(G1178,Parametres!$B$7))</f>
        <v>0</v>
      </c>
      <c r="I1178" s="20" t="n">
        <f aca="false">G1178-H1178</f>
        <v>0</v>
      </c>
      <c r="J1178" s="21" t="n">
        <f aca="false">H1178*1000/Parametres!$B$9</f>
        <v>0</v>
      </c>
    </row>
    <row r="1179" customFormat="false" ht="15" hidden="false" customHeight="false" outlineLevel="0" collapsed="false">
      <c r="A1179" s="0" t="n">
        <v>1175</v>
      </c>
      <c r="B1179" s="0" t="n">
        <v>2</v>
      </c>
      <c r="C1179" s="19" t="n">
        <v>0</v>
      </c>
      <c r="D1179" s="19" t="n">
        <v>0</v>
      </c>
      <c r="E1179" s="20" t="n">
        <f aca="false">Parametres!$B$5*C1179</f>
        <v>0</v>
      </c>
      <c r="F1179" s="20" t="n">
        <f aca="false">Parametres!$B$6*D1179</f>
        <v>0</v>
      </c>
      <c r="G1179" s="20" t="n">
        <f aca="false">E1179+F1179</f>
        <v>0</v>
      </c>
      <c r="H1179" s="20" t="n">
        <f aca="false">IF(G1179&lt;Parametres!$B$8*Parametres!$B$7,0,MIN(G1179,Parametres!$B$7))</f>
        <v>0</v>
      </c>
      <c r="I1179" s="20" t="n">
        <f aca="false">G1179-H1179</f>
        <v>0</v>
      </c>
      <c r="J1179" s="21" t="n">
        <f aca="false">H1179*1000/Parametres!$B$9</f>
        <v>0</v>
      </c>
    </row>
    <row r="1180" customFormat="false" ht="15" hidden="false" customHeight="false" outlineLevel="0" collapsed="false">
      <c r="A1180" s="0" t="n">
        <v>1176</v>
      </c>
      <c r="B1180" s="0" t="n">
        <v>2</v>
      </c>
      <c r="C1180" s="19" t="n">
        <v>0</v>
      </c>
      <c r="D1180" s="19" t="n">
        <v>0.0013</v>
      </c>
      <c r="E1180" s="20" t="n">
        <f aca="false">Parametres!$B$5*C1180</f>
        <v>0</v>
      </c>
      <c r="F1180" s="20" t="n">
        <f aca="false">Parametres!$B$6*D1180</f>
        <v>0.26</v>
      </c>
      <c r="G1180" s="20" t="n">
        <f aca="false">E1180+F1180</f>
        <v>0.26</v>
      </c>
      <c r="H1180" s="20" t="n">
        <f aca="false">IF(G1180&lt;Parametres!$B$8*Parametres!$B$7,0,MIN(G1180,Parametres!$B$7))</f>
        <v>0</v>
      </c>
      <c r="I1180" s="20" t="n">
        <f aca="false">G1180-H1180</f>
        <v>0.26</v>
      </c>
      <c r="J1180" s="21" t="n">
        <f aca="false">H1180*1000/Parametres!$B$9</f>
        <v>0</v>
      </c>
    </row>
    <row r="1181" customFormat="false" ht="15" hidden="false" customHeight="false" outlineLevel="0" collapsed="false">
      <c r="A1181" s="0" t="n">
        <v>1177</v>
      </c>
      <c r="B1181" s="0" t="n">
        <v>2</v>
      </c>
      <c r="C1181" s="19" t="n">
        <v>0</v>
      </c>
      <c r="D1181" s="19" t="n">
        <v>0.0002</v>
      </c>
      <c r="E1181" s="20" t="n">
        <f aca="false">Parametres!$B$5*C1181</f>
        <v>0</v>
      </c>
      <c r="F1181" s="20" t="n">
        <f aca="false">Parametres!$B$6*D1181</f>
        <v>0.04</v>
      </c>
      <c r="G1181" s="20" t="n">
        <f aca="false">E1181+F1181</f>
        <v>0.04</v>
      </c>
      <c r="H1181" s="20" t="n">
        <f aca="false">IF(G1181&lt;Parametres!$B$8*Parametres!$B$7,0,MIN(G1181,Parametres!$B$7))</f>
        <v>0</v>
      </c>
      <c r="I1181" s="20" t="n">
        <f aca="false">G1181-H1181</f>
        <v>0.04</v>
      </c>
      <c r="J1181" s="21" t="n">
        <f aca="false">H1181*1000/Parametres!$B$9</f>
        <v>0</v>
      </c>
    </row>
    <row r="1182" customFormat="false" ht="15" hidden="false" customHeight="false" outlineLevel="0" collapsed="false">
      <c r="A1182" s="0" t="n">
        <v>1178</v>
      </c>
      <c r="B1182" s="0" t="n">
        <v>2</v>
      </c>
      <c r="C1182" s="19" t="n">
        <v>0</v>
      </c>
      <c r="D1182" s="19" t="n">
        <v>0</v>
      </c>
      <c r="E1182" s="20" t="n">
        <f aca="false">Parametres!$B$5*C1182</f>
        <v>0</v>
      </c>
      <c r="F1182" s="20" t="n">
        <f aca="false">Parametres!$B$6*D1182</f>
        <v>0</v>
      </c>
      <c r="G1182" s="20" t="n">
        <f aca="false">E1182+F1182</f>
        <v>0</v>
      </c>
      <c r="H1182" s="20" t="n">
        <f aca="false">IF(G1182&lt;Parametres!$B$8*Parametres!$B$7,0,MIN(G1182,Parametres!$B$7))</f>
        <v>0</v>
      </c>
      <c r="I1182" s="20" t="n">
        <f aca="false">G1182-H1182</f>
        <v>0</v>
      </c>
      <c r="J1182" s="21" t="n">
        <f aca="false">H1182*1000/Parametres!$B$9</f>
        <v>0</v>
      </c>
    </row>
    <row r="1183" customFormat="false" ht="15" hidden="false" customHeight="false" outlineLevel="0" collapsed="false">
      <c r="A1183" s="0" t="n">
        <v>1179</v>
      </c>
      <c r="B1183" s="0" t="n">
        <v>2</v>
      </c>
      <c r="C1183" s="19" t="n">
        <v>0</v>
      </c>
      <c r="D1183" s="19" t="n">
        <v>0</v>
      </c>
      <c r="E1183" s="20" t="n">
        <f aca="false">Parametres!$B$5*C1183</f>
        <v>0</v>
      </c>
      <c r="F1183" s="20" t="n">
        <f aca="false">Parametres!$B$6*D1183</f>
        <v>0</v>
      </c>
      <c r="G1183" s="20" t="n">
        <f aca="false">E1183+F1183</f>
        <v>0</v>
      </c>
      <c r="H1183" s="20" t="n">
        <f aca="false">IF(G1183&lt;Parametres!$B$8*Parametres!$B$7,0,MIN(G1183,Parametres!$B$7))</f>
        <v>0</v>
      </c>
      <c r="I1183" s="20" t="n">
        <f aca="false">G1183-H1183</f>
        <v>0</v>
      </c>
      <c r="J1183" s="21" t="n">
        <f aca="false">H1183*1000/Parametres!$B$9</f>
        <v>0</v>
      </c>
    </row>
    <row r="1184" customFormat="false" ht="15" hidden="false" customHeight="false" outlineLevel="0" collapsed="false">
      <c r="A1184" s="0" t="n">
        <v>1180</v>
      </c>
      <c r="B1184" s="0" t="n">
        <v>2</v>
      </c>
      <c r="C1184" s="19" t="n">
        <v>0</v>
      </c>
      <c r="D1184" s="19" t="n">
        <v>0</v>
      </c>
      <c r="E1184" s="20" t="n">
        <f aca="false">Parametres!$B$5*C1184</f>
        <v>0</v>
      </c>
      <c r="F1184" s="20" t="n">
        <f aca="false">Parametres!$B$6*D1184</f>
        <v>0</v>
      </c>
      <c r="G1184" s="20" t="n">
        <f aca="false">E1184+F1184</f>
        <v>0</v>
      </c>
      <c r="H1184" s="20" t="n">
        <f aca="false">IF(G1184&lt;Parametres!$B$8*Parametres!$B$7,0,MIN(G1184,Parametres!$B$7))</f>
        <v>0</v>
      </c>
      <c r="I1184" s="20" t="n">
        <f aca="false">G1184-H1184</f>
        <v>0</v>
      </c>
      <c r="J1184" s="21" t="n">
        <f aca="false">H1184*1000/Parametres!$B$9</f>
        <v>0</v>
      </c>
    </row>
    <row r="1185" customFormat="false" ht="15" hidden="false" customHeight="false" outlineLevel="0" collapsed="false">
      <c r="A1185" s="0" t="n">
        <v>1181</v>
      </c>
      <c r="B1185" s="0" t="n">
        <v>2</v>
      </c>
      <c r="C1185" s="19" t="n">
        <v>0</v>
      </c>
      <c r="D1185" s="19" t="n">
        <v>0</v>
      </c>
      <c r="E1185" s="20" t="n">
        <f aca="false">Parametres!$B$5*C1185</f>
        <v>0</v>
      </c>
      <c r="F1185" s="20" t="n">
        <f aca="false">Parametres!$B$6*D1185</f>
        <v>0</v>
      </c>
      <c r="G1185" s="20" t="n">
        <f aca="false">E1185+F1185</f>
        <v>0</v>
      </c>
      <c r="H1185" s="20" t="n">
        <f aca="false">IF(G1185&lt;Parametres!$B$8*Parametres!$B$7,0,MIN(G1185,Parametres!$B$7))</f>
        <v>0</v>
      </c>
      <c r="I1185" s="20" t="n">
        <f aca="false">G1185-H1185</f>
        <v>0</v>
      </c>
      <c r="J1185" s="21" t="n">
        <f aca="false">H1185*1000/Parametres!$B$9</f>
        <v>0</v>
      </c>
    </row>
    <row r="1186" customFormat="false" ht="15" hidden="false" customHeight="false" outlineLevel="0" collapsed="false">
      <c r="A1186" s="0" t="n">
        <v>1182</v>
      </c>
      <c r="B1186" s="0" t="n">
        <v>2</v>
      </c>
      <c r="C1186" s="19" t="n">
        <v>0</v>
      </c>
      <c r="D1186" s="19" t="n">
        <v>0</v>
      </c>
      <c r="E1186" s="20" t="n">
        <f aca="false">Parametres!$B$5*C1186</f>
        <v>0</v>
      </c>
      <c r="F1186" s="20" t="n">
        <f aca="false">Parametres!$B$6*D1186</f>
        <v>0</v>
      </c>
      <c r="G1186" s="20" t="n">
        <f aca="false">E1186+F1186</f>
        <v>0</v>
      </c>
      <c r="H1186" s="20" t="n">
        <f aca="false">IF(G1186&lt;Parametres!$B$8*Parametres!$B$7,0,MIN(G1186,Parametres!$B$7))</f>
        <v>0</v>
      </c>
      <c r="I1186" s="20" t="n">
        <f aca="false">G1186-H1186</f>
        <v>0</v>
      </c>
      <c r="J1186" s="21" t="n">
        <f aca="false">H1186*1000/Parametres!$B$9</f>
        <v>0</v>
      </c>
    </row>
    <row r="1187" customFormat="false" ht="15" hidden="false" customHeight="false" outlineLevel="0" collapsed="false">
      <c r="A1187" s="0" t="n">
        <v>1183</v>
      </c>
      <c r="B1187" s="0" t="n">
        <v>2</v>
      </c>
      <c r="C1187" s="19" t="n">
        <v>0.0093</v>
      </c>
      <c r="D1187" s="19" t="n">
        <v>0</v>
      </c>
      <c r="E1187" s="20" t="n">
        <f aca="false">Parametres!$B$5*C1187</f>
        <v>2.79</v>
      </c>
      <c r="F1187" s="20" t="n">
        <f aca="false">Parametres!$B$6*D1187</f>
        <v>0</v>
      </c>
      <c r="G1187" s="20" t="n">
        <f aca="false">E1187+F1187</f>
        <v>2.79</v>
      </c>
      <c r="H1187" s="20" t="n">
        <f aca="false">IF(G1187&lt;Parametres!$B$8*Parametres!$B$7,0,MIN(G1187,Parametres!$B$7))</f>
        <v>0</v>
      </c>
      <c r="I1187" s="20" t="n">
        <f aca="false">G1187-H1187</f>
        <v>2.79</v>
      </c>
      <c r="J1187" s="21" t="n">
        <f aca="false">H1187*1000/Parametres!$B$9</f>
        <v>0</v>
      </c>
    </row>
    <row r="1188" customFormat="false" ht="15" hidden="false" customHeight="false" outlineLevel="0" collapsed="false">
      <c r="A1188" s="0" t="n">
        <v>1184</v>
      </c>
      <c r="B1188" s="0" t="n">
        <v>2</v>
      </c>
      <c r="C1188" s="19" t="n">
        <v>0.2619</v>
      </c>
      <c r="D1188" s="19" t="n">
        <v>0</v>
      </c>
      <c r="E1188" s="20" t="n">
        <f aca="false">Parametres!$B$5*C1188</f>
        <v>78.57</v>
      </c>
      <c r="F1188" s="20" t="n">
        <f aca="false">Parametres!$B$6*D1188</f>
        <v>0</v>
      </c>
      <c r="G1188" s="20" t="n">
        <f aca="false">E1188+F1188</f>
        <v>78.57</v>
      </c>
      <c r="H1188" s="20" t="n">
        <f aca="false">IF(G1188&lt;Parametres!$B$8*Parametres!$B$7,0,MIN(G1188,Parametres!$B$7))</f>
        <v>78.57</v>
      </c>
      <c r="I1188" s="20" t="n">
        <f aca="false">G1188-H1188</f>
        <v>0</v>
      </c>
      <c r="J1188" s="21" t="n">
        <f aca="false">H1188*1000/Parametres!$B$9</f>
        <v>1332.37239274207</v>
      </c>
    </row>
    <row r="1189" customFormat="false" ht="15" hidden="false" customHeight="false" outlineLevel="0" collapsed="false">
      <c r="A1189" s="0" t="n">
        <v>1185</v>
      </c>
      <c r="B1189" s="0" t="n">
        <v>2</v>
      </c>
      <c r="C1189" s="19" t="n">
        <v>0.5254</v>
      </c>
      <c r="D1189" s="19" t="n">
        <v>0</v>
      </c>
      <c r="E1189" s="20" t="n">
        <f aca="false">Parametres!$B$5*C1189</f>
        <v>157.62</v>
      </c>
      <c r="F1189" s="20" t="n">
        <f aca="false">Parametres!$B$6*D1189</f>
        <v>0</v>
      </c>
      <c r="G1189" s="20" t="n">
        <f aca="false">E1189+F1189</f>
        <v>157.62</v>
      </c>
      <c r="H1189" s="20" t="n">
        <f aca="false">IF(G1189&lt;Parametres!$B$8*Parametres!$B$7,0,MIN(G1189,Parametres!$B$7))</f>
        <v>157.62</v>
      </c>
      <c r="I1189" s="20" t="n">
        <f aca="false">G1189-H1189</f>
        <v>0</v>
      </c>
      <c r="J1189" s="21" t="n">
        <f aca="false">H1189*1000/Parametres!$B$9</f>
        <v>2672.8845175513</v>
      </c>
    </row>
    <row r="1190" customFormat="false" ht="15" hidden="false" customHeight="false" outlineLevel="0" collapsed="false">
      <c r="A1190" s="0" t="n">
        <v>1186</v>
      </c>
      <c r="B1190" s="0" t="n">
        <v>2</v>
      </c>
      <c r="C1190" s="19" t="n">
        <v>0.7287</v>
      </c>
      <c r="D1190" s="19" t="n">
        <v>0</v>
      </c>
      <c r="E1190" s="20" t="n">
        <f aca="false">Parametres!$B$5*C1190</f>
        <v>218.61</v>
      </c>
      <c r="F1190" s="20" t="n">
        <f aca="false">Parametres!$B$6*D1190</f>
        <v>0</v>
      </c>
      <c r="G1190" s="20" t="n">
        <f aca="false">E1190+F1190</f>
        <v>218.61</v>
      </c>
      <c r="H1190" s="20" t="n">
        <f aca="false">IF(G1190&lt;Parametres!$B$8*Parametres!$B$7,0,MIN(G1190,Parametres!$B$7))</f>
        <v>218.61</v>
      </c>
      <c r="I1190" s="20" t="n">
        <f aca="false">G1190-H1190</f>
        <v>0</v>
      </c>
      <c r="J1190" s="21" t="n">
        <f aca="false">H1190*1000/Parametres!$B$9</f>
        <v>3707.1392233339</v>
      </c>
    </row>
    <row r="1191" customFormat="false" ht="15" hidden="false" customHeight="false" outlineLevel="0" collapsed="false">
      <c r="A1191" s="0" t="n">
        <v>1187</v>
      </c>
      <c r="B1191" s="0" t="n">
        <v>2</v>
      </c>
      <c r="C1191" s="19" t="n">
        <v>0.9624</v>
      </c>
      <c r="D1191" s="19" t="n">
        <v>0</v>
      </c>
      <c r="E1191" s="20" t="n">
        <f aca="false">Parametres!$B$5*C1191</f>
        <v>288.72</v>
      </c>
      <c r="F1191" s="20" t="n">
        <f aca="false">Parametres!$B$6*D1191</f>
        <v>0</v>
      </c>
      <c r="G1191" s="20" t="n">
        <f aca="false">E1191+F1191</f>
        <v>288.72</v>
      </c>
      <c r="H1191" s="20" t="n">
        <f aca="false">IF(G1191&lt;Parametres!$B$8*Parametres!$B$7,0,MIN(G1191,Parametres!$B$7))</f>
        <v>250</v>
      </c>
      <c r="I1191" s="20" t="n">
        <f aca="false">G1191-H1191</f>
        <v>38.72</v>
      </c>
      <c r="J1191" s="21" t="n">
        <f aca="false">H1191*1000/Parametres!$B$9</f>
        <v>4239.44378497541</v>
      </c>
    </row>
    <row r="1192" customFormat="false" ht="15" hidden="false" customHeight="false" outlineLevel="0" collapsed="false">
      <c r="A1192" s="0" t="n">
        <v>1188</v>
      </c>
      <c r="B1192" s="0" t="n">
        <v>2</v>
      </c>
      <c r="C1192" s="19" t="n">
        <v>1</v>
      </c>
      <c r="D1192" s="19" t="n">
        <v>0</v>
      </c>
      <c r="E1192" s="20" t="n">
        <f aca="false">Parametres!$B$5*C1192</f>
        <v>300</v>
      </c>
      <c r="F1192" s="20" t="n">
        <f aca="false">Parametres!$B$6*D1192</f>
        <v>0</v>
      </c>
      <c r="G1192" s="20" t="n">
        <f aca="false">E1192+F1192</f>
        <v>300</v>
      </c>
      <c r="H1192" s="20" t="n">
        <f aca="false">IF(G1192&lt;Parametres!$B$8*Parametres!$B$7,0,MIN(G1192,Parametres!$B$7))</f>
        <v>250</v>
      </c>
      <c r="I1192" s="20" t="n">
        <f aca="false">G1192-H1192</f>
        <v>50</v>
      </c>
      <c r="J1192" s="21" t="n">
        <f aca="false">H1192*1000/Parametres!$B$9</f>
        <v>4239.44378497541</v>
      </c>
    </row>
    <row r="1193" customFormat="false" ht="15" hidden="false" customHeight="false" outlineLevel="0" collapsed="false">
      <c r="A1193" s="0" t="n">
        <v>1189</v>
      </c>
      <c r="B1193" s="0" t="n">
        <v>2</v>
      </c>
      <c r="C1193" s="19" t="n">
        <v>1</v>
      </c>
      <c r="D1193" s="19" t="n">
        <v>0</v>
      </c>
      <c r="E1193" s="20" t="n">
        <f aca="false">Parametres!$B$5*C1193</f>
        <v>300</v>
      </c>
      <c r="F1193" s="20" t="n">
        <f aca="false">Parametres!$B$6*D1193</f>
        <v>0</v>
      </c>
      <c r="G1193" s="20" t="n">
        <f aca="false">E1193+F1193</f>
        <v>300</v>
      </c>
      <c r="H1193" s="20" t="n">
        <f aca="false">IF(G1193&lt;Parametres!$B$8*Parametres!$B$7,0,MIN(G1193,Parametres!$B$7))</f>
        <v>250</v>
      </c>
      <c r="I1193" s="20" t="n">
        <f aca="false">G1193-H1193</f>
        <v>50</v>
      </c>
      <c r="J1193" s="21" t="n">
        <f aca="false">H1193*1000/Parametres!$B$9</f>
        <v>4239.44378497541</v>
      </c>
    </row>
    <row r="1194" customFormat="false" ht="15" hidden="false" customHeight="false" outlineLevel="0" collapsed="false">
      <c r="A1194" s="0" t="n">
        <v>1190</v>
      </c>
      <c r="B1194" s="0" t="n">
        <v>2</v>
      </c>
      <c r="C1194" s="19" t="n">
        <v>0.9817</v>
      </c>
      <c r="D1194" s="19" t="n">
        <v>0</v>
      </c>
      <c r="E1194" s="20" t="n">
        <f aca="false">Parametres!$B$5*C1194</f>
        <v>294.51</v>
      </c>
      <c r="F1194" s="20" t="n">
        <f aca="false">Parametres!$B$6*D1194</f>
        <v>0</v>
      </c>
      <c r="G1194" s="20" t="n">
        <f aca="false">E1194+F1194</f>
        <v>294.51</v>
      </c>
      <c r="H1194" s="20" t="n">
        <f aca="false">IF(G1194&lt;Parametres!$B$8*Parametres!$B$7,0,MIN(G1194,Parametres!$B$7))</f>
        <v>250</v>
      </c>
      <c r="I1194" s="20" t="n">
        <f aca="false">G1194-H1194</f>
        <v>44.51</v>
      </c>
      <c r="J1194" s="21" t="n">
        <f aca="false">H1194*1000/Parametres!$B$9</f>
        <v>4239.44378497541</v>
      </c>
    </row>
    <row r="1195" customFormat="false" ht="15" hidden="false" customHeight="false" outlineLevel="0" collapsed="false">
      <c r="A1195" s="0" t="n">
        <v>1191</v>
      </c>
      <c r="B1195" s="0" t="n">
        <v>2</v>
      </c>
      <c r="C1195" s="19" t="n">
        <v>0.7187</v>
      </c>
      <c r="D1195" s="19" t="n">
        <v>0</v>
      </c>
      <c r="E1195" s="20" t="n">
        <f aca="false">Parametres!$B$5*C1195</f>
        <v>215.61</v>
      </c>
      <c r="F1195" s="20" t="n">
        <f aca="false">Parametres!$B$6*D1195</f>
        <v>0</v>
      </c>
      <c r="G1195" s="20" t="n">
        <f aca="false">E1195+F1195</f>
        <v>215.61</v>
      </c>
      <c r="H1195" s="20" t="n">
        <f aca="false">IF(G1195&lt;Parametres!$B$8*Parametres!$B$7,0,MIN(G1195,Parametres!$B$7))</f>
        <v>215.61</v>
      </c>
      <c r="I1195" s="20" t="n">
        <f aca="false">G1195-H1195</f>
        <v>0</v>
      </c>
      <c r="J1195" s="21" t="n">
        <f aca="false">H1195*1000/Parametres!$B$9</f>
        <v>3656.26589791419</v>
      </c>
    </row>
    <row r="1196" customFormat="false" ht="15" hidden="false" customHeight="false" outlineLevel="0" collapsed="false">
      <c r="A1196" s="0" t="n">
        <v>1192</v>
      </c>
      <c r="B1196" s="0" t="n">
        <v>2</v>
      </c>
      <c r="C1196" s="19" t="n">
        <v>0.554</v>
      </c>
      <c r="D1196" s="19" t="n">
        <v>0</v>
      </c>
      <c r="E1196" s="20" t="n">
        <f aca="false">Parametres!$B$5*C1196</f>
        <v>166.2</v>
      </c>
      <c r="F1196" s="20" t="n">
        <f aca="false">Parametres!$B$6*D1196</f>
        <v>0</v>
      </c>
      <c r="G1196" s="20" t="n">
        <f aca="false">E1196+F1196</f>
        <v>166.2</v>
      </c>
      <c r="H1196" s="20" t="n">
        <f aca="false">IF(G1196&lt;Parametres!$B$8*Parametres!$B$7,0,MIN(G1196,Parametres!$B$7))</f>
        <v>166.2</v>
      </c>
      <c r="I1196" s="20" t="n">
        <f aca="false">G1196-H1196</f>
        <v>0</v>
      </c>
      <c r="J1196" s="21" t="n">
        <f aca="false">H1196*1000/Parametres!$B$9</f>
        <v>2818.38222825165</v>
      </c>
    </row>
    <row r="1197" customFormat="false" ht="15" hidden="false" customHeight="false" outlineLevel="0" collapsed="false">
      <c r="A1197" s="0" t="n">
        <v>1193</v>
      </c>
      <c r="B1197" s="0" t="n">
        <v>2</v>
      </c>
      <c r="C1197" s="19" t="n">
        <v>0.2738</v>
      </c>
      <c r="D1197" s="19" t="n">
        <v>0</v>
      </c>
      <c r="E1197" s="20" t="n">
        <f aca="false">Parametres!$B$5*C1197</f>
        <v>82.14</v>
      </c>
      <c r="F1197" s="20" t="n">
        <f aca="false">Parametres!$B$6*D1197</f>
        <v>0</v>
      </c>
      <c r="G1197" s="20" t="n">
        <f aca="false">E1197+F1197</f>
        <v>82.14</v>
      </c>
      <c r="H1197" s="20" t="n">
        <f aca="false">IF(G1197&lt;Parametres!$B$8*Parametres!$B$7,0,MIN(G1197,Parametres!$B$7))</f>
        <v>82.14</v>
      </c>
      <c r="I1197" s="20" t="n">
        <f aca="false">G1197-H1197</f>
        <v>0</v>
      </c>
      <c r="J1197" s="21" t="n">
        <f aca="false">H1197*1000/Parametres!$B$9</f>
        <v>1392.91164999152</v>
      </c>
    </row>
    <row r="1198" customFormat="false" ht="15" hidden="false" customHeight="false" outlineLevel="0" collapsed="false">
      <c r="A1198" s="0" t="n">
        <v>1194</v>
      </c>
      <c r="B1198" s="0" t="n">
        <v>2</v>
      </c>
      <c r="C1198" s="19" t="n">
        <v>0.0092</v>
      </c>
      <c r="D1198" s="19" t="n">
        <v>0</v>
      </c>
      <c r="E1198" s="20" t="n">
        <f aca="false">Parametres!$B$5*C1198</f>
        <v>2.76</v>
      </c>
      <c r="F1198" s="20" t="n">
        <f aca="false">Parametres!$B$6*D1198</f>
        <v>0</v>
      </c>
      <c r="G1198" s="20" t="n">
        <f aca="false">E1198+F1198</f>
        <v>2.76</v>
      </c>
      <c r="H1198" s="20" t="n">
        <f aca="false">IF(G1198&lt;Parametres!$B$8*Parametres!$B$7,0,MIN(G1198,Parametres!$B$7))</f>
        <v>0</v>
      </c>
      <c r="I1198" s="20" t="n">
        <f aca="false">G1198-H1198</f>
        <v>2.76</v>
      </c>
      <c r="J1198" s="21" t="n">
        <f aca="false">H1198*1000/Parametres!$B$9</f>
        <v>0</v>
      </c>
    </row>
    <row r="1199" customFormat="false" ht="15" hidden="false" customHeight="false" outlineLevel="0" collapsed="false">
      <c r="A1199" s="0" t="n">
        <v>1195</v>
      </c>
      <c r="B1199" s="0" t="n">
        <v>2</v>
      </c>
      <c r="C1199" s="19" t="n">
        <v>0</v>
      </c>
      <c r="D1199" s="19" t="n">
        <v>0</v>
      </c>
      <c r="E1199" s="20" t="n">
        <f aca="false">Parametres!$B$5*C1199</f>
        <v>0</v>
      </c>
      <c r="F1199" s="20" t="n">
        <f aca="false">Parametres!$B$6*D1199</f>
        <v>0</v>
      </c>
      <c r="G1199" s="20" t="n">
        <f aca="false">E1199+F1199</f>
        <v>0</v>
      </c>
      <c r="H1199" s="20" t="n">
        <f aca="false">IF(G1199&lt;Parametres!$B$8*Parametres!$B$7,0,MIN(G1199,Parametres!$B$7))</f>
        <v>0</v>
      </c>
      <c r="I1199" s="20" t="n">
        <f aca="false">G1199-H1199</f>
        <v>0</v>
      </c>
      <c r="J1199" s="21" t="n">
        <f aca="false">H1199*1000/Parametres!$B$9</f>
        <v>0</v>
      </c>
    </row>
    <row r="1200" customFormat="false" ht="15" hidden="false" customHeight="false" outlineLevel="0" collapsed="false">
      <c r="A1200" s="0" t="n">
        <v>1196</v>
      </c>
      <c r="B1200" s="0" t="n">
        <v>2</v>
      </c>
      <c r="C1200" s="19" t="n">
        <v>0</v>
      </c>
      <c r="D1200" s="19" t="n">
        <v>0</v>
      </c>
      <c r="E1200" s="20" t="n">
        <f aca="false">Parametres!$B$5*C1200</f>
        <v>0</v>
      </c>
      <c r="F1200" s="20" t="n">
        <f aca="false">Parametres!$B$6*D1200</f>
        <v>0</v>
      </c>
      <c r="G1200" s="20" t="n">
        <f aca="false">E1200+F1200</f>
        <v>0</v>
      </c>
      <c r="H1200" s="20" t="n">
        <f aca="false">IF(G1200&lt;Parametres!$B$8*Parametres!$B$7,0,MIN(G1200,Parametres!$B$7))</f>
        <v>0</v>
      </c>
      <c r="I1200" s="20" t="n">
        <f aca="false">G1200-H1200</f>
        <v>0</v>
      </c>
      <c r="J1200" s="21" t="n">
        <f aca="false">H1200*1000/Parametres!$B$9</f>
        <v>0</v>
      </c>
    </row>
    <row r="1201" customFormat="false" ht="15" hidden="false" customHeight="false" outlineLevel="0" collapsed="false">
      <c r="A1201" s="0" t="n">
        <v>1197</v>
      </c>
      <c r="B1201" s="0" t="n">
        <v>2</v>
      </c>
      <c r="C1201" s="19" t="n">
        <v>0</v>
      </c>
      <c r="D1201" s="19" t="n">
        <v>0</v>
      </c>
      <c r="E1201" s="20" t="n">
        <f aca="false">Parametres!$B$5*C1201</f>
        <v>0</v>
      </c>
      <c r="F1201" s="20" t="n">
        <f aca="false">Parametres!$B$6*D1201</f>
        <v>0</v>
      </c>
      <c r="G1201" s="20" t="n">
        <f aca="false">E1201+F1201</f>
        <v>0</v>
      </c>
      <c r="H1201" s="20" t="n">
        <f aca="false">IF(G1201&lt;Parametres!$B$8*Parametres!$B$7,0,MIN(G1201,Parametres!$B$7))</f>
        <v>0</v>
      </c>
      <c r="I1201" s="20" t="n">
        <f aca="false">G1201-H1201</f>
        <v>0</v>
      </c>
      <c r="J1201" s="21" t="n">
        <f aca="false">H1201*1000/Parametres!$B$9</f>
        <v>0</v>
      </c>
    </row>
    <row r="1202" customFormat="false" ht="15" hidden="false" customHeight="false" outlineLevel="0" collapsed="false">
      <c r="A1202" s="0" t="n">
        <v>1198</v>
      </c>
      <c r="B1202" s="0" t="n">
        <v>2</v>
      </c>
      <c r="C1202" s="19" t="n">
        <v>0</v>
      </c>
      <c r="D1202" s="19" t="n">
        <v>0</v>
      </c>
      <c r="E1202" s="20" t="n">
        <f aca="false">Parametres!$B$5*C1202</f>
        <v>0</v>
      </c>
      <c r="F1202" s="20" t="n">
        <f aca="false">Parametres!$B$6*D1202</f>
        <v>0</v>
      </c>
      <c r="G1202" s="20" t="n">
        <f aca="false">E1202+F1202</f>
        <v>0</v>
      </c>
      <c r="H1202" s="20" t="n">
        <f aca="false">IF(G1202&lt;Parametres!$B$8*Parametres!$B$7,0,MIN(G1202,Parametres!$B$7))</f>
        <v>0</v>
      </c>
      <c r="I1202" s="20" t="n">
        <f aca="false">G1202-H1202</f>
        <v>0</v>
      </c>
      <c r="J1202" s="21" t="n">
        <f aca="false">H1202*1000/Parametres!$B$9</f>
        <v>0</v>
      </c>
    </row>
    <row r="1203" customFormat="false" ht="15" hidden="false" customHeight="false" outlineLevel="0" collapsed="false">
      <c r="A1203" s="0" t="n">
        <v>1199</v>
      </c>
      <c r="B1203" s="0" t="n">
        <v>2</v>
      </c>
      <c r="C1203" s="19" t="n">
        <v>0</v>
      </c>
      <c r="D1203" s="19" t="n">
        <v>0</v>
      </c>
      <c r="E1203" s="20" t="n">
        <f aca="false">Parametres!$B$5*C1203</f>
        <v>0</v>
      </c>
      <c r="F1203" s="20" t="n">
        <f aca="false">Parametres!$B$6*D1203</f>
        <v>0</v>
      </c>
      <c r="G1203" s="20" t="n">
        <f aca="false">E1203+F1203</f>
        <v>0</v>
      </c>
      <c r="H1203" s="20" t="n">
        <f aca="false">IF(G1203&lt;Parametres!$B$8*Parametres!$B$7,0,MIN(G1203,Parametres!$B$7))</f>
        <v>0</v>
      </c>
      <c r="I1203" s="20" t="n">
        <f aca="false">G1203-H1203</f>
        <v>0</v>
      </c>
      <c r="J1203" s="21" t="n">
        <f aca="false">H1203*1000/Parametres!$B$9</f>
        <v>0</v>
      </c>
    </row>
    <row r="1204" customFormat="false" ht="15" hidden="false" customHeight="false" outlineLevel="0" collapsed="false">
      <c r="A1204" s="0" t="n">
        <v>1200</v>
      </c>
      <c r="B1204" s="0" t="n">
        <v>2</v>
      </c>
      <c r="C1204" s="19" t="n">
        <v>0</v>
      </c>
      <c r="D1204" s="19" t="n">
        <v>0</v>
      </c>
      <c r="E1204" s="20" t="n">
        <f aca="false">Parametres!$B$5*C1204</f>
        <v>0</v>
      </c>
      <c r="F1204" s="20" t="n">
        <f aca="false">Parametres!$B$6*D1204</f>
        <v>0</v>
      </c>
      <c r="G1204" s="20" t="n">
        <f aca="false">E1204+F1204</f>
        <v>0</v>
      </c>
      <c r="H1204" s="20" t="n">
        <f aca="false">IF(G1204&lt;Parametres!$B$8*Parametres!$B$7,0,MIN(G1204,Parametres!$B$7))</f>
        <v>0</v>
      </c>
      <c r="I1204" s="20" t="n">
        <f aca="false">G1204-H1204</f>
        <v>0</v>
      </c>
      <c r="J1204" s="21" t="n">
        <f aca="false">H1204*1000/Parametres!$B$9</f>
        <v>0</v>
      </c>
    </row>
    <row r="1205" customFormat="false" ht="15" hidden="false" customHeight="false" outlineLevel="0" collapsed="false">
      <c r="A1205" s="0" t="n">
        <v>1201</v>
      </c>
      <c r="B1205" s="0" t="n">
        <v>2</v>
      </c>
      <c r="C1205" s="19" t="n">
        <v>0</v>
      </c>
      <c r="D1205" s="19" t="n">
        <v>0</v>
      </c>
      <c r="E1205" s="20" t="n">
        <f aca="false">Parametres!$B$5*C1205</f>
        <v>0</v>
      </c>
      <c r="F1205" s="20" t="n">
        <f aca="false">Parametres!$B$6*D1205</f>
        <v>0</v>
      </c>
      <c r="G1205" s="20" t="n">
        <f aca="false">E1205+F1205</f>
        <v>0</v>
      </c>
      <c r="H1205" s="20" t="n">
        <f aca="false">IF(G1205&lt;Parametres!$B$8*Parametres!$B$7,0,MIN(G1205,Parametres!$B$7))</f>
        <v>0</v>
      </c>
      <c r="I1205" s="20" t="n">
        <f aca="false">G1205-H1205</f>
        <v>0</v>
      </c>
      <c r="J1205" s="21" t="n">
        <f aca="false">H1205*1000/Parametres!$B$9</f>
        <v>0</v>
      </c>
    </row>
    <row r="1206" customFormat="false" ht="15" hidden="false" customHeight="false" outlineLevel="0" collapsed="false">
      <c r="A1206" s="0" t="n">
        <v>1202</v>
      </c>
      <c r="B1206" s="0" t="n">
        <v>2</v>
      </c>
      <c r="C1206" s="19" t="n">
        <v>0</v>
      </c>
      <c r="D1206" s="19" t="n">
        <v>0</v>
      </c>
      <c r="E1206" s="20" t="n">
        <f aca="false">Parametres!$B$5*C1206</f>
        <v>0</v>
      </c>
      <c r="F1206" s="20" t="n">
        <f aca="false">Parametres!$B$6*D1206</f>
        <v>0</v>
      </c>
      <c r="G1206" s="20" t="n">
        <f aca="false">E1206+F1206</f>
        <v>0</v>
      </c>
      <c r="H1206" s="20" t="n">
        <f aca="false">IF(G1206&lt;Parametres!$B$8*Parametres!$B$7,0,MIN(G1206,Parametres!$B$7))</f>
        <v>0</v>
      </c>
      <c r="I1206" s="20" t="n">
        <f aca="false">G1206-H1206</f>
        <v>0</v>
      </c>
      <c r="J1206" s="21" t="n">
        <f aca="false">H1206*1000/Parametres!$B$9</f>
        <v>0</v>
      </c>
    </row>
    <row r="1207" customFormat="false" ht="15" hidden="false" customHeight="false" outlineLevel="0" collapsed="false">
      <c r="A1207" s="0" t="n">
        <v>1203</v>
      </c>
      <c r="B1207" s="0" t="n">
        <v>2</v>
      </c>
      <c r="C1207" s="19" t="n">
        <v>0</v>
      </c>
      <c r="D1207" s="19" t="n">
        <v>0</v>
      </c>
      <c r="E1207" s="20" t="n">
        <f aca="false">Parametres!$B$5*C1207</f>
        <v>0</v>
      </c>
      <c r="F1207" s="20" t="n">
        <f aca="false">Parametres!$B$6*D1207</f>
        <v>0</v>
      </c>
      <c r="G1207" s="20" t="n">
        <f aca="false">E1207+F1207</f>
        <v>0</v>
      </c>
      <c r="H1207" s="20" t="n">
        <f aca="false">IF(G1207&lt;Parametres!$B$8*Parametres!$B$7,0,MIN(G1207,Parametres!$B$7))</f>
        <v>0</v>
      </c>
      <c r="I1207" s="20" t="n">
        <f aca="false">G1207-H1207</f>
        <v>0</v>
      </c>
      <c r="J1207" s="21" t="n">
        <f aca="false">H1207*1000/Parametres!$B$9</f>
        <v>0</v>
      </c>
    </row>
    <row r="1208" customFormat="false" ht="15" hidden="false" customHeight="false" outlineLevel="0" collapsed="false">
      <c r="A1208" s="0" t="n">
        <v>1204</v>
      </c>
      <c r="B1208" s="0" t="n">
        <v>2</v>
      </c>
      <c r="C1208" s="19" t="n">
        <v>0</v>
      </c>
      <c r="D1208" s="19" t="n">
        <v>0</v>
      </c>
      <c r="E1208" s="20" t="n">
        <f aca="false">Parametres!$B$5*C1208</f>
        <v>0</v>
      </c>
      <c r="F1208" s="20" t="n">
        <f aca="false">Parametres!$B$6*D1208</f>
        <v>0</v>
      </c>
      <c r="G1208" s="20" t="n">
        <f aca="false">E1208+F1208</f>
        <v>0</v>
      </c>
      <c r="H1208" s="20" t="n">
        <f aca="false">IF(G1208&lt;Parametres!$B$8*Parametres!$B$7,0,MIN(G1208,Parametres!$B$7))</f>
        <v>0</v>
      </c>
      <c r="I1208" s="20" t="n">
        <f aca="false">G1208-H1208</f>
        <v>0</v>
      </c>
      <c r="J1208" s="21" t="n">
        <f aca="false">H1208*1000/Parametres!$B$9</f>
        <v>0</v>
      </c>
    </row>
    <row r="1209" customFormat="false" ht="15" hidden="false" customHeight="false" outlineLevel="0" collapsed="false">
      <c r="A1209" s="0" t="n">
        <v>1205</v>
      </c>
      <c r="B1209" s="0" t="n">
        <v>2</v>
      </c>
      <c r="C1209" s="19" t="n">
        <v>0</v>
      </c>
      <c r="D1209" s="19" t="n">
        <v>0</v>
      </c>
      <c r="E1209" s="20" t="n">
        <f aca="false">Parametres!$B$5*C1209</f>
        <v>0</v>
      </c>
      <c r="F1209" s="20" t="n">
        <f aca="false">Parametres!$B$6*D1209</f>
        <v>0</v>
      </c>
      <c r="G1209" s="20" t="n">
        <f aca="false">E1209+F1209</f>
        <v>0</v>
      </c>
      <c r="H1209" s="20" t="n">
        <f aca="false">IF(G1209&lt;Parametres!$B$8*Parametres!$B$7,0,MIN(G1209,Parametres!$B$7))</f>
        <v>0</v>
      </c>
      <c r="I1209" s="20" t="n">
        <f aca="false">G1209-H1209</f>
        <v>0</v>
      </c>
      <c r="J1209" s="21" t="n">
        <f aca="false">H1209*1000/Parametres!$B$9</f>
        <v>0</v>
      </c>
    </row>
    <row r="1210" customFormat="false" ht="15" hidden="false" customHeight="false" outlineLevel="0" collapsed="false">
      <c r="A1210" s="0" t="n">
        <v>1206</v>
      </c>
      <c r="B1210" s="0" t="n">
        <v>2</v>
      </c>
      <c r="C1210" s="19" t="n">
        <v>0</v>
      </c>
      <c r="D1210" s="19" t="n">
        <v>0</v>
      </c>
      <c r="E1210" s="20" t="n">
        <f aca="false">Parametres!$B$5*C1210</f>
        <v>0</v>
      </c>
      <c r="F1210" s="20" t="n">
        <f aca="false">Parametres!$B$6*D1210</f>
        <v>0</v>
      </c>
      <c r="G1210" s="20" t="n">
        <f aca="false">E1210+F1210</f>
        <v>0</v>
      </c>
      <c r="H1210" s="20" t="n">
        <f aca="false">IF(G1210&lt;Parametres!$B$8*Parametres!$B$7,0,MIN(G1210,Parametres!$B$7))</f>
        <v>0</v>
      </c>
      <c r="I1210" s="20" t="n">
        <f aca="false">G1210-H1210</f>
        <v>0</v>
      </c>
      <c r="J1210" s="21" t="n">
        <f aca="false">H1210*1000/Parametres!$B$9</f>
        <v>0</v>
      </c>
    </row>
    <row r="1211" customFormat="false" ht="15" hidden="false" customHeight="false" outlineLevel="0" collapsed="false">
      <c r="A1211" s="0" t="n">
        <v>1207</v>
      </c>
      <c r="B1211" s="0" t="n">
        <v>2</v>
      </c>
      <c r="C1211" s="19" t="n">
        <v>0.0099</v>
      </c>
      <c r="D1211" s="19" t="n">
        <v>0</v>
      </c>
      <c r="E1211" s="20" t="n">
        <f aca="false">Parametres!$B$5*C1211</f>
        <v>2.97</v>
      </c>
      <c r="F1211" s="20" t="n">
        <f aca="false">Parametres!$B$6*D1211</f>
        <v>0</v>
      </c>
      <c r="G1211" s="20" t="n">
        <f aca="false">E1211+F1211</f>
        <v>2.97</v>
      </c>
      <c r="H1211" s="20" t="n">
        <f aca="false">IF(G1211&lt;Parametres!$B$8*Parametres!$B$7,0,MIN(G1211,Parametres!$B$7))</f>
        <v>0</v>
      </c>
      <c r="I1211" s="20" t="n">
        <f aca="false">G1211-H1211</f>
        <v>2.97</v>
      </c>
      <c r="J1211" s="21" t="n">
        <f aca="false">H1211*1000/Parametres!$B$9</f>
        <v>0</v>
      </c>
    </row>
    <row r="1212" customFormat="false" ht="15" hidden="false" customHeight="false" outlineLevel="0" collapsed="false">
      <c r="A1212" s="0" t="n">
        <v>1208</v>
      </c>
      <c r="B1212" s="0" t="n">
        <v>2</v>
      </c>
      <c r="C1212" s="19" t="n">
        <v>0.2496</v>
      </c>
      <c r="D1212" s="19" t="n">
        <v>0</v>
      </c>
      <c r="E1212" s="20" t="n">
        <f aca="false">Parametres!$B$5*C1212</f>
        <v>74.88</v>
      </c>
      <c r="F1212" s="20" t="n">
        <f aca="false">Parametres!$B$6*D1212</f>
        <v>0</v>
      </c>
      <c r="G1212" s="20" t="n">
        <f aca="false">E1212+F1212</f>
        <v>74.88</v>
      </c>
      <c r="H1212" s="20" t="n">
        <f aca="false">IF(G1212&lt;Parametres!$B$8*Parametres!$B$7,0,MIN(G1212,Parametres!$B$7))</f>
        <v>74.88</v>
      </c>
      <c r="I1212" s="20" t="n">
        <f aca="false">G1212-H1212</f>
        <v>0</v>
      </c>
      <c r="J1212" s="21" t="n">
        <f aca="false">H1212*1000/Parametres!$B$9</f>
        <v>1269.79820247584</v>
      </c>
    </row>
    <row r="1213" customFormat="false" ht="15" hidden="false" customHeight="false" outlineLevel="0" collapsed="false">
      <c r="A1213" s="0" t="n">
        <v>1209</v>
      </c>
      <c r="B1213" s="0" t="n">
        <v>2</v>
      </c>
      <c r="C1213" s="19" t="n">
        <v>0.523</v>
      </c>
      <c r="D1213" s="19" t="n">
        <v>0</v>
      </c>
      <c r="E1213" s="20" t="n">
        <f aca="false">Parametres!$B$5*C1213</f>
        <v>156.9</v>
      </c>
      <c r="F1213" s="20" t="n">
        <f aca="false">Parametres!$B$6*D1213</f>
        <v>0</v>
      </c>
      <c r="G1213" s="20" t="n">
        <f aca="false">E1213+F1213</f>
        <v>156.9</v>
      </c>
      <c r="H1213" s="20" t="n">
        <f aca="false">IF(G1213&lt;Parametres!$B$8*Parametres!$B$7,0,MIN(G1213,Parametres!$B$7))</f>
        <v>156.9</v>
      </c>
      <c r="I1213" s="20" t="n">
        <f aca="false">G1213-H1213</f>
        <v>0</v>
      </c>
      <c r="J1213" s="21" t="n">
        <f aca="false">H1213*1000/Parametres!$B$9</f>
        <v>2660.67491945057</v>
      </c>
    </row>
    <row r="1214" customFormat="false" ht="15" hidden="false" customHeight="false" outlineLevel="0" collapsed="false">
      <c r="A1214" s="0" t="n">
        <v>1210</v>
      </c>
      <c r="B1214" s="0" t="n">
        <v>2</v>
      </c>
      <c r="C1214" s="19" t="n">
        <v>0.7064</v>
      </c>
      <c r="D1214" s="19" t="n">
        <v>0</v>
      </c>
      <c r="E1214" s="20" t="n">
        <f aca="false">Parametres!$B$5*C1214</f>
        <v>211.92</v>
      </c>
      <c r="F1214" s="20" t="n">
        <f aca="false">Parametres!$B$6*D1214</f>
        <v>0</v>
      </c>
      <c r="G1214" s="20" t="n">
        <f aca="false">E1214+F1214</f>
        <v>211.92</v>
      </c>
      <c r="H1214" s="20" t="n">
        <f aca="false">IF(G1214&lt;Parametres!$B$8*Parametres!$B$7,0,MIN(G1214,Parametres!$B$7))</f>
        <v>211.92</v>
      </c>
      <c r="I1214" s="20" t="n">
        <f aca="false">G1214-H1214</f>
        <v>0</v>
      </c>
      <c r="J1214" s="21" t="n">
        <f aca="false">H1214*1000/Parametres!$B$9</f>
        <v>3593.69170764796</v>
      </c>
    </row>
    <row r="1215" customFormat="false" ht="15" hidden="false" customHeight="false" outlineLevel="0" collapsed="false">
      <c r="A1215" s="0" t="n">
        <v>1211</v>
      </c>
      <c r="B1215" s="0" t="n">
        <v>2</v>
      </c>
      <c r="C1215" s="19" t="n">
        <v>0.8577</v>
      </c>
      <c r="D1215" s="19" t="n">
        <v>0</v>
      </c>
      <c r="E1215" s="20" t="n">
        <f aca="false">Parametres!$B$5*C1215</f>
        <v>257.31</v>
      </c>
      <c r="F1215" s="20" t="n">
        <f aca="false">Parametres!$B$6*D1215</f>
        <v>0</v>
      </c>
      <c r="G1215" s="20" t="n">
        <f aca="false">E1215+F1215</f>
        <v>257.31</v>
      </c>
      <c r="H1215" s="20" t="n">
        <f aca="false">IF(G1215&lt;Parametres!$B$8*Parametres!$B$7,0,MIN(G1215,Parametres!$B$7))</f>
        <v>250</v>
      </c>
      <c r="I1215" s="20" t="n">
        <f aca="false">G1215-H1215</f>
        <v>7.31</v>
      </c>
      <c r="J1215" s="21" t="n">
        <f aca="false">H1215*1000/Parametres!$B$9</f>
        <v>4239.44378497541</v>
      </c>
    </row>
    <row r="1216" customFormat="false" ht="15" hidden="false" customHeight="false" outlineLevel="0" collapsed="false">
      <c r="A1216" s="0" t="n">
        <v>1212</v>
      </c>
      <c r="B1216" s="0" t="n">
        <v>2</v>
      </c>
      <c r="C1216" s="19" t="n">
        <v>0.9967</v>
      </c>
      <c r="D1216" s="19" t="n">
        <v>0</v>
      </c>
      <c r="E1216" s="20" t="n">
        <f aca="false">Parametres!$B$5*C1216</f>
        <v>299.01</v>
      </c>
      <c r="F1216" s="20" t="n">
        <f aca="false">Parametres!$B$6*D1216</f>
        <v>0</v>
      </c>
      <c r="G1216" s="20" t="n">
        <f aca="false">E1216+F1216</f>
        <v>299.01</v>
      </c>
      <c r="H1216" s="20" t="n">
        <f aca="false">IF(G1216&lt;Parametres!$B$8*Parametres!$B$7,0,MIN(G1216,Parametres!$B$7))</f>
        <v>250</v>
      </c>
      <c r="I1216" s="20" t="n">
        <f aca="false">G1216-H1216</f>
        <v>49.01</v>
      </c>
      <c r="J1216" s="21" t="n">
        <f aca="false">H1216*1000/Parametres!$B$9</f>
        <v>4239.44378497541</v>
      </c>
    </row>
    <row r="1217" customFormat="false" ht="15" hidden="false" customHeight="false" outlineLevel="0" collapsed="false">
      <c r="A1217" s="0" t="n">
        <v>1213</v>
      </c>
      <c r="B1217" s="0" t="n">
        <v>2</v>
      </c>
      <c r="C1217" s="19" t="n">
        <v>0.9066</v>
      </c>
      <c r="D1217" s="19" t="n">
        <v>0</v>
      </c>
      <c r="E1217" s="20" t="n">
        <f aca="false">Parametres!$B$5*C1217</f>
        <v>271.98</v>
      </c>
      <c r="F1217" s="20" t="n">
        <f aca="false">Parametres!$B$6*D1217</f>
        <v>0</v>
      </c>
      <c r="G1217" s="20" t="n">
        <f aca="false">E1217+F1217</f>
        <v>271.98</v>
      </c>
      <c r="H1217" s="20" t="n">
        <f aca="false">IF(G1217&lt;Parametres!$B$8*Parametres!$B$7,0,MIN(G1217,Parametres!$B$7))</f>
        <v>250</v>
      </c>
      <c r="I1217" s="20" t="n">
        <f aca="false">G1217-H1217</f>
        <v>21.98</v>
      </c>
      <c r="J1217" s="21" t="n">
        <f aca="false">H1217*1000/Parametres!$B$9</f>
        <v>4239.44378497541</v>
      </c>
    </row>
    <row r="1218" customFormat="false" ht="15" hidden="false" customHeight="false" outlineLevel="0" collapsed="false">
      <c r="A1218" s="0" t="n">
        <v>1214</v>
      </c>
      <c r="B1218" s="0" t="n">
        <v>2</v>
      </c>
      <c r="C1218" s="19" t="n">
        <v>0.8277</v>
      </c>
      <c r="D1218" s="19" t="n">
        <v>0</v>
      </c>
      <c r="E1218" s="20" t="n">
        <f aca="false">Parametres!$B$5*C1218</f>
        <v>248.31</v>
      </c>
      <c r="F1218" s="20" t="n">
        <f aca="false">Parametres!$B$6*D1218</f>
        <v>0</v>
      </c>
      <c r="G1218" s="20" t="n">
        <f aca="false">E1218+F1218</f>
        <v>248.31</v>
      </c>
      <c r="H1218" s="20" t="n">
        <f aca="false">IF(G1218&lt;Parametres!$B$8*Parametres!$B$7,0,MIN(G1218,Parametres!$B$7))</f>
        <v>248.31</v>
      </c>
      <c r="I1218" s="20" t="n">
        <f aca="false">G1218-H1218</f>
        <v>0</v>
      </c>
      <c r="J1218" s="21" t="n">
        <f aca="false">H1218*1000/Parametres!$B$9</f>
        <v>4210.78514498898</v>
      </c>
    </row>
    <row r="1219" customFormat="false" ht="15" hidden="false" customHeight="false" outlineLevel="0" collapsed="false">
      <c r="A1219" s="0" t="n">
        <v>1215</v>
      </c>
      <c r="B1219" s="0" t="n">
        <v>2</v>
      </c>
      <c r="C1219" s="19" t="n">
        <v>0.6724</v>
      </c>
      <c r="D1219" s="19" t="n">
        <v>0</v>
      </c>
      <c r="E1219" s="20" t="n">
        <f aca="false">Parametres!$B$5*C1219</f>
        <v>201.72</v>
      </c>
      <c r="F1219" s="20" t="n">
        <f aca="false">Parametres!$B$6*D1219</f>
        <v>0</v>
      </c>
      <c r="G1219" s="20" t="n">
        <f aca="false">E1219+F1219</f>
        <v>201.72</v>
      </c>
      <c r="H1219" s="20" t="n">
        <f aca="false">IF(G1219&lt;Parametres!$B$8*Parametres!$B$7,0,MIN(G1219,Parametres!$B$7))</f>
        <v>201.72</v>
      </c>
      <c r="I1219" s="20" t="n">
        <f aca="false">G1219-H1219</f>
        <v>0</v>
      </c>
      <c r="J1219" s="21" t="n">
        <f aca="false">H1219*1000/Parametres!$B$9</f>
        <v>3420.72240122096</v>
      </c>
    </row>
    <row r="1220" customFormat="false" ht="15" hidden="false" customHeight="false" outlineLevel="0" collapsed="false">
      <c r="A1220" s="0" t="n">
        <v>1216</v>
      </c>
      <c r="B1220" s="0" t="n">
        <v>2</v>
      </c>
      <c r="C1220" s="19" t="n">
        <v>0.4919</v>
      </c>
      <c r="D1220" s="19" t="n">
        <v>0</v>
      </c>
      <c r="E1220" s="20" t="n">
        <f aca="false">Parametres!$B$5*C1220</f>
        <v>147.57</v>
      </c>
      <c r="F1220" s="20" t="n">
        <f aca="false">Parametres!$B$6*D1220</f>
        <v>0</v>
      </c>
      <c r="G1220" s="20" t="n">
        <f aca="false">E1220+F1220</f>
        <v>147.57</v>
      </c>
      <c r="H1220" s="20" t="n">
        <f aca="false">IF(G1220&lt;Parametres!$B$8*Parametres!$B$7,0,MIN(G1220,Parametres!$B$7))</f>
        <v>147.57</v>
      </c>
      <c r="I1220" s="20" t="n">
        <f aca="false">G1220-H1220</f>
        <v>0</v>
      </c>
      <c r="J1220" s="21" t="n">
        <f aca="false">H1220*1000/Parametres!$B$9</f>
        <v>2502.45887739529</v>
      </c>
    </row>
    <row r="1221" customFormat="false" ht="15" hidden="false" customHeight="false" outlineLevel="0" collapsed="false">
      <c r="A1221" s="0" t="n">
        <v>1217</v>
      </c>
      <c r="B1221" s="0" t="n">
        <v>2</v>
      </c>
      <c r="C1221" s="19" t="n">
        <v>0.25</v>
      </c>
      <c r="D1221" s="19" t="n">
        <v>0</v>
      </c>
      <c r="E1221" s="20" t="n">
        <f aca="false">Parametres!$B$5*C1221</f>
        <v>75</v>
      </c>
      <c r="F1221" s="20" t="n">
        <f aca="false">Parametres!$B$6*D1221</f>
        <v>0</v>
      </c>
      <c r="G1221" s="20" t="n">
        <f aca="false">E1221+F1221</f>
        <v>75</v>
      </c>
      <c r="H1221" s="20" t="n">
        <f aca="false">IF(G1221&lt;Parametres!$B$8*Parametres!$B$7,0,MIN(G1221,Parametres!$B$7))</f>
        <v>75</v>
      </c>
      <c r="I1221" s="20" t="n">
        <f aca="false">G1221-H1221</f>
        <v>0</v>
      </c>
      <c r="J1221" s="21" t="n">
        <f aca="false">H1221*1000/Parametres!$B$9</f>
        <v>1271.83313549262</v>
      </c>
    </row>
    <row r="1222" customFormat="false" ht="15" hidden="false" customHeight="false" outlineLevel="0" collapsed="false">
      <c r="A1222" s="0" t="n">
        <v>1218</v>
      </c>
      <c r="B1222" s="0" t="n">
        <v>2</v>
      </c>
      <c r="C1222" s="19" t="n">
        <v>0.011</v>
      </c>
      <c r="D1222" s="19" t="n">
        <v>0</v>
      </c>
      <c r="E1222" s="20" t="n">
        <f aca="false">Parametres!$B$5*C1222</f>
        <v>3.3</v>
      </c>
      <c r="F1222" s="20" t="n">
        <f aca="false">Parametres!$B$6*D1222</f>
        <v>0</v>
      </c>
      <c r="G1222" s="20" t="n">
        <f aca="false">E1222+F1222</f>
        <v>3.3</v>
      </c>
      <c r="H1222" s="20" t="n">
        <f aca="false">IF(G1222&lt;Parametres!$B$8*Parametres!$B$7,0,MIN(G1222,Parametres!$B$7))</f>
        <v>0</v>
      </c>
      <c r="I1222" s="20" t="n">
        <f aca="false">G1222-H1222</f>
        <v>3.3</v>
      </c>
      <c r="J1222" s="21" t="n">
        <f aca="false">H1222*1000/Parametres!$B$9</f>
        <v>0</v>
      </c>
    </row>
    <row r="1223" customFormat="false" ht="15" hidden="false" customHeight="false" outlineLevel="0" collapsed="false">
      <c r="A1223" s="0" t="n">
        <v>1219</v>
      </c>
      <c r="B1223" s="0" t="n">
        <v>2</v>
      </c>
      <c r="C1223" s="19" t="n">
        <v>0</v>
      </c>
      <c r="D1223" s="19" t="n">
        <v>0</v>
      </c>
      <c r="E1223" s="20" t="n">
        <f aca="false">Parametres!$B$5*C1223</f>
        <v>0</v>
      </c>
      <c r="F1223" s="20" t="n">
        <f aca="false">Parametres!$B$6*D1223</f>
        <v>0</v>
      </c>
      <c r="G1223" s="20" t="n">
        <f aca="false">E1223+F1223</f>
        <v>0</v>
      </c>
      <c r="H1223" s="20" t="n">
        <f aca="false">IF(G1223&lt;Parametres!$B$8*Parametres!$B$7,0,MIN(G1223,Parametres!$B$7))</f>
        <v>0</v>
      </c>
      <c r="I1223" s="20" t="n">
        <f aca="false">G1223-H1223</f>
        <v>0</v>
      </c>
      <c r="J1223" s="21" t="n">
        <f aca="false">H1223*1000/Parametres!$B$9</f>
        <v>0</v>
      </c>
    </row>
    <row r="1224" customFormat="false" ht="15" hidden="false" customHeight="false" outlineLevel="0" collapsed="false">
      <c r="A1224" s="0" t="n">
        <v>1220</v>
      </c>
      <c r="B1224" s="0" t="n">
        <v>2</v>
      </c>
      <c r="C1224" s="19" t="n">
        <v>0</v>
      </c>
      <c r="D1224" s="19" t="n">
        <v>0</v>
      </c>
      <c r="E1224" s="20" t="n">
        <f aca="false">Parametres!$B$5*C1224</f>
        <v>0</v>
      </c>
      <c r="F1224" s="20" t="n">
        <f aca="false">Parametres!$B$6*D1224</f>
        <v>0</v>
      </c>
      <c r="G1224" s="20" t="n">
        <f aca="false">E1224+F1224</f>
        <v>0</v>
      </c>
      <c r="H1224" s="20" t="n">
        <f aca="false">IF(G1224&lt;Parametres!$B$8*Parametres!$B$7,0,MIN(G1224,Parametres!$B$7))</f>
        <v>0</v>
      </c>
      <c r="I1224" s="20" t="n">
        <f aca="false">G1224-H1224</f>
        <v>0</v>
      </c>
      <c r="J1224" s="21" t="n">
        <f aca="false">H1224*1000/Parametres!$B$9</f>
        <v>0</v>
      </c>
    </row>
    <row r="1225" customFormat="false" ht="15" hidden="false" customHeight="false" outlineLevel="0" collapsed="false">
      <c r="A1225" s="0" t="n">
        <v>1221</v>
      </c>
      <c r="B1225" s="0" t="n">
        <v>2</v>
      </c>
      <c r="C1225" s="19" t="n">
        <v>0</v>
      </c>
      <c r="D1225" s="19" t="n">
        <v>0</v>
      </c>
      <c r="E1225" s="20" t="n">
        <f aca="false">Parametres!$B$5*C1225</f>
        <v>0</v>
      </c>
      <c r="F1225" s="20" t="n">
        <f aca="false">Parametres!$B$6*D1225</f>
        <v>0</v>
      </c>
      <c r="G1225" s="20" t="n">
        <f aca="false">E1225+F1225</f>
        <v>0</v>
      </c>
      <c r="H1225" s="20" t="n">
        <f aca="false">IF(G1225&lt;Parametres!$B$8*Parametres!$B$7,0,MIN(G1225,Parametres!$B$7))</f>
        <v>0</v>
      </c>
      <c r="I1225" s="20" t="n">
        <f aca="false">G1225-H1225</f>
        <v>0</v>
      </c>
      <c r="J1225" s="21" t="n">
        <f aca="false">H1225*1000/Parametres!$B$9</f>
        <v>0</v>
      </c>
    </row>
    <row r="1226" customFormat="false" ht="15" hidden="false" customHeight="false" outlineLevel="0" collapsed="false">
      <c r="A1226" s="0" t="n">
        <v>1222</v>
      </c>
      <c r="B1226" s="0" t="n">
        <v>2</v>
      </c>
      <c r="C1226" s="19" t="n">
        <v>0</v>
      </c>
      <c r="D1226" s="19" t="n">
        <v>0</v>
      </c>
      <c r="E1226" s="20" t="n">
        <f aca="false">Parametres!$B$5*C1226</f>
        <v>0</v>
      </c>
      <c r="F1226" s="20" t="n">
        <f aca="false">Parametres!$B$6*D1226</f>
        <v>0</v>
      </c>
      <c r="G1226" s="20" t="n">
        <f aca="false">E1226+F1226</f>
        <v>0</v>
      </c>
      <c r="H1226" s="20" t="n">
        <f aca="false">IF(G1226&lt;Parametres!$B$8*Parametres!$B$7,0,MIN(G1226,Parametres!$B$7))</f>
        <v>0</v>
      </c>
      <c r="I1226" s="20" t="n">
        <f aca="false">G1226-H1226</f>
        <v>0</v>
      </c>
      <c r="J1226" s="21" t="n">
        <f aca="false">H1226*1000/Parametres!$B$9</f>
        <v>0</v>
      </c>
    </row>
    <row r="1227" customFormat="false" ht="15" hidden="false" customHeight="false" outlineLevel="0" collapsed="false">
      <c r="A1227" s="0" t="n">
        <v>1223</v>
      </c>
      <c r="B1227" s="0" t="n">
        <v>2</v>
      </c>
      <c r="C1227" s="19" t="n">
        <v>0</v>
      </c>
      <c r="D1227" s="19" t="n">
        <v>0</v>
      </c>
      <c r="E1227" s="20" t="n">
        <f aca="false">Parametres!$B$5*C1227</f>
        <v>0</v>
      </c>
      <c r="F1227" s="20" t="n">
        <f aca="false">Parametres!$B$6*D1227</f>
        <v>0</v>
      </c>
      <c r="G1227" s="20" t="n">
        <f aca="false">E1227+F1227</f>
        <v>0</v>
      </c>
      <c r="H1227" s="20" t="n">
        <f aca="false">IF(G1227&lt;Parametres!$B$8*Parametres!$B$7,0,MIN(G1227,Parametres!$B$7))</f>
        <v>0</v>
      </c>
      <c r="I1227" s="20" t="n">
        <f aca="false">G1227-H1227</f>
        <v>0</v>
      </c>
      <c r="J1227" s="21" t="n">
        <f aca="false">H1227*1000/Parametres!$B$9</f>
        <v>0</v>
      </c>
    </row>
    <row r="1228" customFormat="false" ht="15" hidden="false" customHeight="false" outlineLevel="0" collapsed="false">
      <c r="A1228" s="0" t="n">
        <v>1224</v>
      </c>
      <c r="B1228" s="0" t="n">
        <v>2</v>
      </c>
      <c r="C1228" s="19" t="n">
        <v>0</v>
      </c>
      <c r="D1228" s="19" t="n">
        <v>0</v>
      </c>
      <c r="E1228" s="20" t="n">
        <f aca="false">Parametres!$B$5*C1228</f>
        <v>0</v>
      </c>
      <c r="F1228" s="20" t="n">
        <f aca="false">Parametres!$B$6*D1228</f>
        <v>0</v>
      </c>
      <c r="G1228" s="20" t="n">
        <f aca="false">E1228+F1228</f>
        <v>0</v>
      </c>
      <c r="H1228" s="20" t="n">
        <f aca="false">IF(G1228&lt;Parametres!$B$8*Parametres!$B$7,0,MIN(G1228,Parametres!$B$7))</f>
        <v>0</v>
      </c>
      <c r="I1228" s="20" t="n">
        <f aca="false">G1228-H1228</f>
        <v>0</v>
      </c>
      <c r="J1228" s="21" t="n">
        <f aca="false">H1228*1000/Parametres!$B$9</f>
        <v>0</v>
      </c>
    </row>
    <row r="1229" customFormat="false" ht="15" hidden="false" customHeight="false" outlineLevel="0" collapsed="false">
      <c r="A1229" s="0" t="n">
        <v>1225</v>
      </c>
      <c r="B1229" s="0" t="n">
        <v>2</v>
      </c>
      <c r="C1229" s="19" t="n">
        <v>0</v>
      </c>
      <c r="D1229" s="19" t="n">
        <v>0</v>
      </c>
      <c r="E1229" s="20" t="n">
        <f aca="false">Parametres!$B$5*C1229</f>
        <v>0</v>
      </c>
      <c r="F1229" s="20" t="n">
        <f aca="false">Parametres!$B$6*D1229</f>
        <v>0</v>
      </c>
      <c r="G1229" s="20" t="n">
        <f aca="false">E1229+F1229</f>
        <v>0</v>
      </c>
      <c r="H1229" s="20" t="n">
        <f aca="false">IF(G1229&lt;Parametres!$B$8*Parametres!$B$7,0,MIN(G1229,Parametres!$B$7))</f>
        <v>0</v>
      </c>
      <c r="I1229" s="20" t="n">
        <f aca="false">G1229-H1229</f>
        <v>0</v>
      </c>
      <c r="J1229" s="21" t="n">
        <f aca="false">H1229*1000/Parametres!$B$9</f>
        <v>0</v>
      </c>
    </row>
    <row r="1230" customFormat="false" ht="15" hidden="false" customHeight="false" outlineLevel="0" collapsed="false">
      <c r="A1230" s="0" t="n">
        <v>1226</v>
      </c>
      <c r="B1230" s="0" t="n">
        <v>2</v>
      </c>
      <c r="C1230" s="19" t="n">
        <v>0</v>
      </c>
      <c r="D1230" s="19" t="n">
        <v>0</v>
      </c>
      <c r="E1230" s="20" t="n">
        <f aca="false">Parametres!$B$5*C1230</f>
        <v>0</v>
      </c>
      <c r="F1230" s="20" t="n">
        <f aca="false">Parametres!$B$6*D1230</f>
        <v>0</v>
      </c>
      <c r="G1230" s="20" t="n">
        <f aca="false">E1230+F1230</f>
        <v>0</v>
      </c>
      <c r="H1230" s="20" t="n">
        <f aca="false">IF(G1230&lt;Parametres!$B$8*Parametres!$B$7,0,MIN(G1230,Parametres!$B$7))</f>
        <v>0</v>
      </c>
      <c r="I1230" s="20" t="n">
        <f aca="false">G1230-H1230</f>
        <v>0</v>
      </c>
      <c r="J1230" s="21" t="n">
        <f aca="false">H1230*1000/Parametres!$B$9</f>
        <v>0</v>
      </c>
    </row>
    <row r="1231" customFormat="false" ht="15" hidden="false" customHeight="false" outlineLevel="0" collapsed="false">
      <c r="A1231" s="0" t="n">
        <v>1227</v>
      </c>
      <c r="B1231" s="0" t="n">
        <v>2</v>
      </c>
      <c r="C1231" s="19" t="n">
        <v>0</v>
      </c>
      <c r="D1231" s="19" t="n">
        <v>0</v>
      </c>
      <c r="E1231" s="20" t="n">
        <f aca="false">Parametres!$B$5*C1231</f>
        <v>0</v>
      </c>
      <c r="F1231" s="20" t="n">
        <f aca="false">Parametres!$B$6*D1231</f>
        <v>0</v>
      </c>
      <c r="G1231" s="20" t="n">
        <f aca="false">E1231+F1231</f>
        <v>0</v>
      </c>
      <c r="H1231" s="20" t="n">
        <f aca="false">IF(G1231&lt;Parametres!$B$8*Parametres!$B$7,0,MIN(G1231,Parametres!$B$7))</f>
        <v>0</v>
      </c>
      <c r="I1231" s="20" t="n">
        <f aca="false">G1231-H1231</f>
        <v>0</v>
      </c>
      <c r="J1231" s="21" t="n">
        <f aca="false">H1231*1000/Parametres!$B$9</f>
        <v>0</v>
      </c>
    </row>
    <row r="1232" customFormat="false" ht="15" hidden="false" customHeight="false" outlineLevel="0" collapsed="false">
      <c r="A1232" s="0" t="n">
        <v>1228</v>
      </c>
      <c r="B1232" s="0" t="n">
        <v>2</v>
      </c>
      <c r="C1232" s="19" t="n">
        <v>0</v>
      </c>
      <c r="D1232" s="19" t="n">
        <v>0</v>
      </c>
      <c r="E1232" s="20" t="n">
        <f aca="false">Parametres!$B$5*C1232</f>
        <v>0</v>
      </c>
      <c r="F1232" s="20" t="n">
        <f aca="false">Parametres!$B$6*D1232</f>
        <v>0</v>
      </c>
      <c r="G1232" s="20" t="n">
        <f aca="false">E1232+F1232</f>
        <v>0</v>
      </c>
      <c r="H1232" s="20" t="n">
        <f aca="false">IF(G1232&lt;Parametres!$B$8*Parametres!$B$7,0,MIN(G1232,Parametres!$B$7))</f>
        <v>0</v>
      </c>
      <c r="I1232" s="20" t="n">
        <f aca="false">G1232-H1232</f>
        <v>0</v>
      </c>
      <c r="J1232" s="21" t="n">
        <f aca="false">H1232*1000/Parametres!$B$9</f>
        <v>0</v>
      </c>
    </row>
    <row r="1233" customFormat="false" ht="15" hidden="false" customHeight="false" outlineLevel="0" collapsed="false">
      <c r="A1233" s="0" t="n">
        <v>1229</v>
      </c>
      <c r="B1233" s="0" t="n">
        <v>2</v>
      </c>
      <c r="C1233" s="19" t="n">
        <v>0</v>
      </c>
      <c r="D1233" s="19" t="n">
        <v>0</v>
      </c>
      <c r="E1233" s="20" t="n">
        <f aca="false">Parametres!$B$5*C1233</f>
        <v>0</v>
      </c>
      <c r="F1233" s="20" t="n">
        <f aca="false">Parametres!$B$6*D1233</f>
        <v>0</v>
      </c>
      <c r="G1233" s="20" t="n">
        <f aca="false">E1233+F1233</f>
        <v>0</v>
      </c>
      <c r="H1233" s="20" t="n">
        <f aca="false">IF(G1233&lt;Parametres!$B$8*Parametres!$B$7,0,MIN(G1233,Parametres!$B$7))</f>
        <v>0</v>
      </c>
      <c r="I1233" s="20" t="n">
        <f aca="false">G1233-H1233</f>
        <v>0</v>
      </c>
      <c r="J1233" s="21" t="n">
        <f aca="false">H1233*1000/Parametres!$B$9</f>
        <v>0</v>
      </c>
    </row>
    <row r="1234" customFormat="false" ht="15" hidden="false" customHeight="false" outlineLevel="0" collapsed="false">
      <c r="A1234" s="0" t="n">
        <v>1230</v>
      </c>
      <c r="B1234" s="0" t="n">
        <v>2</v>
      </c>
      <c r="C1234" s="19" t="n">
        <v>0</v>
      </c>
      <c r="D1234" s="19" t="n">
        <v>0</v>
      </c>
      <c r="E1234" s="20" t="n">
        <f aca="false">Parametres!$B$5*C1234</f>
        <v>0</v>
      </c>
      <c r="F1234" s="20" t="n">
        <f aca="false">Parametres!$B$6*D1234</f>
        <v>0</v>
      </c>
      <c r="G1234" s="20" t="n">
        <f aca="false">E1234+F1234</f>
        <v>0</v>
      </c>
      <c r="H1234" s="20" t="n">
        <f aca="false">IF(G1234&lt;Parametres!$B$8*Parametres!$B$7,0,MIN(G1234,Parametres!$B$7))</f>
        <v>0</v>
      </c>
      <c r="I1234" s="20" t="n">
        <f aca="false">G1234-H1234</f>
        <v>0</v>
      </c>
      <c r="J1234" s="21" t="n">
        <f aca="false">H1234*1000/Parametres!$B$9</f>
        <v>0</v>
      </c>
    </row>
    <row r="1235" customFormat="false" ht="15" hidden="false" customHeight="false" outlineLevel="0" collapsed="false">
      <c r="A1235" s="0" t="n">
        <v>1231</v>
      </c>
      <c r="B1235" s="0" t="n">
        <v>2</v>
      </c>
      <c r="C1235" s="19" t="n">
        <v>0.0126</v>
      </c>
      <c r="D1235" s="19" t="n">
        <v>0</v>
      </c>
      <c r="E1235" s="20" t="n">
        <f aca="false">Parametres!$B$5*C1235</f>
        <v>3.78</v>
      </c>
      <c r="F1235" s="20" t="n">
        <f aca="false">Parametres!$B$6*D1235</f>
        <v>0</v>
      </c>
      <c r="G1235" s="20" t="n">
        <f aca="false">E1235+F1235</f>
        <v>3.78</v>
      </c>
      <c r="H1235" s="20" t="n">
        <f aca="false">IF(G1235&lt;Parametres!$B$8*Parametres!$B$7,0,MIN(G1235,Parametres!$B$7))</f>
        <v>0</v>
      </c>
      <c r="I1235" s="20" t="n">
        <f aca="false">G1235-H1235</f>
        <v>3.78</v>
      </c>
      <c r="J1235" s="21" t="n">
        <f aca="false">H1235*1000/Parametres!$B$9</f>
        <v>0</v>
      </c>
    </row>
    <row r="1236" customFormat="false" ht="15" hidden="false" customHeight="false" outlineLevel="0" collapsed="false">
      <c r="A1236" s="0" t="n">
        <v>1232</v>
      </c>
      <c r="B1236" s="0" t="n">
        <v>2</v>
      </c>
      <c r="C1236" s="19" t="n">
        <v>0.2208</v>
      </c>
      <c r="D1236" s="19" t="n">
        <v>0</v>
      </c>
      <c r="E1236" s="20" t="n">
        <f aca="false">Parametres!$B$5*C1236</f>
        <v>66.24</v>
      </c>
      <c r="F1236" s="20" t="n">
        <f aca="false">Parametres!$B$6*D1236</f>
        <v>0</v>
      </c>
      <c r="G1236" s="20" t="n">
        <f aca="false">E1236+F1236</f>
        <v>66.24</v>
      </c>
      <c r="H1236" s="20" t="n">
        <f aca="false">IF(G1236&lt;Parametres!$B$8*Parametres!$B$7,0,MIN(G1236,Parametres!$B$7))</f>
        <v>66.24</v>
      </c>
      <c r="I1236" s="20" t="n">
        <f aca="false">G1236-H1236</f>
        <v>0</v>
      </c>
      <c r="J1236" s="21" t="n">
        <f aca="false">H1236*1000/Parametres!$B$9</f>
        <v>1123.28302526709</v>
      </c>
    </row>
    <row r="1237" customFormat="false" ht="15" hidden="false" customHeight="false" outlineLevel="0" collapsed="false">
      <c r="A1237" s="0" t="n">
        <v>1233</v>
      </c>
      <c r="B1237" s="0" t="n">
        <v>2</v>
      </c>
      <c r="C1237" s="19" t="n">
        <v>0.4131</v>
      </c>
      <c r="D1237" s="19" t="n">
        <v>0</v>
      </c>
      <c r="E1237" s="20" t="n">
        <f aca="false">Parametres!$B$5*C1237</f>
        <v>123.93</v>
      </c>
      <c r="F1237" s="20" t="n">
        <f aca="false">Parametres!$B$6*D1237</f>
        <v>0</v>
      </c>
      <c r="G1237" s="20" t="n">
        <f aca="false">E1237+F1237</f>
        <v>123.93</v>
      </c>
      <c r="H1237" s="20" t="n">
        <f aca="false">IF(G1237&lt;Parametres!$B$8*Parametres!$B$7,0,MIN(G1237,Parametres!$B$7))</f>
        <v>123.93</v>
      </c>
      <c r="I1237" s="20" t="n">
        <f aca="false">G1237-H1237</f>
        <v>0</v>
      </c>
      <c r="J1237" s="21" t="n">
        <f aca="false">H1237*1000/Parametres!$B$9</f>
        <v>2101.57707308801</v>
      </c>
    </row>
    <row r="1238" customFormat="false" ht="15" hidden="false" customHeight="false" outlineLevel="0" collapsed="false">
      <c r="A1238" s="0" t="n">
        <v>1234</v>
      </c>
      <c r="B1238" s="0" t="n">
        <v>2</v>
      </c>
      <c r="C1238" s="19" t="n">
        <v>0.6089</v>
      </c>
      <c r="D1238" s="19" t="n">
        <v>0</v>
      </c>
      <c r="E1238" s="20" t="n">
        <f aca="false">Parametres!$B$5*C1238</f>
        <v>182.67</v>
      </c>
      <c r="F1238" s="20" t="n">
        <f aca="false">Parametres!$B$6*D1238</f>
        <v>0</v>
      </c>
      <c r="G1238" s="20" t="n">
        <f aca="false">E1238+F1238</f>
        <v>182.67</v>
      </c>
      <c r="H1238" s="20" t="n">
        <f aca="false">IF(G1238&lt;Parametres!$B$8*Parametres!$B$7,0,MIN(G1238,Parametres!$B$7))</f>
        <v>182.67</v>
      </c>
      <c r="I1238" s="20" t="n">
        <f aca="false">G1238-H1238</f>
        <v>0</v>
      </c>
      <c r="J1238" s="21" t="n">
        <f aca="false">H1238*1000/Parametres!$B$9</f>
        <v>3097.67678480583</v>
      </c>
    </row>
    <row r="1239" customFormat="false" ht="15" hidden="false" customHeight="false" outlineLevel="0" collapsed="false">
      <c r="A1239" s="0" t="n">
        <v>1235</v>
      </c>
      <c r="B1239" s="0" t="n">
        <v>2</v>
      </c>
      <c r="C1239" s="19" t="n">
        <v>0.7663</v>
      </c>
      <c r="D1239" s="19" t="n">
        <v>0</v>
      </c>
      <c r="E1239" s="20" t="n">
        <f aca="false">Parametres!$B$5*C1239</f>
        <v>229.89</v>
      </c>
      <c r="F1239" s="20" t="n">
        <f aca="false">Parametres!$B$6*D1239</f>
        <v>0</v>
      </c>
      <c r="G1239" s="20" t="n">
        <f aca="false">E1239+F1239</f>
        <v>229.89</v>
      </c>
      <c r="H1239" s="20" t="n">
        <f aca="false">IF(G1239&lt;Parametres!$B$8*Parametres!$B$7,0,MIN(G1239,Parametres!$B$7))</f>
        <v>229.89</v>
      </c>
      <c r="I1239" s="20" t="n">
        <f aca="false">G1239-H1239</f>
        <v>0</v>
      </c>
      <c r="J1239" s="21" t="n">
        <f aca="false">H1239*1000/Parametres!$B$9</f>
        <v>3898.42292691199</v>
      </c>
    </row>
    <row r="1240" customFormat="false" ht="15" hidden="false" customHeight="false" outlineLevel="0" collapsed="false">
      <c r="A1240" s="0" t="n">
        <v>1236</v>
      </c>
      <c r="B1240" s="0" t="n">
        <v>2</v>
      </c>
      <c r="C1240" s="19" t="n">
        <v>0.8064</v>
      </c>
      <c r="D1240" s="19" t="n">
        <v>0</v>
      </c>
      <c r="E1240" s="20" t="n">
        <f aca="false">Parametres!$B$5*C1240</f>
        <v>241.92</v>
      </c>
      <c r="F1240" s="20" t="n">
        <f aca="false">Parametres!$B$6*D1240</f>
        <v>0</v>
      </c>
      <c r="G1240" s="20" t="n">
        <f aca="false">E1240+F1240</f>
        <v>241.92</v>
      </c>
      <c r="H1240" s="20" t="n">
        <f aca="false">IF(G1240&lt;Parametres!$B$8*Parametres!$B$7,0,MIN(G1240,Parametres!$B$7))</f>
        <v>241.92</v>
      </c>
      <c r="I1240" s="20" t="n">
        <f aca="false">G1240-H1240</f>
        <v>0</v>
      </c>
      <c r="J1240" s="21" t="n">
        <f aca="false">H1240*1000/Parametres!$B$9</f>
        <v>4102.42496184501</v>
      </c>
    </row>
    <row r="1241" customFormat="false" ht="15" hidden="false" customHeight="false" outlineLevel="0" collapsed="false">
      <c r="A1241" s="0" t="n">
        <v>1237</v>
      </c>
      <c r="B1241" s="0" t="n">
        <v>2</v>
      </c>
      <c r="C1241" s="19" t="n">
        <v>0.8378</v>
      </c>
      <c r="D1241" s="19" t="n">
        <v>0</v>
      </c>
      <c r="E1241" s="20" t="n">
        <f aca="false">Parametres!$B$5*C1241</f>
        <v>251.34</v>
      </c>
      <c r="F1241" s="20" t="n">
        <f aca="false">Parametres!$B$6*D1241</f>
        <v>0</v>
      </c>
      <c r="G1241" s="20" t="n">
        <f aca="false">E1241+F1241</f>
        <v>251.34</v>
      </c>
      <c r="H1241" s="20" t="n">
        <f aca="false">IF(G1241&lt;Parametres!$B$8*Parametres!$B$7,0,MIN(G1241,Parametres!$B$7))</f>
        <v>250</v>
      </c>
      <c r="I1241" s="20" t="n">
        <f aca="false">G1241-H1241</f>
        <v>1.34</v>
      </c>
      <c r="J1241" s="21" t="n">
        <f aca="false">H1241*1000/Parametres!$B$9</f>
        <v>4239.44378497541</v>
      </c>
    </row>
    <row r="1242" customFormat="false" ht="15" hidden="false" customHeight="false" outlineLevel="0" collapsed="false">
      <c r="A1242" s="0" t="n">
        <v>1238</v>
      </c>
      <c r="B1242" s="0" t="n">
        <v>2</v>
      </c>
      <c r="C1242" s="19" t="n">
        <v>0.7277</v>
      </c>
      <c r="D1242" s="19" t="n">
        <v>0</v>
      </c>
      <c r="E1242" s="20" t="n">
        <f aca="false">Parametres!$B$5*C1242</f>
        <v>218.31</v>
      </c>
      <c r="F1242" s="20" t="n">
        <f aca="false">Parametres!$B$6*D1242</f>
        <v>0</v>
      </c>
      <c r="G1242" s="20" t="n">
        <f aca="false">E1242+F1242</f>
        <v>218.31</v>
      </c>
      <c r="H1242" s="20" t="n">
        <f aca="false">IF(G1242&lt;Parametres!$B$8*Parametres!$B$7,0,MIN(G1242,Parametres!$B$7))</f>
        <v>218.31</v>
      </c>
      <c r="I1242" s="20" t="n">
        <f aca="false">G1242-H1242</f>
        <v>0</v>
      </c>
      <c r="J1242" s="21" t="n">
        <f aca="false">H1242*1000/Parametres!$B$9</f>
        <v>3702.05189079193</v>
      </c>
    </row>
    <row r="1243" customFormat="false" ht="15" hidden="false" customHeight="false" outlineLevel="0" collapsed="false">
      <c r="A1243" s="0" t="n">
        <v>1239</v>
      </c>
      <c r="B1243" s="0" t="n">
        <v>2</v>
      </c>
      <c r="C1243" s="19" t="n">
        <v>0.6016</v>
      </c>
      <c r="D1243" s="19" t="n">
        <v>0</v>
      </c>
      <c r="E1243" s="20" t="n">
        <f aca="false">Parametres!$B$5*C1243</f>
        <v>180.48</v>
      </c>
      <c r="F1243" s="20" t="n">
        <f aca="false">Parametres!$B$6*D1243</f>
        <v>0</v>
      </c>
      <c r="G1243" s="20" t="n">
        <f aca="false">E1243+F1243</f>
        <v>180.48</v>
      </c>
      <c r="H1243" s="20" t="n">
        <f aca="false">IF(G1243&lt;Parametres!$B$8*Parametres!$B$7,0,MIN(G1243,Parametres!$B$7))</f>
        <v>180.48</v>
      </c>
      <c r="I1243" s="20" t="n">
        <f aca="false">G1243-H1243</f>
        <v>0</v>
      </c>
      <c r="J1243" s="21" t="n">
        <f aca="false">H1243*1000/Parametres!$B$9</f>
        <v>3060.53925724945</v>
      </c>
    </row>
    <row r="1244" customFormat="false" ht="15" hidden="false" customHeight="false" outlineLevel="0" collapsed="false">
      <c r="A1244" s="0" t="n">
        <v>1240</v>
      </c>
      <c r="B1244" s="0" t="n">
        <v>2</v>
      </c>
      <c r="C1244" s="19" t="n">
        <v>0.4238</v>
      </c>
      <c r="D1244" s="19" t="n">
        <v>0</v>
      </c>
      <c r="E1244" s="20" t="n">
        <f aca="false">Parametres!$B$5*C1244</f>
        <v>127.14</v>
      </c>
      <c r="F1244" s="20" t="n">
        <f aca="false">Parametres!$B$6*D1244</f>
        <v>0</v>
      </c>
      <c r="G1244" s="20" t="n">
        <f aca="false">E1244+F1244</f>
        <v>127.14</v>
      </c>
      <c r="H1244" s="20" t="n">
        <f aca="false">IF(G1244&lt;Parametres!$B$8*Parametres!$B$7,0,MIN(G1244,Parametres!$B$7))</f>
        <v>127.14</v>
      </c>
      <c r="I1244" s="20" t="n">
        <f aca="false">G1244-H1244</f>
        <v>0</v>
      </c>
      <c r="J1244" s="21" t="n">
        <f aca="false">H1244*1000/Parametres!$B$9</f>
        <v>2156.0115312871</v>
      </c>
    </row>
    <row r="1245" customFormat="false" ht="15" hidden="false" customHeight="false" outlineLevel="0" collapsed="false">
      <c r="A1245" s="0" t="n">
        <v>1241</v>
      </c>
      <c r="B1245" s="0" t="n">
        <v>2</v>
      </c>
      <c r="C1245" s="19" t="n">
        <v>0.2089</v>
      </c>
      <c r="D1245" s="19" t="n">
        <v>0</v>
      </c>
      <c r="E1245" s="20" t="n">
        <f aca="false">Parametres!$B$5*C1245</f>
        <v>62.67</v>
      </c>
      <c r="F1245" s="20" t="n">
        <f aca="false">Parametres!$B$6*D1245</f>
        <v>0</v>
      </c>
      <c r="G1245" s="20" t="n">
        <f aca="false">E1245+F1245</f>
        <v>62.67</v>
      </c>
      <c r="H1245" s="20" t="n">
        <f aca="false">IF(G1245&lt;Parametres!$B$8*Parametres!$B$7,0,MIN(G1245,Parametres!$B$7))</f>
        <v>62.67</v>
      </c>
      <c r="I1245" s="20" t="n">
        <f aca="false">G1245-H1245</f>
        <v>0</v>
      </c>
      <c r="J1245" s="21" t="n">
        <f aca="false">H1245*1000/Parametres!$B$9</f>
        <v>1062.74376801764</v>
      </c>
    </row>
    <row r="1246" customFormat="false" ht="15" hidden="false" customHeight="false" outlineLevel="0" collapsed="false">
      <c r="A1246" s="0" t="n">
        <v>1242</v>
      </c>
      <c r="B1246" s="0" t="n">
        <v>2</v>
      </c>
      <c r="C1246" s="19" t="n">
        <v>0.0103</v>
      </c>
      <c r="D1246" s="19" t="n">
        <v>0</v>
      </c>
      <c r="E1246" s="20" t="n">
        <f aca="false">Parametres!$B$5*C1246</f>
        <v>3.09</v>
      </c>
      <c r="F1246" s="20" t="n">
        <f aca="false">Parametres!$B$6*D1246</f>
        <v>0</v>
      </c>
      <c r="G1246" s="20" t="n">
        <f aca="false">E1246+F1246</f>
        <v>3.09</v>
      </c>
      <c r="H1246" s="20" t="n">
        <f aca="false">IF(G1246&lt;Parametres!$B$8*Parametres!$B$7,0,MIN(G1246,Parametres!$B$7))</f>
        <v>0</v>
      </c>
      <c r="I1246" s="20" t="n">
        <f aca="false">G1246-H1246</f>
        <v>3.09</v>
      </c>
      <c r="J1246" s="21" t="n">
        <f aca="false">H1246*1000/Parametres!$B$9</f>
        <v>0</v>
      </c>
    </row>
    <row r="1247" customFormat="false" ht="15" hidden="false" customHeight="false" outlineLevel="0" collapsed="false">
      <c r="A1247" s="0" t="n">
        <v>1243</v>
      </c>
      <c r="B1247" s="0" t="n">
        <v>2</v>
      </c>
      <c r="C1247" s="19" t="n">
        <v>0</v>
      </c>
      <c r="D1247" s="19" t="n">
        <v>0</v>
      </c>
      <c r="E1247" s="20" t="n">
        <f aca="false">Parametres!$B$5*C1247</f>
        <v>0</v>
      </c>
      <c r="F1247" s="20" t="n">
        <f aca="false">Parametres!$B$6*D1247</f>
        <v>0</v>
      </c>
      <c r="G1247" s="20" t="n">
        <f aca="false">E1247+F1247</f>
        <v>0</v>
      </c>
      <c r="H1247" s="20" t="n">
        <f aca="false">IF(G1247&lt;Parametres!$B$8*Parametres!$B$7,0,MIN(G1247,Parametres!$B$7))</f>
        <v>0</v>
      </c>
      <c r="I1247" s="20" t="n">
        <f aca="false">G1247-H1247</f>
        <v>0</v>
      </c>
      <c r="J1247" s="21" t="n">
        <f aca="false">H1247*1000/Parametres!$B$9</f>
        <v>0</v>
      </c>
    </row>
    <row r="1248" customFormat="false" ht="15" hidden="false" customHeight="false" outlineLevel="0" collapsed="false">
      <c r="A1248" s="0" t="n">
        <v>1244</v>
      </c>
      <c r="B1248" s="0" t="n">
        <v>2</v>
      </c>
      <c r="C1248" s="19" t="n">
        <v>0</v>
      </c>
      <c r="D1248" s="19" t="n">
        <v>0</v>
      </c>
      <c r="E1248" s="20" t="n">
        <f aca="false">Parametres!$B$5*C1248</f>
        <v>0</v>
      </c>
      <c r="F1248" s="20" t="n">
        <f aca="false">Parametres!$B$6*D1248</f>
        <v>0</v>
      </c>
      <c r="G1248" s="20" t="n">
        <f aca="false">E1248+F1248</f>
        <v>0</v>
      </c>
      <c r="H1248" s="20" t="n">
        <f aca="false">IF(G1248&lt;Parametres!$B$8*Parametres!$B$7,0,MIN(G1248,Parametres!$B$7))</f>
        <v>0</v>
      </c>
      <c r="I1248" s="20" t="n">
        <f aca="false">G1248-H1248</f>
        <v>0</v>
      </c>
      <c r="J1248" s="21" t="n">
        <f aca="false">H1248*1000/Parametres!$B$9</f>
        <v>0</v>
      </c>
    </row>
    <row r="1249" customFormat="false" ht="15" hidden="false" customHeight="false" outlineLevel="0" collapsed="false">
      <c r="A1249" s="0" t="n">
        <v>1245</v>
      </c>
      <c r="B1249" s="0" t="n">
        <v>2</v>
      </c>
      <c r="C1249" s="19" t="n">
        <v>0</v>
      </c>
      <c r="D1249" s="19" t="n">
        <v>0</v>
      </c>
      <c r="E1249" s="20" t="n">
        <f aca="false">Parametres!$B$5*C1249</f>
        <v>0</v>
      </c>
      <c r="F1249" s="20" t="n">
        <f aca="false">Parametres!$B$6*D1249</f>
        <v>0</v>
      </c>
      <c r="G1249" s="20" t="n">
        <f aca="false">E1249+F1249</f>
        <v>0</v>
      </c>
      <c r="H1249" s="20" t="n">
        <f aca="false">IF(G1249&lt;Parametres!$B$8*Parametres!$B$7,0,MIN(G1249,Parametres!$B$7))</f>
        <v>0</v>
      </c>
      <c r="I1249" s="20" t="n">
        <f aca="false">G1249-H1249</f>
        <v>0</v>
      </c>
      <c r="J1249" s="21" t="n">
        <f aca="false">H1249*1000/Parametres!$B$9</f>
        <v>0</v>
      </c>
    </row>
    <row r="1250" customFormat="false" ht="15" hidden="false" customHeight="false" outlineLevel="0" collapsed="false">
      <c r="A1250" s="0" t="n">
        <v>1246</v>
      </c>
      <c r="B1250" s="0" t="n">
        <v>2</v>
      </c>
      <c r="C1250" s="19" t="n">
        <v>0</v>
      </c>
      <c r="D1250" s="19" t="n">
        <v>0</v>
      </c>
      <c r="E1250" s="20" t="n">
        <f aca="false">Parametres!$B$5*C1250</f>
        <v>0</v>
      </c>
      <c r="F1250" s="20" t="n">
        <f aca="false">Parametres!$B$6*D1250</f>
        <v>0</v>
      </c>
      <c r="G1250" s="20" t="n">
        <f aca="false">E1250+F1250</f>
        <v>0</v>
      </c>
      <c r="H1250" s="20" t="n">
        <f aca="false">IF(G1250&lt;Parametres!$B$8*Parametres!$B$7,0,MIN(G1250,Parametres!$B$7))</f>
        <v>0</v>
      </c>
      <c r="I1250" s="20" t="n">
        <f aca="false">G1250-H1250</f>
        <v>0</v>
      </c>
      <c r="J1250" s="21" t="n">
        <f aca="false">H1250*1000/Parametres!$B$9</f>
        <v>0</v>
      </c>
    </row>
    <row r="1251" customFormat="false" ht="15" hidden="false" customHeight="false" outlineLevel="0" collapsed="false">
      <c r="A1251" s="0" t="n">
        <v>1247</v>
      </c>
      <c r="B1251" s="0" t="n">
        <v>2</v>
      </c>
      <c r="C1251" s="19" t="n">
        <v>0</v>
      </c>
      <c r="D1251" s="19" t="n">
        <v>0</v>
      </c>
      <c r="E1251" s="20" t="n">
        <f aca="false">Parametres!$B$5*C1251</f>
        <v>0</v>
      </c>
      <c r="F1251" s="20" t="n">
        <f aca="false">Parametres!$B$6*D1251</f>
        <v>0</v>
      </c>
      <c r="G1251" s="20" t="n">
        <f aca="false">E1251+F1251</f>
        <v>0</v>
      </c>
      <c r="H1251" s="20" t="n">
        <f aca="false">IF(G1251&lt;Parametres!$B$8*Parametres!$B$7,0,MIN(G1251,Parametres!$B$7))</f>
        <v>0</v>
      </c>
      <c r="I1251" s="20" t="n">
        <f aca="false">G1251-H1251</f>
        <v>0</v>
      </c>
      <c r="J1251" s="21" t="n">
        <f aca="false">H1251*1000/Parametres!$B$9</f>
        <v>0</v>
      </c>
    </row>
    <row r="1252" customFormat="false" ht="15" hidden="false" customHeight="false" outlineLevel="0" collapsed="false">
      <c r="A1252" s="0" t="n">
        <v>1248</v>
      </c>
      <c r="B1252" s="0" t="n">
        <v>2</v>
      </c>
      <c r="C1252" s="19" t="n">
        <v>0</v>
      </c>
      <c r="D1252" s="19" t="n">
        <v>0</v>
      </c>
      <c r="E1252" s="20" t="n">
        <f aca="false">Parametres!$B$5*C1252</f>
        <v>0</v>
      </c>
      <c r="F1252" s="20" t="n">
        <f aca="false">Parametres!$B$6*D1252</f>
        <v>0</v>
      </c>
      <c r="G1252" s="20" t="n">
        <f aca="false">E1252+F1252</f>
        <v>0</v>
      </c>
      <c r="H1252" s="20" t="n">
        <f aca="false">IF(G1252&lt;Parametres!$B$8*Parametres!$B$7,0,MIN(G1252,Parametres!$B$7))</f>
        <v>0</v>
      </c>
      <c r="I1252" s="20" t="n">
        <f aca="false">G1252-H1252</f>
        <v>0</v>
      </c>
      <c r="J1252" s="21" t="n">
        <f aca="false">H1252*1000/Parametres!$B$9</f>
        <v>0</v>
      </c>
    </row>
    <row r="1253" customFormat="false" ht="15" hidden="false" customHeight="false" outlineLevel="0" collapsed="false">
      <c r="A1253" s="0" t="n">
        <v>1249</v>
      </c>
      <c r="B1253" s="0" t="n">
        <v>2</v>
      </c>
      <c r="C1253" s="19" t="n">
        <v>0</v>
      </c>
      <c r="D1253" s="19" t="n">
        <v>0</v>
      </c>
      <c r="E1253" s="20" t="n">
        <f aca="false">Parametres!$B$5*C1253</f>
        <v>0</v>
      </c>
      <c r="F1253" s="20" t="n">
        <f aca="false">Parametres!$B$6*D1253</f>
        <v>0</v>
      </c>
      <c r="G1253" s="20" t="n">
        <f aca="false">E1253+F1253</f>
        <v>0</v>
      </c>
      <c r="H1253" s="20" t="n">
        <f aca="false">IF(G1253&lt;Parametres!$B$8*Parametres!$B$7,0,MIN(G1253,Parametres!$B$7))</f>
        <v>0</v>
      </c>
      <c r="I1253" s="20" t="n">
        <f aca="false">G1253-H1253</f>
        <v>0</v>
      </c>
      <c r="J1253" s="21" t="n">
        <f aca="false">H1253*1000/Parametres!$B$9</f>
        <v>0</v>
      </c>
    </row>
    <row r="1254" customFormat="false" ht="15" hidden="false" customHeight="false" outlineLevel="0" collapsed="false">
      <c r="A1254" s="0" t="n">
        <v>1250</v>
      </c>
      <c r="B1254" s="0" t="n">
        <v>2</v>
      </c>
      <c r="C1254" s="19" t="n">
        <v>0</v>
      </c>
      <c r="D1254" s="19" t="n">
        <v>0</v>
      </c>
      <c r="E1254" s="20" t="n">
        <f aca="false">Parametres!$B$5*C1254</f>
        <v>0</v>
      </c>
      <c r="F1254" s="20" t="n">
        <f aca="false">Parametres!$B$6*D1254</f>
        <v>0</v>
      </c>
      <c r="G1254" s="20" t="n">
        <f aca="false">E1254+F1254</f>
        <v>0</v>
      </c>
      <c r="H1254" s="20" t="n">
        <f aca="false">IF(G1254&lt;Parametres!$B$8*Parametres!$B$7,0,MIN(G1254,Parametres!$B$7))</f>
        <v>0</v>
      </c>
      <c r="I1254" s="20" t="n">
        <f aca="false">G1254-H1254</f>
        <v>0</v>
      </c>
      <c r="J1254" s="21" t="n">
        <f aca="false">H1254*1000/Parametres!$B$9</f>
        <v>0</v>
      </c>
    </row>
    <row r="1255" customFormat="false" ht="15" hidden="false" customHeight="false" outlineLevel="0" collapsed="false">
      <c r="A1255" s="0" t="n">
        <v>1251</v>
      </c>
      <c r="B1255" s="0" t="n">
        <v>2</v>
      </c>
      <c r="C1255" s="19" t="n">
        <v>0</v>
      </c>
      <c r="D1255" s="19" t="n">
        <v>0</v>
      </c>
      <c r="E1255" s="20" t="n">
        <f aca="false">Parametres!$B$5*C1255</f>
        <v>0</v>
      </c>
      <c r="F1255" s="20" t="n">
        <f aca="false">Parametres!$B$6*D1255</f>
        <v>0</v>
      </c>
      <c r="G1255" s="20" t="n">
        <f aca="false">E1255+F1255</f>
        <v>0</v>
      </c>
      <c r="H1255" s="20" t="n">
        <f aca="false">IF(G1255&lt;Parametres!$B$8*Parametres!$B$7,0,MIN(G1255,Parametres!$B$7))</f>
        <v>0</v>
      </c>
      <c r="I1255" s="20" t="n">
        <f aca="false">G1255-H1255</f>
        <v>0</v>
      </c>
      <c r="J1255" s="21" t="n">
        <f aca="false">H1255*1000/Parametres!$B$9</f>
        <v>0</v>
      </c>
    </row>
    <row r="1256" customFormat="false" ht="15" hidden="false" customHeight="false" outlineLevel="0" collapsed="false">
      <c r="A1256" s="0" t="n">
        <v>1252</v>
      </c>
      <c r="B1256" s="0" t="n">
        <v>2</v>
      </c>
      <c r="C1256" s="19" t="n">
        <v>0</v>
      </c>
      <c r="D1256" s="19" t="n">
        <v>0</v>
      </c>
      <c r="E1256" s="20" t="n">
        <f aca="false">Parametres!$B$5*C1256</f>
        <v>0</v>
      </c>
      <c r="F1256" s="20" t="n">
        <f aca="false">Parametres!$B$6*D1256</f>
        <v>0</v>
      </c>
      <c r="G1256" s="20" t="n">
        <f aca="false">E1256+F1256</f>
        <v>0</v>
      </c>
      <c r="H1256" s="20" t="n">
        <f aca="false">IF(G1256&lt;Parametres!$B$8*Parametres!$B$7,0,MIN(G1256,Parametres!$B$7))</f>
        <v>0</v>
      </c>
      <c r="I1256" s="20" t="n">
        <f aca="false">G1256-H1256</f>
        <v>0</v>
      </c>
      <c r="J1256" s="21" t="n">
        <f aca="false">H1256*1000/Parametres!$B$9</f>
        <v>0</v>
      </c>
    </row>
    <row r="1257" customFormat="false" ht="15" hidden="false" customHeight="false" outlineLevel="0" collapsed="false">
      <c r="A1257" s="0" t="n">
        <v>1253</v>
      </c>
      <c r="B1257" s="0" t="n">
        <v>2</v>
      </c>
      <c r="C1257" s="19" t="n">
        <v>0</v>
      </c>
      <c r="D1257" s="19" t="n">
        <v>0</v>
      </c>
      <c r="E1257" s="20" t="n">
        <f aca="false">Parametres!$B$5*C1257</f>
        <v>0</v>
      </c>
      <c r="F1257" s="20" t="n">
        <f aca="false">Parametres!$B$6*D1257</f>
        <v>0</v>
      </c>
      <c r="G1257" s="20" t="n">
        <f aca="false">E1257+F1257</f>
        <v>0</v>
      </c>
      <c r="H1257" s="20" t="n">
        <f aca="false">IF(G1257&lt;Parametres!$B$8*Parametres!$B$7,0,MIN(G1257,Parametres!$B$7))</f>
        <v>0</v>
      </c>
      <c r="I1257" s="20" t="n">
        <f aca="false">G1257-H1257</f>
        <v>0</v>
      </c>
      <c r="J1257" s="21" t="n">
        <f aca="false">H1257*1000/Parametres!$B$9</f>
        <v>0</v>
      </c>
    </row>
    <row r="1258" customFormat="false" ht="15" hidden="false" customHeight="false" outlineLevel="0" collapsed="false">
      <c r="A1258" s="0" t="n">
        <v>1254</v>
      </c>
      <c r="B1258" s="0" t="n">
        <v>2</v>
      </c>
      <c r="C1258" s="19" t="n">
        <v>0</v>
      </c>
      <c r="D1258" s="19" t="n">
        <v>0</v>
      </c>
      <c r="E1258" s="20" t="n">
        <f aca="false">Parametres!$B$5*C1258</f>
        <v>0</v>
      </c>
      <c r="F1258" s="20" t="n">
        <f aca="false">Parametres!$B$6*D1258</f>
        <v>0</v>
      </c>
      <c r="G1258" s="20" t="n">
        <f aca="false">E1258+F1258</f>
        <v>0</v>
      </c>
      <c r="H1258" s="20" t="n">
        <f aca="false">IF(G1258&lt;Parametres!$B$8*Parametres!$B$7,0,MIN(G1258,Parametres!$B$7))</f>
        <v>0</v>
      </c>
      <c r="I1258" s="20" t="n">
        <f aca="false">G1258-H1258</f>
        <v>0</v>
      </c>
      <c r="J1258" s="21" t="n">
        <f aca="false">H1258*1000/Parametres!$B$9</f>
        <v>0</v>
      </c>
    </row>
    <row r="1259" customFormat="false" ht="15" hidden="false" customHeight="false" outlineLevel="0" collapsed="false">
      <c r="A1259" s="0" t="n">
        <v>1255</v>
      </c>
      <c r="B1259" s="0" t="n">
        <v>2</v>
      </c>
      <c r="C1259" s="19" t="n">
        <v>0.0164</v>
      </c>
      <c r="D1259" s="19" t="n">
        <v>0</v>
      </c>
      <c r="E1259" s="20" t="n">
        <f aca="false">Parametres!$B$5*C1259</f>
        <v>4.92</v>
      </c>
      <c r="F1259" s="20" t="n">
        <f aca="false">Parametres!$B$6*D1259</f>
        <v>0</v>
      </c>
      <c r="G1259" s="20" t="n">
        <f aca="false">E1259+F1259</f>
        <v>4.92</v>
      </c>
      <c r="H1259" s="20" t="n">
        <f aca="false">IF(G1259&lt;Parametres!$B$8*Parametres!$B$7,0,MIN(G1259,Parametres!$B$7))</f>
        <v>0</v>
      </c>
      <c r="I1259" s="20" t="n">
        <f aca="false">G1259-H1259</f>
        <v>4.92</v>
      </c>
      <c r="J1259" s="21" t="n">
        <f aca="false">H1259*1000/Parametres!$B$9</f>
        <v>0</v>
      </c>
    </row>
    <row r="1260" customFormat="false" ht="15" hidden="false" customHeight="false" outlineLevel="0" collapsed="false">
      <c r="A1260" s="0" t="n">
        <v>1256</v>
      </c>
      <c r="B1260" s="0" t="n">
        <v>2</v>
      </c>
      <c r="C1260" s="19" t="n">
        <v>0.2602</v>
      </c>
      <c r="D1260" s="19" t="n">
        <v>0</v>
      </c>
      <c r="E1260" s="20" t="n">
        <f aca="false">Parametres!$B$5*C1260</f>
        <v>78.06</v>
      </c>
      <c r="F1260" s="20" t="n">
        <f aca="false">Parametres!$B$6*D1260</f>
        <v>0</v>
      </c>
      <c r="G1260" s="20" t="n">
        <f aca="false">E1260+F1260</f>
        <v>78.06</v>
      </c>
      <c r="H1260" s="20" t="n">
        <f aca="false">IF(G1260&lt;Parametres!$B$8*Parametres!$B$7,0,MIN(G1260,Parametres!$B$7))</f>
        <v>78.06</v>
      </c>
      <c r="I1260" s="20" t="n">
        <f aca="false">G1260-H1260</f>
        <v>0</v>
      </c>
      <c r="J1260" s="21" t="n">
        <f aca="false">H1260*1000/Parametres!$B$9</f>
        <v>1323.72392742072</v>
      </c>
    </row>
    <row r="1261" customFormat="false" ht="15" hidden="false" customHeight="false" outlineLevel="0" collapsed="false">
      <c r="A1261" s="0" t="n">
        <v>1257</v>
      </c>
      <c r="B1261" s="0" t="n">
        <v>2</v>
      </c>
      <c r="C1261" s="19" t="n">
        <v>0.531</v>
      </c>
      <c r="D1261" s="19" t="n">
        <v>0</v>
      </c>
      <c r="E1261" s="20" t="n">
        <f aca="false">Parametres!$B$5*C1261</f>
        <v>159.3</v>
      </c>
      <c r="F1261" s="20" t="n">
        <f aca="false">Parametres!$B$6*D1261</f>
        <v>0</v>
      </c>
      <c r="G1261" s="20" t="n">
        <f aca="false">E1261+F1261</f>
        <v>159.3</v>
      </c>
      <c r="H1261" s="20" t="n">
        <f aca="false">IF(G1261&lt;Parametres!$B$8*Parametres!$B$7,0,MIN(G1261,Parametres!$B$7))</f>
        <v>159.3</v>
      </c>
      <c r="I1261" s="20" t="n">
        <f aca="false">G1261-H1261</f>
        <v>0</v>
      </c>
      <c r="J1261" s="21" t="n">
        <f aca="false">H1261*1000/Parametres!$B$9</f>
        <v>2701.37357978633</v>
      </c>
    </row>
    <row r="1262" customFormat="false" ht="15" hidden="false" customHeight="false" outlineLevel="0" collapsed="false">
      <c r="A1262" s="0" t="n">
        <v>1258</v>
      </c>
      <c r="B1262" s="0" t="n">
        <v>2</v>
      </c>
      <c r="C1262" s="19" t="n">
        <v>0.7815</v>
      </c>
      <c r="D1262" s="19" t="n">
        <v>0</v>
      </c>
      <c r="E1262" s="20" t="n">
        <f aca="false">Parametres!$B$5*C1262</f>
        <v>234.45</v>
      </c>
      <c r="F1262" s="20" t="n">
        <f aca="false">Parametres!$B$6*D1262</f>
        <v>0</v>
      </c>
      <c r="G1262" s="20" t="n">
        <f aca="false">E1262+F1262</f>
        <v>234.45</v>
      </c>
      <c r="H1262" s="20" t="n">
        <f aca="false">IF(G1262&lt;Parametres!$B$8*Parametres!$B$7,0,MIN(G1262,Parametres!$B$7))</f>
        <v>234.45</v>
      </c>
      <c r="I1262" s="20" t="n">
        <f aca="false">G1262-H1262</f>
        <v>0</v>
      </c>
      <c r="J1262" s="21" t="n">
        <f aca="false">H1262*1000/Parametres!$B$9</f>
        <v>3975.75038154994</v>
      </c>
    </row>
    <row r="1263" customFormat="false" ht="15" hidden="false" customHeight="false" outlineLevel="0" collapsed="false">
      <c r="A1263" s="0" t="n">
        <v>1259</v>
      </c>
      <c r="B1263" s="0" t="n">
        <v>2</v>
      </c>
      <c r="C1263" s="19" t="n">
        <v>0.8871</v>
      </c>
      <c r="D1263" s="19" t="n">
        <v>0</v>
      </c>
      <c r="E1263" s="20" t="n">
        <f aca="false">Parametres!$B$5*C1263</f>
        <v>266.13</v>
      </c>
      <c r="F1263" s="20" t="n">
        <f aca="false">Parametres!$B$6*D1263</f>
        <v>0</v>
      </c>
      <c r="G1263" s="20" t="n">
        <f aca="false">E1263+F1263</f>
        <v>266.13</v>
      </c>
      <c r="H1263" s="20" t="n">
        <f aca="false">IF(G1263&lt;Parametres!$B$8*Parametres!$B$7,0,MIN(G1263,Parametres!$B$7))</f>
        <v>250</v>
      </c>
      <c r="I1263" s="20" t="n">
        <f aca="false">G1263-H1263</f>
        <v>16.13</v>
      </c>
      <c r="J1263" s="21" t="n">
        <f aca="false">H1263*1000/Parametres!$B$9</f>
        <v>4239.44378497541</v>
      </c>
    </row>
    <row r="1264" customFormat="false" ht="15" hidden="false" customHeight="false" outlineLevel="0" collapsed="false">
      <c r="A1264" s="0" t="n">
        <v>1260</v>
      </c>
      <c r="B1264" s="0" t="n">
        <v>2</v>
      </c>
      <c r="C1264" s="19" t="n">
        <v>1</v>
      </c>
      <c r="D1264" s="19" t="n">
        <v>0</v>
      </c>
      <c r="E1264" s="20" t="n">
        <f aca="false">Parametres!$B$5*C1264</f>
        <v>300</v>
      </c>
      <c r="F1264" s="20" t="n">
        <f aca="false">Parametres!$B$6*D1264</f>
        <v>0</v>
      </c>
      <c r="G1264" s="20" t="n">
        <f aca="false">E1264+F1264</f>
        <v>300</v>
      </c>
      <c r="H1264" s="20" t="n">
        <f aca="false">IF(G1264&lt;Parametres!$B$8*Parametres!$B$7,0,MIN(G1264,Parametres!$B$7))</f>
        <v>250</v>
      </c>
      <c r="I1264" s="20" t="n">
        <f aca="false">G1264-H1264</f>
        <v>50</v>
      </c>
      <c r="J1264" s="21" t="n">
        <f aca="false">H1264*1000/Parametres!$B$9</f>
        <v>4239.44378497541</v>
      </c>
    </row>
    <row r="1265" customFormat="false" ht="15" hidden="false" customHeight="false" outlineLevel="0" collapsed="false">
      <c r="A1265" s="0" t="n">
        <v>1261</v>
      </c>
      <c r="B1265" s="0" t="n">
        <v>2</v>
      </c>
      <c r="C1265" s="19" t="n">
        <v>1</v>
      </c>
      <c r="D1265" s="19" t="n">
        <v>0</v>
      </c>
      <c r="E1265" s="20" t="n">
        <f aca="false">Parametres!$B$5*C1265</f>
        <v>300</v>
      </c>
      <c r="F1265" s="20" t="n">
        <f aca="false">Parametres!$B$6*D1265</f>
        <v>0</v>
      </c>
      <c r="G1265" s="20" t="n">
        <f aca="false">E1265+F1265</f>
        <v>300</v>
      </c>
      <c r="H1265" s="20" t="n">
        <f aca="false">IF(G1265&lt;Parametres!$B$8*Parametres!$B$7,0,MIN(G1265,Parametres!$B$7))</f>
        <v>250</v>
      </c>
      <c r="I1265" s="20" t="n">
        <f aca="false">G1265-H1265</f>
        <v>50</v>
      </c>
      <c r="J1265" s="21" t="n">
        <f aca="false">H1265*1000/Parametres!$B$9</f>
        <v>4239.44378497541</v>
      </c>
    </row>
    <row r="1266" customFormat="false" ht="15" hidden="false" customHeight="false" outlineLevel="0" collapsed="false">
      <c r="A1266" s="0" t="n">
        <v>1262</v>
      </c>
      <c r="B1266" s="0" t="n">
        <v>2</v>
      </c>
      <c r="C1266" s="19" t="n">
        <v>0.9539</v>
      </c>
      <c r="D1266" s="19" t="n">
        <v>0</v>
      </c>
      <c r="E1266" s="20" t="n">
        <f aca="false">Parametres!$B$5*C1266</f>
        <v>286.17</v>
      </c>
      <c r="F1266" s="20" t="n">
        <f aca="false">Parametres!$B$6*D1266</f>
        <v>0</v>
      </c>
      <c r="G1266" s="20" t="n">
        <f aca="false">E1266+F1266</f>
        <v>286.17</v>
      </c>
      <c r="H1266" s="20" t="n">
        <f aca="false">IF(G1266&lt;Parametres!$B$8*Parametres!$B$7,0,MIN(G1266,Parametres!$B$7))</f>
        <v>250</v>
      </c>
      <c r="I1266" s="20" t="n">
        <f aca="false">G1266-H1266</f>
        <v>36.17</v>
      </c>
      <c r="J1266" s="21" t="n">
        <f aca="false">H1266*1000/Parametres!$B$9</f>
        <v>4239.44378497541</v>
      </c>
    </row>
    <row r="1267" customFormat="false" ht="15" hidden="false" customHeight="false" outlineLevel="0" collapsed="false">
      <c r="A1267" s="0" t="n">
        <v>1263</v>
      </c>
      <c r="B1267" s="0" t="n">
        <v>2</v>
      </c>
      <c r="C1267" s="19" t="n">
        <v>0.7446</v>
      </c>
      <c r="D1267" s="19" t="n">
        <v>0</v>
      </c>
      <c r="E1267" s="20" t="n">
        <f aca="false">Parametres!$B$5*C1267</f>
        <v>223.38</v>
      </c>
      <c r="F1267" s="20" t="n">
        <f aca="false">Parametres!$B$6*D1267</f>
        <v>0</v>
      </c>
      <c r="G1267" s="20" t="n">
        <f aca="false">E1267+F1267</f>
        <v>223.38</v>
      </c>
      <c r="H1267" s="20" t="n">
        <f aca="false">IF(G1267&lt;Parametres!$B$8*Parametres!$B$7,0,MIN(G1267,Parametres!$B$7))</f>
        <v>223.38</v>
      </c>
      <c r="I1267" s="20" t="n">
        <f aca="false">G1267-H1267</f>
        <v>0</v>
      </c>
      <c r="J1267" s="21" t="n">
        <f aca="false">H1267*1000/Parametres!$B$9</f>
        <v>3788.02781075123</v>
      </c>
    </row>
    <row r="1268" customFormat="false" ht="15" hidden="false" customHeight="false" outlineLevel="0" collapsed="false">
      <c r="A1268" s="0" t="n">
        <v>1264</v>
      </c>
      <c r="B1268" s="0" t="n">
        <v>2</v>
      </c>
      <c r="C1268" s="19" t="n">
        <v>0.5507</v>
      </c>
      <c r="D1268" s="19" t="n">
        <v>0</v>
      </c>
      <c r="E1268" s="20" t="n">
        <f aca="false">Parametres!$B$5*C1268</f>
        <v>165.21</v>
      </c>
      <c r="F1268" s="20" t="n">
        <f aca="false">Parametres!$B$6*D1268</f>
        <v>0</v>
      </c>
      <c r="G1268" s="20" t="n">
        <f aca="false">E1268+F1268</f>
        <v>165.21</v>
      </c>
      <c r="H1268" s="20" t="n">
        <f aca="false">IF(G1268&lt;Parametres!$B$8*Parametres!$B$7,0,MIN(G1268,Parametres!$B$7))</f>
        <v>165.21</v>
      </c>
      <c r="I1268" s="20" t="n">
        <f aca="false">G1268-H1268</f>
        <v>0</v>
      </c>
      <c r="J1268" s="21" t="n">
        <f aca="false">H1268*1000/Parametres!$B$9</f>
        <v>2801.59403086315</v>
      </c>
    </row>
    <row r="1269" customFormat="false" ht="15" hidden="false" customHeight="false" outlineLevel="0" collapsed="false">
      <c r="A1269" s="0" t="n">
        <v>1265</v>
      </c>
      <c r="B1269" s="0" t="n">
        <v>2</v>
      </c>
      <c r="C1269" s="19" t="n">
        <v>0.2767</v>
      </c>
      <c r="D1269" s="19" t="n">
        <v>0</v>
      </c>
      <c r="E1269" s="20" t="n">
        <f aca="false">Parametres!$B$5*C1269</f>
        <v>83.01</v>
      </c>
      <c r="F1269" s="20" t="n">
        <f aca="false">Parametres!$B$6*D1269</f>
        <v>0</v>
      </c>
      <c r="G1269" s="20" t="n">
        <f aca="false">E1269+F1269</f>
        <v>83.01</v>
      </c>
      <c r="H1269" s="20" t="n">
        <f aca="false">IF(G1269&lt;Parametres!$B$8*Parametres!$B$7,0,MIN(G1269,Parametres!$B$7))</f>
        <v>83.01</v>
      </c>
      <c r="I1269" s="20" t="n">
        <f aca="false">G1269-H1269</f>
        <v>0</v>
      </c>
      <c r="J1269" s="21" t="n">
        <f aca="false">H1269*1000/Parametres!$B$9</f>
        <v>1407.66491436324</v>
      </c>
    </row>
    <row r="1270" customFormat="false" ht="15" hidden="false" customHeight="false" outlineLevel="0" collapsed="false">
      <c r="A1270" s="0" t="n">
        <v>1266</v>
      </c>
      <c r="B1270" s="0" t="n">
        <v>2</v>
      </c>
      <c r="C1270" s="19" t="n">
        <v>0.016</v>
      </c>
      <c r="D1270" s="19" t="n">
        <v>0</v>
      </c>
      <c r="E1270" s="20" t="n">
        <f aca="false">Parametres!$B$5*C1270</f>
        <v>4.8</v>
      </c>
      <c r="F1270" s="20" t="n">
        <f aca="false">Parametres!$B$6*D1270</f>
        <v>0</v>
      </c>
      <c r="G1270" s="20" t="n">
        <f aca="false">E1270+F1270</f>
        <v>4.8</v>
      </c>
      <c r="H1270" s="20" t="n">
        <f aca="false">IF(G1270&lt;Parametres!$B$8*Parametres!$B$7,0,MIN(G1270,Parametres!$B$7))</f>
        <v>0</v>
      </c>
      <c r="I1270" s="20" t="n">
        <f aca="false">G1270-H1270</f>
        <v>4.8</v>
      </c>
      <c r="J1270" s="21" t="n">
        <f aca="false">H1270*1000/Parametres!$B$9</f>
        <v>0</v>
      </c>
    </row>
    <row r="1271" customFormat="false" ht="15" hidden="false" customHeight="false" outlineLevel="0" collapsed="false">
      <c r="A1271" s="0" t="n">
        <v>1267</v>
      </c>
      <c r="B1271" s="0" t="n">
        <v>2</v>
      </c>
      <c r="C1271" s="19" t="n">
        <v>0</v>
      </c>
      <c r="D1271" s="19" t="n">
        <v>0</v>
      </c>
      <c r="E1271" s="20" t="n">
        <f aca="false">Parametres!$B$5*C1271</f>
        <v>0</v>
      </c>
      <c r="F1271" s="20" t="n">
        <f aca="false">Parametres!$B$6*D1271</f>
        <v>0</v>
      </c>
      <c r="G1271" s="20" t="n">
        <f aca="false">E1271+F1271</f>
        <v>0</v>
      </c>
      <c r="H1271" s="20" t="n">
        <f aca="false">IF(G1271&lt;Parametres!$B$8*Parametres!$B$7,0,MIN(G1271,Parametres!$B$7))</f>
        <v>0</v>
      </c>
      <c r="I1271" s="20" t="n">
        <f aca="false">G1271-H1271</f>
        <v>0</v>
      </c>
      <c r="J1271" s="21" t="n">
        <f aca="false">H1271*1000/Parametres!$B$9</f>
        <v>0</v>
      </c>
    </row>
    <row r="1272" customFormat="false" ht="15" hidden="false" customHeight="false" outlineLevel="0" collapsed="false">
      <c r="A1272" s="0" t="n">
        <v>1268</v>
      </c>
      <c r="B1272" s="0" t="n">
        <v>2</v>
      </c>
      <c r="C1272" s="19" t="n">
        <v>0</v>
      </c>
      <c r="D1272" s="19" t="n">
        <v>0</v>
      </c>
      <c r="E1272" s="20" t="n">
        <f aca="false">Parametres!$B$5*C1272</f>
        <v>0</v>
      </c>
      <c r="F1272" s="20" t="n">
        <f aca="false">Parametres!$B$6*D1272</f>
        <v>0</v>
      </c>
      <c r="G1272" s="20" t="n">
        <f aca="false">E1272+F1272</f>
        <v>0</v>
      </c>
      <c r="H1272" s="20" t="n">
        <f aca="false">IF(G1272&lt;Parametres!$B$8*Parametres!$B$7,0,MIN(G1272,Parametres!$B$7))</f>
        <v>0</v>
      </c>
      <c r="I1272" s="20" t="n">
        <f aca="false">G1272-H1272</f>
        <v>0</v>
      </c>
      <c r="J1272" s="21" t="n">
        <f aca="false">H1272*1000/Parametres!$B$9</f>
        <v>0</v>
      </c>
    </row>
    <row r="1273" customFormat="false" ht="15" hidden="false" customHeight="false" outlineLevel="0" collapsed="false">
      <c r="A1273" s="0" t="n">
        <v>1269</v>
      </c>
      <c r="B1273" s="0" t="n">
        <v>2</v>
      </c>
      <c r="C1273" s="19" t="n">
        <v>0</v>
      </c>
      <c r="D1273" s="19" t="n">
        <v>0</v>
      </c>
      <c r="E1273" s="20" t="n">
        <f aca="false">Parametres!$B$5*C1273</f>
        <v>0</v>
      </c>
      <c r="F1273" s="20" t="n">
        <f aca="false">Parametres!$B$6*D1273</f>
        <v>0</v>
      </c>
      <c r="G1273" s="20" t="n">
        <f aca="false">E1273+F1273</f>
        <v>0</v>
      </c>
      <c r="H1273" s="20" t="n">
        <f aca="false">IF(G1273&lt;Parametres!$B$8*Parametres!$B$7,0,MIN(G1273,Parametres!$B$7))</f>
        <v>0</v>
      </c>
      <c r="I1273" s="20" t="n">
        <f aca="false">G1273-H1273</f>
        <v>0</v>
      </c>
      <c r="J1273" s="21" t="n">
        <f aca="false">H1273*1000/Parametres!$B$9</f>
        <v>0</v>
      </c>
    </row>
    <row r="1274" customFormat="false" ht="15" hidden="false" customHeight="false" outlineLevel="0" collapsed="false">
      <c r="A1274" s="0" t="n">
        <v>1270</v>
      </c>
      <c r="B1274" s="0" t="n">
        <v>2</v>
      </c>
      <c r="C1274" s="19" t="n">
        <v>0</v>
      </c>
      <c r="D1274" s="19" t="n">
        <v>0</v>
      </c>
      <c r="E1274" s="20" t="n">
        <f aca="false">Parametres!$B$5*C1274</f>
        <v>0</v>
      </c>
      <c r="F1274" s="20" t="n">
        <f aca="false">Parametres!$B$6*D1274</f>
        <v>0</v>
      </c>
      <c r="G1274" s="20" t="n">
        <f aca="false">E1274+F1274</f>
        <v>0</v>
      </c>
      <c r="H1274" s="20" t="n">
        <f aca="false">IF(G1274&lt;Parametres!$B$8*Parametres!$B$7,0,MIN(G1274,Parametres!$B$7))</f>
        <v>0</v>
      </c>
      <c r="I1274" s="20" t="n">
        <f aca="false">G1274-H1274</f>
        <v>0</v>
      </c>
      <c r="J1274" s="21" t="n">
        <f aca="false">H1274*1000/Parametres!$B$9</f>
        <v>0</v>
      </c>
    </row>
    <row r="1275" customFormat="false" ht="15" hidden="false" customHeight="false" outlineLevel="0" collapsed="false">
      <c r="A1275" s="0" t="n">
        <v>1271</v>
      </c>
      <c r="B1275" s="0" t="n">
        <v>2</v>
      </c>
      <c r="C1275" s="19" t="n">
        <v>0</v>
      </c>
      <c r="D1275" s="19" t="n">
        <v>0</v>
      </c>
      <c r="E1275" s="20" t="n">
        <f aca="false">Parametres!$B$5*C1275</f>
        <v>0</v>
      </c>
      <c r="F1275" s="20" t="n">
        <f aca="false">Parametres!$B$6*D1275</f>
        <v>0</v>
      </c>
      <c r="G1275" s="20" t="n">
        <f aca="false">E1275+F1275</f>
        <v>0</v>
      </c>
      <c r="H1275" s="20" t="n">
        <f aca="false">IF(G1275&lt;Parametres!$B$8*Parametres!$B$7,0,MIN(G1275,Parametres!$B$7))</f>
        <v>0</v>
      </c>
      <c r="I1275" s="20" t="n">
        <f aca="false">G1275-H1275</f>
        <v>0</v>
      </c>
      <c r="J1275" s="21" t="n">
        <f aca="false">H1275*1000/Parametres!$B$9</f>
        <v>0</v>
      </c>
    </row>
    <row r="1276" customFormat="false" ht="15" hidden="false" customHeight="false" outlineLevel="0" collapsed="false">
      <c r="A1276" s="0" t="n">
        <v>1272</v>
      </c>
      <c r="B1276" s="0" t="n">
        <v>2</v>
      </c>
      <c r="C1276" s="19" t="n">
        <v>0</v>
      </c>
      <c r="D1276" s="19" t="n">
        <v>0</v>
      </c>
      <c r="E1276" s="20" t="n">
        <f aca="false">Parametres!$B$5*C1276</f>
        <v>0</v>
      </c>
      <c r="F1276" s="20" t="n">
        <f aca="false">Parametres!$B$6*D1276</f>
        <v>0</v>
      </c>
      <c r="G1276" s="20" t="n">
        <f aca="false">E1276+F1276</f>
        <v>0</v>
      </c>
      <c r="H1276" s="20" t="n">
        <f aca="false">IF(G1276&lt;Parametres!$B$8*Parametres!$B$7,0,MIN(G1276,Parametres!$B$7))</f>
        <v>0</v>
      </c>
      <c r="I1276" s="20" t="n">
        <f aca="false">G1276-H1276</f>
        <v>0</v>
      </c>
      <c r="J1276" s="21" t="n">
        <f aca="false">H1276*1000/Parametres!$B$9</f>
        <v>0</v>
      </c>
    </row>
    <row r="1277" customFormat="false" ht="15" hidden="false" customHeight="false" outlineLevel="0" collapsed="false">
      <c r="A1277" s="0" t="n">
        <v>1273</v>
      </c>
      <c r="B1277" s="0" t="n">
        <v>2</v>
      </c>
      <c r="C1277" s="19" t="n">
        <v>0</v>
      </c>
      <c r="D1277" s="19" t="n">
        <v>0</v>
      </c>
      <c r="E1277" s="20" t="n">
        <f aca="false">Parametres!$B$5*C1277</f>
        <v>0</v>
      </c>
      <c r="F1277" s="20" t="n">
        <f aca="false">Parametres!$B$6*D1277</f>
        <v>0</v>
      </c>
      <c r="G1277" s="20" t="n">
        <f aca="false">E1277+F1277</f>
        <v>0</v>
      </c>
      <c r="H1277" s="20" t="n">
        <f aca="false">IF(G1277&lt;Parametres!$B$8*Parametres!$B$7,0,MIN(G1277,Parametres!$B$7))</f>
        <v>0</v>
      </c>
      <c r="I1277" s="20" t="n">
        <f aca="false">G1277-H1277</f>
        <v>0</v>
      </c>
      <c r="J1277" s="21" t="n">
        <f aca="false">H1277*1000/Parametres!$B$9</f>
        <v>0</v>
      </c>
    </row>
    <row r="1278" customFormat="false" ht="15" hidden="false" customHeight="false" outlineLevel="0" collapsed="false">
      <c r="A1278" s="0" t="n">
        <v>1274</v>
      </c>
      <c r="B1278" s="0" t="n">
        <v>2</v>
      </c>
      <c r="C1278" s="19" t="n">
        <v>0</v>
      </c>
      <c r="D1278" s="19" t="n">
        <v>0</v>
      </c>
      <c r="E1278" s="20" t="n">
        <f aca="false">Parametres!$B$5*C1278</f>
        <v>0</v>
      </c>
      <c r="F1278" s="20" t="n">
        <f aca="false">Parametres!$B$6*D1278</f>
        <v>0</v>
      </c>
      <c r="G1278" s="20" t="n">
        <f aca="false">E1278+F1278</f>
        <v>0</v>
      </c>
      <c r="H1278" s="20" t="n">
        <f aca="false">IF(G1278&lt;Parametres!$B$8*Parametres!$B$7,0,MIN(G1278,Parametres!$B$7))</f>
        <v>0</v>
      </c>
      <c r="I1278" s="20" t="n">
        <f aca="false">G1278-H1278</f>
        <v>0</v>
      </c>
      <c r="J1278" s="21" t="n">
        <f aca="false">H1278*1000/Parametres!$B$9</f>
        <v>0</v>
      </c>
    </row>
    <row r="1279" customFormat="false" ht="15" hidden="false" customHeight="false" outlineLevel="0" collapsed="false">
      <c r="A1279" s="0" t="n">
        <v>1275</v>
      </c>
      <c r="B1279" s="0" t="n">
        <v>2</v>
      </c>
      <c r="C1279" s="19" t="n">
        <v>0</v>
      </c>
      <c r="D1279" s="19" t="n">
        <v>0</v>
      </c>
      <c r="E1279" s="20" t="n">
        <f aca="false">Parametres!$B$5*C1279</f>
        <v>0</v>
      </c>
      <c r="F1279" s="20" t="n">
        <f aca="false">Parametres!$B$6*D1279</f>
        <v>0</v>
      </c>
      <c r="G1279" s="20" t="n">
        <f aca="false">E1279+F1279</f>
        <v>0</v>
      </c>
      <c r="H1279" s="20" t="n">
        <f aca="false">IF(G1279&lt;Parametres!$B$8*Parametres!$B$7,0,MIN(G1279,Parametres!$B$7))</f>
        <v>0</v>
      </c>
      <c r="I1279" s="20" t="n">
        <f aca="false">G1279-H1279</f>
        <v>0</v>
      </c>
      <c r="J1279" s="21" t="n">
        <f aca="false">H1279*1000/Parametres!$B$9</f>
        <v>0</v>
      </c>
    </row>
    <row r="1280" customFormat="false" ht="15" hidden="false" customHeight="false" outlineLevel="0" collapsed="false">
      <c r="A1280" s="0" t="n">
        <v>1276</v>
      </c>
      <c r="B1280" s="0" t="n">
        <v>2</v>
      </c>
      <c r="C1280" s="19" t="n">
        <v>0</v>
      </c>
      <c r="D1280" s="19" t="n">
        <v>0</v>
      </c>
      <c r="E1280" s="20" t="n">
        <f aca="false">Parametres!$B$5*C1280</f>
        <v>0</v>
      </c>
      <c r="F1280" s="20" t="n">
        <f aca="false">Parametres!$B$6*D1280</f>
        <v>0</v>
      </c>
      <c r="G1280" s="20" t="n">
        <f aca="false">E1280+F1280</f>
        <v>0</v>
      </c>
      <c r="H1280" s="20" t="n">
        <f aca="false">IF(G1280&lt;Parametres!$B$8*Parametres!$B$7,0,MIN(G1280,Parametres!$B$7))</f>
        <v>0</v>
      </c>
      <c r="I1280" s="20" t="n">
        <f aca="false">G1280-H1280</f>
        <v>0</v>
      </c>
      <c r="J1280" s="21" t="n">
        <f aca="false">H1280*1000/Parametres!$B$9</f>
        <v>0</v>
      </c>
    </row>
    <row r="1281" customFormat="false" ht="15" hidden="false" customHeight="false" outlineLevel="0" collapsed="false">
      <c r="A1281" s="0" t="n">
        <v>1277</v>
      </c>
      <c r="B1281" s="0" t="n">
        <v>2</v>
      </c>
      <c r="C1281" s="19" t="n">
        <v>0</v>
      </c>
      <c r="D1281" s="19" t="n">
        <v>0</v>
      </c>
      <c r="E1281" s="20" t="n">
        <f aca="false">Parametres!$B$5*C1281</f>
        <v>0</v>
      </c>
      <c r="F1281" s="20" t="n">
        <f aca="false">Parametres!$B$6*D1281</f>
        <v>0</v>
      </c>
      <c r="G1281" s="20" t="n">
        <f aca="false">E1281+F1281</f>
        <v>0</v>
      </c>
      <c r="H1281" s="20" t="n">
        <f aca="false">IF(G1281&lt;Parametres!$B$8*Parametres!$B$7,0,MIN(G1281,Parametres!$B$7))</f>
        <v>0</v>
      </c>
      <c r="I1281" s="20" t="n">
        <f aca="false">G1281-H1281</f>
        <v>0</v>
      </c>
      <c r="J1281" s="21" t="n">
        <f aca="false">H1281*1000/Parametres!$B$9</f>
        <v>0</v>
      </c>
    </row>
    <row r="1282" customFormat="false" ht="15" hidden="false" customHeight="false" outlineLevel="0" collapsed="false">
      <c r="A1282" s="0" t="n">
        <v>1278</v>
      </c>
      <c r="B1282" s="0" t="n">
        <v>2</v>
      </c>
      <c r="C1282" s="19" t="n">
        <v>0</v>
      </c>
      <c r="D1282" s="19" t="n">
        <v>0</v>
      </c>
      <c r="E1282" s="20" t="n">
        <f aca="false">Parametres!$B$5*C1282</f>
        <v>0</v>
      </c>
      <c r="F1282" s="20" t="n">
        <f aca="false">Parametres!$B$6*D1282</f>
        <v>0</v>
      </c>
      <c r="G1282" s="20" t="n">
        <f aca="false">E1282+F1282</f>
        <v>0</v>
      </c>
      <c r="H1282" s="20" t="n">
        <f aca="false">IF(G1282&lt;Parametres!$B$8*Parametres!$B$7,0,MIN(G1282,Parametres!$B$7))</f>
        <v>0</v>
      </c>
      <c r="I1282" s="20" t="n">
        <f aca="false">G1282-H1282</f>
        <v>0</v>
      </c>
      <c r="J1282" s="21" t="n">
        <f aca="false">H1282*1000/Parametres!$B$9</f>
        <v>0</v>
      </c>
    </row>
    <row r="1283" customFormat="false" ht="15" hidden="false" customHeight="false" outlineLevel="0" collapsed="false">
      <c r="A1283" s="0" t="n">
        <v>1279</v>
      </c>
      <c r="B1283" s="0" t="n">
        <v>2</v>
      </c>
      <c r="C1283" s="19" t="n">
        <v>0.0165</v>
      </c>
      <c r="D1283" s="19" t="n">
        <v>0</v>
      </c>
      <c r="E1283" s="20" t="n">
        <f aca="false">Parametres!$B$5*C1283</f>
        <v>4.95</v>
      </c>
      <c r="F1283" s="20" t="n">
        <f aca="false">Parametres!$B$6*D1283</f>
        <v>0</v>
      </c>
      <c r="G1283" s="20" t="n">
        <f aca="false">E1283+F1283</f>
        <v>4.95</v>
      </c>
      <c r="H1283" s="20" t="n">
        <f aca="false">IF(G1283&lt;Parametres!$B$8*Parametres!$B$7,0,MIN(G1283,Parametres!$B$7))</f>
        <v>0</v>
      </c>
      <c r="I1283" s="20" t="n">
        <f aca="false">G1283-H1283</f>
        <v>4.95</v>
      </c>
      <c r="J1283" s="21" t="n">
        <f aca="false">H1283*1000/Parametres!$B$9</f>
        <v>0</v>
      </c>
    </row>
    <row r="1284" customFormat="false" ht="15" hidden="false" customHeight="false" outlineLevel="0" collapsed="false">
      <c r="A1284" s="0" t="n">
        <v>1280</v>
      </c>
      <c r="B1284" s="0" t="n">
        <v>2</v>
      </c>
      <c r="C1284" s="19" t="n">
        <v>0.2421</v>
      </c>
      <c r="D1284" s="19" t="n">
        <v>0</v>
      </c>
      <c r="E1284" s="20" t="n">
        <f aca="false">Parametres!$B$5*C1284</f>
        <v>72.63</v>
      </c>
      <c r="F1284" s="20" t="n">
        <f aca="false">Parametres!$B$6*D1284</f>
        <v>0</v>
      </c>
      <c r="G1284" s="20" t="n">
        <f aca="false">E1284+F1284</f>
        <v>72.63</v>
      </c>
      <c r="H1284" s="20" t="n">
        <f aca="false">IF(G1284&lt;Parametres!$B$8*Parametres!$B$7,0,MIN(G1284,Parametres!$B$7))</f>
        <v>72.63</v>
      </c>
      <c r="I1284" s="20" t="n">
        <f aca="false">G1284-H1284</f>
        <v>0</v>
      </c>
      <c r="J1284" s="21" t="n">
        <f aca="false">H1284*1000/Parametres!$B$9</f>
        <v>1231.64320841106</v>
      </c>
    </row>
    <row r="1285" customFormat="false" ht="15" hidden="false" customHeight="false" outlineLevel="0" collapsed="false">
      <c r="A1285" s="0" t="n">
        <v>1281</v>
      </c>
      <c r="B1285" s="0" t="n">
        <v>2</v>
      </c>
      <c r="C1285" s="19" t="n">
        <v>0.4358</v>
      </c>
      <c r="D1285" s="19" t="n">
        <v>0</v>
      </c>
      <c r="E1285" s="20" t="n">
        <f aca="false">Parametres!$B$5*C1285</f>
        <v>130.74</v>
      </c>
      <c r="F1285" s="20" t="n">
        <f aca="false">Parametres!$B$6*D1285</f>
        <v>0</v>
      </c>
      <c r="G1285" s="20" t="n">
        <f aca="false">E1285+F1285</f>
        <v>130.74</v>
      </c>
      <c r="H1285" s="20" t="n">
        <f aca="false">IF(G1285&lt;Parametres!$B$8*Parametres!$B$7,0,MIN(G1285,Parametres!$B$7))</f>
        <v>130.74</v>
      </c>
      <c r="I1285" s="20" t="n">
        <f aca="false">G1285-H1285</f>
        <v>0</v>
      </c>
      <c r="J1285" s="21" t="n">
        <f aca="false">H1285*1000/Parametres!$B$9</f>
        <v>2217.05952179074</v>
      </c>
    </row>
    <row r="1286" customFormat="false" ht="15" hidden="false" customHeight="false" outlineLevel="0" collapsed="false">
      <c r="A1286" s="0" t="n">
        <v>1282</v>
      </c>
      <c r="B1286" s="0" t="n">
        <v>2</v>
      </c>
      <c r="C1286" s="19" t="n">
        <v>0.6584</v>
      </c>
      <c r="D1286" s="19" t="n">
        <v>0</v>
      </c>
      <c r="E1286" s="20" t="n">
        <f aca="false">Parametres!$B$5*C1286</f>
        <v>197.52</v>
      </c>
      <c r="F1286" s="20" t="n">
        <f aca="false">Parametres!$B$6*D1286</f>
        <v>0</v>
      </c>
      <c r="G1286" s="20" t="n">
        <f aca="false">E1286+F1286</f>
        <v>197.52</v>
      </c>
      <c r="H1286" s="20" t="n">
        <f aca="false">IF(G1286&lt;Parametres!$B$8*Parametres!$B$7,0,MIN(G1286,Parametres!$B$7))</f>
        <v>197.52</v>
      </c>
      <c r="I1286" s="20" t="n">
        <f aca="false">G1286-H1286</f>
        <v>0</v>
      </c>
      <c r="J1286" s="21" t="n">
        <f aca="false">H1286*1000/Parametres!$B$9</f>
        <v>3349.49974563337</v>
      </c>
    </row>
    <row r="1287" customFormat="false" ht="15" hidden="false" customHeight="false" outlineLevel="0" collapsed="false">
      <c r="A1287" s="0" t="n">
        <v>1283</v>
      </c>
      <c r="B1287" s="0" t="n">
        <v>2</v>
      </c>
      <c r="C1287" s="19" t="n">
        <v>0.7761</v>
      </c>
      <c r="D1287" s="19" t="n">
        <v>0</v>
      </c>
      <c r="E1287" s="20" t="n">
        <f aca="false">Parametres!$B$5*C1287</f>
        <v>232.83</v>
      </c>
      <c r="F1287" s="20" t="n">
        <f aca="false">Parametres!$B$6*D1287</f>
        <v>0</v>
      </c>
      <c r="G1287" s="20" t="n">
        <f aca="false">E1287+F1287</f>
        <v>232.83</v>
      </c>
      <c r="H1287" s="20" t="n">
        <f aca="false">IF(G1287&lt;Parametres!$B$8*Parametres!$B$7,0,MIN(G1287,Parametres!$B$7))</f>
        <v>232.83</v>
      </c>
      <c r="I1287" s="20" t="n">
        <f aca="false">G1287-H1287</f>
        <v>0</v>
      </c>
      <c r="J1287" s="21" t="n">
        <f aca="false">H1287*1000/Parametres!$B$9</f>
        <v>3948.2787858233</v>
      </c>
    </row>
    <row r="1288" customFormat="false" ht="15" hidden="false" customHeight="false" outlineLevel="0" collapsed="false">
      <c r="A1288" s="0" t="n">
        <v>1284</v>
      </c>
      <c r="B1288" s="0" t="n">
        <v>2</v>
      </c>
      <c r="C1288" s="19" t="n">
        <v>0.9149</v>
      </c>
      <c r="D1288" s="19" t="n">
        <v>0</v>
      </c>
      <c r="E1288" s="20" t="n">
        <f aca="false">Parametres!$B$5*C1288</f>
        <v>274.47</v>
      </c>
      <c r="F1288" s="20" t="n">
        <f aca="false">Parametres!$B$6*D1288</f>
        <v>0</v>
      </c>
      <c r="G1288" s="20" t="n">
        <f aca="false">E1288+F1288</f>
        <v>274.47</v>
      </c>
      <c r="H1288" s="20" t="n">
        <f aca="false">IF(G1288&lt;Parametres!$B$8*Parametres!$B$7,0,MIN(G1288,Parametres!$B$7))</f>
        <v>250</v>
      </c>
      <c r="I1288" s="20" t="n">
        <f aca="false">G1288-H1288</f>
        <v>24.47</v>
      </c>
      <c r="J1288" s="21" t="n">
        <f aca="false">H1288*1000/Parametres!$B$9</f>
        <v>4239.44378497541</v>
      </c>
    </row>
    <row r="1289" customFormat="false" ht="15" hidden="false" customHeight="false" outlineLevel="0" collapsed="false">
      <c r="A1289" s="0" t="n">
        <v>1285</v>
      </c>
      <c r="B1289" s="0" t="n">
        <v>2</v>
      </c>
      <c r="C1289" s="19" t="n">
        <v>0.9542</v>
      </c>
      <c r="D1289" s="19" t="n">
        <v>0</v>
      </c>
      <c r="E1289" s="20" t="n">
        <f aca="false">Parametres!$B$5*C1289</f>
        <v>286.26</v>
      </c>
      <c r="F1289" s="20" t="n">
        <f aca="false">Parametres!$B$6*D1289</f>
        <v>0</v>
      </c>
      <c r="G1289" s="20" t="n">
        <f aca="false">E1289+F1289</f>
        <v>286.26</v>
      </c>
      <c r="H1289" s="20" t="n">
        <f aca="false">IF(G1289&lt;Parametres!$B$8*Parametres!$B$7,0,MIN(G1289,Parametres!$B$7))</f>
        <v>250</v>
      </c>
      <c r="I1289" s="20" t="n">
        <f aca="false">G1289-H1289</f>
        <v>36.26</v>
      </c>
      <c r="J1289" s="21" t="n">
        <f aca="false">H1289*1000/Parametres!$B$9</f>
        <v>4239.44378497541</v>
      </c>
    </row>
    <row r="1290" customFormat="false" ht="15" hidden="false" customHeight="false" outlineLevel="0" collapsed="false">
      <c r="A1290" s="0" t="n">
        <v>1286</v>
      </c>
      <c r="B1290" s="0" t="n">
        <v>2</v>
      </c>
      <c r="C1290" s="19" t="n">
        <v>0.8018</v>
      </c>
      <c r="D1290" s="19" t="n">
        <v>0</v>
      </c>
      <c r="E1290" s="20" t="n">
        <f aca="false">Parametres!$B$5*C1290</f>
        <v>240.54</v>
      </c>
      <c r="F1290" s="20" t="n">
        <f aca="false">Parametres!$B$6*D1290</f>
        <v>0</v>
      </c>
      <c r="G1290" s="20" t="n">
        <f aca="false">E1290+F1290</f>
        <v>240.54</v>
      </c>
      <c r="H1290" s="20" t="n">
        <f aca="false">IF(G1290&lt;Parametres!$B$8*Parametres!$B$7,0,MIN(G1290,Parametres!$B$7))</f>
        <v>240.54</v>
      </c>
      <c r="I1290" s="20" t="n">
        <f aca="false">G1290-H1290</f>
        <v>0</v>
      </c>
      <c r="J1290" s="21" t="n">
        <f aca="false">H1290*1000/Parametres!$B$9</f>
        <v>4079.02323215194</v>
      </c>
    </row>
    <row r="1291" customFormat="false" ht="15" hidden="false" customHeight="false" outlineLevel="0" collapsed="false">
      <c r="A1291" s="0" t="n">
        <v>1287</v>
      </c>
      <c r="B1291" s="0" t="n">
        <v>2</v>
      </c>
      <c r="C1291" s="19" t="n">
        <v>0.6927</v>
      </c>
      <c r="D1291" s="19" t="n">
        <v>0</v>
      </c>
      <c r="E1291" s="20" t="n">
        <f aca="false">Parametres!$B$5*C1291</f>
        <v>207.81</v>
      </c>
      <c r="F1291" s="20" t="n">
        <f aca="false">Parametres!$B$6*D1291</f>
        <v>0</v>
      </c>
      <c r="G1291" s="20" t="n">
        <f aca="false">E1291+F1291</f>
        <v>207.81</v>
      </c>
      <c r="H1291" s="20" t="n">
        <f aca="false">IF(G1291&lt;Parametres!$B$8*Parametres!$B$7,0,MIN(G1291,Parametres!$B$7))</f>
        <v>207.81</v>
      </c>
      <c r="I1291" s="20" t="n">
        <f aca="false">G1291-H1291</f>
        <v>0</v>
      </c>
      <c r="J1291" s="21" t="n">
        <f aca="false">H1291*1000/Parametres!$B$9</f>
        <v>3523.99525182296</v>
      </c>
    </row>
    <row r="1292" customFormat="false" ht="15" hidden="false" customHeight="false" outlineLevel="0" collapsed="false">
      <c r="A1292" s="0" t="n">
        <v>1288</v>
      </c>
      <c r="B1292" s="0" t="n">
        <v>2</v>
      </c>
      <c r="C1292" s="19" t="n">
        <v>0.4446</v>
      </c>
      <c r="D1292" s="19" t="n">
        <v>0</v>
      </c>
      <c r="E1292" s="20" t="n">
        <f aca="false">Parametres!$B$5*C1292</f>
        <v>133.38</v>
      </c>
      <c r="F1292" s="20" t="n">
        <f aca="false">Parametres!$B$6*D1292</f>
        <v>0</v>
      </c>
      <c r="G1292" s="20" t="n">
        <f aca="false">E1292+F1292</f>
        <v>133.38</v>
      </c>
      <c r="H1292" s="20" t="n">
        <f aca="false">IF(G1292&lt;Parametres!$B$8*Parametres!$B$7,0,MIN(G1292,Parametres!$B$7))</f>
        <v>133.38</v>
      </c>
      <c r="I1292" s="20" t="n">
        <f aca="false">G1292-H1292</f>
        <v>0</v>
      </c>
      <c r="J1292" s="21" t="n">
        <f aca="false">H1292*1000/Parametres!$B$9</f>
        <v>2261.82804816008</v>
      </c>
    </row>
    <row r="1293" customFormat="false" ht="15" hidden="false" customHeight="false" outlineLevel="0" collapsed="false">
      <c r="A1293" s="0" t="n">
        <v>1289</v>
      </c>
      <c r="B1293" s="0" t="n">
        <v>2</v>
      </c>
      <c r="C1293" s="19" t="n">
        <v>0.2155</v>
      </c>
      <c r="D1293" s="19" t="n">
        <v>0.0001</v>
      </c>
      <c r="E1293" s="20" t="n">
        <f aca="false">Parametres!$B$5*C1293</f>
        <v>64.65</v>
      </c>
      <c r="F1293" s="20" t="n">
        <f aca="false">Parametres!$B$6*D1293</f>
        <v>0.02</v>
      </c>
      <c r="G1293" s="20" t="n">
        <f aca="false">E1293+F1293</f>
        <v>64.67</v>
      </c>
      <c r="H1293" s="20" t="n">
        <f aca="false">IF(G1293&lt;Parametres!$B$8*Parametres!$B$7,0,MIN(G1293,Parametres!$B$7))</f>
        <v>64.67</v>
      </c>
      <c r="I1293" s="20" t="n">
        <f aca="false">G1293-H1293</f>
        <v>0</v>
      </c>
      <c r="J1293" s="21" t="n">
        <f aca="false">H1293*1000/Parametres!$B$9</f>
        <v>1096.65931829744</v>
      </c>
    </row>
    <row r="1294" customFormat="false" ht="15" hidden="false" customHeight="false" outlineLevel="0" collapsed="false">
      <c r="A1294" s="0" t="n">
        <v>1290</v>
      </c>
      <c r="B1294" s="0" t="n">
        <v>2</v>
      </c>
      <c r="C1294" s="19" t="n">
        <v>0.0157</v>
      </c>
      <c r="D1294" s="19" t="n">
        <v>0.002</v>
      </c>
      <c r="E1294" s="20" t="n">
        <f aca="false">Parametres!$B$5*C1294</f>
        <v>4.71</v>
      </c>
      <c r="F1294" s="20" t="n">
        <f aca="false">Parametres!$B$6*D1294</f>
        <v>0.4</v>
      </c>
      <c r="G1294" s="20" t="n">
        <f aca="false">E1294+F1294</f>
        <v>5.11</v>
      </c>
      <c r="H1294" s="20" t="n">
        <f aca="false">IF(G1294&lt;Parametres!$B$8*Parametres!$B$7,0,MIN(G1294,Parametres!$B$7))</f>
        <v>0</v>
      </c>
      <c r="I1294" s="20" t="n">
        <f aca="false">G1294-H1294</f>
        <v>5.11</v>
      </c>
      <c r="J1294" s="21" t="n">
        <f aca="false">H1294*1000/Parametres!$B$9</f>
        <v>0</v>
      </c>
    </row>
    <row r="1295" customFormat="false" ht="15" hidden="false" customHeight="false" outlineLevel="0" collapsed="false">
      <c r="A1295" s="0" t="n">
        <v>1291</v>
      </c>
      <c r="B1295" s="0" t="n">
        <v>2</v>
      </c>
      <c r="C1295" s="19" t="n">
        <v>0</v>
      </c>
      <c r="D1295" s="19" t="n">
        <v>0.0004</v>
      </c>
      <c r="E1295" s="20" t="n">
        <f aca="false">Parametres!$B$5*C1295</f>
        <v>0</v>
      </c>
      <c r="F1295" s="20" t="n">
        <f aca="false">Parametres!$B$6*D1295</f>
        <v>0.08</v>
      </c>
      <c r="G1295" s="20" t="n">
        <f aca="false">E1295+F1295</f>
        <v>0.08</v>
      </c>
      <c r="H1295" s="20" t="n">
        <f aca="false">IF(G1295&lt;Parametres!$B$8*Parametres!$B$7,0,MIN(G1295,Parametres!$B$7))</f>
        <v>0</v>
      </c>
      <c r="I1295" s="20" t="n">
        <f aca="false">G1295-H1295</f>
        <v>0.08</v>
      </c>
      <c r="J1295" s="21" t="n">
        <f aca="false">H1295*1000/Parametres!$B$9</f>
        <v>0</v>
      </c>
    </row>
    <row r="1296" customFormat="false" ht="15" hidden="false" customHeight="false" outlineLevel="0" collapsed="false">
      <c r="A1296" s="0" t="n">
        <v>1292</v>
      </c>
      <c r="B1296" s="0" t="n">
        <v>2</v>
      </c>
      <c r="C1296" s="19" t="n">
        <v>0</v>
      </c>
      <c r="D1296" s="19" t="n">
        <v>0</v>
      </c>
      <c r="E1296" s="20" t="n">
        <f aca="false">Parametres!$B$5*C1296</f>
        <v>0</v>
      </c>
      <c r="F1296" s="20" t="n">
        <f aca="false">Parametres!$B$6*D1296</f>
        <v>0</v>
      </c>
      <c r="G1296" s="20" t="n">
        <f aca="false">E1296+F1296</f>
        <v>0</v>
      </c>
      <c r="H1296" s="20" t="n">
        <f aca="false">IF(G1296&lt;Parametres!$B$8*Parametres!$B$7,0,MIN(G1296,Parametres!$B$7))</f>
        <v>0</v>
      </c>
      <c r="I1296" s="20" t="n">
        <f aca="false">G1296-H1296</f>
        <v>0</v>
      </c>
      <c r="J1296" s="21" t="n">
        <f aca="false">H1296*1000/Parametres!$B$9</f>
        <v>0</v>
      </c>
    </row>
    <row r="1297" customFormat="false" ht="15" hidden="false" customHeight="false" outlineLevel="0" collapsed="false">
      <c r="A1297" s="0" t="n">
        <v>1293</v>
      </c>
      <c r="B1297" s="0" t="n">
        <v>2</v>
      </c>
      <c r="C1297" s="19" t="n">
        <v>0</v>
      </c>
      <c r="D1297" s="19" t="n">
        <v>0</v>
      </c>
      <c r="E1297" s="20" t="n">
        <f aca="false">Parametres!$B$5*C1297</f>
        <v>0</v>
      </c>
      <c r="F1297" s="20" t="n">
        <f aca="false">Parametres!$B$6*D1297</f>
        <v>0</v>
      </c>
      <c r="G1297" s="20" t="n">
        <f aca="false">E1297+F1297</f>
        <v>0</v>
      </c>
      <c r="H1297" s="20" t="n">
        <f aca="false">IF(G1297&lt;Parametres!$B$8*Parametres!$B$7,0,MIN(G1297,Parametres!$B$7))</f>
        <v>0</v>
      </c>
      <c r="I1297" s="20" t="n">
        <f aca="false">G1297-H1297</f>
        <v>0</v>
      </c>
      <c r="J1297" s="21" t="n">
        <f aca="false">H1297*1000/Parametres!$B$9</f>
        <v>0</v>
      </c>
    </row>
    <row r="1298" customFormat="false" ht="15" hidden="false" customHeight="false" outlineLevel="0" collapsed="false">
      <c r="A1298" s="0" t="n">
        <v>1294</v>
      </c>
      <c r="B1298" s="0" t="n">
        <v>2</v>
      </c>
      <c r="C1298" s="19" t="n">
        <v>0</v>
      </c>
      <c r="D1298" s="19" t="n">
        <v>0</v>
      </c>
      <c r="E1298" s="20" t="n">
        <f aca="false">Parametres!$B$5*C1298</f>
        <v>0</v>
      </c>
      <c r="F1298" s="20" t="n">
        <f aca="false">Parametres!$B$6*D1298</f>
        <v>0</v>
      </c>
      <c r="G1298" s="20" t="n">
        <f aca="false">E1298+F1298</f>
        <v>0</v>
      </c>
      <c r="H1298" s="20" t="n">
        <f aca="false">IF(G1298&lt;Parametres!$B$8*Parametres!$B$7,0,MIN(G1298,Parametres!$B$7))</f>
        <v>0</v>
      </c>
      <c r="I1298" s="20" t="n">
        <f aca="false">G1298-H1298</f>
        <v>0</v>
      </c>
      <c r="J1298" s="21" t="n">
        <f aca="false">H1298*1000/Parametres!$B$9</f>
        <v>0</v>
      </c>
    </row>
    <row r="1299" customFormat="false" ht="15" hidden="false" customHeight="false" outlineLevel="0" collapsed="false">
      <c r="A1299" s="0" t="n">
        <v>1295</v>
      </c>
      <c r="B1299" s="0" t="n">
        <v>2</v>
      </c>
      <c r="C1299" s="19" t="n">
        <v>0</v>
      </c>
      <c r="D1299" s="19" t="n">
        <v>0</v>
      </c>
      <c r="E1299" s="20" t="n">
        <f aca="false">Parametres!$B$5*C1299</f>
        <v>0</v>
      </c>
      <c r="F1299" s="20" t="n">
        <f aca="false">Parametres!$B$6*D1299</f>
        <v>0</v>
      </c>
      <c r="G1299" s="20" t="n">
        <f aca="false">E1299+F1299</f>
        <v>0</v>
      </c>
      <c r="H1299" s="20" t="n">
        <f aca="false">IF(G1299&lt;Parametres!$B$8*Parametres!$B$7,0,MIN(G1299,Parametres!$B$7))</f>
        <v>0</v>
      </c>
      <c r="I1299" s="20" t="n">
        <f aca="false">G1299-H1299</f>
        <v>0</v>
      </c>
      <c r="J1299" s="21" t="n">
        <f aca="false">H1299*1000/Parametres!$B$9</f>
        <v>0</v>
      </c>
    </row>
    <row r="1300" customFormat="false" ht="15" hidden="false" customHeight="false" outlineLevel="0" collapsed="false">
      <c r="A1300" s="0" t="n">
        <v>1296</v>
      </c>
      <c r="B1300" s="0" t="n">
        <v>2</v>
      </c>
      <c r="C1300" s="19" t="n">
        <v>0</v>
      </c>
      <c r="D1300" s="19" t="n">
        <v>0</v>
      </c>
      <c r="E1300" s="20" t="n">
        <f aca="false">Parametres!$B$5*C1300</f>
        <v>0</v>
      </c>
      <c r="F1300" s="20" t="n">
        <f aca="false">Parametres!$B$6*D1300</f>
        <v>0</v>
      </c>
      <c r="G1300" s="20" t="n">
        <f aca="false">E1300+F1300</f>
        <v>0</v>
      </c>
      <c r="H1300" s="20" t="n">
        <f aca="false">IF(G1300&lt;Parametres!$B$8*Parametres!$B$7,0,MIN(G1300,Parametres!$B$7))</f>
        <v>0</v>
      </c>
      <c r="I1300" s="20" t="n">
        <f aca="false">G1300-H1300</f>
        <v>0</v>
      </c>
      <c r="J1300" s="21" t="n">
        <f aca="false">H1300*1000/Parametres!$B$9</f>
        <v>0</v>
      </c>
    </row>
    <row r="1301" customFormat="false" ht="15" hidden="false" customHeight="false" outlineLevel="0" collapsed="false">
      <c r="A1301" s="0" t="n">
        <v>1297</v>
      </c>
      <c r="B1301" s="0" t="n">
        <v>2</v>
      </c>
      <c r="C1301" s="19" t="n">
        <v>0</v>
      </c>
      <c r="D1301" s="19" t="n">
        <v>0.0002</v>
      </c>
      <c r="E1301" s="20" t="n">
        <f aca="false">Parametres!$B$5*C1301</f>
        <v>0</v>
      </c>
      <c r="F1301" s="20" t="n">
        <f aca="false">Parametres!$B$6*D1301</f>
        <v>0.04</v>
      </c>
      <c r="G1301" s="20" t="n">
        <f aca="false">E1301+F1301</f>
        <v>0.04</v>
      </c>
      <c r="H1301" s="20" t="n">
        <f aca="false">IF(G1301&lt;Parametres!$B$8*Parametres!$B$7,0,MIN(G1301,Parametres!$B$7))</f>
        <v>0</v>
      </c>
      <c r="I1301" s="20" t="n">
        <f aca="false">G1301-H1301</f>
        <v>0.04</v>
      </c>
      <c r="J1301" s="21" t="n">
        <f aca="false">H1301*1000/Parametres!$B$9</f>
        <v>0</v>
      </c>
    </row>
    <row r="1302" customFormat="false" ht="15" hidden="false" customHeight="false" outlineLevel="0" collapsed="false">
      <c r="A1302" s="0" t="n">
        <v>1298</v>
      </c>
      <c r="B1302" s="0" t="n">
        <v>2</v>
      </c>
      <c r="C1302" s="19" t="n">
        <v>0</v>
      </c>
      <c r="D1302" s="19" t="n">
        <v>0.0005</v>
      </c>
      <c r="E1302" s="20" t="n">
        <f aca="false">Parametres!$B$5*C1302</f>
        <v>0</v>
      </c>
      <c r="F1302" s="20" t="n">
        <f aca="false">Parametres!$B$6*D1302</f>
        <v>0.1</v>
      </c>
      <c r="G1302" s="20" t="n">
        <f aca="false">E1302+F1302</f>
        <v>0.1</v>
      </c>
      <c r="H1302" s="20" t="n">
        <f aca="false">IF(G1302&lt;Parametres!$B$8*Parametres!$B$7,0,MIN(G1302,Parametres!$B$7))</f>
        <v>0</v>
      </c>
      <c r="I1302" s="20" t="n">
        <f aca="false">G1302-H1302</f>
        <v>0.1</v>
      </c>
      <c r="J1302" s="21" t="n">
        <f aca="false">H1302*1000/Parametres!$B$9</f>
        <v>0</v>
      </c>
    </row>
    <row r="1303" customFormat="false" ht="15" hidden="false" customHeight="false" outlineLevel="0" collapsed="false">
      <c r="A1303" s="0" t="n">
        <v>1299</v>
      </c>
      <c r="B1303" s="0" t="n">
        <v>2</v>
      </c>
      <c r="C1303" s="19" t="n">
        <v>0</v>
      </c>
      <c r="D1303" s="19" t="n">
        <v>0.0016</v>
      </c>
      <c r="E1303" s="20" t="n">
        <f aca="false">Parametres!$B$5*C1303</f>
        <v>0</v>
      </c>
      <c r="F1303" s="20" t="n">
        <f aca="false">Parametres!$B$6*D1303</f>
        <v>0.32</v>
      </c>
      <c r="G1303" s="20" t="n">
        <f aca="false">E1303+F1303</f>
        <v>0.32</v>
      </c>
      <c r="H1303" s="20" t="n">
        <f aca="false">IF(G1303&lt;Parametres!$B$8*Parametres!$B$7,0,MIN(G1303,Parametres!$B$7))</f>
        <v>0</v>
      </c>
      <c r="I1303" s="20" t="n">
        <f aca="false">G1303-H1303</f>
        <v>0.32</v>
      </c>
      <c r="J1303" s="21" t="n">
        <f aca="false">H1303*1000/Parametres!$B$9</f>
        <v>0</v>
      </c>
    </row>
    <row r="1304" customFormat="false" ht="15" hidden="false" customHeight="false" outlineLevel="0" collapsed="false">
      <c r="A1304" s="0" t="n">
        <v>1300</v>
      </c>
      <c r="B1304" s="0" t="n">
        <v>2</v>
      </c>
      <c r="C1304" s="19" t="n">
        <v>0</v>
      </c>
      <c r="D1304" s="19" t="n">
        <v>0.0004</v>
      </c>
      <c r="E1304" s="20" t="n">
        <f aca="false">Parametres!$B$5*C1304</f>
        <v>0</v>
      </c>
      <c r="F1304" s="20" t="n">
        <f aca="false">Parametres!$B$6*D1304</f>
        <v>0.08</v>
      </c>
      <c r="G1304" s="20" t="n">
        <f aca="false">E1304+F1304</f>
        <v>0.08</v>
      </c>
      <c r="H1304" s="20" t="n">
        <f aca="false">IF(G1304&lt;Parametres!$B$8*Parametres!$B$7,0,MIN(G1304,Parametres!$B$7))</f>
        <v>0</v>
      </c>
      <c r="I1304" s="20" t="n">
        <f aca="false">G1304-H1304</f>
        <v>0.08</v>
      </c>
      <c r="J1304" s="21" t="n">
        <f aca="false">H1304*1000/Parametres!$B$9</f>
        <v>0</v>
      </c>
    </row>
    <row r="1305" customFormat="false" ht="15" hidden="false" customHeight="false" outlineLevel="0" collapsed="false">
      <c r="A1305" s="0" t="n">
        <v>1301</v>
      </c>
      <c r="B1305" s="0" t="n">
        <v>2</v>
      </c>
      <c r="C1305" s="19" t="n">
        <v>0</v>
      </c>
      <c r="D1305" s="19" t="n">
        <v>0.0023</v>
      </c>
      <c r="E1305" s="20" t="n">
        <f aca="false">Parametres!$B$5*C1305</f>
        <v>0</v>
      </c>
      <c r="F1305" s="20" t="n">
        <f aca="false">Parametres!$B$6*D1305</f>
        <v>0.46</v>
      </c>
      <c r="G1305" s="20" t="n">
        <f aca="false">E1305+F1305</f>
        <v>0.46</v>
      </c>
      <c r="H1305" s="20" t="n">
        <f aca="false">IF(G1305&lt;Parametres!$B$8*Parametres!$B$7,0,MIN(G1305,Parametres!$B$7))</f>
        <v>0</v>
      </c>
      <c r="I1305" s="20" t="n">
        <f aca="false">G1305-H1305</f>
        <v>0.46</v>
      </c>
      <c r="J1305" s="21" t="n">
        <f aca="false">H1305*1000/Parametres!$B$9</f>
        <v>0</v>
      </c>
    </row>
    <row r="1306" customFormat="false" ht="15" hidden="false" customHeight="false" outlineLevel="0" collapsed="false">
      <c r="A1306" s="0" t="n">
        <v>1302</v>
      </c>
      <c r="B1306" s="0" t="n">
        <v>2</v>
      </c>
      <c r="C1306" s="19" t="n">
        <v>0</v>
      </c>
      <c r="D1306" s="19" t="n">
        <v>0.0005</v>
      </c>
      <c r="E1306" s="20" t="n">
        <f aca="false">Parametres!$B$5*C1306</f>
        <v>0</v>
      </c>
      <c r="F1306" s="20" t="n">
        <f aca="false">Parametres!$B$6*D1306</f>
        <v>0.1</v>
      </c>
      <c r="G1306" s="20" t="n">
        <f aca="false">E1306+F1306</f>
        <v>0.1</v>
      </c>
      <c r="H1306" s="20" t="n">
        <f aca="false">IF(G1306&lt;Parametres!$B$8*Parametres!$B$7,0,MIN(G1306,Parametres!$B$7))</f>
        <v>0</v>
      </c>
      <c r="I1306" s="20" t="n">
        <f aca="false">G1306-H1306</f>
        <v>0.1</v>
      </c>
      <c r="J1306" s="21" t="n">
        <f aca="false">H1306*1000/Parametres!$B$9</f>
        <v>0</v>
      </c>
    </row>
    <row r="1307" customFormat="false" ht="15" hidden="false" customHeight="false" outlineLevel="0" collapsed="false">
      <c r="A1307" s="0" t="n">
        <v>1303</v>
      </c>
      <c r="B1307" s="0" t="n">
        <v>2</v>
      </c>
      <c r="C1307" s="19" t="n">
        <v>0.0226</v>
      </c>
      <c r="D1307" s="19" t="n">
        <v>0.0005</v>
      </c>
      <c r="E1307" s="20" t="n">
        <f aca="false">Parametres!$B$5*C1307</f>
        <v>6.78</v>
      </c>
      <c r="F1307" s="20" t="n">
        <f aca="false">Parametres!$B$6*D1307</f>
        <v>0.1</v>
      </c>
      <c r="G1307" s="20" t="n">
        <f aca="false">E1307+F1307</f>
        <v>6.88</v>
      </c>
      <c r="H1307" s="20" t="n">
        <f aca="false">IF(G1307&lt;Parametres!$B$8*Parametres!$B$7,0,MIN(G1307,Parametres!$B$7))</f>
        <v>0</v>
      </c>
      <c r="I1307" s="20" t="n">
        <f aca="false">G1307-H1307</f>
        <v>6.88</v>
      </c>
      <c r="J1307" s="21" t="n">
        <f aca="false">H1307*1000/Parametres!$B$9</f>
        <v>0</v>
      </c>
    </row>
    <row r="1308" customFormat="false" ht="15" hidden="false" customHeight="false" outlineLevel="0" collapsed="false">
      <c r="A1308" s="0" t="n">
        <v>1304</v>
      </c>
      <c r="B1308" s="0" t="n">
        <v>2</v>
      </c>
      <c r="C1308" s="19" t="n">
        <v>0.2594</v>
      </c>
      <c r="D1308" s="19" t="n">
        <v>0</v>
      </c>
      <c r="E1308" s="20" t="n">
        <f aca="false">Parametres!$B$5*C1308</f>
        <v>77.82</v>
      </c>
      <c r="F1308" s="20" t="n">
        <f aca="false">Parametres!$B$6*D1308</f>
        <v>0</v>
      </c>
      <c r="G1308" s="20" t="n">
        <f aca="false">E1308+F1308</f>
        <v>77.82</v>
      </c>
      <c r="H1308" s="20" t="n">
        <f aca="false">IF(G1308&lt;Parametres!$B$8*Parametres!$B$7,0,MIN(G1308,Parametres!$B$7))</f>
        <v>77.82</v>
      </c>
      <c r="I1308" s="20" t="n">
        <f aca="false">G1308-H1308</f>
        <v>0</v>
      </c>
      <c r="J1308" s="21" t="n">
        <f aca="false">H1308*1000/Parametres!$B$9</f>
        <v>1319.65406138715</v>
      </c>
    </row>
    <row r="1309" customFormat="false" ht="15" hidden="false" customHeight="false" outlineLevel="0" collapsed="false">
      <c r="A1309" s="0" t="n">
        <v>1305</v>
      </c>
      <c r="B1309" s="0" t="n">
        <v>2</v>
      </c>
      <c r="C1309" s="19" t="n">
        <v>0.5264</v>
      </c>
      <c r="D1309" s="19" t="n">
        <v>0.0002</v>
      </c>
      <c r="E1309" s="20" t="n">
        <f aca="false">Parametres!$B$5*C1309</f>
        <v>157.92</v>
      </c>
      <c r="F1309" s="20" t="n">
        <f aca="false">Parametres!$B$6*D1309</f>
        <v>0.04</v>
      </c>
      <c r="G1309" s="20" t="n">
        <f aca="false">E1309+F1309</f>
        <v>157.96</v>
      </c>
      <c r="H1309" s="20" t="n">
        <f aca="false">IF(G1309&lt;Parametres!$B$8*Parametres!$B$7,0,MIN(G1309,Parametres!$B$7))</f>
        <v>157.96</v>
      </c>
      <c r="I1309" s="20" t="n">
        <f aca="false">G1309-H1309</f>
        <v>0</v>
      </c>
      <c r="J1309" s="21" t="n">
        <f aca="false">H1309*1000/Parametres!$B$9</f>
        <v>2678.65016109886</v>
      </c>
    </row>
    <row r="1310" customFormat="false" ht="15" hidden="false" customHeight="false" outlineLevel="0" collapsed="false">
      <c r="A1310" s="0" t="n">
        <v>1306</v>
      </c>
      <c r="B1310" s="0" t="n">
        <v>2</v>
      </c>
      <c r="C1310" s="19" t="n">
        <v>0.7601</v>
      </c>
      <c r="D1310" s="19" t="n">
        <v>0</v>
      </c>
      <c r="E1310" s="20" t="n">
        <f aca="false">Parametres!$B$5*C1310</f>
        <v>228.03</v>
      </c>
      <c r="F1310" s="20" t="n">
        <f aca="false">Parametres!$B$6*D1310</f>
        <v>0</v>
      </c>
      <c r="G1310" s="20" t="n">
        <f aca="false">E1310+F1310</f>
        <v>228.03</v>
      </c>
      <c r="H1310" s="20" t="n">
        <f aca="false">IF(G1310&lt;Parametres!$B$8*Parametres!$B$7,0,MIN(G1310,Parametres!$B$7))</f>
        <v>228.03</v>
      </c>
      <c r="I1310" s="20" t="n">
        <f aca="false">G1310-H1310</f>
        <v>0</v>
      </c>
      <c r="J1310" s="21" t="n">
        <f aca="false">H1310*1000/Parametres!$B$9</f>
        <v>3866.88146515177</v>
      </c>
    </row>
    <row r="1311" customFormat="false" ht="15" hidden="false" customHeight="false" outlineLevel="0" collapsed="false">
      <c r="A1311" s="0" t="n">
        <v>1307</v>
      </c>
      <c r="B1311" s="0" t="n">
        <v>2</v>
      </c>
      <c r="C1311" s="19" t="n">
        <v>1</v>
      </c>
      <c r="D1311" s="19" t="n">
        <v>0.0004</v>
      </c>
      <c r="E1311" s="20" t="n">
        <f aca="false">Parametres!$B$5*C1311</f>
        <v>300</v>
      </c>
      <c r="F1311" s="20" t="n">
        <f aca="false">Parametres!$B$6*D1311</f>
        <v>0.08</v>
      </c>
      <c r="G1311" s="20" t="n">
        <f aca="false">E1311+F1311</f>
        <v>300.08</v>
      </c>
      <c r="H1311" s="20" t="n">
        <f aca="false">IF(G1311&lt;Parametres!$B$8*Parametres!$B$7,0,MIN(G1311,Parametres!$B$7))</f>
        <v>250</v>
      </c>
      <c r="I1311" s="20" t="n">
        <f aca="false">G1311-H1311</f>
        <v>50.08</v>
      </c>
      <c r="J1311" s="21" t="n">
        <f aca="false">H1311*1000/Parametres!$B$9</f>
        <v>4239.44378497541</v>
      </c>
    </row>
    <row r="1312" customFormat="false" ht="15" hidden="false" customHeight="false" outlineLevel="0" collapsed="false">
      <c r="A1312" s="0" t="n">
        <v>1308</v>
      </c>
      <c r="B1312" s="0" t="n">
        <v>2</v>
      </c>
      <c r="C1312" s="19" t="n">
        <v>1</v>
      </c>
      <c r="D1312" s="19" t="n">
        <v>0</v>
      </c>
      <c r="E1312" s="20" t="n">
        <f aca="false">Parametres!$B$5*C1312</f>
        <v>300</v>
      </c>
      <c r="F1312" s="20" t="n">
        <f aca="false">Parametres!$B$6*D1312</f>
        <v>0</v>
      </c>
      <c r="G1312" s="20" t="n">
        <f aca="false">E1312+F1312</f>
        <v>300</v>
      </c>
      <c r="H1312" s="20" t="n">
        <f aca="false">IF(G1312&lt;Parametres!$B$8*Parametres!$B$7,0,MIN(G1312,Parametres!$B$7))</f>
        <v>250</v>
      </c>
      <c r="I1312" s="20" t="n">
        <f aca="false">G1312-H1312</f>
        <v>50</v>
      </c>
      <c r="J1312" s="21" t="n">
        <f aca="false">H1312*1000/Parametres!$B$9</f>
        <v>4239.44378497541</v>
      </c>
    </row>
    <row r="1313" customFormat="false" ht="15" hidden="false" customHeight="false" outlineLevel="0" collapsed="false">
      <c r="A1313" s="0" t="n">
        <v>1309</v>
      </c>
      <c r="B1313" s="0" t="n">
        <v>2</v>
      </c>
      <c r="C1313" s="19" t="n">
        <v>1</v>
      </c>
      <c r="D1313" s="19" t="n">
        <v>0.0001</v>
      </c>
      <c r="E1313" s="20" t="n">
        <f aca="false">Parametres!$B$5*C1313</f>
        <v>300</v>
      </c>
      <c r="F1313" s="20" t="n">
        <f aca="false">Parametres!$B$6*D1313</f>
        <v>0.02</v>
      </c>
      <c r="G1313" s="20" t="n">
        <f aca="false">E1313+F1313</f>
        <v>300.02</v>
      </c>
      <c r="H1313" s="20" t="n">
        <f aca="false">IF(G1313&lt;Parametres!$B$8*Parametres!$B$7,0,MIN(G1313,Parametres!$B$7))</f>
        <v>250</v>
      </c>
      <c r="I1313" s="20" t="n">
        <f aca="false">G1313-H1313</f>
        <v>50.02</v>
      </c>
      <c r="J1313" s="21" t="n">
        <f aca="false">H1313*1000/Parametres!$B$9</f>
        <v>4239.44378497541</v>
      </c>
    </row>
    <row r="1314" customFormat="false" ht="15" hidden="false" customHeight="false" outlineLevel="0" collapsed="false">
      <c r="A1314" s="0" t="n">
        <v>1310</v>
      </c>
      <c r="B1314" s="0" t="n">
        <v>2</v>
      </c>
      <c r="C1314" s="19" t="n">
        <v>1</v>
      </c>
      <c r="D1314" s="19" t="n">
        <v>0.0001</v>
      </c>
      <c r="E1314" s="20" t="n">
        <f aca="false">Parametres!$B$5*C1314</f>
        <v>300</v>
      </c>
      <c r="F1314" s="20" t="n">
        <f aca="false">Parametres!$B$6*D1314</f>
        <v>0.02</v>
      </c>
      <c r="G1314" s="20" t="n">
        <f aca="false">E1314+F1314</f>
        <v>300.02</v>
      </c>
      <c r="H1314" s="20" t="n">
        <f aca="false">IF(G1314&lt;Parametres!$B$8*Parametres!$B$7,0,MIN(G1314,Parametres!$B$7))</f>
        <v>250</v>
      </c>
      <c r="I1314" s="20" t="n">
        <f aca="false">G1314-H1314</f>
        <v>50.02</v>
      </c>
      <c r="J1314" s="21" t="n">
        <f aca="false">H1314*1000/Parametres!$B$9</f>
        <v>4239.44378497541</v>
      </c>
    </row>
    <row r="1315" customFormat="false" ht="15" hidden="false" customHeight="false" outlineLevel="0" collapsed="false">
      <c r="A1315" s="0" t="n">
        <v>1311</v>
      </c>
      <c r="B1315" s="0" t="n">
        <v>2</v>
      </c>
      <c r="C1315" s="19" t="n">
        <v>0.7965</v>
      </c>
      <c r="D1315" s="19" t="n">
        <v>0</v>
      </c>
      <c r="E1315" s="20" t="n">
        <f aca="false">Parametres!$B$5*C1315</f>
        <v>238.95</v>
      </c>
      <c r="F1315" s="20" t="n">
        <f aca="false">Parametres!$B$6*D1315</f>
        <v>0</v>
      </c>
      <c r="G1315" s="20" t="n">
        <f aca="false">E1315+F1315</f>
        <v>238.95</v>
      </c>
      <c r="H1315" s="20" t="n">
        <f aca="false">IF(G1315&lt;Parametres!$B$8*Parametres!$B$7,0,MIN(G1315,Parametres!$B$7))</f>
        <v>238.95</v>
      </c>
      <c r="I1315" s="20" t="n">
        <f aca="false">G1315-H1315</f>
        <v>0</v>
      </c>
      <c r="J1315" s="21" t="n">
        <f aca="false">H1315*1000/Parametres!$B$9</f>
        <v>4052.0603696795</v>
      </c>
    </row>
    <row r="1316" customFormat="false" ht="15" hidden="false" customHeight="false" outlineLevel="0" collapsed="false">
      <c r="A1316" s="0" t="n">
        <v>1312</v>
      </c>
      <c r="B1316" s="0" t="n">
        <v>2</v>
      </c>
      <c r="C1316" s="19" t="n">
        <v>0.5424</v>
      </c>
      <c r="D1316" s="19" t="n">
        <v>0.0006</v>
      </c>
      <c r="E1316" s="20" t="n">
        <f aca="false">Parametres!$B$5*C1316</f>
        <v>162.72</v>
      </c>
      <c r="F1316" s="20" t="n">
        <f aca="false">Parametres!$B$6*D1316</f>
        <v>0.12</v>
      </c>
      <c r="G1316" s="20" t="n">
        <f aca="false">E1316+F1316</f>
        <v>162.84</v>
      </c>
      <c r="H1316" s="20" t="n">
        <f aca="false">IF(G1316&lt;Parametres!$B$8*Parametres!$B$7,0,MIN(G1316,Parametres!$B$7))</f>
        <v>162.84</v>
      </c>
      <c r="I1316" s="20" t="n">
        <f aca="false">G1316-H1316</f>
        <v>0</v>
      </c>
      <c r="J1316" s="21" t="n">
        <f aca="false">H1316*1000/Parametres!$B$9</f>
        <v>2761.40410378158</v>
      </c>
    </row>
    <row r="1317" customFormat="false" ht="15" hidden="false" customHeight="false" outlineLevel="0" collapsed="false">
      <c r="A1317" s="0" t="n">
        <v>1313</v>
      </c>
      <c r="B1317" s="0" t="n">
        <v>2</v>
      </c>
      <c r="C1317" s="19" t="n">
        <v>0.2777</v>
      </c>
      <c r="D1317" s="19" t="n">
        <v>0.0003</v>
      </c>
      <c r="E1317" s="20" t="n">
        <f aca="false">Parametres!$B$5*C1317</f>
        <v>83.31</v>
      </c>
      <c r="F1317" s="20" t="n">
        <f aca="false">Parametres!$B$6*D1317</f>
        <v>0.06</v>
      </c>
      <c r="G1317" s="20" t="n">
        <f aca="false">E1317+F1317</f>
        <v>83.37</v>
      </c>
      <c r="H1317" s="20" t="n">
        <f aca="false">IF(G1317&lt;Parametres!$B$8*Parametres!$B$7,0,MIN(G1317,Parametres!$B$7))</f>
        <v>83.37</v>
      </c>
      <c r="I1317" s="20" t="n">
        <f aca="false">G1317-H1317</f>
        <v>0</v>
      </c>
      <c r="J1317" s="21" t="n">
        <f aca="false">H1317*1000/Parametres!$B$9</f>
        <v>1413.7697134136</v>
      </c>
    </row>
    <row r="1318" customFormat="false" ht="15" hidden="false" customHeight="false" outlineLevel="0" collapsed="false">
      <c r="A1318" s="0" t="n">
        <v>1314</v>
      </c>
      <c r="B1318" s="0" t="n">
        <v>2</v>
      </c>
      <c r="C1318" s="19" t="n">
        <v>0.0218</v>
      </c>
      <c r="D1318" s="19" t="n">
        <v>0.0038</v>
      </c>
      <c r="E1318" s="20" t="n">
        <f aca="false">Parametres!$B$5*C1318</f>
        <v>6.54</v>
      </c>
      <c r="F1318" s="20" t="n">
        <f aca="false">Parametres!$B$6*D1318</f>
        <v>0.76</v>
      </c>
      <c r="G1318" s="20" t="n">
        <f aca="false">E1318+F1318</f>
        <v>7.3</v>
      </c>
      <c r="H1318" s="20" t="n">
        <f aca="false">IF(G1318&lt;Parametres!$B$8*Parametres!$B$7,0,MIN(G1318,Parametres!$B$7))</f>
        <v>0</v>
      </c>
      <c r="I1318" s="20" t="n">
        <f aca="false">G1318-H1318</f>
        <v>7.3</v>
      </c>
      <c r="J1318" s="21" t="n">
        <f aca="false">H1318*1000/Parametres!$B$9</f>
        <v>0</v>
      </c>
    </row>
    <row r="1319" customFormat="false" ht="15" hidden="false" customHeight="false" outlineLevel="0" collapsed="false">
      <c r="A1319" s="0" t="n">
        <v>1315</v>
      </c>
      <c r="B1319" s="0" t="n">
        <v>2</v>
      </c>
      <c r="C1319" s="19" t="n">
        <v>0</v>
      </c>
      <c r="D1319" s="19" t="n">
        <v>0.0007</v>
      </c>
      <c r="E1319" s="20" t="n">
        <f aca="false">Parametres!$B$5*C1319</f>
        <v>0</v>
      </c>
      <c r="F1319" s="20" t="n">
        <f aca="false">Parametres!$B$6*D1319</f>
        <v>0.14</v>
      </c>
      <c r="G1319" s="20" t="n">
        <f aca="false">E1319+F1319</f>
        <v>0.14</v>
      </c>
      <c r="H1319" s="20" t="n">
        <f aca="false">IF(G1319&lt;Parametres!$B$8*Parametres!$B$7,0,MIN(G1319,Parametres!$B$7))</f>
        <v>0</v>
      </c>
      <c r="I1319" s="20" t="n">
        <f aca="false">G1319-H1319</f>
        <v>0.14</v>
      </c>
      <c r="J1319" s="21" t="n">
        <f aca="false">H1319*1000/Parametres!$B$9</f>
        <v>0</v>
      </c>
    </row>
    <row r="1320" customFormat="false" ht="15" hidden="false" customHeight="false" outlineLevel="0" collapsed="false">
      <c r="A1320" s="0" t="n">
        <v>1316</v>
      </c>
      <c r="B1320" s="0" t="n">
        <v>2</v>
      </c>
      <c r="C1320" s="19" t="n">
        <v>0</v>
      </c>
      <c r="D1320" s="19" t="n">
        <v>0.0001</v>
      </c>
      <c r="E1320" s="20" t="n">
        <f aca="false">Parametres!$B$5*C1320</f>
        <v>0</v>
      </c>
      <c r="F1320" s="20" t="n">
        <f aca="false">Parametres!$B$6*D1320</f>
        <v>0.02</v>
      </c>
      <c r="G1320" s="20" t="n">
        <f aca="false">E1320+F1320</f>
        <v>0.02</v>
      </c>
      <c r="H1320" s="20" t="n">
        <f aca="false">IF(G1320&lt;Parametres!$B$8*Parametres!$B$7,0,MIN(G1320,Parametres!$B$7))</f>
        <v>0</v>
      </c>
      <c r="I1320" s="20" t="n">
        <f aca="false">G1320-H1320</f>
        <v>0.02</v>
      </c>
      <c r="J1320" s="21" t="n">
        <f aca="false">H1320*1000/Parametres!$B$9</f>
        <v>0</v>
      </c>
    </row>
    <row r="1321" customFormat="false" ht="15" hidden="false" customHeight="false" outlineLevel="0" collapsed="false">
      <c r="A1321" s="0" t="n">
        <v>1317</v>
      </c>
      <c r="B1321" s="0" t="n">
        <v>2</v>
      </c>
      <c r="C1321" s="19" t="n">
        <v>0</v>
      </c>
      <c r="D1321" s="19" t="n">
        <v>0</v>
      </c>
      <c r="E1321" s="20" t="n">
        <f aca="false">Parametres!$B$5*C1321</f>
        <v>0</v>
      </c>
      <c r="F1321" s="20" t="n">
        <f aca="false">Parametres!$B$6*D1321</f>
        <v>0</v>
      </c>
      <c r="G1321" s="20" t="n">
        <f aca="false">E1321+F1321</f>
        <v>0</v>
      </c>
      <c r="H1321" s="20" t="n">
        <f aca="false">IF(G1321&lt;Parametres!$B$8*Parametres!$B$7,0,MIN(G1321,Parametres!$B$7))</f>
        <v>0</v>
      </c>
      <c r="I1321" s="20" t="n">
        <f aca="false">G1321-H1321</f>
        <v>0</v>
      </c>
      <c r="J1321" s="21" t="n">
        <f aca="false">H1321*1000/Parametres!$B$9</f>
        <v>0</v>
      </c>
    </row>
    <row r="1322" customFormat="false" ht="15" hidden="false" customHeight="false" outlineLevel="0" collapsed="false">
      <c r="A1322" s="0" t="n">
        <v>1318</v>
      </c>
      <c r="B1322" s="0" t="n">
        <v>2</v>
      </c>
      <c r="C1322" s="19" t="n">
        <v>0</v>
      </c>
      <c r="D1322" s="19" t="n">
        <v>0</v>
      </c>
      <c r="E1322" s="20" t="n">
        <f aca="false">Parametres!$B$5*C1322</f>
        <v>0</v>
      </c>
      <c r="F1322" s="20" t="n">
        <f aca="false">Parametres!$B$6*D1322</f>
        <v>0</v>
      </c>
      <c r="G1322" s="20" t="n">
        <f aca="false">E1322+F1322</f>
        <v>0</v>
      </c>
      <c r="H1322" s="20" t="n">
        <f aca="false">IF(G1322&lt;Parametres!$B$8*Parametres!$B$7,0,MIN(G1322,Parametres!$B$7))</f>
        <v>0</v>
      </c>
      <c r="I1322" s="20" t="n">
        <f aca="false">G1322-H1322</f>
        <v>0</v>
      </c>
      <c r="J1322" s="21" t="n">
        <f aca="false">H1322*1000/Parametres!$B$9</f>
        <v>0</v>
      </c>
    </row>
    <row r="1323" customFormat="false" ht="15" hidden="false" customHeight="false" outlineLevel="0" collapsed="false">
      <c r="A1323" s="0" t="n">
        <v>1319</v>
      </c>
      <c r="B1323" s="0" t="n">
        <v>2</v>
      </c>
      <c r="C1323" s="19" t="n">
        <v>0</v>
      </c>
      <c r="D1323" s="19" t="n">
        <v>0</v>
      </c>
      <c r="E1323" s="20" t="n">
        <f aca="false">Parametres!$B$5*C1323</f>
        <v>0</v>
      </c>
      <c r="F1323" s="20" t="n">
        <f aca="false">Parametres!$B$6*D1323</f>
        <v>0</v>
      </c>
      <c r="G1323" s="20" t="n">
        <f aca="false">E1323+F1323</f>
        <v>0</v>
      </c>
      <c r="H1323" s="20" t="n">
        <f aca="false">IF(G1323&lt;Parametres!$B$8*Parametres!$B$7,0,MIN(G1323,Parametres!$B$7))</f>
        <v>0</v>
      </c>
      <c r="I1323" s="20" t="n">
        <f aca="false">G1323-H1323</f>
        <v>0</v>
      </c>
      <c r="J1323" s="21" t="n">
        <f aca="false">H1323*1000/Parametres!$B$9</f>
        <v>0</v>
      </c>
    </row>
    <row r="1324" customFormat="false" ht="15" hidden="false" customHeight="false" outlineLevel="0" collapsed="false">
      <c r="A1324" s="0" t="n">
        <v>1320</v>
      </c>
      <c r="B1324" s="0" t="n">
        <v>2</v>
      </c>
      <c r="C1324" s="19" t="n">
        <v>0</v>
      </c>
      <c r="D1324" s="19" t="n">
        <v>0</v>
      </c>
      <c r="E1324" s="20" t="n">
        <f aca="false">Parametres!$B$5*C1324</f>
        <v>0</v>
      </c>
      <c r="F1324" s="20" t="n">
        <f aca="false">Parametres!$B$6*D1324</f>
        <v>0</v>
      </c>
      <c r="G1324" s="20" t="n">
        <f aca="false">E1324+F1324</f>
        <v>0</v>
      </c>
      <c r="H1324" s="20" t="n">
        <f aca="false">IF(G1324&lt;Parametres!$B$8*Parametres!$B$7,0,MIN(G1324,Parametres!$B$7))</f>
        <v>0</v>
      </c>
      <c r="I1324" s="20" t="n">
        <f aca="false">G1324-H1324</f>
        <v>0</v>
      </c>
      <c r="J1324" s="21" t="n">
        <f aca="false">H1324*1000/Parametres!$B$9</f>
        <v>0</v>
      </c>
    </row>
    <row r="1325" customFormat="false" ht="15" hidden="false" customHeight="false" outlineLevel="0" collapsed="false">
      <c r="A1325" s="0" t="n">
        <v>1321</v>
      </c>
      <c r="B1325" s="0" t="n">
        <v>2</v>
      </c>
      <c r="C1325" s="19" t="n">
        <v>0</v>
      </c>
      <c r="D1325" s="19" t="n">
        <v>0</v>
      </c>
      <c r="E1325" s="20" t="n">
        <f aca="false">Parametres!$B$5*C1325</f>
        <v>0</v>
      </c>
      <c r="F1325" s="20" t="n">
        <f aca="false">Parametres!$B$6*D1325</f>
        <v>0</v>
      </c>
      <c r="G1325" s="20" t="n">
        <f aca="false">E1325+F1325</f>
        <v>0</v>
      </c>
      <c r="H1325" s="20" t="n">
        <f aca="false">IF(G1325&lt;Parametres!$B$8*Parametres!$B$7,0,MIN(G1325,Parametres!$B$7))</f>
        <v>0</v>
      </c>
      <c r="I1325" s="20" t="n">
        <f aca="false">G1325-H1325</f>
        <v>0</v>
      </c>
      <c r="J1325" s="21" t="n">
        <f aca="false">H1325*1000/Parametres!$B$9</f>
        <v>0</v>
      </c>
    </row>
    <row r="1326" customFormat="false" ht="15" hidden="false" customHeight="false" outlineLevel="0" collapsed="false">
      <c r="A1326" s="0" t="n">
        <v>1322</v>
      </c>
      <c r="B1326" s="0" t="n">
        <v>2</v>
      </c>
      <c r="C1326" s="19" t="n">
        <v>0</v>
      </c>
      <c r="D1326" s="19" t="n">
        <v>0</v>
      </c>
      <c r="E1326" s="20" t="n">
        <f aca="false">Parametres!$B$5*C1326</f>
        <v>0</v>
      </c>
      <c r="F1326" s="20" t="n">
        <f aca="false">Parametres!$B$6*D1326</f>
        <v>0</v>
      </c>
      <c r="G1326" s="20" t="n">
        <f aca="false">E1326+F1326</f>
        <v>0</v>
      </c>
      <c r="H1326" s="20" t="n">
        <f aca="false">IF(G1326&lt;Parametres!$B$8*Parametres!$B$7,0,MIN(G1326,Parametres!$B$7))</f>
        <v>0</v>
      </c>
      <c r="I1326" s="20" t="n">
        <f aca="false">G1326-H1326</f>
        <v>0</v>
      </c>
      <c r="J1326" s="21" t="n">
        <f aca="false">H1326*1000/Parametres!$B$9</f>
        <v>0</v>
      </c>
    </row>
    <row r="1327" customFormat="false" ht="15" hidden="false" customHeight="false" outlineLevel="0" collapsed="false">
      <c r="A1327" s="0" t="n">
        <v>1323</v>
      </c>
      <c r="B1327" s="0" t="n">
        <v>2</v>
      </c>
      <c r="C1327" s="19" t="n">
        <v>0</v>
      </c>
      <c r="D1327" s="19" t="n">
        <v>0.0001</v>
      </c>
      <c r="E1327" s="20" t="n">
        <f aca="false">Parametres!$B$5*C1327</f>
        <v>0</v>
      </c>
      <c r="F1327" s="20" t="n">
        <f aca="false">Parametres!$B$6*D1327</f>
        <v>0.02</v>
      </c>
      <c r="G1327" s="20" t="n">
        <f aca="false">E1327+F1327</f>
        <v>0.02</v>
      </c>
      <c r="H1327" s="20" t="n">
        <f aca="false">IF(G1327&lt;Parametres!$B$8*Parametres!$B$7,0,MIN(G1327,Parametres!$B$7))</f>
        <v>0</v>
      </c>
      <c r="I1327" s="20" t="n">
        <f aca="false">G1327-H1327</f>
        <v>0.02</v>
      </c>
      <c r="J1327" s="21" t="n">
        <f aca="false">H1327*1000/Parametres!$B$9</f>
        <v>0</v>
      </c>
    </row>
    <row r="1328" customFormat="false" ht="15" hidden="false" customHeight="false" outlineLevel="0" collapsed="false">
      <c r="A1328" s="0" t="n">
        <v>1324</v>
      </c>
      <c r="B1328" s="0" t="n">
        <v>2</v>
      </c>
      <c r="C1328" s="19" t="n">
        <v>0</v>
      </c>
      <c r="D1328" s="19" t="n">
        <v>0.0005</v>
      </c>
      <c r="E1328" s="20" t="n">
        <f aca="false">Parametres!$B$5*C1328</f>
        <v>0</v>
      </c>
      <c r="F1328" s="20" t="n">
        <f aca="false">Parametres!$B$6*D1328</f>
        <v>0.1</v>
      </c>
      <c r="G1328" s="20" t="n">
        <f aca="false">E1328+F1328</f>
        <v>0.1</v>
      </c>
      <c r="H1328" s="20" t="n">
        <f aca="false">IF(G1328&lt;Parametres!$B$8*Parametres!$B$7,0,MIN(G1328,Parametres!$B$7))</f>
        <v>0</v>
      </c>
      <c r="I1328" s="20" t="n">
        <f aca="false">G1328-H1328</f>
        <v>0.1</v>
      </c>
      <c r="J1328" s="21" t="n">
        <f aca="false">H1328*1000/Parametres!$B$9</f>
        <v>0</v>
      </c>
    </row>
    <row r="1329" customFormat="false" ht="15" hidden="false" customHeight="false" outlineLevel="0" collapsed="false">
      <c r="A1329" s="0" t="n">
        <v>1325</v>
      </c>
      <c r="B1329" s="0" t="n">
        <v>2</v>
      </c>
      <c r="C1329" s="19" t="n">
        <v>0</v>
      </c>
      <c r="D1329" s="19" t="n">
        <v>0</v>
      </c>
      <c r="E1329" s="20" t="n">
        <f aca="false">Parametres!$B$5*C1329</f>
        <v>0</v>
      </c>
      <c r="F1329" s="20" t="n">
        <f aca="false">Parametres!$B$6*D1329</f>
        <v>0</v>
      </c>
      <c r="G1329" s="20" t="n">
        <f aca="false">E1329+F1329</f>
        <v>0</v>
      </c>
      <c r="H1329" s="20" t="n">
        <f aca="false">IF(G1329&lt;Parametres!$B$8*Parametres!$B$7,0,MIN(G1329,Parametres!$B$7))</f>
        <v>0</v>
      </c>
      <c r="I1329" s="20" t="n">
        <f aca="false">G1329-H1329</f>
        <v>0</v>
      </c>
      <c r="J1329" s="21" t="n">
        <f aca="false">H1329*1000/Parametres!$B$9</f>
        <v>0</v>
      </c>
    </row>
    <row r="1330" customFormat="false" ht="15" hidden="false" customHeight="false" outlineLevel="0" collapsed="false">
      <c r="A1330" s="0" t="n">
        <v>1326</v>
      </c>
      <c r="B1330" s="0" t="n">
        <v>2</v>
      </c>
      <c r="C1330" s="19" t="n">
        <v>0</v>
      </c>
      <c r="D1330" s="19" t="n">
        <v>0</v>
      </c>
      <c r="E1330" s="20" t="n">
        <f aca="false">Parametres!$B$5*C1330</f>
        <v>0</v>
      </c>
      <c r="F1330" s="20" t="n">
        <f aca="false">Parametres!$B$6*D1330</f>
        <v>0</v>
      </c>
      <c r="G1330" s="20" t="n">
        <f aca="false">E1330+F1330</f>
        <v>0</v>
      </c>
      <c r="H1330" s="20" t="n">
        <f aca="false">IF(G1330&lt;Parametres!$B$8*Parametres!$B$7,0,MIN(G1330,Parametres!$B$7))</f>
        <v>0</v>
      </c>
      <c r="I1330" s="20" t="n">
        <f aca="false">G1330-H1330</f>
        <v>0</v>
      </c>
      <c r="J1330" s="21" t="n">
        <f aca="false">H1330*1000/Parametres!$B$9</f>
        <v>0</v>
      </c>
    </row>
    <row r="1331" customFormat="false" ht="15" hidden="false" customHeight="false" outlineLevel="0" collapsed="false">
      <c r="A1331" s="0" t="n">
        <v>1327</v>
      </c>
      <c r="B1331" s="0" t="n">
        <v>2</v>
      </c>
      <c r="C1331" s="19" t="n">
        <v>0.0194</v>
      </c>
      <c r="D1331" s="19" t="n">
        <v>0</v>
      </c>
      <c r="E1331" s="20" t="n">
        <f aca="false">Parametres!$B$5*C1331</f>
        <v>5.82</v>
      </c>
      <c r="F1331" s="20" t="n">
        <f aca="false">Parametres!$B$6*D1331</f>
        <v>0</v>
      </c>
      <c r="G1331" s="20" t="n">
        <f aca="false">E1331+F1331</f>
        <v>5.82</v>
      </c>
      <c r="H1331" s="20" t="n">
        <f aca="false">IF(G1331&lt;Parametres!$B$8*Parametres!$B$7,0,MIN(G1331,Parametres!$B$7))</f>
        <v>0</v>
      </c>
      <c r="I1331" s="20" t="n">
        <f aca="false">G1331-H1331</f>
        <v>5.82</v>
      </c>
      <c r="J1331" s="21" t="n">
        <f aca="false">H1331*1000/Parametres!$B$9</f>
        <v>0</v>
      </c>
    </row>
    <row r="1332" customFormat="false" ht="15" hidden="false" customHeight="false" outlineLevel="0" collapsed="false">
      <c r="A1332" s="0" t="n">
        <v>1328</v>
      </c>
      <c r="B1332" s="0" t="n">
        <v>2</v>
      </c>
      <c r="C1332" s="19" t="n">
        <v>0.2086</v>
      </c>
      <c r="D1332" s="19" t="n">
        <v>0</v>
      </c>
      <c r="E1332" s="20" t="n">
        <f aca="false">Parametres!$B$5*C1332</f>
        <v>62.58</v>
      </c>
      <c r="F1332" s="20" t="n">
        <f aca="false">Parametres!$B$6*D1332</f>
        <v>0</v>
      </c>
      <c r="G1332" s="20" t="n">
        <f aca="false">E1332+F1332</f>
        <v>62.58</v>
      </c>
      <c r="H1332" s="20" t="n">
        <f aca="false">IF(G1332&lt;Parametres!$B$8*Parametres!$B$7,0,MIN(G1332,Parametres!$B$7))</f>
        <v>62.58</v>
      </c>
      <c r="I1332" s="20" t="n">
        <f aca="false">G1332-H1332</f>
        <v>0</v>
      </c>
      <c r="J1332" s="21" t="n">
        <f aca="false">H1332*1000/Parametres!$B$9</f>
        <v>1061.21756825505</v>
      </c>
    </row>
    <row r="1333" customFormat="false" ht="15" hidden="false" customHeight="false" outlineLevel="0" collapsed="false">
      <c r="A1333" s="0" t="n">
        <v>1329</v>
      </c>
      <c r="B1333" s="0" t="n">
        <v>2</v>
      </c>
      <c r="C1333" s="19" t="n">
        <v>0.4383</v>
      </c>
      <c r="D1333" s="19" t="n">
        <v>0.0002</v>
      </c>
      <c r="E1333" s="20" t="n">
        <f aca="false">Parametres!$B$5*C1333</f>
        <v>131.49</v>
      </c>
      <c r="F1333" s="20" t="n">
        <f aca="false">Parametres!$B$6*D1333</f>
        <v>0.04</v>
      </c>
      <c r="G1333" s="20" t="n">
        <f aca="false">E1333+F1333</f>
        <v>131.53</v>
      </c>
      <c r="H1333" s="20" t="n">
        <f aca="false">IF(G1333&lt;Parametres!$B$8*Parametres!$B$7,0,MIN(G1333,Parametres!$B$7))</f>
        <v>131.53</v>
      </c>
      <c r="I1333" s="20" t="n">
        <f aca="false">G1333-H1333</f>
        <v>0</v>
      </c>
      <c r="J1333" s="21" t="n">
        <f aca="false">H1333*1000/Parametres!$B$9</f>
        <v>2230.45616415126</v>
      </c>
    </row>
    <row r="1334" customFormat="false" ht="15" hidden="false" customHeight="false" outlineLevel="0" collapsed="false">
      <c r="A1334" s="0" t="n">
        <v>1330</v>
      </c>
      <c r="B1334" s="0" t="n">
        <v>2</v>
      </c>
      <c r="C1334" s="19" t="n">
        <v>0.6088</v>
      </c>
      <c r="D1334" s="19" t="n">
        <v>0.0036</v>
      </c>
      <c r="E1334" s="20" t="n">
        <f aca="false">Parametres!$B$5*C1334</f>
        <v>182.64</v>
      </c>
      <c r="F1334" s="20" t="n">
        <f aca="false">Parametres!$B$6*D1334</f>
        <v>0.72</v>
      </c>
      <c r="G1334" s="20" t="n">
        <f aca="false">E1334+F1334</f>
        <v>183.36</v>
      </c>
      <c r="H1334" s="20" t="n">
        <f aca="false">IF(G1334&lt;Parametres!$B$8*Parametres!$B$7,0,MIN(G1334,Parametres!$B$7))</f>
        <v>183.36</v>
      </c>
      <c r="I1334" s="20" t="n">
        <f aca="false">G1334-H1334</f>
        <v>0</v>
      </c>
      <c r="J1334" s="21" t="n">
        <f aca="false">H1334*1000/Parametres!$B$9</f>
        <v>3109.37764965237</v>
      </c>
    </row>
    <row r="1335" customFormat="false" ht="15" hidden="false" customHeight="false" outlineLevel="0" collapsed="false">
      <c r="A1335" s="0" t="n">
        <v>1331</v>
      </c>
      <c r="B1335" s="0" t="n">
        <v>2</v>
      </c>
      <c r="C1335" s="19" t="n">
        <v>0.7234</v>
      </c>
      <c r="D1335" s="19" t="n">
        <v>0.0046</v>
      </c>
      <c r="E1335" s="20" t="n">
        <f aca="false">Parametres!$B$5*C1335</f>
        <v>217.02</v>
      </c>
      <c r="F1335" s="20" t="n">
        <f aca="false">Parametres!$B$6*D1335</f>
        <v>0.92</v>
      </c>
      <c r="G1335" s="20" t="n">
        <f aca="false">E1335+F1335</f>
        <v>217.94</v>
      </c>
      <c r="H1335" s="20" t="n">
        <f aca="false">IF(G1335&lt;Parametres!$B$8*Parametres!$B$7,0,MIN(G1335,Parametres!$B$7))</f>
        <v>217.94</v>
      </c>
      <c r="I1335" s="20" t="n">
        <f aca="false">G1335-H1335</f>
        <v>0</v>
      </c>
      <c r="J1335" s="21" t="n">
        <f aca="false">H1335*1000/Parametres!$B$9</f>
        <v>3695.77751399016</v>
      </c>
    </row>
    <row r="1336" customFormat="false" ht="15" hidden="false" customHeight="false" outlineLevel="0" collapsed="false">
      <c r="A1336" s="0" t="n">
        <v>1332</v>
      </c>
      <c r="B1336" s="0" t="n">
        <v>2</v>
      </c>
      <c r="C1336" s="19" t="n">
        <v>0.7518</v>
      </c>
      <c r="D1336" s="19" t="n">
        <v>0.0031</v>
      </c>
      <c r="E1336" s="20" t="n">
        <f aca="false">Parametres!$B$5*C1336</f>
        <v>225.54</v>
      </c>
      <c r="F1336" s="20" t="n">
        <f aca="false">Parametres!$B$6*D1336</f>
        <v>0.62</v>
      </c>
      <c r="G1336" s="20" t="n">
        <f aca="false">E1336+F1336</f>
        <v>226.16</v>
      </c>
      <c r="H1336" s="20" t="n">
        <f aca="false">IF(G1336&lt;Parametres!$B$8*Parametres!$B$7,0,MIN(G1336,Parametres!$B$7))</f>
        <v>226.16</v>
      </c>
      <c r="I1336" s="20" t="n">
        <f aca="false">G1336-H1336</f>
        <v>0</v>
      </c>
      <c r="J1336" s="21" t="n">
        <f aca="false">H1336*1000/Parametres!$B$9</f>
        <v>3835.17042564016</v>
      </c>
    </row>
    <row r="1337" customFormat="false" ht="15" hidden="false" customHeight="false" outlineLevel="0" collapsed="false">
      <c r="A1337" s="0" t="n">
        <v>1333</v>
      </c>
      <c r="B1337" s="0" t="n">
        <v>2</v>
      </c>
      <c r="C1337" s="19" t="n">
        <v>0.7618</v>
      </c>
      <c r="D1337" s="19" t="n">
        <v>0.0004</v>
      </c>
      <c r="E1337" s="20" t="n">
        <f aca="false">Parametres!$B$5*C1337</f>
        <v>228.54</v>
      </c>
      <c r="F1337" s="20" t="n">
        <f aca="false">Parametres!$B$6*D1337</f>
        <v>0.08</v>
      </c>
      <c r="G1337" s="20" t="n">
        <f aca="false">E1337+F1337</f>
        <v>228.62</v>
      </c>
      <c r="H1337" s="20" t="n">
        <f aca="false">IF(G1337&lt;Parametres!$B$8*Parametres!$B$7,0,MIN(G1337,Parametres!$B$7))</f>
        <v>228.62</v>
      </c>
      <c r="I1337" s="20" t="n">
        <f aca="false">G1337-H1337</f>
        <v>0</v>
      </c>
      <c r="J1337" s="21" t="n">
        <f aca="false">H1337*1000/Parametres!$B$9</f>
        <v>3876.88655248431</v>
      </c>
    </row>
    <row r="1338" customFormat="false" ht="15" hidden="false" customHeight="false" outlineLevel="0" collapsed="false">
      <c r="A1338" s="0" t="n">
        <v>1334</v>
      </c>
      <c r="B1338" s="0" t="n">
        <v>2</v>
      </c>
      <c r="C1338" s="19" t="n">
        <v>0.7061</v>
      </c>
      <c r="D1338" s="19" t="n">
        <v>0.0017</v>
      </c>
      <c r="E1338" s="20" t="n">
        <f aca="false">Parametres!$B$5*C1338</f>
        <v>211.83</v>
      </c>
      <c r="F1338" s="20" t="n">
        <f aca="false">Parametres!$B$6*D1338</f>
        <v>0.34</v>
      </c>
      <c r="G1338" s="20" t="n">
        <f aca="false">E1338+F1338</f>
        <v>212.17</v>
      </c>
      <c r="H1338" s="20" t="n">
        <f aca="false">IF(G1338&lt;Parametres!$B$8*Parametres!$B$7,0,MIN(G1338,Parametres!$B$7))</f>
        <v>212.17</v>
      </c>
      <c r="I1338" s="20" t="n">
        <f aca="false">G1338-H1338</f>
        <v>0</v>
      </c>
      <c r="J1338" s="21" t="n">
        <f aca="false">H1338*1000/Parametres!$B$9</f>
        <v>3597.93115143293</v>
      </c>
    </row>
    <row r="1339" customFormat="false" ht="15" hidden="false" customHeight="false" outlineLevel="0" collapsed="false">
      <c r="A1339" s="0" t="n">
        <v>1335</v>
      </c>
      <c r="B1339" s="0" t="n">
        <v>2</v>
      </c>
      <c r="C1339" s="19" t="n">
        <v>0.6145</v>
      </c>
      <c r="D1339" s="19" t="n">
        <v>0.0006</v>
      </c>
      <c r="E1339" s="20" t="n">
        <f aca="false">Parametres!$B$5*C1339</f>
        <v>184.35</v>
      </c>
      <c r="F1339" s="20" t="n">
        <f aca="false">Parametres!$B$6*D1339</f>
        <v>0.12</v>
      </c>
      <c r="G1339" s="20" t="n">
        <f aca="false">E1339+F1339</f>
        <v>184.47</v>
      </c>
      <c r="H1339" s="20" t="n">
        <f aca="false">IF(G1339&lt;Parametres!$B$8*Parametres!$B$7,0,MIN(G1339,Parametres!$B$7))</f>
        <v>184.47</v>
      </c>
      <c r="I1339" s="20" t="n">
        <f aca="false">G1339-H1339</f>
        <v>0</v>
      </c>
      <c r="J1339" s="21" t="n">
        <f aca="false">H1339*1000/Parametres!$B$9</f>
        <v>3128.20078005766</v>
      </c>
    </row>
    <row r="1340" customFormat="false" ht="15" hidden="false" customHeight="false" outlineLevel="0" collapsed="false">
      <c r="A1340" s="0" t="n">
        <v>1336</v>
      </c>
      <c r="B1340" s="0" t="n">
        <v>2</v>
      </c>
      <c r="C1340" s="19" t="n">
        <v>0.4033</v>
      </c>
      <c r="D1340" s="19" t="n">
        <v>0.0003</v>
      </c>
      <c r="E1340" s="20" t="n">
        <f aca="false">Parametres!$B$5*C1340</f>
        <v>120.99</v>
      </c>
      <c r="F1340" s="20" t="n">
        <f aca="false">Parametres!$B$6*D1340</f>
        <v>0.06</v>
      </c>
      <c r="G1340" s="20" t="n">
        <f aca="false">E1340+F1340</f>
        <v>121.05</v>
      </c>
      <c r="H1340" s="20" t="n">
        <f aca="false">IF(G1340&lt;Parametres!$B$8*Parametres!$B$7,0,MIN(G1340,Parametres!$B$7))</f>
        <v>121.05</v>
      </c>
      <c r="I1340" s="20" t="n">
        <f aca="false">G1340-H1340</f>
        <v>0</v>
      </c>
      <c r="J1340" s="21" t="n">
        <f aca="false">H1340*1000/Parametres!$B$9</f>
        <v>2052.73868068509</v>
      </c>
    </row>
    <row r="1341" customFormat="false" ht="15" hidden="false" customHeight="false" outlineLevel="0" collapsed="false">
      <c r="A1341" s="0" t="n">
        <v>1337</v>
      </c>
      <c r="B1341" s="0" t="n">
        <v>2</v>
      </c>
      <c r="C1341" s="19" t="n">
        <v>0.1996</v>
      </c>
      <c r="D1341" s="19" t="n">
        <v>0</v>
      </c>
      <c r="E1341" s="20" t="n">
        <f aca="false">Parametres!$B$5*C1341</f>
        <v>59.88</v>
      </c>
      <c r="F1341" s="20" t="n">
        <f aca="false">Parametres!$B$6*D1341</f>
        <v>0</v>
      </c>
      <c r="G1341" s="20" t="n">
        <f aca="false">E1341+F1341</f>
        <v>59.88</v>
      </c>
      <c r="H1341" s="20" t="n">
        <f aca="false">IF(G1341&lt;Parametres!$B$8*Parametres!$B$7,0,MIN(G1341,Parametres!$B$7))</f>
        <v>59.88</v>
      </c>
      <c r="I1341" s="20" t="n">
        <f aca="false">G1341-H1341</f>
        <v>0</v>
      </c>
      <c r="J1341" s="21" t="n">
        <f aca="false">H1341*1000/Parametres!$B$9</f>
        <v>1015.43157537731</v>
      </c>
    </row>
    <row r="1342" customFormat="false" ht="15" hidden="false" customHeight="false" outlineLevel="0" collapsed="false">
      <c r="A1342" s="0" t="n">
        <v>1338</v>
      </c>
      <c r="B1342" s="0" t="n">
        <v>2</v>
      </c>
      <c r="C1342" s="19" t="n">
        <v>0.0184</v>
      </c>
      <c r="D1342" s="19" t="n">
        <v>0</v>
      </c>
      <c r="E1342" s="20" t="n">
        <f aca="false">Parametres!$B$5*C1342</f>
        <v>5.52</v>
      </c>
      <c r="F1342" s="20" t="n">
        <f aca="false">Parametres!$B$6*D1342</f>
        <v>0</v>
      </c>
      <c r="G1342" s="20" t="n">
        <f aca="false">E1342+F1342</f>
        <v>5.52</v>
      </c>
      <c r="H1342" s="20" t="n">
        <f aca="false">IF(G1342&lt;Parametres!$B$8*Parametres!$B$7,0,MIN(G1342,Parametres!$B$7))</f>
        <v>0</v>
      </c>
      <c r="I1342" s="20" t="n">
        <f aca="false">G1342-H1342</f>
        <v>5.52</v>
      </c>
      <c r="J1342" s="21" t="n">
        <f aca="false">H1342*1000/Parametres!$B$9</f>
        <v>0</v>
      </c>
    </row>
    <row r="1343" customFormat="false" ht="15" hidden="false" customHeight="false" outlineLevel="0" collapsed="false">
      <c r="A1343" s="0" t="n">
        <v>1339</v>
      </c>
      <c r="B1343" s="0" t="n">
        <v>2</v>
      </c>
      <c r="C1343" s="19" t="n">
        <v>0</v>
      </c>
      <c r="D1343" s="19" t="n">
        <v>0.0004</v>
      </c>
      <c r="E1343" s="20" t="n">
        <f aca="false">Parametres!$B$5*C1343</f>
        <v>0</v>
      </c>
      <c r="F1343" s="20" t="n">
        <f aca="false">Parametres!$B$6*D1343</f>
        <v>0.08</v>
      </c>
      <c r="G1343" s="20" t="n">
        <f aca="false">E1343+F1343</f>
        <v>0.08</v>
      </c>
      <c r="H1343" s="20" t="n">
        <f aca="false">IF(G1343&lt;Parametres!$B$8*Parametres!$B$7,0,MIN(G1343,Parametres!$B$7))</f>
        <v>0</v>
      </c>
      <c r="I1343" s="20" t="n">
        <f aca="false">G1343-H1343</f>
        <v>0.08</v>
      </c>
      <c r="J1343" s="21" t="n">
        <f aca="false">H1343*1000/Parametres!$B$9</f>
        <v>0</v>
      </c>
    </row>
    <row r="1344" customFormat="false" ht="15" hidden="false" customHeight="false" outlineLevel="0" collapsed="false">
      <c r="A1344" s="0" t="n">
        <v>1340</v>
      </c>
      <c r="B1344" s="0" t="n">
        <v>2</v>
      </c>
      <c r="C1344" s="19" t="n">
        <v>0</v>
      </c>
      <c r="D1344" s="19" t="n">
        <v>0.0052</v>
      </c>
      <c r="E1344" s="20" t="n">
        <f aca="false">Parametres!$B$5*C1344</f>
        <v>0</v>
      </c>
      <c r="F1344" s="20" t="n">
        <f aca="false">Parametres!$B$6*D1344</f>
        <v>1.04</v>
      </c>
      <c r="G1344" s="20" t="n">
        <f aca="false">E1344+F1344</f>
        <v>1.04</v>
      </c>
      <c r="H1344" s="20" t="n">
        <f aca="false">IF(G1344&lt;Parametres!$B$8*Parametres!$B$7,0,MIN(G1344,Parametres!$B$7))</f>
        <v>0</v>
      </c>
      <c r="I1344" s="20" t="n">
        <f aca="false">G1344-H1344</f>
        <v>1.04</v>
      </c>
      <c r="J1344" s="21" t="n">
        <f aca="false">H1344*1000/Parametres!$B$9</f>
        <v>0</v>
      </c>
    </row>
    <row r="1345" customFormat="false" ht="15" hidden="false" customHeight="false" outlineLevel="0" collapsed="false">
      <c r="A1345" s="0" t="n">
        <v>1341</v>
      </c>
      <c r="B1345" s="0" t="n">
        <v>2</v>
      </c>
      <c r="C1345" s="19" t="n">
        <v>0</v>
      </c>
      <c r="D1345" s="19" t="n">
        <v>0.0052</v>
      </c>
      <c r="E1345" s="20" t="n">
        <f aca="false">Parametres!$B$5*C1345</f>
        <v>0</v>
      </c>
      <c r="F1345" s="20" t="n">
        <f aca="false">Parametres!$B$6*D1345</f>
        <v>1.04</v>
      </c>
      <c r="G1345" s="20" t="n">
        <f aca="false">E1345+F1345</f>
        <v>1.04</v>
      </c>
      <c r="H1345" s="20" t="n">
        <f aca="false">IF(G1345&lt;Parametres!$B$8*Parametres!$B$7,0,MIN(G1345,Parametres!$B$7))</f>
        <v>0</v>
      </c>
      <c r="I1345" s="20" t="n">
        <f aca="false">G1345-H1345</f>
        <v>1.04</v>
      </c>
      <c r="J1345" s="21" t="n">
        <f aca="false">H1345*1000/Parametres!$B$9</f>
        <v>0</v>
      </c>
    </row>
    <row r="1346" customFormat="false" ht="15" hidden="false" customHeight="false" outlineLevel="0" collapsed="false">
      <c r="A1346" s="0" t="n">
        <v>1342</v>
      </c>
      <c r="B1346" s="0" t="n">
        <v>2</v>
      </c>
      <c r="C1346" s="19" t="n">
        <v>0</v>
      </c>
      <c r="D1346" s="19" t="n">
        <v>0.0043</v>
      </c>
      <c r="E1346" s="20" t="n">
        <f aca="false">Parametres!$B$5*C1346</f>
        <v>0</v>
      </c>
      <c r="F1346" s="20" t="n">
        <f aca="false">Parametres!$B$6*D1346</f>
        <v>0.86</v>
      </c>
      <c r="G1346" s="20" t="n">
        <f aca="false">E1346+F1346</f>
        <v>0.86</v>
      </c>
      <c r="H1346" s="20" t="n">
        <f aca="false">IF(G1346&lt;Parametres!$B$8*Parametres!$B$7,0,MIN(G1346,Parametres!$B$7))</f>
        <v>0</v>
      </c>
      <c r="I1346" s="20" t="n">
        <f aca="false">G1346-H1346</f>
        <v>0.86</v>
      </c>
      <c r="J1346" s="21" t="n">
        <f aca="false">H1346*1000/Parametres!$B$9</f>
        <v>0</v>
      </c>
    </row>
    <row r="1347" customFormat="false" ht="15" hidden="false" customHeight="false" outlineLevel="0" collapsed="false">
      <c r="A1347" s="0" t="n">
        <v>1343</v>
      </c>
      <c r="B1347" s="0" t="n">
        <v>2</v>
      </c>
      <c r="C1347" s="19" t="n">
        <v>0</v>
      </c>
      <c r="D1347" s="19" t="n">
        <v>0.0006</v>
      </c>
      <c r="E1347" s="20" t="n">
        <f aca="false">Parametres!$B$5*C1347</f>
        <v>0</v>
      </c>
      <c r="F1347" s="20" t="n">
        <f aca="false">Parametres!$B$6*D1347</f>
        <v>0.12</v>
      </c>
      <c r="G1347" s="20" t="n">
        <f aca="false">E1347+F1347</f>
        <v>0.12</v>
      </c>
      <c r="H1347" s="20" t="n">
        <f aca="false">IF(G1347&lt;Parametres!$B$8*Parametres!$B$7,0,MIN(G1347,Parametres!$B$7))</f>
        <v>0</v>
      </c>
      <c r="I1347" s="20" t="n">
        <f aca="false">G1347-H1347</f>
        <v>0.12</v>
      </c>
      <c r="J1347" s="21" t="n">
        <f aca="false">H1347*1000/Parametres!$B$9</f>
        <v>0</v>
      </c>
    </row>
    <row r="1348" customFormat="false" ht="15" hidden="false" customHeight="false" outlineLevel="0" collapsed="false">
      <c r="A1348" s="0" t="n">
        <v>1344</v>
      </c>
      <c r="B1348" s="0" t="n">
        <v>2</v>
      </c>
      <c r="C1348" s="19" t="n">
        <v>0</v>
      </c>
      <c r="D1348" s="19" t="n">
        <v>0</v>
      </c>
      <c r="E1348" s="20" t="n">
        <f aca="false">Parametres!$B$5*C1348</f>
        <v>0</v>
      </c>
      <c r="F1348" s="20" t="n">
        <f aca="false">Parametres!$B$6*D1348</f>
        <v>0</v>
      </c>
      <c r="G1348" s="20" t="n">
        <f aca="false">E1348+F1348</f>
        <v>0</v>
      </c>
      <c r="H1348" s="20" t="n">
        <f aca="false">IF(G1348&lt;Parametres!$B$8*Parametres!$B$7,0,MIN(G1348,Parametres!$B$7))</f>
        <v>0</v>
      </c>
      <c r="I1348" s="20" t="n">
        <f aca="false">G1348-H1348</f>
        <v>0</v>
      </c>
      <c r="J1348" s="21" t="n">
        <f aca="false">H1348*1000/Parametres!$B$9</f>
        <v>0</v>
      </c>
    </row>
    <row r="1349" customFormat="false" ht="15" hidden="false" customHeight="false" outlineLevel="0" collapsed="false">
      <c r="A1349" s="0" t="n">
        <v>1345</v>
      </c>
      <c r="B1349" s="0" t="n">
        <v>2</v>
      </c>
      <c r="C1349" s="19" t="n">
        <v>0</v>
      </c>
      <c r="D1349" s="19" t="n">
        <v>0</v>
      </c>
      <c r="E1349" s="20" t="n">
        <f aca="false">Parametres!$B$5*C1349</f>
        <v>0</v>
      </c>
      <c r="F1349" s="20" t="n">
        <f aca="false">Parametres!$B$6*D1349</f>
        <v>0</v>
      </c>
      <c r="G1349" s="20" t="n">
        <f aca="false">E1349+F1349</f>
        <v>0</v>
      </c>
      <c r="H1349" s="20" t="n">
        <f aca="false">IF(G1349&lt;Parametres!$B$8*Parametres!$B$7,0,MIN(G1349,Parametres!$B$7))</f>
        <v>0</v>
      </c>
      <c r="I1349" s="20" t="n">
        <f aca="false">G1349-H1349</f>
        <v>0</v>
      </c>
      <c r="J1349" s="21" t="n">
        <f aca="false">H1349*1000/Parametres!$B$9</f>
        <v>0</v>
      </c>
    </row>
    <row r="1350" customFormat="false" ht="15" hidden="false" customHeight="false" outlineLevel="0" collapsed="false">
      <c r="A1350" s="0" t="n">
        <v>1346</v>
      </c>
      <c r="B1350" s="0" t="n">
        <v>2</v>
      </c>
      <c r="C1350" s="19" t="n">
        <v>0</v>
      </c>
      <c r="D1350" s="19" t="n">
        <v>0</v>
      </c>
      <c r="E1350" s="20" t="n">
        <f aca="false">Parametres!$B$5*C1350</f>
        <v>0</v>
      </c>
      <c r="F1350" s="20" t="n">
        <f aca="false">Parametres!$B$6*D1350</f>
        <v>0</v>
      </c>
      <c r="G1350" s="20" t="n">
        <f aca="false">E1350+F1350</f>
        <v>0</v>
      </c>
      <c r="H1350" s="20" t="n">
        <f aca="false">IF(G1350&lt;Parametres!$B$8*Parametres!$B$7,0,MIN(G1350,Parametres!$B$7))</f>
        <v>0</v>
      </c>
      <c r="I1350" s="20" t="n">
        <f aca="false">G1350-H1350</f>
        <v>0</v>
      </c>
      <c r="J1350" s="21" t="n">
        <f aca="false">H1350*1000/Parametres!$B$9</f>
        <v>0</v>
      </c>
    </row>
    <row r="1351" customFormat="false" ht="15" hidden="false" customHeight="false" outlineLevel="0" collapsed="false">
      <c r="A1351" s="0" t="n">
        <v>1347</v>
      </c>
      <c r="B1351" s="0" t="n">
        <v>2</v>
      </c>
      <c r="C1351" s="19" t="n">
        <v>0</v>
      </c>
      <c r="D1351" s="19" t="n">
        <v>0</v>
      </c>
      <c r="E1351" s="20" t="n">
        <f aca="false">Parametres!$B$5*C1351</f>
        <v>0</v>
      </c>
      <c r="F1351" s="20" t="n">
        <f aca="false">Parametres!$B$6*D1351</f>
        <v>0</v>
      </c>
      <c r="G1351" s="20" t="n">
        <f aca="false">E1351+F1351</f>
        <v>0</v>
      </c>
      <c r="H1351" s="20" t="n">
        <f aca="false">IF(G1351&lt;Parametres!$B$8*Parametres!$B$7,0,MIN(G1351,Parametres!$B$7))</f>
        <v>0</v>
      </c>
      <c r="I1351" s="20" t="n">
        <f aca="false">G1351-H1351</f>
        <v>0</v>
      </c>
      <c r="J1351" s="21" t="n">
        <f aca="false">H1351*1000/Parametres!$B$9</f>
        <v>0</v>
      </c>
    </row>
    <row r="1352" customFormat="false" ht="15" hidden="false" customHeight="false" outlineLevel="0" collapsed="false">
      <c r="A1352" s="0" t="n">
        <v>1348</v>
      </c>
      <c r="B1352" s="0" t="n">
        <v>2</v>
      </c>
      <c r="C1352" s="19" t="n">
        <v>0</v>
      </c>
      <c r="D1352" s="19" t="n">
        <v>0.0001</v>
      </c>
      <c r="E1352" s="20" t="n">
        <f aca="false">Parametres!$B$5*C1352</f>
        <v>0</v>
      </c>
      <c r="F1352" s="20" t="n">
        <f aca="false">Parametres!$B$6*D1352</f>
        <v>0.02</v>
      </c>
      <c r="G1352" s="20" t="n">
        <f aca="false">E1352+F1352</f>
        <v>0.02</v>
      </c>
      <c r="H1352" s="20" t="n">
        <f aca="false">IF(G1352&lt;Parametres!$B$8*Parametres!$B$7,0,MIN(G1352,Parametres!$B$7))</f>
        <v>0</v>
      </c>
      <c r="I1352" s="20" t="n">
        <f aca="false">G1352-H1352</f>
        <v>0.02</v>
      </c>
      <c r="J1352" s="21" t="n">
        <f aca="false">H1352*1000/Parametres!$B$9</f>
        <v>0</v>
      </c>
    </row>
    <row r="1353" customFormat="false" ht="15" hidden="false" customHeight="false" outlineLevel="0" collapsed="false">
      <c r="A1353" s="0" t="n">
        <v>1349</v>
      </c>
      <c r="B1353" s="0" t="n">
        <v>2</v>
      </c>
      <c r="C1353" s="19" t="n">
        <v>0</v>
      </c>
      <c r="D1353" s="19" t="n">
        <v>0.0002</v>
      </c>
      <c r="E1353" s="20" t="n">
        <f aca="false">Parametres!$B$5*C1353</f>
        <v>0</v>
      </c>
      <c r="F1353" s="20" t="n">
        <f aca="false">Parametres!$B$6*D1353</f>
        <v>0.04</v>
      </c>
      <c r="G1353" s="20" t="n">
        <f aca="false">E1353+F1353</f>
        <v>0.04</v>
      </c>
      <c r="H1353" s="20" t="n">
        <f aca="false">IF(G1353&lt;Parametres!$B$8*Parametres!$B$7,0,MIN(G1353,Parametres!$B$7))</f>
        <v>0</v>
      </c>
      <c r="I1353" s="20" t="n">
        <f aca="false">G1353-H1353</f>
        <v>0.04</v>
      </c>
      <c r="J1353" s="21" t="n">
        <f aca="false">H1353*1000/Parametres!$B$9</f>
        <v>0</v>
      </c>
    </row>
    <row r="1354" customFormat="false" ht="15" hidden="false" customHeight="false" outlineLevel="0" collapsed="false">
      <c r="A1354" s="0" t="n">
        <v>1350</v>
      </c>
      <c r="B1354" s="0" t="n">
        <v>2</v>
      </c>
      <c r="C1354" s="19" t="n">
        <v>0</v>
      </c>
      <c r="D1354" s="19" t="n">
        <v>0.0001</v>
      </c>
      <c r="E1354" s="20" t="n">
        <f aca="false">Parametres!$B$5*C1354</f>
        <v>0</v>
      </c>
      <c r="F1354" s="20" t="n">
        <f aca="false">Parametres!$B$6*D1354</f>
        <v>0.02</v>
      </c>
      <c r="G1354" s="20" t="n">
        <f aca="false">E1354+F1354</f>
        <v>0.02</v>
      </c>
      <c r="H1354" s="20" t="n">
        <f aca="false">IF(G1354&lt;Parametres!$B$8*Parametres!$B$7,0,MIN(G1354,Parametres!$B$7))</f>
        <v>0</v>
      </c>
      <c r="I1354" s="20" t="n">
        <f aca="false">G1354-H1354</f>
        <v>0.02</v>
      </c>
      <c r="J1354" s="21" t="n">
        <f aca="false">H1354*1000/Parametres!$B$9</f>
        <v>0</v>
      </c>
    </row>
    <row r="1355" customFormat="false" ht="15" hidden="false" customHeight="false" outlineLevel="0" collapsed="false">
      <c r="A1355" s="0" t="n">
        <v>1351</v>
      </c>
      <c r="B1355" s="0" t="n">
        <v>2</v>
      </c>
      <c r="C1355" s="19" t="n">
        <v>0.0296</v>
      </c>
      <c r="D1355" s="19" t="n">
        <v>0</v>
      </c>
      <c r="E1355" s="20" t="n">
        <f aca="false">Parametres!$B$5*C1355</f>
        <v>8.88</v>
      </c>
      <c r="F1355" s="20" t="n">
        <f aca="false">Parametres!$B$6*D1355</f>
        <v>0</v>
      </c>
      <c r="G1355" s="20" t="n">
        <f aca="false">E1355+F1355</f>
        <v>8.88</v>
      </c>
      <c r="H1355" s="20" t="n">
        <f aca="false">IF(G1355&lt;Parametres!$B$8*Parametres!$B$7,0,MIN(G1355,Parametres!$B$7))</f>
        <v>0</v>
      </c>
      <c r="I1355" s="20" t="n">
        <f aca="false">G1355-H1355</f>
        <v>8.88</v>
      </c>
      <c r="J1355" s="21" t="n">
        <f aca="false">H1355*1000/Parametres!$B$9</f>
        <v>0</v>
      </c>
    </row>
    <row r="1356" customFormat="false" ht="15" hidden="false" customHeight="false" outlineLevel="0" collapsed="false">
      <c r="A1356" s="0" t="n">
        <v>1352</v>
      </c>
      <c r="B1356" s="0" t="n">
        <v>2</v>
      </c>
      <c r="C1356" s="19" t="n">
        <v>0.2689</v>
      </c>
      <c r="D1356" s="19" t="n">
        <v>0</v>
      </c>
      <c r="E1356" s="20" t="n">
        <f aca="false">Parametres!$B$5*C1356</f>
        <v>80.67</v>
      </c>
      <c r="F1356" s="20" t="n">
        <f aca="false">Parametres!$B$6*D1356</f>
        <v>0</v>
      </c>
      <c r="G1356" s="20" t="n">
        <f aca="false">E1356+F1356</f>
        <v>80.67</v>
      </c>
      <c r="H1356" s="20" t="n">
        <f aca="false">IF(G1356&lt;Parametres!$B$8*Parametres!$B$7,0,MIN(G1356,Parametres!$B$7))</f>
        <v>80.67</v>
      </c>
      <c r="I1356" s="20" t="n">
        <f aca="false">G1356-H1356</f>
        <v>0</v>
      </c>
      <c r="J1356" s="21" t="n">
        <f aca="false">H1356*1000/Parametres!$B$9</f>
        <v>1367.98372053587</v>
      </c>
    </row>
    <row r="1357" customFormat="false" ht="15" hidden="false" customHeight="false" outlineLevel="0" collapsed="false">
      <c r="A1357" s="0" t="n">
        <v>1353</v>
      </c>
      <c r="B1357" s="0" t="n">
        <v>2</v>
      </c>
      <c r="C1357" s="19" t="n">
        <v>0.5624</v>
      </c>
      <c r="D1357" s="19" t="n">
        <v>0</v>
      </c>
      <c r="E1357" s="20" t="n">
        <f aca="false">Parametres!$B$5*C1357</f>
        <v>168.72</v>
      </c>
      <c r="F1357" s="20" t="n">
        <f aca="false">Parametres!$B$6*D1357</f>
        <v>0</v>
      </c>
      <c r="G1357" s="20" t="n">
        <f aca="false">E1357+F1357</f>
        <v>168.72</v>
      </c>
      <c r="H1357" s="20" t="n">
        <f aca="false">IF(G1357&lt;Parametres!$B$8*Parametres!$B$7,0,MIN(G1357,Parametres!$B$7))</f>
        <v>168.72</v>
      </c>
      <c r="I1357" s="20" t="n">
        <f aca="false">G1357-H1357</f>
        <v>0</v>
      </c>
      <c r="J1357" s="21" t="n">
        <f aca="false">H1357*1000/Parametres!$B$9</f>
        <v>2861.11582160421</v>
      </c>
    </row>
    <row r="1358" customFormat="false" ht="15" hidden="false" customHeight="false" outlineLevel="0" collapsed="false">
      <c r="A1358" s="0" t="n">
        <v>1354</v>
      </c>
      <c r="B1358" s="0" t="n">
        <v>2</v>
      </c>
      <c r="C1358" s="19" t="n">
        <v>0.81</v>
      </c>
      <c r="D1358" s="19" t="n">
        <v>0.0001</v>
      </c>
      <c r="E1358" s="20" t="n">
        <f aca="false">Parametres!$B$5*C1358</f>
        <v>243</v>
      </c>
      <c r="F1358" s="20" t="n">
        <f aca="false">Parametres!$B$6*D1358</f>
        <v>0.02</v>
      </c>
      <c r="G1358" s="20" t="n">
        <f aca="false">E1358+F1358</f>
        <v>243.02</v>
      </c>
      <c r="H1358" s="20" t="n">
        <f aca="false">IF(G1358&lt;Parametres!$B$8*Parametres!$B$7,0,MIN(G1358,Parametres!$B$7))</f>
        <v>243.02</v>
      </c>
      <c r="I1358" s="20" t="n">
        <f aca="false">G1358-H1358</f>
        <v>0</v>
      </c>
      <c r="J1358" s="21" t="n">
        <f aca="false">H1358*1000/Parametres!$B$9</f>
        <v>4121.0785144989</v>
      </c>
    </row>
    <row r="1359" customFormat="false" ht="15" hidden="false" customHeight="false" outlineLevel="0" collapsed="false">
      <c r="A1359" s="0" t="n">
        <v>1355</v>
      </c>
      <c r="B1359" s="0" t="n">
        <v>2</v>
      </c>
      <c r="C1359" s="19" t="n">
        <v>1</v>
      </c>
      <c r="D1359" s="19" t="n">
        <v>0.0003</v>
      </c>
      <c r="E1359" s="20" t="n">
        <f aca="false">Parametres!$B$5*C1359</f>
        <v>300</v>
      </c>
      <c r="F1359" s="20" t="n">
        <f aca="false">Parametres!$B$6*D1359</f>
        <v>0.06</v>
      </c>
      <c r="G1359" s="20" t="n">
        <f aca="false">E1359+F1359</f>
        <v>300.06</v>
      </c>
      <c r="H1359" s="20" t="n">
        <f aca="false">IF(G1359&lt;Parametres!$B$8*Parametres!$B$7,0,MIN(G1359,Parametres!$B$7))</f>
        <v>250</v>
      </c>
      <c r="I1359" s="20" t="n">
        <f aca="false">G1359-H1359</f>
        <v>50.06</v>
      </c>
      <c r="J1359" s="21" t="n">
        <f aca="false">H1359*1000/Parametres!$B$9</f>
        <v>4239.44378497541</v>
      </c>
    </row>
    <row r="1360" customFormat="false" ht="15" hidden="false" customHeight="false" outlineLevel="0" collapsed="false">
      <c r="A1360" s="0" t="n">
        <v>1356</v>
      </c>
      <c r="B1360" s="0" t="n">
        <v>2</v>
      </c>
      <c r="C1360" s="19" t="n">
        <v>1</v>
      </c>
      <c r="D1360" s="19" t="n">
        <v>0.0003</v>
      </c>
      <c r="E1360" s="20" t="n">
        <f aca="false">Parametres!$B$5*C1360</f>
        <v>300</v>
      </c>
      <c r="F1360" s="20" t="n">
        <f aca="false">Parametres!$B$6*D1360</f>
        <v>0.06</v>
      </c>
      <c r="G1360" s="20" t="n">
        <f aca="false">E1360+F1360</f>
        <v>300.06</v>
      </c>
      <c r="H1360" s="20" t="n">
        <f aca="false">IF(G1360&lt;Parametres!$B$8*Parametres!$B$7,0,MIN(G1360,Parametres!$B$7))</f>
        <v>250</v>
      </c>
      <c r="I1360" s="20" t="n">
        <f aca="false">G1360-H1360</f>
        <v>50.06</v>
      </c>
      <c r="J1360" s="21" t="n">
        <f aca="false">H1360*1000/Parametres!$B$9</f>
        <v>4239.44378497541</v>
      </c>
    </row>
    <row r="1361" customFormat="false" ht="15" hidden="false" customHeight="false" outlineLevel="0" collapsed="false">
      <c r="A1361" s="0" t="n">
        <v>1357</v>
      </c>
      <c r="B1361" s="0" t="n">
        <v>2</v>
      </c>
      <c r="C1361" s="19" t="n">
        <v>1</v>
      </c>
      <c r="D1361" s="19" t="n">
        <v>0.0085</v>
      </c>
      <c r="E1361" s="20" t="n">
        <f aca="false">Parametres!$B$5*C1361</f>
        <v>300</v>
      </c>
      <c r="F1361" s="20" t="n">
        <f aca="false">Parametres!$B$6*D1361</f>
        <v>1.7</v>
      </c>
      <c r="G1361" s="20" t="n">
        <f aca="false">E1361+F1361</f>
        <v>301.7</v>
      </c>
      <c r="H1361" s="20" t="n">
        <f aca="false">IF(G1361&lt;Parametres!$B$8*Parametres!$B$7,0,MIN(G1361,Parametres!$B$7))</f>
        <v>250</v>
      </c>
      <c r="I1361" s="20" t="n">
        <f aca="false">G1361-H1361</f>
        <v>51.7</v>
      </c>
      <c r="J1361" s="21" t="n">
        <f aca="false">H1361*1000/Parametres!$B$9</f>
        <v>4239.44378497541</v>
      </c>
    </row>
    <row r="1362" customFormat="false" ht="15" hidden="false" customHeight="false" outlineLevel="0" collapsed="false">
      <c r="A1362" s="0" t="n">
        <v>1358</v>
      </c>
      <c r="B1362" s="0" t="n">
        <v>2</v>
      </c>
      <c r="C1362" s="19" t="n">
        <v>0.9474</v>
      </c>
      <c r="D1362" s="19" t="n">
        <v>0.0071</v>
      </c>
      <c r="E1362" s="20" t="n">
        <f aca="false">Parametres!$B$5*C1362</f>
        <v>284.22</v>
      </c>
      <c r="F1362" s="20" t="n">
        <f aca="false">Parametres!$B$6*D1362</f>
        <v>1.42</v>
      </c>
      <c r="G1362" s="20" t="n">
        <f aca="false">E1362+F1362</f>
        <v>285.64</v>
      </c>
      <c r="H1362" s="20" t="n">
        <f aca="false">IF(G1362&lt;Parametres!$B$8*Parametres!$B$7,0,MIN(G1362,Parametres!$B$7))</f>
        <v>250</v>
      </c>
      <c r="I1362" s="20" t="n">
        <f aca="false">G1362-H1362</f>
        <v>35.64</v>
      </c>
      <c r="J1362" s="21" t="n">
        <f aca="false">H1362*1000/Parametres!$B$9</f>
        <v>4239.44378497541</v>
      </c>
    </row>
    <row r="1363" customFormat="false" ht="15" hidden="false" customHeight="false" outlineLevel="0" collapsed="false">
      <c r="A1363" s="0" t="n">
        <v>1359</v>
      </c>
      <c r="B1363" s="0" t="n">
        <v>2</v>
      </c>
      <c r="C1363" s="19" t="n">
        <v>0.7888</v>
      </c>
      <c r="D1363" s="19" t="n">
        <v>0.0142</v>
      </c>
      <c r="E1363" s="20" t="n">
        <f aca="false">Parametres!$B$5*C1363</f>
        <v>236.64</v>
      </c>
      <c r="F1363" s="20" t="n">
        <f aca="false">Parametres!$B$6*D1363</f>
        <v>2.84</v>
      </c>
      <c r="G1363" s="20" t="n">
        <f aca="false">E1363+F1363</f>
        <v>239.48</v>
      </c>
      <c r="H1363" s="20" t="n">
        <f aca="false">IF(G1363&lt;Parametres!$B$8*Parametres!$B$7,0,MIN(G1363,Parametres!$B$7))</f>
        <v>239.48</v>
      </c>
      <c r="I1363" s="20" t="n">
        <f aca="false">G1363-H1363</f>
        <v>0</v>
      </c>
      <c r="J1363" s="21" t="n">
        <f aca="false">H1363*1000/Parametres!$B$9</f>
        <v>4061.04799050365</v>
      </c>
    </row>
    <row r="1364" customFormat="false" ht="15" hidden="false" customHeight="false" outlineLevel="0" collapsed="false">
      <c r="A1364" s="0" t="n">
        <v>1360</v>
      </c>
      <c r="B1364" s="0" t="n">
        <v>2</v>
      </c>
      <c r="C1364" s="19" t="n">
        <v>0.5907</v>
      </c>
      <c r="D1364" s="19" t="n">
        <v>0.0136</v>
      </c>
      <c r="E1364" s="20" t="n">
        <f aca="false">Parametres!$B$5*C1364</f>
        <v>177.21</v>
      </c>
      <c r="F1364" s="20" t="n">
        <f aca="false">Parametres!$B$6*D1364</f>
        <v>2.72</v>
      </c>
      <c r="G1364" s="20" t="n">
        <f aca="false">E1364+F1364</f>
        <v>179.93</v>
      </c>
      <c r="H1364" s="20" t="n">
        <f aca="false">IF(G1364&lt;Parametres!$B$8*Parametres!$B$7,0,MIN(G1364,Parametres!$B$7))</f>
        <v>179.93</v>
      </c>
      <c r="I1364" s="20" t="n">
        <f aca="false">G1364-H1364</f>
        <v>0</v>
      </c>
      <c r="J1364" s="21" t="n">
        <f aca="false">H1364*1000/Parametres!$B$9</f>
        <v>3051.2124809225</v>
      </c>
    </row>
    <row r="1365" customFormat="false" ht="15" hidden="false" customHeight="false" outlineLevel="0" collapsed="false">
      <c r="A1365" s="0" t="n">
        <v>1361</v>
      </c>
      <c r="B1365" s="0" t="n">
        <v>2</v>
      </c>
      <c r="C1365" s="19" t="n">
        <v>0.2839</v>
      </c>
      <c r="D1365" s="19" t="n">
        <v>0.0193</v>
      </c>
      <c r="E1365" s="20" t="n">
        <f aca="false">Parametres!$B$5*C1365</f>
        <v>85.17</v>
      </c>
      <c r="F1365" s="20" t="n">
        <f aca="false">Parametres!$B$6*D1365</f>
        <v>3.86</v>
      </c>
      <c r="G1365" s="20" t="n">
        <f aca="false">E1365+F1365</f>
        <v>89.03</v>
      </c>
      <c r="H1365" s="20" t="n">
        <f aca="false">IF(G1365&lt;Parametres!$B$8*Parametres!$B$7,0,MIN(G1365,Parametres!$B$7))</f>
        <v>89.03</v>
      </c>
      <c r="I1365" s="20" t="n">
        <f aca="false">G1365-H1365</f>
        <v>0</v>
      </c>
      <c r="J1365" s="21" t="n">
        <f aca="false">H1365*1000/Parametres!$B$9</f>
        <v>1509.75072070544</v>
      </c>
    </row>
    <row r="1366" customFormat="false" ht="15" hidden="false" customHeight="false" outlineLevel="0" collapsed="false">
      <c r="A1366" s="0" t="n">
        <v>1362</v>
      </c>
      <c r="B1366" s="0" t="n">
        <v>2</v>
      </c>
      <c r="C1366" s="19" t="n">
        <v>0.0287</v>
      </c>
      <c r="D1366" s="19" t="n">
        <v>0.014</v>
      </c>
      <c r="E1366" s="20" t="n">
        <f aca="false">Parametres!$B$5*C1366</f>
        <v>8.61</v>
      </c>
      <c r="F1366" s="20" t="n">
        <f aca="false">Parametres!$B$6*D1366</f>
        <v>2.8</v>
      </c>
      <c r="G1366" s="20" t="n">
        <f aca="false">E1366+F1366</f>
        <v>11.41</v>
      </c>
      <c r="H1366" s="20" t="n">
        <f aca="false">IF(G1366&lt;Parametres!$B$8*Parametres!$B$7,0,MIN(G1366,Parametres!$B$7))</f>
        <v>0</v>
      </c>
      <c r="I1366" s="20" t="n">
        <f aca="false">G1366-H1366</f>
        <v>11.41</v>
      </c>
      <c r="J1366" s="21" t="n">
        <f aca="false">H1366*1000/Parametres!$B$9</f>
        <v>0</v>
      </c>
    </row>
    <row r="1367" customFormat="false" ht="15" hidden="false" customHeight="false" outlineLevel="0" collapsed="false">
      <c r="A1367" s="0" t="n">
        <v>1363</v>
      </c>
      <c r="B1367" s="0" t="n">
        <v>2</v>
      </c>
      <c r="C1367" s="19" t="n">
        <v>0</v>
      </c>
      <c r="D1367" s="19" t="n">
        <v>0.0201</v>
      </c>
      <c r="E1367" s="20" t="n">
        <f aca="false">Parametres!$B$5*C1367</f>
        <v>0</v>
      </c>
      <c r="F1367" s="20" t="n">
        <f aca="false">Parametres!$B$6*D1367</f>
        <v>4.02</v>
      </c>
      <c r="G1367" s="20" t="n">
        <f aca="false">E1367+F1367</f>
        <v>4.02</v>
      </c>
      <c r="H1367" s="20" t="n">
        <f aca="false">IF(G1367&lt;Parametres!$B$8*Parametres!$B$7,0,MIN(G1367,Parametres!$B$7))</f>
        <v>0</v>
      </c>
      <c r="I1367" s="20" t="n">
        <f aca="false">G1367-H1367</f>
        <v>4.02</v>
      </c>
      <c r="J1367" s="21" t="n">
        <f aca="false">H1367*1000/Parametres!$B$9</f>
        <v>0</v>
      </c>
    </row>
    <row r="1368" customFormat="false" ht="15" hidden="false" customHeight="false" outlineLevel="0" collapsed="false">
      <c r="A1368" s="0" t="n">
        <v>1364</v>
      </c>
      <c r="B1368" s="0" t="n">
        <v>2</v>
      </c>
      <c r="C1368" s="19" t="n">
        <v>0</v>
      </c>
      <c r="D1368" s="19" t="n">
        <v>0.05</v>
      </c>
      <c r="E1368" s="20" t="n">
        <f aca="false">Parametres!$B$5*C1368</f>
        <v>0</v>
      </c>
      <c r="F1368" s="20" t="n">
        <f aca="false">Parametres!$B$6*D1368</f>
        <v>10</v>
      </c>
      <c r="G1368" s="20" t="n">
        <f aca="false">E1368+F1368</f>
        <v>10</v>
      </c>
      <c r="H1368" s="20" t="n">
        <f aca="false">IF(G1368&lt;Parametres!$B$8*Parametres!$B$7,0,MIN(G1368,Parametres!$B$7))</f>
        <v>0</v>
      </c>
      <c r="I1368" s="20" t="n">
        <f aca="false">G1368-H1368</f>
        <v>10</v>
      </c>
      <c r="J1368" s="21" t="n">
        <f aca="false">H1368*1000/Parametres!$B$9</f>
        <v>0</v>
      </c>
    </row>
    <row r="1369" customFormat="false" ht="15" hidden="false" customHeight="false" outlineLevel="0" collapsed="false">
      <c r="A1369" s="0" t="n">
        <v>1365</v>
      </c>
      <c r="B1369" s="0" t="n">
        <v>2</v>
      </c>
      <c r="C1369" s="19" t="n">
        <v>0</v>
      </c>
      <c r="D1369" s="19" t="n">
        <v>0.0177</v>
      </c>
      <c r="E1369" s="20" t="n">
        <f aca="false">Parametres!$B$5*C1369</f>
        <v>0</v>
      </c>
      <c r="F1369" s="20" t="n">
        <f aca="false">Parametres!$B$6*D1369</f>
        <v>3.54</v>
      </c>
      <c r="G1369" s="20" t="n">
        <f aca="false">E1369+F1369</f>
        <v>3.54</v>
      </c>
      <c r="H1369" s="20" t="n">
        <f aca="false">IF(G1369&lt;Parametres!$B$8*Parametres!$B$7,0,MIN(G1369,Parametres!$B$7))</f>
        <v>0</v>
      </c>
      <c r="I1369" s="20" t="n">
        <f aca="false">G1369-H1369</f>
        <v>3.54</v>
      </c>
      <c r="J1369" s="21" t="n">
        <f aca="false">H1369*1000/Parametres!$B$9</f>
        <v>0</v>
      </c>
    </row>
    <row r="1370" customFormat="false" ht="15" hidden="false" customHeight="false" outlineLevel="0" collapsed="false">
      <c r="A1370" s="0" t="n">
        <v>1366</v>
      </c>
      <c r="B1370" s="0" t="n">
        <v>2</v>
      </c>
      <c r="C1370" s="19" t="n">
        <v>0</v>
      </c>
      <c r="D1370" s="19" t="n">
        <v>0.0011</v>
      </c>
      <c r="E1370" s="20" t="n">
        <f aca="false">Parametres!$B$5*C1370</f>
        <v>0</v>
      </c>
      <c r="F1370" s="20" t="n">
        <f aca="false">Parametres!$B$6*D1370</f>
        <v>0.22</v>
      </c>
      <c r="G1370" s="20" t="n">
        <f aca="false">E1370+F1370</f>
        <v>0.22</v>
      </c>
      <c r="H1370" s="20" t="n">
        <f aca="false">IF(G1370&lt;Parametres!$B$8*Parametres!$B$7,0,MIN(G1370,Parametres!$B$7))</f>
        <v>0</v>
      </c>
      <c r="I1370" s="20" t="n">
        <f aca="false">G1370-H1370</f>
        <v>0.22</v>
      </c>
      <c r="J1370" s="21" t="n">
        <f aca="false">H1370*1000/Parametres!$B$9</f>
        <v>0</v>
      </c>
    </row>
    <row r="1371" customFormat="false" ht="15" hidden="false" customHeight="false" outlineLevel="0" collapsed="false">
      <c r="A1371" s="0" t="n">
        <v>1367</v>
      </c>
      <c r="B1371" s="0" t="n">
        <v>2</v>
      </c>
      <c r="C1371" s="19" t="n">
        <v>0</v>
      </c>
      <c r="D1371" s="19" t="n">
        <v>0.0053</v>
      </c>
      <c r="E1371" s="20" t="n">
        <f aca="false">Parametres!$B$5*C1371</f>
        <v>0</v>
      </c>
      <c r="F1371" s="20" t="n">
        <f aca="false">Parametres!$B$6*D1371</f>
        <v>1.06</v>
      </c>
      <c r="G1371" s="20" t="n">
        <f aca="false">E1371+F1371</f>
        <v>1.06</v>
      </c>
      <c r="H1371" s="20" t="n">
        <f aca="false">IF(G1371&lt;Parametres!$B$8*Parametres!$B$7,0,MIN(G1371,Parametres!$B$7))</f>
        <v>0</v>
      </c>
      <c r="I1371" s="20" t="n">
        <f aca="false">G1371-H1371</f>
        <v>1.06</v>
      </c>
      <c r="J1371" s="21" t="n">
        <f aca="false">H1371*1000/Parametres!$B$9</f>
        <v>0</v>
      </c>
    </row>
    <row r="1372" customFormat="false" ht="15" hidden="false" customHeight="false" outlineLevel="0" collapsed="false">
      <c r="A1372" s="0" t="n">
        <v>1368</v>
      </c>
      <c r="B1372" s="0" t="n">
        <v>2</v>
      </c>
      <c r="C1372" s="19" t="n">
        <v>0</v>
      </c>
      <c r="D1372" s="19" t="n">
        <v>0.005</v>
      </c>
      <c r="E1372" s="20" t="n">
        <f aca="false">Parametres!$B$5*C1372</f>
        <v>0</v>
      </c>
      <c r="F1372" s="20" t="n">
        <f aca="false">Parametres!$B$6*D1372</f>
        <v>1</v>
      </c>
      <c r="G1372" s="20" t="n">
        <f aca="false">E1372+F1372</f>
        <v>1</v>
      </c>
      <c r="H1372" s="20" t="n">
        <f aca="false">IF(G1372&lt;Parametres!$B$8*Parametres!$B$7,0,MIN(G1372,Parametres!$B$7))</f>
        <v>0</v>
      </c>
      <c r="I1372" s="20" t="n">
        <f aca="false">G1372-H1372</f>
        <v>1</v>
      </c>
      <c r="J1372" s="21" t="n">
        <f aca="false">H1372*1000/Parametres!$B$9</f>
        <v>0</v>
      </c>
    </row>
    <row r="1373" customFormat="false" ht="15" hidden="false" customHeight="false" outlineLevel="0" collapsed="false">
      <c r="A1373" s="0" t="n">
        <v>1369</v>
      </c>
      <c r="B1373" s="0" t="n">
        <v>2</v>
      </c>
      <c r="C1373" s="19" t="n">
        <v>0</v>
      </c>
      <c r="D1373" s="19" t="n">
        <v>0.0096</v>
      </c>
      <c r="E1373" s="20" t="n">
        <f aca="false">Parametres!$B$5*C1373</f>
        <v>0</v>
      </c>
      <c r="F1373" s="20" t="n">
        <f aca="false">Parametres!$B$6*D1373</f>
        <v>1.92</v>
      </c>
      <c r="G1373" s="20" t="n">
        <f aca="false">E1373+F1373</f>
        <v>1.92</v>
      </c>
      <c r="H1373" s="20" t="n">
        <f aca="false">IF(G1373&lt;Parametres!$B$8*Parametres!$B$7,0,MIN(G1373,Parametres!$B$7))</f>
        <v>0</v>
      </c>
      <c r="I1373" s="20" t="n">
        <f aca="false">G1373-H1373</f>
        <v>1.92</v>
      </c>
      <c r="J1373" s="21" t="n">
        <f aca="false">H1373*1000/Parametres!$B$9</f>
        <v>0</v>
      </c>
    </row>
    <row r="1374" customFormat="false" ht="15" hidden="false" customHeight="false" outlineLevel="0" collapsed="false">
      <c r="A1374" s="0" t="n">
        <v>1370</v>
      </c>
      <c r="B1374" s="0" t="n">
        <v>2</v>
      </c>
      <c r="C1374" s="19" t="n">
        <v>0</v>
      </c>
      <c r="D1374" s="19" t="n">
        <v>0.0059</v>
      </c>
      <c r="E1374" s="20" t="n">
        <f aca="false">Parametres!$B$5*C1374</f>
        <v>0</v>
      </c>
      <c r="F1374" s="20" t="n">
        <f aca="false">Parametres!$B$6*D1374</f>
        <v>1.18</v>
      </c>
      <c r="G1374" s="20" t="n">
        <f aca="false">E1374+F1374</f>
        <v>1.18</v>
      </c>
      <c r="H1374" s="20" t="n">
        <f aca="false">IF(G1374&lt;Parametres!$B$8*Parametres!$B$7,0,MIN(G1374,Parametres!$B$7))</f>
        <v>0</v>
      </c>
      <c r="I1374" s="20" t="n">
        <f aca="false">G1374-H1374</f>
        <v>1.18</v>
      </c>
      <c r="J1374" s="21" t="n">
        <f aca="false">H1374*1000/Parametres!$B$9</f>
        <v>0</v>
      </c>
    </row>
    <row r="1375" customFormat="false" ht="15" hidden="false" customHeight="false" outlineLevel="0" collapsed="false">
      <c r="A1375" s="0" t="n">
        <v>1371</v>
      </c>
      <c r="B1375" s="0" t="n">
        <v>2</v>
      </c>
      <c r="C1375" s="19" t="n">
        <v>0</v>
      </c>
      <c r="D1375" s="19" t="n">
        <v>0.0191</v>
      </c>
      <c r="E1375" s="20" t="n">
        <f aca="false">Parametres!$B$5*C1375</f>
        <v>0</v>
      </c>
      <c r="F1375" s="20" t="n">
        <f aca="false">Parametres!$B$6*D1375</f>
        <v>3.82</v>
      </c>
      <c r="G1375" s="20" t="n">
        <f aca="false">E1375+F1375</f>
        <v>3.82</v>
      </c>
      <c r="H1375" s="20" t="n">
        <f aca="false">IF(G1375&lt;Parametres!$B$8*Parametres!$B$7,0,MIN(G1375,Parametres!$B$7))</f>
        <v>0</v>
      </c>
      <c r="I1375" s="20" t="n">
        <f aca="false">G1375-H1375</f>
        <v>3.82</v>
      </c>
      <c r="J1375" s="21" t="n">
        <f aca="false">H1375*1000/Parametres!$B$9</f>
        <v>0</v>
      </c>
    </row>
    <row r="1376" customFormat="false" ht="15" hidden="false" customHeight="false" outlineLevel="0" collapsed="false">
      <c r="A1376" s="0" t="n">
        <v>1372</v>
      </c>
      <c r="B1376" s="0" t="n">
        <v>2</v>
      </c>
      <c r="C1376" s="19" t="n">
        <v>0</v>
      </c>
      <c r="D1376" s="19" t="n">
        <v>0.0543</v>
      </c>
      <c r="E1376" s="20" t="n">
        <f aca="false">Parametres!$B$5*C1376</f>
        <v>0</v>
      </c>
      <c r="F1376" s="20" t="n">
        <f aca="false">Parametres!$B$6*D1376</f>
        <v>10.86</v>
      </c>
      <c r="G1376" s="20" t="n">
        <f aca="false">E1376+F1376</f>
        <v>10.86</v>
      </c>
      <c r="H1376" s="20" t="n">
        <f aca="false">IF(G1376&lt;Parametres!$B$8*Parametres!$B$7,0,MIN(G1376,Parametres!$B$7))</f>
        <v>0</v>
      </c>
      <c r="I1376" s="20" t="n">
        <f aca="false">G1376-H1376</f>
        <v>10.86</v>
      </c>
      <c r="J1376" s="21" t="n">
        <f aca="false">H1376*1000/Parametres!$B$9</f>
        <v>0</v>
      </c>
    </row>
    <row r="1377" customFormat="false" ht="15" hidden="false" customHeight="false" outlineLevel="0" collapsed="false">
      <c r="A1377" s="0" t="n">
        <v>1373</v>
      </c>
      <c r="B1377" s="0" t="n">
        <v>2</v>
      </c>
      <c r="C1377" s="19" t="n">
        <v>0</v>
      </c>
      <c r="D1377" s="19" t="n">
        <v>0.0258</v>
      </c>
      <c r="E1377" s="20" t="n">
        <f aca="false">Parametres!$B$5*C1377</f>
        <v>0</v>
      </c>
      <c r="F1377" s="20" t="n">
        <f aca="false">Parametres!$B$6*D1377</f>
        <v>5.16</v>
      </c>
      <c r="G1377" s="20" t="n">
        <f aca="false">E1377+F1377</f>
        <v>5.16</v>
      </c>
      <c r="H1377" s="20" t="n">
        <f aca="false">IF(G1377&lt;Parametres!$B$8*Parametres!$B$7,0,MIN(G1377,Parametres!$B$7))</f>
        <v>0</v>
      </c>
      <c r="I1377" s="20" t="n">
        <f aca="false">G1377-H1377</f>
        <v>5.16</v>
      </c>
      <c r="J1377" s="21" t="n">
        <f aca="false">H1377*1000/Parametres!$B$9</f>
        <v>0</v>
      </c>
    </row>
    <row r="1378" customFormat="false" ht="15" hidden="false" customHeight="false" outlineLevel="0" collapsed="false">
      <c r="A1378" s="0" t="n">
        <v>1374</v>
      </c>
      <c r="B1378" s="0" t="n">
        <v>2</v>
      </c>
      <c r="C1378" s="19" t="n">
        <v>0</v>
      </c>
      <c r="D1378" s="19" t="n">
        <v>0.0399</v>
      </c>
      <c r="E1378" s="20" t="n">
        <f aca="false">Parametres!$B$5*C1378</f>
        <v>0</v>
      </c>
      <c r="F1378" s="20" t="n">
        <f aca="false">Parametres!$B$6*D1378</f>
        <v>7.98</v>
      </c>
      <c r="G1378" s="20" t="n">
        <f aca="false">E1378+F1378</f>
        <v>7.98</v>
      </c>
      <c r="H1378" s="20" t="n">
        <f aca="false">IF(G1378&lt;Parametres!$B$8*Parametres!$B$7,0,MIN(G1378,Parametres!$B$7))</f>
        <v>0</v>
      </c>
      <c r="I1378" s="20" t="n">
        <f aca="false">G1378-H1378</f>
        <v>7.98</v>
      </c>
      <c r="J1378" s="21" t="n">
        <f aca="false">H1378*1000/Parametres!$B$9</f>
        <v>0</v>
      </c>
    </row>
    <row r="1379" customFormat="false" ht="15" hidden="false" customHeight="false" outlineLevel="0" collapsed="false">
      <c r="A1379" s="0" t="n">
        <v>1375</v>
      </c>
      <c r="B1379" s="0" t="n">
        <v>2</v>
      </c>
      <c r="C1379" s="19" t="n">
        <v>0.0286</v>
      </c>
      <c r="D1379" s="19" t="n">
        <v>0.0293</v>
      </c>
      <c r="E1379" s="20" t="n">
        <f aca="false">Parametres!$B$5*C1379</f>
        <v>8.58</v>
      </c>
      <c r="F1379" s="20" t="n">
        <f aca="false">Parametres!$B$6*D1379</f>
        <v>5.86</v>
      </c>
      <c r="G1379" s="20" t="n">
        <f aca="false">E1379+F1379</f>
        <v>14.44</v>
      </c>
      <c r="H1379" s="20" t="n">
        <f aca="false">IF(G1379&lt;Parametres!$B$8*Parametres!$B$7,0,MIN(G1379,Parametres!$B$7))</f>
        <v>0</v>
      </c>
      <c r="I1379" s="20" t="n">
        <f aca="false">G1379-H1379</f>
        <v>14.44</v>
      </c>
      <c r="J1379" s="21" t="n">
        <f aca="false">H1379*1000/Parametres!$B$9</f>
        <v>0</v>
      </c>
    </row>
    <row r="1380" customFormat="false" ht="15" hidden="false" customHeight="false" outlineLevel="0" collapsed="false">
      <c r="A1380" s="0" t="n">
        <v>1376</v>
      </c>
      <c r="B1380" s="0" t="n">
        <v>2</v>
      </c>
      <c r="C1380" s="19" t="n">
        <v>0.26</v>
      </c>
      <c r="D1380" s="19" t="n">
        <v>0.01</v>
      </c>
      <c r="E1380" s="20" t="n">
        <f aca="false">Parametres!$B$5*C1380</f>
        <v>78</v>
      </c>
      <c r="F1380" s="20" t="n">
        <f aca="false">Parametres!$B$6*D1380</f>
        <v>2</v>
      </c>
      <c r="G1380" s="20" t="n">
        <f aca="false">E1380+F1380</f>
        <v>80</v>
      </c>
      <c r="H1380" s="20" t="n">
        <f aca="false">IF(G1380&lt;Parametres!$B$8*Parametres!$B$7,0,MIN(G1380,Parametres!$B$7))</f>
        <v>80</v>
      </c>
      <c r="I1380" s="20" t="n">
        <f aca="false">G1380-H1380</f>
        <v>0</v>
      </c>
      <c r="J1380" s="21" t="n">
        <f aca="false">H1380*1000/Parametres!$B$9</f>
        <v>1356.62201119213</v>
      </c>
    </row>
    <row r="1381" customFormat="false" ht="15" hidden="false" customHeight="false" outlineLevel="0" collapsed="false">
      <c r="A1381" s="0" t="n">
        <v>1377</v>
      </c>
      <c r="B1381" s="0" t="n">
        <v>2</v>
      </c>
      <c r="C1381" s="19" t="n">
        <v>0.5201</v>
      </c>
      <c r="D1381" s="19" t="n">
        <v>0.0095</v>
      </c>
      <c r="E1381" s="20" t="n">
        <f aca="false">Parametres!$B$5*C1381</f>
        <v>156.03</v>
      </c>
      <c r="F1381" s="20" t="n">
        <f aca="false">Parametres!$B$6*D1381</f>
        <v>1.9</v>
      </c>
      <c r="G1381" s="20" t="n">
        <f aca="false">E1381+F1381</f>
        <v>157.93</v>
      </c>
      <c r="H1381" s="20" t="n">
        <f aca="false">IF(G1381&lt;Parametres!$B$8*Parametres!$B$7,0,MIN(G1381,Parametres!$B$7))</f>
        <v>157.93</v>
      </c>
      <c r="I1381" s="20" t="n">
        <f aca="false">G1381-H1381</f>
        <v>0</v>
      </c>
      <c r="J1381" s="21" t="n">
        <f aca="false">H1381*1000/Parametres!$B$9</f>
        <v>2678.14142784467</v>
      </c>
    </row>
    <row r="1382" customFormat="false" ht="15" hidden="false" customHeight="false" outlineLevel="0" collapsed="false">
      <c r="A1382" s="0" t="n">
        <v>1378</v>
      </c>
      <c r="B1382" s="0" t="n">
        <v>2</v>
      </c>
      <c r="C1382" s="19" t="n">
        <v>0.6977</v>
      </c>
      <c r="D1382" s="19" t="n">
        <v>0.019</v>
      </c>
      <c r="E1382" s="20" t="n">
        <f aca="false">Parametres!$B$5*C1382</f>
        <v>209.31</v>
      </c>
      <c r="F1382" s="20" t="n">
        <f aca="false">Parametres!$B$6*D1382</f>
        <v>3.8</v>
      </c>
      <c r="G1382" s="20" t="n">
        <f aca="false">E1382+F1382</f>
        <v>213.11</v>
      </c>
      <c r="H1382" s="20" t="n">
        <f aca="false">IF(G1382&lt;Parametres!$B$8*Parametres!$B$7,0,MIN(G1382,Parametres!$B$7))</f>
        <v>213.11</v>
      </c>
      <c r="I1382" s="20" t="n">
        <f aca="false">G1382-H1382</f>
        <v>0</v>
      </c>
      <c r="J1382" s="21" t="n">
        <f aca="false">H1382*1000/Parametres!$B$9</f>
        <v>3613.87146006444</v>
      </c>
    </row>
    <row r="1383" customFormat="false" ht="15" hidden="false" customHeight="false" outlineLevel="0" collapsed="false">
      <c r="A1383" s="0" t="n">
        <v>1379</v>
      </c>
      <c r="B1383" s="0" t="n">
        <v>2</v>
      </c>
      <c r="C1383" s="19" t="n">
        <v>0.8385</v>
      </c>
      <c r="D1383" s="19" t="n">
        <v>0.0073</v>
      </c>
      <c r="E1383" s="20" t="n">
        <f aca="false">Parametres!$B$5*C1383</f>
        <v>251.55</v>
      </c>
      <c r="F1383" s="20" t="n">
        <f aca="false">Parametres!$B$6*D1383</f>
        <v>1.46</v>
      </c>
      <c r="G1383" s="20" t="n">
        <f aca="false">E1383+F1383</f>
        <v>253.01</v>
      </c>
      <c r="H1383" s="20" t="n">
        <f aca="false">IF(G1383&lt;Parametres!$B$8*Parametres!$B$7,0,MIN(G1383,Parametres!$B$7))</f>
        <v>250</v>
      </c>
      <c r="I1383" s="20" t="n">
        <f aca="false">G1383-H1383</f>
        <v>3.01000000000002</v>
      </c>
      <c r="J1383" s="21" t="n">
        <f aca="false">H1383*1000/Parametres!$B$9</f>
        <v>4239.44378497541</v>
      </c>
    </row>
    <row r="1384" customFormat="false" ht="15" hidden="false" customHeight="false" outlineLevel="0" collapsed="false">
      <c r="A1384" s="0" t="n">
        <v>1380</v>
      </c>
      <c r="B1384" s="0" t="n">
        <v>2</v>
      </c>
      <c r="C1384" s="19" t="n">
        <v>1</v>
      </c>
      <c r="D1384" s="19" t="n">
        <v>0.0021</v>
      </c>
      <c r="E1384" s="20" t="n">
        <f aca="false">Parametres!$B$5*C1384</f>
        <v>300</v>
      </c>
      <c r="F1384" s="20" t="n">
        <f aca="false">Parametres!$B$6*D1384</f>
        <v>0.42</v>
      </c>
      <c r="G1384" s="20" t="n">
        <f aca="false">E1384+F1384</f>
        <v>300.42</v>
      </c>
      <c r="H1384" s="20" t="n">
        <f aca="false">IF(G1384&lt;Parametres!$B$8*Parametres!$B$7,0,MIN(G1384,Parametres!$B$7))</f>
        <v>250</v>
      </c>
      <c r="I1384" s="20" t="n">
        <f aca="false">G1384-H1384</f>
        <v>50.42</v>
      </c>
      <c r="J1384" s="21" t="n">
        <f aca="false">H1384*1000/Parametres!$B$9</f>
        <v>4239.44378497541</v>
      </c>
    </row>
    <row r="1385" customFormat="false" ht="15" hidden="false" customHeight="false" outlineLevel="0" collapsed="false">
      <c r="A1385" s="0" t="n">
        <v>1381</v>
      </c>
      <c r="B1385" s="0" t="n">
        <v>2</v>
      </c>
      <c r="C1385" s="19" t="n">
        <v>0.9169</v>
      </c>
      <c r="D1385" s="19" t="n">
        <v>0.0114</v>
      </c>
      <c r="E1385" s="20" t="n">
        <f aca="false">Parametres!$B$5*C1385</f>
        <v>275.07</v>
      </c>
      <c r="F1385" s="20" t="n">
        <f aca="false">Parametres!$B$6*D1385</f>
        <v>2.28</v>
      </c>
      <c r="G1385" s="20" t="n">
        <f aca="false">E1385+F1385</f>
        <v>277.35</v>
      </c>
      <c r="H1385" s="20" t="n">
        <f aca="false">IF(G1385&lt;Parametres!$B$8*Parametres!$B$7,0,MIN(G1385,Parametres!$B$7))</f>
        <v>250</v>
      </c>
      <c r="I1385" s="20" t="n">
        <f aca="false">G1385-H1385</f>
        <v>27.35</v>
      </c>
      <c r="J1385" s="21" t="n">
        <f aca="false">H1385*1000/Parametres!$B$9</f>
        <v>4239.44378497541</v>
      </c>
    </row>
    <row r="1386" customFormat="false" ht="15" hidden="false" customHeight="false" outlineLevel="0" collapsed="false">
      <c r="A1386" s="0" t="n">
        <v>1382</v>
      </c>
      <c r="B1386" s="0" t="n">
        <v>2</v>
      </c>
      <c r="C1386" s="19" t="n">
        <v>0.8487</v>
      </c>
      <c r="D1386" s="19" t="n">
        <v>0.0141</v>
      </c>
      <c r="E1386" s="20" t="n">
        <f aca="false">Parametres!$B$5*C1386</f>
        <v>254.61</v>
      </c>
      <c r="F1386" s="20" t="n">
        <f aca="false">Parametres!$B$6*D1386</f>
        <v>2.82</v>
      </c>
      <c r="G1386" s="20" t="n">
        <f aca="false">E1386+F1386</f>
        <v>257.43</v>
      </c>
      <c r="H1386" s="20" t="n">
        <f aca="false">IF(G1386&lt;Parametres!$B$8*Parametres!$B$7,0,MIN(G1386,Parametres!$B$7))</f>
        <v>250</v>
      </c>
      <c r="I1386" s="20" t="n">
        <f aca="false">G1386-H1386</f>
        <v>7.43000000000001</v>
      </c>
      <c r="J1386" s="21" t="n">
        <f aca="false">H1386*1000/Parametres!$B$9</f>
        <v>4239.44378497541</v>
      </c>
    </row>
    <row r="1387" customFormat="false" ht="15" hidden="false" customHeight="false" outlineLevel="0" collapsed="false">
      <c r="A1387" s="0" t="n">
        <v>1383</v>
      </c>
      <c r="B1387" s="0" t="n">
        <v>2</v>
      </c>
      <c r="C1387" s="19" t="n">
        <v>0.6939</v>
      </c>
      <c r="D1387" s="19" t="n">
        <v>0.0223</v>
      </c>
      <c r="E1387" s="20" t="n">
        <f aca="false">Parametres!$B$5*C1387</f>
        <v>208.17</v>
      </c>
      <c r="F1387" s="20" t="n">
        <f aca="false">Parametres!$B$6*D1387</f>
        <v>4.46</v>
      </c>
      <c r="G1387" s="20" t="n">
        <f aca="false">E1387+F1387</f>
        <v>212.63</v>
      </c>
      <c r="H1387" s="20" t="n">
        <f aca="false">IF(G1387&lt;Parametres!$B$8*Parametres!$B$7,0,MIN(G1387,Parametres!$B$7))</f>
        <v>212.63</v>
      </c>
      <c r="I1387" s="20" t="n">
        <f aca="false">G1387-H1387</f>
        <v>0</v>
      </c>
      <c r="J1387" s="21" t="n">
        <f aca="false">H1387*1000/Parametres!$B$9</f>
        <v>3605.73172799729</v>
      </c>
    </row>
    <row r="1388" customFormat="false" ht="15" hidden="false" customHeight="false" outlineLevel="0" collapsed="false">
      <c r="A1388" s="0" t="n">
        <v>1384</v>
      </c>
      <c r="B1388" s="0" t="n">
        <v>2</v>
      </c>
      <c r="C1388" s="19" t="n">
        <v>0.4981</v>
      </c>
      <c r="D1388" s="19" t="n">
        <v>0.0087</v>
      </c>
      <c r="E1388" s="20" t="n">
        <f aca="false">Parametres!$B$5*C1388</f>
        <v>149.43</v>
      </c>
      <c r="F1388" s="20" t="n">
        <f aca="false">Parametres!$B$6*D1388</f>
        <v>1.74</v>
      </c>
      <c r="G1388" s="20" t="n">
        <f aca="false">E1388+F1388</f>
        <v>151.17</v>
      </c>
      <c r="H1388" s="20" t="n">
        <f aca="false">IF(G1388&lt;Parametres!$B$8*Parametres!$B$7,0,MIN(G1388,Parametres!$B$7))</f>
        <v>151.17</v>
      </c>
      <c r="I1388" s="20" t="n">
        <f aca="false">G1388-H1388</f>
        <v>0</v>
      </c>
      <c r="J1388" s="21" t="n">
        <f aca="false">H1388*1000/Parametres!$B$9</f>
        <v>2563.50686789893</v>
      </c>
    </row>
    <row r="1389" customFormat="false" ht="15" hidden="false" customHeight="false" outlineLevel="0" collapsed="false">
      <c r="A1389" s="0" t="n">
        <v>1385</v>
      </c>
      <c r="B1389" s="0" t="n">
        <v>2</v>
      </c>
      <c r="C1389" s="19" t="n">
        <v>0.2523</v>
      </c>
      <c r="D1389" s="19" t="n">
        <v>0.0044</v>
      </c>
      <c r="E1389" s="20" t="n">
        <f aca="false">Parametres!$B$5*C1389</f>
        <v>75.69</v>
      </c>
      <c r="F1389" s="20" t="n">
        <f aca="false">Parametres!$B$6*D1389</f>
        <v>0.88</v>
      </c>
      <c r="G1389" s="20" t="n">
        <f aca="false">E1389+F1389</f>
        <v>76.57</v>
      </c>
      <c r="H1389" s="20" t="n">
        <f aca="false">IF(G1389&lt;Parametres!$B$8*Parametres!$B$7,0,MIN(G1389,Parametres!$B$7))</f>
        <v>76.57</v>
      </c>
      <c r="I1389" s="20" t="n">
        <f aca="false">G1389-H1389</f>
        <v>0</v>
      </c>
      <c r="J1389" s="21" t="n">
        <f aca="false">H1389*1000/Parametres!$B$9</f>
        <v>1298.45684246227</v>
      </c>
    </row>
    <row r="1390" customFormat="false" ht="15" hidden="false" customHeight="false" outlineLevel="0" collapsed="false">
      <c r="A1390" s="0" t="n">
        <v>1386</v>
      </c>
      <c r="B1390" s="0" t="n">
        <v>2</v>
      </c>
      <c r="C1390" s="19" t="n">
        <v>0.0281</v>
      </c>
      <c r="D1390" s="19" t="n">
        <v>0.0051</v>
      </c>
      <c r="E1390" s="20" t="n">
        <f aca="false">Parametres!$B$5*C1390</f>
        <v>8.43</v>
      </c>
      <c r="F1390" s="20" t="n">
        <f aca="false">Parametres!$B$6*D1390</f>
        <v>1.02</v>
      </c>
      <c r="G1390" s="20" t="n">
        <f aca="false">E1390+F1390</f>
        <v>9.45</v>
      </c>
      <c r="H1390" s="20" t="n">
        <f aca="false">IF(G1390&lt;Parametres!$B$8*Parametres!$B$7,0,MIN(G1390,Parametres!$B$7))</f>
        <v>0</v>
      </c>
      <c r="I1390" s="20" t="n">
        <f aca="false">G1390-H1390</f>
        <v>9.45</v>
      </c>
      <c r="J1390" s="21" t="n">
        <f aca="false">H1390*1000/Parametres!$B$9</f>
        <v>0</v>
      </c>
    </row>
    <row r="1391" customFormat="false" ht="15" hidden="false" customHeight="false" outlineLevel="0" collapsed="false">
      <c r="A1391" s="0" t="n">
        <v>1387</v>
      </c>
      <c r="B1391" s="0" t="n">
        <v>2</v>
      </c>
      <c r="C1391" s="19" t="n">
        <v>0</v>
      </c>
      <c r="D1391" s="19" t="n">
        <v>0.0059</v>
      </c>
      <c r="E1391" s="20" t="n">
        <f aca="false">Parametres!$B$5*C1391</f>
        <v>0</v>
      </c>
      <c r="F1391" s="20" t="n">
        <f aca="false">Parametres!$B$6*D1391</f>
        <v>1.18</v>
      </c>
      <c r="G1391" s="20" t="n">
        <f aca="false">E1391+F1391</f>
        <v>1.18</v>
      </c>
      <c r="H1391" s="20" t="n">
        <f aca="false">IF(G1391&lt;Parametres!$B$8*Parametres!$B$7,0,MIN(G1391,Parametres!$B$7))</f>
        <v>0</v>
      </c>
      <c r="I1391" s="20" t="n">
        <f aca="false">G1391-H1391</f>
        <v>1.18</v>
      </c>
      <c r="J1391" s="21" t="n">
        <f aca="false">H1391*1000/Parametres!$B$9</f>
        <v>0</v>
      </c>
    </row>
    <row r="1392" customFormat="false" ht="15" hidden="false" customHeight="false" outlineLevel="0" collapsed="false">
      <c r="A1392" s="0" t="n">
        <v>1388</v>
      </c>
      <c r="B1392" s="0" t="n">
        <v>2</v>
      </c>
      <c r="C1392" s="19" t="n">
        <v>0</v>
      </c>
      <c r="D1392" s="19" t="n">
        <v>0.006</v>
      </c>
      <c r="E1392" s="20" t="n">
        <f aca="false">Parametres!$B$5*C1392</f>
        <v>0</v>
      </c>
      <c r="F1392" s="20" t="n">
        <f aca="false">Parametres!$B$6*D1392</f>
        <v>1.2</v>
      </c>
      <c r="G1392" s="20" t="n">
        <f aca="false">E1392+F1392</f>
        <v>1.2</v>
      </c>
      <c r="H1392" s="20" t="n">
        <f aca="false">IF(G1392&lt;Parametres!$B$8*Parametres!$B$7,0,MIN(G1392,Parametres!$B$7))</f>
        <v>0</v>
      </c>
      <c r="I1392" s="20" t="n">
        <f aca="false">G1392-H1392</f>
        <v>1.2</v>
      </c>
      <c r="J1392" s="21" t="n">
        <f aca="false">H1392*1000/Parametres!$B$9</f>
        <v>0</v>
      </c>
    </row>
    <row r="1393" customFormat="false" ht="15" hidden="false" customHeight="false" outlineLevel="0" collapsed="false">
      <c r="A1393" s="0" t="n">
        <v>1389</v>
      </c>
      <c r="B1393" s="0" t="n">
        <v>2</v>
      </c>
      <c r="C1393" s="19" t="n">
        <v>0</v>
      </c>
      <c r="D1393" s="19" t="n">
        <v>0.0219</v>
      </c>
      <c r="E1393" s="20" t="n">
        <f aca="false">Parametres!$B$5*C1393</f>
        <v>0</v>
      </c>
      <c r="F1393" s="20" t="n">
        <f aca="false">Parametres!$B$6*D1393</f>
        <v>4.38</v>
      </c>
      <c r="G1393" s="20" t="n">
        <f aca="false">E1393+F1393</f>
        <v>4.38</v>
      </c>
      <c r="H1393" s="20" t="n">
        <f aca="false">IF(G1393&lt;Parametres!$B$8*Parametres!$B$7,0,MIN(G1393,Parametres!$B$7))</f>
        <v>0</v>
      </c>
      <c r="I1393" s="20" t="n">
        <f aca="false">G1393-H1393</f>
        <v>4.38</v>
      </c>
      <c r="J1393" s="21" t="n">
        <f aca="false">H1393*1000/Parametres!$B$9</f>
        <v>0</v>
      </c>
    </row>
    <row r="1394" customFormat="false" ht="15" hidden="false" customHeight="false" outlineLevel="0" collapsed="false">
      <c r="A1394" s="0" t="n">
        <v>1390</v>
      </c>
      <c r="B1394" s="0" t="n">
        <v>2</v>
      </c>
      <c r="C1394" s="19" t="n">
        <v>0</v>
      </c>
      <c r="D1394" s="19" t="n">
        <v>0.0204</v>
      </c>
      <c r="E1394" s="20" t="n">
        <f aca="false">Parametres!$B$5*C1394</f>
        <v>0</v>
      </c>
      <c r="F1394" s="20" t="n">
        <f aca="false">Parametres!$B$6*D1394</f>
        <v>4.08</v>
      </c>
      <c r="G1394" s="20" t="n">
        <f aca="false">E1394+F1394</f>
        <v>4.08</v>
      </c>
      <c r="H1394" s="20" t="n">
        <f aca="false">IF(G1394&lt;Parametres!$B$8*Parametres!$B$7,0,MIN(G1394,Parametres!$B$7))</f>
        <v>0</v>
      </c>
      <c r="I1394" s="20" t="n">
        <f aca="false">G1394-H1394</f>
        <v>4.08</v>
      </c>
      <c r="J1394" s="21" t="n">
        <f aca="false">H1394*1000/Parametres!$B$9</f>
        <v>0</v>
      </c>
    </row>
    <row r="1395" customFormat="false" ht="15" hidden="false" customHeight="false" outlineLevel="0" collapsed="false">
      <c r="A1395" s="0" t="n">
        <v>1391</v>
      </c>
      <c r="B1395" s="0" t="n">
        <v>2</v>
      </c>
      <c r="C1395" s="19" t="n">
        <v>0</v>
      </c>
      <c r="D1395" s="19" t="n">
        <v>0.0036</v>
      </c>
      <c r="E1395" s="20" t="n">
        <f aca="false">Parametres!$B$5*C1395</f>
        <v>0</v>
      </c>
      <c r="F1395" s="20" t="n">
        <f aca="false">Parametres!$B$6*D1395</f>
        <v>0.72</v>
      </c>
      <c r="G1395" s="20" t="n">
        <f aca="false">E1395+F1395</f>
        <v>0.72</v>
      </c>
      <c r="H1395" s="20" t="n">
        <f aca="false">IF(G1395&lt;Parametres!$B$8*Parametres!$B$7,0,MIN(G1395,Parametres!$B$7))</f>
        <v>0</v>
      </c>
      <c r="I1395" s="20" t="n">
        <f aca="false">G1395-H1395</f>
        <v>0.72</v>
      </c>
      <c r="J1395" s="21" t="n">
        <f aca="false">H1395*1000/Parametres!$B$9</f>
        <v>0</v>
      </c>
    </row>
    <row r="1396" customFormat="false" ht="15" hidden="false" customHeight="false" outlineLevel="0" collapsed="false">
      <c r="A1396" s="0" t="n">
        <v>1392</v>
      </c>
      <c r="B1396" s="0" t="n">
        <v>2</v>
      </c>
      <c r="C1396" s="19" t="n">
        <v>0</v>
      </c>
      <c r="D1396" s="19" t="n">
        <v>0.0006</v>
      </c>
      <c r="E1396" s="20" t="n">
        <f aca="false">Parametres!$B$5*C1396</f>
        <v>0</v>
      </c>
      <c r="F1396" s="20" t="n">
        <f aca="false">Parametres!$B$6*D1396</f>
        <v>0.12</v>
      </c>
      <c r="G1396" s="20" t="n">
        <f aca="false">E1396+F1396</f>
        <v>0.12</v>
      </c>
      <c r="H1396" s="20" t="n">
        <f aca="false">IF(G1396&lt;Parametres!$B$8*Parametres!$B$7,0,MIN(G1396,Parametres!$B$7))</f>
        <v>0</v>
      </c>
      <c r="I1396" s="20" t="n">
        <f aca="false">G1396-H1396</f>
        <v>0.12</v>
      </c>
      <c r="J1396" s="21" t="n">
        <f aca="false">H1396*1000/Parametres!$B$9</f>
        <v>0</v>
      </c>
    </row>
    <row r="1397" customFormat="false" ht="15" hidden="false" customHeight="false" outlineLevel="0" collapsed="false">
      <c r="A1397" s="0" t="n">
        <v>1393</v>
      </c>
      <c r="B1397" s="0" t="n">
        <v>2</v>
      </c>
      <c r="C1397" s="19" t="n">
        <v>0</v>
      </c>
      <c r="D1397" s="19" t="n">
        <v>0.0004</v>
      </c>
      <c r="E1397" s="20" t="n">
        <f aca="false">Parametres!$B$5*C1397</f>
        <v>0</v>
      </c>
      <c r="F1397" s="20" t="n">
        <f aca="false">Parametres!$B$6*D1397</f>
        <v>0.08</v>
      </c>
      <c r="G1397" s="20" t="n">
        <f aca="false">E1397+F1397</f>
        <v>0.08</v>
      </c>
      <c r="H1397" s="20" t="n">
        <f aca="false">IF(G1397&lt;Parametres!$B$8*Parametres!$B$7,0,MIN(G1397,Parametres!$B$7))</f>
        <v>0</v>
      </c>
      <c r="I1397" s="20" t="n">
        <f aca="false">G1397-H1397</f>
        <v>0.08</v>
      </c>
      <c r="J1397" s="21" t="n">
        <f aca="false">H1397*1000/Parametres!$B$9</f>
        <v>0</v>
      </c>
    </row>
    <row r="1398" customFormat="false" ht="15" hidden="false" customHeight="false" outlineLevel="0" collapsed="false">
      <c r="A1398" s="0" t="n">
        <v>1394</v>
      </c>
      <c r="B1398" s="0" t="n">
        <v>2</v>
      </c>
      <c r="C1398" s="19" t="n">
        <v>0</v>
      </c>
      <c r="D1398" s="19" t="n">
        <v>0.0023</v>
      </c>
      <c r="E1398" s="20" t="n">
        <f aca="false">Parametres!$B$5*C1398</f>
        <v>0</v>
      </c>
      <c r="F1398" s="20" t="n">
        <f aca="false">Parametres!$B$6*D1398</f>
        <v>0.46</v>
      </c>
      <c r="G1398" s="20" t="n">
        <f aca="false">E1398+F1398</f>
        <v>0.46</v>
      </c>
      <c r="H1398" s="20" t="n">
        <f aca="false">IF(G1398&lt;Parametres!$B$8*Parametres!$B$7,0,MIN(G1398,Parametres!$B$7))</f>
        <v>0</v>
      </c>
      <c r="I1398" s="20" t="n">
        <f aca="false">G1398-H1398</f>
        <v>0.46</v>
      </c>
      <c r="J1398" s="21" t="n">
        <f aca="false">H1398*1000/Parametres!$B$9</f>
        <v>0</v>
      </c>
    </row>
    <row r="1399" customFormat="false" ht="15" hidden="false" customHeight="false" outlineLevel="0" collapsed="false">
      <c r="A1399" s="0" t="n">
        <v>1395</v>
      </c>
      <c r="B1399" s="0" t="n">
        <v>2</v>
      </c>
      <c r="C1399" s="19" t="n">
        <v>0</v>
      </c>
      <c r="D1399" s="19" t="n">
        <v>0.0006</v>
      </c>
      <c r="E1399" s="20" t="n">
        <f aca="false">Parametres!$B$5*C1399</f>
        <v>0</v>
      </c>
      <c r="F1399" s="20" t="n">
        <f aca="false">Parametres!$B$6*D1399</f>
        <v>0.12</v>
      </c>
      <c r="G1399" s="20" t="n">
        <f aca="false">E1399+F1399</f>
        <v>0.12</v>
      </c>
      <c r="H1399" s="20" t="n">
        <f aca="false">IF(G1399&lt;Parametres!$B$8*Parametres!$B$7,0,MIN(G1399,Parametres!$B$7))</f>
        <v>0</v>
      </c>
      <c r="I1399" s="20" t="n">
        <f aca="false">G1399-H1399</f>
        <v>0.12</v>
      </c>
      <c r="J1399" s="21" t="n">
        <f aca="false">H1399*1000/Parametres!$B$9</f>
        <v>0</v>
      </c>
    </row>
    <row r="1400" customFormat="false" ht="15" hidden="false" customHeight="false" outlineLevel="0" collapsed="false">
      <c r="A1400" s="0" t="n">
        <v>1396</v>
      </c>
      <c r="B1400" s="0" t="n">
        <v>2</v>
      </c>
      <c r="C1400" s="19" t="n">
        <v>0</v>
      </c>
      <c r="D1400" s="19" t="n">
        <v>0.0002</v>
      </c>
      <c r="E1400" s="20" t="n">
        <f aca="false">Parametres!$B$5*C1400</f>
        <v>0</v>
      </c>
      <c r="F1400" s="20" t="n">
        <f aca="false">Parametres!$B$6*D1400</f>
        <v>0.04</v>
      </c>
      <c r="G1400" s="20" t="n">
        <f aca="false">E1400+F1400</f>
        <v>0.04</v>
      </c>
      <c r="H1400" s="20" t="n">
        <f aca="false">IF(G1400&lt;Parametres!$B$8*Parametres!$B$7,0,MIN(G1400,Parametres!$B$7))</f>
        <v>0</v>
      </c>
      <c r="I1400" s="20" t="n">
        <f aca="false">G1400-H1400</f>
        <v>0.04</v>
      </c>
      <c r="J1400" s="21" t="n">
        <f aca="false">H1400*1000/Parametres!$B$9</f>
        <v>0</v>
      </c>
    </row>
    <row r="1401" customFormat="false" ht="15" hidden="false" customHeight="false" outlineLevel="0" collapsed="false">
      <c r="A1401" s="0" t="n">
        <v>1397</v>
      </c>
      <c r="B1401" s="0" t="n">
        <v>2</v>
      </c>
      <c r="C1401" s="19" t="n">
        <v>0</v>
      </c>
      <c r="D1401" s="19" t="n">
        <v>0.0001</v>
      </c>
      <c r="E1401" s="20" t="n">
        <f aca="false">Parametres!$B$5*C1401</f>
        <v>0</v>
      </c>
      <c r="F1401" s="20" t="n">
        <f aca="false">Parametres!$B$6*D1401</f>
        <v>0.02</v>
      </c>
      <c r="G1401" s="20" t="n">
        <f aca="false">E1401+F1401</f>
        <v>0.02</v>
      </c>
      <c r="H1401" s="20" t="n">
        <f aca="false">IF(G1401&lt;Parametres!$B$8*Parametres!$B$7,0,MIN(G1401,Parametres!$B$7))</f>
        <v>0</v>
      </c>
      <c r="I1401" s="20" t="n">
        <f aca="false">G1401-H1401</f>
        <v>0.02</v>
      </c>
      <c r="J1401" s="21" t="n">
        <f aca="false">H1401*1000/Parametres!$B$9</f>
        <v>0</v>
      </c>
    </row>
    <row r="1402" customFormat="false" ht="15" hidden="false" customHeight="false" outlineLevel="0" collapsed="false">
      <c r="A1402" s="0" t="n">
        <v>1398</v>
      </c>
      <c r="B1402" s="0" t="n">
        <v>2</v>
      </c>
      <c r="C1402" s="19" t="n">
        <v>0</v>
      </c>
      <c r="D1402" s="19" t="n">
        <v>0</v>
      </c>
      <c r="E1402" s="20" t="n">
        <f aca="false">Parametres!$B$5*C1402</f>
        <v>0</v>
      </c>
      <c r="F1402" s="20" t="n">
        <f aca="false">Parametres!$B$6*D1402</f>
        <v>0</v>
      </c>
      <c r="G1402" s="20" t="n">
        <f aca="false">E1402+F1402</f>
        <v>0</v>
      </c>
      <c r="H1402" s="20" t="n">
        <f aca="false">IF(G1402&lt;Parametres!$B$8*Parametres!$B$7,0,MIN(G1402,Parametres!$B$7))</f>
        <v>0</v>
      </c>
      <c r="I1402" s="20" t="n">
        <f aca="false">G1402-H1402</f>
        <v>0</v>
      </c>
      <c r="J1402" s="21" t="n">
        <f aca="false">H1402*1000/Parametres!$B$9</f>
        <v>0</v>
      </c>
    </row>
    <row r="1403" customFormat="false" ht="15" hidden="false" customHeight="false" outlineLevel="0" collapsed="false">
      <c r="A1403" s="0" t="n">
        <v>1399</v>
      </c>
      <c r="B1403" s="0" t="n">
        <v>2</v>
      </c>
      <c r="C1403" s="19" t="n">
        <v>0.0275</v>
      </c>
      <c r="D1403" s="19" t="n">
        <v>0</v>
      </c>
      <c r="E1403" s="20" t="n">
        <f aca="false">Parametres!$B$5*C1403</f>
        <v>8.25</v>
      </c>
      <c r="F1403" s="20" t="n">
        <f aca="false">Parametres!$B$6*D1403</f>
        <v>0</v>
      </c>
      <c r="G1403" s="20" t="n">
        <f aca="false">E1403+F1403</f>
        <v>8.25</v>
      </c>
      <c r="H1403" s="20" t="n">
        <f aca="false">IF(G1403&lt;Parametres!$B$8*Parametres!$B$7,0,MIN(G1403,Parametres!$B$7))</f>
        <v>0</v>
      </c>
      <c r="I1403" s="20" t="n">
        <f aca="false">G1403-H1403</f>
        <v>8.25</v>
      </c>
      <c r="J1403" s="21" t="n">
        <f aca="false">H1403*1000/Parametres!$B$9</f>
        <v>0</v>
      </c>
    </row>
    <row r="1404" customFormat="false" ht="15" hidden="false" customHeight="false" outlineLevel="0" collapsed="false">
      <c r="A1404" s="0" t="n">
        <v>1400</v>
      </c>
      <c r="B1404" s="0" t="n">
        <v>2</v>
      </c>
      <c r="C1404" s="19" t="n">
        <v>0.2268</v>
      </c>
      <c r="D1404" s="19" t="n">
        <v>0</v>
      </c>
      <c r="E1404" s="20" t="n">
        <f aca="false">Parametres!$B$5*C1404</f>
        <v>68.04</v>
      </c>
      <c r="F1404" s="20" t="n">
        <f aca="false">Parametres!$B$6*D1404</f>
        <v>0</v>
      </c>
      <c r="G1404" s="20" t="n">
        <f aca="false">E1404+F1404</f>
        <v>68.04</v>
      </c>
      <c r="H1404" s="20" t="n">
        <f aca="false">IF(G1404&lt;Parametres!$B$8*Parametres!$B$7,0,MIN(G1404,Parametres!$B$7))</f>
        <v>68.04</v>
      </c>
      <c r="I1404" s="20" t="n">
        <f aca="false">G1404-H1404</f>
        <v>0</v>
      </c>
      <c r="J1404" s="21" t="n">
        <f aca="false">H1404*1000/Parametres!$B$9</f>
        <v>1153.80702051891</v>
      </c>
    </row>
    <row r="1405" customFormat="false" ht="15" hidden="false" customHeight="false" outlineLevel="0" collapsed="false">
      <c r="A1405" s="0" t="n">
        <v>1401</v>
      </c>
      <c r="B1405" s="0" t="n">
        <v>2</v>
      </c>
      <c r="C1405" s="19" t="n">
        <v>0.4044</v>
      </c>
      <c r="D1405" s="19" t="n">
        <v>0</v>
      </c>
      <c r="E1405" s="20" t="n">
        <f aca="false">Parametres!$B$5*C1405</f>
        <v>121.32</v>
      </c>
      <c r="F1405" s="20" t="n">
        <f aca="false">Parametres!$B$6*D1405</f>
        <v>0</v>
      </c>
      <c r="G1405" s="20" t="n">
        <f aca="false">E1405+F1405</f>
        <v>121.32</v>
      </c>
      <c r="H1405" s="20" t="n">
        <f aca="false">IF(G1405&lt;Parametres!$B$8*Parametres!$B$7,0,MIN(G1405,Parametres!$B$7))</f>
        <v>121.32</v>
      </c>
      <c r="I1405" s="20" t="n">
        <f aca="false">G1405-H1405</f>
        <v>0</v>
      </c>
      <c r="J1405" s="21" t="n">
        <f aca="false">H1405*1000/Parametres!$B$9</f>
        <v>2057.31727997287</v>
      </c>
    </row>
    <row r="1406" customFormat="false" ht="15" hidden="false" customHeight="false" outlineLevel="0" collapsed="false">
      <c r="A1406" s="0" t="n">
        <v>1402</v>
      </c>
      <c r="B1406" s="0" t="n">
        <v>2</v>
      </c>
      <c r="C1406" s="19" t="n">
        <v>0.566</v>
      </c>
      <c r="D1406" s="19" t="n">
        <v>0.0004</v>
      </c>
      <c r="E1406" s="20" t="n">
        <f aca="false">Parametres!$B$5*C1406</f>
        <v>169.8</v>
      </c>
      <c r="F1406" s="20" t="n">
        <f aca="false">Parametres!$B$6*D1406</f>
        <v>0.08</v>
      </c>
      <c r="G1406" s="20" t="n">
        <f aca="false">E1406+F1406</f>
        <v>169.88</v>
      </c>
      <c r="H1406" s="20" t="n">
        <f aca="false">IF(G1406&lt;Parametres!$B$8*Parametres!$B$7,0,MIN(G1406,Parametres!$B$7))</f>
        <v>169.88</v>
      </c>
      <c r="I1406" s="20" t="n">
        <f aca="false">G1406-H1406</f>
        <v>0</v>
      </c>
      <c r="J1406" s="21" t="n">
        <f aca="false">H1406*1000/Parametres!$B$9</f>
        <v>2880.78684076649</v>
      </c>
    </row>
    <row r="1407" customFormat="false" ht="15" hidden="false" customHeight="false" outlineLevel="0" collapsed="false">
      <c r="A1407" s="0" t="n">
        <v>1403</v>
      </c>
      <c r="B1407" s="0" t="n">
        <v>2</v>
      </c>
      <c r="C1407" s="19" t="n">
        <v>0.7609</v>
      </c>
      <c r="D1407" s="19" t="n">
        <v>0.0003</v>
      </c>
      <c r="E1407" s="20" t="n">
        <f aca="false">Parametres!$B$5*C1407</f>
        <v>228.27</v>
      </c>
      <c r="F1407" s="20" t="n">
        <f aca="false">Parametres!$B$6*D1407</f>
        <v>0.06</v>
      </c>
      <c r="G1407" s="20" t="n">
        <f aca="false">E1407+F1407</f>
        <v>228.33</v>
      </c>
      <c r="H1407" s="20" t="n">
        <f aca="false">IF(G1407&lt;Parametres!$B$8*Parametres!$B$7,0,MIN(G1407,Parametres!$B$7))</f>
        <v>228.33</v>
      </c>
      <c r="I1407" s="20" t="n">
        <f aca="false">G1407-H1407</f>
        <v>0</v>
      </c>
      <c r="J1407" s="21" t="n">
        <f aca="false">H1407*1000/Parametres!$B$9</f>
        <v>3871.96879769374</v>
      </c>
    </row>
    <row r="1408" customFormat="false" ht="15" hidden="false" customHeight="false" outlineLevel="0" collapsed="false">
      <c r="A1408" s="0" t="n">
        <v>1404</v>
      </c>
      <c r="B1408" s="0" t="n">
        <v>2</v>
      </c>
      <c r="C1408" s="19" t="n">
        <v>0.7674</v>
      </c>
      <c r="D1408" s="19" t="n">
        <v>0.0011</v>
      </c>
      <c r="E1408" s="20" t="n">
        <f aca="false">Parametres!$B$5*C1408</f>
        <v>230.22</v>
      </c>
      <c r="F1408" s="20" t="n">
        <f aca="false">Parametres!$B$6*D1408</f>
        <v>0.22</v>
      </c>
      <c r="G1408" s="20" t="n">
        <f aca="false">E1408+F1408</f>
        <v>230.44</v>
      </c>
      <c r="H1408" s="20" t="n">
        <f aca="false">IF(G1408&lt;Parametres!$B$8*Parametres!$B$7,0,MIN(G1408,Parametres!$B$7))</f>
        <v>230.44</v>
      </c>
      <c r="I1408" s="20" t="n">
        <f aca="false">G1408-H1408</f>
        <v>0</v>
      </c>
      <c r="J1408" s="21" t="n">
        <f aca="false">H1408*1000/Parametres!$B$9</f>
        <v>3907.74970323894</v>
      </c>
    </row>
    <row r="1409" customFormat="false" ht="15" hidden="false" customHeight="false" outlineLevel="0" collapsed="false">
      <c r="A1409" s="0" t="n">
        <v>1405</v>
      </c>
      <c r="B1409" s="0" t="n">
        <v>2</v>
      </c>
      <c r="C1409" s="19" t="n">
        <v>0.817</v>
      </c>
      <c r="D1409" s="19" t="n">
        <v>0.0001</v>
      </c>
      <c r="E1409" s="20" t="n">
        <f aca="false">Parametres!$B$5*C1409</f>
        <v>245.1</v>
      </c>
      <c r="F1409" s="20" t="n">
        <f aca="false">Parametres!$B$6*D1409</f>
        <v>0.02</v>
      </c>
      <c r="G1409" s="20" t="n">
        <f aca="false">E1409+F1409</f>
        <v>245.12</v>
      </c>
      <c r="H1409" s="20" t="n">
        <f aca="false">IF(G1409&lt;Parametres!$B$8*Parametres!$B$7,0,MIN(G1409,Parametres!$B$7))</f>
        <v>245.12</v>
      </c>
      <c r="I1409" s="20" t="n">
        <f aca="false">G1409-H1409</f>
        <v>0</v>
      </c>
      <c r="J1409" s="21" t="n">
        <f aca="false">H1409*1000/Parametres!$B$9</f>
        <v>4156.68984229269</v>
      </c>
    </row>
    <row r="1410" customFormat="false" ht="15" hidden="false" customHeight="false" outlineLevel="0" collapsed="false">
      <c r="A1410" s="0" t="n">
        <v>1406</v>
      </c>
      <c r="B1410" s="0" t="n">
        <v>2</v>
      </c>
      <c r="C1410" s="19" t="n">
        <v>0.7187</v>
      </c>
      <c r="D1410" s="19" t="n">
        <v>0.0012</v>
      </c>
      <c r="E1410" s="20" t="n">
        <f aca="false">Parametres!$B$5*C1410</f>
        <v>215.61</v>
      </c>
      <c r="F1410" s="20" t="n">
        <f aca="false">Parametres!$B$6*D1410</f>
        <v>0.24</v>
      </c>
      <c r="G1410" s="20" t="n">
        <f aca="false">E1410+F1410</f>
        <v>215.85</v>
      </c>
      <c r="H1410" s="20" t="n">
        <f aca="false">IF(G1410&lt;Parametres!$B$8*Parametres!$B$7,0,MIN(G1410,Parametres!$B$7))</f>
        <v>215.85</v>
      </c>
      <c r="I1410" s="20" t="n">
        <f aca="false">G1410-H1410</f>
        <v>0</v>
      </c>
      <c r="J1410" s="21" t="n">
        <f aca="false">H1410*1000/Parametres!$B$9</f>
        <v>3660.33576394777</v>
      </c>
    </row>
    <row r="1411" customFormat="false" ht="15" hidden="false" customHeight="false" outlineLevel="0" collapsed="false">
      <c r="A1411" s="0" t="n">
        <v>1407</v>
      </c>
      <c r="B1411" s="0" t="n">
        <v>2</v>
      </c>
      <c r="C1411" s="19" t="n">
        <v>0.6493</v>
      </c>
      <c r="D1411" s="19" t="n">
        <v>0.0042</v>
      </c>
      <c r="E1411" s="20" t="n">
        <f aca="false">Parametres!$B$5*C1411</f>
        <v>194.79</v>
      </c>
      <c r="F1411" s="20" t="n">
        <f aca="false">Parametres!$B$6*D1411</f>
        <v>0.84</v>
      </c>
      <c r="G1411" s="20" t="n">
        <f aca="false">E1411+F1411</f>
        <v>195.63</v>
      </c>
      <c r="H1411" s="20" t="n">
        <f aca="false">IF(G1411&lt;Parametres!$B$8*Parametres!$B$7,0,MIN(G1411,Parametres!$B$7))</f>
        <v>195.63</v>
      </c>
      <c r="I1411" s="20" t="n">
        <f aca="false">G1411-H1411</f>
        <v>0</v>
      </c>
      <c r="J1411" s="21" t="n">
        <f aca="false">H1411*1000/Parametres!$B$9</f>
        <v>3317.44955061896</v>
      </c>
    </row>
    <row r="1412" customFormat="false" ht="15" hidden="false" customHeight="false" outlineLevel="0" collapsed="false">
      <c r="A1412" s="0" t="n">
        <v>1408</v>
      </c>
      <c r="B1412" s="0" t="n">
        <v>2</v>
      </c>
      <c r="C1412" s="19" t="n">
        <v>0.4247</v>
      </c>
      <c r="D1412" s="19" t="n">
        <v>0.0063</v>
      </c>
      <c r="E1412" s="20" t="n">
        <f aca="false">Parametres!$B$5*C1412</f>
        <v>127.41</v>
      </c>
      <c r="F1412" s="20" t="n">
        <f aca="false">Parametres!$B$6*D1412</f>
        <v>1.26</v>
      </c>
      <c r="G1412" s="20" t="n">
        <f aca="false">E1412+F1412</f>
        <v>128.67</v>
      </c>
      <c r="H1412" s="20" t="n">
        <f aca="false">IF(G1412&lt;Parametres!$B$8*Parametres!$B$7,0,MIN(G1412,Parametres!$B$7))</f>
        <v>128.67</v>
      </c>
      <c r="I1412" s="20" t="n">
        <f aca="false">G1412-H1412</f>
        <v>0</v>
      </c>
      <c r="J1412" s="21" t="n">
        <f aca="false">H1412*1000/Parametres!$B$9</f>
        <v>2181.95692725115</v>
      </c>
    </row>
    <row r="1413" customFormat="false" ht="15" hidden="false" customHeight="false" outlineLevel="0" collapsed="false">
      <c r="A1413" s="0" t="n">
        <v>1409</v>
      </c>
      <c r="B1413" s="0" t="n">
        <v>2</v>
      </c>
      <c r="C1413" s="19" t="n">
        <v>0.2346</v>
      </c>
      <c r="D1413" s="19" t="n">
        <v>0.0005</v>
      </c>
      <c r="E1413" s="20" t="n">
        <f aca="false">Parametres!$B$5*C1413</f>
        <v>70.38</v>
      </c>
      <c r="F1413" s="20" t="n">
        <f aca="false">Parametres!$B$6*D1413</f>
        <v>0.1</v>
      </c>
      <c r="G1413" s="20" t="n">
        <f aca="false">E1413+F1413</f>
        <v>70.48</v>
      </c>
      <c r="H1413" s="20" t="n">
        <f aca="false">IF(G1413&lt;Parametres!$B$8*Parametres!$B$7,0,MIN(G1413,Parametres!$B$7))</f>
        <v>70.48</v>
      </c>
      <c r="I1413" s="20" t="n">
        <f aca="false">G1413-H1413</f>
        <v>0</v>
      </c>
      <c r="J1413" s="21" t="n">
        <f aca="false">H1413*1000/Parametres!$B$9</f>
        <v>1195.18399186027</v>
      </c>
    </row>
    <row r="1414" customFormat="false" ht="15" hidden="false" customHeight="false" outlineLevel="0" collapsed="false">
      <c r="A1414" s="0" t="n">
        <v>1410</v>
      </c>
      <c r="B1414" s="0" t="n">
        <v>2</v>
      </c>
      <c r="C1414" s="19" t="n">
        <v>0.0271</v>
      </c>
      <c r="D1414" s="19" t="n">
        <v>0.0092</v>
      </c>
      <c r="E1414" s="20" t="n">
        <f aca="false">Parametres!$B$5*C1414</f>
        <v>8.13</v>
      </c>
      <c r="F1414" s="20" t="n">
        <f aca="false">Parametres!$B$6*D1414</f>
        <v>1.84</v>
      </c>
      <c r="G1414" s="20" t="n">
        <f aca="false">E1414+F1414</f>
        <v>9.97</v>
      </c>
      <c r="H1414" s="20" t="n">
        <f aca="false">IF(G1414&lt;Parametres!$B$8*Parametres!$B$7,0,MIN(G1414,Parametres!$B$7))</f>
        <v>0</v>
      </c>
      <c r="I1414" s="20" t="n">
        <f aca="false">G1414-H1414</f>
        <v>9.97</v>
      </c>
      <c r="J1414" s="21" t="n">
        <f aca="false">H1414*1000/Parametres!$B$9</f>
        <v>0</v>
      </c>
    </row>
    <row r="1415" customFormat="false" ht="15" hidden="false" customHeight="false" outlineLevel="0" collapsed="false">
      <c r="A1415" s="0" t="n">
        <v>1411</v>
      </c>
      <c r="B1415" s="0" t="n">
        <v>2</v>
      </c>
      <c r="C1415" s="19" t="n">
        <v>0</v>
      </c>
      <c r="D1415" s="19" t="n">
        <v>0</v>
      </c>
      <c r="E1415" s="20" t="n">
        <f aca="false">Parametres!$B$5*C1415</f>
        <v>0</v>
      </c>
      <c r="F1415" s="20" t="n">
        <f aca="false">Parametres!$B$6*D1415</f>
        <v>0</v>
      </c>
      <c r="G1415" s="20" t="n">
        <f aca="false">E1415+F1415</f>
        <v>0</v>
      </c>
      <c r="H1415" s="20" t="n">
        <f aca="false">IF(G1415&lt;Parametres!$B$8*Parametres!$B$7,0,MIN(G1415,Parametres!$B$7))</f>
        <v>0</v>
      </c>
      <c r="I1415" s="20" t="n">
        <f aca="false">G1415-H1415</f>
        <v>0</v>
      </c>
      <c r="J1415" s="21" t="n">
        <f aca="false">H1415*1000/Parametres!$B$9</f>
        <v>0</v>
      </c>
    </row>
    <row r="1416" customFormat="false" ht="15" hidden="false" customHeight="false" outlineLevel="0" collapsed="false">
      <c r="A1416" s="0" t="n">
        <v>1412</v>
      </c>
      <c r="B1416" s="0" t="n">
        <v>2</v>
      </c>
      <c r="C1416" s="19" t="n">
        <v>0</v>
      </c>
      <c r="D1416" s="19" t="n">
        <v>0</v>
      </c>
      <c r="E1416" s="20" t="n">
        <f aca="false">Parametres!$B$5*C1416</f>
        <v>0</v>
      </c>
      <c r="F1416" s="20" t="n">
        <f aca="false">Parametres!$B$6*D1416</f>
        <v>0</v>
      </c>
      <c r="G1416" s="20" t="n">
        <f aca="false">E1416+F1416</f>
        <v>0</v>
      </c>
      <c r="H1416" s="20" t="n">
        <f aca="false">IF(G1416&lt;Parametres!$B$8*Parametres!$B$7,0,MIN(G1416,Parametres!$B$7))</f>
        <v>0</v>
      </c>
      <c r="I1416" s="20" t="n">
        <f aca="false">G1416-H1416</f>
        <v>0</v>
      </c>
      <c r="J1416" s="21" t="n">
        <f aca="false">H1416*1000/Parametres!$B$9</f>
        <v>0</v>
      </c>
    </row>
    <row r="1417" customFormat="false" ht="15" hidden="false" customHeight="false" outlineLevel="0" collapsed="false">
      <c r="A1417" s="0" t="n">
        <v>1413</v>
      </c>
      <c r="B1417" s="0" t="n">
        <v>2</v>
      </c>
      <c r="C1417" s="19" t="n">
        <v>0</v>
      </c>
      <c r="D1417" s="19" t="n">
        <v>0</v>
      </c>
      <c r="E1417" s="20" t="n">
        <f aca="false">Parametres!$B$5*C1417</f>
        <v>0</v>
      </c>
      <c r="F1417" s="20" t="n">
        <f aca="false">Parametres!$B$6*D1417</f>
        <v>0</v>
      </c>
      <c r="G1417" s="20" t="n">
        <f aca="false">E1417+F1417</f>
        <v>0</v>
      </c>
      <c r="H1417" s="20" t="n">
        <f aca="false">IF(G1417&lt;Parametres!$B$8*Parametres!$B$7,0,MIN(G1417,Parametres!$B$7))</f>
        <v>0</v>
      </c>
      <c r="I1417" s="20" t="n">
        <f aca="false">G1417-H1417</f>
        <v>0</v>
      </c>
      <c r="J1417" s="21" t="n">
        <f aca="false">H1417*1000/Parametres!$B$9</f>
        <v>0</v>
      </c>
    </row>
    <row r="1418" customFormat="false" ht="15" hidden="false" customHeight="false" outlineLevel="0" collapsed="false">
      <c r="A1418" s="0" t="n">
        <v>1414</v>
      </c>
      <c r="B1418" s="0" t="n">
        <v>2</v>
      </c>
      <c r="C1418" s="19" t="n">
        <v>0</v>
      </c>
      <c r="D1418" s="19" t="n">
        <v>0</v>
      </c>
      <c r="E1418" s="20" t="n">
        <f aca="false">Parametres!$B$5*C1418</f>
        <v>0</v>
      </c>
      <c r="F1418" s="20" t="n">
        <f aca="false">Parametres!$B$6*D1418</f>
        <v>0</v>
      </c>
      <c r="G1418" s="20" t="n">
        <f aca="false">E1418+F1418</f>
        <v>0</v>
      </c>
      <c r="H1418" s="20" t="n">
        <f aca="false">IF(G1418&lt;Parametres!$B$8*Parametres!$B$7,0,MIN(G1418,Parametres!$B$7))</f>
        <v>0</v>
      </c>
      <c r="I1418" s="20" t="n">
        <f aca="false">G1418-H1418</f>
        <v>0</v>
      </c>
      <c r="J1418" s="21" t="n">
        <f aca="false">H1418*1000/Parametres!$B$9</f>
        <v>0</v>
      </c>
    </row>
    <row r="1419" customFormat="false" ht="15" hidden="false" customHeight="false" outlineLevel="0" collapsed="false">
      <c r="A1419" s="0" t="n">
        <v>1415</v>
      </c>
      <c r="B1419" s="0" t="n">
        <v>2</v>
      </c>
      <c r="C1419" s="19" t="n">
        <v>0</v>
      </c>
      <c r="D1419" s="19" t="n">
        <v>0</v>
      </c>
      <c r="E1419" s="20" t="n">
        <f aca="false">Parametres!$B$5*C1419</f>
        <v>0</v>
      </c>
      <c r="F1419" s="20" t="n">
        <f aca="false">Parametres!$B$6*D1419</f>
        <v>0</v>
      </c>
      <c r="G1419" s="20" t="n">
        <f aca="false">E1419+F1419</f>
        <v>0</v>
      </c>
      <c r="H1419" s="20" t="n">
        <f aca="false">IF(G1419&lt;Parametres!$B$8*Parametres!$B$7,0,MIN(G1419,Parametres!$B$7))</f>
        <v>0</v>
      </c>
      <c r="I1419" s="20" t="n">
        <f aca="false">G1419-H1419</f>
        <v>0</v>
      </c>
      <c r="J1419" s="21" t="n">
        <f aca="false">H1419*1000/Parametres!$B$9</f>
        <v>0</v>
      </c>
    </row>
    <row r="1420" customFormat="false" ht="15" hidden="false" customHeight="false" outlineLevel="0" collapsed="false">
      <c r="A1420" s="0" t="n">
        <v>1416</v>
      </c>
      <c r="B1420" s="0" t="n">
        <v>2</v>
      </c>
      <c r="C1420" s="19" t="n">
        <v>0</v>
      </c>
      <c r="D1420" s="19" t="n">
        <v>0</v>
      </c>
      <c r="E1420" s="20" t="n">
        <f aca="false">Parametres!$B$5*C1420</f>
        <v>0</v>
      </c>
      <c r="F1420" s="20" t="n">
        <f aca="false">Parametres!$B$6*D1420</f>
        <v>0</v>
      </c>
      <c r="G1420" s="20" t="n">
        <f aca="false">E1420+F1420</f>
        <v>0</v>
      </c>
      <c r="H1420" s="20" t="n">
        <f aca="false">IF(G1420&lt;Parametres!$B$8*Parametres!$B$7,0,MIN(G1420,Parametres!$B$7))</f>
        <v>0</v>
      </c>
      <c r="I1420" s="20" t="n">
        <f aca="false">G1420-H1420</f>
        <v>0</v>
      </c>
      <c r="J1420" s="21" t="n">
        <f aca="false">H1420*1000/Parametres!$B$9</f>
        <v>0</v>
      </c>
    </row>
    <row r="1421" customFormat="false" ht="15" hidden="false" customHeight="false" outlineLevel="0" collapsed="false">
      <c r="A1421" s="0" t="n">
        <v>1417</v>
      </c>
      <c r="B1421" s="0" t="n">
        <v>3</v>
      </c>
      <c r="C1421" s="19" t="n">
        <v>0</v>
      </c>
      <c r="D1421" s="19" t="n">
        <v>0</v>
      </c>
      <c r="E1421" s="20" t="n">
        <f aca="false">Parametres!$B$5*C1421</f>
        <v>0</v>
      </c>
      <c r="F1421" s="20" t="n">
        <f aca="false">Parametres!$B$6*D1421</f>
        <v>0</v>
      </c>
      <c r="G1421" s="20" t="n">
        <f aca="false">E1421+F1421</f>
        <v>0</v>
      </c>
      <c r="H1421" s="20" t="n">
        <f aca="false">IF(G1421&lt;Parametres!$B$8*Parametres!$B$7,0,MIN(G1421,Parametres!$B$7))</f>
        <v>0</v>
      </c>
      <c r="I1421" s="20" t="n">
        <f aca="false">G1421-H1421</f>
        <v>0</v>
      </c>
      <c r="J1421" s="21" t="n">
        <f aca="false">H1421*1000/Parametres!$B$9</f>
        <v>0</v>
      </c>
    </row>
    <row r="1422" customFormat="false" ht="15" hidden="false" customHeight="false" outlineLevel="0" collapsed="false">
      <c r="A1422" s="0" t="n">
        <v>1418</v>
      </c>
      <c r="B1422" s="0" t="n">
        <v>3</v>
      </c>
      <c r="C1422" s="19" t="n">
        <v>0</v>
      </c>
      <c r="D1422" s="19" t="n">
        <v>0</v>
      </c>
      <c r="E1422" s="20" t="n">
        <f aca="false">Parametres!$B$5*C1422</f>
        <v>0</v>
      </c>
      <c r="F1422" s="20" t="n">
        <f aca="false">Parametres!$B$6*D1422</f>
        <v>0</v>
      </c>
      <c r="G1422" s="20" t="n">
        <f aca="false">E1422+F1422</f>
        <v>0</v>
      </c>
      <c r="H1422" s="20" t="n">
        <f aca="false">IF(G1422&lt;Parametres!$B$8*Parametres!$B$7,0,MIN(G1422,Parametres!$B$7))</f>
        <v>0</v>
      </c>
      <c r="I1422" s="20" t="n">
        <f aca="false">G1422-H1422</f>
        <v>0</v>
      </c>
      <c r="J1422" s="21" t="n">
        <f aca="false">H1422*1000/Parametres!$B$9</f>
        <v>0</v>
      </c>
    </row>
    <row r="1423" customFormat="false" ht="15" hidden="false" customHeight="false" outlineLevel="0" collapsed="false">
      <c r="A1423" s="0" t="n">
        <v>1419</v>
      </c>
      <c r="B1423" s="0" t="n">
        <v>3</v>
      </c>
      <c r="C1423" s="19" t="n">
        <v>0</v>
      </c>
      <c r="D1423" s="19" t="n">
        <v>0</v>
      </c>
      <c r="E1423" s="20" t="n">
        <f aca="false">Parametres!$B$5*C1423</f>
        <v>0</v>
      </c>
      <c r="F1423" s="20" t="n">
        <f aca="false">Parametres!$B$6*D1423</f>
        <v>0</v>
      </c>
      <c r="G1423" s="20" t="n">
        <f aca="false">E1423+F1423</f>
        <v>0</v>
      </c>
      <c r="H1423" s="20" t="n">
        <f aca="false">IF(G1423&lt;Parametres!$B$8*Parametres!$B$7,0,MIN(G1423,Parametres!$B$7))</f>
        <v>0</v>
      </c>
      <c r="I1423" s="20" t="n">
        <f aca="false">G1423-H1423</f>
        <v>0</v>
      </c>
      <c r="J1423" s="21" t="n">
        <f aca="false">H1423*1000/Parametres!$B$9</f>
        <v>0</v>
      </c>
    </row>
    <row r="1424" customFormat="false" ht="15" hidden="false" customHeight="false" outlineLevel="0" collapsed="false">
      <c r="A1424" s="0" t="n">
        <v>1420</v>
      </c>
      <c r="B1424" s="0" t="n">
        <v>3</v>
      </c>
      <c r="C1424" s="19" t="n">
        <v>0</v>
      </c>
      <c r="D1424" s="19" t="n">
        <v>0</v>
      </c>
      <c r="E1424" s="20" t="n">
        <f aca="false">Parametres!$B$5*C1424</f>
        <v>0</v>
      </c>
      <c r="F1424" s="20" t="n">
        <f aca="false">Parametres!$B$6*D1424</f>
        <v>0</v>
      </c>
      <c r="G1424" s="20" t="n">
        <f aca="false">E1424+F1424</f>
        <v>0</v>
      </c>
      <c r="H1424" s="20" t="n">
        <f aca="false">IF(G1424&lt;Parametres!$B$8*Parametres!$B$7,0,MIN(G1424,Parametres!$B$7))</f>
        <v>0</v>
      </c>
      <c r="I1424" s="20" t="n">
        <f aca="false">G1424-H1424</f>
        <v>0</v>
      </c>
      <c r="J1424" s="21" t="n">
        <f aca="false">H1424*1000/Parametres!$B$9</f>
        <v>0</v>
      </c>
    </row>
    <row r="1425" customFormat="false" ht="15" hidden="false" customHeight="false" outlineLevel="0" collapsed="false">
      <c r="A1425" s="0" t="n">
        <v>1421</v>
      </c>
      <c r="B1425" s="0" t="n">
        <v>3</v>
      </c>
      <c r="C1425" s="19" t="n">
        <v>0</v>
      </c>
      <c r="D1425" s="19" t="n">
        <v>0</v>
      </c>
      <c r="E1425" s="20" t="n">
        <f aca="false">Parametres!$B$5*C1425</f>
        <v>0</v>
      </c>
      <c r="F1425" s="20" t="n">
        <f aca="false">Parametres!$B$6*D1425</f>
        <v>0</v>
      </c>
      <c r="G1425" s="20" t="n">
        <f aca="false">E1425+F1425</f>
        <v>0</v>
      </c>
      <c r="H1425" s="20" t="n">
        <f aca="false">IF(G1425&lt;Parametres!$B$8*Parametres!$B$7,0,MIN(G1425,Parametres!$B$7))</f>
        <v>0</v>
      </c>
      <c r="I1425" s="20" t="n">
        <f aca="false">G1425-H1425</f>
        <v>0</v>
      </c>
      <c r="J1425" s="21" t="n">
        <f aca="false">H1425*1000/Parametres!$B$9</f>
        <v>0</v>
      </c>
    </row>
    <row r="1426" customFormat="false" ht="15" hidden="false" customHeight="false" outlineLevel="0" collapsed="false">
      <c r="A1426" s="0" t="n">
        <v>1422</v>
      </c>
      <c r="B1426" s="0" t="n">
        <v>3</v>
      </c>
      <c r="C1426" s="19" t="n">
        <v>0</v>
      </c>
      <c r="D1426" s="19" t="n">
        <v>0</v>
      </c>
      <c r="E1426" s="20" t="n">
        <f aca="false">Parametres!$B$5*C1426</f>
        <v>0</v>
      </c>
      <c r="F1426" s="20" t="n">
        <f aca="false">Parametres!$B$6*D1426</f>
        <v>0</v>
      </c>
      <c r="G1426" s="20" t="n">
        <f aca="false">E1426+F1426</f>
        <v>0</v>
      </c>
      <c r="H1426" s="20" t="n">
        <f aca="false">IF(G1426&lt;Parametres!$B$8*Parametres!$B$7,0,MIN(G1426,Parametres!$B$7))</f>
        <v>0</v>
      </c>
      <c r="I1426" s="20" t="n">
        <f aca="false">G1426-H1426</f>
        <v>0</v>
      </c>
      <c r="J1426" s="21" t="n">
        <f aca="false">H1426*1000/Parametres!$B$9</f>
        <v>0</v>
      </c>
    </row>
    <row r="1427" customFormat="false" ht="15" hidden="false" customHeight="false" outlineLevel="0" collapsed="false">
      <c r="A1427" s="0" t="n">
        <v>1423</v>
      </c>
      <c r="B1427" s="0" t="n">
        <v>3</v>
      </c>
      <c r="C1427" s="19" t="n">
        <v>0.0341</v>
      </c>
      <c r="D1427" s="19" t="n">
        <v>0</v>
      </c>
      <c r="E1427" s="20" t="n">
        <f aca="false">Parametres!$B$5*C1427</f>
        <v>10.23</v>
      </c>
      <c r="F1427" s="20" t="n">
        <f aca="false">Parametres!$B$6*D1427</f>
        <v>0</v>
      </c>
      <c r="G1427" s="20" t="n">
        <f aca="false">E1427+F1427</f>
        <v>10.23</v>
      </c>
      <c r="H1427" s="20" t="n">
        <f aca="false">IF(G1427&lt;Parametres!$B$8*Parametres!$B$7,0,MIN(G1427,Parametres!$B$7))</f>
        <v>0</v>
      </c>
      <c r="I1427" s="20" t="n">
        <f aca="false">G1427-H1427</f>
        <v>10.23</v>
      </c>
      <c r="J1427" s="21" t="n">
        <f aca="false">H1427*1000/Parametres!$B$9</f>
        <v>0</v>
      </c>
    </row>
    <row r="1428" customFormat="false" ht="15" hidden="false" customHeight="false" outlineLevel="0" collapsed="false">
      <c r="A1428" s="0" t="n">
        <v>1424</v>
      </c>
      <c r="B1428" s="0" t="n">
        <v>3</v>
      </c>
      <c r="C1428" s="19" t="n">
        <v>0.265</v>
      </c>
      <c r="D1428" s="19" t="n">
        <v>0</v>
      </c>
      <c r="E1428" s="20" t="n">
        <f aca="false">Parametres!$B$5*C1428</f>
        <v>79.5</v>
      </c>
      <c r="F1428" s="20" t="n">
        <f aca="false">Parametres!$B$6*D1428</f>
        <v>0</v>
      </c>
      <c r="G1428" s="20" t="n">
        <f aca="false">E1428+F1428</f>
        <v>79.5</v>
      </c>
      <c r="H1428" s="20" t="n">
        <f aca="false">IF(G1428&lt;Parametres!$B$8*Parametres!$B$7,0,MIN(G1428,Parametres!$B$7))</f>
        <v>79.5</v>
      </c>
      <c r="I1428" s="20" t="n">
        <f aca="false">G1428-H1428</f>
        <v>0</v>
      </c>
      <c r="J1428" s="21" t="n">
        <f aca="false">H1428*1000/Parametres!$B$9</f>
        <v>1348.14312362218</v>
      </c>
    </row>
    <row r="1429" customFormat="false" ht="15" hidden="false" customHeight="false" outlineLevel="0" collapsed="false">
      <c r="A1429" s="0" t="n">
        <v>1425</v>
      </c>
      <c r="B1429" s="0" t="n">
        <v>3</v>
      </c>
      <c r="C1429" s="19" t="n">
        <v>0.4899</v>
      </c>
      <c r="D1429" s="19" t="n">
        <v>0</v>
      </c>
      <c r="E1429" s="20" t="n">
        <f aca="false">Parametres!$B$5*C1429</f>
        <v>146.97</v>
      </c>
      <c r="F1429" s="20" t="n">
        <f aca="false">Parametres!$B$6*D1429</f>
        <v>0</v>
      </c>
      <c r="G1429" s="20" t="n">
        <f aca="false">E1429+F1429</f>
        <v>146.97</v>
      </c>
      <c r="H1429" s="20" t="n">
        <f aca="false">IF(G1429&lt;Parametres!$B$8*Parametres!$B$7,0,MIN(G1429,Parametres!$B$7))</f>
        <v>146.97</v>
      </c>
      <c r="I1429" s="20" t="n">
        <f aca="false">G1429-H1429</f>
        <v>0</v>
      </c>
      <c r="J1429" s="21" t="n">
        <f aca="false">H1429*1000/Parametres!$B$9</f>
        <v>2492.28421231134</v>
      </c>
    </row>
    <row r="1430" customFormat="false" ht="15" hidden="false" customHeight="false" outlineLevel="0" collapsed="false">
      <c r="A1430" s="0" t="n">
        <v>1426</v>
      </c>
      <c r="B1430" s="0" t="n">
        <v>3</v>
      </c>
      <c r="C1430" s="19" t="n">
        <v>0.7034</v>
      </c>
      <c r="D1430" s="19" t="n">
        <v>0</v>
      </c>
      <c r="E1430" s="20" t="n">
        <f aca="false">Parametres!$B$5*C1430</f>
        <v>211.02</v>
      </c>
      <c r="F1430" s="20" t="n">
        <f aca="false">Parametres!$B$6*D1430</f>
        <v>0</v>
      </c>
      <c r="G1430" s="20" t="n">
        <f aca="false">E1430+F1430</f>
        <v>211.02</v>
      </c>
      <c r="H1430" s="20" t="n">
        <f aca="false">IF(G1430&lt;Parametres!$B$8*Parametres!$B$7,0,MIN(G1430,Parametres!$B$7))</f>
        <v>211.02</v>
      </c>
      <c r="I1430" s="20" t="n">
        <f aca="false">G1430-H1430</f>
        <v>0</v>
      </c>
      <c r="J1430" s="21" t="n">
        <f aca="false">H1430*1000/Parametres!$B$9</f>
        <v>3578.42971002205</v>
      </c>
    </row>
    <row r="1431" customFormat="false" ht="15" hidden="false" customHeight="false" outlineLevel="0" collapsed="false">
      <c r="A1431" s="0" t="n">
        <v>1427</v>
      </c>
      <c r="B1431" s="0" t="n">
        <v>3</v>
      </c>
      <c r="C1431" s="19" t="n">
        <v>0.8274</v>
      </c>
      <c r="D1431" s="19" t="n">
        <v>0</v>
      </c>
      <c r="E1431" s="20" t="n">
        <f aca="false">Parametres!$B$5*C1431</f>
        <v>248.22</v>
      </c>
      <c r="F1431" s="20" t="n">
        <f aca="false">Parametres!$B$6*D1431</f>
        <v>0</v>
      </c>
      <c r="G1431" s="20" t="n">
        <f aca="false">E1431+F1431</f>
        <v>248.22</v>
      </c>
      <c r="H1431" s="20" t="n">
        <f aca="false">IF(G1431&lt;Parametres!$B$8*Parametres!$B$7,0,MIN(G1431,Parametres!$B$7))</f>
        <v>248.22</v>
      </c>
      <c r="I1431" s="20" t="n">
        <f aca="false">G1431-H1431</f>
        <v>0</v>
      </c>
      <c r="J1431" s="21" t="n">
        <f aca="false">H1431*1000/Parametres!$B$9</f>
        <v>4209.25894522639</v>
      </c>
    </row>
    <row r="1432" customFormat="false" ht="15" hidden="false" customHeight="false" outlineLevel="0" collapsed="false">
      <c r="A1432" s="0" t="n">
        <v>1428</v>
      </c>
      <c r="B1432" s="0" t="n">
        <v>3</v>
      </c>
      <c r="C1432" s="19" t="n">
        <v>0.8826</v>
      </c>
      <c r="D1432" s="19" t="n">
        <v>0</v>
      </c>
      <c r="E1432" s="20" t="n">
        <f aca="false">Parametres!$B$5*C1432</f>
        <v>264.78</v>
      </c>
      <c r="F1432" s="20" t="n">
        <f aca="false">Parametres!$B$6*D1432</f>
        <v>0</v>
      </c>
      <c r="G1432" s="20" t="n">
        <f aca="false">E1432+F1432</f>
        <v>264.78</v>
      </c>
      <c r="H1432" s="20" t="n">
        <f aca="false">IF(G1432&lt;Parametres!$B$8*Parametres!$B$7,0,MIN(G1432,Parametres!$B$7))</f>
        <v>250</v>
      </c>
      <c r="I1432" s="20" t="n">
        <f aca="false">G1432-H1432</f>
        <v>14.78</v>
      </c>
      <c r="J1432" s="21" t="n">
        <f aca="false">H1432*1000/Parametres!$B$9</f>
        <v>4239.44378497541</v>
      </c>
    </row>
    <row r="1433" customFormat="false" ht="15" hidden="false" customHeight="false" outlineLevel="0" collapsed="false">
      <c r="A1433" s="0" t="n">
        <v>1429</v>
      </c>
      <c r="B1433" s="0" t="n">
        <v>3</v>
      </c>
      <c r="C1433" s="19" t="n">
        <v>0.8853</v>
      </c>
      <c r="D1433" s="19" t="n">
        <v>0</v>
      </c>
      <c r="E1433" s="20" t="n">
        <f aca="false">Parametres!$B$5*C1433</f>
        <v>265.59</v>
      </c>
      <c r="F1433" s="20" t="n">
        <f aca="false">Parametres!$B$6*D1433</f>
        <v>0</v>
      </c>
      <c r="G1433" s="20" t="n">
        <f aca="false">E1433+F1433</f>
        <v>265.59</v>
      </c>
      <c r="H1433" s="20" t="n">
        <f aca="false">IF(G1433&lt;Parametres!$B$8*Parametres!$B$7,0,MIN(G1433,Parametres!$B$7))</f>
        <v>250</v>
      </c>
      <c r="I1433" s="20" t="n">
        <f aca="false">G1433-H1433</f>
        <v>15.59</v>
      </c>
      <c r="J1433" s="21" t="n">
        <f aca="false">H1433*1000/Parametres!$B$9</f>
        <v>4239.44378497541</v>
      </c>
    </row>
    <row r="1434" customFormat="false" ht="15" hidden="false" customHeight="false" outlineLevel="0" collapsed="false">
      <c r="A1434" s="0" t="n">
        <v>1430</v>
      </c>
      <c r="B1434" s="0" t="n">
        <v>3</v>
      </c>
      <c r="C1434" s="19" t="n">
        <v>0.844</v>
      </c>
      <c r="D1434" s="19" t="n">
        <v>0</v>
      </c>
      <c r="E1434" s="20" t="n">
        <f aca="false">Parametres!$B$5*C1434</f>
        <v>253.2</v>
      </c>
      <c r="F1434" s="20" t="n">
        <f aca="false">Parametres!$B$6*D1434</f>
        <v>0</v>
      </c>
      <c r="G1434" s="20" t="n">
        <f aca="false">E1434+F1434</f>
        <v>253.2</v>
      </c>
      <c r="H1434" s="20" t="n">
        <f aca="false">IF(G1434&lt;Parametres!$B$8*Parametres!$B$7,0,MIN(G1434,Parametres!$B$7))</f>
        <v>250</v>
      </c>
      <c r="I1434" s="20" t="n">
        <f aca="false">G1434-H1434</f>
        <v>3.19999999999999</v>
      </c>
      <c r="J1434" s="21" t="n">
        <f aca="false">H1434*1000/Parametres!$B$9</f>
        <v>4239.44378497541</v>
      </c>
    </row>
    <row r="1435" customFormat="false" ht="15" hidden="false" customHeight="false" outlineLevel="0" collapsed="false">
      <c r="A1435" s="0" t="n">
        <v>1431</v>
      </c>
      <c r="B1435" s="0" t="n">
        <v>3</v>
      </c>
      <c r="C1435" s="19" t="n">
        <v>0.6677</v>
      </c>
      <c r="D1435" s="19" t="n">
        <v>0</v>
      </c>
      <c r="E1435" s="20" t="n">
        <f aca="false">Parametres!$B$5*C1435</f>
        <v>200.31</v>
      </c>
      <c r="F1435" s="20" t="n">
        <f aca="false">Parametres!$B$6*D1435</f>
        <v>0</v>
      </c>
      <c r="G1435" s="20" t="n">
        <f aca="false">E1435+F1435</f>
        <v>200.31</v>
      </c>
      <c r="H1435" s="20" t="n">
        <f aca="false">IF(G1435&lt;Parametres!$B$8*Parametres!$B$7,0,MIN(G1435,Parametres!$B$7))</f>
        <v>200.31</v>
      </c>
      <c r="I1435" s="20" t="n">
        <f aca="false">G1435-H1435</f>
        <v>0</v>
      </c>
      <c r="J1435" s="21" t="n">
        <f aca="false">H1435*1000/Parametres!$B$9</f>
        <v>3396.8119382737</v>
      </c>
    </row>
    <row r="1436" customFormat="false" ht="15" hidden="false" customHeight="false" outlineLevel="0" collapsed="false">
      <c r="A1436" s="0" t="n">
        <v>1432</v>
      </c>
      <c r="B1436" s="0" t="n">
        <v>3</v>
      </c>
      <c r="C1436" s="19" t="n">
        <v>0.5025</v>
      </c>
      <c r="D1436" s="19" t="n">
        <v>0</v>
      </c>
      <c r="E1436" s="20" t="n">
        <f aca="false">Parametres!$B$5*C1436</f>
        <v>150.75</v>
      </c>
      <c r="F1436" s="20" t="n">
        <f aca="false">Parametres!$B$6*D1436</f>
        <v>0</v>
      </c>
      <c r="G1436" s="20" t="n">
        <f aca="false">E1436+F1436</f>
        <v>150.75</v>
      </c>
      <c r="H1436" s="20" t="n">
        <f aca="false">IF(G1436&lt;Parametres!$B$8*Parametres!$B$7,0,MIN(G1436,Parametres!$B$7))</f>
        <v>150.75</v>
      </c>
      <c r="I1436" s="20" t="n">
        <f aca="false">G1436-H1436</f>
        <v>0</v>
      </c>
      <c r="J1436" s="21" t="n">
        <f aca="false">H1436*1000/Parametres!$B$9</f>
        <v>2556.38460234017</v>
      </c>
    </row>
    <row r="1437" customFormat="false" ht="15" hidden="false" customHeight="false" outlineLevel="0" collapsed="false">
      <c r="A1437" s="0" t="n">
        <v>1433</v>
      </c>
      <c r="B1437" s="0" t="n">
        <v>3</v>
      </c>
      <c r="C1437" s="19" t="n">
        <v>0.2651</v>
      </c>
      <c r="D1437" s="19" t="n">
        <v>0.0002</v>
      </c>
      <c r="E1437" s="20" t="n">
        <f aca="false">Parametres!$B$5*C1437</f>
        <v>79.53</v>
      </c>
      <c r="F1437" s="20" t="n">
        <f aca="false">Parametres!$B$6*D1437</f>
        <v>0.04</v>
      </c>
      <c r="G1437" s="20" t="n">
        <f aca="false">E1437+F1437</f>
        <v>79.57</v>
      </c>
      <c r="H1437" s="20" t="n">
        <f aca="false">IF(G1437&lt;Parametres!$B$8*Parametres!$B$7,0,MIN(G1437,Parametres!$B$7))</f>
        <v>79.57</v>
      </c>
      <c r="I1437" s="20" t="n">
        <f aca="false">G1437-H1437</f>
        <v>0</v>
      </c>
      <c r="J1437" s="21" t="n">
        <f aca="false">H1437*1000/Parametres!$B$9</f>
        <v>1349.33016788197</v>
      </c>
    </row>
    <row r="1438" customFormat="false" ht="15" hidden="false" customHeight="false" outlineLevel="0" collapsed="false">
      <c r="A1438" s="0" t="n">
        <v>1434</v>
      </c>
      <c r="B1438" s="0" t="n">
        <v>3</v>
      </c>
      <c r="C1438" s="19" t="n">
        <v>0.0331</v>
      </c>
      <c r="D1438" s="19" t="n">
        <v>0.0016</v>
      </c>
      <c r="E1438" s="20" t="n">
        <f aca="false">Parametres!$B$5*C1438</f>
        <v>9.93</v>
      </c>
      <c r="F1438" s="20" t="n">
        <f aca="false">Parametres!$B$6*D1438</f>
        <v>0.32</v>
      </c>
      <c r="G1438" s="20" t="n">
        <f aca="false">E1438+F1438</f>
        <v>10.25</v>
      </c>
      <c r="H1438" s="20" t="n">
        <f aca="false">IF(G1438&lt;Parametres!$B$8*Parametres!$B$7,0,MIN(G1438,Parametres!$B$7))</f>
        <v>0</v>
      </c>
      <c r="I1438" s="20" t="n">
        <f aca="false">G1438-H1438</f>
        <v>10.25</v>
      </c>
      <c r="J1438" s="21" t="n">
        <f aca="false">H1438*1000/Parametres!$B$9</f>
        <v>0</v>
      </c>
    </row>
    <row r="1439" customFormat="false" ht="15" hidden="false" customHeight="false" outlineLevel="0" collapsed="false">
      <c r="A1439" s="0" t="n">
        <v>1435</v>
      </c>
      <c r="B1439" s="0" t="n">
        <v>3</v>
      </c>
      <c r="C1439" s="19" t="n">
        <v>0</v>
      </c>
      <c r="D1439" s="19" t="n">
        <v>0</v>
      </c>
      <c r="E1439" s="20" t="n">
        <f aca="false">Parametres!$B$5*C1439</f>
        <v>0</v>
      </c>
      <c r="F1439" s="20" t="n">
        <f aca="false">Parametres!$B$6*D1439</f>
        <v>0</v>
      </c>
      <c r="G1439" s="20" t="n">
        <f aca="false">E1439+F1439</f>
        <v>0</v>
      </c>
      <c r="H1439" s="20" t="n">
        <f aca="false">IF(G1439&lt;Parametres!$B$8*Parametres!$B$7,0,MIN(G1439,Parametres!$B$7))</f>
        <v>0</v>
      </c>
      <c r="I1439" s="20" t="n">
        <f aca="false">G1439-H1439</f>
        <v>0</v>
      </c>
      <c r="J1439" s="21" t="n">
        <f aca="false">H1439*1000/Parametres!$B$9</f>
        <v>0</v>
      </c>
    </row>
    <row r="1440" customFormat="false" ht="15" hidden="false" customHeight="false" outlineLevel="0" collapsed="false">
      <c r="A1440" s="0" t="n">
        <v>1436</v>
      </c>
      <c r="B1440" s="0" t="n">
        <v>3</v>
      </c>
      <c r="C1440" s="19" t="n">
        <v>0</v>
      </c>
      <c r="D1440" s="19" t="n">
        <v>0</v>
      </c>
      <c r="E1440" s="20" t="n">
        <f aca="false">Parametres!$B$5*C1440</f>
        <v>0</v>
      </c>
      <c r="F1440" s="20" t="n">
        <f aca="false">Parametres!$B$6*D1440</f>
        <v>0</v>
      </c>
      <c r="G1440" s="20" t="n">
        <f aca="false">E1440+F1440</f>
        <v>0</v>
      </c>
      <c r="H1440" s="20" t="n">
        <f aca="false">IF(G1440&lt;Parametres!$B$8*Parametres!$B$7,0,MIN(G1440,Parametres!$B$7))</f>
        <v>0</v>
      </c>
      <c r="I1440" s="20" t="n">
        <f aca="false">G1440-H1440</f>
        <v>0</v>
      </c>
      <c r="J1440" s="21" t="n">
        <f aca="false">H1440*1000/Parametres!$B$9</f>
        <v>0</v>
      </c>
    </row>
    <row r="1441" customFormat="false" ht="15" hidden="false" customHeight="false" outlineLevel="0" collapsed="false">
      <c r="A1441" s="0" t="n">
        <v>1437</v>
      </c>
      <c r="B1441" s="0" t="n">
        <v>3</v>
      </c>
      <c r="C1441" s="19" t="n">
        <v>0</v>
      </c>
      <c r="D1441" s="19" t="n">
        <v>0</v>
      </c>
      <c r="E1441" s="20" t="n">
        <f aca="false">Parametres!$B$5*C1441</f>
        <v>0</v>
      </c>
      <c r="F1441" s="20" t="n">
        <f aca="false">Parametres!$B$6*D1441</f>
        <v>0</v>
      </c>
      <c r="G1441" s="20" t="n">
        <f aca="false">E1441+F1441</f>
        <v>0</v>
      </c>
      <c r="H1441" s="20" t="n">
        <f aca="false">IF(G1441&lt;Parametres!$B$8*Parametres!$B$7,0,MIN(G1441,Parametres!$B$7))</f>
        <v>0</v>
      </c>
      <c r="I1441" s="20" t="n">
        <f aca="false">G1441-H1441</f>
        <v>0</v>
      </c>
      <c r="J1441" s="21" t="n">
        <f aca="false">H1441*1000/Parametres!$B$9</f>
        <v>0</v>
      </c>
    </row>
    <row r="1442" customFormat="false" ht="15" hidden="false" customHeight="false" outlineLevel="0" collapsed="false">
      <c r="A1442" s="0" t="n">
        <v>1438</v>
      </c>
      <c r="B1442" s="0" t="n">
        <v>3</v>
      </c>
      <c r="C1442" s="19" t="n">
        <v>0</v>
      </c>
      <c r="D1442" s="19" t="n">
        <v>0.0005</v>
      </c>
      <c r="E1442" s="20" t="n">
        <f aca="false">Parametres!$B$5*C1442</f>
        <v>0</v>
      </c>
      <c r="F1442" s="20" t="n">
        <f aca="false">Parametres!$B$6*D1442</f>
        <v>0.1</v>
      </c>
      <c r="G1442" s="20" t="n">
        <f aca="false">E1442+F1442</f>
        <v>0.1</v>
      </c>
      <c r="H1442" s="20" t="n">
        <f aca="false">IF(G1442&lt;Parametres!$B$8*Parametres!$B$7,0,MIN(G1442,Parametres!$B$7))</f>
        <v>0</v>
      </c>
      <c r="I1442" s="20" t="n">
        <f aca="false">G1442-H1442</f>
        <v>0.1</v>
      </c>
      <c r="J1442" s="21" t="n">
        <f aca="false">H1442*1000/Parametres!$B$9</f>
        <v>0</v>
      </c>
    </row>
    <row r="1443" customFormat="false" ht="15" hidden="false" customHeight="false" outlineLevel="0" collapsed="false">
      <c r="A1443" s="0" t="n">
        <v>1439</v>
      </c>
      <c r="B1443" s="0" t="n">
        <v>3</v>
      </c>
      <c r="C1443" s="19" t="n">
        <v>0</v>
      </c>
      <c r="D1443" s="19" t="n">
        <v>0</v>
      </c>
      <c r="E1443" s="20" t="n">
        <f aca="false">Parametres!$B$5*C1443</f>
        <v>0</v>
      </c>
      <c r="F1443" s="20" t="n">
        <f aca="false">Parametres!$B$6*D1443</f>
        <v>0</v>
      </c>
      <c r="G1443" s="20" t="n">
        <f aca="false">E1443+F1443</f>
        <v>0</v>
      </c>
      <c r="H1443" s="20" t="n">
        <f aca="false">IF(G1443&lt;Parametres!$B$8*Parametres!$B$7,0,MIN(G1443,Parametres!$B$7))</f>
        <v>0</v>
      </c>
      <c r="I1443" s="20" t="n">
        <f aca="false">G1443-H1443</f>
        <v>0</v>
      </c>
      <c r="J1443" s="21" t="n">
        <f aca="false">H1443*1000/Parametres!$B$9</f>
        <v>0</v>
      </c>
    </row>
    <row r="1444" customFormat="false" ht="15" hidden="false" customHeight="false" outlineLevel="0" collapsed="false">
      <c r="A1444" s="0" t="n">
        <v>1440</v>
      </c>
      <c r="B1444" s="0" t="n">
        <v>3</v>
      </c>
      <c r="C1444" s="19" t="n">
        <v>0</v>
      </c>
      <c r="D1444" s="19" t="n">
        <v>0</v>
      </c>
      <c r="E1444" s="20" t="n">
        <f aca="false">Parametres!$B$5*C1444</f>
        <v>0</v>
      </c>
      <c r="F1444" s="20" t="n">
        <f aca="false">Parametres!$B$6*D1444</f>
        <v>0</v>
      </c>
      <c r="G1444" s="20" t="n">
        <f aca="false">E1444+F1444</f>
        <v>0</v>
      </c>
      <c r="H1444" s="20" t="n">
        <f aca="false">IF(G1444&lt;Parametres!$B$8*Parametres!$B$7,0,MIN(G1444,Parametres!$B$7))</f>
        <v>0</v>
      </c>
      <c r="I1444" s="20" t="n">
        <f aca="false">G1444-H1444</f>
        <v>0</v>
      </c>
      <c r="J1444" s="21" t="n">
        <f aca="false">H1444*1000/Parametres!$B$9</f>
        <v>0</v>
      </c>
    </row>
    <row r="1445" customFormat="false" ht="15" hidden="false" customHeight="false" outlineLevel="0" collapsed="false">
      <c r="A1445" s="0" t="n">
        <v>1441</v>
      </c>
      <c r="B1445" s="0" t="n">
        <v>3</v>
      </c>
      <c r="C1445" s="19" t="n">
        <v>0</v>
      </c>
      <c r="D1445" s="19" t="n">
        <v>0</v>
      </c>
      <c r="E1445" s="20" t="n">
        <f aca="false">Parametres!$B$5*C1445</f>
        <v>0</v>
      </c>
      <c r="F1445" s="20" t="n">
        <f aca="false">Parametres!$B$6*D1445</f>
        <v>0</v>
      </c>
      <c r="G1445" s="20" t="n">
        <f aca="false">E1445+F1445</f>
        <v>0</v>
      </c>
      <c r="H1445" s="20" t="n">
        <f aca="false">IF(G1445&lt;Parametres!$B$8*Parametres!$B$7,0,MIN(G1445,Parametres!$B$7))</f>
        <v>0</v>
      </c>
      <c r="I1445" s="20" t="n">
        <f aca="false">G1445-H1445</f>
        <v>0</v>
      </c>
      <c r="J1445" s="21" t="n">
        <f aca="false">H1445*1000/Parametres!$B$9</f>
        <v>0</v>
      </c>
    </row>
    <row r="1446" customFormat="false" ht="15" hidden="false" customHeight="false" outlineLevel="0" collapsed="false">
      <c r="A1446" s="0" t="n">
        <v>1442</v>
      </c>
      <c r="B1446" s="0" t="n">
        <v>3</v>
      </c>
      <c r="C1446" s="19" t="n">
        <v>0</v>
      </c>
      <c r="D1446" s="19" t="n">
        <v>0</v>
      </c>
      <c r="E1446" s="20" t="n">
        <f aca="false">Parametres!$B$5*C1446</f>
        <v>0</v>
      </c>
      <c r="F1446" s="20" t="n">
        <f aca="false">Parametres!$B$6*D1446</f>
        <v>0</v>
      </c>
      <c r="G1446" s="20" t="n">
        <f aca="false">E1446+F1446</f>
        <v>0</v>
      </c>
      <c r="H1446" s="20" t="n">
        <f aca="false">IF(G1446&lt;Parametres!$B$8*Parametres!$B$7,0,MIN(G1446,Parametres!$B$7))</f>
        <v>0</v>
      </c>
      <c r="I1446" s="20" t="n">
        <f aca="false">G1446-H1446</f>
        <v>0</v>
      </c>
      <c r="J1446" s="21" t="n">
        <f aca="false">H1446*1000/Parametres!$B$9</f>
        <v>0</v>
      </c>
    </row>
    <row r="1447" customFormat="false" ht="15" hidden="false" customHeight="false" outlineLevel="0" collapsed="false">
      <c r="A1447" s="0" t="n">
        <v>1443</v>
      </c>
      <c r="B1447" s="0" t="n">
        <v>3</v>
      </c>
      <c r="C1447" s="19" t="n">
        <v>0</v>
      </c>
      <c r="D1447" s="19" t="n">
        <v>0</v>
      </c>
      <c r="E1447" s="20" t="n">
        <f aca="false">Parametres!$B$5*C1447</f>
        <v>0</v>
      </c>
      <c r="F1447" s="20" t="n">
        <f aca="false">Parametres!$B$6*D1447</f>
        <v>0</v>
      </c>
      <c r="G1447" s="20" t="n">
        <f aca="false">E1447+F1447</f>
        <v>0</v>
      </c>
      <c r="H1447" s="20" t="n">
        <f aca="false">IF(G1447&lt;Parametres!$B$8*Parametres!$B$7,0,MIN(G1447,Parametres!$B$7))</f>
        <v>0</v>
      </c>
      <c r="I1447" s="20" t="n">
        <f aca="false">G1447-H1447</f>
        <v>0</v>
      </c>
      <c r="J1447" s="21" t="n">
        <f aca="false">H1447*1000/Parametres!$B$9</f>
        <v>0</v>
      </c>
    </row>
    <row r="1448" customFormat="false" ht="15" hidden="false" customHeight="false" outlineLevel="0" collapsed="false">
      <c r="A1448" s="0" t="n">
        <v>1444</v>
      </c>
      <c r="B1448" s="0" t="n">
        <v>3</v>
      </c>
      <c r="C1448" s="19" t="n">
        <v>0</v>
      </c>
      <c r="D1448" s="19" t="n">
        <v>0</v>
      </c>
      <c r="E1448" s="20" t="n">
        <f aca="false">Parametres!$B$5*C1448</f>
        <v>0</v>
      </c>
      <c r="F1448" s="20" t="n">
        <f aca="false">Parametres!$B$6*D1448</f>
        <v>0</v>
      </c>
      <c r="G1448" s="20" t="n">
        <f aca="false">E1448+F1448</f>
        <v>0</v>
      </c>
      <c r="H1448" s="20" t="n">
        <f aca="false">IF(G1448&lt;Parametres!$B$8*Parametres!$B$7,0,MIN(G1448,Parametres!$B$7))</f>
        <v>0</v>
      </c>
      <c r="I1448" s="20" t="n">
        <f aca="false">G1448-H1448</f>
        <v>0</v>
      </c>
      <c r="J1448" s="21" t="n">
        <f aca="false">H1448*1000/Parametres!$B$9</f>
        <v>0</v>
      </c>
    </row>
    <row r="1449" customFormat="false" ht="15" hidden="false" customHeight="false" outlineLevel="0" collapsed="false">
      <c r="A1449" s="0" t="n">
        <v>1445</v>
      </c>
      <c r="B1449" s="0" t="n">
        <v>3</v>
      </c>
      <c r="C1449" s="19" t="n">
        <v>0</v>
      </c>
      <c r="D1449" s="19" t="n">
        <v>0</v>
      </c>
      <c r="E1449" s="20" t="n">
        <f aca="false">Parametres!$B$5*C1449</f>
        <v>0</v>
      </c>
      <c r="F1449" s="20" t="n">
        <f aca="false">Parametres!$B$6*D1449</f>
        <v>0</v>
      </c>
      <c r="G1449" s="20" t="n">
        <f aca="false">E1449+F1449</f>
        <v>0</v>
      </c>
      <c r="H1449" s="20" t="n">
        <f aca="false">IF(G1449&lt;Parametres!$B$8*Parametres!$B$7,0,MIN(G1449,Parametres!$B$7))</f>
        <v>0</v>
      </c>
      <c r="I1449" s="20" t="n">
        <f aca="false">G1449-H1449</f>
        <v>0</v>
      </c>
      <c r="J1449" s="21" t="n">
        <f aca="false">H1449*1000/Parametres!$B$9</f>
        <v>0</v>
      </c>
    </row>
    <row r="1450" customFormat="false" ht="15" hidden="false" customHeight="false" outlineLevel="0" collapsed="false">
      <c r="A1450" s="0" t="n">
        <v>1446</v>
      </c>
      <c r="B1450" s="0" t="n">
        <v>3</v>
      </c>
      <c r="C1450" s="19" t="n">
        <v>0</v>
      </c>
      <c r="D1450" s="19" t="n">
        <v>0</v>
      </c>
      <c r="E1450" s="20" t="n">
        <f aca="false">Parametres!$B$5*C1450</f>
        <v>0</v>
      </c>
      <c r="F1450" s="20" t="n">
        <f aca="false">Parametres!$B$6*D1450</f>
        <v>0</v>
      </c>
      <c r="G1450" s="20" t="n">
        <f aca="false">E1450+F1450</f>
        <v>0</v>
      </c>
      <c r="H1450" s="20" t="n">
        <f aca="false">IF(G1450&lt;Parametres!$B$8*Parametres!$B$7,0,MIN(G1450,Parametres!$B$7))</f>
        <v>0</v>
      </c>
      <c r="I1450" s="20" t="n">
        <f aca="false">G1450-H1450</f>
        <v>0</v>
      </c>
      <c r="J1450" s="21" t="n">
        <f aca="false">H1450*1000/Parametres!$B$9</f>
        <v>0</v>
      </c>
    </row>
    <row r="1451" customFormat="false" ht="15" hidden="false" customHeight="false" outlineLevel="0" collapsed="false">
      <c r="A1451" s="0" t="n">
        <v>1447</v>
      </c>
      <c r="B1451" s="0" t="n">
        <v>3</v>
      </c>
      <c r="C1451" s="19" t="n">
        <v>0.0384</v>
      </c>
      <c r="D1451" s="19" t="n">
        <v>0</v>
      </c>
      <c r="E1451" s="20" t="n">
        <f aca="false">Parametres!$B$5*C1451</f>
        <v>11.52</v>
      </c>
      <c r="F1451" s="20" t="n">
        <f aca="false">Parametres!$B$6*D1451</f>
        <v>0</v>
      </c>
      <c r="G1451" s="20" t="n">
        <f aca="false">E1451+F1451</f>
        <v>11.52</v>
      </c>
      <c r="H1451" s="20" t="n">
        <f aca="false">IF(G1451&lt;Parametres!$B$8*Parametres!$B$7,0,MIN(G1451,Parametres!$B$7))</f>
        <v>0</v>
      </c>
      <c r="I1451" s="20" t="n">
        <f aca="false">G1451-H1451</f>
        <v>11.52</v>
      </c>
      <c r="J1451" s="21" t="n">
        <f aca="false">H1451*1000/Parametres!$B$9</f>
        <v>0</v>
      </c>
    </row>
    <row r="1452" customFormat="false" ht="15" hidden="false" customHeight="false" outlineLevel="0" collapsed="false">
      <c r="A1452" s="0" t="n">
        <v>1448</v>
      </c>
      <c r="B1452" s="0" t="n">
        <v>3</v>
      </c>
      <c r="C1452" s="19" t="n">
        <v>0.2999</v>
      </c>
      <c r="D1452" s="19" t="n">
        <v>0</v>
      </c>
      <c r="E1452" s="20" t="n">
        <f aca="false">Parametres!$B$5*C1452</f>
        <v>89.97</v>
      </c>
      <c r="F1452" s="20" t="n">
        <f aca="false">Parametres!$B$6*D1452</f>
        <v>0</v>
      </c>
      <c r="G1452" s="20" t="n">
        <f aca="false">E1452+F1452</f>
        <v>89.97</v>
      </c>
      <c r="H1452" s="20" t="n">
        <f aca="false">IF(G1452&lt;Parametres!$B$8*Parametres!$B$7,0,MIN(G1452,Parametres!$B$7))</f>
        <v>89.97</v>
      </c>
      <c r="I1452" s="20" t="n">
        <f aca="false">G1452-H1452</f>
        <v>0</v>
      </c>
      <c r="J1452" s="21" t="n">
        <f aca="false">H1452*1000/Parametres!$B$9</f>
        <v>1525.69102933695</v>
      </c>
    </row>
    <row r="1453" customFormat="false" ht="15" hidden="false" customHeight="false" outlineLevel="0" collapsed="false">
      <c r="A1453" s="0" t="n">
        <v>1449</v>
      </c>
      <c r="B1453" s="0" t="n">
        <v>3</v>
      </c>
      <c r="C1453" s="19" t="n">
        <v>0.5514</v>
      </c>
      <c r="D1453" s="19" t="n">
        <v>0.0016</v>
      </c>
      <c r="E1453" s="20" t="n">
        <f aca="false">Parametres!$B$5*C1453</f>
        <v>165.42</v>
      </c>
      <c r="F1453" s="20" t="n">
        <f aca="false">Parametres!$B$6*D1453</f>
        <v>0.32</v>
      </c>
      <c r="G1453" s="20" t="n">
        <f aca="false">E1453+F1453</f>
        <v>165.74</v>
      </c>
      <c r="H1453" s="20" t="n">
        <f aca="false">IF(G1453&lt;Parametres!$B$8*Parametres!$B$7,0,MIN(G1453,Parametres!$B$7))</f>
        <v>165.74</v>
      </c>
      <c r="I1453" s="20" t="n">
        <f aca="false">G1453-H1453</f>
        <v>0</v>
      </c>
      <c r="J1453" s="21" t="n">
        <f aca="false">H1453*1000/Parametres!$B$9</f>
        <v>2810.5816516873</v>
      </c>
    </row>
    <row r="1454" customFormat="false" ht="15" hidden="false" customHeight="false" outlineLevel="0" collapsed="false">
      <c r="A1454" s="0" t="n">
        <v>1450</v>
      </c>
      <c r="B1454" s="0" t="n">
        <v>3</v>
      </c>
      <c r="C1454" s="19" t="n">
        <v>0.686</v>
      </c>
      <c r="D1454" s="19" t="n">
        <v>0.0047</v>
      </c>
      <c r="E1454" s="20" t="n">
        <f aca="false">Parametres!$B$5*C1454</f>
        <v>205.8</v>
      </c>
      <c r="F1454" s="20" t="n">
        <f aca="false">Parametres!$B$6*D1454</f>
        <v>0.94</v>
      </c>
      <c r="G1454" s="20" t="n">
        <f aca="false">E1454+F1454</f>
        <v>206.74</v>
      </c>
      <c r="H1454" s="20" t="n">
        <f aca="false">IF(G1454&lt;Parametres!$B$8*Parametres!$B$7,0,MIN(G1454,Parametres!$B$7))</f>
        <v>206.74</v>
      </c>
      <c r="I1454" s="20" t="n">
        <f aca="false">G1454-H1454</f>
        <v>0</v>
      </c>
      <c r="J1454" s="21" t="n">
        <f aca="false">H1454*1000/Parametres!$B$9</f>
        <v>3505.85043242327</v>
      </c>
    </row>
    <row r="1455" customFormat="false" ht="15" hidden="false" customHeight="false" outlineLevel="0" collapsed="false">
      <c r="A1455" s="0" t="n">
        <v>1451</v>
      </c>
      <c r="B1455" s="0" t="n">
        <v>3</v>
      </c>
      <c r="C1455" s="19" t="n">
        <v>0.9241</v>
      </c>
      <c r="D1455" s="19" t="n">
        <v>0.0033</v>
      </c>
      <c r="E1455" s="20" t="n">
        <f aca="false">Parametres!$B$5*C1455</f>
        <v>277.23</v>
      </c>
      <c r="F1455" s="20" t="n">
        <f aca="false">Parametres!$B$6*D1455</f>
        <v>0.66</v>
      </c>
      <c r="G1455" s="20" t="n">
        <f aca="false">E1455+F1455</f>
        <v>277.89</v>
      </c>
      <c r="H1455" s="20" t="n">
        <f aca="false">IF(G1455&lt;Parametres!$B$8*Parametres!$B$7,0,MIN(G1455,Parametres!$B$7))</f>
        <v>250</v>
      </c>
      <c r="I1455" s="20" t="n">
        <f aca="false">G1455-H1455</f>
        <v>27.89</v>
      </c>
      <c r="J1455" s="21" t="n">
        <f aca="false">H1455*1000/Parametres!$B$9</f>
        <v>4239.44378497541</v>
      </c>
    </row>
    <row r="1456" customFormat="false" ht="15" hidden="false" customHeight="false" outlineLevel="0" collapsed="false">
      <c r="A1456" s="0" t="n">
        <v>1452</v>
      </c>
      <c r="B1456" s="0" t="n">
        <v>3</v>
      </c>
      <c r="C1456" s="19" t="n">
        <v>0.9979</v>
      </c>
      <c r="D1456" s="19" t="n">
        <v>0.0003</v>
      </c>
      <c r="E1456" s="20" t="n">
        <f aca="false">Parametres!$B$5*C1456</f>
        <v>299.37</v>
      </c>
      <c r="F1456" s="20" t="n">
        <f aca="false">Parametres!$B$6*D1456</f>
        <v>0.06</v>
      </c>
      <c r="G1456" s="20" t="n">
        <f aca="false">E1456+F1456</f>
        <v>299.43</v>
      </c>
      <c r="H1456" s="20" t="n">
        <f aca="false">IF(G1456&lt;Parametres!$B$8*Parametres!$B$7,0,MIN(G1456,Parametres!$B$7))</f>
        <v>250</v>
      </c>
      <c r="I1456" s="20" t="n">
        <f aca="false">G1456-H1456</f>
        <v>49.43</v>
      </c>
      <c r="J1456" s="21" t="n">
        <f aca="false">H1456*1000/Parametres!$B$9</f>
        <v>4239.44378497541</v>
      </c>
    </row>
    <row r="1457" customFormat="false" ht="15" hidden="false" customHeight="false" outlineLevel="0" collapsed="false">
      <c r="A1457" s="0" t="n">
        <v>1453</v>
      </c>
      <c r="B1457" s="0" t="n">
        <v>3</v>
      </c>
      <c r="C1457" s="19" t="n">
        <v>1</v>
      </c>
      <c r="D1457" s="19" t="n">
        <v>0.0011</v>
      </c>
      <c r="E1457" s="20" t="n">
        <f aca="false">Parametres!$B$5*C1457</f>
        <v>300</v>
      </c>
      <c r="F1457" s="20" t="n">
        <f aca="false">Parametres!$B$6*D1457</f>
        <v>0.22</v>
      </c>
      <c r="G1457" s="20" t="n">
        <f aca="false">E1457+F1457</f>
        <v>300.22</v>
      </c>
      <c r="H1457" s="20" t="n">
        <f aca="false">IF(G1457&lt;Parametres!$B$8*Parametres!$B$7,0,MIN(G1457,Parametres!$B$7))</f>
        <v>250</v>
      </c>
      <c r="I1457" s="20" t="n">
        <f aca="false">G1457-H1457</f>
        <v>50.22</v>
      </c>
      <c r="J1457" s="21" t="n">
        <f aca="false">H1457*1000/Parametres!$B$9</f>
        <v>4239.44378497541</v>
      </c>
    </row>
    <row r="1458" customFormat="false" ht="15" hidden="false" customHeight="false" outlineLevel="0" collapsed="false">
      <c r="A1458" s="0" t="n">
        <v>1454</v>
      </c>
      <c r="B1458" s="0" t="n">
        <v>3</v>
      </c>
      <c r="C1458" s="19" t="n">
        <v>0.8382</v>
      </c>
      <c r="D1458" s="19" t="n">
        <v>0.0002</v>
      </c>
      <c r="E1458" s="20" t="n">
        <f aca="false">Parametres!$B$5*C1458</f>
        <v>251.46</v>
      </c>
      <c r="F1458" s="20" t="n">
        <f aca="false">Parametres!$B$6*D1458</f>
        <v>0.04</v>
      </c>
      <c r="G1458" s="20" t="n">
        <f aca="false">E1458+F1458</f>
        <v>251.5</v>
      </c>
      <c r="H1458" s="20" t="n">
        <f aca="false">IF(G1458&lt;Parametres!$B$8*Parametres!$B$7,0,MIN(G1458,Parametres!$B$7))</f>
        <v>250</v>
      </c>
      <c r="I1458" s="20" t="n">
        <f aca="false">G1458-H1458</f>
        <v>1.49999999999997</v>
      </c>
      <c r="J1458" s="21" t="n">
        <f aca="false">H1458*1000/Parametres!$B$9</f>
        <v>4239.44378497541</v>
      </c>
    </row>
    <row r="1459" customFormat="false" ht="15" hidden="false" customHeight="false" outlineLevel="0" collapsed="false">
      <c r="A1459" s="0" t="n">
        <v>1455</v>
      </c>
      <c r="B1459" s="0" t="n">
        <v>3</v>
      </c>
      <c r="C1459" s="19" t="n">
        <v>0.7617</v>
      </c>
      <c r="D1459" s="19" t="n">
        <v>0.0036</v>
      </c>
      <c r="E1459" s="20" t="n">
        <f aca="false">Parametres!$B$5*C1459</f>
        <v>228.51</v>
      </c>
      <c r="F1459" s="20" t="n">
        <f aca="false">Parametres!$B$6*D1459</f>
        <v>0.72</v>
      </c>
      <c r="G1459" s="20" t="n">
        <f aca="false">E1459+F1459</f>
        <v>229.23</v>
      </c>
      <c r="H1459" s="20" t="n">
        <f aca="false">IF(G1459&lt;Parametres!$B$8*Parametres!$B$7,0,MIN(G1459,Parametres!$B$7))</f>
        <v>229.23</v>
      </c>
      <c r="I1459" s="20" t="n">
        <f aca="false">G1459-H1459</f>
        <v>0</v>
      </c>
      <c r="J1459" s="21" t="n">
        <f aca="false">H1459*1000/Parametres!$B$9</f>
        <v>3887.23079531965</v>
      </c>
    </row>
    <row r="1460" customFormat="false" ht="15" hidden="false" customHeight="false" outlineLevel="0" collapsed="false">
      <c r="A1460" s="0" t="n">
        <v>1456</v>
      </c>
      <c r="B1460" s="0" t="n">
        <v>3</v>
      </c>
      <c r="C1460" s="19" t="n">
        <v>0.5019</v>
      </c>
      <c r="D1460" s="19" t="n">
        <v>0.0013</v>
      </c>
      <c r="E1460" s="20" t="n">
        <f aca="false">Parametres!$B$5*C1460</f>
        <v>150.57</v>
      </c>
      <c r="F1460" s="20" t="n">
        <f aca="false">Parametres!$B$6*D1460</f>
        <v>0.26</v>
      </c>
      <c r="G1460" s="20" t="n">
        <f aca="false">E1460+F1460</f>
        <v>150.83</v>
      </c>
      <c r="H1460" s="20" t="n">
        <f aca="false">IF(G1460&lt;Parametres!$B$8*Parametres!$B$7,0,MIN(G1460,Parametres!$B$7))</f>
        <v>150.83</v>
      </c>
      <c r="I1460" s="20" t="n">
        <f aca="false">G1460-H1460</f>
        <v>0</v>
      </c>
      <c r="J1460" s="21" t="n">
        <f aca="false">H1460*1000/Parametres!$B$9</f>
        <v>2557.74122435136</v>
      </c>
    </row>
    <row r="1461" customFormat="false" ht="15" hidden="false" customHeight="false" outlineLevel="0" collapsed="false">
      <c r="A1461" s="0" t="n">
        <v>1457</v>
      </c>
      <c r="B1461" s="0" t="n">
        <v>3</v>
      </c>
      <c r="C1461" s="19" t="n">
        <v>0.2917</v>
      </c>
      <c r="D1461" s="19" t="n">
        <v>0</v>
      </c>
      <c r="E1461" s="20" t="n">
        <f aca="false">Parametres!$B$5*C1461</f>
        <v>87.51</v>
      </c>
      <c r="F1461" s="20" t="n">
        <f aca="false">Parametres!$B$6*D1461</f>
        <v>0</v>
      </c>
      <c r="G1461" s="20" t="n">
        <f aca="false">E1461+F1461</f>
        <v>87.51</v>
      </c>
      <c r="H1461" s="20" t="n">
        <f aca="false">IF(G1461&lt;Parametres!$B$8*Parametres!$B$7,0,MIN(G1461,Parametres!$B$7))</f>
        <v>87.51</v>
      </c>
      <c r="I1461" s="20" t="n">
        <f aca="false">G1461-H1461</f>
        <v>0</v>
      </c>
      <c r="J1461" s="21" t="n">
        <f aca="false">H1461*1000/Parametres!$B$9</f>
        <v>1483.97490249279</v>
      </c>
    </row>
    <row r="1462" customFormat="false" ht="15" hidden="false" customHeight="false" outlineLevel="0" collapsed="false">
      <c r="A1462" s="0" t="n">
        <v>1458</v>
      </c>
      <c r="B1462" s="0" t="n">
        <v>3</v>
      </c>
      <c r="C1462" s="19" t="n">
        <v>0.0386</v>
      </c>
      <c r="D1462" s="19" t="n">
        <v>0</v>
      </c>
      <c r="E1462" s="20" t="n">
        <f aca="false">Parametres!$B$5*C1462</f>
        <v>11.58</v>
      </c>
      <c r="F1462" s="20" t="n">
        <f aca="false">Parametres!$B$6*D1462</f>
        <v>0</v>
      </c>
      <c r="G1462" s="20" t="n">
        <f aca="false">E1462+F1462</f>
        <v>11.58</v>
      </c>
      <c r="H1462" s="20" t="n">
        <f aca="false">IF(G1462&lt;Parametres!$B$8*Parametres!$B$7,0,MIN(G1462,Parametres!$B$7))</f>
        <v>0</v>
      </c>
      <c r="I1462" s="20" t="n">
        <f aca="false">G1462-H1462</f>
        <v>11.58</v>
      </c>
      <c r="J1462" s="21" t="n">
        <f aca="false">H1462*1000/Parametres!$B$9</f>
        <v>0</v>
      </c>
    </row>
    <row r="1463" customFormat="false" ht="15" hidden="false" customHeight="false" outlineLevel="0" collapsed="false">
      <c r="A1463" s="0" t="n">
        <v>1459</v>
      </c>
      <c r="B1463" s="0" t="n">
        <v>3</v>
      </c>
      <c r="C1463" s="19" t="n">
        <v>0</v>
      </c>
      <c r="D1463" s="19" t="n">
        <v>0.0001</v>
      </c>
      <c r="E1463" s="20" t="n">
        <f aca="false">Parametres!$B$5*C1463</f>
        <v>0</v>
      </c>
      <c r="F1463" s="20" t="n">
        <f aca="false">Parametres!$B$6*D1463</f>
        <v>0.02</v>
      </c>
      <c r="G1463" s="20" t="n">
        <f aca="false">E1463+F1463</f>
        <v>0.02</v>
      </c>
      <c r="H1463" s="20" t="n">
        <f aca="false">IF(G1463&lt;Parametres!$B$8*Parametres!$B$7,0,MIN(G1463,Parametres!$B$7))</f>
        <v>0</v>
      </c>
      <c r="I1463" s="20" t="n">
        <f aca="false">G1463-H1463</f>
        <v>0.02</v>
      </c>
      <c r="J1463" s="21" t="n">
        <f aca="false">H1463*1000/Parametres!$B$9</f>
        <v>0</v>
      </c>
    </row>
    <row r="1464" customFormat="false" ht="15" hidden="false" customHeight="false" outlineLevel="0" collapsed="false">
      <c r="A1464" s="0" t="n">
        <v>1460</v>
      </c>
      <c r="B1464" s="0" t="n">
        <v>3</v>
      </c>
      <c r="C1464" s="19" t="n">
        <v>0</v>
      </c>
      <c r="D1464" s="19" t="n">
        <v>0</v>
      </c>
      <c r="E1464" s="20" t="n">
        <f aca="false">Parametres!$B$5*C1464</f>
        <v>0</v>
      </c>
      <c r="F1464" s="20" t="n">
        <f aca="false">Parametres!$B$6*D1464</f>
        <v>0</v>
      </c>
      <c r="G1464" s="20" t="n">
        <f aca="false">E1464+F1464</f>
        <v>0</v>
      </c>
      <c r="H1464" s="20" t="n">
        <f aca="false">IF(G1464&lt;Parametres!$B$8*Parametres!$B$7,0,MIN(G1464,Parametres!$B$7))</f>
        <v>0</v>
      </c>
      <c r="I1464" s="20" t="n">
        <f aca="false">G1464-H1464</f>
        <v>0</v>
      </c>
      <c r="J1464" s="21" t="n">
        <f aca="false">H1464*1000/Parametres!$B$9</f>
        <v>0</v>
      </c>
    </row>
    <row r="1465" customFormat="false" ht="15" hidden="false" customHeight="false" outlineLevel="0" collapsed="false">
      <c r="A1465" s="0" t="n">
        <v>1461</v>
      </c>
      <c r="B1465" s="0" t="n">
        <v>3</v>
      </c>
      <c r="C1465" s="19" t="n">
        <v>0</v>
      </c>
      <c r="D1465" s="19" t="n">
        <v>0</v>
      </c>
      <c r="E1465" s="20" t="n">
        <f aca="false">Parametres!$B$5*C1465</f>
        <v>0</v>
      </c>
      <c r="F1465" s="20" t="n">
        <f aca="false">Parametres!$B$6*D1465</f>
        <v>0</v>
      </c>
      <c r="G1465" s="20" t="n">
        <f aca="false">E1465+F1465</f>
        <v>0</v>
      </c>
      <c r="H1465" s="20" t="n">
        <f aca="false">IF(G1465&lt;Parametres!$B$8*Parametres!$B$7,0,MIN(G1465,Parametres!$B$7))</f>
        <v>0</v>
      </c>
      <c r="I1465" s="20" t="n">
        <f aca="false">G1465-H1465</f>
        <v>0</v>
      </c>
      <c r="J1465" s="21" t="n">
        <f aca="false">H1465*1000/Parametres!$B$9</f>
        <v>0</v>
      </c>
    </row>
    <row r="1466" customFormat="false" ht="15" hidden="false" customHeight="false" outlineLevel="0" collapsed="false">
      <c r="A1466" s="0" t="n">
        <v>1462</v>
      </c>
      <c r="B1466" s="0" t="n">
        <v>3</v>
      </c>
      <c r="C1466" s="19" t="n">
        <v>0</v>
      </c>
      <c r="D1466" s="19" t="n">
        <v>0</v>
      </c>
      <c r="E1466" s="20" t="n">
        <f aca="false">Parametres!$B$5*C1466</f>
        <v>0</v>
      </c>
      <c r="F1466" s="20" t="n">
        <f aca="false">Parametres!$B$6*D1466</f>
        <v>0</v>
      </c>
      <c r="G1466" s="20" t="n">
        <f aca="false">E1466+F1466</f>
        <v>0</v>
      </c>
      <c r="H1466" s="20" t="n">
        <f aca="false">IF(G1466&lt;Parametres!$B$8*Parametres!$B$7,0,MIN(G1466,Parametres!$B$7))</f>
        <v>0</v>
      </c>
      <c r="I1466" s="20" t="n">
        <f aca="false">G1466-H1466</f>
        <v>0</v>
      </c>
      <c r="J1466" s="21" t="n">
        <f aca="false">H1466*1000/Parametres!$B$9</f>
        <v>0</v>
      </c>
    </row>
    <row r="1467" customFormat="false" ht="15" hidden="false" customHeight="false" outlineLevel="0" collapsed="false">
      <c r="A1467" s="0" t="n">
        <v>1463</v>
      </c>
      <c r="B1467" s="0" t="n">
        <v>3</v>
      </c>
      <c r="C1467" s="19" t="n">
        <v>0</v>
      </c>
      <c r="D1467" s="19" t="n">
        <v>0.0016</v>
      </c>
      <c r="E1467" s="20" t="n">
        <f aca="false">Parametres!$B$5*C1467</f>
        <v>0</v>
      </c>
      <c r="F1467" s="20" t="n">
        <f aca="false">Parametres!$B$6*D1467</f>
        <v>0.32</v>
      </c>
      <c r="G1467" s="20" t="n">
        <f aca="false">E1467+F1467</f>
        <v>0.32</v>
      </c>
      <c r="H1467" s="20" t="n">
        <f aca="false">IF(G1467&lt;Parametres!$B$8*Parametres!$B$7,0,MIN(G1467,Parametres!$B$7))</f>
        <v>0</v>
      </c>
      <c r="I1467" s="20" t="n">
        <f aca="false">G1467-H1467</f>
        <v>0.32</v>
      </c>
      <c r="J1467" s="21" t="n">
        <f aca="false">H1467*1000/Parametres!$B$9</f>
        <v>0</v>
      </c>
    </row>
    <row r="1468" customFormat="false" ht="15" hidden="false" customHeight="false" outlineLevel="0" collapsed="false">
      <c r="A1468" s="0" t="n">
        <v>1464</v>
      </c>
      <c r="B1468" s="0" t="n">
        <v>3</v>
      </c>
      <c r="C1468" s="19" t="n">
        <v>0</v>
      </c>
      <c r="D1468" s="19" t="n">
        <v>0.0017</v>
      </c>
      <c r="E1468" s="20" t="n">
        <f aca="false">Parametres!$B$5*C1468</f>
        <v>0</v>
      </c>
      <c r="F1468" s="20" t="n">
        <f aca="false">Parametres!$B$6*D1468</f>
        <v>0.34</v>
      </c>
      <c r="G1468" s="20" t="n">
        <f aca="false">E1468+F1468</f>
        <v>0.34</v>
      </c>
      <c r="H1468" s="20" t="n">
        <f aca="false">IF(G1468&lt;Parametres!$B$8*Parametres!$B$7,0,MIN(G1468,Parametres!$B$7))</f>
        <v>0</v>
      </c>
      <c r="I1468" s="20" t="n">
        <f aca="false">G1468-H1468</f>
        <v>0.34</v>
      </c>
      <c r="J1468" s="21" t="n">
        <f aca="false">H1468*1000/Parametres!$B$9</f>
        <v>0</v>
      </c>
    </row>
    <row r="1469" customFormat="false" ht="15" hidden="false" customHeight="false" outlineLevel="0" collapsed="false">
      <c r="A1469" s="0" t="n">
        <v>1465</v>
      </c>
      <c r="B1469" s="0" t="n">
        <v>3</v>
      </c>
      <c r="C1469" s="19" t="n">
        <v>0</v>
      </c>
      <c r="D1469" s="19" t="n">
        <v>0.0011</v>
      </c>
      <c r="E1469" s="20" t="n">
        <f aca="false">Parametres!$B$5*C1469</f>
        <v>0</v>
      </c>
      <c r="F1469" s="20" t="n">
        <f aca="false">Parametres!$B$6*D1469</f>
        <v>0.22</v>
      </c>
      <c r="G1469" s="20" t="n">
        <f aca="false">E1469+F1469</f>
        <v>0.22</v>
      </c>
      <c r="H1469" s="20" t="n">
        <f aca="false">IF(G1469&lt;Parametres!$B$8*Parametres!$B$7,0,MIN(G1469,Parametres!$B$7))</f>
        <v>0</v>
      </c>
      <c r="I1469" s="20" t="n">
        <f aca="false">G1469-H1469</f>
        <v>0.22</v>
      </c>
      <c r="J1469" s="21" t="n">
        <f aca="false">H1469*1000/Parametres!$B$9</f>
        <v>0</v>
      </c>
    </row>
    <row r="1470" customFormat="false" ht="15" hidden="false" customHeight="false" outlineLevel="0" collapsed="false">
      <c r="A1470" s="0" t="n">
        <v>1466</v>
      </c>
      <c r="B1470" s="0" t="n">
        <v>3</v>
      </c>
      <c r="C1470" s="19" t="n">
        <v>0</v>
      </c>
      <c r="D1470" s="19" t="n">
        <v>0.0002</v>
      </c>
      <c r="E1470" s="20" t="n">
        <f aca="false">Parametres!$B$5*C1470</f>
        <v>0</v>
      </c>
      <c r="F1470" s="20" t="n">
        <f aca="false">Parametres!$B$6*D1470</f>
        <v>0.04</v>
      </c>
      <c r="G1470" s="20" t="n">
        <f aca="false">E1470+F1470</f>
        <v>0.04</v>
      </c>
      <c r="H1470" s="20" t="n">
        <f aca="false">IF(G1470&lt;Parametres!$B$8*Parametres!$B$7,0,MIN(G1470,Parametres!$B$7))</f>
        <v>0</v>
      </c>
      <c r="I1470" s="20" t="n">
        <f aca="false">G1470-H1470</f>
        <v>0.04</v>
      </c>
      <c r="J1470" s="21" t="n">
        <f aca="false">H1470*1000/Parametres!$B$9</f>
        <v>0</v>
      </c>
    </row>
    <row r="1471" customFormat="false" ht="15" hidden="false" customHeight="false" outlineLevel="0" collapsed="false">
      <c r="A1471" s="0" t="n">
        <v>1467</v>
      </c>
      <c r="B1471" s="0" t="n">
        <v>3</v>
      </c>
      <c r="C1471" s="19" t="n">
        <v>0</v>
      </c>
      <c r="D1471" s="19" t="n">
        <v>0</v>
      </c>
      <c r="E1471" s="20" t="n">
        <f aca="false">Parametres!$B$5*C1471</f>
        <v>0</v>
      </c>
      <c r="F1471" s="20" t="n">
        <f aca="false">Parametres!$B$6*D1471</f>
        <v>0</v>
      </c>
      <c r="G1471" s="20" t="n">
        <f aca="false">E1471+F1471</f>
        <v>0</v>
      </c>
      <c r="H1471" s="20" t="n">
        <f aca="false">IF(G1471&lt;Parametres!$B$8*Parametres!$B$7,0,MIN(G1471,Parametres!$B$7))</f>
        <v>0</v>
      </c>
      <c r="I1471" s="20" t="n">
        <f aca="false">G1471-H1471</f>
        <v>0</v>
      </c>
      <c r="J1471" s="21" t="n">
        <f aca="false">H1471*1000/Parametres!$B$9</f>
        <v>0</v>
      </c>
    </row>
    <row r="1472" customFormat="false" ht="15" hidden="false" customHeight="false" outlineLevel="0" collapsed="false">
      <c r="A1472" s="0" t="n">
        <v>1468</v>
      </c>
      <c r="B1472" s="0" t="n">
        <v>3</v>
      </c>
      <c r="C1472" s="19" t="n">
        <v>0</v>
      </c>
      <c r="D1472" s="19" t="n">
        <v>0</v>
      </c>
      <c r="E1472" s="20" t="n">
        <f aca="false">Parametres!$B$5*C1472</f>
        <v>0</v>
      </c>
      <c r="F1472" s="20" t="n">
        <f aca="false">Parametres!$B$6*D1472</f>
        <v>0</v>
      </c>
      <c r="G1472" s="20" t="n">
        <f aca="false">E1472+F1472</f>
        <v>0</v>
      </c>
      <c r="H1472" s="20" t="n">
        <f aca="false">IF(G1472&lt;Parametres!$B$8*Parametres!$B$7,0,MIN(G1472,Parametres!$B$7))</f>
        <v>0</v>
      </c>
      <c r="I1472" s="20" t="n">
        <f aca="false">G1472-H1472</f>
        <v>0</v>
      </c>
      <c r="J1472" s="21" t="n">
        <f aca="false">H1472*1000/Parametres!$B$9</f>
        <v>0</v>
      </c>
    </row>
    <row r="1473" customFormat="false" ht="15" hidden="false" customHeight="false" outlineLevel="0" collapsed="false">
      <c r="A1473" s="0" t="n">
        <v>1469</v>
      </c>
      <c r="B1473" s="0" t="n">
        <v>3</v>
      </c>
      <c r="C1473" s="19" t="n">
        <v>0</v>
      </c>
      <c r="D1473" s="19" t="n">
        <v>0.0008</v>
      </c>
      <c r="E1473" s="20" t="n">
        <f aca="false">Parametres!$B$5*C1473</f>
        <v>0</v>
      </c>
      <c r="F1473" s="20" t="n">
        <f aca="false">Parametres!$B$6*D1473</f>
        <v>0.16</v>
      </c>
      <c r="G1473" s="20" t="n">
        <f aca="false">E1473+F1473</f>
        <v>0.16</v>
      </c>
      <c r="H1473" s="20" t="n">
        <f aca="false">IF(G1473&lt;Parametres!$B$8*Parametres!$B$7,0,MIN(G1473,Parametres!$B$7))</f>
        <v>0</v>
      </c>
      <c r="I1473" s="20" t="n">
        <f aca="false">G1473-H1473</f>
        <v>0.16</v>
      </c>
      <c r="J1473" s="21" t="n">
        <f aca="false">H1473*1000/Parametres!$B$9</f>
        <v>0</v>
      </c>
    </row>
    <row r="1474" customFormat="false" ht="15" hidden="false" customHeight="false" outlineLevel="0" collapsed="false">
      <c r="A1474" s="0" t="n">
        <v>1470</v>
      </c>
      <c r="B1474" s="0" t="n">
        <v>3</v>
      </c>
      <c r="C1474" s="19" t="n">
        <v>0</v>
      </c>
      <c r="D1474" s="19" t="n">
        <v>0.0001</v>
      </c>
      <c r="E1474" s="20" t="n">
        <f aca="false">Parametres!$B$5*C1474</f>
        <v>0</v>
      </c>
      <c r="F1474" s="20" t="n">
        <f aca="false">Parametres!$B$6*D1474</f>
        <v>0.02</v>
      </c>
      <c r="G1474" s="20" t="n">
        <f aca="false">E1474+F1474</f>
        <v>0.02</v>
      </c>
      <c r="H1474" s="20" t="n">
        <f aca="false">IF(G1474&lt;Parametres!$B$8*Parametres!$B$7,0,MIN(G1474,Parametres!$B$7))</f>
        <v>0</v>
      </c>
      <c r="I1474" s="20" t="n">
        <f aca="false">G1474-H1474</f>
        <v>0.02</v>
      </c>
      <c r="J1474" s="21" t="n">
        <f aca="false">H1474*1000/Parametres!$B$9</f>
        <v>0</v>
      </c>
    </row>
    <row r="1475" customFormat="false" ht="15" hidden="false" customHeight="false" outlineLevel="0" collapsed="false">
      <c r="A1475" s="0" t="n">
        <v>1471</v>
      </c>
      <c r="B1475" s="0" t="n">
        <v>3</v>
      </c>
      <c r="C1475" s="19" t="n">
        <v>0.0415</v>
      </c>
      <c r="D1475" s="19" t="n">
        <v>0.0005</v>
      </c>
      <c r="E1475" s="20" t="n">
        <f aca="false">Parametres!$B$5*C1475</f>
        <v>12.45</v>
      </c>
      <c r="F1475" s="20" t="n">
        <f aca="false">Parametres!$B$6*D1475</f>
        <v>0.1</v>
      </c>
      <c r="G1475" s="20" t="n">
        <f aca="false">E1475+F1475</f>
        <v>12.55</v>
      </c>
      <c r="H1475" s="20" t="n">
        <f aca="false">IF(G1475&lt;Parametres!$B$8*Parametres!$B$7,0,MIN(G1475,Parametres!$B$7))</f>
        <v>0</v>
      </c>
      <c r="I1475" s="20" t="n">
        <f aca="false">G1475-H1475</f>
        <v>12.55</v>
      </c>
      <c r="J1475" s="21" t="n">
        <f aca="false">H1475*1000/Parametres!$B$9</f>
        <v>0</v>
      </c>
    </row>
    <row r="1476" customFormat="false" ht="15" hidden="false" customHeight="false" outlineLevel="0" collapsed="false">
      <c r="A1476" s="0" t="n">
        <v>1472</v>
      </c>
      <c r="B1476" s="0" t="n">
        <v>3</v>
      </c>
      <c r="C1476" s="19" t="n">
        <v>0.2816</v>
      </c>
      <c r="D1476" s="19" t="n">
        <v>0.0012</v>
      </c>
      <c r="E1476" s="20" t="n">
        <f aca="false">Parametres!$B$5*C1476</f>
        <v>84.48</v>
      </c>
      <c r="F1476" s="20" t="n">
        <f aca="false">Parametres!$B$6*D1476</f>
        <v>0.24</v>
      </c>
      <c r="G1476" s="20" t="n">
        <f aca="false">E1476+F1476</f>
        <v>84.72</v>
      </c>
      <c r="H1476" s="20" t="n">
        <f aca="false">IF(G1476&lt;Parametres!$B$8*Parametres!$B$7,0,MIN(G1476,Parametres!$B$7))</f>
        <v>84.72</v>
      </c>
      <c r="I1476" s="20" t="n">
        <f aca="false">G1476-H1476</f>
        <v>0</v>
      </c>
      <c r="J1476" s="21" t="n">
        <f aca="false">H1476*1000/Parametres!$B$9</f>
        <v>1436.66270985247</v>
      </c>
    </row>
    <row r="1477" customFormat="false" ht="15" hidden="false" customHeight="false" outlineLevel="0" collapsed="false">
      <c r="A1477" s="0" t="n">
        <v>1473</v>
      </c>
      <c r="B1477" s="0" t="n">
        <v>3</v>
      </c>
      <c r="C1477" s="19" t="n">
        <v>0.5405</v>
      </c>
      <c r="D1477" s="19" t="n">
        <v>0.0009</v>
      </c>
      <c r="E1477" s="20" t="n">
        <f aca="false">Parametres!$B$5*C1477</f>
        <v>162.15</v>
      </c>
      <c r="F1477" s="20" t="n">
        <f aca="false">Parametres!$B$6*D1477</f>
        <v>0.18</v>
      </c>
      <c r="G1477" s="20" t="n">
        <f aca="false">E1477+F1477</f>
        <v>162.33</v>
      </c>
      <c r="H1477" s="20" t="n">
        <f aca="false">IF(G1477&lt;Parametres!$B$8*Parametres!$B$7,0,MIN(G1477,Parametres!$B$7))</f>
        <v>162.33</v>
      </c>
      <c r="I1477" s="20" t="n">
        <f aca="false">G1477-H1477</f>
        <v>0</v>
      </c>
      <c r="J1477" s="21" t="n">
        <f aca="false">H1477*1000/Parametres!$B$9</f>
        <v>2752.75563846023</v>
      </c>
    </row>
    <row r="1478" customFormat="false" ht="15" hidden="false" customHeight="false" outlineLevel="0" collapsed="false">
      <c r="A1478" s="0" t="n">
        <v>1474</v>
      </c>
      <c r="B1478" s="0" t="n">
        <v>3</v>
      </c>
      <c r="C1478" s="19" t="n">
        <v>0.7842</v>
      </c>
      <c r="D1478" s="19" t="n">
        <v>0.0007</v>
      </c>
      <c r="E1478" s="20" t="n">
        <f aca="false">Parametres!$B$5*C1478</f>
        <v>235.26</v>
      </c>
      <c r="F1478" s="20" t="n">
        <f aca="false">Parametres!$B$6*D1478</f>
        <v>0.14</v>
      </c>
      <c r="G1478" s="20" t="n">
        <f aca="false">E1478+F1478</f>
        <v>235.4</v>
      </c>
      <c r="H1478" s="20" t="n">
        <f aca="false">IF(G1478&lt;Parametres!$B$8*Parametres!$B$7,0,MIN(G1478,Parametres!$B$7))</f>
        <v>235.4</v>
      </c>
      <c r="I1478" s="20" t="n">
        <f aca="false">G1478-H1478</f>
        <v>0</v>
      </c>
      <c r="J1478" s="21" t="n">
        <f aca="false">H1478*1000/Parametres!$B$9</f>
        <v>3991.86026793285</v>
      </c>
    </row>
    <row r="1479" customFormat="false" ht="15" hidden="false" customHeight="false" outlineLevel="0" collapsed="false">
      <c r="A1479" s="0" t="n">
        <v>1475</v>
      </c>
      <c r="B1479" s="0" t="n">
        <v>3</v>
      </c>
      <c r="C1479" s="19" t="n">
        <v>0.9254</v>
      </c>
      <c r="D1479" s="19" t="n">
        <v>0.0033</v>
      </c>
      <c r="E1479" s="20" t="n">
        <f aca="false">Parametres!$B$5*C1479</f>
        <v>277.62</v>
      </c>
      <c r="F1479" s="20" t="n">
        <f aca="false">Parametres!$B$6*D1479</f>
        <v>0.66</v>
      </c>
      <c r="G1479" s="20" t="n">
        <f aca="false">E1479+F1479</f>
        <v>278.28</v>
      </c>
      <c r="H1479" s="20" t="n">
        <f aca="false">IF(G1479&lt;Parametres!$B$8*Parametres!$B$7,0,MIN(G1479,Parametres!$B$7))</f>
        <v>250</v>
      </c>
      <c r="I1479" s="20" t="n">
        <f aca="false">G1479-H1479</f>
        <v>28.28</v>
      </c>
      <c r="J1479" s="21" t="n">
        <f aca="false">H1479*1000/Parametres!$B$9</f>
        <v>4239.44378497541</v>
      </c>
    </row>
    <row r="1480" customFormat="false" ht="15" hidden="false" customHeight="false" outlineLevel="0" collapsed="false">
      <c r="A1480" s="0" t="n">
        <v>1476</v>
      </c>
      <c r="B1480" s="0" t="n">
        <v>3</v>
      </c>
      <c r="C1480" s="19" t="n">
        <v>1</v>
      </c>
      <c r="D1480" s="19" t="n">
        <v>0.0007</v>
      </c>
      <c r="E1480" s="20" t="n">
        <f aca="false">Parametres!$B$5*C1480</f>
        <v>300</v>
      </c>
      <c r="F1480" s="20" t="n">
        <f aca="false">Parametres!$B$6*D1480</f>
        <v>0.14</v>
      </c>
      <c r="G1480" s="20" t="n">
        <f aca="false">E1480+F1480</f>
        <v>300.14</v>
      </c>
      <c r="H1480" s="20" t="n">
        <f aca="false">IF(G1480&lt;Parametres!$B$8*Parametres!$B$7,0,MIN(G1480,Parametres!$B$7))</f>
        <v>250</v>
      </c>
      <c r="I1480" s="20" t="n">
        <f aca="false">G1480-H1480</f>
        <v>50.14</v>
      </c>
      <c r="J1480" s="21" t="n">
        <f aca="false">H1480*1000/Parametres!$B$9</f>
        <v>4239.44378497541</v>
      </c>
    </row>
    <row r="1481" customFormat="false" ht="15" hidden="false" customHeight="false" outlineLevel="0" collapsed="false">
      <c r="A1481" s="0" t="n">
        <v>1477</v>
      </c>
      <c r="B1481" s="0" t="n">
        <v>3</v>
      </c>
      <c r="C1481" s="19" t="n">
        <v>1</v>
      </c>
      <c r="D1481" s="19" t="n">
        <v>0.0003</v>
      </c>
      <c r="E1481" s="20" t="n">
        <f aca="false">Parametres!$B$5*C1481</f>
        <v>300</v>
      </c>
      <c r="F1481" s="20" t="n">
        <f aca="false">Parametres!$B$6*D1481</f>
        <v>0.06</v>
      </c>
      <c r="G1481" s="20" t="n">
        <f aca="false">E1481+F1481</f>
        <v>300.06</v>
      </c>
      <c r="H1481" s="20" t="n">
        <f aca="false">IF(G1481&lt;Parametres!$B$8*Parametres!$B$7,0,MIN(G1481,Parametres!$B$7))</f>
        <v>250</v>
      </c>
      <c r="I1481" s="20" t="n">
        <f aca="false">G1481-H1481</f>
        <v>50.06</v>
      </c>
      <c r="J1481" s="21" t="n">
        <f aca="false">H1481*1000/Parametres!$B$9</f>
        <v>4239.44378497541</v>
      </c>
    </row>
    <row r="1482" customFormat="false" ht="15" hidden="false" customHeight="false" outlineLevel="0" collapsed="false">
      <c r="A1482" s="0" t="n">
        <v>1478</v>
      </c>
      <c r="B1482" s="0" t="n">
        <v>3</v>
      </c>
      <c r="C1482" s="19" t="n">
        <v>0.9244</v>
      </c>
      <c r="D1482" s="19" t="n">
        <v>0.0004</v>
      </c>
      <c r="E1482" s="20" t="n">
        <f aca="false">Parametres!$B$5*C1482</f>
        <v>277.32</v>
      </c>
      <c r="F1482" s="20" t="n">
        <f aca="false">Parametres!$B$6*D1482</f>
        <v>0.08</v>
      </c>
      <c r="G1482" s="20" t="n">
        <f aca="false">E1482+F1482</f>
        <v>277.4</v>
      </c>
      <c r="H1482" s="20" t="n">
        <f aca="false">IF(G1482&lt;Parametres!$B$8*Parametres!$B$7,0,MIN(G1482,Parametres!$B$7))</f>
        <v>250</v>
      </c>
      <c r="I1482" s="20" t="n">
        <f aca="false">G1482-H1482</f>
        <v>27.4</v>
      </c>
      <c r="J1482" s="21" t="n">
        <f aca="false">H1482*1000/Parametres!$B$9</f>
        <v>4239.44378497541</v>
      </c>
    </row>
    <row r="1483" customFormat="false" ht="15" hidden="false" customHeight="false" outlineLevel="0" collapsed="false">
      <c r="A1483" s="0" t="n">
        <v>1479</v>
      </c>
      <c r="B1483" s="0" t="n">
        <v>3</v>
      </c>
      <c r="C1483" s="19" t="n">
        <v>0.7076</v>
      </c>
      <c r="D1483" s="19" t="n">
        <v>0.0005</v>
      </c>
      <c r="E1483" s="20" t="n">
        <f aca="false">Parametres!$B$5*C1483</f>
        <v>212.28</v>
      </c>
      <c r="F1483" s="20" t="n">
        <f aca="false">Parametres!$B$6*D1483</f>
        <v>0.1</v>
      </c>
      <c r="G1483" s="20" t="n">
        <f aca="false">E1483+F1483</f>
        <v>212.38</v>
      </c>
      <c r="H1483" s="20" t="n">
        <f aca="false">IF(G1483&lt;Parametres!$B$8*Parametres!$B$7,0,MIN(G1483,Parametres!$B$7))</f>
        <v>212.38</v>
      </c>
      <c r="I1483" s="20" t="n">
        <f aca="false">G1483-H1483</f>
        <v>0</v>
      </c>
      <c r="J1483" s="21" t="n">
        <f aca="false">H1483*1000/Parametres!$B$9</f>
        <v>3601.49228421231</v>
      </c>
    </row>
    <row r="1484" customFormat="false" ht="15" hidden="false" customHeight="false" outlineLevel="0" collapsed="false">
      <c r="A1484" s="0" t="n">
        <v>1480</v>
      </c>
      <c r="B1484" s="0" t="n">
        <v>3</v>
      </c>
      <c r="C1484" s="19" t="n">
        <v>0.5483</v>
      </c>
      <c r="D1484" s="19" t="n">
        <v>0.0004</v>
      </c>
      <c r="E1484" s="20" t="n">
        <f aca="false">Parametres!$B$5*C1484</f>
        <v>164.49</v>
      </c>
      <c r="F1484" s="20" t="n">
        <f aca="false">Parametres!$B$6*D1484</f>
        <v>0.08</v>
      </c>
      <c r="G1484" s="20" t="n">
        <f aca="false">E1484+F1484</f>
        <v>164.57</v>
      </c>
      <c r="H1484" s="20" t="n">
        <f aca="false">IF(G1484&lt;Parametres!$B$8*Parametres!$B$7,0,MIN(G1484,Parametres!$B$7))</f>
        <v>164.57</v>
      </c>
      <c r="I1484" s="20" t="n">
        <f aca="false">G1484-H1484</f>
        <v>0</v>
      </c>
      <c r="J1484" s="21" t="n">
        <f aca="false">H1484*1000/Parametres!$B$9</f>
        <v>2790.74105477361</v>
      </c>
    </row>
    <row r="1485" customFormat="false" ht="15" hidden="false" customHeight="false" outlineLevel="0" collapsed="false">
      <c r="A1485" s="0" t="n">
        <v>1481</v>
      </c>
      <c r="B1485" s="0" t="n">
        <v>3</v>
      </c>
      <c r="C1485" s="19" t="n">
        <v>0.2777</v>
      </c>
      <c r="D1485" s="19" t="n">
        <v>0.0007</v>
      </c>
      <c r="E1485" s="20" t="n">
        <f aca="false">Parametres!$B$5*C1485</f>
        <v>83.31</v>
      </c>
      <c r="F1485" s="20" t="n">
        <f aca="false">Parametres!$B$6*D1485</f>
        <v>0.14</v>
      </c>
      <c r="G1485" s="20" t="n">
        <f aca="false">E1485+F1485</f>
        <v>83.45</v>
      </c>
      <c r="H1485" s="20" t="n">
        <f aca="false">IF(G1485&lt;Parametres!$B$8*Parametres!$B$7,0,MIN(G1485,Parametres!$B$7))</f>
        <v>83.45</v>
      </c>
      <c r="I1485" s="20" t="n">
        <f aca="false">G1485-H1485</f>
        <v>0</v>
      </c>
      <c r="J1485" s="21" t="n">
        <f aca="false">H1485*1000/Parametres!$B$9</f>
        <v>1415.12633542479</v>
      </c>
    </row>
    <row r="1486" customFormat="false" ht="15" hidden="false" customHeight="false" outlineLevel="0" collapsed="false">
      <c r="A1486" s="0" t="n">
        <v>1482</v>
      </c>
      <c r="B1486" s="0" t="n">
        <v>3</v>
      </c>
      <c r="C1486" s="19" t="n">
        <v>0.0413</v>
      </c>
      <c r="D1486" s="19" t="n">
        <v>0.0018</v>
      </c>
      <c r="E1486" s="20" t="n">
        <f aca="false">Parametres!$B$5*C1486</f>
        <v>12.39</v>
      </c>
      <c r="F1486" s="20" t="n">
        <f aca="false">Parametres!$B$6*D1486</f>
        <v>0.36</v>
      </c>
      <c r="G1486" s="20" t="n">
        <f aca="false">E1486+F1486</f>
        <v>12.75</v>
      </c>
      <c r="H1486" s="20" t="n">
        <f aca="false">IF(G1486&lt;Parametres!$B$8*Parametres!$B$7,0,MIN(G1486,Parametres!$B$7))</f>
        <v>0</v>
      </c>
      <c r="I1486" s="20" t="n">
        <f aca="false">G1486-H1486</f>
        <v>12.75</v>
      </c>
      <c r="J1486" s="21" t="n">
        <f aca="false">H1486*1000/Parametres!$B$9</f>
        <v>0</v>
      </c>
    </row>
    <row r="1487" customFormat="false" ht="15" hidden="false" customHeight="false" outlineLevel="0" collapsed="false">
      <c r="A1487" s="0" t="n">
        <v>1483</v>
      </c>
      <c r="B1487" s="0" t="n">
        <v>3</v>
      </c>
      <c r="C1487" s="19" t="n">
        <v>0</v>
      </c>
      <c r="D1487" s="19" t="n">
        <v>0.0002</v>
      </c>
      <c r="E1487" s="20" t="n">
        <f aca="false">Parametres!$B$5*C1487</f>
        <v>0</v>
      </c>
      <c r="F1487" s="20" t="n">
        <f aca="false">Parametres!$B$6*D1487</f>
        <v>0.04</v>
      </c>
      <c r="G1487" s="20" t="n">
        <f aca="false">E1487+F1487</f>
        <v>0.04</v>
      </c>
      <c r="H1487" s="20" t="n">
        <f aca="false">IF(G1487&lt;Parametres!$B$8*Parametres!$B$7,0,MIN(G1487,Parametres!$B$7))</f>
        <v>0</v>
      </c>
      <c r="I1487" s="20" t="n">
        <f aca="false">G1487-H1487</f>
        <v>0.04</v>
      </c>
      <c r="J1487" s="21" t="n">
        <f aca="false">H1487*1000/Parametres!$B$9</f>
        <v>0</v>
      </c>
    </row>
    <row r="1488" customFormat="false" ht="15" hidden="false" customHeight="false" outlineLevel="0" collapsed="false">
      <c r="A1488" s="0" t="n">
        <v>1484</v>
      </c>
      <c r="B1488" s="0" t="n">
        <v>3</v>
      </c>
      <c r="C1488" s="19" t="n">
        <v>0</v>
      </c>
      <c r="D1488" s="19" t="n">
        <v>0.0002</v>
      </c>
      <c r="E1488" s="20" t="n">
        <f aca="false">Parametres!$B$5*C1488</f>
        <v>0</v>
      </c>
      <c r="F1488" s="20" t="n">
        <f aca="false">Parametres!$B$6*D1488</f>
        <v>0.04</v>
      </c>
      <c r="G1488" s="20" t="n">
        <f aca="false">E1488+F1488</f>
        <v>0.04</v>
      </c>
      <c r="H1488" s="20" t="n">
        <f aca="false">IF(G1488&lt;Parametres!$B$8*Parametres!$B$7,0,MIN(G1488,Parametres!$B$7))</f>
        <v>0</v>
      </c>
      <c r="I1488" s="20" t="n">
        <f aca="false">G1488-H1488</f>
        <v>0.04</v>
      </c>
      <c r="J1488" s="21" t="n">
        <f aca="false">H1488*1000/Parametres!$B$9</f>
        <v>0</v>
      </c>
    </row>
    <row r="1489" customFormat="false" ht="15" hidden="false" customHeight="false" outlineLevel="0" collapsed="false">
      <c r="A1489" s="0" t="n">
        <v>1485</v>
      </c>
      <c r="B1489" s="0" t="n">
        <v>3</v>
      </c>
      <c r="C1489" s="19" t="n">
        <v>0</v>
      </c>
      <c r="D1489" s="19" t="n">
        <v>0</v>
      </c>
      <c r="E1489" s="20" t="n">
        <f aca="false">Parametres!$B$5*C1489</f>
        <v>0</v>
      </c>
      <c r="F1489" s="20" t="n">
        <f aca="false">Parametres!$B$6*D1489</f>
        <v>0</v>
      </c>
      <c r="G1489" s="20" t="n">
        <f aca="false">E1489+F1489</f>
        <v>0</v>
      </c>
      <c r="H1489" s="20" t="n">
        <f aca="false">IF(G1489&lt;Parametres!$B$8*Parametres!$B$7,0,MIN(G1489,Parametres!$B$7))</f>
        <v>0</v>
      </c>
      <c r="I1489" s="20" t="n">
        <f aca="false">G1489-H1489</f>
        <v>0</v>
      </c>
      <c r="J1489" s="21" t="n">
        <f aca="false">H1489*1000/Parametres!$B$9</f>
        <v>0</v>
      </c>
    </row>
    <row r="1490" customFormat="false" ht="15" hidden="false" customHeight="false" outlineLevel="0" collapsed="false">
      <c r="A1490" s="0" t="n">
        <v>1486</v>
      </c>
      <c r="B1490" s="0" t="n">
        <v>3</v>
      </c>
      <c r="C1490" s="19" t="n">
        <v>0</v>
      </c>
      <c r="D1490" s="19" t="n">
        <v>0.001</v>
      </c>
      <c r="E1490" s="20" t="n">
        <f aca="false">Parametres!$B$5*C1490</f>
        <v>0</v>
      </c>
      <c r="F1490" s="20" t="n">
        <f aca="false">Parametres!$B$6*D1490</f>
        <v>0.2</v>
      </c>
      <c r="G1490" s="20" t="n">
        <f aca="false">E1490+F1490</f>
        <v>0.2</v>
      </c>
      <c r="H1490" s="20" t="n">
        <f aca="false">IF(G1490&lt;Parametres!$B$8*Parametres!$B$7,0,MIN(G1490,Parametres!$B$7))</f>
        <v>0</v>
      </c>
      <c r="I1490" s="20" t="n">
        <f aca="false">G1490-H1490</f>
        <v>0.2</v>
      </c>
      <c r="J1490" s="21" t="n">
        <f aca="false">H1490*1000/Parametres!$B$9</f>
        <v>0</v>
      </c>
    </row>
    <row r="1491" customFormat="false" ht="15" hidden="false" customHeight="false" outlineLevel="0" collapsed="false">
      <c r="A1491" s="0" t="n">
        <v>1487</v>
      </c>
      <c r="B1491" s="0" t="n">
        <v>3</v>
      </c>
      <c r="C1491" s="19" t="n">
        <v>0</v>
      </c>
      <c r="D1491" s="19" t="n">
        <v>0</v>
      </c>
      <c r="E1491" s="20" t="n">
        <f aca="false">Parametres!$B$5*C1491</f>
        <v>0</v>
      </c>
      <c r="F1491" s="20" t="n">
        <f aca="false">Parametres!$B$6*D1491</f>
        <v>0</v>
      </c>
      <c r="G1491" s="20" t="n">
        <f aca="false">E1491+F1491</f>
        <v>0</v>
      </c>
      <c r="H1491" s="20" t="n">
        <f aca="false">IF(G1491&lt;Parametres!$B$8*Parametres!$B$7,0,MIN(G1491,Parametres!$B$7))</f>
        <v>0</v>
      </c>
      <c r="I1491" s="20" t="n">
        <f aca="false">G1491-H1491</f>
        <v>0</v>
      </c>
      <c r="J1491" s="21" t="n">
        <f aca="false">H1491*1000/Parametres!$B$9</f>
        <v>0</v>
      </c>
    </row>
    <row r="1492" customFormat="false" ht="15" hidden="false" customHeight="false" outlineLevel="0" collapsed="false">
      <c r="A1492" s="0" t="n">
        <v>1488</v>
      </c>
      <c r="B1492" s="0" t="n">
        <v>3</v>
      </c>
      <c r="C1492" s="19" t="n">
        <v>0</v>
      </c>
      <c r="D1492" s="19" t="n">
        <v>0</v>
      </c>
      <c r="E1492" s="20" t="n">
        <f aca="false">Parametres!$B$5*C1492</f>
        <v>0</v>
      </c>
      <c r="F1492" s="20" t="n">
        <f aca="false">Parametres!$B$6*D1492</f>
        <v>0</v>
      </c>
      <c r="G1492" s="20" t="n">
        <f aca="false">E1492+F1492</f>
        <v>0</v>
      </c>
      <c r="H1492" s="20" t="n">
        <f aca="false">IF(G1492&lt;Parametres!$B$8*Parametres!$B$7,0,MIN(G1492,Parametres!$B$7))</f>
        <v>0</v>
      </c>
      <c r="I1492" s="20" t="n">
        <f aca="false">G1492-H1492</f>
        <v>0</v>
      </c>
      <c r="J1492" s="21" t="n">
        <f aca="false">H1492*1000/Parametres!$B$9</f>
        <v>0</v>
      </c>
    </row>
    <row r="1493" customFormat="false" ht="15" hidden="false" customHeight="false" outlineLevel="0" collapsed="false">
      <c r="A1493" s="0" t="n">
        <v>1489</v>
      </c>
      <c r="B1493" s="0" t="n">
        <v>3</v>
      </c>
      <c r="C1493" s="19" t="n">
        <v>0</v>
      </c>
      <c r="D1493" s="19" t="n">
        <v>0</v>
      </c>
      <c r="E1493" s="20" t="n">
        <f aca="false">Parametres!$B$5*C1493</f>
        <v>0</v>
      </c>
      <c r="F1493" s="20" t="n">
        <f aca="false">Parametres!$B$6*D1493</f>
        <v>0</v>
      </c>
      <c r="G1493" s="20" t="n">
        <f aca="false">E1493+F1493</f>
        <v>0</v>
      </c>
      <c r="H1493" s="20" t="n">
        <f aca="false">IF(G1493&lt;Parametres!$B$8*Parametres!$B$7,0,MIN(G1493,Parametres!$B$7))</f>
        <v>0</v>
      </c>
      <c r="I1493" s="20" t="n">
        <f aca="false">G1493-H1493</f>
        <v>0</v>
      </c>
      <c r="J1493" s="21" t="n">
        <f aca="false">H1493*1000/Parametres!$B$9</f>
        <v>0</v>
      </c>
    </row>
    <row r="1494" customFormat="false" ht="15" hidden="false" customHeight="false" outlineLevel="0" collapsed="false">
      <c r="A1494" s="0" t="n">
        <v>1490</v>
      </c>
      <c r="B1494" s="0" t="n">
        <v>3</v>
      </c>
      <c r="C1494" s="19" t="n">
        <v>0</v>
      </c>
      <c r="D1494" s="19" t="n">
        <v>0</v>
      </c>
      <c r="E1494" s="20" t="n">
        <f aca="false">Parametres!$B$5*C1494</f>
        <v>0</v>
      </c>
      <c r="F1494" s="20" t="n">
        <f aca="false">Parametres!$B$6*D1494</f>
        <v>0</v>
      </c>
      <c r="G1494" s="20" t="n">
        <f aca="false">E1494+F1494</f>
        <v>0</v>
      </c>
      <c r="H1494" s="20" t="n">
        <f aca="false">IF(G1494&lt;Parametres!$B$8*Parametres!$B$7,0,MIN(G1494,Parametres!$B$7))</f>
        <v>0</v>
      </c>
      <c r="I1494" s="20" t="n">
        <f aca="false">G1494-H1494</f>
        <v>0</v>
      </c>
      <c r="J1494" s="21" t="n">
        <f aca="false">H1494*1000/Parametres!$B$9</f>
        <v>0</v>
      </c>
    </row>
    <row r="1495" customFormat="false" ht="15" hidden="false" customHeight="false" outlineLevel="0" collapsed="false">
      <c r="A1495" s="0" t="n">
        <v>1491</v>
      </c>
      <c r="B1495" s="0" t="n">
        <v>3</v>
      </c>
      <c r="C1495" s="19" t="n">
        <v>0</v>
      </c>
      <c r="D1495" s="19" t="n">
        <v>0</v>
      </c>
      <c r="E1495" s="20" t="n">
        <f aca="false">Parametres!$B$5*C1495</f>
        <v>0</v>
      </c>
      <c r="F1495" s="20" t="n">
        <f aca="false">Parametres!$B$6*D1495</f>
        <v>0</v>
      </c>
      <c r="G1495" s="20" t="n">
        <f aca="false">E1495+F1495</f>
        <v>0</v>
      </c>
      <c r="H1495" s="20" t="n">
        <f aca="false">IF(G1495&lt;Parametres!$B$8*Parametres!$B$7,0,MIN(G1495,Parametres!$B$7))</f>
        <v>0</v>
      </c>
      <c r="I1495" s="20" t="n">
        <f aca="false">G1495-H1495</f>
        <v>0</v>
      </c>
      <c r="J1495" s="21" t="n">
        <f aca="false">H1495*1000/Parametres!$B$9</f>
        <v>0</v>
      </c>
    </row>
    <row r="1496" customFormat="false" ht="15" hidden="false" customHeight="false" outlineLevel="0" collapsed="false">
      <c r="A1496" s="0" t="n">
        <v>1492</v>
      </c>
      <c r="B1496" s="0" t="n">
        <v>3</v>
      </c>
      <c r="C1496" s="19" t="n">
        <v>0</v>
      </c>
      <c r="D1496" s="19" t="n">
        <v>0</v>
      </c>
      <c r="E1496" s="20" t="n">
        <f aca="false">Parametres!$B$5*C1496</f>
        <v>0</v>
      </c>
      <c r="F1496" s="20" t="n">
        <f aca="false">Parametres!$B$6*D1496</f>
        <v>0</v>
      </c>
      <c r="G1496" s="20" t="n">
        <f aca="false">E1496+F1496</f>
        <v>0</v>
      </c>
      <c r="H1496" s="20" t="n">
        <f aca="false">IF(G1496&lt;Parametres!$B$8*Parametres!$B$7,0,MIN(G1496,Parametres!$B$7))</f>
        <v>0</v>
      </c>
      <c r="I1496" s="20" t="n">
        <f aca="false">G1496-H1496</f>
        <v>0</v>
      </c>
      <c r="J1496" s="21" t="n">
        <f aca="false">H1496*1000/Parametres!$B$9</f>
        <v>0</v>
      </c>
    </row>
    <row r="1497" customFormat="false" ht="15" hidden="false" customHeight="false" outlineLevel="0" collapsed="false">
      <c r="A1497" s="0" t="n">
        <v>1493</v>
      </c>
      <c r="B1497" s="0" t="n">
        <v>3</v>
      </c>
      <c r="C1497" s="19" t="n">
        <v>0</v>
      </c>
      <c r="D1497" s="19" t="n">
        <v>0</v>
      </c>
      <c r="E1497" s="20" t="n">
        <f aca="false">Parametres!$B$5*C1497</f>
        <v>0</v>
      </c>
      <c r="F1497" s="20" t="n">
        <f aca="false">Parametres!$B$6*D1497</f>
        <v>0</v>
      </c>
      <c r="G1497" s="20" t="n">
        <f aca="false">E1497+F1497</f>
        <v>0</v>
      </c>
      <c r="H1497" s="20" t="n">
        <f aca="false">IF(G1497&lt;Parametres!$B$8*Parametres!$B$7,0,MIN(G1497,Parametres!$B$7))</f>
        <v>0</v>
      </c>
      <c r="I1497" s="20" t="n">
        <f aca="false">G1497-H1497</f>
        <v>0</v>
      </c>
      <c r="J1497" s="21" t="n">
        <f aca="false">H1497*1000/Parametres!$B$9</f>
        <v>0</v>
      </c>
    </row>
    <row r="1498" customFormat="false" ht="15" hidden="false" customHeight="false" outlineLevel="0" collapsed="false">
      <c r="A1498" s="0" t="n">
        <v>1494</v>
      </c>
      <c r="B1498" s="0" t="n">
        <v>3</v>
      </c>
      <c r="C1498" s="19" t="n">
        <v>0</v>
      </c>
      <c r="D1498" s="19" t="n">
        <v>0</v>
      </c>
      <c r="E1498" s="20" t="n">
        <f aca="false">Parametres!$B$5*C1498</f>
        <v>0</v>
      </c>
      <c r="F1498" s="20" t="n">
        <f aca="false">Parametres!$B$6*D1498</f>
        <v>0</v>
      </c>
      <c r="G1498" s="20" t="n">
        <f aca="false">E1498+F1498</f>
        <v>0</v>
      </c>
      <c r="H1498" s="20" t="n">
        <f aca="false">IF(G1498&lt;Parametres!$B$8*Parametres!$B$7,0,MIN(G1498,Parametres!$B$7))</f>
        <v>0</v>
      </c>
      <c r="I1498" s="20" t="n">
        <f aca="false">G1498-H1498</f>
        <v>0</v>
      </c>
      <c r="J1498" s="21" t="n">
        <f aca="false">H1498*1000/Parametres!$B$9</f>
        <v>0</v>
      </c>
    </row>
    <row r="1499" customFormat="false" ht="15" hidden="false" customHeight="false" outlineLevel="0" collapsed="false">
      <c r="A1499" s="0" t="n">
        <v>1495</v>
      </c>
      <c r="B1499" s="0" t="n">
        <v>3</v>
      </c>
      <c r="C1499" s="19" t="n">
        <v>0.0375</v>
      </c>
      <c r="D1499" s="19" t="n">
        <v>0</v>
      </c>
      <c r="E1499" s="20" t="n">
        <f aca="false">Parametres!$B$5*C1499</f>
        <v>11.25</v>
      </c>
      <c r="F1499" s="20" t="n">
        <f aca="false">Parametres!$B$6*D1499</f>
        <v>0</v>
      </c>
      <c r="G1499" s="20" t="n">
        <f aca="false">E1499+F1499</f>
        <v>11.25</v>
      </c>
      <c r="H1499" s="20" t="n">
        <f aca="false">IF(G1499&lt;Parametres!$B$8*Parametres!$B$7,0,MIN(G1499,Parametres!$B$7))</f>
        <v>0</v>
      </c>
      <c r="I1499" s="20" t="n">
        <f aca="false">G1499-H1499</f>
        <v>11.25</v>
      </c>
      <c r="J1499" s="21" t="n">
        <f aca="false">H1499*1000/Parametres!$B$9</f>
        <v>0</v>
      </c>
    </row>
    <row r="1500" customFormat="false" ht="15" hidden="false" customHeight="false" outlineLevel="0" collapsed="false">
      <c r="A1500" s="0" t="n">
        <v>1496</v>
      </c>
      <c r="B1500" s="0" t="n">
        <v>3</v>
      </c>
      <c r="C1500" s="19" t="n">
        <v>0.2504</v>
      </c>
      <c r="D1500" s="19" t="n">
        <v>0</v>
      </c>
      <c r="E1500" s="20" t="n">
        <f aca="false">Parametres!$B$5*C1500</f>
        <v>75.12</v>
      </c>
      <c r="F1500" s="20" t="n">
        <f aca="false">Parametres!$B$6*D1500</f>
        <v>0</v>
      </c>
      <c r="G1500" s="20" t="n">
        <f aca="false">E1500+F1500</f>
        <v>75.12</v>
      </c>
      <c r="H1500" s="20" t="n">
        <f aca="false">IF(G1500&lt;Parametres!$B$8*Parametres!$B$7,0,MIN(G1500,Parametres!$B$7))</f>
        <v>75.12</v>
      </c>
      <c r="I1500" s="20" t="n">
        <f aca="false">G1500-H1500</f>
        <v>0</v>
      </c>
      <c r="J1500" s="21" t="n">
        <f aca="false">H1500*1000/Parametres!$B$9</f>
        <v>1273.86806850941</v>
      </c>
    </row>
    <row r="1501" customFormat="false" ht="15" hidden="false" customHeight="false" outlineLevel="0" collapsed="false">
      <c r="A1501" s="0" t="n">
        <v>1497</v>
      </c>
      <c r="B1501" s="0" t="n">
        <v>3</v>
      </c>
      <c r="C1501" s="19" t="n">
        <v>0.4385</v>
      </c>
      <c r="D1501" s="19" t="n">
        <v>0</v>
      </c>
      <c r="E1501" s="20" t="n">
        <f aca="false">Parametres!$B$5*C1501</f>
        <v>131.55</v>
      </c>
      <c r="F1501" s="20" t="n">
        <f aca="false">Parametres!$B$6*D1501</f>
        <v>0</v>
      </c>
      <c r="G1501" s="20" t="n">
        <f aca="false">E1501+F1501</f>
        <v>131.55</v>
      </c>
      <c r="H1501" s="20" t="n">
        <f aca="false">IF(G1501&lt;Parametres!$B$8*Parametres!$B$7,0,MIN(G1501,Parametres!$B$7))</f>
        <v>131.55</v>
      </c>
      <c r="I1501" s="20" t="n">
        <f aca="false">G1501-H1501</f>
        <v>0</v>
      </c>
      <c r="J1501" s="21" t="n">
        <f aca="false">H1501*1000/Parametres!$B$9</f>
        <v>2230.79531965406</v>
      </c>
    </row>
    <row r="1502" customFormat="false" ht="15" hidden="false" customHeight="false" outlineLevel="0" collapsed="false">
      <c r="A1502" s="0" t="n">
        <v>1498</v>
      </c>
      <c r="B1502" s="0" t="n">
        <v>3</v>
      </c>
      <c r="C1502" s="19" t="n">
        <v>0.6646</v>
      </c>
      <c r="D1502" s="19" t="n">
        <v>0</v>
      </c>
      <c r="E1502" s="20" t="n">
        <f aca="false">Parametres!$B$5*C1502</f>
        <v>199.38</v>
      </c>
      <c r="F1502" s="20" t="n">
        <f aca="false">Parametres!$B$6*D1502</f>
        <v>0</v>
      </c>
      <c r="G1502" s="20" t="n">
        <f aca="false">E1502+F1502</f>
        <v>199.38</v>
      </c>
      <c r="H1502" s="20" t="n">
        <f aca="false">IF(G1502&lt;Parametres!$B$8*Parametres!$B$7,0,MIN(G1502,Parametres!$B$7))</f>
        <v>199.38</v>
      </c>
      <c r="I1502" s="20" t="n">
        <f aca="false">G1502-H1502</f>
        <v>0</v>
      </c>
      <c r="J1502" s="21" t="n">
        <f aca="false">H1502*1000/Parametres!$B$9</f>
        <v>3381.04120739359</v>
      </c>
    </row>
    <row r="1503" customFormat="false" ht="15" hidden="false" customHeight="false" outlineLevel="0" collapsed="false">
      <c r="A1503" s="0" t="n">
        <v>1499</v>
      </c>
      <c r="B1503" s="0" t="n">
        <v>3</v>
      </c>
      <c r="C1503" s="19" t="n">
        <v>0.8448</v>
      </c>
      <c r="D1503" s="19" t="n">
        <v>0</v>
      </c>
      <c r="E1503" s="20" t="n">
        <f aca="false">Parametres!$B$5*C1503</f>
        <v>253.44</v>
      </c>
      <c r="F1503" s="20" t="n">
        <f aca="false">Parametres!$B$6*D1503</f>
        <v>0</v>
      </c>
      <c r="G1503" s="20" t="n">
        <f aca="false">E1503+F1503</f>
        <v>253.44</v>
      </c>
      <c r="H1503" s="20" t="n">
        <f aca="false">IF(G1503&lt;Parametres!$B$8*Parametres!$B$7,0,MIN(G1503,Parametres!$B$7))</f>
        <v>250</v>
      </c>
      <c r="I1503" s="20" t="n">
        <f aca="false">G1503-H1503</f>
        <v>3.44</v>
      </c>
      <c r="J1503" s="21" t="n">
        <f aca="false">H1503*1000/Parametres!$B$9</f>
        <v>4239.44378497541</v>
      </c>
    </row>
    <row r="1504" customFormat="false" ht="15" hidden="false" customHeight="false" outlineLevel="0" collapsed="false">
      <c r="A1504" s="0" t="n">
        <v>1500</v>
      </c>
      <c r="B1504" s="0" t="n">
        <v>3</v>
      </c>
      <c r="C1504" s="19" t="n">
        <v>0.8727</v>
      </c>
      <c r="D1504" s="19" t="n">
        <v>0</v>
      </c>
      <c r="E1504" s="20" t="n">
        <f aca="false">Parametres!$B$5*C1504</f>
        <v>261.81</v>
      </c>
      <c r="F1504" s="20" t="n">
        <f aca="false">Parametres!$B$6*D1504</f>
        <v>0</v>
      </c>
      <c r="G1504" s="20" t="n">
        <f aca="false">E1504+F1504</f>
        <v>261.81</v>
      </c>
      <c r="H1504" s="20" t="n">
        <f aca="false">IF(G1504&lt;Parametres!$B$8*Parametres!$B$7,0,MIN(G1504,Parametres!$B$7))</f>
        <v>250</v>
      </c>
      <c r="I1504" s="20" t="n">
        <f aca="false">G1504-H1504</f>
        <v>11.81</v>
      </c>
      <c r="J1504" s="21" t="n">
        <f aca="false">H1504*1000/Parametres!$B$9</f>
        <v>4239.44378497541</v>
      </c>
    </row>
    <row r="1505" customFormat="false" ht="15" hidden="false" customHeight="false" outlineLevel="0" collapsed="false">
      <c r="A1505" s="0" t="n">
        <v>1501</v>
      </c>
      <c r="B1505" s="0" t="n">
        <v>3</v>
      </c>
      <c r="C1505" s="19" t="n">
        <v>0.8498</v>
      </c>
      <c r="D1505" s="19" t="n">
        <v>0</v>
      </c>
      <c r="E1505" s="20" t="n">
        <f aca="false">Parametres!$B$5*C1505</f>
        <v>254.94</v>
      </c>
      <c r="F1505" s="20" t="n">
        <f aca="false">Parametres!$B$6*D1505</f>
        <v>0</v>
      </c>
      <c r="G1505" s="20" t="n">
        <f aca="false">E1505+F1505</f>
        <v>254.94</v>
      </c>
      <c r="H1505" s="20" t="n">
        <f aca="false">IF(G1505&lt;Parametres!$B$8*Parametres!$B$7,0,MIN(G1505,Parametres!$B$7))</f>
        <v>250</v>
      </c>
      <c r="I1505" s="20" t="n">
        <f aca="false">G1505-H1505</f>
        <v>4.94</v>
      </c>
      <c r="J1505" s="21" t="n">
        <f aca="false">H1505*1000/Parametres!$B$9</f>
        <v>4239.44378497541</v>
      </c>
    </row>
    <row r="1506" customFormat="false" ht="15" hidden="false" customHeight="false" outlineLevel="0" collapsed="false">
      <c r="A1506" s="0" t="n">
        <v>1502</v>
      </c>
      <c r="B1506" s="0" t="n">
        <v>3</v>
      </c>
      <c r="C1506" s="19" t="n">
        <v>0.7848</v>
      </c>
      <c r="D1506" s="19" t="n">
        <v>0</v>
      </c>
      <c r="E1506" s="20" t="n">
        <f aca="false">Parametres!$B$5*C1506</f>
        <v>235.44</v>
      </c>
      <c r="F1506" s="20" t="n">
        <f aca="false">Parametres!$B$6*D1506</f>
        <v>0</v>
      </c>
      <c r="G1506" s="20" t="n">
        <f aca="false">E1506+F1506</f>
        <v>235.44</v>
      </c>
      <c r="H1506" s="20" t="n">
        <f aca="false">IF(G1506&lt;Parametres!$B$8*Parametres!$B$7,0,MIN(G1506,Parametres!$B$7))</f>
        <v>235.44</v>
      </c>
      <c r="I1506" s="20" t="n">
        <f aca="false">G1506-H1506</f>
        <v>0</v>
      </c>
      <c r="J1506" s="21" t="n">
        <f aca="false">H1506*1000/Parametres!$B$9</f>
        <v>3992.53857893844</v>
      </c>
    </row>
    <row r="1507" customFormat="false" ht="15" hidden="false" customHeight="false" outlineLevel="0" collapsed="false">
      <c r="A1507" s="0" t="n">
        <v>1503</v>
      </c>
      <c r="B1507" s="0" t="n">
        <v>3</v>
      </c>
      <c r="C1507" s="19" t="n">
        <v>0.6198</v>
      </c>
      <c r="D1507" s="19" t="n">
        <v>0</v>
      </c>
      <c r="E1507" s="20" t="n">
        <f aca="false">Parametres!$B$5*C1507</f>
        <v>185.94</v>
      </c>
      <c r="F1507" s="20" t="n">
        <f aca="false">Parametres!$B$6*D1507</f>
        <v>0</v>
      </c>
      <c r="G1507" s="20" t="n">
        <f aca="false">E1507+F1507</f>
        <v>185.94</v>
      </c>
      <c r="H1507" s="20" t="n">
        <f aca="false">IF(G1507&lt;Parametres!$B$8*Parametres!$B$7,0,MIN(G1507,Parametres!$B$7))</f>
        <v>185.94</v>
      </c>
      <c r="I1507" s="20" t="n">
        <f aca="false">G1507-H1507</f>
        <v>0</v>
      </c>
      <c r="J1507" s="21" t="n">
        <f aca="false">H1507*1000/Parametres!$B$9</f>
        <v>3153.12870951331</v>
      </c>
    </row>
    <row r="1508" customFormat="false" ht="15" hidden="false" customHeight="false" outlineLevel="0" collapsed="false">
      <c r="A1508" s="0" t="n">
        <v>1504</v>
      </c>
      <c r="B1508" s="0" t="n">
        <v>3</v>
      </c>
      <c r="C1508" s="19" t="n">
        <v>0.4624</v>
      </c>
      <c r="D1508" s="19" t="n">
        <v>0</v>
      </c>
      <c r="E1508" s="20" t="n">
        <f aca="false">Parametres!$B$5*C1508</f>
        <v>138.72</v>
      </c>
      <c r="F1508" s="20" t="n">
        <f aca="false">Parametres!$B$6*D1508</f>
        <v>0</v>
      </c>
      <c r="G1508" s="20" t="n">
        <f aca="false">E1508+F1508</f>
        <v>138.72</v>
      </c>
      <c r="H1508" s="20" t="n">
        <f aca="false">IF(G1508&lt;Parametres!$B$8*Parametres!$B$7,0,MIN(G1508,Parametres!$B$7))</f>
        <v>138.72</v>
      </c>
      <c r="I1508" s="20" t="n">
        <f aca="false">G1508-H1508</f>
        <v>0</v>
      </c>
      <c r="J1508" s="21" t="n">
        <f aca="false">H1508*1000/Parametres!$B$9</f>
        <v>2352.38256740716</v>
      </c>
    </row>
    <row r="1509" customFormat="false" ht="15" hidden="false" customHeight="false" outlineLevel="0" collapsed="false">
      <c r="A1509" s="0" t="n">
        <v>1505</v>
      </c>
      <c r="B1509" s="0" t="n">
        <v>3</v>
      </c>
      <c r="C1509" s="19" t="n">
        <v>0.2347</v>
      </c>
      <c r="D1509" s="19" t="n">
        <v>0</v>
      </c>
      <c r="E1509" s="20" t="n">
        <f aca="false">Parametres!$B$5*C1509</f>
        <v>70.41</v>
      </c>
      <c r="F1509" s="20" t="n">
        <f aca="false">Parametres!$B$6*D1509</f>
        <v>0</v>
      </c>
      <c r="G1509" s="20" t="n">
        <f aca="false">E1509+F1509</f>
        <v>70.41</v>
      </c>
      <c r="H1509" s="20" t="n">
        <f aca="false">IF(G1509&lt;Parametres!$B$8*Parametres!$B$7,0,MIN(G1509,Parametres!$B$7))</f>
        <v>70.41</v>
      </c>
      <c r="I1509" s="20" t="n">
        <f aca="false">G1509-H1509</f>
        <v>0</v>
      </c>
      <c r="J1509" s="21" t="n">
        <f aca="false">H1509*1000/Parametres!$B$9</f>
        <v>1193.99694760047</v>
      </c>
    </row>
    <row r="1510" customFormat="false" ht="15" hidden="false" customHeight="false" outlineLevel="0" collapsed="false">
      <c r="A1510" s="0" t="n">
        <v>1506</v>
      </c>
      <c r="B1510" s="0" t="n">
        <v>3</v>
      </c>
      <c r="C1510" s="19" t="n">
        <v>0.037</v>
      </c>
      <c r="D1510" s="19" t="n">
        <v>0</v>
      </c>
      <c r="E1510" s="20" t="n">
        <f aca="false">Parametres!$B$5*C1510</f>
        <v>11.1</v>
      </c>
      <c r="F1510" s="20" t="n">
        <f aca="false">Parametres!$B$6*D1510</f>
        <v>0</v>
      </c>
      <c r="G1510" s="20" t="n">
        <f aca="false">E1510+F1510</f>
        <v>11.1</v>
      </c>
      <c r="H1510" s="20" t="n">
        <f aca="false">IF(G1510&lt;Parametres!$B$8*Parametres!$B$7,0,MIN(G1510,Parametres!$B$7))</f>
        <v>0</v>
      </c>
      <c r="I1510" s="20" t="n">
        <f aca="false">G1510-H1510</f>
        <v>11.1</v>
      </c>
      <c r="J1510" s="21" t="n">
        <f aca="false">H1510*1000/Parametres!$B$9</f>
        <v>0</v>
      </c>
    </row>
    <row r="1511" customFormat="false" ht="15" hidden="false" customHeight="false" outlineLevel="0" collapsed="false">
      <c r="A1511" s="0" t="n">
        <v>1507</v>
      </c>
      <c r="B1511" s="0" t="n">
        <v>3</v>
      </c>
      <c r="C1511" s="19" t="n">
        <v>0</v>
      </c>
      <c r="D1511" s="19" t="n">
        <v>0</v>
      </c>
      <c r="E1511" s="20" t="n">
        <f aca="false">Parametres!$B$5*C1511</f>
        <v>0</v>
      </c>
      <c r="F1511" s="20" t="n">
        <f aca="false">Parametres!$B$6*D1511</f>
        <v>0</v>
      </c>
      <c r="G1511" s="20" t="n">
        <f aca="false">E1511+F1511</f>
        <v>0</v>
      </c>
      <c r="H1511" s="20" t="n">
        <f aca="false">IF(G1511&lt;Parametres!$B$8*Parametres!$B$7,0,MIN(G1511,Parametres!$B$7))</f>
        <v>0</v>
      </c>
      <c r="I1511" s="20" t="n">
        <f aca="false">G1511-H1511</f>
        <v>0</v>
      </c>
      <c r="J1511" s="21" t="n">
        <f aca="false">H1511*1000/Parametres!$B$9</f>
        <v>0</v>
      </c>
    </row>
    <row r="1512" customFormat="false" ht="15" hidden="false" customHeight="false" outlineLevel="0" collapsed="false">
      <c r="A1512" s="0" t="n">
        <v>1508</v>
      </c>
      <c r="B1512" s="0" t="n">
        <v>3</v>
      </c>
      <c r="C1512" s="19" t="n">
        <v>0</v>
      </c>
      <c r="D1512" s="19" t="n">
        <v>0</v>
      </c>
      <c r="E1512" s="20" t="n">
        <f aca="false">Parametres!$B$5*C1512</f>
        <v>0</v>
      </c>
      <c r="F1512" s="20" t="n">
        <f aca="false">Parametres!$B$6*D1512</f>
        <v>0</v>
      </c>
      <c r="G1512" s="20" t="n">
        <f aca="false">E1512+F1512</f>
        <v>0</v>
      </c>
      <c r="H1512" s="20" t="n">
        <f aca="false">IF(G1512&lt;Parametres!$B$8*Parametres!$B$7,0,MIN(G1512,Parametres!$B$7))</f>
        <v>0</v>
      </c>
      <c r="I1512" s="20" t="n">
        <f aca="false">G1512-H1512</f>
        <v>0</v>
      </c>
      <c r="J1512" s="21" t="n">
        <f aca="false">H1512*1000/Parametres!$B$9</f>
        <v>0</v>
      </c>
    </row>
    <row r="1513" customFormat="false" ht="15" hidden="false" customHeight="false" outlineLevel="0" collapsed="false">
      <c r="A1513" s="0" t="n">
        <v>1509</v>
      </c>
      <c r="B1513" s="0" t="n">
        <v>3</v>
      </c>
      <c r="C1513" s="19" t="n">
        <v>0</v>
      </c>
      <c r="D1513" s="19" t="n">
        <v>0</v>
      </c>
      <c r="E1513" s="20" t="n">
        <f aca="false">Parametres!$B$5*C1513</f>
        <v>0</v>
      </c>
      <c r="F1513" s="20" t="n">
        <f aca="false">Parametres!$B$6*D1513</f>
        <v>0</v>
      </c>
      <c r="G1513" s="20" t="n">
        <f aca="false">E1513+F1513</f>
        <v>0</v>
      </c>
      <c r="H1513" s="20" t="n">
        <f aca="false">IF(G1513&lt;Parametres!$B$8*Parametres!$B$7,0,MIN(G1513,Parametres!$B$7))</f>
        <v>0</v>
      </c>
      <c r="I1513" s="20" t="n">
        <f aca="false">G1513-H1513</f>
        <v>0</v>
      </c>
      <c r="J1513" s="21" t="n">
        <f aca="false">H1513*1000/Parametres!$B$9</f>
        <v>0</v>
      </c>
    </row>
    <row r="1514" customFormat="false" ht="15" hidden="false" customHeight="false" outlineLevel="0" collapsed="false">
      <c r="A1514" s="0" t="n">
        <v>1510</v>
      </c>
      <c r="B1514" s="0" t="n">
        <v>3</v>
      </c>
      <c r="C1514" s="19" t="n">
        <v>0</v>
      </c>
      <c r="D1514" s="19" t="n">
        <v>0</v>
      </c>
      <c r="E1514" s="20" t="n">
        <f aca="false">Parametres!$B$5*C1514</f>
        <v>0</v>
      </c>
      <c r="F1514" s="20" t="n">
        <f aca="false">Parametres!$B$6*D1514</f>
        <v>0</v>
      </c>
      <c r="G1514" s="20" t="n">
        <f aca="false">E1514+F1514</f>
        <v>0</v>
      </c>
      <c r="H1514" s="20" t="n">
        <f aca="false">IF(G1514&lt;Parametres!$B$8*Parametres!$B$7,0,MIN(G1514,Parametres!$B$7))</f>
        <v>0</v>
      </c>
      <c r="I1514" s="20" t="n">
        <f aca="false">G1514-H1514</f>
        <v>0</v>
      </c>
      <c r="J1514" s="21" t="n">
        <f aca="false">H1514*1000/Parametres!$B$9</f>
        <v>0</v>
      </c>
    </row>
    <row r="1515" customFormat="false" ht="15" hidden="false" customHeight="false" outlineLevel="0" collapsed="false">
      <c r="A1515" s="0" t="n">
        <v>1511</v>
      </c>
      <c r="B1515" s="0" t="n">
        <v>3</v>
      </c>
      <c r="C1515" s="19" t="n">
        <v>0</v>
      </c>
      <c r="D1515" s="19" t="n">
        <v>0</v>
      </c>
      <c r="E1515" s="20" t="n">
        <f aca="false">Parametres!$B$5*C1515</f>
        <v>0</v>
      </c>
      <c r="F1515" s="20" t="n">
        <f aca="false">Parametres!$B$6*D1515</f>
        <v>0</v>
      </c>
      <c r="G1515" s="20" t="n">
        <f aca="false">E1515+F1515</f>
        <v>0</v>
      </c>
      <c r="H1515" s="20" t="n">
        <f aca="false">IF(G1515&lt;Parametres!$B$8*Parametres!$B$7,0,MIN(G1515,Parametres!$B$7))</f>
        <v>0</v>
      </c>
      <c r="I1515" s="20" t="n">
        <f aca="false">G1515-H1515</f>
        <v>0</v>
      </c>
      <c r="J1515" s="21" t="n">
        <f aca="false">H1515*1000/Parametres!$B$9</f>
        <v>0</v>
      </c>
    </row>
    <row r="1516" customFormat="false" ht="15" hidden="false" customHeight="false" outlineLevel="0" collapsed="false">
      <c r="A1516" s="0" t="n">
        <v>1512</v>
      </c>
      <c r="B1516" s="0" t="n">
        <v>3</v>
      </c>
      <c r="C1516" s="19" t="n">
        <v>0</v>
      </c>
      <c r="D1516" s="19" t="n">
        <v>0</v>
      </c>
      <c r="E1516" s="20" t="n">
        <f aca="false">Parametres!$B$5*C1516</f>
        <v>0</v>
      </c>
      <c r="F1516" s="20" t="n">
        <f aca="false">Parametres!$B$6*D1516</f>
        <v>0</v>
      </c>
      <c r="G1516" s="20" t="n">
        <f aca="false">E1516+F1516</f>
        <v>0</v>
      </c>
      <c r="H1516" s="20" t="n">
        <f aca="false">IF(G1516&lt;Parametres!$B$8*Parametres!$B$7,0,MIN(G1516,Parametres!$B$7))</f>
        <v>0</v>
      </c>
      <c r="I1516" s="20" t="n">
        <f aca="false">G1516-H1516</f>
        <v>0</v>
      </c>
      <c r="J1516" s="21" t="n">
        <f aca="false">H1516*1000/Parametres!$B$9</f>
        <v>0</v>
      </c>
    </row>
    <row r="1517" customFormat="false" ht="15" hidden="false" customHeight="false" outlineLevel="0" collapsed="false">
      <c r="A1517" s="0" t="n">
        <v>1513</v>
      </c>
      <c r="B1517" s="0" t="n">
        <v>3</v>
      </c>
      <c r="C1517" s="19" t="n">
        <v>0</v>
      </c>
      <c r="D1517" s="19" t="n">
        <v>0</v>
      </c>
      <c r="E1517" s="20" t="n">
        <f aca="false">Parametres!$B$5*C1517</f>
        <v>0</v>
      </c>
      <c r="F1517" s="20" t="n">
        <f aca="false">Parametres!$B$6*D1517</f>
        <v>0</v>
      </c>
      <c r="G1517" s="20" t="n">
        <f aca="false">E1517+F1517</f>
        <v>0</v>
      </c>
      <c r="H1517" s="20" t="n">
        <f aca="false">IF(G1517&lt;Parametres!$B$8*Parametres!$B$7,0,MIN(G1517,Parametres!$B$7))</f>
        <v>0</v>
      </c>
      <c r="I1517" s="20" t="n">
        <f aca="false">G1517-H1517</f>
        <v>0</v>
      </c>
      <c r="J1517" s="21" t="n">
        <f aca="false">H1517*1000/Parametres!$B$9</f>
        <v>0</v>
      </c>
    </row>
    <row r="1518" customFormat="false" ht="15" hidden="false" customHeight="false" outlineLevel="0" collapsed="false">
      <c r="A1518" s="0" t="n">
        <v>1514</v>
      </c>
      <c r="B1518" s="0" t="n">
        <v>3</v>
      </c>
      <c r="C1518" s="19" t="n">
        <v>0</v>
      </c>
      <c r="D1518" s="19" t="n">
        <v>0</v>
      </c>
      <c r="E1518" s="20" t="n">
        <f aca="false">Parametres!$B$5*C1518</f>
        <v>0</v>
      </c>
      <c r="F1518" s="20" t="n">
        <f aca="false">Parametres!$B$6*D1518</f>
        <v>0</v>
      </c>
      <c r="G1518" s="20" t="n">
        <f aca="false">E1518+F1518</f>
        <v>0</v>
      </c>
      <c r="H1518" s="20" t="n">
        <f aca="false">IF(G1518&lt;Parametres!$B$8*Parametres!$B$7,0,MIN(G1518,Parametres!$B$7))</f>
        <v>0</v>
      </c>
      <c r="I1518" s="20" t="n">
        <f aca="false">G1518-H1518</f>
        <v>0</v>
      </c>
      <c r="J1518" s="21" t="n">
        <f aca="false">H1518*1000/Parametres!$B$9</f>
        <v>0</v>
      </c>
    </row>
    <row r="1519" customFormat="false" ht="15" hidden="false" customHeight="false" outlineLevel="0" collapsed="false">
      <c r="A1519" s="0" t="n">
        <v>1515</v>
      </c>
      <c r="B1519" s="0" t="n">
        <v>3</v>
      </c>
      <c r="C1519" s="19" t="n">
        <v>0</v>
      </c>
      <c r="D1519" s="19" t="n">
        <v>0</v>
      </c>
      <c r="E1519" s="20" t="n">
        <f aca="false">Parametres!$B$5*C1519</f>
        <v>0</v>
      </c>
      <c r="F1519" s="20" t="n">
        <f aca="false">Parametres!$B$6*D1519</f>
        <v>0</v>
      </c>
      <c r="G1519" s="20" t="n">
        <f aca="false">E1519+F1519</f>
        <v>0</v>
      </c>
      <c r="H1519" s="20" t="n">
        <f aca="false">IF(G1519&lt;Parametres!$B$8*Parametres!$B$7,0,MIN(G1519,Parametres!$B$7))</f>
        <v>0</v>
      </c>
      <c r="I1519" s="20" t="n">
        <f aca="false">G1519-H1519</f>
        <v>0</v>
      </c>
      <c r="J1519" s="21" t="n">
        <f aca="false">H1519*1000/Parametres!$B$9</f>
        <v>0</v>
      </c>
    </row>
    <row r="1520" customFormat="false" ht="15" hidden="false" customHeight="false" outlineLevel="0" collapsed="false">
      <c r="A1520" s="0" t="n">
        <v>1516</v>
      </c>
      <c r="B1520" s="0" t="n">
        <v>3</v>
      </c>
      <c r="C1520" s="19" t="n">
        <v>0</v>
      </c>
      <c r="D1520" s="19" t="n">
        <v>0</v>
      </c>
      <c r="E1520" s="20" t="n">
        <f aca="false">Parametres!$B$5*C1520</f>
        <v>0</v>
      </c>
      <c r="F1520" s="20" t="n">
        <f aca="false">Parametres!$B$6*D1520</f>
        <v>0</v>
      </c>
      <c r="G1520" s="20" t="n">
        <f aca="false">E1520+F1520</f>
        <v>0</v>
      </c>
      <c r="H1520" s="20" t="n">
        <f aca="false">IF(G1520&lt;Parametres!$B$8*Parametres!$B$7,0,MIN(G1520,Parametres!$B$7))</f>
        <v>0</v>
      </c>
      <c r="I1520" s="20" t="n">
        <f aca="false">G1520-H1520</f>
        <v>0</v>
      </c>
      <c r="J1520" s="21" t="n">
        <f aca="false">H1520*1000/Parametres!$B$9</f>
        <v>0</v>
      </c>
    </row>
    <row r="1521" customFormat="false" ht="15" hidden="false" customHeight="false" outlineLevel="0" collapsed="false">
      <c r="A1521" s="0" t="n">
        <v>1517</v>
      </c>
      <c r="B1521" s="0" t="n">
        <v>3</v>
      </c>
      <c r="C1521" s="19" t="n">
        <v>0</v>
      </c>
      <c r="D1521" s="19" t="n">
        <v>0</v>
      </c>
      <c r="E1521" s="20" t="n">
        <f aca="false">Parametres!$B$5*C1521</f>
        <v>0</v>
      </c>
      <c r="F1521" s="20" t="n">
        <f aca="false">Parametres!$B$6*D1521</f>
        <v>0</v>
      </c>
      <c r="G1521" s="20" t="n">
        <f aca="false">E1521+F1521</f>
        <v>0</v>
      </c>
      <c r="H1521" s="20" t="n">
        <f aca="false">IF(G1521&lt;Parametres!$B$8*Parametres!$B$7,0,MIN(G1521,Parametres!$B$7))</f>
        <v>0</v>
      </c>
      <c r="I1521" s="20" t="n">
        <f aca="false">G1521-H1521</f>
        <v>0</v>
      </c>
      <c r="J1521" s="21" t="n">
        <f aca="false">H1521*1000/Parametres!$B$9</f>
        <v>0</v>
      </c>
    </row>
    <row r="1522" customFormat="false" ht="15" hidden="false" customHeight="false" outlineLevel="0" collapsed="false">
      <c r="A1522" s="0" t="n">
        <v>1518</v>
      </c>
      <c r="B1522" s="0" t="n">
        <v>3</v>
      </c>
      <c r="C1522" s="19" t="n">
        <v>0</v>
      </c>
      <c r="D1522" s="19" t="n">
        <v>0</v>
      </c>
      <c r="E1522" s="20" t="n">
        <f aca="false">Parametres!$B$5*C1522</f>
        <v>0</v>
      </c>
      <c r="F1522" s="20" t="n">
        <f aca="false">Parametres!$B$6*D1522</f>
        <v>0</v>
      </c>
      <c r="G1522" s="20" t="n">
        <f aca="false">E1522+F1522</f>
        <v>0</v>
      </c>
      <c r="H1522" s="20" t="n">
        <f aca="false">IF(G1522&lt;Parametres!$B$8*Parametres!$B$7,0,MIN(G1522,Parametres!$B$7))</f>
        <v>0</v>
      </c>
      <c r="I1522" s="20" t="n">
        <f aca="false">G1522-H1522</f>
        <v>0</v>
      </c>
      <c r="J1522" s="21" t="n">
        <f aca="false">H1522*1000/Parametres!$B$9</f>
        <v>0</v>
      </c>
    </row>
    <row r="1523" customFormat="false" ht="15" hidden="false" customHeight="false" outlineLevel="0" collapsed="false">
      <c r="A1523" s="0" t="n">
        <v>1519</v>
      </c>
      <c r="B1523" s="0" t="n">
        <v>3</v>
      </c>
      <c r="C1523" s="19" t="n">
        <v>0.0381</v>
      </c>
      <c r="D1523" s="19" t="n">
        <v>0</v>
      </c>
      <c r="E1523" s="20" t="n">
        <f aca="false">Parametres!$B$5*C1523</f>
        <v>11.43</v>
      </c>
      <c r="F1523" s="20" t="n">
        <f aca="false">Parametres!$B$6*D1523</f>
        <v>0</v>
      </c>
      <c r="G1523" s="20" t="n">
        <f aca="false">E1523+F1523</f>
        <v>11.43</v>
      </c>
      <c r="H1523" s="20" t="n">
        <f aca="false">IF(G1523&lt;Parametres!$B$8*Parametres!$B$7,0,MIN(G1523,Parametres!$B$7))</f>
        <v>0</v>
      </c>
      <c r="I1523" s="20" t="n">
        <f aca="false">G1523-H1523</f>
        <v>11.43</v>
      </c>
      <c r="J1523" s="21" t="n">
        <f aca="false">H1523*1000/Parametres!$B$9</f>
        <v>0</v>
      </c>
    </row>
    <row r="1524" customFormat="false" ht="15" hidden="false" customHeight="false" outlineLevel="0" collapsed="false">
      <c r="A1524" s="0" t="n">
        <v>1520</v>
      </c>
      <c r="B1524" s="0" t="n">
        <v>3</v>
      </c>
      <c r="C1524" s="19" t="n">
        <v>0.2353</v>
      </c>
      <c r="D1524" s="19" t="n">
        <v>0.0001</v>
      </c>
      <c r="E1524" s="20" t="n">
        <f aca="false">Parametres!$B$5*C1524</f>
        <v>70.59</v>
      </c>
      <c r="F1524" s="20" t="n">
        <f aca="false">Parametres!$B$6*D1524</f>
        <v>0.02</v>
      </c>
      <c r="G1524" s="20" t="n">
        <f aca="false">E1524+F1524</f>
        <v>70.61</v>
      </c>
      <c r="H1524" s="20" t="n">
        <f aca="false">IF(G1524&lt;Parametres!$B$8*Parametres!$B$7,0,MIN(G1524,Parametres!$B$7))</f>
        <v>70.61</v>
      </c>
      <c r="I1524" s="20" t="n">
        <f aca="false">G1524-H1524</f>
        <v>0</v>
      </c>
      <c r="J1524" s="21" t="n">
        <f aca="false">H1524*1000/Parametres!$B$9</f>
        <v>1197.38850262846</v>
      </c>
    </row>
    <row r="1525" customFormat="false" ht="15" hidden="false" customHeight="false" outlineLevel="0" collapsed="false">
      <c r="A1525" s="0" t="n">
        <v>1521</v>
      </c>
      <c r="B1525" s="0" t="n">
        <v>3</v>
      </c>
      <c r="C1525" s="19" t="n">
        <v>0.4562</v>
      </c>
      <c r="D1525" s="19" t="n">
        <v>0</v>
      </c>
      <c r="E1525" s="20" t="n">
        <f aca="false">Parametres!$B$5*C1525</f>
        <v>136.86</v>
      </c>
      <c r="F1525" s="20" t="n">
        <f aca="false">Parametres!$B$6*D1525</f>
        <v>0</v>
      </c>
      <c r="G1525" s="20" t="n">
        <f aca="false">E1525+F1525</f>
        <v>136.86</v>
      </c>
      <c r="H1525" s="20" t="n">
        <f aca="false">IF(G1525&lt;Parametres!$B$8*Parametres!$B$7,0,MIN(G1525,Parametres!$B$7))</f>
        <v>136.86</v>
      </c>
      <c r="I1525" s="20" t="n">
        <f aca="false">G1525-H1525</f>
        <v>0</v>
      </c>
      <c r="J1525" s="21" t="n">
        <f aca="false">H1525*1000/Parametres!$B$9</f>
        <v>2320.84110564694</v>
      </c>
    </row>
    <row r="1526" customFormat="false" ht="15" hidden="false" customHeight="false" outlineLevel="0" collapsed="false">
      <c r="A1526" s="0" t="n">
        <v>1522</v>
      </c>
      <c r="B1526" s="0" t="n">
        <v>3</v>
      </c>
      <c r="C1526" s="19" t="n">
        <v>0.6223</v>
      </c>
      <c r="D1526" s="19" t="n">
        <v>0</v>
      </c>
      <c r="E1526" s="20" t="n">
        <f aca="false">Parametres!$B$5*C1526</f>
        <v>186.69</v>
      </c>
      <c r="F1526" s="20" t="n">
        <f aca="false">Parametres!$B$6*D1526</f>
        <v>0</v>
      </c>
      <c r="G1526" s="20" t="n">
        <f aca="false">E1526+F1526</f>
        <v>186.69</v>
      </c>
      <c r="H1526" s="20" t="n">
        <f aca="false">IF(G1526&lt;Parametres!$B$8*Parametres!$B$7,0,MIN(G1526,Parametres!$B$7))</f>
        <v>186.69</v>
      </c>
      <c r="I1526" s="20" t="n">
        <f aca="false">G1526-H1526</f>
        <v>0</v>
      </c>
      <c r="J1526" s="21" t="n">
        <f aca="false">H1526*1000/Parametres!$B$9</f>
        <v>3165.84704086824</v>
      </c>
    </row>
    <row r="1527" customFormat="false" ht="15" hidden="false" customHeight="false" outlineLevel="0" collapsed="false">
      <c r="A1527" s="0" t="n">
        <v>1523</v>
      </c>
      <c r="B1527" s="0" t="n">
        <v>3</v>
      </c>
      <c r="C1527" s="19" t="n">
        <v>0.7554</v>
      </c>
      <c r="D1527" s="19" t="n">
        <v>0</v>
      </c>
      <c r="E1527" s="20" t="n">
        <f aca="false">Parametres!$B$5*C1527</f>
        <v>226.62</v>
      </c>
      <c r="F1527" s="20" t="n">
        <f aca="false">Parametres!$B$6*D1527</f>
        <v>0</v>
      </c>
      <c r="G1527" s="20" t="n">
        <f aca="false">E1527+F1527</f>
        <v>226.62</v>
      </c>
      <c r="H1527" s="20" t="n">
        <f aca="false">IF(G1527&lt;Parametres!$B$8*Parametres!$B$7,0,MIN(G1527,Parametres!$B$7))</f>
        <v>226.62</v>
      </c>
      <c r="I1527" s="20" t="n">
        <f aca="false">G1527-H1527</f>
        <v>0</v>
      </c>
      <c r="J1527" s="21" t="n">
        <f aca="false">H1527*1000/Parametres!$B$9</f>
        <v>3842.97100220451</v>
      </c>
    </row>
    <row r="1528" customFormat="false" ht="15" hidden="false" customHeight="false" outlineLevel="0" collapsed="false">
      <c r="A1528" s="0" t="n">
        <v>1524</v>
      </c>
      <c r="B1528" s="0" t="n">
        <v>3</v>
      </c>
      <c r="C1528" s="19" t="n">
        <v>0.8634</v>
      </c>
      <c r="D1528" s="19" t="n">
        <v>0.0009</v>
      </c>
      <c r="E1528" s="20" t="n">
        <f aca="false">Parametres!$B$5*C1528</f>
        <v>259.02</v>
      </c>
      <c r="F1528" s="20" t="n">
        <f aca="false">Parametres!$B$6*D1528</f>
        <v>0.18</v>
      </c>
      <c r="G1528" s="20" t="n">
        <f aca="false">E1528+F1528</f>
        <v>259.2</v>
      </c>
      <c r="H1528" s="20" t="n">
        <f aca="false">IF(G1528&lt;Parametres!$B$8*Parametres!$B$7,0,MIN(G1528,Parametres!$B$7))</f>
        <v>250</v>
      </c>
      <c r="I1528" s="20" t="n">
        <f aca="false">G1528-H1528</f>
        <v>9.19999999999999</v>
      </c>
      <c r="J1528" s="21" t="n">
        <f aca="false">H1528*1000/Parametres!$B$9</f>
        <v>4239.44378497541</v>
      </c>
    </row>
    <row r="1529" customFormat="false" ht="15" hidden="false" customHeight="false" outlineLevel="0" collapsed="false">
      <c r="A1529" s="0" t="n">
        <v>1525</v>
      </c>
      <c r="B1529" s="0" t="n">
        <v>3</v>
      </c>
      <c r="C1529" s="19" t="n">
        <v>0.8347</v>
      </c>
      <c r="D1529" s="19" t="n">
        <v>0.0058</v>
      </c>
      <c r="E1529" s="20" t="n">
        <f aca="false">Parametres!$B$5*C1529</f>
        <v>250.41</v>
      </c>
      <c r="F1529" s="20" t="n">
        <f aca="false">Parametres!$B$6*D1529</f>
        <v>1.16</v>
      </c>
      <c r="G1529" s="20" t="n">
        <f aca="false">E1529+F1529</f>
        <v>251.57</v>
      </c>
      <c r="H1529" s="20" t="n">
        <f aca="false">IF(G1529&lt;Parametres!$B$8*Parametres!$B$7,0,MIN(G1529,Parametres!$B$7))</f>
        <v>250</v>
      </c>
      <c r="I1529" s="20" t="n">
        <f aca="false">G1529-H1529</f>
        <v>1.56999999999999</v>
      </c>
      <c r="J1529" s="21" t="n">
        <f aca="false">H1529*1000/Parametres!$B$9</f>
        <v>4239.44378497541</v>
      </c>
    </row>
    <row r="1530" customFormat="false" ht="15" hidden="false" customHeight="false" outlineLevel="0" collapsed="false">
      <c r="A1530" s="0" t="n">
        <v>1526</v>
      </c>
      <c r="B1530" s="0" t="n">
        <v>3</v>
      </c>
      <c r="C1530" s="19" t="n">
        <v>0.721</v>
      </c>
      <c r="D1530" s="19" t="n">
        <v>0.0487</v>
      </c>
      <c r="E1530" s="20" t="n">
        <f aca="false">Parametres!$B$5*C1530</f>
        <v>216.3</v>
      </c>
      <c r="F1530" s="20" t="n">
        <f aca="false">Parametres!$B$6*D1530</f>
        <v>9.74</v>
      </c>
      <c r="G1530" s="20" t="n">
        <f aca="false">E1530+F1530</f>
        <v>226.04</v>
      </c>
      <c r="H1530" s="20" t="n">
        <f aca="false">IF(G1530&lt;Parametres!$B$8*Parametres!$B$7,0,MIN(G1530,Parametres!$B$7))</f>
        <v>226.04</v>
      </c>
      <c r="I1530" s="20" t="n">
        <f aca="false">G1530-H1530</f>
        <v>0</v>
      </c>
      <c r="J1530" s="21" t="n">
        <f aca="false">H1530*1000/Parametres!$B$9</f>
        <v>3833.13549262337</v>
      </c>
    </row>
    <row r="1531" customFormat="false" ht="15" hidden="false" customHeight="false" outlineLevel="0" collapsed="false">
      <c r="A1531" s="0" t="n">
        <v>1527</v>
      </c>
      <c r="B1531" s="0" t="n">
        <v>3</v>
      </c>
      <c r="C1531" s="19" t="n">
        <v>0.6303</v>
      </c>
      <c r="D1531" s="19" t="n">
        <v>0.0725</v>
      </c>
      <c r="E1531" s="20" t="n">
        <f aca="false">Parametres!$B$5*C1531</f>
        <v>189.09</v>
      </c>
      <c r="F1531" s="20" t="n">
        <f aca="false">Parametres!$B$6*D1531</f>
        <v>14.5</v>
      </c>
      <c r="G1531" s="20" t="n">
        <f aca="false">E1531+F1531</f>
        <v>203.59</v>
      </c>
      <c r="H1531" s="20" t="n">
        <f aca="false">IF(G1531&lt;Parametres!$B$8*Parametres!$B$7,0,MIN(G1531,Parametres!$B$7))</f>
        <v>203.59</v>
      </c>
      <c r="I1531" s="20" t="n">
        <f aca="false">G1531-H1531</f>
        <v>0</v>
      </c>
      <c r="J1531" s="21" t="n">
        <f aca="false">H1531*1000/Parametres!$B$9</f>
        <v>3452.43344073258</v>
      </c>
    </row>
    <row r="1532" customFormat="false" ht="15" hidden="false" customHeight="false" outlineLevel="0" collapsed="false">
      <c r="A1532" s="0" t="n">
        <v>1528</v>
      </c>
      <c r="B1532" s="0" t="n">
        <v>3</v>
      </c>
      <c r="C1532" s="19" t="n">
        <v>0.4401</v>
      </c>
      <c r="D1532" s="19" t="n">
        <v>0.0426</v>
      </c>
      <c r="E1532" s="20" t="n">
        <f aca="false">Parametres!$B$5*C1532</f>
        <v>132.03</v>
      </c>
      <c r="F1532" s="20" t="n">
        <f aca="false">Parametres!$B$6*D1532</f>
        <v>8.52</v>
      </c>
      <c r="G1532" s="20" t="n">
        <f aca="false">E1532+F1532</f>
        <v>140.55</v>
      </c>
      <c r="H1532" s="20" t="n">
        <f aca="false">IF(G1532&lt;Parametres!$B$8*Parametres!$B$7,0,MIN(G1532,Parametres!$B$7))</f>
        <v>140.55</v>
      </c>
      <c r="I1532" s="20" t="n">
        <f aca="false">G1532-H1532</f>
        <v>0</v>
      </c>
      <c r="J1532" s="21" t="n">
        <f aca="false">H1532*1000/Parametres!$B$9</f>
        <v>2383.41529591318</v>
      </c>
    </row>
    <row r="1533" customFormat="false" ht="15" hidden="false" customHeight="false" outlineLevel="0" collapsed="false">
      <c r="A1533" s="0" t="n">
        <v>1529</v>
      </c>
      <c r="B1533" s="0" t="n">
        <v>3</v>
      </c>
      <c r="C1533" s="19" t="n">
        <v>0.2411</v>
      </c>
      <c r="D1533" s="19" t="n">
        <v>0.0216</v>
      </c>
      <c r="E1533" s="20" t="n">
        <f aca="false">Parametres!$B$5*C1533</f>
        <v>72.33</v>
      </c>
      <c r="F1533" s="20" t="n">
        <f aca="false">Parametres!$B$6*D1533</f>
        <v>4.32</v>
      </c>
      <c r="G1533" s="20" t="n">
        <f aca="false">E1533+F1533</f>
        <v>76.65</v>
      </c>
      <c r="H1533" s="20" t="n">
        <f aca="false">IF(G1533&lt;Parametres!$B$8*Parametres!$B$7,0,MIN(G1533,Parametres!$B$7))</f>
        <v>76.65</v>
      </c>
      <c r="I1533" s="20" t="n">
        <f aca="false">G1533-H1533</f>
        <v>0</v>
      </c>
      <c r="J1533" s="21" t="n">
        <f aca="false">H1533*1000/Parametres!$B$9</f>
        <v>1299.81346447346</v>
      </c>
    </row>
    <row r="1534" customFormat="false" ht="15" hidden="false" customHeight="false" outlineLevel="0" collapsed="false">
      <c r="A1534" s="0" t="n">
        <v>1530</v>
      </c>
      <c r="B1534" s="0" t="n">
        <v>3</v>
      </c>
      <c r="C1534" s="19" t="n">
        <v>0.0371</v>
      </c>
      <c r="D1534" s="19" t="n">
        <v>0.0379</v>
      </c>
      <c r="E1534" s="20" t="n">
        <f aca="false">Parametres!$B$5*C1534</f>
        <v>11.13</v>
      </c>
      <c r="F1534" s="20" t="n">
        <f aca="false">Parametres!$B$6*D1534</f>
        <v>7.58</v>
      </c>
      <c r="G1534" s="20" t="n">
        <f aca="false">E1534+F1534</f>
        <v>18.71</v>
      </c>
      <c r="H1534" s="20" t="n">
        <f aca="false">IF(G1534&lt;Parametres!$B$8*Parametres!$B$7,0,MIN(G1534,Parametres!$B$7))</f>
        <v>0</v>
      </c>
      <c r="I1534" s="20" t="n">
        <f aca="false">G1534-H1534</f>
        <v>18.71</v>
      </c>
      <c r="J1534" s="21" t="n">
        <f aca="false">H1534*1000/Parametres!$B$9</f>
        <v>0</v>
      </c>
    </row>
    <row r="1535" customFormat="false" ht="15" hidden="false" customHeight="false" outlineLevel="0" collapsed="false">
      <c r="A1535" s="0" t="n">
        <v>1531</v>
      </c>
      <c r="B1535" s="0" t="n">
        <v>3</v>
      </c>
      <c r="C1535" s="19" t="n">
        <v>0</v>
      </c>
      <c r="D1535" s="19" t="n">
        <v>0.0457</v>
      </c>
      <c r="E1535" s="20" t="n">
        <f aca="false">Parametres!$B$5*C1535</f>
        <v>0</v>
      </c>
      <c r="F1535" s="20" t="n">
        <f aca="false">Parametres!$B$6*D1535</f>
        <v>9.14</v>
      </c>
      <c r="G1535" s="20" t="n">
        <f aca="false">E1535+F1535</f>
        <v>9.14</v>
      </c>
      <c r="H1535" s="20" t="n">
        <f aca="false">IF(G1535&lt;Parametres!$B$8*Parametres!$B$7,0,MIN(G1535,Parametres!$B$7))</f>
        <v>0</v>
      </c>
      <c r="I1535" s="20" t="n">
        <f aca="false">G1535-H1535</f>
        <v>9.14</v>
      </c>
      <c r="J1535" s="21" t="n">
        <f aca="false">H1535*1000/Parametres!$B$9</f>
        <v>0</v>
      </c>
    </row>
    <row r="1536" customFormat="false" ht="15" hidden="false" customHeight="false" outlineLevel="0" collapsed="false">
      <c r="A1536" s="0" t="n">
        <v>1532</v>
      </c>
      <c r="B1536" s="0" t="n">
        <v>3</v>
      </c>
      <c r="C1536" s="19" t="n">
        <v>0</v>
      </c>
      <c r="D1536" s="19" t="n">
        <v>0.0377</v>
      </c>
      <c r="E1536" s="20" t="n">
        <f aca="false">Parametres!$B$5*C1536</f>
        <v>0</v>
      </c>
      <c r="F1536" s="20" t="n">
        <f aca="false">Parametres!$B$6*D1536</f>
        <v>7.54</v>
      </c>
      <c r="G1536" s="20" t="n">
        <f aca="false">E1536+F1536</f>
        <v>7.54</v>
      </c>
      <c r="H1536" s="20" t="n">
        <f aca="false">IF(G1536&lt;Parametres!$B$8*Parametres!$B$7,0,MIN(G1536,Parametres!$B$7))</f>
        <v>0</v>
      </c>
      <c r="I1536" s="20" t="n">
        <f aca="false">G1536-H1536</f>
        <v>7.54</v>
      </c>
      <c r="J1536" s="21" t="n">
        <f aca="false">H1536*1000/Parametres!$B$9</f>
        <v>0</v>
      </c>
    </row>
    <row r="1537" customFormat="false" ht="15" hidden="false" customHeight="false" outlineLevel="0" collapsed="false">
      <c r="A1537" s="0" t="n">
        <v>1533</v>
      </c>
      <c r="B1537" s="0" t="n">
        <v>3</v>
      </c>
      <c r="C1537" s="19" t="n">
        <v>0</v>
      </c>
      <c r="D1537" s="19" t="n">
        <v>0.0544</v>
      </c>
      <c r="E1537" s="20" t="n">
        <f aca="false">Parametres!$B$5*C1537</f>
        <v>0</v>
      </c>
      <c r="F1537" s="20" t="n">
        <f aca="false">Parametres!$B$6*D1537</f>
        <v>10.88</v>
      </c>
      <c r="G1537" s="20" t="n">
        <f aca="false">E1537+F1537</f>
        <v>10.88</v>
      </c>
      <c r="H1537" s="20" t="n">
        <f aca="false">IF(G1537&lt;Parametres!$B$8*Parametres!$B$7,0,MIN(G1537,Parametres!$B$7))</f>
        <v>0</v>
      </c>
      <c r="I1537" s="20" t="n">
        <f aca="false">G1537-H1537</f>
        <v>10.88</v>
      </c>
      <c r="J1537" s="21" t="n">
        <f aca="false">H1537*1000/Parametres!$B$9</f>
        <v>0</v>
      </c>
    </row>
    <row r="1538" customFormat="false" ht="15" hidden="false" customHeight="false" outlineLevel="0" collapsed="false">
      <c r="A1538" s="0" t="n">
        <v>1534</v>
      </c>
      <c r="B1538" s="0" t="n">
        <v>3</v>
      </c>
      <c r="C1538" s="19" t="n">
        <v>0</v>
      </c>
      <c r="D1538" s="19" t="n">
        <v>0.0262</v>
      </c>
      <c r="E1538" s="20" t="n">
        <f aca="false">Parametres!$B$5*C1538</f>
        <v>0</v>
      </c>
      <c r="F1538" s="20" t="n">
        <f aca="false">Parametres!$B$6*D1538</f>
        <v>5.24</v>
      </c>
      <c r="G1538" s="20" t="n">
        <f aca="false">E1538+F1538</f>
        <v>5.24</v>
      </c>
      <c r="H1538" s="20" t="n">
        <f aca="false">IF(G1538&lt;Parametres!$B$8*Parametres!$B$7,0,MIN(G1538,Parametres!$B$7))</f>
        <v>0</v>
      </c>
      <c r="I1538" s="20" t="n">
        <f aca="false">G1538-H1538</f>
        <v>5.24</v>
      </c>
      <c r="J1538" s="21" t="n">
        <f aca="false">H1538*1000/Parametres!$B$9</f>
        <v>0</v>
      </c>
    </row>
    <row r="1539" customFormat="false" ht="15" hidden="false" customHeight="false" outlineLevel="0" collapsed="false">
      <c r="A1539" s="0" t="n">
        <v>1535</v>
      </c>
      <c r="B1539" s="0" t="n">
        <v>3</v>
      </c>
      <c r="C1539" s="19" t="n">
        <v>0</v>
      </c>
      <c r="D1539" s="19" t="n">
        <v>0.0321</v>
      </c>
      <c r="E1539" s="20" t="n">
        <f aca="false">Parametres!$B$5*C1539</f>
        <v>0</v>
      </c>
      <c r="F1539" s="20" t="n">
        <f aca="false">Parametres!$B$6*D1539</f>
        <v>6.42</v>
      </c>
      <c r="G1539" s="20" t="n">
        <f aca="false">E1539+F1539</f>
        <v>6.42</v>
      </c>
      <c r="H1539" s="20" t="n">
        <f aca="false">IF(G1539&lt;Parametres!$B$8*Parametres!$B$7,0,MIN(G1539,Parametres!$B$7))</f>
        <v>0</v>
      </c>
      <c r="I1539" s="20" t="n">
        <f aca="false">G1539-H1539</f>
        <v>6.42</v>
      </c>
      <c r="J1539" s="21" t="n">
        <f aca="false">H1539*1000/Parametres!$B$9</f>
        <v>0</v>
      </c>
    </row>
    <row r="1540" customFormat="false" ht="15" hidden="false" customHeight="false" outlineLevel="0" collapsed="false">
      <c r="A1540" s="0" t="n">
        <v>1536</v>
      </c>
      <c r="B1540" s="0" t="n">
        <v>3</v>
      </c>
      <c r="C1540" s="19" t="n">
        <v>0</v>
      </c>
      <c r="D1540" s="19" t="n">
        <v>0.0221</v>
      </c>
      <c r="E1540" s="20" t="n">
        <f aca="false">Parametres!$B$5*C1540</f>
        <v>0</v>
      </c>
      <c r="F1540" s="20" t="n">
        <f aca="false">Parametres!$B$6*D1540</f>
        <v>4.42</v>
      </c>
      <c r="G1540" s="20" t="n">
        <f aca="false">E1540+F1540</f>
        <v>4.42</v>
      </c>
      <c r="H1540" s="20" t="n">
        <f aca="false">IF(G1540&lt;Parametres!$B$8*Parametres!$B$7,0,MIN(G1540,Parametres!$B$7))</f>
        <v>0</v>
      </c>
      <c r="I1540" s="20" t="n">
        <f aca="false">G1540-H1540</f>
        <v>4.42</v>
      </c>
      <c r="J1540" s="21" t="n">
        <f aca="false">H1540*1000/Parametres!$B$9</f>
        <v>0</v>
      </c>
    </row>
    <row r="1541" customFormat="false" ht="15" hidden="false" customHeight="false" outlineLevel="0" collapsed="false">
      <c r="A1541" s="0" t="n">
        <v>1537</v>
      </c>
      <c r="B1541" s="0" t="n">
        <v>3</v>
      </c>
      <c r="C1541" s="19" t="n">
        <v>0</v>
      </c>
      <c r="D1541" s="19" t="n">
        <v>0.0211</v>
      </c>
      <c r="E1541" s="20" t="n">
        <f aca="false">Parametres!$B$5*C1541</f>
        <v>0</v>
      </c>
      <c r="F1541" s="20" t="n">
        <f aca="false">Parametres!$B$6*D1541</f>
        <v>4.22</v>
      </c>
      <c r="G1541" s="20" t="n">
        <f aca="false">E1541+F1541</f>
        <v>4.22</v>
      </c>
      <c r="H1541" s="20" t="n">
        <f aca="false">IF(G1541&lt;Parametres!$B$8*Parametres!$B$7,0,MIN(G1541,Parametres!$B$7))</f>
        <v>0</v>
      </c>
      <c r="I1541" s="20" t="n">
        <f aca="false">G1541-H1541</f>
        <v>4.22</v>
      </c>
      <c r="J1541" s="21" t="n">
        <f aca="false">H1541*1000/Parametres!$B$9</f>
        <v>0</v>
      </c>
    </row>
    <row r="1542" customFormat="false" ht="15" hidden="false" customHeight="false" outlineLevel="0" collapsed="false">
      <c r="A1542" s="0" t="n">
        <v>1538</v>
      </c>
      <c r="B1542" s="0" t="n">
        <v>3</v>
      </c>
      <c r="C1542" s="19" t="n">
        <v>0</v>
      </c>
      <c r="D1542" s="19" t="n">
        <v>0.0402</v>
      </c>
      <c r="E1542" s="20" t="n">
        <f aca="false">Parametres!$B$5*C1542</f>
        <v>0</v>
      </c>
      <c r="F1542" s="20" t="n">
        <f aca="false">Parametres!$B$6*D1542</f>
        <v>8.04</v>
      </c>
      <c r="G1542" s="20" t="n">
        <f aca="false">E1542+F1542</f>
        <v>8.04</v>
      </c>
      <c r="H1542" s="20" t="n">
        <f aca="false">IF(G1542&lt;Parametres!$B$8*Parametres!$B$7,0,MIN(G1542,Parametres!$B$7))</f>
        <v>0</v>
      </c>
      <c r="I1542" s="20" t="n">
        <f aca="false">G1542-H1542</f>
        <v>8.04</v>
      </c>
      <c r="J1542" s="21" t="n">
        <f aca="false">H1542*1000/Parametres!$B$9</f>
        <v>0</v>
      </c>
    </row>
    <row r="1543" customFormat="false" ht="15" hidden="false" customHeight="false" outlineLevel="0" collapsed="false">
      <c r="A1543" s="0" t="n">
        <v>1539</v>
      </c>
      <c r="B1543" s="0" t="n">
        <v>3</v>
      </c>
      <c r="C1543" s="19" t="n">
        <v>0</v>
      </c>
      <c r="D1543" s="19" t="n">
        <v>0.0329</v>
      </c>
      <c r="E1543" s="20" t="n">
        <f aca="false">Parametres!$B$5*C1543</f>
        <v>0</v>
      </c>
      <c r="F1543" s="20" t="n">
        <f aca="false">Parametres!$B$6*D1543</f>
        <v>6.58</v>
      </c>
      <c r="G1543" s="20" t="n">
        <f aca="false">E1543+F1543</f>
        <v>6.58</v>
      </c>
      <c r="H1543" s="20" t="n">
        <f aca="false">IF(G1543&lt;Parametres!$B$8*Parametres!$B$7,0,MIN(G1543,Parametres!$B$7))</f>
        <v>0</v>
      </c>
      <c r="I1543" s="20" t="n">
        <f aca="false">G1543-H1543</f>
        <v>6.58</v>
      </c>
      <c r="J1543" s="21" t="n">
        <f aca="false">H1543*1000/Parametres!$B$9</f>
        <v>0</v>
      </c>
    </row>
    <row r="1544" customFormat="false" ht="15" hidden="false" customHeight="false" outlineLevel="0" collapsed="false">
      <c r="A1544" s="0" t="n">
        <v>1540</v>
      </c>
      <c r="B1544" s="0" t="n">
        <v>3</v>
      </c>
      <c r="C1544" s="19" t="n">
        <v>0</v>
      </c>
      <c r="D1544" s="19" t="n">
        <v>0.0674</v>
      </c>
      <c r="E1544" s="20" t="n">
        <f aca="false">Parametres!$B$5*C1544</f>
        <v>0</v>
      </c>
      <c r="F1544" s="20" t="n">
        <f aca="false">Parametres!$B$6*D1544</f>
        <v>13.48</v>
      </c>
      <c r="G1544" s="20" t="n">
        <f aca="false">E1544+F1544</f>
        <v>13.48</v>
      </c>
      <c r="H1544" s="20" t="n">
        <f aca="false">IF(G1544&lt;Parametres!$B$8*Parametres!$B$7,0,MIN(G1544,Parametres!$B$7))</f>
        <v>0</v>
      </c>
      <c r="I1544" s="20" t="n">
        <f aca="false">G1544-H1544</f>
        <v>13.48</v>
      </c>
      <c r="J1544" s="21" t="n">
        <f aca="false">H1544*1000/Parametres!$B$9</f>
        <v>0</v>
      </c>
    </row>
    <row r="1545" customFormat="false" ht="15" hidden="false" customHeight="false" outlineLevel="0" collapsed="false">
      <c r="A1545" s="0" t="n">
        <v>1541</v>
      </c>
      <c r="B1545" s="0" t="n">
        <v>3</v>
      </c>
      <c r="C1545" s="19" t="n">
        <v>0</v>
      </c>
      <c r="D1545" s="19" t="n">
        <v>0.1234</v>
      </c>
      <c r="E1545" s="20" t="n">
        <f aca="false">Parametres!$B$5*C1545</f>
        <v>0</v>
      </c>
      <c r="F1545" s="20" t="n">
        <f aca="false">Parametres!$B$6*D1545</f>
        <v>24.68</v>
      </c>
      <c r="G1545" s="20" t="n">
        <f aca="false">E1545+F1545</f>
        <v>24.68</v>
      </c>
      <c r="H1545" s="20" t="n">
        <f aca="false">IF(G1545&lt;Parametres!$B$8*Parametres!$B$7,0,MIN(G1545,Parametres!$B$7))</f>
        <v>0</v>
      </c>
      <c r="I1545" s="20" t="n">
        <f aca="false">G1545-H1545</f>
        <v>24.68</v>
      </c>
      <c r="J1545" s="21" t="n">
        <f aca="false">H1545*1000/Parametres!$B$9</f>
        <v>0</v>
      </c>
    </row>
    <row r="1546" customFormat="false" ht="15" hidden="false" customHeight="false" outlineLevel="0" collapsed="false">
      <c r="A1546" s="0" t="n">
        <v>1542</v>
      </c>
      <c r="B1546" s="0" t="n">
        <v>3</v>
      </c>
      <c r="C1546" s="19" t="n">
        <v>0</v>
      </c>
      <c r="D1546" s="19" t="n">
        <v>0.0889</v>
      </c>
      <c r="E1546" s="20" t="n">
        <f aca="false">Parametres!$B$5*C1546</f>
        <v>0</v>
      </c>
      <c r="F1546" s="20" t="n">
        <f aca="false">Parametres!$B$6*D1546</f>
        <v>17.78</v>
      </c>
      <c r="G1546" s="20" t="n">
        <f aca="false">E1546+F1546</f>
        <v>17.78</v>
      </c>
      <c r="H1546" s="20" t="n">
        <f aca="false">IF(G1546&lt;Parametres!$B$8*Parametres!$B$7,0,MIN(G1546,Parametres!$B$7))</f>
        <v>0</v>
      </c>
      <c r="I1546" s="20" t="n">
        <f aca="false">G1546-H1546</f>
        <v>17.78</v>
      </c>
      <c r="J1546" s="21" t="n">
        <f aca="false">H1546*1000/Parametres!$B$9</f>
        <v>0</v>
      </c>
    </row>
    <row r="1547" customFormat="false" ht="15" hidden="false" customHeight="false" outlineLevel="0" collapsed="false">
      <c r="A1547" s="0" t="n">
        <v>1543</v>
      </c>
      <c r="B1547" s="0" t="n">
        <v>3</v>
      </c>
      <c r="C1547" s="19" t="n">
        <v>0.0506</v>
      </c>
      <c r="D1547" s="19" t="n">
        <v>0.2488</v>
      </c>
      <c r="E1547" s="20" t="n">
        <f aca="false">Parametres!$B$5*C1547</f>
        <v>15.18</v>
      </c>
      <c r="F1547" s="20" t="n">
        <f aca="false">Parametres!$B$6*D1547</f>
        <v>49.76</v>
      </c>
      <c r="G1547" s="20" t="n">
        <f aca="false">E1547+F1547</f>
        <v>64.94</v>
      </c>
      <c r="H1547" s="20" t="n">
        <f aca="false">IF(G1547&lt;Parametres!$B$8*Parametres!$B$7,0,MIN(G1547,Parametres!$B$7))</f>
        <v>64.94</v>
      </c>
      <c r="I1547" s="20" t="n">
        <f aca="false">G1547-H1547</f>
        <v>0</v>
      </c>
      <c r="J1547" s="21" t="n">
        <f aca="false">H1547*1000/Parametres!$B$9</f>
        <v>1101.23791758521</v>
      </c>
    </row>
    <row r="1548" customFormat="false" ht="15" hidden="false" customHeight="false" outlineLevel="0" collapsed="false">
      <c r="A1548" s="0" t="n">
        <v>1544</v>
      </c>
      <c r="B1548" s="0" t="n">
        <v>3</v>
      </c>
      <c r="C1548" s="19" t="n">
        <v>0.3036</v>
      </c>
      <c r="D1548" s="19" t="n">
        <v>0.168</v>
      </c>
      <c r="E1548" s="20" t="n">
        <f aca="false">Parametres!$B$5*C1548</f>
        <v>91.08</v>
      </c>
      <c r="F1548" s="20" t="n">
        <f aca="false">Parametres!$B$6*D1548</f>
        <v>33.6</v>
      </c>
      <c r="G1548" s="20" t="n">
        <f aca="false">E1548+F1548</f>
        <v>124.68</v>
      </c>
      <c r="H1548" s="20" t="n">
        <f aca="false">IF(G1548&lt;Parametres!$B$8*Parametres!$B$7,0,MIN(G1548,Parametres!$B$7))</f>
        <v>124.68</v>
      </c>
      <c r="I1548" s="20" t="n">
        <f aca="false">G1548-H1548</f>
        <v>0</v>
      </c>
      <c r="J1548" s="21" t="n">
        <f aca="false">H1548*1000/Parametres!$B$9</f>
        <v>2114.29540444294</v>
      </c>
    </row>
    <row r="1549" customFormat="false" ht="15" hidden="false" customHeight="false" outlineLevel="0" collapsed="false">
      <c r="A1549" s="0" t="n">
        <v>1545</v>
      </c>
      <c r="B1549" s="0" t="n">
        <v>3</v>
      </c>
      <c r="C1549" s="19" t="n">
        <v>0.5543</v>
      </c>
      <c r="D1549" s="19" t="n">
        <v>0.1823</v>
      </c>
      <c r="E1549" s="20" t="n">
        <f aca="false">Parametres!$B$5*C1549</f>
        <v>166.29</v>
      </c>
      <c r="F1549" s="20" t="n">
        <f aca="false">Parametres!$B$6*D1549</f>
        <v>36.46</v>
      </c>
      <c r="G1549" s="20" t="n">
        <f aca="false">E1549+F1549</f>
        <v>202.75</v>
      </c>
      <c r="H1549" s="20" t="n">
        <f aca="false">IF(G1549&lt;Parametres!$B$8*Parametres!$B$7,0,MIN(G1549,Parametres!$B$7))</f>
        <v>202.75</v>
      </c>
      <c r="I1549" s="20" t="n">
        <f aca="false">G1549-H1549</f>
        <v>0</v>
      </c>
      <c r="J1549" s="21" t="n">
        <f aca="false">H1549*1000/Parametres!$B$9</f>
        <v>3438.18890961506</v>
      </c>
    </row>
    <row r="1550" customFormat="false" ht="15" hidden="false" customHeight="false" outlineLevel="0" collapsed="false">
      <c r="A1550" s="0" t="n">
        <v>1546</v>
      </c>
      <c r="B1550" s="0" t="n">
        <v>3</v>
      </c>
      <c r="C1550" s="19" t="n">
        <v>0.7622</v>
      </c>
      <c r="D1550" s="19" t="n">
        <v>0.2786</v>
      </c>
      <c r="E1550" s="20" t="n">
        <f aca="false">Parametres!$B$5*C1550</f>
        <v>228.66</v>
      </c>
      <c r="F1550" s="20" t="n">
        <f aca="false">Parametres!$B$6*D1550</f>
        <v>55.72</v>
      </c>
      <c r="G1550" s="20" t="n">
        <f aca="false">E1550+F1550</f>
        <v>284.38</v>
      </c>
      <c r="H1550" s="20" t="n">
        <f aca="false">IF(G1550&lt;Parametres!$B$8*Parametres!$B$7,0,MIN(G1550,Parametres!$B$7))</f>
        <v>250</v>
      </c>
      <c r="I1550" s="20" t="n">
        <f aca="false">G1550-H1550</f>
        <v>34.38</v>
      </c>
      <c r="J1550" s="21" t="n">
        <f aca="false">H1550*1000/Parametres!$B$9</f>
        <v>4239.44378497541</v>
      </c>
    </row>
    <row r="1551" customFormat="false" ht="15" hidden="false" customHeight="false" outlineLevel="0" collapsed="false">
      <c r="A1551" s="0" t="n">
        <v>1547</v>
      </c>
      <c r="B1551" s="0" t="n">
        <v>3</v>
      </c>
      <c r="C1551" s="19" t="n">
        <v>0.92</v>
      </c>
      <c r="D1551" s="19" t="n">
        <v>0.1232</v>
      </c>
      <c r="E1551" s="20" t="n">
        <f aca="false">Parametres!$B$5*C1551</f>
        <v>276</v>
      </c>
      <c r="F1551" s="20" t="n">
        <f aca="false">Parametres!$B$6*D1551</f>
        <v>24.64</v>
      </c>
      <c r="G1551" s="20" t="n">
        <f aca="false">E1551+F1551</f>
        <v>300.64</v>
      </c>
      <c r="H1551" s="20" t="n">
        <f aca="false">IF(G1551&lt;Parametres!$B$8*Parametres!$B$7,0,MIN(G1551,Parametres!$B$7))</f>
        <v>250</v>
      </c>
      <c r="I1551" s="20" t="n">
        <f aca="false">G1551-H1551</f>
        <v>50.64</v>
      </c>
      <c r="J1551" s="21" t="n">
        <f aca="false">H1551*1000/Parametres!$B$9</f>
        <v>4239.44378497541</v>
      </c>
    </row>
    <row r="1552" customFormat="false" ht="15" hidden="false" customHeight="false" outlineLevel="0" collapsed="false">
      <c r="A1552" s="0" t="n">
        <v>1548</v>
      </c>
      <c r="B1552" s="0" t="n">
        <v>3</v>
      </c>
      <c r="C1552" s="19" t="n">
        <v>0.9954</v>
      </c>
      <c r="D1552" s="19" t="n">
        <v>0.2266</v>
      </c>
      <c r="E1552" s="20" t="n">
        <f aca="false">Parametres!$B$5*C1552</f>
        <v>298.62</v>
      </c>
      <c r="F1552" s="20" t="n">
        <f aca="false">Parametres!$B$6*D1552</f>
        <v>45.32</v>
      </c>
      <c r="G1552" s="20" t="n">
        <f aca="false">E1552+F1552</f>
        <v>343.94</v>
      </c>
      <c r="H1552" s="20" t="n">
        <f aca="false">IF(G1552&lt;Parametres!$B$8*Parametres!$B$7,0,MIN(G1552,Parametres!$B$7))</f>
        <v>250</v>
      </c>
      <c r="I1552" s="20" t="n">
        <f aca="false">G1552-H1552</f>
        <v>93.94</v>
      </c>
      <c r="J1552" s="21" t="n">
        <f aca="false">H1552*1000/Parametres!$B$9</f>
        <v>4239.44378497541</v>
      </c>
    </row>
    <row r="1553" customFormat="false" ht="15" hidden="false" customHeight="false" outlineLevel="0" collapsed="false">
      <c r="A1553" s="0" t="n">
        <v>1549</v>
      </c>
      <c r="B1553" s="0" t="n">
        <v>3</v>
      </c>
      <c r="C1553" s="19" t="n">
        <v>1</v>
      </c>
      <c r="D1553" s="19" t="n">
        <v>0.3979</v>
      </c>
      <c r="E1553" s="20" t="n">
        <f aca="false">Parametres!$B$5*C1553</f>
        <v>300</v>
      </c>
      <c r="F1553" s="20" t="n">
        <f aca="false">Parametres!$B$6*D1553</f>
        <v>79.58</v>
      </c>
      <c r="G1553" s="20" t="n">
        <f aca="false">E1553+F1553</f>
        <v>379.58</v>
      </c>
      <c r="H1553" s="20" t="n">
        <f aca="false">IF(G1553&lt;Parametres!$B$8*Parametres!$B$7,0,MIN(G1553,Parametres!$B$7))</f>
        <v>250</v>
      </c>
      <c r="I1553" s="20" t="n">
        <f aca="false">G1553-H1553</f>
        <v>129.58</v>
      </c>
      <c r="J1553" s="21" t="n">
        <f aca="false">H1553*1000/Parametres!$B$9</f>
        <v>4239.44378497541</v>
      </c>
    </row>
    <row r="1554" customFormat="false" ht="15" hidden="false" customHeight="false" outlineLevel="0" collapsed="false">
      <c r="A1554" s="0" t="n">
        <v>1550</v>
      </c>
      <c r="B1554" s="0" t="n">
        <v>3</v>
      </c>
      <c r="C1554" s="19" t="n">
        <v>0.8322</v>
      </c>
      <c r="D1554" s="19" t="n">
        <v>0.42</v>
      </c>
      <c r="E1554" s="20" t="n">
        <f aca="false">Parametres!$B$5*C1554</f>
        <v>249.66</v>
      </c>
      <c r="F1554" s="20" t="n">
        <f aca="false">Parametres!$B$6*D1554</f>
        <v>84</v>
      </c>
      <c r="G1554" s="20" t="n">
        <f aca="false">E1554+F1554</f>
        <v>333.66</v>
      </c>
      <c r="H1554" s="20" t="n">
        <f aca="false">IF(G1554&lt;Parametres!$B$8*Parametres!$B$7,0,MIN(G1554,Parametres!$B$7))</f>
        <v>250</v>
      </c>
      <c r="I1554" s="20" t="n">
        <f aca="false">G1554-H1554</f>
        <v>83.66</v>
      </c>
      <c r="J1554" s="21" t="n">
        <f aca="false">H1554*1000/Parametres!$B$9</f>
        <v>4239.44378497541</v>
      </c>
    </row>
    <row r="1555" customFormat="false" ht="15" hidden="false" customHeight="false" outlineLevel="0" collapsed="false">
      <c r="A1555" s="0" t="n">
        <v>1551</v>
      </c>
      <c r="B1555" s="0" t="n">
        <v>3</v>
      </c>
      <c r="C1555" s="19" t="n">
        <v>0.8234</v>
      </c>
      <c r="D1555" s="19" t="n">
        <v>0.4964</v>
      </c>
      <c r="E1555" s="20" t="n">
        <f aca="false">Parametres!$B$5*C1555</f>
        <v>247.02</v>
      </c>
      <c r="F1555" s="20" t="n">
        <f aca="false">Parametres!$B$6*D1555</f>
        <v>99.28</v>
      </c>
      <c r="G1555" s="20" t="n">
        <f aca="false">E1555+F1555</f>
        <v>346.3</v>
      </c>
      <c r="H1555" s="20" t="n">
        <f aca="false">IF(G1555&lt;Parametres!$B$8*Parametres!$B$7,0,MIN(G1555,Parametres!$B$7))</f>
        <v>250</v>
      </c>
      <c r="I1555" s="20" t="n">
        <f aca="false">G1555-H1555</f>
        <v>96.3</v>
      </c>
      <c r="J1555" s="21" t="n">
        <f aca="false">H1555*1000/Parametres!$B$9</f>
        <v>4239.44378497541</v>
      </c>
    </row>
    <row r="1556" customFormat="false" ht="15" hidden="false" customHeight="false" outlineLevel="0" collapsed="false">
      <c r="A1556" s="0" t="n">
        <v>1552</v>
      </c>
      <c r="B1556" s="0" t="n">
        <v>3</v>
      </c>
      <c r="C1556" s="19" t="n">
        <v>0.542</v>
      </c>
      <c r="D1556" s="19" t="n">
        <v>0.5566</v>
      </c>
      <c r="E1556" s="20" t="n">
        <f aca="false">Parametres!$B$5*C1556</f>
        <v>162.6</v>
      </c>
      <c r="F1556" s="20" t="n">
        <f aca="false">Parametres!$B$6*D1556</f>
        <v>111.32</v>
      </c>
      <c r="G1556" s="20" t="n">
        <f aca="false">E1556+F1556</f>
        <v>273.92</v>
      </c>
      <c r="H1556" s="20" t="n">
        <f aca="false">IF(G1556&lt;Parametres!$B$8*Parametres!$B$7,0,MIN(G1556,Parametres!$B$7))</f>
        <v>250</v>
      </c>
      <c r="I1556" s="20" t="n">
        <f aca="false">G1556-H1556</f>
        <v>23.92</v>
      </c>
      <c r="J1556" s="21" t="n">
        <f aca="false">H1556*1000/Parametres!$B$9</f>
        <v>4239.44378497541</v>
      </c>
    </row>
    <row r="1557" customFormat="false" ht="15" hidden="false" customHeight="false" outlineLevel="0" collapsed="false">
      <c r="A1557" s="0" t="n">
        <v>1553</v>
      </c>
      <c r="B1557" s="0" t="n">
        <v>3</v>
      </c>
      <c r="C1557" s="19" t="n">
        <v>0.2822</v>
      </c>
      <c r="D1557" s="19" t="n">
        <v>0.5224</v>
      </c>
      <c r="E1557" s="20" t="n">
        <f aca="false">Parametres!$B$5*C1557</f>
        <v>84.66</v>
      </c>
      <c r="F1557" s="20" t="n">
        <f aca="false">Parametres!$B$6*D1557</f>
        <v>104.48</v>
      </c>
      <c r="G1557" s="20" t="n">
        <f aca="false">E1557+F1557</f>
        <v>189.14</v>
      </c>
      <c r="H1557" s="20" t="n">
        <f aca="false">IF(G1557&lt;Parametres!$B$8*Parametres!$B$7,0,MIN(G1557,Parametres!$B$7))</f>
        <v>189.14</v>
      </c>
      <c r="I1557" s="20" t="n">
        <f aca="false">G1557-H1557</f>
        <v>0</v>
      </c>
      <c r="J1557" s="21" t="n">
        <f aca="false">H1557*1000/Parametres!$B$9</f>
        <v>3207.393589961</v>
      </c>
    </row>
    <row r="1558" customFormat="false" ht="15" hidden="false" customHeight="false" outlineLevel="0" collapsed="false">
      <c r="A1558" s="0" t="n">
        <v>1554</v>
      </c>
      <c r="B1558" s="0" t="n">
        <v>3</v>
      </c>
      <c r="C1558" s="19" t="n">
        <v>0.0511</v>
      </c>
      <c r="D1558" s="19" t="n">
        <v>0.7316</v>
      </c>
      <c r="E1558" s="20" t="n">
        <f aca="false">Parametres!$B$5*C1558</f>
        <v>15.33</v>
      </c>
      <c r="F1558" s="20" t="n">
        <f aca="false">Parametres!$B$6*D1558</f>
        <v>146.32</v>
      </c>
      <c r="G1558" s="20" t="n">
        <f aca="false">E1558+F1558</f>
        <v>161.65</v>
      </c>
      <c r="H1558" s="20" t="n">
        <f aca="false">IF(G1558&lt;Parametres!$B$8*Parametres!$B$7,0,MIN(G1558,Parametres!$B$7))</f>
        <v>161.65</v>
      </c>
      <c r="I1558" s="20" t="n">
        <f aca="false">G1558-H1558</f>
        <v>0</v>
      </c>
      <c r="J1558" s="21" t="n">
        <f aca="false">H1558*1000/Parametres!$B$9</f>
        <v>2741.2243513651</v>
      </c>
    </row>
    <row r="1559" customFormat="false" ht="15" hidden="false" customHeight="false" outlineLevel="0" collapsed="false">
      <c r="A1559" s="0" t="n">
        <v>1555</v>
      </c>
      <c r="B1559" s="0" t="n">
        <v>3</v>
      </c>
      <c r="C1559" s="19" t="n">
        <v>0</v>
      </c>
      <c r="D1559" s="19" t="n">
        <v>0.6136</v>
      </c>
      <c r="E1559" s="20" t="n">
        <f aca="false">Parametres!$B$5*C1559</f>
        <v>0</v>
      </c>
      <c r="F1559" s="20" t="n">
        <f aca="false">Parametres!$B$6*D1559</f>
        <v>122.72</v>
      </c>
      <c r="G1559" s="20" t="n">
        <f aca="false">E1559+F1559</f>
        <v>122.72</v>
      </c>
      <c r="H1559" s="20" t="n">
        <f aca="false">IF(G1559&lt;Parametres!$B$8*Parametres!$B$7,0,MIN(G1559,Parametres!$B$7))</f>
        <v>122.72</v>
      </c>
      <c r="I1559" s="20" t="n">
        <f aca="false">G1559-H1559</f>
        <v>0</v>
      </c>
      <c r="J1559" s="21" t="n">
        <f aca="false">H1559*1000/Parametres!$B$9</f>
        <v>2081.05816516873</v>
      </c>
    </row>
    <row r="1560" customFormat="false" ht="15" hidden="false" customHeight="false" outlineLevel="0" collapsed="false">
      <c r="A1560" s="0" t="n">
        <v>1556</v>
      </c>
      <c r="B1560" s="0" t="n">
        <v>3</v>
      </c>
      <c r="C1560" s="19" t="n">
        <v>0</v>
      </c>
      <c r="D1560" s="19" t="n">
        <v>0.5574</v>
      </c>
      <c r="E1560" s="20" t="n">
        <f aca="false">Parametres!$B$5*C1560</f>
        <v>0</v>
      </c>
      <c r="F1560" s="20" t="n">
        <f aca="false">Parametres!$B$6*D1560</f>
        <v>111.48</v>
      </c>
      <c r="G1560" s="20" t="n">
        <f aca="false">E1560+F1560</f>
        <v>111.48</v>
      </c>
      <c r="H1560" s="20" t="n">
        <f aca="false">IF(G1560&lt;Parametres!$B$8*Parametres!$B$7,0,MIN(G1560,Parametres!$B$7))</f>
        <v>111.48</v>
      </c>
      <c r="I1560" s="20" t="n">
        <f aca="false">G1560-H1560</f>
        <v>0</v>
      </c>
      <c r="J1560" s="21" t="n">
        <f aca="false">H1560*1000/Parametres!$B$9</f>
        <v>1890.45277259624</v>
      </c>
    </row>
    <row r="1561" customFormat="false" ht="15" hidden="false" customHeight="false" outlineLevel="0" collapsed="false">
      <c r="A1561" s="0" t="n">
        <v>1557</v>
      </c>
      <c r="B1561" s="0" t="n">
        <v>3</v>
      </c>
      <c r="C1561" s="19" t="n">
        <v>0</v>
      </c>
      <c r="D1561" s="19" t="n">
        <v>0.5663</v>
      </c>
      <c r="E1561" s="20" t="n">
        <f aca="false">Parametres!$B$5*C1561</f>
        <v>0</v>
      </c>
      <c r="F1561" s="20" t="n">
        <f aca="false">Parametres!$B$6*D1561</f>
        <v>113.26</v>
      </c>
      <c r="G1561" s="20" t="n">
        <f aca="false">E1561+F1561</f>
        <v>113.26</v>
      </c>
      <c r="H1561" s="20" t="n">
        <f aca="false">IF(G1561&lt;Parametres!$B$8*Parametres!$B$7,0,MIN(G1561,Parametres!$B$7))</f>
        <v>113.26</v>
      </c>
      <c r="I1561" s="20" t="n">
        <f aca="false">G1561-H1561</f>
        <v>0</v>
      </c>
      <c r="J1561" s="21" t="n">
        <f aca="false">H1561*1000/Parametres!$B$9</f>
        <v>1920.63761234526</v>
      </c>
    </row>
    <row r="1562" customFormat="false" ht="15" hidden="false" customHeight="false" outlineLevel="0" collapsed="false">
      <c r="A1562" s="0" t="n">
        <v>1558</v>
      </c>
      <c r="B1562" s="0" t="n">
        <v>3</v>
      </c>
      <c r="C1562" s="19" t="n">
        <v>0</v>
      </c>
      <c r="D1562" s="19" t="n">
        <v>0.6554</v>
      </c>
      <c r="E1562" s="20" t="n">
        <f aca="false">Parametres!$B$5*C1562</f>
        <v>0</v>
      </c>
      <c r="F1562" s="20" t="n">
        <f aca="false">Parametres!$B$6*D1562</f>
        <v>131.08</v>
      </c>
      <c r="G1562" s="20" t="n">
        <f aca="false">E1562+F1562</f>
        <v>131.08</v>
      </c>
      <c r="H1562" s="20" t="n">
        <f aca="false">IF(G1562&lt;Parametres!$B$8*Parametres!$B$7,0,MIN(G1562,Parametres!$B$7))</f>
        <v>131.08</v>
      </c>
      <c r="I1562" s="20" t="n">
        <f aca="false">G1562-H1562</f>
        <v>0</v>
      </c>
      <c r="J1562" s="21" t="n">
        <f aca="false">H1562*1000/Parametres!$B$9</f>
        <v>2222.82516533831</v>
      </c>
    </row>
    <row r="1563" customFormat="false" ht="15" hidden="false" customHeight="false" outlineLevel="0" collapsed="false">
      <c r="A1563" s="0" t="n">
        <v>1559</v>
      </c>
      <c r="B1563" s="0" t="n">
        <v>3</v>
      </c>
      <c r="C1563" s="19" t="n">
        <v>0</v>
      </c>
      <c r="D1563" s="19" t="n">
        <v>0.7925</v>
      </c>
      <c r="E1563" s="20" t="n">
        <f aca="false">Parametres!$B$5*C1563</f>
        <v>0</v>
      </c>
      <c r="F1563" s="20" t="n">
        <f aca="false">Parametres!$B$6*D1563</f>
        <v>158.5</v>
      </c>
      <c r="G1563" s="20" t="n">
        <f aca="false">E1563+F1563</f>
        <v>158.5</v>
      </c>
      <c r="H1563" s="20" t="n">
        <f aca="false">IF(G1563&lt;Parametres!$B$8*Parametres!$B$7,0,MIN(G1563,Parametres!$B$7))</f>
        <v>158.5</v>
      </c>
      <c r="I1563" s="20" t="n">
        <f aca="false">G1563-H1563</f>
        <v>0</v>
      </c>
      <c r="J1563" s="21" t="n">
        <f aca="false">H1563*1000/Parametres!$B$9</f>
        <v>2687.80735967441</v>
      </c>
    </row>
    <row r="1564" customFormat="false" ht="15" hidden="false" customHeight="false" outlineLevel="0" collapsed="false">
      <c r="A1564" s="0" t="n">
        <v>1560</v>
      </c>
      <c r="B1564" s="0" t="n">
        <v>3</v>
      </c>
      <c r="C1564" s="19" t="n">
        <v>0</v>
      </c>
      <c r="D1564" s="19" t="n">
        <v>0.4329</v>
      </c>
      <c r="E1564" s="20" t="n">
        <f aca="false">Parametres!$B$5*C1564</f>
        <v>0</v>
      </c>
      <c r="F1564" s="20" t="n">
        <f aca="false">Parametres!$B$6*D1564</f>
        <v>86.58</v>
      </c>
      <c r="G1564" s="20" t="n">
        <f aca="false">E1564+F1564</f>
        <v>86.58</v>
      </c>
      <c r="H1564" s="20" t="n">
        <f aca="false">IF(G1564&lt;Parametres!$B$8*Parametres!$B$7,0,MIN(G1564,Parametres!$B$7))</f>
        <v>86.58</v>
      </c>
      <c r="I1564" s="20" t="n">
        <f aca="false">G1564-H1564</f>
        <v>0</v>
      </c>
      <c r="J1564" s="21" t="n">
        <f aca="false">H1564*1000/Parametres!$B$9</f>
        <v>1468.20417161268</v>
      </c>
    </row>
    <row r="1565" customFormat="false" ht="15" hidden="false" customHeight="false" outlineLevel="0" collapsed="false">
      <c r="A1565" s="0" t="n">
        <v>1561</v>
      </c>
      <c r="B1565" s="0" t="n">
        <v>3</v>
      </c>
      <c r="C1565" s="19" t="n">
        <v>0</v>
      </c>
      <c r="D1565" s="19" t="n">
        <v>0.1773</v>
      </c>
      <c r="E1565" s="20" t="n">
        <f aca="false">Parametres!$B$5*C1565</f>
        <v>0</v>
      </c>
      <c r="F1565" s="20" t="n">
        <f aca="false">Parametres!$B$6*D1565</f>
        <v>35.46</v>
      </c>
      <c r="G1565" s="20" t="n">
        <f aca="false">E1565+F1565</f>
        <v>35.46</v>
      </c>
      <c r="H1565" s="20" t="n">
        <f aca="false">IF(G1565&lt;Parametres!$B$8*Parametres!$B$7,0,MIN(G1565,Parametres!$B$7))</f>
        <v>35.46</v>
      </c>
      <c r="I1565" s="20" t="n">
        <f aca="false">G1565-H1565</f>
        <v>0</v>
      </c>
      <c r="J1565" s="21" t="n">
        <f aca="false">H1565*1000/Parametres!$B$9</f>
        <v>601.322706460912</v>
      </c>
    </row>
    <row r="1566" customFormat="false" ht="15" hidden="false" customHeight="false" outlineLevel="0" collapsed="false">
      <c r="A1566" s="0" t="n">
        <v>1562</v>
      </c>
      <c r="B1566" s="0" t="n">
        <v>3</v>
      </c>
      <c r="C1566" s="19" t="n">
        <v>0</v>
      </c>
      <c r="D1566" s="19" t="n">
        <v>0.1468</v>
      </c>
      <c r="E1566" s="20" t="n">
        <f aca="false">Parametres!$B$5*C1566</f>
        <v>0</v>
      </c>
      <c r="F1566" s="20" t="n">
        <f aca="false">Parametres!$B$6*D1566</f>
        <v>29.36</v>
      </c>
      <c r="G1566" s="20" t="n">
        <f aca="false">E1566+F1566</f>
        <v>29.36</v>
      </c>
      <c r="H1566" s="20" t="n">
        <f aca="false">IF(G1566&lt;Parametres!$B$8*Parametres!$B$7,0,MIN(G1566,Parametres!$B$7))</f>
        <v>29.36</v>
      </c>
      <c r="I1566" s="20" t="n">
        <f aca="false">G1566-H1566</f>
        <v>0</v>
      </c>
      <c r="J1566" s="21" t="n">
        <f aca="false">H1566*1000/Parametres!$B$9</f>
        <v>497.880278107512</v>
      </c>
    </row>
    <row r="1567" customFormat="false" ht="15" hidden="false" customHeight="false" outlineLevel="0" collapsed="false">
      <c r="A1567" s="0" t="n">
        <v>1563</v>
      </c>
      <c r="B1567" s="0" t="n">
        <v>3</v>
      </c>
      <c r="C1567" s="19" t="n">
        <v>0</v>
      </c>
      <c r="D1567" s="19" t="n">
        <v>0.1291</v>
      </c>
      <c r="E1567" s="20" t="n">
        <f aca="false">Parametres!$B$5*C1567</f>
        <v>0</v>
      </c>
      <c r="F1567" s="20" t="n">
        <f aca="false">Parametres!$B$6*D1567</f>
        <v>25.82</v>
      </c>
      <c r="G1567" s="20" t="n">
        <f aca="false">E1567+F1567</f>
        <v>25.82</v>
      </c>
      <c r="H1567" s="20" t="n">
        <f aca="false">IF(G1567&lt;Parametres!$B$8*Parametres!$B$7,0,MIN(G1567,Parametres!$B$7))</f>
        <v>25.82</v>
      </c>
      <c r="I1567" s="20" t="n">
        <f aca="false">G1567-H1567</f>
        <v>0</v>
      </c>
      <c r="J1567" s="21" t="n">
        <f aca="false">H1567*1000/Parametres!$B$9</f>
        <v>437.849754112261</v>
      </c>
    </row>
    <row r="1568" customFormat="false" ht="15" hidden="false" customHeight="false" outlineLevel="0" collapsed="false">
      <c r="A1568" s="0" t="n">
        <v>1564</v>
      </c>
      <c r="B1568" s="0" t="n">
        <v>3</v>
      </c>
      <c r="C1568" s="19" t="n">
        <v>0</v>
      </c>
      <c r="D1568" s="19" t="n">
        <v>0.0725</v>
      </c>
      <c r="E1568" s="20" t="n">
        <f aca="false">Parametres!$B$5*C1568</f>
        <v>0</v>
      </c>
      <c r="F1568" s="20" t="n">
        <f aca="false">Parametres!$B$6*D1568</f>
        <v>14.5</v>
      </c>
      <c r="G1568" s="20" t="n">
        <f aca="false">E1568+F1568</f>
        <v>14.5</v>
      </c>
      <c r="H1568" s="20" t="n">
        <f aca="false">IF(G1568&lt;Parametres!$B$8*Parametres!$B$7,0,MIN(G1568,Parametres!$B$7))</f>
        <v>0</v>
      </c>
      <c r="I1568" s="20" t="n">
        <f aca="false">G1568-H1568</f>
        <v>14.5</v>
      </c>
      <c r="J1568" s="21" t="n">
        <f aca="false">H1568*1000/Parametres!$B$9</f>
        <v>0</v>
      </c>
    </row>
    <row r="1569" customFormat="false" ht="15" hidden="false" customHeight="false" outlineLevel="0" collapsed="false">
      <c r="A1569" s="0" t="n">
        <v>1565</v>
      </c>
      <c r="B1569" s="0" t="n">
        <v>3</v>
      </c>
      <c r="C1569" s="19" t="n">
        <v>0</v>
      </c>
      <c r="D1569" s="19" t="n">
        <v>0.0829</v>
      </c>
      <c r="E1569" s="20" t="n">
        <f aca="false">Parametres!$B$5*C1569</f>
        <v>0</v>
      </c>
      <c r="F1569" s="20" t="n">
        <f aca="false">Parametres!$B$6*D1569</f>
        <v>16.58</v>
      </c>
      <c r="G1569" s="20" t="n">
        <f aca="false">E1569+F1569</f>
        <v>16.58</v>
      </c>
      <c r="H1569" s="20" t="n">
        <f aca="false">IF(G1569&lt;Parametres!$B$8*Parametres!$B$7,0,MIN(G1569,Parametres!$B$7))</f>
        <v>0</v>
      </c>
      <c r="I1569" s="20" t="n">
        <f aca="false">G1569-H1569</f>
        <v>16.58</v>
      </c>
      <c r="J1569" s="21" t="n">
        <f aca="false">H1569*1000/Parametres!$B$9</f>
        <v>0</v>
      </c>
    </row>
    <row r="1570" customFormat="false" ht="15" hidden="false" customHeight="false" outlineLevel="0" collapsed="false">
      <c r="A1570" s="0" t="n">
        <v>1566</v>
      </c>
      <c r="B1570" s="0" t="n">
        <v>3</v>
      </c>
      <c r="C1570" s="19" t="n">
        <v>0</v>
      </c>
      <c r="D1570" s="19" t="n">
        <v>0.1143</v>
      </c>
      <c r="E1570" s="20" t="n">
        <f aca="false">Parametres!$B$5*C1570</f>
        <v>0</v>
      </c>
      <c r="F1570" s="20" t="n">
        <f aca="false">Parametres!$B$6*D1570</f>
        <v>22.86</v>
      </c>
      <c r="G1570" s="20" t="n">
        <f aca="false">E1570+F1570</f>
        <v>22.86</v>
      </c>
      <c r="H1570" s="20" t="n">
        <f aca="false">IF(G1570&lt;Parametres!$B$8*Parametres!$B$7,0,MIN(G1570,Parametres!$B$7))</f>
        <v>0</v>
      </c>
      <c r="I1570" s="20" t="n">
        <f aca="false">G1570-H1570</f>
        <v>22.86</v>
      </c>
      <c r="J1570" s="21" t="n">
        <f aca="false">H1570*1000/Parametres!$B$9</f>
        <v>0</v>
      </c>
    </row>
    <row r="1571" customFormat="false" ht="15" hidden="false" customHeight="false" outlineLevel="0" collapsed="false">
      <c r="A1571" s="0" t="n">
        <v>1567</v>
      </c>
      <c r="B1571" s="0" t="n">
        <v>3</v>
      </c>
      <c r="C1571" s="19" t="n">
        <v>0.0459</v>
      </c>
      <c r="D1571" s="19" t="n">
        <v>0.1443</v>
      </c>
      <c r="E1571" s="20" t="n">
        <f aca="false">Parametres!$B$5*C1571</f>
        <v>13.77</v>
      </c>
      <c r="F1571" s="20" t="n">
        <f aca="false">Parametres!$B$6*D1571</f>
        <v>28.86</v>
      </c>
      <c r="G1571" s="20" t="n">
        <f aca="false">E1571+F1571</f>
        <v>42.63</v>
      </c>
      <c r="H1571" s="20" t="n">
        <f aca="false">IF(G1571&lt;Parametres!$B$8*Parametres!$B$7,0,MIN(G1571,Parametres!$B$7))</f>
        <v>42.63</v>
      </c>
      <c r="I1571" s="20" t="n">
        <f aca="false">G1571-H1571</f>
        <v>0</v>
      </c>
      <c r="J1571" s="21" t="n">
        <f aca="false">H1571*1000/Parametres!$B$9</f>
        <v>722.909954214007</v>
      </c>
    </row>
    <row r="1572" customFormat="false" ht="15" hidden="false" customHeight="false" outlineLevel="0" collapsed="false">
      <c r="A1572" s="0" t="n">
        <v>1568</v>
      </c>
      <c r="B1572" s="0" t="n">
        <v>3</v>
      </c>
      <c r="C1572" s="19" t="n">
        <v>0.2898</v>
      </c>
      <c r="D1572" s="19" t="n">
        <v>0.2999</v>
      </c>
      <c r="E1572" s="20" t="n">
        <f aca="false">Parametres!$B$5*C1572</f>
        <v>86.94</v>
      </c>
      <c r="F1572" s="20" t="n">
        <f aca="false">Parametres!$B$6*D1572</f>
        <v>59.98</v>
      </c>
      <c r="G1572" s="20" t="n">
        <f aca="false">E1572+F1572</f>
        <v>146.92</v>
      </c>
      <c r="H1572" s="20" t="n">
        <f aca="false">IF(G1572&lt;Parametres!$B$8*Parametres!$B$7,0,MIN(G1572,Parametres!$B$7))</f>
        <v>146.92</v>
      </c>
      <c r="I1572" s="20" t="n">
        <f aca="false">G1572-H1572</f>
        <v>0</v>
      </c>
      <c r="J1572" s="21" t="n">
        <f aca="false">H1572*1000/Parametres!$B$9</f>
        <v>2491.43632355435</v>
      </c>
    </row>
    <row r="1573" customFormat="false" ht="15" hidden="false" customHeight="false" outlineLevel="0" collapsed="false">
      <c r="A1573" s="0" t="n">
        <v>1569</v>
      </c>
      <c r="B1573" s="0" t="n">
        <v>3</v>
      </c>
      <c r="C1573" s="19" t="n">
        <v>0.5364</v>
      </c>
      <c r="D1573" s="19" t="n">
        <v>0.2289</v>
      </c>
      <c r="E1573" s="20" t="n">
        <f aca="false">Parametres!$B$5*C1573</f>
        <v>160.92</v>
      </c>
      <c r="F1573" s="20" t="n">
        <f aca="false">Parametres!$B$6*D1573</f>
        <v>45.78</v>
      </c>
      <c r="G1573" s="20" t="n">
        <f aca="false">E1573+F1573</f>
        <v>206.7</v>
      </c>
      <c r="H1573" s="20" t="n">
        <f aca="false">IF(G1573&lt;Parametres!$B$8*Parametres!$B$7,0,MIN(G1573,Parametres!$B$7))</f>
        <v>206.7</v>
      </c>
      <c r="I1573" s="20" t="n">
        <f aca="false">G1573-H1573</f>
        <v>0</v>
      </c>
      <c r="J1573" s="21" t="n">
        <f aca="false">H1573*1000/Parametres!$B$9</f>
        <v>3505.17212141767</v>
      </c>
    </row>
    <row r="1574" customFormat="false" ht="15" hidden="false" customHeight="false" outlineLevel="0" collapsed="false">
      <c r="A1574" s="0" t="n">
        <v>1570</v>
      </c>
      <c r="B1574" s="0" t="n">
        <v>3</v>
      </c>
      <c r="C1574" s="19" t="n">
        <v>0.6725</v>
      </c>
      <c r="D1574" s="19" t="n">
        <v>0.2639</v>
      </c>
      <c r="E1574" s="20" t="n">
        <f aca="false">Parametres!$B$5*C1574</f>
        <v>201.75</v>
      </c>
      <c r="F1574" s="20" t="n">
        <f aca="false">Parametres!$B$6*D1574</f>
        <v>52.78</v>
      </c>
      <c r="G1574" s="20" t="n">
        <f aca="false">E1574+F1574</f>
        <v>254.53</v>
      </c>
      <c r="H1574" s="20" t="n">
        <f aca="false">IF(G1574&lt;Parametres!$B$8*Parametres!$B$7,0,MIN(G1574,Parametres!$B$7))</f>
        <v>250</v>
      </c>
      <c r="I1574" s="20" t="n">
        <f aca="false">G1574-H1574</f>
        <v>4.53</v>
      </c>
      <c r="J1574" s="21" t="n">
        <f aca="false">H1574*1000/Parametres!$B$9</f>
        <v>4239.44378497541</v>
      </c>
    </row>
    <row r="1575" customFormat="false" ht="15" hidden="false" customHeight="false" outlineLevel="0" collapsed="false">
      <c r="A1575" s="0" t="n">
        <v>1571</v>
      </c>
      <c r="B1575" s="0" t="n">
        <v>3</v>
      </c>
      <c r="C1575" s="19" t="n">
        <v>0.8764</v>
      </c>
      <c r="D1575" s="19" t="n">
        <v>0.5847</v>
      </c>
      <c r="E1575" s="20" t="n">
        <f aca="false">Parametres!$B$5*C1575</f>
        <v>262.92</v>
      </c>
      <c r="F1575" s="20" t="n">
        <f aca="false">Parametres!$B$6*D1575</f>
        <v>116.94</v>
      </c>
      <c r="G1575" s="20" t="n">
        <f aca="false">E1575+F1575</f>
        <v>379.86</v>
      </c>
      <c r="H1575" s="20" t="n">
        <f aca="false">IF(G1575&lt;Parametres!$B$8*Parametres!$B$7,0,MIN(G1575,Parametres!$B$7))</f>
        <v>250</v>
      </c>
      <c r="I1575" s="20" t="n">
        <f aca="false">G1575-H1575</f>
        <v>129.86</v>
      </c>
      <c r="J1575" s="21" t="n">
        <f aca="false">H1575*1000/Parametres!$B$9</f>
        <v>4239.44378497541</v>
      </c>
    </row>
    <row r="1576" customFormat="false" ht="15" hidden="false" customHeight="false" outlineLevel="0" collapsed="false">
      <c r="A1576" s="0" t="n">
        <v>1572</v>
      </c>
      <c r="B1576" s="0" t="n">
        <v>3</v>
      </c>
      <c r="C1576" s="19" t="n">
        <v>0.9809</v>
      </c>
      <c r="D1576" s="19" t="n">
        <v>0.8039</v>
      </c>
      <c r="E1576" s="20" t="n">
        <f aca="false">Parametres!$B$5*C1576</f>
        <v>294.27</v>
      </c>
      <c r="F1576" s="20" t="n">
        <f aca="false">Parametres!$B$6*D1576</f>
        <v>160.78</v>
      </c>
      <c r="G1576" s="20" t="n">
        <f aca="false">E1576+F1576</f>
        <v>455.05</v>
      </c>
      <c r="H1576" s="20" t="n">
        <f aca="false">IF(G1576&lt;Parametres!$B$8*Parametres!$B$7,0,MIN(G1576,Parametres!$B$7))</f>
        <v>250</v>
      </c>
      <c r="I1576" s="20" t="n">
        <f aca="false">G1576-H1576</f>
        <v>205.05</v>
      </c>
      <c r="J1576" s="21" t="n">
        <f aca="false">H1576*1000/Parametres!$B$9</f>
        <v>4239.44378497541</v>
      </c>
    </row>
    <row r="1577" customFormat="false" ht="15" hidden="false" customHeight="false" outlineLevel="0" collapsed="false">
      <c r="A1577" s="0" t="n">
        <v>1573</v>
      </c>
      <c r="B1577" s="0" t="n">
        <v>3</v>
      </c>
      <c r="C1577" s="19" t="n">
        <v>0.9656</v>
      </c>
      <c r="D1577" s="19" t="n">
        <v>0.6297</v>
      </c>
      <c r="E1577" s="20" t="n">
        <f aca="false">Parametres!$B$5*C1577</f>
        <v>289.68</v>
      </c>
      <c r="F1577" s="20" t="n">
        <f aca="false">Parametres!$B$6*D1577</f>
        <v>125.94</v>
      </c>
      <c r="G1577" s="20" t="n">
        <f aca="false">E1577+F1577</f>
        <v>415.62</v>
      </c>
      <c r="H1577" s="20" t="n">
        <f aca="false">IF(G1577&lt;Parametres!$B$8*Parametres!$B$7,0,MIN(G1577,Parametres!$B$7))</f>
        <v>250</v>
      </c>
      <c r="I1577" s="20" t="n">
        <f aca="false">G1577-H1577</f>
        <v>165.62</v>
      </c>
      <c r="J1577" s="21" t="n">
        <f aca="false">H1577*1000/Parametres!$B$9</f>
        <v>4239.44378497541</v>
      </c>
    </row>
    <row r="1578" customFormat="false" ht="15" hidden="false" customHeight="false" outlineLevel="0" collapsed="false">
      <c r="A1578" s="0" t="n">
        <v>1574</v>
      </c>
      <c r="B1578" s="0" t="n">
        <v>3</v>
      </c>
      <c r="C1578" s="19" t="n">
        <v>0.8232</v>
      </c>
      <c r="D1578" s="19" t="n">
        <v>0.7303</v>
      </c>
      <c r="E1578" s="20" t="n">
        <f aca="false">Parametres!$B$5*C1578</f>
        <v>246.96</v>
      </c>
      <c r="F1578" s="20" t="n">
        <f aca="false">Parametres!$B$6*D1578</f>
        <v>146.06</v>
      </c>
      <c r="G1578" s="20" t="n">
        <f aca="false">E1578+F1578</f>
        <v>393.02</v>
      </c>
      <c r="H1578" s="20" t="n">
        <f aca="false">IF(G1578&lt;Parametres!$B$8*Parametres!$B$7,0,MIN(G1578,Parametres!$B$7))</f>
        <v>250</v>
      </c>
      <c r="I1578" s="20" t="n">
        <f aca="false">G1578-H1578</f>
        <v>143.02</v>
      </c>
      <c r="J1578" s="21" t="n">
        <f aca="false">H1578*1000/Parametres!$B$9</f>
        <v>4239.44378497541</v>
      </c>
    </row>
    <row r="1579" customFormat="false" ht="15" hidden="false" customHeight="false" outlineLevel="0" collapsed="false">
      <c r="A1579" s="0" t="n">
        <v>1575</v>
      </c>
      <c r="B1579" s="0" t="n">
        <v>3</v>
      </c>
      <c r="C1579" s="19" t="n">
        <v>0.6701</v>
      </c>
      <c r="D1579" s="19" t="n">
        <v>1</v>
      </c>
      <c r="E1579" s="20" t="n">
        <f aca="false">Parametres!$B$5*C1579</f>
        <v>201.03</v>
      </c>
      <c r="F1579" s="20" t="n">
        <f aca="false">Parametres!$B$6*D1579</f>
        <v>200</v>
      </c>
      <c r="G1579" s="20" t="n">
        <f aca="false">E1579+F1579</f>
        <v>401.03</v>
      </c>
      <c r="H1579" s="20" t="n">
        <f aca="false">IF(G1579&lt;Parametres!$B$8*Parametres!$B$7,0,MIN(G1579,Parametres!$B$7))</f>
        <v>250</v>
      </c>
      <c r="I1579" s="20" t="n">
        <f aca="false">G1579-H1579</f>
        <v>151.03</v>
      </c>
      <c r="J1579" s="21" t="n">
        <f aca="false">H1579*1000/Parametres!$B$9</f>
        <v>4239.44378497541</v>
      </c>
    </row>
    <row r="1580" customFormat="false" ht="15" hidden="false" customHeight="false" outlineLevel="0" collapsed="false">
      <c r="A1580" s="0" t="n">
        <v>1576</v>
      </c>
      <c r="B1580" s="0" t="n">
        <v>3</v>
      </c>
      <c r="C1580" s="19" t="n">
        <v>0.5063</v>
      </c>
      <c r="D1580" s="19" t="n">
        <v>1</v>
      </c>
      <c r="E1580" s="20" t="n">
        <f aca="false">Parametres!$B$5*C1580</f>
        <v>151.89</v>
      </c>
      <c r="F1580" s="20" t="n">
        <f aca="false">Parametres!$B$6*D1580</f>
        <v>200</v>
      </c>
      <c r="G1580" s="20" t="n">
        <f aca="false">E1580+F1580</f>
        <v>351.89</v>
      </c>
      <c r="H1580" s="20" t="n">
        <f aca="false">IF(G1580&lt;Parametres!$B$8*Parametres!$B$7,0,MIN(G1580,Parametres!$B$7))</f>
        <v>250</v>
      </c>
      <c r="I1580" s="20" t="n">
        <f aca="false">G1580-H1580</f>
        <v>101.89</v>
      </c>
      <c r="J1580" s="21" t="n">
        <f aca="false">H1580*1000/Parametres!$B$9</f>
        <v>4239.44378497541</v>
      </c>
    </row>
    <row r="1581" customFormat="false" ht="15" hidden="false" customHeight="false" outlineLevel="0" collapsed="false">
      <c r="A1581" s="0" t="n">
        <v>1577</v>
      </c>
      <c r="B1581" s="0" t="n">
        <v>3</v>
      </c>
      <c r="C1581" s="19" t="n">
        <v>0.2709</v>
      </c>
      <c r="D1581" s="19" t="n">
        <v>1</v>
      </c>
      <c r="E1581" s="20" t="n">
        <f aca="false">Parametres!$B$5*C1581</f>
        <v>81.27</v>
      </c>
      <c r="F1581" s="20" t="n">
        <f aca="false">Parametres!$B$6*D1581</f>
        <v>200</v>
      </c>
      <c r="G1581" s="20" t="n">
        <f aca="false">E1581+F1581</f>
        <v>281.27</v>
      </c>
      <c r="H1581" s="20" t="n">
        <f aca="false">IF(G1581&lt;Parametres!$B$8*Parametres!$B$7,0,MIN(G1581,Parametres!$B$7))</f>
        <v>250</v>
      </c>
      <c r="I1581" s="20" t="n">
        <f aca="false">G1581-H1581</f>
        <v>31.27</v>
      </c>
      <c r="J1581" s="21" t="n">
        <f aca="false">H1581*1000/Parametres!$B$9</f>
        <v>4239.44378497541</v>
      </c>
    </row>
    <row r="1582" customFormat="false" ht="15" hidden="false" customHeight="false" outlineLevel="0" collapsed="false">
      <c r="A1582" s="0" t="n">
        <v>1578</v>
      </c>
      <c r="B1582" s="0" t="n">
        <v>3</v>
      </c>
      <c r="C1582" s="19" t="n">
        <v>0.0484</v>
      </c>
      <c r="D1582" s="19" t="n">
        <v>1</v>
      </c>
      <c r="E1582" s="20" t="n">
        <f aca="false">Parametres!$B$5*C1582</f>
        <v>14.52</v>
      </c>
      <c r="F1582" s="20" t="n">
        <f aca="false">Parametres!$B$6*D1582</f>
        <v>200</v>
      </c>
      <c r="G1582" s="20" t="n">
        <f aca="false">E1582+F1582</f>
        <v>214.52</v>
      </c>
      <c r="H1582" s="20" t="n">
        <f aca="false">IF(G1582&lt;Parametres!$B$8*Parametres!$B$7,0,MIN(G1582,Parametres!$B$7))</f>
        <v>214.52</v>
      </c>
      <c r="I1582" s="20" t="n">
        <f aca="false">G1582-H1582</f>
        <v>0</v>
      </c>
      <c r="J1582" s="21" t="n">
        <f aca="false">H1582*1000/Parametres!$B$9</f>
        <v>3637.7819230117</v>
      </c>
    </row>
    <row r="1583" customFormat="false" ht="15" hidden="false" customHeight="false" outlineLevel="0" collapsed="false">
      <c r="A1583" s="0" t="n">
        <v>1579</v>
      </c>
      <c r="B1583" s="0" t="n">
        <v>3</v>
      </c>
      <c r="C1583" s="19" t="n">
        <v>0</v>
      </c>
      <c r="D1583" s="19" t="n">
        <v>1</v>
      </c>
      <c r="E1583" s="20" t="n">
        <f aca="false">Parametres!$B$5*C1583</f>
        <v>0</v>
      </c>
      <c r="F1583" s="20" t="n">
        <f aca="false">Parametres!$B$6*D1583</f>
        <v>200</v>
      </c>
      <c r="G1583" s="20" t="n">
        <f aca="false">E1583+F1583</f>
        <v>200</v>
      </c>
      <c r="H1583" s="20" t="n">
        <f aca="false">IF(G1583&lt;Parametres!$B$8*Parametres!$B$7,0,MIN(G1583,Parametres!$B$7))</f>
        <v>200</v>
      </c>
      <c r="I1583" s="20" t="n">
        <f aca="false">G1583-H1583</f>
        <v>0</v>
      </c>
      <c r="J1583" s="21" t="n">
        <f aca="false">H1583*1000/Parametres!$B$9</f>
        <v>3391.55502798033</v>
      </c>
    </row>
    <row r="1584" customFormat="false" ht="15" hidden="false" customHeight="false" outlineLevel="0" collapsed="false">
      <c r="A1584" s="0" t="n">
        <v>1580</v>
      </c>
      <c r="B1584" s="0" t="n">
        <v>3</v>
      </c>
      <c r="C1584" s="19" t="n">
        <v>0</v>
      </c>
      <c r="D1584" s="19" t="n">
        <v>1</v>
      </c>
      <c r="E1584" s="20" t="n">
        <f aca="false">Parametres!$B$5*C1584</f>
        <v>0</v>
      </c>
      <c r="F1584" s="20" t="n">
        <f aca="false">Parametres!$B$6*D1584</f>
        <v>200</v>
      </c>
      <c r="G1584" s="20" t="n">
        <f aca="false">E1584+F1584</f>
        <v>200</v>
      </c>
      <c r="H1584" s="20" t="n">
        <f aca="false">IF(G1584&lt;Parametres!$B$8*Parametres!$B$7,0,MIN(G1584,Parametres!$B$7))</f>
        <v>200</v>
      </c>
      <c r="I1584" s="20" t="n">
        <f aca="false">G1584-H1584</f>
        <v>0</v>
      </c>
      <c r="J1584" s="21" t="n">
        <f aca="false">H1584*1000/Parametres!$B$9</f>
        <v>3391.55502798033</v>
      </c>
    </row>
    <row r="1585" customFormat="false" ht="15" hidden="false" customHeight="false" outlineLevel="0" collapsed="false">
      <c r="A1585" s="0" t="n">
        <v>1581</v>
      </c>
      <c r="B1585" s="0" t="n">
        <v>3</v>
      </c>
      <c r="C1585" s="19" t="n">
        <v>0</v>
      </c>
      <c r="D1585" s="19" t="n">
        <v>1</v>
      </c>
      <c r="E1585" s="20" t="n">
        <f aca="false">Parametres!$B$5*C1585</f>
        <v>0</v>
      </c>
      <c r="F1585" s="20" t="n">
        <f aca="false">Parametres!$B$6*D1585</f>
        <v>200</v>
      </c>
      <c r="G1585" s="20" t="n">
        <f aca="false">E1585+F1585</f>
        <v>200</v>
      </c>
      <c r="H1585" s="20" t="n">
        <f aca="false">IF(G1585&lt;Parametres!$B$8*Parametres!$B$7,0,MIN(G1585,Parametres!$B$7))</f>
        <v>200</v>
      </c>
      <c r="I1585" s="20" t="n">
        <f aca="false">G1585-H1585</f>
        <v>0</v>
      </c>
      <c r="J1585" s="21" t="n">
        <f aca="false">H1585*1000/Parametres!$B$9</f>
        <v>3391.55502798033</v>
      </c>
    </row>
    <row r="1586" customFormat="false" ht="15" hidden="false" customHeight="false" outlineLevel="0" collapsed="false">
      <c r="A1586" s="0" t="n">
        <v>1582</v>
      </c>
      <c r="B1586" s="0" t="n">
        <v>3</v>
      </c>
      <c r="C1586" s="19" t="n">
        <v>0</v>
      </c>
      <c r="D1586" s="19" t="n">
        <v>1</v>
      </c>
      <c r="E1586" s="20" t="n">
        <f aca="false">Parametres!$B$5*C1586</f>
        <v>0</v>
      </c>
      <c r="F1586" s="20" t="n">
        <f aca="false">Parametres!$B$6*D1586</f>
        <v>200</v>
      </c>
      <c r="G1586" s="20" t="n">
        <f aca="false">E1586+F1586</f>
        <v>200</v>
      </c>
      <c r="H1586" s="20" t="n">
        <f aca="false">IF(G1586&lt;Parametres!$B$8*Parametres!$B$7,0,MIN(G1586,Parametres!$B$7))</f>
        <v>200</v>
      </c>
      <c r="I1586" s="20" t="n">
        <f aca="false">G1586-H1586</f>
        <v>0</v>
      </c>
      <c r="J1586" s="21" t="n">
        <f aca="false">H1586*1000/Parametres!$B$9</f>
        <v>3391.55502798033</v>
      </c>
    </row>
    <row r="1587" customFormat="false" ht="15" hidden="false" customHeight="false" outlineLevel="0" collapsed="false">
      <c r="A1587" s="0" t="n">
        <v>1583</v>
      </c>
      <c r="B1587" s="0" t="n">
        <v>3</v>
      </c>
      <c r="C1587" s="19" t="n">
        <v>0</v>
      </c>
      <c r="D1587" s="19" t="n">
        <v>1</v>
      </c>
      <c r="E1587" s="20" t="n">
        <f aca="false">Parametres!$B$5*C1587</f>
        <v>0</v>
      </c>
      <c r="F1587" s="20" t="n">
        <f aca="false">Parametres!$B$6*D1587</f>
        <v>200</v>
      </c>
      <c r="G1587" s="20" t="n">
        <f aca="false">E1587+F1587</f>
        <v>200</v>
      </c>
      <c r="H1587" s="20" t="n">
        <f aca="false">IF(G1587&lt;Parametres!$B$8*Parametres!$B$7,0,MIN(G1587,Parametres!$B$7))</f>
        <v>200</v>
      </c>
      <c r="I1587" s="20" t="n">
        <f aca="false">G1587-H1587</f>
        <v>0</v>
      </c>
      <c r="J1587" s="21" t="n">
        <f aca="false">H1587*1000/Parametres!$B$9</f>
        <v>3391.55502798033</v>
      </c>
    </row>
    <row r="1588" customFormat="false" ht="15" hidden="false" customHeight="false" outlineLevel="0" collapsed="false">
      <c r="A1588" s="0" t="n">
        <v>1584</v>
      </c>
      <c r="B1588" s="0" t="n">
        <v>3</v>
      </c>
      <c r="C1588" s="19" t="n">
        <v>0</v>
      </c>
      <c r="D1588" s="19" t="n">
        <v>0.6532</v>
      </c>
      <c r="E1588" s="20" t="n">
        <f aca="false">Parametres!$B$5*C1588</f>
        <v>0</v>
      </c>
      <c r="F1588" s="20" t="n">
        <f aca="false">Parametres!$B$6*D1588</f>
        <v>130.64</v>
      </c>
      <c r="G1588" s="20" t="n">
        <f aca="false">E1588+F1588</f>
        <v>130.64</v>
      </c>
      <c r="H1588" s="20" t="n">
        <f aca="false">IF(G1588&lt;Parametres!$B$8*Parametres!$B$7,0,MIN(G1588,Parametres!$B$7))</f>
        <v>130.64</v>
      </c>
      <c r="I1588" s="20" t="n">
        <f aca="false">G1588-H1588</f>
        <v>0</v>
      </c>
      <c r="J1588" s="21" t="n">
        <f aca="false">H1588*1000/Parametres!$B$9</f>
        <v>2215.36374427675</v>
      </c>
    </row>
    <row r="1589" customFormat="false" ht="15" hidden="false" customHeight="false" outlineLevel="0" collapsed="false">
      <c r="A1589" s="0" t="n">
        <v>1585</v>
      </c>
      <c r="B1589" s="0" t="n">
        <v>3</v>
      </c>
      <c r="C1589" s="19" t="n">
        <v>0</v>
      </c>
      <c r="D1589" s="19" t="n">
        <v>0.8646</v>
      </c>
      <c r="E1589" s="20" t="n">
        <f aca="false">Parametres!$B$5*C1589</f>
        <v>0</v>
      </c>
      <c r="F1589" s="20" t="n">
        <f aca="false">Parametres!$B$6*D1589</f>
        <v>172.92</v>
      </c>
      <c r="G1589" s="20" t="n">
        <f aca="false">E1589+F1589</f>
        <v>172.92</v>
      </c>
      <c r="H1589" s="20" t="n">
        <f aca="false">IF(G1589&lt;Parametres!$B$8*Parametres!$B$7,0,MIN(G1589,Parametres!$B$7))</f>
        <v>172.92</v>
      </c>
      <c r="I1589" s="20" t="n">
        <f aca="false">G1589-H1589</f>
        <v>0</v>
      </c>
      <c r="J1589" s="21" t="n">
        <f aca="false">H1589*1000/Parametres!$B$9</f>
        <v>2932.33847719179</v>
      </c>
    </row>
    <row r="1590" customFormat="false" ht="15" hidden="false" customHeight="false" outlineLevel="0" collapsed="false">
      <c r="A1590" s="0" t="n">
        <v>1586</v>
      </c>
      <c r="B1590" s="0" t="n">
        <v>3</v>
      </c>
      <c r="C1590" s="19" t="n">
        <v>0</v>
      </c>
      <c r="D1590" s="19" t="n">
        <v>0.7313</v>
      </c>
      <c r="E1590" s="20" t="n">
        <f aca="false">Parametres!$B$5*C1590</f>
        <v>0</v>
      </c>
      <c r="F1590" s="20" t="n">
        <f aca="false">Parametres!$B$6*D1590</f>
        <v>146.26</v>
      </c>
      <c r="G1590" s="20" t="n">
        <f aca="false">E1590+F1590</f>
        <v>146.26</v>
      </c>
      <c r="H1590" s="20" t="n">
        <f aca="false">IF(G1590&lt;Parametres!$B$8*Parametres!$B$7,0,MIN(G1590,Parametres!$B$7))</f>
        <v>146.26</v>
      </c>
      <c r="I1590" s="20" t="n">
        <f aca="false">G1590-H1590</f>
        <v>0</v>
      </c>
      <c r="J1590" s="21" t="n">
        <f aca="false">H1590*1000/Parametres!$B$9</f>
        <v>2480.24419196201</v>
      </c>
    </row>
    <row r="1591" customFormat="false" ht="15" hidden="false" customHeight="false" outlineLevel="0" collapsed="false">
      <c r="A1591" s="0" t="n">
        <v>1587</v>
      </c>
      <c r="B1591" s="0" t="n">
        <v>3</v>
      </c>
      <c r="C1591" s="19" t="n">
        <v>0</v>
      </c>
      <c r="D1591" s="19" t="n">
        <v>0.7648</v>
      </c>
      <c r="E1591" s="20" t="n">
        <f aca="false">Parametres!$B$5*C1591</f>
        <v>0</v>
      </c>
      <c r="F1591" s="20" t="n">
        <f aca="false">Parametres!$B$6*D1591</f>
        <v>152.96</v>
      </c>
      <c r="G1591" s="20" t="n">
        <f aca="false">E1591+F1591</f>
        <v>152.96</v>
      </c>
      <c r="H1591" s="20" t="n">
        <f aca="false">IF(G1591&lt;Parametres!$B$8*Parametres!$B$7,0,MIN(G1591,Parametres!$B$7))</f>
        <v>152.96</v>
      </c>
      <c r="I1591" s="20" t="n">
        <f aca="false">G1591-H1591</f>
        <v>0</v>
      </c>
      <c r="J1591" s="21" t="n">
        <f aca="false">H1591*1000/Parametres!$B$9</f>
        <v>2593.86128539936</v>
      </c>
    </row>
    <row r="1592" customFormat="false" ht="15" hidden="false" customHeight="false" outlineLevel="0" collapsed="false">
      <c r="A1592" s="0" t="n">
        <v>1588</v>
      </c>
      <c r="B1592" s="0" t="n">
        <v>3</v>
      </c>
      <c r="C1592" s="19" t="n">
        <v>0</v>
      </c>
      <c r="D1592" s="19" t="n">
        <v>0.4598</v>
      </c>
      <c r="E1592" s="20" t="n">
        <f aca="false">Parametres!$B$5*C1592</f>
        <v>0</v>
      </c>
      <c r="F1592" s="20" t="n">
        <f aca="false">Parametres!$B$6*D1592</f>
        <v>91.96</v>
      </c>
      <c r="G1592" s="20" t="n">
        <f aca="false">E1592+F1592</f>
        <v>91.96</v>
      </c>
      <c r="H1592" s="20" t="n">
        <f aca="false">IF(G1592&lt;Parametres!$B$8*Parametres!$B$7,0,MIN(G1592,Parametres!$B$7))</f>
        <v>91.96</v>
      </c>
      <c r="I1592" s="20" t="n">
        <f aca="false">G1592-H1592</f>
        <v>0</v>
      </c>
      <c r="J1592" s="21" t="n">
        <f aca="false">H1592*1000/Parametres!$B$9</f>
        <v>1559.43700186536</v>
      </c>
    </row>
    <row r="1593" customFormat="false" ht="15" hidden="false" customHeight="false" outlineLevel="0" collapsed="false">
      <c r="A1593" s="0" t="n">
        <v>1589</v>
      </c>
      <c r="B1593" s="0" t="n">
        <v>3</v>
      </c>
      <c r="C1593" s="19" t="n">
        <v>0</v>
      </c>
      <c r="D1593" s="19" t="n">
        <v>0.2883</v>
      </c>
      <c r="E1593" s="20" t="n">
        <f aca="false">Parametres!$B$5*C1593</f>
        <v>0</v>
      </c>
      <c r="F1593" s="20" t="n">
        <f aca="false">Parametres!$B$6*D1593</f>
        <v>57.66</v>
      </c>
      <c r="G1593" s="20" t="n">
        <f aca="false">E1593+F1593</f>
        <v>57.66</v>
      </c>
      <c r="H1593" s="20" t="n">
        <f aca="false">IF(G1593&lt;Parametres!$B$8*Parametres!$B$7,0,MIN(G1593,Parametres!$B$7))</f>
        <v>57.66</v>
      </c>
      <c r="I1593" s="20" t="n">
        <f aca="false">G1593-H1593</f>
        <v>0</v>
      </c>
      <c r="J1593" s="21" t="n">
        <f aca="false">H1593*1000/Parametres!$B$9</f>
        <v>977.785314566729</v>
      </c>
    </row>
    <row r="1594" customFormat="false" ht="15" hidden="false" customHeight="false" outlineLevel="0" collapsed="false">
      <c r="A1594" s="0" t="n">
        <v>1590</v>
      </c>
      <c r="B1594" s="0" t="n">
        <v>3</v>
      </c>
      <c r="C1594" s="19" t="n">
        <v>0</v>
      </c>
      <c r="D1594" s="19" t="n">
        <v>0.5171</v>
      </c>
      <c r="E1594" s="20" t="n">
        <f aca="false">Parametres!$B$5*C1594</f>
        <v>0</v>
      </c>
      <c r="F1594" s="20" t="n">
        <f aca="false">Parametres!$B$6*D1594</f>
        <v>103.42</v>
      </c>
      <c r="G1594" s="20" t="n">
        <f aca="false">E1594+F1594</f>
        <v>103.42</v>
      </c>
      <c r="H1594" s="20" t="n">
        <f aca="false">IF(G1594&lt;Parametres!$B$8*Parametres!$B$7,0,MIN(G1594,Parametres!$B$7))</f>
        <v>103.42</v>
      </c>
      <c r="I1594" s="20" t="n">
        <f aca="false">G1594-H1594</f>
        <v>0</v>
      </c>
      <c r="J1594" s="21" t="n">
        <f aca="false">H1594*1000/Parametres!$B$9</f>
        <v>1753.77310496863</v>
      </c>
    </row>
    <row r="1595" customFormat="false" ht="15" hidden="false" customHeight="false" outlineLevel="0" collapsed="false">
      <c r="A1595" s="0" t="n">
        <v>1591</v>
      </c>
      <c r="B1595" s="0" t="n">
        <v>3</v>
      </c>
      <c r="C1595" s="19" t="n">
        <v>0.0584</v>
      </c>
      <c r="D1595" s="19" t="n">
        <v>0.484</v>
      </c>
      <c r="E1595" s="20" t="n">
        <f aca="false">Parametres!$B$5*C1595</f>
        <v>17.52</v>
      </c>
      <c r="F1595" s="20" t="n">
        <f aca="false">Parametres!$B$6*D1595</f>
        <v>96.8</v>
      </c>
      <c r="G1595" s="20" t="n">
        <f aca="false">E1595+F1595</f>
        <v>114.32</v>
      </c>
      <c r="H1595" s="20" t="n">
        <f aca="false">IF(G1595&lt;Parametres!$B$8*Parametres!$B$7,0,MIN(G1595,Parametres!$B$7))</f>
        <v>114.32</v>
      </c>
      <c r="I1595" s="20" t="n">
        <f aca="false">G1595-H1595</f>
        <v>0</v>
      </c>
      <c r="J1595" s="21" t="n">
        <f aca="false">H1595*1000/Parametres!$B$9</f>
        <v>1938.61285399356</v>
      </c>
    </row>
    <row r="1596" customFormat="false" ht="15" hidden="false" customHeight="false" outlineLevel="0" collapsed="false">
      <c r="A1596" s="0" t="n">
        <v>1592</v>
      </c>
      <c r="B1596" s="0" t="n">
        <v>3</v>
      </c>
      <c r="C1596" s="19" t="n">
        <v>0.3341</v>
      </c>
      <c r="D1596" s="19" t="n">
        <v>0.4387</v>
      </c>
      <c r="E1596" s="20" t="n">
        <f aca="false">Parametres!$B$5*C1596</f>
        <v>100.23</v>
      </c>
      <c r="F1596" s="20" t="n">
        <f aca="false">Parametres!$B$6*D1596</f>
        <v>87.74</v>
      </c>
      <c r="G1596" s="20" t="n">
        <f aca="false">E1596+F1596</f>
        <v>187.97</v>
      </c>
      <c r="H1596" s="20" t="n">
        <f aca="false">IF(G1596&lt;Parametres!$B$8*Parametres!$B$7,0,MIN(G1596,Parametres!$B$7))</f>
        <v>187.97</v>
      </c>
      <c r="I1596" s="20" t="n">
        <f aca="false">G1596-H1596</f>
        <v>0</v>
      </c>
      <c r="J1596" s="21" t="n">
        <f aca="false">H1596*1000/Parametres!$B$9</f>
        <v>3187.55299304731</v>
      </c>
    </row>
    <row r="1597" customFormat="false" ht="15" hidden="false" customHeight="false" outlineLevel="0" collapsed="false">
      <c r="A1597" s="0" t="n">
        <v>1593</v>
      </c>
      <c r="B1597" s="0" t="n">
        <v>3</v>
      </c>
      <c r="C1597" s="19" t="n">
        <v>0.5694</v>
      </c>
      <c r="D1597" s="19" t="n">
        <v>0.566</v>
      </c>
      <c r="E1597" s="20" t="n">
        <f aca="false">Parametres!$B$5*C1597</f>
        <v>170.82</v>
      </c>
      <c r="F1597" s="20" t="n">
        <f aca="false">Parametres!$B$6*D1597</f>
        <v>113.2</v>
      </c>
      <c r="G1597" s="20" t="n">
        <f aca="false">E1597+F1597</f>
        <v>284.02</v>
      </c>
      <c r="H1597" s="20" t="n">
        <f aca="false">IF(G1597&lt;Parametres!$B$8*Parametres!$B$7,0,MIN(G1597,Parametres!$B$7))</f>
        <v>250</v>
      </c>
      <c r="I1597" s="20" t="n">
        <f aca="false">G1597-H1597</f>
        <v>34.02</v>
      </c>
      <c r="J1597" s="21" t="n">
        <f aca="false">H1597*1000/Parametres!$B$9</f>
        <v>4239.44378497541</v>
      </c>
    </row>
    <row r="1598" customFormat="false" ht="15" hidden="false" customHeight="false" outlineLevel="0" collapsed="false">
      <c r="A1598" s="0" t="n">
        <v>1594</v>
      </c>
      <c r="B1598" s="0" t="n">
        <v>3</v>
      </c>
      <c r="C1598" s="19" t="n">
        <v>0.8111</v>
      </c>
      <c r="D1598" s="19" t="n">
        <v>0.7415</v>
      </c>
      <c r="E1598" s="20" t="n">
        <f aca="false">Parametres!$B$5*C1598</f>
        <v>243.33</v>
      </c>
      <c r="F1598" s="20" t="n">
        <f aca="false">Parametres!$B$6*D1598</f>
        <v>148.3</v>
      </c>
      <c r="G1598" s="20" t="n">
        <f aca="false">E1598+F1598</f>
        <v>391.63</v>
      </c>
      <c r="H1598" s="20" t="n">
        <f aca="false">IF(G1598&lt;Parametres!$B$8*Parametres!$B$7,0,MIN(G1598,Parametres!$B$7))</f>
        <v>250</v>
      </c>
      <c r="I1598" s="20" t="n">
        <f aca="false">G1598-H1598</f>
        <v>141.63</v>
      </c>
      <c r="J1598" s="21" t="n">
        <f aca="false">H1598*1000/Parametres!$B$9</f>
        <v>4239.44378497541</v>
      </c>
    </row>
    <row r="1599" customFormat="false" ht="15" hidden="false" customHeight="false" outlineLevel="0" collapsed="false">
      <c r="A1599" s="0" t="n">
        <v>1595</v>
      </c>
      <c r="B1599" s="0" t="n">
        <v>3</v>
      </c>
      <c r="C1599" s="19" t="n">
        <v>0.9105</v>
      </c>
      <c r="D1599" s="19" t="n">
        <v>0.4513</v>
      </c>
      <c r="E1599" s="20" t="n">
        <f aca="false">Parametres!$B$5*C1599</f>
        <v>273.15</v>
      </c>
      <c r="F1599" s="20" t="n">
        <f aca="false">Parametres!$B$6*D1599</f>
        <v>90.26</v>
      </c>
      <c r="G1599" s="20" t="n">
        <f aca="false">E1599+F1599</f>
        <v>363.41</v>
      </c>
      <c r="H1599" s="20" t="n">
        <f aca="false">IF(G1599&lt;Parametres!$B$8*Parametres!$B$7,0,MIN(G1599,Parametres!$B$7))</f>
        <v>250</v>
      </c>
      <c r="I1599" s="20" t="n">
        <f aca="false">G1599-H1599</f>
        <v>113.41</v>
      </c>
      <c r="J1599" s="21" t="n">
        <f aca="false">H1599*1000/Parametres!$B$9</f>
        <v>4239.44378497541</v>
      </c>
    </row>
    <row r="1600" customFormat="false" ht="15" hidden="false" customHeight="false" outlineLevel="0" collapsed="false">
      <c r="A1600" s="0" t="n">
        <v>1596</v>
      </c>
      <c r="B1600" s="0" t="n">
        <v>3</v>
      </c>
      <c r="C1600" s="19" t="n">
        <v>1</v>
      </c>
      <c r="D1600" s="19" t="n">
        <v>0.3613</v>
      </c>
      <c r="E1600" s="20" t="n">
        <f aca="false">Parametres!$B$5*C1600</f>
        <v>300</v>
      </c>
      <c r="F1600" s="20" t="n">
        <f aca="false">Parametres!$B$6*D1600</f>
        <v>72.26</v>
      </c>
      <c r="G1600" s="20" t="n">
        <f aca="false">E1600+F1600</f>
        <v>372.26</v>
      </c>
      <c r="H1600" s="20" t="n">
        <f aca="false">IF(G1600&lt;Parametres!$B$8*Parametres!$B$7,0,MIN(G1600,Parametres!$B$7))</f>
        <v>250</v>
      </c>
      <c r="I1600" s="20" t="n">
        <f aca="false">G1600-H1600</f>
        <v>122.26</v>
      </c>
      <c r="J1600" s="21" t="n">
        <f aca="false">H1600*1000/Parametres!$B$9</f>
        <v>4239.44378497541</v>
      </c>
    </row>
    <row r="1601" customFormat="false" ht="15" hidden="false" customHeight="false" outlineLevel="0" collapsed="false">
      <c r="A1601" s="0" t="n">
        <v>1597</v>
      </c>
      <c r="B1601" s="0" t="n">
        <v>3</v>
      </c>
      <c r="C1601" s="19" t="n">
        <v>1</v>
      </c>
      <c r="D1601" s="19" t="n">
        <v>0.4117</v>
      </c>
      <c r="E1601" s="20" t="n">
        <f aca="false">Parametres!$B$5*C1601</f>
        <v>300</v>
      </c>
      <c r="F1601" s="20" t="n">
        <f aca="false">Parametres!$B$6*D1601</f>
        <v>82.34</v>
      </c>
      <c r="G1601" s="20" t="n">
        <f aca="false">E1601+F1601</f>
        <v>382.34</v>
      </c>
      <c r="H1601" s="20" t="n">
        <f aca="false">IF(G1601&lt;Parametres!$B$8*Parametres!$B$7,0,MIN(G1601,Parametres!$B$7))</f>
        <v>250</v>
      </c>
      <c r="I1601" s="20" t="n">
        <f aca="false">G1601-H1601</f>
        <v>132.34</v>
      </c>
      <c r="J1601" s="21" t="n">
        <f aca="false">H1601*1000/Parametres!$B$9</f>
        <v>4239.44378497541</v>
      </c>
    </row>
    <row r="1602" customFormat="false" ht="15" hidden="false" customHeight="false" outlineLevel="0" collapsed="false">
      <c r="A1602" s="0" t="n">
        <v>1598</v>
      </c>
      <c r="B1602" s="0" t="n">
        <v>3</v>
      </c>
      <c r="C1602" s="19" t="n">
        <v>0.947</v>
      </c>
      <c r="D1602" s="19" t="n">
        <v>0.4518</v>
      </c>
      <c r="E1602" s="20" t="n">
        <f aca="false">Parametres!$B$5*C1602</f>
        <v>284.1</v>
      </c>
      <c r="F1602" s="20" t="n">
        <f aca="false">Parametres!$B$6*D1602</f>
        <v>90.36</v>
      </c>
      <c r="G1602" s="20" t="n">
        <f aca="false">E1602+F1602</f>
        <v>374.46</v>
      </c>
      <c r="H1602" s="20" t="n">
        <f aca="false">IF(G1602&lt;Parametres!$B$8*Parametres!$B$7,0,MIN(G1602,Parametres!$B$7))</f>
        <v>250</v>
      </c>
      <c r="I1602" s="20" t="n">
        <f aca="false">G1602-H1602</f>
        <v>124.46</v>
      </c>
      <c r="J1602" s="21" t="n">
        <f aca="false">H1602*1000/Parametres!$B$9</f>
        <v>4239.44378497541</v>
      </c>
    </row>
    <row r="1603" customFormat="false" ht="15" hidden="false" customHeight="false" outlineLevel="0" collapsed="false">
      <c r="A1603" s="0" t="n">
        <v>1599</v>
      </c>
      <c r="B1603" s="0" t="n">
        <v>3</v>
      </c>
      <c r="C1603" s="19" t="n">
        <v>0.767</v>
      </c>
      <c r="D1603" s="19" t="n">
        <v>0.5455</v>
      </c>
      <c r="E1603" s="20" t="n">
        <f aca="false">Parametres!$B$5*C1603</f>
        <v>230.1</v>
      </c>
      <c r="F1603" s="20" t="n">
        <f aca="false">Parametres!$B$6*D1603</f>
        <v>109.1</v>
      </c>
      <c r="G1603" s="20" t="n">
        <f aca="false">E1603+F1603</f>
        <v>339.2</v>
      </c>
      <c r="H1603" s="20" t="n">
        <f aca="false">IF(G1603&lt;Parametres!$B$8*Parametres!$B$7,0,MIN(G1603,Parametres!$B$7))</f>
        <v>250</v>
      </c>
      <c r="I1603" s="20" t="n">
        <f aca="false">G1603-H1603</f>
        <v>89.2</v>
      </c>
      <c r="J1603" s="21" t="n">
        <f aca="false">H1603*1000/Parametres!$B$9</f>
        <v>4239.44378497541</v>
      </c>
    </row>
    <row r="1604" customFormat="false" ht="15" hidden="false" customHeight="false" outlineLevel="0" collapsed="false">
      <c r="A1604" s="0" t="n">
        <v>1600</v>
      </c>
      <c r="B1604" s="0" t="n">
        <v>3</v>
      </c>
      <c r="C1604" s="19" t="n">
        <v>0.5698</v>
      </c>
      <c r="D1604" s="19" t="n">
        <v>0.4863</v>
      </c>
      <c r="E1604" s="20" t="n">
        <f aca="false">Parametres!$B$5*C1604</f>
        <v>170.94</v>
      </c>
      <c r="F1604" s="20" t="n">
        <f aca="false">Parametres!$B$6*D1604</f>
        <v>97.26</v>
      </c>
      <c r="G1604" s="20" t="n">
        <f aca="false">E1604+F1604</f>
        <v>268.2</v>
      </c>
      <c r="H1604" s="20" t="n">
        <f aca="false">IF(G1604&lt;Parametres!$B$8*Parametres!$B$7,0,MIN(G1604,Parametres!$B$7))</f>
        <v>250</v>
      </c>
      <c r="I1604" s="20" t="n">
        <f aca="false">G1604-H1604</f>
        <v>18.2</v>
      </c>
      <c r="J1604" s="21" t="n">
        <f aca="false">H1604*1000/Parametres!$B$9</f>
        <v>4239.44378497541</v>
      </c>
    </row>
    <row r="1605" customFormat="false" ht="15" hidden="false" customHeight="false" outlineLevel="0" collapsed="false">
      <c r="A1605" s="0" t="n">
        <v>1601</v>
      </c>
      <c r="B1605" s="0" t="n">
        <v>3</v>
      </c>
      <c r="C1605" s="19" t="n">
        <v>0.3065</v>
      </c>
      <c r="D1605" s="19" t="n">
        <v>0.4427</v>
      </c>
      <c r="E1605" s="20" t="n">
        <f aca="false">Parametres!$B$5*C1605</f>
        <v>91.95</v>
      </c>
      <c r="F1605" s="20" t="n">
        <f aca="false">Parametres!$B$6*D1605</f>
        <v>88.54</v>
      </c>
      <c r="G1605" s="20" t="n">
        <f aca="false">E1605+F1605</f>
        <v>180.49</v>
      </c>
      <c r="H1605" s="20" t="n">
        <f aca="false">IF(G1605&lt;Parametres!$B$8*Parametres!$B$7,0,MIN(G1605,Parametres!$B$7))</f>
        <v>180.49</v>
      </c>
      <c r="I1605" s="20" t="n">
        <f aca="false">G1605-H1605</f>
        <v>0</v>
      </c>
      <c r="J1605" s="21" t="n">
        <f aca="false">H1605*1000/Parametres!$B$9</f>
        <v>3060.70883500085</v>
      </c>
    </row>
    <row r="1606" customFormat="false" ht="15" hidden="false" customHeight="false" outlineLevel="0" collapsed="false">
      <c r="A1606" s="0" t="n">
        <v>1602</v>
      </c>
      <c r="B1606" s="0" t="n">
        <v>3</v>
      </c>
      <c r="C1606" s="19" t="n">
        <v>0.056</v>
      </c>
      <c r="D1606" s="19" t="n">
        <v>0.4681</v>
      </c>
      <c r="E1606" s="20" t="n">
        <f aca="false">Parametres!$B$5*C1606</f>
        <v>16.8</v>
      </c>
      <c r="F1606" s="20" t="n">
        <f aca="false">Parametres!$B$6*D1606</f>
        <v>93.62</v>
      </c>
      <c r="G1606" s="20" t="n">
        <f aca="false">E1606+F1606</f>
        <v>110.42</v>
      </c>
      <c r="H1606" s="20" t="n">
        <f aca="false">IF(G1606&lt;Parametres!$B$8*Parametres!$B$7,0,MIN(G1606,Parametres!$B$7))</f>
        <v>110.42</v>
      </c>
      <c r="I1606" s="20" t="n">
        <f aca="false">G1606-H1606</f>
        <v>0</v>
      </c>
      <c r="J1606" s="21" t="n">
        <f aca="false">H1606*1000/Parametres!$B$9</f>
        <v>1872.47753094794</v>
      </c>
    </row>
    <row r="1607" customFormat="false" ht="15" hidden="false" customHeight="false" outlineLevel="0" collapsed="false">
      <c r="A1607" s="0" t="n">
        <v>1603</v>
      </c>
      <c r="B1607" s="0" t="n">
        <v>3</v>
      </c>
      <c r="C1607" s="19" t="n">
        <v>0</v>
      </c>
      <c r="D1607" s="19" t="n">
        <v>0.3424</v>
      </c>
      <c r="E1607" s="20" t="n">
        <f aca="false">Parametres!$B$5*C1607</f>
        <v>0</v>
      </c>
      <c r="F1607" s="20" t="n">
        <f aca="false">Parametres!$B$6*D1607</f>
        <v>68.48</v>
      </c>
      <c r="G1607" s="20" t="n">
        <f aca="false">E1607+F1607</f>
        <v>68.48</v>
      </c>
      <c r="H1607" s="20" t="n">
        <f aca="false">IF(G1607&lt;Parametres!$B$8*Parametres!$B$7,0,MIN(G1607,Parametres!$B$7))</f>
        <v>68.48</v>
      </c>
      <c r="I1607" s="20" t="n">
        <f aca="false">G1607-H1607</f>
        <v>0</v>
      </c>
      <c r="J1607" s="21" t="n">
        <f aca="false">H1607*1000/Parametres!$B$9</f>
        <v>1161.26844158046</v>
      </c>
    </row>
    <row r="1608" customFormat="false" ht="15" hidden="false" customHeight="false" outlineLevel="0" collapsed="false">
      <c r="A1608" s="0" t="n">
        <v>1604</v>
      </c>
      <c r="B1608" s="0" t="n">
        <v>3</v>
      </c>
      <c r="C1608" s="19" t="n">
        <v>0</v>
      </c>
      <c r="D1608" s="19" t="n">
        <v>0.224</v>
      </c>
      <c r="E1608" s="20" t="n">
        <f aca="false">Parametres!$B$5*C1608</f>
        <v>0</v>
      </c>
      <c r="F1608" s="20" t="n">
        <f aca="false">Parametres!$B$6*D1608</f>
        <v>44.8</v>
      </c>
      <c r="G1608" s="20" t="n">
        <f aca="false">E1608+F1608</f>
        <v>44.8</v>
      </c>
      <c r="H1608" s="20" t="n">
        <f aca="false">IF(G1608&lt;Parametres!$B$8*Parametres!$B$7,0,MIN(G1608,Parametres!$B$7))</f>
        <v>44.8</v>
      </c>
      <c r="I1608" s="20" t="n">
        <f aca="false">G1608-H1608</f>
        <v>0</v>
      </c>
      <c r="J1608" s="21" t="n">
        <f aca="false">H1608*1000/Parametres!$B$9</f>
        <v>759.708326267594</v>
      </c>
    </row>
    <row r="1609" customFormat="false" ht="15" hidden="false" customHeight="false" outlineLevel="0" collapsed="false">
      <c r="A1609" s="0" t="n">
        <v>1605</v>
      </c>
      <c r="B1609" s="0" t="n">
        <v>3</v>
      </c>
      <c r="C1609" s="19" t="n">
        <v>0</v>
      </c>
      <c r="D1609" s="19" t="n">
        <v>0.1573</v>
      </c>
      <c r="E1609" s="20" t="n">
        <f aca="false">Parametres!$B$5*C1609</f>
        <v>0</v>
      </c>
      <c r="F1609" s="20" t="n">
        <f aca="false">Parametres!$B$6*D1609</f>
        <v>31.46</v>
      </c>
      <c r="G1609" s="20" t="n">
        <f aca="false">E1609+F1609</f>
        <v>31.46</v>
      </c>
      <c r="H1609" s="20" t="n">
        <f aca="false">IF(G1609&lt;Parametres!$B$8*Parametres!$B$7,0,MIN(G1609,Parametres!$B$7))</f>
        <v>31.46</v>
      </c>
      <c r="I1609" s="20" t="n">
        <f aca="false">G1609-H1609</f>
        <v>0</v>
      </c>
      <c r="J1609" s="21" t="n">
        <f aca="false">H1609*1000/Parametres!$B$9</f>
        <v>533.491605901306</v>
      </c>
    </row>
    <row r="1610" customFormat="false" ht="15" hidden="false" customHeight="false" outlineLevel="0" collapsed="false">
      <c r="A1610" s="0" t="n">
        <v>1606</v>
      </c>
      <c r="B1610" s="0" t="n">
        <v>3</v>
      </c>
      <c r="C1610" s="19" t="n">
        <v>0</v>
      </c>
      <c r="D1610" s="19" t="n">
        <v>0.1384</v>
      </c>
      <c r="E1610" s="20" t="n">
        <f aca="false">Parametres!$B$5*C1610</f>
        <v>0</v>
      </c>
      <c r="F1610" s="20" t="n">
        <f aca="false">Parametres!$B$6*D1610</f>
        <v>27.68</v>
      </c>
      <c r="G1610" s="20" t="n">
        <f aca="false">E1610+F1610</f>
        <v>27.68</v>
      </c>
      <c r="H1610" s="20" t="n">
        <f aca="false">IF(G1610&lt;Parametres!$B$8*Parametres!$B$7,0,MIN(G1610,Parametres!$B$7))</f>
        <v>27.68</v>
      </c>
      <c r="I1610" s="20" t="n">
        <f aca="false">G1610-H1610</f>
        <v>0</v>
      </c>
      <c r="J1610" s="21" t="n">
        <f aca="false">H1610*1000/Parametres!$B$9</f>
        <v>469.391215872478</v>
      </c>
    </row>
    <row r="1611" customFormat="false" ht="15" hidden="false" customHeight="false" outlineLevel="0" collapsed="false">
      <c r="A1611" s="0" t="n">
        <v>1607</v>
      </c>
      <c r="B1611" s="0" t="n">
        <v>3</v>
      </c>
      <c r="C1611" s="19" t="n">
        <v>0</v>
      </c>
      <c r="D1611" s="19" t="n">
        <v>0.1109</v>
      </c>
      <c r="E1611" s="20" t="n">
        <f aca="false">Parametres!$B$5*C1611</f>
        <v>0</v>
      </c>
      <c r="F1611" s="20" t="n">
        <f aca="false">Parametres!$B$6*D1611</f>
        <v>22.18</v>
      </c>
      <c r="G1611" s="20" t="n">
        <f aca="false">E1611+F1611</f>
        <v>22.18</v>
      </c>
      <c r="H1611" s="20" t="n">
        <f aca="false">IF(G1611&lt;Parametres!$B$8*Parametres!$B$7,0,MIN(G1611,Parametres!$B$7))</f>
        <v>0</v>
      </c>
      <c r="I1611" s="20" t="n">
        <f aca="false">G1611-H1611</f>
        <v>22.18</v>
      </c>
      <c r="J1611" s="21" t="n">
        <f aca="false">H1611*1000/Parametres!$B$9</f>
        <v>0</v>
      </c>
    </row>
    <row r="1612" customFormat="false" ht="15" hidden="false" customHeight="false" outlineLevel="0" collapsed="false">
      <c r="A1612" s="0" t="n">
        <v>1608</v>
      </c>
      <c r="B1612" s="0" t="n">
        <v>3</v>
      </c>
      <c r="C1612" s="19" t="n">
        <v>0</v>
      </c>
      <c r="D1612" s="19" t="n">
        <v>0.0741</v>
      </c>
      <c r="E1612" s="20" t="n">
        <f aca="false">Parametres!$B$5*C1612</f>
        <v>0</v>
      </c>
      <c r="F1612" s="20" t="n">
        <f aca="false">Parametres!$B$6*D1612</f>
        <v>14.82</v>
      </c>
      <c r="G1612" s="20" t="n">
        <f aca="false">E1612+F1612</f>
        <v>14.82</v>
      </c>
      <c r="H1612" s="20" t="n">
        <f aca="false">IF(G1612&lt;Parametres!$B$8*Parametres!$B$7,0,MIN(G1612,Parametres!$B$7))</f>
        <v>0</v>
      </c>
      <c r="I1612" s="20" t="n">
        <f aca="false">G1612-H1612</f>
        <v>14.82</v>
      </c>
      <c r="J1612" s="21" t="n">
        <f aca="false">H1612*1000/Parametres!$B$9</f>
        <v>0</v>
      </c>
    </row>
    <row r="1613" customFormat="false" ht="15" hidden="false" customHeight="false" outlineLevel="0" collapsed="false">
      <c r="A1613" s="0" t="n">
        <v>1609</v>
      </c>
      <c r="B1613" s="0" t="n">
        <v>3</v>
      </c>
      <c r="C1613" s="19" t="n">
        <v>0</v>
      </c>
      <c r="D1613" s="19" t="n">
        <v>0.0556</v>
      </c>
      <c r="E1613" s="20" t="n">
        <f aca="false">Parametres!$B$5*C1613</f>
        <v>0</v>
      </c>
      <c r="F1613" s="20" t="n">
        <f aca="false">Parametres!$B$6*D1613</f>
        <v>11.12</v>
      </c>
      <c r="G1613" s="20" t="n">
        <f aca="false">E1613+F1613</f>
        <v>11.12</v>
      </c>
      <c r="H1613" s="20" t="n">
        <f aca="false">IF(G1613&lt;Parametres!$B$8*Parametres!$B$7,0,MIN(G1613,Parametres!$B$7))</f>
        <v>0</v>
      </c>
      <c r="I1613" s="20" t="n">
        <f aca="false">G1613-H1613</f>
        <v>11.12</v>
      </c>
      <c r="J1613" s="21" t="n">
        <f aca="false">H1613*1000/Parametres!$B$9</f>
        <v>0</v>
      </c>
    </row>
    <row r="1614" customFormat="false" ht="15" hidden="false" customHeight="false" outlineLevel="0" collapsed="false">
      <c r="A1614" s="0" t="n">
        <v>1610</v>
      </c>
      <c r="B1614" s="0" t="n">
        <v>3</v>
      </c>
      <c r="C1614" s="19" t="n">
        <v>0</v>
      </c>
      <c r="D1614" s="19" t="n">
        <v>0.047</v>
      </c>
      <c r="E1614" s="20" t="n">
        <f aca="false">Parametres!$B$5*C1614</f>
        <v>0</v>
      </c>
      <c r="F1614" s="20" t="n">
        <f aca="false">Parametres!$B$6*D1614</f>
        <v>9.4</v>
      </c>
      <c r="G1614" s="20" t="n">
        <f aca="false">E1614+F1614</f>
        <v>9.4</v>
      </c>
      <c r="H1614" s="20" t="n">
        <f aca="false">IF(G1614&lt;Parametres!$B$8*Parametres!$B$7,0,MIN(G1614,Parametres!$B$7))</f>
        <v>0</v>
      </c>
      <c r="I1614" s="20" t="n">
        <f aca="false">G1614-H1614</f>
        <v>9.4</v>
      </c>
      <c r="J1614" s="21" t="n">
        <f aca="false">H1614*1000/Parametres!$B$9</f>
        <v>0</v>
      </c>
    </row>
    <row r="1615" customFormat="false" ht="15" hidden="false" customHeight="false" outlineLevel="0" collapsed="false">
      <c r="A1615" s="0" t="n">
        <v>1611</v>
      </c>
      <c r="B1615" s="0" t="n">
        <v>3</v>
      </c>
      <c r="C1615" s="19" t="n">
        <v>0</v>
      </c>
      <c r="D1615" s="19" t="n">
        <v>0.0506</v>
      </c>
      <c r="E1615" s="20" t="n">
        <f aca="false">Parametres!$B$5*C1615</f>
        <v>0</v>
      </c>
      <c r="F1615" s="20" t="n">
        <f aca="false">Parametres!$B$6*D1615</f>
        <v>10.12</v>
      </c>
      <c r="G1615" s="20" t="n">
        <f aca="false">E1615+F1615</f>
        <v>10.12</v>
      </c>
      <c r="H1615" s="20" t="n">
        <f aca="false">IF(G1615&lt;Parametres!$B$8*Parametres!$B$7,0,MIN(G1615,Parametres!$B$7))</f>
        <v>0</v>
      </c>
      <c r="I1615" s="20" t="n">
        <f aca="false">G1615-H1615</f>
        <v>10.12</v>
      </c>
      <c r="J1615" s="21" t="n">
        <f aca="false">H1615*1000/Parametres!$B$9</f>
        <v>0</v>
      </c>
    </row>
    <row r="1616" customFormat="false" ht="15" hidden="false" customHeight="false" outlineLevel="0" collapsed="false">
      <c r="A1616" s="0" t="n">
        <v>1612</v>
      </c>
      <c r="B1616" s="0" t="n">
        <v>3</v>
      </c>
      <c r="C1616" s="19" t="n">
        <v>0</v>
      </c>
      <c r="D1616" s="19" t="n">
        <v>0.0576</v>
      </c>
      <c r="E1616" s="20" t="n">
        <f aca="false">Parametres!$B$5*C1616</f>
        <v>0</v>
      </c>
      <c r="F1616" s="20" t="n">
        <f aca="false">Parametres!$B$6*D1616</f>
        <v>11.52</v>
      </c>
      <c r="G1616" s="20" t="n">
        <f aca="false">E1616+F1616</f>
        <v>11.52</v>
      </c>
      <c r="H1616" s="20" t="n">
        <f aca="false">IF(G1616&lt;Parametres!$B$8*Parametres!$B$7,0,MIN(G1616,Parametres!$B$7))</f>
        <v>0</v>
      </c>
      <c r="I1616" s="20" t="n">
        <f aca="false">G1616-H1616</f>
        <v>11.52</v>
      </c>
      <c r="J1616" s="21" t="n">
        <f aca="false">H1616*1000/Parametres!$B$9</f>
        <v>0</v>
      </c>
    </row>
    <row r="1617" customFormat="false" ht="15" hidden="false" customHeight="false" outlineLevel="0" collapsed="false">
      <c r="A1617" s="0" t="n">
        <v>1613</v>
      </c>
      <c r="B1617" s="0" t="n">
        <v>3</v>
      </c>
      <c r="C1617" s="19" t="n">
        <v>0</v>
      </c>
      <c r="D1617" s="19" t="n">
        <v>0.0261</v>
      </c>
      <c r="E1617" s="20" t="n">
        <f aca="false">Parametres!$B$5*C1617</f>
        <v>0</v>
      </c>
      <c r="F1617" s="20" t="n">
        <f aca="false">Parametres!$B$6*D1617</f>
        <v>5.22</v>
      </c>
      <c r="G1617" s="20" t="n">
        <f aca="false">E1617+F1617</f>
        <v>5.22</v>
      </c>
      <c r="H1617" s="20" t="n">
        <f aca="false">IF(G1617&lt;Parametres!$B$8*Parametres!$B$7,0,MIN(G1617,Parametres!$B$7))</f>
        <v>0</v>
      </c>
      <c r="I1617" s="20" t="n">
        <f aca="false">G1617-H1617</f>
        <v>5.22</v>
      </c>
      <c r="J1617" s="21" t="n">
        <f aca="false">H1617*1000/Parametres!$B$9</f>
        <v>0</v>
      </c>
    </row>
    <row r="1618" customFormat="false" ht="15" hidden="false" customHeight="false" outlineLevel="0" collapsed="false">
      <c r="A1618" s="0" t="n">
        <v>1614</v>
      </c>
      <c r="B1618" s="0" t="n">
        <v>3</v>
      </c>
      <c r="C1618" s="19" t="n">
        <v>0</v>
      </c>
      <c r="D1618" s="19" t="n">
        <v>0.0495</v>
      </c>
      <c r="E1618" s="20" t="n">
        <f aca="false">Parametres!$B$5*C1618</f>
        <v>0</v>
      </c>
      <c r="F1618" s="20" t="n">
        <f aca="false">Parametres!$B$6*D1618</f>
        <v>9.9</v>
      </c>
      <c r="G1618" s="20" t="n">
        <f aca="false">E1618+F1618</f>
        <v>9.9</v>
      </c>
      <c r="H1618" s="20" t="n">
        <f aca="false">IF(G1618&lt;Parametres!$B$8*Parametres!$B$7,0,MIN(G1618,Parametres!$B$7))</f>
        <v>0</v>
      </c>
      <c r="I1618" s="20" t="n">
        <f aca="false">G1618-H1618</f>
        <v>9.9</v>
      </c>
      <c r="J1618" s="21" t="n">
        <f aca="false">H1618*1000/Parametres!$B$9</f>
        <v>0</v>
      </c>
    </row>
    <row r="1619" customFormat="false" ht="15" hidden="false" customHeight="false" outlineLevel="0" collapsed="false">
      <c r="A1619" s="0" t="n">
        <v>1615</v>
      </c>
      <c r="B1619" s="0" t="n">
        <v>3</v>
      </c>
      <c r="C1619" s="19" t="n">
        <v>0.0654</v>
      </c>
      <c r="D1619" s="19" t="n">
        <v>0.0195</v>
      </c>
      <c r="E1619" s="20" t="n">
        <f aca="false">Parametres!$B$5*C1619</f>
        <v>19.62</v>
      </c>
      <c r="F1619" s="20" t="n">
        <f aca="false">Parametres!$B$6*D1619</f>
        <v>3.9</v>
      </c>
      <c r="G1619" s="20" t="n">
        <f aca="false">E1619+F1619</f>
        <v>23.52</v>
      </c>
      <c r="H1619" s="20" t="n">
        <f aca="false">IF(G1619&lt;Parametres!$B$8*Parametres!$B$7,0,MIN(G1619,Parametres!$B$7))</f>
        <v>0</v>
      </c>
      <c r="I1619" s="20" t="n">
        <f aca="false">G1619-H1619</f>
        <v>23.52</v>
      </c>
      <c r="J1619" s="21" t="n">
        <f aca="false">H1619*1000/Parametres!$B$9</f>
        <v>0</v>
      </c>
    </row>
    <row r="1620" customFormat="false" ht="15" hidden="false" customHeight="false" outlineLevel="0" collapsed="false">
      <c r="A1620" s="0" t="n">
        <v>1616</v>
      </c>
      <c r="B1620" s="0" t="n">
        <v>3</v>
      </c>
      <c r="C1620" s="19" t="n">
        <v>0.3401</v>
      </c>
      <c r="D1620" s="19" t="n">
        <v>0.0332</v>
      </c>
      <c r="E1620" s="20" t="n">
        <f aca="false">Parametres!$B$5*C1620</f>
        <v>102.03</v>
      </c>
      <c r="F1620" s="20" t="n">
        <f aca="false">Parametres!$B$6*D1620</f>
        <v>6.64</v>
      </c>
      <c r="G1620" s="20" t="n">
        <f aca="false">E1620+F1620</f>
        <v>108.67</v>
      </c>
      <c r="H1620" s="20" t="n">
        <f aca="false">IF(G1620&lt;Parametres!$B$8*Parametres!$B$7,0,MIN(G1620,Parametres!$B$7))</f>
        <v>108.67</v>
      </c>
      <c r="I1620" s="20" t="n">
        <f aca="false">G1620-H1620</f>
        <v>0</v>
      </c>
      <c r="J1620" s="21" t="n">
        <f aca="false">H1620*1000/Parametres!$B$9</f>
        <v>1842.80142445311</v>
      </c>
    </row>
    <row r="1621" customFormat="false" ht="15" hidden="false" customHeight="false" outlineLevel="0" collapsed="false">
      <c r="A1621" s="0" t="n">
        <v>1617</v>
      </c>
      <c r="B1621" s="0" t="n">
        <v>3</v>
      </c>
      <c r="C1621" s="19" t="n">
        <v>0.6065</v>
      </c>
      <c r="D1621" s="19" t="n">
        <v>0.0249</v>
      </c>
      <c r="E1621" s="20" t="n">
        <f aca="false">Parametres!$B$5*C1621</f>
        <v>181.95</v>
      </c>
      <c r="F1621" s="20" t="n">
        <f aca="false">Parametres!$B$6*D1621</f>
        <v>4.98</v>
      </c>
      <c r="G1621" s="20" t="n">
        <f aca="false">E1621+F1621</f>
        <v>186.93</v>
      </c>
      <c r="H1621" s="20" t="n">
        <f aca="false">IF(G1621&lt;Parametres!$B$8*Parametres!$B$7,0,MIN(G1621,Parametres!$B$7))</f>
        <v>186.93</v>
      </c>
      <c r="I1621" s="20" t="n">
        <f aca="false">G1621-H1621</f>
        <v>0</v>
      </c>
      <c r="J1621" s="21" t="n">
        <f aca="false">H1621*1000/Parametres!$B$9</f>
        <v>3169.91690690181</v>
      </c>
    </row>
    <row r="1622" customFormat="false" ht="15" hidden="false" customHeight="false" outlineLevel="0" collapsed="false">
      <c r="A1622" s="0" t="n">
        <v>1618</v>
      </c>
      <c r="B1622" s="0" t="n">
        <v>3</v>
      </c>
      <c r="C1622" s="19" t="n">
        <v>0.8329</v>
      </c>
      <c r="D1622" s="19" t="n">
        <v>0.0448</v>
      </c>
      <c r="E1622" s="20" t="n">
        <f aca="false">Parametres!$B$5*C1622</f>
        <v>249.87</v>
      </c>
      <c r="F1622" s="20" t="n">
        <f aca="false">Parametres!$B$6*D1622</f>
        <v>8.96</v>
      </c>
      <c r="G1622" s="20" t="n">
        <f aca="false">E1622+F1622</f>
        <v>258.83</v>
      </c>
      <c r="H1622" s="20" t="n">
        <f aca="false">IF(G1622&lt;Parametres!$B$8*Parametres!$B$7,0,MIN(G1622,Parametres!$B$7))</f>
        <v>250</v>
      </c>
      <c r="I1622" s="20" t="n">
        <f aca="false">G1622-H1622</f>
        <v>8.82999999999998</v>
      </c>
      <c r="J1622" s="21" t="n">
        <f aca="false">H1622*1000/Parametres!$B$9</f>
        <v>4239.44378497541</v>
      </c>
    </row>
    <row r="1623" customFormat="false" ht="15" hidden="false" customHeight="false" outlineLevel="0" collapsed="false">
      <c r="A1623" s="0" t="n">
        <v>1619</v>
      </c>
      <c r="B1623" s="0" t="n">
        <v>3</v>
      </c>
      <c r="C1623" s="19" t="n">
        <v>0.9689</v>
      </c>
      <c r="D1623" s="19" t="n">
        <v>0.0972</v>
      </c>
      <c r="E1623" s="20" t="n">
        <f aca="false">Parametres!$B$5*C1623</f>
        <v>290.67</v>
      </c>
      <c r="F1623" s="20" t="n">
        <f aca="false">Parametres!$B$6*D1623</f>
        <v>19.44</v>
      </c>
      <c r="G1623" s="20" t="n">
        <f aca="false">E1623+F1623</f>
        <v>310.11</v>
      </c>
      <c r="H1623" s="20" t="n">
        <f aca="false">IF(G1623&lt;Parametres!$B$8*Parametres!$B$7,0,MIN(G1623,Parametres!$B$7))</f>
        <v>250</v>
      </c>
      <c r="I1623" s="20" t="n">
        <f aca="false">G1623-H1623</f>
        <v>60.11</v>
      </c>
      <c r="J1623" s="21" t="n">
        <f aca="false">H1623*1000/Parametres!$B$9</f>
        <v>4239.44378497541</v>
      </c>
    </row>
    <row r="1624" customFormat="false" ht="15" hidden="false" customHeight="false" outlineLevel="0" collapsed="false">
      <c r="A1624" s="0" t="n">
        <v>1620</v>
      </c>
      <c r="B1624" s="0" t="n">
        <v>3</v>
      </c>
      <c r="C1624" s="19" t="n">
        <v>1</v>
      </c>
      <c r="D1624" s="19" t="n">
        <v>0.0392</v>
      </c>
      <c r="E1624" s="20" t="n">
        <f aca="false">Parametres!$B$5*C1624</f>
        <v>300</v>
      </c>
      <c r="F1624" s="20" t="n">
        <f aca="false">Parametres!$B$6*D1624</f>
        <v>7.84</v>
      </c>
      <c r="G1624" s="20" t="n">
        <f aca="false">E1624+F1624</f>
        <v>307.84</v>
      </c>
      <c r="H1624" s="20" t="n">
        <f aca="false">IF(G1624&lt;Parametres!$B$8*Parametres!$B$7,0,MIN(G1624,Parametres!$B$7))</f>
        <v>250</v>
      </c>
      <c r="I1624" s="20" t="n">
        <f aca="false">G1624-H1624</f>
        <v>57.84</v>
      </c>
      <c r="J1624" s="21" t="n">
        <f aca="false">H1624*1000/Parametres!$B$9</f>
        <v>4239.44378497541</v>
      </c>
    </row>
    <row r="1625" customFormat="false" ht="15" hidden="false" customHeight="false" outlineLevel="0" collapsed="false">
      <c r="A1625" s="0" t="n">
        <v>1621</v>
      </c>
      <c r="B1625" s="0" t="n">
        <v>3</v>
      </c>
      <c r="C1625" s="19" t="n">
        <v>1</v>
      </c>
      <c r="D1625" s="19" t="n">
        <v>0.0679</v>
      </c>
      <c r="E1625" s="20" t="n">
        <f aca="false">Parametres!$B$5*C1625</f>
        <v>300</v>
      </c>
      <c r="F1625" s="20" t="n">
        <f aca="false">Parametres!$B$6*D1625</f>
        <v>13.58</v>
      </c>
      <c r="G1625" s="20" t="n">
        <f aca="false">E1625+F1625</f>
        <v>313.58</v>
      </c>
      <c r="H1625" s="20" t="n">
        <f aca="false">IF(G1625&lt;Parametres!$B$8*Parametres!$B$7,0,MIN(G1625,Parametres!$B$7))</f>
        <v>250</v>
      </c>
      <c r="I1625" s="20" t="n">
        <f aca="false">G1625-H1625</f>
        <v>63.58</v>
      </c>
      <c r="J1625" s="21" t="n">
        <f aca="false">H1625*1000/Parametres!$B$9</f>
        <v>4239.44378497541</v>
      </c>
    </row>
    <row r="1626" customFormat="false" ht="15" hidden="false" customHeight="false" outlineLevel="0" collapsed="false">
      <c r="A1626" s="0" t="n">
        <v>1622</v>
      </c>
      <c r="B1626" s="0" t="n">
        <v>3</v>
      </c>
      <c r="C1626" s="19" t="n">
        <v>1</v>
      </c>
      <c r="D1626" s="19" t="n">
        <v>0.0908</v>
      </c>
      <c r="E1626" s="20" t="n">
        <f aca="false">Parametres!$B$5*C1626</f>
        <v>300</v>
      </c>
      <c r="F1626" s="20" t="n">
        <f aca="false">Parametres!$B$6*D1626</f>
        <v>18.16</v>
      </c>
      <c r="G1626" s="20" t="n">
        <f aca="false">E1626+F1626</f>
        <v>318.16</v>
      </c>
      <c r="H1626" s="20" t="n">
        <f aca="false">IF(G1626&lt;Parametres!$B$8*Parametres!$B$7,0,MIN(G1626,Parametres!$B$7))</f>
        <v>250</v>
      </c>
      <c r="I1626" s="20" t="n">
        <f aca="false">G1626-H1626</f>
        <v>68.16</v>
      </c>
      <c r="J1626" s="21" t="n">
        <f aca="false">H1626*1000/Parametres!$B$9</f>
        <v>4239.44378497541</v>
      </c>
    </row>
    <row r="1627" customFormat="false" ht="15" hidden="false" customHeight="false" outlineLevel="0" collapsed="false">
      <c r="A1627" s="0" t="n">
        <v>1623</v>
      </c>
      <c r="B1627" s="0" t="n">
        <v>3</v>
      </c>
      <c r="C1627" s="19" t="n">
        <v>0.8256</v>
      </c>
      <c r="D1627" s="19" t="n">
        <v>0.0778</v>
      </c>
      <c r="E1627" s="20" t="n">
        <f aca="false">Parametres!$B$5*C1627</f>
        <v>247.68</v>
      </c>
      <c r="F1627" s="20" t="n">
        <f aca="false">Parametres!$B$6*D1627</f>
        <v>15.56</v>
      </c>
      <c r="G1627" s="20" t="n">
        <f aca="false">E1627+F1627</f>
        <v>263.24</v>
      </c>
      <c r="H1627" s="20" t="n">
        <f aca="false">IF(G1627&lt;Parametres!$B$8*Parametres!$B$7,0,MIN(G1627,Parametres!$B$7))</f>
        <v>250</v>
      </c>
      <c r="I1627" s="20" t="n">
        <f aca="false">G1627-H1627</f>
        <v>13.24</v>
      </c>
      <c r="J1627" s="21" t="n">
        <f aca="false">H1627*1000/Parametres!$B$9</f>
        <v>4239.44378497541</v>
      </c>
    </row>
    <row r="1628" customFormat="false" ht="15" hidden="false" customHeight="false" outlineLevel="0" collapsed="false">
      <c r="A1628" s="0" t="n">
        <v>1624</v>
      </c>
      <c r="B1628" s="0" t="n">
        <v>3</v>
      </c>
      <c r="C1628" s="19" t="n">
        <v>0.6121</v>
      </c>
      <c r="D1628" s="19" t="n">
        <v>0.1032</v>
      </c>
      <c r="E1628" s="20" t="n">
        <f aca="false">Parametres!$B$5*C1628</f>
        <v>183.63</v>
      </c>
      <c r="F1628" s="20" t="n">
        <f aca="false">Parametres!$B$6*D1628</f>
        <v>20.64</v>
      </c>
      <c r="G1628" s="20" t="n">
        <f aca="false">E1628+F1628</f>
        <v>204.27</v>
      </c>
      <c r="H1628" s="20" t="n">
        <f aca="false">IF(G1628&lt;Parametres!$B$8*Parametres!$B$7,0,MIN(G1628,Parametres!$B$7))</f>
        <v>204.27</v>
      </c>
      <c r="I1628" s="20" t="n">
        <f aca="false">G1628-H1628</f>
        <v>0</v>
      </c>
      <c r="J1628" s="21" t="n">
        <f aca="false">H1628*1000/Parametres!$B$9</f>
        <v>3463.96472782771</v>
      </c>
    </row>
    <row r="1629" customFormat="false" ht="15" hidden="false" customHeight="false" outlineLevel="0" collapsed="false">
      <c r="A1629" s="0" t="n">
        <v>1625</v>
      </c>
      <c r="B1629" s="0" t="n">
        <v>3</v>
      </c>
      <c r="C1629" s="19" t="n">
        <v>0.3334</v>
      </c>
      <c r="D1629" s="19" t="n">
        <v>0.081</v>
      </c>
      <c r="E1629" s="20" t="n">
        <f aca="false">Parametres!$B$5*C1629</f>
        <v>100.02</v>
      </c>
      <c r="F1629" s="20" t="n">
        <f aca="false">Parametres!$B$6*D1629</f>
        <v>16.2</v>
      </c>
      <c r="G1629" s="20" t="n">
        <f aca="false">E1629+F1629</f>
        <v>116.22</v>
      </c>
      <c r="H1629" s="20" t="n">
        <f aca="false">IF(G1629&lt;Parametres!$B$8*Parametres!$B$7,0,MIN(G1629,Parametres!$B$7))</f>
        <v>116.22</v>
      </c>
      <c r="I1629" s="20" t="n">
        <f aca="false">G1629-H1629</f>
        <v>0</v>
      </c>
      <c r="J1629" s="21" t="n">
        <f aca="false">H1629*1000/Parametres!$B$9</f>
        <v>1970.83262675937</v>
      </c>
    </row>
    <row r="1630" customFormat="false" ht="15" hidden="false" customHeight="false" outlineLevel="0" collapsed="false">
      <c r="A1630" s="0" t="n">
        <v>1626</v>
      </c>
      <c r="B1630" s="0" t="n">
        <v>3</v>
      </c>
      <c r="C1630" s="19" t="n">
        <v>0.0682</v>
      </c>
      <c r="D1630" s="19" t="n">
        <v>0.0862</v>
      </c>
      <c r="E1630" s="20" t="n">
        <f aca="false">Parametres!$B$5*C1630</f>
        <v>20.46</v>
      </c>
      <c r="F1630" s="20" t="n">
        <f aca="false">Parametres!$B$6*D1630</f>
        <v>17.24</v>
      </c>
      <c r="G1630" s="20" t="n">
        <f aca="false">E1630+F1630</f>
        <v>37.7</v>
      </c>
      <c r="H1630" s="20" t="n">
        <f aca="false">IF(G1630&lt;Parametres!$B$8*Parametres!$B$7,0,MIN(G1630,Parametres!$B$7))</f>
        <v>37.7</v>
      </c>
      <c r="I1630" s="20" t="n">
        <f aca="false">G1630-H1630</f>
        <v>0</v>
      </c>
      <c r="J1630" s="21" t="n">
        <f aca="false">H1630*1000/Parametres!$B$9</f>
        <v>639.308122774292</v>
      </c>
    </row>
    <row r="1631" customFormat="false" ht="15" hidden="false" customHeight="false" outlineLevel="0" collapsed="false">
      <c r="A1631" s="0" t="n">
        <v>1627</v>
      </c>
      <c r="B1631" s="0" t="n">
        <v>3</v>
      </c>
      <c r="C1631" s="19" t="n">
        <v>0</v>
      </c>
      <c r="D1631" s="19" t="n">
        <v>0.0435</v>
      </c>
      <c r="E1631" s="20" t="n">
        <f aca="false">Parametres!$B$5*C1631</f>
        <v>0</v>
      </c>
      <c r="F1631" s="20" t="n">
        <f aca="false">Parametres!$B$6*D1631</f>
        <v>8.7</v>
      </c>
      <c r="G1631" s="20" t="n">
        <f aca="false">E1631+F1631</f>
        <v>8.7</v>
      </c>
      <c r="H1631" s="20" t="n">
        <f aca="false">IF(G1631&lt;Parametres!$B$8*Parametres!$B$7,0,MIN(G1631,Parametres!$B$7))</f>
        <v>0</v>
      </c>
      <c r="I1631" s="20" t="n">
        <f aca="false">G1631-H1631</f>
        <v>8.7</v>
      </c>
      <c r="J1631" s="21" t="n">
        <f aca="false">H1631*1000/Parametres!$B$9</f>
        <v>0</v>
      </c>
    </row>
    <row r="1632" customFormat="false" ht="15" hidden="false" customHeight="false" outlineLevel="0" collapsed="false">
      <c r="A1632" s="0" t="n">
        <v>1628</v>
      </c>
      <c r="B1632" s="0" t="n">
        <v>3</v>
      </c>
      <c r="C1632" s="19" t="n">
        <v>0</v>
      </c>
      <c r="D1632" s="19" t="n">
        <v>0.0659</v>
      </c>
      <c r="E1632" s="20" t="n">
        <f aca="false">Parametres!$B$5*C1632</f>
        <v>0</v>
      </c>
      <c r="F1632" s="20" t="n">
        <f aca="false">Parametres!$B$6*D1632</f>
        <v>13.18</v>
      </c>
      <c r="G1632" s="20" t="n">
        <f aca="false">E1632+F1632</f>
        <v>13.18</v>
      </c>
      <c r="H1632" s="20" t="n">
        <f aca="false">IF(G1632&lt;Parametres!$B$8*Parametres!$B$7,0,MIN(G1632,Parametres!$B$7))</f>
        <v>0</v>
      </c>
      <c r="I1632" s="20" t="n">
        <f aca="false">G1632-H1632</f>
        <v>13.18</v>
      </c>
      <c r="J1632" s="21" t="n">
        <f aca="false">H1632*1000/Parametres!$B$9</f>
        <v>0</v>
      </c>
    </row>
    <row r="1633" customFormat="false" ht="15" hidden="false" customHeight="false" outlineLevel="0" collapsed="false">
      <c r="A1633" s="0" t="n">
        <v>1629</v>
      </c>
      <c r="B1633" s="0" t="n">
        <v>3</v>
      </c>
      <c r="C1633" s="19" t="n">
        <v>0</v>
      </c>
      <c r="D1633" s="19" t="n">
        <v>0.0824</v>
      </c>
      <c r="E1633" s="20" t="n">
        <f aca="false">Parametres!$B$5*C1633</f>
        <v>0</v>
      </c>
      <c r="F1633" s="20" t="n">
        <f aca="false">Parametres!$B$6*D1633</f>
        <v>16.48</v>
      </c>
      <c r="G1633" s="20" t="n">
        <f aca="false">E1633+F1633</f>
        <v>16.48</v>
      </c>
      <c r="H1633" s="20" t="n">
        <f aca="false">IF(G1633&lt;Parametres!$B$8*Parametres!$B$7,0,MIN(G1633,Parametres!$B$7))</f>
        <v>0</v>
      </c>
      <c r="I1633" s="20" t="n">
        <f aca="false">G1633-H1633</f>
        <v>16.48</v>
      </c>
      <c r="J1633" s="21" t="n">
        <f aca="false">H1633*1000/Parametres!$B$9</f>
        <v>0</v>
      </c>
    </row>
    <row r="1634" customFormat="false" ht="15" hidden="false" customHeight="false" outlineLevel="0" collapsed="false">
      <c r="A1634" s="0" t="n">
        <v>1630</v>
      </c>
      <c r="B1634" s="0" t="n">
        <v>3</v>
      </c>
      <c r="C1634" s="19" t="n">
        <v>0</v>
      </c>
      <c r="D1634" s="19" t="n">
        <v>0.1063</v>
      </c>
      <c r="E1634" s="20" t="n">
        <f aca="false">Parametres!$B$5*C1634</f>
        <v>0</v>
      </c>
      <c r="F1634" s="20" t="n">
        <f aca="false">Parametres!$B$6*D1634</f>
        <v>21.26</v>
      </c>
      <c r="G1634" s="20" t="n">
        <f aca="false">E1634+F1634</f>
        <v>21.26</v>
      </c>
      <c r="H1634" s="20" t="n">
        <f aca="false">IF(G1634&lt;Parametres!$B$8*Parametres!$B$7,0,MIN(G1634,Parametres!$B$7))</f>
        <v>0</v>
      </c>
      <c r="I1634" s="20" t="n">
        <f aca="false">G1634-H1634</f>
        <v>21.26</v>
      </c>
      <c r="J1634" s="21" t="n">
        <f aca="false">H1634*1000/Parametres!$B$9</f>
        <v>0</v>
      </c>
    </row>
    <row r="1635" customFormat="false" ht="15" hidden="false" customHeight="false" outlineLevel="0" collapsed="false">
      <c r="A1635" s="0" t="n">
        <v>1631</v>
      </c>
      <c r="B1635" s="0" t="n">
        <v>3</v>
      </c>
      <c r="C1635" s="19" t="n">
        <v>0</v>
      </c>
      <c r="D1635" s="19" t="n">
        <v>0.0639</v>
      </c>
      <c r="E1635" s="20" t="n">
        <f aca="false">Parametres!$B$5*C1635</f>
        <v>0</v>
      </c>
      <c r="F1635" s="20" t="n">
        <f aca="false">Parametres!$B$6*D1635</f>
        <v>12.78</v>
      </c>
      <c r="G1635" s="20" t="n">
        <f aca="false">E1635+F1635</f>
        <v>12.78</v>
      </c>
      <c r="H1635" s="20" t="n">
        <f aca="false">IF(G1635&lt;Parametres!$B$8*Parametres!$B$7,0,MIN(G1635,Parametres!$B$7))</f>
        <v>0</v>
      </c>
      <c r="I1635" s="20" t="n">
        <f aca="false">G1635-H1635</f>
        <v>12.78</v>
      </c>
      <c r="J1635" s="21" t="n">
        <f aca="false">H1635*1000/Parametres!$B$9</f>
        <v>0</v>
      </c>
    </row>
    <row r="1636" customFormat="false" ht="15" hidden="false" customHeight="false" outlineLevel="0" collapsed="false">
      <c r="A1636" s="0" t="n">
        <v>1632</v>
      </c>
      <c r="B1636" s="0" t="n">
        <v>3</v>
      </c>
      <c r="C1636" s="19" t="n">
        <v>0</v>
      </c>
      <c r="D1636" s="19" t="n">
        <v>0.1379</v>
      </c>
      <c r="E1636" s="20" t="n">
        <f aca="false">Parametres!$B$5*C1636</f>
        <v>0</v>
      </c>
      <c r="F1636" s="20" t="n">
        <f aca="false">Parametres!$B$6*D1636</f>
        <v>27.58</v>
      </c>
      <c r="G1636" s="20" t="n">
        <f aca="false">E1636+F1636</f>
        <v>27.58</v>
      </c>
      <c r="H1636" s="20" t="n">
        <f aca="false">IF(G1636&lt;Parametres!$B$8*Parametres!$B$7,0,MIN(G1636,Parametres!$B$7))</f>
        <v>27.58</v>
      </c>
      <c r="I1636" s="20" t="n">
        <f aca="false">G1636-H1636</f>
        <v>0</v>
      </c>
      <c r="J1636" s="21" t="n">
        <f aca="false">H1636*1000/Parametres!$B$9</f>
        <v>467.695438358487</v>
      </c>
    </row>
    <row r="1637" customFormat="false" ht="15" hidden="false" customHeight="false" outlineLevel="0" collapsed="false">
      <c r="A1637" s="0" t="n">
        <v>1633</v>
      </c>
      <c r="B1637" s="0" t="n">
        <v>3</v>
      </c>
      <c r="C1637" s="19" t="n">
        <v>0</v>
      </c>
      <c r="D1637" s="19" t="n">
        <v>0.2676</v>
      </c>
      <c r="E1637" s="20" t="n">
        <f aca="false">Parametres!$B$5*C1637</f>
        <v>0</v>
      </c>
      <c r="F1637" s="20" t="n">
        <f aca="false">Parametres!$B$6*D1637</f>
        <v>53.52</v>
      </c>
      <c r="G1637" s="20" t="n">
        <f aca="false">E1637+F1637</f>
        <v>53.52</v>
      </c>
      <c r="H1637" s="20" t="n">
        <f aca="false">IF(G1637&lt;Parametres!$B$8*Parametres!$B$7,0,MIN(G1637,Parametres!$B$7))</f>
        <v>53.52</v>
      </c>
      <c r="I1637" s="20" t="n">
        <f aca="false">G1637-H1637</f>
        <v>0</v>
      </c>
      <c r="J1637" s="21" t="n">
        <f aca="false">H1637*1000/Parametres!$B$9</f>
        <v>907.580125487536</v>
      </c>
    </row>
    <row r="1638" customFormat="false" ht="15" hidden="false" customHeight="false" outlineLevel="0" collapsed="false">
      <c r="A1638" s="0" t="n">
        <v>1634</v>
      </c>
      <c r="B1638" s="0" t="n">
        <v>3</v>
      </c>
      <c r="C1638" s="19" t="n">
        <v>0</v>
      </c>
      <c r="D1638" s="19" t="n">
        <v>0.2253</v>
      </c>
      <c r="E1638" s="20" t="n">
        <f aca="false">Parametres!$B$5*C1638</f>
        <v>0</v>
      </c>
      <c r="F1638" s="20" t="n">
        <f aca="false">Parametres!$B$6*D1638</f>
        <v>45.06</v>
      </c>
      <c r="G1638" s="20" t="n">
        <f aca="false">E1638+F1638</f>
        <v>45.06</v>
      </c>
      <c r="H1638" s="20" t="n">
        <f aca="false">IF(G1638&lt;Parametres!$B$8*Parametres!$B$7,0,MIN(G1638,Parametres!$B$7))</f>
        <v>45.06</v>
      </c>
      <c r="I1638" s="20" t="n">
        <f aca="false">G1638-H1638</f>
        <v>0</v>
      </c>
      <c r="J1638" s="21" t="n">
        <f aca="false">H1638*1000/Parametres!$B$9</f>
        <v>764.117347803968</v>
      </c>
    </row>
    <row r="1639" customFormat="false" ht="15" hidden="false" customHeight="false" outlineLevel="0" collapsed="false">
      <c r="A1639" s="0" t="n">
        <v>1635</v>
      </c>
      <c r="B1639" s="0" t="n">
        <v>3</v>
      </c>
      <c r="C1639" s="19" t="n">
        <v>0</v>
      </c>
      <c r="D1639" s="19" t="n">
        <v>0.1705</v>
      </c>
      <c r="E1639" s="20" t="n">
        <f aca="false">Parametres!$B$5*C1639</f>
        <v>0</v>
      </c>
      <c r="F1639" s="20" t="n">
        <f aca="false">Parametres!$B$6*D1639</f>
        <v>34.1</v>
      </c>
      <c r="G1639" s="20" t="n">
        <f aca="false">E1639+F1639</f>
        <v>34.1</v>
      </c>
      <c r="H1639" s="20" t="n">
        <f aca="false">IF(G1639&lt;Parametres!$B$8*Parametres!$B$7,0,MIN(G1639,Parametres!$B$7))</f>
        <v>34.1</v>
      </c>
      <c r="I1639" s="20" t="n">
        <f aca="false">G1639-H1639</f>
        <v>0</v>
      </c>
      <c r="J1639" s="21" t="n">
        <f aca="false">H1639*1000/Parametres!$B$9</f>
        <v>578.260132270646</v>
      </c>
    </row>
    <row r="1640" customFormat="false" ht="15" hidden="false" customHeight="false" outlineLevel="0" collapsed="false">
      <c r="A1640" s="0" t="n">
        <v>1636</v>
      </c>
      <c r="B1640" s="0" t="n">
        <v>3</v>
      </c>
      <c r="C1640" s="19" t="n">
        <v>0</v>
      </c>
      <c r="D1640" s="19" t="n">
        <v>0.1329</v>
      </c>
      <c r="E1640" s="20" t="n">
        <f aca="false">Parametres!$B$5*C1640</f>
        <v>0</v>
      </c>
      <c r="F1640" s="20" t="n">
        <f aca="false">Parametres!$B$6*D1640</f>
        <v>26.58</v>
      </c>
      <c r="G1640" s="20" t="n">
        <f aca="false">E1640+F1640</f>
        <v>26.58</v>
      </c>
      <c r="H1640" s="20" t="n">
        <f aca="false">IF(G1640&lt;Parametres!$B$8*Parametres!$B$7,0,MIN(G1640,Parametres!$B$7))</f>
        <v>26.58</v>
      </c>
      <c r="I1640" s="20" t="n">
        <f aca="false">G1640-H1640</f>
        <v>0</v>
      </c>
      <c r="J1640" s="21" t="n">
        <f aca="false">H1640*1000/Parametres!$B$9</f>
        <v>450.737663218586</v>
      </c>
    </row>
    <row r="1641" customFormat="false" ht="15" hidden="false" customHeight="false" outlineLevel="0" collapsed="false">
      <c r="A1641" s="0" t="n">
        <v>1637</v>
      </c>
      <c r="B1641" s="0" t="n">
        <v>3</v>
      </c>
      <c r="C1641" s="19" t="n">
        <v>0</v>
      </c>
      <c r="D1641" s="19" t="n">
        <v>0.1704</v>
      </c>
      <c r="E1641" s="20" t="n">
        <f aca="false">Parametres!$B$5*C1641</f>
        <v>0</v>
      </c>
      <c r="F1641" s="20" t="n">
        <f aca="false">Parametres!$B$6*D1641</f>
        <v>34.08</v>
      </c>
      <c r="G1641" s="20" t="n">
        <f aca="false">E1641+F1641</f>
        <v>34.08</v>
      </c>
      <c r="H1641" s="20" t="n">
        <f aca="false">IF(G1641&lt;Parametres!$B$8*Parametres!$B$7,0,MIN(G1641,Parametres!$B$7))</f>
        <v>34.08</v>
      </c>
      <c r="I1641" s="20" t="n">
        <f aca="false">G1641-H1641</f>
        <v>0</v>
      </c>
      <c r="J1641" s="21" t="n">
        <f aca="false">H1641*1000/Parametres!$B$9</f>
        <v>577.920976767848</v>
      </c>
    </row>
    <row r="1642" customFormat="false" ht="15" hidden="false" customHeight="false" outlineLevel="0" collapsed="false">
      <c r="A1642" s="0" t="n">
        <v>1638</v>
      </c>
      <c r="B1642" s="0" t="n">
        <v>3</v>
      </c>
      <c r="C1642" s="19" t="n">
        <v>0</v>
      </c>
      <c r="D1642" s="19" t="n">
        <v>0.2531</v>
      </c>
      <c r="E1642" s="20" t="n">
        <f aca="false">Parametres!$B$5*C1642</f>
        <v>0</v>
      </c>
      <c r="F1642" s="20" t="n">
        <f aca="false">Parametres!$B$6*D1642</f>
        <v>50.62</v>
      </c>
      <c r="G1642" s="20" t="n">
        <f aca="false">E1642+F1642</f>
        <v>50.62</v>
      </c>
      <c r="H1642" s="20" t="n">
        <f aca="false">IF(G1642&lt;Parametres!$B$8*Parametres!$B$7,0,MIN(G1642,Parametres!$B$7))</f>
        <v>50.62</v>
      </c>
      <c r="I1642" s="20" t="n">
        <f aca="false">G1642-H1642</f>
        <v>0</v>
      </c>
      <c r="J1642" s="21" t="n">
        <f aca="false">H1642*1000/Parametres!$B$9</f>
        <v>858.402577581821</v>
      </c>
    </row>
    <row r="1643" customFormat="false" ht="15" hidden="false" customHeight="false" outlineLevel="0" collapsed="false">
      <c r="A1643" s="0" t="n">
        <v>1639</v>
      </c>
      <c r="B1643" s="0" t="n">
        <v>3</v>
      </c>
      <c r="C1643" s="19" t="n">
        <v>0.0473</v>
      </c>
      <c r="D1643" s="19" t="n">
        <v>0.2002</v>
      </c>
      <c r="E1643" s="20" t="n">
        <f aca="false">Parametres!$B$5*C1643</f>
        <v>14.19</v>
      </c>
      <c r="F1643" s="20" t="n">
        <f aca="false">Parametres!$B$6*D1643</f>
        <v>40.04</v>
      </c>
      <c r="G1643" s="20" t="n">
        <f aca="false">E1643+F1643</f>
        <v>54.23</v>
      </c>
      <c r="H1643" s="20" t="n">
        <f aca="false">IF(G1643&lt;Parametres!$B$8*Parametres!$B$7,0,MIN(G1643,Parametres!$B$7))</f>
        <v>54.23</v>
      </c>
      <c r="I1643" s="20" t="n">
        <f aca="false">G1643-H1643</f>
        <v>0</v>
      </c>
      <c r="J1643" s="21" t="n">
        <f aca="false">H1643*1000/Parametres!$B$9</f>
        <v>919.620145836866</v>
      </c>
    </row>
    <row r="1644" customFormat="false" ht="15" hidden="false" customHeight="false" outlineLevel="0" collapsed="false">
      <c r="A1644" s="0" t="n">
        <v>1640</v>
      </c>
      <c r="B1644" s="0" t="n">
        <v>3</v>
      </c>
      <c r="C1644" s="19" t="n">
        <v>0.246</v>
      </c>
      <c r="D1644" s="19" t="n">
        <v>0.091</v>
      </c>
      <c r="E1644" s="20" t="n">
        <f aca="false">Parametres!$B$5*C1644</f>
        <v>73.8</v>
      </c>
      <c r="F1644" s="20" t="n">
        <f aca="false">Parametres!$B$6*D1644</f>
        <v>18.2</v>
      </c>
      <c r="G1644" s="20" t="n">
        <f aca="false">E1644+F1644</f>
        <v>92</v>
      </c>
      <c r="H1644" s="20" t="n">
        <f aca="false">IF(G1644&lt;Parametres!$B$8*Parametres!$B$7,0,MIN(G1644,Parametres!$B$7))</f>
        <v>92</v>
      </c>
      <c r="I1644" s="20" t="n">
        <f aca="false">G1644-H1644</f>
        <v>0</v>
      </c>
      <c r="J1644" s="21" t="n">
        <f aca="false">H1644*1000/Parametres!$B$9</f>
        <v>1560.11531287095</v>
      </c>
    </row>
    <row r="1645" customFormat="false" ht="15" hidden="false" customHeight="false" outlineLevel="0" collapsed="false">
      <c r="A1645" s="0" t="n">
        <v>1641</v>
      </c>
      <c r="B1645" s="0" t="n">
        <v>3</v>
      </c>
      <c r="C1645" s="19" t="n">
        <v>0.4366</v>
      </c>
      <c r="D1645" s="19" t="n">
        <v>0.1283</v>
      </c>
      <c r="E1645" s="20" t="n">
        <f aca="false">Parametres!$B$5*C1645</f>
        <v>130.98</v>
      </c>
      <c r="F1645" s="20" t="n">
        <f aca="false">Parametres!$B$6*D1645</f>
        <v>25.66</v>
      </c>
      <c r="G1645" s="20" t="n">
        <f aca="false">E1645+F1645</f>
        <v>156.64</v>
      </c>
      <c r="H1645" s="20" t="n">
        <f aca="false">IF(G1645&lt;Parametres!$B$8*Parametres!$B$7,0,MIN(G1645,Parametres!$B$7))</f>
        <v>156.64</v>
      </c>
      <c r="I1645" s="20" t="n">
        <f aca="false">G1645-H1645</f>
        <v>0</v>
      </c>
      <c r="J1645" s="21" t="n">
        <f aca="false">H1645*1000/Parametres!$B$9</f>
        <v>2656.26589791419</v>
      </c>
    </row>
    <row r="1646" customFormat="false" ht="15" hidden="false" customHeight="false" outlineLevel="0" collapsed="false">
      <c r="A1646" s="0" t="n">
        <v>1642</v>
      </c>
      <c r="B1646" s="0" t="n">
        <v>3</v>
      </c>
      <c r="C1646" s="19" t="n">
        <v>0.5685</v>
      </c>
      <c r="D1646" s="19" t="n">
        <v>0.1452</v>
      </c>
      <c r="E1646" s="20" t="n">
        <f aca="false">Parametres!$B$5*C1646</f>
        <v>170.55</v>
      </c>
      <c r="F1646" s="20" t="n">
        <f aca="false">Parametres!$B$6*D1646</f>
        <v>29.04</v>
      </c>
      <c r="G1646" s="20" t="n">
        <f aca="false">E1646+F1646</f>
        <v>199.59</v>
      </c>
      <c r="H1646" s="20" t="n">
        <f aca="false">IF(G1646&lt;Parametres!$B$8*Parametres!$B$7,0,MIN(G1646,Parametres!$B$7))</f>
        <v>199.59</v>
      </c>
      <c r="I1646" s="20" t="n">
        <f aca="false">G1646-H1646</f>
        <v>0</v>
      </c>
      <c r="J1646" s="21" t="n">
        <f aca="false">H1646*1000/Parametres!$B$9</f>
        <v>3384.60234017297</v>
      </c>
    </row>
    <row r="1647" customFormat="false" ht="15" hidden="false" customHeight="false" outlineLevel="0" collapsed="false">
      <c r="A1647" s="0" t="n">
        <v>1643</v>
      </c>
      <c r="B1647" s="0" t="n">
        <v>3</v>
      </c>
      <c r="C1647" s="19" t="n">
        <v>0.6879</v>
      </c>
      <c r="D1647" s="19" t="n">
        <v>0.181</v>
      </c>
      <c r="E1647" s="20" t="n">
        <f aca="false">Parametres!$B$5*C1647</f>
        <v>206.37</v>
      </c>
      <c r="F1647" s="20" t="n">
        <f aca="false">Parametres!$B$6*D1647</f>
        <v>36.2</v>
      </c>
      <c r="G1647" s="20" t="n">
        <f aca="false">E1647+F1647</f>
        <v>242.57</v>
      </c>
      <c r="H1647" s="20" t="n">
        <f aca="false">IF(G1647&lt;Parametres!$B$8*Parametres!$B$7,0,MIN(G1647,Parametres!$B$7))</f>
        <v>242.57</v>
      </c>
      <c r="I1647" s="20" t="n">
        <f aca="false">G1647-H1647</f>
        <v>0</v>
      </c>
      <c r="J1647" s="21" t="n">
        <f aca="false">H1647*1000/Parametres!$B$9</f>
        <v>4113.44751568594</v>
      </c>
    </row>
    <row r="1648" customFormat="false" ht="15" hidden="false" customHeight="false" outlineLevel="0" collapsed="false">
      <c r="A1648" s="0" t="n">
        <v>1644</v>
      </c>
      <c r="B1648" s="0" t="n">
        <v>3</v>
      </c>
      <c r="C1648" s="19" t="n">
        <v>0.7348</v>
      </c>
      <c r="D1648" s="19" t="n">
        <v>0.2564</v>
      </c>
      <c r="E1648" s="20" t="n">
        <f aca="false">Parametres!$B$5*C1648</f>
        <v>220.44</v>
      </c>
      <c r="F1648" s="20" t="n">
        <f aca="false">Parametres!$B$6*D1648</f>
        <v>51.28</v>
      </c>
      <c r="G1648" s="20" t="n">
        <f aca="false">E1648+F1648</f>
        <v>271.72</v>
      </c>
      <c r="H1648" s="20" t="n">
        <f aca="false">IF(G1648&lt;Parametres!$B$8*Parametres!$B$7,0,MIN(G1648,Parametres!$B$7))</f>
        <v>250</v>
      </c>
      <c r="I1648" s="20" t="n">
        <f aca="false">G1648-H1648</f>
        <v>21.72</v>
      </c>
      <c r="J1648" s="21" t="n">
        <f aca="false">H1648*1000/Parametres!$B$9</f>
        <v>4239.44378497541</v>
      </c>
    </row>
    <row r="1649" customFormat="false" ht="15" hidden="false" customHeight="false" outlineLevel="0" collapsed="false">
      <c r="A1649" s="0" t="n">
        <v>1645</v>
      </c>
      <c r="B1649" s="0" t="n">
        <v>3</v>
      </c>
      <c r="C1649" s="19" t="n">
        <v>0.8422</v>
      </c>
      <c r="D1649" s="19" t="n">
        <v>0.1806</v>
      </c>
      <c r="E1649" s="20" t="n">
        <f aca="false">Parametres!$B$5*C1649</f>
        <v>252.66</v>
      </c>
      <c r="F1649" s="20" t="n">
        <f aca="false">Parametres!$B$6*D1649</f>
        <v>36.12</v>
      </c>
      <c r="G1649" s="20" t="n">
        <f aca="false">E1649+F1649</f>
        <v>288.78</v>
      </c>
      <c r="H1649" s="20" t="n">
        <f aca="false">IF(G1649&lt;Parametres!$B$8*Parametres!$B$7,0,MIN(G1649,Parametres!$B$7))</f>
        <v>250</v>
      </c>
      <c r="I1649" s="20" t="n">
        <f aca="false">G1649-H1649</f>
        <v>38.78</v>
      </c>
      <c r="J1649" s="21" t="n">
        <f aca="false">H1649*1000/Parametres!$B$9</f>
        <v>4239.44378497541</v>
      </c>
    </row>
    <row r="1650" customFormat="false" ht="15" hidden="false" customHeight="false" outlineLevel="0" collapsed="false">
      <c r="A1650" s="0" t="n">
        <v>1646</v>
      </c>
      <c r="B1650" s="0" t="n">
        <v>3</v>
      </c>
      <c r="C1650" s="19" t="n">
        <v>0.6765</v>
      </c>
      <c r="D1650" s="19" t="n">
        <v>0.2064</v>
      </c>
      <c r="E1650" s="20" t="n">
        <f aca="false">Parametres!$B$5*C1650</f>
        <v>202.95</v>
      </c>
      <c r="F1650" s="20" t="n">
        <f aca="false">Parametres!$B$6*D1650</f>
        <v>41.28</v>
      </c>
      <c r="G1650" s="20" t="n">
        <f aca="false">E1650+F1650</f>
        <v>244.23</v>
      </c>
      <c r="H1650" s="20" t="n">
        <f aca="false">IF(G1650&lt;Parametres!$B$8*Parametres!$B$7,0,MIN(G1650,Parametres!$B$7))</f>
        <v>244.23</v>
      </c>
      <c r="I1650" s="20" t="n">
        <f aca="false">G1650-H1650</f>
        <v>0</v>
      </c>
      <c r="J1650" s="21" t="n">
        <f aca="false">H1650*1000/Parametres!$B$9</f>
        <v>4141.59742241818</v>
      </c>
    </row>
    <row r="1651" customFormat="false" ht="15" hidden="false" customHeight="false" outlineLevel="0" collapsed="false">
      <c r="A1651" s="0" t="n">
        <v>1647</v>
      </c>
      <c r="B1651" s="0" t="n">
        <v>3</v>
      </c>
      <c r="C1651" s="19" t="n">
        <v>0.5957</v>
      </c>
      <c r="D1651" s="19" t="n">
        <v>0.1953</v>
      </c>
      <c r="E1651" s="20" t="n">
        <f aca="false">Parametres!$B$5*C1651</f>
        <v>178.71</v>
      </c>
      <c r="F1651" s="20" t="n">
        <f aca="false">Parametres!$B$6*D1651</f>
        <v>39.06</v>
      </c>
      <c r="G1651" s="20" t="n">
        <f aca="false">E1651+F1651</f>
        <v>217.77</v>
      </c>
      <c r="H1651" s="20" t="n">
        <f aca="false">IF(G1651&lt;Parametres!$B$8*Parametres!$B$7,0,MIN(G1651,Parametres!$B$7))</f>
        <v>217.77</v>
      </c>
      <c r="I1651" s="20" t="n">
        <f aca="false">G1651-H1651</f>
        <v>0</v>
      </c>
      <c r="J1651" s="21" t="n">
        <f aca="false">H1651*1000/Parametres!$B$9</f>
        <v>3692.89469221638</v>
      </c>
    </row>
    <row r="1652" customFormat="false" ht="15" hidden="false" customHeight="false" outlineLevel="0" collapsed="false">
      <c r="A1652" s="0" t="n">
        <v>1648</v>
      </c>
      <c r="B1652" s="0" t="n">
        <v>3</v>
      </c>
      <c r="C1652" s="19" t="n">
        <v>0.4634</v>
      </c>
      <c r="D1652" s="19" t="n">
        <v>0.2412</v>
      </c>
      <c r="E1652" s="20" t="n">
        <f aca="false">Parametres!$B$5*C1652</f>
        <v>139.02</v>
      </c>
      <c r="F1652" s="20" t="n">
        <f aca="false">Parametres!$B$6*D1652</f>
        <v>48.24</v>
      </c>
      <c r="G1652" s="20" t="n">
        <f aca="false">E1652+F1652</f>
        <v>187.26</v>
      </c>
      <c r="H1652" s="20" t="n">
        <f aca="false">IF(G1652&lt;Parametres!$B$8*Parametres!$B$7,0,MIN(G1652,Parametres!$B$7))</f>
        <v>187.26</v>
      </c>
      <c r="I1652" s="20" t="n">
        <f aca="false">G1652-H1652</f>
        <v>0</v>
      </c>
      <c r="J1652" s="21" t="n">
        <f aca="false">H1652*1000/Parametres!$B$9</f>
        <v>3175.51297269798</v>
      </c>
    </row>
    <row r="1653" customFormat="false" ht="15" hidden="false" customHeight="false" outlineLevel="0" collapsed="false">
      <c r="A1653" s="0" t="n">
        <v>1649</v>
      </c>
      <c r="B1653" s="0" t="n">
        <v>3</v>
      </c>
      <c r="C1653" s="19" t="n">
        <v>0.2486</v>
      </c>
      <c r="D1653" s="19" t="n">
        <v>0.3971</v>
      </c>
      <c r="E1653" s="20" t="n">
        <f aca="false">Parametres!$B$5*C1653</f>
        <v>74.58</v>
      </c>
      <c r="F1653" s="20" t="n">
        <f aca="false">Parametres!$B$6*D1653</f>
        <v>79.42</v>
      </c>
      <c r="G1653" s="20" t="n">
        <f aca="false">E1653+F1653</f>
        <v>154</v>
      </c>
      <c r="H1653" s="20" t="n">
        <f aca="false">IF(G1653&lt;Parametres!$B$8*Parametres!$B$7,0,MIN(G1653,Parametres!$B$7))</f>
        <v>154</v>
      </c>
      <c r="I1653" s="20" t="n">
        <f aca="false">G1653-H1653</f>
        <v>0</v>
      </c>
      <c r="J1653" s="21" t="n">
        <f aca="false">H1653*1000/Parametres!$B$9</f>
        <v>2611.49737154485</v>
      </c>
    </row>
    <row r="1654" customFormat="false" ht="15" hidden="false" customHeight="false" outlineLevel="0" collapsed="false">
      <c r="A1654" s="0" t="n">
        <v>1650</v>
      </c>
      <c r="B1654" s="0" t="n">
        <v>3</v>
      </c>
      <c r="C1654" s="19" t="n">
        <v>0.0499</v>
      </c>
      <c r="D1654" s="19" t="n">
        <v>0.386</v>
      </c>
      <c r="E1654" s="20" t="n">
        <f aca="false">Parametres!$B$5*C1654</f>
        <v>14.97</v>
      </c>
      <c r="F1654" s="20" t="n">
        <f aca="false">Parametres!$B$6*D1654</f>
        <v>77.2</v>
      </c>
      <c r="G1654" s="20" t="n">
        <f aca="false">E1654+F1654</f>
        <v>92.17</v>
      </c>
      <c r="H1654" s="20" t="n">
        <f aca="false">IF(G1654&lt;Parametres!$B$8*Parametres!$B$7,0,MIN(G1654,Parametres!$B$7))</f>
        <v>92.17</v>
      </c>
      <c r="I1654" s="20" t="n">
        <f aca="false">G1654-H1654</f>
        <v>0</v>
      </c>
      <c r="J1654" s="21" t="n">
        <f aca="false">H1654*1000/Parametres!$B$9</f>
        <v>1562.99813464473</v>
      </c>
    </row>
    <row r="1655" customFormat="false" ht="15" hidden="false" customHeight="false" outlineLevel="0" collapsed="false">
      <c r="A1655" s="0" t="n">
        <v>1651</v>
      </c>
      <c r="B1655" s="0" t="n">
        <v>3</v>
      </c>
      <c r="C1655" s="19" t="n">
        <v>0</v>
      </c>
      <c r="D1655" s="19" t="n">
        <v>0.2582</v>
      </c>
      <c r="E1655" s="20" t="n">
        <f aca="false">Parametres!$B$5*C1655</f>
        <v>0</v>
      </c>
      <c r="F1655" s="20" t="n">
        <f aca="false">Parametres!$B$6*D1655</f>
        <v>51.64</v>
      </c>
      <c r="G1655" s="20" t="n">
        <f aca="false">E1655+F1655</f>
        <v>51.64</v>
      </c>
      <c r="H1655" s="20" t="n">
        <f aca="false">IF(G1655&lt;Parametres!$B$8*Parametres!$B$7,0,MIN(G1655,Parametres!$B$7))</f>
        <v>51.64</v>
      </c>
      <c r="I1655" s="20" t="n">
        <f aca="false">G1655-H1655</f>
        <v>0</v>
      </c>
      <c r="J1655" s="21" t="n">
        <f aca="false">H1655*1000/Parametres!$B$9</f>
        <v>875.699508224521</v>
      </c>
    </row>
    <row r="1656" customFormat="false" ht="15" hidden="false" customHeight="false" outlineLevel="0" collapsed="false">
      <c r="A1656" s="0" t="n">
        <v>1652</v>
      </c>
      <c r="B1656" s="0" t="n">
        <v>3</v>
      </c>
      <c r="C1656" s="19" t="n">
        <v>0</v>
      </c>
      <c r="D1656" s="19" t="n">
        <v>0.3859</v>
      </c>
      <c r="E1656" s="20" t="n">
        <f aca="false">Parametres!$B$5*C1656</f>
        <v>0</v>
      </c>
      <c r="F1656" s="20" t="n">
        <f aca="false">Parametres!$B$6*D1656</f>
        <v>77.18</v>
      </c>
      <c r="G1656" s="20" t="n">
        <f aca="false">E1656+F1656</f>
        <v>77.18</v>
      </c>
      <c r="H1656" s="20" t="n">
        <f aca="false">IF(G1656&lt;Parametres!$B$8*Parametres!$B$7,0,MIN(G1656,Parametres!$B$7))</f>
        <v>77.18</v>
      </c>
      <c r="I1656" s="20" t="n">
        <f aca="false">G1656-H1656</f>
        <v>0</v>
      </c>
      <c r="J1656" s="21" t="n">
        <f aca="false">H1656*1000/Parametres!$B$9</f>
        <v>1308.80108529761</v>
      </c>
    </row>
    <row r="1657" customFormat="false" ht="15" hidden="false" customHeight="false" outlineLevel="0" collapsed="false">
      <c r="A1657" s="0" t="n">
        <v>1653</v>
      </c>
      <c r="B1657" s="0" t="n">
        <v>3</v>
      </c>
      <c r="C1657" s="19" t="n">
        <v>0</v>
      </c>
      <c r="D1657" s="19" t="n">
        <v>0.4435</v>
      </c>
      <c r="E1657" s="20" t="n">
        <f aca="false">Parametres!$B$5*C1657</f>
        <v>0</v>
      </c>
      <c r="F1657" s="20" t="n">
        <f aca="false">Parametres!$B$6*D1657</f>
        <v>88.7</v>
      </c>
      <c r="G1657" s="20" t="n">
        <f aca="false">E1657+F1657</f>
        <v>88.7</v>
      </c>
      <c r="H1657" s="20" t="n">
        <f aca="false">IF(G1657&lt;Parametres!$B$8*Parametres!$B$7,0,MIN(G1657,Parametres!$B$7))</f>
        <v>88.7</v>
      </c>
      <c r="I1657" s="20" t="n">
        <f aca="false">G1657-H1657</f>
        <v>0</v>
      </c>
      <c r="J1657" s="21" t="n">
        <f aca="false">H1657*1000/Parametres!$B$9</f>
        <v>1504.15465490928</v>
      </c>
    </row>
    <row r="1658" customFormat="false" ht="15" hidden="false" customHeight="false" outlineLevel="0" collapsed="false">
      <c r="A1658" s="0" t="n">
        <v>1654</v>
      </c>
      <c r="B1658" s="0" t="n">
        <v>3</v>
      </c>
      <c r="C1658" s="19" t="n">
        <v>0</v>
      </c>
      <c r="D1658" s="19" t="n">
        <v>0.3585</v>
      </c>
      <c r="E1658" s="20" t="n">
        <f aca="false">Parametres!$B$5*C1658</f>
        <v>0</v>
      </c>
      <c r="F1658" s="20" t="n">
        <f aca="false">Parametres!$B$6*D1658</f>
        <v>71.7</v>
      </c>
      <c r="G1658" s="20" t="n">
        <f aca="false">E1658+F1658</f>
        <v>71.7</v>
      </c>
      <c r="H1658" s="20" t="n">
        <f aca="false">IF(G1658&lt;Parametres!$B$8*Parametres!$B$7,0,MIN(G1658,Parametres!$B$7))</f>
        <v>71.7</v>
      </c>
      <c r="I1658" s="20" t="n">
        <f aca="false">G1658-H1658</f>
        <v>0</v>
      </c>
      <c r="J1658" s="21" t="n">
        <f aca="false">H1658*1000/Parametres!$B$9</f>
        <v>1215.87247753095</v>
      </c>
    </row>
    <row r="1659" customFormat="false" ht="15" hidden="false" customHeight="false" outlineLevel="0" collapsed="false">
      <c r="A1659" s="0" t="n">
        <v>1655</v>
      </c>
      <c r="B1659" s="0" t="n">
        <v>3</v>
      </c>
      <c r="C1659" s="19" t="n">
        <v>0</v>
      </c>
      <c r="D1659" s="19" t="n">
        <v>0.1467</v>
      </c>
      <c r="E1659" s="20" t="n">
        <f aca="false">Parametres!$B$5*C1659</f>
        <v>0</v>
      </c>
      <c r="F1659" s="20" t="n">
        <f aca="false">Parametres!$B$6*D1659</f>
        <v>29.34</v>
      </c>
      <c r="G1659" s="20" t="n">
        <f aca="false">E1659+F1659</f>
        <v>29.34</v>
      </c>
      <c r="H1659" s="20" t="n">
        <f aca="false">IF(G1659&lt;Parametres!$B$8*Parametres!$B$7,0,MIN(G1659,Parametres!$B$7))</f>
        <v>29.34</v>
      </c>
      <c r="I1659" s="20" t="n">
        <f aca="false">G1659-H1659</f>
        <v>0</v>
      </c>
      <c r="J1659" s="21" t="n">
        <f aca="false">H1659*1000/Parametres!$B$9</f>
        <v>497.541122604714</v>
      </c>
    </row>
    <row r="1660" customFormat="false" ht="15" hidden="false" customHeight="false" outlineLevel="0" collapsed="false">
      <c r="A1660" s="0" t="n">
        <v>1656</v>
      </c>
      <c r="B1660" s="0" t="n">
        <v>3</v>
      </c>
      <c r="C1660" s="19" t="n">
        <v>0</v>
      </c>
      <c r="D1660" s="19" t="n">
        <v>0.0807</v>
      </c>
      <c r="E1660" s="20" t="n">
        <f aca="false">Parametres!$B$5*C1660</f>
        <v>0</v>
      </c>
      <c r="F1660" s="20" t="n">
        <f aca="false">Parametres!$B$6*D1660</f>
        <v>16.14</v>
      </c>
      <c r="G1660" s="20" t="n">
        <f aca="false">E1660+F1660</f>
        <v>16.14</v>
      </c>
      <c r="H1660" s="20" t="n">
        <f aca="false">IF(G1660&lt;Parametres!$B$8*Parametres!$B$7,0,MIN(G1660,Parametres!$B$7))</f>
        <v>0</v>
      </c>
      <c r="I1660" s="20" t="n">
        <f aca="false">G1660-H1660</f>
        <v>16.14</v>
      </c>
      <c r="J1660" s="21" t="n">
        <f aca="false">H1660*1000/Parametres!$B$9</f>
        <v>0</v>
      </c>
    </row>
    <row r="1661" customFormat="false" ht="15" hidden="false" customHeight="false" outlineLevel="0" collapsed="false">
      <c r="A1661" s="0" t="n">
        <v>1657</v>
      </c>
      <c r="B1661" s="0" t="n">
        <v>3</v>
      </c>
      <c r="C1661" s="19" t="n">
        <v>0</v>
      </c>
      <c r="D1661" s="19" t="n">
        <v>0.074</v>
      </c>
      <c r="E1661" s="20" t="n">
        <f aca="false">Parametres!$B$5*C1661</f>
        <v>0</v>
      </c>
      <c r="F1661" s="20" t="n">
        <f aca="false">Parametres!$B$6*D1661</f>
        <v>14.8</v>
      </c>
      <c r="G1661" s="20" t="n">
        <f aca="false">E1661+F1661</f>
        <v>14.8</v>
      </c>
      <c r="H1661" s="20" t="n">
        <f aca="false">IF(G1661&lt;Parametres!$B$8*Parametres!$B$7,0,MIN(G1661,Parametres!$B$7))</f>
        <v>0</v>
      </c>
      <c r="I1661" s="20" t="n">
        <f aca="false">G1661-H1661</f>
        <v>14.8</v>
      </c>
      <c r="J1661" s="21" t="n">
        <f aca="false">H1661*1000/Parametres!$B$9</f>
        <v>0</v>
      </c>
    </row>
    <row r="1662" customFormat="false" ht="15" hidden="false" customHeight="false" outlineLevel="0" collapsed="false">
      <c r="A1662" s="0" t="n">
        <v>1658</v>
      </c>
      <c r="B1662" s="0" t="n">
        <v>3</v>
      </c>
      <c r="C1662" s="19" t="n">
        <v>0</v>
      </c>
      <c r="D1662" s="19" t="n">
        <v>0.084</v>
      </c>
      <c r="E1662" s="20" t="n">
        <f aca="false">Parametres!$B$5*C1662</f>
        <v>0</v>
      </c>
      <c r="F1662" s="20" t="n">
        <f aca="false">Parametres!$B$6*D1662</f>
        <v>16.8</v>
      </c>
      <c r="G1662" s="20" t="n">
        <f aca="false">E1662+F1662</f>
        <v>16.8</v>
      </c>
      <c r="H1662" s="20" t="n">
        <f aca="false">IF(G1662&lt;Parametres!$B$8*Parametres!$B$7,0,MIN(G1662,Parametres!$B$7))</f>
        <v>0</v>
      </c>
      <c r="I1662" s="20" t="n">
        <f aca="false">G1662-H1662</f>
        <v>16.8</v>
      </c>
      <c r="J1662" s="21" t="n">
        <f aca="false">H1662*1000/Parametres!$B$9</f>
        <v>0</v>
      </c>
    </row>
    <row r="1663" customFormat="false" ht="15" hidden="false" customHeight="false" outlineLevel="0" collapsed="false">
      <c r="A1663" s="0" t="n">
        <v>1659</v>
      </c>
      <c r="B1663" s="0" t="n">
        <v>3</v>
      </c>
      <c r="C1663" s="19" t="n">
        <v>0</v>
      </c>
      <c r="D1663" s="19" t="n">
        <v>0.0561</v>
      </c>
      <c r="E1663" s="20" t="n">
        <f aca="false">Parametres!$B$5*C1663</f>
        <v>0</v>
      </c>
      <c r="F1663" s="20" t="n">
        <f aca="false">Parametres!$B$6*D1663</f>
        <v>11.22</v>
      </c>
      <c r="G1663" s="20" t="n">
        <f aca="false">E1663+F1663</f>
        <v>11.22</v>
      </c>
      <c r="H1663" s="20" t="n">
        <f aca="false">IF(G1663&lt;Parametres!$B$8*Parametres!$B$7,0,MIN(G1663,Parametres!$B$7))</f>
        <v>0</v>
      </c>
      <c r="I1663" s="20" t="n">
        <f aca="false">G1663-H1663</f>
        <v>11.22</v>
      </c>
      <c r="J1663" s="21" t="n">
        <f aca="false">H1663*1000/Parametres!$B$9</f>
        <v>0</v>
      </c>
    </row>
    <row r="1664" customFormat="false" ht="15" hidden="false" customHeight="false" outlineLevel="0" collapsed="false">
      <c r="A1664" s="0" t="n">
        <v>1660</v>
      </c>
      <c r="B1664" s="0" t="n">
        <v>3</v>
      </c>
      <c r="C1664" s="19" t="n">
        <v>0</v>
      </c>
      <c r="D1664" s="19" t="n">
        <v>0.065</v>
      </c>
      <c r="E1664" s="20" t="n">
        <f aca="false">Parametres!$B$5*C1664</f>
        <v>0</v>
      </c>
      <c r="F1664" s="20" t="n">
        <f aca="false">Parametres!$B$6*D1664</f>
        <v>13</v>
      </c>
      <c r="G1664" s="20" t="n">
        <f aca="false">E1664+F1664</f>
        <v>13</v>
      </c>
      <c r="H1664" s="20" t="n">
        <f aca="false">IF(G1664&lt;Parametres!$B$8*Parametres!$B$7,0,MIN(G1664,Parametres!$B$7))</f>
        <v>0</v>
      </c>
      <c r="I1664" s="20" t="n">
        <f aca="false">G1664-H1664</f>
        <v>13</v>
      </c>
      <c r="J1664" s="21" t="n">
        <f aca="false">H1664*1000/Parametres!$B$9</f>
        <v>0</v>
      </c>
    </row>
    <row r="1665" customFormat="false" ht="15" hidden="false" customHeight="false" outlineLevel="0" collapsed="false">
      <c r="A1665" s="0" t="n">
        <v>1661</v>
      </c>
      <c r="B1665" s="0" t="n">
        <v>3</v>
      </c>
      <c r="C1665" s="19" t="n">
        <v>0</v>
      </c>
      <c r="D1665" s="19" t="n">
        <v>0.0441</v>
      </c>
      <c r="E1665" s="20" t="n">
        <f aca="false">Parametres!$B$5*C1665</f>
        <v>0</v>
      </c>
      <c r="F1665" s="20" t="n">
        <f aca="false">Parametres!$B$6*D1665</f>
        <v>8.82</v>
      </c>
      <c r="G1665" s="20" t="n">
        <f aca="false">E1665+F1665</f>
        <v>8.82</v>
      </c>
      <c r="H1665" s="20" t="n">
        <f aca="false">IF(G1665&lt;Parametres!$B$8*Parametres!$B$7,0,MIN(G1665,Parametres!$B$7))</f>
        <v>0</v>
      </c>
      <c r="I1665" s="20" t="n">
        <f aca="false">G1665-H1665</f>
        <v>8.82</v>
      </c>
      <c r="J1665" s="21" t="n">
        <f aca="false">H1665*1000/Parametres!$B$9</f>
        <v>0</v>
      </c>
    </row>
    <row r="1666" customFormat="false" ht="15" hidden="false" customHeight="false" outlineLevel="0" collapsed="false">
      <c r="A1666" s="0" t="n">
        <v>1662</v>
      </c>
      <c r="B1666" s="0" t="n">
        <v>3</v>
      </c>
      <c r="C1666" s="19" t="n">
        <v>0</v>
      </c>
      <c r="D1666" s="19" t="n">
        <v>0.0348</v>
      </c>
      <c r="E1666" s="20" t="n">
        <f aca="false">Parametres!$B$5*C1666</f>
        <v>0</v>
      </c>
      <c r="F1666" s="20" t="n">
        <f aca="false">Parametres!$B$6*D1666</f>
        <v>6.96</v>
      </c>
      <c r="G1666" s="20" t="n">
        <f aca="false">E1666+F1666</f>
        <v>6.96</v>
      </c>
      <c r="H1666" s="20" t="n">
        <f aca="false">IF(G1666&lt;Parametres!$B$8*Parametres!$B$7,0,MIN(G1666,Parametres!$B$7))</f>
        <v>0</v>
      </c>
      <c r="I1666" s="20" t="n">
        <f aca="false">G1666-H1666</f>
        <v>6.96</v>
      </c>
      <c r="J1666" s="21" t="n">
        <f aca="false">H1666*1000/Parametres!$B$9</f>
        <v>0</v>
      </c>
    </row>
    <row r="1667" customFormat="false" ht="15" hidden="false" customHeight="false" outlineLevel="0" collapsed="false">
      <c r="A1667" s="0" t="n">
        <v>1663</v>
      </c>
      <c r="B1667" s="0" t="n">
        <v>3</v>
      </c>
      <c r="C1667" s="19" t="n">
        <v>0.0672</v>
      </c>
      <c r="D1667" s="19" t="n">
        <v>0.0511</v>
      </c>
      <c r="E1667" s="20" t="n">
        <f aca="false">Parametres!$B$5*C1667</f>
        <v>20.16</v>
      </c>
      <c r="F1667" s="20" t="n">
        <f aca="false">Parametres!$B$6*D1667</f>
        <v>10.22</v>
      </c>
      <c r="G1667" s="20" t="n">
        <f aca="false">E1667+F1667</f>
        <v>30.38</v>
      </c>
      <c r="H1667" s="20" t="n">
        <f aca="false">IF(G1667&lt;Parametres!$B$8*Parametres!$B$7,0,MIN(G1667,Parametres!$B$7))</f>
        <v>30.38</v>
      </c>
      <c r="I1667" s="20" t="n">
        <f aca="false">G1667-H1667</f>
        <v>0</v>
      </c>
      <c r="J1667" s="21" t="n">
        <f aca="false">H1667*1000/Parametres!$B$9</f>
        <v>515.177208750212</v>
      </c>
    </row>
    <row r="1668" customFormat="false" ht="15" hidden="false" customHeight="false" outlineLevel="0" collapsed="false">
      <c r="A1668" s="0" t="n">
        <v>1664</v>
      </c>
      <c r="B1668" s="0" t="n">
        <v>3</v>
      </c>
      <c r="C1668" s="19" t="n">
        <v>0.3406</v>
      </c>
      <c r="D1668" s="19" t="n">
        <v>0.0488</v>
      </c>
      <c r="E1668" s="20" t="n">
        <f aca="false">Parametres!$B$5*C1668</f>
        <v>102.18</v>
      </c>
      <c r="F1668" s="20" t="n">
        <f aca="false">Parametres!$B$6*D1668</f>
        <v>9.76</v>
      </c>
      <c r="G1668" s="20" t="n">
        <f aca="false">E1668+F1668</f>
        <v>111.94</v>
      </c>
      <c r="H1668" s="20" t="n">
        <f aca="false">IF(G1668&lt;Parametres!$B$8*Parametres!$B$7,0,MIN(G1668,Parametres!$B$7))</f>
        <v>111.94</v>
      </c>
      <c r="I1668" s="20" t="n">
        <f aca="false">G1668-H1668</f>
        <v>0</v>
      </c>
      <c r="J1668" s="21" t="n">
        <f aca="false">H1668*1000/Parametres!$B$9</f>
        <v>1898.25334916059</v>
      </c>
    </row>
    <row r="1669" customFormat="false" ht="15" hidden="false" customHeight="false" outlineLevel="0" collapsed="false">
      <c r="A1669" s="0" t="n">
        <v>1665</v>
      </c>
      <c r="B1669" s="0" t="n">
        <v>3</v>
      </c>
      <c r="C1669" s="19" t="n">
        <v>0.5978</v>
      </c>
      <c r="D1669" s="19" t="n">
        <v>0.0607</v>
      </c>
      <c r="E1669" s="20" t="n">
        <f aca="false">Parametres!$B$5*C1669</f>
        <v>179.34</v>
      </c>
      <c r="F1669" s="20" t="n">
        <f aca="false">Parametres!$B$6*D1669</f>
        <v>12.14</v>
      </c>
      <c r="G1669" s="20" t="n">
        <f aca="false">E1669+F1669</f>
        <v>191.48</v>
      </c>
      <c r="H1669" s="20" t="n">
        <f aca="false">IF(G1669&lt;Parametres!$B$8*Parametres!$B$7,0,MIN(G1669,Parametres!$B$7))</f>
        <v>191.48</v>
      </c>
      <c r="I1669" s="20" t="n">
        <f aca="false">G1669-H1669</f>
        <v>0</v>
      </c>
      <c r="J1669" s="21" t="n">
        <f aca="false">H1669*1000/Parametres!$B$9</f>
        <v>3247.07478378837</v>
      </c>
    </row>
    <row r="1670" customFormat="false" ht="15" hidden="false" customHeight="false" outlineLevel="0" collapsed="false">
      <c r="A1670" s="0" t="n">
        <v>1666</v>
      </c>
      <c r="B1670" s="0" t="n">
        <v>3</v>
      </c>
      <c r="C1670" s="19" t="n">
        <v>0.7848</v>
      </c>
      <c r="D1670" s="19" t="n">
        <v>0.1104</v>
      </c>
      <c r="E1670" s="20" t="n">
        <f aca="false">Parametres!$B$5*C1670</f>
        <v>235.44</v>
      </c>
      <c r="F1670" s="20" t="n">
        <f aca="false">Parametres!$B$6*D1670</f>
        <v>22.08</v>
      </c>
      <c r="G1670" s="20" t="n">
        <f aca="false">E1670+F1670</f>
        <v>257.52</v>
      </c>
      <c r="H1670" s="20" t="n">
        <f aca="false">IF(G1670&lt;Parametres!$B$8*Parametres!$B$7,0,MIN(G1670,Parametres!$B$7))</f>
        <v>250</v>
      </c>
      <c r="I1670" s="20" t="n">
        <f aca="false">G1670-H1670</f>
        <v>7.52000000000004</v>
      </c>
      <c r="J1670" s="21" t="n">
        <f aca="false">H1670*1000/Parametres!$B$9</f>
        <v>4239.44378497541</v>
      </c>
    </row>
    <row r="1671" customFormat="false" ht="15" hidden="false" customHeight="false" outlineLevel="0" collapsed="false">
      <c r="A1671" s="0" t="n">
        <v>1667</v>
      </c>
      <c r="B1671" s="0" t="n">
        <v>3</v>
      </c>
      <c r="C1671" s="19" t="n">
        <v>0.9902</v>
      </c>
      <c r="D1671" s="19" t="n">
        <v>0.2091</v>
      </c>
      <c r="E1671" s="20" t="n">
        <f aca="false">Parametres!$B$5*C1671</f>
        <v>297.06</v>
      </c>
      <c r="F1671" s="20" t="n">
        <f aca="false">Parametres!$B$6*D1671</f>
        <v>41.82</v>
      </c>
      <c r="G1671" s="20" t="n">
        <f aca="false">E1671+F1671</f>
        <v>338.88</v>
      </c>
      <c r="H1671" s="20" t="n">
        <f aca="false">IF(G1671&lt;Parametres!$B$8*Parametres!$B$7,0,MIN(G1671,Parametres!$B$7))</f>
        <v>250</v>
      </c>
      <c r="I1671" s="20" t="n">
        <f aca="false">G1671-H1671</f>
        <v>88.88</v>
      </c>
      <c r="J1671" s="21" t="n">
        <f aca="false">H1671*1000/Parametres!$B$9</f>
        <v>4239.44378497541</v>
      </c>
    </row>
    <row r="1672" customFormat="false" ht="15" hidden="false" customHeight="false" outlineLevel="0" collapsed="false">
      <c r="A1672" s="0" t="n">
        <v>1668</v>
      </c>
      <c r="B1672" s="0" t="n">
        <v>3</v>
      </c>
      <c r="C1672" s="19" t="n">
        <v>1</v>
      </c>
      <c r="D1672" s="19" t="n">
        <v>0.1841</v>
      </c>
      <c r="E1672" s="20" t="n">
        <f aca="false">Parametres!$B$5*C1672</f>
        <v>300</v>
      </c>
      <c r="F1672" s="20" t="n">
        <f aca="false">Parametres!$B$6*D1672</f>
        <v>36.82</v>
      </c>
      <c r="G1672" s="20" t="n">
        <f aca="false">E1672+F1672</f>
        <v>336.82</v>
      </c>
      <c r="H1672" s="20" t="n">
        <f aca="false">IF(G1672&lt;Parametres!$B$8*Parametres!$B$7,0,MIN(G1672,Parametres!$B$7))</f>
        <v>250</v>
      </c>
      <c r="I1672" s="20" t="n">
        <f aca="false">G1672-H1672</f>
        <v>86.82</v>
      </c>
      <c r="J1672" s="21" t="n">
        <f aca="false">H1672*1000/Parametres!$B$9</f>
        <v>4239.44378497541</v>
      </c>
    </row>
    <row r="1673" customFormat="false" ht="15" hidden="false" customHeight="false" outlineLevel="0" collapsed="false">
      <c r="A1673" s="0" t="n">
        <v>1669</v>
      </c>
      <c r="B1673" s="0" t="n">
        <v>3</v>
      </c>
      <c r="C1673" s="19" t="n">
        <v>1</v>
      </c>
      <c r="D1673" s="19" t="n">
        <v>0.1844</v>
      </c>
      <c r="E1673" s="20" t="n">
        <f aca="false">Parametres!$B$5*C1673</f>
        <v>300</v>
      </c>
      <c r="F1673" s="20" t="n">
        <f aca="false">Parametres!$B$6*D1673</f>
        <v>36.88</v>
      </c>
      <c r="G1673" s="20" t="n">
        <f aca="false">E1673+F1673</f>
        <v>336.88</v>
      </c>
      <c r="H1673" s="20" t="n">
        <f aca="false">IF(G1673&lt;Parametres!$B$8*Parametres!$B$7,0,MIN(G1673,Parametres!$B$7))</f>
        <v>250</v>
      </c>
      <c r="I1673" s="20" t="n">
        <f aca="false">G1673-H1673</f>
        <v>86.88</v>
      </c>
      <c r="J1673" s="21" t="n">
        <f aca="false">H1673*1000/Parametres!$B$9</f>
        <v>4239.44378497541</v>
      </c>
    </row>
    <row r="1674" customFormat="false" ht="15" hidden="false" customHeight="false" outlineLevel="0" collapsed="false">
      <c r="A1674" s="0" t="n">
        <v>1670</v>
      </c>
      <c r="B1674" s="0" t="n">
        <v>3</v>
      </c>
      <c r="C1674" s="19" t="n">
        <v>0.9551</v>
      </c>
      <c r="D1674" s="19" t="n">
        <v>0.1076</v>
      </c>
      <c r="E1674" s="20" t="n">
        <f aca="false">Parametres!$B$5*C1674</f>
        <v>286.53</v>
      </c>
      <c r="F1674" s="20" t="n">
        <f aca="false">Parametres!$B$6*D1674</f>
        <v>21.52</v>
      </c>
      <c r="G1674" s="20" t="n">
        <f aca="false">E1674+F1674</f>
        <v>308.05</v>
      </c>
      <c r="H1674" s="20" t="n">
        <f aca="false">IF(G1674&lt;Parametres!$B$8*Parametres!$B$7,0,MIN(G1674,Parametres!$B$7))</f>
        <v>250</v>
      </c>
      <c r="I1674" s="20" t="n">
        <f aca="false">G1674-H1674</f>
        <v>58.05</v>
      </c>
      <c r="J1674" s="21" t="n">
        <f aca="false">H1674*1000/Parametres!$B$9</f>
        <v>4239.44378497541</v>
      </c>
    </row>
    <row r="1675" customFormat="false" ht="15" hidden="false" customHeight="false" outlineLevel="0" collapsed="false">
      <c r="A1675" s="0" t="n">
        <v>1671</v>
      </c>
      <c r="B1675" s="0" t="n">
        <v>3</v>
      </c>
      <c r="C1675" s="19" t="n">
        <v>0.8266</v>
      </c>
      <c r="D1675" s="19" t="n">
        <v>0.0558</v>
      </c>
      <c r="E1675" s="20" t="n">
        <f aca="false">Parametres!$B$5*C1675</f>
        <v>247.98</v>
      </c>
      <c r="F1675" s="20" t="n">
        <f aca="false">Parametres!$B$6*D1675</f>
        <v>11.16</v>
      </c>
      <c r="G1675" s="20" t="n">
        <f aca="false">E1675+F1675</f>
        <v>259.14</v>
      </c>
      <c r="H1675" s="20" t="n">
        <f aca="false">IF(G1675&lt;Parametres!$B$8*Parametres!$B$7,0,MIN(G1675,Parametres!$B$7))</f>
        <v>250</v>
      </c>
      <c r="I1675" s="20" t="n">
        <f aca="false">G1675-H1675</f>
        <v>9.13999999999999</v>
      </c>
      <c r="J1675" s="21" t="n">
        <f aca="false">H1675*1000/Parametres!$B$9</f>
        <v>4239.44378497541</v>
      </c>
    </row>
    <row r="1676" customFormat="false" ht="15" hidden="false" customHeight="false" outlineLevel="0" collapsed="false">
      <c r="A1676" s="0" t="n">
        <v>1672</v>
      </c>
      <c r="B1676" s="0" t="n">
        <v>3</v>
      </c>
      <c r="C1676" s="19" t="n">
        <v>0.5729</v>
      </c>
      <c r="D1676" s="19" t="n">
        <v>0.0708</v>
      </c>
      <c r="E1676" s="20" t="n">
        <f aca="false">Parametres!$B$5*C1676</f>
        <v>171.87</v>
      </c>
      <c r="F1676" s="20" t="n">
        <f aca="false">Parametres!$B$6*D1676</f>
        <v>14.16</v>
      </c>
      <c r="G1676" s="20" t="n">
        <f aca="false">E1676+F1676</f>
        <v>186.03</v>
      </c>
      <c r="H1676" s="20" t="n">
        <f aca="false">IF(G1676&lt;Parametres!$B$8*Parametres!$B$7,0,MIN(G1676,Parametres!$B$7))</f>
        <v>186.03</v>
      </c>
      <c r="I1676" s="20" t="n">
        <f aca="false">G1676-H1676</f>
        <v>0</v>
      </c>
      <c r="J1676" s="21" t="n">
        <f aca="false">H1676*1000/Parametres!$B$9</f>
        <v>3154.6549092759</v>
      </c>
    </row>
    <row r="1677" customFormat="false" ht="15" hidden="false" customHeight="false" outlineLevel="0" collapsed="false">
      <c r="A1677" s="0" t="n">
        <v>1673</v>
      </c>
      <c r="B1677" s="0" t="n">
        <v>3</v>
      </c>
      <c r="C1677" s="19" t="n">
        <v>0.2984</v>
      </c>
      <c r="D1677" s="19" t="n">
        <v>0.0524</v>
      </c>
      <c r="E1677" s="20" t="n">
        <f aca="false">Parametres!$B$5*C1677</f>
        <v>89.52</v>
      </c>
      <c r="F1677" s="20" t="n">
        <f aca="false">Parametres!$B$6*D1677</f>
        <v>10.48</v>
      </c>
      <c r="G1677" s="20" t="n">
        <f aca="false">E1677+F1677</f>
        <v>100</v>
      </c>
      <c r="H1677" s="20" t="n">
        <f aca="false">IF(G1677&lt;Parametres!$B$8*Parametres!$B$7,0,MIN(G1677,Parametres!$B$7))</f>
        <v>100</v>
      </c>
      <c r="I1677" s="20" t="n">
        <f aca="false">G1677-H1677</f>
        <v>0</v>
      </c>
      <c r="J1677" s="21" t="n">
        <f aca="false">H1677*1000/Parametres!$B$9</f>
        <v>1695.77751399016</v>
      </c>
    </row>
    <row r="1678" customFormat="false" ht="15" hidden="false" customHeight="false" outlineLevel="0" collapsed="false">
      <c r="A1678" s="0" t="n">
        <v>1674</v>
      </c>
      <c r="B1678" s="0" t="n">
        <v>3</v>
      </c>
      <c r="C1678" s="19" t="n">
        <v>0.0702</v>
      </c>
      <c r="D1678" s="19" t="n">
        <v>0.0125</v>
      </c>
      <c r="E1678" s="20" t="n">
        <f aca="false">Parametres!$B$5*C1678</f>
        <v>21.06</v>
      </c>
      <c r="F1678" s="20" t="n">
        <f aca="false">Parametres!$B$6*D1678</f>
        <v>2.5</v>
      </c>
      <c r="G1678" s="20" t="n">
        <f aca="false">E1678+F1678</f>
        <v>23.56</v>
      </c>
      <c r="H1678" s="20" t="n">
        <f aca="false">IF(G1678&lt;Parametres!$B$8*Parametres!$B$7,0,MIN(G1678,Parametres!$B$7))</f>
        <v>0</v>
      </c>
      <c r="I1678" s="20" t="n">
        <f aca="false">G1678-H1678</f>
        <v>23.56</v>
      </c>
      <c r="J1678" s="21" t="n">
        <f aca="false">H1678*1000/Parametres!$B$9</f>
        <v>0</v>
      </c>
    </row>
    <row r="1679" customFormat="false" ht="15" hidden="false" customHeight="false" outlineLevel="0" collapsed="false">
      <c r="A1679" s="0" t="n">
        <v>1675</v>
      </c>
      <c r="B1679" s="0" t="n">
        <v>3</v>
      </c>
      <c r="C1679" s="19" t="n">
        <v>0</v>
      </c>
      <c r="D1679" s="19" t="n">
        <v>0.0188</v>
      </c>
      <c r="E1679" s="20" t="n">
        <f aca="false">Parametres!$B$5*C1679</f>
        <v>0</v>
      </c>
      <c r="F1679" s="20" t="n">
        <f aca="false">Parametres!$B$6*D1679</f>
        <v>3.76</v>
      </c>
      <c r="G1679" s="20" t="n">
        <f aca="false">E1679+F1679</f>
        <v>3.76</v>
      </c>
      <c r="H1679" s="20" t="n">
        <f aca="false">IF(G1679&lt;Parametres!$B$8*Parametres!$B$7,0,MIN(G1679,Parametres!$B$7))</f>
        <v>0</v>
      </c>
      <c r="I1679" s="20" t="n">
        <f aca="false">G1679-H1679</f>
        <v>3.76</v>
      </c>
      <c r="J1679" s="21" t="n">
        <f aca="false">H1679*1000/Parametres!$B$9</f>
        <v>0</v>
      </c>
    </row>
    <row r="1680" customFormat="false" ht="15" hidden="false" customHeight="false" outlineLevel="0" collapsed="false">
      <c r="A1680" s="0" t="n">
        <v>1676</v>
      </c>
      <c r="B1680" s="0" t="n">
        <v>3</v>
      </c>
      <c r="C1680" s="19" t="n">
        <v>0</v>
      </c>
      <c r="D1680" s="19" t="n">
        <v>0.0078</v>
      </c>
      <c r="E1680" s="20" t="n">
        <f aca="false">Parametres!$B$5*C1680</f>
        <v>0</v>
      </c>
      <c r="F1680" s="20" t="n">
        <f aca="false">Parametres!$B$6*D1680</f>
        <v>1.56</v>
      </c>
      <c r="G1680" s="20" t="n">
        <f aca="false">E1680+F1680</f>
        <v>1.56</v>
      </c>
      <c r="H1680" s="20" t="n">
        <f aca="false">IF(G1680&lt;Parametres!$B$8*Parametres!$B$7,0,MIN(G1680,Parametres!$B$7))</f>
        <v>0</v>
      </c>
      <c r="I1680" s="20" t="n">
        <f aca="false">G1680-H1680</f>
        <v>1.56</v>
      </c>
      <c r="J1680" s="21" t="n">
        <f aca="false">H1680*1000/Parametres!$B$9</f>
        <v>0</v>
      </c>
    </row>
    <row r="1681" customFormat="false" ht="15" hidden="false" customHeight="false" outlineLevel="0" collapsed="false">
      <c r="A1681" s="0" t="n">
        <v>1677</v>
      </c>
      <c r="B1681" s="0" t="n">
        <v>3</v>
      </c>
      <c r="C1681" s="19" t="n">
        <v>0</v>
      </c>
      <c r="D1681" s="19" t="n">
        <v>0.0047</v>
      </c>
      <c r="E1681" s="20" t="n">
        <f aca="false">Parametres!$B$5*C1681</f>
        <v>0</v>
      </c>
      <c r="F1681" s="20" t="n">
        <f aca="false">Parametres!$B$6*D1681</f>
        <v>0.94</v>
      </c>
      <c r="G1681" s="20" t="n">
        <f aca="false">E1681+F1681</f>
        <v>0.94</v>
      </c>
      <c r="H1681" s="20" t="n">
        <f aca="false">IF(G1681&lt;Parametres!$B$8*Parametres!$B$7,0,MIN(G1681,Parametres!$B$7))</f>
        <v>0</v>
      </c>
      <c r="I1681" s="20" t="n">
        <f aca="false">G1681-H1681</f>
        <v>0.94</v>
      </c>
      <c r="J1681" s="21" t="n">
        <f aca="false">H1681*1000/Parametres!$B$9</f>
        <v>0</v>
      </c>
    </row>
    <row r="1682" customFormat="false" ht="15" hidden="false" customHeight="false" outlineLevel="0" collapsed="false">
      <c r="A1682" s="0" t="n">
        <v>1678</v>
      </c>
      <c r="B1682" s="0" t="n">
        <v>3</v>
      </c>
      <c r="C1682" s="19" t="n">
        <v>0</v>
      </c>
      <c r="D1682" s="19" t="n">
        <v>0.0061</v>
      </c>
      <c r="E1682" s="20" t="n">
        <f aca="false">Parametres!$B$5*C1682</f>
        <v>0</v>
      </c>
      <c r="F1682" s="20" t="n">
        <f aca="false">Parametres!$B$6*D1682</f>
        <v>1.22</v>
      </c>
      <c r="G1682" s="20" t="n">
        <f aca="false">E1682+F1682</f>
        <v>1.22</v>
      </c>
      <c r="H1682" s="20" t="n">
        <f aca="false">IF(G1682&lt;Parametres!$B$8*Parametres!$B$7,0,MIN(G1682,Parametres!$B$7))</f>
        <v>0</v>
      </c>
      <c r="I1682" s="20" t="n">
        <f aca="false">G1682-H1682</f>
        <v>1.22</v>
      </c>
      <c r="J1682" s="21" t="n">
        <f aca="false">H1682*1000/Parametres!$B$9</f>
        <v>0</v>
      </c>
    </row>
    <row r="1683" customFormat="false" ht="15" hidden="false" customHeight="false" outlineLevel="0" collapsed="false">
      <c r="A1683" s="0" t="n">
        <v>1679</v>
      </c>
      <c r="B1683" s="0" t="n">
        <v>3</v>
      </c>
      <c r="C1683" s="19" t="n">
        <v>0</v>
      </c>
      <c r="D1683" s="19" t="n">
        <v>0.0073</v>
      </c>
      <c r="E1683" s="20" t="n">
        <f aca="false">Parametres!$B$5*C1683</f>
        <v>0</v>
      </c>
      <c r="F1683" s="20" t="n">
        <f aca="false">Parametres!$B$6*D1683</f>
        <v>1.46</v>
      </c>
      <c r="G1683" s="20" t="n">
        <f aca="false">E1683+F1683</f>
        <v>1.46</v>
      </c>
      <c r="H1683" s="20" t="n">
        <f aca="false">IF(G1683&lt;Parametres!$B$8*Parametres!$B$7,0,MIN(G1683,Parametres!$B$7))</f>
        <v>0</v>
      </c>
      <c r="I1683" s="20" t="n">
        <f aca="false">G1683-H1683</f>
        <v>1.46</v>
      </c>
      <c r="J1683" s="21" t="n">
        <f aca="false">H1683*1000/Parametres!$B$9</f>
        <v>0</v>
      </c>
    </row>
    <row r="1684" customFormat="false" ht="15" hidden="false" customHeight="false" outlineLevel="0" collapsed="false">
      <c r="A1684" s="0" t="n">
        <v>1680</v>
      </c>
      <c r="B1684" s="0" t="n">
        <v>3</v>
      </c>
      <c r="C1684" s="19" t="n">
        <v>0</v>
      </c>
      <c r="D1684" s="19" t="n">
        <v>0.0054</v>
      </c>
      <c r="E1684" s="20" t="n">
        <f aca="false">Parametres!$B$5*C1684</f>
        <v>0</v>
      </c>
      <c r="F1684" s="20" t="n">
        <f aca="false">Parametres!$B$6*D1684</f>
        <v>1.08</v>
      </c>
      <c r="G1684" s="20" t="n">
        <f aca="false">E1684+F1684</f>
        <v>1.08</v>
      </c>
      <c r="H1684" s="20" t="n">
        <f aca="false">IF(G1684&lt;Parametres!$B$8*Parametres!$B$7,0,MIN(G1684,Parametres!$B$7))</f>
        <v>0</v>
      </c>
      <c r="I1684" s="20" t="n">
        <f aca="false">G1684-H1684</f>
        <v>1.08</v>
      </c>
      <c r="J1684" s="21" t="n">
        <f aca="false">H1684*1000/Parametres!$B$9</f>
        <v>0</v>
      </c>
    </row>
    <row r="1685" customFormat="false" ht="15" hidden="false" customHeight="false" outlineLevel="0" collapsed="false">
      <c r="A1685" s="0" t="n">
        <v>1681</v>
      </c>
      <c r="B1685" s="0" t="n">
        <v>3</v>
      </c>
      <c r="C1685" s="19" t="n">
        <v>0</v>
      </c>
      <c r="D1685" s="19" t="n">
        <v>0.0001</v>
      </c>
      <c r="E1685" s="20" t="n">
        <f aca="false">Parametres!$B$5*C1685</f>
        <v>0</v>
      </c>
      <c r="F1685" s="20" t="n">
        <f aca="false">Parametres!$B$6*D1685</f>
        <v>0.02</v>
      </c>
      <c r="G1685" s="20" t="n">
        <f aca="false">E1685+F1685</f>
        <v>0.02</v>
      </c>
      <c r="H1685" s="20" t="n">
        <f aca="false">IF(G1685&lt;Parametres!$B$8*Parametres!$B$7,0,MIN(G1685,Parametres!$B$7))</f>
        <v>0</v>
      </c>
      <c r="I1685" s="20" t="n">
        <f aca="false">G1685-H1685</f>
        <v>0.02</v>
      </c>
      <c r="J1685" s="21" t="n">
        <f aca="false">H1685*1000/Parametres!$B$9</f>
        <v>0</v>
      </c>
    </row>
    <row r="1686" customFormat="false" ht="15" hidden="false" customHeight="false" outlineLevel="0" collapsed="false">
      <c r="A1686" s="0" t="n">
        <v>1682</v>
      </c>
      <c r="B1686" s="0" t="n">
        <v>3</v>
      </c>
      <c r="C1686" s="19" t="n">
        <v>0</v>
      </c>
      <c r="D1686" s="19" t="n">
        <v>0.0003</v>
      </c>
      <c r="E1686" s="20" t="n">
        <f aca="false">Parametres!$B$5*C1686</f>
        <v>0</v>
      </c>
      <c r="F1686" s="20" t="n">
        <f aca="false">Parametres!$B$6*D1686</f>
        <v>0.06</v>
      </c>
      <c r="G1686" s="20" t="n">
        <f aca="false">E1686+F1686</f>
        <v>0.06</v>
      </c>
      <c r="H1686" s="20" t="n">
        <f aca="false">IF(G1686&lt;Parametres!$B$8*Parametres!$B$7,0,MIN(G1686,Parametres!$B$7))</f>
        <v>0</v>
      </c>
      <c r="I1686" s="20" t="n">
        <f aca="false">G1686-H1686</f>
        <v>0.06</v>
      </c>
      <c r="J1686" s="21" t="n">
        <f aca="false">H1686*1000/Parametres!$B$9</f>
        <v>0</v>
      </c>
    </row>
    <row r="1687" customFormat="false" ht="15" hidden="false" customHeight="false" outlineLevel="0" collapsed="false">
      <c r="A1687" s="0" t="n">
        <v>1683</v>
      </c>
      <c r="B1687" s="0" t="n">
        <v>3</v>
      </c>
      <c r="C1687" s="19" t="n">
        <v>0</v>
      </c>
      <c r="D1687" s="19" t="n">
        <v>0</v>
      </c>
      <c r="E1687" s="20" t="n">
        <f aca="false">Parametres!$B$5*C1687</f>
        <v>0</v>
      </c>
      <c r="F1687" s="20" t="n">
        <f aca="false">Parametres!$B$6*D1687</f>
        <v>0</v>
      </c>
      <c r="G1687" s="20" t="n">
        <f aca="false">E1687+F1687</f>
        <v>0</v>
      </c>
      <c r="H1687" s="20" t="n">
        <f aca="false">IF(G1687&lt;Parametres!$B$8*Parametres!$B$7,0,MIN(G1687,Parametres!$B$7))</f>
        <v>0</v>
      </c>
      <c r="I1687" s="20" t="n">
        <f aca="false">G1687-H1687</f>
        <v>0</v>
      </c>
      <c r="J1687" s="21" t="n">
        <f aca="false">H1687*1000/Parametres!$B$9</f>
        <v>0</v>
      </c>
    </row>
    <row r="1688" customFormat="false" ht="15" hidden="false" customHeight="false" outlineLevel="0" collapsed="false">
      <c r="A1688" s="0" t="n">
        <v>1684</v>
      </c>
      <c r="B1688" s="0" t="n">
        <v>3</v>
      </c>
      <c r="C1688" s="19" t="n">
        <v>0</v>
      </c>
      <c r="D1688" s="19" t="n">
        <v>0</v>
      </c>
      <c r="E1688" s="20" t="n">
        <f aca="false">Parametres!$B$5*C1688</f>
        <v>0</v>
      </c>
      <c r="F1688" s="20" t="n">
        <f aca="false">Parametres!$B$6*D1688</f>
        <v>0</v>
      </c>
      <c r="G1688" s="20" t="n">
        <f aca="false">E1688+F1688</f>
        <v>0</v>
      </c>
      <c r="H1688" s="20" t="n">
        <f aca="false">IF(G1688&lt;Parametres!$B$8*Parametres!$B$7,0,MIN(G1688,Parametres!$B$7))</f>
        <v>0</v>
      </c>
      <c r="I1688" s="20" t="n">
        <f aca="false">G1688-H1688</f>
        <v>0</v>
      </c>
      <c r="J1688" s="21" t="n">
        <f aca="false">H1688*1000/Parametres!$B$9</f>
        <v>0</v>
      </c>
    </row>
    <row r="1689" customFormat="false" ht="15" hidden="false" customHeight="false" outlineLevel="0" collapsed="false">
      <c r="A1689" s="0" t="n">
        <v>1685</v>
      </c>
      <c r="B1689" s="0" t="n">
        <v>3</v>
      </c>
      <c r="C1689" s="19" t="n">
        <v>0</v>
      </c>
      <c r="D1689" s="19" t="n">
        <v>0</v>
      </c>
      <c r="E1689" s="20" t="n">
        <f aca="false">Parametres!$B$5*C1689</f>
        <v>0</v>
      </c>
      <c r="F1689" s="20" t="n">
        <f aca="false">Parametres!$B$6*D1689</f>
        <v>0</v>
      </c>
      <c r="G1689" s="20" t="n">
        <f aca="false">E1689+F1689</f>
        <v>0</v>
      </c>
      <c r="H1689" s="20" t="n">
        <f aca="false">IF(G1689&lt;Parametres!$B$8*Parametres!$B$7,0,MIN(G1689,Parametres!$B$7))</f>
        <v>0</v>
      </c>
      <c r="I1689" s="20" t="n">
        <f aca="false">G1689-H1689</f>
        <v>0</v>
      </c>
      <c r="J1689" s="21" t="n">
        <f aca="false">H1689*1000/Parametres!$B$9</f>
        <v>0</v>
      </c>
    </row>
    <row r="1690" customFormat="false" ht="15" hidden="false" customHeight="false" outlineLevel="0" collapsed="false">
      <c r="A1690" s="0" t="n">
        <v>1686</v>
      </c>
      <c r="B1690" s="0" t="n">
        <v>3</v>
      </c>
      <c r="C1690" s="19" t="n">
        <v>0</v>
      </c>
      <c r="D1690" s="19" t="n">
        <v>0</v>
      </c>
      <c r="E1690" s="20" t="n">
        <f aca="false">Parametres!$B$5*C1690</f>
        <v>0</v>
      </c>
      <c r="F1690" s="20" t="n">
        <f aca="false">Parametres!$B$6*D1690</f>
        <v>0</v>
      </c>
      <c r="G1690" s="20" t="n">
        <f aca="false">E1690+F1690</f>
        <v>0</v>
      </c>
      <c r="H1690" s="20" t="n">
        <f aca="false">IF(G1690&lt;Parametres!$B$8*Parametres!$B$7,0,MIN(G1690,Parametres!$B$7))</f>
        <v>0</v>
      </c>
      <c r="I1690" s="20" t="n">
        <f aca="false">G1690-H1690</f>
        <v>0</v>
      </c>
      <c r="J1690" s="21" t="n">
        <f aca="false">H1690*1000/Parametres!$B$9</f>
        <v>0</v>
      </c>
    </row>
    <row r="1691" customFormat="false" ht="15" hidden="false" customHeight="false" outlineLevel="0" collapsed="false">
      <c r="A1691" s="0" t="n">
        <v>1687</v>
      </c>
      <c r="B1691" s="0" t="n">
        <v>3</v>
      </c>
      <c r="C1691" s="19" t="n">
        <v>0.0825</v>
      </c>
      <c r="D1691" s="19" t="n">
        <v>0</v>
      </c>
      <c r="E1691" s="20" t="n">
        <f aca="false">Parametres!$B$5*C1691</f>
        <v>24.75</v>
      </c>
      <c r="F1691" s="20" t="n">
        <f aca="false">Parametres!$B$6*D1691</f>
        <v>0</v>
      </c>
      <c r="G1691" s="20" t="n">
        <f aca="false">E1691+F1691</f>
        <v>24.75</v>
      </c>
      <c r="H1691" s="20" t="n">
        <f aca="false">IF(G1691&lt;Parametres!$B$8*Parametres!$B$7,0,MIN(G1691,Parametres!$B$7))</f>
        <v>0</v>
      </c>
      <c r="I1691" s="20" t="n">
        <f aca="false">G1691-H1691</f>
        <v>24.75</v>
      </c>
      <c r="J1691" s="21" t="n">
        <f aca="false">H1691*1000/Parametres!$B$9</f>
        <v>0</v>
      </c>
    </row>
    <row r="1692" customFormat="false" ht="15" hidden="false" customHeight="false" outlineLevel="0" collapsed="false">
      <c r="A1692" s="0" t="n">
        <v>1688</v>
      </c>
      <c r="B1692" s="0" t="n">
        <v>3</v>
      </c>
      <c r="C1692" s="19" t="n">
        <v>0.3652</v>
      </c>
      <c r="D1692" s="19" t="n">
        <v>0</v>
      </c>
      <c r="E1692" s="20" t="n">
        <f aca="false">Parametres!$B$5*C1692</f>
        <v>109.56</v>
      </c>
      <c r="F1692" s="20" t="n">
        <f aca="false">Parametres!$B$6*D1692</f>
        <v>0</v>
      </c>
      <c r="G1692" s="20" t="n">
        <f aca="false">E1692+F1692</f>
        <v>109.56</v>
      </c>
      <c r="H1692" s="20" t="n">
        <f aca="false">IF(G1692&lt;Parametres!$B$8*Parametres!$B$7,0,MIN(G1692,Parametres!$B$7))</f>
        <v>109.56</v>
      </c>
      <c r="I1692" s="20" t="n">
        <f aca="false">G1692-H1692</f>
        <v>0</v>
      </c>
      <c r="J1692" s="21" t="n">
        <f aca="false">H1692*1000/Parametres!$B$9</f>
        <v>1857.89384432762</v>
      </c>
    </row>
    <row r="1693" customFormat="false" ht="15" hidden="false" customHeight="false" outlineLevel="0" collapsed="false">
      <c r="A1693" s="0" t="n">
        <v>1689</v>
      </c>
      <c r="B1693" s="0" t="n">
        <v>3</v>
      </c>
      <c r="C1693" s="19" t="n">
        <v>0.6038</v>
      </c>
      <c r="D1693" s="19" t="n">
        <v>0</v>
      </c>
      <c r="E1693" s="20" t="n">
        <f aca="false">Parametres!$B$5*C1693</f>
        <v>181.14</v>
      </c>
      <c r="F1693" s="20" t="n">
        <f aca="false">Parametres!$B$6*D1693</f>
        <v>0</v>
      </c>
      <c r="G1693" s="20" t="n">
        <f aca="false">E1693+F1693</f>
        <v>181.14</v>
      </c>
      <c r="H1693" s="20" t="n">
        <f aca="false">IF(G1693&lt;Parametres!$B$8*Parametres!$B$7,0,MIN(G1693,Parametres!$B$7))</f>
        <v>181.14</v>
      </c>
      <c r="I1693" s="20" t="n">
        <f aca="false">G1693-H1693</f>
        <v>0</v>
      </c>
      <c r="J1693" s="21" t="n">
        <f aca="false">H1693*1000/Parametres!$B$9</f>
        <v>3071.73138884178</v>
      </c>
    </row>
    <row r="1694" customFormat="false" ht="15" hidden="false" customHeight="false" outlineLevel="0" collapsed="false">
      <c r="A1694" s="0" t="n">
        <v>1690</v>
      </c>
      <c r="B1694" s="0" t="n">
        <v>3</v>
      </c>
      <c r="C1694" s="19" t="n">
        <v>0.8968</v>
      </c>
      <c r="D1694" s="19" t="n">
        <v>0</v>
      </c>
      <c r="E1694" s="20" t="n">
        <f aca="false">Parametres!$B$5*C1694</f>
        <v>269.04</v>
      </c>
      <c r="F1694" s="20" t="n">
        <f aca="false">Parametres!$B$6*D1694</f>
        <v>0</v>
      </c>
      <c r="G1694" s="20" t="n">
        <f aca="false">E1694+F1694</f>
        <v>269.04</v>
      </c>
      <c r="H1694" s="20" t="n">
        <f aca="false">IF(G1694&lt;Parametres!$B$8*Parametres!$B$7,0,MIN(G1694,Parametres!$B$7))</f>
        <v>250</v>
      </c>
      <c r="I1694" s="20" t="n">
        <f aca="false">G1694-H1694</f>
        <v>19.04</v>
      </c>
      <c r="J1694" s="21" t="n">
        <f aca="false">H1694*1000/Parametres!$B$9</f>
        <v>4239.44378497541</v>
      </c>
    </row>
    <row r="1695" customFormat="false" ht="15" hidden="false" customHeight="false" outlineLevel="0" collapsed="false">
      <c r="A1695" s="0" t="n">
        <v>1691</v>
      </c>
      <c r="B1695" s="0" t="n">
        <v>3</v>
      </c>
      <c r="C1695" s="19" t="n">
        <v>1</v>
      </c>
      <c r="D1695" s="19" t="n">
        <v>0</v>
      </c>
      <c r="E1695" s="20" t="n">
        <f aca="false">Parametres!$B$5*C1695</f>
        <v>300</v>
      </c>
      <c r="F1695" s="20" t="n">
        <f aca="false">Parametres!$B$6*D1695</f>
        <v>0</v>
      </c>
      <c r="G1695" s="20" t="n">
        <f aca="false">E1695+F1695</f>
        <v>300</v>
      </c>
      <c r="H1695" s="20" t="n">
        <f aca="false">IF(G1695&lt;Parametres!$B$8*Parametres!$B$7,0,MIN(G1695,Parametres!$B$7))</f>
        <v>250</v>
      </c>
      <c r="I1695" s="20" t="n">
        <f aca="false">G1695-H1695</f>
        <v>50</v>
      </c>
      <c r="J1695" s="21" t="n">
        <f aca="false">H1695*1000/Parametres!$B$9</f>
        <v>4239.44378497541</v>
      </c>
    </row>
    <row r="1696" customFormat="false" ht="15" hidden="false" customHeight="false" outlineLevel="0" collapsed="false">
      <c r="A1696" s="0" t="n">
        <v>1692</v>
      </c>
      <c r="B1696" s="0" t="n">
        <v>3</v>
      </c>
      <c r="C1696" s="19" t="n">
        <v>1</v>
      </c>
      <c r="D1696" s="19" t="n">
        <v>0</v>
      </c>
      <c r="E1696" s="20" t="n">
        <f aca="false">Parametres!$B$5*C1696</f>
        <v>300</v>
      </c>
      <c r="F1696" s="20" t="n">
        <f aca="false">Parametres!$B$6*D1696</f>
        <v>0</v>
      </c>
      <c r="G1696" s="20" t="n">
        <f aca="false">E1696+F1696</f>
        <v>300</v>
      </c>
      <c r="H1696" s="20" t="n">
        <f aca="false">IF(G1696&lt;Parametres!$B$8*Parametres!$B$7,0,MIN(G1696,Parametres!$B$7))</f>
        <v>250</v>
      </c>
      <c r="I1696" s="20" t="n">
        <f aca="false">G1696-H1696</f>
        <v>50</v>
      </c>
      <c r="J1696" s="21" t="n">
        <f aca="false">H1696*1000/Parametres!$B$9</f>
        <v>4239.44378497541</v>
      </c>
    </row>
    <row r="1697" customFormat="false" ht="15" hidden="false" customHeight="false" outlineLevel="0" collapsed="false">
      <c r="A1697" s="0" t="n">
        <v>1693</v>
      </c>
      <c r="B1697" s="0" t="n">
        <v>3</v>
      </c>
      <c r="C1697" s="19" t="n">
        <v>1</v>
      </c>
      <c r="D1697" s="19" t="n">
        <v>0.0003</v>
      </c>
      <c r="E1697" s="20" t="n">
        <f aca="false">Parametres!$B$5*C1697</f>
        <v>300</v>
      </c>
      <c r="F1697" s="20" t="n">
        <f aca="false">Parametres!$B$6*D1697</f>
        <v>0.06</v>
      </c>
      <c r="G1697" s="20" t="n">
        <f aca="false">E1697+F1697</f>
        <v>300.06</v>
      </c>
      <c r="H1697" s="20" t="n">
        <f aca="false">IF(G1697&lt;Parametres!$B$8*Parametres!$B$7,0,MIN(G1697,Parametres!$B$7))</f>
        <v>250</v>
      </c>
      <c r="I1697" s="20" t="n">
        <f aca="false">G1697-H1697</f>
        <v>50.06</v>
      </c>
      <c r="J1697" s="21" t="n">
        <f aca="false">H1697*1000/Parametres!$B$9</f>
        <v>4239.44378497541</v>
      </c>
    </row>
    <row r="1698" customFormat="false" ht="15" hidden="false" customHeight="false" outlineLevel="0" collapsed="false">
      <c r="A1698" s="0" t="n">
        <v>1694</v>
      </c>
      <c r="B1698" s="0" t="n">
        <v>3</v>
      </c>
      <c r="C1698" s="19" t="n">
        <v>1</v>
      </c>
      <c r="D1698" s="19" t="n">
        <v>0.0013</v>
      </c>
      <c r="E1698" s="20" t="n">
        <f aca="false">Parametres!$B$5*C1698</f>
        <v>300</v>
      </c>
      <c r="F1698" s="20" t="n">
        <f aca="false">Parametres!$B$6*D1698</f>
        <v>0.26</v>
      </c>
      <c r="G1698" s="20" t="n">
        <f aca="false">E1698+F1698</f>
        <v>300.26</v>
      </c>
      <c r="H1698" s="20" t="n">
        <f aca="false">IF(G1698&lt;Parametres!$B$8*Parametres!$B$7,0,MIN(G1698,Parametres!$B$7))</f>
        <v>250</v>
      </c>
      <c r="I1698" s="20" t="n">
        <f aca="false">G1698-H1698</f>
        <v>50.26</v>
      </c>
      <c r="J1698" s="21" t="n">
        <f aca="false">H1698*1000/Parametres!$B$9</f>
        <v>4239.44378497541</v>
      </c>
    </row>
    <row r="1699" customFormat="false" ht="15" hidden="false" customHeight="false" outlineLevel="0" collapsed="false">
      <c r="A1699" s="0" t="n">
        <v>1695</v>
      </c>
      <c r="B1699" s="0" t="n">
        <v>3</v>
      </c>
      <c r="C1699" s="19" t="n">
        <v>0.9175</v>
      </c>
      <c r="D1699" s="19" t="n">
        <v>0.0111</v>
      </c>
      <c r="E1699" s="20" t="n">
        <f aca="false">Parametres!$B$5*C1699</f>
        <v>275.25</v>
      </c>
      <c r="F1699" s="20" t="n">
        <f aca="false">Parametres!$B$6*D1699</f>
        <v>2.22</v>
      </c>
      <c r="G1699" s="20" t="n">
        <f aca="false">E1699+F1699</f>
        <v>277.47</v>
      </c>
      <c r="H1699" s="20" t="n">
        <f aca="false">IF(G1699&lt;Parametres!$B$8*Parametres!$B$7,0,MIN(G1699,Parametres!$B$7))</f>
        <v>250</v>
      </c>
      <c r="I1699" s="20" t="n">
        <f aca="false">G1699-H1699</f>
        <v>27.47</v>
      </c>
      <c r="J1699" s="21" t="n">
        <f aca="false">H1699*1000/Parametres!$B$9</f>
        <v>4239.44378497541</v>
      </c>
    </row>
    <row r="1700" customFormat="false" ht="15" hidden="false" customHeight="false" outlineLevel="0" collapsed="false">
      <c r="A1700" s="0" t="n">
        <v>1696</v>
      </c>
      <c r="B1700" s="0" t="n">
        <v>3</v>
      </c>
      <c r="C1700" s="19" t="n">
        <v>0.6682</v>
      </c>
      <c r="D1700" s="19" t="n">
        <v>0.0524</v>
      </c>
      <c r="E1700" s="20" t="n">
        <f aca="false">Parametres!$B$5*C1700</f>
        <v>200.46</v>
      </c>
      <c r="F1700" s="20" t="n">
        <f aca="false">Parametres!$B$6*D1700</f>
        <v>10.48</v>
      </c>
      <c r="G1700" s="20" t="n">
        <f aca="false">E1700+F1700</f>
        <v>210.94</v>
      </c>
      <c r="H1700" s="20" t="n">
        <f aca="false">IF(G1700&lt;Parametres!$B$8*Parametres!$B$7,0,MIN(G1700,Parametres!$B$7))</f>
        <v>210.94</v>
      </c>
      <c r="I1700" s="20" t="n">
        <f aca="false">G1700-H1700</f>
        <v>0</v>
      </c>
      <c r="J1700" s="21" t="n">
        <f aca="false">H1700*1000/Parametres!$B$9</f>
        <v>3577.07308801085</v>
      </c>
    </row>
    <row r="1701" customFormat="false" ht="15" hidden="false" customHeight="false" outlineLevel="0" collapsed="false">
      <c r="A1701" s="0" t="n">
        <v>1697</v>
      </c>
      <c r="B1701" s="0" t="n">
        <v>3</v>
      </c>
      <c r="C1701" s="19" t="n">
        <v>0.3427</v>
      </c>
      <c r="D1701" s="19" t="n">
        <v>0.0312</v>
      </c>
      <c r="E1701" s="20" t="n">
        <f aca="false">Parametres!$B$5*C1701</f>
        <v>102.81</v>
      </c>
      <c r="F1701" s="20" t="n">
        <f aca="false">Parametres!$B$6*D1701</f>
        <v>6.24</v>
      </c>
      <c r="G1701" s="20" t="n">
        <f aca="false">E1701+F1701</f>
        <v>109.05</v>
      </c>
      <c r="H1701" s="20" t="n">
        <f aca="false">IF(G1701&lt;Parametres!$B$8*Parametres!$B$7,0,MIN(G1701,Parametres!$B$7))</f>
        <v>109.05</v>
      </c>
      <c r="I1701" s="20" t="n">
        <f aca="false">G1701-H1701</f>
        <v>0</v>
      </c>
      <c r="J1701" s="21" t="n">
        <f aca="false">H1701*1000/Parametres!$B$9</f>
        <v>1849.24537900627</v>
      </c>
    </row>
    <row r="1702" customFormat="false" ht="15" hidden="false" customHeight="false" outlineLevel="0" collapsed="false">
      <c r="A1702" s="0" t="n">
        <v>1698</v>
      </c>
      <c r="B1702" s="0" t="n">
        <v>3</v>
      </c>
      <c r="C1702" s="19" t="n">
        <v>0.0785</v>
      </c>
      <c r="D1702" s="19" t="n">
        <v>0.0219</v>
      </c>
      <c r="E1702" s="20" t="n">
        <f aca="false">Parametres!$B$5*C1702</f>
        <v>23.55</v>
      </c>
      <c r="F1702" s="20" t="n">
        <f aca="false">Parametres!$B$6*D1702</f>
        <v>4.38</v>
      </c>
      <c r="G1702" s="20" t="n">
        <f aca="false">E1702+F1702</f>
        <v>27.93</v>
      </c>
      <c r="H1702" s="20" t="n">
        <f aca="false">IF(G1702&lt;Parametres!$B$8*Parametres!$B$7,0,MIN(G1702,Parametres!$B$7))</f>
        <v>27.93</v>
      </c>
      <c r="I1702" s="20" t="n">
        <f aca="false">G1702-H1702</f>
        <v>0</v>
      </c>
      <c r="J1702" s="21" t="n">
        <f aca="false">H1702*1000/Parametres!$B$9</f>
        <v>473.630659657453</v>
      </c>
    </row>
    <row r="1703" customFormat="false" ht="15" hidden="false" customHeight="false" outlineLevel="0" collapsed="false">
      <c r="A1703" s="0" t="n">
        <v>1699</v>
      </c>
      <c r="B1703" s="0" t="n">
        <v>3</v>
      </c>
      <c r="C1703" s="19" t="n">
        <v>0</v>
      </c>
      <c r="D1703" s="19" t="n">
        <v>0.0397</v>
      </c>
      <c r="E1703" s="20" t="n">
        <f aca="false">Parametres!$B$5*C1703</f>
        <v>0</v>
      </c>
      <c r="F1703" s="20" t="n">
        <f aca="false">Parametres!$B$6*D1703</f>
        <v>7.94</v>
      </c>
      <c r="G1703" s="20" t="n">
        <f aca="false">E1703+F1703</f>
        <v>7.94</v>
      </c>
      <c r="H1703" s="20" t="n">
        <f aca="false">IF(G1703&lt;Parametres!$B$8*Parametres!$B$7,0,MIN(G1703,Parametres!$B$7))</f>
        <v>0</v>
      </c>
      <c r="I1703" s="20" t="n">
        <f aca="false">G1703-H1703</f>
        <v>7.94</v>
      </c>
      <c r="J1703" s="21" t="n">
        <f aca="false">H1703*1000/Parametres!$B$9</f>
        <v>0</v>
      </c>
    </row>
    <row r="1704" customFormat="false" ht="15" hidden="false" customHeight="false" outlineLevel="0" collapsed="false">
      <c r="A1704" s="0" t="n">
        <v>1700</v>
      </c>
      <c r="B1704" s="0" t="n">
        <v>3</v>
      </c>
      <c r="C1704" s="19" t="n">
        <v>0</v>
      </c>
      <c r="D1704" s="19" t="n">
        <v>0.0405</v>
      </c>
      <c r="E1704" s="20" t="n">
        <f aca="false">Parametres!$B$5*C1704</f>
        <v>0</v>
      </c>
      <c r="F1704" s="20" t="n">
        <f aca="false">Parametres!$B$6*D1704</f>
        <v>8.1</v>
      </c>
      <c r="G1704" s="20" t="n">
        <f aca="false">E1704+F1704</f>
        <v>8.1</v>
      </c>
      <c r="H1704" s="20" t="n">
        <f aca="false">IF(G1704&lt;Parametres!$B$8*Parametres!$B$7,0,MIN(G1704,Parametres!$B$7))</f>
        <v>0</v>
      </c>
      <c r="I1704" s="20" t="n">
        <f aca="false">G1704-H1704</f>
        <v>8.1</v>
      </c>
      <c r="J1704" s="21" t="n">
        <f aca="false">H1704*1000/Parametres!$B$9</f>
        <v>0</v>
      </c>
    </row>
    <row r="1705" customFormat="false" ht="15" hidden="false" customHeight="false" outlineLevel="0" collapsed="false">
      <c r="A1705" s="0" t="n">
        <v>1701</v>
      </c>
      <c r="B1705" s="0" t="n">
        <v>3</v>
      </c>
      <c r="C1705" s="19" t="n">
        <v>0</v>
      </c>
      <c r="D1705" s="19" t="n">
        <v>0.0407</v>
      </c>
      <c r="E1705" s="20" t="n">
        <f aca="false">Parametres!$B$5*C1705</f>
        <v>0</v>
      </c>
      <c r="F1705" s="20" t="n">
        <f aca="false">Parametres!$B$6*D1705</f>
        <v>8.14</v>
      </c>
      <c r="G1705" s="20" t="n">
        <f aca="false">E1705+F1705</f>
        <v>8.14</v>
      </c>
      <c r="H1705" s="20" t="n">
        <f aca="false">IF(G1705&lt;Parametres!$B$8*Parametres!$B$7,0,MIN(G1705,Parametres!$B$7))</f>
        <v>0</v>
      </c>
      <c r="I1705" s="20" t="n">
        <f aca="false">G1705-H1705</f>
        <v>8.14</v>
      </c>
      <c r="J1705" s="21" t="n">
        <f aca="false">H1705*1000/Parametres!$B$9</f>
        <v>0</v>
      </c>
    </row>
    <row r="1706" customFormat="false" ht="15" hidden="false" customHeight="false" outlineLevel="0" collapsed="false">
      <c r="A1706" s="0" t="n">
        <v>1702</v>
      </c>
      <c r="B1706" s="0" t="n">
        <v>3</v>
      </c>
      <c r="C1706" s="19" t="n">
        <v>0</v>
      </c>
      <c r="D1706" s="19" t="n">
        <v>0.0617</v>
      </c>
      <c r="E1706" s="20" t="n">
        <f aca="false">Parametres!$B$5*C1706</f>
        <v>0</v>
      </c>
      <c r="F1706" s="20" t="n">
        <f aca="false">Parametres!$B$6*D1706</f>
        <v>12.34</v>
      </c>
      <c r="G1706" s="20" t="n">
        <f aca="false">E1706+F1706</f>
        <v>12.34</v>
      </c>
      <c r="H1706" s="20" t="n">
        <f aca="false">IF(G1706&lt;Parametres!$B$8*Parametres!$B$7,0,MIN(G1706,Parametres!$B$7))</f>
        <v>0</v>
      </c>
      <c r="I1706" s="20" t="n">
        <f aca="false">G1706-H1706</f>
        <v>12.34</v>
      </c>
      <c r="J1706" s="21" t="n">
        <f aca="false">H1706*1000/Parametres!$B$9</f>
        <v>0</v>
      </c>
    </row>
    <row r="1707" customFormat="false" ht="15" hidden="false" customHeight="false" outlineLevel="0" collapsed="false">
      <c r="A1707" s="0" t="n">
        <v>1703</v>
      </c>
      <c r="B1707" s="0" t="n">
        <v>3</v>
      </c>
      <c r="C1707" s="19" t="n">
        <v>0</v>
      </c>
      <c r="D1707" s="19" t="n">
        <v>0.0781</v>
      </c>
      <c r="E1707" s="20" t="n">
        <f aca="false">Parametres!$B$5*C1707</f>
        <v>0</v>
      </c>
      <c r="F1707" s="20" t="n">
        <f aca="false">Parametres!$B$6*D1707</f>
        <v>15.62</v>
      </c>
      <c r="G1707" s="20" t="n">
        <f aca="false">E1707+F1707</f>
        <v>15.62</v>
      </c>
      <c r="H1707" s="20" t="n">
        <f aca="false">IF(G1707&lt;Parametres!$B$8*Parametres!$B$7,0,MIN(G1707,Parametres!$B$7))</f>
        <v>0</v>
      </c>
      <c r="I1707" s="20" t="n">
        <f aca="false">G1707-H1707</f>
        <v>15.62</v>
      </c>
      <c r="J1707" s="21" t="n">
        <f aca="false">H1707*1000/Parametres!$B$9</f>
        <v>0</v>
      </c>
    </row>
    <row r="1708" customFormat="false" ht="15" hidden="false" customHeight="false" outlineLevel="0" collapsed="false">
      <c r="A1708" s="0" t="n">
        <v>1704</v>
      </c>
      <c r="B1708" s="0" t="n">
        <v>3</v>
      </c>
      <c r="C1708" s="19" t="n">
        <v>0</v>
      </c>
      <c r="D1708" s="19" t="n">
        <v>0.0506</v>
      </c>
      <c r="E1708" s="20" t="n">
        <f aca="false">Parametres!$B$5*C1708</f>
        <v>0</v>
      </c>
      <c r="F1708" s="20" t="n">
        <f aca="false">Parametres!$B$6*D1708</f>
        <v>10.12</v>
      </c>
      <c r="G1708" s="20" t="n">
        <f aca="false">E1708+F1708</f>
        <v>10.12</v>
      </c>
      <c r="H1708" s="20" t="n">
        <f aca="false">IF(G1708&lt;Parametres!$B$8*Parametres!$B$7,0,MIN(G1708,Parametres!$B$7))</f>
        <v>0</v>
      </c>
      <c r="I1708" s="20" t="n">
        <f aca="false">G1708-H1708</f>
        <v>10.12</v>
      </c>
      <c r="J1708" s="21" t="n">
        <f aca="false">H1708*1000/Parametres!$B$9</f>
        <v>0</v>
      </c>
    </row>
    <row r="1709" customFormat="false" ht="15" hidden="false" customHeight="false" outlineLevel="0" collapsed="false">
      <c r="A1709" s="0" t="n">
        <v>1705</v>
      </c>
      <c r="B1709" s="0" t="n">
        <v>3</v>
      </c>
      <c r="C1709" s="19" t="n">
        <v>0</v>
      </c>
      <c r="D1709" s="19" t="n">
        <v>0.0457</v>
      </c>
      <c r="E1709" s="20" t="n">
        <f aca="false">Parametres!$B$5*C1709</f>
        <v>0</v>
      </c>
      <c r="F1709" s="20" t="n">
        <f aca="false">Parametres!$B$6*D1709</f>
        <v>9.14</v>
      </c>
      <c r="G1709" s="20" t="n">
        <f aca="false">E1709+F1709</f>
        <v>9.14</v>
      </c>
      <c r="H1709" s="20" t="n">
        <f aca="false">IF(G1709&lt;Parametres!$B$8*Parametres!$B$7,0,MIN(G1709,Parametres!$B$7))</f>
        <v>0</v>
      </c>
      <c r="I1709" s="20" t="n">
        <f aca="false">G1709-H1709</f>
        <v>9.14</v>
      </c>
      <c r="J1709" s="21" t="n">
        <f aca="false">H1709*1000/Parametres!$B$9</f>
        <v>0</v>
      </c>
    </row>
    <row r="1710" customFormat="false" ht="15" hidden="false" customHeight="false" outlineLevel="0" collapsed="false">
      <c r="A1710" s="0" t="n">
        <v>1706</v>
      </c>
      <c r="B1710" s="0" t="n">
        <v>3</v>
      </c>
      <c r="C1710" s="19" t="n">
        <v>0</v>
      </c>
      <c r="D1710" s="19" t="n">
        <v>0.0244</v>
      </c>
      <c r="E1710" s="20" t="n">
        <f aca="false">Parametres!$B$5*C1710</f>
        <v>0</v>
      </c>
      <c r="F1710" s="20" t="n">
        <f aca="false">Parametres!$B$6*D1710</f>
        <v>4.88</v>
      </c>
      <c r="G1710" s="20" t="n">
        <f aca="false">E1710+F1710</f>
        <v>4.88</v>
      </c>
      <c r="H1710" s="20" t="n">
        <f aca="false">IF(G1710&lt;Parametres!$B$8*Parametres!$B$7,0,MIN(G1710,Parametres!$B$7))</f>
        <v>0</v>
      </c>
      <c r="I1710" s="20" t="n">
        <f aca="false">G1710-H1710</f>
        <v>4.88</v>
      </c>
      <c r="J1710" s="21" t="n">
        <f aca="false">H1710*1000/Parametres!$B$9</f>
        <v>0</v>
      </c>
    </row>
    <row r="1711" customFormat="false" ht="15" hidden="false" customHeight="false" outlineLevel="0" collapsed="false">
      <c r="A1711" s="0" t="n">
        <v>1707</v>
      </c>
      <c r="B1711" s="0" t="n">
        <v>3</v>
      </c>
      <c r="C1711" s="19" t="n">
        <v>0</v>
      </c>
      <c r="D1711" s="19" t="n">
        <v>0.0184</v>
      </c>
      <c r="E1711" s="20" t="n">
        <f aca="false">Parametres!$B$5*C1711</f>
        <v>0</v>
      </c>
      <c r="F1711" s="20" t="n">
        <f aca="false">Parametres!$B$6*D1711</f>
        <v>3.68</v>
      </c>
      <c r="G1711" s="20" t="n">
        <f aca="false">E1711+F1711</f>
        <v>3.68</v>
      </c>
      <c r="H1711" s="20" t="n">
        <f aca="false">IF(G1711&lt;Parametres!$B$8*Parametres!$B$7,0,MIN(G1711,Parametres!$B$7))</f>
        <v>0</v>
      </c>
      <c r="I1711" s="20" t="n">
        <f aca="false">G1711-H1711</f>
        <v>3.68</v>
      </c>
      <c r="J1711" s="21" t="n">
        <f aca="false">H1711*1000/Parametres!$B$9</f>
        <v>0</v>
      </c>
    </row>
    <row r="1712" customFormat="false" ht="15" hidden="false" customHeight="false" outlineLevel="0" collapsed="false">
      <c r="A1712" s="0" t="n">
        <v>1708</v>
      </c>
      <c r="B1712" s="0" t="n">
        <v>3</v>
      </c>
      <c r="C1712" s="19" t="n">
        <v>0</v>
      </c>
      <c r="D1712" s="19" t="n">
        <v>0.0065</v>
      </c>
      <c r="E1712" s="20" t="n">
        <f aca="false">Parametres!$B$5*C1712</f>
        <v>0</v>
      </c>
      <c r="F1712" s="20" t="n">
        <f aca="false">Parametres!$B$6*D1712</f>
        <v>1.3</v>
      </c>
      <c r="G1712" s="20" t="n">
        <f aca="false">E1712+F1712</f>
        <v>1.3</v>
      </c>
      <c r="H1712" s="20" t="n">
        <f aca="false">IF(G1712&lt;Parametres!$B$8*Parametres!$B$7,0,MIN(G1712,Parametres!$B$7))</f>
        <v>0</v>
      </c>
      <c r="I1712" s="20" t="n">
        <f aca="false">G1712-H1712</f>
        <v>1.3</v>
      </c>
      <c r="J1712" s="21" t="n">
        <f aca="false">H1712*1000/Parametres!$B$9</f>
        <v>0</v>
      </c>
    </row>
    <row r="1713" customFormat="false" ht="15" hidden="false" customHeight="false" outlineLevel="0" collapsed="false">
      <c r="A1713" s="0" t="n">
        <v>1709</v>
      </c>
      <c r="B1713" s="0" t="n">
        <v>3</v>
      </c>
      <c r="C1713" s="19" t="n">
        <v>0</v>
      </c>
      <c r="D1713" s="19" t="n">
        <v>0.0004</v>
      </c>
      <c r="E1713" s="20" t="n">
        <f aca="false">Parametres!$B$5*C1713</f>
        <v>0</v>
      </c>
      <c r="F1713" s="20" t="n">
        <f aca="false">Parametres!$B$6*D1713</f>
        <v>0.08</v>
      </c>
      <c r="G1713" s="20" t="n">
        <f aca="false">E1713+F1713</f>
        <v>0.08</v>
      </c>
      <c r="H1713" s="20" t="n">
        <f aca="false">IF(G1713&lt;Parametres!$B$8*Parametres!$B$7,0,MIN(G1713,Parametres!$B$7))</f>
        <v>0</v>
      </c>
      <c r="I1713" s="20" t="n">
        <f aca="false">G1713-H1713</f>
        <v>0.08</v>
      </c>
      <c r="J1713" s="21" t="n">
        <f aca="false">H1713*1000/Parametres!$B$9</f>
        <v>0</v>
      </c>
    </row>
    <row r="1714" customFormat="false" ht="15" hidden="false" customHeight="false" outlineLevel="0" collapsed="false">
      <c r="A1714" s="0" t="n">
        <v>1710</v>
      </c>
      <c r="B1714" s="0" t="n">
        <v>3</v>
      </c>
      <c r="C1714" s="19" t="n">
        <v>0</v>
      </c>
      <c r="D1714" s="19" t="n">
        <v>0.0001</v>
      </c>
      <c r="E1714" s="20" t="n">
        <f aca="false">Parametres!$B$5*C1714</f>
        <v>0</v>
      </c>
      <c r="F1714" s="20" t="n">
        <f aca="false">Parametres!$B$6*D1714</f>
        <v>0.02</v>
      </c>
      <c r="G1714" s="20" t="n">
        <f aca="false">E1714+F1714</f>
        <v>0.02</v>
      </c>
      <c r="H1714" s="20" t="n">
        <f aca="false">IF(G1714&lt;Parametres!$B$8*Parametres!$B$7,0,MIN(G1714,Parametres!$B$7))</f>
        <v>0</v>
      </c>
      <c r="I1714" s="20" t="n">
        <f aca="false">G1714-H1714</f>
        <v>0.02</v>
      </c>
      <c r="J1714" s="21" t="n">
        <f aca="false">H1714*1000/Parametres!$B$9</f>
        <v>0</v>
      </c>
    </row>
    <row r="1715" customFormat="false" ht="15" hidden="false" customHeight="false" outlineLevel="0" collapsed="false">
      <c r="A1715" s="0" t="n">
        <v>1711</v>
      </c>
      <c r="B1715" s="0" t="n">
        <v>3</v>
      </c>
      <c r="C1715" s="19" t="n">
        <v>0.0664</v>
      </c>
      <c r="D1715" s="19" t="n">
        <v>0</v>
      </c>
      <c r="E1715" s="20" t="n">
        <f aca="false">Parametres!$B$5*C1715</f>
        <v>19.92</v>
      </c>
      <c r="F1715" s="20" t="n">
        <f aca="false">Parametres!$B$6*D1715</f>
        <v>0</v>
      </c>
      <c r="G1715" s="20" t="n">
        <f aca="false">E1715+F1715</f>
        <v>19.92</v>
      </c>
      <c r="H1715" s="20" t="n">
        <f aca="false">IF(G1715&lt;Parametres!$B$8*Parametres!$B$7,0,MIN(G1715,Parametres!$B$7))</f>
        <v>0</v>
      </c>
      <c r="I1715" s="20" t="n">
        <f aca="false">G1715-H1715</f>
        <v>19.92</v>
      </c>
      <c r="J1715" s="21" t="n">
        <f aca="false">H1715*1000/Parametres!$B$9</f>
        <v>0</v>
      </c>
    </row>
    <row r="1716" customFormat="false" ht="15" hidden="false" customHeight="false" outlineLevel="0" collapsed="false">
      <c r="A1716" s="0" t="n">
        <v>1712</v>
      </c>
      <c r="B1716" s="0" t="n">
        <v>3</v>
      </c>
      <c r="C1716" s="19" t="n">
        <v>0.3046</v>
      </c>
      <c r="D1716" s="19" t="n">
        <v>0.0007</v>
      </c>
      <c r="E1716" s="20" t="n">
        <f aca="false">Parametres!$B$5*C1716</f>
        <v>91.38</v>
      </c>
      <c r="F1716" s="20" t="n">
        <f aca="false">Parametres!$B$6*D1716</f>
        <v>0.14</v>
      </c>
      <c r="G1716" s="20" t="n">
        <f aca="false">E1716+F1716</f>
        <v>91.52</v>
      </c>
      <c r="H1716" s="20" t="n">
        <f aca="false">IF(G1716&lt;Parametres!$B$8*Parametres!$B$7,0,MIN(G1716,Parametres!$B$7))</f>
        <v>91.52</v>
      </c>
      <c r="I1716" s="20" t="n">
        <f aca="false">G1716-H1716</f>
        <v>0</v>
      </c>
      <c r="J1716" s="21" t="n">
        <f aca="false">H1716*1000/Parametres!$B$9</f>
        <v>1551.9755808038</v>
      </c>
    </row>
    <row r="1717" customFormat="false" ht="15" hidden="false" customHeight="false" outlineLevel="0" collapsed="false">
      <c r="A1717" s="0" t="n">
        <v>1713</v>
      </c>
      <c r="B1717" s="0" t="n">
        <v>3</v>
      </c>
      <c r="C1717" s="19" t="n">
        <v>0.562</v>
      </c>
      <c r="D1717" s="19" t="n">
        <v>0.0075</v>
      </c>
      <c r="E1717" s="20" t="n">
        <f aca="false">Parametres!$B$5*C1717</f>
        <v>168.6</v>
      </c>
      <c r="F1717" s="20" t="n">
        <f aca="false">Parametres!$B$6*D1717</f>
        <v>1.5</v>
      </c>
      <c r="G1717" s="20" t="n">
        <f aca="false">E1717+F1717</f>
        <v>170.1</v>
      </c>
      <c r="H1717" s="20" t="n">
        <f aca="false">IF(G1717&lt;Parametres!$B$8*Parametres!$B$7,0,MIN(G1717,Parametres!$B$7))</f>
        <v>170.1</v>
      </c>
      <c r="I1717" s="20" t="n">
        <f aca="false">G1717-H1717</f>
        <v>0</v>
      </c>
      <c r="J1717" s="21" t="n">
        <f aca="false">H1717*1000/Parametres!$B$9</f>
        <v>2884.51755129727</v>
      </c>
    </row>
    <row r="1718" customFormat="false" ht="15" hidden="false" customHeight="false" outlineLevel="0" collapsed="false">
      <c r="A1718" s="0" t="n">
        <v>1714</v>
      </c>
      <c r="B1718" s="0" t="n">
        <v>3</v>
      </c>
      <c r="C1718" s="19" t="n">
        <v>0.7871</v>
      </c>
      <c r="D1718" s="19" t="n">
        <v>0.01</v>
      </c>
      <c r="E1718" s="20" t="n">
        <f aca="false">Parametres!$B$5*C1718</f>
        <v>236.13</v>
      </c>
      <c r="F1718" s="20" t="n">
        <f aca="false">Parametres!$B$6*D1718</f>
        <v>2</v>
      </c>
      <c r="G1718" s="20" t="n">
        <f aca="false">E1718+F1718</f>
        <v>238.13</v>
      </c>
      <c r="H1718" s="20" t="n">
        <f aca="false">IF(G1718&lt;Parametres!$B$8*Parametres!$B$7,0,MIN(G1718,Parametres!$B$7))</f>
        <v>238.13</v>
      </c>
      <c r="I1718" s="20" t="n">
        <f aca="false">G1718-H1718</f>
        <v>0</v>
      </c>
      <c r="J1718" s="21" t="n">
        <f aca="false">H1718*1000/Parametres!$B$9</f>
        <v>4038.15499406478</v>
      </c>
    </row>
    <row r="1719" customFormat="false" ht="15" hidden="false" customHeight="false" outlineLevel="0" collapsed="false">
      <c r="A1719" s="0" t="n">
        <v>1715</v>
      </c>
      <c r="B1719" s="0" t="n">
        <v>3</v>
      </c>
      <c r="C1719" s="19" t="n">
        <v>0.8793</v>
      </c>
      <c r="D1719" s="19" t="n">
        <v>0.019</v>
      </c>
      <c r="E1719" s="20" t="n">
        <f aca="false">Parametres!$B$5*C1719</f>
        <v>263.79</v>
      </c>
      <c r="F1719" s="20" t="n">
        <f aca="false">Parametres!$B$6*D1719</f>
        <v>3.8</v>
      </c>
      <c r="G1719" s="20" t="n">
        <f aca="false">E1719+F1719</f>
        <v>267.59</v>
      </c>
      <c r="H1719" s="20" t="n">
        <f aca="false">IF(G1719&lt;Parametres!$B$8*Parametres!$B$7,0,MIN(G1719,Parametres!$B$7))</f>
        <v>250</v>
      </c>
      <c r="I1719" s="20" t="n">
        <f aca="false">G1719-H1719</f>
        <v>17.59</v>
      </c>
      <c r="J1719" s="21" t="n">
        <f aca="false">H1719*1000/Parametres!$B$9</f>
        <v>4239.44378497541</v>
      </c>
    </row>
    <row r="1720" customFormat="false" ht="15" hidden="false" customHeight="false" outlineLevel="0" collapsed="false">
      <c r="A1720" s="0" t="n">
        <v>1716</v>
      </c>
      <c r="B1720" s="0" t="n">
        <v>3</v>
      </c>
      <c r="C1720" s="19" t="n">
        <v>1</v>
      </c>
      <c r="D1720" s="19" t="n">
        <v>0.0142</v>
      </c>
      <c r="E1720" s="20" t="n">
        <f aca="false">Parametres!$B$5*C1720</f>
        <v>300</v>
      </c>
      <c r="F1720" s="20" t="n">
        <f aca="false">Parametres!$B$6*D1720</f>
        <v>2.84</v>
      </c>
      <c r="G1720" s="20" t="n">
        <f aca="false">E1720+F1720</f>
        <v>302.84</v>
      </c>
      <c r="H1720" s="20" t="n">
        <f aca="false">IF(G1720&lt;Parametres!$B$8*Parametres!$B$7,0,MIN(G1720,Parametres!$B$7))</f>
        <v>250</v>
      </c>
      <c r="I1720" s="20" t="n">
        <f aca="false">G1720-H1720</f>
        <v>52.84</v>
      </c>
      <c r="J1720" s="21" t="n">
        <f aca="false">H1720*1000/Parametres!$B$9</f>
        <v>4239.44378497541</v>
      </c>
    </row>
    <row r="1721" customFormat="false" ht="15" hidden="false" customHeight="false" outlineLevel="0" collapsed="false">
      <c r="A1721" s="0" t="n">
        <v>1717</v>
      </c>
      <c r="B1721" s="0" t="n">
        <v>3</v>
      </c>
      <c r="C1721" s="19" t="n">
        <v>1</v>
      </c>
      <c r="D1721" s="19" t="n">
        <v>0.0075</v>
      </c>
      <c r="E1721" s="20" t="n">
        <f aca="false">Parametres!$B$5*C1721</f>
        <v>300</v>
      </c>
      <c r="F1721" s="20" t="n">
        <f aca="false">Parametres!$B$6*D1721</f>
        <v>1.5</v>
      </c>
      <c r="G1721" s="20" t="n">
        <f aca="false">E1721+F1721</f>
        <v>301.5</v>
      </c>
      <c r="H1721" s="20" t="n">
        <f aca="false">IF(G1721&lt;Parametres!$B$8*Parametres!$B$7,0,MIN(G1721,Parametres!$B$7))</f>
        <v>250</v>
      </c>
      <c r="I1721" s="20" t="n">
        <f aca="false">G1721-H1721</f>
        <v>51.5</v>
      </c>
      <c r="J1721" s="21" t="n">
        <f aca="false">H1721*1000/Parametres!$B$9</f>
        <v>4239.44378497541</v>
      </c>
    </row>
    <row r="1722" customFormat="false" ht="15" hidden="false" customHeight="false" outlineLevel="0" collapsed="false">
      <c r="A1722" s="0" t="n">
        <v>1718</v>
      </c>
      <c r="B1722" s="0" t="n">
        <v>3</v>
      </c>
      <c r="C1722" s="19" t="n">
        <v>0.9057</v>
      </c>
      <c r="D1722" s="19" t="n">
        <v>0.0071</v>
      </c>
      <c r="E1722" s="20" t="n">
        <f aca="false">Parametres!$B$5*C1722</f>
        <v>271.71</v>
      </c>
      <c r="F1722" s="20" t="n">
        <f aca="false">Parametres!$B$6*D1722</f>
        <v>1.42</v>
      </c>
      <c r="G1722" s="20" t="n">
        <f aca="false">E1722+F1722</f>
        <v>273.13</v>
      </c>
      <c r="H1722" s="20" t="n">
        <f aca="false">IF(G1722&lt;Parametres!$B$8*Parametres!$B$7,0,MIN(G1722,Parametres!$B$7))</f>
        <v>250</v>
      </c>
      <c r="I1722" s="20" t="n">
        <f aca="false">G1722-H1722</f>
        <v>23.13</v>
      </c>
      <c r="J1722" s="21" t="n">
        <f aca="false">H1722*1000/Parametres!$B$9</f>
        <v>4239.44378497541</v>
      </c>
    </row>
    <row r="1723" customFormat="false" ht="15" hidden="false" customHeight="false" outlineLevel="0" collapsed="false">
      <c r="A1723" s="0" t="n">
        <v>1719</v>
      </c>
      <c r="B1723" s="0" t="n">
        <v>3</v>
      </c>
      <c r="C1723" s="19" t="n">
        <v>0.7317</v>
      </c>
      <c r="D1723" s="19" t="n">
        <v>0.0063</v>
      </c>
      <c r="E1723" s="20" t="n">
        <f aca="false">Parametres!$B$5*C1723</f>
        <v>219.51</v>
      </c>
      <c r="F1723" s="20" t="n">
        <f aca="false">Parametres!$B$6*D1723</f>
        <v>1.26</v>
      </c>
      <c r="G1723" s="20" t="n">
        <f aca="false">E1723+F1723</f>
        <v>220.77</v>
      </c>
      <c r="H1723" s="20" t="n">
        <f aca="false">IF(G1723&lt;Parametres!$B$8*Parametres!$B$7,0,MIN(G1723,Parametres!$B$7))</f>
        <v>220.77</v>
      </c>
      <c r="I1723" s="20" t="n">
        <f aca="false">G1723-H1723</f>
        <v>0</v>
      </c>
      <c r="J1723" s="21" t="n">
        <f aca="false">H1723*1000/Parametres!$B$9</f>
        <v>3743.76801763609</v>
      </c>
    </row>
    <row r="1724" customFormat="false" ht="15" hidden="false" customHeight="false" outlineLevel="0" collapsed="false">
      <c r="A1724" s="0" t="n">
        <v>1720</v>
      </c>
      <c r="B1724" s="0" t="n">
        <v>3</v>
      </c>
      <c r="C1724" s="19" t="n">
        <v>0.5304</v>
      </c>
      <c r="D1724" s="19" t="n">
        <v>0.0098</v>
      </c>
      <c r="E1724" s="20" t="n">
        <f aca="false">Parametres!$B$5*C1724</f>
        <v>159.12</v>
      </c>
      <c r="F1724" s="20" t="n">
        <f aca="false">Parametres!$B$6*D1724</f>
        <v>1.96</v>
      </c>
      <c r="G1724" s="20" t="n">
        <f aca="false">E1724+F1724</f>
        <v>161.08</v>
      </c>
      <c r="H1724" s="20" t="n">
        <f aca="false">IF(G1724&lt;Parametres!$B$8*Parametres!$B$7,0,MIN(G1724,Parametres!$B$7))</f>
        <v>161.08</v>
      </c>
      <c r="I1724" s="20" t="n">
        <f aca="false">G1724-H1724</f>
        <v>0</v>
      </c>
      <c r="J1724" s="21" t="n">
        <f aca="false">H1724*1000/Parametres!$B$9</f>
        <v>2731.55841953536</v>
      </c>
    </row>
    <row r="1725" customFormat="false" ht="15" hidden="false" customHeight="false" outlineLevel="0" collapsed="false">
      <c r="A1725" s="0" t="n">
        <v>1721</v>
      </c>
      <c r="B1725" s="0" t="n">
        <v>3</v>
      </c>
      <c r="C1725" s="19" t="n">
        <v>0.3027</v>
      </c>
      <c r="D1725" s="19" t="n">
        <v>0.0118</v>
      </c>
      <c r="E1725" s="20" t="n">
        <f aca="false">Parametres!$B$5*C1725</f>
        <v>90.81</v>
      </c>
      <c r="F1725" s="20" t="n">
        <f aca="false">Parametres!$B$6*D1725</f>
        <v>2.36</v>
      </c>
      <c r="G1725" s="20" t="n">
        <f aca="false">E1725+F1725</f>
        <v>93.17</v>
      </c>
      <c r="H1725" s="20" t="n">
        <f aca="false">IF(G1725&lt;Parametres!$B$8*Parametres!$B$7,0,MIN(G1725,Parametres!$B$7))</f>
        <v>93.17</v>
      </c>
      <c r="I1725" s="20" t="n">
        <f aca="false">G1725-H1725</f>
        <v>0</v>
      </c>
      <c r="J1725" s="21" t="n">
        <f aca="false">H1725*1000/Parametres!$B$9</f>
        <v>1579.95590978464</v>
      </c>
    </row>
    <row r="1726" customFormat="false" ht="15" hidden="false" customHeight="false" outlineLevel="0" collapsed="false">
      <c r="A1726" s="0" t="n">
        <v>1722</v>
      </c>
      <c r="B1726" s="0" t="n">
        <v>3</v>
      </c>
      <c r="C1726" s="19" t="n">
        <v>0.0652</v>
      </c>
      <c r="D1726" s="19" t="n">
        <v>0.0436</v>
      </c>
      <c r="E1726" s="20" t="n">
        <f aca="false">Parametres!$B$5*C1726</f>
        <v>19.56</v>
      </c>
      <c r="F1726" s="20" t="n">
        <f aca="false">Parametres!$B$6*D1726</f>
        <v>8.72</v>
      </c>
      <c r="G1726" s="20" t="n">
        <f aca="false">E1726+F1726</f>
        <v>28.28</v>
      </c>
      <c r="H1726" s="20" t="n">
        <f aca="false">IF(G1726&lt;Parametres!$B$8*Parametres!$B$7,0,MIN(G1726,Parametres!$B$7))</f>
        <v>28.28</v>
      </c>
      <c r="I1726" s="20" t="n">
        <f aca="false">G1726-H1726</f>
        <v>0</v>
      </c>
      <c r="J1726" s="21" t="n">
        <f aca="false">H1726*1000/Parametres!$B$9</f>
        <v>479.565880956419</v>
      </c>
    </row>
    <row r="1727" customFormat="false" ht="15" hidden="false" customHeight="false" outlineLevel="0" collapsed="false">
      <c r="A1727" s="0" t="n">
        <v>1723</v>
      </c>
      <c r="B1727" s="0" t="n">
        <v>3</v>
      </c>
      <c r="C1727" s="19" t="n">
        <v>0</v>
      </c>
      <c r="D1727" s="19" t="n">
        <v>0.0358</v>
      </c>
      <c r="E1727" s="20" t="n">
        <f aca="false">Parametres!$B$5*C1727</f>
        <v>0</v>
      </c>
      <c r="F1727" s="20" t="n">
        <f aca="false">Parametres!$B$6*D1727</f>
        <v>7.16</v>
      </c>
      <c r="G1727" s="20" t="n">
        <f aca="false">E1727+F1727</f>
        <v>7.16</v>
      </c>
      <c r="H1727" s="20" t="n">
        <f aca="false">IF(G1727&lt;Parametres!$B$8*Parametres!$B$7,0,MIN(G1727,Parametres!$B$7))</f>
        <v>0</v>
      </c>
      <c r="I1727" s="20" t="n">
        <f aca="false">G1727-H1727</f>
        <v>7.16</v>
      </c>
      <c r="J1727" s="21" t="n">
        <f aca="false">H1727*1000/Parametres!$B$9</f>
        <v>0</v>
      </c>
    </row>
    <row r="1728" customFormat="false" ht="15" hidden="false" customHeight="false" outlineLevel="0" collapsed="false">
      <c r="A1728" s="0" t="n">
        <v>1724</v>
      </c>
      <c r="B1728" s="0" t="n">
        <v>3</v>
      </c>
      <c r="C1728" s="19" t="n">
        <v>0</v>
      </c>
      <c r="D1728" s="19" t="n">
        <v>0.0082</v>
      </c>
      <c r="E1728" s="20" t="n">
        <f aca="false">Parametres!$B$5*C1728</f>
        <v>0</v>
      </c>
      <c r="F1728" s="20" t="n">
        <f aca="false">Parametres!$B$6*D1728</f>
        <v>1.64</v>
      </c>
      <c r="G1728" s="20" t="n">
        <f aca="false">E1728+F1728</f>
        <v>1.64</v>
      </c>
      <c r="H1728" s="20" t="n">
        <f aca="false">IF(G1728&lt;Parametres!$B$8*Parametres!$B$7,0,MIN(G1728,Parametres!$B$7))</f>
        <v>0</v>
      </c>
      <c r="I1728" s="20" t="n">
        <f aca="false">G1728-H1728</f>
        <v>1.64</v>
      </c>
      <c r="J1728" s="21" t="n">
        <f aca="false">H1728*1000/Parametres!$B$9</f>
        <v>0</v>
      </c>
    </row>
    <row r="1729" customFormat="false" ht="15" hidden="false" customHeight="false" outlineLevel="0" collapsed="false">
      <c r="A1729" s="0" t="n">
        <v>1725</v>
      </c>
      <c r="B1729" s="0" t="n">
        <v>3</v>
      </c>
      <c r="C1729" s="19" t="n">
        <v>0</v>
      </c>
      <c r="D1729" s="19" t="n">
        <v>0.0081</v>
      </c>
      <c r="E1729" s="20" t="n">
        <f aca="false">Parametres!$B$5*C1729</f>
        <v>0</v>
      </c>
      <c r="F1729" s="20" t="n">
        <f aca="false">Parametres!$B$6*D1729</f>
        <v>1.62</v>
      </c>
      <c r="G1729" s="20" t="n">
        <f aca="false">E1729+F1729</f>
        <v>1.62</v>
      </c>
      <c r="H1729" s="20" t="n">
        <f aca="false">IF(G1729&lt;Parametres!$B$8*Parametres!$B$7,0,MIN(G1729,Parametres!$B$7))</f>
        <v>0</v>
      </c>
      <c r="I1729" s="20" t="n">
        <f aca="false">G1729-H1729</f>
        <v>1.62</v>
      </c>
      <c r="J1729" s="21" t="n">
        <f aca="false">H1729*1000/Parametres!$B$9</f>
        <v>0</v>
      </c>
    </row>
    <row r="1730" customFormat="false" ht="15" hidden="false" customHeight="false" outlineLevel="0" collapsed="false">
      <c r="A1730" s="0" t="n">
        <v>1726</v>
      </c>
      <c r="B1730" s="0" t="n">
        <v>3</v>
      </c>
      <c r="C1730" s="19" t="n">
        <v>0</v>
      </c>
      <c r="D1730" s="19" t="n">
        <v>0.0031</v>
      </c>
      <c r="E1730" s="20" t="n">
        <f aca="false">Parametres!$B$5*C1730</f>
        <v>0</v>
      </c>
      <c r="F1730" s="20" t="n">
        <f aca="false">Parametres!$B$6*D1730</f>
        <v>0.62</v>
      </c>
      <c r="G1730" s="20" t="n">
        <f aca="false">E1730+F1730</f>
        <v>0.62</v>
      </c>
      <c r="H1730" s="20" t="n">
        <f aca="false">IF(G1730&lt;Parametres!$B$8*Parametres!$B$7,0,MIN(G1730,Parametres!$B$7))</f>
        <v>0</v>
      </c>
      <c r="I1730" s="20" t="n">
        <f aca="false">G1730-H1730</f>
        <v>0.62</v>
      </c>
      <c r="J1730" s="21" t="n">
        <f aca="false">H1730*1000/Parametres!$B$9</f>
        <v>0</v>
      </c>
    </row>
    <row r="1731" customFormat="false" ht="15" hidden="false" customHeight="false" outlineLevel="0" collapsed="false">
      <c r="A1731" s="0" t="n">
        <v>1727</v>
      </c>
      <c r="B1731" s="0" t="n">
        <v>3</v>
      </c>
      <c r="C1731" s="19" t="n">
        <v>0</v>
      </c>
      <c r="D1731" s="19" t="n">
        <v>0.0033</v>
      </c>
      <c r="E1731" s="20" t="n">
        <f aca="false">Parametres!$B$5*C1731</f>
        <v>0</v>
      </c>
      <c r="F1731" s="20" t="n">
        <f aca="false">Parametres!$B$6*D1731</f>
        <v>0.66</v>
      </c>
      <c r="G1731" s="20" t="n">
        <f aca="false">E1731+F1731</f>
        <v>0.66</v>
      </c>
      <c r="H1731" s="20" t="n">
        <f aca="false">IF(G1731&lt;Parametres!$B$8*Parametres!$B$7,0,MIN(G1731,Parametres!$B$7))</f>
        <v>0</v>
      </c>
      <c r="I1731" s="20" t="n">
        <f aca="false">G1731-H1731</f>
        <v>0.66</v>
      </c>
      <c r="J1731" s="21" t="n">
        <f aca="false">H1731*1000/Parametres!$B$9</f>
        <v>0</v>
      </c>
    </row>
    <row r="1732" customFormat="false" ht="15" hidden="false" customHeight="false" outlineLevel="0" collapsed="false">
      <c r="A1732" s="0" t="n">
        <v>1728</v>
      </c>
      <c r="B1732" s="0" t="n">
        <v>3</v>
      </c>
      <c r="C1732" s="19" t="n">
        <v>0</v>
      </c>
      <c r="D1732" s="19" t="n">
        <v>0.0088</v>
      </c>
      <c r="E1732" s="20" t="n">
        <f aca="false">Parametres!$B$5*C1732</f>
        <v>0</v>
      </c>
      <c r="F1732" s="20" t="n">
        <f aca="false">Parametres!$B$6*D1732</f>
        <v>1.76</v>
      </c>
      <c r="G1732" s="20" t="n">
        <f aca="false">E1732+F1732</f>
        <v>1.76</v>
      </c>
      <c r="H1732" s="20" t="n">
        <f aca="false">IF(G1732&lt;Parametres!$B$8*Parametres!$B$7,0,MIN(G1732,Parametres!$B$7))</f>
        <v>0</v>
      </c>
      <c r="I1732" s="20" t="n">
        <f aca="false">G1732-H1732</f>
        <v>1.76</v>
      </c>
      <c r="J1732" s="21" t="n">
        <f aca="false">H1732*1000/Parametres!$B$9</f>
        <v>0</v>
      </c>
    </row>
    <row r="1733" customFormat="false" ht="15" hidden="false" customHeight="false" outlineLevel="0" collapsed="false">
      <c r="A1733" s="0" t="n">
        <v>1729</v>
      </c>
      <c r="B1733" s="0" t="n">
        <v>3</v>
      </c>
      <c r="C1733" s="19" t="n">
        <v>0</v>
      </c>
      <c r="D1733" s="19" t="n">
        <v>0.0037</v>
      </c>
      <c r="E1733" s="20" t="n">
        <f aca="false">Parametres!$B$5*C1733</f>
        <v>0</v>
      </c>
      <c r="F1733" s="20" t="n">
        <f aca="false">Parametres!$B$6*D1733</f>
        <v>0.74</v>
      </c>
      <c r="G1733" s="20" t="n">
        <f aca="false">E1733+F1733</f>
        <v>0.74</v>
      </c>
      <c r="H1733" s="20" t="n">
        <f aca="false">IF(G1733&lt;Parametres!$B$8*Parametres!$B$7,0,MIN(G1733,Parametres!$B$7))</f>
        <v>0</v>
      </c>
      <c r="I1733" s="20" t="n">
        <f aca="false">G1733-H1733</f>
        <v>0.74</v>
      </c>
      <c r="J1733" s="21" t="n">
        <f aca="false">H1733*1000/Parametres!$B$9</f>
        <v>0</v>
      </c>
    </row>
    <row r="1734" customFormat="false" ht="15" hidden="false" customHeight="false" outlineLevel="0" collapsed="false">
      <c r="A1734" s="0" t="n">
        <v>1730</v>
      </c>
      <c r="B1734" s="0" t="n">
        <v>3</v>
      </c>
      <c r="C1734" s="19" t="n">
        <v>0</v>
      </c>
      <c r="D1734" s="19" t="n">
        <v>0.0027</v>
      </c>
      <c r="E1734" s="20" t="n">
        <f aca="false">Parametres!$B$5*C1734</f>
        <v>0</v>
      </c>
      <c r="F1734" s="20" t="n">
        <f aca="false">Parametres!$B$6*D1734</f>
        <v>0.54</v>
      </c>
      <c r="G1734" s="20" t="n">
        <f aca="false">E1734+F1734</f>
        <v>0.54</v>
      </c>
      <c r="H1734" s="20" t="n">
        <f aca="false">IF(G1734&lt;Parametres!$B$8*Parametres!$B$7,0,MIN(G1734,Parametres!$B$7))</f>
        <v>0</v>
      </c>
      <c r="I1734" s="20" t="n">
        <f aca="false">G1734-H1734</f>
        <v>0.54</v>
      </c>
      <c r="J1734" s="21" t="n">
        <f aca="false">H1734*1000/Parametres!$B$9</f>
        <v>0</v>
      </c>
    </row>
    <row r="1735" customFormat="false" ht="15" hidden="false" customHeight="false" outlineLevel="0" collapsed="false">
      <c r="A1735" s="0" t="n">
        <v>1731</v>
      </c>
      <c r="B1735" s="0" t="n">
        <v>3</v>
      </c>
      <c r="C1735" s="19" t="n">
        <v>0</v>
      </c>
      <c r="D1735" s="19" t="n">
        <v>0.0043</v>
      </c>
      <c r="E1735" s="20" t="n">
        <f aca="false">Parametres!$B$5*C1735</f>
        <v>0</v>
      </c>
      <c r="F1735" s="20" t="n">
        <f aca="false">Parametres!$B$6*D1735</f>
        <v>0.86</v>
      </c>
      <c r="G1735" s="20" t="n">
        <f aca="false">E1735+F1735</f>
        <v>0.86</v>
      </c>
      <c r="H1735" s="20" t="n">
        <f aca="false">IF(G1735&lt;Parametres!$B$8*Parametres!$B$7,0,MIN(G1735,Parametres!$B$7))</f>
        <v>0</v>
      </c>
      <c r="I1735" s="20" t="n">
        <f aca="false">G1735-H1735</f>
        <v>0.86</v>
      </c>
      <c r="J1735" s="21" t="n">
        <f aca="false">H1735*1000/Parametres!$B$9</f>
        <v>0</v>
      </c>
    </row>
    <row r="1736" customFormat="false" ht="15" hidden="false" customHeight="false" outlineLevel="0" collapsed="false">
      <c r="A1736" s="0" t="n">
        <v>1732</v>
      </c>
      <c r="B1736" s="0" t="n">
        <v>3</v>
      </c>
      <c r="C1736" s="19" t="n">
        <v>0</v>
      </c>
      <c r="D1736" s="19" t="n">
        <v>0.0011</v>
      </c>
      <c r="E1736" s="20" t="n">
        <f aca="false">Parametres!$B$5*C1736</f>
        <v>0</v>
      </c>
      <c r="F1736" s="20" t="n">
        <f aca="false">Parametres!$B$6*D1736</f>
        <v>0.22</v>
      </c>
      <c r="G1736" s="20" t="n">
        <f aca="false">E1736+F1736</f>
        <v>0.22</v>
      </c>
      <c r="H1736" s="20" t="n">
        <f aca="false">IF(G1736&lt;Parametres!$B$8*Parametres!$B$7,0,MIN(G1736,Parametres!$B$7))</f>
        <v>0</v>
      </c>
      <c r="I1736" s="20" t="n">
        <f aca="false">G1736-H1736</f>
        <v>0.22</v>
      </c>
      <c r="J1736" s="21" t="n">
        <f aca="false">H1736*1000/Parametres!$B$9</f>
        <v>0</v>
      </c>
    </row>
    <row r="1737" customFormat="false" ht="15" hidden="false" customHeight="false" outlineLevel="0" collapsed="false">
      <c r="A1737" s="0" t="n">
        <v>1733</v>
      </c>
      <c r="B1737" s="0" t="n">
        <v>3</v>
      </c>
      <c r="C1737" s="19" t="n">
        <v>0</v>
      </c>
      <c r="D1737" s="19" t="n">
        <v>0.0016</v>
      </c>
      <c r="E1737" s="20" t="n">
        <f aca="false">Parametres!$B$5*C1737</f>
        <v>0</v>
      </c>
      <c r="F1737" s="20" t="n">
        <f aca="false">Parametres!$B$6*D1737</f>
        <v>0.32</v>
      </c>
      <c r="G1737" s="20" t="n">
        <f aca="false">E1737+F1737</f>
        <v>0.32</v>
      </c>
      <c r="H1737" s="20" t="n">
        <f aca="false">IF(G1737&lt;Parametres!$B$8*Parametres!$B$7,0,MIN(G1737,Parametres!$B$7))</f>
        <v>0</v>
      </c>
      <c r="I1737" s="20" t="n">
        <f aca="false">G1737-H1737</f>
        <v>0.32</v>
      </c>
      <c r="J1737" s="21" t="n">
        <f aca="false">H1737*1000/Parametres!$B$9</f>
        <v>0</v>
      </c>
    </row>
    <row r="1738" customFormat="false" ht="15" hidden="false" customHeight="false" outlineLevel="0" collapsed="false">
      <c r="A1738" s="0" t="n">
        <v>1734</v>
      </c>
      <c r="B1738" s="0" t="n">
        <v>3</v>
      </c>
      <c r="C1738" s="19" t="n">
        <v>0</v>
      </c>
      <c r="D1738" s="19" t="n">
        <v>0.0036</v>
      </c>
      <c r="E1738" s="20" t="n">
        <f aca="false">Parametres!$B$5*C1738</f>
        <v>0</v>
      </c>
      <c r="F1738" s="20" t="n">
        <f aca="false">Parametres!$B$6*D1738</f>
        <v>0.72</v>
      </c>
      <c r="G1738" s="20" t="n">
        <f aca="false">E1738+F1738</f>
        <v>0.72</v>
      </c>
      <c r="H1738" s="20" t="n">
        <f aca="false">IF(G1738&lt;Parametres!$B$8*Parametres!$B$7,0,MIN(G1738,Parametres!$B$7))</f>
        <v>0</v>
      </c>
      <c r="I1738" s="20" t="n">
        <f aca="false">G1738-H1738</f>
        <v>0.72</v>
      </c>
      <c r="J1738" s="21" t="n">
        <f aca="false">H1738*1000/Parametres!$B$9</f>
        <v>0</v>
      </c>
    </row>
    <row r="1739" customFormat="false" ht="15" hidden="false" customHeight="false" outlineLevel="0" collapsed="false">
      <c r="A1739" s="0" t="n">
        <v>1735</v>
      </c>
      <c r="B1739" s="0" t="n">
        <v>3</v>
      </c>
      <c r="C1739" s="19" t="n">
        <v>0.068</v>
      </c>
      <c r="D1739" s="19" t="n">
        <v>0.0095</v>
      </c>
      <c r="E1739" s="20" t="n">
        <f aca="false">Parametres!$B$5*C1739</f>
        <v>20.4</v>
      </c>
      <c r="F1739" s="20" t="n">
        <f aca="false">Parametres!$B$6*D1739</f>
        <v>1.9</v>
      </c>
      <c r="G1739" s="20" t="n">
        <f aca="false">E1739+F1739</f>
        <v>22.3</v>
      </c>
      <c r="H1739" s="20" t="n">
        <f aca="false">IF(G1739&lt;Parametres!$B$8*Parametres!$B$7,0,MIN(G1739,Parametres!$B$7))</f>
        <v>0</v>
      </c>
      <c r="I1739" s="20" t="n">
        <f aca="false">G1739-H1739</f>
        <v>22.3</v>
      </c>
      <c r="J1739" s="21" t="n">
        <f aca="false">H1739*1000/Parametres!$B$9</f>
        <v>0</v>
      </c>
    </row>
    <row r="1740" customFormat="false" ht="15" hidden="false" customHeight="false" outlineLevel="0" collapsed="false">
      <c r="A1740" s="0" t="n">
        <v>1736</v>
      </c>
      <c r="B1740" s="0" t="n">
        <v>3</v>
      </c>
      <c r="C1740" s="19" t="n">
        <v>0.3013</v>
      </c>
      <c r="D1740" s="19" t="n">
        <v>0.0261</v>
      </c>
      <c r="E1740" s="20" t="n">
        <f aca="false">Parametres!$B$5*C1740</f>
        <v>90.39</v>
      </c>
      <c r="F1740" s="20" t="n">
        <f aca="false">Parametres!$B$6*D1740</f>
        <v>5.22</v>
      </c>
      <c r="G1740" s="20" t="n">
        <f aca="false">E1740+F1740</f>
        <v>95.61</v>
      </c>
      <c r="H1740" s="20" t="n">
        <f aca="false">IF(G1740&lt;Parametres!$B$8*Parametres!$B$7,0,MIN(G1740,Parametres!$B$7))</f>
        <v>95.61</v>
      </c>
      <c r="I1740" s="20" t="n">
        <f aca="false">G1740-H1740</f>
        <v>0</v>
      </c>
      <c r="J1740" s="21" t="n">
        <f aca="false">H1740*1000/Parametres!$B$9</f>
        <v>1621.332881126</v>
      </c>
    </row>
    <row r="1741" customFormat="false" ht="15" hidden="false" customHeight="false" outlineLevel="0" collapsed="false">
      <c r="A1741" s="0" t="n">
        <v>1737</v>
      </c>
      <c r="B1741" s="0" t="n">
        <v>3</v>
      </c>
      <c r="C1741" s="19" t="n">
        <v>0.5279</v>
      </c>
      <c r="D1741" s="19" t="n">
        <v>0.044</v>
      </c>
      <c r="E1741" s="20" t="n">
        <f aca="false">Parametres!$B$5*C1741</f>
        <v>158.37</v>
      </c>
      <c r="F1741" s="20" t="n">
        <f aca="false">Parametres!$B$6*D1741</f>
        <v>8.8</v>
      </c>
      <c r="G1741" s="20" t="n">
        <f aca="false">E1741+F1741</f>
        <v>167.17</v>
      </c>
      <c r="H1741" s="20" t="n">
        <f aca="false">IF(G1741&lt;Parametres!$B$8*Parametres!$B$7,0,MIN(G1741,Parametres!$B$7))</f>
        <v>167.17</v>
      </c>
      <c r="I1741" s="20" t="n">
        <f aca="false">G1741-H1741</f>
        <v>0</v>
      </c>
      <c r="J1741" s="21" t="n">
        <f aca="false">H1741*1000/Parametres!$B$9</f>
        <v>2834.83127013736</v>
      </c>
    </row>
    <row r="1742" customFormat="false" ht="15" hidden="false" customHeight="false" outlineLevel="0" collapsed="false">
      <c r="A1742" s="0" t="n">
        <v>1738</v>
      </c>
      <c r="B1742" s="0" t="n">
        <v>3</v>
      </c>
      <c r="C1742" s="19" t="n">
        <v>0.7082</v>
      </c>
      <c r="D1742" s="19" t="n">
        <v>0.0655</v>
      </c>
      <c r="E1742" s="20" t="n">
        <f aca="false">Parametres!$B$5*C1742</f>
        <v>212.46</v>
      </c>
      <c r="F1742" s="20" t="n">
        <f aca="false">Parametres!$B$6*D1742</f>
        <v>13.1</v>
      </c>
      <c r="G1742" s="20" t="n">
        <f aca="false">E1742+F1742</f>
        <v>225.56</v>
      </c>
      <c r="H1742" s="20" t="n">
        <f aca="false">IF(G1742&lt;Parametres!$B$8*Parametres!$B$7,0,MIN(G1742,Parametres!$B$7))</f>
        <v>225.56</v>
      </c>
      <c r="I1742" s="20" t="n">
        <f aca="false">G1742-H1742</f>
        <v>0</v>
      </c>
      <c r="J1742" s="21" t="n">
        <f aca="false">H1742*1000/Parametres!$B$9</f>
        <v>3824.99576055622</v>
      </c>
    </row>
    <row r="1743" customFormat="false" ht="15" hidden="false" customHeight="false" outlineLevel="0" collapsed="false">
      <c r="A1743" s="0" t="n">
        <v>1739</v>
      </c>
      <c r="B1743" s="0" t="n">
        <v>3</v>
      </c>
      <c r="C1743" s="19" t="n">
        <v>0.8533</v>
      </c>
      <c r="D1743" s="19" t="n">
        <v>0.034</v>
      </c>
      <c r="E1743" s="20" t="n">
        <f aca="false">Parametres!$B$5*C1743</f>
        <v>255.99</v>
      </c>
      <c r="F1743" s="20" t="n">
        <f aca="false">Parametres!$B$6*D1743</f>
        <v>6.8</v>
      </c>
      <c r="G1743" s="20" t="n">
        <f aca="false">E1743+F1743</f>
        <v>262.79</v>
      </c>
      <c r="H1743" s="20" t="n">
        <f aca="false">IF(G1743&lt;Parametres!$B$8*Parametres!$B$7,0,MIN(G1743,Parametres!$B$7))</f>
        <v>250</v>
      </c>
      <c r="I1743" s="20" t="n">
        <f aca="false">G1743-H1743</f>
        <v>12.79</v>
      </c>
      <c r="J1743" s="21" t="n">
        <f aca="false">H1743*1000/Parametres!$B$9</f>
        <v>4239.44378497541</v>
      </c>
    </row>
    <row r="1744" customFormat="false" ht="15" hidden="false" customHeight="false" outlineLevel="0" collapsed="false">
      <c r="A1744" s="0" t="n">
        <v>1740</v>
      </c>
      <c r="B1744" s="0" t="n">
        <v>3</v>
      </c>
      <c r="C1744" s="19" t="n">
        <v>0.8916</v>
      </c>
      <c r="D1744" s="19" t="n">
        <v>0.0042</v>
      </c>
      <c r="E1744" s="20" t="n">
        <f aca="false">Parametres!$B$5*C1744</f>
        <v>267.48</v>
      </c>
      <c r="F1744" s="20" t="n">
        <f aca="false">Parametres!$B$6*D1744</f>
        <v>0.84</v>
      </c>
      <c r="G1744" s="20" t="n">
        <f aca="false">E1744+F1744</f>
        <v>268.32</v>
      </c>
      <c r="H1744" s="20" t="n">
        <f aca="false">IF(G1744&lt;Parametres!$B$8*Parametres!$B$7,0,MIN(G1744,Parametres!$B$7))</f>
        <v>250</v>
      </c>
      <c r="I1744" s="20" t="n">
        <f aca="false">G1744-H1744</f>
        <v>18.3199999999999</v>
      </c>
      <c r="J1744" s="21" t="n">
        <f aca="false">H1744*1000/Parametres!$B$9</f>
        <v>4239.44378497541</v>
      </c>
    </row>
    <row r="1745" customFormat="false" ht="15" hidden="false" customHeight="false" outlineLevel="0" collapsed="false">
      <c r="A1745" s="0" t="n">
        <v>1741</v>
      </c>
      <c r="B1745" s="0" t="n">
        <v>3</v>
      </c>
      <c r="C1745" s="19" t="n">
        <v>0.8476</v>
      </c>
      <c r="D1745" s="19" t="n">
        <v>0.0016</v>
      </c>
      <c r="E1745" s="20" t="n">
        <f aca="false">Parametres!$B$5*C1745</f>
        <v>254.28</v>
      </c>
      <c r="F1745" s="20" t="n">
        <f aca="false">Parametres!$B$6*D1745</f>
        <v>0.32</v>
      </c>
      <c r="G1745" s="20" t="n">
        <f aca="false">E1745+F1745</f>
        <v>254.6</v>
      </c>
      <c r="H1745" s="20" t="n">
        <f aca="false">IF(G1745&lt;Parametres!$B$8*Parametres!$B$7,0,MIN(G1745,Parametres!$B$7))</f>
        <v>250</v>
      </c>
      <c r="I1745" s="20" t="n">
        <f aca="false">G1745-H1745</f>
        <v>4.59999999999999</v>
      </c>
      <c r="J1745" s="21" t="n">
        <f aca="false">H1745*1000/Parametres!$B$9</f>
        <v>4239.44378497541</v>
      </c>
    </row>
    <row r="1746" customFormat="false" ht="15" hidden="false" customHeight="false" outlineLevel="0" collapsed="false">
      <c r="A1746" s="0" t="n">
        <v>1742</v>
      </c>
      <c r="B1746" s="0" t="n">
        <v>3</v>
      </c>
      <c r="C1746" s="19" t="n">
        <v>0.8367</v>
      </c>
      <c r="D1746" s="19" t="n">
        <v>0.0117</v>
      </c>
      <c r="E1746" s="20" t="n">
        <f aca="false">Parametres!$B$5*C1746</f>
        <v>251.01</v>
      </c>
      <c r="F1746" s="20" t="n">
        <f aca="false">Parametres!$B$6*D1746</f>
        <v>2.34</v>
      </c>
      <c r="G1746" s="20" t="n">
        <f aca="false">E1746+F1746</f>
        <v>253.35</v>
      </c>
      <c r="H1746" s="20" t="n">
        <f aca="false">IF(G1746&lt;Parametres!$B$8*Parametres!$B$7,0,MIN(G1746,Parametres!$B$7))</f>
        <v>250</v>
      </c>
      <c r="I1746" s="20" t="n">
        <f aca="false">G1746-H1746</f>
        <v>3.34999999999999</v>
      </c>
      <c r="J1746" s="21" t="n">
        <f aca="false">H1746*1000/Parametres!$B$9</f>
        <v>4239.44378497541</v>
      </c>
    </row>
    <row r="1747" customFormat="false" ht="15" hidden="false" customHeight="false" outlineLevel="0" collapsed="false">
      <c r="A1747" s="0" t="n">
        <v>1743</v>
      </c>
      <c r="B1747" s="0" t="n">
        <v>3</v>
      </c>
      <c r="C1747" s="19" t="n">
        <v>0.6737</v>
      </c>
      <c r="D1747" s="19" t="n">
        <v>0.0155</v>
      </c>
      <c r="E1747" s="20" t="n">
        <f aca="false">Parametres!$B$5*C1747</f>
        <v>202.11</v>
      </c>
      <c r="F1747" s="20" t="n">
        <f aca="false">Parametres!$B$6*D1747</f>
        <v>3.1</v>
      </c>
      <c r="G1747" s="20" t="n">
        <f aca="false">E1747+F1747</f>
        <v>205.21</v>
      </c>
      <c r="H1747" s="20" t="n">
        <f aca="false">IF(G1747&lt;Parametres!$B$8*Parametres!$B$7,0,MIN(G1747,Parametres!$B$7))</f>
        <v>205.21</v>
      </c>
      <c r="I1747" s="20" t="n">
        <f aca="false">G1747-H1747</f>
        <v>0</v>
      </c>
      <c r="J1747" s="21" t="n">
        <f aca="false">H1747*1000/Parametres!$B$9</f>
        <v>3479.90503645922</v>
      </c>
    </row>
    <row r="1748" customFormat="false" ht="15" hidden="false" customHeight="false" outlineLevel="0" collapsed="false">
      <c r="A1748" s="0" t="n">
        <v>1744</v>
      </c>
      <c r="B1748" s="0" t="n">
        <v>3</v>
      </c>
      <c r="C1748" s="19" t="n">
        <v>0.5622</v>
      </c>
      <c r="D1748" s="19" t="n">
        <v>0.0012</v>
      </c>
      <c r="E1748" s="20" t="n">
        <f aca="false">Parametres!$B$5*C1748</f>
        <v>168.66</v>
      </c>
      <c r="F1748" s="20" t="n">
        <f aca="false">Parametres!$B$6*D1748</f>
        <v>0.24</v>
      </c>
      <c r="G1748" s="20" t="n">
        <f aca="false">E1748+F1748</f>
        <v>168.9</v>
      </c>
      <c r="H1748" s="20" t="n">
        <f aca="false">IF(G1748&lt;Parametres!$B$8*Parametres!$B$7,0,MIN(G1748,Parametres!$B$7))</f>
        <v>168.9</v>
      </c>
      <c r="I1748" s="20" t="n">
        <f aca="false">G1748-H1748</f>
        <v>0</v>
      </c>
      <c r="J1748" s="21" t="n">
        <f aca="false">H1748*1000/Parametres!$B$9</f>
        <v>2864.16822112939</v>
      </c>
    </row>
    <row r="1749" customFormat="false" ht="15" hidden="false" customHeight="false" outlineLevel="0" collapsed="false">
      <c r="A1749" s="0" t="n">
        <v>1745</v>
      </c>
      <c r="B1749" s="0" t="n">
        <v>3</v>
      </c>
      <c r="C1749" s="19" t="n">
        <v>0.3058</v>
      </c>
      <c r="D1749" s="19" t="n">
        <v>0.0007</v>
      </c>
      <c r="E1749" s="20" t="n">
        <f aca="false">Parametres!$B$5*C1749</f>
        <v>91.74</v>
      </c>
      <c r="F1749" s="20" t="n">
        <f aca="false">Parametres!$B$6*D1749</f>
        <v>0.14</v>
      </c>
      <c r="G1749" s="20" t="n">
        <f aca="false">E1749+F1749</f>
        <v>91.88</v>
      </c>
      <c r="H1749" s="20" t="n">
        <f aca="false">IF(G1749&lt;Parametres!$B$8*Parametres!$B$7,0,MIN(G1749,Parametres!$B$7))</f>
        <v>91.88</v>
      </c>
      <c r="I1749" s="20" t="n">
        <f aca="false">G1749-H1749</f>
        <v>0</v>
      </c>
      <c r="J1749" s="21" t="n">
        <f aca="false">H1749*1000/Parametres!$B$9</f>
        <v>1558.08037985416</v>
      </c>
    </row>
    <row r="1750" customFormat="false" ht="15" hidden="false" customHeight="false" outlineLevel="0" collapsed="false">
      <c r="A1750" s="0" t="n">
        <v>1746</v>
      </c>
      <c r="B1750" s="0" t="n">
        <v>3</v>
      </c>
      <c r="C1750" s="19" t="n">
        <v>0.069</v>
      </c>
      <c r="D1750" s="19" t="n">
        <v>0.0015</v>
      </c>
      <c r="E1750" s="20" t="n">
        <f aca="false">Parametres!$B$5*C1750</f>
        <v>20.7</v>
      </c>
      <c r="F1750" s="20" t="n">
        <f aca="false">Parametres!$B$6*D1750</f>
        <v>0.3</v>
      </c>
      <c r="G1750" s="20" t="n">
        <f aca="false">E1750+F1750</f>
        <v>21</v>
      </c>
      <c r="H1750" s="20" t="n">
        <f aca="false">IF(G1750&lt;Parametres!$B$8*Parametres!$B$7,0,MIN(G1750,Parametres!$B$7))</f>
        <v>0</v>
      </c>
      <c r="I1750" s="20" t="n">
        <f aca="false">G1750-H1750</f>
        <v>21</v>
      </c>
      <c r="J1750" s="21" t="n">
        <f aca="false">H1750*1000/Parametres!$B$9</f>
        <v>0</v>
      </c>
    </row>
    <row r="1751" customFormat="false" ht="15" hidden="false" customHeight="false" outlineLevel="0" collapsed="false">
      <c r="A1751" s="0" t="n">
        <v>1747</v>
      </c>
      <c r="B1751" s="0" t="n">
        <v>3</v>
      </c>
      <c r="C1751" s="19" t="n">
        <v>0</v>
      </c>
      <c r="D1751" s="19" t="n">
        <v>0</v>
      </c>
      <c r="E1751" s="20" t="n">
        <f aca="false">Parametres!$B$5*C1751</f>
        <v>0</v>
      </c>
      <c r="F1751" s="20" t="n">
        <f aca="false">Parametres!$B$6*D1751</f>
        <v>0</v>
      </c>
      <c r="G1751" s="20" t="n">
        <f aca="false">E1751+F1751</f>
        <v>0</v>
      </c>
      <c r="H1751" s="20" t="n">
        <f aca="false">IF(G1751&lt;Parametres!$B$8*Parametres!$B$7,0,MIN(G1751,Parametres!$B$7))</f>
        <v>0</v>
      </c>
      <c r="I1751" s="20" t="n">
        <f aca="false">G1751-H1751</f>
        <v>0</v>
      </c>
      <c r="J1751" s="21" t="n">
        <f aca="false">H1751*1000/Parametres!$B$9</f>
        <v>0</v>
      </c>
    </row>
    <row r="1752" customFormat="false" ht="15" hidden="false" customHeight="false" outlineLevel="0" collapsed="false">
      <c r="A1752" s="0" t="n">
        <v>1748</v>
      </c>
      <c r="B1752" s="0" t="n">
        <v>3</v>
      </c>
      <c r="C1752" s="19" t="n">
        <v>0</v>
      </c>
      <c r="D1752" s="19" t="n">
        <v>0.0001</v>
      </c>
      <c r="E1752" s="20" t="n">
        <f aca="false">Parametres!$B$5*C1752</f>
        <v>0</v>
      </c>
      <c r="F1752" s="20" t="n">
        <f aca="false">Parametres!$B$6*D1752</f>
        <v>0.02</v>
      </c>
      <c r="G1752" s="20" t="n">
        <f aca="false">E1752+F1752</f>
        <v>0.02</v>
      </c>
      <c r="H1752" s="20" t="n">
        <f aca="false">IF(G1752&lt;Parametres!$B$8*Parametres!$B$7,0,MIN(G1752,Parametres!$B$7))</f>
        <v>0</v>
      </c>
      <c r="I1752" s="20" t="n">
        <f aca="false">G1752-H1752</f>
        <v>0.02</v>
      </c>
      <c r="J1752" s="21" t="n">
        <f aca="false">H1752*1000/Parametres!$B$9</f>
        <v>0</v>
      </c>
    </row>
    <row r="1753" customFormat="false" ht="15" hidden="false" customHeight="false" outlineLevel="0" collapsed="false">
      <c r="A1753" s="0" t="n">
        <v>1749</v>
      </c>
      <c r="B1753" s="0" t="n">
        <v>3</v>
      </c>
      <c r="C1753" s="19" t="n">
        <v>0</v>
      </c>
      <c r="D1753" s="19" t="n">
        <v>0</v>
      </c>
      <c r="E1753" s="20" t="n">
        <f aca="false">Parametres!$B$5*C1753</f>
        <v>0</v>
      </c>
      <c r="F1753" s="20" t="n">
        <f aca="false">Parametres!$B$6*D1753</f>
        <v>0</v>
      </c>
      <c r="G1753" s="20" t="n">
        <f aca="false">E1753+F1753</f>
        <v>0</v>
      </c>
      <c r="H1753" s="20" t="n">
        <f aca="false">IF(G1753&lt;Parametres!$B$8*Parametres!$B$7,0,MIN(G1753,Parametres!$B$7))</f>
        <v>0</v>
      </c>
      <c r="I1753" s="20" t="n">
        <f aca="false">G1753-H1753</f>
        <v>0</v>
      </c>
      <c r="J1753" s="21" t="n">
        <f aca="false">H1753*1000/Parametres!$B$9</f>
        <v>0</v>
      </c>
    </row>
    <row r="1754" customFormat="false" ht="15" hidden="false" customHeight="false" outlineLevel="0" collapsed="false">
      <c r="A1754" s="0" t="n">
        <v>1750</v>
      </c>
      <c r="B1754" s="0" t="n">
        <v>3</v>
      </c>
      <c r="C1754" s="19" t="n">
        <v>0</v>
      </c>
      <c r="D1754" s="19" t="n">
        <v>0</v>
      </c>
      <c r="E1754" s="20" t="n">
        <f aca="false">Parametres!$B$5*C1754</f>
        <v>0</v>
      </c>
      <c r="F1754" s="20" t="n">
        <f aca="false">Parametres!$B$6*D1754</f>
        <v>0</v>
      </c>
      <c r="G1754" s="20" t="n">
        <f aca="false">E1754+F1754</f>
        <v>0</v>
      </c>
      <c r="H1754" s="20" t="n">
        <f aca="false">IF(G1754&lt;Parametres!$B$8*Parametres!$B$7,0,MIN(G1754,Parametres!$B$7))</f>
        <v>0</v>
      </c>
      <c r="I1754" s="20" t="n">
        <f aca="false">G1754-H1754</f>
        <v>0</v>
      </c>
      <c r="J1754" s="21" t="n">
        <f aca="false">H1754*1000/Parametres!$B$9</f>
        <v>0</v>
      </c>
    </row>
    <row r="1755" customFormat="false" ht="15" hidden="false" customHeight="false" outlineLevel="0" collapsed="false">
      <c r="A1755" s="0" t="n">
        <v>1751</v>
      </c>
      <c r="B1755" s="0" t="n">
        <v>3</v>
      </c>
      <c r="C1755" s="19" t="n">
        <v>0</v>
      </c>
      <c r="D1755" s="19" t="n">
        <v>0</v>
      </c>
      <c r="E1755" s="20" t="n">
        <f aca="false">Parametres!$B$5*C1755</f>
        <v>0</v>
      </c>
      <c r="F1755" s="20" t="n">
        <f aca="false">Parametres!$B$6*D1755</f>
        <v>0</v>
      </c>
      <c r="G1755" s="20" t="n">
        <f aca="false">E1755+F1755</f>
        <v>0</v>
      </c>
      <c r="H1755" s="20" t="n">
        <f aca="false">IF(G1755&lt;Parametres!$B$8*Parametres!$B$7,0,MIN(G1755,Parametres!$B$7))</f>
        <v>0</v>
      </c>
      <c r="I1755" s="20" t="n">
        <f aca="false">G1755-H1755</f>
        <v>0</v>
      </c>
      <c r="J1755" s="21" t="n">
        <f aca="false">H1755*1000/Parametres!$B$9</f>
        <v>0</v>
      </c>
    </row>
    <row r="1756" customFormat="false" ht="15" hidden="false" customHeight="false" outlineLevel="0" collapsed="false">
      <c r="A1756" s="0" t="n">
        <v>1752</v>
      </c>
      <c r="B1756" s="0" t="n">
        <v>3</v>
      </c>
      <c r="C1756" s="19" t="n">
        <v>0</v>
      </c>
      <c r="D1756" s="19" t="n">
        <v>0.0075</v>
      </c>
      <c r="E1756" s="20" t="n">
        <f aca="false">Parametres!$B$5*C1756</f>
        <v>0</v>
      </c>
      <c r="F1756" s="20" t="n">
        <f aca="false">Parametres!$B$6*D1756</f>
        <v>1.5</v>
      </c>
      <c r="G1756" s="20" t="n">
        <f aca="false">E1756+F1756</f>
        <v>1.5</v>
      </c>
      <c r="H1756" s="20" t="n">
        <f aca="false">IF(G1756&lt;Parametres!$B$8*Parametres!$B$7,0,MIN(G1756,Parametres!$B$7))</f>
        <v>0</v>
      </c>
      <c r="I1756" s="20" t="n">
        <f aca="false">G1756-H1756</f>
        <v>1.5</v>
      </c>
      <c r="J1756" s="21" t="n">
        <f aca="false">H1756*1000/Parametres!$B$9</f>
        <v>0</v>
      </c>
    </row>
    <row r="1757" customFormat="false" ht="15" hidden="false" customHeight="false" outlineLevel="0" collapsed="false">
      <c r="A1757" s="0" t="n">
        <v>1753</v>
      </c>
      <c r="B1757" s="0" t="n">
        <v>3</v>
      </c>
      <c r="C1757" s="19" t="n">
        <v>0</v>
      </c>
      <c r="D1757" s="19" t="n">
        <v>0.0011</v>
      </c>
      <c r="E1757" s="20" t="n">
        <f aca="false">Parametres!$B$5*C1757</f>
        <v>0</v>
      </c>
      <c r="F1757" s="20" t="n">
        <f aca="false">Parametres!$B$6*D1757</f>
        <v>0.22</v>
      </c>
      <c r="G1757" s="20" t="n">
        <f aca="false">E1757+F1757</f>
        <v>0.22</v>
      </c>
      <c r="H1757" s="20" t="n">
        <f aca="false">IF(G1757&lt;Parametres!$B$8*Parametres!$B$7,0,MIN(G1757,Parametres!$B$7))</f>
        <v>0</v>
      </c>
      <c r="I1757" s="20" t="n">
        <f aca="false">G1757-H1757</f>
        <v>0.22</v>
      </c>
      <c r="J1757" s="21" t="n">
        <f aca="false">H1757*1000/Parametres!$B$9</f>
        <v>0</v>
      </c>
    </row>
    <row r="1758" customFormat="false" ht="15" hidden="false" customHeight="false" outlineLevel="0" collapsed="false">
      <c r="A1758" s="0" t="n">
        <v>1754</v>
      </c>
      <c r="B1758" s="0" t="n">
        <v>3</v>
      </c>
      <c r="C1758" s="19" t="n">
        <v>0</v>
      </c>
      <c r="D1758" s="19" t="n">
        <v>0.0014</v>
      </c>
      <c r="E1758" s="20" t="n">
        <f aca="false">Parametres!$B$5*C1758</f>
        <v>0</v>
      </c>
      <c r="F1758" s="20" t="n">
        <f aca="false">Parametres!$B$6*D1758</f>
        <v>0.28</v>
      </c>
      <c r="G1758" s="20" t="n">
        <f aca="false">E1758+F1758</f>
        <v>0.28</v>
      </c>
      <c r="H1758" s="20" t="n">
        <f aca="false">IF(G1758&lt;Parametres!$B$8*Parametres!$B$7,0,MIN(G1758,Parametres!$B$7))</f>
        <v>0</v>
      </c>
      <c r="I1758" s="20" t="n">
        <f aca="false">G1758-H1758</f>
        <v>0.28</v>
      </c>
      <c r="J1758" s="21" t="n">
        <f aca="false">H1758*1000/Parametres!$B$9</f>
        <v>0</v>
      </c>
    </row>
    <row r="1759" customFormat="false" ht="15" hidden="false" customHeight="false" outlineLevel="0" collapsed="false">
      <c r="A1759" s="0" t="n">
        <v>1755</v>
      </c>
      <c r="B1759" s="0" t="n">
        <v>3</v>
      </c>
      <c r="C1759" s="19" t="n">
        <v>0</v>
      </c>
      <c r="D1759" s="19" t="n">
        <v>0</v>
      </c>
      <c r="E1759" s="20" t="n">
        <f aca="false">Parametres!$B$5*C1759</f>
        <v>0</v>
      </c>
      <c r="F1759" s="20" t="n">
        <f aca="false">Parametres!$B$6*D1759</f>
        <v>0</v>
      </c>
      <c r="G1759" s="20" t="n">
        <f aca="false">E1759+F1759</f>
        <v>0</v>
      </c>
      <c r="H1759" s="20" t="n">
        <f aca="false">IF(G1759&lt;Parametres!$B$8*Parametres!$B$7,0,MIN(G1759,Parametres!$B$7))</f>
        <v>0</v>
      </c>
      <c r="I1759" s="20" t="n">
        <f aca="false">G1759-H1759</f>
        <v>0</v>
      </c>
      <c r="J1759" s="21" t="n">
        <f aca="false">H1759*1000/Parametres!$B$9</f>
        <v>0</v>
      </c>
    </row>
    <row r="1760" customFormat="false" ht="15" hidden="false" customHeight="false" outlineLevel="0" collapsed="false">
      <c r="A1760" s="0" t="n">
        <v>1756</v>
      </c>
      <c r="B1760" s="0" t="n">
        <v>3</v>
      </c>
      <c r="C1760" s="19" t="n">
        <v>0</v>
      </c>
      <c r="D1760" s="19" t="n">
        <v>0.0007</v>
      </c>
      <c r="E1760" s="20" t="n">
        <f aca="false">Parametres!$B$5*C1760</f>
        <v>0</v>
      </c>
      <c r="F1760" s="20" t="n">
        <f aca="false">Parametres!$B$6*D1760</f>
        <v>0.14</v>
      </c>
      <c r="G1760" s="20" t="n">
        <f aca="false">E1760+F1760</f>
        <v>0.14</v>
      </c>
      <c r="H1760" s="20" t="n">
        <f aca="false">IF(G1760&lt;Parametres!$B$8*Parametres!$B$7,0,MIN(G1760,Parametres!$B$7))</f>
        <v>0</v>
      </c>
      <c r="I1760" s="20" t="n">
        <f aca="false">G1760-H1760</f>
        <v>0.14</v>
      </c>
      <c r="J1760" s="21" t="n">
        <f aca="false">H1760*1000/Parametres!$B$9</f>
        <v>0</v>
      </c>
    </row>
    <row r="1761" customFormat="false" ht="15" hidden="false" customHeight="false" outlineLevel="0" collapsed="false">
      <c r="A1761" s="0" t="n">
        <v>1757</v>
      </c>
      <c r="B1761" s="0" t="n">
        <v>3</v>
      </c>
      <c r="C1761" s="19" t="n">
        <v>0</v>
      </c>
      <c r="D1761" s="19" t="n">
        <v>0.0009</v>
      </c>
      <c r="E1761" s="20" t="n">
        <f aca="false">Parametres!$B$5*C1761</f>
        <v>0</v>
      </c>
      <c r="F1761" s="20" t="n">
        <f aca="false">Parametres!$B$6*D1761</f>
        <v>0.18</v>
      </c>
      <c r="G1761" s="20" t="n">
        <f aca="false">E1761+F1761</f>
        <v>0.18</v>
      </c>
      <c r="H1761" s="20" t="n">
        <f aca="false">IF(G1761&lt;Parametres!$B$8*Parametres!$B$7,0,MIN(G1761,Parametres!$B$7))</f>
        <v>0</v>
      </c>
      <c r="I1761" s="20" t="n">
        <f aca="false">G1761-H1761</f>
        <v>0.18</v>
      </c>
      <c r="J1761" s="21" t="n">
        <f aca="false">H1761*1000/Parametres!$B$9</f>
        <v>0</v>
      </c>
    </row>
    <row r="1762" customFormat="false" ht="15" hidden="false" customHeight="false" outlineLevel="0" collapsed="false">
      <c r="A1762" s="0" t="n">
        <v>1758</v>
      </c>
      <c r="B1762" s="0" t="n">
        <v>3</v>
      </c>
      <c r="C1762" s="19" t="n">
        <v>0</v>
      </c>
      <c r="D1762" s="19" t="n">
        <v>0.0038</v>
      </c>
      <c r="E1762" s="20" t="n">
        <f aca="false">Parametres!$B$5*C1762</f>
        <v>0</v>
      </c>
      <c r="F1762" s="20" t="n">
        <f aca="false">Parametres!$B$6*D1762</f>
        <v>0.76</v>
      </c>
      <c r="G1762" s="20" t="n">
        <f aca="false">E1762+F1762</f>
        <v>0.76</v>
      </c>
      <c r="H1762" s="20" t="n">
        <f aca="false">IF(G1762&lt;Parametres!$B$8*Parametres!$B$7,0,MIN(G1762,Parametres!$B$7))</f>
        <v>0</v>
      </c>
      <c r="I1762" s="20" t="n">
        <f aca="false">G1762-H1762</f>
        <v>0.76</v>
      </c>
      <c r="J1762" s="21" t="n">
        <f aca="false">H1762*1000/Parametres!$B$9</f>
        <v>0</v>
      </c>
    </row>
    <row r="1763" customFormat="false" ht="15" hidden="false" customHeight="false" outlineLevel="0" collapsed="false">
      <c r="A1763" s="0" t="n">
        <v>1759</v>
      </c>
      <c r="B1763" s="0" t="n">
        <v>3</v>
      </c>
      <c r="C1763" s="19" t="n">
        <v>0.0849</v>
      </c>
      <c r="D1763" s="19" t="n">
        <v>0.0052</v>
      </c>
      <c r="E1763" s="20" t="n">
        <f aca="false">Parametres!$B$5*C1763</f>
        <v>25.47</v>
      </c>
      <c r="F1763" s="20" t="n">
        <f aca="false">Parametres!$B$6*D1763</f>
        <v>1.04</v>
      </c>
      <c r="G1763" s="20" t="n">
        <f aca="false">E1763+F1763</f>
        <v>26.51</v>
      </c>
      <c r="H1763" s="20" t="n">
        <f aca="false">IF(G1763&lt;Parametres!$B$8*Parametres!$B$7,0,MIN(G1763,Parametres!$B$7))</f>
        <v>26.51</v>
      </c>
      <c r="I1763" s="20" t="n">
        <f aca="false">G1763-H1763</f>
        <v>0</v>
      </c>
      <c r="J1763" s="21" t="n">
        <f aca="false">H1763*1000/Parametres!$B$9</f>
        <v>449.550618958793</v>
      </c>
    </row>
    <row r="1764" customFormat="false" ht="15" hidden="false" customHeight="false" outlineLevel="0" collapsed="false">
      <c r="A1764" s="0" t="n">
        <v>1760</v>
      </c>
      <c r="B1764" s="0" t="n">
        <v>3</v>
      </c>
      <c r="C1764" s="19" t="n">
        <v>0.3514</v>
      </c>
      <c r="D1764" s="19" t="n">
        <v>0.0016</v>
      </c>
      <c r="E1764" s="20" t="n">
        <f aca="false">Parametres!$B$5*C1764</f>
        <v>105.42</v>
      </c>
      <c r="F1764" s="20" t="n">
        <f aca="false">Parametres!$B$6*D1764</f>
        <v>0.32</v>
      </c>
      <c r="G1764" s="20" t="n">
        <f aca="false">E1764+F1764</f>
        <v>105.74</v>
      </c>
      <c r="H1764" s="20" t="n">
        <f aca="false">IF(G1764&lt;Parametres!$B$8*Parametres!$B$7,0,MIN(G1764,Parametres!$B$7))</f>
        <v>105.74</v>
      </c>
      <c r="I1764" s="20" t="n">
        <f aca="false">G1764-H1764</f>
        <v>0</v>
      </c>
      <c r="J1764" s="21" t="n">
        <f aca="false">H1764*1000/Parametres!$B$9</f>
        <v>1793.1151432932</v>
      </c>
    </row>
    <row r="1765" customFormat="false" ht="15" hidden="false" customHeight="false" outlineLevel="0" collapsed="false">
      <c r="A1765" s="0" t="n">
        <v>1761</v>
      </c>
      <c r="B1765" s="0" t="n">
        <v>3</v>
      </c>
      <c r="C1765" s="19" t="n">
        <v>0.6001</v>
      </c>
      <c r="D1765" s="19" t="n">
        <v>0.0009</v>
      </c>
      <c r="E1765" s="20" t="n">
        <f aca="false">Parametres!$B$5*C1765</f>
        <v>180.03</v>
      </c>
      <c r="F1765" s="20" t="n">
        <f aca="false">Parametres!$B$6*D1765</f>
        <v>0.18</v>
      </c>
      <c r="G1765" s="20" t="n">
        <f aca="false">E1765+F1765</f>
        <v>180.21</v>
      </c>
      <c r="H1765" s="20" t="n">
        <f aca="false">IF(G1765&lt;Parametres!$B$8*Parametres!$B$7,0,MIN(G1765,Parametres!$B$7))</f>
        <v>180.21</v>
      </c>
      <c r="I1765" s="20" t="n">
        <f aca="false">G1765-H1765</f>
        <v>0</v>
      </c>
      <c r="J1765" s="21" t="n">
        <f aca="false">H1765*1000/Parametres!$B$9</f>
        <v>3055.96065796168</v>
      </c>
    </row>
    <row r="1766" customFormat="false" ht="15" hidden="false" customHeight="false" outlineLevel="0" collapsed="false">
      <c r="A1766" s="0" t="n">
        <v>1762</v>
      </c>
      <c r="B1766" s="0" t="n">
        <v>3</v>
      </c>
      <c r="C1766" s="19" t="n">
        <v>0.8474</v>
      </c>
      <c r="D1766" s="19" t="n">
        <v>0.0001</v>
      </c>
      <c r="E1766" s="20" t="n">
        <f aca="false">Parametres!$B$5*C1766</f>
        <v>254.22</v>
      </c>
      <c r="F1766" s="20" t="n">
        <f aca="false">Parametres!$B$6*D1766</f>
        <v>0.02</v>
      </c>
      <c r="G1766" s="20" t="n">
        <f aca="false">E1766+F1766</f>
        <v>254.24</v>
      </c>
      <c r="H1766" s="20" t="n">
        <f aca="false">IF(G1766&lt;Parametres!$B$8*Parametres!$B$7,0,MIN(G1766,Parametres!$B$7))</f>
        <v>250</v>
      </c>
      <c r="I1766" s="20" t="n">
        <f aca="false">G1766-H1766</f>
        <v>4.24000000000001</v>
      </c>
      <c r="J1766" s="21" t="n">
        <f aca="false">H1766*1000/Parametres!$B$9</f>
        <v>4239.44378497541</v>
      </c>
    </row>
    <row r="1767" customFormat="false" ht="15" hidden="false" customHeight="false" outlineLevel="0" collapsed="false">
      <c r="A1767" s="0" t="n">
        <v>1763</v>
      </c>
      <c r="B1767" s="0" t="n">
        <v>3</v>
      </c>
      <c r="C1767" s="19" t="n">
        <v>1</v>
      </c>
      <c r="D1767" s="19" t="n">
        <v>0</v>
      </c>
      <c r="E1767" s="20" t="n">
        <f aca="false">Parametres!$B$5*C1767</f>
        <v>300</v>
      </c>
      <c r="F1767" s="20" t="n">
        <f aca="false">Parametres!$B$6*D1767</f>
        <v>0</v>
      </c>
      <c r="G1767" s="20" t="n">
        <f aca="false">E1767+F1767</f>
        <v>300</v>
      </c>
      <c r="H1767" s="20" t="n">
        <f aca="false">IF(G1767&lt;Parametres!$B$8*Parametres!$B$7,0,MIN(G1767,Parametres!$B$7))</f>
        <v>250</v>
      </c>
      <c r="I1767" s="20" t="n">
        <f aca="false">G1767-H1767</f>
        <v>50</v>
      </c>
      <c r="J1767" s="21" t="n">
        <f aca="false">H1767*1000/Parametres!$B$9</f>
        <v>4239.44378497541</v>
      </c>
    </row>
    <row r="1768" customFormat="false" ht="15" hidden="false" customHeight="false" outlineLevel="0" collapsed="false">
      <c r="A1768" s="0" t="n">
        <v>1764</v>
      </c>
      <c r="B1768" s="0" t="n">
        <v>3</v>
      </c>
      <c r="C1768" s="19" t="n">
        <v>1</v>
      </c>
      <c r="D1768" s="19" t="n">
        <v>0</v>
      </c>
      <c r="E1768" s="20" t="n">
        <f aca="false">Parametres!$B$5*C1768</f>
        <v>300</v>
      </c>
      <c r="F1768" s="20" t="n">
        <f aca="false">Parametres!$B$6*D1768</f>
        <v>0</v>
      </c>
      <c r="G1768" s="20" t="n">
        <f aca="false">E1768+F1768</f>
        <v>300</v>
      </c>
      <c r="H1768" s="20" t="n">
        <f aca="false">IF(G1768&lt;Parametres!$B$8*Parametres!$B$7,0,MIN(G1768,Parametres!$B$7))</f>
        <v>250</v>
      </c>
      <c r="I1768" s="20" t="n">
        <f aca="false">G1768-H1768</f>
        <v>50</v>
      </c>
      <c r="J1768" s="21" t="n">
        <f aca="false">H1768*1000/Parametres!$B$9</f>
        <v>4239.44378497541</v>
      </c>
    </row>
    <row r="1769" customFormat="false" ht="15" hidden="false" customHeight="false" outlineLevel="0" collapsed="false">
      <c r="A1769" s="0" t="n">
        <v>1765</v>
      </c>
      <c r="B1769" s="0" t="n">
        <v>3</v>
      </c>
      <c r="C1769" s="19" t="n">
        <v>1</v>
      </c>
      <c r="D1769" s="19" t="n">
        <v>0.0013</v>
      </c>
      <c r="E1769" s="20" t="n">
        <f aca="false">Parametres!$B$5*C1769</f>
        <v>300</v>
      </c>
      <c r="F1769" s="20" t="n">
        <f aca="false">Parametres!$B$6*D1769</f>
        <v>0.26</v>
      </c>
      <c r="G1769" s="20" t="n">
        <f aca="false">E1769+F1769</f>
        <v>300.26</v>
      </c>
      <c r="H1769" s="20" t="n">
        <f aca="false">IF(G1769&lt;Parametres!$B$8*Parametres!$B$7,0,MIN(G1769,Parametres!$B$7))</f>
        <v>250</v>
      </c>
      <c r="I1769" s="20" t="n">
        <f aca="false">G1769-H1769</f>
        <v>50.26</v>
      </c>
      <c r="J1769" s="21" t="n">
        <f aca="false">H1769*1000/Parametres!$B$9</f>
        <v>4239.44378497541</v>
      </c>
    </row>
    <row r="1770" customFormat="false" ht="15" hidden="false" customHeight="false" outlineLevel="0" collapsed="false">
      <c r="A1770" s="0" t="n">
        <v>1766</v>
      </c>
      <c r="B1770" s="0" t="n">
        <v>3</v>
      </c>
      <c r="C1770" s="19" t="n">
        <v>0.9952</v>
      </c>
      <c r="D1770" s="19" t="n">
        <v>0.006</v>
      </c>
      <c r="E1770" s="20" t="n">
        <f aca="false">Parametres!$B$5*C1770</f>
        <v>298.56</v>
      </c>
      <c r="F1770" s="20" t="n">
        <f aca="false">Parametres!$B$6*D1770</f>
        <v>1.2</v>
      </c>
      <c r="G1770" s="20" t="n">
        <f aca="false">E1770+F1770</f>
        <v>299.76</v>
      </c>
      <c r="H1770" s="20" t="n">
        <f aca="false">IF(G1770&lt;Parametres!$B$8*Parametres!$B$7,0,MIN(G1770,Parametres!$B$7))</f>
        <v>250</v>
      </c>
      <c r="I1770" s="20" t="n">
        <f aca="false">G1770-H1770</f>
        <v>49.76</v>
      </c>
      <c r="J1770" s="21" t="n">
        <f aca="false">H1770*1000/Parametres!$B$9</f>
        <v>4239.44378497541</v>
      </c>
    </row>
    <row r="1771" customFormat="false" ht="15" hidden="false" customHeight="false" outlineLevel="0" collapsed="false">
      <c r="A1771" s="0" t="n">
        <v>1767</v>
      </c>
      <c r="B1771" s="0" t="n">
        <v>3</v>
      </c>
      <c r="C1771" s="19" t="n">
        <v>0.8857</v>
      </c>
      <c r="D1771" s="19" t="n">
        <v>0.0125</v>
      </c>
      <c r="E1771" s="20" t="n">
        <f aca="false">Parametres!$B$5*C1771</f>
        <v>265.71</v>
      </c>
      <c r="F1771" s="20" t="n">
        <f aca="false">Parametres!$B$6*D1771</f>
        <v>2.5</v>
      </c>
      <c r="G1771" s="20" t="n">
        <f aca="false">E1771+F1771</f>
        <v>268.21</v>
      </c>
      <c r="H1771" s="20" t="n">
        <f aca="false">IF(G1771&lt;Parametres!$B$8*Parametres!$B$7,0,MIN(G1771,Parametres!$B$7))</f>
        <v>250</v>
      </c>
      <c r="I1771" s="20" t="n">
        <f aca="false">G1771-H1771</f>
        <v>18.21</v>
      </c>
      <c r="J1771" s="21" t="n">
        <f aca="false">H1771*1000/Parametres!$B$9</f>
        <v>4239.44378497541</v>
      </c>
    </row>
    <row r="1772" customFormat="false" ht="15" hidden="false" customHeight="false" outlineLevel="0" collapsed="false">
      <c r="A1772" s="0" t="n">
        <v>1768</v>
      </c>
      <c r="B1772" s="0" t="n">
        <v>3</v>
      </c>
      <c r="C1772" s="19" t="n">
        <v>0.6118</v>
      </c>
      <c r="D1772" s="19" t="n">
        <v>0.0084</v>
      </c>
      <c r="E1772" s="20" t="n">
        <f aca="false">Parametres!$B$5*C1772</f>
        <v>183.54</v>
      </c>
      <c r="F1772" s="20" t="n">
        <f aca="false">Parametres!$B$6*D1772</f>
        <v>1.68</v>
      </c>
      <c r="G1772" s="20" t="n">
        <f aca="false">E1772+F1772</f>
        <v>185.22</v>
      </c>
      <c r="H1772" s="20" t="n">
        <f aca="false">IF(G1772&lt;Parametres!$B$8*Parametres!$B$7,0,MIN(G1772,Parametres!$B$7))</f>
        <v>185.22</v>
      </c>
      <c r="I1772" s="20" t="n">
        <f aca="false">G1772-H1772</f>
        <v>0</v>
      </c>
      <c r="J1772" s="21" t="n">
        <f aca="false">H1772*1000/Parametres!$B$9</f>
        <v>3140.91911141258</v>
      </c>
    </row>
    <row r="1773" customFormat="false" ht="15" hidden="false" customHeight="false" outlineLevel="0" collapsed="false">
      <c r="A1773" s="0" t="n">
        <v>1769</v>
      </c>
      <c r="B1773" s="0" t="n">
        <v>3</v>
      </c>
      <c r="C1773" s="19" t="n">
        <v>0.3662</v>
      </c>
      <c r="D1773" s="19" t="n">
        <v>0.0151</v>
      </c>
      <c r="E1773" s="20" t="n">
        <f aca="false">Parametres!$B$5*C1773</f>
        <v>109.86</v>
      </c>
      <c r="F1773" s="20" t="n">
        <f aca="false">Parametres!$B$6*D1773</f>
        <v>3.02</v>
      </c>
      <c r="G1773" s="20" t="n">
        <f aca="false">E1773+F1773</f>
        <v>112.88</v>
      </c>
      <c r="H1773" s="20" t="n">
        <f aca="false">IF(G1773&lt;Parametres!$B$8*Parametres!$B$7,0,MIN(G1773,Parametres!$B$7))</f>
        <v>112.88</v>
      </c>
      <c r="I1773" s="20" t="n">
        <f aca="false">G1773-H1773</f>
        <v>0</v>
      </c>
      <c r="J1773" s="21" t="n">
        <f aca="false">H1773*1000/Parametres!$B$9</f>
        <v>1914.1936577921</v>
      </c>
    </row>
    <row r="1774" customFormat="false" ht="15" hidden="false" customHeight="false" outlineLevel="0" collapsed="false">
      <c r="A1774" s="0" t="n">
        <v>1770</v>
      </c>
      <c r="B1774" s="0" t="n">
        <v>3</v>
      </c>
      <c r="C1774" s="19" t="n">
        <v>0.084</v>
      </c>
      <c r="D1774" s="19" t="n">
        <v>0.0069</v>
      </c>
      <c r="E1774" s="20" t="n">
        <f aca="false">Parametres!$B$5*C1774</f>
        <v>25.2</v>
      </c>
      <c r="F1774" s="20" t="n">
        <f aca="false">Parametres!$B$6*D1774</f>
        <v>1.38</v>
      </c>
      <c r="G1774" s="20" t="n">
        <f aca="false">E1774+F1774</f>
        <v>26.58</v>
      </c>
      <c r="H1774" s="20" t="n">
        <f aca="false">IF(G1774&lt;Parametres!$B$8*Parametres!$B$7,0,MIN(G1774,Parametres!$B$7))</f>
        <v>26.58</v>
      </c>
      <c r="I1774" s="20" t="n">
        <f aca="false">G1774-H1774</f>
        <v>0</v>
      </c>
      <c r="J1774" s="21" t="n">
        <f aca="false">H1774*1000/Parametres!$B$9</f>
        <v>450.737663218586</v>
      </c>
    </row>
    <row r="1775" customFormat="false" ht="15" hidden="false" customHeight="false" outlineLevel="0" collapsed="false">
      <c r="A1775" s="0" t="n">
        <v>1771</v>
      </c>
      <c r="B1775" s="0" t="n">
        <v>3</v>
      </c>
      <c r="C1775" s="19" t="n">
        <v>0</v>
      </c>
      <c r="D1775" s="19" t="n">
        <v>0.0085</v>
      </c>
      <c r="E1775" s="20" t="n">
        <f aca="false">Parametres!$B$5*C1775</f>
        <v>0</v>
      </c>
      <c r="F1775" s="20" t="n">
        <f aca="false">Parametres!$B$6*D1775</f>
        <v>1.7</v>
      </c>
      <c r="G1775" s="20" t="n">
        <f aca="false">E1775+F1775</f>
        <v>1.7</v>
      </c>
      <c r="H1775" s="20" t="n">
        <f aca="false">IF(G1775&lt;Parametres!$B$8*Parametres!$B$7,0,MIN(G1775,Parametres!$B$7))</f>
        <v>0</v>
      </c>
      <c r="I1775" s="20" t="n">
        <f aca="false">G1775-H1775</f>
        <v>1.7</v>
      </c>
      <c r="J1775" s="21" t="n">
        <f aca="false">H1775*1000/Parametres!$B$9</f>
        <v>0</v>
      </c>
    </row>
    <row r="1776" customFormat="false" ht="15" hidden="false" customHeight="false" outlineLevel="0" collapsed="false">
      <c r="A1776" s="0" t="n">
        <v>1772</v>
      </c>
      <c r="B1776" s="0" t="n">
        <v>3</v>
      </c>
      <c r="C1776" s="19" t="n">
        <v>0</v>
      </c>
      <c r="D1776" s="19" t="n">
        <v>0.0173</v>
      </c>
      <c r="E1776" s="20" t="n">
        <f aca="false">Parametres!$B$5*C1776</f>
        <v>0</v>
      </c>
      <c r="F1776" s="20" t="n">
        <f aca="false">Parametres!$B$6*D1776</f>
        <v>3.46</v>
      </c>
      <c r="G1776" s="20" t="n">
        <f aca="false">E1776+F1776</f>
        <v>3.46</v>
      </c>
      <c r="H1776" s="20" t="n">
        <f aca="false">IF(G1776&lt;Parametres!$B$8*Parametres!$B$7,0,MIN(G1776,Parametres!$B$7))</f>
        <v>0</v>
      </c>
      <c r="I1776" s="20" t="n">
        <f aca="false">G1776-H1776</f>
        <v>3.46</v>
      </c>
      <c r="J1776" s="21" t="n">
        <f aca="false">H1776*1000/Parametres!$B$9</f>
        <v>0</v>
      </c>
    </row>
    <row r="1777" customFormat="false" ht="15" hidden="false" customHeight="false" outlineLevel="0" collapsed="false">
      <c r="A1777" s="0" t="n">
        <v>1773</v>
      </c>
      <c r="B1777" s="0" t="n">
        <v>3</v>
      </c>
      <c r="C1777" s="19" t="n">
        <v>0</v>
      </c>
      <c r="D1777" s="19" t="n">
        <v>0.0132</v>
      </c>
      <c r="E1777" s="20" t="n">
        <f aca="false">Parametres!$B$5*C1777</f>
        <v>0</v>
      </c>
      <c r="F1777" s="20" t="n">
        <f aca="false">Parametres!$B$6*D1777</f>
        <v>2.64</v>
      </c>
      <c r="G1777" s="20" t="n">
        <f aca="false">E1777+F1777</f>
        <v>2.64</v>
      </c>
      <c r="H1777" s="20" t="n">
        <f aca="false">IF(G1777&lt;Parametres!$B$8*Parametres!$B$7,0,MIN(G1777,Parametres!$B$7))</f>
        <v>0</v>
      </c>
      <c r="I1777" s="20" t="n">
        <f aca="false">G1777-H1777</f>
        <v>2.64</v>
      </c>
      <c r="J1777" s="21" t="n">
        <f aca="false">H1777*1000/Parametres!$B$9</f>
        <v>0</v>
      </c>
    </row>
    <row r="1778" customFormat="false" ht="15" hidden="false" customHeight="false" outlineLevel="0" collapsed="false">
      <c r="A1778" s="0" t="n">
        <v>1774</v>
      </c>
      <c r="B1778" s="0" t="n">
        <v>3</v>
      </c>
      <c r="C1778" s="19" t="n">
        <v>0</v>
      </c>
      <c r="D1778" s="19" t="n">
        <v>0.0073</v>
      </c>
      <c r="E1778" s="20" t="n">
        <f aca="false">Parametres!$B$5*C1778</f>
        <v>0</v>
      </c>
      <c r="F1778" s="20" t="n">
        <f aca="false">Parametres!$B$6*D1778</f>
        <v>1.46</v>
      </c>
      <c r="G1778" s="20" t="n">
        <f aca="false">E1778+F1778</f>
        <v>1.46</v>
      </c>
      <c r="H1778" s="20" t="n">
        <f aca="false">IF(G1778&lt;Parametres!$B$8*Parametres!$B$7,0,MIN(G1778,Parametres!$B$7))</f>
        <v>0</v>
      </c>
      <c r="I1778" s="20" t="n">
        <f aca="false">G1778-H1778</f>
        <v>1.46</v>
      </c>
      <c r="J1778" s="21" t="n">
        <f aca="false">H1778*1000/Parametres!$B$9</f>
        <v>0</v>
      </c>
    </row>
    <row r="1779" customFormat="false" ht="15" hidden="false" customHeight="false" outlineLevel="0" collapsed="false">
      <c r="A1779" s="0" t="n">
        <v>1775</v>
      </c>
      <c r="B1779" s="0" t="n">
        <v>3</v>
      </c>
      <c r="C1779" s="19" t="n">
        <v>0</v>
      </c>
      <c r="D1779" s="19" t="n">
        <v>0.0037</v>
      </c>
      <c r="E1779" s="20" t="n">
        <f aca="false">Parametres!$B$5*C1779</f>
        <v>0</v>
      </c>
      <c r="F1779" s="20" t="n">
        <f aca="false">Parametres!$B$6*D1779</f>
        <v>0.74</v>
      </c>
      <c r="G1779" s="20" t="n">
        <f aca="false">E1779+F1779</f>
        <v>0.74</v>
      </c>
      <c r="H1779" s="20" t="n">
        <f aca="false">IF(G1779&lt;Parametres!$B$8*Parametres!$B$7,0,MIN(G1779,Parametres!$B$7))</f>
        <v>0</v>
      </c>
      <c r="I1779" s="20" t="n">
        <f aca="false">G1779-H1779</f>
        <v>0.74</v>
      </c>
      <c r="J1779" s="21" t="n">
        <f aca="false">H1779*1000/Parametres!$B$9</f>
        <v>0</v>
      </c>
    </row>
    <row r="1780" customFormat="false" ht="15" hidden="false" customHeight="false" outlineLevel="0" collapsed="false">
      <c r="A1780" s="0" t="n">
        <v>1776</v>
      </c>
      <c r="B1780" s="0" t="n">
        <v>3</v>
      </c>
      <c r="C1780" s="19" t="n">
        <v>0</v>
      </c>
      <c r="D1780" s="19" t="n">
        <v>0.0061</v>
      </c>
      <c r="E1780" s="20" t="n">
        <f aca="false">Parametres!$B$5*C1780</f>
        <v>0</v>
      </c>
      <c r="F1780" s="20" t="n">
        <f aca="false">Parametres!$B$6*D1780</f>
        <v>1.22</v>
      </c>
      <c r="G1780" s="20" t="n">
        <f aca="false">E1780+F1780</f>
        <v>1.22</v>
      </c>
      <c r="H1780" s="20" t="n">
        <f aca="false">IF(G1780&lt;Parametres!$B$8*Parametres!$B$7,0,MIN(G1780,Parametres!$B$7))</f>
        <v>0</v>
      </c>
      <c r="I1780" s="20" t="n">
        <f aca="false">G1780-H1780</f>
        <v>1.22</v>
      </c>
      <c r="J1780" s="21" t="n">
        <f aca="false">H1780*1000/Parametres!$B$9</f>
        <v>0</v>
      </c>
    </row>
    <row r="1781" customFormat="false" ht="15" hidden="false" customHeight="false" outlineLevel="0" collapsed="false">
      <c r="A1781" s="0" t="n">
        <v>1777</v>
      </c>
      <c r="B1781" s="0" t="n">
        <v>3</v>
      </c>
      <c r="C1781" s="19" t="n">
        <v>0</v>
      </c>
      <c r="D1781" s="19" t="n">
        <v>0.0036</v>
      </c>
      <c r="E1781" s="20" t="n">
        <f aca="false">Parametres!$B$5*C1781</f>
        <v>0</v>
      </c>
      <c r="F1781" s="20" t="n">
        <f aca="false">Parametres!$B$6*D1781</f>
        <v>0.72</v>
      </c>
      <c r="G1781" s="20" t="n">
        <f aca="false">E1781+F1781</f>
        <v>0.72</v>
      </c>
      <c r="H1781" s="20" t="n">
        <f aca="false">IF(G1781&lt;Parametres!$B$8*Parametres!$B$7,0,MIN(G1781,Parametres!$B$7))</f>
        <v>0</v>
      </c>
      <c r="I1781" s="20" t="n">
        <f aca="false">G1781-H1781</f>
        <v>0.72</v>
      </c>
      <c r="J1781" s="21" t="n">
        <f aca="false">H1781*1000/Parametres!$B$9</f>
        <v>0</v>
      </c>
    </row>
    <row r="1782" customFormat="false" ht="15" hidden="false" customHeight="false" outlineLevel="0" collapsed="false">
      <c r="A1782" s="0" t="n">
        <v>1778</v>
      </c>
      <c r="B1782" s="0" t="n">
        <v>3</v>
      </c>
      <c r="C1782" s="19" t="n">
        <v>0</v>
      </c>
      <c r="D1782" s="19" t="n">
        <v>0.0003</v>
      </c>
      <c r="E1782" s="20" t="n">
        <f aca="false">Parametres!$B$5*C1782</f>
        <v>0</v>
      </c>
      <c r="F1782" s="20" t="n">
        <f aca="false">Parametres!$B$6*D1782</f>
        <v>0.06</v>
      </c>
      <c r="G1782" s="20" t="n">
        <f aca="false">E1782+F1782</f>
        <v>0.06</v>
      </c>
      <c r="H1782" s="20" t="n">
        <f aca="false">IF(G1782&lt;Parametres!$B$8*Parametres!$B$7,0,MIN(G1782,Parametres!$B$7))</f>
        <v>0</v>
      </c>
      <c r="I1782" s="20" t="n">
        <f aca="false">G1782-H1782</f>
        <v>0.06</v>
      </c>
      <c r="J1782" s="21" t="n">
        <f aca="false">H1782*1000/Parametres!$B$9</f>
        <v>0</v>
      </c>
    </row>
    <row r="1783" customFormat="false" ht="15" hidden="false" customHeight="false" outlineLevel="0" collapsed="false">
      <c r="A1783" s="0" t="n">
        <v>1779</v>
      </c>
      <c r="B1783" s="0" t="n">
        <v>3</v>
      </c>
      <c r="C1783" s="19" t="n">
        <v>0</v>
      </c>
      <c r="D1783" s="19" t="n">
        <v>0.0001</v>
      </c>
      <c r="E1783" s="20" t="n">
        <f aca="false">Parametres!$B$5*C1783</f>
        <v>0</v>
      </c>
      <c r="F1783" s="20" t="n">
        <f aca="false">Parametres!$B$6*D1783</f>
        <v>0.02</v>
      </c>
      <c r="G1783" s="20" t="n">
        <f aca="false">E1783+F1783</f>
        <v>0.02</v>
      </c>
      <c r="H1783" s="20" t="n">
        <f aca="false">IF(G1783&lt;Parametres!$B$8*Parametres!$B$7,0,MIN(G1783,Parametres!$B$7))</f>
        <v>0</v>
      </c>
      <c r="I1783" s="20" t="n">
        <f aca="false">G1783-H1783</f>
        <v>0.02</v>
      </c>
      <c r="J1783" s="21" t="n">
        <f aca="false">H1783*1000/Parametres!$B$9</f>
        <v>0</v>
      </c>
    </row>
    <row r="1784" customFormat="false" ht="15" hidden="false" customHeight="false" outlineLevel="0" collapsed="false">
      <c r="A1784" s="0" t="n">
        <v>1780</v>
      </c>
      <c r="B1784" s="0" t="n">
        <v>3</v>
      </c>
      <c r="C1784" s="19" t="n">
        <v>0</v>
      </c>
      <c r="D1784" s="19" t="n">
        <v>0</v>
      </c>
      <c r="E1784" s="20" t="n">
        <f aca="false">Parametres!$B$5*C1784</f>
        <v>0</v>
      </c>
      <c r="F1784" s="20" t="n">
        <f aca="false">Parametres!$B$6*D1784</f>
        <v>0</v>
      </c>
      <c r="G1784" s="20" t="n">
        <f aca="false">E1784+F1784</f>
        <v>0</v>
      </c>
      <c r="H1784" s="20" t="n">
        <f aca="false">IF(G1784&lt;Parametres!$B$8*Parametres!$B$7,0,MIN(G1784,Parametres!$B$7))</f>
        <v>0</v>
      </c>
      <c r="I1784" s="20" t="n">
        <f aca="false">G1784-H1784</f>
        <v>0</v>
      </c>
      <c r="J1784" s="21" t="n">
        <f aca="false">H1784*1000/Parametres!$B$9</f>
        <v>0</v>
      </c>
    </row>
    <row r="1785" customFormat="false" ht="15" hidden="false" customHeight="false" outlineLevel="0" collapsed="false">
      <c r="A1785" s="0" t="n">
        <v>1781</v>
      </c>
      <c r="B1785" s="0" t="n">
        <v>3</v>
      </c>
      <c r="C1785" s="19" t="n">
        <v>0</v>
      </c>
      <c r="D1785" s="19" t="n">
        <v>0.0003</v>
      </c>
      <c r="E1785" s="20" t="n">
        <f aca="false">Parametres!$B$5*C1785</f>
        <v>0</v>
      </c>
      <c r="F1785" s="20" t="n">
        <f aca="false">Parametres!$B$6*D1785</f>
        <v>0.06</v>
      </c>
      <c r="G1785" s="20" t="n">
        <f aca="false">E1785+F1785</f>
        <v>0.06</v>
      </c>
      <c r="H1785" s="20" t="n">
        <f aca="false">IF(G1785&lt;Parametres!$B$8*Parametres!$B$7,0,MIN(G1785,Parametres!$B$7))</f>
        <v>0</v>
      </c>
      <c r="I1785" s="20" t="n">
        <f aca="false">G1785-H1785</f>
        <v>0.06</v>
      </c>
      <c r="J1785" s="21" t="n">
        <f aca="false">H1785*1000/Parametres!$B$9</f>
        <v>0</v>
      </c>
    </row>
    <row r="1786" customFormat="false" ht="15" hidden="false" customHeight="false" outlineLevel="0" collapsed="false">
      <c r="A1786" s="0" t="n">
        <v>1782</v>
      </c>
      <c r="B1786" s="0" t="n">
        <v>3</v>
      </c>
      <c r="C1786" s="19" t="n">
        <v>0</v>
      </c>
      <c r="D1786" s="19" t="n">
        <v>0.0004</v>
      </c>
      <c r="E1786" s="20" t="n">
        <f aca="false">Parametres!$B$5*C1786</f>
        <v>0</v>
      </c>
      <c r="F1786" s="20" t="n">
        <f aca="false">Parametres!$B$6*D1786</f>
        <v>0.08</v>
      </c>
      <c r="G1786" s="20" t="n">
        <f aca="false">E1786+F1786</f>
        <v>0.08</v>
      </c>
      <c r="H1786" s="20" t="n">
        <f aca="false">IF(G1786&lt;Parametres!$B$8*Parametres!$B$7,0,MIN(G1786,Parametres!$B$7))</f>
        <v>0</v>
      </c>
      <c r="I1786" s="20" t="n">
        <f aca="false">G1786-H1786</f>
        <v>0.08</v>
      </c>
      <c r="J1786" s="21" t="n">
        <f aca="false">H1786*1000/Parametres!$B$9</f>
        <v>0</v>
      </c>
    </row>
    <row r="1787" customFormat="false" ht="15" hidden="false" customHeight="false" outlineLevel="0" collapsed="false">
      <c r="A1787" s="0" t="n">
        <v>1783</v>
      </c>
      <c r="B1787" s="0" t="n">
        <v>3</v>
      </c>
      <c r="C1787" s="19" t="n">
        <v>0.0862</v>
      </c>
      <c r="D1787" s="19" t="n">
        <v>0</v>
      </c>
      <c r="E1787" s="20" t="n">
        <f aca="false">Parametres!$B$5*C1787</f>
        <v>25.86</v>
      </c>
      <c r="F1787" s="20" t="n">
        <f aca="false">Parametres!$B$6*D1787</f>
        <v>0</v>
      </c>
      <c r="G1787" s="20" t="n">
        <f aca="false">E1787+F1787</f>
        <v>25.86</v>
      </c>
      <c r="H1787" s="20" t="n">
        <f aca="false">IF(G1787&lt;Parametres!$B$8*Parametres!$B$7,0,MIN(G1787,Parametres!$B$7))</f>
        <v>25.86</v>
      </c>
      <c r="I1787" s="20" t="n">
        <f aca="false">G1787-H1787</f>
        <v>0</v>
      </c>
      <c r="J1787" s="21" t="n">
        <f aca="false">H1787*1000/Parametres!$B$9</f>
        <v>438.528065117857</v>
      </c>
    </row>
    <row r="1788" customFormat="false" ht="15" hidden="false" customHeight="false" outlineLevel="0" collapsed="false">
      <c r="A1788" s="0" t="n">
        <v>1784</v>
      </c>
      <c r="B1788" s="0" t="n">
        <v>3</v>
      </c>
      <c r="C1788" s="19" t="n">
        <v>0.3462</v>
      </c>
      <c r="D1788" s="19" t="n">
        <v>0</v>
      </c>
      <c r="E1788" s="20" t="n">
        <f aca="false">Parametres!$B$5*C1788</f>
        <v>103.86</v>
      </c>
      <c r="F1788" s="20" t="n">
        <f aca="false">Parametres!$B$6*D1788</f>
        <v>0</v>
      </c>
      <c r="G1788" s="20" t="n">
        <f aca="false">E1788+F1788</f>
        <v>103.86</v>
      </c>
      <c r="H1788" s="20" t="n">
        <f aca="false">IF(G1788&lt;Parametres!$B$8*Parametres!$B$7,0,MIN(G1788,Parametres!$B$7))</f>
        <v>103.86</v>
      </c>
      <c r="I1788" s="20" t="n">
        <f aca="false">G1788-H1788</f>
        <v>0</v>
      </c>
      <c r="J1788" s="21" t="n">
        <f aca="false">H1788*1000/Parametres!$B$9</f>
        <v>1761.23452603019</v>
      </c>
    </row>
    <row r="1789" customFormat="false" ht="15" hidden="false" customHeight="false" outlineLevel="0" collapsed="false">
      <c r="A1789" s="0" t="n">
        <v>1785</v>
      </c>
      <c r="B1789" s="0" t="n">
        <v>3</v>
      </c>
      <c r="C1789" s="19" t="n">
        <v>0.5763</v>
      </c>
      <c r="D1789" s="19" t="n">
        <v>0.0007</v>
      </c>
      <c r="E1789" s="20" t="n">
        <f aca="false">Parametres!$B$5*C1789</f>
        <v>172.89</v>
      </c>
      <c r="F1789" s="20" t="n">
        <f aca="false">Parametres!$B$6*D1789</f>
        <v>0.14</v>
      </c>
      <c r="G1789" s="20" t="n">
        <f aca="false">E1789+F1789</f>
        <v>173.03</v>
      </c>
      <c r="H1789" s="20" t="n">
        <f aca="false">IF(G1789&lt;Parametres!$B$8*Parametres!$B$7,0,MIN(G1789,Parametres!$B$7))</f>
        <v>173.03</v>
      </c>
      <c r="I1789" s="20" t="n">
        <f aca="false">G1789-H1789</f>
        <v>0</v>
      </c>
      <c r="J1789" s="21" t="n">
        <f aca="false">H1789*1000/Parametres!$B$9</f>
        <v>2934.20383245718</v>
      </c>
    </row>
    <row r="1790" customFormat="false" ht="15" hidden="false" customHeight="false" outlineLevel="0" collapsed="false">
      <c r="A1790" s="0" t="n">
        <v>1786</v>
      </c>
      <c r="B1790" s="0" t="n">
        <v>3</v>
      </c>
      <c r="C1790" s="19" t="n">
        <v>0.8032</v>
      </c>
      <c r="D1790" s="19" t="n">
        <v>0.0021</v>
      </c>
      <c r="E1790" s="20" t="n">
        <f aca="false">Parametres!$B$5*C1790</f>
        <v>240.96</v>
      </c>
      <c r="F1790" s="20" t="n">
        <f aca="false">Parametres!$B$6*D1790</f>
        <v>0.42</v>
      </c>
      <c r="G1790" s="20" t="n">
        <f aca="false">E1790+F1790</f>
        <v>241.38</v>
      </c>
      <c r="H1790" s="20" t="n">
        <f aca="false">IF(G1790&lt;Parametres!$B$8*Parametres!$B$7,0,MIN(G1790,Parametres!$B$7))</f>
        <v>241.38</v>
      </c>
      <c r="I1790" s="20" t="n">
        <f aca="false">G1790-H1790</f>
        <v>0</v>
      </c>
      <c r="J1790" s="21" t="n">
        <f aca="false">H1790*1000/Parametres!$B$9</f>
        <v>4093.26776326946</v>
      </c>
    </row>
    <row r="1791" customFormat="false" ht="15" hidden="false" customHeight="false" outlineLevel="0" collapsed="false">
      <c r="A1791" s="0" t="n">
        <v>1787</v>
      </c>
      <c r="B1791" s="0" t="n">
        <v>3</v>
      </c>
      <c r="C1791" s="19" t="n">
        <v>1</v>
      </c>
      <c r="D1791" s="19" t="n">
        <v>0.002</v>
      </c>
      <c r="E1791" s="20" t="n">
        <f aca="false">Parametres!$B$5*C1791</f>
        <v>300</v>
      </c>
      <c r="F1791" s="20" t="n">
        <f aca="false">Parametres!$B$6*D1791</f>
        <v>0.4</v>
      </c>
      <c r="G1791" s="20" t="n">
        <f aca="false">E1791+F1791</f>
        <v>300.4</v>
      </c>
      <c r="H1791" s="20" t="n">
        <f aca="false">IF(G1791&lt;Parametres!$B$8*Parametres!$B$7,0,MIN(G1791,Parametres!$B$7))</f>
        <v>250</v>
      </c>
      <c r="I1791" s="20" t="n">
        <f aca="false">G1791-H1791</f>
        <v>50.4</v>
      </c>
      <c r="J1791" s="21" t="n">
        <f aca="false">H1791*1000/Parametres!$B$9</f>
        <v>4239.44378497541</v>
      </c>
    </row>
    <row r="1792" customFormat="false" ht="15" hidden="false" customHeight="false" outlineLevel="0" collapsed="false">
      <c r="A1792" s="0" t="n">
        <v>1788</v>
      </c>
      <c r="B1792" s="0" t="n">
        <v>3</v>
      </c>
      <c r="C1792" s="19" t="n">
        <v>1</v>
      </c>
      <c r="D1792" s="19" t="n">
        <v>0.0037</v>
      </c>
      <c r="E1792" s="20" t="n">
        <f aca="false">Parametres!$B$5*C1792</f>
        <v>300</v>
      </c>
      <c r="F1792" s="20" t="n">
        <f aca="false">Parametres!$B$6*D1792</f>
        <v>0.74</v>
      </c>
      <c r="G1792" s="20" t="n">
        <f aca="false">E1792+F1792</f>
        <v>300.74</v>
      </c>
      <c r="H1792" s="20" t="n">
        <f aca="false">IF(G1792&lt;Parametres!$B$8*Parametres!$B$7,0,MIN(G1792,Parametres!$B$7))</f>
        <v>250</v>
      </c>
      <c r="I1792" s="20" t="n">
        <f aca="false">G1792-H1792</f>
        <v>50.74</v>
      </c>
      <c r="J1792" s="21" t="n">
        <f aca="false">H1792*1000/Parametres!$B$9</f>
        <v>4239.44378497541</v>
      </c>
    </row>
    <row r="1793" customFormat="false" ht="15" hidden="false" customHeight="false" outlineLevel="0" collapsed="false">
      <c r="A1793" s="0" t="n">
        <v>1789</v>
      </c>
      <c r="B1793" s="0" t="n">
        <v>3</v>
      </c>
      <c r="C1793" s="19" t="n">
        <v>1</v>
      </c>
      <c r="D1793" s="19" t="n">
        <v>0.0071</v>
      </c>
      <c r="E1793" s="20" t="n">
        <f aca="false">Parametres!$B$5*C1793</f>
        <v>300</v>
      </c>
      <c r="F1793" s="20" t="n">
        <f aca="false">Parametres!$B$6*D1793</f>
        <v>1.42</v>
      </c>
      <c r="G1793" s="20" t="n">
        <f aca="false">E1793+F1793</f>
        <v>301.42</v>
      </c>
      <c r="H1793" s="20" t="n">
        <f aca="false">IF(G1793&lt;Parametres!$B$8*Parametres!$B$7,0,MIN(G1793,Parametres!$B$7))</f>
        <v>250</v>
      </c>
      <c r="I1793" s="20" t="n">
        <f aca="false">G1793-H1793</f>
        <v>51.42</v>
      </c>
      <c r="J1793" s="21" t="n">
        <f aca="false">H1793*1000/Parametres!$B$9</f>
        <v>4239.44378497541</v>
      </c>
    </row>
    <row r="1794" customFormat="false" ht="15" hidden="false" customHeight="false" outlineLevel="0" collapsed="false">
      <c r="A1794" s="0" t="n">
        <v>1790</v>
      </c>
      <c r="B1794" s="0" t="n">
        <v>3</v>
      </c>
      <c r="C1794" s="19" t="n">
        <v>1</v>
      </c>
      <c r="D1794" s="19" t="n">
        <v>0.0221</v>
      </c>
      <c r="E1794" s="20" t="n">
        <f aca="false">Parametres!$B$5*C1794</f>
        <v>300</v>
      </c>
      <c r="F1794" s="20" t="n">
        <f aca="false">Parametres!$B$6*D1794</f>
        <v>4.42</v>
      </c>
      <c r="G1794" s="20" t="n">
        <f aca="false">E1794+F1794</f>
        <v>304.42</v>
      </c>
      <c r="H1794" s="20" t="n">
        <f aca="false">IF(G1794&lt;Parametres!$B$8*Parametres!$B$7,0,MIN(G1794,Parametres!$B$7))</f>
        <v>250</v>
      </c>
      <c r="I1794" s="20" t="n">
        <f aca="false">G1794-H1794</f>
        <v>54.42</v>
      </c>
      <c r="J1794" s="21" t="n">
        <f aca="false">H1794*1000/Parametres!$B$9</f>
        <v>4239.44378497541</v>
      </c>
    </row>
    <row r="1795" customFormat="false" ht="15" hidden="false" customHeight="false" outlineLevel="0" collapsed="false">
      <c r="A1795" s="0" t="n">
        <v>1791</v>
      </c>
      <c r="B1795" s="0" t="n">
        <v>3</v>
      </c>
      <c r="C1795" s="19" t="n">
        <v>0.7935</v>
      </c>
      <c r="D1795" s="19" t="n">
        <v>0.0337</v>
      </c>
      <c r="E1795" s="20" t="n">
        <f aca="false">Parametres!$B$5*C1795</f>
        <v>238.05</v>
      </c>
      <c r="F1795" s="20" t="n">
        <f aca="false">Parametres!$B$6*D1795</f>
        <v>6.74</v>
      </c>
      <c r="G1795" s="20" t="n">
        <f aca="false">E1795+F1795</f>
        <v>244.79</v>
      </c>
      <c r="H1795" s="20" t="n">
        <f aca="false">IF(G1795&lt;Parametres!$B$8*Parametres!$B$7,0,MIN(G1795,Parametres!$B$7))</f>
        <v>244.79</v>
      </c>
      <c r="I1795" s="20" t="n">
        <f aca="false">G1795-H1795</f>
        <v>0</v>
      </c>
      <c r="J1795" s="21" t="n">
        <f aca="false">H1795*1000/Parametres!$B$9</f>
        <v>4151.09377649652</v>
      </c>
    </row>
    <row r="1796" customFormat="false" ht="15" hidden="false" customHeight="false" outlineLevel="0" collapsed="false">
      <c r="A1796" s="0" t="n">
        <v>1792</v>
      </c>
      <c r="B1796" s="0" t="n">
        <v>3</v>
      </c>
      <c r="C1796" s="19" t="n">
        <v>0.6145</v>
      </c>
      <c r="D1796" s="19" t="n">
        <v>0.1387</v>
      </c>
      <c r="E1796" s="20" t="n">
        <f aca="false">Parametres!$B$5*C1796</f>
        <v>184.35</v>
      </c>
      <c r="F1796" s="20" t="n">
        <f aca="false">Parametres!$B$6*D1796</f>
        <v>27.74</v>
      </c>
      <c r="G1796" s="20" t="n">
        <f aca="false">E1796+F1796</f>
        <v>212.09</v>
      </c>
      <c r="H1796" s="20" t="n">
        <f aca="false">IF(G1796&lt;Parametres!$B$8*Parametres!$B$7,0,MIN(G1796,Parametres!$B$7))</f>
        <v>212.09</v>
      </c>
      <c r="I1796" s="20" t="n">
        <f aca="false">G1796-H1796</f>
        <v>0</v>
      </c>
      <c r="J1796" s="21" t="n">
        <f aca="false">H1796*1000/Parametres!$B$9</f>
        <v>3596.57452942174</v>
      </c>
    </row>
    <row r="1797" customFormat="false" ht="15" hidden="false" customHeight="false" outlineLevel="0" collapsed="false">
      <c r="A1797" s="0" t="n">
        <v>1793</v>
      </c>
      <c r="B1797" s="0" t="n">
        <v>3</v>
      </c>
      <c r="C1797" s="19" t="n">
        <v>0.3418</v>
      </c>
      <c r="D1797" s="19" t="n">
        <v>0.1282</v>
      </c>
      <c r="E1797" s="20" t="n">
        <f aca="false">Parametres!$B$5*C1797</f>
        <v>102.54</v>
      </c>
      <c r="F1797" s="20" t="n">
        <f aca="false">Parametres!$B$6*D1797</f>
        <v>25.64</v>
      </c>
      <c r="G1797" s="20" t="n">
        <f aca="false">E1797+F1797</f>
        <v>128.18</v>
      </c>
      <c r="H1797" s="20" t="n">
        <f aca="false">IF(G1797&lt;Parametres!$B$8*Parametres!$B$7,0,MIN(G1797,Parametres!$B$7))</f>
        <v>128.18</v>
      </c>
      <c r="I1797" s="20" t="n">
        <f aca="false">G1797-H1797</f>
        <v>0</v>
      </c>
      <c r="J1797" s="21" t="n">
        <f aca="false">H1797*1000/Parametres!$B$9</f>
        <v>2173.64761743259</v>
      </c>
    </row>
    <row r="1798" customFormat="false" ht="15" hidden="false" customHeight="false" outlineLevel="0" collapsed="false">
      <c r="A1798" s="0" t="n">
        <v>1794</v>
      </c>
      <c r="B1798" s="0" t="n">
        <v>3</v>
      </c>
      <c r="C1798" s="19" t="n">
        <v>0.0903</v>
      </c>
      <c r="D1798" s="19" t="n">
        <v>0.2562</v>
      </c>
      <c r="E1798" s="20" t="n">
        <f aca="false">Parametres!$B$5*C1798</f>
        <v>27.09</v>
      </c>
      <c r="F1798" s="20" t="n">
        <f aca="false">Parametres!$B$6*D1798</f>
        <v>51.24</v>
      </c>
      <c r="G1798" s="20" t="n">
        <f aca="false">E1798+F1798</f>
        <v>78.33</v>
      </c>
      <c r="H1798" s="20" t="n">
        <f aca="false">IF(G1798&lt;Parametres!$B$8*Parametres!$B$7,0,MIN(G1798,Parametres!$B$7))</f>
        <v>78.33</v>
      </c>
      <c r="I1798" s="20" t="n">
        <f aca="false">G1798-H1798</f>
        <v>0</v>
      </c>
      <c r="J1798" s="21" t="n">
        <f aca="false">H1798*1000/Parametres!$B$9</f>
        <v>1328.3025267085</v>
      </c>
    </row>
    <row r="1799" customFormat="false" ht="15" hidden="false" customHeight="false" outlineLevel="0" collapsed="false">
      <c r="A1799" s="0" t="n">
        <v>1795</v>
      </c>
      <c r="B1799" s="0" t="n">
        <v>3</v>
      </c>
      <c r="C1799" s="19" t="n">
        <v>0</v>
      </c>
      <c r="D1799" s="19" t="n">
        <v>0.2456</v>
      </c>
      <c r="E1799" s="20" t="n">
        <f aca="false">Parametres!$B$5*C1799</f>
        <v>0</v>
      </c>
      <c r="F1799" s="20" t="n">
        <f aca="false">Parametres!$B$6*D1799</f>
        <v>49.12</v>
      </c>
      <c r="G1799" s="20" t="n">
        <f aca="false">E1799+F1799</f>
        <v>49.12</v>
      </c>
      <c r="H1799" s="20" t="n">
        <f aca="false">IF(G1799&lt;Parametres!$B$8*Parametres!$B$7,0,MIN(G1799,Parametres!$B$7))</f>
        <v>49.12</v>
      </c>
      <c r="I1799" s="20" t="n">
        <f aca="false">G1799-H1799</f>
        <v>0</v>
      </c>
      <c r="J1799" s="21" t="n">
        <f aca="false">H1799*1000/Parametres!$B$9</f>
        <v>832.965914871969</v>
      </c>
    </row>
    <row r="1800" customFormat="false" ht="15" hidden="false" customHeight="false" outlineLevel="0" collapsed="false">
      <c r="A1800" s="0" t="n">
        <v>1796</v>
      </c>
      <c r="B1800" s="0" t="n">
        <v>3</v>
      </c>
      <c r="C1800" s="19" t="n">
        <v>0</v>
      </c>
      <c r="D1800" s="19" t="n">
        <v>0.1017</v>
      </c>
      <c r="E1800" s="20" t="n">
        <f aca="false">Parametres!$B$5*C1800</f>
        <v>0</v>
      </c>
      <c r="F1800" s="20" t="n">
        <f aca="false">Parametres!$B$6*D1800</f>
        <v>20.34</v>
      </c>
      <c r="G1800" s="20" t="n">
        <f aca="false">E1800+F1800</f>
        <v>20.34</v>
      </c>
      <c r="H1800" s="20" t="n">
        <f aca="false">IF(G1800&lt;Parametres!$B$8*Parametres!$B$7,0,MIN(G1800,Parametres!$B$7))</f>
        <v>0</v>
      </c>
      <c r="I1800" s="20" t="n">
        <f aca="false">G1800-H1800</f>
        <v>20.34</v>
      </c>
      <c r="J1800" s="21" t="n">
        <f aca="false">H1800*1000/Parametres!$B$9</f>
        <v>0</v>
      </c>
    </row>
    <row r="1801" customFormat="false" ht="15" hidden="false" customHeight="false" outlineLevel="0" collapsed="false">
      <c r="A1801" s="0" t="n">
        <v>1797</v>
      </c>
      <c r="B1801" s="0" t="n">
        <v>3</v>
      </c>
      <c r="C1801" s="19" t="n">
        <v>0</v>
      </c>
      <c r="D1801" s="19" t="n">
        <v>0.0464</v>
      </c>
      <c r="E1801" s="20" t="n">
        <f aca="false">Parametres!$B$5*C1801</f>
        <v>0</v>
      </c>
      <c r="F1801" s="20" t="n">
        <f aca="false">Parametres!$B$6*D1801</f>
        <v>9.28</v>
      </c>
      <c r="G1801" s="20" t="n">
        <f aca="false">E1801+F1801</f>
        <v>9.28</v>
      </c>
      <c r="H1801" s="20" t="n">
        <f aca="false">IF(G1801&lt;Parametres!$B$8*Parametres!$B$7,0,MIN(G1801,Parametres!$B$7))</f>
        <v>0</v>
      </c>
      <c r="I1801" s="20" t="n">
        <f aca="false">G1801-H1801</f>
        <v>9.28</v>
      </c>
      <c r="J1801" s="21" t="n">
        <f aca="false">H1801*1000/Parametres!$B$9</f>
        <v>0</v>
      </c>
    </row>
    <row r="1802" customFormat="false" ht="15" hidden="false" customHeight="false" outlineLevel="0" collapsed="false">
      <c r="A1802" s="0" t="n">
        <v>1798</v>
      </c>
      <c r="B1802" s="0" t="n">
        <v>3</v>
      </c>
      <c r="C1802" s="19" t="n">
        <v>0</v>
      </c>
      <c r="D1802" s="19" t="n">
        <v>0.01</v>
      </c>
      <c r="E1802" s="20" t="n">
        <f aca="false">Parametres!$B$5*C1802</f>
        <v>0</v>
      </c>
      <c r="F1802" s="20" t="n">
        <f aca="false">Parametres!$B$6*D1802</f>
        <v>2</v>
      </c>
      <c r="G1802" s="20" t="n">
        <f aca="false">E1802+F1802</f>
        <v>2</v>
      </c>
      <c r="H1802" s="20" t="n">
        <f aca="false">IF(G1802&lt;Parametres!$B$8*Parametres!$B$7,0,MIN(G1802,Parametres!$B$7))</f>
        <v>0</v>
      </c>
      <c r="I1802" s="20" t="n">
        <f aca="false">G1802-H1802</f>
        <v>2</v>
      </c>
      <c r="J1802" s="21" t="n">
        <f aca="false">H1802*1000/Parametres!$B$9</f>
        <v>0</v>
      </c>
    </row>
    <row r="1803" customFormat="false" ht="15" hidden="false" customHeight="false" outlineLevel="0" collapsed="false">
      <c r="A1803" s="0" t="n">
        <v>1799</v>
      </c>
      <c r="B1803" s="0" t="n">
        <v>3</v>
      </c>
      <c r="C1803" s="19" t="n">
        <v>0</v>
      </c>
      <c r="D1803" s="19" t="n">
        <v>0.0009</v>
      </c>
      <c r="E1803" s="20" t="n">
        <f aca="false">Parametres!$B$5*C1803</f>
        <v>0</v>
      </c>
      <c r="F1803" s="20" t="n">
        <f aca="false">Parametres!$B$6*D1803</f>
        <v>0.18</v>
      </c>
      <c r="G1803" s="20" t="n">
        <f aca="false">E1803+F1803</f>
        <v>0.18</v>
      </c>
      <c r="H1803" s="20" t="n">
        <f aca="false">IF(G1803&lt;Parametres!$B$8*Parametres!$B$7,0,MIN(G1803,Parametres!$B$7))</f>
        <v>0</v>
      </c>
      <c r="I1803" s="20" t="n">
        <f aca="false">G1803-H1803</f>
        <v>0.18</v>
      </c>
      <c r="J1803" s="21" t="n">
        <f aca="false">H1803*1000/Parametres!$B$9</f>
        <v>0</v>
      </c>
    </row>
    <row r="1804" customFormat="false" ht="15" hidden="false" customHeight="false" outlineLevel="0" collapsed="false">
      <c r="A1804" s="0" t="n">
        <v>1800</v>
      </c>
      <c r="B1804" s="0" t="n">
        <v>3</v>
      </c>
      <c r="C1804" s="19" t="n">
        <v>0</v>
      </c>
      <c r="D1804" s="19" t="n">
        <v>0.0041</v>
      </c>
      <c r="E1804" s="20" t="n">
        <f aca="false">Parametres!$B$5*C1804</f>
        <v>0</v>
      </c>
      <c r="F1804" s="20" t="n">
        <f aca="false">Parametres!$B$6*D1804</f>
        <v>0.82</v>
      </c>
      <c r="G1804" s="20" t="n">
        <f aca="false">E1804+F1804</f>
        <v>0.82</v>
      </c>
      <c r="H1804" s="20" t="n">
        <f aca="false">IF(G1804&lt;Parametres!$B$8*Parametres!$B$7,0,MIN(G1804,Parametres!$B$7))</f>
        <v>0</v>
      </c>
      <c r="I1804" s="20" t="n">
        <f aca="false">G1804-H1804</f>
        <v>0.82</v>
      </c>
      <c r="J1804" s="21" t="n">
        <f aca="false">H1804*1000/Parametres!$B$9</f>
        <v>0</v>
      </c>
    </row>
    <row r="1805" customFormat="false" ht="15" hidden="false" customHeight="false" outlineLevel="0" collapsed="false">
      <c r="A1805" s="0" t="n">
        <v>1801</v>
      </c>
      <c r="B1805" s="0" t="n">
        <v>3</v>
      </c>
      <c r="C1805" s="19" t="n">
        <v>0</v>
      </c>
      <c r="D1805" s="19" t="n">
        <v>0.0014</v>
      </c>
      <c r="E1805" s="20" t="n">
        <f aca="false">Parametres!$B$5*C1805</f>
        <v>0</v>
      </c>
      <c r="F1805" s="20" t="n">
        <f aca="false">Parametres!$B$6*D1805</f>
        <v>0.28</v>
      </c>
      <c r="G1805" s="20" t="n">
        <f aca="false">E1805+F1805</f>
        <v>0.28</v>
      </c>
      <c r="H1805" s="20" t="n">
        <f aca="false">IF(G1805&lt;Parametres!$B$8*Parametres!$B$7,0,MIN(G1805,Parametres!$B$7))</f>
        <v>0</v>
      </c>
      <c r="I1805" s="20" t="n">
        <f aca="false">G1805-H1805</f>
        <v>0.28</v>
      </c>
      <c r="J1805" s="21" t="n">
        <f aca="false">H1805*1000/Parametres!$B$9</f>
        <v>0</v>
      </c>
    </row>
    <row r="1806" customFormat="false" ht="15" hidden="false" customHeight="false" outlineLevel="0" collapsed="false">
      <c r="A1806" s="0" t="n">
        <v>1802</v>
      </c>
      <c r="B1806" s="0" t="n">
        <v>3</v>
      </c>
      <c r="C1806" s="19" t="n">
        <v>0</v>
      </c>
      <c r="D1806" s="19" t="n">
        <v>0.0027</v>
      </c>
      <c r="E1806" s="20" t="n">
        <f aca="false">Parametres!$B$5*C1806</f>
        <v>0</v>
      </c>
      <c r="F1806" s="20" t="n">
        <f aca="false">Parametres!$B$6*D1806</f>
        <v>0.54</v>
      </c>
      <c r="G1806" s="20" t="n">
        <f aca="false">E1806+F1806</f>
        <v>0.54</v>
      </c>
      <c r="H1806" s="20" t="n">
        <f aca="false">IF(G1806&lt;Parametres!$B$8*Parametres!$B$7,0,MIN(G1806,Parametres!$B$7))</f>
        <v>0</v>
      </c>
      <c r="I1806" s="20" t="n">
        <f aca="false">G1806-H1806</f>
        <v>0.54</v>
      </c>
      <c r="J1806" s="21" t="n">
        <f aca="false">H1806*1000/Parametres!$B$9</f>
        <v>0</v>
      </c>
    </row>
    <row r="1807" customFormat="false" ht="15" hidden="false" customHeight="false" outlineLevel="0" collapsed="false">
      <c r="A1807" s="0" t="n">
        <v>1803</v>
      </c>
      <c r="B1807" s="0" t="n">
        <v>3</v>
      </c>
      <c r="C1807" s="19" t="n">
        <v>0</v>
      </c>
      <c r="D1807" s="19" t="n">
        <v>0.0006</v>
      </c>
      <c r="E1807" s="20" t="n">
        <f aca="false">Parametres!$B$5*C1807</f>
        <v>0</v>
      </c>
      <c r="F1807" s="20" t="n">
        <f aca="false">Parametres!$B$6*D1807</f>
        <v>0.12</v>
      </c>
      <c r="G1807" s="20" t="n">
        <f aca="false">E1807+F1807</f>
        <v>0.12</v>
      </c>
      <c r="H1807" s="20" t="n">
        <f aca="false">IF(G1807&lt;Parametres!$B$8*Parametres!$B$7,0,MIN(G1807,Parametres!$B$7))</f>
        <v>0</v>
      </c>
      <c r="I1807" s="20" t="n">
        <f aca="false">G1807-H1807</f>
        <v>0.12</v>
      </c>
      <c r="J1807" s="21" t="n">
        <f aca="false">H1807*1000/Parametres!$B$9</f>
        <v>0</v>
      </c>
    </row>
    <row r="1808" customFormat="false" ht="15" hidden="false" customHeight="false" outlineLevel="0" collapsed="false">
      <c r="A1808" s="0" t="n">
        <v>1804</v>
      </c>
      <c r="B1808" s="0" t="n">
        <v>3</v>
      </c>
      <c r="C1808" s="19" t="n">
        <v>0</v>
      </c>
      <c r="D1808" s="19" t="n">
        <v>0.0006</v>
      </c>
      <c r="E1808" s="20" t="n">
        <f aca="false">Parametres!$B$5*C1808</f>
        <v>0</v>
      </c>
      <c r="F1808" s="20" t="n">
        <f aca="false">Parametres!$B$6*D1808</f>
        <v>0.12</v>
      </c>
      <c r="G1808" s="20" t="n">
        <f aca="false">E1808+F1808</f>
        <v>0.12</v>
      </c>
      <c r="H1808" s="20" t="n">
        <f aca="false">IF(G1808&lt;Parametres!$B$8*Parametres!$B$7,0,MIN(G1808,Parametres!$B$7))</f>
        <v>0</v>
      </c>
      <c r="I1808" s="20" t="n">
        <f aca="false">G1808-H1808</f>
        <v>0.12</v>
      </c>
      <c r="J1808" s="21" t="n">
        <f aca="false">H1808*1000/Parametres!$B$9</f>
        <v>0</v>
      </c>
    </row>
    <row r="1809" customFormat="false" ht="15" hidden="false" customHeight="false" outlineLevel="0" collapsed="false">
      <c r="A1809" s="0" t="n">
        <v>1805</v>
      </c>
      <c r="B1809" s="0" t="n">
        <v>3</v>
      </c>
      <c r="C1809" s="19" t="n">
        <v>0</v>
      </c>
      <c r="D1809" s="19" t="n">
        <v>0</v>
      </c>
      <c r="E1809" s="20" t="n">
        <f aca="false">Parametres!$B$5*C1809</f>
        <v>0</v>
      </c>
      <c r="F1809" s="20" t="n">
        <f aca="false">Parametres!$B$6*D1809</f>
        <v>0</v>
      </c>
      <c r="G1809" s="20" t="n">
        <f aca="false">E1809+F1809</f>
        <v>0</v>
      </c>
      <c r="H1809" s="20" t="n">
        <f aca="false">IF(G1809&lt;Parametres!$B$8*Parametres!$B$7,0,MIN(G1809,Parametres!$B$7))</f>
        <v>0</v>
      </c>
      <c r="I1809" s="20" t="n">
        <f aca="false">G1809-H1809</f>
        <v>0</v>
      </c>
      <c r="J1809" s="21" t="n">
        <f aca="false">H1809*1000/Parametres!$B$9</f>
        <v>0</v>
      </c>
    </row>
    <row r="1810" customFormat="false" ht="15" hidden="false" customHeight="false" outlineLevel="0" collapsed="false">
      <c r="A1810" s="0" t="n">
        <v>1806</v>
      </c>
      <c r="B1810" s="0" t="n">
        <v>3</v>
      </c>
      <c r="C1810" s="19" t="n">
        <v>0</v>
      </c>
      <c r="D1810" s="19" t="n">
        <v>0.0005</v>
      </c>
      <c r="E1810" s="20" t="n">
        <f aca="false">Parametres!$B$5*C1810</f>
        <v>0</v>
      </c>
      <c r="F1810" s="20" t="n">
        <f aca="false">Parametres!$B$6*D1810</f>
        <v>0.1</v>
      </c>
      <c r="G1810" s="20" t="n">
        <f aca="false">E1810+F1810</f>
        <v>0.1</v>
      </c>
      <c r="H1810" s="20" t="n">
        <f aca="false">IF(G1810&lt;Parametres!$B$8*Parametres!$B$7,0,MIN(G1810,Parametres!$B$7))</f>
        <v>0</v>
      </c>
      <c r="I1810" s="20" t="n">
        <f aca="false">G1810-H1810</f>
        <v>0.1</v>
      </c>
      <c r="J1810" s="21" t="n">
        <f aca="false">H1810*1000/Parametres!$B$9</f>
        <v>0</v>
      </c>
    </row>
    <row r="1811" customFormat="false" ht="15" hidden="false" customHeight="false" outlineLevel="0" collapsed="false">
      <c r="A1811" s="0" t="n">
        <v>1807</v>
      </c>
      <c r="B1811" s="0" t="n">
        <v>3</v>
      </c>
      <c r="C1811" s="19" t="n">
        <v>0.0918</v>
      </c>
      <c r="D1811" s="19" t="n">
        <v>0.0005</v>
      </c>
      <c r="E1811" s="20" t="n">
        <f aca="false">Parametres!$B$5*C1811</f>
        <v>27.54</v>
      </c>
      <c r="F1811" s="20" t="n">
        <f aca="false">Parametres!$B$6*D1811</f>
        <v>0.1</v>
      </c>
      <c r="G1811" s="20" t="n">
        <f aca="false">E1811+F1811</f>
        <v>27.64</v>
      </c>
      <c r="H1811" s="20" t="n">
        <f aca="false">IF(G1811&lt;Parametres!$B$8*Parametres!$B$7,0,MIN(G1811,Parametres!$B$7))</f>
        <v>27.64</v>
      </c>
      <c r="I1811" s="20" t="n">
        <f aca="false">G1811-H1811</f>
        <v>0</v>
      </c>
      <c r="J1811" s="21" t="n">
        <f aca="false">H1811*1000/Parametres!$B$9</f>
        <v>468.712904866882</v>
      </c>
    </row>
    <row r="1812" customFormat="false" ht="15" hidden="false" customHeight="false" outlineLevel="0" collapsed="false">
      <c r="A1812" s="0" t="n">
        <v>1808</v>
      </c>
      <c r="B1812" s="0" t="n">
        <v>3</v>
      </c>
      <c r="C1812" s="19" t="n">
        <v>0.4092</v>
      </c>
      <c r="D1812" s="19" t="n">
        <v>0.0003</v>
      </c>
      <c r="E1812" s="20" t="n">
        <f aca="false">Parametres!$B$5*C1812</f>
        <v>122.76</v>
      </c>
      <c r="F1812" s="20" t="n">
        <f aca="false">Parametres!$B$6*D1812</f>
        <v>0.06</v>
      </c>
      <c r="G1812" s="20" t="n">
        <f aca="false">E1812+F1812</f>
        <v>122.82</v>
      </c>
      <c r="H1812" s="20" t="n">
        <f aca="false">IF(G1812&lt;Parametres!$B$8*Parametres!$B$7,0,MIN(G1812,Parametres!$B$7))</f>
        <v>122.82</v>
      </c>
      <c r="I1812" s="20" t="n">
        <f aca="false">G1812-H1812</f>
        <v>0</v>
      </c>
      <c r="J1812" s="21" t="n">
        <f aca="false">H1812*1000/Parametres!$B$9</f>
        <v>2082.75394268272</v>
      </c>
    </row>
    <row r="1813" customFormat="false" ht="15" hidden="false" customHeight="false" outlineLevel="0" collapsed="false">
      <c r="A1813" s="0" t="n">
        <v>1809</v>
      </c>
      <c r="B1813" s="0" t="n">
        <v>3</v>
      </c>
      <c r="C1813" s="19" t="n">
        <v>0.6908</v>
      </c>
      <c r="D1813" s="19" t="n">
        <v>0.0004</v>
      </c>
      <c r="E1813" s="20" t="n">
        <f aca="false">Parametres!$B$5*C1813</f>
        <v>207.24</v>
      </c>
      <c r="F1813" s="20" t="n">
        <f aca="false">Parametres!$B$6*D1813</f>
        <v>0.08</v>
      </c>
      <c r="G1813" s="20" t="n">
        <f aca="false">E1813+F1813</f>
        <v>207.32</v>
      </c>
      <c r="H1813" s="20" t="n">
        <f aca="false">IF(G1813&lt;Parametres!$B$8*Parametres!$B$7,0,MIN(G1813,Parametres!$B$7))</f>
        <v>207.32</v>
      </c>
      <c r="I1813" s="20" t="n">
        <f aca="false">G1813-H1813</f>
        <v>0</v>
      </c>
      <c r="J1813" s="21" t="n">
        <f aca="false">H1813*1000/Parametres!$B$9</f>
        <v>3515.68594200441</v>
      </c>
    </row>
    <row r="1814" customFormat="false" ht="15" hidden="false" customHeight="false" outlineLevel="0" collapsed="false">
      <c r="A1814" s="0" t="n">
        <v>1810</v>
      </c>
      <c r="B1814" s="0" t="n">
        <v>3</v>
      </c>
      <c r="C1814" s="19" t="n">
        <v>0.898</v>
      </c>
      <c r="D1814" s="19" t="n">
        <v>0.0115</v>
      </c>
      <c r="E1814" s="20" t="n">
        <f aca="false">Parametres!$B$5*C1814</f>
        <v>269.4</v>
      </c>
      <c r="F1814" s="20" t="n">
        <f aca="false">Parametres!$B$6*D1814</f>
        <v>2.3</v>
      </c>
      <c r="G1814" s="20" t="n">
        <f aca="false">E1814+F1814</f>
        <v>271.7</v>
      </c>
      <c r="H1814" s="20" t="n">
        <f aca="false">IF(G1814&lt;Parametres!$B$8*Parametres!$B$7,0,MIN(G1814,Parametres!$B$7))</f>
        <v>250</v>
      </c>
      <c r="I1814" s="20" t="n">
        <f aca="false">G1814-H1814</f>
        <v>21.7</v>
      </c>
      <c r="J1814" s="21" t="n">
        <f aca="false">H1814*1000/Parametres!$B$9</f>
        <v>4239.44378497541</v>
      </c>
    </row>
    <row r="1815" customFormat="false" ht="15" hidden="false" customHeight="false" outlineLevel="0" collapsed="false">
      <c r="A1815" s="0" t="n">
        <v>1811</v>
      </c>
      <c r="B1815" s="0" t="n">
        <v>3</v>
      </c>
      <c r="C1815" s="19" t="n">
        <v>1</v>
      </c>
      <c r="D1815" s="19" t="n">
        <v>0.0216</v>
      </c>
      <c r="E1815" s="20" t="n">
        <f aca="false">Parametres!$B$5*C1815</f>
        <v>300</v>
      </c>
      <c r="F1815" s="20" t="n">
        <f aca="false">Parametres!$B$6*D1815</f>
        <v>4.32</v>
      </c>
      <c r="G1815" s="20" t="n">
        <f aca="false">E1815+F1815</f>
        <v>304.32</v>
      </c>
      <c r="H1815" s="20" t="n">
        <f aca="false">IF(G1815&lt;Parametres!$B$8*Parametres!$B$7,0,MIN(G1815,Parametres!$B$7))</f>
        <v>250</v>
      </c>
      <c r="I1815" s="20" t="n">
        <f aca="false">G1815-H1815</f>
        <v>54.32</v>
      </c>
      <c r="J1815" s="21" t="n">
        <f aca="false">H1815*1000/Parametres!$B$9</f>
        <v>4239.44378497541</v>
      </c>
    </row>
    <row r="1816" customFormat="false" ht="15" hidden="false" customHeight="false" outlineLevel="0" collapsed="false">
      <c r="A1816" s="0" t="n">
        <v>1812</v>
      </c>
      <c r="B1816" s="0" t="n">
        <v>3</v>
      </c>
      <c r="C1816" s="19" t="n">
        <v>1</v>
      </c>
      <c r="D1816" s="19" t="n">
        <v>0.0476</v>
      </c>
      <c r="E1816" s="20" t="n">
        <f aca="false">Parametres!$B$5*C1816</f>
        <v>300</v>
      </c>
      <c r="F1816" s="20" t="n">
        <f aca="false">Parametres!$B$6*D1816</f>
        <v>9.52</v>
      </c>
      <c r="G1816" s="20" t="n">
        <f aca="false">E1816+F1816</f>
        <v>309.52</v>
      </c>
      <c r="H1816" s="20" t="n">
        <f aca="false">IF(G1816&lt;Parametres!$B$8*Parametres!$B$7,0,MIN(G1816,Parametres!$B$7))</f>
        <v>250</v>
      </c>
      <c r="I1816" s="20" t="n">
        <f aca="false">G1816-H1816</f>
        <v>59.52</v>
      </c>
      <c r="J1816" s="21" t="n">
        <f aca="false">H1816*1000/Parametres!$B$9</f>
        <v>4239.44378497541</v>
      </c>
    </row>
    <row r="1817" customFormat="false" ht="15" hidden="false" customHeight="false" outlineLevel="0" collapsed="false">
      <c r="A1817" s="0" t="n">
        <v>1813</v>
      </c>
      <c r="B1817" s="0" t="n">
        <v>3</v>
      </c>
      <c r="C1817" s="19" t="n">
        <v>1</v>
      </c>
      <c r="D1817" s="19" t="n">
        <v>0.025</v>
      </c>
      <c r="E1817" s="20" t="n">
        <f aca="false">Parametres!$B$5*C1817</f>
        <v>300</v>
      </c>
      <c r="F1817" s="20" t="n">
        <f aca="false">Parametres!$B$6*D1817</f>
        <v>5</v>
      </c>
      <c r="G1817" s="20" t="n">
        <f aca="false">E1817+F1817</f>
        <v>305</v>
      </c>
      <c r="H1817" s="20" t="n">
        <f aca="false">IF(G1817&lt;Parametres!$B$8*Parametres!$B$7,0,MIN(G1817,Parametres!$B$7))</f>
        <v>250</v>
      </c>
      <c r="I1817" s="20" t="n">
        <f aca="false">G1817-H1817</f>
        <v>55</v>
      </c>
      <c r="J1817" s="21" t="n">
        <f aca="false">H1817*1000/Parametres!$B$9</f>
        <v>4239.44378497541</v>
      </c>
    </row>
    <row r="1818" customFormat="false" ht="15" hidden="false" customHeight="false" outlineLevel="0" collapsed="false">
      <c r="A1818" s="0" t="n">
        <v>1814</v>
      </c>
      <c r="B1818" s="0" t="n">
        <v>3</v>
      </c>
      <c r="C1818" s="19" t="n">
        <v>1</v>
      </c>
      <c r="D1818" s="19" t="n">
        <v>0.0183</v>
      </c>
      <c r="E1818" s="20" t="n">
        <f aca="false">Parametres!$B$5*C1818</f>
        <v>300</v>
      </c>
      <c r="F1818" s="20" t="n">
        <f aca="false">Parametres!$B$6*D1818</f>
        <v>3.66</v>
      </c>
      <c r="G1818" s="20" t="n">
        <f aca="false">E1818+F1818</f>
        <v>303.66</v>
      </c>
      <c r="H1818" s="20" t="n">
        <f aca="false">IF(G1818&lt;Parametres!$B$8*Parametres!$B$7,0,MIN(G1818,Parametres!$B$7))</f>
        <v>250</v>
      </c>
      <c r="I1818" s="20" t="n">
        <f aca="false">G1818-H1818</f>
        <v>53.66</v>
      </c>
      <c r="J1818" s="21" t="n">
        <f aca="false">H1818*1000/Parametres!$B$9</f>
        <v>4239.44378497541</v>
      </c>
    </row>
    <row r="1819" customFormat="false" ht="15" hidden="false" customHeight="false" outlineLevel="0" collapsed="false">
      <c r="A1819" s="0" t="n">
        <v>1815</v>
      </c>
      <c r="B1819" s="0" t="n">
        <v>3</v>
      </c>
      <c r="C1819" s="19" t="n">
        <v>0.8938</v>
      </c>
      <c r="D1819" s="19" t="n">
        <v>0.0272</v>
      </c>
      <c r="E1819" s="20" t="n">
        <f aca="false">Parametres!$B$5*C1819</f>
        <v>268.14</v>
      </c>
      <c r="F1819" s="20" t="n">
        <f aca="false">Parametres!$B$6*D1819</f>
        <v>5.44</v>
      </c>
      <c r="G1819" s="20" t="n">
        <f aca="false">E1819+F1819</f>
        <v>273.58</v>
      </c>
      <c r="H1819" s="20" t="n">
        <f aca="false">IF(G1819&lt;Parametres!$B$8*Parametres!$B$7,0,MIN(G1819,Parametres!$B$7))</f>
        <v>250</v>
      </c>
      <c r="I1819" s="20" t="n">
        <f aca="false">G1819-H1819</f>
        <v>23.58</v>
      </c>
      <c r="J1819" s="21" t="n">
        <f aca="false">H1819*1000/Parametres!$B$9</f>
        <v>4239.44378497541</v>
      </c>
    </row>
    <row r="1820" customFormat="false" ht="15" hidden="false" customHeight="false" outlineLevel="0" collapsed="false">
      <c r="A1820" s="0" t="n">
        <v>1816</v>
      </c>
      <c r="B1820" s="0" t="n">
        <v>3</v>
      </c>
      <c r="C1820" s="19" t="n">
        <v>0.6636</v>
      </c>
      <c r="D1820" s="19" t="n">
        <v>0.0057</v>
      </c>
      <c r="E1820" s="20" t="n">
        <f aca="false">Parametres!$B$5*C1820</f>
        <v>199.08</v>
      </c>
      <c r="F1820" s="20" t="n">
        <f aca="false">Parametres!$B$6*D1820</f>
        <v>1.14</v>
      </c>
      <c r="G1820" s="20" t="n">
        <f aca="false">E1820+F1820</f>
        <v>200.22</v>
      </c>
      <c r="H1820" s="20" t="n">
        <f aca="false">IF(G1820&lt;Parametres!$B$8*Parametres!$B$7,0,MIN(G1820,Parametres!$B$7))</f>
        <v>200.22</v>
      </c>
      <c r="I1820" s="20" t="n">
        <f aca="false">G1820-H1820</f>
        <v>0</v>
      </c>
      <c r="J1820" s="21" t="n">
        <f aca="false">H1820*1000/Parametres!$B$9</f>
        <v>3395.28573851111</v>
      </c>
    </row>
    <row r="1821" customFormat="false" ht="15" hidden="false" customHeight="false" outlineLevel="0" collapsed="false">
      <c r="A1821" s="0" t="n">
        <v>1817</v>
      </c>
      <c r="B1821" s="0" t="n">
        <v>3</v>
      </c>
      <c r="C1821" s="19" t="n">
        <v>0.3808</v>
      </c>
      <c r="D1821" s="19" t="n">
        <v>0.0224</v>
      </c>
      <c r="E1821" s="20" t="n">
        <f aca="false">Parametres!$B$5*C1821</f>
        <v>114.24</v>
      </c>
      <c r="F1821" s="20" t="n">
        <f aca="false">Parametres!$B$6*D1821</f>
        <v>4.48</v>
      </c>
      <c r="G1821" s="20" t="n">
        <f aca="false">E1821+F1821</f>
        <v>118.72</v>
      </c>
      <c r="H1821" s="20" t="n">
        <f aca="false">IF(G1821&lt;Parametres!$B$8*Parametres!$B$7,0,MIN(G1821,Parametres!$B$7))</f>
        <v>118.72</v>
      </c>
      <c r="I1821" s="20" t="n">
        <f aca="false">G1821-H1821</f>
        <v>0</v>
      </c>
      <c r="J1821" s="21" t="n">
        <f aca="false">H1821*1000/Parametres!$B$9</f>
        <v>2013.22706460912</v>
      </c>
    </row>
    <row r="1822" customFormat="false" ht="15" hidden="false" customHeight="false" outlineLevel="0" collapsed="false">
      <c r="A1822" s="0" t="n">
        <v>1818</v>
      </c>
      <c r="B1822" s="0" t="n">
        <v>3</v>
      </c>
      <c r="C1822" s="19" t="n">
        <v>0.0984</v>
      </c>
      <c r="D1822" s="19" t="n">
        <v>0.0283</v>
      </c>
      <c r="E1822" s="20" t="n">
        <f aca="false">Parametres!$B$5*C1822</f>
        <v>29.52</v>
      </c>
      <c r="F1822" s="20" t="n">
        <f aca="false">Parametres!$B$6*D1822</f>
        <v>5.66</v>
      </c>
      <c r="G1822" s="20" t="n">
        <f aca="false">E1822+F1822</f>
        <v>35.18</v>
      </c>
      <c r="H1822" s="20" t="n">
        <f aca="false">IF(G1822&lt;Parametres!$B$8*Parametres!$B$7,0,MIN(G1822,Parametres!$B$7))</f>
        <v>35.18</v>
      </c>
      <c r="I1822" s="20" t="n">
        <f aca="false">G1822-H1822</f>
        <v>0</v>
      </c>
      <c r="J1822" s="21" t="n">
        <f aca="false">H1822*1000/Parametres!$B$9</f>
        <v>596.57452942174</v>
      </c>
    </row>
    <row r="1823" customFormat="false" ht="15" hidden="false" customHeight="false" outlineLevel="0" collapsed="false">
      <c r="A1823" s="0" t="n">
        <v>1819</v>
      </c>
      <c r="B1823" s="0" t="n">
        <v>3</v>
      </c>
      <c r="C1823" s="19" t="n">
        <v>0</v>
      </c>
      <c r="D1823" s="19" t="n">
        <v>0.0273</v>
      </c>
      <c r="E1823" s="20" t="n">
        <f aca="false">Parametres!$B$5*C1823</f>
        <v>0</v>
      </c>
      <c r="F1823" s="20" t="n">
        <f aca="false">Parametres!$B$6*D1823</f>
        <v>5.46</v>
      </c>
      <c r="G1823" s="20" t="n">
        <f aca="false">E1823+F1823</f>
        <v>5.46</v>
      </c>
      <c r="H1823" s="20" t="n">
        <f aca="false">IF(G1823&lt;Parametres!$B$8*Parametres!$B$7,0,MIN(G1823,Parametres!$B$7))</f>
        <v>0</v>
      </c>
      <c r="I1823" s="20" t="n">
        <f aca="false">G1823-H1823</f>
        <v>5.46</v>
      </c>
      <c r="J1823" s="21" t="n">
        <f aca="false">H1823*1000/Parametres!$B$9</f>
        <v>0</v>
      </c>
    </row>
    <row r="1824" customFormat="false" ht="15" hidden="false" customHeight="false" outlineLevel="0" collapsed="false">
      <c r="A1824" s="0" t="n">
        <v>1820</v>
      </c>
      <c r="B1824" s="0" t="n">
        <v>3</v>
      </c>
      <c r="C1824" s="19" t="n">
        <v>0</v>
      </c>
      <c r="D1824" s="19" t="n">
        <v>0.022</v>
      </c>
      <c r="E1824" s="20" t="n">
        <f aca="false">Parametres!$B$5*C1824</f>
        <v>0</v>
      </c>
      <c r="F1824" s="20" t="n">
        <f aca="false">Parametres!$B$6*D1824</f>
        <v>4.4</v>
      </c>
      <c r="G1824" s="20" t="n">
        <f aca="false">E1824+F1824</f>
        <v>4.4</v>
      </c>
      <c r="H1824" s="20" t="n">
        <f aca="false">IF(G1824&lt;Parametres!$B$8*Parametres!$B$7,0,MIN(G1824,Parametres!$B$7))</f>
        <v>0</v>
      </c>
      <c r="I1824" s="20" t="n">
        <f aca="false">G1824-H1824</f>
        <v>4.4</v>
      </c>
      <c r="J1824" s="21" t="n">
        <f aca="false">H1824*1000/Parametres!$B$9</f>
        <v>0</v>
      </c>
    </row>
    <row r="1825" customFormat="false" ht="15" hidden="false" customHeight="false" outlineLevel="0" collapsed="false">
      <c r="A1825" s="0" t="n">
        <v>1821</v>
      </c>
      <c r="B1825" s="0" t="n">
        <v>3</v>
      </c>
      <c r="C1825" s="19" t="n">
        <v>0</v>
      </c>
      <c r="D1825" s="19" t="n">
        <v>0.0164</v>
      </c>
      <c r="E1825" s="20" t="n">
        <f aca="false">Parametres!$B$5*C1825</f>
        <v>0</v>
      </c>
      <c r="F1825" s="20" t="n">
        <f aca="false">Parametres!$B$6*D1825</f>
        <v>3.28</v>
      </c>
      <c r="G1825" s="20" t="n">
        <f aca="false">E1825+F1825</f>
        <v>3.28</v>
      </c>
      <c r="H1825" s="20" t="n">
        <f aca="false">IF(G1825&lt;Parametres!$B$8*Parametres!$B$7,0,MIN(G1825,Parametres!$B$7))</f>
        <v>0</v>
      </c>
      <c r="I1825" s="20" t="n">
        <f aca="false">G1825-H1825</f>
        <v>3.28</v>
      </c>
      <c r="J1825" s="21" t="n">
        <f aca="false">H1825*1000/Parametres!$B$9</f>
        <v>0</v>
      </c>
    </row>
    <row r="1826" customFormat="false" ht="15" hidden="false" customHeight="false" outlineLevel="0" collapsed="false">
      <c r="A1826" s="0" t="n">
        <v>1822</v>
      </c>
      <c r="B1826" s="0" t="n">
        <v>3</v>
      </c>
      <c r="C1826" s="19" t="n">
        <v>0</v>
      </c>
      <c r="D1826" s="19" t="n">
        <v>0.009</v>
      </c>
      <c r="E1826" s="20" t="n">
        <f aca="false">Parametres!$B$5*C1826</f>
        <v>0</v>
      </c>
      <c r="F1826" s="20" t="n">
        <f aca="false">Parametres!$B$6*D1826</f>
        <v>1.8</v>
      </c>
      <c r="G1826" s="20" t="n">
        <f aca="false">E1826+F1826</f>
        <v>1.8</v>
      </c>
      <c r="H1826" s="20" t="n">
        <f aca="false">IF(G1826&lt;Parametres!$B$8*Parametres!$B$7,0,MIN(G1826,Parametres!$B$7))</f>
        <v>0</v>
      </c>
      <c r="I1826" s="20" t="n">
        <f aca="false">G1826-H1826</f>
        <v>1.8</v>
      </c>
      <c r="J1826" s="21" t="n">
        <f aca="false">H1826*1000/Parametres!$B$9</f>
        <v>0</v>
      </c>
    </row>
    <row r="1827" customFormat="false" ht="15" hidden="false" customHeight="false" outlineLevel="0" collapsed="false">
      <c r="A1827" s="0" t="n">
        <v>1823</v>
      </c>
      <c r="B1827" s="0" t="n">
        <v>3</v>
      </c>
      <c r="C1827" s="19" t="n">
        <v>0</v>
      </c>
      <c r="D1827" s="19" t="n">
        <v>0.0245</v>
      </c>
      <c r="E1827" s="20" t="n">
        <f aca="false">Parametres!$B$5*C1827</f>
        <v>0</v>
      </c>
      <c r="F1827" s="20" t="n">
        <f aca="false">Parametres!$B$6*D1827</f>
        <v>4.9</v>
      </c>
      <c r="G1827" s="20" t="n">
        <f aca="false">E1827+F1827</f>
        <v>4.9</v>
      </c>
      <c r="H1827" s="20" t="n">
        <f aca="false">IF(G1827&lt;Parametres!$B$8*Parametres!$B$7,0,MIN(G1827,Parametres!$B$7))</f>
        <v>0</v>
      </c>
      <c r="I1827" s="20" t="n">
        <f aca="false">G1827-H1827</f>
        <v>4.9</v>
      </c>
      <c r="J1827" s="21" t="n">
        <f aca="false">H1827*1000/Parametres!$B$9</f>
        <v>0</v>
      </c>
    </row>
    <row r="1828" customFormat="false" ht="15" hidden="false" customHeight="false" outlineLevel="0" collapsed="false">
      <c r="A1828" s="0" t="n">
        <v>1824</v>
      </c>
      <c r="B1828" s="0" t="n">
        <v>3</v>
      </c>
      <c r="C1828" s="19" t="n">
        <v>0</v>
      </c>
      <c r="D1828" s="19" t="n">
        <v>0.0334</v>
      </c>
      <c r="E1828" s="20" t="n">
        <f aca="false">Parametres!$B$5*C1828</f>
        <v>0</v>
      </c>
      <c r="F1828" s="20" t="n">
        <f aca="false">Parametres!$B$6*D1828</f>
        <v>6.68</v>
      </c>
      <c r="G1828" s="20" t="n">
        <f aca="false">E1828+F1828</f>
        <v>6.68</v>
      </c>
      <c r="H1828" s="20" t="n">
        <f aca="false">IF(G1828&lt;Parametres!$B$8*Parametres!$B$7,0,MIN(G1828,Parametres!$B$7))</f>
        <v>0</v>
      </c>
      <c r="I1828" s="20" t="n">
        <f aca="false">G1828-H1828</f>
        <v>6.68</v>
      </c>
      <c r="J1828" s="21" t="n">
        <f aca="false">H1828*1000/Parametres!$B$9</f>
        <v>0</v>
      </c>
    </row>
    <row r="1829" customFormat="false" ht="15" hidden="false" customHeight="false" outlineLevel="0" collapsed="false">
      <c r="A1829" s="0" t="n">
        <v>1825</v>
      </c>
      <c r="B1829" s="0" t="n">
        <v>3</v>
      </c>
      <c r="C1829" s="19" t="n">
        <v>0</v>
      </c>
      <c r="D1829" s="19" t="n">
        <v>0.0607</v>
      </c>
      <c r="E1829" s="20" t="n">
        <f aca="false">Parametres!$B$5*C1829</f>
        <v>0</v>
      </c>
      <c r="F1829" s="20" t="n">
        <f aca="false">Parametres!$B$6*D1829</f>
        <v>12.14</v>
      </c>
      <c r="G1829" s="20" t="n">
        <f aca="false">E1829+F1829</f>
        <v>12.14</v>
      </c>
      <c r="H1829" s="20" t="n">
        <f aca="false">IF(G1829&lt;Parametres!$B$8*Parametres!$B$7,0,MIN(G1829,Parametres!$B$7))</f>
        <v>0</v>
      </c>
      <c r="I1829" s="20" t="n">
        <f aca="false">G1829-H1829</f>
        <v>12.14</v>
      </c>
      <c r="J1829" s="21" t="n">
        <f aca="false">H1829*1000/Parametres!$B$9</f>
        <v>0</v>
      </c>
    </row>
    <row r="1830" customFormat="false" ht="15" hidden="false" customHeight="false" outlineLevel="0" collapsed="false">
      <c r="A1830" s="0" t="n">
        <v>1826</v>
      </c>
      <c r="B1830" s="0" t="n">
        <v>3</v>
      </c>
      <c r="C1830" s="19" t="n">
        <v>0</v>
      </c>
      <c r="D1830" s="19" t="n">
        <v>0.0444</v>
      </c>
      <c r="E1830" s="20" t="n">
        <f aca="false">Parametres!$B$5*C1830</f>
        <v>0</v>
      </c>
      <c r="F1830" s="20" t="n">
        <f aca="false">Parametres!$B$6*D1830</f>
        <v>8.88</v>
      </c>
      <c r="G1830" s="20" t="n">
        <f aca="false">E1830+F1830</f>
        <v>8.88</v>
      </c>
      <c r="H1830" s="20" t="n">
        <f aca="false">IF(G1830&lt;Parametres!$B$8*Parametres!$B$7,0,MIN(G1830,Parametres!$B$7))</f>
        <v>0</v>
      </c>
      <c r="I1830" s="20" t="n">
        <f aca="false">G1830-H1830</f>
        <v>8.88</v>
      </c>
      <c r="J1830" s="21" t="n">
        <f aca="false">H1830*1000/Parametres!$B$9</f>
        <v>0</v>
      </c>
    </row>
    <row r="1831" customFormat="false" ht="15" hidden="false" customHeight="false" outlineLevel="0" collapsed="false">
      <c r="A1831" s="0" t="n">
        <v>1827</v>
      </c>
      <c r="B1831" s="0" t="n">
        <v>3</v>
      </c>
      <c r="C1831" s="19" t="n">
        <v>0</v>
      </c>
      <c r="D1831" s="19" t="n">
        <v>0.0226</v>
      </c>
      <c r="E1831" s="20" t="n">
        <f aca="false">Parametres!$B$5*C1831</f>
        <v>0</v>
      </c>
      <c r="F1831" s="20" t="n">
        <f aca="false">Parametres!$B$6*D1831</f>
        <v>4.52</v>
      </c>
      <c r="G1831" s="20" t="n">
        <f aca="false">E1831+F1831</f>
        <v>4.52</v>
      </c>
      <c r="H1831" s="20" t="n">
        <f aca="false">IF(G1831&lt;Parametres!$B$8*Parametres!$B$7,0,MIN(G1831,Parametres!$B$7))</f>
        <v>0</v>
      </c>
      <c r="I1831" s="20" t="n">
        <f aca="false">G1831-H1831</f>
        <v>4.52</v>
      </c>
      <c r="J1831" s="21" t="n">
        <f aca="false">H1831*1000/Parametres!$B$9</f>
        <v>0</v>
      </c>
    </row>
    <row r="1832" customFormat="false" ht="15" hidden="false" customHeight="false" outlineLevel="0" collapsed="false">
      <c r="A1832" s="0" t="n">
        <v>1828</v>
      </c>
      <c r="B1832" s="0" t="n">
        <v>3</v>
      </c>
      <c r="C1832" s="19" t="n">
        <v>0</v>
      </c>
      <c r="D1832" s="19" t="n">
        <v>0.0494</v>
      </c>
      <c r="E1832" s="20" t="n">
        <f aca="false">Parametres!$B$5*C1832</f>
        <v>0</v>
      </c>
      <c r="F1832" s="20" t="n">
        <f aca="false">Parametres!$B$6*D1832</f>
        <v>9.88</v>
      </c>
      <c r="G1832" s="20" t="n">
        <f aca="false">E1832+F1832</f>
        <v>9.88</v>
      </c>
      <c r="H1832" s="20" t="n">
        <f aca="false">IF(G1832&lt;Parametres!$B$8*Parametres!$B$7,0,MIN(G1832,Parametres!$B$7))</f>
        <v>0</v>
      </c>
      <c r="I1832" s="20" t="n">
        <f aca="false">G1832-H1832</f>
        <v>9.88</v>
      </c>
      <c r="J1832" s="21" t="n">
        <f aca="false">H1832*1000/Parametres!$B$9</f>
        <v>0</v>
      </c>
    </row>
    <row r="1833" customFormat="false" ht="15" hidden="false" customHeight="false" outlineLevel="0" collapsed="false">
      <c r="A1833" s="0" t="n">
        <v>1829</v>
      </c>
      <c r="B1833" s="0" t="n">
        <v>3</v>
      </c>
      <c r="C1833" s="19" t="n">
        <v>0</v>
      </c>
      <c r="D1833" s="19" t="n">
        <v>0.0229</v>
      </c>
      <c r="E1833" s="20" t="n">
        <f aca="false">Parametres!$B$5*C1833</f>
        <v>0</v>
      </c>
      <c r="F1833" s="20" t="n">
        <f aca="false">Parametres!$B$6*D1833</f>
        <v>4.58</v>
      </c>
      <c r="G1833" s="20" t="n">
        <f aca="false">E1833+F1833</f>
        <v>4.58</v>
      </c>
      <c r="H1833" s="20" t="n">
        <f aca="false">IF(G1833&lt;Parametres!$B$8*Parametres!$B$7,0,MIN(G1833,Parametres!$B$7))</f>
        <v>0</v>
      </c>
      <c r="I1833" s="20" t="n">
        <f aca="false">G1833-H1833</f>
        <v>4.58</v>
      </c>
      <c r="J1833" s="21" t="n">
        <f aca="false">H1833*1000/Parametres!$B$9</f>
        <v>0</v>
      </c>
    </row>
    <row r="1834" customFormat="false" ht="15" hidden="false" customHeight="false" outlineLevel="0" collapsed="false">
      <c r="A1834" s="0" t="n">
        <v>1830</v>
      </c>
      <c r="B1834" s="0" t="n">
        <v>3</v>
      </c>
      <c r="C1834" s="19" t="n">
        <v>0</v>
      </c>
      <c r="D1834" s="19" t="n">
        <v>0.0156</v>
      </c>
      <c r="E1834" s="20" t="n">
        <f aca="false">Parametres!$B$5*C1834</f>
        <v>0</v>
      </c>
      <c r="F1834" s="20" t="n">
        <f aca="false">Parametres!$B$6*D1834</f>
        <v>3.12</v>
      </c>
      <c r="G1834" s="20" t="n">
        <f aca="false">E1834+F1834</f>
        <v>3.12</v>
      </c>
      <c r="H1834" s="20" t="n">
        <f aca="false">IF(G1834&lt;Parametres!$B$8*Parametres!$B$7,0,MIN(G1834,Parametres!$B$7))</f>
        <v>0</v>
      </c>
      <c r="I1834" s="20" t="n">
        <f aca="false">G1834-H1834</f>
        <v>3.12</v>
      </c>
      <c r="J1834" s="21" t="n">
        <f aca="false">H1834*1000/Parametres!$B$9</f>
        <v>0</v>
      </c>
    </row>
    <row r="1835" customFormat="false" ht="15" hidden="false" customHeight="false" outlineLevel="0" collapsed="false">
      <c r="A1835" s="0" t="n">
        <v>1831</v>
      </c>
      <c r="B1835" s="0" t="n">
        <v>3</v>
      </c>
      <c r="C1835" s="19" t="n">
        <v>0.0796</v>
      </c>
      <c r="D1835" s="19" t="n">
        <v>0.0289</v>
      </c>
      <c r="E1835" s="20" t="n">
        <f aca="false">Parametres!$B$5*C1835</f>
        <v>23.88</v>
      </c>
      <c r="F1835" s="20" t="n">
        <f aca="false">Parametres!$B$6*D1835</f>
        <v>5.78</v>
      </c>
      <c r="G1835" s="20" t="n">
        <f aca="false">E1835+F1835</f>
        <v>29.66</v>
      </c>
      <c r="H1835" s="20" t="n">
        <f aca="false">IF(G1835&lt;Parametres!$B$8*Parametres!$B$7,0,MIN(G1835,Parametres!$B$7))</f>
        <v>29.66</v>
      </c>
      <c r="I1835" s="20" t="n">
        <f aca="false">G1835-H1835</f>
        <v>0</v>
      </c>
      <c r="J1835" s="21" t="n">
        <f aca="false">H1835*1000/Parametres!$B$9</f>
        <v>502.967610649483</v>
      </c>
    </row>
    <row r="1836" customFormat="false" ht="15" hidden="false" customHeight="false" outlineLevel="0" collapsed="false">
      <c r="A1836" s="0" t="n">
        <v>1832</v>
      </c>
      <c r="B1836" s="0" t="n">
        <v>3</v>
      </c>
      <c r="C1836" s="19" t="n">
        <v>0.3438</v>
      </c>
      <c r="D1836" s="19" t="n">
        <v>0.063</v>
      </c>
      <c r="E1836" s="20" t="n">
        <f aca="false">Parametres!$B$5*C1836</f>
        <v>103.14</v>
      </c>
      <c r="F1836" s="20" t="n">
        <f aca="false">Parametres!$B$6*D1836</f>
        <v>12.6</v>
      </c>
      <c r="G1836" s="20" t="n">
        <f aca="false">E1836+F1836</f>
        <v>115.74</v>
      </c>
      <c r="H1836" s="20" t="n">
        <f aca="false">IF(G1836&lt;Parametres!$B$8*Parametres!$B$7,0,MIN(G1836,Parametres!$B$7))</f>
        <v>115.74</v>
      </c>
      <c r="I1836" s="20" t="n">
        <f aca="false">G1836-H1836</f>
        <v>0</v>
      </c>
      <c r="J1836" s="21" t="n">
        <f aca="false">H1836*1000/Parametres!$B$9</f>
        <v>1962.69289469222</v>
      </c>
    </row>
    <row r="1837" customFormat="false" ht="15" hidden="false" customHeight="false" outlineLevel="0" collapsed="false">
      <c r="A1837" s="0" t="n">
        <v>1833</v>
      </c>
      <c r="B1837" s="0" t="n">
        <v>3</v>
      </c>
      <c r="C1837" s="19" t="n">
        <v>0.5689</v>
      </c>
      <c r="D1837" s="19" t="n">
        <v>0.0345</v>
      </c>
      <c r="E1837" s="20" t="n">
        <f aca="false">Parametres!$B$5*C1837</f>
        <v>170.67</v>
      </c>
      <c r="F1837" s="20" t="n">
        <f aca="false">Parametres!$B$6*D1837</f>
        <v>6.9</v>
      </c>
      <c r="G1837" s="20" t="n">
        <f aca="false">E1837+F1837</f>
        <v>177.57</v>
      </c>
      <c r="H1837" s="20" t="n">
        <f aca="false">IF(G1837&lt;Parametres!$B$8*Parametres!$B$7,0,MIN(G1837,Parametres!$B$7))</f>
        <v>177.57</v>
      </c>
      <c r="I1837" s="20" t="n">
        <f aca="false">G1837-H1837</f>
        <v>0</v>
      </c>
      <c r="J1837" s="21" t="n">
        <f aca="false">H1837*1000/Parametres!$B$9</f>
        <v>3011.19213159234</v>
      </c>
    </row>
    <row r="1838" customFormat="false" ht="15" hidden="false" customHeight="false" outlineLevel="0" collapsed="false">
      <c r="A1838" s="0" t="n">
        <v>1834</v>
      </c>
      <c r="B1838" s="0" t="n">
        <v>3</v>
      </c>
      <c r="C1838" s="19" t="n">
        <v>0.8264</v>
      </c>
      <c r="D1838" s="19" t="n">
        <v>0.0355</v>
      </c>
      <c r="E1838" s="20" t="n">
        <f aca="false">Parametres!$B$5*C1838</f>
        <v>247.92</v>
      </c>
      <c r="F1838" s="20" t="n">
        <f aca="false">Parametres!$B$6*D1838</f>
        <v>7.1</v>
      </c>
      <c r="G1838" s="20" t="n">
        <f aca="false">E1838+F1838</f>
        <v>255.02</v>
      </c>
      <c r="H1838" s="20" t="n">
        <f aca="false">IF(G1838&lt;Parametres!$B$8*Parametres!$B$7,0,MIN(G1838,Parametres!$B$7))</f>
        <v>250</v>
      </c>
      <c r="I1838" s="20" t="n">
        <f aca="false">G1838-H1838</f>
        <v>5.02000000000001</v>
      </c>
      <c r="J1838" s="21" t="n">
        <f aca="false">H1838*1000/Parametres!$B$9</f>
        <v>4239.44378497541</v>
      </c>
    </row>
    <row r="1839" customFormat="false" ht="15" hidden="false" customHeight="false" outlineLevel="0" collapsed="false">
      <c r="A1839" s="0" t="n">
        <v>1835</v>
      </c>
      <c r="B1839" s="0" t="n">
        <v>3</v>
      </c>
      <c r="C1839" s="19" t="n">
        <v>0.9401</v>
      </c>
      <c r="D1839" s="19" t="n">
        <v>0.0446</v>
      </c>
      <c r="E1839" s="20" t="n">
        <f aca="false">Parametres!$B$5*C1839</f>
        <v>282.03</v>
      </c>
      <c r="F1839" s="20" t="n">
        <f aca="false">Parametres!$B$6*D1839</f>
        <v>8.92</v>
      </c>
      <c r="G1839" s="20" t="n">
        <f aca="false">E1839+F1839</f>
        <v>290.95</v>
      </c>
      <c r="H1839" s="20" t="n">
        <f aca="false">IF(G1839&lt;Parametres!$B$8*Parametres!$B$7,0,MIN(G1839,Parametres!$B$7))</f>
        <v>250</v>
      </c>
      <c r="I1839" s="20" t="n">
        <f aca="false">G1839-H1839</f>
        <v>40.95</v>
      </c>
      <c r="J1839" s="21" t="n">
        <f aca="false">H1839*1000/Parametres!$B$9</f>
        <v>4239.44378497541</v>
      </c>
    </row>
    <row r="1840" customFormat="false" ht="15" hidden="false" customHeight="false" outlineLevel="0" collapsed="false">
      <c r="A1840" s="0" t="n">
        <v>1836</v>
      </c>
      <c r="B1840" s="0" t="n">
        <v>3</v>
      </c>
      <c r="C1840" s="19" t="n">
        <v>0.945</v>
      </c>
      <c r="D1840" s="19" t="n">
        <v>0.05</v>
      </c>
      <c r="E1840" s="20" t="n">
        <f aca="false">Parametres!$B$5*C1840</f>
        <v>283.5</v>
      </c>
      <c r="F1840" s="20" t="n">
        <f aca="false">Parametres!$B$6*D1840</f>
        <v>10</v>
      </c>
      <c r="G1840" s="20" t="n">
        <f aca="false">E1840+F1840</f>
        <v>293.5</v>
      </c>
      <c r="H1840" s="20" t="n">
        <f aca="false">IF(G1840&lt;Parametres!$B$8*Parametres!$B$7,0,MIN(G1840,Parametres!$B$7))</f>
        <v>250</v>
      </c>
      <c r="I1840" s="20" t="n">
        <f aca="false">G1840-H1840</f>
        <v>43.5</v>
      </c>
      <c r="J1840" s="21" t="n">
        <f aca="false">H1840*1000/Parametres!$B$9</f>
        <v>4239.44378497541</v>
      </c>
    </row>
    <row r="1841" customFormat="false" ht="15" hidden="false" customHeight="false" outlineLevel="0" collapsed="false">
      <c r="A1841" s="0" t="n">
        <v>1837</v>
      </c>
      <c r="B1841" s="0" t="n">
        <v>3</v>
      </c>
      <c r="C1841" s="19" t="n">
        <v>1</v>
      </c>
      <c r="D1841" s="19" t="n">
        <v>0.0346</v>
      </c>
      <c r="E1841" s="20" t="n">
        <f aca="false">Parametres!$B$5*C1841</f>
        <v>300</v>
      </c>
      <c r="F1841" s="20" t="n">
        <f aca="false">Parametres!$B$6*D1841</f>
        <v>6.92</v>
      </c>
      <c r="G1841" s="20" t="n">
        <f aca="false">E1841+F1841</f>
        <v>306.92</v>
      </c>
      <c r="H1841" s="20" t="n">
        <f aca="false">IF(G1841&lt;Parametres!$B$8*Parametres!$B$7,0,MIN(G1841,Parametres!$B$7))</f>
        <v>250</v>
      </c>
      <c r="I1841" s="20" t="n">
        <f aca="false">G1841-H1841</f>
        <v>56.92</v>
      </c>
      <c r="J1841" s="21" t="n">
        <f aca="false">H1841*1000/Parametres!$B$9</f>
        <v>4239.44378497541</v>
      </c>
    </row>
    <row r="1842" customFormat="false" ht="15" hidden="false" customHeight="false" outlineLevel="0" collapsed="false">
      <c r="A1842" s="0" t="n">
        <v>1838</v>
      </c>
      <c r="B1842" s="0" t="n">
        <v>3</v>
      </c>
      <c r="C1842" s="19" t="n">
        <v>0.9695</v>
      </c>
      <c r="D1842" s="19" t="n">
        <v>0.0628</v>
      </c>
      <c r="E1842" s="20" t="n">
        <f aca="false">Parametres!$B$5*C1842</f>
        <v>290.85</v>
      </c>
      <c r="F1842" s="20" t="n">
        <f aca="false">Parametres!$B$6*D1842</f>
        <v>12.56</v>
      </c>
      <c r="G1842" s="20" t="n">
        <f aca="false">E1842+F1842</f>
        <v>303.41</v>
      </c>
      <c r="H1842" s="20" t="n">
        <f aca="false">IF(G1842&lt;Parametres!$B$8*Parametres!$B$7,0,MIN(G1842,Parametres!$B$7))</f>
        <v>250</v>
      </c>
      <c r="I1842" s="20" t="n">
        <f aca="false">G1842-H1842</f>
        <v>53.41</v>
      </c>
      <c r="J1842" s="21" t="n">
        <f aca="false">H1842*1000/Parametres!$B$9</f>
        <v>4239.44378497541</v>
      </c>
    </row>
    <row r="1843" customFormat="false" ht="15" hidden="false" customHeight="false" outlineLevel="0" collapsed="false">
      <c r="A1843" s="0" t="n">
        <v>1839</v>
      </c>
      <c r="B1843" s="0" t="n">
        <v>3</v>
      </c>
      <c r="C1843" s="19" t="n">
        <v>0.7585</v>
      </c>
      <c r="D1843" s="19" t="n">
        <v>0.0514</v>
      </c>
      <c r="E1843" s="20" t="n">
        <f aca="false">Parametres!$B$5*C1843</f>
        <v>227.55</v>
      </c>
      <c r="F1843" s="20" t="n">
        <f aca="false">Parametres!$B$6*D1843</f>
        <v>10.28</v>
      </c>
      <c r="G1843" s="20" t="n">
        <f aca="false">E1843+F1843</f>
        <v>237.83</v>
      </c>
      <c r="H1843" s="20" t="n">
        <f aca="false">IF(G1843&lt;Parametres!$B$8*Parametres!$B$7,0,MIN(G1843,Parametres!$B$7))</f>
        <v>237.83</v>
      </c>
      <c r="I1843" s="20" t="n">
        <f aca="false">G1843-H1843</f>
        <v>0</v>
      </c>
      <c r="J1843" s="21" t="n">
        <f aca="false">H1843*1000/Parametres!$B$9</f>
        <v>4033.06766152281</v>
      </c>
    </row>
    <row r="1844" customFormat="false" ht="15" hidden="false" customHeight="false" outlineLevel="0" collapsed="false">
      <c r="A1844" s="0" t="n">
        <v>1840</v>
      </c>
      <c r="B1844" s="0" t="n">
        <v>3</v>
      </c>
      <c r="C1844" s="19" t="n">
        <v>0.5213</v>
      </c>
      <c r="D1844" s="19" t="n">
        <v>0.0483</v>
      </c>
      <c r="E1844" s="20" t="n">
        <f aca="false">Parametres!$B$5*C1844</f>
        <v>156.39</v>
      </c>
      <c r="F1844" s="20" t="n">
        <f aca="false">Parametres!$B$6*D1844</f>
        <v>9.66</v>
      </c>
      <c r="G1844" s="20" t="n">
        <f aca="false">E1844+F1844</f>
        <v>166.05</v>
      </c>
      <c r="H1844" s="20" t="n">
        <f aca="false">IF(G1844&lt;Parametres!$B$8*Parametres!$B$7,0,MIN(G1844,Parametres!$B$7))</f>
        <v>166.05</v>
      </c>
      <c r="I1844" s="20" t="n">
        <f aca="false">G1844-H1844</f>
        <v>0</v>
      </c>
      <c r="J1844" s="21" t="n">
        <f aca="false">H1844*1000/Parametres!$B$9</f>
        <v>2815.83856198067</v>
      </c>
    </row>
    <row r="1845" customFormat="false" ht="15" hidden="false" customHeight="false" outlineLevel="0" collapsed="false">
      <c r="A1845" s="0" t="n">
        <v>1841</v>
      </c>
      <c r="B1845" s="0" t="n">
        <v>3</v>
      </c>
      <c r="C1845" s="19" t="n">
        <v>0.3327</v>
      </c>
      <c r="D1845" s="19" t="n">
        <v>0.0084</v>
      </c>
      <c r="E1845" s="20" t="n">
        <f aca="false">Parametres!$B$5*C1845</f>
        <v>99.81</v>
      </c>
      <c r="F1845" s="20" t="n">
        <f aca="false">Parametres!$B$6*D1845</f>
        <v>1.68</v>
      </c>
      <c r="G1845" s="20" t="n">
        <f aca="false">E1845+F1845</f>
        <v>101.49</v>
      </c>
      <c r="H1845" s="20" t="n">
        <f aca="false">IF(G1845&lt;Parametres!$B$8*Parametres!$B$7,0,MIN(G1845,Parametres!$B$7))</f>
        <v>101.49</v>
      </c>
      <c r="I1845" s="20" t="n">
        <f aca="false">G1845-H1845</f>
        <v>0</v>
      </c>
      <c r="J1845" s="21" t="n">
        <f aca="false">H1845*1000/Parametres!$B$9</f>
        <v>1721.04459894862</v>
      </c>
    </row>
    <row r="1846" customFormat="false" ht="15" hidden="false" customHeight="false" outlineLevel="0" collapsed="false">
      <c r="A1846" s="0" t="n">
        <v>1842</v>
      </c>
      <c r="B1846" s="0" t="n">
        <v>3</v>
      </c>
      <c r="C1846" s="19" t="n">
        <v>0.0829</v>
      </c>
      <c r="D1846" s="19" t="n">
        <v>0.0079</v>
      </c>
      <c r="E1846" s="20" t="n">
        <f aca="false">Parametres!$B$5*C1846</f>
        <v>24.87</v>
      </c>
      <c r="F1846" s="20" t="n">
        <f aca="false">Parametres!$B$6*D1846</f>
        <v>1.58</v>
      </c>
      <c r="G1846" s="20" t="n">
        <f aca="false">E1846+F1846</f>
        <v>26.45</v>
      </c>
      <c r="H1846" s="20" t="n">
        <f aca="false">IF(G1846&lt;Parametres!$B$8*Parametres!$B$7,0,MIN(G1846,Parametres!$B$7))</f>
        <v>26.45</v>
      </c>
      <c r="I1846" s="20" t="n">
        <f aca="false">G1846-H1846</f>
        <v>0</v>
      </c>
      <c r="J1846" s="21" t="n">
        <f aca="false">H1846*1000/Parametres!$B$9</f>
        <v>448.533152450399</v>
      </c>
    </row>
    <row r="1847" customFormat="false" ht="15" hidden="false" customHeight="false" outlineLevel="0" collapsed="false">
      <c r="A1847" s="0" t="n">
        <v>1843</v>
      </c>
      <c r="B1847" s="0" t="n">
        <v>3</v>
      </c>
      <c r="C1847" s="19" t="n">
        <v>0</v>
      </c>
      <c r="D1847" s="19" t="n">
        <v>0.0004</v>
      </c>
      <c r="E1847" s="20" t="n">
        <f aca="false">Parametres!$B$5*C1847</f>
        <v>0</v>
      </c>
      <c r="F1847" s="20" t="n">
        <f aca="false">Parametres!$B$6*D1847</f>
        <v>0.08</v>
      </c>
      <c r="G1847" s="20" t="n">
        <f aca="false">E1847+F1847</f>
        <v>0.08</v>
      </c>
      <c r="H1847" s="20" t="n">
        <f aca="false">IF(G1847&lt;Parametres!$B$8*Parametres!$B$7,0,MIN(G1847,Parametres!$B$7))</f>
        <v>0</v>
      </c>
      <c r="I1847" s="20" t="n">
        <f aca="false">G1847-H1847</f>
        <v>0.08</v>
      </c>
      <c r="J1847" s="21" t="n">
        <f aca="false">H1847*1000/Parametres!$B$9</f>
        <v>0</v>
      </c>
    </row>
    <row r="1848" customFormat="false" ht="15" hidden="false" customHeight="false" outlineLevel="0" collapsed="false">
      <c r="A1848" s="0" t="n">
        <v>1844</v>
      </c>
      <c r="B1848" s="0" t="n">
        <v>3</v>
      </c>
      <c r="C1848" s="19" t="n">
        <v>0</v>
      </c>
      <c r="D1848" s="19" t="n">
        <v>0.0016</v>
      </c>
      <c r="E1848" s="20" t="n">
        <f aca="false">Parametres!$B$5*C1848</f>
        <v>0</v>
      </c>
      <c r="F1848" s="20" t="n">
        <f aca="false">Parametres!$B$6*D1848</f>
        <v>0.32</v>
      </c>
      <c r="G1848" s="20" t="n">
        <f aca="false">E1848+F1848</f>
        <v>0.32</v>
      </c>
      <c r="H1848" s="20" t="n">
        <f aca="false">IF(G1848&lt;Parametres!$B$8*Parametres!$B$7,0,MIN(G1848,Parametres!$B$7))</f>
        <v>0</v>
      </c>
      <c r="I1848" s="20" t="n">
        <f aca="false">G1848-H1848</f>
        <v>0.32</v>
      </c>
      <c r="J1848" s="21" t="n">
        <f aca="false">H1848*1000/Parametres!$B$9</f>
        <v>0</v>
      </c>
    </row>
    <row r="1849" customFormat="false" ht="15" hidden="false" customHeight="false" outlineLevel="0" collapsed="false">
      <c r="A1849" s="0" t="n">
        <v>1845</v>
      </c>
      <c r="B1849" s="0" t="n">
        <v>3</v>
      </c>
      <c r="C1849" s="19" t="n">
        <v>0</v>
      </c>
      <c r="D1849" s="19" t="n">
        <v>0.003</v>
      </c>
      <c r="E1849" s="20" t="n">
        <f aca="false">Parametres!$B$5*C1849</f>
        <v>0</v>
      </c>
      <c r="F1849" s="20" t="n">
        <f aca="false">Parametres!$B$6*D1849</f>
        <v>0.6</v>
      </c>
      <c r="G1849" s="20" t="n">
        <f aca="false">E1849+F1849</f>
        <v>0.6</v>
      </c>
      <c r="H1849" s="20" t="n">
        <f aca="false">IF(G1849&lt;Parametres!$B$8*Parametres!$B$7,0,MIN(G1849,Parametres!$B$7))</f>
        <v>0</v>
      </c>
      <c r="I1849" s="20" t="n">
        <f aca="false">G1849-H1849</f>
        <v>0.6</v>
      </c>
      <c r="J1849" s="21" t="n">
        <f aca="false">H1849*1000/Parametres!$B$9</f>
        <v>0</v>
      </c>
    </row>
    <row r="1850" customFormat="false" ht="15" hidden="false" customHeight="false" outlineLevel="0" collapsed="false">
      <c r="A1850" s="0" t="n">
        <v>1846</v>
      </c>
      <c r="B1850" s="0" t="n">
        <v>3</v>
      </c>
      <c r="C1850" s="19" t="n">
        <v>0</v>
      </c>
      <c r="D1850" s="19" t="n">
        <v>0.0012</v>
      </c>
      <c r="E1850" s="20" t="n">
        <f aca="false">Parametres!$B$5*C1850</f>
        <v>0</v>
      </c>
      <c r="F1850" s="20" t="n">
        <f aca="false">Parametres!$B$6*D1850</f>
        <v>0.24</v>
      </c>
      <c r="G1850" s="20" t="n">
        <f aca="false">E1850+F1850</f>
        <v>0.24</v>
      </c>
      <c r="H1850" s="20" t="n">
        <f aca="false">IF(G1850&lt;Parametres!$B$8*Parametres!$B$7,0,MIN(G1850,Parametres!$B$7))</f>
        <v>0</v>
      </c>
      <c r="I1850" s="20" t="n">
        <f aca="false">G1850-H1850</f>
        <v>0.24</v>
      </c>
      <c r="J1850" s="21" t="n">
        <f aca="false">H1850*1000/Parametres!$B$9</f>
        <v>0</v>
      </c>
    </row>
    <row r="1851" customFormat="false" ht="15" hidden="false" customHeight="false" outlineLevel="0" collapsed="false">
      <c r="A1851" s="0" t="n">
        <v>1847</v>
      </c>
      <c r="B1851" s="0" t="n">
        <v>3</v>
      </c>
      <c r="C1851" s="19" t="n">
        <v>0</v>
      </c>
      <c r="D1851" s="19" t="n">
        <v>0.0012</v>
      </c>
      <c r="E1851" s="20" t="n">
        <f aca="false">Parametres!$B$5*C1851</f>
        <v>0</v>
      </c>
      <c r="F1851" s="20" t="n">
        <f aca="false">Parametres!$B$6*D1851</f>
        <v>0.24</v>
      </c>
      <c r="G1851" s="20" t="n">
        <f aca="false">E1851+F1851</f>
        <v>0.24</v>
      </c>
      <c r="H1851" s="20" t="n">
        <f aca="false">IF(G1851&lt;Parametres!$B$8*Parametres!$B$7,0,MIN(G1851,Parametres!$B$7))</f>
        <v>0</v>
      </c>
      <c r="I1851" s="20" t="n">
        <f aca="false">G1851-H1851</f>
        <v>0.24</v>
      </c>
      <c r="J1851" s="21" t="n">
        <f aca="false">H1851*1000/Parametres!$B$9</f>
        <v>0</v>
      </c>
    </row>
    <row r="1852" customFormat="false" ht="15" hidden="false" customHeight="false" outlineLevel="0" collapsed="false">
      <c r="A1852" s="0" t="n">
        <v>1848</v>
      </c>
      <c r="B1852" s="0" t="n">
        <v>3</v>
      </c>
      <c r="C1852" s="19" t="n">
        <v>0</v>
      </c>
      <c r="D1852" s="19" t="n">
        <v>0.0011</v>
      </c>
      <c r="E1852" s="20" t="n">
        <f aca="false">Parametres!$B$5*C1852</f>
        <v>0</v>
      </c>
      <c r="F1852" s="20" t="n">
        <f aca="false">Parametres!$B$6*D1852</f>
        <v>0.22</v>
      </c>
      <c r="G1852" s="20" t="n">
        <f aca="false">E1852+F1852</f>
        <v>0.22</v>
      </c>
      <c r="H1852" s="20" t="n">
        <f aca="false">IF(G1852&lt;Parametres!$B$8*Parametres!$B$7,0,MIN(G1852,Parametres!$B$7))</f>
        <v>0</v>
      </c>
      <c r="I1852" s="20" t="n">
        <f aca="false">G1852-H1852</f>
        <v>0.22</v>
      </c>
      <c r="J1852" s="21" t="n">
        <f aca="false">H1852*1000/Parametres!$B$9</f>
        <v>0</v>
      </c>
    </row>
    <row r="1853" customFormat="false" ht="15" hidden="false" customHeight="false" outlineLevel="0" collapsed="false">
      <c r="A1853" s="0" t="n">
        <v>1849</v>
      </c>
      <c r="B1853" s="0" t="n">
        <v>3</v>
      </c>
      <c r="C1853" s="19" t="n">
        <v>0</v>
      </c>
      <c r="D1853" s="19" t="n">
        <v>0.0007</v>
      </c>
      <c r="E1853" s="20" t="n">
        <f aca="false">Parametres!$B$5*C1853</f>
        <v>0</v>
      </c>
      <c r="F1853" s="20" t="n">
        <f aca="false">Parametres!$B$6*D1853</f>
        <v>0.14</v>
      </c>
      <c r="G1853" s="20" t="n">
        <f aca="false">E1853+F1853</f>
        <v>0.14</v>
      </c>
      <c r="H1853" s="20" t="n">
        <f aca="false">IF(G1853&lt;Parametres!$B$8*Parametres!$B$7,0,MIN(G1853,Parametres!$B$7))</f>
        <v>0</v>
      </c>
      <c r="I1853" s="20" t="n">
        <f aca="false">G1853-H1853</f>
        <v>0.14</v>
      </c>
      <c r="J1853" s="21" t="n">
        <f aca="false">H1853*1000/Parametres!$B$9</f>
        <v>0</v>
      </c>
    </row>
    <row r="1854" customFormat="false" ht="15" hidden="false" customHeight="false" outlineLevel="0" collapsed="false">
      <c r="A1854" s="0" t="n">
        <v>1850</v>
      </c>
      <c r="B1854" s="0" t="n">
        <v>3</v>
      </c>
      <c r="C1854" s="19" t="n">
        <v>0</v>
      </c>
      <c r="D1854" s="19" t="n">
        <v>0.0011</v>
      </c>
      <c r="E1854" s="20" t="n">
        <f aca="false">Parametres!$B$5*C1854</f>
        <v>0</v>
      </c>
      <c r="F1854" s="20" t="n">
        <f aca="false">Parametres!$B$6*D1854</f>
        <v>0.22</v>
      </c>
      <c r="G1854" s="20" t="n">
        <f aca="false">E1854+F1854</f>
        <v>0.22</v>
      </c>
      <c r="H1854" s="20" t="n">
        <f aca="false">IF(G1854&lt;Parametres!$B$8*Parametres!$B$7,0,MIN(G1854,Parametres!$B$7))</f>
        <v>0</v>
      </c>
      <c r="I1854" s="20" t="n">
        <f aca="false">G1854-H1854</f>
        <v>0.22</v>
      </c>
      <c r="J1854" s="21" t="n">
        <f aca="false">H1854*1000/Parametres!$B$9</f>
        <v>0</v>
      </c>
    </row>
    <row r="1855" customFormat="false" ht="15" hidden="false" customHeight="false" outlineLevel="0" collapsed="false">
      <c r="A1855" s="0" t="n">
        <v>1851</v>
      </c>
      <c r="B1855" s="0" t="n">
        <v>3</v>
      </c>
      <c r="C1855" s="19" t="n">
        <v>0</v>
      </c>
      <c r="D1855" s="19" t="n">
        <v>0.0008</v>
      </c>
      <c r="E1855" s="20" t="n">
        <f aca="false">Parametres!$B$5*C1855</f>
        <v>0</v>
      </c>
      <c r="F1855" s="20" t="n">
        <f aca="false">Parametres!$B$6*D1855</f>
        <v>0.16</v>
      </c>
      <c r="G1855" s="20" t="n">
        <f aca="false">E1855+F1855</f>
        <v>0.16</v>
      </c>
      <c r="H1855" s="20" t="n">
        <f aca="false">IF(G1855&lt;Parametres!$B$8*Parametres!$B$7,0,MIN(G1855,Parametres!$B$7))</f>
        <v>0</v>
      </c>
      <c r="I1855" s="20" t="n">
        <f aca="false">G1855-H1855</f>
        <v>0.16</v>
      </c>
      <c r="J1855" s="21" t="n">
        <f aca="false">H1855*1000/Parametres!$B$9</f>
        <v>0</v>
      </c>
    </row>
    <row r="1856" customFormat="false" ht="15" hidden="false" customHeight="false" outlineLevel="0" collapsed="false">
      <c r="A1856" s="0" t="n">
        <v>1852</v>
      </c>
      <c r="B1856" s="0" t="n">
        <v>3</v>
      </c>
      <c r="C1856" s="19" t="n">
        <v>0</v>
      </c>
      <c r="D1856" s="19" t="n">
        <v>0.0003</v>
      </c>
      <c r="E1856" s="20" t="n">
        <f aca="false">Parametres!$B$5*C1856</f>
        <v>0</v>
      </c>
      <c r="F1856" s="20" t="n">
        <f aca="false">Parametres!$B$6*D1856</f>
        <v>0.06</v>
      </c>
      <c r="G1856" s="20" t="n">
        <f aca="false">E1856+F1856</f>
        <v>0.06</v>
      </c>
      <c r="H1856" s="20" t="n">
        <f aca="false">IF(G1856&lt;Parametres!$B$8*Parametres!$B$7,0,MIN(G1856,Parametres!$B$7))</f>
        <v>0</v>
      </c>
      <c r="I1856" s="20" t="n">
        <f aca="false">G1856-H1856</f>
        <v>0.06</v>
      </c>
      <c r="J1856" s="21" t="n">
        <f aca="false">H1856*1000/Parametres!$B$9</f>
        <v>0</v>
      </c>
    </row>
    <row r="1857" customFormat="false" ht="15" hidden="false" customHeight="false" outlineLevel="0" collapsed="false">
      <c r="A1857" s="0" t="n">
        <v>1853</v>
      </c>
      <c r="B1857" s="0" t="n">
        <v>3</v>
      </c>
      <c r="C1857" s="19" t="n">
        <v>0</v>
      </c>
      <c r="D1857" s="19" t="n">
        <v>0</v>
      </c>
      <c r="E1857" s="20" t="n">
        <f aca="false">Parametres!$B$5*C1857</f>
        <v>0</v>
      </c>
      <c r="F1857" s="20" t="n">
        <f aca="false">Parametres!$B$6*D1857</f>
        <v>0</v>
      </c>
      <c r="G1857" s="20" t="n">
        <f aca="false">E1857+F1857</f>
        <v>0</v>
      </c>
      <c r="H1857" s="20" t="n">
        <f aca="false">IF(G1857&lt;Parametres!$B$8*Parametres!$B$7,0,MIN(G1857,Parametres!$B$7))</f>
        <v>0</v>
      </c>
      <c r="I1857" s="20" t="n">
        <f aca="false">G1857-H1857</f>
        <v>0</v>
      </c>
      <c r="J1857" s="21" t="n">
        <f aca="false">H1857*1000/Parametres!$B$9</f>
        <v>0</v>
      </c>
    </row>
    <row r="1858" customFormat="false" ht="15" hidden="false" customHeight="false" outlineLevel="0" collapsed="false">
      <c r="A1858" s="0" t="n">
        <v>1854</v>
      </c>
      <c r="B1858" s="0" t="n">
        <v>3</v>
      </c>
      <c r="C1858" s="19" t="n">
        <v>0</v>
      </c>
      <c r="D1858" s="19" t="n">
        <v>0.0019</v>
      </c>
      <c r="E1858" s="20" t="n">
        <f aca="false">Parametres!$B$5*C1858</f>
        <v>0</v>
      </c>
      <c r="F1858" s="20" t="n">
        <f aca="false">Parametres!$B$6*D1858</f>
        <v>0.38</v>
      </c>
      <c r="G1858" s="20" t="n">
        <f aca="false">E1858+F1858</f>
        <v>0.38</v>
      </c>
      <c r="H1858" s="20" t="n">
        <f aca="false">IF(G1858&lt;Parametres!$B$8*Parametres!$B$7,0,MIN(G1858,Parametres!$B$7))</f>
        <v>0</v>
      </c>
      <c r="I1858" s="20" t="n">
        <f aca="false">G1858-H1858</f>
        <v>0.38</v>
      </c>
      <c r="J1858" s="21" t="n">
        <f aca="false">H1858*1000/Parametres!$B$9</f>
        <v>0</v>
      </c>
    </row>
    <row r="1859" customFormat="false" ht="15" hidden="false" customHeight="false" outlineLevel="0" collapsed="false">
      <c r="A1859" s="0" t="n">
        <v>1855</v>
      </c>
      <c r="B1859" s="0" t="n">
        <v>3</v>
      </c>
      <c r="C1859" s="19" t="n">
        <v>0.0754</v>
      </c>
      <c r="D1859" s="19" t="n">
        <v>0.003</v>
      </c>
      <c r="E1859" s="20" t="n">
        <f aca="false">Parametres!$B$5*C1859</f>
        <v>22.62</v>
      </c>
      <c r="F1859" s="20" t="n">
        <f aca="false">Parametres!$B$6*D1859</f>
        <v>0.6</v>
      </c>
      <c r="G1859" s="20" t="n">
        <f aca="false">E1859+F1859</f>
        <v>23.22</v>
      </c>
      <c r="H1859" s="20" t="n">
        <f aca="false">IF(G1859&lt;Parametres!$B$8*Parametres!$B$7,0,MIN(G1859,Parametres!$B$7))</f>
        <v>0</v>
      </c>
      <c r="I1859" s="20" t="n">
        <f aca="false">G1859-H1859</f>
        <v>23.22</v>
      </c>
      <c r="J1859" s="21" t="n">
        <f aca="false">H1859*1000/Parametres!$B$9</f>
        <v>0</v>
      </c>
    </row>
    <row r="1860" customFormat="false" ht="15" hidden="false" customHeight="false" outlineLevel="0" collapsed="false">
      <c r="A1860" s="0" t="n">
        <v>1856</v>
      </c>
      <c r="B1860" s="0" t="n">
        <v>3</v>
      </c>
      <c r="C1860" s="19" t="n">
        <v>0.281</v>
      </c>
      <c r="D1860" s="19" t="n">
        <v>0.0039</v>
      </c>
      <c r="E1860" s="20" t="n">
        <f aca="false">Parametres!$B$5*C1860</f>
        <v>84.3</v>
      </c>
      <c r="F1860" s="20" t="n">
        <f aca="false">Parametres!$B$6*D1860</f>
        <v>0.78</v>
      </c>
      <c r="G1860" s="20" t="n">
        <f aca="false">E1860+F1860</f>
        <v>85.08</v>
      </c>
      <c r="H1860" s="20" t="n">
        <f aca="false">IF(G1860&lt;Parametres!$B$8*Parametres!$B$7,0,MIN(G1860,Parametres!$B$7))</f>
        <v>85.08</v>
      </c>
      <c r="I1860" s="20" t="n">
        <f aca="false">G1860-H1860</f>
        <v>0</v>
      </c>
      <c r="J1860" s="21" t="n">
        <f aca="false">H1860*1000/Parametres!$B$9</f>
        <v>1442.76750890283</v>
      </c>
    </row>
    <row r="1861" customFormat="false" ht="15" hidden="false" customHeight="false" outlineLevel="0" collapsed="false">
      <c r="A1861" s="0" t="n">
        <v>1857</v>
      </c>
      <c r="B1861" s="0" t="n">
        <v>3</v>
      </c>
      <c r="C1861" s="19" t="n">
        <v>0.4815</v>
      </c>
      <c r="D1861" s="19" t="n">
        <v>0.0107</v>
      </c>
      <c r="E1861" s="20" t="n">
        <f aca="false">Parametres!$B$5*C1861</f>
        <v>144.45</v>
      </c>
      <c r="F1861" s="20" t="n">
        <f aca="false">Parametres!$B$6*D1861</f>
        <v>2.14</v>
      </c>
      <c r="G1861" s="20" t="n">
        <f aca="false">E1861+F1861</f>
        <v>146.59</v>
      </c>
      <c r="H1861" s="20" t="n">
        <f aca="false">IF(G1861&lt;Parametres!$B$8*Parametres!$B$7,0,MIN(G1861,Parametres!$B$7))</f>
        <v>146.59</v>
      </c>
      <c r="I1861" s="20" t="n">
        <f aca="false">G1861-H1861</f>
        <v>0</v>
      </c>
      <c r="J1861" s="21" t="n">
        <f aca="false">H1861*1000/Parametres!$B$9</f>
        <v>2485.84025775818</v>
      </c>
    </row>
    <row r="1862" customFormat="false" ht="15" hidden="false" customHeight="false" outlineLevel="0" collapsed="false">
      <c r="A1862" s="0" t="n">
        <v>1858</v>
      </c>
      <c r="B1862" s="0" t="n">
        <v>3</v>
      </c>
      <c r="C1862" s="19" t="n">
        <v>0.6598</v>
      </c>
      <c r="D1862" s="19" t="n">
        <v>0.01</v>
      </c>
      <c r="E1862" s="20" t="n">
        <f aca="false">Parametres!$B$5*C1862</f>
        <v>197.94</v>
      </c>
      <c r="F1862" s="20" t="n">
        <f aca="false">Parametres!$B$6*D1862</f>
        <v>2</v>
      </c>
      <c r="G1862" s="20" t="n">
        <f aca="false">E1862+F1862</f>
        <v>199.94</v>
      </c>
      <c r="H1862" s="20" t="n">
        <f aca="false">IF(G1862&lt;Parametres!$B$8*Parametres!$B$7,0,MIN(G1862,Parametres!$B$7))</f>
        <v>199.94</v>
      </c>
      <c r="I1862" s="20" t="n">
        <f aca="false">G1862-H1862</f>
        <v>0</v>
      </c>
      <c r="J1862" s="21" t="n">
        <f aca="false">H1862*1000/Parametres!$B$9</f>
        <v>3390.53756147194</v>
      </c>
    </row>
    <row r="1863" customFormat="false" ht="15" hidden="false" customHeight="false" outlineLevel="0" collapsed="false">
      <c r="A1863" s="0" t="n">
        <v>1859</v>
      </c>
      <c r="B1863" s="0" t="n">
        <v>3</v>
      </c>
      <c r="C1863" s="19" t="n">
        <v>0.7549</v>
      </c>
      <c r="D1863" s="19" t="n">
        <v>0.0095</v>
      </c>
      <c r="E1863" s="20" t="n">
        <f aca="false">Parametres!$B$5*C1863</f>
        <v>226.47</v>
      </c>
      <c r="F1863" s="20" t="n">
        <f aca="false">Parametres!$B$6*D1863</f>
        <v>1.9</v>
      </c>
      <c r="G1863" s="20" t="n">
        <f aca="false">E1863+F1863</f>
        <v>228.37</v>
      </c>
      <c r="H1863" s="20" t="n">
        <f aca="false">IF(G1863&lt;Parametres!$B$8*Parametres!$B$7,0,MIN(G1863,Parametres!$B$7))</f>
        <v>228.37</v>
      </c>
      <c r="I1863" s="20" t="n">
        <f aca="false">G1863-H1863</f>
        <v>0</v>
      </c>
      <c r="J1863" s="21" t="n">
        <f aca="false">H1863*1000/Parametres!$B$9</f>
        <v>3872.64710869934</v>
      </c>
    </row>
    <row r="1864" customFormat="false" ht="15" hidden="false" customHeight="false" outlineLevel="0" collapsed="false">
      <c r="A1864" s="0" t="n">
        <v>1860</v>
      </c>
      <c r="B1864" s="0" t="n">
        <v>3</v>
      </c>
      <c r="C1864" s="19" t="n">
        <v>0.8714</v>
      </c>
      <c r="D1864" s="19" t="n">
        <v>0.0218</v>
      </c>
      <c r="E1864" s="20" t="n">
        <f aca="false">Parametres!$B$5*C1864</f>
        <v>261.42</v>
      </c>
      <c r="F1864" s="20" t="n">
        <f aca="false">Parametres!$B$6*D1864</f>
        <v>4.36</v>
      </c>
      <c r="G1864" s="20" t="n">
        <f aca="false">E1864+F1864</f>
        <v>265.78</v>
      </c>
      <c r="H1864" s="20" t="n">
        <f aca="false">IF(G1864&lt;Parametres!$B$8*Parametres!$B$7,0,MIN(G1864,Parametres!$B$7))</f>
        <v>250</v>
      </c>
      <c r="I1864" s="20" t="n">
        <f aca="false">G1864-H1864</f>
        <v>15.78</v>
      </c>
      <c r="J1864" s="21" t="n">
        <f aca="false">H1864*1000/Parametres!$B$9</f>
        <v>4239.44378497541</v>
      </c>
    </row>
    <row r="1865" customFormat="false" ht="15" hidden="false" customHeight="false" outlineLevel="0" collapsed="false">
      <c r="A1865" s="0" t="n">
        <v>1861</v>
      </c>
      <c r="B1865" s="0" t="n">
        <v>3</v>
      </c>
      <c r="C1865" s="19" t="n">
        <v>0.8801</v>
      </c>
      <c r="D1865" s="19" t="n">
        <v>0.0538</v>
      </c>
      <c r="E1865" s="20" t="n">
        <f aca="false">Parametres!$B$5*C1865</f>
        <v>264.03</v>
      </c>
      <c r="F1865" s="20" t="n">
        <f aca="false">Parametres!$B$6*D1865</f>
        <v>10.76</v>
      </c>
      <c r="G1865" s="20" t="n">
        <f aca="false">E1865+F1865</f>
        <v>274.79</v>
      </c>
      <c r="H1865" s="20" t="n">
        <f aca="false">IF(G1865&lt;Parametres!$B$8*Parametres!$B$7,0,MIN(G1865,Parametres!$B$7))</f>
        <v>250</v>
      </c>
      <c r="I1865" s="20" t="n">
        <f aca="false">G1865-H1865</f>
        <v>24.79</v>
      </c>
      <c r="J1865" s="21" t="n">
        <f aca="false">H1865*1000/Parametres!$B$9</f>
        <v>4239.44378497541</v>
      </c>
    </row>
    <row r="1866" customFormat="false" ht="15" hidden="false" customHeight="false" outlineLevel="0" collapsed="false">
      <c r="A1866" s="0" t="n">
        <v>1862</v>
      </c>
      <c r="B1866" s="0" t="n">
        <v>3</v>
      </c>
      <c r="C1866" s="19" t="n">
        <v>0.8553</v>
      </c>
      <c r="D1866" s="19" t="n">
        <v>0.0914</v>
      </c>
      <c r="E1866" s="20" t="n">
        <f aca="false">Parametres!$B$5*C1866</f>
        <v>256.59</v>
      </c>
      <c r="F1866" s="20" t="n">
        <f aca="false">Parametres!$B$6*D1866</f>
        <v>18.28</v>
      </c>
      <c r="G1866" s="20" t="n">
        <f aca="false">E1866+F1866</f>
        <v>274.87</v>
      </c>
      <c r="H1866" s="20" t="n">
        <f aca="false">IF(G1866&lt;Parametres!$B$8*Parametres!$B$7,0,MIN(G1866,Parametres!$B$7))</f>
        <v>250</v>
      </c>
      <c r="I1866" s="20" t="n">
        <f aca="false">G1866-H1866</f>
        <v>24.8699999999999</v>
      </c>
      <c r="J1866" s="21" t="n">
        <f aca="false">H1866*1000/Parametres!$B$9</f>
        <v>4239.44378497541</v>
      </c>
    </row>
    <row r="1867" customFormat="false" ht="15" hidden="false" customHeight="false" outlineLevel="0" collapsed="false">
      <c r="A1867" s="0" t="n">
        <v>1863</v>
      </c>
      <c r="B1867" s="0" t="n">
        <v>3</v>
      </c>
      <c r="C1867" s="19" t="n">
        <v>0.6744</v>
      </c>
      <c r="D1867" s="19" t="n">
        <v>0.0423</v>
      </c>
      <c r="E1867" s="20" t="n">
        <f aca="false">Parametres!$B$5*C1867</f>
        <v>202.32</v>
      </c>
      <c r="F1867" s="20" t="n">
        <f aca="false">Parametres!$B$6*D1867</f>
        <v>8.46</v>
      </c>
      <c r="G1867" s="20" t="n">
        <f aca="false">E1867+F1867</f>
        <v>210.78</v>
      </c>
      <c r="H1867" s="20" t="n">
        <f aca="false">IF(G1867&lt;Parametres!$B$8*Parametres!$B$7,0,MIN(G1867,Parametres!$B$7))</f>
        <v>210.78</v>
      </c>
      <c r="I1867" s="20" t="n">
        <f aca="false">G1867-H1867</f>
        <v>0</v>
      </c>
      <c r="J1867" s="21" t="n">
        <f aca="false">H1867*1000/Parametres!$B$9</f>
        <v>3574.35984398847</v>
      </c>
    </row>
    <row r="1868" customFormat="false" ht="15" hidden="false" customHeight="false" outlineLevel="0" collapsed="false">
      <c r="A1868" s="0" t="n">
        <v>1864</v>
      </c>
      <c r="B1868" s="0" t="n">
        <v>3</v>
      </c>
      <c r="C1868" s="19" t="n">
        <v>0.4297</v>
      </c>
      <c r="D1868" s="19" t="n">
        <v>0.0483</v>
      </c>
      <c r="E1868" s="20" t="n">
        <f aca="false">Parametres!$B$5*C1868</f>
        <v>128.91</v>
      </c>
      <c r="F1868" s="20" t="n">
        <f aca="false">Parametres!$B$6*D1868</f>
        <v>9.66</v>
      </c>
      <c r="G1868" s="20" t="n">
        <f aca="false">E1868+F1868</f>
        <v>138.57</v>
      </c>
      <c r="H1868" s="20" t="n">
        <f aca="false">IF(G1868&lt;Parametres!$B$8*Parametres!$B$7,0,MIN(G1868,Parametres!$B$7))</f>
        <v>138.57</v>
      </c>
      <c r="I1868" s="20" t="n">
        <f aca="false">G1868-H1868</f>
        <v>0</v>
      </c>
      <c r="J1868" s="21" t="n">
        <f aca="false">H1868*1000/Parametres!$B$9</f>
        <v>2349.83890113617</v>
      </c>
    </row>
    <row r="1869" customFormat="false" ht="15" hidden="false" customHeight="false" outlineLevel="0" collapsed="false">
      <c r="A1869" s="0" t="n">
        <v>1865</v>
      </c>
      <c r="B1869" s="0" t="n">
        <v>3</v>
      </c>
      <c r="C1869" s="19" t="n">
        <v>0.2614</v>
      </c>
      <c r="D1869" s="19" t="n">
        <v>0.0501</v>
      </c>
      <c r="E1869" s="20" t="n">
        <f aca="false">Parametres!$B$5*C1869</f>
        <v>78.42</v>
      </c>
      <c r="F1869" s="20" t="n">
        <f aca="false">Parametres!$B$6*D1869</f>
        <v>10.02</v>
      </c>
      <c r="G1869" s="20" t="n">
        <f aca="false">E1869+F1869</f>
        <v>88.44</v>
      </c>
      <c r="H1869" s="20" t="n">
        <f aca="false">IF(G1869&lt;Parametres!$B$8*Parametres!$B$7,0,MIN(G1869,Parametres!$B$7))</f>
        <v>88.44</v>
      </c>
      <c r="I1869" s="20" t="n">
        <f aca="false">G1869-H1869</f>
        <v>0</v>
      </c>
      <c r="J1869" s="21" t="n">
        <f aca="false">H1869*1000/Parametres!$B$9</f>
        <v>1499.7456333729</v>
      </c>
    </row>
    <row r="1870" customFormat="false" ht="15" hidden="false" customHeight="false" outlineLevel="0" collapsed="false">
      <c r="A1870" s="0" t="n">
        <v>1866</v>
      </c>
      <c r="B1870" s="0" t="n">
        <v>3</v>
      </c>
      <c r="C1870" s="19" t="n">
        <v>0.0735</v>
      </c>
      <c r="D1870" s="19" t="n">
        <v>0.0668</v>
      </c>
      <c r="E1870" s="20" t="n">
        <f aca="false">Parametres!$B$5*C1870</f>
        <v>22.05</v>
      </c>
      <c r="F1870" s="20" t="n">
        <f aca="false">Parametres!$B$6*D1870</f>
        <v>13.36</v>
      </c>
      <c r="G1870" s="20" t="n">
        <f aca="false">E1870+F1870</f>
        <v>35.41</v>
      </c>
      <c r="H1870" s="20" t="n">
        <f aca="false">IF(G1870&lt;Parametres!$B$8*Parametres!$B$7,0,MIN(G1870,Parametres!$B$7))</f>
        <v>35.41</v>
      </c>
      <c r="I1870" s="20" t="n">
        <f aca="false">G1870-H1870</f>
        <v>0</v>
      </c>
      <c r="J1870" s="21" t="n">
        <f aca="false">H1870*1000/Parametres!$B$9</f>
        <v>600.474817703917</v>
      </c>
    </row>
    <row r="1871" customFormat="false" ht="15" hidden="false" customHeight="false" outlineLevel="0" collapsed="false">
      <c r="A1871" s="0" t="n">
        <v>1867</v>
      </c>
      <c r="B1871" s="0" t="n">
        <v>3</v>
      </c>
      <c r="C1871" s="19" t="n">
        <v>0</v>
      </c>
      <c r="D1871" s="19" t="n">
        <v>0.0367</v>
      </c>
      <c r="E1871" s="20" t="n">
        <f aca="false">Parametres!$B$5*C1871</f>
        <v>0</v>
      </c>
      <c r="F1871" s="20" t="n">
        <f aca="false">Parametres!$B$6*D1871</f>
        <v>7.34</v>
      </c>
      <c r="G1871" s="20" t="n">
        <f aca="false">E1871+F1871</f>
        <v>7.34</v>
      </c>
      <c r="H1871" s="20" t="n">
        <f aca="false">IF(G1871&lt;Parametres!$B$8*Parametres!$B$7,0,MIN(G1871,Parametres!$B$7))</f>
        <v>0</v>
      </c>
      <c r="I1871" s="20" t="n">
        <f aca="false">G1871-H1871</f>
        <v>7.34</v>
      </c>
      <c r="J1871" s="21" t="n">
        <f aca="false">H1871*1000/Parametres!$B$9</f>
        <v>0</v>
      </c>
    </row>
    <row r="1872" customFormat="false" ht="15" hidden="false" customHeight="false" outlineLevel="0" collapsed="false">
      <c r="A1872" s="0" t="n">
        <v>1868</v>
      </c>
      <c r="B1872" s="0" t="n">
        <v>3</v>
      </c>
      <c r="C1872" s="19" t="n">
        <v>0</v>
      </c>
      <c r="D1872" s="19" t="n">
        <v>0.0153</v>
      </c>
      <c r="E1872" s="20" t="n">
        <f aca="false">Parametres!$B$5*C1872</f>
        <v>0</v>
      </c>
      <c r="F1872" s="20" t="n">
        <f aca="false">Parametres!$B$6*D1872</f>
        <v>3.06</v>
      </c>
      <c r="G1872" s="20" t="n">
        <f aca="false">E1872+F1872</f>
        <v>3.06</v>
      </c>
      <c r="H1872" s="20" t="n">
        <f aca="false">IF(G1872&lt;Parametres!$B$8*Parametres!$B$7,0,MIN(G1872,Parametres!$B$7))</f>
        <v>0</v>
      </c>
      <c r="I1872" s="20" t="n">
        <f aca="false">G1872-H1872</f>
        <v>3.06</v>
      </c>
      <c r="J1872" s="21" t="n">
        <f aca="false">H1872*1000/Parametres!$B$9</f>
        <v>0</v>
      </c>
    </row>
    <row r="1873" customFormat="false" ht="15" hidden="false" customHeight="false" outlineLevel="0" collapsed="false">
      <c r="A1873" s="0" t="n">
        <v>1869</v>
      </c>
      <c r="B1873" s="0" t="n">
        <v>3</v>
      </c>
      <c r="C1873" s="19" t="n">
        <v>0</v>
      </c>
      <c r="D1873" s="19" t="n">
        <v>0.0124</v>
      </c>
      <c r="E1873" s="20" t="n">
        <f aca="false">Parametres!$B$5*C1873</f>
        <v>0</v>
      </c>
      <c r="F1873" s="20" t="n">
        <f aca="false">Parametres!$B$6*D1873</f>
        <v>2.48</v>
      </c>
      <c r="G1873" s="20" t="n">
        <f aca="false">E1873+F1873</f>
        <v>2.48</v>
      </c>
      <c r="H1873" s="20" t="n">
        <f aca="false">IF(G1873&lt;Parametres!$B$8*Parametres!$B$7,0,MIN(G1873,Parametres!$B$7))</f>
        <v>0</v>
      </c>
      <c r="I1873" s="20" t="n">
        <f aca="false">G1873-H1873</f>
        <v>2.48</v>
      </c>
      <c r="J1873" s="21" t="n">
        <f aca="false">H1873*1000/Parametres!$B$9</f>
        <v>0</v>
      </c>
    </row>
    <row r="1874" customFormat="false" ht="15" hidden="false" customHeight="false" outlineLevel="0" collapsed="false">
      <c r="A1874" s="0" t="n">
        <v>1870</v>
      </c>
      <c r="B1874" s="0" t="n">
        <v>3</v>
      </c>
      <c r="C1874" s="19" t="n">
        <v>0</v>
      </c>
      <c r="D1874" s="19" t="n">
        <v>0.0042</v>
      </c>
      <c r="E1874" s="20" t="n">
        <f aca="false">Parametres!$B$5*C1874</f>
        <v>0</v>
      </c>
      <c r="F1874" s="20" t="n">
        <f aca="false">Parametres!$B$6*D1874</f>
        <v>0.84</v>
      </c>
      <c r="G1874" s="20" t="n">
        <f aca="false">E1874+F1874</f>
        <v>0.84</v>
      </c>
      <c r="H1874" s="20" t="n">
        <f aca="false">IF(G1874&lt;Parametres!$B$8*Parametres!$B$7,0,MIN(G1874,Parametres!$B$7))</f>
        <v>0</v>
      </c>
      <c r="I1874" s="20" t="n">
        <f aca="false">G1874-H1874</f>
        <v>0.84</v>
      </c>
      <c r="J1874" s="21" t="n">
        <f aca="false">H1874*1000/Parametres!$B$9</f>
        <v>0</v>
      </c>
    </row>
    <row r="1875" customFormat="false" ht="15" hidden="false" customHeight="false" outlineLevel="0" collapsed="false">
      <c r="A1875" s="0" t="n">
        <v>1871</v>
      </c>
      <c r="B1875" s="0" t="n">
        <v>3</v>
      </c>
      <c r="C1875" s="19" t="n">
        <v>0</v>
      </c>
      <c r="D1875" s="19" t="n">
        <v>0.0007</v>
      </c>
      <c r="E1875" s="20" t="n">
        <f aca="false">Parametres!$B$5*C1875</f>
        <v>0</v>
      </c>
      <c r="F1875" s="20" t="n">
        <f aca="false">Parametres!$B$6*D1875</f>
        <v>0.14</v>
      </c>
      <c r="G1875" s="20" t="n">
        <f aca="false">E1875+F1875</f>
        <v>0.14</v>
      </c>
      <c r="H1875" s="20" t="n">
        <f aca="false">IF(G1875&lt;Parametres!$B$8*Parametres!$B$7,0,MIN(G1875,Parametres!$B$7))</f>
        <v>0</v>
      </c>
      <c r="I1875" s="20" t="n">
        <f aca="false">G1875-H1875</f>
        <v>0.14</v>
      </c>
      <c r="J1875" s="21" t="n">
        <f aca="false">H1875*1000/Parametres!$B$9</f>
        <v>0</v>
      </c>
    </row>
    <row r="1876" customFormat="false" ht="15" hidden="false" customHeight="false" outlineLevel="0" collapsed="false">
      <c r="A1876" s="0" t="n">
        <v>1872</v>
      </c>
      <c r="B1876" s="0" t="n">
        <v>3</v>
      </c>
      <c r="C1876" s="19" t="n">
        <v>0</v>
      </c>
      <c r="D1876" s="19" t="n">
        <v>0.0004</v>
      </c>
      <c r="E1876" s="20" t="n">
        <f aca="false">Parametres!$B$5*C1876</f>
        <v>0</v>
      </c>
      <c r="F1876" s="20" t="n">
        <f aca="false">Parametres!$B$6*D1876</f>
        <v>0.08</v>
      </c>
      <c r="G1876" s="20" t="n">
        <f aca="false">E1876+F1876</f>
        <v>0.08</v>
      </c>
      <c r="H1876" s="20" t="n">
        <f aca="false">IF(G1876&lt;Parametres!$B$8*Parametres!$B$7,0,MIN(G1876,Parametres!$B$7))</f>
        <v>0</v>
      </c>
      <c r="I1876" s="20" t="n">
        <f aca="false">G1876-H1876</f>
        <v>0.08</v>
      </c>
      <c r="J1876" s="21" t="n">
        <f aca="false">H1876*1000/Parametres!$B$9</f>
        <v>0</v>
      </c>
    </row>
    <row r="1877" customFormat="false" ht="15" hidden="false" customHeight="false" outlineLevel="0" collapsed="false">
      <c r="A1877" s="0" t="n">
        <v>1873</v>
      </c>
      <c r="B1877" s="0" t="n">
        <v>3</v>
      </c>
      <c r="C1877" s="19" t="n">
        <v>0</v>
      </c>
      <c r="D1877" s="19" t="n">
        <v>0.0018</v>
      </c>
      <c r="E1877" s="20" t="n">
        <f aca="false">Parametres!$B$5*C1877</f>
        <v>0</v>
      </c>
      <c r="F1877" s="20" t="n">
        <f aca="false">Parametres!$B$6*D1877</f>
        <v>0.36</v>
      </c>
      <c r="G1877" s="20" t="n">
        <f aca="false">E1877+F1877</f>
        <v>0.36</v>
      </c>
      <c r="H1877" s="20" t="n">
        <f aca="false">IF(G1877&lt;Parametres!$B$8*Parametres!$B$7,0,MIN(G1877,Parametres!$B$7))</f>
        <v>0</v>
      </c>
      <c r="I1877" s="20" t="n">
        <f aca="false">G1877-H1877</f>
        <v>0.36</v>
      </c>
      <c r="J1877" s="21" t="n">
        <f aca="false">H1877*1000/Parametres!$B$9</f>
        <v>0</v>
      </c>
    </row>
    <row r="1878" customFormat="false" ht="15" hidden="false" customHeight="false" outlineLevel="0" collapsed="false">
      <c r="A1878" s="0" t="n">
        <v>1874</v>
      </c>
      <c r="B1878" s="0" t="n">
        <v>3</v>
      </c>
      <c r="C1878" s="19" t="n">
        <v>0</v>
      </c>
      <c r="D1878" s="19" t="n">
        <v>0.0018</v>
      </c>
      <c r="E1878" s="20" t="n">
        <f aca="false">Parametres!$B$5*C1878</f>
        <v>0</v>
      </c>
      <c r="F1878" s="20" t="n">
        <f aca="false">Parametres!$B$6*D1878</f>
        <v>0.36</v>
      </c>
      <c r="G1878" s="20" t="n">
        <f aca="false">E1878+F1878</f>
        <v>0.36</v>
      </c>
      <c r="H1878" s="20" t="n">
        <f aca="false">IF(G1878&lt;Parametres!$B$8*Parametres!$B$7,0,MIN(G1878,Parametres!$B$7))</f>
        <v>0</v>
      </c>
      <c r="I1878" s="20" t="n">
        <f aca="false">G1878-H1878</f>
        <v>0.36</v>
      </c>
      <c r="J1878" s="21" t="n">
        <f aca="false">H1878*1000/Parametres!$B$9</f>
        <v>0</v>
      </c>
    </row>
    <row r="1879" customFormat="false" ht="15" hidden="false" customHeight="false" outlineLevel="0" collapsed="false">
      <c r="A1879" s="0" t="n">
        <v>1875</v>
      </c>
      <c r="B1879" s="0" t="n">
        <v>3</v>
      </c>
      <c r="C1879" s="19" t="n">
        <v>0</v>
      </c>
      <c r="D1879" s="19" t="n">
        <v>0.0061</v>
      </c>
      <c r="E1879" s="20" t="n">
        <f aca="false">Parametres!$B$5*C1879</f>
        <v>0</v>
      </c>
      <c r="F1879" s="20" t="n">
        <f aca="false">Parametres!$B$6*D1879</f>
        <v>1.22</v>
      </c>
      <c r="G1879" s="20" t="n">
        <f aca="false">E1879+F1879</f>
        <v>1.22</v>
      </c>
      <c r="H1879" s="20" t="n">
        <f aca="false">IF(G1879&lt;Parametres!$B$8*Parametres!$B$7,0,MIN(G1879,Parametres!$B$7))</f>
        <v>0</v>
      </c>
      <c r="I1879" s="20" t="n">
        <f aca="false">G1879-H1879</f>
        <v>1.22</v>
      </c>
      <c r="J1879" s="21" t="n">
        <f aca="false">H1879*1000/Parametres!$B$9</f>
        <v>0</v>
      </c>
    </row>
    <row r="1880" customFormat="false" ht="15" hidden="false" customHeight="false" outlineLevel="0" collapsed="false">
      <c r="A1880" s="0" t="n">
        <v>1876</v>
      </c>
      <c r="B1880" s="0" t="n">
        <v>3</v>
      </c>
      <c r="C1880" s="19" t="n">
        <v>0</v>
      </c>
      <c r="D1880" s="19" t="n">
        <v>0.0018</v>
      </c>
      <c r="E1880" s="20" t="n">
        <f aca="false">Parametres!$B$5*C1880</f>
        <v>0</v>
      </c>
      <c r="F1880" s="20" t="n">
        <f aca="false">Parametres!$B$6*D1880</f>
        <v>0.36</v>
      </c>
      <c r="G1880" s="20" t="n">
        <f aca="false">E1880+F1880</f>
        <v>0.36</v>
      </c>
      <c r="H1880" s="20" t="n">
        <f aca="false">IF(G1880&lt;Parametres!$B$8*Parametres!$B$7,0,MIN(G1880,Parametres!$B$7))</f>
        <v>0</v>
      </c>
      <c r="I1880" s="20" t="n">
        <f aca="false">G1880-H1880</f>
        <v>0.36</v>
      </c>
      <c r="J1880" s="21" t="n">
        <f aca="false">H1880*1000/Parametres!$B$9</f>
        <v>0</v>
      </c>
    </row>
    <row r="1881" customFormat="false" ht="15" hidden="false" customHeight="false" outlineLevel="0" collapsed="false">
      <c r="A1881" s="0" t="n">
        <v>1877</v>
      </c>
      <c r="B1881" s="0" t="n">
        <v>3</v>
      </c>
      <c r="C1881" s="19" t="n">
        <v>0</v>
      </c>
      <c r="D1881" s="19" t="n">
        <v>0.0044</v>
      </c>
      <c r="E1881" s="20" t="n">
        <f aca="false">Parametres!$B$5*C1881</f>
        <v>0</v>
      </c>
      <c r="F1881" s="20" t="n">
        <f aca="false">Parametres!$B$6*D1881</f>
        <v>0.88</v>
      </c>
      <c r="G1881" s="20" t="n">
        <f aca="false">E1881+F1881</f>
        <v>0.88</v>
      </c>
      <c r="H1881" s="20" t="n">
        <f aca="false">IF(G1881&lt;Parametres!$B$8*Parametres!$B$7,0,MIN(G1881,Parametres!$B$7))</f>
        <v>0</v>
      </c>
      <c r="I1881" s="20" t="n">
        <f aca="false">G1881-H1881</f>
        <v>0.88</v>
      </c>
      <c r="J1881" s="21" t="n">
        <f aca="false">H1881*1000/Parametres!$B$9</f>
        <v>0</v>
      </c>
    </row>
    <row r="1882" customFormat="false" ht="15" hidden="false" customHeight="false" outlineLevel="0" collapsed="false">
      <c r="A1882" s="0" t="n">
        <v>1878</v>
      </c>
      <c r="B1882" s="0" t="n">
        <v>3</v>
      </c>
      <c r="C1882" s="19" t="n">
        <v>0</v>
      </c>
      <c r="D1882" s="19" t="n">
        <v>0.0048</v>
      </c>
      <c r="E1882" s="20" t="n">
        <f aca="false">Parametres!$B$5*C1882</f>
        <v>0</v>
      </c>
      <c r="F1882" s="20" t="n">
        <f aca="false">Parametres!$B$6*D1882</f>
        <v>0.96</v>
      </c>
      <c r="G1882" s="20" t="n">
        <f aca="false">E1882+F1882</f>
        <v>0.96</v>
      </c>
      <c r="H1882" s="20" t="n">
        <f aca="false">IF(G1882&lt;Parametres!$B$8*Parametres!$B$7,0,MIN(G1882,Parametres!$B$7))</f>
        <v>0</v>
      </c>
      <c r="I1882" s="20" t="n">
        <f aca="false">G1882-H1882</f>
        <v>0.96</v>
      </c>
      <c r="J1882" s="21" t="n">
        <f aca="false">H1882*1000/Parametres!$B$9</f>
        <v>0</v>
      </c>
    </row>
    <row r="1883" customFormat="false" ht="15" hidden="false" customHeight="false" outlineLevel="0" collapsed="false">
      <c r="A1883" s="0" t="n">
        <v>1879</v>
      </c>
      <c r="B1883" s="0" t="n">
        <v>3</v>
      </c>
      <c r="C1883" s="19" t="n">
        <v>0.0927</v>
      </c>
      <c r="D1883" s="19" t="n">
        <v>0.0021</v>
      </c>
      <c r="E1883" s="20" t="n">
        <f aca="false">Parametres!$B$5*C1883</f>
        <v>27.81</v>
      </c>
      <c r="F1883" s="20" t="n">
        <f aca="false">Parametres!$B$6*D1883</f>
        <v>0.42</v>
      </c>
      <c r="G1883" s="20" t="n">
        <f aca="false">E1883+F1883</f>
        <v>28.23</v>
      </c>
      <c r="H1883" s="20" t="n">
        <f aca="false">IF(G1883&lt;Parametres!$B$8*Parametres!$B$7,0,MIN(G1883,Parametres!$B$7))</f>
        <v>28.23</v>
      </c>
      <c r="I1883" s="20" t="n">
        <f aca="false">G1883-H1883</f>
        <v>0</v>
      </c>
      <c r="J1883" s="21" t="n">
        <f aca="false">H1883*1000/Parametres!$B$9</f>
        <v>478.717992199424</v>
      </c>
    </row>
    <row r="1884" customFormat="false" ht="15" hidden="false" customHeight="false" outlineLevel="0" collapsed="false">
      <c r="A1884" s="0" t="n">
        <v>1880</v>
      </c>
      <c r="B1884" s="0" t="n">
        <v>3</v>
      </c>
      <c r="C1884" s="19" t="n">
        <v>0.3371</v>
      </c>
      <c r="D1884" s="19" t="n">
        <v>0.0016</v>
      </c>
      <c r="E1884" s="20" t="n">
        <f aca="false">Parametres!$B$5*C1884</f>
        <v>101.13</v>
      </c>
      <c r="F1884" s="20" t="n">
        <f aca="false">Parametres!$B$6*D1884</f>
        <v>0.32</v>
      </c>
      <c r="G1884" s="20" t="n">
        <f aca="false">E1884+F1884</f>
        <v>101.45</v>
      </c>
      <c r="H1884" s="20" t="n">
        <f aca="false">IF(G1884&lt;Parametres!$B$8*Parametres!$B$7,0,MIN(G1884,Parametres!$B$7))</f>
        <v>101.45</v>
      </c>
      <c r="I1884" s="20" t="n">
        <f aca="false">G1884-H1884</f>
        <v>0</v>
      </c>
      <c r="J1884" s="21" t="n">
        <f aca="false">H1884*1000/Parametres!$B$9</f>
        <v>1720.36628794302</v>
      </c>
    </row>
    <row r="1885" customFormat="false" ht="15" hidden="false" customHeight="false" outlineLevel="0" collapsed="false">
      <c r="A1885" s="0" t="n">
        <v>1881</v>
      </c>
      <c r="B1885" s="0" t="n">
        <v>3</v>
      </c>
      <c r="C1885" s="19" t="n">
        <v>0.5842</v>
      </c>
      <c r="D1885" s="19" t="n">
        <v>0.0006</v>
      </c>
      <c r="E1885" s="20" t="n">
        <f aca="false">Parametres!$B$5*C1885</f>
        <v>175.26</v>
      </c>
      <c r="F1885" s="20" t="n">
        <f aca="false">Parametres!$B$6*D1885</f>
        <v>0.12</v>
      </c>
      <c r="G1885" s="20" t="n">
        <f aca="false">E1885+F1885</f>
        <v>175.38</v>
      </c>
      <c r="H1885" s="20" t="n">
        <f aca="false">IF(G1885&lt;Parametres!$B$8*Parametres!$B$7,0,MIN(G1885,Parametres!$B$7))</f>
        <v>175.38</v>
      </c>
      <c r="I1885" s="20" t="n">
        <f aca="false">G1885-H1885</f>
        <v>0</v>
      </c>
      <c r="J1885" s="21" t="n">
        <f aca="false">H1885*1000/Parametres!$B$9</f>
        <v>2974.05460403595</v>
      </c>
    </row>
    <row r="1886" customFormat="false" ht="15" hidden="false" customHeight="false" outlineLevel="0" collapsed="false">
      <c r="A1886" s="0" t="n">
        <v>1882</v>
      </c>
      <c r="B1886" s="0" t="n">
        <v>3</v>
      </c>
      <c r="C1886" s="19" t="n">
        <v>0.7777</v>
      </c>
      <c r="D1886" s="19" t="n">
        <v>0.0007</v>
      </c>
      <c r="E1886" s="20" t="n">
        <f aca="false">Parametres!$B$5*C1886</f>
        <v>233.31</v>
      </c>
      <c r="F1886" s="20" t="n">
        <f aca="false">Parametres!$B$6*D1886</f>
        <v>0.14</v>
      </c>
      <c r="G1886" s="20" t="n">
        <f aca="false">E1886+F1886</f>
        <v>233.45</v>
      </c>
      <c r="H1886" s="20" t="n">
        <f aca="false">IF(G1886&lt;Parametres!$B$8*Parametres!$B$7,0,MIN(G1886,Parametres!$B$7))</f>
        <v>233.45</v>
      </c>
      <c r="I1886" s="20" t="n">
        <f aca="false">G1886-H1886</f>
        <v>0</v>
      </c>
      <c r="J1886" s="21" t="n">
        <f aca="false">H1886*1000/Parametres!$B$9</f>
        <v>3958.79260641004</v>
      </c>
    </row>
    <row r="1887" customFormat="false" ht="15" hidden="false" customHeight="false" outlineLevel="0" collapsed="false">
      <c r="A1887" s="0" t="n">
        <v>1883</v>
      </c>
      <c r="B1887" s="0" t="n">
        <v>3</v>
      </c>
      <c r="C1887" s="19" t="n">
        <v>1</v>
      </c>
      <c r="D1887" s="19" t="n">
        <v>0.0003</v>
      </c>
      <c r="E1887" s="20" t="n">
        <f aca="false">Parametres!$B$5*C1887</f>
        <v>300</v>
      </c>
      <c r="F1887" s="20" t="n">
        <f aca="false">Parametres!$B$6*D1887</f>
        <v>0.06</v>
      </c>
      <c r="G1887" s="20" t="n">
        <f aca="false">E1887+F1887</f>
        <v>300.06</v>
      </c>
      <c r="H1887" s="20" t="n">
        <f aca="false">IF(G1887&lt;Parametres!$B$8*Parametres!$B$7,0,MIN(G1887,Parametres!$B$7))</f>
        <v>250</v>
      </c>
      <c r="I1887" s="20" t="n">
        <f aca="false">G1887-H1887</f>
        <v>50.06</v>
      </c>
      <c r="J1887" s="21" t="n">
        <f aca="false">H1887*1000/Parametres!$B$9</f>
        <v>4239.44378497541</v>
      </c>
    </row>
    <row r="1888" customFormat="false" ht="15" hidden="false" customHeight="false" outlineLevel="0" collapsed="false">
      <c r="A1888" s="0" t="n">
        <v>1884</v>
      </c>
      <c r="B1888" s="0" t="n">
        <v>3</v>
      </c>
      <c r="C1888" s="19" t="n">
        <v>1</v>
      </c>
      <c r="D1888" s="19" t="n">
        <v>0.0041</v>
      </c>
      <c r="E1888" s="20" t="n">
        <f aca="false">Parametres!$B$5*C1888</f>
        <v>300</v>
      </c>
      <c r="F1888" s="20" t="n">
        <f aca="false">Parametres!$B$6*D1888</f>
        <v>0.82</v>
      </c>
      <c r="G1888" s="20" t="n">
        <f aca="false">E1888+F1888</f>
        <v>300.82</v>
      </c>
      <c r="H1888" s="20" t="n">
        <f aca="false">IF(G1888&lt;Parametres!$B$8*Parametres!$B$7,0,MIN(G1888,Parametres!$B$7))</f>
        <v>250</v>
      </c>
      <c r="I1888" s="20" t="n">
        <f aca="false">G1888-H1888</f>
        <v>50.82</v>
      </c>
      <c r="J1888" s="21" t="n">
        <f aca="false">H1888*1000/Parametres!$B$9</f>
        <v>4239.44378497541</v>
      </c>
    </row>
    <row r="1889" customFormat="false" ht="15" hidden="false" customHeight="false" outlineLevel="0" collapsed="false">
      <c r="A1889" s="0" t="n">
        <v>1885</v>
      </c>
      <c r="B1889" s="0" t="n">
        <v>3</v>
      </c>
      <c r="C1889" s="19" t="n">
        <v>1</v>
      </c>
      <c r="D1889" s="19" t="n">
        <v>0.0038</v>
      </c>
      <c r="E1889" s="20" t="n">
        <f aca="false">Parametres!$B$5*C1889</f>
        <v>300</v>
      </c>
      <c r="F1889" s="20" t="n">
        <f aca="false">Parametres!$B$6*D1889</f>
        <v>0.76</v>
      </c>
      <c r="G1889" s="20" t="n">
        <f aca="false">E1889+F1889</f>
        <v>300.76</v>
      </c>
      <c r="H1889" s="20" t="n">
        <f aca="false">IF(G1889&lt;Parametres!$B$8*Parametres!$B$7,0,MIN(G1889,Parametres!$B$7))</f>
        <v>250</v>
      </c>
      <c r="I1889" s="20" t="n">
        <f aca="false">G1889-H1889</f>
        <v>50.76</v>
      </c>
      <c r="J1889" s="21" t="n">
        <f aca="false">H1889*1000/Parametres!$B$9</f>
        <v>4239.44378497541</v>
      </c>
    </row>
    <row r="1890" customFormat="false" ht="15" hidden="false" customHeight="false" outlineLevel="0" collapsed="false">
      <c r="A1890" s="0" t="n">
        <v>1886</v>
      </c>
      <c r="B1890" s="0" t="n">
        <v>3</v>
      </c>
      <c r="C1890" s="19" t="n">
        <v>0.9613</v>
      </c>
      <c r="D1890" s="19" t="n">
        <v>0.0006</v>
      </c>
      <c r="E1890" s="20" t="n">
        <f aca="false">Parametres!$B$5*C1890</f>
        <v>288.39</v>
      </c>
      <c r="F1890" s="20" t="n">
        <f aca="false">Parametres!$B$6*D1890</f>
        <v>0.12</v>
      </c>
      <c r="G1890" s="20" t="n">
        <f aca="false">E1890+F1890</f>
        <v>288.51</v>
      </c>
      <c r="H1890" s="20" t="n">
        <f aca="false">IF(G1890&lt;Parametres!$B$8*Parametres!$B$7,0,MIN(G1890,Parametres!$B$7))</f>
        <v>250</v>
      </c>
      <c r="I1890" s="20" t="n">
        <f aca="false">G1890-H1890</f>
        <v>38.51</v>
      </c>
      <c r="J1890" s="21" t="n">
        <f aca="false">H1890*1000/Parametres!$B$9</f>
        <v>4239.44378497541</v>
      </c>
    </row>
    <row r="1891" customFormat="false" ht="15" hidden="false" customHeight="false" outlineLevel="0" collapsed="false">
      <c r="A1891" s="0" t="n">
        <v>1887</v>
      </c>
      <c r="B1891" s="0" t="n">
        <v>3</v>
      </c>
      <c r="C1891" s="19" t="n">
        <v>0.8222</v>
      </c>
      <c r="D1891" s="19" t="n">
        <v>0.0006</v>
      </c>
      <c r="E1891" s="20" t="n">
        <f aca="false">Parametres!$B$5*C1891</f>
        <v>246.66</v>
      </c>
      <c r="F1891" s="20" t="n">
        <f aca="false">Parametres!$B$6*D1891</f>
        <v>0.12</v>
      </c>
      <c r="G1891" s="20" t="n">
        <f aca="false">E1891+F1891</f>
        <v>246.78</v>
      </c>
      <c r="H1891" s="20" t="n">
        <f aca="false">IF(G1891&lt;Parametres!$B$8*Parametres!$B$7,0,MIN(G1891,Parametres!$B$7))</f>
        <v>246.78</v>
      </c>
      <c r="I1891" s="20" t="n">
        <f aca="false">G1891-H1891</f>
        <v>0</v>
      </c>
      <c r="J1891" s="21" t="n">
        <f aca="false">H1891*1000/Parametres!$B$9</f>
        <v>4184.83974902493</v>
      </c>
    </row>
    <row r="1892" customFormat="false" ht="15" hidden="false" customHeight="false" outlineLevel="0" collapsed="false">
      <c r="A1892" s="0" t="n">
        <v>1888</v>
      </c>
      <c r="B1892" s="0" t="n">
        <v>3</v>
      </c>
      <c r="C1892" s="19" t="n">
        <v>0.5709</v>
      </c>
      <c r="D1892" s="19" t="n">
        <v>0.0017</v>
      </c>
      <c r="E1892" s="20" t="n">
        <f aca="false">Parametres!$B$5*C1892</f>
        <v>171.27</v>
      </c>
      <c r="F1892" s="20" t="n">
        <f aca="false">Parametres!$B$6*D1892</f>
        <v>0.34</v>
      </c>
      <c r="G1892" s="20" t="n">
        <f aca="false">E1892+F1892</f>
        <v>171.61</v>
      </c>
      <c r="H1892" s="20" t="n">
        <f aca="false">IF(G1892&lt;Parametres!$B$8*Parametres!$B$7,0,MIN(G1892,Parametres!$B$7))</f>
        <v>171.61</v>
      </c>
      <c r="I1892" s="20" t="n">
        <f aca="false">G1892-H1892</f>
        <v>0</v>
      </c>
      <c r="J1892" s="21" t="n">
        <f aca="false">H1892*1000/Parametres!$B$9</f>
        <v>2910.12379175852</v>
      </c>
    </row>
    <row r="1893" customFormat="false" ht="15" hidden="false" customHeight="false" outlineLevel="0" collapsed="false">
      <c r="A1893" s="0" t="n">
        <v>1889</v>
      </c>
      <c r="B1893" s="0" t="n">
        <v>3</v>
      </c>
      <c r="C1893" s="19" t="n">
        <v>0.3291</v>
      </c>
      <c r="D1893" s="19" t="n">
        <v>0.0013</v>
      </c>
      <c r="E1893" s="20" t="n">
        <f aca="false">Parametres!$B$5*C1893</f>
        <v>98.73</v>
      </c>
      <c r="F1893" s="20" t="n">
        <f aca="false">Parametres!$B$6*D1893</f>
        <v>0.26</v>
      </c>
      <c r="G1893" s="20" t="n">
        <f aca="false">E1893+F1893</f>
        <v>98.99</v>
      </c>
      <c r="H1893" s="20" t="n">
        <f aca="false">IF(G1893&lt;Parametres!$B$8*Parametres!$B$7,0,MIN(G1893,Parametres!$B$7))</f>
        <v>98.99</v>
      </c>
      <c r="I1893" s="20" t="n">
        <f aca="false">G1893-H1893</f>
        <v>0</v>
      </c>
      <c r="J1893" s="21" t="n">
        <f aca="false">H1893*1000/Parametres!$B$9</f>
        <v>1678.65016109886</v>
      </c>
    </row>
    <row r="1894" customFormat="false" ht="15" hidden="false" customHeight="false" outlineLevel="0" collapsed="false">
      <c r="A1894" s="0" t="n">
        <v>1890</v>
      </c>
      <c r="B1894" s="0" t="n">
        <v>3</v>
      </c>
      <c r="C1894" s="19" t="n">
        <v>0.0909</v>
      </c>
      <c r="D1894" s="19" t="n">
        <v>0.0047</v>
      </c>
      <c r="E1894" s="20" t="n">
        <f aca="false">Parametres!$B$5*C1894</f>
        <v>27.27</v>
      </c>
      <c r="F1894" s="20" t="n">
        <f aca="false">Parametres!$B$6*D1894</f>
        <v>0.94</v>
      </c>
      <c r="G1894" s="20" t="n">
        <f aca="false">E1894+F1894</f>
        <v>28.21</v>
      </c>
      <c r="H1894" s="20" t="n">
        <f aca="false">IF(G1894&lt;Parametres!$B$8*Parametres!$B$7,0,MIN(G1894,Parametres!$B$7))</f>
        <v>28.21</v>
      </c>
      <c r="I1894" s="20" t="n">
        <f aca="false">G1894-H1894</f>
        <v>0</v>
      </c>
      <c r="J1894" s="21" t="n">
        <f aca="false">H1894*1000/Parametres!$B$9</f>
        <v>478.378836696625</v>
      </c>
    </row>
    <row r="1895" customFormat="false" ht="15" hidden="false" customHeight="false" outlineLevel="0" collapsed="false">
      <c r="A1895" s="0" t="n">
        <v>1891</v>
      </c>
      <c r="B1895" s="0" t="n">
        <v>3</v>
      </c>
      <c r="C1895" s="19" t="n">
        <v>0</v>
      </c>
      <c r="D1895" s="19" t="n">
        <v>0.0013</v>
      </c>
      <c r="E1895" s="20" t="n">
        <f aca="false">Parametres!$B$5*C1895</f>
        <v>0</v>
      </c>
      <c r="F1895" s="20" t="n">
        <f aca="false">Parametres!$B$6*D1895</f>
        <v>0.26</v>
      </c>
      <c r="G1895" s="20" t="n">
        <f aca="false">E1895+F1895</f>
        <v>0.26</v>
      </c>
      <c r="H1895" s="20" t="n">
        <f aca="false">IF(G1895&lt;Parametres!$B$8*Parametres!$B$7,0,MIN(G1895,Parametres!$B$7))</f>
        <v>0</v>
      </c>
      <c r="I1895" s="20" t="n">
        <f aca="false">G1895-H1895</f>
        <v>0.26</v>
      </c>
      <c r="J1895" s="21" t="n">
        <f aca="false">H1895*1000/Parametres!$B$9</f>
        <v>0</v>
      </c>
    </row>
    <row r="1896" customFormat="false" ht="15" hidden="false" customHeight="false" outlineLevel="0" collapsed="false">
      <c r="A1896" s="0" t="n">
        <v>1892</v>
      </c>
      <c r="B1896" s="0" t="n">
        <v>3</v>
      </c>
      <c r="C1896" s="19" t="n">
        <v>0</v>
      </c>
      <c r="D1896" s="19" t="n">
        <v>0.0002</v>
      </c>
      <c r="E1896" s="20" t="n">
        <f aca="false">Parametres!$B$5*C1896</f>
        <v>0</v>
      </c>
      <c r="F1896" s="20" t="n">
        <f aca="false">Parametres!$B$6*D1896</f>
        <v>0.04</v>
      </c>
      <c r="G1896" s="20" t="n">
        <f aca="false">E1896+F1896</f>
        <v>0.04</v>
      </c>
      <c r="H1896" s="20" t="n">
        <f aca="false">IF(G1896&lt;Parametres!$B$8*Parametres!$B$7,0,MIN(G1896,Parametres!$B$7))</f>
        <v>0</v>
      </c>
      <c r="I1896" s="20" t="n">
        <f aca="false">G1896-H1896</f>
        <v>0.04</v>
      </c>
      <c r="J1896" s="21" t="n">
        <f aca="false">H1896*1000/Parametres!$B$9</f>
        <v>0</v>
      </c>
    </row>
    <row r="1897" customFormat="false" ht="15" hidden="false" customHeight="false" outlineLevel="0" collapsed="false">
      <c r="A1897" s="0" t="n">
        <v>1893</v>
      </c>
      <c r="B1897" s="0" t="n">
        <v>3</v>
      </c>
      <c r="C1897" s="19" t="n">
        <v>0</v>
      </c>
      <c r="D1897" s="19" t="n">
        <v>0.0035</v>
      </c>
      <c r="E1897" s="20" t="n">
        <f aca="false">Parametres!$B$5*C1897</f>
        <v>0</v>
      </c>
      <c r="F1897" s="20" t="n">
        <f aca="false">Parametres!$B$6*D1897</f>
        <v>0.7</v>
      </c>
      <c r="G1897" s="20" t="n">
        <f aca="false">E1897+F1897</f>
        <v>0.7</v>
      </c>
      <c r="H1897" s="20" t="n">
        <f aca="false">IF(G1897&lt;Parametres!$B$8*Parametres!$B$7,0,MIN(G1897,Parametres!$B$7))</f>
        <v>0</v>
      </c>
      <c r="I1897" s="20" t="n">
        <f aca="false">G1897-H1897</f>
        <v>0.7</v>
      </c>
      <c r="J1897" s="21" t="n">
        <f aca="false">H1897*1000/Parametres!$B$9</f>
        <v>0</v>
      </c>
    </row>
    <row r="1898" customFormat="false" ht="15" hidden="false" customHeight="false" outlineLevel="0" collapsed="false">
      <c r="A1898" s="0" t="n">
        <v>1894</v>
      </c>
      <c r="B1898" s="0" t="n">
        <v>3</v>
      </c>
      <c r="C1898" s="19" t="n">
        <v>0</v>
      </c>
      <c r="D1898" s="19" t="n">
        <v>0.003</v>
      </c>
      <c r="E1898" s="20" t="n">
        <f aca="false">Parametres!$B$5*C1898</f>
        <v>0</v>
      </c>
      <c r="F1898" s="20" t="n">
        <f aca="false">Parametres!$B$6*D1898</f>
        <v>0.6</v>
      </c>
      <c r="G1898" s="20" t="n">
        <f aca="false">E1898+F1898</f>
        <v>0.6</v>
      </c>
      <c r="H1898" s="20" t="n">
        <f aca="false">IF(G1898&lt;Parametres!$B$8*Parametres!$B$7,0,MIN(G1898,Parametres!$B$7))</f>
        <v>0</v>
      </c>
      <c r="I1898" s="20" t="n">
        <f aca="false">G1898-H1898</f>
        <v>0.6</v>
      </c>
      <c r="J1898" s="21" t="n">
        <f aca="false">H1898*1000/Parametres!$B$9</f>
        <v>0</v>
      </c>
    </row>
    <row r="1899" customFormat="false" ht="15" hidden="false" customHeight="false" outlineLevel="0" collapsed="false">
      <c r="A1899" s="0" t="n">
        <v>1895</v>
      </c>
      <c r="B1899" s="0" t="n">
        <v>3</v>
      </c>
      <c r="C1899" s="19" t="n">
        <v>0</v>
      </c>
      <c r="D1899" s="19" t="n">
        <v>0.0048</v>
      </c>
      <c r="E1899" s="20" t="n">
        <f aca="false">Parametres!$B$5*C1899</f>
        <v>0</v>
      </c>
      <c r="F1899" s="20" t="n">
        <f aca="false">Parametres!$B$6*D1899</f>
        <v>0.96</v>
      </c>
      <c r="G1899" s="20" t="n">
        <f aca="false">E1899+F1899</f>
        <v>0.96</v>
      </c>
      <c r="H1899" s="20" t="n">
        <f aca="false">IF(G1899&lt;Parametres!$B$8*Parametres!$B$7,0,MIN(G1899,Parametres!$B$7))</f>
        <v>0</v>
      </c>
      <c r="I1899" s="20" t="n">
        <f aca="false">G1899-H1899</f>
        <v>0.96</v>
      </c>
      <c r="J1899" s="21" t="n">
        <f aca="false">H1899*1000/Parametres!$B$9</f>
        <v>0</v>
      </c>
    </row>
    <row r="1900" customFormat="false" ht="15" hidden="false" customHeight="false" outlineLevel="0" collapsed="false">
      <c r="A1900" s="0" t="n">
        <v>1896</v>
      </c>
      <c r="B1900" s="0" t="n">
        <v>3</v>
      </c>
      <c r="C1900" s="19" t="n">
        <v>0</v>
      </c>
      <c r="D1900" s="19" t="n">
        <v>0.0067</v>
      </c>
      <c r="E1900" s="20" t="n">
        <f aca="false">Parametres!$B$5*C1900</f>
        <v>0</v>
      </c>
      <c r="F1900" s="20" t="n">
        <f aca="false">Parametres!$B$6*D1900</f>
        <v>1.34</v>
      </c>
      <c r="G1900" s="20" t="n">
        <f aca="false">E1900+F1900</f>
        <v>1.34</v>
      </c>
      <c r="H1900" s="20" t="n">
        <f aca="false">IF(G1900&lt;Parametres!$B$8*Parametres!$B$7,0,MIN(G1900,Parametres!$B$7))</f>
        <v>0</v>
      </c>
      <c r="I1900" s="20" t="n">
        <f aca="false">G1900-H1900</f>
        <v>1.34</v>
      </c>
      <c r="J1900" s="21" t="n">
        <f aca="false">H1900*1000/Parametres!$B$9</f>
        <v>0</v>
      </c>
    </row>
    <row r="1901" customFormat="false" ht="15" hidden="false" customHeight="false" outlineLevel="0" collapsed="false">
      <c r="A1901" s="0" t="n">
        <v>1897</v>
      </c>
      <c r="B1901" s="0" t="n">
        <v>3</v>
      </c>
      <c r="C1901" s="19" t="n">
        <v>0</v>
      </c>
      <c r="D1901" s="19" t="n">
        <v>0.0097</v>
      </c>
      <c r="E1901" s="20" t="n">
        <f aca="false">Parametres!$B$5*C1901</f>
        <v>0</v>
      </c>
      <c r="F1901" s="20" t="n">
        <f aca="false">Parametres!$B$6*D1901</f>
        <v>1.94</v>
      </c>
      <c r="G1901" s="20" t="n">
        <f aca="false">E1901+F1901</f>
        <v>1.94</v>
      </c>
      <c r="H1901" s="20" t="n">
        <f aca="false">IF(G1901&lt;Parametres!$B$8*Parametres!$B$7,0,MIN(G1901,Parametres!$B$7))</f>
        <v>0</v>
      </c>
      <c r="I1901" s="20" t="n">
        <f aca="false">G1901-H1901</f>
        <v>1.94</v>
      </c>
      <c r="J1901" s="21" t="n">
        <f aca="false">H1901*1000/Parametres!$B$9</f>
        <v>0</v>
      </c>
    </row>
    <row r="1902" customFormat="false" ht="15" hidden="false" customHeight="false" outlineLevel="0" collapsed="false">
      <c r="A1902" s="0" t="n">
        <v>1898</v>
      </c>
      <c r="B1902" s="0" t="n">
        <v>3</v>
      </c>
      <c r="C1902" s="19" t="n">
        <v>0</v>
      </c>
      <c r="D1902" s="19" t="n">
        <v>0.0086</v>
      </c>
      <c r="E1902" s="20" t="n">
        <f aca="false">Parametres!$B$5*C1902</f>
        <v>0</v>
      </c>
      <c r="F1902" s="20" t="n">
        <f aca="false">Parametres!$B$6*D1902</f>
        <v>1.72</v>
      </c>
      <c r="G1902" s="20" t="n">
        <f aca="false">E1902+F1902</f>
        <v>1.72</v>
      </c>
      <c r="H1902" s="20" t="n">
        <f aca="false">IF(G1902&lt;Parametres!$B$8*Parametres!$B$7,0,MIN(G1902,Parametres!$B$7))</f>
        <v>0</v>
      </c>
      <c r="I1902" s="20" t="n">
        <f aca="false">G1902-H1902</f>
        <v>1.72</v>
      </c>
      <c r="J1902" s="21" t="n">
        <f aca="false">H1902*1000/Parametres!$B$9</f>
        <v>0</v>
      </c>
    </row>
    <row r="1903" customFormat="false" ht="15" hidden="false" customHeight="false" outlineLevel="0" collapsed="false">
      <c r="A1903" s="0" t="n">
        <v>1899</v>
      </c>
      <c r="B1903" s="0" t="n">
        <v>3</v>
      </c>
      <c r="C1903" s="19" t="n">
        <v>0</v>
      </c>
      <c r="D1903" s="19" t="n">
        <v>0.0064</v>
      </c>
      <c r="E1903" s="20" t="n">
        <f aca="false">Parametres!$B$5*C1903</f>
        <v>0</v>
      </c>
      <c r="F1903" s="20" t="n">
        <f aca="false">Parametres!$B$6*D1903</f>
        <v>1.28</v>
      </c>
      <c r="G1903" s="20" t="n">
        <f aca="false">E1903+F1903</f>
        <v>1.28</v>
      </c>
      <c r="H1903" s="20" t="n">
        <f aca="false">IF(G1903&lt;Parametres!$B$8*Parametres!$B$7,0,MIN(G1903,Parametres!$B$7))</f>
        <v>0</v>
      </c>
      <c r="I1903" s="20" t="n">
        <f aca="false">G1903-H1903</f>
        <v>1.28</v>
      </c>
      <c r="J1903" s="21" t="n">
        <f aca="false">H1903*1000/Parametres!$B$9</f>
        <v>0</v>
      </c>
    </row>
    <row r="1904" customFormat="false" ht="15" hidden="false" customHeight="false" outlineLevel="0" collapsed="false">
      <c r="A1904" s="0" t="n">
        <v>1900</v>
      </c>
      <c r="B1904" s="0" t="n">
        <v>3</v>
      </c>
      <c r="C1904" s="19" t="n">
        <v>0</v>
      </c>
      <c r="D1904" s="19" t="n">
        <v>0.0153</v>
      </c>
      <c r="E1904" s="20" t="n">
        <f aca="false">Parametres!$B$5*C1904</f>
        <v>0</v>
      </c>
      <c r="F1904" s="20" t="n">
        <f aca="false">Parametres!$B$6*D1904</f>
        <v>3.06</v>
      </c>
      <c r="G1904" s="20" t="n">
        <f aca="false">E1904+F1904</f>
        <v>3.06</v>
      </c>
      <c r="H1904" s="20" t="n">
        <f aca="false">IF(G1904&lt;Parametres!$B$8*Parametres!$B$7,0,MIN(G1904,Parametres!$B$7))</f>
        <v>0</v>
      </c>
      <c r="I1904" s="20" t="n">
        <f aca="false">G1904-H1904</f>
        <v>3.06</v>
      </c>
      <c r="J1904" s="21" t="n">
        <f aca="false">H1904*1000/Parametres!$B$9</f>
        <v>0</v>
      </c>
    </row>
    <row r="1905" customFormat="false" ht="15" hidden="false" customHeight="false" outlineLevel="0" collapsed="false">
      <c r="A1905" s="0" t="n">
        <v>1901</v>
      </c>
      <c r="B1905" s="0" t="n">
        <v>3</v>
      </c>
      <c r="C1905" s="19" t="n">
        <v>0</v>
      </c>
      <c r="D1905" s="19" t="n">
        <v>0.0103</v>
      </c>
      <c r="E1905" s="20" t="n">
        <f aca="false">Parametres!$B$5*C1905</f>
        <v>0</v>
      </c>
      <c r="F1905" s="20" t="n">
        <f aca="false">Parametres!$B$6*D1905</f>
        <v>2.06</v>
      </c>
      <c r="G1905" s="20" t="n">
        <f aca="false">E1905+F1905</f>
        <v>2.06</v>
      </c>
      <c r="H1905" s="20" t="n">
        <f aca="false">IF(G1905&lt;Parametres!$B$8*Parametres!$B$7,0,MIN(G1905,Parametres!$B$7))</f>
        <v>0</v>
      </c>
      <c r="I1905" s="20" t="n">
        <f aca="false">G1905-H1905</f>
        <v>2.06</v>
      </c>
      <c r="J1905" s="21" t="n">
        <f aca="false">H1905*1000/Parametres!$B$9</f>
        <v>0</v>
      </c>
    </row>
    <row r="1906" customFormat="false" ht="15" hidden="false" customHeight="false" outlineLevel="0" collapsed="false">
      <c r="A1906" s="0" t="n">
        <v>1902</v>
      </c>
      <c r="B1906" s="0" t="n">
        <v>3</v>
      </c>
      <c r="C1906" s="19" t="n">
        <v>0</v>
      </c>
      <c r="D1906" s="19" t="n">
        <v>0.0122</v>
      </c>
      <c r="E1906" s="20" t="n">
        <f aca="false">Parametres!$B$5*C1906</f>
        <v>0</v>
      </c>
      <c r="F1906" s="20" t="n">
        <f aca="false">Parametres!$B$6*D1906</f>
        <v>2.44</v>
      </c>
      <c r="G1906" s="20" t="n">
        <f aca="false">E1906+F1906</f>
        <v>2.44</v>
      </c>
      <c r="H1906" s="20" t="n">
        <f aca="false">IF(G1906&lt;Parametres!$B$8*Parametres!$B$7,0,MIN(G1906,Parametres!$B$7))</f>
        <v>0</v>
      </c>
      <c r="I1906" s="20" t="n">
        <f aca="false">G1906-H1906</f>
        <v>2.44</v>
      </c>
      <c r="J1906" s="21" t="n">
        <f aca="false">H1906*1000/Parametres!$B$9</f>
        <v>0</v>
      </c>
    </row>
    <row r="1907" customFormat="false" ht="15" hidden="false" customHeight="false" outlineLevel="0" collapsed="false">
      <c r="A1907" s="0" t="n">
        <v>1903</v>
      </c>
      <c r="B1907" s="0" t="n">
        <v>3</v>
      </c>
      <c r="C1907" s="19" t="n">
        <v>0.0985</v>
      </c>
      <c r="D1907" s="19" t="n">
        <v>0.023</v>
      </c>
      <c r="E1907" s="20" t="n">
        <f aca="false">Parametres!$B$5*C1907</f>
        <v>29.55</v>
      </c>
      <c r="F1907" s="20" t="n">
        <f aca="false">Parametres!$B$6*D1907</f>
        <v>4.6</v>
      </c>
      <c r="G1907" s="20" t="n">
        <f aca="false">E1907+F1907</f>
        <v>34.15</v>
      </c>
      <c r="H1907" s="20" t="n">
        <f aca="false">IF(G1907&lt;Parametres!$B$8*Parametres!$B$7,0,MIN(G1907,Parametres!$B$7))</f>
        <v>34.15</v>
      </c>
      <c r="I1907" s="20" t="n">
        <f aca="false">G1907-H1907</f>
        <v>0</v>
      </c>
      <c r="J1907" s="21" t="n">
        <f aca="false">H1907*1000/Parametres!$B$9</f>
        <v>579.108021027641</v>
      </c>
    </row>
    <row r="1908" customFormat="false" ht="15" hidden="false" customHeight="false" outlineLevel="0" collapsed="false">
      <c r="A1908" s="0" t="n">
        <v>1904</v>
      </c>
      <c r="B1908" s="0" t="n">
        <v>3</v>
      </c>
      <c r="C1908" s="19" t="n">
        <v>0.3515</v>
      </c>
      <c r="D1908" s="19" t="n">
        <v>0.0204</v>
      </c>
      <c r="E1908" s="20" t="n">
        <f aca="false">Parametres!$B$5*C1908</f>
        <v>105.45</v>
      </c>
      <c r="F1908" s="20" t="n">
        <f aca="false">Parametres!$B$6*D1908</f>
        <v>4.08</v>
      </c>
      <c r="G1908" s="20" t="n">
        <f aca="false">E1908+F1908</f>
        <v>109.53</v>
      </c>
      <c r="H1908" s="20" t="n">
        <f aca="false">IF(G1908&lt;Parametres!$B$8*Parametres!$B$7,0,MIN(G1908,Parametres!$B$7))</f>
        <v>109.53</v>
      </c>
      <c r="I1908" s="20" t="n">
        <f aca="false">G1908-H1908</f>
        <v>0</v>
      </c>
      <c r="J1908" s="21" t="n">
        <f aca="false">H1908*1000/Parametres!$B$9</f>
        <v>1857.38511107343</v>
      </c>
    </row>
    <row r="1909" customFormat="false" ht="15" hidden="false" customHeight="false" outlineLevel="0" collapsed="false">
      <c r="A1909" s="0" t="n">
        <v>1905</v>
      </c>
      <c r="B1909" s="0" t="n">
        <v>3</v>
      </c>
      <c r="C1909" s="19" t="n">
        <v>0.5835</v>
      </c>
      <c r="D1909" s="19" t="n">
        <v>0.0072</v>
      </c>
      <c r="E1909" s="20" t="n">
        <f aca="false">Parametres!$B$5*C1909</f>
        <v>175.05</v>
      </c>
      <c r="F1909" s="20" t="n">
        <f aca="false">Parametres!$B$6*D1909</f>
        <v>1.44</v>
      </c>
      <c r="G1909" s="20" t="n">
        <f aca="false">E1909+F1909</f>
        <v>176.49</v>
      </c>
      <c r="H1909" s="20" t="n">
        <f aca="false">IF(G1909&lt;Parametres!$B$8*Parametres!$B$7,0,MIN(G1909,Parametres!$B$7))</f>
        <v>176.49</v>
      </c>
      <c r="I1909" s="20" t="n">
        <f aca="false">G1909-H1909</f>
        <v>0</v>
      </c>
      <c r="J1909" s="21" t="n">
        <f aca="false">H1909*1000/Parametres!$B$9</f>
        <v>2992.87773444124</v>
      </c>
    </row>
    <row r="1910" customFormat="false" ht="15" hidden="false" customHeight="false" outlineLevel="0" collapsed="false">
      <c r="A1910" s="0" t="n">
        <v>1906</v>
      </c>
      <c r="B1910" s="0" t="n">
        <v>3</v>
      </c>
      <c r="C1910" s="19" t="n">
        <v>0.762</v>
      </c>
      <c r="D1910" s="19" t="n">
        <v>0.0144</v>
      </c>
      <c r="E1910" s="20" t="n">
        <f aca="false">Parametres!$B$5*C1910</f>
        <v>228.6</v>
      </c>
      <c r="F1910" s="20" t="n">
        <f aca="false">Parametres!$B$6*D1910</f>
        <v>2.88</v>
      </c>
      <c r="G1910" s="20" t="n">
        <f aca="false">E1910+F1910</f>
        <v>231.48</v>
      </c>
      <c r="H1910" s="20" t="n">
        <f aca="false">IF(G1910&lt;Parametres!$B$8*Parametres!$B$7,0,MIN(G1910,Parametres!$B$7))</f>
        <v>231.48</v>
      </c>
      <c r="I1910" s="20" t="n">
        <f aca="false">G1910-H1910</f>
        <v>0</v>
      </c>
      <c r="J1910" s="21" t="n">
        <f aca="false">H1910*1000/Parametres!$B$9</f>
        <v>3925.38578938443</v>
      </c>
    </row>
    <row r="1911" customFormat="false" ht="15" hidden="false" customHeight="false" outlineLevel="0" collapsed="false">
      <c r="A1911" s="0" t="n">
        <v>1907</v>
      </c>
      <c r="B1911" s="0" t="n">
        <v>3</v>
      </c>
      <c r="C1911" s="19" t="n">
        <v>0.9127</v>
      </c>
      <c r="D1911" s="19" t="n">
        <v>0.0396</v>
      </c>
      <c r="E1911" s="20" t="n">
        <f aca="false">Parametres!$B$5*C1911</f>
        <v>273.81</v>
      </c>
      <c r="F1911" s="20" t="n">
        <f aca="false">Parametres!$B$6*D1911</f>
        <v>7.92</v>
      </c>
      <c r="G1911" s="20" t="n">
        <f aca="false">E1911+F1911</f>
        <v>281.73</v>
      </c>
      <c r="H1911" s="20" t="n">
        <f aca="false">IF(G1911&lt;Parametres!$B$8*Parametres!$B$7,0,MIN(G1911,Parametres!$B$7))</f>
        <v>250</v>
      </c>
      <c r="I1911" s="20" t="n">
        <f aca="false">G1911-H1911</f>
        <v>31.73</v>
      </c>
      <c r="J1911" s="21" t="n">
        <f aca="false">H1911*1000/Parametres!$B$9</f>
        <v>4239.44378497541</v>
      </c>
    </row>
    <row r="1912" customFormat="false" ht="15" hidden="false" customHeight="false" outlineLevel="0" collapsed="false">
      <c r="A1912" s="0" t="n">
        <v>1908</v>
      </c>
      <c r="B1912" s="0" t="n">
        <v>3</v>
      </c>
      <c r="C1912" s="19" t="n">
        <v>0.9922</v>
      </c>
      <c r="D1912" s="19" t="n">
        <v>0.0564</v>
      </c>
      <c r="E1912" s="20" t="n">
        <f aca="false">Parametres!$B$5*C1912</f>
        <v>297.66</v>
      </c>
      <c r="F1912" s="20" t="n">
        <f aca="false">Parametres!$B$6*D1912</f>
        <v>11.28</v>
      </c>
      <c r="G1912" s="20" t="n">
        <f aca="false">E1912+F1912</f>
        <v>308.94</v>
      </c>
      <c r="H1912" s="20" t="n">
        <f aca="false">IF(G1912&lt;Parametres!$B$8*Parametres!$B$7,0,MIN(G1912,Parametres!$B$7))</f>
        <v>250</v>
      </c>
      <c r="I1912" s="20" t="n">
        <f aca="false">G1912-H1912</f>
        <v>58.9399999999999</v>
      </c>
      <c r="J1912" s="21" t="n">
        <f aca="false">H1912*1000/Parametres!$B$9</f>
        <v>4239.44378497541</v>
      </c>
    </row>
    <row r="1913" customFormat="false" ht="15" hidden="false" customHeight="false" outlineLevel="0" collapsed="false">
      <c r="A1913" s="0" t="n">
        <v>1909</v>
      </c>
      <c r="B1913" s="0" t="n">
        <v>3</v>
      </c>
      <c r="C1913" s="19" t="n">
        <v>1</v>
      </c>
      <c r="D1913" s="19" t="n">
        <v>0.0223</v>
      </c>
      <c r="E1913" s="20" t="n">
        <f aca="false">Parametres!$B$5*C1913</f>
        <v>300</v>
      </c>
      <c r="F1913" s="20" t="n">
        <f aca="false">Parametres!$B$6*D1913</f>
        <v>4.46</v>
      </c>
      <c r="G1913" s="20" t="n">
        <f aca="false">E1913+F1913</f>
        <v>304.46</v>
      </c>
      <c r="H1913" s="20" t="n">
        <f aca="false">IF(G1913&lt;Parametres!$B$8*Parametres!$B$7,0,MIN(G1913,Parametres!$B$7))</f>
        <v>250</v>
      </c>
      <c r="I1913" s="20" t="n">
        <f aca="false">G1913-H1913</f>
        <v>54.46</v>
      </c>
      <c r="J1913" s="21" t="n">
        <f aca="false">H1913*1000/Parametres!$B$9</f>
        <v>4239.44378497541</v>
      </c>
    </row>
    <row r="1914" customFormat="false" ht="15" hidden="false" customHeight="false" outlineLevel="0" collapsed="false">
      <c r="A1914" s="0" t="n">
        <v>1910</v>
      </c>
      <c r="B1914" s="0" t="n">
        <v>3</v>
      </c>
      <c r="C1914" s="19" t="n">
        <v>0.8219</v>
      </c>
      <c r="D1914" s="19" t="n">
        <v>0.0421</v>
      </c>
      <c r="E1914" s="20" t="n">
        <f aca="false">Parametres!$B$5*C1914</f>
        <v>246.57</v>
      </c>
      <c r="F1914" s="20" t="n">
        <f aca="false">Parametres!$B$6*D1914</f>
        <v>8.42</v>
      </c>
      <c r="G1914" s="20" t="n">
        <f aca="false">E1914+F1914</f>
        <v>254.99</v>
      </c>
      <c r="H1914" s="20" t="n">
        <f aca="false">IF(G1914&lt;Parametres!$B$8*Parametres!$B$7,0,MIN(G1914,Parametres!$B$7))</f>
        <v>250</v>
      </c>
      <c r="I1914" s="20" t="n">
        <f aca="false">G1914-H1914</f>
        <v>4.98999999999998</v>
      </c>
      <c r="J1914" s="21" t="n">
        <f aca="false">H1914*1000/Parametres!$B$9</f>
        <v>4239.44378497541</v>
      </c>
    </row>
    <row r="1915" customFormat="false" ht="15" hidden="false" customHeight="false" outlineLevel="0" collapsed="false">
      <c r="A1915" s="0" t="n">
        <v>1911</v>
      </c>
      <c r="B1915" s="0" t="n">
        <v>3</v>
      </c>
      <c r="C1915" s="19" t="n">
        <v>0.7824</v>
      </c>
      <c r="D1915" s="19" t="n">
        <v>0.142</v>
      </c>
      <c r="E1915" s="20" t="n">
        <f aca="false">Parametres!$B$5*C1915</f>
        <v>234.72</v>
      </c>
      <c r="F1915" s="20" t="n">
        <f aca="false">Parametres!$B$6*D1915</f>
        <v>28.4</v>
      </c>
      <c r="G1915" s="20" t="n">
        <f aca="false">E1915+F1915</f>
        <v>263.12</v>
      </c>
      <c r="H1915" s="20" t="n">
        <f aca="false">IF(G1915&lt;Parametres!$B$8*Parametres!$B$7,0,MIN(G1915,Parametres!$B$7))</f>
        <v>250</v>
      </c>
      <c r="I1915" s="20" t="n">
        <f aca="false">G1915-H1915</f>
        <v>13.12</v>
      </c>
      <c r="J1915" s="21" t="n">
        <f aca="false">H1915*1000/Parametres!$B$9</f>
        <v>4239.44378497541</v>
      </c>
    </row>
    <row r="1916" customFormat="false" ht="15" hidden="false" customHeight="false" outlineLevel="0" collapsed="false">
      <c r="A1916" s="0" t="n">
        <v>1912</v>
      </c>
      <c r="B1916" s="0" t="n">
        <v>3</v>
      </c>
      <c r="C1916" s="19" t="n">
        <v>0.5239</v>
      </c>
      <c r="D1916" s="19" t="n">
        <v>0.0667</v>
      </c>
      <c r="E1916" s="20" t="n">
        <f aca="false">Parametres!$B$5*C1916</f>
        <v>157.17</v>
      </c>
      <c r="F1916" s="20" t="n">
        <f aca="false">Parametres!$B$6*D1916</f>
        <v>13.34</v>
      </c>
      <c r="G1916" s="20" t="n">
        <f aca="false">E1916+F1916</f>
        <v>170.51</v>
      </c>
      <c r="H1916" s="20" t="n">
        <f aca="false">IF(G1916&lt;Parametres!$B$8*Parametres!$B$7,0,MIN(G1916,Parametres!$B$7))</f>
        <v>170.51</v>
      </c>
      <c r="I1916" s="20" t="n">
        <f aca="false">G1916-H1916</f>
        <v>0</v>
      </c>
      <c r="J1916" s="21" t="n">
        <f aca="false">H1916*1000/Parametres!$B$9</f>
        <v>2891.47023910463</v>
      </c>
    </row>
    <row r="1917" customFormat="false" ht="15" hidden="false" customHeight="false" outlineLevel="0" collapsed="false">
      <c r="A1917" s="0" t="n">
        <v>1913</v>
      </c>
      <c r="B1917" s="0" t="n">
        <v>3</v>
      </c>
      <c r="C1917" s="19" t="n">
        <v>0.3309</v>
      </c>
      <c r="D1917" s="19" t="n">
        <v>0.0091</v>
      </c>
      <c r="E1917" s="20" t="n">
        <f aca="false">Parametres!$B$5*C1917</f>
        <v>99.27</v>
      </c>
      <c r="F1917" s="20" t="n">
        <f aca="false">Parametres!$B$6*D1917</f>
        <v>1.82</v>
      </c>
      <c r="G1917" s="20" t="n">
        <f aca="false">E1917+F1917</f>
        <v>101.09</v>
      </c>
      <c r="H1917" s="20" t="n">
        <f aca="false">IF(G1917&lt;Parametres!$B$8*Parametres!$B$7,0,MIN(G1917,Parametres!$B$7))</f>
        <v>101.09</v>
      </c>
      <c r="I1917" s="20" t="n">
        <f aca="false">G1917-H1917</f>
        <v>0</v>
      </c>
      <c r="J1917" s="21" t="n">
        <f aca="false">H1917*1000/Parametres!$B$9</f>
        <v>1714.26148889266</v>
      </c>
    </row>
    <row r="1918" customFormat="false" ht="15" hidden="false" customHeight="false" outlineLevel="0" collapsed="false">
      <c r="A1918" s="0" t="n">
        <v>1914</v>
      </c>
      <c r="B1918" s="0" t="n">
        <v>3</v>
      </c>
      <c r="C1918" s="19" t="n">
        <v>0.0967</v>
      </c>
      <c r="D1918" s="19" t="n">
        <v>0.0075</v>
      </c>
      <c r="E1918" s="20" t="n">
        <f aca="false">Parametres!$B$5*C1918</f>
        <v>29.01</v>
      </c>
      <c r="F1918" s="20" t="n">
        <f aca="false">Parametres!$B$6*D1918</f>
        <v>1.5</v>
      </c>
      <c r="G1918" s="20" t="n">
        <f aca="false">E1918+F1918</f>
        <v>30.51</v>
      </c>
      <c r="H1918" s="20" t="n">
        <f aca="false">IF(G1918&lt;Parametres!$B$8*Parametres!$B$7,0,MIN(G1918,Parametres!$B$7))</f>
        <v>30.51</v>
      </c>
      <c r="I1918" s="20" t="n">
        <f aca="false">G1918-H1918</f>
        <v>0</v>
      </c>
      <c r="J1918" s="21" t="n">
        <f aca="false">H1918*1000/Parametres!$B$9</f>
        <v>517.381719518399</v>
      </c>
    </row>
    <row r="1919" customFormat="false" ht="15" hidden="false" customHeight="false" outlineLevel="0" collapsed="false">
      <c r="A1919" s="0" t="n">
        <v>1915</v>
      </c>
      <c r="B1919" s="0" t="n">
        <v>3</v>
      </c>
      <c r="C1919" s="19" t="n">
        <v>0</v>
      </c>
      <c r="D1919" s="19" t="n">
        <v>0.0081</v>
      </c>
      <c r="E1919" s="20" t="n">
        <f aca="false">Parametres!$B$5*C1919</f>
        <v>0</v>
      </c>
      <c r="F1919" s="20" t="n">
        <f aca="false">Parametres!$B$6*D1919</f>
        <v>1.62</v>
      </c>
      <c r="G1919" s="20" t="n">
        <f aca="false">E1919+F1919</f>
        <v>1.62</v>
      </c>
      <c r="H1919" s="20" t="n">
        <f aca="false">IF(G1919&lt;Parametres!$B$8*Parametres!$B$7,0,MIN(G1919,Parametres!$B$7))</f>
        <v>0</v>
      </c>
      <c r="I1919" s="20" t="n">
        <f aca="false">G1919-H1919</f>
        <v>1.62</v>
      </c>
      <c r="J1919" s="21" t="n">
        <f aca="false">H1919*1000/Parametres!$B$9</f>
        <v>0</v>
      </c>
    </row>
    <row r="1920" customFormat="false" ht="15" hidden="false" customHeight="false" outlineLevel="0" collapsed="false">
      <c r="A1920" s="0" t="n">
        <v>1916</v>
      </c>
      <c r="B1920" s="0" t="n">
        <v>3</v>
      </c>
      <c r="C1920" s="19" t="n">
        <v>0</v>
      </c>
      <c r="D1920" s="19" t="n">
        <v>0.0158</v>
      </c>
      <c r="E1920" s="20" t="n">
        <f aca="false">Parametres!$B$5*C1920</f>
        <v>0</v>
      </c>
      <c r="F1920" s="20" t="n">
        <f aca="false">Parametres!$B$6*D1920</f>
        <v>3.16</v>
      </c>
      <c r="G1920" s="20" t="n">
        <f aca="false">E1920+F1920</f>
        <v>3.16</v>
      </c>
      <c r="H1920" s="20" t="n">
        <f aca="false">IF(G1920&lt;Parametres!$B$8*Parametres!$B$7,0,MIN(G1920,Parametres!$B$7))</f>
        <v>0</v>
      </c>
      <c r="I1920" s="20" t="n">
        <f aca="false">G1920-H1920</f>
        <v>3.16</v>
      </c>
      <c r="J1920" s="21" t="n">
        <f aca="false">H1920*1000/Parametres!$B$9</f>
        <v>0</v>
      </c>
    </row>
    <row r="1921" customFormat="false" ht="15" hidden="false" customHeight="false" outlineLevel="0" collapsed="false">
      <c r="A1921" s="0" t="n">
        <v>1917</v>
      </c>
      <c r="B1921" s="0" t="n">
        <v>3</v>
      </c>
      <c r="C1921" s="19" t="n">
        <v>0</v>
      </c>
      <c r="D1921" s="19" t="n">
        <v>0.0271</v>
      </c>
      <c r="E1921" s="20" t="n">
        <f aca="false">Parametres!$B$5*C1921</f>
        <v>0</v>
      </c>
      <c r="F1921" s="20" t="n">
        <f aca="false">Parametres!$B$6*D1921</f>
        <v>5.42</v>
      </c>
      <c r="G1921" s="20" t="n">
        <f aca="false">E1921+F1921</f>
        <v>5.42</v>
      </c>
      <c r="H1921" s="20" t="n">
        <f aca="false">IF(G1921&lt;Parametres!$B$8*Parametres!$B$7,0,MIN(G1921,Parametres!$B$7))</f>
        <v>0</v>
      </c>
      <c r="I1921" s="20" t="n">
        <f aca="false">G1921-H1921</f>
        <v>5.42</v>
      </c>
      <c r="J1921" s="21" t="n">
        <f aca="false">H1921*1000/Parametres!$B$9</f>
        <v>0</v>
      </c>
    </row>
    <row r="1922" customFormat="false" ht="15" hidden="false" customHeight="false" outlineLevel="0" collapsed="false">
      <c r="A1922" s="0" t="n">
        <v>1918</v>
      </c>
      <c r="B1922" s="0" t="n">
        <v>3</v>
      </c>
      <c r="C1922" s="19" t="n">
        <v>0</v>
      </c>
      <c r="D1922" s="19" t="n">
        <v>0.0253</v>
      </c>
      <c r="E1922" s="20" t="n">
        <f aca="false">Parametres!$B$5*C1922</f>
        <v>0</v>
      </c>
      <c r="F1922" s="20" t="n">
        <f aca="false">Parametres!$B$6*D1922</f>
        <v>5.06</v>
      </c>
      <c r="G1922" s="20" t="n">
        <f aca="false">E1922+F1922</f>
        <v>5.06</v>
      </c>
      <c r="H1922" s="20" t="n">
        <f aca="false">IF(G1922&lt;Parametres!$B$8*Parametres!$B$7,0,MIN(G1922,Parametres!$B$7))</f>
        <v>0</v>
      </c>
      <c r="I1922" s="20" t="n">
        <f aca="false">G1922-H1922</f>
        <v>5.06</v>
      </c>
      <c r="J1922" s="21" t="n">
        <f aca="false">H1922*1000/Parametres!$B$9</f>
        <v>0</v>
      </c>
    </row>
    <row r="1923" customFormat="false" ht="15" hidden="false" customHeight="false" outlineLevel="0" collapsed="false">
      <c r="A1923" s="0" t="n">
        <v>1919</v>
      </c>
      <c r="B1923" s="0" t="n">
        <v>3</v>
      </c>
      <c r="C1923" s="19" t="n">
        <v>0</v>
      </c>
      <c r="D1923" s="19" t="n">
        <v>0.0316</v>
      </c>
      <c r="E1923" s="20" t="n">
        <f aca="false">Parametres!$B$5*C1923</f>
        <v>0</v>
      </c>
      <c r="F1923" s="20" t="n">
        <f aca="false">Parametres!$B$6*D1923</f>
        <v>6.32</v>
      </c>
      <c r="G1923" s="20" t="n">
        <f aca="false">E1923+F1923</f>
        <v>6.32</v>
      </c>
      <c r="H1923" s="20" t="n">
        <f aca="false">IF(G1923&lt;Parametres!$B$8*Parametres!$B$7,0,MIN(G1923,Parametres!$B$7))</f>
        <v>0</v>
      </c>
      <c r="I1923" s="20" t="n">
        <f aca="false">G1923-H1923</f>
        <v>6.32</v>
      </c>
      <c r="J1923" s="21" t="n">
        <f aca="false">H1923*1000/Parametres!$B$9</f>
        <v>0</v>
      </c>
    </row>
    <row r="1924" customFormat="false" ht="15" hidden="false" customHeight="false" outlineLevel="0" collapsed="false">
      <c r="A1924" s="0" t="n">
        <v>1920</v>
      </c>
      <c r="B1924" s="0" t="n">
        <v>3</v>
      </c>
      <c r="C1924" s="19" t="n">
        <v>0</v>
      </c>
      <c r="D1924" s="19" t="n">
        <v>0.0335</v>
      </c>
      <c r="E1924" s="20" t="n">
        <f aca="false">Parametres!$B$5*C1924</f>
        <v>0</v>
      </c>
      <c r="F1924" s="20" t="n">
        <f aca="false">Parametres!$B$6*D1924</f>
        <v>6.7</v>
      </c>
      <c r="G1924" s="20" t="n">
        <f aca="false">E1924+F1924</f>
        <v>6.7</v>
      </c>
      <c r="H1924" s="20" t="n">
        <f aca="false">IF(G1924&lt;Parametres!$B$8*Parametres!$B$7,0,MIN(G1924,Parametres!$B$7))</f>
        <v>0</v>
      </c>
      <c r="I1924" s="20" t="n">
        <f aca="false">G1924-H1924</f>
        <v>6.7</v>
      </c>
      <c r="J1924" s="21" t="n">
        <f aca="false">H1924*1000/Parametres!$B$9</f>
        <v>0</v>
      </c>
    </row>
    <row r="1925" customFormat="false" ht="15" hidden="false" customHeight="false" outlineLevel="0" collapsed="false">
      <c r="A1925" s="0" t="n">
        <v>1921</v>
      </c>
      <c r="B1925" s="0" t="n">
        <v>3</v>
      </c>
      <c r="C1925" s="19" t="n">
        <v>0</v>
      </c>
      <c r="D1925" s="19" t="n">
        <v>0.0313</v>
      </c>
      <c r="E1925" s="20" t="n">
        <f aca="false">Parametres!$B$5*C1925</f>
        <v>0</v>
      </c>
      <c r="F1925" s="20" t="n">
        <f aca="false">Parametres!$B$6*D1925</f>
        <v>6.26</v>
      </c>
      <c r="G1925" s="20" t="n">
        <f aca="false">E1925+F1925</f>
        <v>6.26</v>
      </c>
      <c r="H1925" s="20" t="n">
        <f aca="false">IF(G1925&lt;Parametres!$B$8*Parametres!$B$7,0,MIN(G1925,Parametres!$B$7))</f>
        <v>0</v>
      </c>
      <c r="I1925" s="20" t="n">
        <f aca="false">G1925-H1925</f>
        <v>6.26</v>
      </c>
      <c r="J1925" s="21" t="n">
        <f aca="false">H1925*1000/Parametres!$B$9</f>
        <v>0</v>
      </c>
    </row>
    <row r="1926" customFormat="false" ht="15" hidden="false" customHeight="false" outlineLevel="0" collapsed="false">
      <c r="A1926" s="0" t="n">
        <v>1922</v>
      </c>
      <c r="B1926" s="0" t="n">
        <v>3</v>
      </c>
      <c r="C1926" s="19" t="n">
        <v>0</v>
      </c>
      <c r="D1926" s="19" t="n">
        <v>0.0261</v>
      </c>
      <c r="E1926" s="20" t="n">
        <f aca="false">Parametres!$B$5*C1926</f>
        <v>0</v>
      </c>
      <c r="F1926" s="20" t="n">
        <f aca="false">Parametres!$B$6*D1926</f>
        <v>5.22</v>
      </c>
      <c r="G1926" s="20" t="n">
        <f aca="false">E1926+F1926</f>
        <v>5.22</v>
      </c>
      <c r="H1926" s="20" t="n">
        <f aca="false">IF(G1926&lt;Parametres!$B$8*Parametres!$B$7,0,MIN(G1926,Parametres!$B$7))</f>
        <v>0</v>
      </c>
      <c r="I1926" s="20" t="n">
        <f aca="false">G1926-H1926</f>
        <v>5.22</v>
      </c>
      <c r="J1926" s="21" t="n">
        <f aca="false">H1926*1000/Parametres!$B$9</f>
        <v>0</v>
      </c>
    </row>
    <row r="1927" customFormat="false" ht="15" hidden="false" customHeight="false" outlineLevel="0" collapsed="false">
      <c r="A1927" s="0" t="n">
        <v>1923</v>
      </c>
      <c r="B1927" s="0" t="n">
        <v>3</v>
      </c>
      <c r="C1927" s="19" t="n">
        <v>0</v>
      </c>
      <c r="D1927" s="19" t="n">
        <v>0.0211</v>
      </c>
      <c r="E1927" s="20" t="n">
        <f aca="false">Parametres!$B$5*C1927</f>
        <v>0</v>
      </c>
      <c r="F1927" s="20" t="n">
        <f aca="false">Parametres!$B$6*D1927</f>
        <v>4.22</v>
      </c>
      <c r="G1927" s="20" t="n">
        <f aca="false">E1927+F1927</f>
        <v>4.22</v>
      </c>
      <c r="H1927" s="20" t="n">
        <f aca="false">IF(G1927&lt;Parametres!$B$8*Parametres!$B$7,0,MIN(G1927,Parametres!$B$7))</f>
        <v>0</v>
      </c>
      <c r="I1927" s="20" t="n">
        <f aca="false">G1927-H1927</f>
        <v>4.22</v>
      </c>
      <c r="J1927" s="21" t="n">
        <f aca="false">H1927*1000/Parametres!$B$9</f>
        <v>0</v>
      </c>
    </row>
    <row r="1928" customFormat="false" ht="15" hidden="false" customHeight="false" outlineLevel="0" collapsed="false">
      <c r="A1928" s="0" t="n">
        <v>1924</v>
      </c>
      <c r="B1928" s="0" t="n">
        <v>3</v>
      </c>
      <c r="C1928" s="19" t="n">
        <v>0</v>
      </c>
      <c r="D1928" s="19" t="n">
        <v>0.0316</v>
      </c>
      <c r="E1928" s="20" t="n">
        <f aca="false">Parametres!$B$5*C1928</f>
        <v>0</v>
      </c>
      <c r="F1928" s="20" t="n">
        <f aca="false">Parametres!$B$6*D1928</f>
        <v>6.32</v>
      </c>
      <c r="G1928" s="20" t="n">
        <f aca="false">E1928+F1928</f>
        <v>6.32</v>
      </c>
      <c r="H1928" s="20" t="n">
        <f aca="false">IF(G1928&lt;Parametres!$B$8*Parametres!$B$7,0,MIN(G1928,Parametres!$B$7))</f>
        <v>0</v>
      </c>
      <c r="I1928" s="20" t="n">
        <f aca="false">G1928-H1928</f>
        <v>6.32</v>
      </c>
      <c r="J1928" s="21" t="n">
        <f aca="false">H1928*1000/Parametres!$B$9</f>
        <v>0</v>
      </c>
    </row>
    <row r="1929" customFormat="false" ht="15" hidden="false" customHeight="false" outlineLevel="0" collapsed="false">
      <c r="A1929" s="0" t="n">
        <v>1925</v>
      </c>
      <c r="B1929" s="0" t="n">
        <v>3</v>
      </c>
      <c r="C1929" s="19" t="n">
        <v>0</v>
      </c>
      <c r="D1929" s="19" t="n">
        <v>0.0399</v>
      </c>
      <c r="E1929" s="20" t="n">
        <f aca="false">Parametres!$B$5*C1929</f>
        <v>0</v>
      </c>
      <c r="F1929" s="20" t="n">
        <f aca="false">Parametres!$B$6*D1929</f>
        <v>7.98</v>
      </c>
      <c r="G1929" s="20" t="n">
        <f aca="false">E1929+F1929</f>
        <v>7.98</v>
      </c>
      <c r="H1929" s="20" t="n">
        <f aca="false">IF(G1929&lt;Parametres!$B$8*Parametres!$B$7,0,MIN(G1929,Parametres!$B$7))</f>
        <v>0</v>
      </c>
      <c r="I1929" s="20" t="n">
        <f aca="false">G1929-H1929</f>
        <v>7.98</v>
      </c>
      <c r="J1929" s="21" t="n">
        <f aca="false">H1929*1000/Parametres!$B$9</f>
        <v>0</v>
      </c>
    </row>
    <row r="1930" customFormat="false" ht="15" hidden="false" customHeight="false" outlineLevel="0" collapsed="false">
      <c r="A1930" s="0" t="n">
        <v>1926</v>
      </c>
      <c r="B1930" s="0" t="n">
        <v>3</v>
      </c>
      <c r="C1930" s="19" t="n">
        <v>0</v>
      </c>
      <c r="D1930" s="19" t="n">
        <v>0.0322</v>
      </c>
      <c r="E1930" s="20" t="n">
        <f aca="false">Parametres!$B$5*C1930</f>
        <v>0</v>
      </c>
      <c r="F1930" s="20" t="n">
        <f aca="false">Parametres!$B$6*D1930</f>
        <v>6.44</v>
      </c>
      <c r="G1930" s="20" t="n">
        <f aca="false">E1930+F1930</f>
        <v>6.44</v>
      </c>
      <c r="H1930" s="20" t="n">
        <f aca="false">IF(G1930&lt;Parametres!$B$8*Parametres!$B$7,0,MIN(G1930,Parametres!$B$7))</f>
        <v>0</v>
      </c>
      <c r="I1930" s="20" t="n">
        <f aca="false">G1930-H1930</f>
        <v>6.44</v>
      </c>
      <c r="J1930" s="21" t="n">
        <f aca="false">H1930*1000/Parametres!$B$9</f>
        <v>0</v>
      </c>
    </row>
    <row r="1931" customFormat="false" ht="15" hidden="false" customHeight="false" outlineLevel="0" collapsed="false">
      <c r="A1931" s="0" t="n">
        <v>1927</v>
      </c>
      <c r="B1931" s="0" t="n">
        <v>3</v>
      </c>
      <c r="C1931" s="19" t="n">
        <v>0.117</v>
      </c>
      <c r="D1931" s="19" t="n">
        <v>0.0656</v>
      </c>
      <c r="E1931" s="20" t="n">
        <f aca="false">Parametres!$B$5*C1931</f>
        <v>35.1</v>
      </c>
      <c r="F1931" s="20" t="n">
        <f aca="false">Parametres!$B$6*D1931</f>
        <v>13.12</v>
      </c>
      <c r="G1931" s="20" t="n">
        <f aca="false">E1931+F1931</f>
        <v>48.22</v>
      </c>
      <c r="H1931" s="20" t="n">
        <f aca="false">IF(G1931&lt;Parametres!$B$8*Parametres!$B$7,0,MIN(G1931,Parametres!$B$7))</f>
        <v>48.22</v>
      </c>
      <c r="I1931" s="20" t="n">
        <f aca="false">G1931-H1931</f>
        <v>0</v>
      </c>
      <c r="J1931" s="21" t="n">
        <f aca="false">H1931*1000/Parametres!$B$9</f>
        <v>817.703917246057</v>
      </c>
    </row>
    <row r="1932" customFormat="false" ht="15" hidden="false" customHeight="false" outlineLevel="0" collapsed="false">
      <c r="A1932" s="0" t="n">
        <v>1928</v>
      </c>
      <c r="B1932" s="0" t="n">
        <v>3</v>
      </c>
      <c r="C1932" s="19" t="n">
        <v>0.3823</v>
      </c>
      <c r="D1932" s="19" t="n">
        <v>0.0504</v>
      </c>
      <c r="E1932" s="20" t="n">
        <f aca="false">Parametres!$B$5*C1932</f>
        <v>114.69</v>
      </c>
      <c r="F1932" s="20" t="n">
        <f aca="false">Parametres!$B$6*D1932</f>
        <v>10.08</v>
      </c>
      <c r="G1932" s="20" t="n">
        <f aca="false">E1932+F1932</f>
        <v>124.77</v>
      </c>
      <c r="H1932" s="20" t="n">
        <f aca="false">IF(G1932&lt;Parametres!$B$8*Parametres!$B$7,0,MIN(G1932,Parametres!$B$7))</f>
        <v>124.77</v>
      </c>
      <c r="I1932" s="20" t="n">
        <f aca="false">G1932-H1932</f>
        <v>0</v>
      </c>
      <c r="J1932" s="21" t="n">
        <f aca="false">H1932*1000/Parametres!$B$9</f>
        <v>2115.82160420553</v>
      </c>
    </row>
    <row r="1933" customFormat="false" ht="15" hidden="false" customHeight="false" outlineLevel="0" collapsed="false">
      <c r="A1933" s="0" t="n">
        <v>1929</v>
      </c>
      <c r="B1933" s="0" t="n">
        <v>3</v>
      </c>
      <c r="C1933" s="19" t="n">
        <v>0.7117</v>
      </c>
      <c r="D1933" s="19" t="n">
        <v>0.0523</v>
      </c>
      <c r="E1933" s="20" t="n">
        <f aca="false">Parametres!$B$5*C1933</f>
        <v>213.51</v>
      </c>
      <c r="F1933" s="20" t="n">
        <f aca="false">Parametres!$B$6*D1933</f>
        <v>10.46</v>
      </c>
      <c r="G1933" s="20" t="n">
        <f aca="false">E1933+F1933</f>
        <v>223.97</v>
      </c>
      <c r="H1933" s="20" t="n">
        <f aca="false">IF(G1933&lt;Parametres!$B$8*Parametres!$B$7,0,MIN(G1933,Parametres!$B$7))</f>
        <v>223.97</v>
      </c>
      <c r="I1933" s="20" t="n">
        <f aca="false">G1933-H1933</f>
        <v>0</v>
      </c>
      <c r="J1933" s="21" t="n">
        <f aca="false">H1933*1000/Parametres!$B$9</f>
        <v>3798.03289808377</v>
      </c>
    </row>
    <row r="1934" customFormat="false" ht="15" hidden="false" customHeight="false" outlineLevel="0" collapsed="false">
      <c r="A1934" s="0" t="n">
        <v>1930</v>
      </c>
      <c r="B1934" s="0" t="n">
        <v>3</v>
      </c>
      <c r="C1934" s="19" t="n">
        <v>0.9442</v>
      </c>
      <c r="D1934" s="19" t="n">
        <v>0.0676</v>
      </c>
      <c r="E1934" s="20" t="n">
        <f aca="false">Parametres!$B$5*C1934</f>
        <v>283.26</v>
      </c>
      <c r="F1934" s="20" t="n">
        <f aca="false">Parametres!$B$6*D1934</f>
        <v>13.52</v>
      </c>
      <c r="G1934" s="20" t="n">
        <f aca="false">E1934+F1934</f>
        <v>296.78</v>
      </c>
      <c r="H1934" s="20" t="n">
        <f aca="false">IF(G1934&lt;Parametres!$B$8*Parametres!$B$7,0,MIN(G1934,Parametres!$B$7))</f>
        <v>250</v>
      </c>
      <c r="I1934" s="20" t="n">
        <f aca="false">G1934-H1934</f>
        <v>46.78</v>
      </c>
      <c r="J1934" s="21" t="n">
        <f aca="false">H1934*1000/Parametres!$B$9</f>
        <v>4239.44378497541</v>
      </c>
    </row>
    <row r="1935" customFormat="false" ht="15" hidden="false" customHeight="false" outlineLevel="0" collapsed="false">
      <c r="A1935" s="0" t="n">
        <v>1931</v>
      </c>
      <c r="B1935" s="0" t="n">
        <v>3</v>
      </c>
      <c r="C1935" s="19" t="n">
        <v>1</v>
      </c>
      <c r="D1935" s="19" t="n">
        <v>0.0258</v>
      </c>
      <c r="E1935" s="20" t="n">
        <f aca="false">Parametres!$B$5*C1935</f>
        <v>300</v>
      </c>
      <c r="F1935" s="20" t="n">
        <f aca="false">Parametres!$B$6*D1935</f>
        <v>5.16</v>
      </c>
      <c r="G1935" s="20" t="n">
        <f aca="false">E1935+F1935</f>
        <v>305.16</v>
      </c>
      <c r="H1935" s="20" t="n">
        <f aca="false">IF(G1935&lt;Parametres!$B$8*Parametres!$B$7,0,MIN(G1935,Parametres!$B$7))</f>
        <v>250</v>
      </c>
      <c r="I1935" s="20" t="n">
        <f aca="false">G1935-H1935</f>
        <v>55.16</v>
      </c>
      <c r="J1935" s="21" t="n">
        <f aca="false">H1935*1000/Parametres!$B$9</f>
        <v>4239.44378497541</v>
      </c>
    </row>
    <row r="1936" customFormat="false" ht="15" hidden="false" customHeight="false" outlineLevel="0" collapsed="false">
      <c r="A1936" s="0" t="n">
        <v>1932</v>
      </c>
      <c r="B1936" s="0" t="n">
        <v>3</v>
      </c>
      <c r="C1936" s="19" t="n">
        <v>1</v>
      </c>
      <c r="D1936" s="19" t="n">
        <v>0.0249</v>
      </c>
      <c r="E1936" s="20" t="n">
        <f aca="false">Parametres!$B$5*C1936</f>
        <v>300</v>
      </c>
      <c r="F1936" s="20" t="n">
        <f aca="false">Parametres!$B$6*D1936</f>
        <v>4.98</v>
      </c>
      <c r="G1936" s="20" t="n">
        <f aca="false">E1936+F1936</f>
        <v>304.98</v>
      </c>
      <c r="H1936" s="20" t="n">
        <f aca="false">IF(G1936&lt;Parametres!$B$8*Parametres!$B$7,0,MIN(G1936,Parametres!$B$7))</f>
        <v>250</v>
      </c>
      <c r="I1936" s="20" t="n">
        <f aca="false">G1936-H1936</f>
        <v>54.98</v>
      </c>
      <c r="J1936" s="21" t="n">
        <f aca="false">H1936*1000/Parametres!$B$9</f>
        <v>4239.44378497541</v>
      </c>
    </row>
    <row r="1937" customFormat="false" ht="15" hidden="false" customHeight="false" outlineLevel="0" collapsed="false">
      <c r="A1937" s="0" t="n">
        <v>1933</v>
      </c>
      <c r="B1937" s="0" t="n">
        <v>3</v>
      </c>
      <c r="C1937" s="19" t="n">
        <v>1</v>
      </c>
      <c r="D1937" s="19" t="n">
        <v>0.0537</v>
      </c>
      <c r="E1937" s="20" t="n">
        <f aca="false">Parametres!$B$5*C1937</f>
        <v>300</v>
      </c>
      <c r="F1937" s="20" t="n">
        <f aca="false">Parametres!$B$6*D1937</f>
        <v>10.74</v>
      </c>
      <c r="G1937" s="20" t="n">
        <f aca="false">E1937+F1937</f>
        <v>310.74</v>
      </c>
      <c r="H1937" s="20" t="n">
        <f aca="false">IF(G1937&lt;Parametres!$B$8*Parametres!$B$7,0,MIN(G1937,Parametres!$B$7))</f>
        <v>250</v>
      </c>
      <c r="I1937" s="20" t="n">
        <f aca="false">G1937-H1937</f>
        <v>60.74</v>
      </c>
      <c r="J1937" s="21" t="n">
        <f aca="false">H1937*1000/Parametres!$B$9</f>
        <v>4239.44378497541</v>
      </c>
    </row>
    <row r="1938" customFormat="false" ht="15" hidden="false" customHeight="false" outlineLevel="0" collapsed="false">
      <c r="A1938" s="0" t="n">
        <v>1934</v>
      </c>
      <c r="B1938" s="0" t="n">
        <v>3</v>
      </c>
      <c r="C1938" s="19" t="n">
        <v>1</v>
      </c>
      <c r="D1938" s="19" t="n">
        <v>0.0983</v>
      </c>
      <c r="E1938" s="20" t="n">
        <f aca="false">Parametres!$B$5*C1938</f>
        <v>300</v>
      </c>
      <c r="F1938" s="20" t="n">
        <f aca="false">Parametres!$B$6*D1938</f>
        <v>19.66</v>
      </c>
      <c r="G1938" s="20" t="n">
        <f aca="false">E1938+F1938</f>
        <v>319.66</v>
      </c>
      <c r="H1938" s="20" t="n">
        <f aca="false">IF(G1938&lt;Parametres!$B$8*Parametres!$B$7,0,MIN(G1938,Parametres!$B$7))</f>
        <v>250</v>
      </c>
      <c r="I1938" s="20" t="n">
        <f aca="false">G1938-H1938</f>
        <v>69.66</v>
      </c>
      <c r="J1938" s="21" t="n">
        <f aca="false">H1938*1000/Parametres!$B$9</f>
        <v>4239.44378497541</v>
      </c>
    </row>
    <row r="1939" customFormat="false" ht="15" hidden="false" customHeight="false" outlineLevel="0" collapsed="false">
      <c r="A1939" s="0" t="n">
        <v>1935</v>
      </c>
      <c r="B1939" s="0" t="n">
        <v>3</v>
      </c>
      <c r="C1939" s="19" t="n">
        <v>0.8982</v>
      </c>
      <c r="D1939" s="19" t="n">
        <v>0.0562</v>
      </c>
      <c r="E1939" s="20" t="n">
        <f aca="false">Parametres!$B$5*C1939</f>
        <v>269.46</v>
      </c>
      <c r="F1939" s="20" t="n">
        <f aca="false">Parametres!$B$6*D1939</f>
        <v>11.24</v>
      </c>
      <c r="G1939" s="20" t="n">
        <f aca="false">E1939+F1939</f>
        <v>280.7</v>
      </c>
      <c r="H1939" s="20" t="n">
        <f aca="false">IF(G1939&lt;Parametres!$B$8*Parametres!$B$7,0,MIN(G1939,Parametres!$B$7))</f>
        <v>250</v>
      </c>
      <c r="I1939" s="20" t="n">
        <f aca="false">G1939-H1939</f>
        <v>30.7</v>
      </c>
      <c r="J1939" s="21" t="n">
        <f aca="false">H1939*1000/Parametres!$B$9</f>
        <v>4239.44378497541</v>
      </c>
    </row>
    <row r="1940" customFormat="false" ht="15" hidden="false" customHeight="false" outlineLevel="0" collapsed="false">
      <c r="A1940" s="0" t="n">
        <v>1936</v>
      </c>
      <c r="B1940" s="0" t="n">
        <v>3</v>
      </c>
      <c r="C1940" s="19" t="n">
        <v>0.6975</v>
      </c>
      <c r="D1940" s="19" t="n">
        <v>0.0362</v>
      </c>
      <c r="E1940" s="20" t="n">
        <f aca="false">Parametres!$B$5*C1940</f>
        <v>209.25</v>
      </c>
      <c r="F1940" s="20" t="n">
        <f aca="false">Parametres!$B$6*D1940</f>
        <v>7.24</v>
      </c>
      <c r="G1940" s="20" t="n">
        <f aca="false">E1940+F1940</f>
        <v>216.49</v>
      </c>
      <c r="H1940" s="20" t="n">
        <f aca="false">IF(G1940&lt;Parametres!$B$8*Parametres!$B$7,0,MIN(G1940,Parametres!$B$7))</f>
        <v>216.49</v>
      </c>
      <c r="I1940" s="20" t="n">
        <f aca="false">G1940-H1940</f>
        <v>0</v>
      </c>
      <c r="J1940" s="21" t="n">
        <f aca="false">H1940*1000/Parametres!$B$9</f>
        <v>3671.18874003731</v>
      </c>
    </row>
    <row r="1941" customFormat="false" ht="15" hidden="false" customHeight="false" outlineLevel="0" collapsed="false">
      <c r="A1941" s="0" t="n">
        <v>1937</v>
      </c>
      <c r="B1941" s="0" t="n">
        <v>3</v>
      </c>
      <c r="C1941" s="19" t="n">
        <v>0.3766</v>
      </c>
      <c r="D1941" s="19" t="n">
        <v>0.0173</v>
      </c>
      <c r="E1941" s="20" t="n">
        <f aca="false">Parametres!$B$5*C1941</f>
        <v>112.98</v>
      </c>
      <c r="F1941" s="20" t="n">
        <f aca="false">Parametres!$B$6*D1941</f>
        <v>3.46</v>
      </c>
      <c r="G1941" s="20" t="n">
        <f aca="false">E1941+F1941</f>
        <v>116.44</v>
      </c>
      <c r="H1941" s="20" t="n">
        <f aca="false">IF(G1941&lt;Parametres!$B$8*Parametres!$B$7,0,MIN(G1941,Parametres!$B$7))</f>
        <v>116.44</v>
      </c>
      <c r="I1941" s="20" t="n">
        <f aca="false">G1941-H1941</f>
        <v>0</v>
      </c>
      <c r="J1941" s="21" t="n">
        <f aca="false">H1941*1000/Parametres!$B$9</f>
        <v>1974.56333729015</v>
      </c>
    </row>
    <row r="1942" customFormat="false" ht="15" hidden="false" customHeight="false" outlineLevel="0" collapsed="false">
      <c r="A1942" s="0" t="n">
        <v>1938</v>
      </c>
      <c r="B1942" s="0" t="n">
        <v>3</v>
      </c>
      <c r="C1942" s="19" t="n">
        <v>0.1113</v>
      </c>
      <c r="D1942" s="19" t="n">
        <v>0.0147</v>
      </c>
      <c r="E1942" s="20" t="n">
        <f aca="false">Parametres!$B$5*C1942</f>
        <v>33.39</v>
      </c>
      <c r="F1942" s="20" t="n">
        <f aca="false">Parametres!$B$6*D1942</f>
        <v>2.94</v>
      </c>
      <c r="G1942" s="20" t="n">
        <f aca="false">E1942+F1942</f>
        <v>36.33</v>
      </c>
      <c r="H1942" s="20" t="n">
        <f aca="false">IF(G1942&lt;Parametres!$B$8*Parametres!$B$7,0,MIN(G1942,Parametres!$B$7))</f>
        <v>36.33</v>
      </c>
      <c r="I1942" s="20" t="n">
        <f aca="false">G1942-H1942</f>
        <v>0</v>
      </c>
      <c r="J1942" s="21" t="n">
        <f aca="false">H1942*1000/Parametres!$B$9</f>
        <v>616.075970832627</v>
      </c>
    </row>
    <row r="1943" customFormat="false" ht="15" hidden="false" customHeight="false" outlineLevel="0" collapsed="false">
      <c r="A1943" s="0" t="n">
        <v>1939</v>
      </c>
      <c r="B1943" s="0" t="n">
        <v>3</v>
      </c>
      <c r="C1943" s="19" t="n">
        <v>0</v>
      </c>
      <c r="D1943" s="19" t="n">
        <v>0.0138</v>
      </c>
      <c r="E1943" s="20" t="n">
        <f aca="false">Parametres!$B$5*C1943</f>
        <v>0</v>
      </c>
      <c r="F1943" s="20" t="n">
        <f aca="false">Parametres!$B$6*D1943</f>
        <v>2.76</v>
      </c>
      <c r="G1943" s="20" t="n">
        <f aca="false">E1943+F1943</f>
        <v>2.76</v>
      </c>
      <c r="H1943" s="20" t="n">
        <f aca="false">IF(G1943&lt;Parametres!$B$8*Parametres!$B$7,0,MIN(G1943,Parametres!$B$7))</f>
        <v>0</v>
      </c>
      <c r="I1943" s="20" t="n">
        <f aca="false">G1943-H1943</f>
        <v>2.76</v>
      </c>
      <c r="J1943" s="21" t="n">
        <f aca="false">H1943*1000/Parametres!$B$9</f>
        <v>0</v>
      </c>
    </row>
    <row r="1944" customFormat="false" ht="15" hidden="false" customHeight="false" outlineLevel="0" collapsed="false">
      <c r="A1944" s="0" t="n">
        <v>1940</v>
      </c>
      <c r="B1944" s="0" t="n">
        <v>3</v>
      </c>
      <c r="C1944" s="19" t="n">
        <v>0</v>
      </c>
      <c r="D1944" s="19" t="n">
        <v>0.0022</v>
      </c>
      <c r="E1944" s="20" t="n">
        <f aca="false">Parametres!$B$5*C1944</f>
        <v>0</v>
      </c>
      <c r="F1944" s="20" t="n">
        <f aca="false">Parametres!$B$6*D1944</f>
        <v>0.44</v>
      </c>
      <c r="G1944" s="20" t="n">
        <f aca="false">E1944+F1944</f>
        <v>0.44</v>
      </c>
      <c r="H1944" s="20" t="n">
        <f aca="false">IF(G1944&lt;Parametres!$B$8*Parametres!$B$7,0,MIN(G1944,Parametres!$B$7))</f>
        <v>0</v>
      </c>
      <c r="I1944" s="20" t="n">
        <f aca="false">G1944-H1944</f>
        <v>0.44</v>
      </c>
      <c r="J1944" s="21" t="n">
        <f aca="false">H1944*1000/Parametres!$B$9</f>
        <v>0</v>
      </c>
    </row>
    <row r="1945" customFormat="false" ht="15" hidden="false" customHeight="false" outlineLevel="0" collapsed="false">
      <c r="A1945" s="0" t="n">
        <v>1941</v>
      </c>
      <c r="B1945" s="0" t="n">
        <v>3</v>
      </c>
      <c r="C1945" s="19" t="n">
        <v>0</v>
      </c>
      <c r="D1945" s="19" t="n">
        <v>0.0031</v>
      </c>
      <c r="E1945" s="20" t="n">
        <f aca="false">Parametres!$B$5*C1945</f>
        <v>0</v>
      </c>
      <c r="F1945" s="20" t="n">
        <f aca="false">Parametres!$B$6*D1945</f>
        <v>0.62</v>
      </c>
      <c r="G1945" s="20" t="n">
        <f aca="false">E1945+F1945</f>
        <v>0.62</v>
      </c>
      <c r="H1945" s="20" t="n">
        <f aca="false">IF(G1945&lt;Parametres!$B$8*Parametres!$B$7,0,MIN(G1945,Parametres!$B$7))</f>
        <v>0</v>
      </c>
      <c r="I1945" s="20" t="n">
        <f aca="false">G1945-H1945</f>
        <v>0.62</v>
      </c>
      <c r="J1945" s="21" t="n">
        <f aca="false">H1945*1000/Parametres!$B$9</f>
        <v>0</v>
      </c>
    </row>
    <row r="1946" customFormat="false" ht="15" hidden="false" customHeight="false" outlineLevel="0" collapsed="false">
      <c r="A1946" s="0" t="n">
        <v>1942</v>
      </c>
      <c r="B1946" s="0" t="n">
        <v>3</v>
      </c>
      <c r="C1946" s="19" t="n">
        <v>0</v>
      </c>
      <c r="D1946" s="19" t="n">
        <v>0.0029</v>
      </c>
      <c r="E1946" s="20" t="n">
        <f aca="false">Parametres!$B$5*C1946</f>
        <v>0</v>
      </c>
      <c r="F1946" s="20" t="n">
        <f aca="false">Parametres!$B$6*D1946</f>
        <v>0.58</v>
      </c>
      <c r="G1946" s="20" t="n">
        <f aca="false">E1946+F1946</f>
        <v>0.58</v>
      </c>
      <c r="H1946" s="20" t="n">
        <f aca="false">IF(G1946&lt;Parametres!$B$8*Parametres!$B$7,0,MIN(G1946,Parametres!$B$7))</f>
        <v>0</v>
      </c>
      <c r="I1946" s="20" t="n">
        <f aca="false">G1946-H1946</f>
        <v>0.58</v>
      </c>
      <c r="J1946" s="21" t="n">
        <f aca="false">H1946*1000/Parametres!$B$9</f>
        <v>0</v>
      </c>
    </row>
    <row r="1947" customFormat="false" ht="15" hidden="false" customHeight="false" outlineLevel="0" collapsed="false">
      <c r="A1947" s="0" t="n">
        <v>1943</v>
      </c>
      <c r="B1947" s="0" t="n">
        <v>3</v>
      </c>
      <c r="C1947" s="19" t="n">
        <v>0</v>
      </c>
      <c r="D1947" s="19" t="n">
        <v>0.0022</v>
      </c>
      <c r="E1947" s="20" t="n">
        <f aca="false">Parametres!$B$5*C1947</f>
        <v>0</v>
      </c>
      <c r="F1947" s="20" t="n">
        <f aca="false">Parametres!$B$6*D1947</f>
        <v>0.44</v>
      </c>
      <c r="G1947" s="20" t="n">
        <f aca="false">E1947+F1947</f>
        <v>0.44</v>
      </c>
      <c r="H1947" s="20" t="n">
        <f aca="false">IF(G1947&lt;Parametres!$B$8*Parametres!$B$7,0,MIN(G1947,Parametres!$B$7))</f>
        <v>0</v>
      </c>
      <c r="I1947" s="20" t="n">
        <f aca="false">G1947-H1947</f>
        <v>0.44</v>
      </c>
      <c r="J1947" s="21" t="n">
        <f aca="false">H1947*1000/Parametres!$B$9</f>
        <v>0</v>
      </c>
    </row>
    <row r="1948" customFormat="false" ht="15" hidden="false" customHeight="false" outlineLevel="0" collapsed="false">
      <c r="A1948" s="0" t="n">
        <v>1944</v>
      </c>
      <c r="B1948" s="0" t="n">
        <v>3</v>
      </c>
      <c r="C1948" s="19" t="n">
        <v>0</v>
      </c>
      <c r="D1948" s="19" t="n">
        <v>0.0006</v>
      </c>
      <c r="E1948" s="20" t="n">
        <f aca="false">Parametres!$B$5*C1948</f>
        <v>0</v>
      </c>
      <c r="F1948" s="20" t="n">
        <f aca="false">Parametres!$B$6*D1948</f>
        <v>0.12</v>
      </c>
      <c r="G1948" s="20" t="n">
        <f aca="false">E1948+F1948</f>
        <v>0.12</v>
      </c>
      <c r="H1948" s="20" t="n">
        <f aca="false">IF(G1948&lt;Parametres!$B$8*Parametres!$B$7,0,MIN(G1948,Parametres!$B$7))</f>
        <v>0</v>
      </c>
      <c r="I1948" s="20" t="n">
        <f aca="false">G1948-H1948</f>
        <v>0.12</v>
      </c>
      <c r="J1948" s="21" t="n">
        <f aca="false">H1948*1000/Parametres!$B$9</f>
        <v>0</v>
      </c>
    </row>
    <row r="1949" customFormat="false" ht="15" hidden="false" customHeight="false" outlineLevel="0" collapsed="false">
      <c r="A1949" s="0" t="n">
        <v>1945</v>
      </c>
      <c r="B1949" s="0" t="n">
        <v>3</v>
      </c>
      <c r="C1949" s="19" t="n">
        <v>0</v>
      </c>
      <c r="D1949" s="19" t="n">
        <v>0.0003</v>
      </c>
      <c r="E1949" s="20" t="n">
        <f aca="false">Parametres!$B$5*C1949</f>
        <v>0</v>
      </c>
      <c r="F1949" s="20" t="n">
        <f aca="false">Parametres!$B$6*D1949</f>
        <v>0.06</v>
      </c>
      <c r="G1949" s="20" t="n">
        <f aca="false">E1949+F1949</f>
        <v>0.06</v>
      </c>
      <c r="H1949" s="20" t="n">
        <f aca="false">IF(G1949&lt;Parametres!$B$8*Parametres!$B$7,0,MIN(G1949,Parametres!$B$7))</f>
        <v>0</v>
      </c>
      <c r="I1949" s="20" t="n">
        <f aca="false">G1949-H1949</f>
        <v>0.06</v>
      </c>
      <c r="J1949" s="21" t="n">
        <f aca="false">H1949*1000/Parametres!$B$9</f>
        <v>0</v>
      </c>
    </row>
    <row r="1950" customFormat="false" ht="15" hidden="false" customHeight="false" outlineLevel="0" collapsed="false">
      <c r="A1950" s="0" t="n">
        <v>1946</v>
      </c>
      <c r="B1950" s="0" t="n">
        <v>3</v>
      </c>
      <c r="C1950" s="19" t="n">
        <v>0</v>
      </c>
      <c r="D1950" s="19" t="n">
        <v>0</v>
      </c>
      <c r="E1950" s="20" t="n">
        <f aca="false">Parametres!$B$5*C1950</f>
        <v>0</v>
      </c>
      <c r="F1950" s="20" t="n">
        <f aca="false">Parametres!$B$6*D1950</f>
        <v>0</v>
      </c>
      <c r="G1950" s="20" t="n">
        <f aca="false">E1950+F1950</f>
        <v>0</v>
      </c>
      <c r="H1950" s="20" t="n">
        <f aca="false">IF(G1950&lt;Parametres!$B$8*Parametres!$B$7,0,MIN(G1950,Parametres!$B$7))</f>
        <v>0</v>
      </c>
      <c r="I1950" s="20" t="n">
        <f aca="false">G1950-H1950</f>
        <v>0</v>
      </c>
      <c r="J1950" s="21" t="n">
        <f aca="false">H1950*1000/Parametres!$B$9</f>
        <v>0</v>
      </c>
    </row>
    <row r="1951" customFormat="false" ht="15" hidden="false" customHeight="false" outlineLevel="0" collapsed="false">
      <c r="A1951" s="0" t="n">
        <v>1947</v>
      </c>
      <c r="B1951" s="0" t="n">
        <v>3</v>
      </c>
      <c r="C1951" s="19" t="n">
        <v>0</v>
      </c>
      <c r="D1951" s="19" t="n">
        <v>0</v>
      </c>
      <c r="E1951" s="20" t="n">
        <f aca="false">Parametres!$B$5*C1951</f>
        <v>0</v>
      </c>
      <c r="F1951" s="20" t="n">
        <f aca="false">Parametres!$B$6*D1951</f>
        <v>0</v>
      </c>
      <c r="G1951" s="20" t="n">
        <f aca="false">E1951+F1951</f>
        <v>0</v>
      </c>
      <c r="H1951" s="20" t="n">
        <f aca="false">IF(G1951&lt;Parametres!$B$8*Parametres!$B$7,0,MIN(G1951,Parametres!$B$7))</f>
        <v>0</v>
      </c>
      <c r="I1951" s="20" t="n">
        <f aca="false">G1951-H1951</f>
        <v>0</v>
      </c>
      <c r="J1951" s="21" t="n">
        <f aca="false">H1951*1000/Parametres!$B$9</f>
        <v>0</v>
      </c>
    </row>
    <row r="1952" customFormat="false" ht="15" hidden="false" customHeight="false" outlineLevel="0" collapsed="false">
      <c r="A1952" s="0" t="n">
        <v>1948</v>
      </c>
      <c r="B1952" s="0" t="n">
        <v>3</v>
      </c>
      <c r="C1952" s="19" t="n">
        <v>0</v>
      </c>
      <c r="D1952" s="19" t="n">
        <v>0</v>
      </c>
      <c r="E1952" s="20" t="n">
        <f aca="false">Parametres!$B$5*C1952</f>
        <v>0</v>
      </c>
      <c r="F1952" s="20" t="n">
        <f aca="false">Parametres!$B$6*D1952</f>
        <v>0</v>
      </c>
      <c r="G1952" s="20" t="n">
        <f aca="false">E1952+F1952</f>
        <v>0</v>
      </c>
      <c r="H1952" s="20" t="n">
        <f aca="false">IF(G1952&lt;Parametres!$B$8*Parametres!$B$7,0,MIN(G1952,Parametres!$B$7))</f>
        <v>0</v>
      </c>
      <c r="I1952" s="20" t="n">
        <f aca="false">G1952-H1952</f>
        <v>0</v>
      </c>
      <c r="J1952" s="21" t="n">
        <f aca="false">H1952*1000/Parametres!$B$9</f>
        <v>0</v>
      </c>
    </row>
    <row r="1953" customFormat="false" ht="15" hidden="false" customHeight="false" outlineLevel="0" collapsed="false">
      <c r="A1953" s="0" t="n">
        <v>1949</v>
      </c>
      <c r="B1953" s="0" t="n">
        <v>3</v>
      </c>
      <c r="C1953" s="19" t="n">
        <v>0</v>
      </c>
      <c r="D1953" s="19" t="n">
        <v>0</v>
      </c>
      <c r="E1953" s="20" t="n">
        <f aca="false">Parametres!$B$5*C1953</f>
        <v>0</v>
      </c>
      <c r="F1953" s="20" t="n">
        <f aca="false">Parametres!$B$6*D1953</f>
        <v>0</v>
      </c>
      <c r="G1953" s="20" t="n">
        <f aca="false">E1953+F1953</f>
        <v>0</v>
      </c>
      <c r="H1953" s="20" t="n">
        <f aca="false">IF(G1953&lt;Parametres!$B$8*Parametres!$B$7,0,MIN(G1953,Parametres!$B$7))</f>
        <v>0</v>
      </c>
      <c r="I1953" s="20" t="n">
        <f aca="false">G1953-H1953</f>
        <v>0</v>
      </c>
      <c r="J1953" s="21" t="n">
        <f aca="false">H1953*1000/Parametres!$B$9</f>
        <v>0</v>
      </c>
    </row>
    <row r="1954" customFormat="false" ht="15" hidden="false" customHeight="false" outlineLevel="0" collapsed="false">
      <c r="A1954" s="0" t="n">
        <v>1950</v>
      </c>
      <c r="B1954" s="0" t="n">
        <v>3</v>
      </c>
      <c r="C1954" s="19" t="n">
        <v>0</v>
      </c>
      <c r="D1954" s="19" t="n">
        <v>0</v>
      </c>
      <c r="E1954" s="20" t="n">
        <f aca="false">Parametres!$B$5*C1954</f>
        <v>0</v>
      </c>
      <c r="F1954" s="20" t="n">
        <f aca="false">Parametres!$B$6*D1954</f>
        <v>0</v>
      </c>
      <c r="G1954" s="20" t="n">
        <f aca="false">E1954+F1954</f>
        <v>0</v>
      </c>
      <c r="H1954" s="20" t="n">
        <f aca="false">IF(G1954&lt;Parametres!$B$8*Parametres!$B$7,0,MIN(G1954,Parametres!$B$7))</f>
        <v>0</v>
      </c>
      <c r="I1954" s="20" t="n">
        <f aca="false">G1954-H1954</f>
        <v>0</v>
      </c>
      <c r="J1954" s="21" t="n">
        <f aca="false">H1954*1000/Parametres!$B$9</f>
        <v>0</v>
      </c>
    </row>
    <row r="1955" customFormat="false" ht="15" hidden="false" customHeight="false" outlineLevel="0" collapsed="false">
      <c r="A1955" s="0" t="n">
        <v>1951</v>
      </c>
      <c r="B1955" s="0" t="n">
        <v>3</v>
      </c>
      <c r="C1955" s="19" t="n">
        <v>0.1058</v>
      </c>
      <c r="D1955" s="19" t="n">
        <v>0</v>
      </c>
      <c r="E1955" s="20" t="n">
        <f aca="false">Parametres!$B$5*C1955</f>
        <v>31.74</v>
      </c>
      <c r="F1955" s="20" t="n">
        <f aca="false">Parametres!$B$6*D1955</f>
        <v>0</v>
      </c>
      <c r="G1955" s="20" t="n">
        <f aca="false">E1955+F1955</f>
        <v>31.74</v>
      </c>
      <c r="H1955" s="20" t="n">
        <f aca="false">IF(G1955&lt;Parametres!$B$8*Parametres!$B$7,0,MIN(G1955,Parametres!$B$7))</f>
        <v>31.74</v>
      </c>
      <c r="I1955" s="20" t="n">
        <f aca="false">G1955-H1955</f>
        <v>0</v>
      </c>
      <c r="J1955" s="21" t="n">
        <f aca="false">H1955*1000/Parametres!$B$9</f>
        <v>538.239782940478</v>
      </c>
    </row>
    <row r="1956" customFormat="false" ht="15" hidden="false" customHeight="false" outlineLevel="0" collapsed="false">
      <c r="A1956" s="0" t="n">
        <v>1952</v>
      </c>
      <c r="B1956" s="0" t="n">
        <v>3</v>
      </c>
      <c r="C1956" s="19" t="n">
        <v>0.3604</v>
      </c>
      <c r="D1956" s="19" t="n">
        <v>0.0007</v>
      </c>
      <c r="E1956" s="20" t="n">
        <f aca="false">Parametres!$B$5*C1956</f>
        <v>108.12</v>
      </c>
      <c r="F1956" s="20" t="n">
        <f aca="false">Parametres!$B$6*D1956</f>
        <v>0.14</v>
      </c>
      <c r="G1956" s="20" t="n">
        <f aca="false">E1956+F1956</f>
        <v>108.26</v>
      </c>
      <c r="H1956" s="20" t="n">
        <f aca="false">IF(G1956&lt;Parametres!$B$8*Parametres!$B$7,0,MIN(G1956,Parametres!$B$7))</f>
        <v>108.26</v>
      </c>
      <c r="I1956" s="20" t="n">
        <f aca="false">G1956-H1956</f>
        <v>0</v>
      </c>
      <c r="J1956" s="21" t="n">
        <f aca="false">H1956*1000/Parametres!$B$9</f>
        <v>1835.84873664575</v>
      </c>
    </row>
    <row r="1957" customFormat="false" ht="15" hidden="false" customHeight="false" outlineLevel="0" collapsed="false">
      <c r="A1957" s="0" t="n">
        <v>1953</v>
      </c>
      <c r="B1957" s="0" t="n">
        <v>3</v>
      </c>
      <c r="C1957" s="19" t="n">
        <v>0.6226</v>
      </c>
      <c r="D1957" s="19" t="n">
        <v>0</v>
      </c>
      <c r="E1957" s="20" t="n">
        <f aca="false">Parametres!$B$5*C1957</f>
        <v>186.78</v>
      </c>
      <c r="F1957" s="20" t="n">
        <f aca="false">Parametres!$B$6*D1957</f>
        <v>0</v>
      </c>
      <c r="G1957" s="20" t="n">
        <f aca="false">E1957+F1957</f>
        <v>186.78</v>
      </c>
      <c r="H1957" s="20" t="n">
        <f aca="false">IF(G1957&lt;Parametres!$B$8*Parametres!$B$7,0,MIN(G1957,Parametres!$B$7))</f>
        <v>186.78</v>
      </c>
      <c r="I1957" s="20" t="n">
        <f aca="false">G1957-H1957</f>
        <v>0</v>
      </c>
      <c r="J1957" s="21" t="n">
        <f aca="false">H1957*1000/Parametres!$B$9</f>
        <v>3167.37324063083</v>
      </c>
    </row>
    <row r="1958" customFormat="false" ht="15" hidden="false" customHeight="false" outlineLevel="0" collapsed="false">
      <c r="A1958" s="0" t="n">
        <v>1954</v>
      </c>
      <c r="B1958" s="0" t="n">
        <v>3</v>
      </c>
      <c r="C1958" s="19" t="n">
        <v>0.8638</v>
      </c>
      <c r="D1958" s="19" t="n">
        <v>0.0001</v>
      </c>
      <c r="E1958" s="20" t="n">
        <f aca="false">Parametres!$B$5*C1958</f>
        <v>259.14</v>
      </c>
      <c r="F1958" s="20" t="n">
        <f aca="false">Parametres!$B$6*D1958</f>
        <v>0.02</v>
      </c>
      <c r="G1958" s="20" t="n">
        <f aca="false">E1958+F1958</f>
        <v>259.16</v>
      </c>
      <c r="H1958" s="20" t="n">
        <f aca="false">IF(G1958&lt;Parametres!$B$8*Parametres!$B$7,0,MIN(G1958,Parametres!$B$7))</f>
        <v>250</v>
      </c>
      <c r="I1958" s="20" t="n">
        <f aca="false">G1958-H1958</f>
        <v>9.15999999999997</v>
      </c>
      <c r="J1958" s="21" t="n">
        <f aca="false">H1958*1000/Parametres!$B$9</f>
        <v>4239.44378497541</v>
      </c>
    </row>
    <row r="1959" customFormat="false" ht="15" hidden="false" customHeight="false" outlineLevel="0" collapsed="false">
      <c r="A1959" s="0" t="n">
        <v>1955</v>
      </c>
      <c r="B1959" s="0" t="n">
        <v>3</v>
      </c>
      <c r="C1959" s="19" t="n">
        <v>1</v>
      </c>
      <c r="D1959" s="19" t="n">
        <v>0.0004</v>
      </c>
      <c r="E1959" s="20" t="n">
        <f aca="false">Parametres!$B$5*C1959</f>
        <v>300</v>
      </c>
      <c r="F1959" s="20" t="n">
        <f aca="false">Parametres!$B$6*D1959</f>
        <v>0.08</v>
      </c>
      <c r="G1959" s="20" t="n">
        <f aca="false">E1959+F1959</f>
        <v>300.08</v>
      </c>
      <c r="H1959" s="20" t="n">
        <f aca="false">IF(G1959&lt;Parametres!$B$8*Parametres!$B$7,0,MIN(G1959,Parametres!$B$7))</f>
        <v>250</v>
      </c>
      <c r="I1959" s="20" t="n">
        <f aca="false">G1959-H1959</f>
        <v>50.08</v>
      </c>
      <c r="J1959" s="21" t="n">
        <f aca="false">H1959*1000/Parametres!$B$9</f>
        <v>4239.44378497541</v>
      </c>
    </row>
    <row r="1960" customFormat="false" ht="15" hidden="false" customHeight="false" outlineLevel="0" collapsed="false">
      <c r="A1960" s="0" t="n">
        <v>1956</v>
      </c>
      <c r="B1960" s="0" t="n">
        <v>3</v>
      </c>
      <c r="C1960" s="19" t="n">
        <v>1</v>
      </c>
      <c r="D1960" s="19" t="n">
        <v>0</v>
      </c>
      <c r="E1960" s="20" t="n">
        <f aca="false">Parametres!$B$5*C1960</f>
        <v>300</v>
      </c>
      <c r="F1960" s="20" t="n">
        <f aca="false">Parametres!$B$6*D1960</f>
        <v>0</v>
      </c>
      <c r="G1960" s="20" t="n">
        <f aca="false">E1960+F1960</f>
        <v>300</v>
      </c>
      <c r="H1960" s="20" t="n">
        <f aca="false">IF(G1960&lt;Parametres!$B$8*Parametres!$B$7,0,MIN(G1960,Parametres!$B$7))</f>
        <v>250</v>
      </c>
      <c r="I1960" s="20" t="n">
        <f aca="false">G1960-H1960</f>
        <v>50</v>
      </c>
      <c r="J1960" s="21" t="n">
        <f aca="false">H1960*1000/Parametres!$B$9</f>
        <v>4239.44378497541</v>
      </c>
    </row>
    <row r="1961" customFormat="false" ht="15" hidden="false" customHeight="false" outlineLevel="0" collapsed="false">
      <c r="A1961" s="0" t="n">
        <v>1957</v>
      </c>
      <c r="B1961" s="0" t="n">
        <v>3</v>
      </c>
      <c r="C1961" s="19" t="n">
        <v>1</v>
      </c>
      <c r="D1961" s="19" t="n">
        <v>0</v>
      </c>
      <c r="E1961" s="20" t="n">
        <f aca="false">Parametres!$B$5*C1961</f>
        <v>300</v>
      </c>
      <c r="F1961" s="20" t="n">
        <f aca="false">Parametres!$B$6*D1961</f>
        <v>0</v>
      </c>
      <c r="G1961" s="20" t="n">
        <f aca="false">E1961+F1961</f>
        <v>300</v>
      </c>
      <c r="H1961" s="20" t="n">
        <f aca="false">IF(G1961&lt;Parametres!$B$8*Parametres!$B$7,0,MIN(G1961,Parametres!$B$7))</f>
        <v>250</v>
      </c>
      <c r="I1961" s="20" t="n">
        <f aca="false">G1961-H1961</f>
        <v>50</v>
      </c>
      <c r="J1961" s="21" t="n">
        <f aca="false">H1961*1000/Parametres!$B$9</f>
        <v>4239.44378497541</v>
      </c>
    </row>
    <row r="1962" customFormat="false" ht="15" hidden="false" customHeight="false" outlineLevel="0" collapsed="false">
      <c r="A1962" s="0" t="n">
        <v>1958</v>
      </c>
      <c r="B1962" s="0" t="n">
        <v>3</v>
      </c>
      <c r="C1962" s="19" t="n">
        <v>0.96</v>
      </c>
      <c r="D1962" s="19" t="n">
        <v>0.0001</v>
      </c>
      <c r="E1962" s="20" t="n">
        <f aca="false">Parametres!$B$5*C1962</f>
        <v>288</v>
      </c>
      <c r="F1962" s="20" t="n">
        <f aca="false">Parametres!$B$6*D1962</f>
        <v>0.02</v>
      </c>
      <c r="G1962" s="20" t="n">
        <f aca="false">E1962+F1962</f>
        <v>288.02</v>
      </c>
      <c r="H1962" s="20" t="n">
        <f aca="false">IF(G1962&lt;Parametres!$B$8*Parametres!$B$7,0,MIN(G1962,Parametres!$B$7))</f>
        <v>250</v>
      </c>
      <c r="I1962" s="20" t="n">
        <f aca="false">G1962-H1962</f>
        <v>38.02</v>
      </c>
      <c r="J1962" s="21" t="n">
        <f aca="false">H1962*1000/Parametres!$B$9</f>
        <v>4239.44378497541</v>
      </c>
    </row>
    <row r="1963" customFormat="false" ht="15" hidden="false" customHeight="false" outlineLevel="0" collapsed="false">
      <c r="A1963" s="0" t="n">
        <v>1959</v>
      </c>
      <c r="B1963" s="0" t="n">
        <v>3</v>
      </c>
      <c r="C1963" s="19" t="n">
        <v>0.9102</v>
      </c>
      <c r="D1963" s="19" t="n">
        <v>0.0011</v>
      </c>
      <c r="E1963" s="20" t="n">
        <f aca="false">Parametres!$B$5*C1963</f>
        <v>273.06</v>
      </c>
      <c r="F1963" s="20" t="n">
        <f aca="false">Parametres!$B$6*D1963</f>
        <v>0.22</v>
      </c>
      <c r="G1963" s="20" t="n">
        <f aca="false">E1963+F1963</f>
        <v>273.28</v>
      </c>
      <c r="H1963" s="20" t="n">
        <f aca="false">IF(G1963&lt;Parametres!$B$8*Parametres!$B$7,0,MIN(G1963,Parametres!$B$7))</f>
        <v>250</v>
      </c>
      <c r="I1963" s="20" t="n">
        <f aca="false">G1963-H1963</f>
        <v>23.28</v>
      </c>
      <c r="J1963" s="21" t="n">
        <f aca="false">H1963*1000/Parametres!$B$9</f>
        <v>4239.44378497541</v>
      </c>
    </row>
    <row r="1964" customFormat="false" ht="15" hidden="false" customHeight="false" outlineLevel="0" collapsed="false">
      <c r="A1964" s="0" t="n">
        <v>1960</v>
      </c>
      <c r="B1964" s="0" t="n">
        <v>3</v>
      </c>
      <c r="C1964" s="19" t="n">
        <v>0.6226</v>
      </c>
      <c r="D1964" s="19" t="n">
        <v>0.0019</v>
      </c>
      <c r="E1964" s="20" t="n">
        <f aca="false">Parametres!$B$5*C1964</f>
        <v>186.78</v>
      </c>
      <c r="F1964" s="20" t="n">
        <f aca="false">Parametres!$B$6*D1964</f>
        <v>0.38</v>
      </c>
      <c r="G1964" s="20" t="n">
        <f aca="false">E1964+F1964</f>
        <v>187.16</v>
      </c>
      <c r="H1964" s="20" t="n">
        <f aca="false">IF(G1964&lt;Parametres!$B$8*Parametres!$B$7,0,MIN(G1964,Parametres!$B$7))</f>
        <v>187.16</v>
      </c>
      <c r="I1964" s="20" t="n">
        <f aca="false">G1964-H1964</f>
        <v>0</v>
      </c>
      <c r="J1964" s="21" t="n">
        <f aca="false">H1964*1000/Parametres!$B$9</f>
        <v>3173.81719518399</v>
      </c>
    </row>
    <row r="1965" customFormat="false" ht="15" hidden="false" customHeight="false" outlineLevel="0" collapsed="false">
      <c r="A1965" s="0" t="n">
        <v>1961</v>
      </c>
      <c r="B1965" s="0" t="n">
        <v>3</v>
      </c>
      <c r="C1965" s="19" t="n">
        <v>0.3721</v>
      </c>
      <c r="D1965" s="19" t="n">
        <v>0.0008</v>
      </c>
      <c r="E1965" s="20" t="n">
        <f aca="false">Parametres!$B$5*C1965</f>
        <v>111.63</v>
      </c>
      <c r="F1965" s="20" t="n">
        <f aca="false">Parametres!$B$6*D1965</f>
        <v>0.16</v>
      </c>
      <c r="G1965" s="20" t="n">
        <f aca="false">E1965+F1965</f>
        <v>111.79</v>
      </c>
      <c r="H1965" s="20" t="n">
        <f aca="false">IF(G1965&lt;Parametres!$B$8*Parametres!$B$7,0,MIN(G1965,Parametres!$B$7))</f>
        <v>111.79</v>
      </c>
      <c r="I1965" s="20" t="n">
        <f aca="false">G1965-H1965</f>
        <v>0</v>
      </c>
      <c r="J1965" s="21" t="n">
        <f aca="false">H1965*1000/Parametres!$B$9</f>
        <v>1895.7096828896</v>
      </c>
    </row>
    <row r="1966" customFormat="false" ht="15" hidden="false" customHeight="false" outlineLevel="0" collapsed="false">
      <c r="A1966" s="0" t="n">
        <v>1962</v>
      </c>
      <c r="B1966" s="0" t="n">
        <v>3</v>
      </c>
      <c r="C1966" s="19" t="n">
        <v>0.1129</v>
      </c>
      <c r="D1966" s="19" t="n">
        <v>0.0003</v>
      </c>
      <c r="E1966" s="20" t="n">
        <f aca="false">Parametres!$B$5*C1966</f>
        <v>33.87</v>
      </c>
      <c r="F1966" s="20" t="n">
        <f aca="false">Parametres!$B$6*D1966</f>
        <v>0.06</v>
      </c>
      <c r="G1966" s="20" t="n">
        <f aca="false">E1966+F1966</f>
        <v>33.93</v>
      </c>
      <c r="H1966" s="20" t="n">
        <f aca="false">IF(G1966&lt;Parametres!$B$8*Parametres!$B$7,0,MIN(G1966,Parametres!$B$7))</f>
        <v>33.93</v>
      </c>
      <c r="I1966" s="20" t="n">
        <f aca="false">G1966-H1966</f>
        <v>0</v>
      </c>
      <c r="J1966" s="21" t="n">
        <f aca="false">H1966*1000/Parametres!$B$9</f>
        <v>575.377310496863</v>
      </c>
    </row>
    <row r="1967" customFormat="false" ht="15" hidden="false" customHeight="false" outlineLevel="0" collapsed="false">
      <c r="A1967" s="0" t="n">
        <v>1963</v>
      </c>
      <c r="B1967" s="0" t="n">
        <v>3</v>
      </c>
      <c r="C1967" s="19" t="n">
        <v>0</v>
      </c>
      <c r="D1967" s="19" t="n">
        <v>0.001</v>
      </c>
      <c r="E1967" s="20" t="n">
        <f aca="false">Parametres!$B$5*C1967</f>
        <v>0</v>
      </c>
      <c r="F1967" s="20" t="n">
        <f aca="false">Parametres!$B$6*D1967</f>
        <v>0.2</v>
      </c>
      <c r="G1967" s="20" t="n">
        <f aca="false">E1967+F1967</f>
        <v>0.2</v>
      </c>
      <c r="H1967" s="20" t="n">
        <f aca="false">IF(G1967&lt;Parametres!$B$8*Parametres!$B$7,0,MIN(G1967,Parametres!$B$7))</f>
        <v>0</v>
      </c>
      <c r="I1967" s="20" t="n">
        <f aca="false">G1967-H1967</f>
        <v>0.2</v>
      </c>
      <c r="J1967" s="21" t="n">
        <f aca="false">H1967*1000/Parametres!$B$9</f>
        <v>0</v>
      </c>
    </row>
    <row r="1968" customFormat="false" ht="15" hidden="false" customHeight="false" outlineLevel="0" collapsed="false">
      <c r="A1968" s="0" t="n">
        <v>1964</v>
      </c>
      <c r="B1968" s="0" t="n">
        <v>3</v>
      </c>
      <c r="C1968" s="19" t="n">
        <v>0</v>
      </c>
      <c r="D1968" s="19" t="n">
        <v>0.0052</v>
      </c>
      <c r="E1968" s="20" t="n">
        <f aca="false">Parametres!$B$5*C1968</f>
        <v>0</v>
      </c>
      <c r="F1968" s="20" t="n">
        <f aca="false">Parametres!$B$6*D1968</f>
        <v>1.04</v>
      </c>
      <c r="G1968" s="20" t="n">
        <f aca="false">E1968+F1968</f>
        <v>1.04</v>
      </c>
      <c r="H1968" s="20" t="n">
        <f aca="false">IF(G1968&lt;Parametres!$B$8*Parametres!$B$7,0,MIN(G1968,Parametres!$B$7))</f>
        <v>0</v>
      </c>
      <c r="I1968" s="20" t="n">
        <f aca="false">G1968-H1968</f>
        <v>1.04</v>
      </c>
      <c r="J1968" s="21" t="n">
        <f aca="false">H1968*1000/Parametres!$B$9</f>
        <v>0</v>
      </c>
    </row>
    <row r="1969" customFormat="false" ht="15" hidden="false" customHeight="false" outlineLevel="0" collapsed="false">
      <c r="A1969" s="0" t="n">
        <v>1965</v>
      </c>
      <c r="B1969" s="0" t="n">
        <v>3</v>
      </c>
      <c r="C1969" s="19" t="n">
        <v>0</v>
      </c>
      <c r="D1969" s="19" t="n">
        <v>0.0026</v>
      </c>
      <c r="E1969" s="20" t="n">
        <f aca="false">Parametres!$B$5*C1969</f>
        <v>0</v>
      </c>
      <c r="F1969" s="20" t="n">
        <f aca="false">Parametres!$B$6*D1969</f>
        <v>0.52</v>
      </c>
      <c r="G1969" s="20" t="n">
        <f aca="false">E1969+F1969</f>
        <v>0.52</v>
      </c>
      <c r="H1969" s="20" t="n">
        <f aca="false">IF(G1969&lt;Parametres!$B$8*Parametres!$B$7,0,MIN(G1969,Parametres!$B$7))</f>
        <v>0</v>
      </c>
      <c r="I1969" s="20" t="n">
        <f aca="false">G1969-H1969</f>
        <v>0.52</v>
      </c>
      <c r="J1969" s="21" t="n">
        <f aca="false">H1969*1000/Parametres!$B$9</f>
        <v>0</v>
      </c>
    </row>
    <row r="1970" customFormat="false" ht="15" hidden="false" customHeight="false" outlineLevel="0" collapsed="false">
      <c r="A1970" s="0" t="n">
        <v>1966</v>
      </c>
      <c r="B1970" s="0" t="n">
        <v>3</v>
      </c>
      <c r="C1970" s="19" t="n">
        <v>0</v>
      </c>
      <c r="D1970" s="19" t="n">
        <v>0.0015</v>
      </c>
      <c r="E1970" s="20" t="n">
        <f aca="false">Parametres!$B$5*C1970</f>
        <v>0</v>
      </c>
      <c r="F1970" s="20" t="n">
        <f aca="false">Parametres!$B$6*D1970</f>
        <v>0.3</v>
      </c>
      <c r="G1970" s="20" t="n">
        <f aca="false">E1970+F1970</f>
        <v>0.3</v>
      </c>
      <c r="H1970" s="20" t="n">
        <f aca="false">IF(G1970&lt;Parametres!$B$8*Parametres!$B$7,0,MIN(G1970,Parametres!$B$7))</f>
        <v>0</v>
      </c>
      <c r="I1970" s="20" t="n">
        <f aca="false">G1970-H1970</f>
        <v>0.3</v>
      </c>
      <c r="J1970" s="21" t="n">
        <f aca="false">H1970*1000/Parametres!$B$9</f>
        <v>0</v>
      </c>
    </row>
    <row r="1971" customFormat="false" ht="15" hidden="false" customHeight="false" outlineLevel="0" collapsed="false">
      <c r="A1971" s="0" t="n">
        <v>1967</v>
      </c>
      <c r="B1971" s="0" t="n">
        <v>3</v>
      </c>
      <c r="C1971" s="19" t="n">
        <v>0</v>
      </c>
      <c r="D1971" s="19" t="n">
        <v>0.0032</v>
      </c>
      <c r="E1971" s="20" t="n">
        <f aca="false">Parametres!$B$5*C1971</f>
        <v>0</v>
      </c>
      <c r="F1971" s="20" t="n">
        <f aca="false">Parametres!$B$6*D1971</f>
        <v>0.64</v>
      </c>
      <c r="G1971" s="20" t="n">
        <f aca="false">E1971+F1971</f>
        <v>0.64</v>
      </c>
      <c r="H1971" s="20" t="n">
        <f aca="false">IF(G1971&lt;Parametres!$B$8*Parametres!$B$7,0,MIN(G1971,Parametres!$B$7))</f>
        <v>0</v>
      </c>
      <c r="I1971" s="20" t="n">
        <f aca="false">G1971-H1971</f>
        <v>0.64</v>
      </c>
      <c r="J1971" s="21" t="n">
        <f aca="false">H1971*1000/Parametres!$B$9</f>
        <v>0</v>
      </c>
    </row>
    <row r="1972" customFormat="false" ht="15" hidden="false" customHeight="false" outlineLevel="0" collapsed="false">
      <c r="A1972" s="0" t="n">
        <v>1968</v>
      </c>
      <c r="B1972" s="0" t="n">
        <v>3</v>
      </c>
      <c r="C1972" s="19" t="n">
        <v>0</v>
      </c>
      <c r="D1972" s="19" t="n">
        <v>0</v>
      </c>
      <c r="E1972" s="20" t="n">
        <f aca="false">Parametres!$B$5*C1972</f>
        <v>0</v>
      </c>
      <c r="F1972" s="20" t="n">
        <f aca="false">Parametres!$B$6*D1972</f>
        <v>0</v>
      </c>
      <c r="G1972" s="20" t="n">
        <f aca="false">E1972+F1972</f>
        <v>0</v>
      </c>
      <c r="H1972" s="20" t="n">
        <f aca="false">IF(G1972&lt;Parametres!$B$8*Parametres!$B$7,0,MIN(G1972,Parametres!$B$7))</f>
        <v>0</v>
      </c>
      <c r="I1972" s="20" t="n">
        <f aca="false">G1972-H1972</f>
        <v>0</v>
      </c>
      <c r="J1972" s="21" t="n">
        <f aca="false">H1972*1000/Parametres!$B$9</f>
        <v>0</v>
      </c>
    </row>
    <row r="1973" customFormat="false" ht="15" hidden="false" customHeight="false" outlineLevel="0" collapsed="false">
      <c r="A1973" s="0" t="n">
        <v>1969</v>
      </c>
      <c r="B1973" s="0" t="n">
        <v>3</v>
      </c>
      <c r="C1973" s="19" t="n">
        <v>0</v>
      </c>
      <c r="D1973" s="19" t="n">
        <v>0.0001</v>
      </c>
      <c r="E1973" s="20" t="n">
        <f aca="false">Parametres!$B$5*C1973</f>
        <v>0</v>
      </c>
      <c r="F1973" s="20" t="n">
        <f aca="false">Parametres!$B$6*D1973</f>
        <v>0.02</v>
      </c>
      <c r="G1973" s="20" t="n">
        <f aca="false">E1973+F1973</f>
        <v>0.02</v>
      </c>
      <c r="H1973" s="20" t="n">
        <f aca="false">IF(G1973&lt;Parametres!$B$8*Parametres!$B$7,0,MIN(G1973,Parametres!$B$7))</f>
        <v>0</v>
      </c>
      <c r="I1973" s="20" t="n">
        <f aca="false">G1973-H1973</f>
        <v>0.02</v>
      </c>
      <c r="J1973" s="21" t="n">
        <f aca="false">H1973*1000/Parametres!$B$9</f>
        <v>0</v>
      </c>
    </row>
    <row r="1974" customFormat="false" ht="15" hidden="false" customHeight="false" outlineLevel="0" collapsed="false">
      <c r="A1974" s="0" t="n">
        <v>1970</v>
      </c>
      <c r="B1974" s="0" t="n">
        <v>3</v>
      </c>
      <c r="C1974" s="19" t="n">
        <v>0</v>
      </c>
      <c r="D1974" s="19" t="n">
        <v>0</v>
      </c>
      <c r="E1974" s="20" t="n">
        <f aca="false">Parametres!$B$5*C1974</f>
        <v>0</v>
      </c>
      <c r="F1974" s="20" t="n">
        <f aca="false">Parametres!$B$6*D1974</f>
        <v>0</v>
      </c>
      <c r="G1974" s="20" t="n">
        <f aca="false">E1974+F1974</f>
        <v>0</v>
      </c>
      <c r="H1974" s="20" t="n">
        <f aca="false">IF(G1974&lt;Parametres!$B$8*Parametres!$B$7,0,MIN(G1974,Parametres!$B$7))</f>
        <v>0</v>
      </c>
      <c r="I1974" s="20" t="n">
        <f aca="false">G1974-H1974</f>
        <v>0</v>
      </c>
      <c r="J1974" s="21" t="n">
        <f aca="false">H1974*1000/Parametres!$B$9</f>
        <v>0</v>
      </c>
    </row>
    <row r="1975" customFormat="false" ht="15" hidden="false" customHeight="false" outlineLevel="0" collapsed="false">
      <c r="A1975" s="0" t="n">
        <v>1971</v>
      </c>
      <c r="B1975" s="0" t="n">
        <v>3</v>
      </c>
      <c r="C1975" s="19" t="n">
        <v>0</v>
      </c>
      <c r="D1975" s="19" t="n">
        <v>0</v>
      </c>
      <c r="E1975" s="20" t="n">
        <f aca="false">Parametres!$B$5*C1975</f>
        <v>0</v>
      </c>
      <c r="F1975" s="20" t="n">
        <f aca="false">Parametres!$B$6*D1975</f>
        <v>0</v>
      </c>
      <c r="G1975" s="20" t="n">
        <f aca="false">E1975+F1975</f>
        <v>0</v>
      </c>
      <c r="H1975" s="20" t="n">
        <f aca="false">IF(G1975&lt;Parametres!$B$8*Parametres!$B$7,0,MIN(G1975,Parametres!$B$7))</f>
        <v>0</v>
      </c>
      <c r="I1975" s="20" t="n">
        <f aca="false">G1975-H1975</f>
        <v>0</v>
      </c>
      <c r="J1975" s="21" t="n">
        <f aca="false">H1975*1000/Parametres!$B$9</f>
        <v>0</v>
      </c>
    </row>
    <row r="1976" customFormat="false" ht="15" hidden="false" customHeight="false" outlineLevel="0" collapsed="false">
      <c r="A1976" s="0" t="n">
        <v>1972</v>
      </c>
      <c r="B1976" s="0" t="n">
        <v>3</v>
      </c>
      <c r="C1976" s="19" t="n">
        <v>0</v>
      </c>
      <c r="D1976" s="19" t="n">
        <v>0</v>
      </c>
      <c r="E1976" s="20" t="n">
        <f aca="false">Parametres!$B$5*C1976</f>
        <v>0</v>
      </c>
      <c r="F1976" s="20" t="n">
        <f aca="false">Parametres!$B$6*D1976</f>
        <v>0</v>
      </c>
      <c r="G1976" s="20" t="n">
        <f aca="false">E1976+F1976</f>
        <v>0</v>
      </c>
      <c r="H1976" s="20" t="n">
        <f aca="false">IF(G1976&lt;Parametres!$B$8*Parametres!$B$7,0,MIN(G1976,Parametres!$B$7))</f>
        <v>0</v>
      </c>
      <c r="I1976" s="20" t="n">
        <f aca="false">G1976-H1976</f>
        <v>0</v>
      </c>
      <c r="J1976" s="21" t="n">
        <f aca="false">H1976*1000/Parametres!$B$9</f>
        <v>0</v>
      </c>
    </row>
    <row r="1977" customFormat="false" ht="15" hidden="false" customHeight="false" outlineLevel="0" collapsed="false">
      <c r="A1977" s="0" t="n">
        <v>1973</v>
      </c>
      <c r="B1977" s="0" t="n">
        <v>3</v>
      </c>
      <c r="C1977" s="19" t="n">
        <v>0</v>
      </c>
      <c r="D1977" s="19" t="n">
        <v>0</v>
      </c>
      <c r="E1977" s="20" t="n">
        <f aca="false">Parametres!$B$5*C1977</f>
        <v>0</v>
      </c>
      <c r="F1977" s="20" t="n">
        <f aca="false">Parametres!$B$6*D1977</f>
        <v>0</v>
      </c>
      <c r="G1977" s="20" t="n">
        <f aca="false">E1977+F1977</f>
        <v>0</v>
      </c>
      <c r="H1977" s="20" t="n">
        <f aca="false">IF(G1977&lt;Parametres!$B$8*Parametres!$B$7,0,MIN(G1977,Parametres!$B$7))</f>
        <v>0</v>
      </c>
      <c r="I1977" s="20" t="n">
        <f aca="false">G1977-H1977</f>
        <v>0</v>
      </c>
      <c r="J1977" s="21" t="n">
        <f aca="false">H1977*1000/Parametres!$B$9</f>
        <v>0</v>
      </c>
    </row>
    <row r="1978" customFormat="false" ht="15" hidden="false" customHeight="false" outlineLevel="0" collapsed="false">
      <c r="A1978" s="0" t="n">
        <v>1974</v>
      </c>
      <c r="B1978" s="0" t="n">
        <v>3</v>
      </c>
      <c r="C1978" s="19" t="n">
        <v>0</v>
      </c>
      <c r="D1978" s="19" t="n">
        <v>0</v>
      </c>
      <c r="E1978" s="20" t="n">
        <f aca="false">Parametres!$B$5*C1978</f>
        <v>0</v>
      </c>
      <c r="F1978" s="20" t="n">
        <f aca="false">Parametres!$B$6*D1978</f>
        <v>0</v>
      </c>
      <c r="G1978" s="20" t="n">
        <f aca="false">E1978+F1978</f>
        <v>0</v>
      </c>
      <c r="H1978" s="20" t="n">
        <f aca="false">IF(G1978&lt;Parametres!$B$8*Parametres!$B$7,0,MIN(G1978,Parametres!$B$7))</f>
        <v>0</v>
      </c>
      <c r="I1978" s="20" t="n">
        <f aca="false">G1978-H1978</f>
        <v>0</v>
      </c>
      <c r="J1978" s="21" t="n">
        <f aca="false">H1978*1000/Parametres!$B$9</f>
        <v>0</v>
      </c>
    </row>
    <row r="1979" customFormat="false" ht="15" hidden="false" customHeight="false" outlineLevel="0" collapsed="false">
      <c r="A1979" s="0" t="n">
        <v>1975</v>
      </c>
      <c r="B1979" s="0" t="n">
        <v>3</v>
      </c>
      <c r="C1979" s="19" t="n">
        <v>0.0808</v>
      </c>
      <c r="D1979" s="19" t="n">
        <v>0.0001</v>
      </c>
      <c r="E1979" s="20" t="n">
        <f aca="false">Parametres!$B$5*C1979</f>
        <v>24.24</v>
      </c>
      <c r="F1979" s="20" t="n">
        <f aca="false">Parametres!$B$6*D1979</f>
        <v>0.02</v>
      </c>
      <c r="G1979" s="20" t="n">
        <f aca="false">E1979+F1979</f>
        <v>24.26</v>
      </c>
      <c r="H1979" s="20" t="n">
        <f aca="false">IF(G1979&lt;Parametres!$B$8*Parametres!$B$7,0,MIN(G1979,Parametres!$B$7))</f>
        <v>0</v>
      </c>
      <c r="I1979" s="20" t="n">
        <f aca="false">G1979-H1979</f>
        <v>24.26</v>
      </c>
      <c r="J1979" s="21" t="n">
        <f aca="false">H1979*1000/Parametres!$B$9</f>
        <v>0</v>
      </c>
    </row>
    <row r="1980" customFormat="false" ht="15" hidden="false" customHeight="false" outlineLevel="0" collapsed="false">
      <c r="A1980" s="0" t="n">
        <v>1976</v>
      </c>
      <c r="B1980" s="0" t="n">
        <v>3</v>
      </c>
      <c r="C1980" s="19" t="n">
        <v>0.2818</v>
      </c>
      <c r="D1980" s="19" t="n">
        <v>0</v>
      </c>
      <c r="E1980" s="20" t="n">
        <f aca="false">Parametres!$B$5*C1980</f>
        <v>84.54</v>
      </c>
      <c r="F1980" s="20" t="n">
        <f aca="false">Parametres!$B$6*D1980</f>
        <v>0</v>
      </c>
      <c r="G1980" s="20" t="n">
        <f aca="false">E1980+F1980</f>
        <v>84.54</v>
      </c>
      <c r="H1980" s="20" t="n">
        <f aca="false">IF(G1980&lt;Parametres!$B$8*Parametres!$B$7,0,MIN(G1980,Parametres!$B$7))</f>
        <v>84.54</v>
      </c>
      <c r="I1980" s="20" t="n">
        <f aca="false">G1980-H1980</f>
        <v>0</v>
      </c>
      <c r="J1980" s="21" t="n">
        <f aca="false">H1980*1000/Parametres!$B$9</f>
        <v>1433.61031032728</v>
      </c>
    </row>
    <row r="1981" customFormat="false" ht="15" hidden="false" customHeight="false" outlineLevel="0" collapsed="false">
      <c r="A1981" s="0" t="n">
        <v>1977</v>
      </c>
      <c r="B1981" s="0" t="n">
        <v>3</v>
      </c>
      <c r="C1981" s="19" t="n">
        <v>0.4732</v>
      </c>
      <c r="D1981" s="19" t="n">
        <v>0</v>
      </c>
      <c r="E1981" s="20" t="n">
        <f aca="false">Parametres!$B$5*C1981</f>
        <v>141.96</v>
      </c>
      <c r="F1981" s="20" t="n">
        <f aca="false">Parametres!$B$6*D1981</f>
        <v>0</v>
      </c>
      <c r="G1981" s="20" t="n">
        <f aca="false">E1981+F1981</f>
        <v>141.96</v>
      </c>
      <c r="H1981" s="20" t="n">
        <f aca="false">IF(G1981&lt;Parametres!$B$8*Parametres!$B$7,0,MIN(G1981,Parametres!$B$7))</f>
        <v>141.96</v>
      </c>
      <c r="I1981" s="20" t="n">
        <f aca="false">G1981-H1981</f>
        <v>0</v>
      </c>
      <c r="J1981" s="21" t="n">
        <f aca="false">H1981*1000/Parametres!$B$9</f>
        <v>2407.32575886044</v>
      </c>
    </row>
    <row r="1982" customFormat="false" ht="15" hidden="false" customHeight="false" outlineLevel="0" collapsed="false">
      <c r="A1982" s="0" t="n">
        <v>1978</v>
      </c>
      <c r="B1982" s="0" t="n">
        <v>3</v>
      </c>
      <c r="C1982" s="19" t="n">
        <v>0.648</v>
      </c>
      <c r="D1982" s="19" t="n">
        <v>0</v>
      </c>
      <c r="E1982" s="20" t="n">
        <f aca="false">Parametres!$B$5*C1982</f>
        <v>194.4</v>
      </c>
      <c r="F1982" s="20" t="n">
        <f aca="false">Parametres!$B$6*D1982</f>
        <v>0</v>
      </c>
      <c r="G1982" s="20" t="n">
        <f aca="false">E1982+F1982</f>
        <v>194.4</v>
      </c>
      <c r="H1982" s="20" t="n">
        <f aca="false">IF(G1982&lt;Parametres!$B$8*Parametres!$B$7,0,MIN(G1982,Parametres!$B$7))</f>
        <v>194.4</v>
      </c>
      <c r="I1982" s="20" t="n">
        <f aca="false">G1982-H1982</f>
        <v>0</v>
      </c>
      <c r="J1982" s="21" t="n">
        <f aca="false">H1982*1000/Parametres!$B$9</f>
        <v>3296.59148719688</v>
      </c>
    </row>
    <row r="1983" customFormat="false" ht="15" hidden="false" customHeight="false" outlineLevel="0" collapsed="false">
      <c r="A1983" s="0" t="n">
        <v>1979</v>
      </c>
      <c r="B1983" s="0" t="n">
        <v>3</v>
      </c>
      <c r="C1983" s="19" t="n">
        <v>0.7608</v>
      </c>
      <c r="D1983" s="19" t="n">
        <v>0</v>
      </c>
      <c r="E1983" s="20" t="n">
        <f aca="false">Parametres!$B$5*C1983</f>
        <v>228.24</v>
      </c>
      <c r="F1983" s="20" t="n">
        <f aca="false">Parametres!$B$6*D1983</f>
        <v>0</v>
      </c>
      <c r="G1983" s="20" t="n">
        <f aca="false">E1983+F1983</f>
        <v>228.24</v>
      </c>
      <c r="H1983" s="20" t="n">
        <f aca="false">IF(G1983&lt;Parametres!$B$8*Parametres!$B$7,0,MIN(G1983,Parametres!$B$7))</f>
        <v>228.24</v>
      </c>
      <c r="I1983" s="20" t="n">
        <f aca="false">G1983-H1983</f>
        <v>0</v>
      </c>
      <c r="J1983" s="21" t="n">
        <f aca="false">H1983*1000/Parametres!$B$9</f>
        <v>3870.44259793115</v>
      </c>
    </row>
    <row r="1984" customFormat="false" ht="15" hidden="false" customHeight="false" outlineLevel="0" collapsed="false">
      <c r="A1984" s="0" t="n">
        <v>1980</v>
      </c>
      <c r="B1984" s="0" t="n">
        <v>3</v>
      </c>
      <c r="C1984" s="19" t="n">
        <v>0.8256</v>
      </c>
      <c r="D1984" s="19" t="n">
        <v>0</v>
      </c>
      <c r="E1984" s="20" t="n">
        <f aca="false">Parametres!$B$5*C1984</f>
        <v>247.68</v>
      </c>
      <c r="F1984" s="20" t="n">
        <f aca="false">Parametres!$B$6*D1984</f>
        <v>0</v>
      </c>
      <c r="G1984" s="20" t="n">
        <f aca="false">E1984+F1984</f>
        <v>247.68</v>
      </c>
      <c r="H1984" s="20" t="n">
        <f aca="false">IF(G1984&lt;Parametres!$B$8*Parametres!$B$7,0,MIN(G1984,Parametres!$B$7))</f>
        <v>247.68</v>
      </c>
      <c r="I1984" s="20" t="n">
        <f aca="false">G1984-H1984</f>
        <v>0</v>
      </c>
      <c r="J1984" s="21" t="n">
        <f aca="false">H1984*1000/Parametres!$B$9</f>
        <v>4200.10174665084</v>
      </c>
    </row>
    <row r="1985" customFormat="false" ht="15" hidden="false" customHeight="false" outlineLevel="0" collapsed="false">
      <c r="A1985" s="0" t="n">
        <v>1981</v>
      </c>
      <c r="B1985" s="0" t="n">
        <v>3</v>
      </c>
      <c r="C1985" s="19" t="n">
        <v>0.786</v>
      </c>
      <c r="D1985" s="19" t="n">
        <v>0</v>
      </c>
      <c r="E1985" s="20" t="n">
        <f aca="false">Parametres!$B$5*C1985</f>
        <v>235.8</v>
      </c>
      <c r="F1985" s="20" t="n">
        <f aca="false">Parametres!$B$6*D1985</f>
        <v>0</v>
      </c>
      <c r="G1985" s="20" t="n">
        <f aca="false">E1985+F1985</f>
        <v>235.8</v>
      </c>
      <c r="H1985" s="20" t="n">
        <f aca="false">IF(G1985&lt;Parametres!$B$8*Parametres!$B$7,0,MIN(G1985,Parametres!$B$7))</f>
        <v>235.8</v>
      </c>
      <c r="I1985" s="20" t="n">
        <f aca="false">G1985-H1985</f>
        <v>0</v>
      </c>
      <c r="J1985" s="21" t="n">
        <f aca="false">H1985*1000/Parametres!$B$9</f>
        <v>3998.64337798881</v>
      </c>
    </row>
    <row r="1986" customFormat="false" ht="15" hidden="false" customHeight="false" outlineLevel="0" collapsed="false">
      <c r="A1986" s="0" t="n">
        <v>1982</v>
      </c>
      <c r="B1986" s="0" t="n">
        <v>3</v>
      </c>
      <c r="C1986" s="19" t="n">
        <v>0.7748</v>
      </c>
      <c r="D1986" s="19" t="n">
        <v>0.0001</v>
      </c>
      <c r="E1986" s="20" t="n">
        <f aca="false">Parametres!$B$5*C1986</f>
        <v>232.44</v>
      </c>
      <c r="F1986" s="20" t="n">
        <f aca="false">Parametres!$B$6*D1986</f>
        <v>0.02</v>
      </c>
      <c r="G1986" s="20" t="n">
        <f aca="false">E1986+F1986</f>
        <v>232.46</v>
      </c>
      <c r="H1986" s="20" t="n">
        <f aca="false">IF(G1986&lt;Parametres!$B$8*Parametres!$B$7,0,MIN(G1986,Parametres!$B$7))</f>
        <v>232.46</v>
      </c>
      <c r="I1986" s="20" t="n">
        <f aca="false">G1986-H1986</f>
        <v>0</v>
      </c>
      <c r="J1986" s="21" t="n">
        <f aca="false">H1986*1000/Parametres!$B$9</f>
        <v>3942.00440902154</v>
      </c>
    </row>
    <row r="1987" customFormat="false" ht="15" hidden="false" customHeight="false" outlineLevel="0" collapsed="false">
      <c r="A1987" s="0" t="n">
        <v>1983</v>
      </c>
      <c r="B1987" s="0" t="n">
        <v>3</v>
      </c>
      <c r="C1987" s="19" t="n">
        <v>0.6599</v>
      </c>
      <c r="D1987" s="19" t="n">
        <v>0</v>
      </c>
      <c r="E1987" s="20" t="n">
        <f aca="false">Parametres!$B$5*C1987</f>
        <v>197.97</v>
      </c>
      <c r="F1987" s="20" t="n">
        <f aca="false">Parametres!$B$6*D1987</f>
        <v>0</v>
      </c>
      <c r="G1987" s="20" t="n">
        <f aca="false">E1987+F1987</f>
        <v>197.97</v>
      </c>
      <c r="H1987" s="20" t="n">
        <f aca="false">IF(G1987&lt;Parametres!$B$8*Parametres!$B$7,0,MIN(G1987,Parametres!$B$7))</f>
        <v>197.97</v>
      </c>
      <c r="I1987" s="20" t="n">
        <f aca="false">G1987-H1987</f>
        <v>0</v>
      </c>
      <c r="J1987" s="21" t="n">
        <f aca="false">H1987*1000/Parametres!$B$9</f>
        <v>3357.13074444633</v>
      </c>
    </row>
    <row r="1988" customFormat="false" ht="15" hidden="false" customHeight="false" outlineLevel="0" collapsed="false">
      <c r="A1988" s="0" t="n">
        <v>1984</v>
      </c>
      <c r="B1988" s="0" t="n">
        <v>3</v>
      </c>
      <c r="C1988" s="19" t="n">
        <v>0.47</v>
      </c>
      <c r="D1988" s="19" t="n">
        <v>0</v>
      </c>
      <c r="E1988" s="20" t="n">
        <f aca="false">Parametres!$B$5*C1988</f>
        <v>141</v>
      </c>
      <c r="F1988" s="20" t="n">
        <f aca="false">Parametres!$B$6*D1988</f>
        <v>0</v>
      </c>
      <c r="G1988" s="20" t="n">
        <f aca="false">E1988+F1988</f>
        <v>141</v>
      </c>
      <c r="H1988" s="20" t="n">
        <f aca="false">IF(G1988&lt;Parametres!$B$8*Parametres!$B$7,0,MIN(G1988,Parametres!$B$7))</f>
        <v>141</v>
      </c>
      <c r="I1988" s="20" t="n">
        <f aca="false">G1988-H1988</f>
        <v>0</v>
      </c>
      <c r="J1988" s="21" t="n">
        <f aca="false">H1988*1000/Parametres!$B$9</f>
        <v>2391.04629472613</v>
      </c>
    </row>
    <row r="1989" customFormat="false" ht="15" hidden="false" customHeight="false" outlineLevel="0" collapsed="false">
      <c r="A1989" s="0" t="n">
        <v>1985</v>
      </c>
      <c r="B1989" s="0" t="n">
        <v>3</v>
      </c>
      <c r="C1989" s="19" t="n">
        <v>0.276</v>
      </c>
      <c r="D1989" s="19" t="n">
        <v>0</v>
      </c>
      <c r="E1989" s="20" t="n">
        <f aca="false">Parametres!$B$5*C1989</f>
        <v>82.8</v>
      </c>
      <c r="F1989" s="20" t="n">
        <f aca="false">Parametres!$B$6*D1989</f>
        <v>0</v>
      </c>
      <c r="G1989" s="20" t="n">
        <f aca="false">E1989+F1989</f>
        <v>82.8</v>
      </c>
      <c r="H1989" s="20" t="n">
        <f aca="false">IF(G1989&lt;Parametres!$B$8*Parametres!$B$7,0,MIN(G1989,Parametres!$B$7))</f>
        <v>82.8</v>
      </c>
      <c r="I1989" s="20" t="n">
        <f aca="false">G1989-H1989</f>
        <v>0</v>
      </c>
      <c r="J1989" s="21" t="n">
        <f aca="false">H1989*1000/Parametres!$B$9</f>
        <v>1404.10378158386</v>
      </c>
    </row>
    <row r="1990" customFormat="false" ht="15" hidden="false" customHeight="false" outlineLevel="0" collapsed="false">
      <c r="A1990" s="0" t="n">
        <v>1986</v>
      </c>
      <c r="B1990" s="0" t="n">
        <v>3</v>
      </c>
      <c r="C1990" s="19" t="n">
        <v>0.0819</v>
      </c>
      <c r="D1990" s="19" t="n">
        <v>0</v>
      </c>
      <c r="E1990" s="20" t="n">
        <f aca="false">Parametres!$B$5*C1990</f>
        <v>24.57</v>
      </c>
      <c r="F1990" s="20" t="n">
        <f aca="false">Parametres!$B$6*D1990</f>
        <v>0</v>
      </c>
      <c r="G1990" s="20" t="n">
        <f aca="false">E1990+F1990</f>
        <v>24.57</v>
      </c>
      <c r="H1990" s="20" t="n">
        <f aca="false">IF(G1990&lt;Parametres!$B$8*Parametres!$B$7,0,MIN(G1990,Parametres!$B$7))</f>
        <v>0</v>
      </c>
      <c r="I1990" s="20" t="n">
        <f aca="false">G1990-H1990</f>
        <v>24.57</v>
      </c>
      <c r="J1990" s="21" t="n">
        <f aca="false">H1990*1000/Parametres!$B$9</f>
        <v>0</v>
      </c>
    </row>
    <row r="1991" customFormat="false" ht="15" hidden="false" customHeight="false" outlineLevel="0" collapsed="false">
      <c r="A1991" s="0" t="n">
        <v>1987</v>
      </c>
      <c r="B1991" s="0" t="n">
        <v>3</v>
      </c>
      <c r="C1991" s="19" t="n">
        <v>0</v>
      </c>
      <c r="D1991" s="19" t="n">
        <v>0</v>
      </c>
      <c r="E1991" s="20" t="n">
        <f aca="false">Parametres!$B$5*C1991</f>
        <v>0</v>
      </c>
      <c r="F1991" s="20" t="n">
        <f aca="false">Parametres!$B$6*D1991</f>
        <v>0</v>
      </c>
      <c r="G1991" s="20" t="n">
        <f aca="false">E1991+F1991</f>
        <v>0</v>
      </c>
      <c r="H1991" s="20" t="n">
        <f aca="false">IF(G1991&lt;Parametres!$B$8*Parametres!$B$7,0,MIN(G1991,Parametres!$B$7))</f>
        <v>0</v>
      </c>
      <c r="I1991" s="20" t="n">
        <f aca="false">G1991-H1991</f>
        <v>0</v>
      </c>
      <c r="J1991" s="21" t="n">
        <f aca="false">H1991*1000/Parametres!$B$9</f>
        <v>0</v>
      </c>
    </row>
    <row r="1992" customFormat="false" ht="15" hidden="false" customHeight="false" outlineLevel="0" collapsed="false">
      <c r="A1992" s="0" t="n">
        <v>1988</v>
      </c>
      <c r="B1992" s="0" t="n">
        <v>3</v>
      </c>
      <c r="C1992" s="19" t="n">
        <v>0</v>
      </c>
      <c r="D1992" s="19" t="n">
        <v>0</v>
      </c>
      <c r="E1992" s="20" t="n">
        <f aca="false">Parametres!$B$5*C1992</f>
        <v>0</v>
      </c>
      <c r="F1992" s="20" t="n">
        <f aca="false">Parametres!$B$6*D1992</f>
        <v>0</v>
      </c>
      <c r="G1992" s="20" t="n">
        <f aca="false">E1992+F1992</f>
        <v>0</v>
      </c>
      <c r="H1992" s="20" t="n">
        <f aca="false">IF(G1992&lt;Parametres!$B$8*Parametres!$B$7,0,MIN(G1992,Parametres!$B$7))</f>
        <v>0</v>
      </c>
      <c r="I1992" s="20" t="n">
        <f aca="false">G1992-H1992</f>
        <v>0</v>
      </c>
      <c r="J1992" s="21" t="n">
        <f aca="false">H1992*1000/Parametres!$B$9</f>
        <v>0</v>
      </c>
    </row>
    <row r="1993" customFormat="false" ht="15" hidden="false" customHeight="false" outlineLevel="0" collapsed="false">
      <c r="A1993" s="0" t="n">
        <v>1989</v>
      </c>
      <c r="B1993" s="0" t="n">
        <v>3</v>
      </c>
      <c r="C1993" s="19" t="n">
        <v>0</v>
      </c>
      <c r="D1993" s="19" t="n">
        <v>0</v>
      </c>
      <c r="E1993" s="20" t="n">
        <f aca="false">Parametres!$B$5*C1993</f>
        <v>0</v>
      </c>
      <c r="F1993" s="20" t="n">
        <f aca="false">Parametres!$B$6*D1993</f>
        <v>0</v>
      </c>
      <c r="G1993" s="20" t="n">
        <f aca="false">E1993+F1993</f>
        <v>0</v>
      </c>
      <c r="H1993" s="20" t="n">
        <f aca="false">IF(G1993&lt;Parametres!$B$8*Parametres!$B$7,0,MIN(G1993,Parametres!$B$7))</f>
        <v>0</v>
      </c>
      <c r="I1993" s="20" t="n">
        <f aca="false">G1993-H1993</f>
        <v>0</v>
      </c>
      <c r="J1993" s="21" t="n">
        <f aca="false">H1993*1000/Parametres!$B$9</f>
        <v>0</v>
      </c>
    </row>
    <row r="1994" customFormat="false" ht="15" hidden="false" customHeight="false" outlineLevel="0" collapsed="false">
      <c r="A1994" s="0" t="n">
        <v>1990</v>
      </c>
      <c r="B1994" s="0" t="n">
        <v>3</v>
      </c>
      <c r="C1994" s="19" t="n">
        <v>0</v>
      </c>
      <c r="D1994" s="19" t="n">
        <v>0</v>
      </c>
      <c r="E1994" s="20" t="n">
        <f aca="false">Parametres!$B$5*C1994</f>
        <v>0</v>
      </c>
      <c r="F1994" s="20" t="n">
        <f aca="false">Parametres!$B$6*D1994</f>
        <v>0</v>
      </c>
      <c r="G1994" s="20" t="n">
        <f aca="false">E1994+F1994</f>
        <v>0</v>
      </c>
      <c r="H1994" s="20" t="n">
        <f aca="false">IF(G1994&lt;Parametres!$B$8*Parametres!$B$7,0,MIN(G1994,Parametres!$B$7))</f>
        <v>0</v>
      </c>
      <c r="I1994" s="20" t="n">
        <f aca="false">G1994-H1994</f>
        <v>0</v>
      </c>
      <c r="J1994" s="21" t="n">
        <f aca="false">H1994*1000/Parametres!$B$9</f>
        <v>0</v>
      </c>
    </row>
    <row r="1995" customFormat="false" ht="15" hidden="false" customHeight="false" outlineLevel="0" collapsed="false">
      <c r="A1995" s="0" t="n">
        <v>1991</v>
      </c>
      <c r="B1995" s="0" t="n">
        <v>3</v>
      </c>
      <c r="C1995" s="19" t="n">
        <v>0</v>
      </c>
      <c r="D1995" s="19" t="n">
        <v>0</v>
      </c>
      <c r="E1995" s="20" t="n">
        <f aca="false">Parametres!$B$5*C1995</f>
        <v>0</v>
      </c>
      <c r="F1995" s="20" t="n">
        <f aca="false">Parametres!$B$6*D1995</f>
        <v>0</v>
      </c>
      <c r="G1995" s="20" t="n">
        <f aca="false">E1995+F1995</f>
        <v>0</v>
      </c>
      <c r="H1995" s="20" t="n">
        <f aca="false">IF(G1995&lt;Parametres!$B$8*Parametres!$B$7,0,MIN(G1995,Parametres!$B$7))</f>
        <v>0</v>
      </c>
      <c r="I1995" s="20" t="n">
        <f aca="false">G1995-H1995</f>
        <v>0</v>
      </c>
      <c r="J1995" s="21" t="n">
        <f aca="false">H1995*1000/Parametres!$B$9</f>
        <v>0</v>
      </c>
    </row>
    <row r="1996" customFormat="false" ht="15" hidden="false" customHeight="false" outlineLevel="0" collapsed="false">
      <c r="A1996" s="0" t="n">
        <v>1992</v>
      </c>
      <c r="B1996" s="0" t="n">
        <v>3</v>
      </c>
      <c r="C1996" s="19" t="n">
        <v>0</v>
      </c>
      <c r="D1996" s="19" t="n">
        <v>0</v>
      </c>
      <c r="E1996" s="20" t="n">
        <f aca="false">Parametres!$B$5*C1996</f>
        <v>0</v>
      </c>
      <c r="F1996" s="20" t="n">
        <f aca="false">Parametres!$B$6*D1996</f>
        <v>0</v>
      </c>
      <c r="G1996" s="20" t="n">
        <f aca="false">E1996+F1996</f>
        <v>0</v>
      </c>
      <c r="H1996" s="20" t="n">
        <f aca="false">IF(G1996&lt;Parametres!$B$8*Parametres!$B$7,0,MIN(G1996,Parametres!$B$7))</f>
        <v>0</v>
      </c>
      <c r="I1996" s="20" t="n">
        <f aca="false">G1996-H1996</f>
        <v>0</v>
      </c>
      <c r="J1996" s="21" t="n">
        <f aca="false">H1996*1000/Parametres!$B$9</f>
        <v>0</v>
      </c>
    </row>
    <row r="1997" customFormat="false" ht="15" hidden="false" customHeight="false" outlineLevel="0" collapsed="false">
      <c r="A1997" s="0" t="n">
        <v>1993</v>
      </c>
      <c r="B1997" s="0" t="n">
        <v>3</v>
      </c>
      <c r="C1997" s="19" t="n">
        <v>0</v>
      </c>
      <c r="D1997" s="19" t="n">
        <v>0</v>
      </c>
      <c r="E1997" s="20" t="n">
        <f aca="false">Parametres!$B$5*C1997</f>
        <v>0</v>
      </c>
      <c r="F1997" s="20" t="n">
        <f aca="false">Parametres!$B$6*D1997</f>
        <v>0</v>
      </c>
      <c r="G1997" s="20" t="n">
        <f aca="false">E1997+F1997</f>
        <v>0</v>
      </c>
      <c r="H1997" s="20" t="n">
        <f aca="false">IF(G1997&lt;Parametres!$B$8*Parametres!$B$7,0,MIN(G1997,Parametres!$B$7))</f>
        <v>0</v>
      </c>
      <c r="I1997" s="20" t="n">
        <f aca="false">G1997-H1997</f>
        <v>0</v>
      </c>
      <c r="J1997" s="21" t="n">
        <f aca="false">H1997*1000/Parametres!$B$9</f>
        <v>0</v>
      </c>
    </row>
    <row r="1998" customFormat="false" ht="15" hidden="false" customHeight="false" outlineLevel="0" collapsed="false">
      <c r="A1998" s="0" t="n">
        <v>1994</v>
      </c>
      <c r="B1998" s="0" t="n">
        <v>3</v>
      </c>
      <c r="C1998" s="19" t="n">
        <v>0</v>
      </c>
      <c r="D1998" s="19" t="n">
        <v>0</v>
      </c>
      <c r="E1998" s="20" t="n">
        <f aca="false">Parametres!$B$5*C1998</f>
        <v>0</v>
      </c>
      <c r="F1998" s="20" t="n">
        <f aca="false">Parametres!$B$6*D1998</f>
        <v>0</v>
      </c>
      <c r="G1998" s="20" t="n">
        <f aca="false">E1998+F1998</f>
        <v>0</v>
      </c>
      <c r="H1998" s="20" t="n">
        <f aca="false">IF(G1998&lt;Parametres!$B$8*Parametres!$B$7,0,MIN(G1998,Parametres!$B$7))</f>
        <v>0</v>
      </c>
      <c r="I1998" s="20" t="n">
        <f aca="false">G1998-H1998</f>
        <v>0</v>
      </c>
      <c r="J1998" s="21" t="n">
        <f aca="false">H1998*1000/Parametres!$B$9</f>
        <v>0</v>
      </c>
    </row>
    <row r="1999" customFormat="false" ht="15" hidden="false" customHeight="false" outlineLevel="0" collapsed="false">
      <c r="A1999" s="0" t="n">
        <v>1995</v>
      </c>
      <c r="B1999" s="0" t="n">
        <v>3</v>
      </c>
      <c r="C1999" s="19" t="n">
        <v>0</v>
      </c>
      <c r="D1999" s="19" t="n">
        <v>0.0001</v>
      </c>
      <c r="E1999" s="20" t="n">
        <f aca="false">Parametres!$B$5*C1999</f>
        <v>0</v>
      </c>
      <c r="F1999" s="20" t="n">
        <f aca="false">Parametres!$B$6*D1999</f>
        <v>0.02</v>
      </c>
      <c r="G1999" s="20" t="n">
        <f aca="false">E1999+F1999</f>
        <v>0.02</v>
      </c>
      <c r="H1999" s="20" t="n">
        <f aca="false">IF(G1999&lt;Parametres!$B$8*Parametres!$B$7,0,MIN(G1999,Parametres!$B$7))</f>
        <v>0</v>
      </c>
      <c r="I1999" s="20" t="n">
        <f aca="false">G1999-H1999</f>
        <v>0.02</v>
      </c>
      <c r="J1999" s="21" t="n">
        <f aca="false">H1999*1000/Parametres!$B$9</f>
        <v>0</v>
      </c>
    </row>
    <row r="2000" customFormat="false" ht="15" hidden="false" customHeight="false" outlineLevel="0" collapsed="false">
      <c r="A2000" s="0" t="n">
        <v>1996</v>
      </c>
      <c r="B2000" s="0" t="n">
        <v>3</v>
      </c>
      <c r="C2000" s="19" t="n">
        <v>0</v>
      </c>
      <c r="D2000" s="19" t="n">
        <v>0</v>
      </c>
      <c r="E2000" s="20" t="n">
        <f aca="false">Parametres!$B$5*C2000</f>
        <v>0</v>
      </c>
      <c r="F2000" s="20" t="n">
        <f aca="false">Parametres!$B$6*D2000</f>
        <v>0</v>
      </c>
      <c r="G2000" s="20" t="n">
        <f aca="false">E2000+F2000</f>
        <v>0</v>
      </c>
      <c r="H2000" s="20" t="n">
        <f aca="false">IF(G2000&lt;Parametres!$B$8*Parametres!$B$7,0,MIN(G2000,Parametres!$B$7))</f>
        <v>0</v>
      </c>
      <c r="I2000" s="20" t="n">
        <f aca="false">G2000-H2000</f>
        <v>0</v>
      </c>
      <c r="J2000" s="21" t="n">
        <f aca="false">H2000*1000/Parametres!$B$9</f>
        <v>0</v>
      </c>
    </row>
    <row r="2001" customFormat="false" ht="15" hidden="false" customHeight="false" outlineLevel="0" collapsed="false">
      <c r="A2001" s="0" t="n">
        <v>1997</v>
      </c>
      <c r="B2001" s="0" t="n">
        <v>3</v>
      </c>
      <c r="C2001" s="19" t="n">
        <v>0</v>
      </c>
      <c r="D2001" s="19" t="n">
        <v>0</v>
      </c>
      <c r="E2001" s="20" t="n">
        <f aca="false">Parametres!$B$5*C2001</f>
        <v>0</v>
      </c>
      <c r="F2001" s="20" t="n">
        <f aca="false">Parametres!$B$6*D2001</f>
        <v>0</v>
      </c>
      <c r="G2001" s="20" t="n">
        <f aca="false">E2001+F2001</f>
        <v>0</v>
      </c>
      <c r="H2001" s="20" t="n">
        <f aca="false">IF(G2001&lt;Parametres!$B$8*Parametres!$B$7,0,MIN(G2001,Parametres!$B$7))</f>
        <v>0</v>
      </c>
      <c r="I2001" s="20" t="n">
        <f aca="false">G2001-H2001</f>
        <v>0</v>
      </c>
      <c r="J2001" s="21" t="n">
        <f aca="false">H2001*1000/Parametres!$B$9</f>
        <v>0</v>
      </c>
    </row>
    <row r="2002" customFormat="false" ht="15" hidden="false" customHeight="false" outlineLevel="0" collapsed="false">
      <c r="A2002" s="0" t="n">
        <v>1998</v>
      </c>
      <c r="B2002" s="0" t="n">
        <v>3</v>
      </c>
      <c r="C2002" s="19" t="n">
        <v>0</v>
      </c>
      <c r="D2002" s="19" t="n">
        <v>0.0005</v>
      </c>
      <c r="E2002" s="20" t="n">
        <f aca="false">Parametres!$B$5*C2002</f>
        <v>0</v>
      </c>
      <c r="F2002" s="20" t="n">
        <f aca="false">Parametres!$B$6*D2002</f>
        <v>0.1</v>
      </c>
      <c r="G2002" s="20" t="n">
        <f aca="false">E2002+F2002</f>
        <v>0.1</v>
      </c>
      <c r="H2002" s="20" t="n">
        <f aca="false">IF(G2002&lt;Parametres!$B$8*Parametres!$B$7,0,MIN(G2002,Parametres!$B$7))</f>
        <v>0</v>
      </c>
      <c r="I2002" s="20" t="n">
        <f aca="false">G2002-H2002</f>
        <v>0.1</v>
      </c>
      <c r="J2002" s="21" t="n">
        <f aca="false">H2002*1000/Parametres!$B$9</f>
        <v>0</v>
      </c>
    </row>
    <row r="2003" customFormat="false" ht="15" hidden="false" customHeight="false" outlineLevel="0" collapsed="false">
      <c r="A2003" s="0" t="n">
        <v>1999</v>
      </c>
      <c r="B2003" s="0" t="n">
        <v>3</v>
      </c>
      <c r="C2003" s="19" t="n">
        <v>0.0888</v>
      </c>
      <c r="D2003" s="19" t="n">
        <v>0.0016</v>
      </c>
      <c r="E2003" s="20" t="n">
        <f aca="false">Parametres!$B$5*C2003</f>
        <v>26.64</v>
      </c>
      <c r="F2003" s="20" t="n">
        <f aca="false">Parametres!$B$6*D2003</f>
        <v>0.32</v>
      </c>
      <c r="G2003" s="20" t="n">
        <f aca="false">E2003+F2003</f>
        <v>26.96</v>
      </c>
      <c r="H2003" s="20" t="n">
        <f aca="false">IF(G2003&lt;Parametres!$B$8*Parametres!$B$7,0,MIN(G2003,Parametres!$B$7))</f>
        <v>26.96</v>
      </c>
      <c r="I2003" s="20" t="n">
        <f aca="false">G2003-H2003</f>
        <v>0</v>
      </c>
      <c r="J2003" s="21" t="n">
        <f aca="false">H2003*1000/Parametres!$B$9</f>
        <v>457.181617771748</v>
      </c>
    </row>
    <row r="2004" customFormat="false" ht="15" hidden="false" customHeight="false" outlineLevel="0" collapsed="false">
      <c r="A2004" s="0" t="n">
        <v>2000</v>
      </c>
      <c r="B2004" s="0" t="n">
        <v>3</v>
      </c>
      <c r="C2004" s="19" t="n">
        <v>0.3206</v>
      </c>
      <c r="D2004" s="19" t="n">
        <v>0.0119</v>
      </c>
      <c r="E2004" s="20" t="n">
        <f aca="false">Parametres!$B$5*C2004</f>
        <v>96.18</v>
      </c>
      <c r="F2004" s="20" t="n">
        <f aca="false">Parametres!$B$6*D2004</f>
        <v>2.38</v>
      </c>
      <c r="G2004" s="20" t="n">
        <f aca="false">E2004+F2004</f>
        <v>98.56</v>
      </c>
      <c r="H2004" s="20" t="n">
        <f aca="false">IF(G2004&lt;Parametres!$B$8*Parametres!$B$7,0,MIN(G2004,Parametres!$B$7))</f>
        <v>98.56</v>
      </c>
      <c r="I2004" s="20" t="n">
        <f aca="false">G2004-H2004</f>
        <v>0</v>
      </c>
      <c r="J2004" s="21" t="n">
        <f aca="false">H2004*1000/Parametres!$B$9</f>
        <v>1671.35831778871</v>
      </c>
    </row>
    <row r="2005" customFormat="false" ht="15" hidden="false" customHeight="false" outlineLevel="0" collapsed="false">
      <c r="A2005" s="0" t="n">
        <v>2001</v>
      </c>
      <c r="B2005" s="0" t="n">
        <v>3</v>
      </c>
      <c r="C2005" s="19" t="n">
        <v>0.5074</v>
      </c>
      <c r="D2005" s="19" t="n">
        <v>0.0358</v>
      </c>
      <c r="E2005" s="20" t="n">
        <f aca="false">Parametres!$B$5*C2005</f>
        <v>152.22</v>
      </c>
      <c r="F2005" s="20" t="n">
        <f aca="false">Parametres!$B$6*D2005</f>
        <v>7.16</v>
      </c>
      <c r="G2005" s="20" t="n">
        <f aca="false">E2005+F2005</f>
        <v>159.38</v>
      </c>
      <c r="H2005" s="20" t="n">
        <f aca="false">IF(G2005&lt;Parametres!$B$8*Parametres!$B$7,0,MIN(G2005,Parametres!$B$7))</f>
        <v>159.38</v>
      </c>
      <c r="I2005" s="20" t="n">
        <f aca="false">G2005-H2005</f>
        <v>0</v>
      </c>
      <c r="J2005" s="21" t="n">
        <f aca="false">H2005*1000/Parametres!$B$9</f>
        <v>2702.73020179752</v>
      </c>
    </row>
    <row r="2006" customFormat="false" ht="15" hidden="false" customHeight="false" outlineLevel="0" collapsed="false">
      <c r="A2006" s="0" t="n">
        <v>2002</v>
      </c>
      <c r="B2006" s="0" t="n">
        <v>3</v>
      </c>
      <c r="C2006" s="19" t="n">
        <v>0.7302</v>
      </c>
      <c r="D2006" s="19" t="n">
        <v>0.1223</v>
      </c>
      <c r="E2006" s="20" t="n">
        <f aca="false">Parametres!$B$5*C2006</f>
        <v>219.06</v>
      </c>
      <c r="F2006" s="20" t="n">
        <f aca="false">Parametres!$B$6*D2006</f>
        <v>24.46</v>
      </c>
      <c r="G2006" s="20" t="n">
        <f aca="false">E2006+F2006</f>
        <v>243.52</v>
      </c>
      <c r="H2006" s="20" t="n">
        <f aca="false">IF(G2006&lt;Parametres!$B$8*Parametres!$B$7,0,MIN(G2006,Parametres!$B$7))</f>
        <v>243.52</v>
      </c>
      <c r="I2006" s="20" t="n">
        <f aca="false">G2006-H2006</f>
        <v>0</v>
      </c>
      <c r="J2006" s="21" t="n">
        <f aca="false">H2006*1000/Parametres!$B$9</f>
        <v>4129.55740206885</v>
      </c>
    </row>
    <row r="2007" customFormat="false" ht="15" hidden="false" customHeight="false" outlineLevel="0" collapsed="false">
      <c r="A2007" s="0" t="n">
        <v>2003</v>
      </c>
      <c r="B2007" s="0" t="n">
        <v>3</v>
      </c>
      <c r="C2007" s="19" t="n">
        <v>0.8616</v>
      </c>
      <c r="D2007" s="19" t="n">
        <v>0.1457</v>
      </c>
      <c r="E2007" s="20" t="n">
        <f aca="false">Parametres!$B$5*C2007</f>
        <v>258.48</v>
      </c>
      <c r="F2007" s="20" t="n">
        <f aca="false">Parametres!$B$6*D2007</f>
        <v>29.14</v>
      </c>
      <c r="G2007" s="20" t="n">
        <f aca="false">E2007+F2007</f>
        <v>287.62</v>
      </c>
      <c r="H2007" s="20" t="n">
        <f aca="false">IF(G2007&lt;Parametres!$B$8*Parametres!$B$7,0,MIN(G2007,Parametres!$B$7))</f>
        <v>250</v>
      </c>
      <c r="I2007" s="20" t="n">
        <f aca="false">G2007-H2007</f>
        <v>37.62</v>
      </c>
      <c r="J2007" s="21" t="n">
        <f aca="false">H2007*1000/Parametres!$B$9</f>
        <v>4239.44378497541</v>
      </c>
    </row>
    <row r="2008" customFormat="false" ht="15" hidden="false" customHeight="false" outlineLevel="0" collapsed="false">
      <c r="A2008" s="0" t="n">
        <v>2004</v>
      </c>
      <c r="B2008" s="0" t="n">
        <v>3</v>
      </c>
      <c r="C2008" s="19" t="n">
        <v>0.9306</v>
      </c>
      <c r="D2008" s="19" t="n">
        <v>0.2745</v>
      </c>
      <c r="E2008" s="20" t="n">
        <f aca="false">Parametres!$B$5*C2008</f>
        <v>279.18</v>
      </c>
      <c r="F2008" s="20" t="n">
        <f aca="false">Parametres!$B$6*D2008</f>
        <v>54.9</v>
      </c>
      <c r="G2008" s="20" t="n">
        <f aca="false">E2008+F2008</f>
        <v>334.08</v>
      </c>
      <c r="H2008" s="20" t="n">
        <f aca="false">IF(G2008&lt;Parametres!$B$8*Parametres!$B$7,0,MIN(G2008,Parametres!$B$7))</f>
        <v>250</v>
      </c>
      <c r="I2008" s="20" t="n">
        <f aca="false">G2008-H2008</f>
        <v>84.08</v>
      </c>
      <c r="J2008" s="21" t="n">
        <f aca="false">H2008*1000/Parametres!$B$9</f>
        <v>4239.44378497541</v>
      </c>
    </row>
    <row r="2009" customFormat="false" ht="15" hidden="false" customHeight="false" outlineLevel="0" collapsed="false">
      <c r="A2009" s="0" t="n">
        <v>2005</v>
      </c>
      <c r="B2009" s="0" t="n">
        <v>3</v>
      </c>
      <c r="C2009" s="19" t="n">
        <v>0.9372</v>
      </c>
      <c r="D2009" s="19" t="n">
        <v>0.2297</v>
      </c>
      <c r="E2009" s="20" t="n">
        <f aca="false">Parametres!$B$5*C2009</f>
        <v>281.16</v>
      </c>
      <c r="F2009" s="20" t="n">
        <f aca="false">Parametres!$B$6*D2009</f>
        <v>45.94</v>
      </c>
      <c r="G2009" s="20" t="n">
        <f aca="false">E2009+F2009</f>
        <v>327.1</v>
      </c>
      <c r="H2009" s="20" t="n">
        <f aca="false">IF(G2009&lt;Parametres!$B$8*Parametres!$B$7,0,MIN(G2009,Parametres!$B$7))</f>
        <v>250</v>
      </c>
      <c r="I2009" s="20" t="n">
        <f aca="false">G2009-H2009</f>
        <v>77.1</v>
      </c>
      <c r="J2009" s="21" t="n">
        <f aca="false">H2009*1000/Parametres!$B$9</f>
        <v>4239.44378497541</v>
      </c>
    </row>
    <row r="2010" customFormat="false" ht="15" hidden="false" customHeight="false" outlineLevel="0" collapsed="false">
      <c r="A2010" s="0" t="n">
        <v>2006</v>
      </c>
      <c r="B2010" s="0" t="n">
        <v>3</v>
      </c>
      <c r="C2010" s="19" t="n">
        <v>0.7985</v>
      </c>
      <c r="D2010" s="19" t="n">
        <v>0.3721</v>
      </c>
      <c r="E2010" s="20" t="n">
        <f aca="false">Parametres!$B$5*C2010</f>
        <v>239.55</v>
      </c>
      <c r="F2010" s="20" t="n">
        <f aca="false">Parametres!$B$6*D2010</f>
        <v>74.42</v>
      </c>
      <c r="G2010" s="20" t="n">
        <f aca="false">E2010+F2010</f>
        <v>313.97</v>
      </c>
      <c r="H2010" s="20" t="n">
        <f aca="false">IF(G2010&lt;Parametres!$B$8*Parametres!$B$7,0,MIN(G2010,Parametres!$B$7))</f>
        <v>250</v>
      </c>
      <c r="I2010" s="20" t="n">
        <f aca="false">G2010-H2010</f>
        <v>63.97</v>
      </c>
      <c r="J2010" s="21" t="n">
        <f aca="false">H2010*1000/Parametres!$B$9</f>
        <v>4239.44378497541</v>
      </c>
    </row>
    <row r="2011" customFormat="false" ht="15" hidden="false" customHeight="false" outlineLevel="0" collapsed="false">
      <c r="A2011" s="0" t="n">
        <v>2007</v>
      </c>
      <c r="B2011" s="0" t="n">
        <v>3</v>
      </c>
      <c r="C2011" s="19" t="n">
        <v>0.692</v>
      </c>
      <c r="D2011" s="19" t="n">
        <v>0.7386</v>
      </c>
      <c r="E2011" s="20" t="n">
        <f aca="false">Parametres!$B$5*C2011</f>
        <v>207.6</v>
      </c>
      <c r="F2011" s="20" t="n">
        <f aca="false">Parametres!$B$6*D2011</f>
        <v>147.72</v>
      </c>
      <c r="G2011" s="20" t="n">
        <f aca="false">E2011+F2011</f>
        <v>355.32</v>
      </c>
      <c r="H2011" s="20" t="n">
        <f aca="false">IF(G2011&lt;Parametres!$B$8*Parametres!$B$7,0,MIN(G2011,Parametres!$B$7))</f>
        <v>250</v>
      </c>
      <c r="I2011" s="20" t="n">
        <f aca="false">G2011-H2011</f>
        <v>105.32</v>
      </c>
      <c r="J2011" s="21" t="n">
        <f aca="false">H2011*1000/Parametres!$B$9</f>
        <v>4239.44378497541</v>
      </c>
    </row>
    <row r="2012" customFormat="false" ht="15" hidden="false" customHeight="false" outlineLevel="0" collapsed="false">
      <c r="A2012" s="0" t="n">
        <v>2008</v>
      </c>
      <c r="B2012" s="0" t="n">
        <v>3</v>
      </c>
      <c r="C2012" s="19" t="n">
        <v>0.536</v>
      </c>
      <c r="D2012" s="19" t="n">
        <v>1</v>
      </c>
      <c r="E2012" s="20" t="n">
        <f aca="false">Parametres!$B$5*C2012</f>
        <v>160.8</v>
      </c>
      <c r="F2012" s="20" t="n">
        <f aca="false">Parametres!$B$6*D2012</f>
        <v>200</v>
      </c>
      <c r="G2012" s="20" t="n">
        <f aca="false">E2012+F2012</f>
        <v>360.8</v>
      </c>
      <c r="H2012" s="20" t="n">
        <f aca="false">IF(G2012&lt;Parametres!$B$8*Parametres!$B$7,0,MIN(G2012,Parametres!$B$7))</f>
        <v>250</v>
      </c>
      <c r="I2012" s="20" t="n">
        <f aca="false">G2012-H2012</f>
        <v>110.8</v>
      </c>
      <c r="J2012" s="21" t="n">
        <f aca="false">H2012*1000/Parametres!$B$9</f>
        <v>4239.44378497541</v>
      </c>
    </row>
    <row r="2013" customFormat="false" ht="15" hidden="false" customHeight="false" outlineLevel="0" collapsed="false">
      <c r="A2013" s="0" t="n">
        <v>2009</v>
      </c>
      <c r="B2013" s="0" t="n">
        <v>3</v>
      </c>
      <c r="C2013" s="19" t="n">
        <v>0.2929</v>
      </c>
      <c r="D2013" s="19" t="n">
        <v>1</v>
      </c>
      <c r="E2013" s="20" t="n">
        <f aca="false">Parametres!$B$5*C2013</f>
        <v>87.87</v>
      </c>
      <c r="F2013" s="20" t="n">
        <f aca="false">Parametres!$B$6*D2013</f>
        <v>200</v>
      </c>
      <c r="G2013" s="20" t="n">
        <f aca="false">E2013+F2013</f>
        <v>287.87</v>
      </c>
      <c r="H2013" s="20" t="n">
        <f aca="false">IF(G2013&lt;Parametres!$B$8*Parametres!$B$7,0,MIN(G2013,Parametres!$B$7))</f>
        <v>250</v>
      </c>
      <c r="I2013" s="20" t="n">
        <f aca="false">G2013-H2013</f>
        <v>37.87</v>
      </c>
      <c r="J2013" s="21" t="n">
        <f aca="false">H2013*1000/Parametres!$B$9</f>
        <v>4239.44378497541</v>
      </c>
    </row>
    <row r="2014" customFormat="false" ht="15" hidden="false" customHeight="false" outlineLevel="0" collapsed="false">
      <c r="A2014" s="0" t="n">
        <v>2010</v>
      </c>
      <c r="B2014" s="0" t="n">
        <v>3</v>
      </c>
      <c r="C2014" s="19" t="n">
        <v>0.0996</v>
      </c>
      <c r="D2014" s="19" t="n">
        <v>1</v>
      </c>
      <c r="E2014" s="20" t="n">
        <f aca="false">Parametres!$B$5*C2014</f>
        <v>29.88</v>
      </c>
      <c r="F2014" s="20" t="n">
        <f aca="false">Parametres!$B$6*D2014</f>
        <v>200</v>
      </c>
      <c r="G2014" s="20" t="n">
        <f aca="false">E2014+F2014</f>
        <v>229.88</v>
      </c>
      <c r="H2014" s="20" t="n">
        <f aca="false">IF(G2014&lt;Parametres!$B$8*Parametres!$B$7,0,MIN(G2014,Parametres!$B$7))</f>
        <v>229.88</v>
      </c>
      <c r="I2014" s="20" t="n">
        <f aca="false">G2014-H2014</f>
        <v>0</v>
      </c>
      <c r="J2014" s="21" t="n">
        <f aca="false">H2014*1000/Parametres!$B$9</f>
        <v>3898.25334916059</v>
      </c>
    </row>
    <row r="2015" customFormat="false" ht="15" hidden="false" customHeight="false" outlineLevel="0" collapsed="false">
      <c r="A2015" s="0" t="n">
        <v>2011</v>
      </c>
      <c r="B2015" s="0" t="n">
        <v>3</v>
      </c>
      <c r="C2015" s="19" t="n">
        <v>0</v>
      </c>
      <c r="D2015" s="19" t="n">
        <v>1</v>
      </c>
      <c r="E2015" s="20" t="n">
        <f aca="false">Parametres!$B$5*C2015</f>
        <v>0</v>
      </c>
      <c r="F2015" s="20" t="n">
        <f aca="false">Parametres!$B$6*D2015</f>
        <v>200</v>
      </c>
      <c r="G2015" s="20" t="n">
        <f aca="false">E2015+F2015</f>
        <v>200</v>
      </c>
      <c r="H2015" s="20" t="n">
        <f aca="false">IF(G2015&lt;Parametres!$B$8*Parametres!$B$7,0,MIN(G2015,Parametres!$B$7))</f>
        <v>200</v>
      </c>
      <c r="I2015" s="20" t="n">
        <f aca="false">G2015-H2015</f>
        <v>0</v>
      </c>
      <c r="J2015" s="21" t="n">
        <f aca="false">H2015*1000/Parametres!$B$9</f>
        <v>3391.55502798033</v>
      </c>
    </row>
    <row r="2016" customFormat="false" ht="15" hidden="false" customHeight="false" outlineLevel="0" collapsed="false">
      <c r="A2016" s="0" t="n">
        <v>2012</v>
      </c>
      <c r="B2016" s="0" t="n">
        <v>3</v>
      </c>
      <c r="C2016" s="19" t="n">
        <v>0</v>
      </c>
      <c r="D2016" s="19" t="n">
        <v>0.8952</v>
      </c>
      <c r="E2016" s="20" t="n">
        <f aca="false">Parametres!$B$5*C2016</f>
        <v>0</v>
      </c>
      <c r="F2016" s="20" t="n">
        <f aca="false">Parametres!$B$6*D2016</f>
        <v>179.04</v>
      </c>
      <c r="G2016" s="20" t="n">
        <f aca="false">E2016+F2016</f>
        <v>179.04</v>
      </c>
      <c r="H2016" s="20" t="n">
        <f aca="false">IF(G2016&lt;Parametres!$B$8*Parametres!$B$7,0,MIN(G2016,Parametres!$B$7))</f>
        <v>179.04</v>
      </c>
      <c r="I2016" s="20" t="n">
        <f aca="false">G2016-H2016</f>
        <v>0</v>
      </c>
      <c r="J2016" s="21" t="n">
        <f aca="false">H2016*1000/Parametres!$B$9</f>
        <v>3036.12006104799</v>
      </c>
    </row>
    <row r="2017" customFormat="false" ht="15" hidden="false" customHeight="false" outlineLevel="0" collapsed="false">
      <c r="A2017" s="0" t="n">
        <v>2013</v>
      </c>
      <c r="B2017" s="0" t="n">
        <v>3</v>
      </c>
      <c r="C2017" s="19" t="n">
        <v>0</v>
      </c>
      <c r="D2017" s="19" t="n">
        <v>0.9636</v>
      </c>
      <c r="E2017" s="20" t="n">
        <f aca="false">Parametres!$B$5*C2017</f>
        <v>0</v>
      </c>
      <c r="F2017" s="20" t="n">
        <f aca="false">Parametres!$B$6*D2017</f>
        <v>192.72</v>
      </c>
      <c r="G2017" s="20" t="n">
        <f aca="false">E2017+F2017</f>
        <v>192.72</v>
      </c>
      <c r="H2017" s="20" t="n">
        <f aca="false">IF(G2017&lt;Parametres!$B$8*Parametres!$B$7,0,MIN(G2017,Parametres!$B$7))</f>
        <v>192.72</v>
      </c>
      <c r="I2017" s="20" t="n">
        <f aca="false">G2017-H2017</f>
        <v>0</v>
      </c>
      <c r="J2017" s="21" t="n">
        <f aca="false">H2017*1000/Parametres!$B$9</f>
        <v>3268.10242496185</v>
      </c>
    </row>
    <row r="2018" customFormat="false" ht="15" hidden="false" customHeight="false" outlineLevel="0" collapsed="false">
      <c r="A2018" s="0" t="n">
        <v>2014</v>
      </c>
      <c r="B2018" s="0" t="n">
        <v>3</v>
      </c>
      <c r="C2018" s="19" t="n">
        <v>0</v>
      </c>
      <c r="D2018" s="19" t="n">
        <v>1</v>
      </c>
      <c r="E2018" s="20" t="n">
        <f aca="false">Parametres!$B$5*C2018</f>
        <v>0</v>
      </c>
      <c r="F2018" s="20" t="n">
        <f aca="false">Parametres!$B$6*D2018</f>
        <v>200</v>
      </c>
      <c r="G2018" s="20" t="n">
        <f aca="false">E2018+F2018</f>
        <v>200</v>
      </c>
      <c r="H2018" s="20" t="n">
        <f aca="false">IF(G2018&lt;Parametres!$B$8*Parametres!$B$7,0,MIN(G2018,Parametres!$B$7))</f>
        <v>200</v>
      </c>
      <c r="I2018" s="20" t="n">
        <f aca="false">G2018-H2018</f>
        <v>0</v>
      </c>
      <c r="J2018" s="21" t="n">
        <f aca="false">H2018*1000/Parametres!$B$9</f>
        <v>3391.55502798033</v>
      </c>
    </row>
    <row r="2019" customFormat="false" ht="15" hidden="false" customHeight="false" outlineLevel="0" collapsed="false">
      <c r="A2019" s="0" t="n">
        <v>2015</v>
      </c>
      <c r="B2019" s="0" t="n">
        <v>3</v>
      </c>
      <c r="C2019" s="19" t="n">
        <v>0</v>
      </c>
      <c r="D2019" s="19" t="n">
        <v>0.7838</v>
      </c>
      <c r="E2019" s="20" t="n">
        <f aca="false">Parametres!$B$5*C2019</f>
        <v>0</v>
      </c>
      <c r="F2019" s="20" t="n">
        <f aca="false">Parametres!$B$6*D2019</f>
        <v>156.76</v>
      </c>
      <c r="G2019" s="20" t="n">
        <f aca="false">E2019+F2019</f>
        <v>156.76</v>
      </c>
      <c r="H2019" s="20" t="n">
        <f aca="false">IF(G2019&lt;Parametres!$B$8*Parametres!$B$7,0,MIN(G2019,Parametres!$B$7))</f>
        <v>156.76</v>
      </c>
      <c r="I2019" s="20" t="n">
        <f aca="false">G2019-H2019</f>
        <v>0</v>
      </c>
      <c r="J2019" s="21" t="n">
        <f aca="false">H2019*1000/Parametres!$B$9</f>
        <v>2658.30083093098</v>
      </c>
    </row>
    <row r="2020" customFormat="false" ht="15" hidden="false" customHeight="false" outlineLevel="0" collapsed="false">
      <c r="A2020" s="0" t="n">
        <v>2016</v>
      </c>
      <c r="B2020" s="0" t="n">
        <v>3</v>
      </c>
      <c r="C2020" s="19" t="n">
        <v>0</v>
      </c>
      <c r="D2020" s="19" t="n">
        <v>0.5935</v>
      </c>
      <c r="E2020" s="20" t="n">
        <f aca="false">Parametres!$B$5*C2020</f>
        <v>0</v>
      </c>
      <c r="F2020" s="20" t="n">
        <f aca="false">Parametres!$B$6*D2020</f>
        <v>118.7</v>
      </c>
      <c r="G2020" s="20" t="n">
        <f aca="false">E2020+F2020</f>
        <v>118.7</v>
      </c>
      <c r="H2020" s="20" t="n">
        <f aca="false">IF(G2020&lt;Parametres!$B$8*Parametres!$B$7,0,MIN(G2020,Parametres!$B$7))</f>
        <v>118.7</v>
      </c>
      <c r="I2020" s="20" t="n">
        <f aca="false">G2020-H2020</f>
        <v>0</v>
      </c>
      <c r="J2020" s="21" t="n">
        <f aca="false">H2020*1000/Parametres!$B$9</f>
        <v>2012.88790910633</v>
      </c>
    </row>
    <row r="2021" customFormat="false" ht="15" hidden="false" customHeight="false" outlineLevel="0" collapsed="false">
      <c r="A2021" s="0" t="n">
        <v>2017</v>
      </c>
      <c r="B2021" s="0" t="n">
        <v>3</v>
      </c>
      <c r="C2021" s="19" t="n">
        <v>0</v>
      </c>
      <c r="D2021" s="19" t="n">
        <v>0.3984</v>
      </c>
      <c r="E2021" s="20" t="n">
        <f aca="false">Parametres!$B$5*C2021</f>
        <v>0</v>
      </c>
      <c r="F2021" s="20" t="n">
        <f aca="false">Parametres!$B$6*D2021</f>
        <v>79.68</v>
      </c>
      <c r="G2021" s="20" t="n">
        <f aca="false">E2021+F2021</f>
        <v>79.68</v>
      </c>
      <c r="H2021" s="20" t="n">
        <f aca="false">IF(G2021&lt;Parametres!$B$8*Parametres!$B$7,0,MIN(G2021,Parametres!$B$7))</f>
        <v>79.68</v>
      </c>
      <c r="I2021" s="20" t="n">
        <f aca="false">G2021-H2021</f>
        <v>0</v>
      </c>
      <c r="J2021" s="21" t="n">
        <f aca="false">H2021*1000/Parametres!$B$9</f>
        <v>1351.19552314736</v>
      </c>
    </row>
    <row r="2022" customFormat="false" ht="15" hidden="false" customHeight="false" outlineLevel="0" collapsed="false">
      <c r="A2022" s="0" t="n">
        <v>2018</v>
      </c>
      <c r="B2022" s="0" t="n">
        <v>3</v>
      </c>
      <c r="C2022" s="19" t="n">
        <v>0</v>
      </c>
      <c r="D2022" s="19" t="n">
        <v>0.3978</v>
      </c>
      <c r="E2022" s="20" t="n">
        <f aca="false">Parametres!$B$5*C2022</f>
        <v>0</v>
      </c>
      <c r="F2022" s="20" t="n">
        <f aca="false">Parametres!$B$6*D2022</f>
        <v>79.56</v>
      </c>
      <c r="G2022" s="20" t="n">
        <f aca="false">E2022+F2022</f>
        <v>79.56</v>
      </c>
      <c r="H2022" s="20" t="n">
        <f aca="false">IF(G2022&lt;Parametres!$B$8*Parametres!$B$7,0,MIN(G2022,Parametres!$B$7))</f>
        <v>79.56</v>
      </c>
      <c r="I2022" s="20" t="n">
        <f aca="false">G2022-H2022</f>
        <v>0</v>
      </c>
      <c r="J2022" s="21" t="n">
        <f aca="false">H2022*1000/Parametres!$B$9</f>
        <v>1349.16059013058</v>
      </c>
    </row>
    <row r="2023" customFormat="false" ht="15" hidden="false" customHeight="false" outlineLevel="0" collapsed="false">
      <c r="A2023" s="0" t="n">
        <v>2019</v>
      </c>
      <c r="B2023" s="0" t="n">
        <v>3</v>
      </c>
      <c r="C2023" s="19" t="n">
        <v>0</v>
      </c>
      <c r="D2023" s="19" t="n">
        <v>0.542</v>
      </c>
      <c r="E2023" s="20" t="n">
        <f aca="false">Parametres!$B$5*C2023</f>
        <v>0</v>
      </c>
      <c r="F2023" s="20" t="n">
        <f aca="false">Parametres!$B$6*D2023</f>
        <v>108.4</v>
      </c>
      <c r="G2023" s="20" t="n">
        <f aca="false">E2023+F2023</f>
        <v>108.4</v>
      </c>
      <c r="H2023" s="20" t="n">
        <f aca="false">IF(G2023&lt;Parametres!$B$8*Parametres!$B$7,0,MIN(G2023,Parametres!$B$7))</f>
        <v>108.4</v>
      </c>
      <c r="I2023" s="20" t="n">
        <f aca="false">G2023-H2023</f>
        <v>0</v>
      </c>
      <c r="J2023" s="21" t="n">
        <f aca="false">H2023*1000/Parametres!$B$9</f>
        <v>1838.22282516534</v>
      </c>
    </row>
    <row r="2024" customFormat="false" ht="15" hidden="false" customHeight="false" outlineLevel="0" collapsed="false">
      <c r="A2024" s="0" t="n">
        <v>2020</v>
      </c>
      <c r="B2024" s="0" t="n">
        <v>3</v>
      </c>
      <c r="C2024" s="19" t="n">
        <v>0</v>
      </c>
      <c r="D2024" s="19" t="n">
        <v>0.5609</v>
      </c>
      <c r="E2024" s="20" t="n">
        <f aca="false">Parametres!$B$5*C2024</f>
        <v>0</v>
      </c>
      <c r="F2024" s="20" t="n">
        <f aca="false">Parametres!$B$6*D2024</f>
        <v>112.18</v>
      </c>
      <c r="G2024" s="20" t="n">
        <f aca="false">E2024+F2024</f>
        <v>112.18</v>
      </c>
      <c r="H2024" s="20" t="n">
        <f aca="false">IF(G2024&lt;Parametres!$B$8*Parametres!$B$7,0,MIN(G2024,Parametres!$B$7))</f>
        <v>112.18</v>
      </c>
      <c r="I2024" s="20" t="n">
        <f aca="false">G2024-H2024</f>
        <v>0</v>
      </c>
      <c r="J2024" s="21" t="n">
        <f aca="false">H2024*1000/Parametres!$B$9</f>
        <v>1902.32321519417</v>
      </c>
    </row>
    <row r="2025" customFormat="false" ht="15" hidden="false" customHeight="false" outlineLevel="0" collapsed="false">
      <c r="A2025" s="0" t="n">
        <v>2021</v>
      </c>
      <c r="B2025" s="0" t="n">
        <v>3</v>
      </c>
      <c r="C2025" s="19" t="n">
        <v>0</v>
      </c>
      <c r="D2025" s="19" t="n">
        <v>1</v>
      </c>
      <c r="E2025" s="20" t="n">
        <f aca="false">Parametres!$B$5*C2025</f>
        <v>0</v>
      </c>
      <c r="F2025" s="20" t="n">
        <f aca="false">Parametres!$B$6*D2025</f>
        <v>200</v>
      </c>
      <c r="G2025" s="20" t="n">
        <f aca="false">E2025+F2025</f>
        <v>200</v>
      </c>
      <c r="H2025" s="20" t="n">
        <f aca="false">IF(G2025&lt;Parametres!$B$8*Parametres!$B$7,0,MIN(G2025,Parametres!$B$7))</f>
        <v>200</v>
      </c>
      <c r="I2025" s="20" t="n">
        <f aca="false">G2025-H2025</f>
        <v>0</v>
      </c>
      <c r="J2025" s="21" t="n">
        <f aca="false">H2025*1000/Parametres!$B$9</f>
        <v>3391.55502798033</v>
      </c>
    </row>
    <row r="2026" customFormat="false" ht="15" hidden="false" customHeight="false" outlineLevel="0" collapsed="false">
      <c r="A2026" s="0" t="n">
        <v>2022</v>
      </c>
      <c r="B2026" s="0" t="n">
        <v>3</v>
      </c>
      <c r="C2026" s="19" t="n">
        <v>0</v>
      </c>
      <c r="D2026" s="19" t="n">
        <v>0.7955</v>
      </c>
      <c r="E2026" s="20" t="n">
        <f aca="false">Parametres!$B$5*C2026</f>
        <v>0</v>
      </c>
      <c r="F2026" s="20" t="n">
        <f aca="false">Parametres!$B$6*D2026</f>
        <v>159.1</v>
      </c>
      <c r="G2026" s="20" t="n">
        <f aca="false">E2026+F2026</f>
        <v>159.1</v>
      </c>
      <c r="H2026" s="20" t="n">
        <f aca="false">IF(G2026&lt;Parametres!$B$8*Parametres!$B$7,0,MIN(G2026,Parametres!$B$7))</f>
        <v>159.1</v>
      </c>
      <c r="I2026" s="20" t="n">
        <f aca="false">G2026-H2026</f>
        <v>0</v>
      </c>
      <c r="J2026" s="21" t="n">
        <f aca="false">H2026*1000/Parametres!$B$9</f>
        <v>2697.98202475835</v>
      </c>
    </row>
    <row r="2027" customFormat="false" ht="15" hidden="false" customHeight="false" outlineLevel="0" collapsed="false">
      <c r="A2027" s="0" t="n">
        <v>2023</v>
      </c>
      <c r="B2027" s="0" t="n">
        <v>3</v>
      </c>
      <c r="C2027" s="19" t="n">
        <v>0.1236</v>
      </c>
      <c r="D2027" s="19" t="n">
        <v>0.7231</v>
      </c>
      <c r="E2027" s="20" t="n">
        <f aca="false">Parametres!$B$5*C2027</f>
        <v>37.08</v>
      </c>
      <c r="F2027" s="20" t="n">
        <f aca="false">Parametres!$B$6*D2027</f>
        <v>144.62</v>
      </c>
      <c r="G2027" s="20" t="n">
        <f aca="false">E2027+F2027</f>
        <v>181.7</v>
      </c>
      <c r="H2027" s="20" t="n">
        <f aca="false">IF(G2027&lt;Parametres!$B$8*Parametres!$B$7,0,MIN(G2027,Parametres!$B$7))</f>
        <v>181.7</v>
      </c>
      <c r="I2027" s="20" t="n">
        <f aca="false">G2027-H2027</f>
        <v>0</v>
      </c>
      <c r="J2027" s="21" t="n">
        <f aca="false">H2027*1000/Parametres!$B$9</f>
        <v>3081.22774292013</v>
      </c>
    </row>
    <row r="2028" customFormat="false" ht="15" hidden="false" customHeight="false" outlineLevel="0" collapsed="false">
      <c r="A2028" s="0" t="n">
        <v>2024</v>
      </c>
      <c r="B2028" s="0" t="n">
        <v>3</v>
      </c>
      <c r="C2028" s="19" t="n">
        <v>0.4348</v>
      </c>
      <c r="D2028" s="19" t="n">
        <v>0.9407</v>
      </c>
      <c r="E2028" s="20" t="n">
        <f aca="false">Parametres!$B$5*C2028</f>
        <v>130.44</v>
      </c>
      <c r="F2028" s="20" t="n">
        <f aca="false">Parametres!$B$6*D2028</f>
        <v>188.14</v>
      </c>
      <c r="G2028" s="20" t="n">
        <f aca="false">E2028+F2028</f>
        <v>318.58</v>
      </c>
      <c r="H2028" s="20" t="n">
        <f aca="false">IF(G2028&lt;Parametres!$B$8*Parametres!$B$7,0,MIN(G2028,Parametres!$B$7))</f>
        <v>250</v>
      </c>
      <c r="I2028" s="20" t="n">
        <f aca="false">G2028-H2028</f>
        <v>68.58</v>
      </c>
      <c r="J2028" s="21" t="n">
        <f aca="false">H2028*1000/Parametres!$B$9</f>
        <v>4239.44378497541</v>
      </c>
    </row>
    <row r="2029" customFormat="false" ht="15" hidden="false" customHeight="false" outlineLevel="0" collapsed="false">
      <c r="A2029" s="0" t="n">
        <v>2025</v>
      </c>
      <c r="B2029" s="0" t="n">
        <v>3</v>
      </c>
      <c r="C2029" s="19" t="n">
        <v>0.7305</v>
      </c>
      <c r="D2029" s="19" t="n">
        <v>0.7786</v>
      </c>
      <c r="E2029" s="20" t="n">
        <f aca="false">Parametres!$B$5*C2029</f>
        <v>219.15</v>
      </c>
      <c r="F2029" s="20" t="n">
        <f aca="false">Parametres!$B$6*D2029</f>
        <v>155.72</v>
      </c>
      <c r="G2029" s="20" t="n">
        <f aca="false">E2029+F2029</f>
        <v>374.87</v>
      </c>
      <c r="H2029" s="20" t="n">
        <f aca="false">IF(G2029&lt;Parametres!$B$8*Parametres!$B$7,0,MIN(G2029,Parametres!$B$7))</f>
        <v>250</v>
      </c>
      <c r="I2029" s="20" t="n">
        <f aca="false">G2029-H2029</f>
        <v>124.87</v>
      </c>
      <c r="J2029" s="21" t="n">
        <f aca="false">H2029*1000/Parametres!$B$9</f>
        <v>4239.44378497541</v>
      </c>
    </row>
    <row r="2030" customFormat="false" ht="15" hidden="false" customHeight="false" outlineLevel="0" collapsed="false">
      <c r="A2030" s="0" t="n">
        <v>2026</v>
      </c>
      <c r="B2030" s="0" t="n">
        <v>3</v>
      </c>
      <c r="C2030" s="19" t="n">
        <v>0.9553</v>
      </c>
      <c r="D2030" s="19" t="n">
        <v>0.9708</v>
      </c>
      <c r="E2030" s="20" t="n">
        <f aca="false">Parametres!$B$5*C2030</f>
        <v>286.59</v>
      </c>
      <c r="F2030" s="20" t="n">
        <f aca="false">Parametres!$B$6*D2030</f>
        <v>194.16</v>
      </c>
      <c r="G2030" s="20" t="n">
        <f aca="false">E2030+F2030</f>
        <v>480.75</v>
      </c>
      <c r="H2030" s="20" t="n">
        <f aca="false">IF(G2030&lt;Parametres!$B$8*Parametres!$B$7,0,MIN(G2030,Parametres!$B$7))</f>
        <v>250</v>
      </c>
      <c r="I2030" s="20" t="n">
        <f aca="false">G2030-H2030</f>
        <v>230.75</v>
      </c>
      <c r="J2030" s="21" t="n">
        <f aca="false">H2030*1000/Parametres!$B$9</f>
        <v>4239.44378497541</v>
      </c>
    </row>
    <row r="2031" customFormat="false" ht="15" hidden="false" customHeight="false" outlineLevel="0" collapsed="false">
      <c r="A2031" s="0" t="n">
        <v>2027</v>
      </c>
      <c r="B2031" s="0" t="n">
        <v>3</v>
      </c>
      <c r="C2031" s="19" t="n">
        <v>1</v>
      </c>
      <c r="D2031" s="19" t="n">
        <v>1</v>
      </c>
      <c r="E2031" s="20" t="n">
        <f aca="false">Parametres!$B$5*C2031</f>
        <v>300</v>
      </c>
      <c r="F2031" s="20" t="n">
        <f aca="false">Parametres!$B$6*D2031</f>
        <v>200</v>
      </c>
      <c r="G2031" s="20" t="n">
        <f aca="false">E2031+F2031</f>
        <v>500</v>
      </c>
      <c r="H2031" s="20" t="n">
        <f aca="false">IF(G2031&lt;Parametres!$B$8*Parametres!$B$7,0,MIN(G2031,Parametres!$B$7))</f>
        <v>250</v>
      </c>
      <c r="I2031" s="20" t="n">
        <f aca="false">G2031-H2031</f>
        <v>250</v>
      </c>
      <c r="J2031" s="21" t="n">
        <f aca="false">H2031*1000/Parametres!$B$9</f>
        <v>4239.44378497541</v>
      </c>
    </row>
    <row r="2032" customFormat="false" ht="15" hidden="false" customHeight="false" outlineLevel="0" collapsed="false">
      <c r="A2032" s="0" t="n">
        <v>2028</v>
      </c>
      <c r="B2032" s="0" t="n">
        <v>3</v>
      </c>
      <c r="C2032" s="19" t="n">
        <v>1</v>
      </c>
      <c r="D2032" s="19" t="n">
        <v>1</v>
      </c>
      <c r="E2032" s="20" t="n">
        <f aca="false">Parametres!$B$5*C2032</f>
        <v>300</v>
      </c>
      <c r="F2032" s="20" t="n">
        <f aca="false">Parametres!$B$6*D2032</f>
        <v>200</v>
      </c>
      <c r="G2032" s="20" t="n">
        <f aca="false">E2032+F2032</f>
        <v>500</v>
      </c>
      <c r="H2032" s="20" t="n">
        <f aca="false">IF(G2032&lt;Parametres!$B$8*Parametres!$B$7,0,MIN(G2032,Parametres!$B$7))</f>
        <v>250</v>
      </c>
      <c r="I2032" s="20" t="n">
        <f aca="false">G2032-H2032</f>
        <v>250</v>
      </c>
      <c r="J2032" s="21" t="n">
        <f aca="false">H2032*1000/Parametres!$B$9</f>
        <v>4239.44378497541</v>
      </c>
    </row>
    <row r="2033" customFormat="false" ht="15" hidden="false" customHeight="false" outlineLevel="0" collapsed="false">
      <c r="A2033" s="0" t="n">
        <v>2029</v>
      </c>
      <c r="B2033" s="0" t="n">
        <v>3</v>
      </c>
      <c r="C2033" s="19" t="n">
        <v>1</v>
      </c>
      <c r="D2033" s="19" t="n">
        <v>1</v>
      </c>
      <c r="E2033" s="20" t="n">
        <f aca="false">Parametres!$B$5*C2033</f>
        <v>300</v>
      </c>
      <c r="F2033" s="20" t="n">
        <f aca="false">Parametres!$B$6*D2033</f>
        <v>200</v>
      </c>
      <c r="G2033" s="20" t="n">
        <f aca="false">E2033+F2033</f>
        <v>500</v>
      </c>
      <c r="H2033" s="20" t="n">
        <f aca="false">IF(G2033&lt;Parametres!$B$8*Parametres!$B$7,0,MIN(G2033,Parametres!$B$7))</f>
        <v>250</v>
      </c>
      <c r="I2033" s="20" t="n">
        <f aca="false">G2033-H2033</f>
        <v>250</v>
      </c>
      <c r="J2033" s="21" t="n">
        <f aca="false">H2033*1000/Parametres!$B$9</f>
        <v>4239.44378497541</v>
      </c>
    </row>
    <row r="2034" customFormat="false" ht="15" hidden="false" customHeight="false" outlineLevel="0" collapsed="false">
      <c r="A2034" s="0" t="n">
        <v>2030</v>
      </c>
      <c r="B2034" s="0" t="n">
        <v>3</v>
      </c>
      <c r="C2034" s="19" t="n">
        <v>1</v>
      </c>
      <c r="D2034" s="19" t="n">
        <v>1</v>
      </c>
      <c r="E2034" s="20" t="n">
        <f aca="false">Parametres!$B$5*C2034</f>
        <v>300</v>
      </c>
      <c r="F2034" s="20" t="n">
        <f aca="false">Parametres!$B$6*D2034</f>
        <v>200</v>
      </c>
      <c r="G2034" s="20" t="n">
        <f aca="false">E2034+F2034</f>
        <v>500</v>
      </c>
      <c r="H2034" s="20" t="n">
        <f aca="false">IF(G2034&lt;Parametres!$B$8*Parametres!$B$7,0,MIN(G2034,Parametres!$B$7))</f>
        <v>250</v>
      </c>
      <c r="I2034" s="20" t="n">
        <f aca="false">G2034-H2034</f>
        <v>250</v>
      </c>
      <c r="J2034" s="21" t="n">
        <f aca="false">H2034*1000/Parametres!$B$9</f>
        <v>4239.44378497541</v>
      </c>
    </row>
    <row r="2035" customFormat="false" ht="15" hidden="false" customHeight="false" outlineLevel="0" collapsed="false">
      <c r="A2035" s="0" t="n">
        <v>2031</v>
      </c>
      <c r="B2035" s="0" t="n">
        <v>3</v>
      </c>
      <c r="C2035" s="19" t="n">
        <v>0.9703</v>
      </c>
      <c r="D2035" s="19" t="n">
        <v>1</v>
      </c>
      <c r="E2035" s="20" t="n">
        <f aca="false">Parametres!$B$5*C2035</f>
        <v>291.09</v>
      </c>
      <c r="F2035" s="20" t="n">
        <f aca="false">Parametres!$B$6*D2035</f>
        <v>200</v>
      </c>
      <c r="G2035" s="20" t="n">
        <f aca="false">E2035+F2035</f>
        <v>491.09</v>
      </c>
      <c r="H2035" s="20" t="n">
        <f aca="false">IF(G2035&lt;Parametres!$B$8*Parametres!$B$7,0,MIN(G2035,Parametres!$B$7))</f>
        <v>250</v>
      </c>
      <c r="I2035" s="20" t="n">
        <f aca="false">G2035-H2035</f>
        <v>241.09</v>
      </c>
      <c r="J2035" s="21" t="n">
        <f aca="false">H2035*1000/Parametres!$B$9</f>
        <v>4239.44378497541</v>
      </c>
    </row>
    <row r="2036" customFormat="false" ht="15" hidden="false" customHeight="false" outlineLevel="0" collapsed="false">
      <c r="A2036" s="0" t="n">
        <v>2032</v>
      </c>
      <c r="B2036" s="0" t="n">
        <v>3</v>
      </c>
      <c r="C2036" s="19" t="n">
        <v>0.7148</v>
      </c>
      <c r="D2036" s="19" t="n">
        <v>1</v>
      </c>
      <c r="E2036" s="20" t="n">
        <f aca="false">Parametres!$B$5*C2036</f>
        <v>214.44</v>
      </c>
      <c r="F2036" s="20" t="n">
        <f aca="false">Parametres!$B$6*D2036</f>
        <v>200</v>
      </c>
      <c r="G2036" s="20" t="n">
        <f aca="false">E2036+F2036</f>
        <v>414.44</v>
      </c>
      <c r="H2036" s="20" t="n">
        <f aca="false">IF(G2036&lt;Parametres!$B$8*Parametres!$B$7,0,MIN(G2036,Parametres!$B$7))</f>
        <v>250</v>
      </c>
      <c r="I2036" s="20" t="n">
        <f aca="false">G2036-H2036</f>
        <v>164.44</v>
      </c>
      <c r="J2036" s="21" t="n">
        <f aca="false">H2036*1000/Parametres!$B$9</f>
        <v>4239.44378497541</v>
      </c>
    </row>
    <row r="2037" customFormat="false" ht="15" hidden="false" customHeight="false" outlineLevel="0" collapsed="false">
      <c r="A2037" s="0" t="n">
        <v>2033</v>
      </c>
      <c r="B2037" s="0" t="n">
        <v>3</v>
      </c>
      <c r="C2037" s="19" t="n">
        <v>0.394</v>
      </c>
      <c r="D2037" s="19" t="n">
        <v>1</v>
      </c>
      <c r="E2037" s="20" t="n">
        <f aca="false">Parametres!$B$5*C2037</f>
        <v>118.2</v>
      </c>
      <c r="F2037" s="20" t="n">
        <f aca="false">Parametres!$B$6*D2037</f>
        <v>200</v>
      </c>
      <c r="G2037" s="20" t="n">
        <f aca="false">E2037+F2037</f>
        <v>318.2</v>
      </c>
      <c r="H2037" s="20" t="n">
        <f aca="false">IF(G2037&lt;Parametres!$B$8*Parametres!$B$7,0,MIN(G2037,Parametres!$B$7))</f>
        <v>250</v>
      </c>
      <c r="I2037" s="20" t="n">
        <f aca="false">G2037-H2037</f>
        <v>68.2</v>
      </c>
      <c r="J2037" s="21" t="n">
        <f aca="false">H2037*1000/Parametres!$B$9</f>
        <v>4239.44378497541</v>
      </c>
    </row>
    <row r="2038" customFormat="false" ht="15" hidden="false" customHeight="false" outlineLevel="0" collapsed="false">
      <c r="A2038" s="0" t="n">
        <v>2034</v>
      </c>
      <c r="B2038" s="0" t="n">
        <v>3</v>
      </c>
      <c r="C2038" s="19" t="n">
        <v>0.1154</v>
      </c>
      <c r="D2038" s="19" t="n">
        <v>1</v>
      </c>
      <c r="E2038" s="20" t="n">
        <f aca="false">Parametres!$B$5*C2038</f>
        <v>34.62</v>
      </c>
      <c r="F2038" s="20" t="n">
        <f aca="false">Parametres!$B$6*D2038</f>
        <v>200</v>
      </c>
      <c r="G2038" s="20" t="n">
        <f aca="false">E2038+F2038</f>
        <v>234.62</v>
      </c>
      <c r="H2038" s="20" t="n">
        <f aca="false">IF(G2038&lt;Parametres!$B$8*Parametres!$B$7,0,MIN(G2038,Parametres!$B$7))</f>
        <v>234.62</v>
      </c>
      <c r="I2038" s="20" t="n">
        <f aca="false">G2038-H2038</f>
        <v>0</v>
      </c>
      <c r="J2038" s="21" t="n">
        <f aca="false">H2038*1000/Parametres!$B$9</f>
        <v>3978.63320332372</v>
      </c>
    </row>
    <row r="2039" customFormat="false" ht="15" hidden="false" customHeight="false" outlineLevel="0" collapsed="false">
      <c r="A2039" s="0" t="n">
        <v>2035</v>
      </c>
      <c r="B2039" s="0" t="n">
        <v>3</v>
      </c>
      <c r="C2039" s="19" t="n">
        <v>0</v>
      </c>
      <c r="D2039" s="19" t="n">
        <v>1</v>
      </c>
      <c r="E2039" s="20" t="n">
        <f aca="false">Parametres!$B$5*C2039</f>
        <v>0</v>
      </c>
      <c r="F2039" s="20" t="n">
        <f aca="false">Parametres!$B$6*D2039</f>
        <v>200</v>
      </c>
      <c r="G2039" s="20" t="n">
        <f aca="false">E2039+F2039</f>
        <v>200</v>
      </c>
      <c r="H2039" s="20" t="n">
        <f aca="false">IF(G2039&lt;Parametres!$B$8*Parametres!$B$7,0,MIN(G2039,Parametres!$B$7))</f>
        <v>200</v>
      </c>
      <c r="I2039" s="20" t="n">
        <f aca="false">G2039-H2039</f>
        <v>0</v>
      </c>
      <c r="J2039" s="21" t="n">
        <f aca="false">H2039*1000/Parametres!$B$9</f>
        <v>3391.55502798033</v>
      </c>
    </row>
    <row r="2040" customFormat="false" ht="15" hidden="false" customHeight="false" outlineLevel="0" collapsed="false">
      <c r="A2040" s="0" t="n">
        <v>2036</v>
      </c>
      <c r="B2040" s="0" t="n">
        <v>3</v>
      </c>
      <c r="C2040" s="19" t="n">
        <v>0</v>
      </c>
      <c r="D2040" s="19" t="n">
        <v>1</v>
      </c>
      <c r="E2040" s="20" t="n">
        <f aca="false">Parametres!$B$5*C2040</f>
        <v>0</v>
      </c>
      <c r="F2040" s="20" t="n">
        <f aca="false">Parametres!$B$6*D2040</f>
        <v>200</v>
      </c>
      <c r="G2040" s="20" t="n">
        <f aca="false">E2040+F2040</f>
        <v>200</v>
      </c>
      <c r="H2040" s="20" t="n">
        <f aca="false">IF(G2040&lt;Parametres!$B$8*Parametres!$B$7,0,MIN(G2040,Parametres!$B$7))</f>
        <v>200</v>
      </c>
      <c r="I2040" s="20" t="n">
        <f aca="false">G2040-H2040</f>
        <v>0</v>
      </c>
      <c r="J2040" s="21" t="n">
        <f aca="false">H2040*1000/Parametres!$B$9</f>
        <v>3391.55502798033</v>
      </c>
    </row>
    <row r="2041" customFormat="false" ht="15" hidden="false" customHeight="false" outlineLevel="0" collapsed="false">
      <c r="A2041" s="0" t="n">
        <v>2037</v>
      </c>
      <c r="B2041" s="0" t="n">
        <v>3</v>
      </c>
      <c r="C2041" s="19" t="n">
        <v>0</v>
      </c>
      <c r="D2041" s="19" t="n">
        <v>1</v>
      </c>
      <c r="E2041" s="20" t="n">
        <f aca="false">Parametres!$B$5*C2041</f>
        <v>0</v>
      </c>
      <c r="F2041" s="20" t="n">
        <f aca="false">Parametres!$B$6*D2041</f>
        <v>200</v>
      </c>
      <c r="G2041" s="20" t="n">
        <f aca="false">E2041+F2041</f>
        <v>200</v>
      </c>
      <c r="H2041" s="20" t="n">
        <f aca="false">IF(G2041&lt;Parametres!$B$8*Parametres!$B$7,0,MIN(G2041,Parametres!$B$7))</f>
        <v>200</v>
      </c>
      <c r="I2041" s="20" t="n">
        <f aca="false">G2041-H2041</f>
        <v>0</v>
      </c>
      <c r="J2041" s="21" t="n">
        <f aca="false">H2041*1000/Parametres!$B$9</f>
        <v>3391.55502798033</v>
      </c>
    </row>
    <row r="2042" customFormat="false" ht="15" hidden="false" customHeight="false" outlineLevel="0" collapsed="false">
      <c r="A2042" s="0" t="n">
        <v>2038</v>
      </c>
      <c r="B2042" s="0" t="n">
        <v>3</v>
      </c>
      <c r="C2042" s="19" t="n">
        <v>0</v>
      </c>
      <c r="D2042" s="19" t="n">
        <v>1</v>
      </c>
      <c r="E2042" s="20" t="n">
        <f aca="false">Parametres!$B$5*C2042</f>
        <v>0</v>
      </c>
      <c r="F2042" s="20" t="n">
        <f aca="false">Parametres!$B$6*D2042</f>
        <v>200</v>
      </c>
      <c r="G2042" s="20" t="n">
        <f aca="false">E2042+F2042</f>
        <v>200</v>
      </c>
      <c r="H2042" s="20" t="n">
        <f aca="false">IF(G2042&lt;Parametres!$B$8*Parametres!$B$7,0,MIN(G2042,Parametres!$B$7))</f>
        <v>200</v>
      </c>
      <c r="I2042" s="20" t="n">
        <f aca="false">G2042-H2042</f>
        <v>0</v>
      </c>
      <c r="J2042" s="21" t="n">
        <f aca="false">H2042*1000/Parametres!$B$9</f>
        <v>3391.55502798033</v>
      </c>
    </row>
    <row r="2043" customFormat="false" ht="15" hidden="false" customHeight="false" outlineLevel="0" collapsed="false">
      <c r="A2043" s="0" t="n">
        <v>2039</v>
      </c>
      <c r="B2043" s="0" t="n">
        <v>3</v>
      </c>
      <c r="C2043" s="19" t="n">
        <v>0</v>
      </c>
      <c r="D2043" s="19" t="n">
        <v>1</v>
      </c>
      <c r="E2043" s="20" t="n">
        <f aca="false">Parametres!$B$5*C2043</f>
        <v>0</v>
      </c>
      <c r="F2043" s="20" t="n">
        <f aca="false">Parametres!$B$6*D2043</f>
        <v>200</v>
      </c>
      <c r="G2043" s="20" t="n">
        <f aca="false">E2043+F2043</f>
        <v>200</v>
      </c>
      <c r="H2043" s="20" t="n">
        <f aca="false">IF(G2043&lt;Parametres!$B$8*Parametres!$B$7,0,MIN(G2043,Parametres!$B$7))</f>
        <v>200</v>
      </c>
      <c r="I2043" s="20" t="n">
        <f aca="false">G2043-H2043</f>
        <v>0</v>
      </c>
      <c r="J2043" s="21" t="n">
        <f aca="false">H2043*1000/Parametres!$B$9</f>
        <v>3391.55502798033</v>
      </c>
    </row>
    <row r="2044" customFormat="false" ht="15" hidden="false" customHeight="false" outlineLevel="0" collapsed="false">
      <c r="A2044" s="0" t="n">
        <v>2040</v>
      </c>
      <c r="B2044" s="0" t="n">
        <v>3</v>
      </c>
      <c r="C2044" s="19" t="n">
        <v>0</v>
      </c>
      <c r="D2044" s="19" t="n">
        <v>1</v>
      </c>
      <c r="E2044" s="20" t="n">
        <f aca="false">Parametres!$B$5*C2044</f>
        <v>0</v>
      </c>
      <c r="F2044" s="20" t="n">
        <f aca="false">Parametres!$B$6*D2044</f>
        <v>200</v>
      </c>
      <c r="G2044" s="20" t="n">
        <f aca="false">E2044+F2044</f>
        <v>200</v>
      </c>
      <c r="H2044" s="20" t="n">
        <f aca="false">IF(G2044&lt;Parametres!$B$8*Parametres!$B$7,0,MIN(G2044,Parametres!$B$7))</f>
        <v>200</v>
      </c>
      <c r="I2044" s="20" t="n">
        <f aca="false">G2044-H2044</f>
        <v>0</v>
      </c>
      <c r="J2044" s="21" t="n">
        <f aca="false">H2044*1000/Parametres!$B$9</f>
        <v>3391.55502798033</v>
      </c>
    </row>
    <row r="2045" customFormat="false" ht="15" hidden="false" customHeight="false" outlineLevel="0" collapsed="false">
      <c r="A2045" s="0" t="n">
        <v>2041</v>
      </c>
      <c r="B2045" s="0" t="n">
        <v>3</v>
      </c>
      <c r="C2045" s="19" t="n">
        <v>0</v>
      </c>
      <c r="D2045" s="19" t="n">
        <v>1</v>
      </c>
      <c r="E2045" s="20" t="n">
        <f aca="false">Parametres!$B$5*C2045</f>
        <v>0</v>
      </c>
      <c r="F2045" s="20" t="n">
        <f aca="false">Parametres!$B$6*D2045</f>
        <v>200</v>
      </c>
      <c r="G2045" s="20" t="n">
        <f aca="false">E2045+F2045</f>
        <v>200</v>
      </c>
      <c r="H2045" s="20" t="n">
        <f aca="false">IF(G2045&lt;Parametres!$B$8*Parametres!$B$7,0,MIN(G2045,Parametres!$B$7))</f>
        <v>200</v>
      </c>
      <c r="I2045" s="20" t="n">
        <f aca="false">G2045-H2045</f>
        <v>0</v>
      </c>
      <c r="J2045" s="21" t="n">
        <f aca="false">H2045*1000/Parametres!$B$9</f>
        <v>3391.55502798033</v>
      </c>
    </row>
    <row r="2046" customFormat="false" ht="15" hidden="false" customHeight="false" outlineLevel="0" collapsed="false">
      <c r="A2046" s="0" t="n">
        <v>2042</v>
      </c>
      <c r="B2046" s="0" t="n">
        <v>3</v>
      </c>
      <c r="C2046" s="19" t="n">
        <v>0</v>
      </c>
      <c r="D2046" s="19" t="n">
        <v>1</v>
      </c>
      <c r="E2046" s="20" t="n">
        <f aca="false">Parametres!$B$5*C2046</f>
        <v>0</v>
      </c>
      <c r="F2046" s="20" t="n">
        <f aca="false">Parametres!$B$6*D2046</f>
        <v>200</v>
      </c>
      <c r="G2046" s="20" t="n">
        <f aca="false">E2046+F2046</f>
        <v>200</v>
      </c>
      <c r="H2046" s="20" t="n">
        <f aca="false">IF(G2046&lt;Parametres!$B$8*Parametres!$B$7,0,MIN(G2046,Parametres!$B$7))</f>
        <v>200</v>
      </c>
      <c r="I2046" s="20" t="n">
        <f aca="false">G2046-H2046</f>
        <v>0</v>
      </c>
      <c r="J2046" s="21" t="n">
        <f aca="false">H2046*1000/Parametres!$B$9</f>
        <v>3391.55502798033</v>
      </c>
    </row>
    <row r="2047" customFormat="false" ht="15" hidden="false" customHeight="false" outlineLevel="0" collapsed="false">
      <c r="A2047" s="0" t="n">
        <v>2043</v>
      </c>
      <c r="B2047" s="0" t="n">
        <v>3</v>
      </c>
      <c r="C2047" s="19" t="n">
        <v>0</v>
      </c>
      <c r="D2047" s="19" t="n">
        <v>1</v>
      </c>
      <c r="E2047" s="20" t="n">
        <f aca="false">Parametres!$B$5*C2047</f>
        <v>0</v>
      </c>
      <c r="F2047" s="20" t="n">
        <f aca="false">Parametres!$B$6*D2047</f>
        <v>200</v>
      </c>
      <c r="G2047" s="20" t="n">
        <f aca="false">E2047+F2047</f>
        <v>200</v>
      </c>
      <c r="H2047" s="20" t="n">
        <f aca="false">IF(G2047&lt;Parametres!$B$8*Parametres!$B$7,0,MIN(G2047,Parametres!$B$7))</f>
        <v>200</v>
      </c>
      <c r="I2047" s="20" t="n">
        <f aca="false">G2047-H2047</f>
        <v>0</v>
      </c>
      <c r="J2047" s="21" t="n">
        <f aca="false">H2047*1000/Parametres!$B$9</f>
        <v>3391.55502798033</v>
      </c>
    </row>
    <row r="2048" customFormat="false" ht="15" hidden="false" customHeight="false" outlineLevel="0" collapsed="false">
      <c r="A2048" s="0" t="n">
        <v>2044</v>
      </c>
      <c r="B2048" s="0" t="n">
        <v>3</v>
      </c>
      <c r="C2048" s="19" t="n">
        <v>0</v>
      </c>
      <c r="D2048" s="19" t="n">
        <v>1</v>
      </c>
      <c r="E2048" s="20" t="n">
        <f aca="false">Parametres!$B$5*C2048</f>
        <v>0</v>
      </c>
      <c r="F2048" s="20" t="n">
        <f aca="false">Parametres!$B$6*D2048</f>
        <v>200</v>
      </c>
      <c r="G2048" s="20" t="n">
        <f aca="false">E2048+F2048</f>
        <v>200</v>
      </c>
      <c r="H2048" s="20" t="n">
        <f aca="false">IF(G2048&lt;Parametres!$B$8*Parametres!$B$7,0,MIN(G2048,Parametres!$B$7))</f>
        <v>200</v>
      </c>
      <c r="I2048" s="20" t="n">
        <f aca="false">G2048-H2048</f>
        <v>0</v>
      </c>
      <c r="J2048" s="21" t="n">
        <f aca="false">H2048*1000/Parametres!$B$9</f>
        <v>3391.55502798033</v>
      </c>
    </row>
    <row r="2049" customFormat="false" ht="15" hidden="false" customHeight="false" outlineLevel="0" collapsed="false">
      <c r="A2049" s="0" t="n">
        <v>2045</v>
      </c>
      <c r="B2049" s="0" t="n">
        <v>3</v>
      </c>
      <c r="C2049" s="19" t="n">
        <v>0</v>
      </c>
      <c r="D2049" s="19" t="n">
        <v>1</v>
      </c>
      <c r="E2049" s="20" t="n">
        <f aca="false">Parametres!$B$5*C2049</f>
        <v>0</v>
      </c>
      <c r="F2049" s="20" t="n">
        <f aca="false">Parametres!$B$6*D2049</f>
        <v>200</v>
      </c>
      <c r="G2049" s="20" t="n">
        <f aca="false">E2049+F2049</f>
        <v>200</v>
      </c>
      <c r="H2049" s="20" t="n">
        <f aca="false">IF(G2049&lt;Parametres!$B$8*Parametres!$B$7,0,MIN(G2049,Parametres!$B$7))</f>
        <v>200</v>
      </c>
      <c r="I2049" s="20" t="n">
        <f aca="false">G2049-H2049</f>
        <v>0</v>
      </c>
      <c r="J2049" s="21" t="n">
        <f aca="false">H2049*1000/Parametres!$B$9</f>
        <v>3391.55502798033</v>
      </c>
    </row>
    <row r="2050" customFormat="false" ht="15" hidden="false" customHeight="false" outlineLevel="0" collapsed="false">
      <c r="A2050" s="0" t="n">
        <v>2046</v>
      </c>
      <c r="B2050" s="0" t="n">
        <v>3</v>
      </c>
      <c r="C2050" s="19" t="n">
        <v>0</v>
      </c>
      <c r="D2050" s="19" t="n">
        <v>1</v>
      </c>
      <c r="E2050" s="20" t="n">
        <f aca="false">Parametres!$B$5*C2050</f>
        <v>0</v>
      </c>
      <c r="F2050" s="20" t="n">
        <f aca="false">Parametres!$B$6*D2050</f>
        <v>200</v>
      </c>
      <c r="G2050" s="20" t="n">
        <f aca="false">E2050+F2050</f>
        <v>200</v>
      </c>
      <c r="H2050" s="20" t="n">
        <f aca="false">IF(G2050&lt;Parametres!$B$8*Parametres!$B$7,0,MIN(G2050,Parametres!$B$7))</f>
        <v>200</v>
      </c>
      <c r="I2050" s="20" t="n">
        <f aca="false">G2050-H2050</f>
        <v>0</v>
      </c>
      <c r="J2050" s="21" t="n">
        <f aca="false">H2050*1000/Parametres!$B$9</f>
        <v>3391.55502798033</v>
      </c>
    </row>
    <row r="2051" customFormat="false" ht="15" hidden="false" customHeight="false" outlineLevel="0" collapsed="false">
      <c r="A2051" s="0" t="n">
        <v>2047</v>
      </c>
      <c r="B2051" s="0" t="n">
        <v>3</v>
      </c>
      <c r="C2051" s="19" t="n">
        <v>0.1241</v>
      </c>
      <c r="D2051" s="19" t="n">
        <v>1</v>
      </c>
      <c r="E2051" s="20" t="n">
        <f aca="false">Parametres!$B$5*C2051</f>
        <v>37.23</v>
      </c>
      <c r="F2051" s="20" t="n">
        <f aca="false">Parametres!$B$6*D2051</f>
        <v>200</v>
      </c>
      <c r="G2051" s="20" t="n">
        <f aca="false">E2051+F2051</f>
        <v>237.23</v>
      </c>
      <c r="H2051" s="20" t="n">
        <f aca="false">IF(G2051&lt;Parametres!$B$8*Parametres!$B$7,0,MIN(G2051,Parametres!$B$7))</f>
        <v>237.23</v>
      </c>
      <c r="I2051" s="20" t="n">
        <f aca="false">G2051-H2051</f>
        <v>0</v>
      </c>
      <c r="J2051" s="21" t="n">
        <f aca="false">H2051*1000/Parametres!$B$9</f>
        <v>4022.89299643887</v>
      </c>
    </row>
    <row r="2052" customFormat="false" ht="15" hidden="false" customHeight="false" outlineLevel="0" collapsed="false">
      <c r="A2052" s="0" t="n">
        <v>2048</v>
      </c>
      <c r="B2052" s="0" t="n">
        <v>3</v>
      </c>
      <c r="C2052" s="19" t="n">
        <v>0.4169</v>
      </c>
      <c r="D2052" s="19" t="n">
        <v>1</v>
      </c>
      <c r="E2052" s="20" t="n">
        <f aca="false">Parametres!$B$5*C2052</f>
        <v>125.07</v>
      </c>
      <c r="F2052" s="20" t="n">
        <f aca="false">Parametres!$B$6*D2052</f>
        <v>200</v>
      </c>
      <c r="G2052" s="20" t="n">
        <f aca="false">E2052+F2052</f>
        <v>325.07</v>
      </c>
      <c r="H2052" s="20" t="n">
        <f aca="false">IF(G2052&lt;Parametres!$B$8*Parametres!$B$7,0,MIN(G2052,Parametres!$B$7))</f>
        <v>250</v>
      </c>
      <c r="I2052" s="20" t="n">
        <f aca="false">G2052-H2052</f>
        <v>75.07</v>
      </c>
      <c r="J2052" s="21" t="n">
        <f aca="false">H2052*1000/Parametres!$B$9</f>
        <v>4239.44378497541</v>
      </c>
    </row>
    <row r="2053" customFormat="false" ht="15" hidden="false" customHeight="false" outlineLevel="0" collapsed="false">
      <c r="A2053" s="0" t="n">
        <v>2049</v>
      </c>
      <c r="B2053" s="0" t="n">
        <v>3</v>
      </c>
      <c r="C2053" s="19" t="n">
        <v>0.6602</v>
      </c>
      <c r="D2053" s="19" t="n">
        <v>1</v>
      </c>
      <c r="E2053" s="20" t="n">
        <f aca="false">Parametres!$B$5*C2053</f>
        <v>198.06</v>
      </c>
      <c r="F2053" s="20" t="n">
        <f aca="false">Parametres!$B$6*D2053</f>
        <v>200</v>
      </c>
      <c r="G2053" s="20" t="n">
        <f aca="false">E2053+F2053</f>
        <v>398.06</v>
      </c>
      <c r="H2053" s="20" t="n">
        <f aca="false">IF(G2053&lt;Parametres!$B$8*Parametres!$B$7,0,MIN(G2053,Parametres!$B$7))</f>
        <v>250</v>
      </c>
      <c r="I2053" s="20" t="n">
        <f aca="false">G2053-H2053</f>
        <v>148.06</v>
      </c>
      <c r="J2053" s="21" t="n">
        <f aca="false">H2053*1000/Parametres!$B$9</f>
        <v>4239.44378497541</v>
      </c>
    </row>
    <row r="2054" customFormat="false" ht="15" hidden="false" customHeight="false" outlineLevel="0" collapsed="false">
      <c r="A2054" s="0" t="n">
        <v>2050</v>
      </c>
      <c r="B2054" s="0" t="n">
        <v>3</v>
      </c>
      <c r="C2054" s="19" t="n">
        <v>0.8717</v>
      </c>
      <c r="D2054" s="19" t="n">
        <v>1</v>
      </c>
      <c r="E2054" s="20" t="n">
        <f aca="false">Parametres!$B$5*C2054</f>
        <v>261.51</v>
      </c>
      <c r="F2054" s="20" t="n">
        <f aca="false">Parametres!$B$6*D2054</f>
        <v>200</v>
      </c>
      <c r="G2054" s="20" t="n">
        <f aca="false">E2054+F2054</f>
        <v>461.51</v>
      </c>
      <c r="H2054" s="20" t="n">
        <f aca="false">IF(G2054&lt;Parametres!$B$8*Parametres!$B$7,0,MIN(G2054,Parametres!$B$7))</f>
        <v>250</v>
      </c>
      <c r="I2054" s="20" t="n">
        <f aca="false">G2054-H2054</f>
        <v>211.51</v>
      </c>
      <c r="J2054" s="21" t="n">
        <f aca="false">H2054*1000/Parametres!$B$9</f>
        <v>4239.44378497541</v>
      </c>
    </row>
    <row r="2055" customFormat="false" ht="15" hidden="false" customHeight="false" outlineLevel="0" collapsed="false">
      <c r="A2055" s="0" t="n">
        <v>2051</v>
      </c>
      <c r="B2055" s="0" t="n">
        <v>3</v>
      </c>
      <c r="C2055" s="19" t="n">
        <v>1</v>
      </c>
      <c r="D2055" s="19" t="n">
        <v>1</v>
      </c>
      <c r="E2055" s="20" t="n">
        <f aca="false">Parametres!$B$5*C2055</f>
        <v>300</v>
      </c>
      <c r="F2055" s="20" t="n">
        <f aca="false">Parametres!$B$6*D2055</f>
        <v>200</v>
      </c>
      <c r="G2055" s="20" t="n">
        <f aca="false">E2055+F2055</f>
        <v>500</v>
      </c>
      <c r="H2055" s="20" t="n">
        <f aca="false">IF(G2055&lt;Parametres!$B$8*Parametres!$B$7,0,MIN(G2055,Parametres!$B$7))</f>
        <v>250</v>
      </c>
      <c r="I2055" s="20" t="n">
        <f aca="false">G2055-H2055</f>
        <v>250</v>
      </c>
      <c r="J2055" s="21" t="n">
        <f aca="false">H2055*1000/Parametres!$B$9</f>
        <v>4239.44378497541</v>
      </c>
    </row>
    <row r="2056" customFormat="false" ht="15" hidden="false" customHeight="false" outlineLevel="0" collapsed="false">
      <c r="A2056" s="0" t="n">
        <v>2052</v>
      </c>
      <c r="B2056" s="0" t="n">
        <v>3</v>
      </c>
      <c r="C2056" s="19" t="n">
        <v>1</v>
      </c>
      <c r="D2056" s="19" t="n">
        <v>1</v>
      </c>
      <c r="E2056" s="20" t="n">
        <f aca="false">Parametres!$B$5*C2056</f>
        <v>300</v>
      </c>
      <c r="F2056" s="20" t="n">
        <f aca="false">Parametres!$B$6*D2056</f>
        <v>200</v>
      </c>
      <c r="G2056" s="20" t="n">
        <f aca="false">E2056+F2056</f>
        <v>500</v>
      </c>
      <c r="H2056" s="20" t="n">
        <f aca="false">IF(G2056&lt;Parametres!$B$8*Parametres!$B$7,0,MIN(G2056,Parametres!$B$7))</f>
        <v>250</v>
      </c>
      <c r="I2056" s="20" t="n">
        <f aca="false">G2056-H2056</f>
        <v>250</v>
      </c>
      <c r="J2056" s="21" t="n">
        <f aca="false">H2056*1000/Parametres!$B$9</f>
        <v>4239.44378497541</v>
      </c>
    </row>
    <row r="2057" customFormat="false" ht="15" hidden="false" customHeight="false" outlineLevel="0" collapsed="false">
      <c r="A2057" s="0" t="n">
        <v>2053</v>
      </c>
      <c r="B2057" s="0" t="n">
        <v>3</v>
      </c>
      <c r="C2057" s="19" t="n">
        <v>1</v>
      </c>
      <c r="D2057" s="19" t="n">
        <v>1</v>
      </c>
      <c r="E2057" s="20" t="n">
        <f aca="false">Parametres!$B$5*C2057</f>
        <v>300</v>
      </c>
      <c r="F2057" s="20" t="n">
        <f aca="false">Parametres!$B$6*D2057</f>
        <v>200</v>
      </c>
      <c r="G2057" s="20" t="n">
        <f aca="false">E2057+F2057</f>
        <v>500</v>
      </c>
      <c r="H2057" s="20" t="n">
        <f aca="false">IF(G2057&lt;Parametres!$B$8*Parametres!$B$7,0,MIN(G2057,Parametres!$B$7))</f>
        <v>250</v>
      </c>
      <c r="I2057" s="20" t="n">
        <f aca="false">G2057-H2057</f>
        <v>250</v>
      </c>
      <c r="J2057" s="21" t="n">
        <f aca="false">H2057*1000/Parametres!$B$9</f>
        <v>4239.44378497541</v>
      </c>
    </row>
    <row r="2058" customFormat="false" ht="15" hidden="false" customHeight="false" outlineLevel="0" collapsed="false">
      <c r="A2058" s="0" t="n">
        <v>2054</v>
      </c>
      <c r="B2058" s="0" t="n">
        <v>3</v>
      </c>
      <c r="C2058" s="19" t="n">
        <v>1</v>
      </c>
      <c r="D2058" s="19" t="n">
        <v>1</v>
      </c>
      <c r="E2058" s="20" t="n">
        <f aca="false">Parametres!$B$5*C2058</f>
        <v>300</v>
      </c>
      <c r="F2058" s="20" t="n">
        <f aca="false">Parametres!$B$6*D2058</f>
        <v>200</v>
      </c>
      <c r="G2058" s="20" t="n">
        <f aca="false">E2058+F2058</f>
        <v>500</v>
      </c>
      <c r="H2058" s="20" t="n">
        <f aca="false">IF(G2058&lt;Parametres!$B$8*Parametres!$B$7,0,MIN(G2058,Parametres!$B$7))</f>
        <v>250</v>
      </c>
      <c r="I2058" s="20" t="n">
        <f aca="false">G2058-H2058</f>
        <v>250</v>
      </c>
      <c r="J2058" s="21" t="n">
        <f aca="false">H2058*1000/Parametres!$B$9</f>
        <v>4239.44378497541</v>
      </c>
    </row>
    <row r="2059" customFormat="false" ht="15" hidden="false" customHeight="false" outlineLevel="0" collapsed="false">
      <c r="A2059" s="0" t="n">
        <v>2055</v>
      </c>
      <c r="B2059" s="0" t="n">
        <v>3</v>
      </c>
      <c r="C2059" s="19" t="n">
        <v>0.9004</v>
      </c>
      <c r="D2059" s="19" t="n">
        <v>1</v>
      </c>
      <c r="E2059" s="20" t="n">
        <f aca="false">Parametres!$B$5*C2059</f>
        <v>270.12</v>
      </c>
      <c r="F2059" s="20" t="n">
        <f aca="false">Parametres!$B$6*D2059</f>
        <v>200</v>
      </c>
      <c r="G2059" s="20" t="n">
        <f aca="false">E2059+F2059</f>
        <v>470.12</v>
      </c>
      <c r="H2059" s="20" t="n">
        <f aca="false">IF(G2059&lt;Parametres!$B$8*Parametres!$B$7,0,MIN(G2059,Parametres!$B$7))</f>
        <v>250</v>
      </c>
      <c r="I2059" s="20" t="n">
        <f aca="false">G2059-H2059</f>
        <v>220.12</v>
      </c>
      <c r="J2059" s="21" t="n">
        <f aca="false">H2059*1000/Parametres!$B$9</f>
        <v>4239.44378497541</v>
      </c>
    </row>
    <row r="2060" customFormat="false" ht="15" hidden="false" customHeight="false" outlineLevel="0" collapsed="false">
      <c r="A2060" s="0" t="n">
        <v>2056</v>
      </c>
      <c r="B2060" s="0" t="n">
        <v>3</v>
      </c>
      <c r="C2060" s="19" t="n">
        <v>0.6966</v>
      </c>
      <c r="D2060" s="19" t="n">
        <v>1</v>
      </c>
      <c r="E2060" s="20" t="n">
        <f aca="false">Parametres!$B$5*C2060</f>
        <v>208.98</v>
      </c>
      <c r="F2060" s="20" t="n">
        <f aca="false">Parametres!$B$6*D2060</f>
        <v>200</v>
      </c>
      <c r="G2060" s="20" t="n">
        <f aca="false">E2060+F2060</f>
        <v>408.98</v>
      </c>
      <c r="H2060" s="20" t="n">
        <f aca="false">IF(G2060&lt;Parametres!$B$8*Parametres!$B$7,0,MIN(G2060,Parametres!$B$7))</f>
        <v>250</v>
      </c>
      <c r="I2060" s="20" t="n">
        <f aca="false">G2060-H2060</f>
        <v>158.98</v>
      </c>
      <c r="J2060" s="21" t="n">
        <f aca="false">H2060*1000/Parametres!$B$9</f>
        <v>4239.44378497541</v>
      </c>
    </row>
    <row r="2061" customFormat="false" ht="15" hidden="false" customHeight="false" outlineLevel="0" collapsed="false">
      <c r="A2061" s="0" t="n">
        <v>2057</v>
      </c>
      <c r="B2061" s="0" t="n">
        <v>3</v>
      </c>
      <c r="C2061" s="19" t="n">
        <v>0.4328</v>
      </c>
      <c r="D2061" s="19" t="n">
        <v>1</v>
      </c>
      <c r="E2061" s="20" t="n">
        <f aca="false">Parametres!$B$5*C2061</f>
        <v>129.84</v>
      </c>
      <c r="F2061" s="20" t="n">
        <f aca="false">Parametres!$B$6*D2061</f>
        <v>200</v>
      </c>
      <c r="G2061" s="20" t="n">
        <f aca="false">E2061+F2061</f>
        <v>329.84</v>
      </c>
      <c r="H2061" s="20" t="n">
        <f aca="false">IF(G2061&lt;Parametres!$B$8*Parametres!$B$7,0,MIN(G2061,Parametres!$B$7))</f>
        <v>250</v>
      </c>
      <c r="I2061" s="20" t="n">
        <f aca="false">G2061-H2061</f>
        <v>79.84</v>
      </c>
      <c r="J2061" s="21" t="n">
        <f aca="false">H2061*1000/Parametres!$B$9</f>
        <v>4239.44378497541</v>
      </c>
    </row>
    <row r="2062" customFormat="false" ht="15" hidden="false" customHeight="false" outlineLevel="0" collapsed="false">
      <c r="A2062" s="0" t="n">
        <v>2058</v>
      </c>
      <c r="B2062" s="0" t="n">
        <v>3</v>
      </c>
      <c r="C2062" s="19" t="n">
        <v>0.1285</v>
      </c>
      <c r="D2062" s="19" t="n">
        <v>1</v>
      </c>
      <c r="E2062" s="20" t="n">
        <f aca="false">Parametres!$B$5*C2062</f>
        <v>38.55</v>
      </c>
      <c r="F2062" s="20" t="n">
        <f aca="false">Parametres!$B$6*D2062</f>
        <v>200</v>
      </c>
      <c r="G2062" s="20" t="n">
        <f aca="false">E2062+F2062</f>
        <v>238.55</v>
      </c>
      <c r="H2062" s="20" t="n">
        <f aca="false">IF(G2062&lt;Parametres!$B$8*Parametres!$B$7,0,MIN(G2062,Parametres!$B$7))</f>
        <v>238.55</v>
      </c>
      <c r="I2062" s="20" t="n">
        <f aca="false">G2062-H2062</f>
        <v>0</v>
      </c>
      <c r="J2062" s="21" t="n">
        <f aca="false">H2062*1000/Parametres!$B$9</f>
        <v>4045.27725962354</v>
      </c>
    </row>
    <row r="2063" customFormat="false" ht="15" hidden="false" customHeight="false" outlineLevel="0" collapsed="false">
      <c r="A2063" s="0" t="n">
        <v>2059</v>
      </c>
      <c r="B2063" s="0" t="n">
        <v>3</v>
      </c>
      <c r="C2063" s="19" t="n">
        <v>0</v>
      </c>
      <c r="D2063" s="19" t="n">
        <v>1</v>
      </c>
      <c r="E2063" s="20" t="n">
        <f aca="false">Parametres!$B$5*C2063</f>
        <v>0</v>
      </c>
      <c r="F2063" s="20" t="n">
        <f aca="false">Parametres!$B$6*D2063</f>
        <v>200</v>
      </c>
      <c r="G2063" s="20" t="n">
        <f aca="false">E2063+F2063</f>
        <v>200</v>
      </c>
      <c r="H2063" s="20" t="n">
        <f aca="false">IF(G2063&lt;Parametres!$B$8*Parametres!$B$7,0,MIN(G2063,Parametres!$B$7))</f>
        <v>200</v>
      </c>
      <c r="I2063" s="20" t="n">
        <f aca="false">G2063-H2063</f>
        <v>0</v>
      </c>
      <c r="J2063" s="21" t="n">
        <f aca="false">H2063*1000/Parametres!$B$9</f>
        <v>3391.55502798033</v>
      </c>
    </row>
    <row r="2064" customFormat="false" ht="15" hidden="false" customHeight="false" outlineLevel="0" collapsed="false">
      <c r="A2064" s="0" t="n">
        <v>2060</v>
      </c>
      <c r="B2064" s="0" t="n">
        <v>3</v>
      </c>
      <c r="C2064" s="19" t="n">
        <v>0</v>
      </c>
      <c r="D2064" s="19" t="n">
        <v>1</v>
      </c>
      <c r="E2064" s="20" t="n">
        <f aca="false">Parametres!$B$5*C2064</f>
        <v>0</v>
      </c>
      <c r="F2064" s="20" t="n">
        <f aca="false">Parametres!$B$6*D2064</f>
        <v>200</v>
      </c>
      <c r="G2064" s="20" t="n">
        <f aca="false">E2064+F2064</f>
        <v>200</v>
      </c>
      <c r="H2064" s="20" t="n">
        <f aca="false">IF(G2064&lt;Parametres!$B$8*Parametres!$B$7,0,MIN(G2064,Parametres!$B$7))</f>
        <v>200</v>
      </c>
      <c r="I2064" s="20" t="n">
        <f aca="false">G2064-H2064</f>
        <v>0</v>
      </c>
      <c r="J2064" s="21" t="n">
        <f aca="false">H2064*1000/Parametres!$B$9</f>
        <v>3391.55502798033</v>
      </c>
    </row>
    <row r="2065" customFormat="false" ht="15" hidden="false" customHeight="false" outlineLevel="0" collapsed="false">
      <c r="A2065" s="0" t="n">
        <v>2061</v>
      </c>
      <c r="B2065" s="0" t="n">
        <v>3</v>
      </c>
      <c r="C2065" s="19" t="n">
        <v>0</v>
      </c>
      <c r="D2065" s="19" t="n">
        <v>1</v>
      </c>
      <c r="E2065" s="20" t="n">
        <f aca="false">Parametres!$B$5*C2065</f>
        <v>0</v>
      </c>
      <c r="F2065" s="20" t="n">
        <f aca="false">Parametres!$B$6*D2065</f>
        <v>200</v>
      </c>
      <c r="G2065" s="20" t="n">
        <f aca="false">E2065+F2065</f>
        <v>200</v>
      </c>
      <c r="H2065" s="20" t="n">
        <f aca="false">IF(G2065&lt;Parametres!$B$8*Parametres!$B$7,0,MIN(G2065,Parametres!$B$7))</f>
        <v>200</v>
      </c>
      <c r="I2065" s="20" t="n">
        <f aca="false">G2065-H2065</f>
        <v>0</v>
      </c>
      <c r="J2065" s="21" t="n">
        <f aca="false">H2065*1000/Parametres!$B$9</f>
        <v>3391.55502798033</v>
      </c>
    </row>
    <row r="2066" customFormat="false" ht="15" hidden="false" customHeight="false" outlineLevel="0" collapsed="false">
      <c r="A2066" s="0" t="n">
        <v>2062</v>
      </c>
      <c r="B2066" s="0" t="n">
        <v>3</v>
      </c>
      <c r="C2066" s="19" t="n">
        <v>0</v>
      </c>
      <c r="D2066" s="19" t="n">
        <v>1</v>
      </c>
      <c r="E2066" s="20" t="n">
        <f aca="false">Parametres!$B$5*C2066</f>
        <v>0</v>
      </c>
      <c r="F2066" s="20" t="n">
        <f aca="false">Parametres!$B$6*D2066</f>
        <v>200</v>
      </c>
      <c r="G2066" s="20" t="n">
        <f aca="false">E2066+F2066</f>
        <v>200</v>
      </c>
      <c r="H2066" s="20" t="n">
        <f aca="false">IF(G2066&lt;Parametres!$B$8*Parametres!$B$7,0,MIN(G2066,Parametres!$B$7))</f>
        <v>200</v>
      </c>
      <c r="I2066" s="20" t="n">
        <f aca="false">G2066-H2066</f>
        <v>0</v>
      </c>
      <c r="J2066" s="21" t="n">
        <f aca="false">H2066*1000/Parametres!$B$9</f>
        <v>3391.55502798033</v>
      </c>
    </row>
    <row r="2067" customFormat="false" ht="15" hidden="false" customHeight="false" outlineLevel="0" collapsed="false">
      <c r="A2067" s="0" t="n">
        <v>2063</v>
      </c>
      <c r="B2067" s="0" t="n">
        <v>3</v>
      </c>
      <c r="C2067" s="19" t="n">
        <v>0</v>
      </c>
      <c r="D2067" s="19" t="n">
        <v>1</v>
      </c>
      <c r="E2067" s="20" t="n">
        <f aca="false">Parametres!$B$5*C2067</f>
        <v>0</v>
      </c>
      <c r="F2067" s="20" t="n">
        <f aca="false">Parametres!$B$6*D2067</f>
        <v>200</v>
      </c>
      <c r="G2067" s="20" t="n">
        <f aca="false">E2067+F2067</f>
        <v>200</v>
      </c>
      <c r="H2067" s="20" t="n">
        <f aca="false">IF(G2067&lt;Parametres!$B$8*Parametres!$B$7,0,MIN(G2067,Parametres!$B$7))</f>
        <v>200</v>
      </c>
      <c r="I2067" s="20" t="n">
        <f aca="false">G2067-H2067</f>
        <v>0</v>
      </c>
      <c r="J2067" s="21" t="n">
        <f aca="false">H2067*1000/Parametres!$B$9</f>
        <v>3391.55502798033</v>
      </c>
    </row>
    <row r="2068" customFormat="false" ht="15" hidden="false" customHeight="false" outlineLevel="0" collapsed="false">
      <c r="A2068" s="0" t="n">
        <v>2064</v>
      </c>
      <c r="B2068" s="0" t="n">
        <v>3</v>
      </c>
      <c r="C2068" s="19" t="n">
        <v>0</v>
      </c>
      <c r="D2068" s="19" t="n">
        <v>1</v>
      </c>
      <c r="E2068" s="20" t="n">
        <f aca="false">Parametres!$B$5*C2068</f>
        <v>0</v>
      </c>
      <c r="F2068" s="20" t="n">
        <f aca="false">Parametres!$B$6*D2068</f>
        <v>200</v>
      </c>
      <c r="G2068" s="20" t="n">
        <f aca="false">E2068+F2068</f>
        <v>200</v>
      </c>
      <c r="H2068" s="20" t="n">
        <f aca="false">IF(G2068&lt;Parametres!$B$8*Parametres!$B$7,0,MIN(G2068,Parametres!$B$7))</f>
        <v>200</v>
      </c>
      <c r="I2068" s="20" t="n">
        <f aca="false">G2068-H2068</f>
        <v>0</v>
      </c>
      <c r="J2068" s="21" t="n">
        <f aca="false">H2068*1000/Parametres!$B$9</f>
        <v>3391.55502798033</v>
      </c>
    </row>
    <row r="2069" customFormat="false" ht="15" hidden="false" customHeight="false" outlineLevel="0" collapsed="false">
      <c r="A2069" s="0" t="n">
        <v>2065</v>
      </c>
      <c r="B2069" s="0" t="n">
        <v>3</v>
      </c>
      <c r="C2069" s="19" t="n">
        <v>0</v>
      </c>
      <c r="D2069" s="19" t="n">
        <v>0.7954</v>
      </c>
      <c r="E2069" s="20" t="n">
        <f aca="false">Parametres!$B$5*C2069</f>
        <v>0</v>
      </c>
      <c r="F2069" s="20" t="n">
        <f aca="false">Parametres!$B$6*D2069</f>
        <v>159.08</v>
      </c>
      <c r="G2069" s="20" t="n">
        <f aca="false">E2069+F2069</f>
        <v>159.08</v>
      </c>
      <c r="H2069" s="20" t="n">
        <f aca="false">IF(G2069&lt;Parametres!$B$8*Parametres!$B$7,0,MIN(G2069,Parametres!$B$7))</f>
        <v>159.08</v>
      </c>
      <c r="I2069" s="20" t="n">
        <f aca="false">G2069-H2069</f>
        <v>0</v>
      </c>
      <c r="J2069" s="21" t="n">
        <f aca="false">H2069*1000/Parametres!$B$9</f>
        <v>2697.64286925555</v>
      </c>
    </row>
    <row r="2070" customFormat="false" ht="15" hidden="false" customHeight="false" outlineLevel="0" collapsed="false">
      <c r="A2070" s="0" t="n">
        <v>2066</v>
      </c>
      <c r="B2070" s="0" t="n">
        <v>3</v>
      </c>
      <c r="C2070" s="19" t="n">
        <v>0</v>
      </c>
      <c r="D2070" s="19" t="n">
        <v>0.9337</v>
      </c>
      <c r="E2070" s="20" t="n">
        <f aca="false">Parametres!$B$5*C2070</f>
        <v>0</v>
      </c>
      <c r="F2070" s="20" t="n">
        <f aca="false">Parametres!$B$6*D2070</f>
        <v>186.74</v>
      </c>
      <c r="G2070" s="20" t="n">
        <f aca="false">E2070+F2070</f>
        <v>186.74</v>
      </c>
      <c r="H2070" s="20" t="n">
        <f aca="false">IF(G2070&lt;Parametres!$B$8*Parametres!$B$7,0,MIN(G2070,Parametres!$B$7))</f>
        <v>186.74</v>
      </c>
      <c r="I2070" s="20" t="n">
        <f aca="false">G2070-H2070</f>
        <v>0</v>
      </c>
      <c r="J2070" s="21" t="n">
        <f aca="false">H2070*1000/Parametres!$B$9</f>
        <v>3166.69492962523</v>
      </c>
    </row>
    <row r="2071" customFormat="false" ht="15" hidden="false" customHeight="false" outlineLevel="0" collapsed="false">
      <c r="A2071" s="0" t="n">
        <v>2067</v>
      </c>
      <c r="B2071" s="0" t="n">
        <v>3</v>
      </c>
      <c r="C2071" s="19" t="n">
        <v>0</v>
      </c>
      <c r="D2071" s="19" t="n">
        <v>1</v>
      </c>
      <c r="E2071" s="20" t="n">
        <f aca="false">Parametres!$B$5*C2071</f>
        <v>0</v>
      </c>
      <c r="F2071" s="20" t="n">
        <f aca="false">Parametres!$B$6*D2071</f>
        <v>200</v>
      </c>
      <c r="G2071" s="20" t="n">
        <f aca="false">E2071+F2071</f>
        <v>200</v>
      </c>
      <c r="H2071" s="20" t="n">
        <f aca="false">IF(G2071&lt;Parametres!$B$8*Parametres!$B$7,0,MIN(G2071,Parametres!$B$7))</f>
        <v>200</v>
      </c>
      <c r="I2071" s="20" t="n">
        <f aca="false">G2071-H2071</f>
        <v>0</v>
      </c>
      <c r="J2071" s="21" t="n">
        <f aca="false">H2071*1000/Parametres!$B$9</f>
        <v>3391.55502798033</v>
      </c>
    </row>
    <row r="2072" customFormat="false" ht="15" hidden="false" customHeight="false" outlineLevel="0" collapsed="false">
      <c r="A2072" s="0" t="n">
        <v>2068</v>
      </c>
      <c r="B2072" s="0" t="n">
        <v>3</v>
      </c>
      <c r="C2072" s="19" t="n">
        <v>0</v>
      </c>
      <c r="D2072" s="19" t="n">
        <v>1</v>
      </c>
      <c r="E2072" s="20" t="n">
        <f aca="false">Parametres!$B$5*C2072</f>
        <v>0</v>
      </c>
      <c r="F2072" s="20" t="n">
        <f aca="false">Parametres!$B$6*D2072</f>
        <v>200</v>
      </c>
      <c r="G2072" s="20" t="n">
        <f aca="false">E2072+F2072</f>
        <v>200</v>
      </c>
      <c r="H2072" s="20" t="n">
        <f aca="false">IF(G2072&lt;Parametres!$B$8*Parametres!$B$7,0,MIN(G2072,Parametres!$B$7))</f>
        <v>200</v>
      </c>
      <c r="I2072" s="20" t="n">
        <f aca="false">G2072-H2072</f>
        <v>0</v>
      </c>
      <c r="J2072" s="21" t="n">
        <f aca="false">H2072*1000/Parametres!$B$9</f>
        <v>3391.55502798033</v>
      </c>
    </row>
    <row r="2073" customFormat="false" ht="15" hidden="false" customHeight="false" outlineLevel="0" collapsed="false">
      <c r="A2073" s="0" t="n">
        <v>2069</v>
      </c>
      <c r="B2073" s="0" t="n">
        <v>3</v>
      </c>
      <c r="C2073" s="19" t="n">
        <v>0</v>
      </c>
      <c r="D2073" s="19" t="n">
        <v>0.8825</v>
      </c>
      <c r="E2073" s="20" t="n">
        <f aca="false">Parametres!$B$5*C2073</f>
        <v>0</v>
      </c>
      <c r="F2073" s="20" t="n">
        <f aca="false">Parametres!$B$6*D2073</f>
        <v>176.5</v>
      </c>
      <c r="G2073" s="20" t="n">
        <f aca="false">E2073+F2073</f>
        <v>176.5</v>
      </c>
      <c r="H2073" s="20" t="n">
        <f aca="false">IF(G2073&lt;Parametres!$B$8*Parametres!$B$7,0,MIN(G2073,Parametres!$B$7))</f>
        <v>176.5</v>
      </c>
      <c r="I2073" s="20" t="n">
        <f aca="false">G2073-H2073</f>
        <v>0</v>
      </c>
      <c r="J2073" s="21" t="n">
        <f aca="false">H2073*1000/Parametres!$B$9</f>
        <v>2993.04731219264</v>
      </c>
    </row>
    <row r="2074" customFormat="false" ht="15" hidden="false" customHeight="false" outlineLevel="0" collapsed="false">
      <c r="A2074" s="0" t="n">
        <v>2070</v>
      </c>
      <c r="B2074" s="0" t="n">
        <v>3</v>
      </c>
      <c r="C2074" s="19" t="n">
        <v>0</v>
      </c>
      <c r="D2074" s="19" t="n">
        <v>1</v>
      </c>
      <c r="E2074" s="20" t="n">
        <f aca="false">Parametres!$B$5*C2074</f>
        <v>0</v>
      </c>
      <c r="F2074" s="20" t="n">
        <f aca="false">Parametres!$B$6*D2074</f>
        <v>200</v>
      </c>
      <c r="G2074" s="20" t="n">
        <f aca="false">E2074+F2074</f>
        <v>200</v>
      </c>
      <c r="H2074" s="20" t="n">
        <f aca="false">IF(G2074&lt;Parametres!$B$8*Parametres!$B$7,0,MIN(G2074,Parametres!$B$7))</f>
        <v>200</v>
      </c>
      <c r="I2074" s="20" t="n">
        <f aca="false">G2074-H2074</f>
        <v>0</v>
      </c>
      <c r="J2074" s="21" t="n">
        <f aca="false">H2074*1000/Parametres!$B$9</f>
        <v>3391.55502798033</v>
      </c>
    </row>
    <row r="2075" customFormat="false" ht="15" hidden="false" customHeight="false" outlineLevel="0" collapsed="false">
      <c r="A2075" s="0" t="n">
        <v>2071</v>
      </c>
      <c r="B2075" s="0" t="n">
        <v>3</v>
      </c>
      <c r="C2075" s="19" t="n">
        <v>0.1098</v>
      </c>
      <c r="D2075" s="19" t="n">
        <v>0.9431</v>
      </c>
      <c r="E2075" s="20" t="n">
        <f aca="false">Parametres!$B$5*C2075</f>
        <v>32.94</v>
      </c>
      <c r="F2075" s="20" t="n">
        <f aca="false">Parametres!$B$6*D2075</f>
        <v>188.62</v>
      </c>
      <c r="G2075" s="20" t="n">
        <f aca="false">E2075+F2075</f>
        <v>221.56</v>
      </c>
      <c r="H2075" s="20" t="n">
        <f aca="false">IF(G2075&lt;Parametres!$B$8*Parametres!$B$7,0,MIN(G2075,Parametres!$B$7))</f>
        <v>221.56</v>
      </c>
      <c r="I2075" s="20" t="n">
        <f aca="false">G2075-H2075</f>
        <v>0</v>
      </c>
      <c r="J2075" s="21" t="n">
        <f aca="false">H2075*1000/Parametres!$B$9</f>
        <v>3757.16465999661</v>
      </c>
    </row>
    <row r="2076" customFormat="false" ht="15" hidden="false" customHeight="false" outlineLevel="0" collapsed="false">
      <c r="A2076" s="0" t="n">
        <v>2072</v>
      </c>
      <c r="B2076" s="0" t="n">
        <v>3</v>
      </c>
      <c r="C2076" s="19" t="n">
        <v>0.3532</v>
      </c>
      <c r="D2076" s="19" t="n">
        <v>0.5574</v>
      </c>
      <c r="E2076" s="20" t="n">
        <f aca="false">Parametres!$B$5*C2076</f>
        <v>105.96</v>
      </c>
      <c r="F2076" s="20" t="n">
        <f aca="false">Parametres!$B$6*D2076</f>
        <v>111.48</v>
      </c>
      <c r="G2076" s="20" t="n">
        <f aca="false">E2076+F2076</f>
        <v>217.44</v>
      </c>
      <c r="H2076" s="20" t="n">
        <f aca="false">IF(G2076&lt;Parametres!$B$8*Parametres!$B$7,0,MIN(G2076,Parametres!$B$7))</f>
        <v>217.44</v>
      </c>
      <c r="I2076" s="20" t="n">
        <f aca="false">G2076-H2076</f>
        <v>0</v>
      </c>
      <c r="J2076" s="21" t="n">
        <f aca="false">H2076*1000/Parametres!$B$9</f>
        <v>3687.29862642021</v>
      </c>
    </row>
    <row r="2077" customFormat="false" ht="15" hidden="false" customHeight="false" outlineLevel="0" collapsed="false">
      <c r="A2077" s="0" t="n">
        <v>2073</v>
      </c>
      <c r="B2077" s="0" t="n">
        <v>3</v>
      </c>
      <c r="C2077" s="19" t="n">
        <v>0.5829</v>
      </c>
      <c r="D2077" s="19" t="n">
        <v>0.6484</v>
      </c>
      <c r="E2077" s="20" t="n">
        <f aca="false">Parametres!$B$5*C2077</f>
        <v>174.87</v>
      </c>
      <c r="F2077" s="20" t="n">
        <f aca="false">Parametres!$B$6*D2077</f>
        <v>129.68</v>
      </c>
      <c r="G2077" s="20" t="n">
        <f aca="false">E2077+F2077</f>
        <v>304.55</v>
      </c>
      <c r="H2077" s="20" t="n">
        <f aca="false">IF(G2077&lt;Parametres!$B$8*Parametres!$B$7,0,MIN(G2077,Parametres!$B$7))</f>
        <v>250</v>
      </c>
      <c r="I2077" s="20" t="n">
        <f aca="false">G2077-H2077</f>
        <v>54.55</v>
      </c>
      <c r="J2077" s="21" t="n">
        <f aca="false">H2077*1000/Parametres!$B$9</f>
        <v>4239.44378497541</v>
      </c>
    </row>
    <row r="2078" customFormat="false" ht="15" hidden="false" customHeight="false" outlineLevel="0" collapsed="false">
      <c r="A2078" s="0" t="n">
        <v>2074</v>
      </c>
      <c r="B2078" s="0" t="n">
        <v>3</v>
      </c>
      <c r="C2078" s="19" t="n">
        <v>0.7905</v>
      </c>
      <c r="D2078" s="19" t="n">
        <v>0.9113</v>
      </c>
      <c r="E2078" s="20" t="n">
        <f aca="false">Parametres!$B$5*C2078</f>
        <v>237.15</v>
      </c>
      <c r="F2078" s="20" t="n">
        <f aca="false">Parametres!$B$6*D2078</f>
        <v>182.26</v>
      </c>
      <c r="G2078" s="20" t="n">
        <f aca="false">E2078+F2078</f>
        <v>419.41</v>
      </c>
      <c r="H2078" s="20" t="n">
        <f aca="false">IF(G2078&lt;Parametres!$B$8*Parametres!$B$7,0,MIN(G2078,Parametres!$B$7))</f>
        <v>250</v>
      </c>
      <c r="I2078" s="20" t="n">
        <f aca="false">G2078-H2078</f>
        <v>169.41</v>
      </c>
      <c r="J2078" s="21" t="n">
        <f aca="false">H2078*1000/Parametres!$B$9</f>
        <v>4239.44378497541</v>
      </c>
    </row>
    <row r="2079" customFormat="false" ht="15" hidden="false" customHeight="false" outlineLevel="0" collapsed="false">
      <c r="A2079" s="0" t="n">
        <v>2075</v>
      </c>
      <c r="B2079" s="0" t="n">
        <v>3</v>
      </c>
      <c r="C2079" s="19" t="n">
        <v>0.9752</v>
      </c>
      <c r="D2079" s="19" t="n">
        <v>1</v>
      </c>
      <c r="E2079" s="20" t="n">
        <f aca="false">Parametres!$B$5*C2079</f>
        <v>292.56</v>
      </c>
      <c r="F2079" s="20" t="n">
        <f aca="false">Parametres!$B$6*D2079</f>
        <v>200</v>
      </c>
      <c r="G2079" s="20" t="n">
        <f aca="false">E2079+F2079</f>
        <v>492.56</v>
      </c>
      <c r="H2079" s="20" t="n">
        <f aca="false">IF(G2079&lt;Parametres!$B$8*Parametres!$B$7,0,MIN(G2079,Parametres!$B$7))</f>
        <v>250</v>
      </c>
      <c r="I2079" s="20" t="n">
        <f aca="false">G2079-H2079</f>
        <v>242.56</v>
      </c>
      <c r="J2079" s="21" t="n">
        <f aca="false">H2079*1000/Parametres!$B$9</f>
        <v>4239.44378497541</v>
      </c>
    </row>
    <row r="2080" customFormat="false" ht="15" hidden="false" customHeight="false" outlineLevel="0" collapsed="false">
      <c r="A2080" s="0" t="n">
        <v>2076</v>
      </c>
      <c r="B2080" s="0" t="n">
        <v>3</v>
      </c>
      <c r="C2080" s="19" t="n">
        <v>0.9867</v>
      </c>
      <c r="D2080" s="19" t="n">
        <v>1</v>
      </c>
      <c r="E2080" s="20" t="n">
        <f aca="false">Parametres!$B$5*C2080</f>
        <v>296.01</v>
      </c>
      <c r="F2080" s="20" t="n">
        <f aca="false">Parametres!$B$6*D2080</f>
        <v>200</v>
      </c>
      <c r="G2080" s="20" t="n">
        <f aca="false">E2080+F2080</f>
        <v>496.01</v>
      </c>
      <c r="H2080" s="20" t="n">
        <f aca="false">IF(G2080&lt;Parametres!$B$8*Parametres!$B$7,0,MIN(G2080,Parametres!$B$7))</f>
        <v>250</v>
      </c>
      <c r="I2080" s="20" t="n">
        <f aca="false">G2080-H2080</f>
        <v>246.01</v>
      </c>
      <c r="J2080" s="21" t="n">
        <f aca="false">H2080*1000/Parametres!$B$9</f>
        <v>4239.44378497541</v>
      </c>
    </row>
    <row r="2081" customFormat="false" ht="15" hidden="false" customHeight="false" outlineLevel="0" collapsed="false">
      <c r="A2081" s="0" t="n">
        <v>2077</v>
      </c>
      <c r="B2081" s="0" t="n">
        <v>3</v>
      </c>
      <c r="C2081" s="19" t="n">
        <v>1</v>
      </c>
      <c r="D2081" s="19" t="n">
        <v>1</v>
      </c>
      <c r="E2081" s="20" t="n">
        <f aca="false">Parametres!$B$5*C2081</f>
        <v>300</v>
      </c>
      <c r="F2081" s="20" t="n">
        <f aca="false">Parametres!$B$6*D2081</f>
        <v>200</v>
      </c>
      <c r="G2081" s="20" t="n">
        <f aca="false">E2081+F2081</f>
        <v>500</v>
      </c>
      <c r="H2081" s="20" t="n">
        <f aca="false">IF(G2081&lt;Parametres!$B$8*Parametres!$B$7,0,MIN(G2081,Parametres!$B$7))</f>
        <v>250</v>
      </c>
      <c r="I2081" s="20" t="n">
        <f aca="false">G2081-H2081</f>
        <v>250</v>
      </c>
      <c r="J2081" s="21" t="n">
        <f aca="false">H2081*1000/Parametres!$B$9</f>
        <v>4239.44378497541</v>
      </c>
    </row>
    <row r="2082" customFormat="false" ht="15" hidden="false" customHeight="false" outlineLevel="0" collapsed="false">
      <c r="A2082" s="0" t="n">
        <v>2078</v>
      </c>
      <c r="B2082" s="0" t="n">
        <v>3</v>
      </c>
      <c r="C2082" s="19" t="n">
        <v>0.8907</v>
      </c>
      <c r="D2082" s="19" t="n">
        <v>1</v>
      </c>
      <c r="E2082" s="20" t="n">
        <f aca="false">Parametres!$B$5*C2082</f>
        <v>267.21</v>
      </c>
      <c r="F2082" s="20" t="n">
        <f aca="false">Parametres!$B$6*D2082</f>
        <v>200</v>
      </c>
      <c r="G2082" s="20" t="n">
        <f aca="false">E2082+F2082</f>
        <v>467.21</v>
      </c>
      <c r="H2082" s="20" t="n">
        <f aca="false">IF(G2082&lt;Parametres!$B$8*Parametres!$B$7,0,MIN(G2082,Parametres!$B$7))</f>
        <v>250</v>
      </c>
      <c r="I2082" s="20" t="n">
        <f aca="false">G2082-H2082</f>
        <v>217.21</v>
      </c>
      <c r="J2082" s="21" t="n">
        <f aca="false">H2082*1000/Parametres!$B$9</f>
        <v>4239.44378497541</v>
      </c>
    </row>
    <row r="2083" customFormat="false" ht="15" hidden="false" customHeight="false" outlineLevel="0" collapsed="false">
      <c r="A2083" s="0" t="n">
        <v>2079</v>
      </c>
      <c r="B2083" s="0" t="n">
        <v>3</v>
      </c>
      <c r="C2083" s="19" t="n">
        <v>0.7761</v>
      </c>
      <c r="D2083" s="19" t="n">
        <v>1</v>
      </c>
      <c r="E2083" s="20" t="n">
        <f aca="false">Parametres!$B$5*C2083</f>
        <v>232.83</v>
      </c>
      <c r="F2083" s="20" t="n">
        <f aca="false">Parametres!$B$6*D2083</f>
        <v>200</v>
      </c>
      <c r="G2083" s="20" t="n">
        <f aca="false">E2083+F2083</f>
        <v>432.83</v>
      </c>
      <c r="H2083" s="20" t="n">
        <f aca="false">IF(G2083&lt;Parametres!$B$8*Parametres!$B$7,0,MIN(G2083,Parametres!$B$7))</f>
        <v>250</v>
      </c>
      <c r="I2083" s="20" t="n">
        <f aca="false">G2083-H2083</f>
        <v>182.83</v>
      </c>
      <c r="J2083" s="21" t="n">
        <f aca="false">H2083*1000/Parametres!$B$9</f>
        <v>4239.44378497541</v>
      </c>
    </row>
    <row r="2084" customFormat="false" ht="15" hidden="false" customHeight="false" outlineLevel="0" collapsed="false">
      <c r="A2084" s="0" t="n">
        <v>2080</v>
      </c>
      <c r="B2084" s="0" t="n">
        <v>3</v>
      </c>
      <c r="C2084" s="19" t="n">
        <v>0.565</v>
      </c>
      <c r="D2084" s="19" t="n">
        <v>1</v>
      </c>
      <c r="E2084" s="20" t="n">
        <f aca="false">Parametres!$B$5*C2084</f>
        <v>169.5</v>
      </c>
      <c r="F2084" s="20" t="n">
        <f aca="false">Parametres!$B$6*D2084</f>
        <v>200</v>
      </c>
      <c r="G2084" s="20" t="n">
        <f aca="false">E2084+F2084</f>
        <v>369.5</v>
      </c>
      <c r="H2084" s="20" t="n">
        <f aca="false">IF(G2084&lt;Parametres!$B$8*Parametres!$B$7,0,MIN(G2084,Parametres!$B$7))</f>
        <v>250</v>
      </c>
      <c r="I2084" s="20" t="n">
        <f aca="false">G2084-H2084</f>
        <v>119.5</v>
      </c>
      <c r="J2084" s="21" t="n">
        <f aca="false">H2084*1000/Parametres!$B$9</f>
        <v>4239.44378497541</v>
      </c>
    </row>
    <row r="2085" customFormat="false" ht="15" hidden="false" customHeight="false" outlineLevel="0" collapsed="false">
      <c r="A2085" s="0" t="n">
        <v>2081</v>
      </c>
      <c r="B2085" s="0" t="n">
        <v>3</v>
      </c>
      <c r="C2085" s="19" t="n">
        <v>0.3368</v>
      </c>
      <c r="D2085" s="19" t="n">
        <v>1</v>
      </c>
      <c r="E2085" s="20" t="n">
        <f aca="false">Parametres!$B$5*C2085</f>
        <v>101.04</v>
      </c>
      <c r="F2085" s="20" t="n">
        <f aca="false">Parametres!$B$6*D2085</f>
        <v>200</v>
      </c>
      <c r="G2085" s="20" t="n">
        <f aca="false">E2085+F2085</f>
        <v>301.04</v>
      </c>
      <c r="H2085" s="20" t="n">
        <f aca="false">IF(G2085&lt;Parametres!$B$8*Parametres!$B$7,0,MIN(G2085,Parametres!$B$7))</f>
        <v>250</v>
      </c>
      <c r="I2085" s="20" t="n">
        <f aca="false">G2085-H2085</f>
        <v>51.04</v>
      </c>
      <c r="J2085" s="21" t="n">
        <f aca="false">H2085*1000/Parametres!$B$9</f>
        <v>4239.44378497541</v>
      </c>
    </row>
    <row r="2086" customFormat="false" ht="15" hidden="false" customHeight="false" outlineLevel="0" collapsed="false">
      <c r="A2086" s="0" t="n">
        <v>2082</v>
      </c>
      <c r="B2086" s="0" t="n">
        <v>3</v>
      </c>
      <c r="C2086" s="19" t="n">
        <v>0.1104</v>
      </c>
      <c r="D2086" s="19" t="n">
        <v>1</v>
      </c>
      <c r="E2086" s="20" t="n">
        <f aca="false">Parametres!$B$5*C2086</f>
        <v>33.12</v>
      </c>
      <c r="F2086" s="20" t="n">
        <f aca="false">Parametres!$B$6*D2086</f>
        <v>200</v>
      </c>
      <c r="G2086" s="20" t="n">
        <f aca="false">E2086+F2086</f>
        <v>233.12</v>
      </c>
      <c r="H2086" s="20" t="n">
        <f aca="false">IF(G2086&lt;Parametres!$B$8*Parametres!$B$7,0,MIN(G2086,Parametres!$B$7))</f>
        <v>233.12</v>
      </c>
      <c r="I2086" s="20" t="n">
        <f aca="false">G2086-H2086</f>
        <v>0</v>
      </c>
      <c r="J2086" s="21" t="n">
        <f aca="false">H2086*1000/Parametres!$B$9</f>
        <v>3953.19654061387</v>
      </c>
    </row>
    <row r="2087" customFormat="false" ht="15" hidden="false" customHeight="false" outlineLevel="0" collapsed="false">
      <c r="A2087" s="0" t="n">
        <v>2083</v>
      </c>
      <c r="B2087" s="0" t="n">
        <v>3</v>
      </c>
      <c r="C2087" s="19" t="n">
        <v>0</v>
      </c>
      <c r="D2087" s="19" t="n">
        <v>1</v>
      </c>
      <c r="E2087" s="20" t="n">
        <f aca="false">Parametres!$B$5*C2087</f>
        <v>0</v>
      </c>
      <c r="F2087" s="20" t="n">
        <f aca="false">Parametres!$B$6*D2087</f>
        <v>200</v>
      </c>
      <c r="G2087" s="20" t="n">
        <f aca="false">E2087+F2087</f>
        <v>200</v>
      </c>
      <c r="H2087" s="20" t="n">
        <f aca="false">IF(G2087&lt;Parametres!$B$8*Parametres!$B$7,0,MIN(G2087,Parametres!$B$7))</f>
        <v>200</v>
      </c>
      <c r="I2087" s="20" t="n">
        <f aca="false">G2087-H2087</f>
        <v>0</v>
      </c>
      <c r="J2087" s="21" t="n">
        <f aca="false">H2087*1000/Parametres!$B$9</f>
        <v>3391.55502798033</v>
      </c>
    </row>
    <row r="2088" customFormat="false" ht="15" hidden="false" customHeight="false" outlineLevel="0" collapsed="false">
      <c r="A2088" s="0" t="n">
        <v>2084</v>
      </c>
      <c r="B2088" s="0" t="n">
        <v>3</v>
      </c>
      <c r="C2088" s="19" t="n">
        <v>0</v>
      </c>
      <c r="D2088" s="19" t="n">
        <v>1</v>
      </c>
      <c r="E2088" s="20" t="n">
        <f aca="false">Parametres!$B$5*C2088</f>
        <v>0</v>
      </c>
      <c r="F2088" s="20" t="n">
        <f aca="false">Parametres!$B$6*D2088</f>
        <v>200</v>
      </c>
      <c r="G2088" s="20" t="n">
        <f aca="false">E2088+F2088</f>
        <v>200</v>
      </c>
      <c r="H2088" s="20" t="n">
        <f aca="false">IF(G2088&lt;Parametres!$B$8*Parametres!$B$7,0,MIN(G2088,Parametres!$B$7))</f>
        <v>200</v>
      </c>
      <c r="I2088" s="20" t="n">
        <f aca="false">G2088-H2088</f>
        <v>0</v>
      </c>
      <c r="J2088" s="21" t="n">
        <f aca="false">H2088*1000/Parametres!$B$9</f>
        <v>3391.55502798033</v>
      </c>
    </row>
    <row r="2089" customFormat="false" ht="15" hidden="false" customHeight="false" outlineLevel="0" collapsed="false">
      <c r="A2089" s="0" t="n">
        <v>2085</v>
      </c>
      <c r="B2089" s="0" t="n">
        <v>3</v>
      </c>
      <c r="C2089" s="19" t="n">
        <v>0</v>
      </c>
      <c r="D2089" s="19" t="n">
        <v>1</v>
      </c>
      <c r="E2089" s="20" t="n">
        <f aca="false">Parametres!$B$5*C2089</f>
        <v>0</v>
      </c>
      <c r="F2089" s="20" t="n">
        <f aca="false">Parametres!$B$6*D2089</f>
        <v>200</v>
      </c>
      <c r="G2089" s="20" t="n">
        <f aca="false">E2089+F2089</f>
        <v>200</v>
      </c>
      <c r="H2089" s="20" t="n">
        <f aca="false">IF(G2089&lt;Parametres!$B$8*Parametres!$B$7,0,MIN(G2089,Parametres!$B$7))</f>
        <v>200</v>
      </c>
      <c r="I2089" s="20" t="n">
        <f aca="false">G2089-H2089</f>
        <v>0</v>
      </c>
      <c r="J2089" s="21" t="n">
        <f aca="false">H2089*1000/Parametres!$B$9</f>
        <v>3391.55502798033</v>
      </c>
    </row>
    <row r="2090" customFormat="false" ht="15" hidden="false" customHeight="false" outlineLevel="0" collapsed="false">
      <c r="A2090" s="0" t="n">
        <v>2086</v>
      </c>
      <c r="B2090" s="0" t="n">
        <v>3</v>
      </c>
      <c r="C2090" s="19" t="n">
        <v>0</v>
      </c>
      <c r="D2090" s="19" t="n">
        <v>1</v>
      </c>
      <c r="E2090" s="20" t="n">
        <f aca="false">Parametres!$B$5*C2090</f>
        <v>0</v>
      </c>
      <c r="F2090" s="20" t="n">
        <f aca="false">Parametres!$B$6*D2090</f>
        <v>200</v>
      </c>
      <c r="G2090" s="20" t="n">
        <f aca="false">E2090+F2090</f>
        <v>200</v>
      </c>
      <c r="H2090" s="20" t="n">
        <f aca="false">IF(G2090&lt;Parametres!$B$8*Parametres!$B$7,0,MIN(G2090,Parametres!$B$7))</f>
        <v>200</v>
      </c>
      <c r="I2090" s="20" t="n">
        <f aca="false">G2090-H2090</f>
        <v>0</v>
      </c>
      <c r="J2090" s="21" t="n">
        <f aca="false">H2090*1000/Parametres!$B$9</f>
        <v>3391.55502798033</v>
      </c>
    </row>
    <row r="2091" customFormat="false" ht="15" hidden="false" customHeight="false" outlineLevel="0" collapsed="false">
      <c r="A2091" s="0" t="n">
        <v>2087</v>
      </c>
      <c r="B2091" s="0" t="n">
        <v>3</v>
      </c>
      <c r="C2091" s="19" t="n">
        <v>0</v>
      </c>
      <c r="D2091" s="19" t="n">
        <v>0.9815</v>
      </c>
      <c r="E2091" s="20" t="n">
        <f aca="false">Parametres!$B$5*C2091</f>
        <v>0</v>
      </c>
      <c r="F2091" s="20" t="n">
        <f aca="false">Parametres!$B$6*D2091</f>
        <v>196.3</v>
      </c>
      <c r="G2091" s="20" t="n">
        <f aca="false">E2091+F2091</f>
        <v>196.3</v>
      </c>
      <c r="H2091" s="20" t="n">
        <f aca="false">IF(G2091&lt;Parametres!$B$8*Parametres!$B$7,0,MIN(G2091,Parametres!$B$7))</f>
        <v>196.3</v>
      </c>
      <c r="I2091" s="20" t="n">
        <f aca="false">G2091-H2091</f>
        <v>0</v>
      </c>
      <c r="J2091" s="21" t="n">
        <f aca="false">H2091*1000/Parametres!$B$9</f>
        <v>3328.81125996269</v>
      </c>
    </row>
    <row r="2092" customFormat="false" ht="15" hidden="false" customHeight="false" outlineLevel="0" collapsed="false">
      <c r="A2092" s="0" t="n">
        <v>2088</v>
      </c>
      <c r="B2092" s="0" t="n">
        <v>3</v>
      </c>
      <c r="C2092" s="19" t="n">
        <v>0</v>
      </c>
      <c r="D2092" s="19" t="n">
        <v>1</v>
      </c>
      <c r="E2092" s="20" t="n">
        <f aca="false">Parametres!$B$5*C2092</f>
        <v>0</v>
      </c>
      <c r="F2092" s="20" t="n">
        <f aca="false">Parametres!$B$6*D2092</f>
        <v>200</v>
      </c>
      <c r="G2092" s="20" t="n">
        <f aca="false">E2092+F2092</f>
        <v>200</v>
      </c>
      <c r="H2092" s="20" t="n">
        <f aca="false">IF(G2092&lt;Parametres!$B$8*Parametres!$B$7,0,MIN(G2092,Parametres!$B$7))</f>
        <v>200</v>
      </c>
      <c r="I2092" s="20" t="n">
        <f aca="false">G2092-H2092</f>
        <v>0</v>
      </c>
      <c r="J2092" s="21" t="n">
        <f aca="false">H2092*1000/Parametres!$B$9</f>
        <v>3391.55502798033</v>
      </c>
    </row>
    <row r="2093" customFormat="false" ht="15" hidden="false" customHeight="false" outlineLevel="0" collapsed="false">
      <c r="A2093" s="0" t="n">
        <v>2089</v>
      </c>
      <c r="B2093" s="0" t="n">
        <v>3</v>
      </c>
      <c r="C2093" s="19" t="n">
        <v>0</v>
      </c>
      <c r="D2093" s="19" t="n">
        <v>1</v>
      </c>
      <c r="E2093" s="20" t="n">
        <f aca="false">Parametres!$B$5*C2093</f>
        <v>0</v>
      </c>
      <c r="F2093" s="20" t="n">
        <f aca="false">Parametres!$B$6*D2093</f>
        <v>200</v>
      </c>
      <c r="G2093" s="20" t="n">
        <f aca="false">E2093+F2093</f>
        <v>200</v>
      </c>
      <c r="H2093" s="20" t="n">
        <f aca="false">IF(G2093&lt;Parametres!$B$8*Parametres!$B$7,0,MIN(G2093,Parametres!$B$7))</f>
        <v>200</v>
      </c>
      <c r="I2093" s="20" t="n">
        <f aca="false">G2093-H2093</f>
        <v>0</v>
      </c>
      <c r="J2093" s="21" t="n">
        <f aca="false">H2093*1000/Parametres!$B$9</f>
        <v>3391.55502798033</v>
      </c>
    </row>
    <row r="2094" customFormat="false" ht="15" hidden="false" customHeight="false" outlineLevel="0" collapsed="false">
      <c r="A2094" s="0" t="n">
        <v>2090</v>
      </c>
      <c r="B2094" s="0" t="n">
        <v>3</v>
      </c>
      <c r="C2094" s="19" t="n">
        <v>0</v>
      </c>
      <c r="D2094" s="19" t="n">
        <v>1</v>
      </c>
      <c r="E2094" s="20" t="n">
        <f aca="false">Parametres!$B$5*C2094</f>
        <v>0</v>
      </c>
      <c r="F2094" s="20" t="n">
        <f aca="false">Parametres!$B$6*D2094</f>
        <v>200</v>
      </c>
      <c r="G2094" s="20" t="n">
        <f aca="false">E2094+F2094</f>
        <v>200</v>
      </c>
      <c r="H2094" s="20" t="n">
        <f aca="false">IF(G2094&lt;Parametres!$B$8*Parametres!$B$7,0,MIN(G2094,Parametres!$B$7))</f>
        <v>200</v>
      </c>
      <c r="I2094" s="20" t="n">
        <f aca="false">G2094-H2094</f>
        <v>0</v>
      </c>
      <c r="J2094" s="21" t="n">
        <f aca="false">H2094*1000/Parametres!$B$9</f>
        <v>3391.55502798033</v>
      </c>
    </row>
    <row r="2095" customFormat="false" ht="15" hidden="false" customHeight="false" outlineLevel="0" collapsed="false">
      <c r="A2095" s="0" t="n">
        <v>2091</v>
      </c>
      <c r="B2095" s="0" t="n">
        <v>3</v>
      </c>
      <c r="C2095" s="19" t="n">
        <v>0</v>
      </c>
      <c r="D2095" s="19" t="n">
        <v>1</v>
      </c>
      <c r="E2095" s="20" t="n">
        <f aca="false">Parametres!$B$5*C2095</f>
        <v>0</v>
      </c>
      <c r="F2095" s="20" t="n">
        <f aca="false">Parametres!$B$6*D2095</f>
        <v>200</v>
      </c>
      <c r="G2095" s="20" t="n">
        <f aca="false">E2095+F2095</f>
        <v>200</v>
      </c>
      <c r="H2095" s="20" t="n">
        <f aca="false">IF(G2095&lt;Parametres!$B$8*Parametres!$B$7,0,MIN(G2095,Parametres!$B$7))</f>
        <v>200</v>
      </c>
      <c r="I2095" s="20" t="n">
        <f aca="false">G2095-H2095</f>
        <v>0</v>
      </c>
      <c r="J2095" s="21" t="n">
        <f aca="false">H2095*1000/Parametres!$B$9</f>
        <v>3391.55502798033</v>
      </c>
    </row>
    <row r="2096" customFormat="false" ht="15" hidden="false" customHeight="false" outlineLevel="0" collapsed="false">
      <c r="A2096" s="0" t="n">
        <v>2092</v>
      </c>
      <c r="B2096" s="0" t="n">
        <v>3</v>
      </c>
      <c r="C2096" s="19" t="n">
        <v>0</v>
      </c>
      <c r="D2096" s="19" t="n">
        <v>1</v>
      </c>
      <c r="E2096" s="20" t="n">
        <f aca="false">Parametres!$B$5*C2096</f>
        <v>0</v>
      </c>
      <c r="F2096" s="20" t="n">
        <f aca="false">Parametres!$B$6*D2096</f>
        <v>200</v>
      </c>
      <c r="G2096" s="20" t="n">
        <f aca="false">E2096+F2096</f>
        <v>200</v>
      </c>
      <c r="H2096" s="20" t="n">
        <f aca="false">IF(G2096&lt;Parametres!$B$8*Parametres!$B$7,0,MIN(G2096,Parametres!$B$7))</f>
        <v>200</v>
      </c>
      <c r="I2096" s="20" t="n">
        <f aca="false">G2096-H2096</f>
        <v>0</v>
      </c>
      <c r="J2096" s="21" t="n">
        <f aca="false">H2096*1000/Parametres!$B$9</f>
        <v>3391.55502798033</v>
      </c>
    </row>
    <row r="2097" customFormat="false" ht="15" hidden="false" customHeight="false" outlineLevel="0" collapsed="false">
      <c r="A2097" s="0" t="n">
        <v>2093</v>
      </c>
      <c r="B2097" s="0" t="n">
        <v>3</v>
      </c>
      <c r="C2097" s="19" t="n">
        <v>0</v>
      </c>
      <c r="D2097" s="19" t="n">
        <v>1</v>
      </c>
      <c r="E2097" s="20" t="n">
        <f aca="false">Parametres!$B$5*C2097</f>
        <v>0</v>
      </c>
      <c r="F2097" s="20" t="n">
        <f aca="false">Parametres!$B$6*D2097</f>
        <v>200</v>
      </c>
      <c r="G2097" s="20" t="n">
        <f aca="false">E2097+F2097</f>
        <v>200</v>
      </c>
      <c r="H2097" s="20" t="n">
        <f aca="false">IF(G2097&lt;Parametres!$B$8*Parametres!$B$7,0,MIN(G2097,Parametres!$B$7))</f>
        <v>200</v>
      </c>
      <c r="I2097" s="20" t="n">
        <f aca="false">G2097-H2097</f>
        <v>0</v>
      </c>
      <c r="J2097" s="21" t="n">
        <f aca="false">H2097*1000/Parametres!$B$9</f>
        <v>3391.55502798033</v>
      </c>
    </row>
    <row r="2098" customFormat="false" ht="15" hidden="false" customHeight="false" outlineLevel="0" collapsed="false">
      <c r="A2098" s="0" t="n">
        <v>2094</v>
      </c>
      <c r="B2098" s="0" t="n">
        <v>3</v>
      </c>
      <c r="C2098" s="19" t="n">
        <v>0</v>
      </c>
      <c r="D2098" s="19" t="n">
        <v>1</v>
      </c>
      <c r="E2098" s="20" t="n">
        <f aca="false">Parametres!$B$5*C2098</f>
        <v>0</v>
      </c>
      <c r="F2098" s="20" t="n">
        <f aca="false">Parametres!$B$6*D2098</f>
        <v>200</v>
      </c>
      <c r="G2098" s="20" t="n">
        <f aca="false">E2098+F2098</f>
        <v>200</v>
      </c>
      <c r="H2098" s="20" t="n">
        <f aca="false">IF(G2098&lt;Parametres!$B$8*Parametres!$B$7,0,MIN(G2098,Parametres!$B$7))</f>
        <v>200</v>
      </c>
      <c r="I2098" s="20" t="n">
        <f aca="false">G2098-H2098</f>
        <v>0</v>
      </c>
      <c r="J2098" s="21" t="n">
        <f aca="false">H2098*1000/Parametres!$B$9</f>
        <v>3391.55502798033</v>
      </c>
    </row>
    <row r="2099" customFormat="false" ht="15" hidden="false" customHeight="false" outlineLevel="0" collapsed="false">
      <c r="A2099" s="0" t="n">
        <v>2095</v>
      </c>
      <c r="B2099" s="0" t="n">
        <v>3</v>
      </c>
      <c r="C2099" s="19" t="n">
        <v>0.1095</v>
      </c>
      <c r="D2099" s="19" t="n">
        <v>1</v>
      </c>
      <c r="E2099" s="20" t="n">
        <f aca="false">Parametres!$B$5*C2099</f>
        <v>32.85</v>
      </c>
      <c r="F2099" s="20" t="n">
        <f aca="false">Parametres!$B$6*D2099</f>
        <v>200</v>
      </c>
      <c r="G2099" s="20" t="n">
        <f aca="false">E2099+F2099</f>
        <v>232.85</v>
      </c>
      <c r="H2099" s="20" t="n">
        <f aca="false">IF(G2099&lt;Parametres!$B$8*Parametres!$B$7,0,MIN(G2099,Parametres!$B$7))</f>
        <v>232.85</v>
      </c>
      <c r="I2099" s="20" t="n">
        <f aca="false">G2099-H2099</f>
        <v>0</v>
      </c>
      <c r="J2099" s="21" t="n">
        <f aca="false">H2099*1000/Parametres!$B$9</f>
        <v>3948.6179413261</v>
      </c>
    </row>
    <row r="2100" customFormat="false" ht="15" hidden="false" customHeight="false" outlineLevel="0" collapsed="false">
      <c r="A2100" s="0" t="n">
        <v>2096</v>
      </c>
      <c r="B2100" s="0" t="n">
        <v>3</v>
      </c>
      <c r="C2100" s="19" t="n">
        <v>0.3695</v>
      </c>
      <c r="D2100" s="19" t="n">
        <v>1</v>
      </c>
      <c r="E2100" s="20" t="n">
        <f aca="false">Parametres!$B$5*C2100</f>
        <v>110.85</v>
      </c>
      <c r="F2100" s="20" t="n">
        <f aca="false">Parametres!$B$6*D2100</f>
        <v>200</v>
      </c>
      <c r="G2100" s="20" t="n">
        <f aca="false">E2100+F2100</f>
        <v>310.85</v>
      </c>
      <c r="H2100" s="20" t="n">
        <f aca="false">IF(G2100&lt;Parametres!$B$8*Parametres!$B$7,0,MIN(G2100,Parametres!$B$7))</f>
        <v>250</v>
      </c>
      <c r="I2100" s="20" t="n">
        <f aca="false">G2100-H2100</f>
        <v>60.85</v>
      </c>
      <c r="J2100" s="21" t="n">
        <f aca="false">H2100*1000/Parametres!$B$9</f>
        <v>4239.44378497541</v>
      </c>
    </row>
    <row r="2101" customFormat="false" ht="15" hidden="false" customHeight="false" outlineLevel="0" collapsed="false">
      <c r="A2101" s="0" t="n">
        <v>2097</v>
      </c>
      <c r="B2101" s="0" t="n">
        <v>3</v>
      </c>
      <c r="C2101" s="19" t="n">
        <v>0.5906</v>
      </c>
      <c r="D2101" s="19" t="n">
        <v>1</v>
      </c>
      <c r="E2101" s="20" t="n">
        <f aca="false">Parametres!$B$5*C2101</f>
        <v>177.18</v>
      </c>
      <c r="F2101" s="20" t="n">
        <f aca="false">Parametres!$B$6*D2101</f>
        <v>200</v>
      </c>
      <c r="G2101" s="20" t="n">
        <f aca="false">E2101+F2101</f>
        <v>377.18</v>
      </c>
      <c r="H2101" s="20" t="n">
        <f aca="false">IF(G2101&lt;Parametres!$B$8*Parametres!$B$7,0,MIN(G2101,Parametres!$B$7))</f>
        <v>250</v>
      </c>
      <c r="I2101" s="20" t="n">
        <f aca="false">G2101-H2101</f>
        <v>127.18</v>
      </c>
      <c r="J2101" s="21" t="n">
        <f aca="false">H2101*1000/Parametres!$B$9</f>
        <v>4239.44378497541</v>
      </c>
    </row>
    <row r="2102" customFormat="false" ht="15" hidden="false" customHeight="false" outlineLevel="0" collapsed="false">
      <c r="A2102" s="0" t="n">
        <v>2098</v>
      </c>
      <c r="B2102" s="0" t="n">
        <v>3</v>
      </c>
      <c r="C2102" s="19" t="n">
        <v>0.8664</v>
      </c>
      <c r="D2102" s="19" t="n">
        <v>1</v>
      </c>
      <c r="E2102" s="20" t="n">
        <f aca="false">Parametres!$B$5*C2102</f>
        <v>259.92</v>
      </c>
      <c r="F2102" s="20" t="n">
        <f aca="false">Parametres!$B$6*D2102</f>
        <v>200</v>
      </c>
      <c r="G2102" s="20" t="n">
        <f aca="false">E2102+F2102</f>
        <v>459.92</v>
      </c>
      <c r="H2102" s="20" t="n">
        <f aca="false">IF(G2102&lt;Parametres!$B$8*Parametres!$B$7,0,MIN(G2102,Parametres!$B$7))</f>
        <v>250</v>
      </c>
      <c r="I2102" s="20" t="n">
        <f aca="false">G2102-H2102</f>
        <v>209.92</v>
      </c>
      <c r="J2102" s="21" t="n">
        <f aca="false">H2102*1000/Parametres!$B$9</f>
        <v>4239.44378497541</v>
      </c>
    </row>
    <row r="2103" customFormat="false" ht="15" hidden="false" customHeight="false" outlineLevel="0" collapsed="false">
      <c r="A2103" s="0" t="n">
        <v>2099</v>
      </c>
      <c r="B2103" s="0" t="n">
        <v>3</v>
      </c>
      <c r="C2103" s="19" t="n">
        <v>1</v>
      </c>
      <c r="D2103" s="19" t="n">
        <v>1</v>
      </c>
      <c r="E2103" s="20" t="n">
        <f aca="false">Parametres!$B$5*C2103</f>
        <v>300</v>
      </c>
      <c r="F2103" s="20" t="n">
        <f aca="false">Parametres!$B$6*D2103</f>
        <v>200</v>
      </c>
      <c r="G2103" s="20" t="n">
        <f aca="false">E2103+F2103</f>
        <v>500</v>
      </c>
      <c r="H2103" s="20" t="n">
        <f aca="false">IF(G2103&lt;Parametres!$B$8*Parametres!$B$7,0,MIN(G2103,Parametres!$B$7))</f>
        <v>250</v>
      </c>
      <c r="I2103" s="20" t="n">
        <f aca="false">G2103-H2103</f>
        <v>250</v>
      </c>
      <c r="J2103" s="21" t="n">
        <f aca="false">H2103*1000/Parametres!$B$9</f>
        <v>4239.44378497541</v>
      </c>
    </row>
    <row r="2104" customFormat="false" ht="15" hidden="false" customHeight="false" outlineLevel="0" collapsed="false">
      <c r="A2104" s="0" t="n">
        <v>2100</v>
      </c>
      <c r="B2104" s="0" t="n">
        <v>3</v>
      </c>
      <c r="C2104" s="19" t="n">
        <v>1</v>
      </c>
      <c r="D2104" s="19" t="n">
        <v>1</v>
      </c>
      <c r="E2104" s="20" t="n">
        <f aca="false">Parametres!$B$5*C2104</f>
        <v>300</v>
      </c>
      <c r="F2104" s="20" t="n">
        <f aca="false">Parametres!$B$6*D2104</f>
        <v>200</v>
      </c>
      <c r="G2104" s="20" t="n">
        <f aca="false">E2104+F2104</f>
        <v>500</v>
      </c>
      <c r="H2104" s="20" t="n">
        <f aca="false">IF(G2104&lt;Parametres!$B$8*Parametres!$B$7,0,MIN(G2104,Parametres!$B$7))</f>
        <v>250</v>
      </c>
      <c r="I2104" s="20" t="n">
        <f aca="false">G2104-H2104</f>
        <v>250</v>
      </c>
      <c r="J2104" s="21" t="n">
        <f aca="false">H2104*1000/Parametres!$B$9</f>
        <v>4239.44378497541</v>
      </c>
    </row>
    <row r="2105" customFormat="false" ht="15" hidden="false" customHeight="false" outlineLevel="0" collapsed="false">
      <c r="A2105" s="0" t="n">
        <v>2101</v>
      </c>
      <c r="B2105" s="0" t="n">
        <v>3</v>
      </c>
      <c r="C2105" s="19" t="n">
        <v>1</v>
      </c>
      <c r="D2105" s="19" t="n">
        <v>1</v>
      </c>
      <c r="E2105" s="20" t="n">
        <f aca="false">Parametres!$B$5*C2105</f>
        <v>300</v>
      </c>
      <c r="F2105" s="20" t="n">
        <f aca="false">Parametres!$B$6*D2105</f>
        <v>200</v>
      </c>
      <c r="G2105" s="20" t="n">
        <f aca="false">E2105+F2105</f>
        <v>500</v>
      </c>
      <c r="H2105" s="20" t="n">
        <f aca="false">IF(G2105&lt;Parametres!$B$8*Parametres!$B$7,0,MIN(G2105,Parametres!$B$7))</f>
        <v>250</v>
      </c>
      <c r="I2105" s="20" t="n">
        <f aca="false">G2105-H2105</f>
        <v>250</v>
      </c>
      <c r="J2105" s="21" t="n">
        <f aca="false">H2105*1000/Parametres!$B$9</f>
        <v>4239.44378497541</v>
      </c>
    </row>
    <row r="2106" customFormat="false" ht="15" hidden="false" customHeight="false" outlineLevel="0" collapsed="false">
      <c r="A2106" s="0" t="n">
        <v>2102</v>
      </c>
      <c r="B2106" s="0" t="n">
        <v>3</v>
      </c>
      <c r="C2106" s="19" t="n">
        <v>1</v>
      </c>
      <c r="D2106" s="19" t="n">
        <v>1</v>
      </c>
      <c r="E2106" s="20" t="n">
        <f aca="false">Parametres!$B$5*C2106</f>
        <v>300</v>
      </c>
      <c r="F2106" s="20" t="n">
        <f aca="false">Parametres!$B$6*D2106</f>
        <v>200</v>
      </c>
      <c r="G2106" s="20" t="n">
        <f aca="false">E2106+F2106</f>
        <v>500</v>
      </c>
      <c r="H2106" s="20" t="n">
        <f aca="false">IF(G2106&lt;Parametres!$B$8*Parametres!$B$7,0,MIN(G2106,Parametres!$B$7))</f>
        <v>250</v>
      </c>
      <c r="I2106" s="20" t="n">
        <f aca="false">G2106-H2106</f>
        <v>250</v>
      </c>
      <c r="J2106" s="21" t="n">
        <f aca="false">H2106*1000/Parametres!$B$9</f>
        <v>4239.44378497541</v>
      </c>
    </row>
    <row r="2107" customFormat="false" ht="15" hidden="false" customHeight="false" outlineLevel="0" collapsed="false">
      <c r="A2107" s="0" t="n">
        <v>2103</v>
      </c>
      <c r="B2107" s="0" t="n">
        <v>3</v>
      </c>
      <c r="C2107" s="19" t="n">
        <v>0.8336</v>
      </c>
      <c r="D2107" s="19" t="n">
        <v>1</v>
      </c>
      <c r="E2107" s="20" t="n">
        <f aca="false">Parametres!$B$5*C2107</f>
        <v>250.08</v>
      </c>
      <c r="F2107" s="20" t="n">
        <f aca="false">Parametres!$B$6*D2107</f>
        <v>200</v>
      </c>
      <c r="G2107" s="20" t="n">
        <f aca="false">E2107+F2107</f>
        <v>450.08</v>
      </c>
      <c r="H2107" s="20" t="n">
        <f aca="false">IF(G2107&lt;Parametres!$B$8*Parametres!$B$7,0,MIN(G2107,Parametres!$B$7))</f>
        <v>250</v>
      </c>
      <c r="I2107" s="20" t="n">
        <f aca="false">G2107-H2107</f>
        <v>200.08</v>
      </c>
      <c r="J2107" s="21" t="n">
        <f aca="false">H2107*1000/Parametres!$B$9</f>
        <v>4239.44378497541</v>
      </c>
    </row>
    <row r="2108" customFormat="false" ht="15" hidden="false" customHeight="false" outlineLevel="0" collapsed="false">
      <c r="A2108" s="0" t="n">
        <v>2104</v>
      </c>
      <c r="B2108" s="0" t="n">
        <v>3</v>
      </c>
      <c r="C2108" s="19" t="n">
        <v>0.6714</v>
      </c>
      <c r="D2108" s="19" t="n">
        <v>0.7869</v>
      </c>
      <c r="E2108" s="20" t="n">
        <f aca="false">Parametres!$B$5*C2108</f>
        <v>201.42</v>
      </c>
      <c r="F2108" s="20" t="n">
        <f aca="false">Parametres!$B$6*D2108</f>
        <v>157.38</v>
      </c>
      <c r="G2108" s="20" t="n">
        <f aca="false">E2108+F2108</f>
        <v>358.8</v>
      </c>
      <c r="H2108" s="20" t="n">
        <f aca="false">IF(G2108&lt;Parametres!$B$8*Parametres!$B$7,0,MIN(G2108,Parametres!$B$7))</f>
        <v>250</v>
      </c>
      <c r="I2108" s="20" t="n">
        <f aca="false">G2108-H2108</f>
        <v>108.8</v>
      </c>
      <c r="J2108" s="21" t="n">
        <f aca="false">H2108*1000/Parametres!$B$9</f>
        <v>4239.44378497541</v>
      </c>
    </row>
    <row r="2109" customFormat="false" ht="15" hidden="false" customHeight="false" outlineLevel="0" collapsed="false">
      <c r="A2109" s="0" t="n">
        <v>2105</v>
      </c>
      <c r="B2109" s="0" t="n">
        <v>3</v>
      </c>
      <c r="C2109" s="19" t="n">
        <v>0.3941</v>
      </c>
      <c r="D2109" s="19" t="n">
        <v>1</v>
      </c>
      <c r="E2109" s="20" t="n">
        <f aca="false">Parametres!$B$5*C2109</f>
        <v>118.23</v>
      </c>
      <c r="F2109" s="20" t="n">
        <f aca="false">Parametres!$B$6*D2109</f>
        <v>200</v>
      </c>
      <c r="G2109" s="20" t="n">
        <f aca="false">E2109+F2109</f>
        <v>318.23</v>
      </c>
      <c r="H2109" s="20" t="n">
        <f aca="false">IF(G2109&lt;Parametres!$B$8*Parametres!$B$7,0,MIN(G2109,Parametres!$B$7))</f>
        <v>250</v>
      </c>
      <c r="I2109" s="20" t="n">
        <f aca="false">G2109-H2109</f>
        <v>68.23</v>
      </c>
      <c r="J2109" s="21" t="n">
        <f aca="false">H2109*1000/Parametres!$B$9</f>
        <v>4239.44378497541</v>
      </c>
    </row>
    <row r="2110" customFormat="false" ht="15" hidden="false" customHeight="false" outlineLevel="0" collapsed="false">
      <c r="A2110" s="0" t="n">
        <v>2106</v>
      </c>
      <c r="B2110" s="0" t="n">
        <v>3</v>
      </c>
      <c r="C2110" s="19" t="n">
        <v>0.1212</v>
      </c>
      <c r="D2110" s="19" t="n">
        <v>1</v>
      </c>
      <c r="E2110" s="20" t="n">
        <f aca="false">Parametres!$B$5*C2110</f>
        <v>36.36</v>
      </c>
      <c r="F2110" s="20" t="n">
        <f aca="false">Parametres!$B$6*D2110</f>
        <v>200</v>
      </c>
      <c r="G2110" s="20" t="n">
        <f aca="false">E2110+F2110</f>
        <v>236.36</v>
      </c>
      <c r="H2110" s="20" t="n">
        <f aca="false">IF(G2110&lt;Parametres!$B$8*Parametres!$B$7,0,MIN(G2110,Parametres!$B$7))</f>
        <v>236.36</v>
      </c>
      <c r="I2110" s="20" t="n">
        <f aca="false">G2110-H2110</f>
        <v>0</v>
      </c>
      <c r="J2110" s="21" t="n">
        <f aca="false">H2110*1000/Parametres!$B$9</f>
        <v>4008.13973206715</v>
      </c>
    </row>
    <row r="2111" customFormat="false" ht="15" hidden="false" customHeight="false" outlineLevel="0" collapsed="false">
      <c r="A2111" s="0" t="n">
        <v>2107</v>
      </c>
      <c r="B2111" s="0" t="n">
        <v>3</v>
      </c>
      <c r="C2111" s="19" t="n">
        <v>0</v>
      </c>
      <c r="D2111" s="19" t="n">
        <v>1</v>
      </c>
      <c r="E2111" s="20" t="n">
        <f aca="false">Parametres!$B$5*C2111</f>
        <v>0</v>
      </c>
      <c r="F2111" s="20" t="n">
        <f aca="false">Parametres!$B$6*D2111</f>
        <v>200</v>
      </c>
      <c r="G2111" s="20" t="n">
        <f aca="false">E2111+F2111</f>
        <v>200</v>
      </c>
      <c r="H2111" s="20" t="n">
        <f aca="false">IF(G2111&lt;Parametres!$B$8*Parametres!$B$7,0,MIN(G2111,Parametres!$B$7))</f>
        <v>200</v>
      </c>
      <c r="I2111" s="20" t="n">
        <f aca="false">G2111-H2111</f>
        <v>0</v>
      </c>
      <c r="J2111" s="21" t="n">
        <f aca="false">H2111*1000/Parametres!$B$9</f>
        <v>3391.55502798033</v>
      </c>
    </row>
    <row r="2112" customFormat="false" ht="15" hidden="false" customHeight="false" outlineLevel="0" collapsed="false">
      <c r="A2112" s="0" t="n">
        <v>2108</v>
      </c>
      <c r="B2112" s="0" t="n">
        <v>3</v>
      </c>
      <c r="C2112" s="19" t="n">
        <v>0</v>
      </c>
      <c r="D2112" s="19" t="n">
        <v>0.8049</v>
      </c>
      <c r="E2112" s="20" t="n">
        <f aca="false">Parametres!$B$5*C2112</f>
        <v>0</v>
      </c>
      <c r="F2112" s="20" t="n">
        <f aca="false">Parametres!$B$6*D2112</f>
        <v>160.98</v>
      </c>
      <c r="G2112" s="20" t="n">
        <f aca="false">E2112+F2112</f>
        <v>160.98</v>
      </c>
      <c r="H2112" s="20" t="n">
        <f aca="false">IF(G2112&lt;Parametres!$B$8*Parametres!$B$7,0,MIN(G2112,Parametres!$B$7))</f>
        <v>160.98</v>
      </c>
      <c r="I2112" s="20" t="n">
        <f aca="false">G2112-H2112</f>
        <v>0</v>
      </c>
      <c r="J2112" s="21" t="n">
        <f aca="false">H2112*1000/Parametres!$B$9</f>
        <v>2729.86264202137</v>
      </c>
    </row>
    <row r="2113" customFormat="false" ht="15" hidden="false" customHeight="false" outlineLevel="0" collapsed="false">
      <c r="A2113" s="0" t="n">
        <v>2109</v>
      </c>
      <c r="B2113" s="0" t="n">
        <v>3</v>
      </c>
      <c r="C2113" s="19" t="n">
        <v>0</v>
      </c>
      <c r="D2113" s="19" t="n">
        <v>1</v>
      </c>
      <c r="E2113" s="20" t="n">
        <f aca="false">Parametres!$B$5*C2113</f>
        <v>0</v>
      </c>
      <c r="F2113" s="20" t="n">
        <f aca="false">Parametres!$B$6*D2113</f>
        <v>200</v>
      </c>
      <c r="G2113" s="20" t="n">
        <f aca="false">E2113+F2113</f>
        <v>200</v>
      </c>
      <c r="H2113" s="20" t="n">
        <f aca="false">IF(G2113&lt;Parametres!$B$8*Parametres!$B$7,0,MIN(G2113,Parametres!$B$7))</f>
        <v>200</v>
      </c>
      <c r="I2113" s="20" t="n">
        <f aca="false">G2113-H2113</f>
        <v>0</v>
      </c>
      <c r="J2113" s="21" t="n">
        <f aca="false">H2113*1000/Parametres!$B$9</f>
        <v>3391.55502798033</v>
      </c>
    </row>
    <row r="2114" customFormat="false" ht="15" hidden="false" customHeight="false" outlineLevel="0" collapsed="false">
      <c r="A2114" s="0" t="n">
        <v>2110</v>
      </c>
      <c r="B2114" s="0" t="n">
        <v>3</v>
      </c>
      <c r="C2114" s="19" t="n">
        <v>0</v>
      </c>
      <c r="D2114" s="19" t="n">
        <v>1</v>
      </c>
      <c r="E2114" s="20" t="n">
        <f aca="false">Parametres!$B$5*C2114</f>
        <v>0</v>
      </c>
      <c r="F2114" s="20" t="n">
        <f aca="false">Parametres!$B$6*D2114</f>
        <v>200</v>
      </c>
      <c r="G2114" s="20" t="n">
        <f aca="false">E2114+F2114</f>
        <v>200</v>
      </c>
      <c r="H2114" s="20" t="n">
        <f aca="false">IF(G2114&lt;Parametres!$B$8*Parametres!$B$7,0,MIN(G2114,Parametres!$B$7))</f>
        <v>200</v>
      </c>
      <c r="I2114" s="20" t="n">
        <f aca="false">G2114-H2114</f>
        <v>0</v>
      </c>
      <c r="J2114" s="21" t="n">
        <f aca="false">H2114*1000/Parametres!$B$9</f>
        <v>3391.55502798033</v>
      </c>
    </row>
    <row r="2115" customFormat="false" ht="15" hidden="false" customHeight="false" outlineLevel="0" collapsed="false">
      <c r="A2115" s="0" t="n">
        <v>2111</v>
      </c>
      <c r="B2115" s="0" t="n">
        <v>3</v>
      </c>
      <c r="C2115" s="19" t="n">
        <v>0</v>
      </c>
      <c r="D2115" s="19" t="n">
        <v>1</v>
      </c>
      <c r="E2115" s="20" t="n">
        <f aca="false">Parametres!$B$5*C2115</f>
        <v>0</v>
      </c>
      <c r="F2115" s="20" t="n">
        <f aca="false">Parametres!$B$6*D2115</f>
        <v>200</v>
      </c>
      <c r="G2115" s="20" t="n">
        <f aca="false">E2115+F2115</f>
        <v>200</v>
      </c>
      <c r="H2115" s="20" t="n">
        <f aca="false">IF(G2115&lt;Parametres!$B$8*Parametres!$B$7,0,MIN(G2115,Parametres!$B$7))</f>
        <v>200</v>
      </c>
      <c r="I2115" s="20" t="n">
        <f aca="false">G2115-H2115</f>
        <v>0</v>
      </c>
      <c r="J2115" s="21" t="n">
        <f aca="false">H2115*1000/Parametres!$B$9</f>
        <v>3391.55502798033</v>
      </c>
    </row>
    <row r="2116" customFormat="false" ht="15" hidden="false" customHeight="false" outlineLevel="0" collapsed="false">
      <c r="A2116" s="0" t="n">
        <v>2112</v>
      </c>
      <c r="B2116" s="0" t="n">
        <v>3</v>
      </c>
      <c r="C2116" s="19" t="n">
        <v>0</v>
      </c>
      <c r="D2116" s="19" t="n">
        <v>0.9686</v>
      </c>
      <c r="E2116" s="20" t="n">
        <f aca="false">Parametres!$B$5*C2116</f>
        <v>0</v>
      </c>
      <c r="F2116" s="20" t="n">
        <f aca="false">Parametres!$B$6*D2116</f>
        <v>193.72</v>
      </c>
      <c r="G2116" s="20" t="n">
        <f aca="false">E2116+F2116</f>
        <v>193.72</v>
      </c>
      <c r="H2116" s="20" t="n">
        <f aca="false">IF(G2116&lt;Parametres!$B$8*Parametres!$B$7,0,MIN(G2116,Parametres!$B$7))</f>
        <v>193.72</v>
      </c>
      <c r="I2116" s="20" t="n">
        <f aca="false">G2116-H2116</f>
        <v>0</v>
      </c>
      <c r="J2116" s="21" t="n">
        <f aca="false">H2116*1000/Parametres!$B$9</f>
        <v>3285.06020010175</v>
      </c>
    </row>
    <row r="2117" customFormat="false" ht="15" hidden="false" customHeight="false" outlineLevel="0" collapsed="false">
      <c r="A2117" s="0" t="n">
        <v>2113</v>
      </c>
      <c r="B2117" s="0" t="n">
        <v>3</v>
      </c>
      <c r="C2117" s="19" t="n">
        <v>0</v>
      </c>
      <c r="D2117" s="19" t="n">
        <v>0.7674</v>
      </c>
      <c r="E2117" s="20" t="n">
        <f aca="false">Parametres!$B$5*C2117</f>
        <v>0</v>
      </c>
      <c r="F2117" s="20" t="n">
        <f aca="false">Parametres!$B$6*D2117</f>
        <v>153.48</v>
      </c>
      <c r="G2117" s="20" t="n">
        <f aca="false">E2117+F2117</f>
        <v>153.48</v>
      </c>
      <c r="H2117" s="20" t="n">
        <f aca="false">IF(G2117&lt;Parametres!$B$8*Parametres!$B$7,0,MIN(G2117,Parametres!$B$7))</f>
        <v>153.48</v>
      </c>
      <c r="I2117" s="20" t="n">
        <f aca="false">G2117-H2117</f>
        <v>0</v>
      </c>
      <c r="J2117" s="21" t="n">
        <f aca="false">H2117*1000/Parametres!$B$9</f>
        <v>2602.6793284721</v>
      </c>
    </row>
    <row r="2118" customFormat="false" ht="15" hidden="false" customHeight="false" outlineLevel="0" collapsed="false">
      <c r="A2118" s="0" t="n">
        <v>2114</v>
      </c>
      <c r="B2118" s="0" t="n">
        <v>3</v>
      </c>
      <c r="C2118" s="19" t="n">
        <v>0</v>
      </c>
      <c r="D2118" s="19" t="n">
        <v>0.9558</v>
      </c>
      <c r="E2118" s="20" t="n">
        <f aca="false">Parametres!$B$5*C2118</f>
        <v>0</v>
      </c>
      <c r="F2118" s="20" t="n">
        <f aca="false">Parametres!$B$6*D2118</f>
        <v>191.16</v>
      </c>
      <c r="G2118" s="20" t="n">
        <f aca="false">E2118+F2118</f>
        <v>191.16</v>
      </c>
      <c r="H2118" s="20" t="n">
        <f aca="false">IF(G2118&lt;Parametres!$B$8*Parametres!$B$7,0,MIN(G2118,Parametres!$B$7))</f>
        <v>191.16</v>
      </c>
      <c r="I2118" s="20" t="n">
        <f aca="false">G2118-H2118</f>
        <v>0</v>
      </c>
      <c r="J2118" s="21" t="n">
        <f aca="false">H2118*1000/Parametres!$B$9</f>
        <v>3241.6482957436</v>
      </c>
    </row>
    <row r="2119" customFormat="false" ht="15" hidden="false" customHeight="false" outlineLevel="0" collapsed="false">
      <c r="A2119" s="0" t="n">
        <v>2115</v>
      </c>
      <c r="B2119" s="0" t="n">
        <v>3</v>
      </c>
      <c r="C2119" s="19" t="n">
        <v>0</v>
      </c>
      <c r="D2119" s="19" t="n">
        <v>0.885</v>
      </c>
      <c r="E2119" s="20" t="n">
        <f aca="false">Parametres!$B$5*C2119</f>
        <v>0</v>
      </c>
      <c r="F2119" s="20" t="n">
        <f aca="false">Parametres!$B$6*D2119</f>
        <v>177</v>
      </c>
      <c r="G2119" s="20" t="n">
        <f aca="false">E2119+F2119</f>
        <v>177</v>
      </c>
      <c r="H2119" s="20" t="n">
        <f aca="false">IF(G2119&lt;Parametres!$B$8*Parametres!$B$7,0,MIN(G2119,Parametres!$B$7))</f>
        <v>177</v>
      </c>
      <c r="I2119" s="20" t="n">
        <f aca="false">G2119-H2119</f>
        <v>0</v>
      </c>
      <c r="J2119" s="21" t="n">
        <f aca="false">H2119*1000/Parametres!$B$9</f>
        <v>3001.52619976259</v>
      </c>
    </row>
    <row r="2120" customFormat="false" ht="15" hidden="false" customHeight="false" outlineLevel="0" collapsed="false">
      <c r="A2120" s="0" t="n">
        <v>2116</v>
      </c>
      <c r="B2120" s="0" t="n">
        <v>3</v>
      </c>
      <c r="C2120" s="19" t="n">
        <v>0</v>
      </c>
      <c r="D2120" s="19" t="n">
        <v>0.7284</v>
      </c>
      <c r="E2120" s="20" t="n">
        <f aca="false">Parametres!$B$5*C2120</f>
        <v>0</v>
      </c>
      <c r="F2120" s="20" t="n">
        <f aca="false">Parametres!$B$6*D2120</f>
        <v>145.68</v>
      </c>
      <c r="G2120" s="20" t="n">
        <f aca="false">E2120+F2120</f>
        <v>145.68</v>
      </c>
      <c r="H2120" s="20" t="n">
        <f aca="false">IF(G2120&lt;Parametres!$B$8*Parametres!$B$7,0,MIN(G2120,Parametres!$B$7))</f>
        <v>145.68</v>
      </c>
      <c r="I2120" s="20" t="n">
        <f aca="false">G2120-H2120</f>
        <v>0</v>
      </c>
      <c r="J2120" s="21" t="n">
        <f aca="false">H2120*1000/Parametres!$B$9</f>
        <v>2470.40868238087</v>
      </c>
    </row>
    <row r="2121" customFormat="false" ht="15" hidden="false" customHeight="false" outlineLevel="0" collapsed="false">
      <c r="A2121" s="0" t="n">
        <v>2117</v>
      </c>
      <c r="B2121" s="0" t="n">
        <v>3</v>
      </c>
      <c r="C2121" s="19" t="n">
        <v>0</v>
      </c>
      <c r="D2121" s="19" t="n">
        <v>0.8031</v>
      </c>
      <c r="E2121" s="20" t="n">
        <f aca="false">Parametres!$B$5*C2121</f>
        <v>0</v>
      </c>
      <c r="F2121" s="20" t="n">
        <f aca="false">Parametres!$B$6*D2121</f>
        <v>160.62</v>
      </c>
      <c r="G2121" s="20" t="n">
        <f aca="false">E2121+F2121</f>
        <v>160.62</v>
      </c>
      <c r="H2121" s="20" t="n">
        <f aca="false">IF(G2121&lt;Parametres!$B$8*Parametres!$B$7,0,MIN(G2121,Parametres!$B$7))</f>
        <v>160.62</v>
      </c>
      <c r="I2121" s="20" t="n">
        <f aca="false">G2121-H2121</f>
        <v>0</v>
      </c>
      <c r="J2121" s="21" t="n">
        <f aca="false">H2121*1000/Parametres!$B$9</f>
        <v>2723.757842971</v>
      </c>
    </row>
    <row r="2122" customFormat="false" ht="15" hidden="false" customHeight="false" outlineLevel="0" collapsed="false">
      <c r="A2122" s="0" t="n">
        <v>2118</v>
      </c>
      <c r="B2122" s="0" t="n">
        <v>3</v>
      </c>
      <c r="C2122" s="19" t="n">
        <v>0</v>
      </c>
      <c r="D2122" s="19" t="n">
        <v>1</v>
      </c>
      <c r="E2122" s="20" t="n">
        <f aca="false">Parametres!$B$5*C2122</f>
        <v>0</v>
      </c>
      <c r="F2122" s="20" t="n">
        <f aca="false">Parametres!$B$6*D2122</f>
        <v>200</v>
      </c>
      <c r="G2122" s="20" t="n">
        <f aca="false">E2122+F2122</f>
        <v>200</v>
      </c>
      <c r="H2122" s="20" t="n">
        <f aca="false">IF(G2122&lt;Parametres!$B$8*Parametres!$B$7,0,MIN(G2122,Parametres!$B$7))</f>
        <v>200</v>
      </c>
      <c r="I2122" s="20" t="n">
        <f aca="false">G2122-H2122</f>
        <v>0</v>
      </c>
      <c r="J2122" s="21" t="n">
        <f aca="false">H2122*1000/Parametres!$B$9</f>
        <v>3391.55502798033</v>
      </c>
    </row>
    <row r="2123" customFormat="false" ht="15" hidden="false" customHeight="false" outlineLevel="0" collapsed="false">
      <c r="A2123" s="0" t="n">
        <v>2119</v>
      </c>
      <c r="B2123" s="0" t="n">
        <v>3</v>
      </c>
      <c r="C2123" s="19" t="n">
        <v>0.1367</v>
      </c>
      <c r="D2123" s="19" t="n">
        <v>1</v>
      </c>
      <c r="E2123" s="20" t="n">
        <f aca="false">Parametres!$B$5*C2123</f>
        <v>41.01</v>
      </c>
      <c r="F2123" s="20" t="n">
        <f aca="false">Parametres!$B$6*D2123</f>
        <v>200</v>
      </c>
      <c r="G2123" s="20" t="n">
        <f aca="false">E2123+F2123</f>
        <v>241.01</v>
      </c>
      <c r="H2123" s="20" t="n">
        <f aca="false">IF(G2123&lt;Parametres!$B$8*Parametres!$B$7,0,MIN(G2123,Parametres!$B$7))</f>
        <v>241.01</v>
      </c>
      <c r="I2123" s="20" t="n">
        <f aca="false">G2123-H2123</f>
        <v>0</v>
      </c>
      <c r="J2123" s="21" t="n">
        <f aca="false">H2123*1000/Parametres!$B$9</f>
        <v>4086.9933864677</v>
      </c>
    </row>
    <row r="2124" customFormat="false" ht="15" hidden="false" customHeight="false" outlineLevel="0" collapsed="false">
      <c r="A2124" s="0" t="n">
        <v>2120</v>
      </c>
      <c r="B2124" s="0" t="n">
        <v>3</v>
      </c>
      <c r="C2124" s="19" t="n">
        <v>0.4062</v>
      </c>
      <c r="D2124" s="19" t="n">
        <v>1</v>
      </c>
      <c r="E2124" s="20" t="n">
        <f aca="false">Parametres!$B$5*C2124</f>
        <v>121.86</v>
      </c>
      <c r="F2124" s="20" t="n">
        <f aca="false">Parametres!$B$6*D2124</f>
        <v>200</v>
      </c>
      <c r="G2124" s="20" t="n">
        <f aca="false">E2124+F2124</f>
        <v>321.86</v>
      </c>
      <c r="H2124" s="20" t="n">
        <f aca="false">IF(G2124&lt;Parametres!$B$8*Parametres!$B$7,0,MIN(G2124,Parametres!$B$7))</f>
        <v>250</v>
      </c>
      <c r="I2124" s="20" t="n">
        <f aca="false">G2124-H2124</f>
        <v>71.86</v>
      </c>
      <c r="J2124" s="21" t="n">
        <f aca="false">H2124*1000/Parametres!$B$9</f>
        <v>4239.44378497541</v>
      </c>
    </row>
    <row r="2125" customFormat="false" ht="15" hidden="false" customHeight="false" outlineLevel="0" collapsed="false">
      <c r="A2125" s="0" t="n">
        <v>2121</v>
      </c>
      <c r="B2125" s="0" t="n">
        <v>3</v>
      </c>
      <c r="C2125" s="19" t="n">
        <v>0.6723</v>
      </c>
      <c r="D2125" s="19" t="n">
        <v>1</v>
      </c>
      <c r="E2125" s="20" t="n">
        <f aca="false">Parametres!$B$5*C2125</f>
        <v>201.69</v>
      </c>
      <c r="F2125" s="20" t="n">
        <f aca="false">Parametres!$B$6*D2125</f>
        <v>200</v>
      </c>
      <c r="G2125" s="20" t="n">
        <f aca="false">E2125+F2125</f>
        <v>401.69</v>
      </c>
      <c r="H2125" s="20" t="n">
        <f aca="false">IF(G2125&lt;Parametres!$B$8*Parametres!$B$7,0,MIN(G2125,Parametres!$B$7))</f>
        <v>250</v>
      </c>
      <c r="I2125" s="20" t="n">
        <f aca="false">G2125-H2125</f>
        <v>151.69</v>
      </c>
      <c r="J2125" s="21" t="n">
        <f aca="false">H2125*1000/Parametres!$B$9</f>
        <v>4239.44378497541</v>
      </c>
    </row>
    <row r="2126" customFormat="false" ht="15" hidden="false" customHeight="false" outlineLevel="0" collapsed="false">
      <c r="A2126" s="0" t="n">
        <v>2122</v>
      </c>
      <c r="B2126" s="0" t="n">
        <v>3</v>
      </c>
      <c r="C2126" s="19" t="n">
        <v>0.8569</v>
      </c>
      <c r="D2126" s="19" t="n">
        <v>1</v>
      </c>
      <c r="E2126" s="20" t="n">
        <f aca="false">Parametres!$B$5*C2126</f>
        <v>257.07</v>
      </c>
      <c r="F2126" s="20" t="n">
        <f aca="false">Parametres!$B$6*D2126</f>
        <v>200</v>
      </c>
      <c r="G2126" s="20" t="n">
        <f aca="false">E2126+F2126</f>
        <v>457.07</v>
      </c>
      <c r="H2126" s="20" t="n">
        <f aca="false">IF(G2126&lt;Parametres!$B$8*Parametres!$B$7,0,MIN(G2126,Parametres!$B$7))</f>
        <v>250</v>
      </c>
      <c r="I2126" s="20" t="n">
        <f aca="false">G2126-H2126</f>
        <v>207.07</v>
      </c>
      <c r="J2126" s="21" t="n">
        <f aca="false">H2126*1000/Parametres!$B$9</f>
        <v>4239.44378497541</v>
      </c>
    </row>
    <row r="2127" customFormat="false" ht="15" hidden="false" customHeight="false" outlineLevel="0" collapsed="false">
      <c r="A2127" s="0" t="n">
        <v>2123</v>
      </c>
      <c r="B2127" s="0" t="n">
        <v>3</v>
      </c>
      <c r="C2127" s="19" t="n">
        <v>1</v>
      </c>
      <c r="D2127" s="19" t="n">
        <v>1</v>
      </c>
      <c r="E2127" s="20" t="n">
        <f aca="false">Parametres!$B$5*C2127</f>
        <v>300</v>
      </c>
      <c r="F2127" s="20" t="n">
        <f aca="false">Parametres!$B$6*D2127</f>
        <v>200</v>
      </c>
      <c r="G2127" s="20" t="n">
        <f aca="false">E2127+F2127</f>
        <v>500</v>
      </c>
      <c r="H2127" s="20" t="n">
        <f aca="false">IF(G2127&lt;Parametres!$B$8*Parametres!$B$7,0,MIN(G2127,Parametres!$B$7))</f>
        <v>250</v>
      </c>
      <c r="I2127" s="20" t="n">
        <f aca="false">G2127-H2127</f>
        <v>250</v>
      </c>
      <c r="J2127" s="21" t="n">
        <f aca="false">H2127*1000/Parametres!$B$9</f>
        <v>4239.44378497541</v>
      </c>
    </row>
    <row r="2128" customFormat="false" ht="15" hidden="false" customHeight="false" outlineLevel="0" collapsed="false">
      <c r="A2128" s="0" t="n">
        <v>2124</v>
      </c>
      <c r="B2128" s="0" t="n">
        <v>3</v>
      </c>
      <c r="C2128" s="19" t="n">
        <v>1</v>
      </c>
      <c r="D2128" s="19" t="n">
        <v>1</v>
      </c>
      <c r="E2128" s="20" t="n">
        <f aca="false">Parametres!$B$5*C2128</f>
        <v>300</v>
      </c>
      <c r="F2128" s="20" t="n">
        <f aca="false">Parametres!$B$6*D2128</f>
        <v>200</v>
      </c>
      <c r="G2128" s="20" t="n">
        <f aca="false">E2128+F2128</f>
        <v>500</v>
      </c>
      <c r="H2128" s="20" t="n">
        <f aca="false">IF(G2128&lt;Parametres!$B$8*Parametres!$B$7,0,MIN(G2128,Parametres!$B$7))</f>
        <v>250</v>
      </c>
      <c r="I2128" s="20" t="n">
        <f aca="false">G2128-H2128</f>
        <v>250</v>
      </c>
      <c r="J2128" s="21" t="n">
        <f aca="false">H2128*1000/Parametres!$B$9</f>
        <v>4239.44378497541</v>
      </c>
    </row>
    <row r="2129" customFormat="false" ht="15" hidden="false" customHeight="false" outlineLevel="0" collapsed="false">
      <c r="A2129" s="0" t="n">
        <v>2125</v>
      </c>
      <c r="B2129" s="0" t="n">
        <v>3</v>
      </c>
      <c r="C2129" s="19" t="n">
        <v>1</v>
      </c>
      <c r="D2129" s="19" t="n">
        <v>1</v>
      </c>
      <c r="E2129" s="20" t="n">
        <f aca="false">Parametres!$B$5*C2129</f>
        <v>300</v>
      </c>
      <c r="F2129" s="20" t="n">
        <f aca="false">Parametres!$B$6*D2129</f>
        <v>200</v>
      </c>
      <c r="G2129" s="20" t="n">
        <f aca="false">E2129+F2129</f>
        <v>500</v>
      </c>
      <c r="H2129" s="20" t="n">
        <f aca="false">IF(G2129&lt;Parametres!$B$8*Parametres!$B$7,0,MIN(G2129,Parametres!$B$7))</f>
        <v>250</v>
      </c>
      <c r="I2129" s="20" t="n">
        <f aca="false">G2129-H2129</f>
        <v>250</v>
      </c>
      <c r="J2129" s="21" t="n">
        <f aca="false">H2129*1000/Parametres!$B$9</f>
        <v>4239.44378497541</v>
      </c>
    </row>
    <row r="2130" customFormat="false" ht="15" hidden="false" customHeight="false" outlineLevel="0" collapsed="false">
      <c r="A2130" s="0" t="n">
        <v>2126</v>
      </c>
      <c r="B2130" s="0" t="n">
        <v>3</v>
      </c>
      <c r="C2130" s="19" t="n">
        <v>1</v>
      </c>
      <c r="D2130" s="19" t="n">
        <v>1</v>
      </c>
      <c r="E2130" s="20" t="n">
        <f aca="false">Parametres!$B$5*C2130</f>
        <v>300</v>
      </c>
      <c r="F2130" s="20" t="n">
        <f aca="false">Parametres!$B$6*D2130</f>
        <v>200</v>
      </c>
      <c r="G2130" s="20" t="n">
        <f aca="false">E2130+F2130</f>
        <v>500</v>
      </c>
      <c r="H2130" s="20" t="n">
        <f aca="false">IF(G2130&lt;Parametres!$B$8*Parametres!$B$7,0,MIN(G2130,Parametres!$B$7))</f>
        <v>250</v>
      </c>
      <c r="I2130" s="20" t="n">
        <f aca="false">G2130-H2130</f>
        <v>250</v>
      </c>
      <c r="J2130" s="21" t="n">
        <f aca="false">H2130*1000/Parametres!$B$9</f>
        <v>4239.44378497541</v>
      </c>
    </row>
    <row r="2131" customFormat="false" ht="15" hidden="false" customHeight="false" outlineLevel="0" collapsed="false">
      <c r="A2131" s="0" t="n">
        <v>2127</v>
      </c>
      <c r="B2131" s="0" t="n">
        <v>3</v>
      </c>
      <c r="C2131" s="19" t="n">
        <v>0.9194</v>
      </c>
      <c r="D2131" s="19" t="n">
        <v>1</v>
      </c>
      <c r="E2131" s="20" t="n">
        <f aca="false">Parametres!$B$5*C2131</f>
        <v>275.82</v>
      </c>
      <c r="F2131" s="20" t="n">
        <f aca="false">Parametres!$B$6*D2131</f>
        <v>200</v>
      </c>
      <c r="G2131" s="20" t="n">
        <f aca="false">E2131+F2131</f>
        <v>475.82</v>
      </c>
      <c r="H2131" s="20" t="n">
        <f aca="false">IF(G2131&lt;Parametres!$B$8*Parametres!$B$7,0,MIN(G2131,Parametres!$B$7))</f>
        <v>250</v>
      </c>
      <c r="I2131" s="20" t="n">
        <f aca="false">G2131-H2131</f>
        <v>225.82</v>
      </c>
      <c r="J2131" s="21" t="n">
        <f aca="false">H2131*1000/Parametres!$B$9</f>
        <v>4239.44378497541</v>
      </c>
    </row>
    <row r="2132" customFormat="false" ht="15" hidden="false" customHeight="false" outlineLevel="0" collapsed="false">
      <c r="A2132" s="0" t="n">
        <v>2128</v>
      </c>
      <c r="B2132" s="0" t="n">
        <v>3</v>
      </c>
      <c r="C2132" s="19" t="n">
        <v>0.7034</v>
      </c>
      <c r="D2132" s="19" t="n">
        <v>1</v>
      </c>
      <c r="E2132" s="20" t="n">
        <f aca="false">Parametres!$B$5*C2132</f>
        <v>211.02</v>
      </c>
      <c r="F2132" s="20" t="n">
        <f aca="false">Parametres!$B$6*D2132</f>
        <v>200</v>
      </c>
      <c r="G2132" s="20" t="n">
        <f aca="false">E2132+F2132</f>
        <v>411.02</v>
      </c>
      <c r="H2132" s="20" t="n">
        <f aca="false">IF(G2132&lt;Parametres!$B$8*Parametres!$B$7,0,MIN(G2132,Parametres!$B$7))</f>
        <v>250</v>
      </c>
      <c r="I2132" s="20" t="n">
        <f aca="false">G2132-H2132</f>
        <v>161.02</v>
      </c>
      <c r="J2132" s="21" t="n">
        <f aca="false">H2132*1000/Parametres!$B$9</f>
        <v>4239.44378497541</v>
      </c>
    </row>
    <row r="2133" customFormat="false" ht="15" hidden="false" customHeight="false" outlineLevel="0" collapsed="false">
      <c r="A2133" s="0" t="n">
        <v>2129</v>
      </c>
      <c r="B2133" s="0" t="n">
        <v>3</v>
      </c>
      <c r="C2133" s="19" t="n">
        <v>0.409</v>
      </c>
      <c r="D2133" s="19" t="n">
        <v>1</v>
      </c>
      <c r="E2133" s="20" t="n">
        <f aca="false">Parametres!$B$5*C2133</f>
        <v>122.7</v>
      </c>
      <c r="F2133" s="20" t="n">
        <f aca="false">Parametres!$B$6*D2133</f>
        <v>200</v>
      </c>
      <c r="G2133" s="20" t="n">
        <f aca="false">E2133+F2133</f>
        <v>322.7</v>
      </c>
      <c r="H2133" s="20" t="n">
        <f aca="false">IF(G2133&lt;Parametres!$B$8*Parametres!$B$7,0,MIN(G2133,Parametres!$B$7))</f>
        <v>250</v>
      </c>
      <c r="I2133" s="20" t="n">
        <f aca="false">G2133-H2133</f>
        <v>72.7</v>
      </c>
      <c r="J2133" s="21" t="n">
        <f aca="false">H2133*1000/Parametres!$B$9</f>
        <v>4239.44378497541</v>
      </c>
    </row>
    <row r="2134" customFormat="false" ht="15" hidden="false" customHeight="false" outlineLevel="0" collapsed="false">
      <c r="A2134" s="0" t="n">
        <v>2130</v>
      </c>
      <c r="B2134" s="0" t="n">
        <v>3</v>
      </c>
      <c r="C2134" s="19" t="n">
        <v>0.1325</v>
      </c>
      <c r="D2134" s="19" t="n">
        <v>1</v>
      </c>
      <c r="E2134" s="20" t="n">
        <f aca="false">Parametres!$B$5*C2134</f>
        <v>39.75</v>
      </c>
      <c r="F2134" s="20" t="n">
        <f aca="false">Parametres!$B$6*D2134</f>
        <v>200</v>
      </c>
      <c r="G2134" s="20" t="n">
        <f aca="false">E2134+F2134</f>
        <v>239.75</v>
      </c>
      <c r="H2134" s="20" t="n">
        <f aca="false">IF(G2134&lt;Parametres!$B$8*Parametres!$B$7,0,MIN(G2134,Parametres!$B$7))</f>
        <v>239.75</v>
      </c>
      <c r="I2134" s="20" t="n">
        <f aca="false">G2134-H2134</f>
        <v>0</v>
      </c>
      <c r="J2134" s="21" t="n">
        <f aca="false">H2134*1000/Parametres!$B$9</f>
        <v>4065.62658979142</v>
      </c>
    </row>
    <row r="2135" customFormat="false" ht="15" hidden="false" customHeight="false" outlineLevel="0" collapsed="false">
      <c r="A2135" s="0" t="n">
        <v>2131</v>
      </c>
      <c r="B2135" s="0" t="n">
        <v>3</v>
      </c>
      <c r="C2135" s="19" t="n">
        <v>0</v>
      </c>
      <c r="D2135" s="19" t="n">
        <v>1</v>
      </c>
      <c r="E2135" s="20" t="n">
        <f aca="false">Parametres!$B$5*C2135</f>
        <v>0</v>
      </c>
      <c r="F2135" s="20" t="n">
        <f aca="false">Parametres!$B$6*D2135</f>
        <v>200</v>
      </c>
      <c r="G2135" s="20" t="n">
        <f aca="false">E2135+F2135</f>
        <v>200</v>
      </c>
      <c r="H2135" s="20" t="n">
        <f aca="false">IF(G2135&lt;Parametres!$B$8*Parametres!$B$7,0,MIN(G2135,Parametres!$B$7))</f>
        <v>200</v>
      </c>
      <c r="I2135" s="20" t="n">
        <f aca="false">G2135-H2135</f>
        <v>0</v>
      </c>
      <c r="J2135" s="21" t="n">
        <f aca="false">H2135*1000/Parametres!$B$9</f>
        <v>3391.55502798033</v>
      </c>
    </row>
    <row r="2136" customFormat="false" ht="15" hidden="false" customHeight="false" outlineLevel="0" collapsed="false">
      <c r="A2136" s="0" t="n">
        <v>2132</v>
      </c>
      <c r="B2136" s="0" t="n">
        <v>3</v>
      </c>
      <c r="C2136" s="19" t="n">
        <v>0</v>
      </c>
      <c r="D2136" s="19" t="n">
        <v>1</v>
      </c>
      <c r="E2136" s="20" t="n">
        <f aca="false">Parametres!$B$5*C2136</f>
        <v>0</v>
      </c>
      <c r="F2136" s="20" t="n">
        <f aca="false">Parametres!$B$6*D2136</f>
        <v>200</v>
      </c>
      <c r="G2136" s="20" t="n">
        <f aca="false">E2136+F2136</f>
        <v>200</v>
      </c>
      <c r="H2136" s="20" t="n">
        <f aca="false">IF(G2136&lt;Parametres!$B$8*Parametres!$B$7,0,MIN(G2136,Parametres!$B$7))</f>
        <v>200</v>
      </c>
      <c r="I2136" s="20" t="n">
        <f aca="false">G2136-H2136</f>
        <v>0</v>
      </c>
      <c r="J2136" s="21" t="n">
        <f aca="false">H2136*1000/Parametres!$B$9</f>
        <v>3391.55502798033</v>
      </c>
    </row>
    <row r="2137" customFormat="false" ht="15" hidden="false" customHeight="false" outlineLevel="0" collapsed="false">
      <c r="A2137" s="0" t="n">
        <v>2133</v>
      </c>
      <c r="B2137" s="0" t="n">
        <v>3</v>
      </c>
      <c r="C2137" s="19" t="n">
        <v>0</v>
      </c>
      <c r="D2137" s="19" t="n">
        <v>1</v>
      </c>
      <c r="E2137" s="20" t="n">
        <f aca="false">Parametres!$B$5*C2137</f>
        <v>0</v>
      </c>
      <c r="F2137" s="20" t="n">
        <f aca="false">Parametres!$B$6*D2137</f>
        <v>200</v>
      </c>
      <c r="G2137" s="20" t="n">
        <f aca="false">E2137+F2137</f>
        <v>200</v>
      </c>
      <c r="H2137" s="20" t="n">
        <f aca="false">IF(G2137&lt;Parametres!$B$8*Parametres!$B$7,0,MIN(G2137,Parametres!$B$7))</f>
        <v>200</v>
      </c>
      <c r="I2137" s="20" t="n">
        <f aca="false">G2137-H2137</f>
        <v>0</v>
      </c>
      <c r="J2137" s="21" t="n">
        <f aca="false">H2137*1000/Parametres!$B$9</f>
        <v>3391.55502798033</v>
      </c>
    </row>
    <row r="2138" customFormat="false" ht="15" hidden="false" customHeight="false" outlineLevel="0" collapsed="false">
      <c r="A2138" s="0" t="n">
        <v>2134</v>
      </c>
      <c r="B2138" s="0" t="n">
        <v>3</v>
      </c>
      <c r="C2138" s="19" t="n">
        <v>0</v>
      </c>
      <c r="D2138" s="19" t="n">
        <v>1</v>
      </c>
      <c r="E2138" s="20" t="n">
        <f aca="false">Parametres!$B$5*C2138</f>
        <v>0</v>
      </c>
      <c r="F2138" s="20" t="n">
        <f aca="false">Parametres!$B$6*D2138</f>
        <v>200</v>
      </c>
      <c r="G2138" s="20" t="n">
        <f aca="false">E2138+F2138</f>
        <v>200</v>
      </c>
      <c r="H2138" s="20" t="n">
        <f aca="false">IF(G2138&lt;Parametres!$B$8*Parametres!$B$7,0,MIN(G2138,Parametres!$B$7))</f>
        <v>200</v>
      </c>
      <c r="I2138" s="20" t="n">
        <f aca="false">G2138-H2138</f>
        <v>0</v>
      </c>
      <c r="J2138" s="21" t="n">
        <f aca="false">H2138*1000/Parametres!$B$9</f>
        <v>3391.55502798033</v>
      </c>
    </row>
    <row r="2139" customFormat="false" ht="15" hidden="false" customHeight="false" outlineLevel="0" collapsed="false">
      <c r="A2139" s="0" t="n">
        <v>2135</v>
      </c>
      <c r="B2139" s="0" t="n">
        <v>3</v>
      </c>
      <c r="C2139" s="19" t="n">
        <v>0</v>
      </c>
      <c r="D2139" s="19" t="n">
        <v>0.7167</v>
      </c>
      <c r="E2139" s="20" t="n">
        <f aca="false">Parametres!$B$5*C2139</f>
        <v>0</v>
      </c>
      <c r="F2139" s="20" t="n">
        <f aca="false">Parametres!$B$6*D2139</f>
        <v>143.34</v>
      </c>
      <c r="G2139" s="20" t="n">
        <f aca="false">E2139+F2139</f>
        <v>143.34</v>
      </c>
      <c r="H2139" s="20" t="n">
        <f aca="false">IF(G2139&lt;Parametres!$B$8*Parametres!$B$7,0,MIN(G2139,Parametres!$B$7))</f>
        <v>143.34</v>
      </c>
      <c r="I2139" s="20" t="n">
        <f aca="false">G2139-H2139</f>
        <v>0</v>
      </c>
      <c r="J2139" s="21" t="n">
        <f aca="false">H2139*1000/Parametres!$B$9</f>
        <v>2430.7274885535</v>
      </c>
    </row>
    <row r="2140" customFormat="false" ht="15" hidden="false" customHeight="false" outlineLevel="0" collapsed="false">
      <c r="A2140" s="0" t="n">
        <v>2136</v>
      </c>
      <c r="B2140" s="0" t="n">
        <v>3</v>
      </c>
      <c r="C2140" s="19" t="n">
        <v>0</v>
      </c>
      <c r="D2140" s="19" t="n">
        <v>0.4228</v>
      </c>
      <c r="E2140" s="20" t="n">
        <f aca="false">Parametres!$B$5*C2140</f>
        <v>0</v>
      </c>
      <c r="F2140" s="20" t="n">
        <f aca="false">Parametres!$B$6*D2140</f>
        <v>84.56</v>
      </c>
      <c r="G2140" s="20" t="n">
        <f aca="false">E2140+F2140</f>
        <v>84.56</v>
      </c>
      <c r="H2140" s="20" t="n">
        <f aca="false">IF(G2140&lt;Parametres!$B$8*Parametres!$B$7,0,MIN(G2140,Parametres!$B$7))</f>
        <v>84.56</v>
      </c>
      <c r="I2140" s="20" t="n">
        <f aca="false">G2140-H2140</f>
        <v>0</v>
      </c>
      <c r="J2140" s="21" t="n">
        <f aca="false">H2140*1000/Parametres!$B$9</f>
        <v>1433.94946583008</v>
      </c>
    </row>
    <row r="2141" customFormat="false" ht="15" hidden="false" customHeight="false" outlineLevel="0" collapsed="false">
      <c r="A2141" s="0" t="n">
        <v>2137</v>
      </c>
      <c r="B2141" s="0" t="n">
        <v>3</v>
      </c>
      <c r="C2141" s="19" t="n">
        <v>0</v>
      </c>
      <c r="D2141" s="19" t="n">
        <v>0.5258</v>
      </c>
      <c r="E2141" s="20" t="n">
        <f aca="false">Parametres!$B$5*C2141</f>
        <v>0</v>
      </c>
      <c r="F2141" s="20" t="n">
        <f aca="false">Parametres!$B$6*D2141</f>
        <v>105.16</v>
      </c>
      <c r="G2141" s="20" t="n">
        <f aca="false">E2141+F2141</f>
        <v>105.16</v>
      </c>
      <c r="H2141" s="20" t="n">
        <f aca="false">IF(G2141&lt;Parametres!$B$8*Parametres!$B$7,0,MIN(G2141,Parametres!$B$7))</f>
        <v>105.16</v>
      </c>
      <c r="I2141" s="20" t="n">
        <f aca="false">G2141-H2141</f>
        <v>0</v>
      </c>
      <c r="J2141" s="21" t="n">
        <f aca="false">H2141*1000/Parametres!$B$9</f>
        <v>1783.27963371206</v>
      </c>
    </row>
    <row r="2142" customFormat="false" ht="15" hidden="false" customHeight="false" outlineLevel="0" collapsed="false">
      <c r="A2142" s="0" t="n">
        <v>2138</v>
      </c>
      <c r="B2142" s="0" t="n">
        <v>3</v>
      </c>
      <c r="C2142" s="19" t="n">
        <v>0</v>
      </c>
      <c r="D2142" s="19" t="n">
        <v>0.5564</v>
      </c>
      <c r="E2142" s="20" t="n">
        <f aca="false">Parametres!$B$5*C2142</f>
        <v>0</v>
      </c>
      <c r="F2142" s="20" t="n">
        <f aca="false">Parametres!$B$6*D2142</f>
        <v>111.28</v>
      </c>
      <c r="G2142" s="20" t="n">
        <f aca="false">E2142+F2142</f>
        <v>111.28</v>
      </c>
      <c r="H2142" s="20" t="n">
        <f aca="false">IF(G2142&lt;Parametres!$B$8*Parametres!$B$7,0,MIN(G2142,Parametres!$B$7))</f>
        <v>111.28</v>
      </c>
      <c r="I2142" s="20" t="n">
        <f aca="false">G2142-H2142</f>
        <v>0</v>
      </c>
      <c r="J2142" s="21" t="n">
        <f aca="false">H2142*1000/Parametres!$B$9</f>
        <v>1887.06121756826</v>
      </c>
    </row>
    <row r="2143" customFormat="false" ht="15" hidden="false" customHeight="false" outlineLevel="0" collapsed="false">
      <c r="A2143" s="0" t="n">
        <v>2139</v>
      </c>
      <c r="B2143" s="0" t="n">
        <v>3</v>
      </c>
      <c r="C2143" s="19" t="n">
        <v>0</v>
      </c>
      <c r="D2143" s="19" t="n">
        <v>0.7159</v>
      </c>
      <c r="E2143" s="20" t="n">
        <f aca="false">Parametres!$B$5*C2143</f>
        <v>0</v>
      </c>
      <c r="F2143" s="20" t="n">
        <f aca="false">Parametres!$B$6*D2143</f>
        <v>143.18</v>
      </c>
      <c r="G2143" s="20" t="n">
        <f aca="false">E2143+F2143</f>
        <v>143.18</v>
      </c>
      <c r="H2143" s="20" t="n">
        <f aca="false">IF(G2143&lt;Parametres!$B$8*Parametres!$B$7,0,MIN(G2143,Parametres!$B$7))</f>
        <v>143.18</v>
      </c>
      <c r="I2143" s="20" t="n">
        <f aca="false">G2143-H2143</f>
        <v>0</v>
      </c>
      <c r="J2143" s="21" t="n">
        <f aca="false">H2143*1000/Parametres!$B$9</f>
        <v>2428.01424453112</v>
      </c>
    </row>
    <row r="2144" customFormat="false" ht="15" hidden="false" customHeight="false" outlineLevel="0" collapsed="false">
      <c r="A2144" s="0" t="n">
        <v>2140</v>
      </c>
      <c r="B2144" s="0" t="n">
        <v>3</v>
      </c>
      <c r="C2144" s="19" t="n">
        <v>0</v>
      </c>
      <c r="D2144" s="19" t="n">
        <v>0.4465</v>
      </c>
      <c r="E2144" s="20" t="n">
        <f aca="false">Parametres!$B$5*C2144</f>
        <v>0</v>
      </c>
      <c r="F2144" s="20" t="n">
        <f aca="false">Parametres!$B$6*D2144</f>
        <v>89.3</v>
      </c>
      <c r="G2144" s="20" t="n">
        <f aca="false">E2144+F2144</f>
        <v>89.3</v>
      </c>
      <c r="H2144" s="20" t="n">
        <f aca="false">IF(G2144&lt;Parametres!$B$8*Parametres!$B$7,0,MIN(G2144,Parametres!$B$7))</f>
        <v>89.3</v>
      </c>
      <c r="I2144" s="20" t="n">
        <f aca="false">G2144-H2144</f>
        <v>0</v>
      </c>
      <c r="J2144" s="21" t="n">
        <f aca="false">H2144*1000/Parametres!$B$9</f>
        <v>1514.32931999322</v>
      </c>
    </row>
    <row r="2145" customFormat="false" ht="15" hidden="false" customHeight="false" outlineLevel="0" collapsed="false">
      <c r="A2145" s="0" t="n">
        <v>2141</v>
      </c>
      <c r="B2145" s="0" t="n">
        <v>3</v>
      </c>
      <c r="C2145" s="19" t="n">
        <v>0</v>
      </c>
      <c r="D2145" s="19" t="n">
        <v>0.2212</v>
      </c>
      <c r="E2145" s="20" t="n">
        <f aca="false">Parametres!$B$5*C2145</f>
        <v>0</v>
      </c>
      <c r="F2145" s="20" t="n">
        <f aca="false">Parametres!$B$6*D2145</f>
        <v>44.24</v>
      </c>
      <c r="G2145" s="20" t="n">
        <f aca="false">E2145+F2145</f>
        <v>44.24</v>
      </c>
      <c r="H2145" s="20" t="n">
        <f aca="false">IF(G2145&lt;Parametres!$B$8*Parametres!$B$7,0,MIN(G2145,Parametres!$B$7))</f>
        <v>44.24</v>
      </c>
      <c r="I2145" s="20" t="n">
        <f aca="false">G2145-H2145</f>
        <v>0</v>
      </c>
      <c r="J2145" s="21" t="n">
        <f aca="false">H2145*1000/Parametres!$B$9</f>
        <v>750.211972189249</v>
      </c>
    </row>
    <row r="2146" customFormat="false" ht="15" hidden="false" customHeight="false" outlineLevel="0" collapsed="false">
      <c r="A2146" s="0" t="n">
        <v>2142</v>
      </c>
      <c r="B2146" s="0" t="n">
        <v>3</v>
      </c>
      <c r="C2146" s="19" t="n">
        <v>0</v>
      </c>
      <c r="D2146" s="19" t="n">
        <v>0.1172</v>
      </c>
      <c r="E2146" s="20" t="n">
        <f aca="false">Parametres!$B$5*C2146</f>
        <v>0</v>
      </c>
      <c r="F2146" s="20" t="n">
        <f aca="false">Parametres!$B$6*D2146</f>
        <v>23.44</v>
      </c>
      <c r="G2146" s="20" t="n">
        <f aca="false">E2146+F2146</f>
        <v>23.44</v>
      </c>
      <c r="H2146" s="20" t="n">
        <f aca="false">IF(G2146&lt;Parametres!$B$8*Parametres!$B$7,0,MIN(G2146,Parametres!$B$7))</f>
        <v>0</v>
      </c>
      <c r="I2146" s="20" t="n">
        <f aca="false">G2146-H2146</f>
        <v>23.44</v>
      </c>
      <c r="J2146" s="21" t="n">
        <f aca="false">H2146*1000/Parametres!$B$9</f>
        <v>0</v>
      </c>
    </row>
    <row r="2147" customFormat="false" ht="15" hidden="false" customHeight="false" outlineLevel="0" collapsed="false">
      <c r="A2147" s="0" t="n">
        <v>2143</v>
      </c>
      <c r="B2147" s="0" t="n">
        <v>3</v>
      </c>
      <c r="C2147" s="19" t="n">
        <v>0.1343</v>
      </c>
      <c r="D2147" s="19" t="n">
        <v>0.1661</v>
      </c>
      <c r="E2147" s="20" t="n">
        <f aca="false">Parametres!$B$5*C2147</f>
        <v>40.29</v>
      </c>
      <c r="F2147" s="20" t="n">
        <f aca="false">Parametres!$B$6*D2147</f>
        <v>33.22</v>
      </c>
      <c r="G2147" s="20" t="n">
        <f aca="false">E2147+F2147</f>
        <v>73.51</v>
      </c>
      <c r="H2147" s="20" t="n">
        <f aca="false">IF(G2147&lt;Parametres!$B$8*Parametres!$B$7,0,MIN(G2147,Parametres!$B$7))</f>
        <v>73.51</v>
      </c>
      <c r="I2147" s="20" t="n">
        <f aca="false">G2147-H2147</f>
        <v>0</v>
      </c>
      <c r="J2147" s="21" t="n">
        <f aca="false">H2147*1000/Parametres!$B$9</f>
        <v>1246.56605053417</v>
      </c>
    </row>
    <row r="2148" customFormat="false" ht="15" hidden="false" customHeight="false" outlineLevel="0" collapsed="false">
      <c r="A2148" s="0" t="n">
        <v>2144</v>
      </c>
      <c r="B2148" s="0" t="n">
        <v>3</v>
      </c>
      <c r="C2148" s="19" t="n">
        <v>0.3919</v>
      </c>
      <c r="D2148" s="19" t="n">
        <v>0.2513</v>
      </c>
      <c r="E2148" s="20" t="n">
        <f aca="false">Parametres!$B$5*C2148</f>
        <v>117.57</v>
      </c>
      <c r="F2148" s="20" t="n">
        <f aca="false">Parametres!$B$6*D2148</f>
        <v>50.26</v>
      </c>
      <c r="G2148" s="20" t="n">
        <f aca="false">E2148+F2148</f>
        <v>167.83</v>
      </c>
      <c r="H2148" s="20" t="n">
        <f aca="false">IF(G2148&lt;Parametres!$B$8*Parametres!$B$7,0,MIN(G2148,Parametres!$B$7))</f>
        <v>167.83</v>
      </c>
      <c r="I2148" s="20" t="n">
        <f aca="false">G2148-H2148</f>
        <v>0</v>
      </c>
      <c r="J2148" s="21" t="n">
        <f aca="false">H2148*1000/Parametres!$B$9</f>
        <v>2846.02340172969</v>
      </c>
    </row>
    <row r="2149" customFormat="false" ht="15" hidden="false" customHeight="false" outlineLevel="0" collapsed="false">
      <c r="A2149" s="0" t="n">
        <v>2145</v>
      </c>
      <c r="B2149" s="0" t="n">
        <v>3</v>
      </c>
      <c r="C2149" s="19" t="n">
        <v>0.7271</v>
      </c>
      <c r="D2149" s="19" t="n">
        <v>0.1323</v>
      </c>
      <c r="E2149" s="20" t="n">
        <f aca="false">Parametres!$B$5*C2149</f>
        <v>218.13</v>
      </c>
      <c r="F2149" s="20" t="n">
        <f aca="false">Parametres!$B$6*D2149</f>
        <v>26.46</v>
      </c>
      <c r="G2149" s="20" t="n">
        <f aca="false">E2149+F2149</f>
        <v>244.59</v>
      </c>
      <c r="H2149" s="20" t="n">
        <f aca="false">IF(G2149&lt;Parametres!$B$8*Parametres!$B$7,0,MIN(G2149,Parametres!$B$7))</f>
        <v>244.59</v>
      </c>
      <c r="I2149" s="20" t="n">
        <f aca="false">G2149-H2149</f>
        <v>0</v>
      </c>
      <c r="J2149" s="21" t="n">
        <f aca="false">H2149*1000/Parametres!$B$9</f>
        <v>4147.70222146854</v>
      </c>
    </row>
    <row r="2150" customFormat="false" ht="15" hidden="false" customHeight="false" outlineLevel="0" collapsed="false">
      <c r="A2150" s="0" t="n">
        <v>2146</v>
      </c>
      <c r="B2150" s="0" t="n">
        <v>3</v>
      </c>
      <c r="C2150" s="19" t="n">
        <v>0.9246</v>
      </c>
      <c r="D2150" s="19" t="n">
        <v>0.2368</v>
      </c>
      <c r="E2150" s="20" t="n">
        <f aca="false">Parametres!$B$5*C2150</f>
        <v>277.38</v>
      </c>
      <c r="F2150" s="20" t="n">
        <f aca="false">Parametres!$B$6*D2150</f>
        <v>47.36</v>
      </c>
      <c r="G2150" s="20" t="n">
        <f aca="false">E2150+F2150</f>
        <v>324.74</v>
      </c>
      <c r="H2150" s="20" t="n">
        <f aca="false">IF(G2150&lt;Parametres!$B$8*Parametres!$B$7,0,MIN(G2150,Parametres!$B$7))</f>
        <v>250</v>
      </c>
      <c r="I2150" s="20" t="n">
        <f aca="false">G2150-H2150</f>
        <v>74.74</v>
      </c>
      <c r="J2150" s="21" t="n">
        <f aca="false">H2150*1000/Parametres!$B$9</f>
        <v>4239.44378497541</v>
      </c>
    </row>
    <row r="2151" customFormat="false" ht="15" hidden="false" customHeight="false" outlineLevel="0" collapsed="false">
      <c r="A2151" s="0" t="n">
        <v>2147</v>
      </c>
      <c r="B2151" s="0" t="n">
        <v>3</v>
      </c>
      <c r="C2151" s="19" t="n">
        <v>1</v>
      </c>
      <c r="D2151" s="19" t="n">
        <v>0.2294</v>
      </c>
      <c r="E2151" s="20" t="n">
        <f aca="false">Parametres!$B$5*C2151</f>
        <v>300</v>
      </c>
      <c r="F2151" s="20" t="n">
        <f aca="false">Parametres!$B$6*D2151</f>
        <v>45.88</v>
      </c>
      <c r="G2151" s="20" t="n">
        <f aca="false">E2151+F2151</f>
        <v>345.88</v>
      </c>
      <c r="H2151" s="20" t="n">
        <f aca="false">IF(G2151&lt;Parametres!$B$8*Parametres!$B$7,0,MIN(G2151,Parametres!$B$7))</f>
        <v>250</v>
      </c>
      <c r="I2151" s="20" t="n">
        <f aca="false">G2151-H2151</f>
        <v>95.88</v>
      </c>
      <c r="J2151" s="21" t="n">
        <f aca="false">H2151*1000/Parametres!$B$9</f>
        <v>4239.44378497541</v>
      </c>
    </row>
    <row r="2152" customFormat="false" ht="15" hidden="false" customHeight="false" outlineLevel="0" collapsed="false">
      <c r="A2152" s="0" t="n">
        <v>2148</v>
      </c>
      <c r="B2152" s="0" t="n">
        <v>3</v>
      </c>
      <c r="C2152" s="19" t="n">
        <v>1</v>
      </c>
      <c r="D2152" s="19" t="n">
        <v>0.158</v>
      </c>
      <c r="E2152" s="20" t="n">
        <f aca="false">Parametres!$B$5*C2152</f>
        <v>300</v>
      </c>
      <c r="F2152" s="20" t="n">
        <f aca="false">Parametres!$B$6*D2152</f>
        <v>31.6</v>
      </c>
      <c r="G2152" s="20" t="n">
        <f aca="false">E2152+F2152</f>
        <v>331.6</v>
      </c>
      <c r="H2152" s="20" t="n">
        <f aca="false">IF(G2152&lt;Parametres!$B$8*Parametres!$B$7,0,MIN(G2152,Parametres!$B$7))</f>
        <v>250</v>
      </c>
      <c r="I2152" s="20" t="n">
        <f aca="false">G2152-H2152</f>
        <v>81.6</v>
      </c>
      <c r="J2152" s="21" t="n">
        <f aca="false">H2152*1000/Parametres!$B$9</f>
        <v>4239.44378497541</v>
      </c>
    </row>
    <row r="2153" customFormat="false" ht="15" hidden="false" customHeight="false" outlineLevel="0" collapsed="false">
      <c r="A2153" s="0" t="n">
        <v>2149</v>
      </c>
      <c r="B2153" s="0" t="n">
        <v>3</v>
      </c>
      <c r="C2153" s="19" t="n">
        <v>1</v>
      </c>
      <c r="D2153" s="19" t="n">
        <v>0.1755</v>
      </c>
      <c r="E2153" s="20" t="n">
        <f aca="false">Parametres!$B$5*C2153</f>
        <v>300</v>
      </c>
      <c r="F2153" s="20" t="n">
        <f aca="false">Parametres!$B$6*D2153</f>
        <v>35.1</v>
      </c>
      <c r="G2153" s="20" t="n">
        <f aca="false">E2153+F2153</f>
        <v>335.1</v>
      </c>
      <c r="H2153" s="20" t="n">
        <f aca="false">IF(G2153&lt;Parametres!$B$8*Parametres!$B$7,0,MIN(G2153,Parametres!$B$7))</f>
        <v>250</v>
      </c>
      <c r="I2153" s="20" t="n">
        <f aca="false">G2153-H2153</f>
        <v>85.1</v>
      </c>
      <c r="J2153" s="21" t="n">
        <f aca="false">H2153*1000/Parametres!$B$9</f>
        <v>4239.44378497541</v>
      </c>
    </row>
    <row r="2154" customFormat="false" ht="15" hidden="false" customHeight="false" outlineLevel="0" collapsed="false">
      <c r="A2154" s="0" t="n">
        <v>2150</v>
      </c>
      <c r="B2154" s="0" t="n">
        <v>3</v>
      </c>
      <c r="C2154" s="19" t="n">
        <v>1</v>
      </c>
      <c r="D2154" s="19" t="n">
        <v>0.2528</v>
      </c>
      <c r="E2154" s="20" t="n">
        <f aca="false">Parametres!$B$5*C2154</f>
        <v>300</v>
      </c>
      <c r="F2154" s="20" t="n">
        <f aca="false">Parametres!$B$6*D2154</f>
        <v>50.56</v>
      </c>
      <c r="G2154" s="20" t="n">
        <f aca="false">E2154+F2154</f>
        <v>350.56</v>
      </c>
      <c r="H2154" s="20" t="n">
        <f aca="false">IF(G2154&lt;Parametres!$B$8*Parametres!$B$7,0,MIN(G2154,Parametres!$B$7))</f>
        <v>250</v>
      </c>
      <c r="I2154" s="20" t="n">
        <f aca="false">G2154-H2154</f>
        <v>100.56</v>
      </c>
      <c r="J2154" s="21" t="n">
        <f aca="false">H2154*1000/Parametres!$B$9</f>
        <v>4239.44378497541</v>
      </c>
    </row>
    <row r="2155" customFormat="false" ht="15" hidden="false" customHeight="false" outlineLevel="0" collapsed="false">
      <c r="A2155" s="0" t="n">
        <v>2151</v>
      </c>
      <c r="B2155" s="0" t="n">
        <v>3</v>
      </c>
      <c r="C2155" s="19" t="n">
        <v>0.9625</v>
      </c>
      <c r="D2155" s="19" t="n">
        <v>0.2509</v>
      </c>
      <c r="E2155" s="20" t="n">
        <f aca="false">Parametres!$B$5*C2155</f>
        <v>288.75</v>
      </c>
      <c r="F2155" s="20" t="n">
        <f aca="false">Parametres!$B$6*D2155</f>
        <v>50.18</v>
      </c>
      <c r="G2155" s="20" t="n">
        <f aca="false">E2155+F2155</f>
        <v>338.93</v>
      </c>
      <c r="H2155" s="20" t="n">
        <f aca="false">IF(G2155&lt;Parametres!$B$8*Parametres!$B$7,0,MIN(G2155,Parametres!$B$7))</f>
        <v>250</v>
      </c>
      <c r="I2155" s="20" t="n">
        <f aca="false">G2155-H2155</f>
        <v>88.93</v>
      </c>
      <c r="J2155" s="21" t="n">
        <f aca="false">H2155*1000/Parametres!$B$9</f>
        <v>4239.44378497541</v>
      </c>
    </row>
    <row r="2156" customFormat="false" ht="15" hidden="false" customHeight="false" outlineLevel="0" collapsed="false">
      <c r="A2156" s="0" t="n">
        <v>2152</v>
      </c>
      <c r="B2156" s="0" t="n">
        <v>3</v>
      </c>
      <c r="C2156" s="19" t="n">
        <v>0.6858</v>
      </c>
      <c r="D2156" s="19" t="n">
        <v>0.2456</v>
      </c>
      <c r="E2156" s="20" t="n">
        <f aca="false">Parametres!$B$5*C2156</f>
        <v>205.74</v>
      </c>
      <c r="F2156" s="20" t="n">
        <f aca="false">Parametres!$B$6*D2156</f>
        <v>49.12</v>
      </c>
      <c r="G2156" s="20" t="n">
        <f aca="false">E2156+F2156</f>
        <v>254.86</v>
      </c>
      <c r="H2156" s="20" t="n">
        <f aca="false">IF(G2156&lt;Parametres!$B$8*Parametres!$B$7,0,MIN(G2156,Parametres!$B$7))</f>
        <v>250</v>
      </c>
      <c r="I2156" s="20" t="n">
        <f aca="false">G2156-H2156</f>
        <v>4.85999999999999</v>
      </c>
      <c r="J2156" s="21" t="n">
        <f aca="false">H2156*1000/Parametres!$B$9</f>
        <v>4239.44378497541</v>
      </c>
    </row>
    <row r="2157" customFormat="false" ht="15" hidden="false" customHeight="false" outlineLevel="0" collapsed="false">
      <c r="A2157" s="0" t="n">
        <v>2153</v>
      </c>
      <c r="B2157" s="0" t="n">
        <v>3</v>
      </c>
      <c r="C2157" s="19" t="n">
        <v>0.4242</v>
      </c>
      <c r="D2157" s="19" t="n">
        <v>0.1717</v>
      </c>
      <c r="E2157" s="20" t="n">
        <f aca="false">Parametres!$B$5*C2157</f>
        <v>127.26</v>
      </c>
      <c r="F2157" s="20" t="n">
        <f aca="false">Parametres!$B$6*D2157</f>
        <v>34.34</v>
      </c>
      <c r="G2157" s="20" t="n">
        <f aca="false">E2157+F2157</f>
        <v>161.6</v>
      </c>
      <c r="H2157" s="20" t="n">
        <f aca="false">IF(G2157&lt;Parametres!$B$8*Parametres!$B$7,0,MIN(G2157,Parametres!$B$7))</f>
        <v>161.6</v>
      </c>
      <c r="I2157" s="20" t="n">
        <f aca="false">G2157-H2157</f>
        <v>0</v>
      </c>
      <c r="J2157" s="21" t="n">
        <f aca="false">H2157*1000/Parametres!$B$9</f>
        <v>2740.37646260811</v>
      </c>
    </row>
    <row r="2158" customFormat="false" ht="15" hidden="false" customHeight="false" outlineLevel="0" collapsed="false">
      <c r="A2158" s="0" t="n">
        <v>2154</v>
      </c>
      <c r="B2158" s="0" t="n">
        <v>3</v>
      </c>
      <c r="C2158" s="19" t="n">
        <v>0.1514</v>
      </c>
      <c r="D2158" s="19" t="n">
        <v>0.0815</v>
      </c>
      <c r="E2158" s="20" t="n">
        <f aca="false">Parametres!$B$5*C2158</f>
        <v>45.42</v>
      </c>
      <c r="F2158" s="20" t="n">
        <f aca="false">Parametres!$B$6*D2158</f>
        <v>16.3</v>
      </c>
      <c r="G2158" s="20" t="n">
        <f aca="false">E2158+F2158</f>
        <v>61.72</v>
      </c>
      <c r="H2158" s="20" t="n">
        <f aca="false">IF(G2158&lt;Parametres!$B$8*Parametres!$B$7,0,MIN(G2158,Parametres!$B$7))</f>
        <v>61.72</v>
      </c>
      <c r="I2158" s="20" t="n">
        <f aca="false">G2158-H2158</f>
        <v>0</v>
      </c>
      <c r="J2158" s="21" t="n">
        <f aca="false">H2158*1000/Parametres!$B$9</f>
        <v>1046.63388163473</v>
      </c>
    </row>
    <row r="2159" customFormat="false" ht="15" hidden="false" customHeight="false" outlineLevel="0" collapsed="false">
      <c r="A2159" s="0" t="n">
        <v>2155</v>
      </c>
      <c r="B2159" s="0" t="n">
        <v>3</v>
      </c>
      <c r="C2159" s="19" t="n">
        <v>0</v>
      </c>
      <c r="D2159" s="19" t="n">
        <v>0.0632</v>
      </c>
      <c r="E2159" s="20" t="n">
        <f aca="false">Parametres!$B$5*C2159</f>
        <v>0</v>
      </c>
      <c r="F2159" s="20" t="n">
        <f aca="false">Parametres!$B$6*D2159</f>
        <v>12.64</v>
      </c>
      <c r="G2159" s="20" t="n">
        <f aca="false">E2159+F2159</f>
        <v>12.64</v>
      </c>
      <c r="H2159" s="20" t="n">
        <f aca="false">IF(G2159&lt;Parametres!$B$8*Parametres!$B$7,0,MIN(G2159,Parametres!$B$7))</f>
        <v>0</v>
      </c>
      <c r="I2159" s="20" t="n">
        <f aca="false">G2159-H2159</f>
        <v>12.64</v>
      </c>
      <c r="J2159" s="21" t="n">
        <f aca="false">H2159*1000/Parametres!$B$9</f>
        <v>0</v>
      </c>
    </row>
    <row r="2160" customFormat="false" ht="15" hidden="false" customHeight="false" outlineLevel="0" collapsed="false">
      <c r="A2160" s="0" t="n">
        <v>2156</v>
      </c>
      <c r="B2160" s="0" t="n">
        <v>3</v>
      </c>
      <c r="C2160" s="19" t="n">
        <v>0</v>
      </c>
      <c r="D2160" s="19" t="n">
        <v>0.0187</v>
      </c>
      <c r="E2160" s="20" t="n">
        <f aca="false">Parametres!$B$5*C2160</f>
        <v>0</v>
      </c>
      <c r="F2160" s="20" t="n">
        <f aca="false">Parametres!$B$6*D2160</f>
        <v>3.74</v>
      </c>
      <c r="G2160" s="20" t="n">
        <f aca="false">E2160+F2160</f>
        <v>3.74</v>
      </c>
      <c r="H2160" s="20" t="n">
        <f aca="false">IF(G2160&lt;Parametres!$B$8*Parametres!$B$7,0,MIN(G2160,Parametres!$B$7))</f>
        <v>0</v>
      </c>
      <c r="I2160" s="20" t="n">
        <f aca="false">G2160-H2160</f>
        <v>3.74</v>
      </c>
      <c r="J2160" s="21" t="n">
        <f aca="false">H2160*1000/Parametres!$B$9</f>
        <v>0</v>
      </c>
    </row>
    <row r="2161" customFormat="false" ht="15" hidden="false" customHeight="false" outlineLevel="0" collapsed="false">
      <c r="A2161" s="0" t="n">
        <v>2157</v>
      </c>
      <c r="B2161" s="0" t="n">
        <v>3</v>
      </c>
      <c r="C2161" s="19" t="n">
        <v>0</v>
      </c>
      <c r="D2161" s="19" t="n">
        <v>0.0272</v>
      </c>
      <c r="E2161" s="20" t="n">
        <f aca="false">Parametres!$B$5*C2161</f>
        <v>0</v>
      </c>
      <c r="F2161" s="20" t="n">
        <f aca="false">Parametres!$B$6*D2161</f>
        <v>5.44</v>
      </c>
      <c r="G2161" s="20" t="n">
        <f aca="false">E2161+F2161</f>
        <v>5.44</v>
      </c>
      <c r="H2161" s="20" t="n">
        <f aca="false">IF(G2161&lt;Parametres!$B$8*Parametres!$B$7,0,MIN(G2161,Parametres!$B$7))</f>
        <v>0</v>
      </c>
      <c r="I2161" s="20" t="n">
        <f aca="false">G2161-H2161</f>
        <v>5.44</v>
      </c>
      <c r="J2161" s="21" t="n">
        <f aca="false">H2161*1000/Parametres!$B$9</f>
        <v>0</v>
      </c>
    </row>
    <row r="2162" customFormat="false" ht="15" hidden="false" customHeight="false" outlineLevel="0" collapsed="false">
      <c r="A2162" s="0" t="n">
        <v>2158</v>
      </c>
      <c r="B2162" s="0" t="n">
        <v>3</v>
      </c>
      <c r="C2162" s="19" t="n">
        <v>0</v>
      </c>
      <c r="D2162" s="19" t="n">
        <v>0.0118</v>
      </c>
      <c r="E2162" s="20" t="n">
        <f aca="false">Parametres!$B$5*C2162</f>
        <v>0</v>
      </c>
      <c r="F2162" s="20" t="n">
        <f aca="false">Parametres!$B$6*D2162</f>
        <v>2.36</v>
      </c>
      <c r="G2162" s="20" t="n">
        <f aca="false">E2162+F2162</f>
        <v>2.36</v>
      </c>
      <c r="H2162" s="20" t="n">
        <f aca="false">IF(G2162&lt;Parametres!$B$8*Parametres!$B$7,0,MIN(G2162,Parametres!$B$7))</f>
        <v>0</v>
      </c>
      <c r="I2162" s="20" t="n">
        <f aca="false">G2162-H2162</f>
        <v>2.36</v>
      </c>
      <c r="J2162" s="21" t="n">
        <f aca="false">H2162*1000/Parametres!$B$9</f>
        <v>0</v>
      </c>
    </row>
    <row r="2163" customFormat="false" ht="15" hidden="false" customHeight="false" outlineLevel="0" collapsed="false">
      <c r="A2163" s="0" t="n">
        <v>2159</v>
      </c>
      <c r="B2163" s="0" t="n">
        <v>3</v>
      </c>
      <c r="C2163" s="19" t="n">
        <v>0</v>
      </c>
      <c r="D2163" s="19" t="n">
        <v>0.0289</v>
      </c>
      <c r="E2163" s="20" t="n">
        <f aca="false">Parametres!$B$5*C2163</f>
        <v>0</v>
      </c>
      <c r="F2163" s="20" t="n">
        <f aca="false">Parametres!$B$6*D2163</f>
        <v>5.78</v>
      </c>
      <c r="G2163" s="20" t="n">
        <f aca="false">E2163+F2163</f>
        <v>5.78</v>
      </c>
      <c r="H2163" s="20" t="n">
        <f aca="false">IF(G2163&lt;Parametres!$B$8*Parametres!$B$7,0,MIN(G2163,Parametres!$B$7))</f>
        <v>0</v>
      </c>
      <c r="I2163" s="20" t="n">
        <f aca="false">G2163-H2163</f>
        <v>5.78</v>
      </c>
      <c r="J2163" s="21" t="n">
        <f aca="false">H2163*1000/Parametres!$B$9</f>
        <v>0</v>
      </c>
    </row>
    <row r="2164" customFormat="false" ht="15" hidden="false" customHeight="false" outlineLevel="0" collapsed="false">
      <c r="A2164" s="0" t="n">
        <v>2160</v>
      </c>
      <c r="B2164" s="0" t="n">
        <v>3</v>
      </c>
      <c r="C2164" s="19" t="n">
        <v>0</v>
      </c>
      <c r="D2164" s="19" t="n">
        <v>0.0062</v>
      </c>
      <c r="E2164" s="20" t="n">
        <f aca="false">Parametres!$B$5*C2164</f>
        <v>0</v>
      </c>
      <c r="F2164" s="20" t="n">
        <f aca="false">Parametres!$B$6*D2164</f>
        <v>1.24</v>
      </c>
      <c r="G2164" s="20" t="n">
        <f aca="false">E2164+F2164</f>
        <v>1.24</v>
      </c>
      <c r="H2164" s="20" t="n">
        <f aca="false">IF(G2164&lt;Parametres!$B$8*Parametres!$B$7,0,MIN(G2164,Parametres!$B$7))</f>
        <v>0</v>
      </c>
      <c r="I2164" s="20" t="n">
        <f aca="false">G2164-H2164</f>
        <v>1.24</v>
      </c>
      <c r="J2164" s="21" t="n">
        <f aca="false">H2164*1000/Parametres!$B$9</f>
        <v>0</v>
      </c>
    </row>
    <row r="2165" customFormat="false" ht="15" hidden="false" customHeight="false" outlineLevel="0" collapsed="false">
      <c r="A2165" s="0" t="n">
        <v>2161</v>
      </c>
      <c r="B2165" s="0" t="n">
        <v>4</v>
      </c>
      <c r="C2165" s="19" t="n">
        <v>0</v>
      </c>
      <c r="D2165" s="19" t="n">
        <v>0.0187</v>
      </c>
      <c r="E2165" s="20" t="n">
        <f aca="false">Parametres!$B$5*C2165</f>
        <v>0</v>
      </c>
      <c r="F2165" s="20" t="n">
        <f aca="false">Parametres!$B$6*D2165</f>
        <v>3.74</v>
      </c>
      <c r="G2165" s="20" t="n">
        <f aca="false">E2165+F2165</f>
        <v>3.74</v>
      </c>
      <c r="H2165" s="20" t="n">
        <f aca="false">IF(G2165&lt;Parametres!$B$8*Parametres!$B$7,0,MIN(G2165,Parametres!$B$7))</f>
        <v>0</v>
      </c>
      <c r="I2165" s="20" t="n">
        <f aca="false">G2165-H2165</f>
        <v>3.74</v>
      </c>
      <c r="J2165" s="21" t="n">
        <f aca="false">H2165*1000/Parametres!$B$9</f>
        <v>0</v>
      </c>
    </row>
    <row r="2166" customFormat="false" ht="15" hidden="false" customHeight="false" outlineLevel="0" collapsed="false">
      <c r="A2166" s="0" t="n">
        <v>2162</v>
      </c>
      <c r="B2166" s="0" t="n">
        <v>4</v>
      </c>
      <c r="C2166" s="19" t="n">
        <v>0</v>
      </c>
      <c r="D2166" s="19" t="n">
        <v>0.0075</v>
      </c>
      <c r="E2166" s="20" t="n">
        <f aca="false">Parametres!$B$5*C2166</f>
        <v>0</v>
      </c>
      <c r="F2166" s="20" t="n">
        <f aca="false">Parametres!$B$6*D2166</f>
        <v>1.5</v>
      </c>
      <c r="G2166" s="20" t="n">
        <f aca="false">E2166+F2166</f>
        <v>1.5</v>
      </c>
      <c r="H2166" s="20" t="n">
        <f aca="false">IF(G2166&lt;Parametres!$B$8*Parametres!$B$7,0,MIN(G2166,Parametres!$B$7))</f>
        <v>0</v>
      </c>
      <c r="I2166" s="20" t="n">
        <f aca="false">G2166-H2166</f>
        <v>1.5</v>
      </c>
      <c r="J2166" s="21" t="n">
        <f aca="false">H2166*1000/Parametres!$B$9</f>
        <v>0</v>
      </c>
    </row>
    <row r="2167" customFormat="false" ht="15" hidden="false" customHeight="false" outlineLevel="0" collapsed="false">
      <c r="A2167" s="0" t="n">
        <v>2163</v>
      </c>
      <c r="B2167" s="0" t="n">
        <v>4</v>
      </c>
      <c r="C2167" s="19" t="n">
        <v>0</v>
      </c>
      <c r="D2167" s="19" t="n">
        <v>0.0025</v>
      </c>
      <c r="E2167" s="20" t="n">
        <f aca="false">Parametres!$B$5*C2167</f>
        <v>0</v>
      </c>
      <c r="F2167" s="20" t="n">
        <f aca="false">Parametres!$B$6*D2167</f>
        <v>0.5</v>
      </c>
      <c r="G2167" s="20" t="n">
        <f aca="false">E2167+F2167</f>
        <v>0.5</v>
      </c>
      <c r="H2167" s="20" t="n">
        <f aca="false">IF(G2167&lt;Parametres!$B$8*Parametres!$B$7,0,MIN(G2167,Parametres!$B$7))</f>
        <v>0</v>
      </c>
      <c r="I2167" s="20" t="n">
        <f aca="false">G2167-H2167</f>
        <v>0.5</v>
      </c>
      <c r="J2167" s="21" t="n">
        <f aca="false">H2167*1000/Parametres!$B$9</f>
        <v>0</v>
      </c>
    </row>
    <row r="2168" customFormat="false" ht="15" hidden="false" customHeight="false" outlineLevel="0" collapsed="false">
      <c r="A2168" s="0" t="n">
        <v>2164</v>
      </c>
      <c r="B2168" s="0" t="n">
        <v>4</v>
      </c>
      <c r="C2168" s="19" t="n">
        <v>0</v>
      </c>
      <c r="D2168" s="19" t="n">
        <v>0.0034</v>
      </c>
      <c r="E2168" s="20" t="n">
        <f aca="false">Parametres!$B$5*C2168</f>
        <v>0</v>
      </c>
      <c r="F2168" s="20" t="n">
        <f aca="false">Parametres!$B$6*D2168</f>
        <v>0.68</v>
      </c>
      <c r="G2168" s="20" t="n">
        <f aca="false">E2168+F2168</f>
        <v>0.68</v>
      </c>
      <c r="H2168" s="20" t="n">
        <f aca="false">IF(G2168&lt;Parametres!$B$8*Parametres!$B$7,0,MIN(G2168,Parametres!$B$7))</f>
        <v>0</v>
      </c>
      <c r="I2168" s="20" t="n">
        <f aca="false">G2168-H2168</f>
        <v>0.68</v>
      </c>
      <c r="J2168" s="21" t="n">
        <f aca="false">H2168*1000/Parametres!$B$9</f>
        <v>0</v>
      </c>
    </row>
    <row r="2169" customFormat="false" ht="15" hidden="false" customHeight="false" outlineLevel="0" collapsed="false">
      <c r="A2169" s="0" t="n">
        <v>2165</v>
      </c>
      <c r="B2169" s="0" t="n">
        <v>4</v>
      </c>
      <c r="C2169" s="19" t="n">
        <v>0</v>
      </c>
      <c r="D2169" s="19" t="n">
        <v>0.0089</v>
      </c>
      <c r="E2169" s="20" t="n">
        <f aca="false">Parametres!$B$5*C2169</f>
        <v>0</v>
      </c>
      <c r="F2169" s="20" t="n">
        <f aca="false">Parametres!$B$6*D2169</f>
        <v>1.78</v>
      </c>
      <c r="G2169" s="20" t="n">
        <f aca="false">E2169+F2169</f>
        <v>1.78</v>
      </c>
      <c r="H2169" s="20" t="n">
        <f aca="false">IF(G2169&lt;Parametres!$B$8*Parametres!$B$7,0,MIN(G2169,Parametres!$B$7))</f>
        <v>0</v>
      </c>
      <c r="I2169" s="20" t="n">
        <f aca="false">G2169-H2169</f>
        <v>1.78</v>
      </c>
      <c r="J2169" s="21" t="n">
        <f aca="false">H2169*1000/Parametres!$B$9</f>
        <v>0</v>
      </c>
    </row>
    <row r="2170" customFormat="false" ht="15" hidden="false" customHeight="false" outlineLevel="0" collapsed="false">
      <c r="A2170" s="0" t="n">
        <v>2166</v>
      </c>
      <c r="B2170" s="0" t="n">
        <v>4</v>
      </c>
      <c r="C2170" s="19" t="n">
        <v>0</v>
      </c>
      <c r="D2170" s="19" t="n">
        <v>0.0094</v>
      </c>
      <c r="E2170" s="20" t="n">
        <f aca="false">Parametres!$B$5*C2170</f>
        <v>0</v>
      </c>
      <c r="F2170" s="20" t="n">
        <f aca="false">Parametres!$B$6*D2170</f>
        <v>1.88</v>
      </c>
      <c r="G2170" s="20" t="n">
        <f aca="false">E2170+F2170</f>
        <v>1.88</v>
      </c>
      <c r="H2170" s="20" t="n">
        <f aca="false">IF(G2170&lt;Parametres!$B$8*Parametres!$B$7,0,MIN(G2170,Parametres!$B$7))</f>
        <v>0</v>
      </c>
      <c r="I2170" s="20" t="n">
        <f aca="false">G2170-H2170</f>
        <v>1.88</v>
      </c>
      <c r="J2170" s="21" t="n">
        <f aca="false">H2170*1000/Parametres!$B$9</f>
        <v>0</v>
      </c>
    </row>
    <row r="2171" customFormat="false" ht="15" hidden="false" customHeight="false" outlineLevel="0" collapsed="false">
      <c r="A2171" s="0" t="n">
        <v>2167</v>
      </c>
      <c r="B2171" s="0" t="n">
        <v>4</v>
      </c>
      <c r="C2171" s="19" t="n">
        <v>0.1585</v>
      </c>
      <c r="D2171" s="19" t="n">
        <v>0.0079</v>
      </c>
      <c r="E2171" s="20" t="n">
        <f aca="false">Parametres!$B$5*C2171</f>
        <v>47.55</v>
      </c>
      <c r="F2171" s="20" t="n">
        <f aca="false">Parametres!$B$6*D2171</f>
        <v>1.58</v>
      </c>
      <c r="G2171" s="20" t="n">
        <f aca="false">E2171+F2171</f>
        <v>49.13</v>
      </c>
      <c r="H2171" s="20" t="n">
        <f aca="false">IF(G2171&lt;Parametres!$B$8*Parametres!$B$7,0,MIN(G2171,Parametres!$B$7))</f>
        <v>49.13</v>
      </c>
      <c r="I2171" s="20" t="n">
        <f aca="false">G2171-H2171</f>
        <v>0</v>
      </c>
      <c r="J2171" s="21" t="n">
        <f aca="false">H2171*1000/Parametres!$B$9</f>
        <v>833.135492623368</v>
      </c>
    </row>
    <row r="2172" customFormat="false" ht="15" hidden="false" customHeight="false" outlineLevel="0" collapsed="false">
      <c r="A2172" s="0" t="n">
        <v>2168</v>
      </c>
      <c r="B2172" s="0" t="n">
        <v>4</v>
      </c>
      <c r="C2172" s="19" t="n">
        <v>0.4068</v>
      </c>
      <c r="D2172" s="19" t="n">
        <v>0.0424</v>
      </c>
      <c r="E2172" s="20" t="n">
        <f aca="false">Parametres!$B$5*C2172</f>
        <v>122.04</v>
      </c>
      <c r="F2172" s="20" t="n">
        <f aca="false">Parametres!$B$6*D2172</f>
        <v>8.48</v>
      </c>
      <c r="G2172" s="20" t="n">
        <f aca="false">E2172+F2172</f>
        <v>130.52</v>
      </c>
      <c r="H2172" s="20" t="n">
        <f aca="false">IF(G2172&lt;Parametres!$B$8*Parametres!$B$7,0,MIN(G2172,Parametres!$B$7))</f>
        <v>130.52</v>
      </c>
      <c r="I2172" s="20" t="n">
        <f aca="false">G2172-H2172</f>
        <v>0</v>
      </c>
      <c r="J2172" s="21" t="n">
        <f aca="false">H2172*1000/Parametres!$B$9</f>
        <v>2213.32881125996</v>
      </c>
    </row>
    <row r="2173" customFormat="false" ht="15" hidden="false" customHeight="false" outlineLevel="0" collapsed="false">
      <c r="A2173" s="0" t="n">
        <v>2169</v>
      </c>
      <c r="B2173" s="0" t="n">
        <v>4</v>
      </c>
      <c r="C2173" s="19" t="n">
        <v>0.7173</v>
      </c>
      <c r="D2173" s="19" t="n">
        <v>0.0672</v>
      </c>
      <c r="E2173" s="20" t="n">
        <f aca="false">Parametres!$B$5*C2173</f>
        <v>215.19</v>
      </c>
      <c r="F2173" s="20" t="n">
        <f aca="false">Parametres!$B$6*D2173</f>
        <v>13.44</v>
      </c>
      <c r="G2173" s="20" t="n">
        <f aca="false">E2173+F2173</f>
        <v>228.63</v>
      </c>
      <c r="H2173" s="20" t="n">
        <f aca="false">IF(G2173&lt;Parametres!$B$8*Parametres!$B$7,0,MIN(G2173,Parametres!$B$7))</f>
        <v>228.63</v>
      </c>
      <c r="I2173" s="20" t="n">
        <f aca="false">G2173-H2173</f>
        <v>0</v>
      </c>
      <c r="J2173" s="21" t="n">
        <f aca="false">H2173*1000/Parametres!$B$9</f>
        <v>3877.05613023571</v>
      </c>
    </row>
    <row r="2174" customFormat="false" ht="15" hidden="false" customHeight="false" outlineLevel="0" collapsed="false">
      <c r="A2174" s="0" t="n">
        <v>2170</v>
      </c>
      <c r="B2174" s="0" t="n">
        <v>4</v>
      </c>
      <c r="C2174" s="19" t="n">
        <v>1</v>
      </c>
      <c r="D2174" s="19" t="n">
        <v>0.0399</v>
      </c>
      <c r="E2174" s="20" t="n">
        <f aca="false">Parametres!$B$5*C2174</f>
        <v>300</v>
      </c>
      <c r="F2174" s="20" t="n">
        <f aca="false">Parametres!$B$6*D2174</f>
        <v>7.98</v>
      </c>
      <c r="G2174" s="20" t="n">
        <f aca="false">E2174+F2174</f>
        <v>307.98</v>
      </c>
      <c r="H2174" s="20" t="n">
        <f aca="false">IF(G2174&lt;Parametres!$B$8*Parametres!$B$7,0,MIN(G2174,Parametres!$B$7))</f>
        <v>250</v>
      </c>
      <c r="I2174" s="20" t="n">
        <f aca="false">G2174-H2174</f>
        <v>57.98</v>
      </c>
      <c r="J2174" s="21" t="n">
        <f aca="false">H2174*1000/Parametres!$B$9</f>
        <v>4239.44378497541</v>
      </c>
    </row>
    <row r="2175" customFormat="false" ht="15" hidden="false" customHeight="false" outlineLevel="0" collapsed="false">
      <c r="A2175" s="0" t="n">
        <v>2171</v>
      </c>
      <c r="B2175" s="0" t="n">
        <v>4</v>
      </c>
      <c r="C2175" s="19" t="n">
        <v>1</v>
      </c>
      <c r="D2175" s="19" t="n">
        <v>0.0416</v>
      </c>
      <c r="E2175" s="20" t="n">
        <f aca="false">Parametres!$B$5*C2175</f>
        <v>300</v>
      </c>
      <c r="F2175" s="20" t="n">
        <f aca="false">Parametres!$B$6*D2175</f>
        <v>8.32</v>
      </c>
      <c r="G2175" s="20" t="n">
        <f aca="false">E2175+F2175</f>
        <v>308.32</v>
      </c>
      <c r="H2175" s="20" t="n">
        <f aca="false">IF(G2175&lt;Parametres!$B$8*Parametres!$B$7,0,MIN(G2175,Parametres!$B$7))</f>
        <v>250</v>
      </c>
      <c r="I2175" s="20" t="n">
        <f aca="false">G2175-H2175</f>
        <v>58.32</v>
      </c>
      <c r="J2175" s="21" t="n">
        <f aca="false">H2175*1000/Parametres!$B$9</f>
        <v>4239.44378497541</v>
      </c>
    </row>
    <row r="2176" customFormat="false" ht="15" hidden="false" customHeight="false" outlineLevel="0" collapsed="false">
      <c r="A2176" s="0" t="n">
        <v>2172</v>
      </c>
      <c r="B2176" s="0" t="n">
        <v>4</v>
      </c>
      <c r="C2176" s="19" t="n">
        <v>1</v>
      </c>
      <c r="D2176" s="19" t="n">
        <v>0.1288</v>
      </c>
      <c r="E2176" s="20" t="n">
        <f aca="false">Parametres!$B$5*C2176</f>
        <v>300</v>
      </c>
      <c r="F2176" s="20" t="n">
        <f aca="false">Parametres!$B$6*D2176</f>
        <v>25.76</v>
      </c>
      <c r="G2176" s="20" t="n">
        <f aca="false">E2176+F2176</f>
        <v>325.76</v>
      </c>
      <c r="H2176" s="20" t="n">
        <f aca="false">IF(G2176&lt;Parametres!$B$8*Parametres!$B$7,0,MIN(G2176,Parametres!$B$7))</f>
        <v>250</v>
      </c>
      <c r="I2176" s="20" t="n">
        <f aca="false">G2176-H2176</f>
        <v>75.76</v>
      </c>
      <c r="J2176" s="21" t="n">
        <f aca="false">H2176*1000/Parametres!$B$9</f>
        <v>4239.44378497541</v>
      </c>
    </row>
    <row r="2177" customFormat="false" ht="15" hidden="false" customHeight="false" outlineLevel="0" collapsed="false">
      <c r="A2177" s="0" t="n">
        <v>2173</v>
      </c>
      <c r="B2177" s="0" t="n">
        <v>4</v>
      </c>
      <c r="C2177" s="19" t="n">
        <v>1</v>
      </c>
      <c r="D2177" s="19" t="n">
        <v>0.1736</v>
      </c>
      <c r="E2177" s="20" t="n">
        <f aca="false">Parametres!$B$5*C2177</f>
        <v>300</v>
      </c>
      <c r="F2177" s="20" t="n">
        <f aca="false">Parametres!$B$6*D2177</f>
        <v>34.72</v>
      </c>
      <c r="G2177" s="20" t="n">
        <f aca="false">E2177+F2177</f>
        <v>334.72</v>
      </c>
      <c r="H2177" s="20" t="n">
        <f aca="false">IF(G2177&lt;Parametres!$B$8*Parametres!$B$7,0,MIN(G2177,Parametres!$B$7))</f>
        <v>250</v>
      </c>
      <c r="I2177" s="20" t="n">
        <f aca="false">G2177-H2177</f>
        <v>84.72</v>
      </c>
      <c r="J2177" s="21" t="n">
        <f aca="false">H2177*1000/Parametres!$B$9</f>
        <v>4239.44378497541</v>
      </c>
    </row>
    <row r="2178" customFormat="false" ht="15" hidden="false" customHeight="false" outlineLevel="0" collapsed="false">
      <c r="A2178" s="0" t="n">
        <v>2174</v>
      </c>
      <c r="B2178" s="0" t="n">
        <v>4</v>
      </c>
      <c r="C2178" s="19" t="n">
        <v>1</v>
      </c>
      <c r="D2178" s="19" t="n">
        <v>0.278</v>
      </c>
      <c r="E2178" s="20" t="n">
        <f aca="false">Parametres!$B$5*C2178</f>
        <v>300</v>
      </c>
      <c r="F2178" s="20" t="n">
        <f aca="false">Parametres!$B$6*D2178</f>
        <v>55.6</v>
      </c>
      <c r="G2178" s="20" t="n">
        <f aca="false">E2178+F2178</f>
        <v>355.6</v>
      </c>
      <c r="H2178" s="20" t="n">
        <f aca="false">IF(G2178&lt;Parametres!$B$8*Parametres!$B$7,0,MIN(G2178,Parametres!$B$7))</f>
        <v>250</v>
      </c>
      <c r="I2178" s="20" t="n">
        <f aca="false">G2178-H2178</f>
        <v>105.6</v>
      </c>
      <c r="J2178" s="21" t="n">
        <f aca="false">H2178*1000/Parametres!$B$9</f>
        <v>4239.44378497541</v>
      </c>
    </row>
    <row r="2179" customFormat="false" ht="15" hidden="false" customHeight="false" outlineLevel="0" collapsed="false">
      <c r="A2179" s="0" t="n">
        <v>2175</v>
      </c>
      <c r="B2179" s="0" t="n">
        <v>4</v>
      </c>
      <c r="C2179" s="19" t="n">
        <v>1</v>
      </c>
      <c r="D2179" s="19" t="n">
        <v>0.6362</v>
      </c>
      <c r="E2179" s="20" t="n">
        <f aca="false">Parametres!$B$5*C2179</f>
        <v>300</v>
      </c>
      <c r="F2179" s="20" t="n">
        <f aca="false">Parametres!$B$6*D2179</f>
        <v>127.24</v>
      </c>
      <c r="G2179" s="20" t="n">
        <f aca="false">E2179+F2179</f>
        <v>427.24</v>
      </c>
      <c r="H2179" s="20" t="n">
        <f aca="false">IF(G2179&lt;Parametres!$B$8*Parametres!$B$7,0,MIN(G2179,Parametres!$B$7))</f>
        <v>250</v>
      </c>
      <c r="I2179" s="20" t="n">
        <f aca="false">G2179-H2179</f>
        <v>177.24</v>
      </c>
      <c r="J2179" s="21" t="n">
        <f aca="false">H2179*1000/Parametres!$B$9</f>
        <v>4239.44378497541</v>
      </c>
    </row>
    <row r="2180" customFormat="false" ht="15" hidden="false" customHeight="false" outlineLevel="0" collapsed="false">
      <c r="A2180" s="0" t="n">
        <v>2176</v>
      </c>
      <c r="B2180" s="0" t="n">
        <v>4</v>
      </c>
      <c r="C2180" s="19" t="n">
        <v>0.7195</v>
      </c>
      <c r="D2180" s="19" t="n">
        <v>0.5369</v>
      </c>
      <c r="E2180" s="20" t="n">
        <f aca="false">Parametres!$B$5*C2180</f>
        <v>215.85</v>
      </c>
      <c r="F2180" s="20" t="n">
        <f aca="false">Parametres!$B$6*D2180</f>
        <v>107.38</v>
      </c>
      <c r="G2180" s="20" t="n">
        <f aca="false">E2180+F2180</f>
        <v>323.23</v>
      </c>
      <c r="H2180" s="20" t="n">
        <f aca="false">IF(G2180&lt;Parametres!$B$8*Parametres!$B$7,0,MIN(G2180,Parametres!$B$7))</f>
        <v>250</v>
      </c>
      <c r="I2180" s="20" t="n">
        <f aca="false">G2180-H2180</f>
        <v>73.23</v>
      </c>
      <c r="J2180" s="21" t="n">
        <f aca="false">H2180*1000/Parametres!$B$9</f>
        <v>4239.44378497541</v>
      </c>
    </row>
    <row r="2181" customFormat="false" ht="15" hidden="false" customHeight="false" outlineLevel="0" collapsed="false">
      <c r="A2181" s="0" t="n">
        <v>2177</v>
      </c>
      <c r="B2181" s="0" t="n">
        <v>4</v>
      </c>
      <c r="C2181" s="19" t="n">
        <v>0.4376</v>
      </c>
      <c r="D2181" s="19" t="n">
        <v>0.616</v>
      </c>
      <c r="E2181" s="20" t="n">
        <f aca="false">Parametres!$B$5*C2181</f>
        <v>131.28</v>
      </c>
      <c r="F2181" s="20" t="n">
        <f aca="false">Parametres!$B$6*D2181</f>
        <v>123.2</v>
      </c>
      <c r="G2181" s="20" t="n">
        <f aca="false">E2181+F2181</f>
        <v>254.48</v>
      </c>
      <c r="H2181" s="20" t="n">
        <f aca="false">IF(G2181&lt;Parametres!$B$8*Parametres!$B$7,0,MIN(G2181,Parametres!$B$7))</f>
        <v>250</v>
      </c>
      <c r="I2181" s="20" t="n">
        <f aca="false">G2181-H2181</f>
        <v>4.48000000000002</v>
      </c>
      <c r="J2181" s="21" t="n">
        <f aca="false">H2181*1000/Parametres!$B$9</f>
        <v>4239.44378497541</v>
      </c>
    </row>
    <row r="2182" customFormat="false" ht="15" hidden="false" customHeight="false" outlineLevel="0" collapsed="false">
      <c r="A2182" s="0" t="n">
        <v>2178</v>
      </c>
      <c r="B2182" s="0" t="n">
        <v>4</v>
      </c>
      <c r="C2182" s="19" t="n">
        <v>0.1536</v>
      </c>
      <c r="D2182" s="19" t="n">
        <v>0.4748</v>
      </c>
      <c r="E2182" s="20" t="n">
        <f aca="false">Parametres!$B$5*C2182</f>
        <v>46.08</v>
      </c>
      <c r="F2182" s="20" t="n">
        <f aca="false">Parametres!$B$6*D2182</f>
        <v>94.96</v>
      </c>
      <c r="G2182" s="20" t="n">
        <f aca="false">E2182+F2182</f>
        <v>141.04</v>
      </c>
      <c r="H2182" s="20" t="n">
        <f aca="false">IF(G2182&lt;Parametres!$B$8*Parametres!$B$7,0,MIN(G2182,Parametres!$B$7))</f>
        <v>141.04</v>
      </c>
      <c r="I2182" s="20" t="n">
        <f aca="false">G2182-H2182</f>
        <v>0</v>
      </c>
      <c r="J2182" s="21" t="n">
        <f aca="false">H2182*1000/Parametres!$B$9</f>
        <v>2391.72460573173</v>
      </c>
    </row>
    <row r="2183" customFormat="false" ht="15" hidden="false" customHeight="false" outlineLevel="0" collapsed="false">
      <c r="A2183" s="0" t="n">
        <v>2179</v>
      </c>
      <c r="B2183" s="0" t="n">
        <v>4</v>
      </c>
      <c r="C2183" s="19" t="n">
        <v>0</v>
      </c>
      <c r="D2183" s="19" t="n">
        <v>0.4495</v>
      </c>
      <c r="E2183" s="20" t="n">
        <f aca="false">Parametres!$B$5*C2183</f>
        <v>0</v>
      </c>
      <c r="F2183" s="20" t="n">
        <f aca="false">Parametres!$B$6*D2183</f>
        <v>89.9</v>
      </c>
      <c r="G2183" s="20" t="n">
        <f aca="false">E2183+F2183</f>
        <v>89.9</v>
      </c>
      <c r="H2183" s="20" t="n">
        <f aca="false">IF(G2183&lt;Parametres!$B$8*Parametres!$B$7,0,MIN(G2183,Parametres!$B$7))</f>
        <v>89.9</v>
      </c>
      <c r="I2183" s="20" t="n">
        <f aca="false">G2183-H2183</f>
        <v>0</v>
      </c>
      <c r="J2183" s="21" t="n">
        <f aca="false">H2183*1000/Parametres!$B$9</f>
        <v>1524.50398507716</v>
      </c>
    </row>
    <row r="2184" customFormat="false" ht="15" hidden="false" customHeight="false" outlineLevel="0" collapsed="false">
      <c r="A2184" s="0" t="n">
        <v>2180</v>
      </c>
      <c r="B2184" s="0" t="n">
        <v>4</v>
      </c>
      <c r="C2184" s="19" t="n">
        <v>0</v>
      </c>
      <c r="D2184" s="19" t="n">
        <v>0.503</v>
      </c>
      <c r="E2184" s="20" t="n">
        <f aca="false">Parametres!$B$5*C2184</f>
        <v>0</v>
      </c>
      <c r="F2184" s="20" t="n">
        <f aca="false">Parametres!$B$6*D2184</f>
        <v>100.6</v>
      </c>
      <c r="G2184" s="20" t="n">
        <f aca="false">E2184+F2184</f>
        <v>100.6</v>
      </c>
      <c r="H2184" s="20" t="n">
        <f aca="false">IF(G2184&lt;Parametres!$B$8*Parametres!$B$7,0,MIN(G2184,Parametres!$B$7))</f>
        <v>100.6</v>
      </c>
      <c r="I2184" s="20" t="n">
        <f aca="false">G2184-H2184</f>
        <v>0</v>
      </c>
      <c r="J2184" s="21" t="n">
        <f aca="false">H2184*1000/Parametres!$B$9</f>
        <v>1705.95217907411</v>
      </c>
    </row>
    <row r="2185" customFormat="false" ht="15" hidden="false" customHeight="false" outlineLevel="0" collapsed="false">
      <c r="A2185" s="0" t="n">
        <v>2181</v>
      </c>
      <c r="B2185" s="0" t="n">
        <v>4</v>
      </c>
      <c r="C2185" s="19" t="n">
        <v>0</v>
      </c>
      <c r="D2185" s="19" t="n">
        <v>0.2718</v>
      </c>
      <c r="E2185" s="20" t="n">
        <f aca="false">Parametres!$B$5*C2185</f>
        <v>0</v>
      </c>
      <c r="F2185" s="20" t="n">
        <f aca="false">Parametres!$B$6*D2185</f>
        <v>54.36</v>
      </c>
      <c r="G2185" s="20" t="n">
        <f aca="false">E2185+F2185</f>
        <v>54.36</v>
      </c>
      <c r="H2185" s="20" t="n">
        <f aca="false">IF(G2185&lt;Parametres!$B$8*Parametres!$B$7,0,MIN(G2185,Parametres!$B$7))</f>
        <v>54.36</v>
      </c>
      <c r="I2185" s="20" t="n">
        <f aca="false">G2185-H2185</f>
        <v>0</v>
      </c>
      <c r="J2185" s="21" t="n">
        <f aca="false">H2185*1000/Parametres!$B$9</f>
        <v>921.824656605053</v>
      </c>
    </row>
    <row r="2186" customFormat="false" ht="15" hidden="false" customHeight="false" outlineLevel="0" collapsed="false">
      <c r="A2186" s="0" t="n">
        <v>2182</v>
      </c>
      <c r="B2186" s="0" t="n">
        <v>4</v>
      </c>
      <c r="C2186" s="19" t="n">
        <v>0</v>
      </c>
      <c r="D2186" s="19" t="n">
        <v>0.2537</v>
      </c>
      <c r="E2186" s="20" t="n">
        <f aca="false">Parametres!$B$5*C2186</f>
        <v>0</v>
      </c>
      <c r="F2186" s="20" t="n">
        <f aca="false">Parametres!$B$6*D2186</f>
        <v>50.74</v>
      </c>
      <c r="G2186" s="20" t="n">
        <f aca="false">E2186+F2186</f>
        <v>50.74</v>
      </c>
      <c r="H2186" s="20" t="n">
        <f aca="false">IF(G2186&lt;Parametres!$B$8*Parametres!$B$7,0,MIN(G2186,Parametres!$B$7))</f>
        <v>50.74</v>
      </c>
      <c r="I2186" s="20" t="n">
        <f aca="false">G2186-H2186</f>
        <v>0</v>
      </c>
      <c r="J2186" s="21" t="n">
        <f aca="false">H2186*1000/Parametres!$B$9</f>
        <v>860.437510598609</v>
      </c>
    </row>
    <row r="2187" customFormat="false" ht="15" hidden="false" customHeight="false" outlineLevel="0" collapsed="false">
      <c r="A2187" s="0" t="n">
        <v>2183</v>
      </c>
      <c r="B2187" s="0" t="n">
        <v>4</v>
      </c>
      <c r="C2187" s="19" t="n">
        <v>0</v>
      </c>
      <c r="D2187" s="19" t="n">
        <v>0.2329</v>
      </c>
      <c r="E2187" s="20" t="n">
        <f aca="false">Parametres!$B$5*C2187</f>
        <v>0</v>
      </c>
      <c r="F2187" s="20" t="n">
        <f aca="false">Parametres!$B$6*D2187</f>
        <v>46.58</v>
      </c>
      <c r="G2187" s="20" t="n">
        <f aca="false">E2187+F2187</f>
        <v>46.58</v>
      </c>
      <c r="H2187" s="20" t="n">
        <f aca="false">IF(G2187&lt;Parametres!$B$8*Parametres!$B$7,0,MIN(G2187,Parametres!$B$7))</f>
        <v>46.58</v>
      </c>
      <c r="I2187" s="20" t="n">
        <f aca="false">G2187-H2187</f>
        <v>0</v>
      </c>
      <c r="J2187" s="21" t="n">
        <f aca="false">H2187*1000/Parametres!$B$9</f>
        <v>789.893166016619</v>
      </c>
    </row>
    <row r="2188" customFormat="false" ht="15" hidden="false" customHeight="false" outlineLevel="0" collapsed="false">
      <c r="A2188" s="0" t="n">
        <v>2184</v>
      </c>
      <c r="B2188" s="0" t="n">
        <v>4</v>
      </c>
      <c r="C2188" s="19" t="n">
        <v>0</v>
      </c>
      <c r="D2188" s="19" t="n">
        <v>0.3031</v>
      </c>
      <c r="E2188" s="20" t="n">
        <f aca="false">Parametres!$B$5*C2188</f>
        <v>0</v>
      </c>
      <c r="F2188" s="20" t="n">
        <f aca="false">Parametres!$B$6*D2188</f>
        <v>60.62</v>
      </c>
      <c r="G2188" s="20" t="n">
        <f aca="false">E2188+F2188</f>
        <v>60.62</v>
      </c>
      <c r="H2188" s="20" t="n">
        <f aca="false">IF(G2188&lt;Parametres!$B$8*Parametres!$B$7,0,MIN(G2188,Parametres!$B$7))</f>
        <v>60.62</v>
      </c>
      <c r="I2188" s="20" t="n">
        <f aca="false">G2188-H2188</f>
        <v>0</v>
      </c>
      <c r="J2188" s="21" t="n">
        <f aca="false">H2188*1000/Parametres!$B$9</f>
        <v>1027.98032898084</v>
      </c>
    </row>
    <row r="2189" customFormat="false" ht="15" hidden="false" customHeight="false" outlineLevel="0" collapsed="false">
      <c r="A2189" s="0" t="n">
        <v>2185</v>
      </c>
      <c r="B2189" s="0" t="n">
        <v>4</v>
      </c>
      <c r="C2189" s="19" t="n">
        <v>0</v>
      </c>
      <c r="D2189" s="19" t="n">
        <v>0.2094</v>
      </c>
      <c r="E2189" s="20" t="n">
        <f aca="false">Parametres!$B$5*C2189</f>
        <v>0</v>
      </c>
      <c r="F2189" s="20" t="n">
        <f aca="false">Parametres!$B$6*D2189</f>
        <v>41.88</v>
      </c>
      <c r="G2189" s="20" t="n">
        <f aca="false">E2189+F2189</f>
        <v>41.88</v>
      </c>
      <c r="H2189" s="20" t="n">
        <f aca="false">IF(G2189&lt;Parametres!$B$8*Parametres!$B$7,0,MIN(G2189,Parametres!$B$7))</f>
        <v>41.88</v>
      </c>
      <c r="I2189" s="20" t="n">
        <f aca="false">G2189-H2189</f>
        <v>0</v>
      </c>
      <c r="J2189" s="21" t="n">
        <f aca="false">H2189*1000/Parametres!$B$9</f>
        <v>710.191622859081</v>
      </c>
    </row>
    <row r="2190" customFormat="false" ht="15" hidden="false" customHeight="false" outlineLevel="0" collapsed="false">
      <c r="A2190" s="0" t="n">
        <v>2186</v>
      </c>
      <c r="B2190" s="0" t="n">
        <v>4</v>
      </c>
      <c r="C2190" s="19" t="n">
        <v>0</v>
      </c>
      <c r="D2190" s="19" t="n">
        <v>0.1046</v>
      </c>
      <c r="E2190" s="20" t="n">
        <f aca="false">Parametres!$B$5*C2190</f>
        <v>0</v>
      </c>
      <c r="F2190" s="20" t="n">
        <f aca="false">Parametres!$B$6*D2190</f>
        <v>20.92</v>
      </c>
      <c r="G2190" s="20" t="n">
        <f aca="false">E2190+F2190</f>
        <v>20.92</v>
      </c>
      <c r="H2190" s="20" t="n">
        <f aca="false">IF(G2190&lt;Parametres!$B$8*Parametres!$B$7,0,MIN(G2190,Parametres!$B$7))</f>
        <v>0</v>
      </c>
      <c r="I2190" s="20" t="n">
        <f aca="false">G2190-H2190</f>
        <v>20.92</v>
      </c>
      <c r="J2190" s="21" t="n">
        <f aca="false">H2190*1000/Parametres!$B$9</f>
        <v>0</v>
      </c>
    </row>
    <row r="2191" customFormat="false" ht="15" hidden="false" customHeight="false" outlineLevel="0" collapsed="false">
      <c r="A2191" s="0" t="n">
        <v>2187</v>
      </c>
      <c r="B2191" s="0" t="n">
        <v>4</v>
      </c>
      <c r="C2191" s="19" t="n">
        <v>0</v>
      </c>
      <c r="D2191" s="19" t="n">
        <v>0.1132</v>
      </c>
      <c r="E2191" s="20" t="n">
        <f aca="false">Parametres!$B$5*C2191</f>
        <v>0</v>
      </c>
      <c r="F2191" s="20" t="n">
        <f aca="false">Parametres!$B$6*D2191</f>
        <v>22.64</v>
      </c>
      <c r="G2191" s="20" t="n">
        <f aca="false">E2191+F2191</f>
        <v>22.64</v>
      </c>
      <c r="H2191" s="20" t="n">
        <f aca="false">IF(G2191&lt;Parametres!$B$8*Parametres!$B$7,0,MIN(G2191,Parametres!$B$7))</f>
        <v>0</v>
      </c>
      <c r="I2191" s="20" t="n">
        <f aca="false">G2191-H2191</f>
        <v>22.64</v>
      </c>
      <c r="J2191" s="21" t="n">
        <f aca="false">H2191*1000/Parametres!$B$9</f>
        <v>0</v>
      </c>
    </row>
    <row r="2192" customFormat="false" ht="15" hidden="false" customHeight="false" outlineLevel="0" collapsed="false">
      <c r="A2192" s="0" t="n">
        <v>2188</v>
      </c>
      <c r="B2192" s="0" t="n">
        <v>4</v>
      </c>
      <c r="C2192" s="19" t="n">
        <v>0</v>
      </c>
      <c r="D2192" s="19" t="n">
        <v>0.0602</v>
      </c>
      <c r="E2192" s="20" t="n">
        <f aca="false">Parametres!$B$5*C2192</f>
        <v>0</v>
      </c>
      <c r="F2192" s="20" t="n">
        <f aca="false">Parametres!$B$6*D2192</f>
        <v>12.04</v>
      </c>
      <c r="G2192" s="20" t="n">
        <f aca="false">E2192+F2192</f>
        <v>12.04</v>
      </c>
      <c r="H2192" s="20" t="n">
        <f aca="false">IF(G2192&lt;Parametres!$B$8*Parametres!$B$7,0,MIN(G2192,Parametres!$B$7))</f>
        <v>0</v>
      </c>
      <c r="I2192" s="20" t="n">
        <f aca="false">G2192-H2192</f>
        <v>12.04</v>
      </c>
      <c r="J2192" s="21" t="n">
        <f aca="false">H2192*1000/Parametres!$B$9</f>
        <v>0</v>
      </c>
    </row>
    <row r="2193" customFormat="false" ht="15" hidden="false" customHeight="false" outlineLevel="0" collapsed="false">
      <c r="A2193" s="0" t="n">
        <v>2189</v>
      </c>
      <c r="B2193" s="0" t="n">
        <v>4</v>
      </c>
      <c r="C2193" s="19" t="n">
        <v>0</v>
      </c>
      <c r="D2193" s="19" t="n">
        <v>0.0651</v>
      </c>
      <c r="E2193" s="20" t="n">
        <f aca="false">Parametres!$B$5*C2193</f>
        <v>0</v>
      </c>
      <c r="F2193" s="20" t="n">
        <f aca="false">Parametres!$B$6*D2193</f>
        <v>13.02</v>
      </c>
      <c r="G2193" s="20" t="n">
        <f aca="false">E2193+F2193</f>
        <v>13.02</v>
      </c>
      <c r="H2193" s="20" t="n">
        <f aca="false">IF(G2193&lt;Parametres!$B$8*Parametres!$B$7,0,MIN(G2193,Parametres!$B$7))</f>
        <v>0</v>
      </c>
      <c r="I2193" s="20" t="n">
        <f aca="false">G2193-H2193</f>
        <v>13.02</v>
      </c>
      <c r="J2193" s="21" t="n">
        <f aca="false">H2193*1000/Parametres!$B$9</f>
        <v>0</v>
      </c>
    </row>
    <row r="2194" customFormat="false" ht="15" hidden="false" customHeight="false" outlineLevel="0" collapsed="false">
      <c r="A2194" s="0" t="n">
        <v>2190</v>
      </c>
      <c r="B2194" s="0" t="n">
        <v>4</v>
      </c>
      <c r="C2194" s="19" t="n">
        <v>0</v>
      </c>
      <c r="D2194" s="19" t="n">
        <v>0.0894</v>
      </c>
      <c r="E2194" s="20" t="n">
        <f aca="false">Parametres!$B$5*C2194</f>
        <v>0</v>
      </c>
      <c r="F2194" s="20" t="n">
        <f aca="false">Parametres!$B$6*D2194</f>
        <v>17.88</v>
      </c>
      <c r="G2194" s="20" t="n">
        <f aca="false">E2194+F2194</f>
        <v>17.88</v>
      </c>
      <c r="H2194" s="20" t="n">
        <f aca="false">IF(G2194&lt;Parametres!$B$8*Parametres!$B$7,0,MIN(G2194,Parametres!$B$7))</f>
        <v>0</v>
      </c>
      <c r="I2194" s="20" t="n">
        <f aca="false">G2194-H2194</f>
        <v>17.88</v>
      </c>
      <c r="J2194" s="21" t="n">
        <f aca="false">H2194*1000/Parametres!$B$9</f>
        <v>0</v>
      </c>
    </row>
    <row r="2195" customFormat="false" ht="15" hidden="false" customHeight="false" outlineLevel="0" collapsed="false">
      <c r="A2195" s="0" t="n">
        <v>2191</v>
      </c>
      <c r="B2195" s="0" t="n">
        <v>4</v>
      </c>
      <c r="C2195" s="19" t="n">
        <v>0.1472</v>
      </c>
      <c r="D2195" s="19" t="n">
        <v>0.0614</v>
      </c>
      <c r="E2195" s="20" t="n">
        <f aca="false">Parametres!$B$5*C2195</f>
        <v>44.16</v>
      </c>
      <c r="F2195" s="20" t="n">
        <f aca="false">Parametres!$B$6*D2195</f>
        <v>12.28</v>
      </c>
      <c r="G2195" s="20" t="n">
        <f aca="false">E2195+F2195</f>
        <v>56.44</v>
      </c>
      <c r="H2195" s="20" t="n">
        <f aca="false">IF(G2195&lt;Parametres!$B$8*Parametres!$B$7,0,MIN(G2195,Parametres!$B$7))</f>
        <v>56.44</v>
      </c>
      <c r="I2195" s="20" t="n">
        <f aca="false">G2195-H2195</f>
        <v>0</v>
      </c>
      <c r="J2195" s="21" t="n">
        <f aca="false">H2195*1000/Parametres!$B$9</f>
        <v>957.096828896049</v>
      </c>
    </row>
    <row r="2196" customFormat="false" ht="15" hidden="false" customHeight="false" outlineLevel="0" collapsed="false">
      <c r="A2196" s="0" t="n">
        <v>2192</v>
      </c>
      <c r="B2196" s="0" t="n">
        <v>4</v>
      </c>
      <c r="C2196" s="19" t="n">
        <v>0.4007</v>
      </c>
      <c r="D2196" s="19" t="n">
        <v>0.065</v>
      </c>
      <c r="E2196" s="20" t="n">
        <f aca="false">Parametres!$B$5*C2196</f>
        <v>120.21</v>
      </c>
      <c r="F2196" s="20" t="n">
        <f aca="false">Parametres!$B$6*D2196</f>
        <v>13</v>
      </c>
      <c r="G2196" s="20" t="n">
        <f aca="false">E2196+F2196</f>
        <v>133.21</v>
      </c>
      <c r="H2196" s="20" t="n">
        <f aca="false">IF(G2196&lt;Parametres!$B$8*Parametres!$B$7,0,MIN(G2196,Parametres!$B$7))</f>
        <v>133.21</v>
      </c>
      <c r="I2196" s="20" t="n">
        <f aca="false">G2196-H2196</f>
        <v>0</v>
      </c>
      <c r="J2196" s="21" t="n">
        <f aca="false">H2196*1000/Parametres!$B$9</f>
        <v>2258.9452263863</v>
      </c>
    </row>
    <row r="2197" customFormat="false" ht="15" hidden="false" customHeight="false" outlineLevel="0" collapsed="false">
      <c r="A2197" s="0" t="n">
        <v>2193</v>
      </c>
      <c r="B2197" s="0" t="n">
        <v>4</v>
      </c>
      <c r="C2197" s="19" t="n">
        <v>0.6652</v>
      </c>
      <c r="D2197" s="19" t="n">
        <v>0.042</v>
      </c>
      <c r="E2197" s="20" t="n">
        <f aca="false">Parametres!$B$5*C2197</f>
        <v>199.56</v>
      </c>
      <c r="F2197" s="20" t="n">
        <f aca="false">Parametres!$B$6*D2197</f>
        <v>8.4</v>
      </c>
      <c r="G2197" s="20" t="n">
        <f aca="false">E2197+F2197</f>
        <v>207.96</v>
      </c>
      <c r="H2197" s="20" t="n">
        <f aca="false">IF(G2197&lt;Parametres!$B$8*Parametres!$B$7,0,MIN(G2197,Parametres!$B$7))</f>
        <v>207.96</v>
      </c>
      <c r="I2197" s="20" t="n">
        <f aca="false">G2197-H2197</f>
        <v>0</v>
      </c>
      <c r="J2197" s="21" t="n">
        <f aca="false">H2197*1000/Parametres!$B$9</f>
        <v>3526.53891809395</v>
      </c>
    </row>
    <row r="2198" customFormat="false" ht="15" hidden="false" customHeight="false" outlineLevel="0" collapsed="false">
      <c r="A2198" s="0" t="n">
        <v>2194</v>
      </c>
      <c r="B2198" s="0" t="n">
        <v>4</v>
      </c>
      <c r="C2198" s="19" t="n">
        <v>0.9101</v>
      </c>
      <c r="D2198" s="19" t="n">
        <v>0.0053</v>
      </c>
      <c r="E2198" s="20" t="n">
        <f aca="false">Parametres!$B$5*C2198</f>
        <v>273.03</v>
      </c>
      <c r="F2198" s="20" t="n">
        <f aca="false">Parametres!$B$6*D2198</f>
        <v>1.06</v>
      </c>
      <c r="G2198" s="20" t="n">
        <f aca="false">E2198+F2198</f>
        <v>274.09</v>
      </c>
      <c r="H2198" s="20" t="n">
        <f aca="false">IF(G2198&lt;Parametres!$B$8*Parametres!$B$7,0,MIN(G2198,Parametres!$B$7))</f>
        <v>250</v>
      </c>
      <c r="I2198" s="20" t="n">
        <f aca="false">G2198-H2198</f>
        <v>24.09</v>
      </c>
      <c r="J2198" s="21" t="n">
        <f aca="false">H2198*1000/Parametres!$B$9</f>
        <v>4239.44378497541</v>
      </c>
    </row>
    <row r="2199" customFormat="false" ht="15" hidden="false" customHeight="false" outlineLevel="0" collapsed="false">
      <c r="A2199" s="0" t="n">
        <v>2195</v>
      </c>
      <c r="B2199" s="0" t="n">
        <v>4</v>
      </c>
      <c r="C2199" s="19" t="n">
        <v>1</v>
      </c>
      <c r="D2199" s="19" t="n">
        <v>0.0011</v>
      </c>
      <c r="E2199" s="20" t="n">
        <f aca="false">Parametres!$B$5*C2199</f>
        <v>300</v>
      </c>
      <c r="F2199" s="20" t="n">
        <f aca="false">Parametres!$B$6*D2199</f>
        <v>0.22</v>
      </c>
      <c r="G2199" s="20" t="n">
        <f aca="false">E2199+F2199</f>
        <v>300.22</v>
      </c>
      <c r="H2199" s="20" t="n">
        <f aca="false">IF(G2199&lt;Parametres!$B$8*Parametres!$B$7,0,MIN(G2199,Parametres!$B$7))</f>
        <v>250</v>
      </c>
      <c r="I2199" s="20" t="n">
        <f aca="false">G2199-H2199</f>
        <v>50.22</v>
      </c>
      <c r="J2199" s="21" t="n">
        <f aca="false">H2199*1000/Parametres!$B$9</f>
        <v>4239.44378497541</v>
      </c>
    </row>
    <row r="2200" customFormat="false" ht="15" hidden="false" customHeight="false" outlineLevel="0" collapsed="false">
      <c r="A2200" s="0" t="n">
        <v>2196</v>
      </c>
      <c r="B2200" s="0" t="n">
        <v>4</v>
      </c>
      <c r="C2200" s="19" t="n">
        <v>1</v>
      </c>
      <c r="D2200" s="19" t="n">
        <v>0</v>
      </c>
      <c r="E2200" s="20" t="n">
        <f aca="false">Parametres!$B$5*C2200</f>
        <v>300</v>
      </c>
      <c r="F2200" s="20" t="n">
        <f aca="false">Parametres!$B$6*D2200</f>
        <v>0</v>
      </c>
      <c r="G2200" s="20" t="n">
        <f aca="false">E2200+F2200</f>
        <v>300</v>
      </c>
      <c r="H2200" s="20" t="n">
        <f aca="false">IF(G2200&lt;Parametres!$B$8*Parametres!$B$7,0,MIN(G2200,Parametres!$B$7))</f>
        <v>250</v>
      </c>
      <c r="I2200" s="20" t="n">
        <f aca="false">G2200-H2200</f>
        <v>50</v>
      </c>
      <c r="J2200" s="21" t="n">
        <f aca="false">H2200*1000/Parametres!$B$9</f>
        <v>4239.44378497541</v>
      </c>
    </row>
    <row r="2201" customFormat="false" ht="15" hidden="false" customHeight="false" outlineLevel="0" collapsed="false">
      <c r="A2201" s="0" t="n">
        <v>2197</v>
      </c>
      <c r="B2201" s="0" t="n">
        <v>4</v>
      </c>
      <c r="C2201" s="19" t="n">
        <v>1</v>
      </c>
      <c r="D2201" s="19" t="n">
        <v>0</v>
      </c>
      <c r="E2201" s="20" t="n">
        <f aca="false">Parametres!$B$5*C2201</f>
        <v>300</v>
      </c>
      <c r="F2201" s="20" t="n">
        <f aca="false">Parametres!$B$6*D2201</f>
        <v>0</v>
      </c>
      <c r="G2201" s="20" t="n">
        <f aca="false">E2201+F2201</f>
        <v>300</v>
      </c>
      <c r="H2201" s="20" t="n">
        <f aca="false">IF(G2201&lt;Parametres!$B$8*Parametres!$B$7,0,MIN(G2201,Parametres!$B$7))</f>
        <v>250</v>
      </c>
      <c r="I2201" s="20" t="n">
        <f aca="false">G2201-H2201</f>
        <v>50</v>
      </c>
      <c r="J2201" s="21" t="n">
        <f aca="false">H2201*1000/Parametres!$B$9</f>
        <v>4239.44378497541</v>
      </c>
    </row>
    <row r="2202" customFormat="false" ht="15" hidden="false" customHeight="false" outlineLevel="0" collapsed="false">
      <c r="A2202" s="0" t="n">
        <v>2198</v>
      </c>
      <c r="B2202" s="0" t="n">
        <v>4</v>
      </c>
      <c r="C2202" s="19" t="n">
        <v>1</v>
      </c>
      <c r="D2202" s="19" t="n">
        <v>0</v>
      </c>
      <c r="E2202" s="20" t="n">
        <f aca="false">Parametres!$B$5*C2202</f>
        <v>300</v>
      </c>
      <c r="F2202" s="20" t="n">
        <f aca="false">Parametres!$B$6*D2202</f>
        <v>0</v>
      </c>
      <c r="G2202" s="20" t="n">
        <f aca="false">E2202+F2202</f>
        <v>300</v>
      </c>
      <c r="H2202" s="20" t="n">
        <f aca="false">IF(G2202&lt;Parametres!$B$8*Parametres!$B$7,0,MIN(G2202,Parametres!$B$7))</f>
        <v>250</v>
      </c>
      <c r="I2202" s="20" t="n">
        <f aca="false">G2202-H2202</f>
        <v>50</v>
      </c>
      <c r="J2202" s="21" t="n">
        <f aca="false">H2202*1000/Parametres!$B$9</f>
        <v>4239.44378497541</v>
      </c>
    </row>
    <row r="2203" customFormat="false" ht="15" hidden="false" customHeight="false" outlineLevel="0" collapsed="false">
      <c r="A2203" s="0" t="n">
        <v>2199</v>
      </c>
      <c r="B2203" s="0" t="n">
        <v>4</v>
      </c>
      <c r="C2203" s="19" t="n">
        <v>0.9446</v>
      </c>
      <c r="D2203" s="19" t="n">
        <v>0</v>
      </c>
      <c r="E2203" s="20" t="n">
        <f aca="false">Parametres!$B$5*C2203</f>
        <v>283.38</v>
      </c>
      <c r="F2203" s="20" t="n">
        <f aca="false">Parametres!$B$6*D2203</f>
        <v>0</v>
      </c>
      <c r="G2203" s="20" t="n">
        <f aca="false">E2203+F2203</f>
        <v>283.38</v>
      </c>
      <c r="H2203" s="20" t="n">
        <f aca="false">IF(G2203&lt;Parametres!$B$8*Parametres!$B$7,0,MIN(G2203,Parametres!$B$7))</f>
        <v>250</v>
      </c>
      <c r="I2203" s="20" t="n">
        <f aca="false">G2203-H2203</f>
        <v>33.38</v>
      </c>
      <c r="J2203" s="21" t="n">
        <f aca="false">H2203*1000/Parametres!$B$9</f>
        <v>4239.44378497541</v>
      </c>
    </row>
    <row r="2204" customFormat="false" ht="15" hidden="false" customHeight="false" outlineLevel="0" collapsed="false">
      <c r="A2204" s="0" t="n">
        <v>2200</v>
      </c>
      <c r="B2204" s="0" t="n">
        <v>4</v>
      </c>
      <c r="C2204" s="19" t="n">
        <v>0.7248</v>
      </c>
      <c r="D2204" s="19" t="n">
        <v>0</v>
      </c>
      <c r="E2204" s="20" t="n">
        <f aca="false">Parametres!$B$5*C2204</f>
        <v>217.44</v>
      </c>
      <c r="F2204" s="20" t="n">
        <f aca="false">Parametres!$B$6*D2204</f>
        <v>0</v>
      </c>
      <c r="G2204" s="20" t="n">
        <f aca="false">E2204+F2204</f>
        <v>217.44</v>
      </c>
      <c r="H2204" s="20" t="n">
        <f aca="false">IF(G2204&lt;Parametres!$B$8*Parametres!$B$7,0,MIN(G2204,Parametres!$B$7))</f>
        <v>217.44</v>
      </c>
      <c r="I2204" s="20" t="n">
        <f aca="false">G2204-H2204</f>
        <v>0</v>
      </c>
      <c r="J2204" s="21" t="n">
        <f aca="false">H2204*1000/Parametres!$B$9</f>
        <v>3687.29862642021</v>
      </c>
    </row>
    <row r="2205" customFormat="false" ht="15" hidden="false" customHeight="false" outlineLevel="0" collapsed="false">
      <c r="A2205" s="0" t="n">
        <v>2201</v>
      </c>
      <c r="B2205" s="0" t="n">
        <v>4</v>
      </c>
      <c r="C2205" s="19" t="n">
        <v>0.419</v>
      </c>
      <c r="D2205" s="19" t="n">
        <v>0.0002</v>
      </c>
      <c r="E2205" s="20" t="n">
        <f aca="false">Parametres!$B$5*C2205</f>
        <v>125.7</v>
      </c>
      <c r="F2205" s="20" t="n">
        <f aca="false">Parametres!$B$6*D2205</f>
        <v>0.04</v>
      </c>
      <c r="G2205" s="20" t="n">
        <f aca="false">E2205+F2205</f>
        <v>125.74</v>
      </c>
      <c r="H2205" s="20" t="n">
        <f aca="false">IF(G2205&lt;Parametres!$B$8*Parametres!$B$7,0,MIN(G2205,Parametres!$B$7))</f>
        <v>125.74</v>
      </c>
      <c r="I2205" s="20" t="n">
        <f aca="false">G2205-H2205</f>
        <v>0</v>
      </c>
      <c r="J2205" s="21" t="n">
        <f aca="false">H2205*1000/Parametres!$B$9</f>
        <v>2132.27064609123</v>
      </c>
    </row>
    <row r="2206" customFormat="false" ht="15" hidden="false" customHeight="false" outlineLevel="0" collapsed="false">
      <c r="A2206" s="0" t="n">
        <v>2202</v>
      </c>
      <c r="B2206" s="0" t="n">
        <v>4</v>
      </c>
      <c r="C2206" s="19" t="n">
        <v>0.1475</v>
      </c>
      <c r="D2206" s="19" t="n">
        <v>0.0001</v>
      </c>
      <c r="E2206" s="20" t="n">
        <f aca="false">Parametres!$B$5*C2206</f>
        <v>44.25</v>
      </c>
      <c r="F2206" s="20" t="n">
        <f aca="false">Parametres!$B$6*D2206</f>
        <v>0.02</v>
      </c>
      <c r="G2206" s="20" t="n">
        <f aca="false">E2206+F2206</f>
        <v>44.27</v>
      </c>
      <c r="H2206" s="20" t="n">
        <f aca="false">IF(G2206&lt;Parametres!$B$8*Parametres!$B$7,0,MIN(G2206,Parametres!$B$7))</f>
        <v>44.27</v>
      </c>
      <c r="I2206" s="20" t="n">
        <f aca="false">G2206-H2206</f>
        <v>0</v>
      </c>
      <c r="J2206" s="21" t="n">
        <f aca="false">H2206*1000/Parametres!$B$9</f>
        <v>750.720705443446</v>
      </c>
    </row>
    <row r="2207" customFormat="false" ht="15" hidden="false" customHeight="false" outlineLevel="0" collapsed="false">
      <c r="A2207" s="0" t="n">
        <v>2203</v>
      </c>
      <c r="B2207" s="0" t="n">
        <v>4</v>
      </c>
      <c r="C2207" s="19" t="n">
        <v>0</v>
      </c>
      <c r="D2207" s="19" t="n">
        <v>0</v>
      </c>
      <c r="E2207" s="20" t="n">
        <f aca="false">Parametres!$B$5*C2207</f>
        <v>0</v>
      </c>
      <c r="F2207" s="20" t="n">
        <f aca="false">Parametres!$B$6*D2207</f>
        <v>0</v>
      </c>
      <c r="G2207" s="20" t="n">
        <f aca="false">E2207+F2207</f>
        <v>0</v>
      </c>
      <c r="H2207" s="20" t="n">
        <f aca="false">IF(G2207&lt;Parametres!$B$8*Parametres!$B$7,0,MIN(G2207,Parametres!$B$7))</f>
        <v>0</v>
      </c>
      <c r="I2207" s="20" t="n">
        <f aca="false">G2207-H2207</f>
        <v>0</v>
      </c>
      <c r="J2207" s="21" t="n">
        <f aca="false">H2207*1000/Parametres!$B$9</f>
        <v>0</v>
      </c>
    </row>
    <row r="2208" customFormat="false" ht="15" hidden="false" customHeight="false" outlineLevel="0" collapsed="false">
      <c r="A2208" s="0" t="n">
        <v>2204</v>
      </c>
      <c r="B2208" s="0" t="n">
        <v>4</v>
      </c>
      <c r="C2208" s="19" t="n">
        <v>0</v>
      </c>
      <c r="D2208" s="19" t="n">
        <v>0.0001</v>
      </c>
      <c r="E2208" s="20" t="n">
        <f aca="false">Parametres!$B$5*C2208</f>
        <v>0</v>
      </c>
      <c r="F2208" s="20" t="n">
        <f aca="false">Parametres!$B$6*D2208</f>
        <v>0.02</v>
      </c>
      <c r="G2208" s="20" t="n">
        <f aca="false">E2208+F2208</f>
        <v>0.02</v>
      </c>
      <c r="H2208" s="20" t="n">
        <f aca="false">IF(G2208&lt;Parametres!$B$8*Parametres!$B$7,0,MIN(G2208,Parametres!$B$7))</f>
        <v>0</v>
      </c>
      <c r="I2208" s="20" t="n">
        <f aca="false">G2208-H2208</f>
        <v>0.02</v>
      </c>
      <c r="J2208" s="21" t="n">
        <f aca="false">H2208*1000/Parametres!$B$9</f>
        <v>0</v>
      </c>
    </row>
    <row r="2209" customFormat="false" ht="15" hidden="false" customHeight="false" outlineLevel="0" collapsed="false">
      <c r="A2209" s="0" t="n">
        <v>2205</v>
      </c>
      <c r="B2209" s="0" t="n">
        <v>4</v>
      </c>
      <c r="C2209" s="19" t="n">
        <v>0</v>
      </c>
      <c r="D2209" s="19" t="n">
        <v>0.0031</v>
      </c>
      <c r="E2209" s="20" t="n">
        <f aca="false">Parametres!$B$5*C2209</f>
        <v>0</v>
      </c>
      <c r="F2209" s="20" t="n">
        <f aca="false">Parametres!$B$6*D2209</f>
        <v>0.62</v>
      </c>
      <c r="G2209" s="20" t="n">
        <f aca="false">E2209+F2209</f>
        <v>0.62</v>
      </c>
      <c r="H2209" s="20" t="n">
        <f aca="false">IF(G2209&lt;Parametres!$B$8*Parametres!$B$7,0,MIN(G2209,Parametres!$B$7))</f>
        <v>0</v>
      </c>
      <c r="I2209" s="20" t="n">
        <f aca="false">G2209-H2209</f>
        <v>0.62</v>
      </c>
      <c r="J2209" s="21" t="n">
        <f aca="false">H2209*1000/Parametres!$B$9</f>
        <v>0</v>
      </c>
    </row>
    <row r="2210" customFormat="false" ht="15" hidden="false" customHeight="false" outlineLevel="0" collapsed="false">
      <c r="A2210" s="0" t="n">
        <v>2206</v>
      </c>
      <c r="B2210" s="0" t="n">
        <v>4</v>
      </c>
      <c r="C2210" s="19" t="n">
        <v>0</v>
      </c>
      <c r="D2210" s="19" t="n">
        <v>0.0023</v>
      </c>
      <c r="E2210" s="20" t="n">
        <f aca="false">Parametres!$B$5*C2210</f>
        <v>0</v>
      </c>
      <c r="F2210" s="20" t="n">
        <f aca="false">Parametres!$B$6*D2210</f>
        <v>0.46</v>
      </c>
      <c r="G2210" s="20" t="n">
        <f aca="false">E2210+F2210</f>
        <v>0.46</v>
      </c>
      <c r="H2210" s="20" t="n">
        <f aca="false">IF(G2210&lt;Parametres!$B$8*Parametres!$B$7,0,MIN(G2210,Parametres!$B$7))</f>
        <v>0</v>
      </c>
      <c r="I2210" s="20" t="n">
        <f aca="false">G2210-H2210</f>
        <v>0.46</v>
      </c>
      <c r="J2210" s="21" t="n">
        <f aca="false">H2210*1000/Parametres!$B$9</f>
        <v>0</v>
      </c>
    </row>
    <row r="2211" customFormat="false" ht="15" hidden="false" customHeight="false" outlineLevel="0" collapsed="false">
      <c r="A2211" s="0" t="n">
        <v>2207</v>
      </c>
      <c r="B2211" s="0" t="n">
        <v>4</v>
      </c>
      <c r="C2211" s="19" t="n">
        <v>0</v>
      </c>
      <c r="D2211" s="19" t="n">
        <v>0.003</v>
      </c>
      <c r="E2211" s="20" t="n">
        <f aca="false">Parametres!$B$5*C2211</f>
        <v>0</v>
      </c>
      <c r="F2211" s="20" t="n">
        <f aca="false">Parametres!$B$6*D2211</f>
        <v>0.6</v>
      </c>
      <c r="G2211" s="20" t="n">
        <f aca="false">E2211+F2211</f>
        <v>0.6</v>
      </c>
      <c r="H2211" s="20" t="n">
        <f aca="false">IF(G2211&lt;Parametres!$B$8*Parametres!$B$7,0,MIN(G2211,Parametres!$B$7))</f>
        <v>0</v>
      </c>
      <c r="I2211" s="20" t="n">
        <f aca="false">G2211-H2211</f>
        <v>0.6</v>
      </c>
      <c r="J2211" s="21" t="n">
        <f aca="false">H2211*1000/Parametres!$B$9</f>
        <v>0</v>
      </c>
    </row>
    <row r="2212" customFormat="false" ht="15" hidden="false" customHeight="false" outlineLevel="0" collapsed="false">
      <c r="A2212" s="0" t="n">
        <v>2208</v>
      </c>
      <c r="B2212" s="0" t="n">
        <v>4</v>
      </c>
      <c r="C2212" s="19" t="n">
        <v>0</v>
      </c>
      <c r="D2212" s="19" t="n">
        <v>0.0018</v>
      </c>
      <c r="E2212" s="20" t="n">
        <f aca="false">Parametres!$B$5*C2212</f>
        <v>0</v>
      </c>
      <c r="F2212" s="20" t="n">
        <f aca="false">Parametres!$B$6*D2212</f>
        <v>0.36</v>
      </c>
      <c r="G2212" s="20" t="n">
        <f aca="false">E2212+F2212</f>
        <v>0.36</v>
      </c>
      <c r="H2212" s="20" t="n">
        <f aca="false">IF(G2212&lt;Parametres!$B$8*Parametres!$B$7,0,MIN(G2212,Parametres!$B$7))</f>
        <v>0</v>
      </c>
      <c r="I2212" s="20" t="n">
        <f aca="false">G2212-H2212</f>
        <v>0.36</v>
      </c>
      <c r="J2212" s="21" t="n">
        <f aca="false">H2212*1000/Parametres!$B$9</f>
        <v>0</v>
      </c>
    </row>
    <row r="2213" customFormat="false" ht="15" hidden="false" customHeight="false" outlineLevel="0" collapsed="false">
      <c r="A2213" s="0" t="n">
        <v>2209</v>
      </c>
      <c r="B2213" s="0" t="n">
        <v>4</v>
      </c>
      <c r="C2213" s="19" t="n">
        <v>0</v>
      </c>
      <c r="D2213" s="19" t="n">
        <v>0.0004</v>
      </c>
      <c r="E2213" s="20" t="n">
        <f aca="false">Parametres!$B$5*C2213</f>
        <v>0</v>
      </c>
      <c r="F2213" s="20" t="n">
        <f aca="false">Parametres!$B$6*D2213</f>
        <v>0.08</v>
      </c>
      <c r="G2213" s="20" t="n">
        <f aca="false">E2213+F2213</f>
        <v>0.08</v>
      </c>
      <c r="H2213" s="20" t="n">
        <f aca="false">IF(G2213&lt;Parametres!$B$8*Parametres!$B$7,0,MIN(G2213,Parametres!$B$7))</f>
        <v>0</v>
      </c>
      <c r="I2213" s="20" t="n">
        <f aca="false">G2213-H2213</f>
        <v>0.08</v>
      </c>
      <c r="J2213" s="21" t="n">
        <f aca="false">H2213*1000/Parametres!$B$9</f>
        <v>0</v>
      </c>
    </row>
    <row r="2214" customFormat="false" ht="15" hidden="false" customHeight="false" outlineLevel="0" collapsed="false">
      <c r="A2214" s="0" t="n">
        <v>2210</v>
      </c>
      <c r="B2214" s="0" t="n">
        <v>4</v>
      </c>
      <c r="C2214" s="19" t="n">
        <v>0</v>
      </c>
      <c r="D2214" s="19" t="n">
        <v>0</v>
      </c>
      <c r="E2214" s="20" t="n">
        <f aca="false">Parametres!$B$5*C2214</f>
        <v>0</v>
      </c>
      <c r="F2214" s="20" t="n">
        <f aca="false">Parametres!$B$6*D2214</f>
        <v>0</v>
      </c>
      <c r="G2214" s="20" t="n">
        <f aca="false">E2214+F2214</f>
        <v>0</v>
      </c>
      <c r="H2214" s="20" t="n">
        <f aca="false">IF(G2214&lt;Parametres!$B$8*Parametres!$B$7,0,MIN(G2214,Parametres!$B$7))</f>
        <v>0</v>
      </c>
      <c r="I2214" s="20" t="n">
        <f aca="false">G2214-H2214</f>
        <v>0</v>
      </c>
      <c r="J2214" s="21" t="n">
        <f aca="false">H2214*1000/Parametres!$B$9</f>
        <v>0</v>
      </c>
    </row>
    <row r="2215" customFormat="false" ht="15" hidden="false" customHeight="false" outlineLevel="0" collapsed="false">
      <c r="A2215" s="0" t="n">
        <v>2211</v>
      </c>
      <c r="B2215" s="0" t="n">
        <v>4</v>
      </c>
      <c r="C2215" s="19" t="n">
        <v>0</v>
      </c>
      <c r="D2215" s="19" t="n">
        <v>0</v>
      </c>
      <c r="E2215" s="20" t="n">
        <f aca="false">Parametres!$B$5*C2215</f>
        <v>0</v>
      </c>
      <c r="F2215" s="20" t="n">
        <f aca="false">Parametres!$B$6*D2215</f>
        <v>0</v>
      </c>
      <c r="G2215" s="20" t="n">
        <f aca="false">E2215+F2215</f>
        <v>0</v>
      </c>
      <c r="H2215" s="20" t="n">
        <f aca="false">IF(G2215&lt;Parametres!$B$8*Parametres!$B$7,0,MIN(G2215,Parametres!$B$7))</f>
        <v>0</v>
      </c>
      <c r="I2215" s="20" t="n">
        <f aca="false">G2215-H2215</f>
        <v>0</v>
      </c>
      <c r="J2215" s="21" t="n">
        <f aca="false">H2215*1000/Parametres!$B$9</f>
        <v>0</v>
      </c>
    </row>
    <row r="2216" customFormat="false" ht="15" hidden="false" customHeight="false" outlineLevel="0" collapsed="false">
      <c r="A2216" s="0" t="n">
        <v>2212</v>
      </c>
      <c r="B2216" s="0" t="n">
        <v>4</v>
      </c>
      <c r="C2216" s="19" t="n">
        <v>0</v>
      </c>
      <c r="D2216" s="19" t="n">
        <v>0</v>
      </c>
      <c r="E2216" s="20" t="n">
        <f aca="false">Parametres!$B$5*C2216</f>
        <v>0</v>
      </c>
      <c r="F2216" s="20" t="n">
        <f aca="false">Parametres!$B$6*D2216</f>
        <v>0</v>
      </c>
      <c r="G2216" s="20" t="n">
        <f aca="false">E2216+F2216</f>
        <v>0</v>
      </c>
      <c r="H2216" s="20" t="n">
        <f aca="false">IF(G2216&lt;Parametres!$B$8*Parametres!$B$7,0,MIN(G2216,Parametres!$B$7))</f>
        <v>0</v>
      </c>
      <c r="I2216" s="20" t="n">
        <f aca="false">G2216-H2216</f>
        <v>0</v>
      </c>
      <c r="J2216" s="21" t="n">
        <f aca="false">H2216*1000/Parametres!$B$9</f>
        <v>0</v>
      </c>
    </row>
    <row r="2217" customFormat="false" ht="15" hidden="false" customHeight="false" outlineLevel="0" collapsed="false">
      <c r="A2217" s="0" t="n">
        <v>2213</v>
      </c>
      <c r="B2217" s="0" t="n">
        <v>4</v>
      </c>
      <c r="C2217" s="19" t="n">
        <v>0</v>
      </c>
      <c r="D2217" s="19" t="n">
        <v>0</v>
      </c>
      <c r="E2217" s="20" t="n">
        <f aca="false">Parametres!$B$5*C2217</f>
        <v>0</v>
      </c>
      <c r="F2217" s="20" t="n">
        <f aca="false">Parametres!$B$6*D2217</f>
        <v>0</v>
      </c>
      <c r="G2217" s="20" t="n">
        <f aca="false">E2217+F2217</f>
        <v>0</v>
      </c>
      <c r="H2217" s="20" t="n">
        <f aca="false">IF(G2217&lt;Parametres!$B$8*Parametres!$B$7,0,MIN(G2217,Parametres!$B$7))</f>
        <v>0</v>
      </c>
      <c r="I2217" s="20" t="n">
        <f aca="false">G2217-H2217</f>
        <v>0</v>
      </c>
      <c r="J2217" s="21" t="n">
        <f aca="false">H2217*1000/Parametres!$B$9</f>
        <v>0</v>
      </c>
    </row>
    <row r="2218" customFormat="false" ht="15" hidden="false" customHeight="false" outlineLevel="0" collapsed="false">
      <c r="A2218" s="0" t="n">
        <v>2214</v>
      </c>
      <c r="B2218" s="0" t="n">
        <v>4</v>
      </c>
      <c r="C2218" s="19" t="n">
        <v>0</v>
      </c>
      <c r="D2218" s="19" t="n">
        <v>0.0003</v>
      </c>
      <c r="E2218" s="20" t="n">
        <f aca="false">Parametres!$B$5*C2218</f>
        <v>0</v>
      </c>
      <c r="F2218" s="20" t="n">
        <f aca="false">Parametres!$B$6*D2218</f>
        <v>0.06</v>
      </c>
      <c r="G2218" s="20" t="n">
        <f aca="false">E2218+F2218</f>
        <v>0.06</v>
      </c>
      <c r="H2218" s="20" t="n">
        <f aca="false">IF(G2218&lt;Parametres!$B$8*Parametres!$B$7,0,MIN(G2218,Parametres!$B$7))</f>
        <v>0</v>
      </c>
      <c r="I2218" s="20" t="n">
        <f aca="false">G2218-H2218</f>
        <v>0.06</v>
      </c>
      <c r="J2218" s="21" t="n">
        <f aca="false">H2218*1000/Parametres!$B$9</f>
        <v>0</v>
      </c>
    </row>
    <row r="2219" customFormat="false" ht="15" hidden="false" customHeight="false" outlineLevel="0" collapsed="false">
      <c r="A2219" s="0" t="n">
        <v>2215</v>
      </c>
      <c r="B2219" s="0" t="n">
        <v>4</v>
      </c>
      <c r="C2219" s="19" t="n">
        <v>0.1408</v>
      </c>
      <c r="D2219" s="19" t="n">
        <v>0.0002</v>
      </c>
      <c r="E2219" s="20" t="n">
        <f aca="false">Parametres!$B$5*C2219</f>
        <v>42.24</v>
      </c>
      <c r="F2219" s="20" t="n">
        <f aca="false">Parametres!$B$6*D2219</f>
        <v>0.04</v>
      </c>
      <c r="G2219" s="20" t="n">
        <f aca="false">E2219+F2219</f>
        <v>42.28</v>
      </c>
      <c r="H2219" s="20" t="n">
        <f aca="false">IF(G2219&lt;Parametres!$B$8*Parametres!$B$7,0,MIN(G2219,Parametres!$B$7))</f>
        <v>42.28</v>
      </c>
      <c r="I2219" s="20" t="n">
        <f aca="false">G2219-H2219</f>
        <v>0</v>
      </c>
      <c r="J2219" s="21" t="n">
        <f aca="false">H2219*1000/Parametres!$B$9</f>
        <v>716.974732915042</v>
      </c>
    </row>
    <row r="2220" customFormat="false" ht="15" hidden="false" customHeight="false" outlineLevel="0" collapsed="false">
      <c r="A2220" s="0" t="n">
        <v>2216</v>
      </c>
      <c r="B2220" s="0" t="n">
        <v>4</v>
      </c>
      <c r="C2220" s="19" t="n">
        <v>0.399</v>
      </c>
      <c r="D2220" s="19" t="n">
        <v>0.0008</v>
      </c>
      <c r="E2220" s="20" t="n">
        <f aca="false">Parametres!$B$5*C2220</f>
        <v>119.7</v>
      </c>
      <c r="F2220" s="20" t="n">
        <f aca="false">Parametres!$B$6*D2220</f>
        <v>0.16</v>
      </c>
      <c r="G2220" s="20" t="n">
        <f aca="false">E2220+F2220</f>
        <v>119.86</v>
      </c>
      <c r="H2220" s="20" t="n">
        <f aca="false">IF(G2220&lt;Parametres!$B$8*Parametres!$B$7,0,MIN(G2220,Parametres!$B$7))</f>
        <v>119.86</v>
      </c>
      <c r="I2220" s="20" t="n">
        <f aca="false">G2220-H2220</f>
        <v>0</v>
      </c>
      <c r="J2220" s="21" t="n">
        <f aca="false">H2220*1000/Parametres!$B$9</f>
        <v>2032.55892826861</v>
      </c>
    </row>
    <row r="2221" customFormat="false" ht="15" hidden="false" customHeight="false" outlineLevel="0" collapsed="false">
      <c r="A2221" s="0" t="n">
        <v>2217</v>
      </c>
      <c r="B2221" s="0" t="n">
        <v>4</v>
      </c>
      <c r="C2221" s="19" t="n">
        <v>0.6408</v>
      </c>
      <c r="D2221" s="19" t="n">
        <v>0.0007</v>
      </c>
      <c r="E2221" s="20" t="n">
        <f aca="false">Parametres!$B$5*C2221</f>
        <v>192.24</v>
      </c>
      <c r="F2221" s="20" t="n">
        <f aca="false">Parametres!$B$6*D2221</f>
        <v>0.14</v>
      </c>
      <c r="G2221" s="20" t="n">
        <f aca="false">E2221+F2221</f>
        <v>192.38</v>
      </c>
      <c r="H2221" s="20" t="n">
        <f aca="false">IF(G2221&lt;Parametres!$B$8*Parametres!$B$7,0,MIN(G2221,Parametres!$B$7))</f>
        <v>192.38</v>
      </c>
      <c r="I2221" s="20" t="n">
        <f aca="false">G2221-H2221</f>
        <v>0</v>
      </c>
      <c r="J2221" s="21" t="n">
        <f aca="false">H2221*1000/Parametres!$B$9</f>
        <v>3262.33678141428</v>
      </c>
    </row>
    <row r="2222" customFormat="false" ht="15" hidden="false" customHeight="false" outlineLevel="0" collapsed="false">
      <c r="A2222" s="0" t="n">
        <v>2218</v>
      </c>
      <c r="B2222" s="0" t="n">
        <v>4</v>
      </c>
      <c r="C2222" s="19" t="n">
        <v>0.8954</v>
      </c>
      <c r="D2222" s="19" t="n">
        <v>0.0058</v>
      </c>
      <c r="E2222" s="20" t="n">
        <f aca="false">Parametres!$B$5*C2222</f>
        <v>268.62</v>
      </c>
      <c r="F2222" s="20" t="n">
        <f aca="false">Parametres!$B$6*D2222</f>
        <v>1.16</v>
      </c>
      <c r="G2222" s="20" t="n">
        <f aca="false">E2222+F2222</f>
        <v>269.78</v>
      </c>
      <c r="H2222" s="20" t="n">
        <f aca="false">IF(G2222&lt;Parametres!$B$8*Parametres!$B$7,0,MIN(G2222,Parametres!$B$7))</f>
        <v>250</v>
      </c>
      <c r="I2222" s="20" t="n">
        <f aca="false">G2222-H2222</f>
        <v>19.78</v>
      </c>
      <c r="J2222" s="21" t="n">
        <f aca="false">H2222*1000/Parametres!$B$9</f>
        <v>4239.44378497541</v>
      </c>
    </row>
    <row r="2223" customFormat="false" ht="15" hidden="false" customHeight="false" outlineLevel="0" collapsed="false">
      <c r="A2223" s="0" t="n">
        <v>2219</v>
      </c>
      <c r="B2223" s="0" t="n">
        <v>4</v>
      </c>
      <c r="C2223" s="19" t="n">
        <v>0.9875</v>
      </c>
      <c r="D2223" s="19" t="n">
        <v>0.006</v>
      </c>
      <c r="E2223" s="20" t="n">
        <f aca="false">Parametres!$B$5*C2223</f>
        <v>296.25</v>
      </c>
      <c r="F2223" s="20" t="n">
        <f aca="false">Parametres!$B$6*D2223</f>
        <v>1.2</v>
      </c>
      <c r="G2223" s="20" t="n">
        <f aca="false">E2223+F2223</f>
        <v>297.45</v>
      </c>
      <c r="H2223" s="20" t="n">
        <f aca="false">IF(G2223&lt;Parametres!$B$8*Parametres!$B$7,0,MIN(G2223,Parametres!$B$7))</f>
        <v>250</v>
      </c>
      <c r="I2223" s="20" t="n">
        <f aca="false">G2223-H2223</f>
        <v>47.45</v>
      </c>
      <c r="J2223" s="21" t="n">
        <f aca="false">H2223*1000/Parametres!$B$9</f>
        <v>4239.44378497541</v>
      </c>
    </row>
    <row r="2224" customFormat="false" ht="15" hidden="false" customHeight="false" outlineLevel="0" collapsed="false">
      <c r="A2224" s="0" t="n">
        <v>2220</v>
      </c>
      <c r="B2224" s="0" t="n">
        <v>4</v>
      </c>
      <c r="C2224" s="19" t="n">
        <v>1</v>
      </c>
      <c r="D2224" s="19" t="n">
        <v>0.0377</v>
      </c>
      <c r="E2224" s="20" t="n">
        <f aca="false">Parametres!$B$5*C2224</f>
        <v>300</v>
      </c>
      <c r="F2224" s="20" t="n">
        <f aca="false">Parametres!$B$6*D2224</f>
        <v>7.54</v>
      </c>
      <c r="G2224" s="20" t="n">
        <f aca="false">E2224+F2224</f>
        <v>307.54</v>
      </c>
      <c r="H2224" s="20" t="n">
        <f aca="false">IF(G2224&lt;Parametres!$B$8*Parametres!$B$7,0,MIN(G2224,Parametres!$B$7))</f>
        <v>250</v>
      </c>
      <c r="I2224" s="20" t="n">
        <f aca="false">G2224-H2224</f>
        <v>57.54</v>
      </c>
      <c r="J2224" s="21" t="n">
        <f aca="false">H2224*1000/Parametres!$B$9</f>
        <v>4239.44378497541</v>
      </c>
    </row>
    <row r="2225" customFormat="false" ht="15" hidden="false" customHeight="false" outlineLevel="0" collapsed="false">
      <c r="A2225" s="0" t="n">
        <v>2221</v>
      </c>
      <c r="B2225" s="0" t="n">
        <v>4</v>
      </c>
      <c r="C2225" s="19" t="n">
        <v>1</v>
      </c>
      <c r="D2225" s="19" t="n">
        <v>0.0382</v>
      </c>
      <c r="E2225" s="20" t="n">
        <f aca="false">Parametres!$B$5*C2225</f>
        <v>300</v>
      </c>
      <c r="F2225" s="20" t="n">
        <f aca="false">Parametres!$B$6*D2225</f>
        <v>7.64</v>
      </c>
      <c r="G2225" s="20" t="n">
        <f aca="false">E2225+F2225</f>
        <v>307.64</v>
      </c>
      <c r="H2225" s="20" t="n">
        <f aca="false">IF(G2225&lt;Parametres!$B$8*Parametres!$B$7,0,MIN(G2225,Parametres!$B$7))</f>
        <v>250</v>
      </c>
      <c r="I2225" s="20" t="n">
        <f aca="false">G2225-H2225</f>
        <v>57.64</v>
      </c>
      <c r="J2225" s="21" t="n">
        <f aca="false">H2225*1000/Parametres!$B$9</f>
        <v>4239.44378497541</v>
      </c>
    </row>
    <row r="2226" customFormat="false" ht="15" hidden="false" customHeight="false" outlineLevel="0" collapsed="false">
      <c r="A2226" s="0" t="n">
        <v>2222</v>
      </c>
      <c r="B2226" s="0" t="n">
        <v>4</v>
      </c>
      <c r="C2226" s="19" t="n">
        <v>0.9823</v>
      </c>
      <c r="D2226" s="19" t="n">
        <v>0.0731</v>
      </c>
      <c r="E2226" s="20" t="n">
        <f aca="false">Parametres!$B$5*C2226</f>
        <v>294.69</v>
      </c>
      <c r="F2226" s="20" t="n">
        <f aca="false">Parametres!$B$6*D2226</f>
        <v>14.62</v>
      </c>
      <c r="G2226" s="20" t="n">
        <f aca="false">E2226+F2226</f>
        <v>309.31</v>
      </c>
      <c r="H2226" s="20" t="n">
        <f aca="false">IF(G2226&lt;Parametres!$B$8*Parametres!$B$7,0,MIN(G2226,Parametres!$B$7))</f>
        <v>250</v>
      </c>
      <c r="I2226" s="20" t="n">
        <f aca="false">G2226-H2226</f>
        <v>59.31</v>
      </c>
      <c r="J2226" s="21" t="n">
        <f aca="false">H2226*1000/Parametres!$B$9</f>
        <v>4239.44378497541</v>
      </c>
    </row>
    <row r="2227" customFormat="false" ht="15" hidden="false" customHeight="false" outlineLevel="0" collapsed="false">
      <c r="A2227" s="0" t="n">
        <v>2223</v>
      </c>
      <c r="B2227" s="0" t="n">
        <v>4</v>
      </c>
      <c r="C2227" s="19" t="n">
        <v>0.8855</v>
      </c>
      <c r="D2227" s="19" t="n">
        <v>0.1407</v>
      </c>
      <c r="E2227" s="20" t="n">
        <f aca="false">Parametres!$B$5*C2227</f>
        <v>265.65</v>
      </c>
      <c r="F2227" s="20" t="n">
        <f aca="false">Parametres!$B$6*D2227</f>
        <v>28.14</v>
      </c>
      <c r="G2227" s="20" t="n">
        <f aca="false">E2227+F2227</f>
        <v>293.79</v>
      </c>
      <c r="H2227" s="20" t="n">
        <f aca="false">IF(G2227&lt;Parametres!$B$8*Parametres!$B$7,0,MIN(G2227,Parametres!$B$7))</f>
        <v>250</v>
      </c>
      <c r="I2227" s="20" t="n">
        <f aca="false">G2227-H2227</f>
        <v>43.79</v>
      </c>
      <c r="J2227" s="21" t="n">
        <f aca="false">H2227*1000/Parametres!$B$9</f>
        <v>4239.44378497541</v>
      </c>
    </row>
    <row r="2228" customFormat="false" ht="15" hidden="false" customHeight="false" outlineLevel="0" collapsed="false">
      <c r="A2228" s="0" t="n">
        <v>2224</v>
      </c>
      <c r="B2228" s="0" t="n">
        <v>4</v>
      </c>
      <c r="C2228" s="19" t="n">
        <v>0.6549</v>
      </c>
      <c r="D2228" s="19" t="n">
        <v>0.1329</v>
      </c>
      <c r="E2228" s="20" t="n">
        <f aca="false">Parametres!$B$5*C2228</f>
        <v>196.47</v>
      </c>
      <c r="F2228" s="20" t="n">
        <f aca="false">Parametres!$B$6*D2228</f>
        <v>26.58</v>
      </c>
      <c r="G2228" s="20" t="n">
        <f aca="false">E2228+F2228</f>
        <v>223.05</v>
      </c>
      <c r="H2228" s="20" t="n">
        <f aca="false">IF(G2228&lt;Parametres!$B$8*Parametres!$B$7,0,MIN(G2228,Parametres!$B$7))</f>
        <v>223.05</v>
      </c>
      <c r="I2228" s="20" t="n">
        <f aca="false">G2228-H2228</f>
        <v>0</v>
      </c>
      <c r="J2228" s="21" t="n">
        <f aca="false">H2228*1000/Parametres!$B$9</f>
        <v>3782.43174495506</v>
      </c>
    </row>
    <row r="2229" customFormat="false" ht="15" hidden="false" customHeight="false" outlineLevel="0" collapsed="false">
      <c r="A2229" s="0" t="n">
        <v>2225</v>
      </c>
      <c r="B2229" s="0" t="n">
        <v>4</v>
      </c>
      <c r="C2229" s="19" t="n">
        <v>0.3892</v>
      </c>
      <c r="D2229" s="19" t="n">
        <v>0.2061</v>
      </c>
      <c r="E2229" s="20" t="n">
        <f aca="false">Parametres!$B$5*C2229</f>
        <v>116.76</v>
      </c>
      <c r="F2229" s="20" t="n">
        <f aca="false">Parametres!$B$6*D2229</f>
        <v>41.22</v>
      </c>
      <c r="G2229" s="20" t="n">
        <f aca="false">E2229+F2229</f>
        <v>157.98</v>
      </c>
      <c r="H2229" s="20" t="n">
        <f aca="false">IF(G2229&lt;Parametres!$B$8*Parametres!$B$7,0,MIN(G2229,Parametres!$B$7))</f>
        <v>157.98</v>
      </c>
      <c r="I2229" s="20" t="n">
        <f aca="false">G2229-H2229</f>
        <v>0</v>
      </c>
      <c r="J2229" s="21" t="n">
        <f aca="false">H2229*1000/Parametres!$B$9</f>
        <v>2678.98931660166</v>
      </c>
    </row>
    <row r="2230" customFormat="false" ht="15" hidden="false" customHeight="false" outlineLevel="0" collapsed="false">
      <c r="A2230" s="0" t="n">
        <v>2226</v>
      </c>
      <c r="B2230" s="0" t="n">
        <v>4</v>
      </c>
      <c r="C2230" s="19" t="n">
        <v>0.1395</v>
      </c>
      <c r="D2230" s="19" t="n">
        <v>0.2093</v>
      </c>
      <c r="E2230" s="20" t="n">
        <f aca="false">Parametres!$B$5*C2230</f>
        <v>41.85</v>
      </c>
      <c r="F2230" s="20" t="n">
        <f aca="false">Parametres!$B$6*D2230</f>
        <v>41.86</v>
      </c>
      <c r="G2230" s="20" t="n">
        <f aca="false">E2230+F2230</f>
        <v>83.71</v>
      </c>
      <c r="H2230" s="20" t="n">
        <f aca="false">IF(G2230&lt;Parametres!$B$8*Parametres!$B$7,0,MIN(G2230,Parametres!$B$7))</f>
        <v>83.71</v>
      </c>
      <c r="I2230" s="20" t="n">
        <f aca="false">G2230-H2230</f>
        <v>0</v>
      </c>
      <c r="J2230" s="21" t="n">
        <f aca="false">H2230*1000/Parametres!$B$9</f>
        <v>1419.53535696117</v>
      </c>
    </row>
    <row r="2231" customFormat="false" ht="15" hidden="false" customHeight="false" outlineLevel="0" collapsed="false">
      <c r="A2231" s="0" t="n">
        <v>2227</v>
      </c>
      <c r="B2231" s="0" t="n">
        <v>4</v>
      </c>
      <c r="C2231" s="19" t="n">
        <v>0</v>
      </c>
      <c r="D2231" s="19" t="n">
        <v>0.139</v>
      </c>
      <c r="E2231" s="20" t="n">
        <f aca="false">Parametres!$B$5*C2231</f>
        <v>0</v>
      </c>
      <c r="F2231" s="20" t="n">
        <f aca="false">Parametres!$B$6*D2231</f>
        <v>27.8</v>
      </c>
      <c r="G2231" s="20" t="n">
        <f aca="false">E2231+F2231</f>
        <v>27.8</v>
      </c>
      <c r="H2231" s="20" t="n">
        <f aca="false">IF(G2231&lt;Parametres!$B$8*Parametres!$B$7,0,MIN(G2231,Parametres!$B$7))</f>
        <v>27.8</v>
      </c>
      <c r="I2231" s="20" t="n">
        <f aca="false">G2231-H2231</f>
        <v>0</v>
      </c>
      <c r="J2231" s="21" t="n">
        <f aca="false">H2231*1000/Parametres!$B$9</f>
        <v>471.426148889266</v>
      </c>
    </row>
    <row r="2232" customFormat="false" ht="15" hidden="false" customHeight="false" outlineLevel="0" collapsed="false">
      <c r="A2232" s="0" t="n">
        <v>2228</v>
      </c>
      <c r="B2232" s="0" t="n">
        <v>4</v>
      </c>
      <c r="C2232" s="19" t="n">
        <v>0</v>
      </c>
      <c r="D2232" s="19" t="n">
        <v>0.0904</v>
      </c>
      <c r="E2232" s="20" t="n">
        <f aca="false">Parametres!$B$5*C2232</f>
        <v>0</v>
      </c>
      <c r="F2232" s="20" t="n">
        <f aca="false">Parametres!$B$6*D2232</f>
        <v>18.08</v>
      </c>
      <c r="G2232" s="20" t="n">
        <f aca="false">E2232+F2232</f>
        <v>18.08</v>
      </c>
      <c r="H2232" s="20" t="n">
        <f aca="false">IF(G2232&lt;Parametres!$B$8*Parametres!$B$7,0,MIN(G2232,Parametres!$B$7))</f>
        <v>0</v>
      </c>
      <c r="I2232" s="20" t="n">
        <f aca="false">G2232-H2232</f>
        <v>18.08</v>
      </c>
      <c r="J2232" s="21" t="n">
        <f aca="false">H2232*1000/Parametres!$B$9</f>
        <v>0</v>
      </c>
    </row>
    <row r="2233" customFormat="false" ht="15" hidden="false" customHeight="false" outlineLevel="0" collapsed="false">
      <c r="A2233" s="0" t="n">
        <v>2229</v>
      </c>
      <c r="B2233" s="0" t="n">
        <v>4</v>
      </c>
      <c r="C2233" s="19" t="n">
        <v>0</v>
      </c>
      <c r="D2233" s="19" t="n">
        <v>0.0975</v>
      </c>
      <c r="E2233" s="20" t="n">
        <f aca="false">Parametres!$B$5*C2233</f>
        <v>0</v>
      </c>
      <c r="F2233" s="20" t="n">
        <f aca="false">Parametres!$B$6*D2233</f>
        <v>19.5</v>
      </c>
      <c r="G2233" s="20" t="n">
        <f aca="false">E2233+F2233</f>
        <v>19.5</v>
      </c>
      <c r="H2233" s="20" t="n">
        <f aca="false">IF(G2233&lt;Parametres!$B$8*Parametres!$B$7,0,MIN(G2233,Parametres!$B$7))</f>
        <v>0</v>
      </c>
      <c r="I2233" s="20" t="n">
        <f aca="false">G2233-H2233</f>
        <v>19.5</v>
      </c>
      <c r="J2233" s="21" t="n">
        <f aca="false">H2233*1000/Parametres!$B$9</f>
        <v>0</v>
      </c>
    </row>
    <row r="2234" customFormat="false" ht="15" hidden="false" customHeight="false" outlineLevel="0" collapsed="false">
      <c r="A2234" s="0" t="n">
        <v>2230</v>
      </c>
      <c r="B2234" s="0" t="n">
        <v>4</v>
      </c>
      <c r="C2234" s="19" t="n">
        <v>0</v>
      </c>
      <c r="D2234" s="19" t="n">
        <v>0.2027</v>
      </c>
      <c r="E2234" s="20" t="n">
        <f aca="false">Parametres!$B$5*C2234</f>
        <v>0</v>
      </c>
      <c r="F2234" s="20" t="n">
        <f aca="false">Parametres!$B$6*D2234</f>
        <v>40.54</v>
      </c>
      <c r="G2234" s="20" t="n">
        <f aca="false">E2234+F2234</f>
        <v>40.54</v>
      </c>
      <c r="H2234" s="20" t="n">
        <f aca="false">IF(G2234&lt;Parametres!$B$8*Parametres!$B$7,0,MIN(G2234,Parametres!$B$7))</f>
        <v>40.54</v>
      </c>
      <c r="I2234" s="20" t="n">
        <f aca="false">G2234-H2234</f>
        <v>0</v>
      </c>
      <c r="J2234" s="21" t="n">
        <f aca="false">H2234*1000/Parametres!$B$9</f>
        <v>687.468204171613</v>
      </c>
    </row>
    <row r="2235" customFormat="false" ht="15" hidden="false" customHeight="false" outlineLevel="0" collapsed="false">
      <c r="A2235" s="0" t="n">
        <v>2231</v>
      </c>
      <c r="B2235" s="0" t="n">
        <v>4</v>
      </c>
      <c r="C2235" s="19" t="n">
        <v>0</v>
      </c>
      <c r="D2235" s="19" t="n">
        <v>0.14</v>
      </c>
      <c r="E2235" s="20" t="n">
        <f aca="false">Parametres!$B$5*C2235</f>
        <v>0</v>
      </c>
      <c r="F2235" s="20" t="n">
        <f aca="false">Parametres!$B$6*D2235</f>
        <v>28</v>
      </c>
      <c r="G2235" s="20" t="n">
        <f aca="false">E2235+F2235</f>
        <v>28</v>
      </c>
      <c r="H2235" s="20" t="n">
        <f aca="false">IF(G2235&lt;Parametres!$B$8*Parametres!$B$7,0,MIN(G2235,Parametres!$B$7))</f>
        <v>28</v>
      </c>
      <c r="I2235" s="20" t="n">
        <f aca="false">G2235-H2235</f>
        <v>0</v>
      </c>
      <c r="J2235" s="21" t="n">
        <f aca="false">H2235*1000/Parametres!$B$9</f>
        <v>474.817703917246</v>
      </c>
    </row>
    <row r="2236" customFormat="false" ht="15" hidden="false" customHeight="false" outlineLevel="0" collapsed="false">
      <c r="A2236" s="0" t="n">
        <v>2232</v>
      </c>
      <c r="B2236" s="0" t="n">
        <v>4</v>
      </c>
      <c r="C2236" s="19" t="n">
        <v>0</v>
      </c>
      <c r="D2236" s="19" t="n">
        <v>0.1542</v>
      </c>
      <c r="E2236" s="20" t="n">
        <f aca="false">Parametres!$B$5*C2236</f>
        <v>0</v>
      </c>
      <c r="F2236" s="20" t="n">
        <f aca="false">Parametres!$B$6*D2236</f>
        <v>30.84</v>
      </c>
      <c r="G2236" s="20" t="n">
        <f aca="false">E2236+F2236</f>
        <v>30.84</v>
      </c>
      <c r="H2236" s="20" t="n">
        <f aca="false">IF(G2236&lt;Parametres!$B$8*Parametres!$B$7,0,MIN(G2236,Parametres!$B$7))</f>
        <v>30.84</v>
      </c>
      <c r="I2236" s="20" t="n">
        <f aca="false">G2236-H2236</f>
        <v>0</v>
      </c>
      <c r="J2236" s="21" t="n">
        <f aca="false">H2236*1000/Parametres!$B$9</f>
        <v>522.977785314567</v>
      </c>
    </row>
    <row r="2237" customFormat="false" ht="15" hidden="false" customHeight="false" outlineLevel="0" collapsed="false">
      <c r="A2237" s="0" t="n">
        <v>2233</v>
      </c>
      <c r="B2237" s="0" t="n">
        <v>4</v>
      </c>
      <c r="C2237" s="19" t="n">
        <v>0</v>
      </c>
      <c r="D2237" s="19" t="n">
        <v>0.0909</v>
      </c>
      <c r="E2237" s="20" t="n">
        <f aca="false">Parametres!$B$5*C2237</f>
        <v>0</v>
      </c>
      <c r="F2237" s="20" t="n">
        <f aca="false">Parametres!$B$6*D2237</f>
        <v>18.18</v>
      </c>
      <c r="G2237" s="20" t="n">
        <f aca="false">E2237+F2237</f>
        <v>18.18</v>
      </c>
      <c r="H2237" s="20" t="n">
        <f aca="false">IF(G2237&lt;Parametres!$B$8*Parametres!$B$7,0,MIN(G2237,Parametres!$B$7))</f>
        <v>0</v>
      </c>
      <c r="I2237" s="20" t="n">
        <f aca="false">G2237-H2237</f>
        <v>18.18</v>
      </c>
      <c r="J2237" s="21" t="n">
        <f aca="false">H2237*1000/Parametres!$B$9</f>
        <v>0</v>
      </c>
    </row>
    <row r="2238" customFormat="false" ht="15" hidden="false" customHeight="false" outlineLevel="0" collapsed="false">
      <c r="A2238" s="0" t="n">
        <v>2234</v>
      </c>
      <c r="B2238" s="0" t="n">
        <v>4</v>
      </c>
      <c r="C2238" s="19" t="n">
        <v>0</v>
      </c>
      <c r="D2238" s="19" t="n">
        <v>0.0902</v>
      </c>
      <c r="E2238" s="20" t="n">
        <f aca="false">Parametres!$B$5*C2238</f>
        <v>0</v>
      </c>
      <c r="F2238" s="20" t="n">
        <f aca="false">Parametres!$B$6*D2238</f>
        <v>18.04</v>
      </c>
      <c r="G2238" s="20" t="n">
        <f aca="false">E2238+F2238</f>
        <v>18.04</v>
      </c>
      <c r="H2238" s="20" t="n">
        <f aca="false">IF(G2238&lt;Parametres!$B$8*Parametres!$B$7,0,MIN(G2238,Parametres!$B$7))</f>
        <v>0</v>
      </c>
      <c r="I2238" s="20" t="n">
        <f aca="false">G2238-H2238</f>
        <v>18.04</v>
      </c>
      <c r="J2238" s="21" t="n">
        <f aca="false">H2238*1000/Parametres!$B$9</f>
        <v>0</v>
      </c>
    </row>
    <row r="2239" customFormat="false" ht="15" hidden="false" customHeight="false" outlineLevel="0" collapsed="false">
      <c r="A2239" s="0" t="n">
        <v>2235</v>
      </c>
      <c r="B2239" s="0" t="n">
        <v>4</v>
      </c>
      <c r="C2239" s="19" t="n">
        <v>0</v>
      </c>
      <c r="D2239" s="19" t="n">
        <v>0.0392</v>
      </c>
      <c r="E2239" s="20" t="n">
        <f aca="false">Parametres!$B$5*C2239</f>
        <v>0</v>
      </c>
      <c r="F2239" s="20" t="n">
        <f aca="false">Parametres!$B$6*D2239</f>
        <v>7.84</v>
      </c>
      <c r="G2239" s="20" t="n">
        <f aca="false">E2239+F2239</f>
        <v>7.84</v>
      </c>
      <c r="H2239" s="20" t="n">
        <f aca="false">IF(G2239&lt;Parametres!$B$8*Parametres!$B$7,0,MIN(G2239,Parametres!$B$7))</f>
        <v>0</v>
      </c>
      <c r="I2239" s="20" t="n">
        <f aca="false">G2239-H2239</f>
        <v>7.84</v>
      </c>
      <c r="J2239" s="21" t="n">
        <f aca="false">H2239*1000/Parametres!$B$9</f>
        <v>0</v>
      </c>
    </row>
    <row r="2240" customFormat="false" ht="15" hidden="false" customHeight="false" outlineLevel="0" collapsed="false">
      <c r="A2240" s="0" t="n">
        <v>2236</v>
      </c>
      <c r="B2240" s="0" t="n">
        <v>4</v>
      </c>
      <c r="C2240" s="19" t="n">
        <v>0</v>
      </c>
      <c r="D2240" s="19" t="n">
        <v>0.0218</v>
      </c>
      <c r="E2240" s="20" t="n">
        <f aca="false">Parametres!$B$5*C2240</f>
        <v>0</v>
      </c>
      <c r="F2240" s="20" t="n">
        <f aca="false">Parametres!$B$6*D2240</f>
        <v>4.36</v>
      </c>
      <c r="G2240" s="20" t="n">
        <f aca="false">E2240+F2240</f>
        <v>4.36</v>
      </c>
      <c r="H2240" s="20" t="n">
        <f aca="false">IF(G2240&lt;Parametres!$B$8*Parametres!$B$7,0,MIN(G2240,Parametres!$B$7))</f>
        <v>0</v>
      </c>
      <c r="I2240" s="20" t="n">
        <f aca="false">G2240-H2240</f>
        <v>4.36</v>
      </c>
      <c r="J2240" s="21" t="n">
        <f aca="false">H2240*1000/Parametres!$B$9</f>
        <v>0</v>
      </c>
    </row>
    <row r="2241" customFormat="false" ht="15" hidden="false" customHeight="false" outlineLevel="0" collapsed="false">
      <c r="A2241" s="0" t="n">
        <v>2237</v>
      </c>
      <c r="B2241" s="0" t="n">
        <v>4</v>
      </c>
      <c r="C2241" s="19" t="n">
        <v>0</v>
      </c>
      <c r="D2241" s="19" t="n">
        <v>0.0215</v>
      </c>
      <c r="E2241" s="20" t="n">
        <f aca="false">Parametres!$B$5*C2241</f>
        <v>0</v>
      </c>
      <c r="F2241" s="20" t="n">
        <f aca="false">Parametres!$B$6*D2241</f>
        <v>4.3</v>
      </c>
      <c r="G2241" s="20" t="n">
        <f aca="false">E2241+F2241</f>
        <v>4.3</v>
      </c>
      <c r="H2241" s="20" t="n">
        <f aca="false">IF(G2241&lt;Parametres!$B$8*Parametres!$B$7,0,MIN(G2241,Parametres!$B$7))</f>
        <v>0</v>
      </c>
      <c r="I2241" s="20" t="n">
        <f aca="false">G2241-H2241</f>
        <v>4.3</v>
      </c>
      <c r="J2241" s="21" t="n">
        <f aca="false">H2241*1000/Parametres!$B$9</f>
        <v>0</v>
      </c>
    </row>
    <row r="2242" customFormat="false" ht="15" hidden="false" customHeight="false" outlineLevel="0" collapsed="false">
      <c r="A2242" s="0" t="n">
        <v>2238</v>
      </c>
      <c r="B2242" s="0" t="n">
        <v>4</v>
      </c>
      <c r="C2242" s="19" t="n">
        <v>0</v>
      </c>
      <c r="D2242" s="19" t="n">
        <v>0.0129</v>
      </c>
      <c r="E2242" s="20" t="n">
        <f aca="false">Parametres!$B$5*C2242</f>
        <v>0</v>
      </c>
      <c r="F2242" s="20" t="n">
        <f aca="false">Parametres!$B$6*D2242</f>
        <v>2.58</v>
      </c>
      <c r="G2242" s="20" t="n">
        <f aca="false">E2242+F2242</f>
        <v>2.58</v>
      </c>
      <c r="H2242" s="20" t="n">
        <f aca="false">IF(G2242&lt;Parametres!$B$8*Parametres!$B$7,0,MIN(G2242,Parametres!$B$7))</f>
        <v>0</v>
      </c>
      <c r="I2242" s="20" t="n">
        <f aca="false">G2242-H2242</f>
        <v>2.58</v>
      </c>
      <c r="J2242" s="21" t="n">
        <f aca="false">H2242*1000/Parametres!$B$9</f>
        <v>0</v>
      </c>
    </row>
    <row r="2243" customFormat="false" ht="15" hidden="false" customHeight="false" outlineLevel="0" collapsed="false">
      <c r="A2243" s="0" t="n">
        <v>2239</v>
      </c>
      <c r="B2243" s="0" t="n">
        <v>4</v>
      </c>
      <c r="C2243" s="19" t="n">
        <v>0.1468</v>
      </c>
      <c r="D2243" s="19" t="n">
        <v>0.0118</v>
      </c>
      <c r="E2243" s="20" t="n">
        <f aca="false">Parametres!$B$5*C2243</f>
        <v>44.04</v>
      </c>
      <c r="F2243" s="20" t="n">
        <f aca="false">Parametres!$B$6*D2243</f>
        <v>2.36</v>
      </c>
      <c r="G2243" s="20" t="n">
        <f aca="false">E2243+F2243</f>
        <v>46.4</v>
      </c>
      <c r="H2243" s="20" t="n">
        <f aca="false">IF(G2243&lt;Parametres!$B$8*Parametres!$B$7,0,MIN(G2243,Parametres!$B$7))</f>
        <v>46.4</v>
      </c>
      <c r="I2243" s="20" t="n">
        <f aca="false">G2243-H2243</f>
        <v>0</v>
      </c>
      <c r="J2243" s="21" t="n">
        <f aca="false">H2243*1000/Parametres!$B$9</f>
        <v>786.840766491437</v>
      </c>
    </row>
    <row r="2244" customFormat="false" ht="15" hidden="false" customHeight="false" outlineLevel="0" collapsed="false">
      <c r="A2244" s="0" t="n">
        <v>2240</v>
      </c>
      <c r="B2244" s="0" t="n">
        <v>4</v>
      </c>
      <c r="C2244" s="19" t="n">
        <v>0.3987</v>
      </c>
      <c r="D2244" s="19" t="n">
        <v>0.03</v>
      </c>
      <c r="E2244" s="20" t="n">
        <f aca="false">Parametres!$B$5*C2244</f>
        <v>119.61</v>
      </c>
      <c r="F2244" s="20" t="n">
        <f aca="false">Parametres!$B$6*D2244</f>
        <v>6</v>
      </c>
      <c r="G2244" s="20" t="n">
        <f aca="false">E2244+F2244</f>
        <v>125.61</v>
      </c>
      <c r="H2244" s="20" t="n">
        <f aca="false">IF(G2244&lt;Parametres!$B$8*Parametres!$B$7,0,MIN(G2244,Parametres!$B$7))</f>
        <v>125.61</v>
      </c>
      <c r="I2244" s="20" t="n">
        <f aca="false">G2244-H2244</f>
        <v>0</v>
      </c>
      <c r="J2244" s="21" t="n">
        <f aca="false">H2244*1000/Parametres!$B$9</f>
        <v>2130.06613532305</v>
      </c>
    </row>
    <row r="2245" customFormat="false" ht="15" hidden="false" customHeight="false" outlineLevel="0" collapsed="false">
      <c r="A2245" s="0" t="n">
        <v>2241</v>
      </c>
      <c r="B2245" s="0" t="n">
        <v>4</v>
      </c>
      <c r="C2245" s="19" t="n">
        <v>0.6129</v>
      </c>
      <c r="D2245" s="19" t="n">
        <v>0.0333</v>
      </c>
      <c r="E2245" s="20" t="n">
        <f aca="false">Parametres!$B$5*C2245</f>
        <v>183.87</v>
      </c>
      <c r="F2245" s="20" t="n">
        <f aca="false">Parametres!$B$6*D2245</f>
        <v>6.66</v>
      </c>
      <c r="G2245" s="20" t="n">
        <f aca="false">E2245+F2245</f>
        <v>190.53</v>
      </c>
      <c r="H2245" s="20" t="n">
        <f aca="false">IF(G2245&lt;Parametres!$B$8*Parametres!$B$7,0,MIN(G2245,Parametres!$B$7))</f>
        <v>190.53</v>
      </c>
      <c r="I2245" s="20" t="n">
        <f aca="false">G2245-H2245</f>
        <v>0</v>
      </c>
      <c r="J2245" s="21" t="n">
        <f aca="false">H2245*1000/Parametres!$B$9</f>
        <v>3230.96489740546</v>
      </c>
    </row>
    <row r="2246" customFormat="false" ht="15" hidden="false" customHeight="false" outlineLevel="0" collapsed="false">
      <c r="A2246" s="0" t="n">
        <v>2242</v>
      </c>
      <c r="B2246" s="0" t="n">
        <v>4</v>
      </c>
      <c r="C2246" s="19" t="n">
        <v>0.7723</v>
      </c>
      <c r="D2246" s="19" t="n">
        <v>0.0251</v>
      </c>
      <c r="E2246" s="20" t="n">
        <f aca="false">Parametres!$B$5*C2246</f>
        <v>231.69</v>
      </c>
      <c r="F2246" s="20" t="n">
        <f aca="false">Parametres!$B$6*D2246</f>
        <v>5.02</v>
      </c>
      <c r="G2246" s="20" t="n">
        <f aca="false">E2246+F2246</f>
        <v>236.71</v>
      </c>
      <c r="H2246" s="20" t="n">
        <f aca="false">IF(G2246&lt;Parametres!$B$8*Parametres!$B$7,0,MIN(G2246,Parametres!$B$7))</f>
        <v>236.71</v>
      </c>
      <c r="I2246" s="20" t="n">
        <f aca="false">G2246-H2246</f>
        <v>0</v>
      </c>
      <c r="J2246" s="21" t="n">
        <f aca="false">H2246*1000/Parametres!$B$9</f>
        <v>4014.07495336612</v>
      </c>
    </row>
    <row r="2247" customFormat="false" ht="15" hidden="false" customHeight="false" outlineLevel="0" collapsed="false">
      <c r="A2247" s="0" t="n">
        <v>2243</v>
      </c>
      <c r="B2247" s="0" t="n">
        <v>4</v>
      </c>
      <c r="C2247" s="19" t="n">
        <v>1</v>
      </c>
      <c r="D2247" s="19" t="n">
        <v>0.012</v>
      </c>
      <c r="E2247" s="20" t="n">
        <f aca="false">Parametres!$B$5*C2247</f>
        <v>300</v>
      </c>
      <c r="F2247" s="20" t="n">
        <f aca="false">Parametres!$B$6*D2247</f>
        <v>2.4</v>
      </c>
      <c r="G2247" s="20" t="n">
        <f aca="false">E2247+F2247</f>
        <v>302.4</v>
      </c>
      <c r="H2247" s="20" t="n">
        <f aca="false">IF(G2247&lt;Parametres!$B$8*Parametres!$B$7,0,MIN(G2247,Parametres!$B$7))</f>
        <v>250</v>
      </c>
      <c r="I2247" s="20" t="n">
        <f aca="false">G2247-H2247</f>
        <v>52.4</v>
      </c>
      <c r="J2247" s="21" t="n">
        <f aca="false">H2247*1000/Parametres!$B$9</f>
        <v>4239.44378497541</v>
      </c>
    </row>
    <row r="2248" customFormat="false" ht="15" hidden="false" customHeight="false" outlineLevel="0" collapsed="false">
      <c r="A2248" s="0" t="n">
        <v>2244</v>
      </c>
      <c r="B2248" s="0" t="n">
        <v>4</v>
      </c>
      <c r="C2248" s="19" t="n">
        <v>1</v>
      </c>
      <c r="D2248" s="19" t="n">
        <v>0.0097</v>
      </c>
      <c r="E2248" s="20" t="n">
        <f aca="false">Parametres!$B$5*C2248</f>
        <v>300</v>
      </c>
      <c r="F2248" s="20" t="n">
        <f aca="false">Parametres!$B$6*D2248</f>
        <v>1.94</v>
      </c>
      <c r="G2248" s="20" t="n">
        <f aca="false">E2248+F2248</f>
        <v>301.94</v>
      </c>
      <c r="H2248" s="20" t="n">
        <f aca="false">IF(G2248&lt;Parametres!$B$8*Parametres!$B$7,0,MIN(G2248,Parametres!$B$7))</f>
        <v>250</v>
      </c>
      <c r="I2248" s="20" t="n">
        <f aca="false">G2248-H2248</f>
        <v>51.94</v>
      </c>
      <c r="J2248" s="21" t="n">
        <f aca="false">H2248*1000/Parametres!$B$9</f>
        <v>4239.44378497541</v>
      </c>
    </row>
    <row r="2249" customFormat="false" ht="15" hidden="false" customHeight="false" outlineLevel="0" collapsed="false">
      <c r="A2249" s="0" t="n">
        <v>2245</v>
      </c>
      <c r="B2249" s="0" t="n">
        <v>4</v>
      </c>
      <c r="C2249" s="19" t="n">
        <v>1</v>
      </c>
      <c r="D2249" s="19" t="n">
        <v>0.0322</v>
      </c>
      <c r="E2249" s="20" t="n">
        <f aca="false">Parametres!$B$5*C2249</f>
        <v>300</v>
      </c>
      <c r="F2249" s="20" t="n">
        <f aca="false">Parametres!$B$6*D2249</f>
        <v>6.44</v>
      </c>
      <c r="G2249" s="20" t="n">
        <f aca="false">E2249+F2249</f>
        <v>306.44</v>
      </c>
      <c r="H2249" s="20" t="n">
        <f aca="false">IF(G2249&lt;Parametres!$B$8*Parametres!$B$7,0,MIN(G2249,Parametres!$B$7))</f>
        <v>250</v>
      </c>
      <c r="I2249" s="20" t="n">
        <f aca="false">G2249-H2249</f>
        <v>56.44</v>
      </c>
      <c r="J2249" s="21" t="n">
        <f aca="false">H2249*1000/Parametres!$B$9</f>
        <v>4239.44378497541</v>
      </c>
    </row>
    <row r="2250" customFormat="false" ht="15" hidden="false" customHeight="false" outlineLevel="0" collapsed="false">
      <c r="A2250" s="0" t="n">
        <v>2246</v>
      </c>
      <c r="B2250" s="0" t="n">
        <v>4</v>
      </c>
      <c r="C2250" s="19" t="n">
        <v>1</v>
      </c>
      <c r="D2250" s="19" t="n">
        <v>0.0363</v>
      </c>
      <c r="E2250" s="20" t="n">
        <f aca="false">Parametres!$B$5*C2250</f>
        <v>300</v>
      </c>
      <c r="F2250" s="20" t="n">
        <f aca="false">Parametres!$B$6*D2250</f>
        <v>7.26</v>
      </c>
      <c r="G2250" s="20" t="n">
        <f aca="false">E2250+F2250</f>
        <v>307.26</v>
      </c>
      <c r="H2250" s="20" t="n">
        <f aca="false">IF(G2250&lt;Parametres!$B$8*Parametres!$B$7,0,MIN(G2250,Parametres!$B$7))</f>
        <v>250</v>
      </c>
      <c r="I2250" s="20" t="n">
        <f aca="false">G2250-H2250</f>
        <v>57.26</v>
      </c>
      <c r="J2250" s="21" t="n">
        <f aca="false">H2250*1000/Parametres!$B$9</f>
        <v>4239.44378497541</v>
      </c>
    </row>
    <row r="2251" customFormat="false" ht="15" hidden="false" customHeight="false" outlineLevel="0" collapsed="false">
      <c r="A2251" s="0" t="n">
        <v>2247</v>
      </c>
      <c r="B2251" s="0" t="n">
        <v>4</v>
      </c>
      <c r="C2251" s="19" t="n">
        <v>0.8858</v>
      </c>
      <c r="D2251" s="19" t="n">
        <v>0.0378</v>
      </c>
      <c r="E2251" s="20" t="n">
        <f aca="false">Parametres!$B$5*C2251</f>
        <v>265.74</v>
      </c>
      <c r="F2251" s="20" t="n">
        <f aca="false">Parametres!$B$6*D2251</f>
        <v>7.56</v>
      </c>
      <c r="G2251" s="20" t="n">
        <f aca="false">E2251+F2251</f>
        <v>273.3</v>
      </c>
      <c r="H2251" s="20" t="n">
        <f aca="false">IF(G2251&lt;Parametres!$B$8*Parametres!$B$7,0,MIN(G2251,Parametres!$B$7))</f>
        <v>250</v>
      </c>
      <c r="I2251" s="20" t="n">
        <f aca="false">G2251-H2251</f>
        <v>23.3</v>
      </c>
      <c r="J2251" s="21" t="n">
        <f aca="false">H2251*1000/Parametres!$B$9</f>
        <v>4239.44378497541</v>
      </c>
    </row>
    <row r="2252" customFormat="false" ht="15" hidden="false" customHeight="false" outlineLevel="0" collapsed="false">
      <c r="A2252" s="0" t="n">
        <v>2248</v>
      </c>
      <c r="B2252" s="0" t="n">
        <v>4</v>
      </c>
      <c r="C2252" s="19" t="n">
        <v>0.6245</v>
      </c>
      <c r="D2252" s="19" t="n">
        <v>0.0666</v>
      </c>
      <c r="E2252" s="20" t="n">
        <f aca="false">Parametres!$B$5*C2252</f>
        <v>187.35</v>
      </c>
      <c r="F2252" s="20" t="n">
        <f aca="false">Parametres!$B$6*D2252</f>
        <v>13.32</v>
      </c>
      <c r="G2252" s="20" t="n">
        <f aca="false">E2252+F2252</f>
        <v>200.67</v>
      </c>
      <c r="H2252" s="20" t="n">
        <f aca="false">IF(G2252&lt;Parametres!$B$8*Parametres!$B$7,0,MIN(G2252,Parametres!$B$7))</f>
        <v>200.67</v>
      </c>
      <c r="I2252" s="20" t="n">
        <f aca="false">G2252-H2252</f>
        <v>0</v>
      </c>
      <c r="J2252" s="21" t="n">
        <f aca="false">H2252*1000/Parametres!$B$9</f>
        <v>3402.91673732406</v>
      </c>
    </row>
    <row r="2253" customFormat="false" ht="15" hidden="false" customHeight="false" outlineLevel="0" collapsed="false">
      <c r="A2253" s="0" t="n">
        <v>2249</v>
      </c>
      <c r="B2253" s="0" t="n">
        <v>4</v>
      </c>
      <c r="C2253" s="19" t="n">
        <v>0.4064</v>
      </c>
      <c r="D2253" s="19" t="n">
        <v>0.1119</v>
      </c>
      <c r="E2253" s="20" t="n">
        <f aca="false">Parametres!$B$5*C2253</f>
        <v>121.92</v>
      </c>
      <c r="F2253" s="20" t="n">
        <f aca="false">Parametres!$B$6*D2253</f>
        <v>22.38</v>
      </c>
      <c r="G2253" s="20" t="n">
        <f aca="false">E2253+F2253</f>
        <v>144.3</v>
      </c>
      <c r="H2253" s="20" t="n">
        <f aca="false">IF(G2253&lt;Parametres!$B$8*Parametres!$B$7,0,MIN(G2253,Parametres!$B$7))</f>
        <v>144.3</v>
      </c>
      <c r="I2253" s="20" t="n">
        <f aca="false">G2253-H2253</f>
        <v>0</v>
      </c>
      <c r="J2253" s="21" t="n">
        <f aca="false">H2253*1000/Parametres!$B$9</f>
        <v>2447.00695268781</v>
      </c>
    </row>
    <row r="2254" customFormat="false" ht="15" hidden="false" customHeight="false" outlineLevel="0" collapsed="false">
      <c r="A2254" s="0" t="n">
        <v>2250</v>
      </c>
      <c r="B2254" s="0" t="n">
        <v>4</v>
      </c>
      <c r="C2254" s="19" t="n">
        <v>0.1316</v>
      </c>
      <c r="D2254" s="19" t="n">
        <v>0.1841</v>
      </c>
      <c r="E2254" s="20" t="n">
        <f aca="false">Parametres!$B$5*C2254</f>
        <v>39.48</v>
      </c>
      <c r="F2254" s="20" t="n">
        <f aca="false">Parametres!$B$6*D2254</f>
        <v>36.82</v>
      </c>
      <c r="G2254" s="20" t="n">
        <f aca="false">E2254+F2254</f>
        <v>76.3</v>
      </c>
      <c r="H2254" s="20" t="n">
        <f aca="false">IF(G2254&lt;Parametres!$B$8*Parametres!$B$7,0,MIN(G2254,Parametres!$B$7))</f>
        <v>76.3</v>
      </c>
      <c r="I2254" s="20" t="n">
        <f aca="false">G2254-H2254</f>
        <v>0</v>
      </c>
      <c r="J2254" s="21" t="n">
        <f aca="false">H2254*1000/Parametres!$B$9</f>
        <v>1293.8782431745</v>
      </c>
    </row>
    <row r="2255" customFormat="false" ht="15" hidden="false" customHeight="false" outlineLevel="0" collapsed="false">
      <c r="A2255" s="0" t="n">
        <v>2251</v>
      </c>
      <c r="B2255" s="0" t="n">
        <v>4</v>
      </c>
      <c r="C2255" s="19" t="n">
        <v>0</v>
      </c>
      <c r="D2255" s="19" t="n">
        <v>0.1482</v>
      </c>
      <c r="E2255" s="20" t="n">
        <f aca="false">Parametres!$B$5*C2255</f>
        <v>0</v>
      </c>
      <c r="F2255" s="20" t="n">
        <f aca="false">Parametres!$B$6*D2255</f>
        <v>29.64</v>
      </c>
      <c r="G2255" s="20" t="n">
        <f aca="false">E2255+F2255</f>
        <v>29.64</v>
      </c>
      <c r="H2255" s="20" t="n">
        <f aca="false">IF(G2255&lt;Parametres!$B$8*Parametres!$B$7,0,MIN(G2255,Parametres!$B$7))</f>
        <v>29.64</v>
      </c>
      <c r="I2255" s="20" t="n">
        <f aca="false">G2255-H2255</f>
        <v>0</v>
      </c>
      <c r="J2255" s="21" t="n">
        <f aca="false">H2255*1000/Parametres!$B$9</f>
        <v>502.628455146685</v>
      </c>
    </row>
    <row r="2256" customFormat="false" ht="15" hidden="false" customHeight="false" outlineLevel="0" collapsed="false">
      <c r="A2256" s="0" t="n">
        <v>2252</v>
      </c>
      <c r="B2256" s="0" t="n">
        <v>4</v>
      </c>
      <c r="C2256" s="19" t="n">
        <v>0</v>
      </c>
      <c r="D2256" s="19" t="n">
        <v>0.0847</v>
      </c>
      <c r="E2256" s="20" t="n">
        <f aca="false">Parametres!$B$5*C2256</f>
        <v>0</v>
      </c>
      <c r="F2256" s="20" t="n">
        <f aca="false">Parametres!$B$6*D2256</f>
        <v>16.94</v>
      </c>
      <c r="G2256" s="20" t="n">
        <f aca="false">E2256+F2256</f>
        <v>16.94</v>
      </c>
      <c r="H2256" s="20" t="n">
        <f aca="false">IF(G2256&lt;Parametres!$B$8*Parametres!$B$7,0,MIN(G2256,Parametres!$B$7))</f>
        <v>0</v>
      </c>
      <c r="I2256" s="20" t="n">
        <f aca="false">G2256-H2256</f>
        <v>16.94</v>
      </c>
      <c r="J2256" s="21" t="n">
        <f aca="false">H2256*1000/Parametres!$B$9</f>
        <v>0</v>
      </c>
    </row>
    <row r="2257" customFormat="false" ht="15" hidden="false" customHeight="false" outlineLevel="0" collapsed="false">
      <c r="A2257" s="0" t="n">
        <v>2253</v>
      </c>
      <c r="B2257" s="0" t="n">
        <v>4</v>
      </c>
      <c r="C2257" s="19" t="n">
        <v>0</v>
      </c>
      <c r="D2257" s="19" t="n">
        <v>0.0257</v>
      </c>
      <c r="E2257" s="20" t="n">
        <f aca="false">Parametres!$B$5*C2257</f>
        <v>0</v>
      </c>
      <c r="F2257" s="20" t="n">
        <f aca="false">Parametres!$B$6*D2257</f>
        <v>5.14</v>
      </c>
      <c r="G2257" s="20" t="n">
        <f aca="false">E2257+F2257</f>
        <v>5.14</v>
      </c>
      <c r="H2257" s="20" t="n">
        <f aca="false">IF(G2257&lt;Parametres!$B$8*Parametres!$B$7,0,MIN(G2257,Parametres!$B$7))</f>
        <v>0</v>
      </c>
      <c r="I2257" s="20" t="n">
        <f aca="false">G2257-H2257</f>
        <v>5.14</v>
      </c>
      <c r="J2257" s="21" t="n">
        <f aca="false">H2257*1000/Parametres!$B$9</f>
        <v>0</v>
      </c>
    </row>
    <row r="2258" customFormat="false" ht="15" hidden="false" customHeight="false" outlineLevel="0" collapsed="false">
      <c r="A2258" s="0" t="n">
        <v>2254</v>
      </c>
      <c r="B2258" s="0" t="n">
        <v>4</v>
      </c>
      <c r="C2258" s="19" t="n">
        <v>0</v>
      </c>
      <c r="D2258" s="19" t="n">
        <v>0.0127</v>
      </c>
      <c r="E2258" s="20" t="n">
        <f aca="false">Parametres!$B$5*C2258</f>
        <v>0</v>
      </c>
      <c r="F2258" s="20" t="n">
        <f aca="false">Parametres!$B$6*D2258</f>
        <v>2.54</v>
      </c>
      <c r="G2258" s="20" t="n">
        <f aca="false">E2258+F2258</f>
        <v>2.54</v>
      </c>
      <c r="H2258" s="20" t="n">
        <f aca="false">IF(G2258&lt;Parametres!$B$8*Parametres!$B$7,0,MIN(G2258,Parametres!$B$7))</f>
        <v>0</v>
      </c>
      <c r="I2258" s="20" t="n">
        <f aca="false">G2258-H2258</f>
        <v>2.54</v>
      </c>
      <c r="J2258" s="21" t="n">
        <f aca="false">H2258*1000/Parametres!$B$9</f>
        <v>0</v>
      </c>
    </row>
    <row r="2259" customFormat="false" ht="15" hidden="false" customHeight="false" outlineLevel="0" collapsed="false">
      <c r="A2259" s="0" t="n">
        <v>2255</v>
      </c>
      <c r="B2259" s="0" t="n">
        <v>4</v>
      </c>
      <c r="C2259" s="19" t="n">
        <v>0</v>
      </c>
      <c r="D2259" s="19" t="n">
        <v>0.0075</v>
      </c>
      <c r="E2259" s="20" t="n">
        <f aca="false">Parametres!$B$5*C2259</f>
        <v>0</v>
      </c>
      <c r="F2259" s="20" t="n">
        <f aca="false">Parametres!$B$6*D2259</f>
        <v>1.5</v>
      </c>
      <c r="G2259" s="20" t="n">
        <f aca="false">E2259+F2259</f>
        <v>1.5</v>
      </c>
      <c r="H2259" s="20" t="n">
        <f aca="false">IF(G2259&lt;Parametres!$B$8*Parametres!$B$7,0,MIN(G2259,Parametres!$B$7))</f>
        <v>0</v>
      </c>
      <c r="I2259" s="20" t="n">
        <f aca="false">G2259-H2259</f>
        <v>1.5</v>
      </c>
      <c r="J2259" s="21" t="n">
        <f aca="false">H2259*1000/Parametres!$B$9</f>
        <v>0</v>
      </c>
    </row>
    <row r="2260" customFormat="false" ht="15" hidden="false" customHeight="false" outlineLevel="0" collapsed="false">
      <c r="A2260" s="0" t="n">
        <v>2256</v>
      </c>
      <c r="B2260" s="0" t="n">
        <v>4</v>
      </c>
      <c r="C2260" s="19" t="n">
        <v>0</v>
      </c>
      <c r="D2260" s="19" t="n">
        <v>0.0125</v>
      </c>
      <c r="E2260" s="20" t="n">
        <f aca="false">Parametres!$B$5*C2260</f>
        <v>0</v>
      </c>
      <c r="F2260" s="20" t="n">
        <f aca="false">Parametres!$B$6*D2260</f>
        <v>2.5</v>
      </c>
      <c r="G2260" s="20" t="n">
        <f aca="false">E2260+F2260</f>
        <v>2.5</v>
      </c>
      <c r="H2260" s="20" t="n">
        <f aca="false">IF(G2260&lt;Parametres!$B$8*Parametres!$B$7,0,MIN(G2260,Parametres!$B$7))</f>
        <v>0</v>
      </c>
      <c r="I2260" s="20" t="n">
        <f aca="false">G2260-H2260</f>
        <v>2.5</v>
      </c>
      <c r="J2260" s="21" t="n">
        <f aca="false">H2260*1000/Parametres!$B$9</f>
        <v>0</v>
      </c>
    </row>
    <row r="2261" customFormat="false" ht="15" hidden="false" customHeight="false" outlineLevel="0" collapsed="false">
      <c r="A2261" s="0" t="n">
        <v>2257</v>
      </c>
      <c r="B2261" s="0" t="n">
        <v>4</v>
      </c>
      <c r="C2261" s="19" t="n">
        <v>0</v>
      </c>
      <c r="D2261" s="19" t="n">
        <v>0.014</v>
      </c>
      <c r="E2261" s="20" t="n">
        <f aca="false">Parametres!$B$5*C2261</f>
        <v>0</v>
      </c>
      <c r="F2261" s="20" t="n">
        <f aca="false">Parametres!$B$6*D2261</f>
        <v>2.8</v>
      </c>
      <c r="G2261" s="20" t="n">
        <f aca="false">E2261+F2261</f>
        <v>2.8</v>
      </c>
      <c r="H2261" s="20" t="n">
        <f aca="false">IF(G2261&lt;Parametres!$B$8*Parametres!$B$7,0,MIN(G2261,Parametres!$B$7))</f>
        <v>0</v>
      </c>
      <c r="I2261" s="20" t="n">
        <f aca="false">G2261-H2261</f>
        <v>2.8</v>
      </c>
      <c r="J2261" s="21" t="n">
        <f aca="false">H2261*1000/Parametres!$B$9</f>
        <v>0</v>
      </c>
    </row>
    <row r="2262" customFormat="false" ht="15" hidden="false" customHeight="false" outlineLevel="0" collapsed="false">
      <c r="A2262" s="0" t="n">
        <v>2258</v>
      </c>
      <c r="B2262" s="0" t="n">
        <v>4</v>
      </c>
      <c r="C2262" s="19" t="n">
        <v>0</v>
      </c>
      <c r="D2262" s="19" t="n">
        <v>0.0072</v>
      </c>
      <c r="E2262" s="20" t="n">
        <f aca="false">Parametres!$B$5*C2262</f>
        <v>0</v>
      </c>
      <c r="F2262" s="20" t="n">
        <f aca="false">Parametres!$B$6*D2262</f>
        <v>1.44</v>
      </c>
      <c r="G2262" s="20" t="n">
        <f aca="false">E2262+F2262</f>
        <v>1.44</v>
      </c>
      <c r="H2262" s="20" t="n">
        <f aca="false">IF(G2262&lt;Parametres!$B$8*Parametres!$B$7,0,MIN(G2262,Parametres!$B$7))</f>
        <v>0</v>
      </c>
      <c r="I2262" s="20" t="n">
        <f aca="false">G2262-H2262</f>
        <v>1.44</v>
      </c>
      <c r="J2262" s="21" t="n">
        <f aca="false">H2262*1000/Parametres!$B$9</f>
        <v>0</v>
      </c>
    </row>
    <row r="2263" customFormat="false" ht="15" hidden="false" customHeight="false" outlineLevel="0" collapsed="false">
      <c r="A2263" s="0" t="n">
        <v>2259</v>
      </c>
      <c r="B2263" s="0" t="n">
        <v>4</v>
      </c>
      <c r="C2263" s="19" t="n">
        <v>0</v>
      </c>
      <c r="D2263" s="19" t="n">
        <v>0.0141</v>
      </c>
      <c r="E2263" s="20" t="n">
        <f aca="false">Parametres!$B$5*C2263</f>
        <v>0</v>
      </c>
      <c r="F2263" s="20" t="n">
        <f aca="false">Parametres!$B$6*D2263</f>
        <v>2.82</v>
      </c>
      <c r="G2263" s="20" t="n">
        <f aca="false">E2263+F2263</f>
        <v>2.82</v>
      </c>
      <c r="H2263" s="20" t="n">
        <f aca="false">IF(G2263&lt;Parametres!$B$8*Parametres!$B$7,0,MIN(G2263,Parametres!$B$7))</f>
        <v>0</v>
      </c>
      <c r="I2263" s="20" t="n">
        <f aca="false">G2263-H2263</f>
        <v>2.82</v>
      </c>
      <c r="J2263" s="21" t="n">
        <f aca="false">H2263*1000/Parametres!$B$9</f>
        <v>0</v>
      </c>
    </row>
    <row r="2264" customFormat="false" ht="15" hidden="false" customHeight="false" outlineLevel="0" collapsed="false">
      <c r="A2264" s="0" t="n">
        <v>2260</v>
      </c>
      <c r="B2264" s="0" t="n">
        <v>4</v>
      </c>
      <c r="C2264" s="19" t="n">
        <v>0</v>
      </c>
      <c r="D2264" s="19" t="n">
        <v>0.004</v>
      </c>
      <c r="E2264" s="20" t="n">
        <f aca="false">Parametres!$B$5*C2264</f>
        <v>0</v>
      </c>
      <c r="F2264" s="20" t="n">
        <f aca="false">Parametres!$B$6*D2264</f>
        <v>0.8</v>
      </c>
      <c r="G2264" s="20" t="n">
        <f aca="false">E2264+F2264</f>
        <v>0.8</v>
      </c>
      <c r="H2264" s="20" t="n">
        <f aca="false">IF(G2264&lt;Parametres!$B$8*Parametres!$B$7,0,MIN(G2264,Parametres!$B$7))</f>
        <v>0</v>
      </c>
      <c r="I2264" s="20" t="n">
        <f aca="false">G2264-H2264</f>
        <v>0.8</v>
      </c>
      <c r="J2264" s="21" t="n">
        <f aca="false">H2264*1000/Parametres!$B$9</f>
        <v>0</v>
      </c>
    </row>
    <row r="2265" customFormat="false" ht="15" hidden="false" customHeight="false" outlineLevel="0" collapsed="false">
      <c r="A2265" s="0" t="n">
        <v>2261</v>
      </c>
      <c r="B2265" s="0" t="n">
        <v>4</v>
      </c>
      <c r="C2265" s="19" t="n">
        <v>0</v>
      </c>
      <c r="D2265" s="19" t="n">
        <v>0.001</v>
      </c>
      <c r="E2265" s="20" t="n">
        <f aca="false">Parametres!$B$5*C2265</f>
        <v>0</v>
      </c>
      <c r="F2265" s="20" t="n">
        <f aca="false">Parametres!$B$6*D2265</f>
        <v>0.2</v>
      </c>
      <c r="G2265" s="20" t="n">
        <f aca="false">E2265+F2265</f>
        <v>0.2</v>
      </c>
      <c r="H2265" s="20" t="n">
        <f aca="false">IF(G2265&lt;Parametres!$B$8*Parametres!$B$7,0,MIN(G2265,Parametres!$B$7))</f>
        <v>0</v>
      </c>
      <c r="I2265" s="20" t="n">
        <f aca="false">G2265-H2265</f>
        <v>0.2</v>
      </c>
      <c r="J2265" s="21" t="n">
        <f aca="false">H2265*1000/Parametres!$B$9</f>
        <v>0</v>
      </c>
    </row>
    <row r="2266" customFormat="false" ht="15" hidden="false" customHeight="false" outlineLevel="0" collapsed="false">
      <c r="A2266" s="0" t="n">
        <v>2262</v>
      </c>
      <c r="B2266" s="0" t="n">
        <v>4</v>
      </c>
      <c r="C2266" s="19" t="n">
        <v>0</v>
      </c>
      <c r="D2266" s="19" t="n">
        <v>0.0001</v>
      </c>
      <c r="E2266" s="20" t="n">
        <f aca="false">Parametres!$B$5*C2266</f>
        <v>0</v>
      </c>
      <c r="F2266" s="20" t="n">
        <f aca="false">Parametres!$B$6*D2266</f>
        <v>0.02</v>
      </c>
      <c r="G2266" s="20" t="n">
        <f aca="false">E2266+F2266</f>
        <v>0.02</v>
      </c>
      <c r="H2266" s="20" t="n">
        <f aca="false">IF(G2266&lt;Parametres!$B$8*Parametres!$B$7,0,MIN(G2266,Parametres!$B$7))</f>
        <v>0</v>
      </c>
      <c r="I2266" s="20" t="n">
        <f aca="false">G2266-H2266</f>
        <v>0.02</v>
      </c>
      <c r="J2266" s="21" t="n">
        <f aca="false">H2266*1000/Parametres!$B$9</f>
        <v>0</v>
      </c>
    </row>
    <row r="2267" customFormat="false" ht="15" hidden="false" customHeight="false" outlineLevel="0" collapsed="false">
      <c r="A2267" s="0" t="n">
        <v>2263</v>
      </c>
      <c r="B2267" s="0" t="n">
        <v>4</v>
      </c>
      <c r="C2267" s="19" t="n">
        <v>0.1743</v>
      </c>
      <c r="D2267" s="19" t="n">
        <v>0</v>
      </c>
      <c r="E2267" s="20" t="n">
        <f aca="false">Parametres!$B$5*C2267</f>
        <v>52.29</v>
      </c>
      <c r="F2267" s="20" t="n">
        <f aca="false">Parametres!$B$6*D2267</f>
        <v>0</v>
      </c>
      <c r="G2267" s="20" t="n">
        <f aca="false">E2267+F2267</f>
        <v>52.29</v>
      </c>
      <c r="H2267" s="20" t="n">
        <f aca="false">IF(G2267&lt;Parametres!$B$8*Parametres!$B$7,0,MIN(G2267,Parametres!$B$7))</f>
        <v>52.29</v>
      </c>
      <c r="I2267" s="20" t="n">
        <f aca="false">G2267-H2267</f>
        <v>0</v>
      </c>
      <c r="J2267" s="21" t="n">
        <f aca="false">H2267*1000/Parametres!$B$9</f>
        <v>886.722062065457</v>
      </c>
    </row>
    <row r="2268" customFormat="false" ht="15" hidden="false" customHeight="false" outlineLevel="0" collapsed="false">
      <c r="A2268" s="0" t="n">
        <v>2264</v>
      </c>
      <c r="B2268" s="0" t="n">
        <v>4</v>
      </c>
      <c r="C2268" s="19" t="n">
        <v>0.4765</v>
      </c>
      <c r="D2268" s="19" t="n">
        <v>0</v>
      </c>
      <c r="E2268" s="20" t="n">
        <f aca="false">Parametres!$B$5*C2268</f>
        <v>142.95</v>
      </c>
      <c r="F2268" s="20" t="n">
        <f aca="false">Parametres!$B$6*D2268</f>
        <v>0</v>
      </c>
      <c r="G2268" s="20" t="n">
        <f aca="false">E2268+F2268</f>
        <v>142.95</v>
      </c>
      <c r="H2268" s="20" t="n">
        <f aca="false">IF(G2268&lt;Parametres!$B$8*Parametres!$B$7,0,MIN(G2268,Parametres!$B$7))</f>
        <v>142.95</v>
      </c>
      <c r="I2268" s="20" t="n">
        <f aca="false">G2268-H2268</f>
        <v>0</v>
      </c>
      <c r="J2268" s="21" t="n">
        <f aca="false">H2268*1000/Parametres!$B$9</f>
        <v>2424.11395624894</v>
      </c>
    </row>
    <row r="2269" customFormat="false" ht="15" hidden="false" customHeight="false" outlineLevel="0" collapsed="false">
      <c r="A2269" s="0" t="n">
        <v>2265</v>
      </c>
      <c r="B2269" s="0" t="n">
        <v>4</v>
      </c>
      <c r="C2269" s="19" t="n">
        <v>0.801</v>
      </c>
      <c r="D2269" s="19" t="n">
        <v>0</v>
      </c>
      <c r="E2269" s="20" t="n">
        <f aca="false">Parametres!$B$5*C2269</f>
        <v>240.3</v>
      </c>
      <c r="F2269" s="20" t="n">
        <f aca="false">Parametres!$B$6*D2269</f>
        <v>0</v>
      </c>
      <c r="G2269" s="20" t="n">
        <f aca="false">E2269+F2269</f>
        <v>240.3</v>
      </c>
      <c r="H2269" s="20" t="n">
        <f aca="false">IF(G2269&lt;Parametres!$B$8*Parametres!$B$7,0,MIN(G2269,Parametres!$B$7))</f>
        <v>240.3</v>
      </c>
      <c r="I2269" s="20" t="n">
        <f aca="false">G2269-H2269</f>
        <v>0</v>
      </c>
      <c r="J2269" s="21" t="n">
        <f aca="false">H2269*1000/Parametres!$B$9</f>
        <v>4074.95336611837</v>
      </c>
    </row>
    <row r="2270" customFormat="false" ht="15" hidden="false" customHeight="false" outlineLevel="0" collapsed="false">
      <c r="A2270" s="0" t="n">
        <v>2266</v>
      </c>
      <c r="B2270" s="0" t="n">
        <v>4</v>
      </c>
      <c r="C2270" s="19" t="n">
        <v>1</v>
      </c>
      <c r="D2270" s="19" t="n">
        <v>0</v>
      </c>
      <c r="E2270" s="20" t="n">
        <f aca="false">Parametres!$B$5*C2270</f>
        <v>300</v>
      </c>
      <c r="F2270" s="20" t="n">
        <f aca="false">Parametres!$B$6*D2270</f>
        <v>0</v>
      </c>
      <c r="G2270" s="20" t="n">
        <f aca="false">E2270+F2270</f>
        <v>300</v>
      </c>
      <c r="H2270" s="20" t="n">
        <f aca="false">IF(G2270&lt;Parametres!$B$8*Parametres!$B$7,0,MIN(G2270,Parametres!$B$7))</f>
        <v>250</v>
      </c>
      <c r="I2270" s="20" t="n">
        <f aca="false">G2270-H2270</f>
        <v>50</v>
      </c>
      <c r="J2270" s="21" t="n">
        <f aca="false">H2270*1000/Parametres!$B$9</f>
        <v>4239.44378497541</v>
      </c>
    </row>
    <row r="2271" customFormat="false" ht="15" hidden="false" customHeight="false" outlineLevel="0" collapsed="false">
      <c r="A2271" s="0" t="n">
        <v>2267</v>
      </c>
      <c r="B2271" s="0" t="n">
        <v>4</v>
      </c>
      <c r="C2271" s="19" t="n">
        <v>1</v>
      </c>
      <c r="D2271" s="19" t="n">
        <v>0</v>
      </c>
      <c r="E2271" s="20" t="n">
        <f aca="false">Parametres!$B$5*C2271</f>
        <v>300</v>
      </c>
      <c r="F2271" s="20" t="n">
        <f aca="false">Parametres!$B$6*D2271</f>
        <v>0</v>
      </c>
      <c r="G2271" s="20" t="n">
        <f aca="false">E2271+F2271</f>
        <v>300</v>
      </c>
      <c r="H2271" s="20" t="n">
        <f aca="false">IF(G2271&lt;Parametres!$B$8*Parametres!$B$7,0,MIN(G2271,Parametres!$B$7))</f>
        <v>250</v>
      </c>
      <c r="I2271" s="20" t="n">
        <f aca="false">G2271-H2271</f>
        <v>50</v>
      </c>
      <c r="J2271" s="21" t="n">
        <f aca="false">H2271*1000/Parametres!$B$9</f>
        <v>4239.44378497541</v>
      </c>
    </row>
    <row r="2272" customFormat="false" ht="15" hidden="false" customHeight="false" outlineLevel="0" collapsed="false">
      <c r="A2272" s="0" t="n">
        <v>2268</v>
      </c>
      <c r="B2272" s="0" t="n">
        <v>4</v>
      </c>
      <c r="C2272" s="19" t="n">
        <v>1</v>
      </c>
      <c r="D2272" s="19" t="n">
        <v>0</v>
      </c>
      <c r="E2272" s="20" t="n">
        <f aca="false">Parametres!$B$5*C2272</f>
        <v>300</v>
      </c>
      <c r="F2272" s="20" t="n">
        <f aca="false">Parametres!$B$6*D2272</f>
        <v>0</v>
      </c>
      <c r="G2272" s="20" t="n">
        <f aca="false">E2272+F2272</f>
        <v>300</v>
      </c>
      <c r="H2272" s="20" t="n">
        <f aca="false">IF(G2272&lt;Parametres!$B$8*Parametres!$B$7,0,MIN(G2272,Parametres!$B$7))</f>
        <v>250</v>
      </c>
      <c r="I2272" s="20" t="n">
        <f aca="false">G2272-H2272</f>
        <v>50</v>
      </c>
      <c r="J2272" s="21" t="n">
        <f aca="false">H2272*1000/Parametres!$B$9</f>
        <v>4239.44378497541</v>
      </c>
    </row>
    <row r="2273" customFormat="false" ht="15" hidden="false" customHeight="false" outlineLevel="0" collapsed="false">
      <c r="A2273" s="0" t="n">
        <v>2269</v>
      </c>
      <c r="B2273" s="0" t="n">
        <v>4</v>
      </c>
      <c r="C2273" s="19" t="n">
        <v>1</v>
      </c>
      <c r="D2273" s="19" t="n">
        <v>0</v>
      </c>
      <c r="E2273" s="20" t="n">
        <f aca="false">Parametres!$B$5*C2273</f>
        <v>300</v>
      </c>
      <c r="F2273" s="20" t="n">
        <f aca="false">Parametres!$B$6*D2273</f>
        <v>0</v>
      </c>
      <c r="G2273" s="20" t="n">
        <f aca="false">E2273+F2273</f>
        <v>300</v>
      </c>
      <c r="H2273" s="20" t="n">
        <f aca="false">IF(G2273&lt;Parametres!$B$8*Parametres!$B$7,0,MIN(G2273,Parametres!$B$7))</f>
        <v>250</v>
      </c>
      <c r="I2273" s="20" t="n">
        <f aca="false">G2273-H2273</f>
        <v>50</v>
      </c>
      <c r="J2273" s="21" t="n">
        <f aca="false">H2273*1000/Parametres!$B$9</f>
        <v>4239.44378497541</v>
      </c>
    </row>
    <row r="2274" customFormat="false" ht="15" hidden="false" customHeight="false" outlineLevel="0" collapsed="false">
      <c r="A2274" s="0" t="n">
        <v>2270</v>
      </c>
      <c r="B2274" s="0" t="n">
        <v>4</v>
      </c>
      <c r="C2274" s="19" t="n">
        <v>1</v>
      </c>
      <c r="D2274" s="19" t="n">
        <v>0</v>
      </c>
      <c r="E2274" s="20" t="n">
        <f aca="false">Parametres!$B$5*C2274</f>
        <v>300</v>
      </c>
      <c r="F2274" s="20" t="n">
        <f aca="false">Parametres!$B$6*D2274</f>
        <v>0</v>
      </c>
      <c r="G2274" s="20" t="n">
        <f aca="false">E2274+F2274</f>
        <v>300</v>
      </c>
      <c r="H2274" s="20" t="n">
        <f aca="false">IF(G2274&lt;Parametres!$B$8*Parametres!$B$7,0,MIN(G2274,Parametres!$B$7))</f>
        <v>250</v>
      </c>
      <c r="I2274" s="20" t="n">
        <f aca="false">G2274-H2274</f>
        <v>50</v>
      </c>
      <c r="J2274" s="21" t="n">
        <f aca="false">H2274*1000/Parametres!$B$9</f>
        <v>4239.44378497541</v>
      </c>
    </row>
    <row r="2275" customFormat="false" ht="15" hidden="false" customHeight="false" outlineLevel="0" collapsed="false">
      <c r="A2275" s="0" t="n">
        <v>2271</v>
      </c>
      <c r="B2275" s="0" t="n">
        <v>4</v>
      </c>
      <c r="C2275" s="19" t="n">
        <v>0.9661</v>
      </c>
      <c r="D2275" s="19" t="n">
        <v>0</v>
      </c>
      <c r="E2275" s="20" t="n">
        <f aca="false">Parametres!$B$5*C2275</f>
        <v>289.83</v>
      </c>
      <c r="F2275" s="20" t="n">
        <f aca="false">Parametres!$B$6*D2275</f>
        <v>0</v>
      </c>
      <c r="G2275" s="20" t="n">
        <f aca="false">E2275+F2275</f>
        <v>289.83</v>
      </c>
      <c r="H2275" s="20" t="n">
        <f aca="false">IF(G2275&lt;Parametres!$B$8*Parametres!$B$7,0,MIN(G2275,Parametres!$B$7))</f>
        <v>250</v>
      </c>
      <c r="I2275" s="20" t="n">
        <f aca="false">G2275-H2275</f>
        <v>39.83</v>
      </c>
      <c r="J2275" s="21" t="n">
        <f aca="false">H2275*1000/Parametres!$B$9</f>
        <v>4239.44378497541</v>
      </c>
    </row>
    <row r="2276" customFormat="false" ht="15" hidden="false" customHeight="false" outlineLevel="0" collapsed="false">
      <c r="A2276" s="0" t="n">
        <v>2272</v>
      </c>
      <c r="B2276" s="0" t="n">
        <v>4</v>
      </c>
      <c r="C2276" s="19" t="n">
        <v>0.7679</v>
      </c>
      <c r="D2276" s="19" t="n">
        <v>0</v>
      </c>
      <c r="E2276" s="20" t="n">
        <f aca="false">Parametres!$B$5*C2276</f>
        <v>230.37</v>
      </c>
      <c r="F2276" s="20" t="n">
        <f aca="false">Parametres!$B$6*D2276</f>
        <v>0</v>
      </c>
      <c r="G2276" s="20" t="n">
        <f aca="false">E2276+F2276</f>
        <v>230.37</v>
      </c>
      <c r="H2276" s="20" t="n">
        <f aca="false">IF(G2276&lt;Parametres!$B$8*Parametres!$B$7,0,MIN(G2276,Parametres!$B$7))</f>
        <v>230.37</v>
      </c>
      <c r="I2276" s="20" t="n">
        <f aca="false">G2276-H2276</f>
        <v>0</v>
      </c>
      <c r="J2276" s="21" t="n">
        <f aca="false">H2276*1000/Parametres!$B$9</f>
        <v>3906.56265897914</v>
      </c>
    </row>
    <row r="2277" customFormat="false" ht="15" hidden="false" customHeight="false" outlineLevel="0" collapsed="false">
      <c r="A2277" s="0" t="n">
        <v>2273</v>
      </c>
      <c r="B2277" s="0" t="n">
        <v>4</v>
      </c>
      <c r="C2277" s="19" t="n">
        <v>0.4581</v>
      </c>
      <c r="D2277" s="19" t="n">
        <v>0</v>
      </c>
      <c r="E2277" s="20" t="n">
        <f aca="false">Parametres!$B$5*C2277</f>
        <v>137.43</v>
      </c>
      <c r="F2277" s="20" t="n">
        <f aca="false">Parametres!$B$6*D2277</f>
        <v>0</v>
      </c>
      <c r="G2277" s="20" t="n">
        <f aca="false">E2277+F2277</f>
        <v>137.43</v>
      </c>
      <c r="H2277" s="20" t="n">
        <f aca="false">IF(G2277&lt;Parametres!$B$8*Parametres!$B$7,0,MIN(G2277,Parametres!$B$7))</f>
        <v>137.43</v>
      </c>
      <c r="I2277" s="20" t="n">
        <f aca="false">G2277-H2277</f>
        <v>0</v>
      </c>
      <c r="J2277" s="21" t="n">
        <f aca="false">H2277*1000/Parametres!$B$9</f>
        <v>2330.50703747668</v>
      </c>
    </row>
    <row r="2278" customFormat="false" ht="15" hidden="false" customHeight="false" outlineLevel="0" collapsed="false">
      <c r="A2278" s="0" t="n">
        <v>2274</v>
      </c>
      <c r="B2278" s="0" t="n">
        <v>4</v>
      </c>
      <c r="C2278" s="19" t="n">
        <v>0.1609</v>
      </c>
      <c r="D2278" s="19" t="n">
        <v>0</v>
      </c>
      <c r="E2278" s="20" t="n">
        <f aca="false">Parametres!$B$5*C2278</f>
        <v>48.27</v>
      </c>
      <c r="F2278" s="20" t="n">
        <f aca="false">Parametres!$B$6*D2278</f>
        <v>0</v>
      </c>
      <c r="G2278" s="20" t="n">
        <f aca="false">E2278+F2278</f>
        <v>48.27</v>
      </c>
      <c r="H2278" s="20" t="n">
        <f aca="false">IF(G2278&lt;Parametres!$B$8*Parametres!$B$7,0,MIN(G2278,Parametres!$B$7))</f>
        <v>48.27</v>
      </c>
      <c r="I2278" s="20" t="n">
        <f aca="false">G2278-H2278</f>
        <v>0</v>
      </c>
      <c r="J2278" s="21" t="n">
        <f aca="false">H2278*1000/Parametres!$B$9</f>
        <v>818.551806003052</v>
      </c>
    </row>
    <row r="2279" customFormat="false" ht="15" hidden="false" customHeight="false" outlineLevel="0" collapsed="false">
      <c r="A2279" s="0" t="n">
        <v>2275</v>
      </c>
      <c r="B2279" s="0" t="n">
        <v>4</v>
      </c>
      <c r="C2279" s="19" t="n">
        <v>0</v>
      </c>
      <c r="D2279" s="19" t="n">
        <v>0</v>
      </c>
      <c r="E2279" s="20" t="n">
        <f aca="false">Parametres!$B$5*C2279</f>
        <v>0</v>
      </c>
      <c r="F2279" s="20" t="n">
        <f aca="false">Parametres!$B$6*D2279</f>
        <v>0</v>
      </c>
      <c r="G2279" s="20" t="n">
        <f aca="false">E2279+F2279</f>
        <v>0</v>
      </c>
      <c r="H2279" s="20" t="n">
        <f aca="false">IF(G2279&lt;Parametres!$B$8*Parametres!$B$7,0,MIN(G2279,Parametres!$B$7))</f>
        <v>0</v>
      </c>
      <c r="I2279" s="20" t="n">
        <f aca="false">G2279-H2279</f>
        <v>0</v>
      </c>
      <c r="J2279" s="21" t="n">
        <f aca="false">H2279*1000/Parametres!$B$9</f>
        <v>0</v>
      </c>
    </row>
    <row r="2280" customFormat="false" ht="15" hidden="false" customHeight="false" outlineLevel="0" collapsed="false">
      <c r="A2280" s="0" t="n">
        <v>2276</v>
      </c>
      <c r="B2280" s="0" t="n">
        <v>4</v>
      </c>
      <c r="C2280" s="19" t="n">
        <v>0</v>
      </c>
      <c r="D2280" s="19" t="n">
        <v>0</v>
      </c>
      <c r="E2280" s="20" t="n">
        <f aca="false">Parametres!$B$5*C2280</f>
        <v>0</v>
      </c>
      <c r="F2280" s="20" t="n">
        <f aca="false">Parametres!$B$6*D2280</f>
        <v>0</v>
      </c>
      <c r="G2280" s="20" t="n">
        <f aca="false">E2280+F2280</f>
        <v>0</v>
      </c>
      <c r="H2280" s="20" t="n">
        <f aca="false">IF(G2280&lt;Parametres!$B$8*Parametres!$B$7,0,MIN(G2280,Parametres!$B$7))</f>
        <v>0</v>
      </c>
      <c r="I2280" s="20" t="n">
        <f aca="false">G2280-H2280</f>
        <v>0</v>
      </c>
      <c r="J2280" s="21" t="n">
        <f aca="false">H2280*1000/Parametres!$B$9</f>
        <v>0</v>
      </c>
    </row>
    <row r="2281" customFormat="false" ht="15" hidden="false" customHeight="false" outlineLevel="0" collapsed="false">
      <c r="A2281" s="0" t="n">
        <v>2277</v>
      </c>
      <c r="B2281" s="0" t="n">
        <v>4</v>
      </c>
      <c r="C2281" s="19" t="n">
        <v>0</v>
      </c>
      <c r="D2281" s="19" t="n">
        <v>0</v>
      </c>
      <c r="E2281" s="20" t="n">
        <f aca="false">Parametres!$B$5*C2281</f>
        <v>0</v>
      </c>
      <c r="F2281" s="20" t="n">
        <f aca="false">Parametres!$B$6*D2281</f>
        <v>0</v>
      </c>
      <c r="G2281" s="20" t="n">
        <f aca="false">E2281+F2281</f>
        <v>0</v>
      </c>
      <c r="H2281" s="20" t="n">
        <f aca="false">IF(G2281&lt;Parametres!$B$8*Parametres!$B$7,0,MIN(G2281,Parametres!$B$7))</f>
        <v>0</v>
      </c>
      <c r="I2281" s="20" t="n">
        <f aca="false">G2281-H2281</f>
        <v>0</v>
      </c>
      <c r="J2281" s="21" t="n">
        <f aca="false">H2281*1000/Parametres!$B$9</f>
        <v>0</v>
      </c>
    </row>
    <row r="2282" customFormat="false" ht="15" hidden="false" customHeight="false" outlineLevel="0" collapsed="false">
      <c r="A2282" s="0" t="n">
        <v>2278</v>
      </c>
      <c r="B2282" s="0" t="n">
        <v>4</v>
      </c>
      <c r="C2282" s="19" t="n">
        <v>0</v>
      </c>
      <c r="D2282" s="19" t="n">
        <v>0</v>
      </c>
      <c r="E2282" s="20" t="n">
        <f aca="false">Parametres!$B$5*C2282</f>
        <v>0</v>
      </c>
      <c r="F2282" s="20" t="n">
        <f aca="false">Parametres!$B$6*D2282</f>
        <v>0</v>
      </c>
      <c r="G2282" s="20" t="n">
        <f aca="false">E2282+F2282</f>
        <v>0</v>
      </c>
      <c r="H2282" s="20" t="n">
        <f aca="false">IF(G2282&lt;Parametres!$B$8*Parametres!$B$7,0,MIN(G2282,Parametres!$B$7))</f>
        <v>0</v>
      </c>
      <c r="I2282" s="20" t="n">
        <f aca="false">G2282-H2282</f>
        <v>0</v>
      </c>
      <c r="J2282" s="21" t="n">
        <f aca="false">H2282*1000/Parametres!$B$9</f>
        <v>0</v>
      </c>
    </row>
    <row r="2283" customFormat="false" ht="15" hidden="false" customHeight="false" outlineLevel="0" collapsed="false">
      <c r="A2283" s="0" t="n">
        <v>2279</v>
      </c>
      <c r="B2283" s="0" t="n">
        <v>4</v>
      </c>
      <c r="C2283" s="19" t="n">
        <v>0</v>
      </c>
      <c r="D2283" s="19" t="n">
        <v>0</v>
      </c>
      <c r="E2283" s="20" t="n">
        <f aca="false">Parametres!$B$5*C2283</f>
        <v>0</v>
      </c>
      <c r="F2283" s="20" t="n">
        <f aca="false">Parametres!$B$6*D2283</f>
        <v>0</v>
      </c>
      <c r="G2283" s="20" t="n">
        <f aca="false">E2283+F2283</f>
        <v>0</v>
      </c>
      <c r="H2283" s="20" t="n">
        <f aca="false">IF(G2283&lt;Parametres!$B$8*Parametres!$B$7,0,MIN(G2283,Parametres!$B$7))</f>
        <v>0</v>
      </c>
      <c r="I2283" s="20" t="n">
        <f aca="false">G2283-H2283</f>
        <v>0</v>
      </c>
      <c r="J2283" s="21" t="n">
        <f aca="false">H2283*1000/Parametres!$B$9</f>
        <v>0</v>
      </c>
    </row>
    <row r="2284" customFormat="false" ht="15" hidden="false" customHeight="false" outlineLevel="0" collapsed="false">
      <c r="A2284" s="0" t="n">
        <v>2280</v>
      </c>
      <c r="B2284" s="0" t="n">
        <v>4</v>
      </c>
      <c r="C2284" s="19" t="n">
        <v>0</v>
      </c>
      <c r="D2284" s="19" t="n">
        <v>0</v>
      </c>
      <c r="E2284" s="20" t="n">
        <f aca="false">Parametres!$B$5*C2284</f>
        <v>0</v>
      </c>
      <c r="F2284" s="20" t="n">
        <f aca="false">Parametres!$B$6*D2284</f>
        <v>0</v>
      </c>
      <c r="G2284" s="20" t="n">
        <f aca="false">E2284+F2284</f>
        <v>0</v>
      </c>
      <c r="H2284" s="20" t="n">
        <f aca="false">IF(G2284&lt;Parametres!$B$8*Parametres!$B$7,0,MIN(G2284,Parametres!$B$7))</f>
        <v>0</v>
      </c>
      <c r="I2284" s="20" t="n">
        <f aca="false">G2284-H2284</f>
        <v>0</v>
      </c>
      <c r="J2284" s="21" t="n">
        <f aca="false">H2284*1000/Parametres!$B$9</f>
        <v>0</v>
      </c>
    </row>
    <row r="2285" customFormat="false" ht="15" hidden="false" customHeight="false" outlineLevel="0" collapsed="false">
      <c r="A2285" s="0" t="n">
        <v>2281</v>
      </c>
      <c r="B2285" s="0" t="n">
        <v>4</v>
      </c>
      <c r="C2285" s="19" t="n">
        <v>0</v>
      </c>
      <c r="D2285" s="19" t="n">
        <v>0</v>
      </c>
      <c r="E2285" s="20" t="n">
        <f aca="false">Parametres!$B$5*C2285</f>
        <v>0</v>
      </c>
      <c r="F2285" s="20" t="n">
        <f aca="false">Parametres!$B$6*D2285</f>
        <v>0</v>
      </c>
      <c r="G2285" s="20" t="n">
        <f aca="false">E2285+F2285</f>
        <v>0</v>
      </c>
      <c r="H2285" s="20" t="n">
        <f aca="false">IF(G2285&lt;Parametres!$B$8*Parametres!$B$7,0,MIN(G2285,Parametres!$B$7))</f>
        <v>0</v>
      </c>
      <c r="I2285" s="20" t="n">
        <f aca="false">G2285-H2285</f>
        <v>0</v>
      </c>
      <c r="J2285" s="21" t="n">
        <f aca="false">H2285*1000/Parametres!$B$9</f>
        <v>0</v>
      </c>
    </row>
    <row r="2286" customFormat="false" ht="15" hidden="false" customHeight="false" outlineLevel="0" collapsed="false">
      <c r="A2286" s="0" t="n">
        <v>2282</v>
      </c>
      <c r="B2286" s="0" t="n">
        <v>4</v>
      </c>
      <c r="C2286" s="19" t="n">
        <v>0</v>
      </c>
      <c r="D2286" s="19" t="n">
        <v>0</v>
      </c>
      <c r="E2286" s="20" t="n">
        <f aca="false">Parametres!$B$5*C2286</f>
        <v>0</v>
      </c>
      <c r="F2286" s="20" t="n">
        <f aca="false">Parametres!$B$6*D2286</f>
        <v>0</v>
      </c>
      <c r="G2286" s="20" t="n">
        <f aca="false">E2286+F2286</f>
        <v>0</v>
      </c>
      <c r="H2286" s="20" t="n">
        <f aca="false">IF(G2286&lt;Parametres!$B$8*Parametres!$B$7,0,MIN(G2286,Parametres!$B$7))</f>
        <v>0</v>
      </c>
      <c r="I2286" s="20" t="n">
        <f aca="false">G2286-H2286</f>
        <v>0</v>
      </c>
      <c r="J2286" s="21" t="n">
        <f aca="false">H2286*1000/Parametres!$B$9</f>
        <v>0</v>
      </c>
    </row>
    <row r="2287" customFormat="false" ht="15" hidden="false" customHeight="false" outlineLevel="0" collapsed="false">
      <c r="A2287" s="0" t="n">
        <v>2283</v>
      </c>
      <c r="B2287" s="0" t="n">
        <v>4</v>
      </c>
      <c r="C2287" s="19" t="n">
        <v>0</v>
      </c>
      <c r="D2287" s="19" t="n">
        <v>0</v>
      </c>
      <c r="E2287" s="20" t="n">
        <f aca="false">Parametres!$B$5*C2287</f>
        <v>0</v>
      </c>
      <c r="F2287" s="20" t="n">
        <f aca="false">Parametres!$B$6*D2287</f>
        <v>0</v>
      </c>
      <c r="G2287" s="20" t="n">
        <f aca="false">E2287+F2287</f>
        <v>0</v>
      </c>
      <c r="H2287" s="20" t="n">
        <f aca="false">IF(G2287&lt;Parametres!$B$8*Parametres!$B$7,0,MIN(G2287,Parametres!$B$7))</f>
        <v>0</v>
      </c>
      <c r="I2287" s="20" t="n">
        <f aca="false">G2287-H2287</f>
        <v>0</v>
      </c>
      <c r="J2287" s="21" t="n">
        <f aca="false">H2287*1000/Parametres!$B$9</f>
        <v>0</v>
      </c>
    </row>
    <row r="2288" customFormat="false" ht="15" hidden="false" customHeight="false" outlineLevel="0" collapsed="false">
      <c r="A2288" s="0" t="n">
        <v>2284</v>
      </c>
      <c r="B2288" s="0" t="n">
        <v>4</v>
      </c>
      <c r="C2288" s="19" t="n">
        <v>0</v>
      </c>
      <c r="D2288" s="19" t="n">
        <v>0</v>
      </c>
      <c r="E2288" s="20" t="n">
        <f aca="false">Parametres!$B$5*C2288</f>
        <v>0</v>
      </c>
      <c r="F2288" s="20" t="n">
        <f aca="false">Parametres!$B$6*D2288</f>
        <v>0</v>
      </c>
      <c r="G2288" s="20" t="n">
        <f aca="false">E2288+F2288</f>
        <v>0</v>
      </c>
      <c r="H2288" s="20" t="n">
        <f aca="false">IF(G2288&lt;Parametres!$B$8*Parametres!$B$7,0,MIN(G2288,Parametres!$B$7))</f>
        <v>0</v>
      </c>
      <c r="I2288" s="20" t="n">
        <f aca="false">G2288-H2288</f>
        <v>0</v>
      </c>
      <c r="J2288" s="21" t="n">
        <f aca="false">H2288*1000/Parametres!$B$9</f>
        <v>0</v>
      </c>
    </row>
    <row r="2289" customFormat="false" ht="15" hidden="false" customHeight="false" outlineLevel="0" collapsed="false">
      <c r="A2289" s="0" t="n">
        <v>2285</v>
      </c>
      <c r="B2289" s="0" t="n">
        <v>4</v>
      </c>
      <c r="C2289" s="19" t="n">
        <v>0</v>
      </c>
      <c r="D2289" s="19" t="n">
        <v>0</v>
      </c>
      <c r="E2289" s="20" t="n">
        <f aca="false">Parametres!$B$5*C2289</f>
        <v>0</v>
      </c>
      <c r="F2289" s="20" t="n">
        <f aca="false">Parametres!$B$6*D2289</f>
        <v>0</v>
      </c>
      <c r="G2289" s="20" t="n">
        <f aca="false">E2289+F2289</f>
        <v>0</v>
      </c>
      <c r="H2289" s="20" t="n">
        <f aca="false">IF(G2289&lt;Parametres!$B$8*Parametres!$B$7,0,MIN(G2289,Parametres!$B$7))</f>
        <v>0</v>
      </c>
      <c r="I2289" s="20" t="n">
        <f aca="false">G2289-H2289</f>
        <v>0</v>
      </c>
      <c r="J2289" s="21" t="n">
        <f aca="false">H2289*1000/Parametres!$B$9</f>
        <v>0</v>
      </c>
    </row>
    <row r="2290" customFormat="false" ht="15" hidden="false" customHeight="false" outlineLevel="0" collapsed="false">
      <c r="A2290" s="0" t="n">
        <v>2286</v>
      </c>
      <c r="B2290" s="0" t="n">
        <v>4</v>
      </c>
      <c r="C2290" s="19" t="n">
        <v>0</v>
      </c>
      <c r="D2290" s="19" t="n">
        <v>0</v>
      </c>
      <c r="E2290" s="20" t="n">
        <f aca="false">Parametres!$B$5*C2290</f>
        <v>0</v>
      </c>
      <c r="F2290" s="20" t="n">
        <f aca="false">Parametres!$B$6*D2290</f>
        <v>0</v>
      </c>
      <c r="G2290" s="20" t="n">
        <f aca="false">E2290+F2290</f>
        <v>0</v>
      </c>
      <c r="H2290" s="20" t="n">
        <f aca="false">IF(G2290&lt;Parametres!$B$8*Parametres!$B$7,0,MIN(G2290,Parametres!$B$7))</f>
        <v>0</v>
      </c>
      <c r="I2290" s="20" t="n">
        <f aca="false">G2290-H2290</f>
        <v>0</v>
      </c>
      <c r="J2290" s="21" t="n">
        <f aca="false">H2290*1000/Parametres!$B$9</f>
        <v>0</v>
      </c>
    </row>
    <row r="2291" customFormat="false" ht="15" hidden="false" customHeight="false" outlineLevel="0" collapsed="false">
      <c r="A2291" s="0" t="n">
        <v>2287</v>
      </c>
      <c r="B2291" s="0" t="n">
        <v>4</v>
      </c>
      <c r="C2291" s="19" t="n">
        <v>0.1075</v>
      </c>
      <c r="D2291" s="19" t="n">
        <v>0</v>
      </c>
      <c r="E2291" s="20" t="n">
        <f aca="false">Parametres!$B$5*C2291</f>
        <v>32.25</v>
      </c>
      <c r="F2291" s="20" t="n">
        <f aca="false">Parametres!$B$6*D2291</f>
        <v>0</v>
      </c>
      <c r="G2291" s="20" t="n">
        <f aca="false">E2291+F2291</f>
        <v>32.25</v>
      </c>
      <c r="H2291" s="20" t="n">
        <f aca="false">IF(G2291&lt;Parametres!$B$8*Parametres!$B$7,0,MIN(G2291,Parametres!$B$7))</f>
        <v>32.25</v>
      </c>
      <c r="I2291" s="20" t="n">
        <f aca="false">G2291-H2291</f>
        <v>0</v>
      </c>
      <c r="J2291" s="21" t="n">
        <f aca="false">H2291*1000/Parametres!$B$9</f>
        <v>546.888248261828</v>
      </c>
    </row>
    <row r="2292" customFormat="false" ht="15" hidden="false" customHeight="false" outlineLevel="0" collapsed="false">
      <c r="A2292" s="0" t="n">
        <v>2288</v>
      </c>
      <c r="B2292" s="0" t="n">
        <v>4</v>
      </c>
      <c r="C2292" s="19" t="n">
        <v>0.272</v>
      </c>
      <c r="D2292" s="19" t="n">
        <v>0</v>
      </c>
      <c r="E2292" s="20" t="n">
        <f aca="false">Parametres!$B$5*C2292</f>
        <v>81.6</v>
      </c>
      <c r="F2292" s="20" t="n">
        <f aca="false">Parametres!$B$6*D2292</f>
        <v>0</v>
      </c>
      <c r="G2292" s="20" t="n">
        <f aca="false">E2292+F2292</f>
        <v>81.6</v>
      </c>
      <c r="H2292" s="20" t="n">
        <f aca="false">IF(G2292&lt;Parametres!$B$8*Parametres!$B$7,0,MIN(G2292,Parametres!$B$7))</f>
        <v>81.6</v>
      </c>
      <c r="I2292" s="20" t="n">
        <f aca="false">G2292-H2292</f>
        <v>0</v>
      </c>
      <c r="J2292" s="21" t="n">
        <f aca="false">H2292*1000/Parametres!$B$9</f>
        <v>1383.75445141597</v>
      </c>
    </row>
    <row r="2293" customFormat="false" ht="15" hidden="false" customHeight="false" outlineLevel="0" collapsed="false">
      <c r="A2293" s="0" t="n">
        <v>2289</v>
      </c>
      <c r="B2293" s="0" t="n">
        <v>4</v>
      </c>
      <c r="C2293" s="19" t="n">
        <v>0.4656</v>
      </c>
      <c r="D2293" s="19" t="n">
        <v>0</v>
      </c>
      <c r="E2293" s="20" t="n">
        <f aca="false">Parametres!$B$5*C2293</f>
        <v>139.68</v>
      </c>
      <c r="F2293" s="20" t="n">
        <f aca="false">Parametres!$B$6*D2293</f>
        <v>0</v>
      </c>
      <c r="G2293" s="20" t="n">
        <f aca="false">E2293+F2293</f>
        <v>139.68</v>
      </c>
      <c r="H2293" s="20" t="n">
        <f aca="false">IF(G2293&lt;Parametres!$B$8*Parametres!$B$7,0,MIN(G2293,Parametres!$B$7))</f>
        <v>139.68</v>
      </c>
      <c r="I2293" s="20" t="n">
        <f aca="false">G2293-H2293</f>
        <v>0</v>
      </c>
      <c r="J2293" s="21" t="n">
        <f aca="false">H2293*1000/Parametres!$B$9</f>
        <v>2368.66203154146</v>
      </c>
    </row>
    <row r="2294" customFormat="false" ht="15" hidden="false" customHeight="false" outlineLevel="0" collapsed="false">
      <c r="A2294" s="0" t="n">
        <v>2290</v>
      </c>
      <c r="B2294" s="0" t="n">
        <v>4</v>
      </c>
      <c r="C2294" s="19" t="n">
        <v>0.5972</v>
      </c>
      <c r="D2294" s="19" t="n">
        <v>0</v>
      </c>
      <c r="E2294" s="20" t="n">
        <f aca="false">Parametres!$B$5*C2294</f>
        <v>179.16</v>
      </c>
      <c r="F2294" s="20" t="n">
        <f aca="false">Parametres!$B$6*D2294</f>
        <v>0</v>
      </c>
      <c r="G2294" s="20" t="n">
        <f aca="false">E2294+F2294</f>
        <v>179.16</v>
      </c>
      <c r="H2294" s="20" t="n">
        <f aca="false">IF(G2294&lt;Parametres!$B$8*Parametres!$B$7,0,MIN(G2294,Parametres!$B$7))</f>
        <v>179.16</v>
      </c>
      <c r="I2294" s="20" t="n">
        <f aca="false">G2294-H2294</f>
        <v>0</v>
      </c>
      <c r="J2294" s="21" t="n">
        <f aca="false">H2294*1000/Parametres!$B$9</f>
        <v>3038.15499406478</v>
      </c>
    </row>
    <row r="2295" customFormat="false" ht="15" hidden="false" customHeight="false" outlineLevel="0" collapsed="false">
      <c r="A2295" s="0" t="n">
        <v>2291</v>
      </c>
      <c r="B2295" s="0" t="n">
        <v>4</v>
      </c>
      <c r="C2295" s="19" t="n">
        <v>0.6809</v>
      </c>
      <c r="D2295" s="19" t="n">
        <v>0</v>
      </c>
      <c r="E2295" s="20" t="n">
        <f aca="false">Parametres!$B$5*C2295</f>
        <v>204.27</v>
      </c>
      <c r="F2295" s="20" t="n">
        <f aca="false">Parametres!$B$6*D2295</f>
        <v>0</v>
      </c>
      <c r="G2295" s="20" t="n">
        <f aca="false">E2295+F2295</f>
        <v>204.27</v>
      </c>
      <c r="H2295" s="20" t="n">
        <f aca="false">IF(G2295&lt;Parametres!$B$8*Parametres!$B$7,0,MIN(G2295,Parametres!$B$7))</f>
        <v>204.27</v>
      </c>
      <c r="I2295" s="20" t="n">
        <f aca="false">G2295-H2295</f>
        <v>0</v>
      </c>
      <c r="J2295" s="21" t="n">
        <f aca="false">H2295*1000/Parametres!$B$9</f>
        <v>3463.96472782771</v>
      </c>
    </row>
    <row r="2296" customFormat="false" ht="15" hidden="false" customHeight="false" outlineLevel="0" collapsed="false">
      <c r="A2296" s="0" t="n">
        <v>2292</v>
      </c>
      <c r="B2296" s="0" t="n">
        <v>4</v>
      </c>
      <c r="C2296" s="19" t="n">
        <v>0.8401</v>
      </c>
      <c r="D2296" s="19" t="n">
        <v>0.0001</v>
      </c>
      <c r="E2296" s="20" t="n">
        <f aca="false">Parametres!$B$5*C2296</f>
        <v>252.03</v>
      </c>
      <c r="F2296" s="20" t="n">
        <f aca="false">Parametres!$B$6*D2296</f>
        <v>0.02</v>
      </c>
      <c r="G2296" s="20" t="n">
        <f aca="false">E2296+F2296</f>
        <v>252.05</v>
      </c>
      <c r="H2296" s="20" t="n">
        <f aca="false">IF(G2296&lt;Parametres!$B$8*Parametres!$B$7,0,MIN(G2296,Parametres!$B$7))</f>
        <v>250</v>
      </c>
      <c r="I2296" s="20" t="n">
        <f aca="false">G2296-H2296</f>
        <v>2.05000000000001</v>
      </c>
      <c r="J2296" s="21" t="n">
        <f aca="false">H2296*1000/Parametres!$B$9</f>
        <v>4239.44378497541</v>
      </c>
    </row>
    <row r="2297" customFormat="false" ht="15" hidden="false" customHeight="false" outlineLevel="0" collapsed="false">
      <c r="A2297" s="0" t="n">
        <v>2293</v>
      </c>
      <c r="B2297" s="0" t="n">
        <v>4</v>
      </c>
      <c r="C2297" s="19" t="n">
        <v>0.7847</v>
      </c>
      <c r="D2297" s="19" t="n">
        <v>0</v>
      </c>
      <c r="E2297" s="20" t="n">
        <f aca="false">Parametres!$B$5*C2297</f>
        <v>235.41</v>
      </c>
      <c r="F2297" s="20" t="n">
        <f aca="false">Parametres!$B$6*D2297</f>
        <v>0</v>
      </c>
      <c r="G2297" s="20" t="n">
        <f aca="false">E2297+F2297</f>
        <v>235.41</v>
      </c>
      <c r="H2297" s="20" t="n">
        <f aca="false">IF(G2297&lt;Parametres!$B$8*Parametres!$B$7,0,MIN(G2297,Parametres!$B$7))</f>
        <v>235.41</v>
      </c>
      <c r="I2297" s="20" t="n">
        <f aca="false">G2297-H2297</f>
        <v>0</v>
      </c>
      <c r="J2297" s="21" t="n">
        <f aca="false">H2297*1000/Parametres!$B$9</f>
        <v>3992.02984568425</v>
      </c>
    </row>
    <row r="2298" customFormat="false" ht="15" hidden="false" customHeight="false" outlineLevel="0" collapsed="false">
      <c r="A2298" s="0" t="n">
        <v>2294</v>
      </c>
      <c r="B2298" s="0" t="n">
        <v>4</v>
      </c>
      <c r="C2298" s="19" t="n">
        <v>0.7564</v>
      </c>
      <c r="D2298" s="19" t="n">
        <v>0</v>
      </c>
      <c r="E2298" s="20" t="n">
        <f aca="false">Parametres!$B$5*C2298</f>
        <v>226.92</v>
      </c>
      <c r="F2298" s="20" t="n">
        <f aca="false">Parametres!$B$6*D2298</f>
        <v>0</v>
      </c>
      <c r="G2298" s="20" t="n">
        <f aca="false">E2298+F2298</f>
        <v>226.92</v>
      </c>
      <c r="H2298" s="20" t="n">
        <f aca="false">IF(G2298&lt;Parametres!$B$8*Parametres!$B$7,0,MIN(G2298,Parametres!$B$7))</f>
        <v>226.92</v>
      </c>
      <c r="I2298" s="20" t="n">
        <f aca="false">G2298-H2298</f>
        <v>0</v>
      </c>
      <c r="J2298" s="21" t="n">
        <f aca="false">H2298*1000/Parametres!$B$9</f>
        <v>3848.05833474648</v>
      </c>
    </row>
    <row r="2299" customFormat="false" ht="15" hidden="false" customHeight="false" outlineLevel="0" collapsed="false">
      <c r="A2299" s="0" t="n">
        <v>2295</v>
      </c>
      <c r="B2299" s="0" t="n">
        <v>4</v>
      </c>
      <c r="C2299" s="19" t="n">
        <v>0.6368</v>
      </c>
      <c r="D2299" s="19" t="n">
        <v>0</v>
      </c>
      <c r="E2299" s="20" t="n">
        <f aca="false">Parametres!$B$5*C2299</f>
        <v>191.04</v>
      </c>
      <c r="F2299" s="20" t="n">
        <f aca="false">Parametres!$B$6*D2299</f>
        <v>0</v>
      </c>
      <c r="G2299" s="20" t="n">
        <f aca="false">E2299+F2299</f>
        <v>191.04</v>
      </c>
      <c r="H2299" s="20" t="n">
        <f aca="false">IF(G2299&lt;Parametres!$B$8*Parametres!$B$7,0,MIN(G2299,Parametres!$B$7))</f>
        <v>191.04</v>
      </c>
      <c r="I2299" s="20" t="n">
        <f aca="false">G2299-H2299</f>
        <v>0</v>
      </c>
      <c r="J2299" s="21" t="n">
        <f aca="false">H2299*1000/Parametres!$B$9</f>
        <v>3239.61336272681</v>
      </c>
    </row>
    <row r="2300" customFormat="false" ht="15" hidden="false" customHeight="false" outlineLevel="0" collapsed="false">
      <c r="A2300" s="0" t="n">
        <v>2296</v>
      </c>
      <c r="B2300" s="0" t="n">
        <v>4</v>
      </c>
      <c r="C2300" s="19" t="n">
        <v>0.4523</v>
      </c>
      <c r="D2300" s="19" t="n">
        <v>0</v>
      </c>
      <c r="E2300" s="20" t="n">
        <f aca="false">Parametres!$B$5*C2300</f>
        <v>135.69</v>
      </c>
      <c r="F2300" s="20" t="n">
        <f aca="false">Parametres!$B$6*D2300</f>
        <v>0</v>
      </c>
      <c r="G2300" s="20" t="n">
        <f aca="false">E2300+F2300</f>
        <v>135.69</v>
      </c>
      <c r="H2300" s="20" t="n">
        <f aca="false">IF(G2300&lt;Parametres!$B$8*Parametres!$B$7,0,MIN(G2300,Parametres!$B$7))</f>
        <v>135.69</v>
      </c>
      <c r="I2300" s="20" t="n">
        <f aca="false">G2300-H2300</f>
        <v>0</v>
      </c>
      <c r="J2300" s="21" t="n">
        <f aca="false">H2300*1000/Parametres!$B$9</f>
        <v>2301.00050873325</v>
      </c>
    </row>
    <row r="2301" customFormat="false" ht="15" hidden="false" customHeight="false" outlineLevel="0" collapsed="false">
      <c r="A2301" s="0" t="n">
        <v>2297</v>
      </c>
      <c r="B2301" s="0" t="n">
        <v>4</v>
      </c>
      <c r="C2301" s="19" t="n">
        <v>0.2889</v>
      </c>
      <c r="D2301" s="19" t="n">
        <v>0</v>
      </c>
      <c r="E2301" s="20" t="n">
        <f aca="false">Parametres!$B$5*C2301</f>
        <v>86.67</v>
      </c>
      <c r="F2301" s="20" t="n">
        <f aca="false">Parametres!$B$6*D2301</f>
        <v>0</v>
      </c>
      <c r="G2301" s="20" t="n">
        <f aca="false">E2301+F2301</f>
        <v>86.67</v>
      </c>
      <c r="H2301" s="20" t="n">
        <f aca="false">IF(G2301&lt;Parametres!$B$8*Parametres!$B$7,0,MIN(G2301,Parametres!$B$7))</f>
        <v>86.67</v>
      </c>
      <c r="I2301" s="20" t="n">
        <f aca="false">G2301-H2301</f>
        <v>0</v>
      </c>
      <c r="J2301" s="21" t="n">
        <f aca="false">H2301*1000/Parametres!$B$9</f>
        <v>1469.73037137528</v>
      </c>
    </row>
    <row r="2302" customFormat="false" ht="15" hidden="false" customHeight="false" outlineLevel="0" collapsed="false">
      <c r="A2302" s="0" t="n">
        <v>2298</v>
      </c>
      <c r="B2302" s="0" t="n">
        <v>4</v>
      </c>
      <c r="C2302" s="19" t="n">
        <v>0.1047</v>
      </c>
      <c r="D2302" s="19" t="n">
        <v>0</v>
      </c>
      <c r="E2302" s="20" t="n">
        <f aca="false">Parametres!$B$5*C2302</f>
        <v>31.41</v>
      </c>
      <c r="F2302" s="20" t="n">
        <f aca="false">Parametres!$B$6*D2302</f>
        <v>0</v>
      </c>
      <c r="G2302" s="20" t="n">
        <f aca="false">E2302+F2302</f>
        <v>31.41</v>
      </c>
      <c r="H2302" s="20" t="n">
        <f aca="false">IF(G2302&lt;Parametres!$B$8*Parametres!$B$7,0,MIN(G2302,Parametres!$B$7))</f>
        <v>31.41</v>
      </c>
      <c r="I2302" s="20" t="n">
        <f aca="false">G2302-H2302</f>
        <v>0</v>
      </c>
      <c r="J2302" s="21" t="n">
        <f aca="false">H2302*1000/Parametres!$B$9</f>
        <v>532.643717144311</v>
      </c>
    </row>
    <row r="2303" customFormat="false" ht="15" hidden="false" customHeight="false" outlineLevel="0" collapsed="false">
      <c r="A2303" s="0" t="n">
        <v>2299</v>
      </c>
      <c r="B2303" s="0" t="n">
        <v>4</v>
      </c>
      <c r="C2303" s="19" t="n">
        <v>0</v>
      </c>
      <c r="D2303" s="19" t="n">
        <v>0.0008</v>
      </c>
      <c r="E2303" s="20" t="n">
        <f aca="false">Parametres!$B$5*C2303</f>
        <v>0</v>
      </c>
      <c r="F2303" s="20" t="n">
        <f aca="false">Parametres!$B$6*D2303</f>
        <v>0.16</v>
      </c>
      <c r="G2303" s="20" t="n">
        <f aca="false">E2303+F2303</f>
        <v>0.16</v>
      </c>
      <c r="H2303" s="20" t="n">
        <f aca="false">IF(G2303&lt;Parametres!$B$8*Parametres!$B$7,0,MIN(G2303,Parametres!$B$7))</f>
        <v>0</v>
      </c>
      <c r="I2303" s="20" t="n">
        <f aca="false">G2303-H2303</f>
        <v>0.16</v>
      </c>
      <c r="J2303" s="21" t="n">
        <f aca="false">H2303*1000/Parametres!$B$9</f>
        <v>0</v>
      </c>
    </row>
    <row r="2304" customFormat="false" ht="15" hidden="false" customHeight="false" outlineLevel="0" collapsed="false">
      <c r="A2304" s="0" t="n">
        <v>2300</v>
      </c>
      <c r="B2304" s="0" t="n">
        <v>4</v>
      </c>
      <c r="C2304" s="19" t="n">
        <v>0</v>
      </c>
      <c r="D2304" s="19" t="n">
        <v>0</v>
      </c>
      <c r="E2304" s="20" t="n">
        <f aca="false">Parametres!$B$5*C2304</f>
        <v>0</v>
      </c>
      <c r="F2304" s="20" t="n">
        <f aca="false">Parametres!$B$6*D2304</f>
        <v>0</v>
      </c>
      <c r="G2304" s="20" t="n">
        <f aca="false">E2304+F2304</f>
        <v>0</v>
      </c>
      <c r="H2304" s="20" t="n">
        <f aca="false">IF(G2304&lt;Parametres!$B$8*Parametres!$B$7,0,MIN(G2304,Parametres!$B$7))</f>
        <v>0</v>
      </c>
      <c r="I2304" s="20" t="n">
        <f aca="false">G2304-H2304</f>
        <v>0</v>
      </c>
      <c r="J2304" s="21" t="n">
        <f aca="false">H2304*1000/Parametres!$B$9</f>
        <v>0</v>
      </c>
    </row>
    <row r="2305" customFormat="false" ht="15" hidden="false" customHeight="false" outlineLevel="0" collapsed="false">
      <c r="A2305" s="0" t="n">
        <v>2301</v>
      </c>
      <c r="B2305" s="0" t="n">
        <v>4</v>
      </c>
      <c r="C2305" s="19" t="n">
        <v>0</v>
      </c>
      <c r="D2305" s="19" t="n">
        <v>0.0003</v>
      </c>
      <c r="E2305" s="20" t="n">
        <f aca="false">Parametres!$B$5*C2305</f>
        <v>0</v>
      </c>
      <c r="F2305" s="20" t="n">
        <f aca="false">Parametres!$B$6*D2305</f>
        <v>0.06</v>
      </c>
      <c r="G2305" s="20" t="n">
        <f aca="false">E2305+F2305</f>
        <v>0.06</v>
      </c>
      <c r="H2305" s="20" t="n">
        <f aca="false">IF(G2305&lt;Parametres!$B$8*Parametres!$B$7,0,MIN(G2305,Parametres!$B$7))</f>
        <v>0</v>
      </c>
      <c r="I2305" s="20" t="n">
        <f aca="false">G2305-H2305</f>
        <v>0.06</v>
      </c>
      <c r="J2305" s="21" t="n">
        <f aca="false">H2305*1000/Parametres!$B$9</f>
        <v>0</v>
      </c>
    </row>
    <row r="2306" customFormat="false" ht="15" hidden="false" customHeight="false" outlineLevel="0" collapsed="false">
      <c r="A2306" s="0" t="n">
        <v>2302</v>
      </c>
      <c r="B2306" s="0" t="n">
        <v>4</v>
      </c>
      <c r="C2306" s="19" t="n">
        <v>0</v>
      </c>
      <c r="D2306" s="19" t="n">
        <v>0.0038</v>
      </c>
      <c r="E2306" s="20" t="n">
        <f aca="false">Parametres!$B$5*C2306</f>
        <v>0</v>
      </c>
      <c r="F2306" s="20" t="n">
        <f aca="false">Parametres!$B$6*D2306</f>
        <v>0.76</v>
      </c>
      <c r="G2306" s="20" t="n">
        <f aca="false">E2306+F2306</f>
        <v>0.76</v>
      </c>
      <c r="H2306" s="20" t="n">
        <f aca="false">IF(G2306&lt;Parametres!$B$8*Parametres!$B$7,0,MIN(G2306,Parametres!$B$7))</f>
        <v>0</v>
      </c>
      <c r="I2306" s="20" t="n">
        <f aca="false">G2306-H2306</f>
        <v>0.76</v>
      </c>
      <c r="J2306" s="21" t="n">
        <f aca="false">H2306*1000/Parametres!$B$9</f>
        <v>0</v>
      </c>
    </row>
    <row r="2307" customFormat="false" ht="15" hidden="false" customHeight="false" outlineLevel="0" collapsed="false">
      <c r="A2307" s="0" t="n">
        <v>2303</v>
      </c>
      <c r="B2307" s="0" t="n">
        <v>4</v>
      </c>
      <c r="C2307" s="19" t="n">
        <v>0</v>
      </c>
      <c r="D2307" s="19" t="n">
        <v>0.0098</v>
      </c>
      <c r="E2307" s="20" t="n">
        <f aca="false">Parametres!$B$5*C2307</f>
        <v>0</v>
      </c>
      <c r="F2307" s="20" t="n">
        <f aca="false">Parametres!$B$6*D2307</f>
        <v>1.96</v>
      </c>
      <c r="G2307" s="20" t="n">
        <f aca="false">E2307+F2307</f>
        <v>1.96</v>
      </c>
      <c r="H2307" s="20" t="n">
        <f aca="false">IF(G2307&lt;Parametres!$B$8*Parametres!$B$7,0,MIN(G2307,Parametres!$B$7))</f>
        <v>0</v>
      </c>
      <c r="I2307" s="20" t="n">
        <f aca="false">G2307-H2307</f>
        <v>1.96</v>
      </c>
      <c r="J2307" s="21" t="n">
        <f aca="false">H2307*1000/Parametres!$B$9</f>
        <v>0</v>
      </c>
    </row>
    <row r="2308" customFormat="false" ht="15" hidden="false" customHeight="false" outlineLevel="0" collapsed="false">
      <c r="A2308" s="0" t="n">
        <v>2304</v>
      </c>
      <c r="B2308" s="0" t="n">
        <v>4</v>
      </c>
      <c r="C2308" s="19" t="n">
        <v>0</v>
      </c>
      <c r="D2308" s="19" t="n">
        <v>0.0142</v>
      </c>
      <c r="E2308" s="20" t="n">
        <f aca="false">Parametres!$B$5*C2308</f>
        <v>0</v>
      </c>
      <c r="F2308" s="20" t="n">
        <f aca="false">Parametres!$B$6*D2308</f>
        <v>2.84</v>
      </c>
      <c r="G2308" s="20" t="n">
        <f aca="false">E2308+F2308</f>
        <v>2.84</v>
      </c>
      <c r="H2308" s="20" t="n">
        <f aca="false">IF(G2308&lt;Parametres!$B$8*Parametres!$B$7,0,MIN(G2308,Parametres!$B$7))</f>
        <v>0</v>
      </c>
      <c r="I2308" s="20" t="n">
        <f aca="false">G2308-H2308</f>
        <v>2.84</v>
      </c>
      <c r="J2308" s="21" t="n">
        <f aca="false">H2308*1000/Parametres!$B$9</f>
        <v>0</v>
      </c>
    </row>
    <row r="2309" customFormat="false" ht="15" hidden="false" customHeight="false" outlineLevel="0" collapsed="false">
      <c r="A2309" s="0" t="n">
        <v>2305</v>
      </c>
      <c r="B2309" s="0" t="n">
        <v>4</v>
      </c>
      <c r="C2309" s="19" t="n">
        <v>0</v>
      </c>
      <c r="D2309" s="19" t="n">
        <v>0.0215</v>
      </c>
      <c r="E2309" s="20" t="n">
        <f aca="false">Parametres!$B$5*C2309</f>
        <v>0</v>
      </c>
      <c r="F2309" s="20" t="n">
        <f aca="false">Parametres!$B$6*D2309</f>
        <v>4.3</v>
      </c>
      <c r="G2309" s="20" t="n">
        <f aca="false">E2309+F2309</f>
        <v>4.3</v>
      </c>
      <c r="H2309" s="20" t="n">
        <f aca="false">IF(G2309&lt;Parametres!$B$8*Parametres!$B$7,0,MIN(G2309,Parametres!$B$7))</f>
        <v>0</v>
      </c>
      <c r="I2309" s="20" t="n">
        <f aca="false">G2309-H2309</f>
        <v>4.3</v>
      </c>
      <c r="J2309" s="21" t="n">
        <f aca="false">H2309*1000/Parametres!$B$9</f>
        <v>0</v>
      </c>
    </row>
    <row r="2310" customFormat="false" ht="15" hidden="false" customHeight="false" outlineLevel="0" collapsed="false">
      <c r="A2310" s="0" t="n">
        <v>2306</v>
      </c>
      <c r="B2310" s="0" t="n">
        <v>4</v>
      </c>
      <c r="C2310" s="19" t="n">
        <v>0</v>
      </c>
      <c r="D2310" s="19" t="n">
        <v>0.0052</v>
      </c>
      <c r="E2310" s="20" t="n">
        <f aca="false">Parametres!$B$5*C2310</f>
        <v>0</v>
      </c>
      <c r="F2310" s="20" t="n">
        <f aca="false">Parametres!$B$6*D2310</f>
        <v>1.04</v>
      </c>
      <c r="G2310" s="20" t="n">
        <f aca="false">E2310+F2310</f>
        <v>1.04</v>
      </c>
      <c r="H2310" s="20" t="n">
        <f aca="false">IF(G2310&lt;Parametres!$B$8*Parametres!$B$7,0,MIN(G2310,Parametres!$B$7))</f>
        <v>0</v>
      </c>
      <c r="I2310" s="20" t="n">
        <f aca="false">G2310-H2310</f>
        <v>1.04</v>
      </c>
      <c r="J2310" s="21" t="n">
        <f aca="false">H2310*1000/Parametres!$B$9</f>
        <v>0</v>
      </c>
    </row>
    <row r="2311" customFormat="false" ht="15" hidden="false" customHeight="false" outlineLevel="0" collapsed="false">
      <c r="A2311" s="0" t="n">
        <v>2307</v>
      </c>
      <c r="B2311" s="0" t="n">
        <v>4</v>
      </c>
      <c r="C2311" s="19" t="n">
        <v>0</v>
      </c>
      <c r="D2311" s="19" t="n">
        <v>0.0026</v>
      </c>
      <c r="E2311" s="20" t="n">
        <f aca="false">Parametres!$B$5*C2311</f>
        <v>0</v>
      </c>
      <c r="F2311" s="20" t="n">
        <f aca="false">Parametres!$B$6*D2311</f>
        <v>0.52</v>
      </c>
      <c r="G2311" s="20" t="n">
        <f aca="false">E2311+F2311</f>
        <v>0.52</v>
      </c>
      <c r="H2311" s="20" t="n">
        <f aca="false">IF(G2311&lt;Parametres!$B$8*Parametres!$B$7,0,MIN(G2311,Parametres!$B$7))</f>
        <v>0</v>
      </c>
      <c r="I2311" s="20" t="n">
        <f aca="false">G2311-H2311</f>
        <v>0.52</v>
      </c>
      <c r="J2311" s="21" t="n">
        <f aca="false">H2311*1000/Parametres!$B$9</f>
        <v>0</v>
      </c>
    </row>
    <row r="2312" customFormat="false" ht="15" hidden="false" customHeight="false" outlineLevel="0" collapsed="false">
      <c r="A2312" s="0" t="n">
        <v>2308</v>
      </c>
      <c r="B2312" s="0" t="n">
        <v>4</v>
      </c>
      <c r="C2312" s="19" t="n">
        <v>0</v>
      </c>
      <c r="D2312" s="19" t="n">
        <v>0.0079</v>
      </c>
      <c r="E2312" s="20" t="n">
        <f aca="false">Parametres!$B$5*C2312</f>
        <v>0</v>
      </c>
      <c r="F2312" s="20" t="n">
        <f aca="false">Parametres!$B$6*D2312</f>
        <v>1.58</v>
      </c>
      <c r="G2312" s="20" t="n">
        <f aca="false">E2312+F2312</f>
        <v>1.58</v>
      </c>
      <c r="H2312" s="20" t="n">
        <f aca="false">IF(G2312&lt;Parametres!$B$8*Parametres!$B$7,0,MIN(G2312,Parametres!$B$7))</f>
        <v>0</v>
      </c>
      <c r="I2312" s="20" t="n">
        <f aca="false">G2312-H2312</f>
        <v>1.58</v>
      </c>
      <c r="J2312" s="21" t="n">
        <f aca="false">H2312*1000/Parametres!$B$9</f>
        <v>0</v>
      </c>
    </row>
    <row r="2313" customFormat="false" ht="15" hidden="false" customHeight="false" outlineLevel="0" collapsed="false">
      <c r="A2313" s="0" t="n">
        <v>2309</v>
      </c>
      <c r="B2313" s="0" t="n">
        <v>4</v>
      </c>
      <c r="C2313" s="19" t="n">
        <v>0</v>
      </c>
      <c r="D2313" s="19" t="n">
        <v>0.0262</v>
      </c>
      <c r="E2313" s="20" t="n">
        <f aca="false">Parametres!$B$5*C2313</f>
        <v>0</v>
      </c>
      <c r="F2313" s="20" t="n">
        <f aca="false">Parametres!$B$6*D2313</f>
        <v>5.24</v>
      </c>
      <c r="G2313" s="20" t="n">
        <f aca="false">E2313+F2313</f>
        <v>5.24</v>
      </c>
      <c r="H2313" s="20" t="n">
        <f aca="false">IF(G2313&lt;Parametres!$B$8*Parametres!$B$7,0,MIN(G2313,Parametres!$B$7))</f>
        <v>0</v>
      </c>
      <c r="I2313" s="20" t="n">
        <f aca="false">G2313-H2313</f>
        <v>5.24</v>
      </c>
      <c r="J2313" s="21" t="n">
        <f aca="false">H2313*1000/Parametres!$B$9</f>
        <v>0</v>
      </c>
    </row>
    <row r="2314" customFormat="false" ht="15" hidden="false" customHeight="false" outlineLevel="0" collapsed="false">
      <c r="A2314" s="0" t="n">
        <v>2310</v>
      </c>
      <c r="B2314" s="0" t="n">
        <v>4</v>
      </c>
      <c r="C2314" s="19" t="n">
        <v>0</v>
      </c>
      <c r="D2314" s="19" t="n">
        <v>0.0377</v>
      </c>
      <c r="E2314" s="20" t="n">
        <f aca="false">Parametres!$B$5*C2314</f>
        <v>0</v>
      </c>
      <c r="F2314" s="20" t="n">
        <f aca="false">Parametres!$B$6*D2314</f>
        <v>7.54</v>
      </c>
      <c r="G2314" s="20" t="n">
        <f aca="false">E2314+F2314</f>
        <v>7.54</v>
      </c>
      <c r="H2314" s="20" t="n">
        <f aca="false">IF(G2314&lt;Parametres!$B$8*Parametres!$B$7,0,MIN(G2314,Parametres!$B$7))</f>
        <v>0</v>
      </c>
      <c r="I2314" s="20" t="n">
        <f aca="false">G2314-H2314</f>
        <v>7.54</v>
      </c>
      <c r="J2314" s="21" t="n">
        <f aca="false">H2314*1000/Parametres!$B$9</f>
        <v>0</v>
      </c>
    </row>
    <row r="2315" customFormat="false" ht="15" hidden="false" customHeight="false" outlineLevel="0" collapsed="false">
      <c r="A2315" s="0" t="n">
        <v>2311</v>
      </c>
      <c r="B2315" s="0" t="n">
        <v>4</v>
      </c>
      <c r="C2315" s="19" t="n">
        <v>0.1519</v>
      </c>
      <c r="D2315" s="19" t="n">
        <v>0.0317</v>
      </c>
      <c r="E2315" s="20" t="n">
        <f aca="false">Parametres!$B$5*C2315</f>
        <v>45.57</v>
      </c>
      <c r="F2315" s="20" t="n">
        <f aca="false">Parametres!$B$6*D2315</f>
        <v>6.34</v>
      </c>
      <c r="G2315" s="20" t="n">
        <f aca="false">E2315+F2315</f>
        <v>51.91</v>
      </c>
      <c r="H2315" s="20" t="n">
        <f aca="false">IF(G2315&lt;Parametres!$B$8*Parametres!$B$7,0,MIN(G2315,Parametres!$B$7))</f>
        <v>51.91</v>
      </c>
      <c r="I2315" s="20" t="n">
        <f aca="false">G2315-H2315</f>
        <v>0</v>
      </c>
      <c r="J2315" s="21" t="n">
        <f aca="false">H2315*1000/Parametres!$B$9</f>
        <v>880.278107512294</v>
      </c>
    </row>
    <row r="2316" customFormat="false" ht="15" hidden="false" customHeight="false" outlineLevel="0" collapsed="false">
      <c r="A2316" s="0" t="n">
        <v>2312</v>
      </c>
      <c r="B2316" s="0" t="n">
        <v>4</v>
      </c>
      <c r="C2316" s="19" t="n">
        <v>0.4148</v>
      </c>
      <c r="D2316" s="19" t="n">
        <v>0.0342</v>
      </c>
      <c r="E2316" s="20" t="n">
        <f aca="false">Parametres!$B$5*C2316</f>
        <v>124.44</v>
      </c>
      <c r="F2316" s="20" t="n">
        <f aca="false">Parametres!$B$6*D2316</f>
        <v>6.84</v>
      </c>
      <c r="G2316" s="20" t="n">
        <f aca="false">E2316+F2316</f>
        <v>131.28</v>
      </c>
      <c r="H2316" s="20" t="n">
        <f aca="false">IF(G2316&lt;Parametres!$B$8*Parametres!$B$7,0,MIN(G2316,Parametres!$B$7))</f>
        <v>131.28</v>
      </c>
      <c r="I2316" s="20" t="n">
        <f aca="false">G2316-H2316</f>
        <v>0</v>
      </c>
      <c r="J2316" s="21" t="n">
        <f aca="false">H2316*1000/Parametres!$B$9</f>
        <v>2226.21672036629</v>
      </c>
    </row>
    <row r="2317" customFormat="false" ht="15" hidden="false" customHeight="false" outlineLevel="0" collapsed="false">
      <c r="A2317" s="0" t="n">
        <v>2313</v>
      </c>
      <c r="B2317" s="0" t="n">
        <v>4</v>
      </c>
      <c r="C2317" s="19" t="n">
        <v>0.6726</v>
      </c>
      <c r="D2317" s="19" t="n">
        <v>0.0686</v>
      </c>
      <c r="E2317" s="20" t="n">
        <f aca="false">Parametres!$B$5*C2317</f>
        <v>201.78</v>
      </c>
      <c r="F2317" s="20" t="n">
        <f aca="false">Parametres!$B$6*D2317</f>
        <v>13.72</v>
      </c>
      <c r="G2317" s="20" t="n">
        <f aca="false">E2317+F2317</f>
        <v>215.5</v>
      </c>
      <c r="H2317" s="20" t="n">
        <f aca="false">IF(G2317&lt;Parametres!$B$8*Parametres!$B$7,0,MIN(G2317,Parametres!$B$7))</f>
        <v>215.5</v>
      </c>
      <c r="I2317" s="20" t="n">
        <f aca="false">G2317-H2317</f>
        <v>0</v>
      </c>
      <c r="J2317" s="21" t="n">
        <f aca="false">H2317*1000/Parametres!$B$9</f>
        <v>3654.4005426488</v>
      </c>
    </row>
    <row r="2318" customFormat="false" ht="15" hidden="false" customHeight="false" outlineLevel="0" collapsed="false">
      <c r="A2318" s="0" t="n">
        <v>2314</v>
      </c>
      <c r="B2318" s="0" t="n">
        <v>4</v>
      </c>
      <c r="C2318" s="19" t="n">
        <v>0.8769</v>
      </c>
      <c r="D2318" s="19" t="n">
        <v>0.2119</v>
      </c>
      <c r="E2318" s="20" t="n">
        <f aca="false">Parametres!$B$5*C2318</f>
        <v>263.07</v>
      </c>
      <c r="F2318" s="20" t="n">
        <f aca="false">Parametres!$B$6*D2318</f>
        <v>42.38</v>
      </c>
      <c r="G2318" s="20" t="n">
        <f aca="false">E2318+F2318</f>
        <v>305.45</v>
      </c>
      <c r="H2318" s="20" t="n">
        <f aca="false">IF(G2318&lt;Parametres!$B$8*Parametres!$B$7,0,MIN(G2318,Parametres!$B$7))</f>
        <v>250</v>
      </c>
      <c r="I2318" s="20" t="n">
        <f aca="false">G2318-H2318</f>
        <v>55.45</v>
      </c>
      <c r="J2318" s="21" t="n">
        <f aca="false">H2318*1000/Parametres!$B$9</f>
        <v>4239.44378497541</v>
      </c>
    </row>
    <row r="2319" customFormat="false" ht="15" hidden="false" customHeight="false" outlineLevel="0" collapsed="false">
      <c r="A2319" s="0" t="n">
        <v>2315</v>
      </c>
      <c r="B2319" s="0" t="n">
        <v>4</v>
      </c>
      <c r="C2319" s="19" t="n">
        <v>1</v>
      </c>
      <c r="D2319" s="19" t="n">
        <v>0.3362</v>
      </c>
      <c r="E2319" s="20" t="n">
        <f aca="false">Parametres!$B$5*C2319</f>
        <v>300</v>
      </c>
      <c r="F2319" s="20" t="n">
        <f aca="false">Parametres!$B$6*D2319</f>
        <v>67.24</v>
      </c>
      <c r="G2319" s="20" t="n">
        <f aca="false">E2319+F2319</f>
        <v>367.24</v>
      </c>
      <c r="H2319" s="20" t="n">
        <f aca="false">IF(G2319&lt;Parametres!$B$8*Parametres!$B$7,0,MIN(G2319,Parametres!$B$7))</f>
        <v>250</v>
      </c>
      <c r="I2319" s="20" t="n">
        <f aca="false">G2319-H2319</f>
        <v>117.24</v>
      </c>
      <c r="J2319" s="21" t="n">
        <f aca="false">H2319*1000/Parametres!$B$9</f>
        <v>4239.44378497541</v>
      </c>
    </row>
    <row r="2320" customFormat="false" ht="15" hidden="false" customHeight="false" outlineLevel="0" collapsed="false">
      <c r="A2320" s="0" t="n">
        <v>2316</v>
      </c>
      <c r="B2320" s="0" t="n">
        <v>4</v>
      </c>
      <c r="C2320" s="19" t="n">
        <v>1</v>
      </c>
      <c r="D2320" s="19" t="n">
        <v>0.3178</v>
      </c>
      <c r="E2320" s="20" t="n">
        <f aca="false">Parametres!$B$5*C2320</f>
        <v>300</v>
      </c>
      <c r="F2320" s="20" t="n">
        <f aca="false">Parametres!$B$6*D2320</f>
        <v>63.56</v>
      </c>
      <c r="G2320" s="20" t="n">
        <f aca="false">E2320+F2320</f>
        <v>363.56</v>
      </c>
      <c r="H2320" s="20" t="n">
        <f aca="false">IF(G2320&lt;Parametres!$B$8*Parametres!$B$7,0,MIN(G2320,Parametres!$B$7))</f>
        <v>250</v>
      </c>
      <c r="I2320" s="20" t="n">
        <f aca="false">G2320-H2320</f>
        <v>113.56</v>
      </c>
      <c r="J2320" s="21" t="n">
        <f aca="false">H2320*1000/Parametres!$B$9</f>
        <v>4239.44378497541</v>
      </c>
    </row>
    <row r="2321" customFormat="false" ht="15" hidden="false" customHeight="false" outlineLevel="0" collapsed="false">
      <c r="A2321" s="0" t="n">
        <v>2317</v>
      </c>
      <c r="B2321" s="0" t="n">
        <v>4</v>
      </c>
      <c r="C2321" s="19" t="n">
        <v>1</v>
      </c>
      <c r="D2321" s="19" t="n">
        <v>0.4561</v>
      </c>
      <c r="E2321" s="20" t="n">
        <f aca="false">Parametres!$B$5*C2321</f>
        <v>300</v>
      </c>
      <c r="F2321" s="20" t="n">
        <f aca="false">Parametres!$B$6*D2321</f>
        <v>91.22</v>
      </c>
      <c r="G2321" s="20" t="n">
        <f aca="false">E2321+F2321</f>
        <v>391.22</v>
      </c>
      <c r="H2321" s="20" t="n">
        <f aca="false">IF(G2321&lt;Parametres!$B$8*Parametres!$B$7,0,MIN(G2321,Parametres!$B$7))</f>
        <v>250</v>
      </c>
      <c r="I2321" s="20" t="n">
        <f aca="false">G2321-H2321</f>
        <v>141.22</v>
      </c>
      <c r="J2321" s="21" t="n">
        <f aca="false">H2321*1000/Parametres!$B$9</f>
        <v>4239.44378497541</v>
      </c>
    </row>
    <row r="2322" customFormat="false" ht="15" hidden="false" customHeight="false" outlineLevel="0" collapsed="false">
      <c r="A2322" s="0" t="n">
        <v>2318</v>
      </c>
      <c r="B2322" s="0" t="n">
        <v>4</v>
      </c>
      <c r="C2322" s="19" t="n">
        <v>1</v>
      </c>
      <c r="D2322" s="19" t="n">
        <v>0.5884</v>
      </c>
      <c r="E2322" s="20" t="n">
        <f aca="false">Parametres!$B$5*C2322</f>
        <v>300</v>
      </c>
      <c r="F2322" s="20" t="n">
        <f aca="false">Parametres!$B$6*D2322</f>
        <v>117.68</v>
      </c>
      <c r="G2322" s="20" t="n">
        <f aca="false">E2322+F2322</f>
        <v>417.68</v>
      </c>
      <c r="H2322" s="20" t="n">
        <f aca="false">IF(G2322&lt;Parametres!$B$8*Parametres!$B$7,0,MIN(G2322,Parametres!$B$7))</f>
        <v>250</v>
      </c>
      <c r="I2322" s="20" t="n">
        <f aca="false">G2322-H2322</f>
        <v>167.68</v>
      </c>
      <c r="J2322" s="21" t="n">
        <f aca="false">H2322*1000/Parametres!$B$9</f>
        <v>4239.44378497541</v>
      </c>
    </row>
    <row r="2323" customFormat="false" ht="15" hidden="false" customHeight="false" outlineLevel="0" collapsed="false">
      <c r="A2323" s="0" t="n">
        <v>2319</v>
      </c>
      <c r="B2323" s="0" t="n">
        <v>4</v>
      </c>
      <c r="C2323" s="19" t="n">
        <v>0.8991</v>
      </c>
      <c r="D2323" s="19" t="n">
        <v>1</v>
      </c>
      <c r="E2323" s="20" t="n">
        <f aca="false">Parametres!$B$5*C2323</f>
        <v>269.73</v>
      </c>
      <c r="F2323" s="20" t="n">
        <f aca="false">Parametres!$B$6*D2323</f>
        <v>200</v>
      </c>
      <c r="G2323" s="20" t="n">
        <f aca="false">E2323+F2323</f>
        <v>469.73</v>
      </c>
      <c r="H2323" s="20" t="n">
        <f aca="false">IF(G2323&lt;Parametres!$B$8*Parametres!$B$7,0,MIN(G2323,Parametres!$B$7))</f>
        <v>250</v>
      </c>
      <c r="I2323" s="20" t="n">
        <f aca="false">G2323-H2323</f>
        <v>219.73</v>
      </c>
      <c r="J2323" s="21" t="n">
        <f aca="false">H2323*1000/Parametres!$B$9</f>
        <v>4239.44378497541</v>
      </c>
    </row>
    <row r="2324" customFormat="false" ht="15" hidden="false" customHeight="false" outlineLevel="0" collapsed="false">
      <c r="A2324" s="0" t="n">
        <v>2320</v>
      </c>
      <c r="B2324" s="0" t="n">
        <v>4</v>
      </c>
      <c r="C2324" s="19" t="n">
        <v>0.6238</v>
      </c>
      <c r="D2324" s="19" t="n">
        <v>1</v>
      </c>
      <c r="E2324" s="20" t="n">
        <f aca="false">Parametres!$B$5*C2324</f>
        <v>187.14</v>
      </c>
      <c r="F2324" s="20" t="n">
        <f aca="false">Parametres!$B$6*D2324</f>
        <v>200</v>
      </c>
      <c r="G2324" s="20" t="n">
        <f aca="false">E2324+F2324</f>
        <v>387.14</v>
      </c>
      <c r="H2324" s="20" t="n">
        <f aca="false">IF(G2324&lt;Parametres!$B$8*Parametres!$B$7,0,MIN(G2324,Parametres!$B$7))</f>
        <v>250</v>
      </c>
      <c r="I2324" s="20" t="n">
        <f aca="false">G2324-H2324</f>
        <v>137.14</v>
      </c>
      <c r="J2324" s="21" t="n">
        <f aca="false">H2324*1000/Parametres!$B$9</f>
        <v>4239.44378497541</v>
      </c>
    </row>
    <row r="2325" customFormat="false" ht="15" hidden="false" customHeight="false" outlineLevel="0" collapsed="false">
      <c r="A2325" s="0" t="n">
        <v>2321</v>
      </c>
      <c r="B2325" s="0" t="n">
        <v>4</v>
      </c>
      <c r="C2325" s="19" t="n">
        <v>0.4424</v>
      </c>
      <c r="D2325" s="19" t="n">
        <v>1</v>
      </c>
      <c r="E2325" s="20" t="n">
        <f aca="false">Parametres!$B$5*C2325</f>
        <v>132.72</v>
      </c>
      <c r="F2325" s="20" t="n">
        <f aca="false">Parametres!$B$6*D2325</f>
        <v>200</v>
      </c>
      <c r="G2325" s="20" t="n">
        <f aca="false">E2325+F2325</f>
        <v>332.72</v>
      </c>
      <c r="H2325" s="20" t="n">
        <f aca="false">IF(G2325&lt;Parametres!$B$8*Parametres!$B$7,0,MIN(G2325,Parametres!$B$7))</f>
        <v>250</v>
      </c>
      <c r="I2325" s="20" t="n">
        <f aca="false">G2325-H2325</f>
        <v>82.72</v>
      </c>
      <c r="J2325" s="21" t="n">
        <f aca="false">H2325*1000/Parametres!$B$9</f>
        <v>4239.44378497541</v>
      </c>
    </row>
    <row r="2326" customFormat="false" ht="15" hidden="false" customHeight="false" outlineLevel="0" collapsed="false">
      <c r="A2326" s="0" t="n">
        <v>2322</v>
      </c>
      <c r="B2326" s="0" t="n">
        <v>4</v>
      </c>
      <c r="C2326" s="19" t="n">
        <v>0.1492</v>
      </c>
      <c r="D2326" s="19" t="n">
        <v>1</v>
      </c>
      <c r="E2326" s="20" t="n">
        <f aca="false">Parametres!$B$5*C2326</f>
        <v>44.76</v>
      </c>
      <c r="F2326" s="20" t="n">
        <f aca="false">Parametres!$B$6*D2326</f>
        <v>200</v>
      </c>
      <c r="G2326" s="20" t="n">
        <f aca="false">E2326+F2326</f>
        <v>244.76</v>
      </c>
      <c r="H2326" s="20" t="n">
        <f aca="false">IF(G2326&lt;Parametres!$B$8*Parametres!$B$7,0,MIN(G2326,Parametres!$B$7))</f>
        <v>244.76</v>
      </c>
      <c r="I2326" s="20" t="n">
        <f aca="false">G2326-H2326</f>
        <v>0</v>
      </c>
      <c r="J2326" s="21" t="n">
        <f aca="false">H2326*1000/Parametres!$B$9</f>
        <v>4150.58504324233</v>
      </c>
    </row>
    <row r="2327" customFormat="false" ht="15" hidden="false" customHeight="false" outlineLevel="0" collapsed="false">
      <c r="A2327" s="0" t="n">
        <v>2323</v>
      </c>
      <c r="B2327" s="0" t="n">
        <v>4</v>
      </c>
      <c r="C2327" s="19" t="n">
        <v>0</v>
      </c>
      <c r="D2327" s="19" t="n">
        <v>1</v>
      </c>
      <c r="E2327" s="20" t="n">
        <f aca="false">Parametres!$B$5*C2327</f>
        <v>0</v>
      </c>
      <c r="F2327" s="20" t="n">
        <f aca="false">Parametres!$B$6*D2327</f>
        <v>200</v>
      </c>
      <c r="G2327" s="20" t="n">
        <f aca="false">E2327+F2327</f>
        <v>200</v>
      </c>
      <c r="H2327" s="20" t="n">
        <f aca="false">IF(G2327&lt;Parametres!$B$8*Parametres!$B$7,0,MIN(G2327,Parametres!$B$7))</f>
        <v>200</v>
      </c>
      <c r="I2327" s="20" t="n">
        <f aca="false">G2327-H2327</f>
        <v>0</v>
      </c>
      <c r="J2327" s="21" t="n">
        <f aca="false">H2327*1000/Parametres!$B$9</f>
        <v>3391.55502798033</v>
      </c>
    </row>
    <row r="2328" customFormat="false" ht="15" hidden="false" customHeight="false" outlineLevel="0" collapsed="false">
      <c r="A2328" s="0" t="n">
        <v>2324</v>
      </c>
      <c r="B2328" s="0" t="n">
        <v>4</v>
      </c>
      <c r="C2328" s="19" t="n">
        <v>0</v>
      </c>
      <c r="D2328" s="19" t="n">
        <v>0.7071</v>
      </c>
      <c r="E2328" s="20" t="n">
        <f aca="false">Parametres!$B$5*C2328</f>
        <v>0</v>
      </c>
      <c r="F2328" s="20" t="n">
        <f aca="false">Parametres!$B$6*D2328</f>
        <v>141.42</v>
      </c>
      <c r="G2328" s="20" t="n">
        <f aca="false">E2328+F2328</f>
        <v>141.42</v>
      </c>
      <c r="H2328" s="20" t="n">
        <f aca="false">IF(G2328&lt;Parametres!$B$8*Parametres!$B$7,0,MIN(G2328,Parametres!$B$7))</f>
        <v>141.42</v>
      </c>
      <c r="I2328" s="20" t="n">
        <f aca="false">G2328-H2328</f>
        <v>0</v>
      </c>
      <c r="J2328" s="21" t="n">
        <f aca="false">H2328*1000/Parametres!$B$9</f>
        <v>2398.16856028489</v>
      </c>
    </row>
    <row r="2329" customFormat="false" ht="15" hidden="false" customHeight="false" outlineLevel="0" collapsed="false">
      <c r="A2329" s="0" t="n">
        <v>2325</v>
      </c>
      <c r="B2329" s="0" t="n">
        <v>4</v>
      </c>
      <c r="C2329" s="19" t="n">
        <v>0</v>
      </c>
      <c r="D2329" s="19" t="n">
        <v>0.5492</v>
      </c>
      <c r="E2329" s="20" t="n">
        <f aca="false">Parametres!$B$5*C2329</f>
        <v>0</v>
      </c>
      <c r="F2329" s="20" t="n">
        <f aca="false">Parametres!$B$6*D2329</f>
        <v>109.84</v>
      </c>
      <c r="G2329" s="20" t="n">
        <f aca="false">E2329+F2329</f>
        <v>109.84</v>
      </c>
      <c r="H2329" s="20" t="n">
        <f aca="false">IF(G2329&lt;Parametres!$B$8*Parametres!$B$7,0,MIN(G2329,Parametres!$B$7))</f>
        <v>109.84</v>
      </c>
      <c r="I2329" s="20" t="n">
        <f aca="false">G2329-H2329</f>
        <v>0</v>
      </c>
      <c r="J2329" s="21" t="n">
        <f aca="false">H2329*1000/Parametres!$B$9</f>
        <v>1862.6420213668</v>
      </c>
    </row>
    <row r="2330" customFormat="false" ht="15" hidden="false" customHeight="false" outlineLevel="0" collapsed="false">
      <c r="A2330" s="0" t="n">
        <v>2326</v>
      </c>
      <c r="B2330" s="0" t="n">
        <v>4</v>
      </c>
      <c r="C2330" s="19" t="n">
        <v>0</v>
      </c>
      <c r="D2330" s="19" t="n">
        <v>0.3674</v>
      </c>
      <c r="E2330" s="20" t="n">
        <f aca="false">Parametres!$B$5*C2330</f>
        <v>0</v>
      </c>
      <c r="F2330" s="20" t="n">
        <f aca="false">Parametres!$B$6*D2330</f>
        <v>73.48</v>
      </c>
      <c r="G2330" s="20" t="n">
        <f aca="false">E2330+F2330</f>
        <v>73.48</v>
      </c>
      <c r="H2330" s="20" t="n">
        <f aca="false">IF(G2330&lt;Parametres!$B$8*Parametres!$B$7,0,MIN(G2330,Parametres!$B$7))</f>
        <v>73.48</v>
      </c>
      <c r="I2330" s="20" t="n">
        <f aca="false">G2330-H2330</f>
        <v>0</v>
      </c>
      <c r="J2330" s="21" t="n">
        <f aca="false">H2330*1000/Parametres!$B$9</f>
        <v>1246.05731727997</v>
      </c>
    </row>
    <row r="2331" customFormat="false" ht="15" hidden="false" customHeight="false" outlineLevel="0" collapsed="false">
      <c r="A2331" s="0" t="n">
        <v>2327</v>
      </c>
      <c r="B2331" s="0" t="n">
        <v>4</v>
      </c>
      <c r="C2331" s="19" t="n">
        <v>0</v>
      </c>
      <c r="D2331" s="19" t="n">
        <v>0.348</v>
      </c>
      <c r="E2331" s="20" t="n">
        <f aca="false">Parametres!$B$5*C2331</f>
        <v>0</v>
      </c>
      <c r="F2331" s="20" t="n">
        <f aca="false">Parametres!$B$6*D2331</f>
        <v>69.6</v>
      </c>
      <c r="G2331" s="20" t="n">
        <f aca="false">E2331+F2331</f>
        <v>69.6</v>
      </c>
      <c r="H2331" s="20" t="n">
        <f aca="false">IF(G2331&lt;Parametres!$B$8*Parametres!$B$7,0,MIN(G2331,Parametres!$B$7))</f>
        <v>69.6</v>
      </c>
      <c r="I2331" s="20" t="n">
        <f aca="false">G2331-H2331</f>
        <v>0</v>
      </c>
      <c r="J2331" s="21" t="n">
        <f aca="false">H2331*1000/Parametres!$B$9</f>
        <v>1180.26114973715</v>
      </c>
    </row>
    <row r="2332" customFormat="false" ht="15" hidden="false" customHeight="false" outlineLevel="0" collapsed="false">
      <c r="A2332" s="0" t="n">
        <v>2328</v>
      </c>
      <c r="B2332" s="0" t="n">
        <v>4</v>
      </c>
      <c r="C2332" s="19" t="n">
        <v>0</v>
      </c>
      <c r="D2332" s="19" t="n">
        <v>0.3166</v>
      </c>
      <c r="E2332" s="20" t="n">
        <f aca="false">Parametres!$B$5*C2332</f>
        <v>0</v>
      </c>
      <c r="F2332" s="20" t="n">
        <f aca="false">Parametres!$B$6*D2332</f>
        <v>63.32</v>
      </c>
      <c r="G2332" s="20" t="n">
        <f aca="false">E2332+F2332</f>
        <v>63.32</v>
      </c>
      <c r="H2332" s="20" t="n">
        <f aca="false">IF(G2332&lt;Parametres!$B$8*Parametres!$B$7,0,MIN(G2332,Parametres!$B$7))</f>
        <v>63.32</v>
      </c>
      <c r="I2332" s="20" t="n">
        <f aca="false">G2332-H2332</f>
        <v>0</v>
      </c>
      <c r="J2332" s="21" t="n">
        <f aca="false">H2332*1000/Parametres!$B$9</f>
        <v>1073.76632185857</v>
      </c>
    </row>
    <row r="2333" customFormat="false" ht="15" hidden="false" customHeight="false" outlineLevel="0" collapsed="false">
      <c r="A2333" s="0" t="n">
        <v>2329</v>
      </c>
      <c r="B2333" s="0" t="n">
        <v>4</v>
      </c>
      <c r="C2333" s="19" t="n">
        <v>0</v>
      </c>
      <c r="D2333" s="19" t="n">
        <v>0.3928</v>
      </c>
      <c r="E2333" s="20" t="n">
        <f aca="false">Parametres!$B$5*C2333</f>
        <v>0</v>
      </c>
      <c r="F2333" s="20" t="n">
        <f aca="false">Parametres!$B$6*D2333</f>
        <v>78.56</v>
      </c>
      <c r="G2333" s="20" t="n">
        <f aca="false">E2333+F2333</f>
        <v>78.56</v>
      </c>
      <c r="H2333" s="20" t="n">
        <f aca="false">IF(G2333&lt;Parametres!$B$8*Parametres!$B$7,0,MIN(G2333,Parametres!$B$7))</f>
        <v>78.56</v>
      </c>
      <c r="I2333" s="20" t="n">
        <f aca="false">G2333-H2333</f>
        <v>0</v>
      </c>
      <c r="J2333" s="21" t="n">
        <f aca="false">H2333*1000/Parametres!$B$9</f>
        <v>1332.20281499067</v>
      </c>
    </row>
    <row r="2334" customFormat="false" ht="15" hidden="false" customHeight="false" outlineLevel="0" collapsed="false">
      <c r="A2334" s="0" t="n">
        <v>2330</v>
      </c>
      <c r="B2334" s="0" t="n">
        <v>4</v>
      </c>
      <c r="C2334" s="19" t="n">
        <v>0</v>
      </c>
      <c r="D2334" s="19" t="n">
        <v>0.5712</v>
      </c>
      <c r="E2334" s="20" t="n">
        <f aca="false">Parametres!$B$5*C2334</f>
        <v>0</v>
      </c>
      <c r="F2334" s="20" t="n">
        <f aca="false">Parametres!$B$6*D2334</f>
        <v>114.24</v>
      </c>
      <c r="G2334" s="20" t="n">
        <f aca="false">E2334+F2334</f>
        <v>114.24</v>
      </c>
      <c r="H2334" s="20" t="n">
        <f aca="false">IF(G2334&lt;Parametres!$B$8*Parametres!$B$7,0,MIN(G2334,Parametres!$B$7))</f>
        <v>114.24</v>
      </c>
      <c r="I2334" s="20" t="n">
        <f aca="false">G2334-H2334</f>
        <v>0</v>
      </c>
      <c r="J2334" s="21" t="n">
        <f aca="false">H2334*1000/Parametres!$B$9</f>
        <v>1937.25623198236</v>
      </c>
    </row>
    <row r="2335" customFormat="false" ht="15" hidden="false" customHeight="false" outlineLevel="0" collapsed="false">
      <c r="A2335" s="0" t="n">
        <v>2331</v>
      </c>
      <c r="B2335" s="0" t="n">
        <v>4</v>
      </c>
      <c r="C2335" s="19" t="n">
        <v>0</v>
      </c>
      <c r="D2335" s="19" t="n">
        <v>0.5454</v>
      </c>
      <c r="E2335" s="20" t="n">
        <f aca="false">Parametres!$B$5*C2335</f>
        <v>0</v>
      </c>
      <c r="F2335" s="20" t="n">
        <f aca="false">Parametres!$B$6*D2335</f>
        <v>109.08</v>
      </c>
      <c r="G2335" s="20" t="n">
        <f aca="false">E2335+F2335</f>
        <v>109.08</v>
      </c>
      <c r="H2335" s="20" t="n">
        <f aca="false">IF(G2335&lt;Parametres!$B$8*Parametres!$B$7,0,MIN(G2335,Parametres!$B$7))</f>
        <v>109.08</v>
      </c>
      <c r="I2335" s="20" t="n">
        <f aca="false">G2335-H2335</f>
        <v>0</v>
      </c>
      <c r="J2335" s="21" t="n">
        <f aca="false">H2335*1000/Parametres!$B$9</f>
        <v>1849.75411226047</v>
      </c>
    </row>
    <row r="2336" customFormat="false" ht="15" hidden="false" customHeight="false" outlineLevel="0" collapsed="false">
      <c r="A2336" s="0" t="n">
        <v>2332</v>
      </c>
      <c r="B2336" s="0" t="n">
        <v>4</v>
      </c>
      <c r="C2336" s="19" t="n">
        <v>0</v>
      </c>
      <c r="D2336" s="19" t="n">
        <v>0.483</v>
      </c>
      <c r="E2336" s="20" t="n">
        <f aca="false">Parametres!$B$5*C2336</f>
        <v>0</v>
      </c>
      <c r="F2336" s="20" t="n">
        <f aca="false">Parametres!$B$6*D2336</f>
        <v>96.6</v>
      </c>
      <c r="G2336" s="20" t="n">
        <f aca="false">E2336+F2336</f>
        <v>96.6</v>
      </c>
      <c r="H2336" s="20" t="n">
        <f aca="false">IF(G2336&lt;Parametres!$B$8*Parametres!$B$7,0,MIN(G2336,Parametres!$B$7))</f>
        <v>96.6</v>
      </c>
      <c r="I2336" s="20" t="n">
        <f aca="false">G2336-H2336</f>
        <v>0</v>
      </c>
      <c r="J2336" s="21" t="n">
        <f aca="false">H2336*1000/Parametres!$B$9</f>
        <v>1638.1210785145</v>
      </c>
    </row>
    <row r="2337" customFormat="false" ht="15" hidden="false" customHeight="false" outlineLevel="0" collapsed="false">
      <c r="A2337" s="0" t="n">
        <v>2333</v>
      </c>
      <c r="B2337" s="0" t="n">
        <v>4</v>
      </c>
      <c r="C2337" s="19" t="n">
        <v>0</v>
      </c>
      <c r="D2337" s="19" t="n">
        <v>0.2525</v>
      </c>
      <c r="E2337" s="20" t="n">
        <f aca="false">Parametres!$B$5*C2337</f>
        <v>0</v>
      </c>
      <c r="F2337" s="20" t="n">
        <f aca="false">Parametres!$B$6*D2337</f>
        <v>50.5</v>
      </c>
      <c r="G2337" s="20" t="n">
        <f aca="false">E2337+F2337</f>
        <v>50.5</v>
      </c>
      <c r="H2337" s="20" t="n">
        <f aca="false">IF(G2337&lt;Parametres!$B$8*Parametres!$B$7,0,MIN(G2337,Parametres!$B$7))</f>
        <v>50.5</v>
      </c>
      <c r="I2337" s="20" t="n">
        <f aca="false">G2337-H2337</f>
        <v>0</v>
      </c>
      <c r="J2337" s="21" t="n">
        <f aca="false">H2337*1000/Parametres!$B$9</f>
        <v>856.367644565033</v>
      </c>
    </row>
    <row r="2338" customFormat="false" ht="15" hidden="false" customHeight="false" outlineLevel="0" collapsed="false">
      <c r="A2338" s="0" t="n">
        <v>2334</v>
      </c>
      <c r="B2338" s="0" t="n">
        <v>4</v>
      </c>
      <c r="C2338" s="19" t="n">
        <v>0</v>
      </c>
      <c r="D2338" s="19" t="n">
        <v>0.2974</v>
      </c>
      <c r="E2338" s="20" t="n">
        <f aca="false">Parametres!$B$5*C2338</f>
        <v>0</v>
      </c>
      <c r="F2338" s="20" t="n">
        <f aca="false">Parametres!$B$6*D2338</f>
        <v>59.48</v>
      </c>
      <c r="G2338" s="20" t="n">
        <f aca="false">E2338+F2338</f>
        <v>59.48</v>
      </c>
      <c r="H2338" s="20" t="n">
        <f aca="false">IF(G2338&lt;Parametres!$B$8*Parametres!$B$7,0,MIN(G2338,Parametres!$B$7))</f>
        <v>59.48</v>
      </c>
      <c r="I2338" s="20" t="n">
        <f aca="false">G2338-H2338</f>
        <v>0</v>
      </c>
      <c r="J2338" s="21" t="n">
        <f aca="false">H2338*1000/Parametres!$B$9</f>
        <v>1008.64846532135</v>
      </c>
    </row>
    <row r="2339" customFormat="false" ht="15" hidden="false" customHeight="false" outlineLevel="0" collapsed="false">
      <c r="A2339" s="0" t="n">
        <v>2335</v>
      </c>
      <c r="B2339" s="0" t="n">
        <v>4</v>
      </c>
      <c r="C2339" s="19" t="n">
        <v>0.1552</v>
      </c>
      <c r="D2339" s="19" t="n">
        <v>0.3966</v>
      </c>
      <c r="E2339" s="20" t="n">
        <f aca="false">Parametres!$B$5*C2339</f>
        <v>46.56</v>
      </c>
      <c r="F2339" s="20" t="n">
        <f aca="false">Parametres!$B$6*D2339</f>
        <v>79.32</v>
      </c>
      <c r="G2339" s="20" t="n">
        <f aca="false">E2339+F2339</f>
        <v>125.88</v>
      </c>
      <c r="H2339" s="20" t="n">
        <f aca="false">IF(G2339&lt;Parametres!$B$8*Parametres!$B$7,0,MIN(G2339,Parametres!$B$7))</f>
        <v>125.88</v>
      </c>
      <c r="I2339" s="20" t="n">
        <f aca="false">G2339-H2339</f>
        <v>0</v>
      </c>
      <c r="J2339" s="21" t="n">
        <f aca="false">H2339*1000/Parametres!$B$9</f>
        <v>2134.64473461082</v>
      </c>
    </row>
    <row r="2340" customFormat="false" ht="15" hidden="false" customHeight="false" outlineLevel="0" collapsed="false">
      <c r="A2340" s="0" t="n">
        <v>2336</v>
      </c>
      <c r="B2340" s="0" t="n">
        <v>4</v>
      </c>
      <c r="C2340" s="19" t="n">
        <v>0.4306</v>
      </c>
      <c r="D2340" s="19" t="n">
        <v>0.3352</v>
      </c>
      <c r="E2340" s="20" t="n">
        <f aca="false">Parametres!$B$5*C2340</f>
        <v>129.18</v>
      </c>
      <c r="F2340" s="20" t="n">
        <f aca="false">Parametres!$B$6*D2340</f>
        <v>67.04</v>
      </c>
      <c r="G2340" s="20" t="n">
        <f aca="false">E2340+F2340</f>
        <v>196.22</v>
      </c>
      <c r="H2340" s="20" t="n">
        <f aca="false">IF(G2340&lt;Parametres!$B$8*Parametres!$B$7,0,MIN(G2340,Parametres!$B$7))</f>
        <v>196.22</v>
      </c>
      <c r="I2340" s="20" t="n">
        <f aca="false">G2340-H2340</f>
        <v>0</v>
      </c>
      <c r="J2340" s="21" t="n">
        <f aca="false">H2340*1000/Parametres!$B$9</f>
        <v>3327.4546379515</v>
      </c>
    </row>
    <row r="2341" customFormat="false" ht="15" hidden="false" customHeight="false" outlineLevel="0" collapsed="false">
      <c r="A2341" s="0" t="n">
        <v>2337</v>
      </c>
      <c r="B2341" s="0" t="n">
        <v>4</v>
      </c>
      <c r="C2341" s="19" t="n">
        <v>0.6921</v>
      </c>
      <c r="D2341" s="19" t="n">
        <v>0.3302</v>
      </c>
      <c r="E2341" s="20" t="n">
        <f aca="false">Parametres!$B$5*C2341</f>
        <v>207.63</v>
      </c>
      <c r="F2341" s="20" t="n">
        <f aca="false">Parametres!$B$6*D2341</f>
        <v>66.04</v>
      </c>
      <c r="G2341" s="20" t="n">
        <f aca="false">E2341+F2341</f>
        <v>273.67</v>
      </c>
      <c r="H2341" s="20" t="n">
        <f aca="false">IF(G2341&lt;Parametres!$B$8*Parametres!$B$7,0,MIN(G2341,Parametres!$B$7))</f>
        <v>250</v>
      </c>
      <c r="I2341" s="20" t="n">
        <f aca="false">G2341-H2341</f>
        <v>23.67</v>
      </c>
      <c r="J2341" s="21" t="n">
        <f aca="false">H2341*1000/Parametres!$B$9</f>
        <v>4239.44378497541</v>
      </c>
    </row>
    <row r="2342" customFormat="false" ht="15" hidden="false" customHeight="false" outlineLevel="0" collapsed="false">
      <c r="A2342" s="0" t="n">
        <v>2338</v>
      </c>
      <c r="B2342" s="0" t="n">
        <v>4</v>
      </c>
      <c r="C2342" s="19" t="n">
        <v>0.9</v>
      </c>
      <c r="D2342" s="19" t="n">
        <v>0.2943</v>
      </c>
      <c r="E2342" s="20" t="n">
        <f aca="false">Parametres!$B$5*C2342</f>
        <v>270</v>
      </c>
      <c r="F2342" s="20" t="n">
        <f aca="false">Parametres!$B$6*D2342</f>
        <v>58.86</v>
      </c>
      <c r="G2342" s="20" t="n">
        <f aca="false">E2342+F2342</f>
        <v>328.86</v>
      </c>
      <c r="H2342" s="20" t="n">
        <f aca="false">IF(G2342&lt;Parametres!$B$8*Parametres!$B$7,0,MIN(G2342,Parametres!$B$7))</f>
        <v>250</v>
      </c>
      <c r="I2342" s="20" t="n">
        <f aca="false">G2342-H2342</f>
        <v>78.86</v>
      </c>
      <c r="J2342" s="21" t="n">
        <f aca="false">H2342*1000/Parametres!$B$9</f>
        <v>4239.44378497541</v>
      </c>
    </row>
    <row r="2343" customFormat="false" ht="15" hidden="false" customHeight="false" outlineLevel="0" collapsed="false">
      <c r="A2343" s="0" t="n">
        <v>2339</v>
      </c>
      <c r="B2343" s="0" t="n">
        <v>4</v>
      </c>
      <c r="C2343" s="19" t="n">
        <v>1</v>
      </c>
      <c r="D2343" s="19" t="n">
        <v>0.4972</v>
      </c>
      <c r="E2343" s="20" t="n">
        <f aca="false">Parametres!$B$5*C2343</f>
        <v>300</v>
      </c>
      <c r="F2343" s="20" t="n">
        <f aca="false">Parametres!$B$6*D2343</f>
        <v>99.44</v>
      </c>
      <c r="G2343" s="20" t="n">
        <f aca="false">E2343+F2343</f>
        <v>399.44</v>
      </c>
      <c r="H2343" s="20" t="n">
        <f aca="false">IF(G2343&lt;Parametres!$B$8*Parametres!$B$7,0,MIN(G2343,Parametres!$B$7))</f>
        <v>250</v>
      </c>
      <c r="I2343" s="20" t="n">
        <f aca="false">G2343-H2343</f>
        <v>149.44</v>
      </c>
      <c r="J2343" s="21" t="n">
        <f aca="false">H2343*1000/Parametres!$B$9</f>
        <v>4239.44378497541</v>
      </c>
    </row>
    <row r="2344" customFormat="false" ht="15" hidden="false" customHeight="false" outlineLevel="0" collapsed="false">
      <c r="A2344" s="0" t="n">
        <v>2340</v>
      </c>
      <c r="B2344" s="0" t="n">
        <v>4</v>
      </c>
      <c r="C2344" s="19" t="n">
        <v>1</v>
      </c>
      <c r="D2344" s="19" t="n">
        <v>0.6935</v>
      </c>
      <c r="E2344" s="20" t="n">
        <f aca="false">Parametres!$B$5*C2344</f>
        <v>300</v>
      </c>
      <c r="F2344" s="20" t="n">
        <f aca="false">Parametres!$B$6*D2344</f>
        <v>138.7</v>
      </c>
      <c r="G2344" s="20" t="n">
        <f aca="false">E2344+F2344</f>
        <v>438.7</v>
      </c>
      <c r="H2344" s="20" t="n">
        <f aca="false">IF(G2344&lt;Parametres!$B$8*Parametres!$B$7,0,MIN(G2344,Parametres!$B$7))</f>
        <v>250</v>
      </c>
      <c r="I2344" s="20" t="n">
        <f aca="false">G2344-H2344</f>
        <v>188.7</v>
      </c>
      <c r="J2344" s="21" t="n">
        <f aca="false">H2344*1000/Parametres!$B$9</f>
        <v>4239.44378497541</v>
      </c>
    </row>
    <row r="2345" customFormat="false" ht="15" hidden="false" customHeight="false" outlineLevel="0" collapsed="false">
      <c r="A2345" s="0" t="n">
        <v>2341</v>
      </c>
      <c r="B2345" s="0" t="n">
        <v>4</v>
      </c>
      <c r="C2345" s="19" t="n">
        <v>1</v>
      </c>
      <c r="D2345" s="19" t="n">
        <v>1</v>
      </c>
      <c r="E2345" s="20" t="n">
        <f aca="false">Parametres!$B$5*C2345</f>
        <v>300</v>
      </c>
      <c r="F2345" s="20" t="n">
        <f aca="false">Parametres!$B$6*D2345</f>
        <v>200</v>
      </c>
      <c r="G2345" s="20" t="n">
        <f aca="false">E2345+F2345</f>
        <v>500</v>
      </c>
      <c r="H2345" s="20" t="n">
        <f aca="false">IF(G2345&lt;Parametres!$B$8*Parametres!$B$7,0,MIN(G2345,Parametres!$B$7))</f>
        <v>250</v>
      </c>
      <c r="I2345" s="20" t="n">
        <f aca="false">G2345-H2345</f>
        <v>250</v>
      </c>
      <c r="J2345" s="21" t="n">
        <f aca="false">H2345*1000/Parametres!$B$9</f>
        <v>4239.44378497541</v>
      </c>
    </row>
    <row r="2346" customFormat="false" ht="15" hidden="false" customHeight="false" outlineLevel="0" collapsed="false">
      <c r="A2346" s="0" t="n">
        <v>2342</v>
      </c>
      <c r="B2346" s="0" t="n">
        <v>4</v>
      </c>
      <c r="C2346" s="19" t="n">
        <v>1</v>
      </c>
      <c r="D2346" s="19" t="n">
        <v>0.8527</v>
      </c>
      <c r="E2346" s="20" t="n">
        <f aca="false">Parametres!$B$5*C2346</f>
        <v>300</v>
      </c>
      <c r="F2346" s="20" t="n">
        <f aca="false">Parametres!$B$6*D2346</f>
        <v>170.54</v>
      </c>
      <c r="G2346" s="20" t="n">
        <f aca="false">E2346+F2346</f>
        <v>470.54</v>
      </c>
      <c r="H2346" s="20" t="n">
        <f aca="false">IF(G2346&lt;Parametres!$B$8*Parametres!$B$7,0,MIN(G2346,Parametres!$B$7))</f>
        <v>250</v>
      </c>
      <c r="I2346" s="20" t="n">
        <f aca="false">G2346-H2346</f>
        <v>220.54</v>
      </c>
      <c r="J2346" s="21" t="n">
        <f aca="false">H2346*1000/Parametres!$B$9</f>
        <v>4239.44378497541</v>
      </c>
    </row>
    <row r="2347" customFormat="false" ht="15" hidden="false" customHeight="false" outlineLevel="0" collapsed="false">
      <c r="A2347" s="0" t="n">
        <v>2343</v>
      </c>
      <c r="B2347" s="0" t="n">
        <v>4</v>
      </c>
      <c r="C2347" s="19" t="n">
        <v>0.9724</v>
      </c>
      <c r="D2347" s="19" t="n">
        <v>1</v>
      </c>
      <c r="E2347" s="20" t="n">
        <f aca="false">Parametres!$B$5*C2347</f>
        <v>291.72</v>
      </c>
      <c r="F2347" s="20" t="n">
        <f aca="false">Parametres!$B$6*D2347</f>
        <v>200</v>
      </c>
      <c r="G2347" s="20" t="n">
        <f aca="false">E2347+F2347</f>
        <v>491.72</v>
      </c>
      <c r="H2347" s="20" t="n">
        <f aca="false">IF(G2347&lt;Parametres!$B$8*Parametres!$B$7,0,MIN(G2347,Parametres!$B$7))</f>
        <v>250</v>
      </c>
      <c r="I2347" s="20" t="n">
        <f aca="false">G2347-H2347</f>
        <v>241.72</v>
      </c>
      <c r="J2347" s="21" t="n">
        <f aca="false">H2347*1000/Parametres!$B$9</f>
        <v>4239.44378497541</v>
      </c>
    </row>
    <row r="2348" customFormat="false" ht="15" hidden="false" customHeight="false" outlineLevel="0" collapsed="false">
      <c r="A2348" s="0" t="n">
        <v>2344</v>
      </c>
      <c r="B2348" s="0" t="n">
        <v>4</v>
      </c>
      <c r="C2348" s="19" t="n">
        <v>0.6533</v>
      </c>
      <c r="D2348" s="19" t="n">
        <v>1</v>
      </c>
      <c r="E2348" s="20" t="n">
        <f aca="false">Parametres!$B$5*C2348</f>
        <v>195.99</v>
      </c>
      <c r="F2348" s="20" t="n">
        <f aca="false">Parametres!$B$6*D2348</f>
        <v>200</v>
      </c>
      <c r="G2348" s="20" t="n">
        <f aca="false">E2348+F2348</f>
        <v>395.99</v>
      </c>
      <c r="H2348" s="20" t="n">
        <f aca="false">IF(G2348&lt;Parametres!$B$8*Parametres!$B$7,0,MIN(G2348,Parametres!$B$7))</f>
        <v>250</v>
      </c>
      <c r="I2348" s="20" t="n">
        <f aca="false">G2348-H2348</f>
        <v>145.99</v>
      </c>
      <c r="J2348" s="21" t="n">
        <f aca="false">H2348*1000/Parametres!$B$9</f>
        <v>4239.44378497541</v>
      </c>
    </row>
    <row r="2349" customFormat="false" ht="15" hidden="false" customHeight="false" outlineLevel="0" collapsed="false">
      <c r="A2349" s="0" t="n">
        <v>2345</v>
      </c>
      <c r="B2349" s="0" t="n">
        <v>4</v>
      </c>
      <c r="C2349" s="19" t="n">
        <v>0.4193</v>
      </c>
      <c r="D2349" s="19" t="n">
        <v>1</v>
      </c>
      <c r="E2349" s="20" t="n">
        <f aca="false">Parametres!$B$5*C2349</f>
        <v>125.79</v>
      </c>
      <c r="F2349" s="20" t="n">
        <f aca="false">Parametres!$B$6*D2349</f>
        <v>200</v>
      </c>
      <c r="G2349" s="20" t="n">
        <f aca="false">E2349+F2349</f>
        <v>325.79</v>
      </c>
      <c r="H2349" s="20" t="n">
        <f aca="false">IF(G2349&lt;Parametres!$B$8*Parametres!$B$7,0,MIN(G2349,Parametres!$B$7))</f>
        <v>250</v>
      </c>
      <c r="I2349" s="20" t="n">
        <f aca="false">G2349-H2349</f>
        <v>75.79</v>
      </c>
      <c r="J2349" s="21" t="n">
        <f aca="false">H2349*1000/Parametres!$B$9</f>
        <v>4239.44378497541</v>
      </c>
    </row>
    <row r="2350" customFormat="false" ht="15" hidden="false" customHeight="false" outlineLevel="0" collapsed="false">
      <c r="A2350" s="0" t="n">
        <v>2346</v>
      </c>
      <c r="B2350" s="0" t="n">
        <v>4</v>
      </c>
      <c r="C2350" s="19" t="n">
        <v>0.1557</v>
      </c>
      <c r="D2350" s="19" t="n">
        <v>1</v>
      </c>
      <c r="E2350" s="20" t="n">
        <f aca="false">Parametres!$B$5*C2350</f>
        <v>46.71</v>
      </c>
      <c r="F2350" s="20" t="n">
        <f aca="false">Parametres!$B$6*D2350</f>
        <v>200</v>
      </c>
      <c r="G2350" s="20" t="n">
        <f aca="false">E2350+F2350</f>
        <v>246.71</v>
      </c>
      <c r="H2350" s="20" t="n">
        <f aca="false">IF(G2350&lt;Parametres!$B$8*Parametres!$B$7,0,MIN(G2350,Parametres!$B$7))</f>
        <v>246.71</v>
      </c>
      <c r="I2350" s="20" t="n">
        <f aca="false">G2350-H2350</f>
        <v>0</v>
      </c>
      <c r="J2350" s="21" t="n">
        <f aca="false">H2350*1000/Parametres!$B$9</f>
        <v>4183.65270476514</v>
      </c>
    </row>
    <row r="2351" customFormat="false" ht="15" hidden="false" customHeight="false" outlineLevel="0" collapsed="false">
      <c r="A2351" s="0" t="n">
        <v>2347</v>
      </c>
      <c r="B2351" s="0" t="n">
        <v>4</v>
      </c>
      <c r="C2351" s="19" t="n">
        <v>0</v>
      </c>
      <c r="D2351" s="19" t="n">
        <v>1</v>
      </c>
      <c r="E2351" s="20" t="n">
        <f aca="false">Parametres!$B$5*C2351</f>
        <v>0</v>
      </c>
      <c r="F2351" s="20" t="n">
        <f aca="false">Parametres!$B$6*D2351</f>
        <v>200</v>
      </c>
      <c r="G2351" s="20" t="n">
        <f aca="false">E2351+F2351</f>
        <v>200</v>
      </c>
      <c r="H2351" s="20" t="n">
        <f aca="false">IF(G2351&lt;Parametres!$B$8*Parametres!$B$7,0,MIN(G2351,Parametres!$B$7))</f>
        <v>200</v>
      </c>
      <c r="I2351" s="20" t="n">
        <f aca="false">G2351-H2351</f>
        <v>0</v>
      </c>
      <c r="J2351" s="21" t="n">
        <f aca="false">H2351*1000/Parametres!$B$9</f>
        <v>3391.55502798033</v>
      </c>
    </row>
    <row r="2352" customFormat="false" ht="15" hidden="false" customHeight="false" outlineLevel="0" collapsed="false">
      <c r="A2352" s="0" t="n">
        <v>2348</v>
      </c>
      <c r="B2352" s="0" t="n">
        <v>4</v>
      </c>
      <c r="C2352" s="19" t="n">
        <v>0</v>
      </c>
      <c r="D2352" s="19" t="n">
        <v>1</v>
      </c>
      <c r="E2352" s="20" t="n">
        <f aca="false">Parametres!$B$5*C2352</f>
        <v>0</v>
      </c>
      <c r="F2352" s="20" t="n">
        <f aca="false">Parametres!$B$6*D2352</f>
        <v>200</v>
      </c>
      <c r="G2352" s="20" t="n">
        <f aca="false">E2352+F2352</f>
        <v>200</v>
      </c>
      <c r="H2352" s="20" t="n">
        <f aca="false">IF(G2352&lt;Parametres!$B$8*Parametres!$B$7,0,MIN(G2352,Parametres!$B$7))</f>
        <v>200</v>
      </c>
      <c r="I2352" s="20" t="n">
        <f aca="false">G2352-H2352</f>
        <v>0</v>
      </c>
      <c r="J2352" s="21" t="n">
        <f aca="false">H2352*1000/Parametres!$B$9</f>
        <v>3391.55502798033</v>
      </c>
    </row>
    <row r="2353" customFormat="false" ht="15" hidden="false" customHeight="false" outlineLevel="0" collapsed="false">
      <c r="A2353" s="0" t="n">
        <v>2349</v>
      </c>
      <c r="B2353" s="0" t="n">
        <v>4</v>
      </c>
      <c r="C2353" s="19" t="n">
        <v>0</v>
      </c>
      <c r="D2353" s="19" t="n">
        <v>1</v>
      </c>
      <c r="E2353" s="20" t="n">
        <f aca="false">Parametres!$B$5*C2353</f>
        <v>0</v>
      </c>
      <c r="F2353" s="20" t="n">
        <f aca="false">Parametres!$B$6*D2353</f>
        <v>200</v>
      </c>
      <c r="G2353" s="20" t="n">
        <f aca="false">E2353+F2353</f>
        <v>200</v>
      </c>
      <c r="H2353" s="20" t="n">
        <f aca="false">IF(G2353&lt;Parametres!$B$8*Parametres!$B$7,0,MIN(G2353,Parametres!$B$7))</f>
        <v>200</v>
      </c>
      <c r="I2353" s="20" t="n">
        <f aca="false">G2353-H2353</f>
        <v>0</v>
      </c>
      <c r="J2353" s="21" t="n">
        <f aca="false">H2353*1000/Parametres!$B$9</f>
        <v>3391.55502798033</v>
      </c>
    </row>
    <row r="2354" customFormat="false" ht="15" hidden="false" customHeight="false" outlineLevel="0" collapsed="false">
      <c r="A2354" s="0" t="n">
        <v>2350</v>
      </c>
      <c r="B2354" s="0" t="n">
        <v>4</v>
      </c>
      <c r="C2354" s="19" t="n">
        <v>0</v>
      </c>
      <c r="D2354" s="19" t="n">
        <v>0.9255</v>
      </c>
      <c r="E2354" s="20" t="n">
        <f aca="false">Parametres!$B$5*C2354</f>
        <v>0</v>
      </c>
      <c r="F2354" s="20" t="n">
        <f aca="false">Parametres!$B$6*D2354</f>
        <v>185.1</v>
      </c>
      <c r="G2354" s="20" t="n">
        <f aca="false">E2354+F2354</f>
        <v>185.1</v>
      </c>
      <c r="H2354" s="20" t="n">
        <f aca="false">IF(G2354&lt;Parametres!$B$8*Parametres!$B$7,0,MIN(G2354,Parametres!$B$7))</f>
        <v>185.1</v>
      </c>
      <c r="I2354" s="20" t="n">
        <f aca="false">G2354-H2354</f>
        <v>0</v>
      </c>
      <c r="J2354" s="21" t="n">
        <f aca="false">H2354*1000/Parametres!$B$9</f>
        <v>3138.88417839579</v>
      </c>
    </row>
    <row r="2355" customFormat="false" ht="15" hidden="false" customHeight="false" outlineLevel="0" collapsed="false">
      <c r="A2355" s="0" t="n">
        <v>2351</v>
      </c>
      <c r="B2355" s="0" t="n">
        <v>4</v>
      </c>
      <c r="C2355" s="19" t="n">
        <v>0</v>
      </c>
      <c r="D2355" s="19" t="n">
        <v>1</v>
      </c>
      <c r="E2355" s="20" t="n">
        <f aca="false">Parametres!$B$5*C2355</f>
        <v>0</v>
      </c>
      <c r="F2355" s="20" t="n">
        <f aca="false">Parametres!$B$6*D2355</f>
        <v>200</v>
      </c>
      <c r="G2355" s="20" t="n">
        <f aca="false">E2355+F2355</f>
        <v>200</v>
      </c>
      <c r="H2355" s="20" t="n">
        <f aca="false">IF(G2355&lt;Parametres!$B$8*Parametres!$B$7,0,MIN(G2355,Parametres!$B$7))</f>
        <v>200</v>
      </c>
      <c r="I2355" s="20" t="n">
        <f aca="false">G2355-H2355</f>
        <v>0</v>
      </c>
      <c r="J2355" s="21" t="n">
        <f aca="false">H2355*1000/Parametres!$B$9</f>
        <v>3391.55502798033</v>
      </c>
    </row>
    <row r="2356" customFormat="false" ht="15" hidden="false" customHeight="false" outlineLevel="0" collapsed="false">
      <c r="A2356" s="0" t="n">
        <v>2352</v>
      </c>
      <c r="B2356" s="0" t="n">
        <v>4</v>
      </c>
      <c r="C2356" s="19" t="n">
        <v>0</v>
      </c>
      <c r="D2356" s="19" t="n">
        <v>1</v>
      </c>
      <c r="E2356" s="20" t="n">
        <f aca="false">Parametres!$B$5*C2356</f>
        <v>0</v>
      </c>
      <c r="F2356" s="20" t="n">
        <f aca="false">Parametres!$B$6*D2356</f>
        <v>200</v>
      </c>
      <c r="G2356" s="20" t="n">
        <f aca="false">E2356+F2356</f>
        <v>200</v>
      </c>
      <c r="H2356" s="20" t="n">
        <f aca="false">IF(G2356&lt;Parametres!$B$8*Parametres!$B$7,0,MIN(G2356,Parametres!$B$7))</f>
        <v>200</v>
      </c>
      <c r="I2356" s="20" t="n">
        <f aca="false">G2356-H2356</f>
        <v>0</v>
      </c>
      <c r="J2356" s="21" t="n">
        <f aca="false">H2356*1000/Parametres!$B$9</f>
        <v>3391.55502798033</v>
      </c>
    </row>
    <row r="2357" customFormat="false" ht="15" hidden="false" customHeight="false" outlineLevel="0" collapsed="false">
      <c r="A2357" s="0" t="n">
        <v>2353</v>
      </c>
      <c r="B2357" s="0" t="n">
        <v>4</v>
      </c>
      <c r="C2357" s="19" t="n">
        <v>0</v>
      </c>
      <c r="D2357" s="19" t="n">
        <v>0.9099</v>
      </c>
      <c r="E2357" s="20" t="n">
        <f aca="false">Parametres!$B$5*C2357</f>
        <v>0</v>
      </c>
      <c r="F2357" s="20" t="n">
        <f aca="false">Parametres!$B$6*D2357</f>
        <v>181.98</v>
      </c>
      <c r="G2357" s="20" t="n">
        <f aca="false">E2357+F2357</f>
        <v>181.98</v>
      </c>
      <c r="H2357" s="20" t="n">
        <f aca="false">IF(G2357&lt;Parametres!$B$8*Parametres!$B$7,0,MIN(G2357,Parametres!$B$7))</f>
        <v>181.98</v>
      </c>
      <c r="I2357" s="20" t="n">
        <f aca="false">G2357-H2357</f>
        <v>0</v>
      </c>
      <c r="J2357" s="21" t="n">
        <f aca="false">H2357*1000/Parametres!$B$9</f>
        <v>3085.9759199593</v>
      </c>
    </row>
    <row r="2358" customFormat="false" ht="15" hidden="false" customHeight="false" outlineLevel="0" collapsed="false">
      <c r="A2358" s="0" t="n">
        <v>2354</v>
      </c>
      <c r="B2358" s="0" t="n">
        <v>4</v>
      </c>
      <c r="C2358" s="19" t="n">
        <v>0</v>
      </c>
      <c r="D2358" s="19" t="n">
        <v>0.7058</v>
      </c>
      <c r="E2358" s="20" t="n">
        <f aca="false">Parametres!$B$5*C2358</f>
        <v>0</v>
      </c>
      <c r="F2358" s="20" t="n">
        <f aca="false">Parametres!$B$6*D2358</f>
        <v>141.16</v>
      </c>
      <c r="G2358" s="20" t="n">
        <f aca="false">E2358+F2358</f>
        <v>141.16</v>
      </c>
      <c r="H2358" s="20" t="n">
        <f aca="false">IF(G2358&lt;Parametres!$B$8*Parametres!$B$7,0,MIN(G2358,Parametres!$B$7))</f>
        <v>141.16</v>
      </c>
      <c r="I2358" s="20" t="n">
        <f aca="false">G2358-H2358</f>
        <v>0</v>
      </c>
      <c r="J2358" s="21" t="n">
        <f aca="false">H2358*1000/Parametres!$B$9</f>
        <v>2393.75953874852</v>
      </c>
    </row>
    <row r="2359" customFormat="false" ht="15" hidden="false" customHeight="false" outlineLevel="0" collapsed="false">
      <c r="A2359" s="0" t="n">
        <v>2355</v>
      </c>
      <c r="B2359" s="0" t="n">
        <v>4</v>
      </c>
      <c r="C2359" s="19" t="n">
        <v>0</v>
      </c>
      <c r="D2359" s="19" t="n">
        <v>0.5762</v>
      </c>
      <c r="E2359" s="20" t="n">
        <f aca="false">Parametres!$B$5*C2359</f>
        <v>0</v>
      </c>
      <c r="F2359" s="20" t="n">
        <f aca="false">Parametres!$B$6*D2359</f>
        <v>115.24</v>
      </c>
      <c r="G2359" s="20" t="n">
        <f aca="false">E2359+F2359</f>
        <v>115.24</v>
      </c>
      <c r="H2359" s="20" t="n">
        <f aca="false">IF(G2359&lt;Parametres!$B$8*Parametres!$B$7,0,MIN(G2359,Parametres!$B$7))</f>
        <v>115.24</v>
      </c>
      <c r="I2359" s="20" t="n">
        <f aca="false">G2359-H2359</f>
        <v>0</v>
      </c>
      <c r="J2359" s="21" t="n">
        <f aca="false">H2359*1000/Parametres!$B$9</f>
        <v>1954.21400712227</v>
      </c>
    </row>
    <row r="2360" customFormat="false" ht="15" hidden="false" customHeight="false" outlineLevel="0" collapsed="false">
      <c r="A2360" s="0" t="n">
        <v>2356</v>
      </c>
      <c r="B2360" s="0" t="n">
        <v>4</v>
      </c>
      <c r="C2360" s="19" t="n">
        <v>0</v>
      </c>
      <c r="D2360" s="19" t="n">
        <v>0.5138</v>
      </c>
      <c r="E2360" s="20" t="n">
        <f aca="false">Parametres!$B$5*C2360</f>
        <v>0</v>
      </c>
      <c r="F2360" s="20" t="n">
        <f aca="false">Parametres!$B$6*D2360</f>
        <v>102.76</v>
      </c>
      <c r="G2360" s="20" t="n">
        <f aca="false">E2360+F2360</f>
        <v>102.76</v>
      </c>
      <c r="H2360" s="20" t="n">
        <f aca="false">IF(G2360&lt;Parametres!$B$8*Parametres!$B$7,0,MIN(G2360,Parametres!$B$7))</f>
        <v>102.76</v>
      </c>
      <c r="I2360" s="20" t="n">
        <f aca="false">G2360-H2360</f>
        <v>0</v>
      </c>
      <c r="J2360" s="21" t="n">
        <f aca="false">H2360*1000/Parametres!$B$9</f>
        <v>1742.58097337629</v>
      </c>
    </row>
    <row r="2361" customFormat="false" ht="15" hidden="false" customHeight="false" outlineLevel="0" collapsed="false">
      <c r="A2361" s="0" t="n">
        <v>2357</v>
      </c>
      <c r="B2361" s="0" t="n">
        <v>4</v>
      </c>
      <c r="C2361" s="19" t="n">
        <v>0</v>
      </c>
      <c r="D2361" s="19" t="n">
        <v>0.8117</v>
      </c>
      <c r="E2361" s="20" t="n">
        <f aca="false">Parametres!$B$5*C2361</f>
        <v>0</v>
      </c>
      <c r="F2361" s="20" t="n">
        <f aca="false">Parametres!$B$6*D2361</f>
        <v>162.34</v>
      </c>
      <c r="G2361" s="20" t="n">
        <f aca="false">E2361+F2361</f>
        <v>162.34</v>
      </c>
      <c r="H2361" s="20" t="n">
        <f aca="false">IF(G2361&lt;Parametres!$B$8*Parametres!$B$7,0,MIN(G2361,Parametres!$B$7))</f>
        <v>162.34</v>
      </c>
      <c r="I2361" s="20" t="n">
        <f aca="false">G2361-H2361</f>
        <v>0</v>
      </c>
      <c r="J2361" s="21" t="n">
        <f aca="false">H2361*1000/Parametres!$B$9</f>
        <v>2752.92521621163</v>
      </c>
    </row>
    <row r="2362" customFormat="false" ht="15" hidden="false" customHeight="false" outlineLevel="0" collapsed="false">
      <c r="A2362" s="0" t="n">
        <v>2358</v>
      </c>
      <c r="B2362" s="0" t="n">
        <v>4</v>
      </c>
      <c r="C2362" s="19" t="n">
        <v>0</v>
      </c>
      <c r="D2362" s="19" t="n">
        <v>1</v>
      </c>
      <c r="E2362" s="20" t="n">
        <f aca="false">Parametres!$B$5*C2362</f>
        <v>0</v>
      </c>
      <c r="F2362" s="20" t="n">
        <f aca="false">Parametres!$B$6*D2362</f>
        <v>200</v>
      </c>
      <c r="G2362" s="20" t="n">
        <f aca="false">E2362+F2362</f>
        <v>200</v>
      </c>
      <c r="H2362" s="20" t="n">
        <f aca="false">IF(G2362&lt;Parametres!$B$8*Parametres!$B$7,0,MIN(G2362,Parametres!$B$7))</f>
        <v>200</v>
      </c>
      <c r="I2362" s="20" t="n">
        <f aca="false">G2362-H2362</f>
        <v>0</v>
      </c>
      <c r="J2362" s="21" t="n">
        <f aca="false">H2362*1000/Parametres!$B$9</f>
        <v>3391.55502798033</v>
      </c>
    </row>
    <row r="2363" customFormat="false" ht="15" hidden="false" customHeight="false" outlineLevel="0" collapsed="false">
      <c r="A2363" s="0" t="n">
        <v>2359</v>
      </c>
      <c r="B2363" s="0" t="n">
        <v>4</v>
      </c>
      <c r="C2363" s="19" t="n">
        <v>0.1352</v>
      </c>
      <c r="D2363" s="19" t="n">
        <v>1</v>
      </c>
      <c r="E2363" s="20" t="n">
        <f aca="false">Parametres!$B$5*C2363</f>
        <v>40.56</v>
      </c>
      <c r="F2363" s="20" t="n">
        <f aca="false">Parametres!$B$6*D2363</f>
        <v>200</v>
      </c>
      <c r="G2363" s="20" t="n">
        <f aca="false">E2363+F2363</f>
        <v>240.56</v>
      </c>
      <c r="H2363" s="20" t="n">
        <f aca="false">IF(G2363&lt;Parametres!$B$8*Parametres!$B$7,0,MIN(G2363,Parametres!$B$7))</f>
        <v>240.56</v>
      </c>
      <c r="I2363" s="20" t="n">
        <f aca="false">G2363-H2363</f>
        <v>0</v>
      </c>
      <c r="J2363" s="21" t="n">
        <f aca="false">H2363*1000/Parametres!$B$9</f>
        <v>4079.36238765474</v>
      </c>
    </row>
    <row r="2364" customFormat="false" ht="15" hidden="false" customHeight="false" outlineLevel="0" collapsed="false">
      <c r="A2364" s="0" t="n">
        <v>2360</v>
      </c>
      <c r="B2364" s="0" t="n">
        <v>4</v>
      </c>
      <c r="C2364" s="19" t="n">
        <v>0.3597</v>
      </c>
      <c r="D2364" s="19" t="n">
        <v>1</v>
      </c>
      <c r="E2364" s="20" t="n">
        <f aca="false">Parametres!$B$5*C2364</f>
        <v>107.91</v>
      </c>
      <c r="F2364" s="20" t="n">
        <f aca="false">Parametres!$B$6*D2364</f>
        <v>200</v>
      </c>
      <c r="G2364" s="20" t="n">
        <f aca="false">E2364+F2364</f>
        <v>307.91</v>
      </c>
      <c r="H2364" s="20" t="n">
        <f aca="false">IF(G2364&lt;Parametres!$B$8*Parametres!$B$7,0,MIN(G2364,Parametres!$B$7))</f>
        <v>250</v>
      </c>
      <c r="I2364" s="20" t="n">
        <f aca="false">G2364-H2364</f>
        <v>57.91</v>
      </c>
      <c r="J2364" s="21" t="n">
        <f aca="false">H2364*1000/Parametres!$B$9</f>
        <v>4239.44378497541</v>
      </c>
    </row>
    <row r="2365" customFormat="false" ht="15" hidden="false" customHeight="false" outlineLevel="0" collapsed="false">
      <c r="A2365" s="0" t="n">
        <v>2361</v>
      </c>
      <c r="B2365" s="0" t="n">
        <v>4</v>
      </c>
      <c r="C2365" s="19" t="n">
        <v>0.5232</v>
      </c>
      <c r="D2365" s="19" t="n">
        <v>1</v>
      </c>
      <c r="E2365" s="20" t="n">
        <f aca="false">Parametres!$B$5*C2365</f>
        <v>156.96</v>
      </c>
      <c r="F2365" s="20" t="n">
        <f aca="false">Parametres!$B$6*D2365</f>
        <v>200</v>
      </c>
      <c r="G2365" s="20" t="n">
        <f aca="false">E2365+F2365</f>
        <v>356.96</v>
      </c>
      <c r="H2365" s="20" t="n">
        <f aca="false">IF(G2365&lt;Parametres!$B$8*Parametres!$B$7,0,MIN(G2365,Parametres!$B$7))</f>
        <v>250</v>
      </c>
      <c r="I2365" s="20" t="n">
        <f aca="false">G2365-H2365</f>
        <v>106.96</v>
      </c>
      <c r="J2365" s="21" t="n">
        <f aca="false">H2365*1000/Parametres!$B$9</f>
        <v>4239.44378497541</v>
      </c>
    </row>
    <row r="2366" customFormat="false" ht="15" hidden="false" customHeight="false" outlineLevel="0" collapsed="false">
      <c r="A2366" s="0" t="n">
        <v>2362</v>
      </c>
      <c r="B2366" s="0" t="n">
        <v>4</v>
      </c>
      <c r="C2366" s="19" t="n">
        <v>0.7454</v>
      </c>
      <c r="D2366" s="19" t="n">
        <v>1</v>
      </c>
      <c r="E2366" s="20" t="n">
        <f aca="false">Parametres!$B$5*C2366</f>
        <v>223.62</v>
      </c>
      <c r="F2366" s="20" t="n">
        <f aca="false">Parametres!$B$6*D2366</f>
        <v>200</v>
      </c>
      <c r="G2366" s="20" t="n">
        <f aca="false">E2366+F2366</f>
        <v>423.62</v>
      </c>
      <c r="H2366" s="20" t="n">
        <f aca="false">IF(G2366&lt;Parametres!$B$8*Parametres!$B$7,0,MIN(G2366,Parametres!$B$7))</f>
        <v>250</v>
      </c>
      <c r="I2366" s="20" t="n">
        <f aca="false">G2366-H2366</f>
        <v>173.62</v>
      </c>
      <c r="J2366" s="21" t="n">
        <f aca="false">H2366*1000/Parametres!$B$9</f>
        <v>4239.44378497541</v>
      </c>
    </row>
    <row r="2367" customFormat="false" ht="15" hidden="false" customHeight="false" outlineLevel="0" collapsed="false">
      <c r="A2367" s="0" t="n">
        <v>2363</v>
      </c>
      <c r="B2367" s="0" t="n">
        <v>4</v>
      </c>
      <c r="C2367" s="19" t="n">
        <v>0.8352</v>
      </c>
      <c r="D2367" s="19" t="n">
        <v>1</v>
      </c>
      <c r="E2367" s="20" t="n">
        <f aca="false">Parametres!$B$5*C2367</f>
        <v>250.56</v>
      </c>
      <c r="F2367" s="20" t="n">
        <f aca="false">Parametres!$B$6*D2367</f>
        <v>200</v>
      </c>
      <c r="G2367" s="20" t="n">
        <f aca="false">E2367+F2367</f>
        <v>450.56</v>
      </c>
      <c r="H2367" s="20" t="n">
        <f aca="false">IF(G2367&lt;Parametres!$B$8*Parametres!$B$7,0,MIN(G2367,Parametres!$B$7))</f>
        <v>250</v>
      </c>
      <c r="I2367" s="20" t="n">
        <f aca="false">G2367-H2367</f>
        <v>200.56</v>
      </c>
      <c r="J2367" s="21" t="n">
        <f aca="false">H2367*1000/Parametres!$B$9</f>
        <v>4239.44378497541</v>
      </c>
    </row>
    <row r="2368" customFormat="false" ht="15" hidden="false" customHeight="false" outlineLevel="0" collapsed="false">
      <c r="A2368" s="0" t="n">
        <v>2364</v>
      </c>
      <c r="B2368" s="0" t="n">
        <v>4</v>
      </c>
      <c r="C2368" s="19" t="n">
        <v>0.8546</v>
      </c>
      <c r="D2368" s="19" t="n">
        <v>1</v>
      </c>
      <c r="E2368" s="20" t="n">
        <f aca="false">Parametres!$B$5*C2368</f>
        <v>256.38</v>
      </c>
      <c r="F2368" s="20" t="n">
        <f aca="false">Parametres!$B$6*D2368</f>
        <v>200</v>
      </c>
      <c r="G2368" s="20" t="n">
        <f aca="false">E2368+F2368</f>
        <v>456.38</v>
      </c>
      <c r="H2368" s="20" t="n">
        <f aca="false">IF(G2368&lt;Parametres!$B$8*Parametres!$B$7,0,MIN(G2368,Parametres!$B$7))</f>
        <v>250</v>
      </c>
      <c r="I2368" s="20" t="n">
        <f aca="false">G2368-H2368</f>
        <v>206.38</v>
      </c>
      <c r="J2368" s="21" t="n">
        <f aca="false">H2368*1000/Parametres!$B$9</f>
        <v>4239.44378497541</v>
      </c>
    </row>
    <row r="2369" customFormat="false" ht="15" hidden="false" customHeight="false" outlineLevel="0" collapsed="false">
      <c r="A2369" s="0" t="n">
        <v>2365</v>
      </c>
      <c r="B2369" s="0" t="n">
        <v>4</v>
      </c>
      <c r="C2369" s="19" t="n">
        <v>0.8955</v>
      </c>
      <c r="D2369" s="19" t="n">
        <v>1</v>
      </c>
      <c r="E2369" s="20" t="n">
        <f aca="false">Parametres!$B$5*C2369</f>
        <v>268.65</v>
      </c>
      <c r="F2369" s="20" t="n">
        <f aca="false">Parametres!$B$6*D2369</f>
        <v>200</v>
      </c>
      <c r="G2369" s="20" t="n">
        <f aca="false">E2369+F2369</f>
        <v>468.65</v>
      </c>
      <c r="H2369" s="20" t="n">
        <f aca="false">IF(G2369&lt;Parametres!$B$8*Parametres!$B$7,0,MIN(G2369,Parametres!$B$7))</f>
        <v>250</v>
      </c>
      <c r="I2369" s="20" t="n">
        <f aca="false">G2369-H2369</f>
        <v>218.65</v>
      </c>
      <c r="J2369" s="21" t="n">
        <f aca="false">H2369*1000/Parametres!$B$9</f>
        <v>4239.44378497541</v>
      </c>
    </row>
    <row r="2370" customFormat="false" ht="15" hidden="false" customHeight="false" outlineLevel="0" collapsed="false">
      <c r="A2370" s="0" t="n">
        <v>2366</v>
      </c>
      <c r="B2370" s="0" t="n">
        <v>4</v>
      </c>
      <c r="C2370" s="19" t="n">
        <v>0.8784</v>
      </c>
      <c r="D2370" s="19" t="n">
        <v>1</v>
      </c>
      <c r="E2370" s="20" t="n">
        <f aca="false">Parametres!$B$5*C2370</f>
        <v>263.52</v>
      </c>
      <c r="F2370" s="20" t="n">
        <f aca="false">Parametres!$B$6*D2370</f>
        <v>200</v>
      </c>
      <c r="G2370" s="20" t="n">
        <f aca="false">E2370+F2370</f>
        <v>463.52</v>
      </c>
      <c r="H2370" s="20" t="n">
        <f aca="false">IF(G2370&lt;Parametres!$B$8*Parametres!$B$7,0,MIN(G2370,Parametres!$B$7))</f>
        <v>250</v>
      </c>
      <c r="I2370" s="20" t="n">
        <f aca="false">G2370-H2370</f>
        <v>213.52</v>
      </c>
      <c r="J2370" s="21" t="n">
        <f aca="false">H2370*1000/Parametres!$B$9</f>
        <v>4239.44378497541</v>
      </c>
    </row>
    <row r="2371" customFormat="false" ht="15" hidden="false" customHeight="false" outlineLevel="0" collapsed="false">
      <c r="A2371" s="0" t="n">
        <v>2367</v>
      </c>
      <c r="B2371" s="0" t="n">
        <v>4</v>
      </c>
      <c r="C2371" s="19" t="n">
        <v>0.7365</v>
      </c>
      <c r="D2371" s="19" t="n">
        <v>1</v>
      </c>
      <c r="E2371" s="20" t="n">
        <f aca="false">Parametres!$B$5*C2371</f>
        <v>220.95</v>
      </c>
      <c r="F2371" s="20" t="n">
        <f aca="false">Parametres!$B$6*D2371</f>
        <v>200</v>
      </c>
      <c r="G2371" s="20" t="n">
        <f aca="false">E2371+F2371</f>
        <v>420.95</v>
      </c>
      <c r="H2371" s="20" t="n">
        <f aca="false">IF(G2371&lt;Parametres!$B$8*Parametres!$B$7,0,MIN(G2371,Parametres!$B$7))</f>
        <v>250</v>
      </c>
      <c r="I2371" s="20" t="n">
        <f aca="false">G2371-H2371</f>
        <v>170.95</v>
      </c>
      <c r="J2371" s="21" t="n">
        <f aca="false">H2371*1000/Parametres!$B$9</f>
        <v>4239.44378497541</v>
      </c>
    </row>
    <row r="2372" customFormat="false" ht="15" hidden="false" customHeight="false" outlineLevel="0" collapsed="false">
      <c r="A2372" s="0" t="n">
        <v>2368</v>
      </c>
      <c r="B2372" s="0" t="n">
        <v>4</v>
      </c>
      <c r="C2372" s="19" t="n">
        <v>0.5262</v>
      </c>
      <c r="D2372" s="19" t="n">
        <v>1</v>
      </c>
      <c r="E2372" s="20" t="n">
        <f aca="false">Parametres!$B$5*C2372</f>
        <v>157.86</v>
      </c>
      <c r="F2372" s="20" t="n">
        <f aca="false">Parametres!$B$6*D2372</f>
        <v>200</v>
      </c>
      <c r="G2372" s="20" t="n">
        <f aca="false">E2372+F2372</f>
        <v>357.86</v>
      </c>
      <c r="H2372" s="20" t="n">
        <f aca="false">IF(G2372&lt;Parametres!$B$8*Parametres!$B$7,0,MIN(G2372,Parametres!$B$7))</f>
        <v>250</v>
      </c>
      <c r="I2372" s="20" t="n">
        <f aca="false">G2372-H2372</f>
        <v>107.86</v>
      </c>
      <c r="J2372" s="21" t="n">
        <f aca="false">H2372*1000/Parametres!$B$9</f>
        <v>4239.44378497541</v>
      </c>
    </row>
    <row r="2373" customFormat="false" ht="15" hidden="false" customHeight="false" outlineLevel="0" collapsed="false">
      <c r="A2373" s="0" t="n">
        <v>2369</v>
      </c>
      <c r="B2373" s="0" t="n">
        <v>4</v>
      </c>
      <c r="C2373" s="19" t="n">
        <v>0.3654</v>
      </c>
      <c r="D2373" s="19" t="n">
        <v>1</v>
      </c>
      <c r="E2373" s="20" t="n">
        <f aca="false">Parametres!$B$5*C2373</f>
        <v>109.62</v>
      </c>
      <c r="F2373" s="20" t="n">
        <f aca="false">Parametres!$B$6*D2373</f>
        <v>200</v>
      </c>
      <c r="G2373" s="20" t="n">
        <f aca="false">E2373+F2373</f>
        <v>309.62</v>
      </c>
      <c r="H2373" s="20" t="n">
        <f aca="false">IF(G2373&lt;Parametres!$B$8*Parametres!$B$7,0,MIN(G2373,Parametres!$B$7))</f>
        <v>250</v>
      </c>
      <c r="I2373" s="20" t="n">
        <f aca="false">G2373-H2373</f>
        <v>59.62</v>
      </c>
      <c r="J2373" s="21" t="n">
        <f aca="false">H2373*1000/Parametres!$B$9</f>
        <v>4239.44378497541</v>
      </c>
    </row>
    <row r="2374" customFormat="false" ht="15" hidden="false" customHeight="false" outlineLevel="0" collapsed="false">
      <c r="A2374" s="0" t="n">
        <v>2370</v>
      </c>
      <c r="B2374" s="0" t="n">
        <v>4</v>
      </c>
      <c r="C2374" s="19" t="n">
        <v>0.1337</v>
      </c>
      <c r="D2374" s="19" t="n">
        <v>1</v>
      </c>
      <c r="E2374" s="20" t="n">
        <f aca="false">Parametres!$B$5*C2374</f>
        <v>40.11</v>
      </c>
      <c r="F2374" s="20" t="n">
        <f aca="false">Parametres!$B$6*D2374</f>
        <v>200</v>
      </c>
      <c r="G2374" s="20" t="n">
        <f aca="false">E2374+F2374</f>
        <v>240.11</v>
      </c>
      <c r="H2374" s="20" t="n">
        <f aca="false">IF(G2374&lt;Parametres!$B$8*Parametres!$B$7,0,MIN(G2374,Parametres!$B$7))</f>
        <v>240.11</v>
      </c>
      <c r="I2374" s="20" t="n">
        <f aca="false">G2374-H2374</f>
        <v>0</v>
      </c>
      <c r="J2374" s="21" t="n">
        <f aca="false">H2374*1000/Parametres!$B$9</f>
        <v>4071.73138884178</v>
      </c>
    </row>
    <row r="2375" customFormat="false" ht="15" hidden="false" customHeight="false" outlineLevel="0" collapsed="false">
      <c r="A2375" s="0" t="n">
        <v>2371</v>
      </c>
      <c r="B2375" s="0" t="n">
        <v>4</v>
      </c>
      <c r="C2375" s="19" t="n">
        <v>0</v>
      </c>
      <c r="D2375" s="19" t="n">
        <v>1</v>
      </c>
      <c r="E2375" s="20" t="n">
        <f aca="false">Parametres!$B$5*C2375</f>
        <v>0</v>
      </c>
      <c r="F2375" s="20" t="n">
        <f aca="false">Parametres!$B$6*D2375</f>
        <v>200</v>
      </c>
      <c r="G2375" s="20" t="n">
        <f aca="false">E2375+F2375</f>
        <v>200</v>
      </c>
      <c r="H2375" s="20" t="n">
        <f aca="false">IF(G2375&lt;Parametres!$B$8*Parametres!$B$7,0,MIN(G2375,Parametres!$B$7))</f>
        <v>200</v>
      </c>
      <c r="I2375" s="20" t="n">
        <f aca="false">G2375-H2375</f>
        <v>0</v>
      </c>
      <c r="J2375" s="21" t="n">
        <f aca="false">H2375*1000/Parametres!$B$9</f>
        <v>3391.55502798033</v>
      </c>
    </row>
    <row r="2376" customFormat="false" ht="15" hidden="false" customHeight="false" outlineLevel="0" collapsed="false">
      <c r="A2376" s="0" t="n">
        <v>2372</v>
      </c>
      <c r="B2376" s="0" t="n">
        <v>4</v>
      </c>
      <c r="C2376" s="19" t="n">
        <v>0</v>
      </c>
      <c r="D2376" s="19" t="n">
        <v>1</v>
      </c>
      <c r="E2376" s="20" t="n">
        <f aca="false">Parametres!$B$5*C2376</f>
        <v>0</v>
      </c>
      <c r="F2376" s="20" t="n">
        <f aca="false">Parametres!$B$6*D2376</f>
        <v>200</v>
      </c>
      <c r="G2376" s="20" t="n">
        <f aca="false">E2376+F2376</f>
        <v>200</v>
      </c>
      <c r="H2376" s="20" t="n">
        <f aca="false">IF(G2376&lt;Parametres!$B$8*Parametres!$B$7,0,MIN(G2376,Parametres!$B$7))</f>
        <v>200</v>
      </c>
      <c r="I2376" s="20" t="n">
        <f aca="false">G2376-H2376</f>
        <v>0</v>
      </c>
      <c r="J2376" s="21" t="n">
        <f aca="false">H2376*1000/Parametres!$B$9</f>
        <v>3391.55502798033</v>
      </c>
    </row>
    <row r="2377" customFormat="false" ht="15" hidden="false" customHeight="false" outlineLevel="0" collapsed="false">
      <c r="A2377" s="0" t="n">
        <v>2373</v>
      </c>
      <c r="B2377" s="0" t="n">
        <v>4</v>
      </c>
      <c r="C2377" s="19" t="n">
        <v>0</v>
      </c>
      <c r="D2377" s="19" t="n">
        <v>1</v>
      </c>
      <c r="E2377" s="20" t="n">
        <f aca="false">Parametres!$B$5*C2377</f>
        <v>0</v>
      </c>
      <c r="F2377" s="20" t="n">
        <f aca="false">Parametres!$B$6*D2377</f>
        <v>200</v>
      </c>
      <c r="G2377" s="20" t="n">
        <f aca="false">E2377+F2377</f>
        <v>200</v>
      </c>
      <c r="H2377" s="20" t="n">
        <f aca="false">IF(G2377&lt;Parametres!$B$8*Parametres!$B$7,0,MIN(G2377,Parametres!$B$7))</f>
        <v>200</v>
      </c>
      <c r="I2377" s="20" t="n">
        <f aca="false">G2377-H2377</f>
        <v>0</v>
      </c>
      <c r="J2377" s="21" t="n">
        <f aca="false">H2377*1000/Parametres!$B$9</f>
        <v>3391.55502798033</v>
      </c>
    </row>
    <row r="2378" customFormat="false" ht="15" hidden="false" customHeight="false" outlineLevel="0" collapsed="false">
      <c r="A2378" s="0" t="n">
        <v>2374</v>
      </c>
      <c r="B2378" s="0" t="n">
        <v>4</v>
      </c>
      <c r="C2378" s="19" t="n">
        <v>0</v>
      </c>
      <c r="D2378" s="19" t="n">
        <v>1</v>
      </c>
      <c r="E2378" s="20" t="n">
        <f aca="false">Parametres!$B$5*C2378</f>
        <v>0</v>
      </c>
      <c r="F2378" s="20" t="n">
        <f aca="false">Parametres!$B$6*D2378</f>
        <v>200</v>
      </c>
      <c r="G2378" s="20" t="n">
        <f aca="false">E2378+F2378</f>
        <v>200</v>
      </c>
      <c r="H2378" s="20" t="n">
        <f aca="false">IF(G2378&lt;Parametres!$B$8*Parametres!$B$7,0,MIN(G2378,Parametres!$B$7))</f>
        <v>200</v>
      </c>
      <c r="I2378" s="20" t="n">
        <f aca="false">G2378-H2378</f>
        <v>0</v>
      </c>
      <c r="J2378" s="21" t="n">
        <f aca="false">H2378*1000/Parametres!$B$9</f>
        <v>3391.55502798033</v>
      </c>
    </row>
    <row r="2379" customFormat="false" ht="15" hidden="false" customHeight="false" outlineLevel="0" collapsed="false">
      <c r="A2379" s="0" t="n">
        <v>2375</v>
      </c>
      <c r="B2379" s="0" t="n">
        <v>4</v>
      </c>
      <c r="C2379" s="19" t="n">
        <v>0</v>
      </c>
      <c r="D2379" s="19" t="n">
        <v>1</v>
      </c>
      <c r="E2379" s="20" t="n">
        <f aca="false">Parametres!$B$5*C2379</f>
        <v>0</v>
      </c>
      <c r="F2379" s="20" t="n">
        <f aca="false">Parametres!$B$6*D2379</f>
        <v>200</v>
      </c>
      <c r="G2379" s="20" t="n">
        <f aca="false">E2379+F2379</f>
        <v>200</v>
      </c>
      <c r="H2379" s="20" t="n">
        <f aca="false">IF(G2379&lt;Parametres!$B$8*Parametres!$B$7,0,MIN(G2379,Parametres!$B$7))</f>
        <v>200</v>
      </c>
      <c r="I2379" s="20" t="n">
        <f aca="false">G2379-H2379</f>
        <v>0</v>
      </c>
      <c r="J2379" s="21" t="n">
        <f aca="false">H2379*1000/Parametres!$B$9</f>
        <v>3391.55502798033</v>
      </c>
    </row>
    <row r="2380" customFormat="false" ht="15" hidden="false" customHeight="false" outlineLevel="0" collapsed="false">
      <c r="A2380" s="0" t="n">
        <v>2376</v>
      </c>
      <c r="B2380" s="0" t="n">
        <v>4</v>
      </c>
      <c r="C2380" s="19" t="n">
        <v>0</v>
      </c>
      <c r="D2380" s="19" t="n">
        <v>1</v>
      </c>
      <c r="E2380" s="20" t="n">
        <f aca="false">Parametres!$B$5*C2380</f>
        <v>0</v>
      </c>
      <c r="F2380" s="20" t="n">
        <f aca="false">Parametres!$B$6*D2380</f>
        <v>200</v>
      </c>
      <c r="G2380" s="20" t="n">
        <f aca="false">E2380+F2380</f>
        <v>200</v>
      </c>
      <c r="H2380" s="20" t="n">
        <f aca="false">IF(G2380&lt;Parametres!$B$8*Parametres!$B$7,0,MIN(G2380,Parametres!$B$7))</f>
        <v>200</v>
      </c>
      <c r="I2380" s="20" t="n">
        <f aca="false">G2380-H2380</f>
        <v>0</v>
      </c>
      <c r="J2380" s="21" t="n">
        <f aca="false">H2380*1000/Parametres!$B$9</f>
        <v>3391.55502798033</v>
      </c>
    </row>
    <row r="2381" customFormat="false" ht="15" hidden="false" customHeight="false" outlineLevel="0" collapsed="false">
      <c r="A2381" s="0" t="n">
        <v>2377</v>
      </c>
      <c r="B2381" s="0" t="n">
        <v>4</v>
      </c>
      <c r="C2381" s="19" t="n">
        <v>0</v>
      </c>
      <c r="D2381" s="19" t="n">
        <v>0.769</v>
      </c>
      <c r="E2381" s="20" t="n">
        <f aca="false">Parametres!$B$5*C2381</f>
        <v>0</v>
      </c>
      <c r="F2381" s="20" t="n">
        <f aca="false">Parametres!$B$6*D2381</f>
        <v>153.8</v>
      </c>
      <c r="G2381" s="20" t="n">
        <f aca="false">E2381+F2381</f>
        <v>153.8</v>
      </c>
      <c r="H2381" s="20" t="n">
        <f aca="false">IF(G2381&lt;Parametres!$B$8*Parametres!$B$7,0,MIN(G2381,Parametres!$B$7))</f>
        <v>153.8</v>
      </c>
      <c r="I2381" s="20" t="n">
        <f aca="false">G2381-H2381</f>
        <v>0</v>
      </c>
      <c r="J2381" s="21" t="n">
        <f aca="false">H2381*1000/Parametres!$B$9</f>
        <v>2608.10581651687</v>
      </c>
    </row>
    <row r="2382" customFormat="false" ht="15" hidden="false" customHeight="false" outlineLevel="0" collapsed="false">
      <c r="A2382" s="0" t="n">
        <v>2378</v>
      </c>
      <c r="B2382" s="0" t="n">
        <v>4</v>
      </c>
      <c r="C2382" s="19" t="n">
        <v>0</v>
      </c>
      <c r="D2382" s="19" t="n">
        <v>0.5924</v>
      </c>
      <c r="E2382" s="20" t="n">
        <f aca="false">Parametres!$B$5*C2382</f>
        <v>0</v>
      </c>
      <c r="F2382" s="20" t="n">
        <f aca="false">Parametres!$B$6*D2382</f>
        <v>118.48</v>
      </c>
      <c r="G2382" s="20" t="n">
        <f aca="false">E2382+F2382</f>
        <v>118.48</v>
      </c>
      <c r="H2382" s="20" t="n">
        <f aca="false">IF(G2382&lt;Parametres!$B$8*Parametres!$B$7,0,MIN(G2382,Parametres!$B$7))</f>
        <v>118.48</v>
      </c>
      <c r="I2382" s="20" t="n">
        <f aca="false">G2382-H2382</f>
        <v>0</v>
      </c>
      <c r="J2382" s="21" t="n">
        <f aca="false">H2382*1000/Parametres!$B$9</f>
        <v>2009.15719857555</v>
      </c>
    </row>
    <row r="2383" customFormat="false" ht="15" hidden="false" customHeight="false" outlineLevel="0" collapsed="false">
      <c r="A2383" s="0" t="n">
        <v>2379</v>
      </c>
      <c r="B2383" s="0" t="n">
        <v>4</v>
      </c>
      <c r="C2383" s="19" t="n">
        <v>0</v>
      </c>
      <c r="D2383" s="19" t="n">
        <v>0.44</v>
      </c>
      <c r="E2383" s="20" t="n">
        <f aca="false">Parametres!$B$5*C2383</f>
        <v>0</v>
      </c>
      <c r="F2383" s="20" t="n">
        <f aca="false">Parametres!$B$6*D2383</f>
        <v>88</v>
      </c>
      <c r="G2383" s="20" t="n">
        <f aca="false">E2383+F2383</f>
        <v>88</v>
      </c>
      <c r="H2383" s="20" t="n">
        <f aca="false">IF(G2383&lt;Parametres!$B$8*Parametres!$B$7,0,MIN(G2383,Parametres!$B$7))</f>
        <v>88</v>
      </c>
      <c r="I2383" s="20" t="n">
        <f aca="false">G2383-H2383</f>
        <v>0</v>
      </c>
      <c r="J2383" s="21" t="n">
        <f aca="false">H2383*1000/Parametres!$B$9</f>
        <v>1492.28421231134</v>
      </c>
    </row>
    <row r="2384" customFormat="false" ht="15" hidden="false" customHeight="false" outlineLevel="0" collapsed="false">
      <c r="A2384" s="0" t="n">
        <v>2380</v>
      </c>
      <c r="B2384" s="0" t="n">
        <v>4</v>
      </c>
      <c r="C2384" s="19" t="n">
        <v>0</v>
      </c>
      <c r="D2384" s="19" t="n">
        <v>0.4902</v>
      </c>
      <c r="E2384" s="20" t="n">
        <f aca="false">Parametres!$B$5*C2384</f>
        <v>0</v>
      </c>
      <c r="F2384" s="20" t="n">
        <f aca="false">Parametres!$B$6*D2384</f>
        <v>98.04</v>
      </c>
      <c r="G2384" s="20" t="n">
        <f aca="false">E2384+F2384</f>
        <v>98.04</v>
      </c>
      <c r="H2384" s="20" t="n">
        <f aca="false">IF(G2384&lt;Parametres!$B$8*Parametres!$B$7,0,MIN(G2384,Parametres!$B$7))</f>
        <v>98.04</v>
      </c>
      <c r="I2384" s="20" t="n">
        <f aca="false">G2384-H2384</f>
        <v>0</v>
      </c>
      <c r="J2384" s="21" t="n">
        <f aca="false">H2384*1000/Parametres!$B$9</f>
        <v>1662.54027471596</v>
      </c>
    </row>
    <row r="2385" customFormat="false" ht="15" hidden="false" customHeight="false" outlineLevel="0" collapsed="false">
      <c r="A2385" s="0" t="n">
        <v>2381</v>
      </c>
      <c r="B2385" s="0" t="n">
        <v>4</v>
      </c>
      <c r="C2385" s="19" t="n">
        <v>0</v>
      </c>
      <c r="D2385" s="19" t="n">
        <v>0.3729</v>
      </c>
      <c r="E2385" s="20" t="n">
        <f aca="false">Parametres!$B$5*C2385</f>
        <v>0</v>
      </c>
      <c r="F2385" s="20" t="n">
        <f aca="false">Parametres!$B$6*D2385</f>
        <v>74.58</v>
      </c>
      <c r="G2385" s="20" t="n">
        <f aca="false">E2385+F2385</f>
        <v>74.58</v>
      </c>
      <c r="H2385" s="20" t="n">
        <f aca="false">IF(G2385&lt;Parametres!$B$8*Parametres!$B$7,0,MIN(G2385,Parametres!$B$7))</f>
        <v>74.58</v>
      </c>
      <c r="I2385" s="20" t="n">
        <f aca="false">G2385-H2385</f>
        <v>0</v>
      </c>
      <c r="J2385" s="21" t="n">
        <f aca="false">H2385*1000/Parametres!$B$9</f>
        <v>1264.71086993386</v>
      </c>
    </row>
    <row r="2386" customFormat="false" ht="15" hidden="false" customHeight="false" outlineLevel="0" collapsed="false">
      <c r="A2386" s="0" t="n">
        <v>2382</v>
      </c>
      <c r="B2386" s="0" t="n">
        <v>4</v>
      </c>
      <c r="C2386" s="19" t="n">
        <v>0</v>
      </c>
      <c r="D2386" s="19" t="n">
        <v>0.3152</v>
      </c>
      <c r="E2386" s="20" t="n">
        <f aca="false">Parametres!$B$5*C2386</f>
        <v>0</v>
      </c>
      <c r="F2386" s="20" t="n">
        <f aca="false">Parametres!$B$6*D2386</f>
        <v>63.04</v>
      </c>
      <c r="G2386" s="20" t="n">
        <f aca="false">E2386+F2386</f>
        <v>63.04</v>
      </c>
      <c r="H2386" s="20" t="n">
        <f aca="false">IF(G2386&lt;Parametres!$B$8*Parametres!$B$7,0,MIN(G2386,Parametres!$B$7))</f>
        <v>63.04</v>
      </c>
      <c r="I2386" s="20" t="n">
        <f aca="false">G2386-H2386</f>
        <v>0</v>
      </c>
      <c r="J2386" s="21" t="n">
        <f aca="false">H2386*1000/Parametres!$B$9</f>
        <v>1069.0181448194</v>
      </c>
    </row>
    <row r="2387" customFormat="false" ht="15" hidden="false" customHeight="false" outlineLevel="0" collapsed="false">
      <c r="A2387" s="0" t="n">
        <v>2383</v>
      </c>
      <c r="B2387" s="0" t="n">
        <v>4</v>
      </c>
      <c r="C2387" s="19" t="n">
        <v>0.1742</v>
      </c>
      <c r="D2387" s="19" t="n">
        <v>0.2173</v>
      </c>
      <c r="E2387" s="20" t="n">
        <f aca="false">Parametres!$B$5*C2387</f>
        <v>52.26</v>
      </c>
      <c r="F2387" s="20" t="n">
        <f aca="false">Parametres!$B$6*D2387</f>
        <v>43.46</v>
      </c>
      <c r="G2387" s="20" t="n">
        <f aca="false">E2387+F2387</f>
        <v>95.72</v>
      </c>
      <c r="H2387" s="20" t="n">
        <f aca="false">IF(G2387&lt;Parametres!$B$8*Parametres!$B$7,0,MIN(G2387,Parametres!$B$7))</f>
        <v>95.72</v>
      </c>
      <c r="I2387" s="20" t="n">
        <f aca="false">G2387-H2387</f>
        <v>0</v>
      </c>
      <c r="J2387" s="21" t="n">
        <f aca="false">H2387*1000/Parametres!$B$9</f>
        <v>1623.19823639139</v>
      </c>
    </row>
    <row r="2388" customFormat="false" ht="15" hidden="false" customHeight="false" outlineLevel="0" collapsed="false">
      <c r="A2388" s="0" t="n">
        <v>2384</v>
      </c>
      <c r="B2388" s="0" t="n">
        <v>4</v>
      </c>
      <c r="C2388" s="19" t="n">
        <v>0.4353</v>
      </c>
      <c r="D2388" s="19" t="n">
        <v>0.1455</v>
      </c>
      <c r="E2388" s="20" t="n">
        <f aca="false">Parametres!$B$5*C2388</f>
        <v>130.59</v>
      </c>
      <c r="F2388" s="20" t="n">
        <f aca="false">Parametres!$B$6*D2388</f>
        <v>29.1</v>
      </c>
      <c r="G2388" s="20" t="n">
        <f aca="false">E2388+F2388</f>
        <v>159.69</v>
      </c>
      <c r="H2388" s="20" t="n">
        <f aca="false">IF(G2388&lt;Parametres!$B$8*Parametres!$B$7,0,MIN(G2388,Parametres!$B$7))</f>
        <v>159.69</v>
      </c>
      <c r="I2388" s="20" t="n">
        <f aca="false">G2388-H2388</f>
        <v>0</v>
      </c>
      <c r="J2388" s="21" t="n">
        <f aca="false">H2388*1000/Parametres!$B$9</f>
        <v>2707.98711209089</v>
      </c>
    </row>
    <row r="2389" customFormat="false" ht="15" hidden="false" customHeight="false" outlineLevel="0" collapsed="false">
      <c r="A2389" s="0" t="n">
        <v>2385</v>
      </c>
      <c r="B2389" s="0" t="n">
        <v>4</v>
      </c>
      <c r="C2389" s="19" t="n">
        <v>0.7433</v>
      </c>
      <c r="D2389" s="19" t="n">
        <v>0.1079</v>
      </c>
      <c r="E2389" s="20" t="n">
        <f aca="false">Parametres!$B$5*C2389</f>
        <v>222.99</v>
      </c>
      <c r="F2389" s="20" t="n">
        <f aca="false">Parametres!$B$6*D2389</f>
        <v>21.58</v>
      </c>
      <c r="G2389" s="20" t="n">
        <f aca="false">E2389+F2389</f>
        <v>244.57</v>
      </c>
      <c r="H2389" s="20" t="n">
        <f aca="false">IF(G2389&lt;Parametres!$B$8*Parametres!$B$7,0,MIN(G2389,Parametres!$B$7))</f>
        <v>244.57</v>
      </c>
      <c r="I2389" s="20" t="n">
        <f aca="false">G2389-H2389</f>
        <v>0</v>
      </c>
      <c r="J2389" s="21" t="n">
        <f aca="false">H2389*1000/Parametres!$B$9</f>
        <v>4147.36306596575</v>
      </c>
    </row>
    <row r="2390" customFormat="false" ht="15" hidden="false" customHeight="false" outlineLevel="0" collapsed="false">
      <c r="A2390" s="0" t="n">
        <v>2386</v>
      </c>
      <c r="B2390" s="0" t="n">
        <v>4</v>
      </c>
      <c r="C2390" s="19" t="n">
        <v>0.8938</v>
      </c>
      <c r="D2390" s="19" t="n">
        <v>0.1943</v>
      </c>
      <c r="E2390" s="20" t="n">
        <f aca="false">Parametres!$B$5*C2390</f>
        <v>268.14</v>
      </c>
      <c r="F2390" s="20" t="n">
        <f aca="false">Parametres!$B$6*D2390</f>
        <v>38.86</v>
      </c>
      <c r="G2390" s="20" t="n">
        <f aca="false">E2390+F2390</f>
        <v>307</v>
      </c>
      <c r="H2390" s="20" t="n">
        <f aca="false">IF(G2390&lt;Parametres!$B$8*Parametres!$B$7,0,MIN(G2390,Parametres!$B$7))</f>
        <v>250</v>
      </c>
      <c r="I2390" s="20" t="n">
        <f aca="false">G2390-H2390</f>
        <v>57</v>
      </c>
      <c r="J2390" s="21" t="n">
        <f aca="false">H2390*1000/Parametres!$B$9</f>
        <v>4239.44378497541</v>
      </c>
    </row>
    <row r="2391" customFormat="false" ht="15" hidden="false" customHeight="false" outlineLevel="0" collapsed="false">
      <c r="A2391" s="0" t="n">
        <v>2387</v>
      </c>
      <c r="B2391" s="0" t="n">
        <v>4</v>
      </c>
      <c r="C2391" s="19" t="n">
        <v>1</v>
      </c>
      <c r="D2391" s="19" t="n">
        <v>0.1404</v>
      </c>
      <c r="E2391" s="20" t="n">
        <f aca="false">Parametres!$B$5*C2391</f>
        <v>300</v>
      </c>
      <c r="F2391" s="20" t="n">
        <f aca="false">Parametres!$B$6*D2391</f>
        <v>28.08</v>
      </c>
      <c r="G2391" s="20" t="n">
        <f aca="false">E2391+F2391</f>
        <v>328.08</v>
      </c>
      <c r="H2391" s="20" t="n">
        <f aca="false">IF(G2391&lt;Parametres!$B$8*Parametres!$B$7,0,MIN(G2391,Parametres!$B$7))</f>
        <v>250</v>
      </c>
      <c r="I2391" s="20" t="n">
        <f aca="false">G2391-H2391</f>
        <v>78.08</v>
      </c>
      <c r="J2391" s="21" t="n">
        <f aca="false">H2391*1000/Parametres!$B$9</f>
        <v>4239.44378497541</v>
      </c>
    </row>
    <row r="2392" customFormat="false" ht="15" hidden="false" customHeight="false" outlineLevel="0" collapsed="false">
      <c r="A2392" s="0" t="n">
        <v>2388</v>
      </c>
      <c r="B2392" s="0" t="n">
        <v>4</v>
      </c>
      <c r="C2392" s="19" t="n">
        <v>1</v>
      </c>
      <c r="D2392" s="19" t="n">
        <v>0.0434</v>
      </c>
      <c r="E2392" s="20" t="n">
        <f aca="false">Parametres!$B$5*C2392</f>
        <v>300</v>
      </c>
      <c r="F2392" s="20" t="n">
        <f aca="false">Parametres!$B$6*D2392</f>
        <v>8.68</v>
      </c>
      <c r="G2392" s="20" t="n">
        <f aca="false">E2392+F2392</f>
        <v>308.68</v>
      </c>
      <c r="H2392" s="20" t="n">
        <f aca="false">IF(G2392&lt;Parametres!$B$8*Parametres!$B$7,0,MIN(G2392,Parametres!$B$7))</f>
        <v>250</v>
      </c>
      <c r="I2392" s="20" t="n">
        <f aca="false">G2392-H2392</f>
        <v>58.68</v>
      </c>
      <c r="J2392" s="21" t="n">
        <f aca="false">H2392*1000/Parametres!$B$9</f>
        <v>4239.44378497541</v>
      </c>
    </row>
    <row r="2393" customFormat="false" ht="15" hidden="false" customHeight="false" outlineLevel="0" collapsed="false">
      <c r="A2393" s="0" t="n">
        <v>2389</v>
      </c>
      <c r="B2393" s="0" t="n">
        <v>4</v>
      </c>
      <c r="C2393" s="19" t="n">
        <v>1</v>
      </c>
      <c r="D2393" s="19" t="n">
        <v>0.0625</v>
      </c>
      <c r="E2393" s="20" t="n">
        <f aca="false">Parametres!$B$5*C2393</f>
        <v>300</v>
      </c>
      <c r="F2393" s="20" t="n">
        <f aca="false">Parametres!$B$6*D2393</f>
        <v>12.5</v>
      </c>
      <c r="G2393" s="20" t="n">
        <f aca="false">E2393+F2393</f>
        <v>312.5</v>
      </c>
      <c r="H2393" s="20" t="n">
        <f aca="false">IF(G2393&lt;Parametres!$B$8*Parametres!$B$7,0,MIN(G2393,Parametres!$B$7))</f>
        <v>250</v>
      </c>
      <c r="I2393" s="20" t="n">
        <f aca="false">G2393-H2393</f>
        <v>62.5</v>
      </c>
      <c r="J2393" s="21" t="n">
        <f aca="false">H2393*1000/Parametres!$B$9</f>
        <v>4239.44378497541</v>
      </c>
    </row>
    <row r="2394" customFormat="false" ht="15" hidden="false" customHeight="false" outlineLevel="0" collapsed="false">
      <c r="A2394" s="0" t="n">
        <v>2390</v>
      </c>
      <c r="B2394" s="0" t="n">
        <v>4</v>
      </c>
      <c r="C2394" s="19" t="n">
        <v>1</v>
      </c>
      <c r="D2394" s="19" t="n">
        <v>0.055</v>
      </c>
      <c r="E2394" s="20" t="n">
        <f aca="false">Parametres!$B$5*C2394</f>
        <v>300</v>
      </c>
      <c r="F2394" s="20" t="n">
        <f aca="false">Parametres!$B$6*D2394</f>
        <v>11</v>
      </c>
      <c r="G2394" s="20" t="n">
        <f aca="false">E2394+F2394</f>
        <v>311</v>
      </c>
      <c r="H2394" s="20" t="n">
        <f aca="false">IF(G2394&lt;Parametres!$B$8*Parametres!$B$7,0,MIN(G2394,Parametres!$B$7))</f>
        <v>250</v>
      </c>
      <c r="I2394" s="20" t="n">
        <f aca="false">G2394-H2394</f>
        <v>61</v>
      </c>
      <c r="J2394" s="21" t="n">
        <f aca="false">H2394*1000/Parametres!$B$9</f>
        <v>4239.44378497541</v>
      </c>
    </row>
    <row r="2395" customFormat="false" ht="15" hidden="false" customHeight="false" outlineLevel="0" collapsed="false">
      <c r="A2395" s="0" t="n">
        <v>2391</v>
      </c>
      <c r="B2395" s="0" t="n">
        <v>4</v>
      </c>
      <c r="C2395" s="19" t="n">
        <v>0.9152</v>
      </c>
      <c r="D2395" s="19" t="n">
        <v>0.0861</v>
      </c>
      <c r="E2395" s="20" t="n">
        <f aca="false">Parametres!$B$5*C2395</f>
        <v>274.56</v>
      </c>
      <c r="F2395" s="20" t="n">
        <f aca="false">Parametres!$B$6*D2395</f>
        <v>17.22</v>
      </c>
      <c r="G2395" s="20" t="n">
        <f aca="false">E2395+F2395</f>
        <v>291.78</v>
      </c>
      <c r="H2395" s="20" t="n">
        <f aca="false">IF(G2395&lt;Parametres!$B$8*Parametres!$B$7,0,MIN(G2395,Parametres!$B$7))</f>
        <v>250</v>
      </c>
      <c r="I2395" s="20" t="n">
        <f aca="false">G2395-H2395</f>
        <v>41.78</v>
      </c>
      <c r="J2395" s="21" t="n">
        <f aca="false">H2395*1000/Parametres!$B$9</f>
        <v>4239.44378497541</v>
      </c>
    </row>
    <row r="2396" customFormat="false" ht="15" hidden="false" customHeight="false" outlineLevel="0" collapsed="false">
      <c r="A2396" s="0" t="n">
        <v>2392</v>
      </c>
      <c r="B2396" s="0" t="n">
        <v>4</v>
      </c>
      <c r="C2396" s="19" t="n">
        <v>0.6968</v>
      </c>
      <c r="D2396" s="19" t="n">
        <v>0.1236</v>
      </c>
      <c r="E2396" s="20" t="n">
        <f aca="false">Parametres!$B$5*C2396</f>
        <v>209.04</v>
      </c>
      <c r="F2396" s="20" t="n">
        <f aca="false">Parametres!$B$6*D2396</f>
        <v>24.72</v>
      </c>
      <c r="G2396" s="20" t="n">
        <f aca="false">E2396+F2396</f>
        <v>233.76</v>
      </c>
      <c r="H2396" s="20" t="n">
        <f aca="false">IF(G2396&lt;Parametres!$B$8*Parametres!$B$7,0,MIN(G2396,Parametres!$B$7))</f>
        <v>233.76</v>
      </c>
      <c r="I2396" s="20" t="n">
        <f aca="false">G2396-H2396</f>
        <v>0</v>
      </c>
      <c r="J2396" s="21" t="n">
        <f aca="false">H2396*1000/Parametres!$B$9</f>
        <v>3964.04951670341</v>
      </c>
    </row>
    <row r="2397" customFormat="false" ht="15" hidden="false" customHeight="false" outlineLevel="0" collapsed="false">
      <c r="A2397" s="0" t="n">
        <v>2393</v>
      </c>
      <c r="B2397" s="0" t="n">
        <v>4</v>
      </c>
      <c r="C2397" s="19" t="n">
        <v>0.4661</v>
      </c>
      <c r="D2397" s="19" t="n">
        <v>0.1078</v>
      </c>
      <c r="E2397" s="20" t="n">
        <f aca="false">Parametres!$B$5*C2397</f>
        <v>139.83</v>
      </c>
      <c r="F2397" s="20" t="n">
        <f aca="false">Parametres!$B$6*D2397</f>
        <v>21.56</v>
      </c>
      <c r="G2397" s="20" t="n">
        <f aca="false">E2397+F2397</f>
        <v>161.39</v>
      </c>
      <c r="H2397" s="20" t="n">
        <f aca="false">IF(G2397&lt;Parametres!$B$8*Parametres!$B$7,0,MIN(G2397,Parametres!$B$7))</f>
        <v>161.39</v>
      </c>
      <c r="I2397" s="20" t="n">
        <f aca="false">G2397-H2397</f>
        <v>0</v>
      </c>
      <c r="J2397" s="21" t="n">
        <f aca="false">H2397*1000/Parametres!$B$9</f>
        <v>2736.81532982873</v>
      </c>
    </row>
    <row r="2398" customFormat="false" ht="15" hidden="false" customHeight="false" outlineLevel="0" collapsed="false">
      <c r="A2398" s="0" t="n">
        <v>2394</v>
      </c>
      <c r="B2398" s="0" t="n">
        <v>4</v>
      </c>
      <c r="C2398" s="19" t="n">
        <v>0.1756</v>
      </c>
      <c r="D2398" s="19" t="n">
        <v>0.0849</v>
      </c>
      <c r="E2398" s="20" t="n">
        <f aca="false">Parametres!$B$5*C2398</f>
        <v>52.68</v>
      </c>
      <c r="F2398" s="20" t="n">
        <f aca="false">Parametres!$B$6*D2398</f>
        <v>16.98</v>
      </c>
      <c r="G2398" s="20" t="n">
        <f aca="false">E2398+F2398</f>
        <v>69.66</v>
      </c>
      <c r="H2398" s="20" t="n">
        <f aca="false">IF(G2398&lt;Parametres!$B$8*Parametres!$B$7,0,MIN(G2398,Parametres!$B$7))</f>
        <v>69.66</v>
      </c>
      <c r="I2398" s="20" t="n">
        <f aca="false">G2398-H2398</f>
        <v>0</v>
      </c>
      <c r="J2398" s="21" t="n">
        <f aca="false">H2398*1000/Parametres!$B$9</f>
        <v>1181.27861624555</v>
      </c>
    </row>
    <row r="2399" customFormat="false" ht="15" hidden="false" customHeight="false" outlineLevel="0" collapsed="false">
      <c r="A2399" s="0" t="n">
        <v>2395</v>
      </c>
      <c r="B2399" s="0" t="n">
        <v>4</v>
      </c>
      <c r="C2399" s="19" t="n">
        <v>0</v>
      </c>
      <c r="D2399" s="19" t="n">
        <v>0.0585</v>
      </c>
      <c r="E2399" s="20" t="n">
        <f aca="false">Parametres!$B$5*C2399</f>
        <v>0</v>
      </c>
      <c r="F2399" s="20" t="n">
        <f aca="false">Parametres!$B$6*D2399</f>
        <v>11.7</v>
      </c>
      <c r="G2399" s="20" t="n">
        <f aca="false">E2399+F2399</f>
        <v>11.7</v>
      </c>
      <c r="H2399" s="20" t="n">
        <f aca="false">IF(G2399&lt;Parametres!$B$8*Parametres!$B$7,0,MIN(G2399,Parametres!$B$7))</f>
        <v>0</v>
      </c>
      <c r="I2399" s="20" t="n">
        <f aca="false">G2399-H2399</f>
        <v>11.7</v>
      </c>
      <c r="J2399" s="21" t="n">
        <f aca="false">H2399*1000/Parametres!$B$9</f>
        <v>0</v>
      </c>
    </row>
    <row r="2400" customFormat="false" ht="15" hidden="false" customHeight="false" outlineLevel="0" collapsed="false">
      <c r="A2400" s="0" t="n">
        <v>2396</v>
      </c>
      <c r="B2400" s="0" t="n">
        <v>4</v>
      </c>
      <c r="C2400" s="19" t="n">
        <v>0</v>
      </c>
      <c r="D2400" s="19" t="n">
        <v>0.054</v>
      </c>
      <c r="E2400" s="20" t="n">
        <f aca="false">Parametres!$B$5*C2400</f>
        <v>0</v>
      </c>
      <c r="F2400" s="20" t="n">
        <f aca="false">Parametres!$B$6*D2400</f>
        <v>10.8</v>
      </c>
      <c r="G2400" s="20" t="n">
        <f aca="false">E2400+F2400</f>
        <v>10.8</v>
      </c>
      <c r="H2400" s="20" t="n">
        <f aca="false">IF(G2400&lt;Parametres!$B$8*Parametres!$B$7,0,MIN(G2400,Parametres!$B$7))</f>
        <v>0</v>
      </c>
      <c r="I2400" s="20" t="n">
        <f aca="false">G2400-H2400</f>
        <v>10.8</v>
      </c>
      <c r="J2400" s="21" t="n">
        <f aca="false">H2400*1000/Parametres!$B$9</f>
        <v>0</v>
      </c>
    </row>
    <row r="2401" customFormat="false" ht="15" hidden="false" customHeight="false" outlineLevel="0" collapsed="false">
      <c r="A2401" s="0" t="n">
        <v>2397</v>
      </c>
      <c r="B2401" s="0" t="n">
        <v>4</v>
      </c>
      <c r="C2401" s="19" t="n">
        <v>0</v>
      </c>
      <c r="D2401" s="19" t="n">
        <v>0.0283</v>
      </c>
      <c r="E2401" s="20" t="n">
        <f aca="false">Parametres!$B$5*C2401</f>
        <v>0</v>
      </c>
      <c r="F2401" s="20" t="n">
        <f aca="false">Parametres!$B$6*D2401</f>
        <v>5.66</v>
      </c>
      <c r="G2401" s="20" t="n">
        <f aca="false">E2401+F2401</f>
        <v>5.66</v>
      </c>
      <c r="H2401" s="20" t="n">
        <f aca="false">IF(G2401&lt;Parametres!$B$8*Parametres!$B$7,0,MIN(G2401,Parametres!$B$7))</f>
        <v>0</v>
      </c>
      <c r="I2401" s="20" t="n">
        <f aca="false">G2401-H2401</f>
        <v>5.66</v>
      </c>
      <c r="J2401" s="21" t="n">
        <f aca="false">H2401*1000/Parametres!$B$9</f>
        <v>0</v>
      </c>
    </row>
    <row r="2402" customFormat="false" ht="15" hidden="false" customHeight="false" outlineLevel="0" collapsed="false">
      <c r="A2402" s="0" t="n">
        <v>2398</v>
      </c>
      <c r="B2402" s="0" t="n">
        <v>4</v>
      </c>
      <c r="C2402" s="19" t="n">
        <v>0</v>
      </c>
      <c r="D2402" s="19" t="n">
        <v>0.0284</v>
      </c>
      <c r="E2402" s="20" t="n">
        <f aca="false">Parametres!$B$5*C2402</f>
        <v>0</v>
      </c>
      <c r="F2402" s="20" t="n">
        <f aca="false">Parametres!$B$6*D2402</f>
        <v>5.68</v>
      </c>
      <c r="G2402" s="20" t="n">
        <f aca="false">E2402+F2402</f>
        <v>5.68</v>
      </c>
      <c r="H2402" s="20" t="n">
        <f aca="false">IF(G2402&lt;Parametres!$B$8*Parametres!$B$7,0,MIN(G2402,Parametres!$B$7))</f>
        <v>0</v>
      </c>
      <c r="I2402" s="20" t="n">
        <f aca="false">G2402-H2402</f>
        <v>5.68</v>
      </c>
      <c r="J2402" s="21" t="n">
        <f aca="false">H2402*1000/Parametres!$B$9</f>
        <v>0</v>
      </c>
    </row>
    <row r="2403" customFormat="false" ht="15" hidden="false" customHeight="false" outlineLevel="0" collapsed="false">
      <c r="A2403" s="0" t="n">
        <v>2399</v>
      </c>
      <c r="B2403" s="0" t="n">
        <v>4</v>
      </c>
      <c r="C2403" s="19" t="n">
        <v>0</v>
      </c>
      <c r="D2403" s="19" t="n">
        <v>0.0601</v>
      </c>
      <c r="E2403" s="20" t="n">
        <f aca="false">Parametres!$B$5*C2403</f>
        <v>0</v>
      </c>
      <c r="F2403" s="20" t="n">
        <f aca="false">Parametres!$B$6*D2403</f>
        <v>12.02</v>
      </c>
      <c r="G2403" s="20" t="n">
        <f aca="false">E2403+F2403</f>
        <v>12.02</v>
      </c>
      <c r="H2403" s="20" t="n">
        <f aca="false">IF(G2403&lt;Parametres!$B$8*Parametres!$B$7,0,MIN(G2403,Parametres!$B$7))</f>
        <v>0</v>
      </c>
      <c r="I2403" s="20" t="n">
        <f aca="false">G2403-H2403</f>
        <v>12.02</v>
      </c>
      <c r="J2403" s="21" t="n">
        <f aca="false">H2403*1000/Parametres!$B$9</f>
        <v>0</v>
      </c>
    </row>
    <row r="2404" customFormat="false" ht="15" hidden="false" customHeight="false" outlineLevel="0" collapsed="false">
      <c r="A2404" s="0" t="n">
        <v>2400</v>
      </c>
      <c r="B2404" s="0" t="n">
        <v>4</v>
      </c>
      <c r="C2404" s="19" t="n">
        <v>0</v>
      </c>
      <c r="D2404" s="19" t="n">
        <v>0.0334</v>
      </c>
      <c r="E2404" s="20" t="n">
        <f aca="false">Parametres!$B$5*C2404</f>
        <v>0</v>
      </c>
      <c r="F2404" s="20" t="n">
        <f aca="false">Parametres!$B$6*D2404</f>
        <v>6.68</v>
      </c>
      <c r="G2404" s="20" t="n">
        <f aca="false">E2404+F2404</f>
        <v>6.68</v>
      </c>
      <c r="H2404" s="20" t="n">
        <f aca="false">IF(G2404&lt;Parametres!$B$8*Parametres!$B$7,0,MIN(G2404,Parametres!$B$7))</f>
        <v>0</v>
      </c>
      <c r="I2404" s="20" t="n">
        <f aca="false">G2404-H2404</f>
        <v>6.68</v>
      </c>
      <c r="J2404" s="21" t="n">
        <f aca="false">H2404*1000/Parametres!$B$9</f>
        <v>0</v>
      </c>
    </row>
    <row r="2405" customFormat="false" ht="15" hidden="false" customHeight="false" outlineLevel="0" collapsed="false">
      <c r="A2405" s="0" t="n">
        <v>2401</v>
      </c>
      <c r="B2405" s="0" t="n">
        <v>4</v>
      </c>
      <c r="C2405" s="19" t="n">
        <v>0</v>
      </c>
      <c r="D2405" s="19" t="n">
        <v>0.018</v>
      </c>
      <c r="E2405" s="20" t="n">
        <f aca="false">Parametres!$B$5*C2405</f>
        <v>0</v>
      </c>
      <c r="F2405" s="20" t="n">
        <f aca="false">Parametres!$B$6*D2405</f>
        <v>3.6</v>
      </c>
      <c r="G2405" s="20" t="n">
        <f aca="false">E2405+F2405</f>
        <v>3.6</v>
      </c>
      <c r="H2405" s="20" t="n">
        <f aca="false">IF(G2405&lt;Parametres!$B$8*Parametres!$B$7,0,MIN(G2405,Parametres!$B$7))</f>
        <v>0</v>
      </c>
      <c r="I2405" s="20" t="n">
        <f aca="false">G2405-H2405</f>
        <v>3.6</v>
      </c>
      <c r="J2405" s="21" t="n">
        <f aca="false">H2405*1000/Parametres!$B$9</f>
        <v>0</v>
      </c>
    </row>
    <row r="2406" customFormat="false" ht="15" hidden="false" customHeight="false" outlineLevel="0" collapsed="false">
      <c r="A2406" s="0" t="n">
        <v>2402</v>
      </c>
      <c r="B2406" s="0" t="n">
        <v>4</v>
      </c>
      <c r="C2406" s="19" t="n">
        <v>0</v>
      </c>
      <c r="D2406" s="19" t="n">
        <v>0.0089</v>
      </c>
      <c r="E2406" s="20" t="n">
        <f aca="false">Parametres!$B$5*C2406</f>
        <v>0</v>
      </c>
      <c r="F2406" s="20" t="n">
        <f aca="false">Parametres!$B$6*D2406</f>
        <v>1.78</v>
      </c>
      <c r="G2406" s="20" t="n">
        <f aca="false">E2406+F2406</f>
        <v>1.78</v>
      </c>
      <c r="H2406" s="20" t="n">
        <f aca="false">IF(G2406&lt;Parametres!$B$8*Parametres!$B$7,0,MIN(G2406,Parametres!$B$7))</f>
        <v>0</v>
      </c>
      <c r="I2406" s="20" t="n">
        <f aca="false">G2406-H2406</f>
        <v>1.78</v>
      </c>
      <c r="J2406" s="21" t="n">
        <f aca="false">H2406*1000/Parametres!$B$9</f>
        <v>0</v>
      </c>
    </row>
    <row r="2407" customFormat="false" ht="15" hidden="false" customHeight="false" outlineLevel="0" collapsed="false">
      <c r="A2407" s="0" t="n">
        <v>2403</v>
      </c>
      <c r="B2407" s="0" t="n">
        <v>4</v>
      </c>
      <c r="C2407" s="19" t="n">
        <v>0</v>
      </c>
      <c r="D2407" s="19" t="n">
        <v>0.0136</v>
      </c>
      <c r="E2407" s="20" t="n">
        <f aca="false">Parametres!$B$5*C2407</f>
        <v>0</v>
      </c>
      <c r="F2407" s="20" t="n">
        <f aca="false">Parametres!$B$6*D2407</f>
        <v>2.72</v>
      </c>
      <c r="G2407" s="20" t="n">
        <f aca="false">E2407+F2407</f>
        <v>2.72</v>
      </c>
      <c r="H2407" s="20" t="n">
        <f aca="false">IF(G2407&lt;Parametres!$B$8*Parametres!$B$7,0,MIN(G2407,Parametres!$B$7))</f>
        <v>0</v>
      </c>
      <c r="I2407" s="20" t="n">
        <f aca="false">G2407-H2407</f>
        <v>2.72</v>
      </c>
      <c r="J2407" s="21" t="n">
        <f aca="false">H2407*1000/Parametres!$B$9</f>
        <v>0</v>
      </c>
    </row>
    <row r="2408" customFormat="false" ht="15" hidden="false" customHeight="false" outlineLevel="0" collapsed="false">
      <c r="A2408" s="0" t="n">
        <v>2404</v>
      </c>
      <c r="B2408" s="0" t="n">
        <v>4</v>
      </c>
      <c r="C2408" s="19" t="n">
        <v>0</v>
      </c>
      <c r="D2408" s="19" t="n">
        <v>0.0211</v>
      </c>
      <c r="E2408" s="20" t="n">
        <f aca="false">Parametres!$B$5*C2408</f>
        <v>0</v>
      </c>
      <c r="F2408" s="20" t="n">
        <f aca="false">Parametres!$B$6*D2408</f>
        <v>4.22</v>
      </c>
      <c r="G2408" s="20" t="n">
        <f aca="false">E2408+F2408</f>
        <v>4.22</v>
      </c>
      <c r="H2408" s="20" t="n">
        <f aca="false">IF(G2408&lt;Parametres!$B$8*Parametres!$B$7,0,MIN(G2408,Parametres!$B$7))</f>
        <v>0</v>
      </c>
      <c r="I2408" s="20" t="n">
        <f aca="false">G2408-H2408</f>
        <v>4.22</v>
      </c>
      <c r="J2408" s="21" t="n">
        <f aca="false">H2408*1000/Parametres!$B$9</f>
        <v>0</v>
      </c>
    </row>
    <row r="2409" customFormat="false" ht="15" hidden="false" customHeight="false" outlineLevel="0" collapsed="false">
      <c r="A2409" s="0" t="n">
        <v>2405</v>
      </c>
      <c r="B2409" s="0" t="n">
        <v>4</v>
      </c>
      <c r="C2409" s="19" t="n">
        <v>0</v>
      </c>
      <c r="D2409" s="19" t="n">
        <v>0.0521</v>
      </c>
      <c r="E2409" s="20" t="n">
        <f aca="false">Parametres!$B$5*C2409</f>
        <v>0</v>
      </c>
      <c r="F2409" s="20" t="n">
        <f aca="false">Parametres!$B$6*D2409</f>
        <v>10.42</v>
      </c>
      <c r="G2409" s="20" t="n">
        <f aca="false">E2409+F2409</f>
        <v>10.42</v>
      </c>
      <c r="H2409" s="20" t="n">
        <f aca="false">IF(G2409&lt;Parametres!$B$8*Parametres!$B$7,0,MIN(G2409,Parametres!$B$7))</f>
        <v>0</v>
      </c>
      <c r="I2409" s="20" t="n">
        <f aca="false">G2409-H2409</f>
        <v>10.42</v>
      </c>
      <c r="J2409" s="21" t="n">
        <f aca="false">H2409*1000/Parametres!$B$9</f>
        <v>0</v>
      </c>
    </row>
    <row r="2410" customFormat="false" ht="15" hidden="false" customHeight="false" outlineLevel="0" collapsed="false">
      <c r="A2410" s="0" t="n">
        <v>2406</v>
      </c>
      <c r="B2410" s="0" t="n">
        <v>4</v>
      </c>
      <c r="C2410" s="19" t="n">
        <v>0</v>
      </c>
      <c r="D2410" s="19" t="n">
        <v>0.0786</v>
      </c>
      <c r="E2410" s="20" t="n">
        <f aca="false">Parametres!$B$5*C2410</f>
        <v>0</v>
      </c>
      <c r="F2410" s="20" t="n">
        <f aca="false">Parametres!$B$6*D2410</f>
        <v>15.72</v>
      </c>
      <c r="G2410" s="20" t="n">
        <f aca="false">E2410+F2410</f>
        <v>15.72</v>
      </c>
      <c r="H2410" s="20" t="n">
        <f aca="false">IF(G2410&lt;Parametres!$B$8*Parametres!$B$7,0,MIN(G2410,Parametres!$B$7))</f>
        <v>0</v>
      </c>
      <c r="I2410" s="20" t="n">
        <f aca="false">G2410-H2410</f>
        <v>15.72</v>
      </c>
      <c r="J2410" s="21" t="n">
        <f aca="false">H2410*1000/Parametres!$B$9</f>
        <v>0</v>
      </c>
    </row>
    <row r="2411" customFormat="false" ht="15" hidden="false" customHeight="false" outlineLevel="0" collapsed="false">
      <c r="A2411" s="0" t="n">
        <v>2407</v>
      </c>
      <c r="B2411" s="0" t="n">
        <v>4</v>
      </c>
      <c r="C2411" s="19" t="n">
        <v>0.1639</v>
      </c>
      <c r="D2411" s="19" t="n">
        <v>0.0899</v>
      </c>
      <c r="E2411" s="20" t="n">
        <f aca="false">Parametres!$B$5*C2411</f>
        <v>49.17</v>
      </c>
      <c r="F2411" s="20" t="n">
        <f aca="false">Parametres!$B$6*D2411</f>
        <v>17.98</v>
      </c>
      <c r="G2411" s="20" t="n">
        <f aca="false">E2411+F2411</f>
        <v>67.15</v>
      </c>
      <c r="H2411" s="20" t="n">
        <f aca="false">IF(G2411&lt;Parametres!$B$8*Parametres!$B$7,0,MIN(G2411,Parametres!$B$7))</f>
        <v>67.15</v>
      </c>
      <c r="I2411" s="20" t="n">
        <f aca="false">G2411-H2411</f>
        <v>0</v>
      </c>
      <c r="J2411" s="21" t="n">
        <f aca="false">H2411*1000/Parametres!$B$9</f>
        <v>1138.7146006444</v>
      </c>
    </row>
    <row r="2412" customFormat="false" ht="15" hidden="false" customHeight="false" outlineLevel="0" collapsed="false">
      <c r="A2412" s="0" t="n">
        <v>2408</v>
      </c>
      <c r="B2412" s="0" t="n">
        <v>4</v>
      </c>
      <c r="C2412" s="19" t="n">
        <v>0.3871</v>
      </c>
      <c r="D2412" s="19" t="n">
        <v>0.1242</v>
      </c>
      <c r="E2412" s="20" t="n">
        <f aca="false">Parametres!$B$5*C2412</f>
        <v>116.13</v>
      </c>
      <c r="F2412" s="20" t="n">
        <f aca="false">Parametres!$B$6*D2412</f>
        <v>24.84</v>
      </c>
      <c r="G2412" s="20" t="n">
        <f aca="false">E2412+F2412</f>
        <v>140.97</v>
      </c>
      <c r="H2412" s="20" t="n">
        <f aca="false">IF(G2412&lt;Parametres!$B$8*Parametres!$B$7,0,MIN(G2412,Parametres!$B$7))</f>
        <v>140.97</v>
      </c>
      <c r="I2412" s="20" t="n">
        <f aca="false">G2412-H2412</f>
        <v>0</v>
      </c>
      <c r="J2412" s="21" t="n">
        <f aca="false">H2412*1000/Parametres!$B$9</f>
        <v>2390.53756147194</v>
      </c>
    </row>
    <row r="2413" customFormat="false" ht="15" hidden="false" customHeight="false" outlineLevel="0" collapsed="false">
      <c r="A2413" s="0" t="n">
        <v>2409</v>
      </c>
      <c r="B2413" s="0" t="n">
        <v>4</v>
      </c>
      <c r="C2413" s="19" t="n">
        <v>0.6604</v>
      </c>
      <c r="D2413" s="19" t="n">
        <v>0.0746</v>
      </c>
      <c r="E2413" s="20" t="n">
        <f aca="false">Parametres!$B$5*C2413</f>
        <v>198.12</v>
      </c>
      <c r="F2413" s="20" t="n">
        <f aca="false">Parametres!$B$6*D2413</f>
        <v>14.92</v>
      </c>
      <c r="G2413" s="20" t="n">
        <f aca="false">E2413+F2413</f>
        <v>213.04</v>
      </c>
      <c r="H2413" s="20" t="n">
        <f aca="false">IF(G2413&lt;Parametres!$B$8*Parametres!$B$7,0,MIN(G2413,Parametres!$B$7))</f>
        <v>213.04</v>
      </c>
      <c r="I2413" s="20" t="n">
        <f aca="false">G2413-H2413</f>
        <v>0</v>
      </c>
      <c r="J2413" s="21" t="n">
        <f aca="false">H2413*1000/Parametres!$B$9</f>
        <v>3612.68441580465</v>
      </c>
    </row>
    <row r="2414" customFormat="false" ht="15" hidden="false" customHeight="false" outlineLevel="0" collapsed="false">
      <c r="A2414" s="0" t="n">
        <v>2410</v>
      </c>
      <c r="B2414" s="0" t="n">
        <v>4</v>
      </c>
      <c r="C2414" s="19" t="n">
        <v>0.7637</v>
      </c>
      <c r="D2414" s="19" t="n">
        <v>0.117</v>
      </c>
      <c r="E2414" s="20" t="n">
        <f aca="false">Parametres!$B$5*C2414</f>
        <v>229.11</v>
      </c>
      <c r="F2414" s="20" t="n">
        <f aca="false">Parametres!$B$6*D2414</f>
        <v>23.4</v>
      </c>
      <c r="G2414" s="20" t="n">
        <f aca="false">E2414+F2414</f>
        <v>252.51</v>
      </c>
      <c r="H2414" s="20" t="n">
        <f aca="false">IF(G2414&lt;Parametres!$B$8*Parametres!$B$7,0,MIN(G2414,Parametres!$B$7))</f>
        <v>250</v>
      </c>
      <c r="I2414" s="20" t="n">
        <f aca="false">G2414-H2414</f>
        <v>2.51000000000002</v>
      </c>
      <c r="J2414" s="21" t="n">
        <f aca="false">H2414*1000/Parametres!$B$9</f>
        <v>4239.44378497541</v>
      </c>
    </row>
    <row r="2415" customFormat="false" ht="15" hidden="false" customHeight="false" outlineLevel="0" collapsed="false">
      <c r="A2415" s="0" t="n">
        <v>2411</v>
      </c>
      <c r="B2415" s="0" t="n">
        <v>4</v>
      </c>
      <c r="C2415" s="19" t="n">
        <v>0.9894</v>
      </c>
      <c r="D2415" s="19" t="n">
        <v>0.149</v>
      </c>
      <c r="E2415" s="20" t="n">
        <f aca="false">Parametres!$B$5*C2415</f>
        <v>296.82</v>
      </c>
      <c r="F2415" s="20" t="n">
        <f aca="false">Parametres!$B$6*D2415</f>
        <v>29.8</v>
      </c>
      <c r="G2415" s="20" t="n">
        <f aca="false">E2415+F2415</f>
        <v>326.62</v>
      </c>
      <c r="H2415" s="20" t="n">
        <f aca="false">IF(G2415&lt;Parametres!$B$8*Parametres!$B$7,0,MIN(G2415,Parametres!$B$7))</f>
        <v>250</v>
      </c>
      <c r="I2415" s="20" t="n">
        <f aca="false">G2415-H2415</f>
        <v>76.62</v>
      </c>
      <c r="J2415" s="21" t="n">
        <f aca="false">H2415*1000/Parametres!$B$9</f>
        <v>4239.44378497541</v>
      </c>
    </row>
    <row r="2416" customFormat="false" ht="15" hidden="false" customHeight="false" outlineLevel="0" collapsed="false">
      <c r="A2416" s="0" t="n">
        <v>2412</v>
      </c>
      <c r="B2416" s="0" t="n">
        <v>4</v>
      </c>
      <c r="C2416" s="19" t="n">
        <v>1</v>
      </c>
      <c r="D2416" s="19" t="n">
        <v>0.4019</v>
      </c>
      <c r="E2416" s="20" t="n">
        <f aca="false">Parametres!$B$5*C2416</f>
        <v>300</v>
      </c>
      <c r="F2416" s="20" t="n">
        <f aca="false">Parametres!$B$6*D2416</f>
        <v>80.38</v>
      </c>
      <c r="G2416" s="20" t="n">
        <f aca="false">E2416+F2416</f>
        <v>380.38</v>
      </c>
      <c r="H2416" s="20" t="n">
        <f aca="false">IF(G2416&lt;Parametres!$B$8*Parametres!$B$7,0,MIN(G2416,Parametres!$B$7))</f>
        <v>250</v>
      </c>
      <c r="I2416" s="20" t="n">
        <f aca="false">G2416-H2416</f>
        <v>130.38</v>
      </c>
      <c r="J2416" s="21" t="n">
        <f aca="false">H2416*1000/Parametres!$B$9</f>
        <v>4239.44378497541</v>
      </c>
    </row>
    <row r="2417" customFormat="false" ht="15" hidden="false" customHeight="false" outlineLevel="0" collapsed="false">
      <c r="A2417" s="0" t="n">
        <v>2413</v>
      </c>
      <c r="B2417" s="0" t="n">
        <v>4</v>
      </c>
      <c r="C2417" s="19" t="n">
        <v>1</v>
      </c>
      <c r="D2417" s="19" t="n">
        <v>0.7148</v>
      </c>
      <c r="E2417" s="20" t="n">
        <f aca="false">Parametres!$B$5*C2417</f>
        <v>300</v>
      </c>
      <c r="F2417" s="20" t="n">
        <f aca="false">Parametres!$B$6*D2417</f>
        <v>142.96</v>
      </c>
      <c r="G2417" s="20" t="n">
        <f aca="false">E2417+F2417</f>
        <v>442.96</v>
      </c>
      <c r="H2417" s="20" t="n">
        <f aca="false">IF(G2417&lt;Parametres!$B$8*Parametres!$B$7,0,MIN(G2417,Parametres!$B$7))</f>
        <v>250</v>
      </c>
      <c r="I2417" s="20" t="n">
        <f aca="false">G2417-H2417</f>
        <v>192.96</v>
      </c>
      <c r="J2417" s="21" t="n">
        <f aca="false">H2417*1000/Parametres!$B$9</f>
        <v>4239.44378497541</v>
      </c>
    </row>
    <row r="2418" customFormat="false" ht="15" hidden="false" customHeight="false" outlineLevel="0" collapsed="false">
      <c r="A2418" s="0" t="n">
        <v>2414</v>
      </c>
      <c r="B2418" s="0" t="n">
        <v>4</v>
      </c>
      <c r="C2418" s="19" t="n">
        <v>1</v>
      </c>
      <c r="D2418" s="19" t="n">
        <v>0.5912</v>
      </c>
      <c r="E2418" s="20" t="n">
        <f aca="false">Parametres!$B$5*C2418</f>
        <v>300</v>
      </c>
      <c r="F2418" s="20" t="n">
        <f aca="false">Parametres!$B$6*D2418</f>
        <v>118.24</v>
      </c>
      <c r="G2418" s="20" t="n">
        <f aca="false">E2418+F2418</f>
        <v>418.24</v>
      </c>
      <c r="H2418" s="20" t="n">
        <f aca="false">IF(G2418&lt;Parametres!$B$8*Parametres!$B$7,0,MIN(G2418,Parametres!$B$7))</f>
        <v>250</v>
      </c>
      <c r="I2418" s="20" t="n">
        <f aca="false">G2418-H2418</f>
        <v>168.24</v>
      </c>
      <c r="J2418" s="21" t="n">
        <f aca="false">H2418*1000/Parametres!$B$9</f>
        <v>4239.44378497541</v>
      </c>
    </row>
    <row r="2419" customFormat="false" ht="15" hidden="false" customHeight="false" outlineLevel="0" collapsed="false">
      <c r="A2419" s="0" t="n">
        <v>2415</v>
      </c>
      <c r="B2419" s="0" t="n">
        <v>4</v>
      </c>
      <c r="C2419" s="19" t="n">
        <v>0.8719</v>
      </c>
      <c r="D2419" s="19" t="n">
        <v>0.5166</v>
      </c>
      <c r="E2419" s="20" t="n">
        <f aca="false">Parametres!$B$5*C2419</f>
        <v>261.57</v>
      </c>
      <c r="F2419" s="20" t="n">
        <f aca="false">Parametres!$B$6*D2419</f>
        <v>103.32</v>
      </c>
      <c r="G2419" s="20" t="n">
        <f aca="false">E2419+F2419</f>
        <v>364.89</v>
      </c>
      <c r="H2419" s="20" t="n">
        <f aca="false">IF(G2419&lt;Parametres!$B$8*Parametres!$B$7,0,MIN(G2419,Parametres!$B$7))</f>
        <v>250</v>
      </c>
      <c r="I2419" s="20" t="n">
        <f aca="false">G2419-H2419</f>
        <v>114.89</v>
      </c>
      <c r="J2419" s="21" t="n">
        <f aca="false">H2419*1000/Parametres!$B$9</f>
        <v>4239.44378497541</v>
      </c>
    </row>
    <row r="2420" customFormat="false" ht="15" hidden="false" customHeight="false" outlineLevel="0" collapsed="false">
      <c r="A2420" s="0" t="n">
        <v>2416</v>
      </c>
      <c r="B2420" s="0" t="n">
        <v>4</v>
      </c>
      <c r="C2420" s="19" t="n">
        <v>0.6143</v>
      </c>
      <c r="D2420" s="19" t="n">
        <v>0.7246</v>
      </c>
      <c r="E2420" s="20" t="n">
        <f aca="false">Parametres!$B$5*C2420</f>
        <v>184.29</v>
      </c>
      <c r="F2420" s="20" t="n">
        <f aca="false">Parametres!$B$6*D2420</f>
        <v>144.92</v>
      </c>
      <c r="G2420" s="20" t="n">
        <f aca="false">E2420+F2420</f>
        <v>329.21</v>
      </c>
      <c r="H2420" s="20" t="n">
        <f aca="false">IF(G2420&lt;Parametres!$B$8*Parametres!$B$7,0,MIN(G2420,Parametres!$B$7))</f>
        <v>250</v>
      </c>
      <c r="I2420" s="20" t="n">
        <f aca="false">G2420-H2420</f>
        <v>79.21</v>
      </c>
      <c r="J2420" s="21" t="n">
        <f aca="false">H2420*1000/Parametres!$B$9</f>
        <v>4239.44378497541</v>
      </c>
    </row>
    <row r="2421" customFormat="false" ht="15" hidden="false" customHeight="false" outlineLevel="0" collapsed="false">
      <c r="A2421" s="0" t="n">
        <v>2417</v>
      </c>
      <c r="B2421" s="0" t="n">
        <v>4</v>
      </c>
      <c r="C2421" s="19" t="n">
        <v>0.405</v>
      </c>
      <c r="D2421" s="19" t="n">
        <v>0.3433</v>
      </c>
      <c r="E2421" s="20" t="n">
        <f aca="false">Parametres!$B$5*C2421</f>
        <v>121.5</v>
      </c>
      <c r="F2421" s="20" t="n">
        <f aca="false">Parametres!$B$6*D2421</f>
        <v>68.66</v>
      </c>
      <c r="G2421" s="20" t="n">
        <f aca="false">E2421+F2421</f>
        <v>190.16</v>
      </c>
      <c r="H2421" s="20" t="n">
        <f aca="false">IF(G2421&lt;Parametres!$B$8*Parametres!$B$7,0,MIN(G2421,Parametres!$B$7))</f>
        <v>190.16</v>
      </c>
      <c r="I2421" s="20" t="n">
        <f aca="false">G2421-H2421</f>
        <v>0</v>
      </c>
      <c r="J2421" s="21" t="n">
        <f aca="false">H2421*1000/Parametres!$B$9</f>
        <v>3224.6905206037</v>
      </c>
    </row>
    <row r="2422" customFormat="false" ht="15" hidden="false" customHeight="false" outlineLevel="0" collapsed="false">
      <c r="A2422" s="0" t="n">
        <v>2418</v>
      </c>
      <c r="B2422" s="0" t="n">
        <v>4</v>
      </c>
      <c r="C2422" s="19" t="n">
        <v>0.1483</v>
      </c>
      <c r="D2422" s="19" t="n">
        <v>0.2288</v>
      </c>
      <c r="E2422" s="20" t="n">
        <f aca="false">Parametres!$B$5*C2422</f>
        <v>44.49</v>
      </c>
      <c r="F2422" s="20" t="n">
        <f aca="false">Parametres!$B$6*D2422</f>
        <v>45.76</v>
      </c>
      <c r="G2422" s="20" t="n">
        <f aca="false">E2422+F2422</f>
        <v>90.25</v>
      </c>
      <c r="H2422" s="20" t="n">
        <f aca="false">IF(G2422&lt;Parametres!$B$8*Parametres!$B$7,0,MIN(G2422,Parametres!$B$7))</f>
        <v>90.25</v>
      </c>
      <c r="I2422" s="20" t="n">
        <f aca="false">G2422-H2422</f>
        <v>0</v>
      </c>
      <c r="J2422" s="21" t="n">
        <f aca="false">H2422*1000/Parametres!$B$9</f>
        <v>1530.43920637612</v>
      </c>
    </row>
    <row r="2423" customFormat="false" ht="15" hidden="false" customHeight="false" outlineLevel="0" collapsed="false">
      <c r="A2423" s="0" t="n">
        <v>2419</v>
      </c>
      <c r="B2423" s="0" t="n">
        <v>4</v>
      </c>
      <c r="C2423" s="19" t="n">
        <v>0</v>
      </c>
      <c r="D2423" s="19" t="n">
        <v>0.257</v>
      </c>
      <c r="E2423" s="20" t="n">
        <f aca="false">Parametres!$B$5*C2423</f>
        <v>0</v>
      </c>
      <c r="F2423" s="20" t="n">
        <f aca="false">Parametres!$B$6*D2423</f>
        <v>51.4</v>
      </c>
      <c r="G2423" s="20" t="n">
        <f aca="false">E2423+F2423</f>
        <v>51.4</v>
      </c>
      <c r="H2423" s="20" t="n">
        <f aca="false">IF(G2423&lt;Parametres!$B$8*Parametres!$B$7,0,MIN(G2423,Parametres!$B$7))</f>
        <v>51.4</v>
      </c>
      <c r="I2423" s="20" t="n">
        <f aca="false">G2423-H2423</f>
        <v>0</v>
      </c>
      <c r="J2423" s="21" t="n">
        <f aca="false">H2423*1000/Parametres!$B$9</f>
        <v>871.629642190945</v>
      </c>
    </row>
    <row r="2424" customFormat="false" ht="15" hidden="false" customHeight="false" outlineLevel="0" collapsed="false">
      <c r="A2424" s="0" t="n">
        <v>2420</v>
      </c>
      <c r="B2424" s="0" t="n">
        <v>4</v>
      </c>
      <c r="C2424" s="19" t="n">
        <v>0</v>
      </c>
      <c r="D2424" s="19" t="n">
        <v>0.3111</v>
      </c>
      <c r="E2424" s="20" t="n">
        <f aca="false">Parametres!$B$5*C2424</f>
        <v>0</v>
      </c>
      <c r="F2424" s="20" t="n">
        <f aca="false">Parametres!$B$6*D2424</f>
        <v>62.22</v>
      </c>
      <c r="G2424" s="20" t="n">
        <f aca="false">E2424+F2424</f>
        <v>62.22</v>
      </c>
      <c r="H2424" s="20" t="n">
        <f aca="false">IF(G2424&lt;Parametres!$B$8*Parametres!$B$7,0,MIN(G2424,Parametres!$B$7))</f>
        <v>62.22</v>
      </c>
      <c r="I2424" s="20" t="n">
        <f aca="false">G2424-H2424</f>
        <v>0</v>
      </c>
      <c r="J2424" s="21" t="n">
        <f aca="false">H2424*1000/Parametres!$B$9</f>
        <v>1055.11276920468</v>
      </c>
    </row>
    <row r="2425" customFormat="false" ht="15" hidden="false" customHeight="false" outlineLevel="0" collapsed="false">
      <c r="A2425" s="0" t="n">
        <v>2421</v>
      </c>
      <c r="B2425" s="0" t="n">
        <v>4</v>
      </c>
      <c r="C2425" s="19" t="n">
        <v>0</v>
      </c>
      <c r="D2425" s="19" t="n">
        <v>0.3015</v>
      </c>
      <c r="E2425" s="20" t="n">
        <f aca="false">Parametres!$B$5*C2425</f>
        <v>0</v>
      </c>
      <c r="F2425" s="20" t="n">
        <f aca="false">Parametres!$B$6*D2425</f>
        <v>60.3</v>
      </c>
      <c r="G2425" s="20" t="n">
        <f aca="false">E2425+F2425</f>
        <v>60.3</v>
      </c>
      <c r="H2425" s="20" t="n">
        <f aca="false">IF(G2425&lt;Parametres!$B$8*Parametres!$B$7,0,MIN(G2425,Parametres!$B$7))</f>
        <v>60.3</v>
      </c>
      <c r="I2425" s="20" t="n">
        <f aca="false">G2425-H2425</f>
        <v>0</v>
      </c>
      <c r="J2425" s="21" t="n">
        <f aca="false">H2425*1000/Parametres!$B$9</f>
        <v>1022.55384093607</v>
      </c>
    </row>
    <row r="2426" customFormat="false" ht="15" hidden="false" customHeight="false" outlineLevel="0" collapsed="false">
      <c r="A2426" s="0" t="n">
        <v>2422</v>
      </c>
      <c r="B2426" s="0" t="n">
        <v>4</v>
      </c>
      <c r="C2426" s="19" t="n">
        <v>0</v>
      </c>
      <c r="D2426" s="19" t="n">
        <v>0.4141</v>
      </c>
      <c r="E2426" s="20" t="n">
        <f aca="false">Parametres!$B$5*C2426</f>
        <v>0</v>
      </c>
      <c r="F2426" s="20" t="n">
        <f aca="false">Parametres!$B$6*D2426</f>
        <v>82.82</v>
      </c>
      <c r="G2426" s="20" t="n">
        <f aca="false">E2426+F2426</f>
        <v>82.82</v>
      </c>
      <c r="H2426" s="20" t="n">
        <f aca="false">IF(G2426&lt;Parametres!$B$8*Parametres!$B$7,0,MIN(G2426,Parametres!$B$7))</f>
        <v>82.82</v>
      </c>
      <c r="I2426" s="20" t="n">
        <f aca="false">G2426-H2426</f>
        <v>0</v>
      </c>
      <c r="J2426" s="21" t="n">
        <f aca="false">H2426*1000/Parametres!$B$9</f>
        <v>1404.44293708665</v>
      </c>
    </row>
    <row r="2427" customFormat="false" ht="15" hidden="false" customHeight="false" outlineLevel="0" collapsed="false">
      <c r="A2427" s="0" t="n">
        <v>2423</v>
      </c>
      <c r="B2427" s="0" t="n">
        <v>4</v>
      </c>
      <c r="C2427" s="19" t="n">
        <v>0</v>
      </c>
      <c r="D2427" s="19" t="n">
        <v>0.3248</v>
      </c>
      <c r="E2427" s="20" t="n">
        <f aca="false">Parametres!$B$5*C2427</f>
        <v>0</v>
      </c>
      <c r="F2427" s="20" t="n">
        <f aca="false">Parametres!$B$6*D2427</f>
        <v>64.96</v>
      </c>
      <c r="G2427" s="20" t="n">
        <f aca="false">E2427+F2427</f>
        <v>64.96</v>
      </c>
      <c r="H2427" s="20" t="n">
        <f aca="false">IF(G2427&lt;Parametres!$B$8*Parametres!$B$7,0,MIN(G2427,Parametres!$B$7))</f>
        <v>64.96</v>
      </c>
      <c r="I2427" s="20" t="n">
        <f aca="false">G2427-H2427</f>
        <v>0</v>
      </c>
      <c r="J2427" s="21" t="n">
        <f aca="false">H2427*1000/Parametres!$B$9</f>
        <v>1101.57707308801</v>
      </c>
    </row>
    <row r="2428" customFormat="false" ht="15" hidden="false" customHeight="false" outlineLevel="0" collapsed="false">
      <c r="A2428" s="0" t="n">
        <v>2424</v>
      </c>
      <c r="B2428" s="0" t="n">
        <v>4</v>
      </c>
      <c r="C2428" s="19" t="n">
        <v>0</v>
      </c>
      <c r="D2428" s="19" t="n">
        <v>0.2903</v>
      </c>
      <c r="E2428" s="20" t="n">
        <f aca="false">Parametres!$B$5*C2428</f>
        <v>0</v>
      </c>
      <c r="F2428" s="20" t="n">
        <f aca="false">Parametres!$B$6*D2428</f>
        <v>58.06</v>
      </c>
      <c r="G2428" s="20" t="n">
        <f aca="false">E2428+F2428</f>
        <v>58.06</v>
      </c>
      <c r="H2428" s="20" t="n">
        <f aca="false">IF(G2428&lt;Parametres!$B$8*Parametres!$B$7,0,MIN(G2428,Parametres!$B$7))</f>
        <v>58.06</v>
      </c>
      <c r="I2428" s="20" t="n">
        <f aca="false">G2428-H2428</f>
        <v>0</v>
      </c>
      <c r="J2428" s="21" t="n">
        <f aca="false">H2428*1000/Parametres!$B$9</f>
        <v>984.56842462269</v>
      </c>
    </row>
    <row r="2429" customFormat="false" ht="15" hidden="false" customHeight="false" outlineLevel="0" collapsed="false">
      <c r="A2429" s="0" t="n">
        <v>2425</v>
      </c>
      <c r="B2429" s="0" t="n">
        <v>4</v>
      </c>
      <c r="C2429" s="19" t="n">
        <v>0</v>
      </c>
      <c r="D2429" s="19" t="n">
        <v>0.2346</v>
      </c>
      <c r="E2429" s="20" t="n">
        <f aca="false">Parametres!$B$5*C2429</f>
        <v>0</v>
      </c>
      <c r="F2429" s="20" t="n">
        <f aca="false">Parametres!$B$6*D2429</f>
        <v>46.92</v>
      </c>
      <c r="G2429" s="20" t="n">
        <f aca="false">E2429+F2429</f>
        <v>46.92</v>
      </c>
      <c r="H2429" s="20" t="n">
        <f aca="false">IF(G2429&lt;Parametres!$B$8*Parametres!$B$7,0,MIN(G2429,Parametres!$B$7))</f>
        <v>46.92</v>
      </c>
      <c r="I2429" s="20" t="n">
        <f aca="false">G2429-H2429</f>
        <v>0</v>
      </c>
      <c r="J2429" s="21" t="n">
        <f aca="false">H2429*1000/Parametres!$B$9</f>
        <v>795.658809564185</v>
      </c>
    </row>
    <row r="2430" customFormat="false" ht="15" hidden="false" customHeight="false" outlineLevel="0" collapsed="false">
      <c r="A2430" s="0" t="n">
        <v>2426</v>
      </c>
      <c r="B2430" s="0" t="n">
        <v>4</v>
      </c>
      <c r="C2430" s="19" t="n">
        <v>0</v>
      </c>
      <c r="D2430" s="19" t="n">
        <v>0.1292</v>
      </c>
      <c r="E2430" s="20" t="n">
        <f aca="false">Parametres!$B$5*C2430</f>
        <v>0</v>
      </c>
      <c r="F2430" s="20" t="n">
        <f aca="false">Parametres!$B$6*D2430</f>
        <v>25.84</v>
      </c>
      <c r="G2430" s="20" t="n">
        <f aca="false">E2430+F2430</f>
        <v>25.84</v>
      </c>
      <c r="H2430" s="20" t="n">
        <f aca="false">IF(G2430&lt;Parametres!$B$8*Parametres!$B$7,0,MIN(G2430,Parametres!$B$7))</f>
        <v>25.84</v>
      </c>
      <c r="I2430" s="20" t="n">
        <f aca="false">G2430-H2430</f>
        <v>0</v>
      </c>
      <c r="J2430" s="21" t="n">
        <f aca="false">H2430*1000/Parametres!$B$9</f>
        <v>438.188909615059</v>
      </c>
    </row>
    <row r="2431" customFormat="false" ht="15" hidden="false" customHeight="false" outlineLevel="0" collapsed="false">
      <c r="A2431" s="0" t="n">
        <v>2427</v>
      </c>
      <c r="B2431" s="0" t="n">
        <v>4</v>
      </c>
      <c r="C2431" s="19" t="n">
        <v>0</v>
      </c>
      <c r="D2431" s="19" t="n">
        <v>0.1187</v>
      </c>
      <c r="E2431" s="20" t="n">
        <f aca="false">Parametres!$B$5*C2431</f>
        <v>0</v>
      </c>
      <c r="F2431" s="20" t="n">
        <f aca="false">Parametres!$B$6*D2431</f>
        <v>23.74</v>
      </c>
      <c r="G2431" s="20" t="n">
        <f aca="false">E2431+F2431</f>
        <v>23.74</v>
      </c>
      <c r="H2431" s="20" t="n">
        <f aca="false">IF(G2431&lt;Parametres!$B$8*Parametres!$B$7,0,MIN(G2431,Parametres!$B$7))</f>
        <v>0</v>
      </c>
      <c r="I2431" s="20" t="n">
        <f aca="false">G2431-H2431</f>
        <v>23.74</v>
      </c>
      <c r="J2431" s="21" t="n">
        <f aca="false">H2431*1000/Parametres!$B$9</f>
        <v>0</v>
      </c>
    </row>
    <row r="2432" customFormat="false" ht="15" hidden="false" customHeight="false" outlineLevel="0" collapsed="false">
      <c r="A2432" s="0" t="n">
        <v>2428</v>
      </c>
      <c r="B2432" s="0" t="n">
        <v>4</v>
      </c>
      <c r="C2432" s="19" t="n">
        <v>0</v>
      </c>
      <c r="D2432" s="19" t="n">
        <v>0.0852</v>
      </c>
      <c r="E2432" s="20" t="n">
        <f aca="false">Parametres!$B$5*C2432</f>
        <v>0</v>
      </c>
      <c r="F2432" s="20" t="n">
        <f aca="false">Parametres!$B$6*D2432</f>
        <v>17.04</v>
      </c>
      <c r="G2432" s="20" t="n">
        <f aca="false">E2432+F2432</f>
        <v>17.04</v>
      </c>
      <c r="H2432" s="20" t="n">
        <f aca="false">IF(G2432&lt;Parametres!$B$8*Parametres!$B$7,0,MIN(G2432,Parametres!$B$7))</f>
        <v>0</v>
      </c>
      <c r="I2432" s="20" t="n">
        <f aca="false">G2432-H2432</f>
        <v>17.04</v>
      </c>
      <c r="J2432" s="21" t="n">
        <f aca="false">H2432*1000/Parametres!$B$9</f>
        <v>0</v>
      </c>
    </row>
    <row r="2433" customFormat="false" ht="15" hidden="false" customHeight="false" outlineLevel="0" collapsed="false">
      <c r="A2433" s="0" t="n">
        <v>2429</v>
      </c>
      <c r="B2433" s="0" t="n">
        <v>4</v>
      </c>
      <c r="C2433" s="19" t="n">
        <v>0</v>
      </c>
      <c r="D2433" s="19" t="n">
        <v>0.0869</v>
      </c>
      <c r="E2433" s="20" t="n">
        <f aca="false">Parametres!$B$5*C2433</f>
        <v>0</v>
      </c>
      <c r="F2433" s="20" t="n">
        <f aca="false">Parametres!$B$6*D2433</f>
        <v>17.38</v>
      </c>
      <c r="G2433" s="20" t="n">
        <f aca="false">E2433+F2433</f>
        <v>17.38</v>
      </c>
      <c r="H2433" s="20" t="n">
        <f aca="false">IF(G2433&lt;Parametres!$B$8*Parametres!$B$7,0,MIN(G2433,Parametres!$B$7))</f>
        <v>0</v>
      </c>
      <c r="I2433" s="20" t="n">
        <f aca="false">G2433-H2433</f>
        <v>17.38</v>
      </c>
      <c r="J2433" s="21" t="n">
        <f aca="false">H2433*1000/Parametres!$B$9</f>
        <v>0</v>
      </c>
    </row>
    <row r="2434" customFormat="false" ht="15" hidden="false" customHeight="false" outlineLevel="0" collapsed="false">
      <c r="A2434" s="0" t="n">
        <v>2430</v>
      </c>
      <c r="B2434" s="0" t="n">
        <v>4</v>
      </c>
      <c r="C2434" s="19" t="n">
        <v>0</v>
      </c>
      <c r="D2434" s="19" t="n">
        <v>0.0187</v>
      </c>
      <c r="E2434" s="20" t="n">
        <f aca="false">Parametres!$B$5*C2434</f>
        <v>0</v>
      </c>
      <c r="F2434" s="20" t="n">
        <f aca="false">Parametres!$B$6*D2434</f>
        <v>3.74</v>
      </c>
      <c r="G2434" s="20" t="n">
        <f aca="false">E2434+F2434</f>
        <v>3.74</v>
      </c>
      <c r="H2434" s="20" t="n">
        <f aca="false">IF(G2434&lt;Parametres!$B$8*Parametres!$B$7,0,MIN(G2434,Parametres!$B$7))</f>
        <v>0</v>
      </c>
      <c r="I2434" s="20" t="n">
        <f aca="false">G2434-H2434</f>
        <v>3.74</v>
      </c>
      <c r="J2434" s="21" t="n">
        <f aca="false">H2434*1000/Parametres!$B$9</f>
        <v>0</v>
      </c>
    </row>
    <row r="2435" customFormat="false" ht="15" hidden="false" customHeight="false" outlineLevel="0" collapsed="false">
      <c r="A2435" s="0" t="n">
        <v>2431</v>
      </c>
      <c r="B2435" s="0" t="n">
        <v>4</v>
      </c>
      <c r="C2435" s="19" t="n">
        <v>0.1946</v>
      </c>
      <c r="D2435" s="19" t="n">
        <v>0.0229</v>
      </c>
      <c r="E2435" s="20" t="n">
        <f aca="false">Parametres!$B$5*C2435</f>
        <v>58.38</v>
      </c>
      <c r="F2435" s="20" t="n">
        <f aca="false">Parametres!$B$6*D2435</f>
        <v>4.58</v>
      </c>
      <c r="G2435" s="20" t="n">
        <f aca="false">E2435+F2435</f>
        <v>62.96</v>
      </c>
      <c r="H2435" s="20" t="n">
        <f aca="false">IF(G2435&lt;Parametres!$B$8*Parametres!$B$7,0,MIN(G2435,Parametres!$B$7))</f>
        <v>62.96</v>
      </c>
      <c r="I2435" s="20" t="n">
        <f aca="false">G2435-H2435</f>
        <v>0</v>
      </c>
      <c r="J2435" s="21" t="n">
        <f aca="false">H2435*1000/Parametres!$B$9</f>
        <v>1067.66152280821</v>
      </c>
    </row>
    <row r="2436" customFormat="false" ht="15" hidden="false" customHeight="false" outlineLevel="0" collapsed="false">
      <c r="A2436" s="0" t="n">
        <v>2432</v>
      </c>
      <c r="B2436" s="0" t="n">
        <v>4</v>
      </c>
      <c r="C2436" s="19" t="n">
        <v>0.4678</v>
      </c>
      <c r="D2436" s="19" t="n">
        <v>0.0182</v>
      </c>
      <c r="E2436" s="20" t="n">
        <f aca="false">Parametres!$B$5*C2436</f>
        <v>140.34</v>
      </c>
      <c r="F2436" s="20" t="n">
        <f aca="false">Parametres!$B$6*D2436</f>
        <v>3.64</v>
      </c>
      <c r="G2436" s="20" t="n">
        <f aca="false">E2436+F2436</f>
        <v>143.98</v>
      </c>
      <c r="H2436" s="20" t="n">
        <f aca="false">IF(G2436&lt;Parametres!$B$8*Parametres!$B$7,0,MIN(G2436,Parametres!$B$7))</f>
        <v>143.98</v>
      </c>
      <c r="I2436" s="20" t="n">
        <f aca="false">G2436-H2436</f>
        <v>0</v>
      </c>
      <c r="J2436" s="21" t="n">
        <f aca="false">H2436*1000/Parametres!$B$9</f>
        <v>2441.58046464304</v>
      </c>
    </row>
    <row r="2437" customFormat="false" ht="15" hidden="false" customHeight="false" outlineLevel="0" collapsed="false">
      <c r="A2437" s="0" t="n">
        <v>2433</v>
      </c>
      <c r="B2437" s="0" t="n">
        <v>4</v>
      </c>
      <c r="C2437" s="19" t="n">
        <v>0.7754</v>
      </c>
      <c r="D2437" s="19" t="n">
        <v>0.014</v>
      </c>
      <c r="E2437" s="20" t="n">
        <f aca="false">Parametres!$B$5*C2437</f>
        <v>232.62</v>
      </c>
      <c r="F2437" s="20" t="n">
        <f aca="false">Parametres!$B$6*D2437</f>
        <v>2.8</v>
      </c>
      <c r="G2437" s="20" t="n">
        <f aca="false">E2437+F2437</f>
        <v>235.42</v>
      </c>
      <c r="H2437" s="20" t="n">
        <f aca="false">IF(G2437&lt;Parametres!$B$8*Parametres!$B$7,0,MIN(G2437,Parametres!$B$7))</f>
        <v>235.42</v>
      </c>
      <c r="I2437" s="20" t="n">
        <f aca="false">G2437-H2437</f>
        <v>0</v>
      </c>
      <c r="J2437" s="21" t="n">
        <f aca="false">H2437*1000/Parametres!$B$9</f>
        <v>3992.19942343565</v>
      </c>
    </row>
    <row r="2438" customFormat="false" ht="15" hidden="false" customHeight="false" outlineLevel="0" collapsed="false">
      <c r="A2438" s="0" t="n">
        <v>2434</v>
      </c>
      <c r="B2438" s="0" t="n">
        <v>4</v>
      </c>
      <c r="C2438" s="19" t="n">
        <v>1</v>
      </c>
      <c r="D2438" s="19" t="n">
        <v>0.0188</v>
      </c>
      <c r="E2438" s="20" t="n">
        <f aca="false">Parametres!$B$5*C2438</f>
        <v>300</v>
      </c>
      <c r="F2438" s="20" t="n">
        <f aca="false">Parametres!$B$6*D2438</f>
        <v>3.76</v>
      </c>
      <c r="G2438" s="20" t="n">
        <f aca="false">E2438+F2438</f>
        <v>303.76</v>
      </c>
      <c r="H2438" s="20" t="n">
        <f aca="false">IF(G2438&lt;Parametres!$B$8*Parametres!$B$7,0,MIN(G2438,Parametres!$B$7))</f>
        <v>250</v>
      </c>
      <c r="I2438" s="20" t="n">
        <f aca="false">G2438-H2438</f>
        <v>53.76</v>
      </c>
      <c r="J2438" s="21" t="n">
        <f aca="false">H2438*1000/Parametres!$B$9</f>
        <v>4239.44378497541</v>
      </c>
    </row>
    <row r="2439" customFormat="false" ht="15" hidden="false" customHeight="false" outlineLevel="0" collapsed="false">
      <c r="A2439" s="0" t="n">
        <v>2435</v>
      </c>
      <c r="B2439" s="0" t="n">
        <v>4</v>
      </c>
      <c r="C2439" s="19" t="n">
        <v>1</v>
      </c>
      <c r="D2439" s="19" t="n">
        <v>0.0168</v>
      </c>
      <c r="E2439" s="20" t="n">
        <f aca="false">Parametres!$B$5*C2439</f>
        <v>300</v>
      </c>
      <c r="F2439" s="20" t="n">
        <f aca="false">Parametres!$B$6*D2439</f>
        <v>3.36</v>
      </c>
      <c r="G2439" s="20" t="n">
        <f aca="false">E2439+F2439</f>
        <v>303.36</v>
      </c>
      <c r="H2439" s="20" t="n">
        <f aca="false">IF(G2439&lt;Parametres!$B$8*Parametres!$B$7,0,MIN(G2439,Parametres!$B$7))</f>
        <v>250</v>
      </c>
      <c r="I2439" s="20" t="n">
        <f aca="false">G2439-H2439</f>
        <v>53.36</v>
      </c>
      <c r="J2439" s="21" t="n">
        <f aca="false">H2439*1000/Parametres!$B$9</f>
        <v>4239.44378497541</v>
      </c>
    </row>
    <row r="2440" customFormat="false" ht="15" hidden="false" customHeight="false" outlineLevel="0" collapsed="false">
      <c r="A2440" s="0" t="n">
        <v>2436</v>
      </c>
      <c r="B2440" s="0" t="n">
        <v>4</v>
      </c>
      <c r="C2440" s="19" t="n">
        <v>1</v>
      </c>
      <c r="D2440" s="19" t="n">
        <v>0.0421</v>
      </c>
      <c r="E2440" s="20" t="n">
        <f aca="false">Parametres!$B$5*C2440</f>
        <v>300</v>
      </c>
      <c r="F2440" s="20" t="n">
        <f aca="false">Parametres!$B$6*D2440</f>
        <v>8.42</v>
      </c>
      <c r="G2440" s="20" t="n">
        <f aca="false">E2440+F2440</f>
        <v>308.42</v>
      </c>
      <c r="H2440" s="20" t="n">
        <f aca="false">IF(G2440&lt;Parametres!$B$8*Parametres!$B$7,0,MIN(G2440,Parametres!$B$7))</f>
        <v>250</v>
      </c>
      <c r="I2440" s="20" t="n">
        <f aca="false">G2440-H2440</f>
        <v>58.42</v>
      </c>
      <c r="J2440" s="21" t="n">
        <f aca="false">H2440*1000/Parametres!$B$9</f>
        <v>4239.44378497541</v>
      </c>
    </row>
    <row r="2441" customFormat="false" ht="15" hidden="false" customHeight="false" outlineLevel="0" collapsed="false">
      <c r="A2441" s="0" t="n">
        <v>2437</v>
      </c>
      <c r="B2441" s="0" t="n">
        <v>4</v>
      </c>
      <c r="C2441" s="19" t="n">
        <v>1</v>
      </c>
      <c r="D2441" s="19" t="n">
        <v>0.1049</v>
      </c>
      <c r="E2441" s="20" t="n">
        <f aca="false">Parametres!$B$5*C2441</f>
        <v>300</v>
      </c>
      <c r="F2441" s="20" t="n">
        <f aca="false">Parametres!$B$6*D2441</f>
        <v>20.98</v>
      </c>
      <c r="G2441" s="20" t="n">
        <f aca="false">E2441+F2441</f>
        <v>320.98</v>
      </c>
      <c r="H2441" s="20" t="n">
        <f aca="false">IF(G2441&lt;Parametres!$B$8*Parametres!$B$7,0,MIN(G2441,Parametres!$B$7))</f>
        <v>250</v>
      </c>
      <c r="I2441" s="20" t="n">
        <f aca="false">G2441-H2441</f>
        <v>70.98</v>
      </c>
      <c r="J2441" s="21" t="n">
        <f aca="false">H2441*1000/Parametres!$B$9</f>
        <v>4239.44378497541</v>
      </c>
    </row>
    <row r="2442" customFormat="false" ht="15" hidden="false" customHeight="false" outlineLevel="0" collapsed="false">
      <c r="A2442" s="0" t="n">
        <v>2438</v>
      </c>
      <c r="B2442" s="0" t="n">
        <v>4</v>
      </c>
      <c r="C2442" s="19" t="n">
        <v>1</v>
      </c>
      <c r="D2442" s="19" t="n">
        <v>0.1845</v>
      </c>
      <c r="E2442" s="20" t="n">
        <f aca="false">Parametres!$B$5*C2442</f>
        <v>300</v>
      </c>
      <c r="F2442" s="20" t="n">
        <f aca="false">Parametres!$B$6*D2442</f>
        <v>36.9</v>
      </c>
      <c r="G2442" s="20" t="n">
        <f aca="false">E2442+F2442</f>
        <v>336.9</v>
      </c>
      <c r="H2442" s="20" t="n">
        <f aca="false">IF(G2442&lt;Parametres!$B$8*Parametres!$B$7,0,MIN(G2442,Parametres!$B$7))</f>
        <v>250</v>
      </c>
      <c r="I2442" s="20" t="n">
        <f aca="false">G2442-H2442</f>
        <v>86.9</v>
      </c>
      <c r="J2442" s="21" t="n">
        <f aca="false">H2442*1000/Parametres!$B$9</f>
        <v>4239.44378497541</v>
      </c>
    </row>
    <row r="2443" customFormat="false" ht="15" hidden="false" customHeight="false" outlineLevel="0" collapsed="false">
      <c r="A2443" s="0" t="n">
        <v>2439</v>
      </c>
      <c r="B2443" s="0" t="n">
        <v>4</v>
      </c>
      <c r="C2443" s="19" t="n">
        <v>0.9893</v>
      </c>
      <c r="D2443" s="19" t="n">
        <v>0.3065</v>
      </c>
      <c r="E2443" s="20" t="n">
        <f aca="false">Parametres!$B$5*C2443</f>
        <v>296.79</v>
      </c>
      <c r="F2443" s="20" t="n">
        <f aca="false">Parametres!$B$6*D2443</f>
        <v>61.3</v>
      </c>
      <c r="G2443" s="20" t="n">
        <f aca="false">E2443+F2443</f>
        <v>358.09</v>
      </c>
      <c r="H2443" s="20" t="n">
        <f aca="false">IF(G2443&lt;Parametres!$B$8*Parametres!$B$7,0,MIN(G2443,Parametres!$B$7))</f>
        <v>250</v>
      </c>
      <c r="I2443" s="20" t="n">
        <f aca="false">G2443-H2443</f>
        <v>108.09</v>
      </c>
      <c r="J2443" s="21" t="n">
        <f aca="false">H2443*1000/Parametres!$B$9</f>
        <v>4239.44378497541</v>
      </c>
    </row>
    <row r="2444" customFormat="false" ht="15" hidden="false" customHeight="false" outlineLevel="0" collapsed="false">
      <c r="A2444" s="0" t="n">
        <v>2440</v>
      </c>
      <c r="B2444" s="0" t="n">
        <v>4</v>
      </c>
      <c r="C2444" s="19" t="n">
        <v>0.7975</v>
      </c>
      <c r="D2444" s="19" t="n">
        <v>0.3725</v>
      </c>
      <c r="E2444" s="20" t="n">
        <f aca="false">Parametres!$B$5*C2444</f>
        <v>239.25</v>
      </c>
      <c r="F2444" s="20" t="n">
        <f aca="false">Parametres!$B$6*D2444</f>
        <v>74.5</v>
      </c>
      <c r="G2444" s="20" t="n">
        <f aca="false">E2444+F2444</f>
        <v>313.75</v>
      </c>
      <c r="H2444" s="20" t="n">
        <f aca="false">IF(G2444&lt;Parametres!$B$8*Parametres!$B$7,0,MIN(G2444,Parametres!$B$7))</f>
        <v>250</v>
      </c>
      <c r="I2444" s="20" t="n">
        <f aca="false">G2444-H2444</f>
        <v>63.75</v>
      </c>
      <c r="J2444" s="21" t="n">
        <f aca="false">H2444*1000/Parametres!$B$9</f>
        <v>4239.44378497541</v>
      </c>
    </row>
    <row r="2445" customFormat="false" ht="15" hidden="false" customHeight="false" outlineLevel="0" collapsed="false">
      <c r="A2445" s="0" t="n">
        <v>2441</v>
      </c>
      <c r="B2445" s="0" t="n">
        <v>4</v>
      </c>
      <c r="C2445" s="19" t="n">
        <v>0.4913</v>
      </c>
      <c r="D2445" s="19" t="n">
        <v>0.383</v>
      </c>
      <c r="E2445" s="20" t="n">
        <f aca="false">Parametres!$B$5*C2445</f>
        <v>147.39</v>
      </c>
      <c r="F2445" s="20" t="n">
        <f aca="false">Parametres!$B$6*D2445</f>
        <v>76.6</v>
      </c>
      <c r="G2445" s="20" t="n">
        <f aca="false">E2445+F2445</f>
        <v>223.99</v>
      </c>
      <c r="H2445" s="20" t="n">
        <f aca="false">IF(G2445&lt;Parametres!$B$8*Parametres!$B$7,0,MIN(G2445,Parametres!$B$7))</f>
        <v>223.99</v>
      </c>
      <c r="I2445" s="20" t="n">
        <f aca="false">G2445-H2445</f>
        <v>0</v>
      </c>
      <c r="J2445" s="21" t="n">
        <f aca="false">H2445*1000/Parametres!$B$9</f>
        <v>3798.37205358657</v>
      </c>
    </row>
    <row r="2446" customFormat="false" ht="15" hidden="false" customHeight="false" outlineLevel="0" collapsed="false">
      <c r="A2446" s="0" t="n">
        <v>2442</v>
      </c>
      <c r="B2446" s="0" t="n">
        <v>4</v>
      </c>
      <c r="C2446" s="19" t="n">
        <v>0.1906</v>
      </c>
      <c r="D2446" s="19" t="n">
        <v>0.2202</v>
      </c>
      <c r="E2446" s="20" t="n">
        <f aca="false">Parametres!$B$5*C2446</f>
        <v>57.18</v>
      </c>
      <c r="F2446" s="20" t="n">
        <f aca="false">Parametres!$B$6*D2446</f>
        <v>44.04</v>
      </c>
      <c r="G2446" s="20" t="n">
        <f aca="false">E2446+F2446</f>
        <v>101.22</v>
      </c>
      <c r="H2446" s="20" t="n">
        <f aca="false">IF(G2446&lt;Parametres!$B$8*Parametres!$B$7,0,MIN(G2446,Parametres!$B$7))</f>
        <v>101.22</v>
      </c>
      <c r="I2446" s="20" t="n">
        <f aca="false">G2446-H2446</f>
        <v>0</v>
      </c>
      <c r="J2446" s="21" t="n">
        <f aca="false">H2446*1000/Parametres!$B$9</f>
        <v>1716.46599966084</v>
      </c>
    </row>
    <row r="2447" customFormat="false" ht="15" hidden="false" customHeight="false" outlineLevel="0" collapsed="false">
      <c r="A2447" s="0" t="n">
        <v>2443</v>
      </c>
      <c r="B2447" s="0" t="n">
        <v>4</v>
      </c>
      <c r="C2447" s="19" t="n">
        <v>0</v>
      </c>
      <c r="D2447" s="19" t="n">
        <v>0.178</v>
      </c>
      <c r="E2447" s="20" t="n">
        <f aca="false">Parametres!$B$5*C2447</f>
        <v>0</v>
      </c>
      <c r="F2447" s="20" t="n">
        <f aca="false">Parametres!$B$6*D2447</f>
        <v>35.6</v>
      </c>
      <c r="G2447" s="20" t="n">
        <f aca="false">E2447+F2447</f>
        <v>35.6</v>
      </c>
      <c r="H2447" s="20" t="n">
        <f aca="false">IF(G2447&lt;Parametres!$B$8*Parametres!$B$7,0,MIN(G2447,Parametres!$B$7))</f>
        <v>35.6</v>
      </c>
      <c r="I2447" s="20" t="n">
        <f aca="false">G2447-H2447</f>
        <v>0</v>
      </c>
      <c r="J2447" s="21" t="n">
        <f aca="false">H2447*1000/Parametres!$B$9</f>
        <v>603.696794980499</v>
      </c>
    </row>
    <row r="2448" customFormat="false" ht="15" hidden="false" customHeight="false" outlineLevel="0" collapsed="false">
      <c r="A2448" s="0" t="n">
        <v>2444</v>
      </c>
      <c r="B2448" s="0" t="n">
        <v>4</v>
      </c>
      <c r="C2448" s="19" t="n">
        <v>0</v>
      </c>
      <c r="D2448" s="19" t="n">
        <v>0.2829</v>
      </c>
      <c r="E2448" s="20" t="n">
        <f aca="false">Parametres!$B$5*C2448</f>
        <v>0</v>
      </c>
      <c r="F2448" s="20" t="n">
        <f aca="false">Parametres!$B$6*D2448</f>
        <v>56.58</v>
      </c>
      <c r="G2448" s="20" t="n">
        <f aca="false">E2448+F2448</f>
        <v>56.58</v>
      </c>
      <c r="H2448" s="20" t="n">
        <f aca="false">IF(G2448&lt;Parametres!$B$8*Parametres!$B$7,0,MIN(G2448,Parametres!$B$7))</f>
        <v>56.58</v>
      </c>
      <c r="I2448" s="20" t="n">
        <f aca="false">G2448-H2448</f>
        <v>0</v>
      </c>
      <c r="J2448" s="21" t="n">
        <f aca="false">H2448*1000/Parametres!$B$9</f>
        <v>959.470917415635</v>
      </c>
    </row>
    <row r="2449" customFormat="false" ht="15" hidden="false" customHeight="false" outlineLevel="0" collapsed="false">
      <c r="A2449" s="0" t="n">
        <v>2445</v>
      </c>
      <c r="B2449" s="0" t="n">
        <v>4</v>
      </c>
      <c r="C2449" s="19" t="n">
        <v>0</v>
      </c>
      <c r="D2449" s="19" t="n">
        <v>0.3467</v>
      </c>
      <c r="E2449" s="20" t="n">
        <f aca="false">Parametres!$B$5*C2449</f>
        <v>0</v>
      </c>
      <c r="F2449" s="20" t="n">
        <f aca="false">Parametres!$B$6*D2449</f>
        <v>69.34</v>
      </c>
      <c r="G2449" s="20" t="n">
        <f aca="false">E2449+F2449</f>
        <v>69.34</v>
      </c>
      <c r="H2449" s="20" t="n">
        <f aca="false">IF(G2449&lt;Parametres!$B$8*Parametres!$B$7,0,MIN(G2449,Parametres!$B$7))</f>
        <v>69.34</v>
      </c>
      <c r="I2449" s="20" t="n">
        <f aca="false">G2449-H2449</f>
        <v>0</v>
      </c>
      <c r="J2449" s="21" t="n">
        <f aca="false">H2449*1000/Parametres!$B$9</f>
        <v>1175.85212820078</v>
      </c>
    </row>
    <row r="2450" customFormat="false" ht="15" hidden="false" customHeight="false" outlineLevel="0" collapsed="false">
      <c r="A2450" s="0" t="n">
        <v>2446</v>
      </c>
      <c r="B2450" s="0" t="n">
        <v>4</v>
      </c>
      <c r="C2450" s="19" t="n">
        <v>0</v>
      </c>
      <c r="D2450" s="19" t="n">
        <v>0.2512</v>
      </c>
      <c r="E2450" s="20" t="n">
        <f aca="false">Parametres!$B$5*C2450</f>
        <v>0</v>
      </c>
      <c r="F2450" s="20" t="n">
        <f aca="false">Parametres!$B$6*D2450</f>
        <v>50.24</v>
      </c>
      <c r="G2450" s="20" t="n">
        <f aca="false">E2450+F2450</f>
        <v>50.24</v>
      </c>
      <c r="H2450" s="20" t="n">
        <f aca="false">IF(G2450&lt;Parametres!$B$8*Parametres!$B$7,0,MIN(G2450,Parametres!$B$7))</f>
        <v>50.24</v>
      </c>
      <c r="I2450" s="20" t="n">
        <f aca="false">G2450-H2450</f>
        <v>0</v>
      </c>
      <c r="J2450" s="21" t="n">
        <f aca="false">H2450*1000/Parametres!$B$9</f>
        <v>851.958623028659</v>
      </c>
    </row>
    <row r="2451" customFormat="false" ht="15" hidden="false" customHeight="false" outlineLevel="0" collapsed="false">
      <c r="A2451" s="0" t="n">
        <v>2447</v>
      </c>
      <c r="B2451" s="0" t="n">
        <v>4</v>
      </c>
      <c r="C2451" s="19" t="n">
        <v>0</v>
      </c>
      <c r="D2451" s="19" t="n">
        <v>0.2282</v>
      </c>
      <c r="E2451" s="20" t="n">
        <f aca="false">Parametres!$B$5*C2451</f>
        <v>0</v>
      </c>
      <c r="F2451" s="20" t="n">
        <f aca="false">Parametres!$B$6*D2451</f>
        <v>45.64</v>
      </c>
      <c r="G2451" s="20" t="n">
        <f aca="false">E2451+F2451</f>
        <v>45.64</v>
      </c>
      <c r="H2451" s="20" t="n">
        <f aca="false">IF(G2451&lt;Parametres!$B$8*Parametres!$B$7,0,MIN(G2451,Parametres!$B$7))</f>
        <v>45.64</v>
      </c>
      <c r="I2451" s="20" t="n">
        <f aca="false">G2451-H2451</f>
        <v>0</v>
      </c>
      <c r="J2451" s="21" t="n">
        <f aca="false">H2451*1000/Parametres!$B$9</f>
        <v>773.952857385111</v>
      </c>
    </row>
    <row r="2452" customFormat="false" ht="15" hidden="false" customHeight="false" outlineLevel="0" collapsed="false">
      <c r="A2452" s="0" t="n">
        <v>2448</v>
      </c>
      <c r="B2452" s="0" t="n">
        <v>4</v>
      </c>
      <c r="C2452" s="19" t="n">
        <v>0</v>
      </c>
      <c r="D2452" s="19" t="n">
        <v>0.2998</v>
      </c>
      <c r="E2452" s="20" t="n">
        <f aca="false">Parametres!$B$5*C2452</f>
        <v>0</v>
      </c>
      <c r="F2452" s="20" t="n">
        <f aca="false">Parametres!$B$6*D2452</f>
        <v>59.96</v>
      </c>
      <c r="G2452" s="20" t="n">
        <f aca="false">E2452+F2452</f>
        <v>59.96</v>
      </c>
      <c r="H2452" s="20" t="n">
        <f aca="false">IF(G2452&lt;Parametres!$B$8*Parametres!$B$7,0,MIN(G2452,Parametres!$B$7))</f>
        <v>59.96</v>
      </c>
      <c r="I2452" s="20" t="n">
        <f aca="false">G2452-H2452</f>
        <v>0</v>
      </c>
      <c r="J2452" s="21" t="n">
        <f aca="false">H2452*1000/Parametres!$B$9</f>
        <v>1016.7881973885</v>
      </c>
    </row>
    <row r="2453" customFormat="false" ht="15" hidden="false" customHeight="false" outlineLevel="0" collapsed="false">
      <c r="A2453" s="0" t="n">
        <v>2449</v>
      </c>
      <c r="B2453" s="0" t="n">
        <v>4</v>
      </c>
      <c r="C2453" s="19" t="n">
        <v>0</v>
      </c>
      <c r="D2453" s="19" t="n">
        <v>0.246</v>
      </c>
      <c r="E2453" s="20" t="n">
        <f aca="false">Parametres!$B$5*C2453</f>
        <v>0</v>
      </c>
      <c r="F2453" s="20" t="n">
        <f aca="false">Parametres!$B$6*D2453</f>
        <v>49.2</v>
      </c>
      <c r="G2453" s="20" t="n">
        <f aca="false">E2453+F2453</f>
        <v>49.2</v>
      </c>
      <c r="H2453" s="20" t="n">
        <f aca="false">IF(G2453&lt;Parametres!$B$8*Parametres!$B$7,0,MIN(G2453,Parametres!$B$7))</f>
        <v>49.2</v>
      </c>
      <c r="I2453" s="20" t="n">
        <f aca="false">G2453-H2453</f>
        <v>0</v>
      </c>
      <c r="J2453" s="21" t="n">
        <f aca="false">H2453*1000/Parametres!$B$9</f>
        <v>834.322536883161</v>
      </c>
    </row>
    <row r="2454" customFormat="false" ht="15" hidden="false" customHeight="false" outlineLevel="0" collapsed="false">
      <c r="A2454" s="0" t="n">
        <v>2450</v>
      </c>
      <c r="B2454" s="0" t="n">
        <v>4</v>
      </c>
      <c r="C2454" s="19" t="n">
        <v>0</v>
      </c>
      <c r="D2454" s="19" t="n">
        <v>0.3903</v>
      </c>
      <c r="E2454" s="20" t="n">
        <f aca="false">Parametres!$B$5*C2454</f>
        <v>0</v>
      </c>
      <c r="F2454" s="20" t="n">
        <f aca="false">Parametres!$B$6*D2454</f>
        <v>78.06</v>
      </c>
      <c r="G2454" s="20" t="n">
        <f aca="false">E2454+F2454</f>
        <v>78.06</v>
      </c>
      <c r="H2454" s="20" t="n">
        <f aca="false">IF(G2454&lt;Parametres!$B$8*Parametres!$B$7,0,MIN(G2454,Parametres!$B$7))</f>
        <v>78.06</v>
      </c>
      <c r="I2454" s="20" t="n">
        <f aca="false">G2454-H2454</f>
        <v>0</v>
      </c>
      <c r="J2454" s="21" t="n">
        <f aca="false">H2454*1000/Parametres!$B$9</f>
        <v>1323.72392742072</v>
      </c>
    </row>
    <row r="2455" customFormat="false" ht="15" hidden="false" customHeight="false" outlineLevel="0" collapsed="false">
      <c r="A2455" s="0" t="n">
        <v>2451</v>
      </c>
      <c r="B2455" s="0" t="n">
        <v>4</v>
      </c>
      <c r="C2455" s="19" t="n">
        <v>0</v>
      </c>
      <c r="D2455" s="19" t="n">
        <v>0.2688</v>
      </c>
      <c r="E2455" s="20" t="n">
        <f aca="false">Parametres!$B$5*C2455</f>
        <v>0</v>
      </c>
      <c r="F2455" s="20" t="n">
        <f aca="false">Parametres!$B$6*D2455</f>
        <v>53.76</v>
      </c>
      <c r="G2455" s="20" t="n">
        <f aca="false">E2455+F2455</f>
        <v>53.76</v>
      </c>
      <c r="H2455" s="20" t="n">
        <f aca="false">IF(G2455&lt;Parametres!$B$8*Parametres!$B$7,0,MIN(G2455,Parametres!$B$7))</f>
        <v>53.76</v>
      </c>
      <c r="I2455" s="20" t="n">
        <f aca="false">G2455-H2455</f>
        <v>0</v>
      </c>
      <c r="J2455" s="21" t="n">
        <f aca="false">H2455*1000/Parametres!$B$9</f>
        <v>911.649991521113</v>
      </c>
    </row>
    <row r="2456" customFormat="false" ht="15" hidden="false" customHeight="false" outlineLevel="0" collapsed="false">
      <c r="A2456" s="0" t="n">
        <v>2452</v>
      </c>
      <c r="B2456" s="0" t="n">
        <v>4</v>
      </c>
      <c r="C2456" s="19" t="n">
        <v>0</v>
      </c>
      <c r="D2456" s="19" t="n">
        <v>0.3318</v>
      </c>
      <c r="E2456" s="20" t="n">
        <f aca="false">Parametres!$B$5*C2456</f>
        <v>0</v>
      </c>
      <c r="F2456" s="20" t="n">
        <f aca="false">Parametres!$B$6*D2456</f>
        <v>66.36</v>
      </c>
      <c r="G2456" s="20" t="n">
        <f aca="false">E2456+F2456</f>
        <v>66.36</v>
      </c>
      <c r="H2456" s="20" t="n">
        <f aca="false">IF(G2456&lt;Parametres!$B$8*Parametres!$B$7,0,MIN(G2456,Parametres!$B$7))</f>
        <v>66.36</v>
      </c>
      <c r="I2456" s="20" t="n">
        <f aca="false">G2456-H2456</f>
        <v>0</v>
      </c>
      <c r="J2456" s="21" t="n">
        <f aca="false">H2456*1000/Parametres!$B$9</f>
        <v>1125.31795828387</v>
      </c>
    </row>
    <row r="2457" customFormat="false" ht="15" hidden="false" customHeight="false" outlineLevel="0" collapsed="false">
      <c r="A2457" s="0" t="n">
        <v>2453</v>
      </c>
      <c r="B2457" s="0" t="n">
        <v>4</v>
      </c>
      <c r="C2457" s="19" t="n">
        <v>0</v>
      </c>
      <c r="D2457" s="19" t="n">
        <v>0.4049</v>
      </c>
      <c r="E2457" s="20" t="n">
        <f aca="false">Parametres!$B$5*C2457</f>
        <v>0</v>
      </c>
      <c r="F2457" s="20" t="n">
        <f aca="false">Parametres!$B$6*D2457</f>
        <v>80.98</v>
      </c>
      <c r="G2457" s="20" t="n">
        <f aca="false">E2457+F2457</f>
        <v>80.98</v>
      </c>
      <c r="H2457" s="20" t="n">
        <f aca="false">IF(G2457&lt;Parametres!$B$8*Parametres!$B$7,0,MIN(G2457,Parametres!$B$7))</f>
        <v>80.98</v>
      </c>
      <c r="I2457" s="20" t="n">
        <f aca="false">G2457-H2457</f>
        <v>0</v>
      </c>
      <c r="J2457" s="21" t="n">
        <f aca="false">H2457*1000/Parametres!$B$9</f>
        <v>1373.24063082924</v>
      </c>
    </row>
    <row r="2458" customFormat="false" ht="15" hidden="false" customHeight="false" outlineLevel="0" collapsed="false">
      <c r="A2458" s="0" t="n">
        <v>2454</v>
      </c>
      <c r="B2458" s="0" t="n">
        <v>4</v>
      </c>
      <c r="C2458" s="19" t="n">
        <v>0</v>
      </c>
      <c r="D2458" s="19" t="n">
        <v>0.4303</v>
      </c>
      <c r="E2458" s="20" t="n">
        <f aca="false">Parametres!$B$5*C2458</f>
        <v>0</v>
      </c>
      <c r="F2458" s="20" t="n">
        <f aca="false">Parametres!$B$6*D2458</f>
        <v>86.06</v>
      </c>
      <c r="G2458" s="20" t="n">
        <f aca="false">E2458+F2458</f>
        <v>86.06</v>
      </c>
      <c r="H2458" s="20" t="n">
        <f aca="false">IF(G2458&lt;Parametres!$B$8*Parametres!$B$7,0,MIN(G2458,Parametres!$B$7))</f>
        <v>86.06</v>
      </c>
      <c r="I2458" s="20" t="n">
        <f aca="false">G2458-H2458</f>
        <v>0</v>
      </c>
      <c r="J2458" s="21" t="n">
        <f aca="false">H2458*1000/Parametres!$B$9</f>
        <v>1459.38612853994</v>
      </c>
    </row>
    <row r="2459" customFormat="false" ht="15" hidden="false" customHeight="false" outlineLevel="0" collapsed="false">
      <c r="A2459" s="0" t="n">
        <v>2455</v>
      </c>
      <c r="B2459" s="0" t="n">
        <v>4</v>
      </c>
      <c r="C2459" s="19" t="n">
        <v>0.1647</v>
      </c>
      <c r="D2459" s="19" t="n">
        <v>0.4939</v>
      </c>
      <c r="E2459" s="20" t="n">
        <f aca="false">Parametres!$B$5*C2459</f>
        <v>49.41</v>
      </c>
      <c r="F2459" s="20" t="n">
        <f aca="false">Parametres!$B$6*D2459</f>
        <v>98.78</v>
      </c>
      <c r="G2459" s="20" t="n">
        <f aca="false">E2459+F2459</f>
        <v>148.19</v>
      </c>
      <c r="H2459" s="20" t="n">
        <f aca="false">IF(G2459&lt;Parametres!$B$8*Parametres!$B$7,0,MIN(G2459,Parametres!$B$7))</f>
        <v>148.19</v>
      </c>
      <c r="I2459" s="20" t="n">
        <f aca="false">G2459-H2459</f>
        <v>0</v>
      </c>
      <c r="J2459" s="21" t="n">
        <f aca="false">H2459*1000/Parametres!$B$9</f>
        <v>2512.97269798203</v>
      </c>
    </row>
    <row r="2460" customFormat="false" ht="15" hidden="false" customHeight="false" outlineLevel="0" collapsed="false">
      <c r="A2460" s="0" t="n">
        <v>2456</v>
      </c>
      <c r="B2460" s="0" t="n">
        <v>4</v>
      </c>
      <c r="C2460" s="19" t="n">
        <v>0.4165</v>
      </c>
      <c r="D2460" s="19" t="n">
        <v>0.6257</v>
      </c>
      <c r="E2460" s="20" t="n">
        <f aca="false">Parametres!$B$5*C2460</f>
        <v>124.95</v>
      </c>
      <c r="F2460" s="20" t="n">
        <f aca="false">Parametres!$B$6*D2460</f>
        <v>125.14</v>
      </c>
      <c r="G2460" s="20" t="n">
        <f aca="false">E2460+F2460</f>
        <v>250.09</v>
      </c>
      <c r="H2460" s="20" t="n">
        <f aca="false">IF(G2460&lt;Parametres!$B$8*Parametres!$B$7,0,MIN(G2460,Parametres!$B$7))</f>
        <v>250</v>
      </c>
      <c r="I2460" s="20" t="n">
        <f aca="false">G2460-H2460</f>
        <v>0.089999999999975</v>
      </c>
      <c r="J2460" s="21" t="n">
        <f aca="false">H2460*1000/Parametres!$B$9</f>
        <v>4239.44378497541</v>
      </c>
    </row>
    <row r="2461" customFormat="false" ht="15" hidden="false" customHeight="false" outlineLevel="0" collapsed="false">
      <c r="A2461" s="0" t="n">
        <v>2457</v>
      </c>
      <c r="B2461" s="0" t="n">
        <v>4</v>
      </c>
      <c r="C2461" s="19" t="n">
        <v>0.6897</v>
      </c>
      <c r="D2461" s="19" t="n">
        <v>0.329</v>
      </c>
      <c r="E2461" s="20" t="n">
        <f aca="false">Parametres!$B$5*C2461</f>
        <v>206.91</v>
      </c>
      <c r="F2461" s="20" t="n">
        <f aca="false">Parametres!$B$6*D2461</f>
        <v>65.8</v>
      </c>
      <c r="G2461" s="20" t="n">
        <f aca="false">E2461+F2461</f>
        <v>272.71</v>
      </c>
      <c r="H2461" s="20" t="n">
        <f aca="false">IF(G2461&lt;Parametres!$B$8*Parametres!$B$7,0,MIN(G2461,Parametres!$B$7))</f>
        <v>250</v>
      </c>
      <c r="I2461" s="20" t="n">
        <f aca="false">G2461-H2461</f>
        <v>22.71</v>
      </c>
      <c r="J2461" s="21" t="n">
        <f aca="false">H2461*1000/Parametres!$B$9</f>
        <v>4239.44378497541</v>
      </c>
    </row>
    <row r="2462" customFormat="false" ht="15" hidden="false" customHeight="false" outlineLevel="0" collapsed="false">
      <c r="A2462" s="0" t="n">
        <v>2458</v>
      </c>
      <c r="B2462" s="0" t="n">
        <v>4</v>
      </c>
      <c r="C2462" s="19" t="n">
        <v>0.931</v>
      </c>
      <c r="D2462" s="19" t="n">
        <v>0.4394</v>
      </c>
      <c r="E2462" s="20" t="n">
        <f aca="false">Parametres!$B$5*C2462</f>
        <v>279.3</v>
      </c>
      <c r="F2462" s="20" t="n">
        <f aca="false">Parametres!$B$6*D2462</f>
        <v>87.88</v>
      </c>
      <c r="G2462" s="20" t="n">
        <f aca="false">E2462+F2462</f>
        <v>367.18</v>
      </c>
      <c r="H2462" s="20" t="n">
        <f aca="false">IF(G2462&lt;Parametres!$B$8*Parametres!$B$7,0,MIN(G2462,Parametres!$B$7))</f>
        <v>250</v>
      </c>
      <c r="I2462" s="20" t="n">
        <f aca="false">G2462-H2462</f>
        <v>117.18</v>
      </c>
      <c r="J2462" s="21" t="n">
        <f aca="false">H2462*1000/Parametres!$B$9</f>
        <v>4239.44378497541</v>
      </c>
    </row>
    <row r="2463" customFormat="false" ht="15" hidden="false" customHeight="false" outlineLevel="0" collapsed="false">
      <c r="A2463" s="0" t="n">
        <v>2459</v>
      </c>
      <c r="B2463" s="0" t="n">
        <v>4</v>
      </c>
      <c r="C2463" s="19" t="n">
        <v>1</v>
      </c>
      <c r="D2463" s="19" t="n">
        <v>0.7182</v>
      </c>
      <c r="E2463" s="20" t="n">
        <f aca="false">Parametres!$B$5*C2463</f>
        <v>300</v>
      </c>
      <c r="F2463" s="20" t="n">
        <f aca="false">Parametres!$B$6*D2463</f>
        <v>143.64</v>
      </c>
      <c r="G2463" s="20" t="n">
        <f aca="false">E2463+F2463</f>
        <v>443.64</v>
      </c>
      <c r="H2463" s="20" t="n">
        <f aca="false">IF(G2463&lt;Parametres!$B$8*Parametres!$B$7,0,MIN(G2463,Parametres!$B$7))</f>
        <v>250</v>
      </c>
      <c r="I2463" s="20" t="n">
        <f aca="false">G2463-H2463</f>
        <v>193.64</v>
      </c>
      <c r="J2463" s="21" t="n">
        <f aca="false">H2463*1000/Parametres!$B$9</f>
        <v>4239.44378497541</v>
      </c>
    </row>
    <row r="2464" customFormat="false" ht="15" hidden="false" customHeight="false" outlineLevel="0" collapsed="false">
      <c r="A2464" s="0" t="n">
        <v>2460</v>
      </c>
      <c r="B2464" s="0" t="n">
        <v>4</v>
      </c>
      <c r="C2464" s="19" t="n">
        <v>1</v>
      </c>
      <c r="D2464" s="19" t="n">
        <v>0.904</v>
      </c>
      <c r="E2464" s="20" t="n">
        <f aca="false">Parametres!$B$5*C2464</f>
        <v>300</v>
      </c>
      <c r="F2464" s="20" t="n">
        <f aca="false">Parametres!$B$6*D2464</f>
        <v>180.8</v>
      </c>
      <c r="G2464" s="20" t="n">
        <f aca="false">E2464+F2464</f>
        <v>480.8</v>
      </c>
      <c r="H2464" s="20" t="n">
        <f aca="false">IF(G2464&lt;Parametres!$B$8*Parametres!$B$7,0,MIN(G2464,Parametres!$B$7))</f>
        <v>250</v>
      </c>
      <c r="I2464" s="20" t="n">
        <f aca="false">G2464-H2464</f>
        <v>230.8</v>
      </c>
      <c r="J2464" s="21" t="n">
        <f aca="false">H2464*1000/Parametres!$B$9</f>
        <v>4239.44378497541</v>
      </c>
    </row>
    <row r="2465" customFormat="false" ht="15" hidden="false" customHeight="false" outlineLevel="0" collapsed="false">
      <c r="A2465" s="0" t="n">
        <v>2461</v>
      </c>
      <c r="B2465" s="0" t="n">
        <v>4</v>
      </c>
      <c r="C2465" s="19" t="n">
        <v>1</v>
      </c>
      <c r="D2465" s="19" t="n">
        <v>1</v>
      </c>
      <c r="E2465" s="20" t="n">
        <f aca="false">Parametres!$B$5*C2465</f>
        <v>300</v>
      </c>
      <c r="F2465" s="20" t="n">
        <f aca="false">Parametres!$B$6*D2465</f>
        <v>200</v>
      </c>
      <c r="G2465" s="20" t="n">
        <f aca="false">E2465+F2465</f>
        <v>500</v>
      </c>
      <c r="H2465" s="20" t="n">
        <f aca="false">IF(G2465&lt;Parametres!$B$8*Parametres!$B$7,0,MIN(G2465,Parametres!$B$7))</f>
        <v>250</v>
      </c>
      <c r="I2465" s="20" t="n">
        <f aca="false">G2465-H2465</f>
        <v>250</v>
      </c>
      <c r="J2465" s="21" t="n">
        <f aca="false">H2465*1000/Parametres!$B$9</f>
        <v>4239.44378497541</v>
      </c>
    </row>
    <row r="2466" customFormat="false" ht="15" hidden="false" customHeight="false" outlineLevel="0" collapsed="false">
      <c r="A2466" s="0" t="n">
        <v>2462</v>
      </c>
      <c r="B2466" s="0" t="n">
        <v>4</v>
      </c>
      <c r="C2466" s="19" t="n">
        <v>1</v>
      </c>
      <c r="D2466" s="19" t="n">
        <v>1</v>
      </c>
      <c r="E2466" s="20" t="n">
        <f aca="false">Parametres!$B$5*C2466</f>
        <v>300</v>
      </c>
      <c r="F2466" s="20" t="n">
        <f aca="false">Parametres!$B$6*D2466</f>
        <v>200</v>
      </c>
      <c r="G2466" s="20" t="n">
        <f aca="false">E2466+F2466</f>
        <v>500</v>
      </c>
      <c r="H2466" s="20" t="n">
        <f aca="false">IF(G2466&lt;Parametres!$B$8*Parametres!$B$7,0,MIN(G2466,Parametres!$B$7))</f>
        <v>250</v>
      </c>
      <c r="I2466" s="20" t="n">
        <f aca="false">G2466-H2466</f>
        <v>250</v>
      </c>
      <c r="J2466" s="21" t="n">
        <f aca="false">H2466*1000/Parametres!$B$9</f>
        <v>4239.44378497541</v>
      </c>
    </row>
    <row r="2467" customFormat="false" ht="15" hidden="false" customHeight="false" outlineLevel="0" collapsed="false">
      <c r="A2467" s="0" t="n">
        <v>2463</v>
      </c>
      <c r="B2467" s="0" t="n">
        <v>4</v>
      </c>
      <c r="C2467" s="19" t="n">
        <v>0.9162</v>
      </c>
      <c r="D2467" s="19" t="n">
        <v>1</v>
      </c>
      <c r="E2467" s="20" t="n">
        <f aca="false">Parametres!$B$5*C2467</f>
        <v>274.86</v>
      </c>
      <c r="F2467" s="20" t="n">
        <f aca="false">Parametres!$B$6*D2467</f>
        <v>200</v>
      </c>
      <c r="G2467" s="20" t="n">
        <f aca="false">E2467+F2467</f>
        <v>474.86</v>
      </c>
      <c r="H2467" s="20" t="n">
        <f aca="false">IF(G2467&lt;Parametres!$B$8*Parametres!$B$7,0,MIN(G2467,Parametres!$B$7))</f>
        <v>250</v>
      </c>
      <c r="I2467" s="20" t="n">
        <f aca="false">G2467-H2467</f>
        <v>224.86</v>
      </c>
      <c r="J2467" s="21" t="n">
        <f aca="false">H2467*1000/Parametres!$B$9</f>
        <v>4239.44378497541</v>
      </c>
    </row>
    <row r="2468" customFormat="false" ht="15" hidden="false" customHeight="false" outlineLevel="0" collapsed="false">
      <c r="A2468" s="0" t="n">
        <v>2464</v>
      </c>
      <c r="B2468" s="0" t="n">
        <v>4</v>
      </c>
      <c r="C2468" s="19" t="n">
        <v>0.7039</v>
      </c>
      <c r="D2468" s="19" t="n">
        <v>1</v>
      </c>
      <c r="E2468" s="20" t="n">
        <f aca="false">Parametres!$B$5*C2468</f>
        <v>211.17</v>
      </c>
      <c r="F2468" s="20" t="n">
        <f aca="false">Parametres!$B$6*D2468</f>
        <v>200</v>
      </c>
      <c r="G2468" s="20" t="n">
        <f aca="false">E2468+F2468</f>
        <v>411.17</v>
      </c>
      <c r="H2468" s="20" t="n">
        <f aca="false">IF(G2468&lt;Parametres!$B$8*Parametres!$B$7,0,MIN(G2468,Parametres!$B$7))</f>
        <v>250</v>
      </c>
      <c r="I2468" s="20" t="n">
        <f aca="false">G2468-H2468</f>
        <v>161.17</v>
      </c>
      <c r="J2468" s="21" t="n">
        <f aca="false">H2468*1000/Parametres!$B$9</f>
        <v>4239.44378497541</v>
      </c>
    </row>
    <row r="2469" customFormat="false" ht="15" hidden="false" customHeight="false" outlineLevel="0" collapsed="false">
      <c r="A2469" s="0" t="n">
        <v>2465</v>
      </c>
      <c r="B2469" s="0" t="n">
        <v>4</v>
      </c>
      <c r="C2469" s="19" t="n">
        <v>0.4211</v>
      </c>
      <c r="D2469" s="19" t="n">
        <v>1</v>
      </c>
      <c r="E2469" s="20" t="n">
        <f aca="false">Parametres!$B$5*C2469</f>
        <v>126.33</v>
      </c>
      <c r="F2469" s="20" t="n">
        <f aca="false">Parametres!$B$6*D2469</f>
        <v>200</v>
      </c>
      <c r="G2469" s="20" t="n">
        <f aca="false">E2469+F2469</f>
        <v>326.33</v>
      </c>
      <c r="H2469" s="20" t="n">
        <f aca="false">IF(G2469&lt;Parametres!$B$8*Parametres!$B$7,0,MIN(G2469,Parametres!$B$7))</f>
        <v>250</v>
      </c>
      <c r="I2469" s="20" t="n">
        <f aca="false">G2469-H2469</f>
        <v>76.33</v>
      </c>
      <c r="J2469" s="21" t="n">
        <f aca="false">H2469*1000/Parametres!$B$9</f>
        <v>4239.44378497541</v>
      </c>
    </row>
    <row r="2470" customFormat="false" ht="15" hidden="false" customHeight="false" outlineLevel="0" collapsed="false">
      <c r="A2470" s="0" t="n">
        <v>2466</v>
      </c>
      <c r="B2470" s="0" t="n">
        <v>4</v>
      </c>
      <c r="C2470" s="19" t="n">
        <v>0.1772</v>
      </c>
      <c r="D2470" s="19" t="n">
        <v>1</v>
      </c>
      <c r="E2470" s="20" t="n">
        <f aca="false">Parametres!$B$5*C2470</f>
        <v>53.16</v>
      </c>
      <c r="F2470" s="20" t="n">
        <f aca="false">Parametres!$B$6*D2470</f>
        <v>200</v>
      </c>
      <c r="G2470" s="20" t="n">
        <f aca="false">E2470+F2470</f>
        <v>253.16</v>
      </c>
      <c r="H2470" s="20" t="n">
        <f aca="false">IF(G2470&lt;Parametres!$B$8*Parametres!$B$7,0,MIN(G2470,Parametres!$B$7))</f>
        <v>250</v>
      </c>
      <c r="I2470" s="20" t="n">
        <f aca="false">G2470-H2470</f>
        <v>3.16</v>
      </c>
      <c r="J2470" s="21" t="n">
        <f aca="false">H2470*1000/Parametres!$B$9</f>
        <v>4239.44378497541</v>
      </c>
    </row>
    <row r="2471" customFormat="false" ht="15" hidden="false" customHeight="false" outlineLevel="0" collapsed="false">
      <c r="A2471" s="0" t="n">
        <v>2467</v>
      </c>
      <c r="B2471" s="0" t="n">
        <v>4</v>
      </c>
      <c r="C2471" s="19" t="n">
        <v>0</v>
      </c>
      <c r="D2471" s="19" t="n">
        <v>1</v>
      </c>
      <c r="E2471" s="20" t="n">
        <f aca="false">Parametres!$B$5*C2471</f>
        <v>0</v>
      </c>
      <c r="F2471" s="20" t="n">
        <f aca="false">Parametres!$B$6*D2471</f>
        <v>200</v>
      </c>
      <c r="G2471" s="20" t="n">
        <f aca="false">E2471+F2471</f>
        <v>200</v>
      </c>
      <c r="H2471" s="20" t="n">
        <f aca="false">IF(G2471&lt;Parametres!$B$8*Parametres!$B$7,0,MIN(G2471,Parametres!$B$7))</f>
        <v>200</v>
      </c>
      <c r="I2471" s="20" t="n">
        <f aca="false">G2471-H2471</f>
        <v>0</v>
      </c>
      <c r="J2471" s="21" t="n">
        <f aca="false">H2471*1000/Parametres!$B$9</f>
        <v>3391.55502798033</v>
      </c>
    </row>
    <row r="2472" customFormat="false" ht="15" hidden="false" customHeight="false" outlineLevel="0" collapsed="false">
      <c r="A2472" s="0" t="n">
        <v>2468</v>
      </c>
      <c r="B2472" s="0" t="n">
        <v>4</v>
      </c>
      <c r="C2472" s="19" t="n">
        <v>0</v>
      </c>
      <c r="D2472" s="19" t="n">
        <v>1</v>
      </c>
      <c r="E2472" s="20" t="n">
        <f aca="false">Parametres!$B$5*C2472</f>
        <v>0</v>
      </c>
      <c r="F2472" s="20" t="n">
        <f aca="false">Parametres!$B$6*D2472</f>
        <v>200</v>
      </c>
      <c r="G2472" s="20" t="n">
        <f aca="false">E2472+F2472</f>
        <v>200</v>
      </c>
      <c r="H2472" s="20" t="n">
        <f aca="false">IF(G2472&lt;Parametres!$B$8*Parametres!$B$7,0,MIN(G2472,Parametres!$B$7))</f>
        <v>200</v>
      </c>
      <c r="I2472" s="20" t="n">
        <f aca="false">G2472-H2472</f>
        <v>0</v>
      </c>
      <c r="J2472" s="21" t="n">
        <f aca="false">H2472*1000/Parametres!$B$9</f>
        <v>3391.55502798033</v>
      </c>
    </row>
    <row r="2473" customFormat="false" ht="15" hidden="false" customHeight="false" outlineLevel="0" collapsed="false">
      <c r="A2473" s="0" t="n">
        <v>2469</v>
      </c>
      <c r="B2473" s="0" t="n">
        <v>4</v>
      </c>
      <c r="C2473" s="19" t="n">
        <v>0</v>
      </c>
      <c r="D2473" s="19" t="n">
        <v>1</v>
      </c>
      <c r="E2473" s="20" t="n">
        <f aca="false">Parametres!$B$5*C2473</f>
        <v>0</v>
      </c>
      <c r="F2473" s="20" t="n">
        <f aca="false">Parametres!$B$6*D2473</f>
        <v>200</v>
      </c>
      <c r="G2473" s="20" t="n">
        <f aca="false">E2473+F2473</f>
        <v>200</v>
      </c>
      <c r="H2473" s="20" t="n">
        <f aca="false">IF(G2473&lt;Parametres!$B$8*Parametres!$B$7,0,MIN(G2473,Parametres!$B$7))</f>
        <v>200</v>
      </c>
      <c r="I2473" s="20" t="n">
        <f aca="false">G2473-H2473</f>
        <v>0</v>
      </c>
      <c r="J2473" s="21" t="n">
        <f aca="false">H2473*1000/Parametres!$B$9</f>
        <v>3391.55502798033</v>
      </c>
    </row>
    <row r="2474" customFormat="false" ht="15" hidden="false" customHeight="false" outlineLevel="0" collapsed="false">
      <c r="A2474" s="0" t="n">
        <v>2470</v>
      </c>
      <c r="B2474" s="0" t="n">
        <v>4</v>
      </c>
      <c r="C2474" s="19" t="n">
        <v>0</v>
      </c>
      <c r="D2474" s="19" t="n">
        <v>1</v>
      </c>
      <c r="E2474" s="20" t="n">
        <f aca="false">Parametres!$B$5*C2474</f>
        <v>0</v>
      </c>
      <c r="F2474" s="20" t="n">
        <f aca="false">Parametres!$B$6*D2474</f>
        <v>200</v>
      </c>
      <c r="G2474" s="20" t="n">
        <f aca="false">E2474+F2474</f>
        <v>200</v>
      </c>
      <c r="H2474" s="20" t="n">
        <f aca="false">IF(G2474&lt;Parametres!$B$8*Parametres!$B$7,0,MIN(G2474,Parametres!$B$7))</f>
        <v>200</v>
      </c>
      <c r="I2474" s="20" t="n">
        <f aca="false">G2474-H2474</f>
        <v>0</v>
      </c>
      <c r="J2474" s="21" t="n">
        <f aca="false">H2474*1000/Parametres!$B$9</f>
        <v>3391.55502798033</v>
      </c>
    </row>
    <row r="2475" customFormat="false" ht="15" hidden="false" customHeight="false" outlineLevel="0" collapsed="false">
      <c r="A2475" s="0" t="n">
        <v>2471</v>
      </c>
      <c r="B2475" s="0" t="n">
        <v>4</v>
      </c>
      <c r="C2475" s="19" t="n">
        <v>0</v>
      </c>
      <c r="D2475" s="19" t="n">
        <v>1</v>
      </c>
      <c r="E2475" s="20" t="n">
        <f aca="false">Parametres!$B$5*C2475</f>
        <v>0</v>
      </c>
      <c r="F2475" s="20" t="n">
        <f aca="false">Parametres!$B$6*D2475</f>
        <v>200</v>
      </c>
      <c r="G2475" s="20" t="n">
        <f aca="false">E2475+F2475</f>
        <v>200</v>
      </c>
      <c r="H2475" s="20" t="n">
        <f aca="false">IF(G2475&lt;Parametres!$B$8*Parametres!$B$7,0,MIN(G2475,Parametres!$B$7))</f>
        <v>200</v>
      </c>
      <c r="I2475" s="20" t="n">
        <f aca="false">G2475-H2475</f>
        <v>0</v>
      </c>
      <c r="J2475" s="21" t="n">
        <f aca="false">H2475*1000/Parametres!$B$9</f>
        <v>3391.55502798033</v>
      </c>
    </row>
    <row r="2476" customFormat="false" ht="15" hidden="false" customHeight="false" outlineLevel="0" collapsed="false">
      <c r="A2476" s="0" t="n">
        <v>2472</v>
      </c>
      <c r="B2476" s="0" t="n">
        <v>4</v>
      </c>
      <c r="C2476" s="19" t="n">
        <v>0</v>
      </c>
      <c r="D2476" s="19" t="n">
        <v>1</v>
      </c>
      <c r="E2476" s="20" t="n">
        <f aca="false">Parametres!$B$5*C2476</f>
        <v>0</v>
      </c>
      <c r="F2476" s="20" t="n">
        <f aca="false">Parametres!$B$6*D2476</f>
        <v>200</v>
      </c>
      <c r="G2476" s="20" t="n">
        <f aca="false">E2476+F2476</f>
        <v>200</v>
      </c>
      <c r="H2476" s="20" t="n">
        <f aca="false">IF(G2476&lt;Parametres!$B$8*Parametres!$B$7,0,MIN(G2476,Parametres!$B$7))</f>
        <v>200</v>
      </c>
      <c r="I2476" s="20" t="n">
        <f aca="false">G2476-H2476</f>
        <v>0</v>
      </c>
      <c r="J2476" s="21" t="n">
        <f aca="false">H2476*1000/Parametres!$B$9</f>
        <v>3391.55502798033</v>
      </c>
    </row>
    <row r="2477" customFormat="false" ht="15" hidden="false" customHeight="false" outlineLevel="0" collapsed="false">
      <c r="A2477" s="0" t="n">
        <v>2473</v>
      </c>
      <c r="B2477" s="0" t="n">
        <v>4</v>
      </c>
      <c r="C2477" s="19" t="n">
        <v>0</v>
      </c>
      <c r="D2477" s="19" t="n">
        <v>1</v>
      </c>
      <c r="E2477" s="20" t="n">
        <f aca="false">Parametres!$B$5*C2477</f>
        <v>0</v>
      </c>
      <c r="F2477" s="20" t="n">
        <f aca="false">Parametres!$B$6*D2477</f>
        <v>200</v>
      </c>
      <c r="G2477" s="20" t="n">
        <f aca="false">E2477+F2477</f>
        <v>200</v>
      </c>
      <c r="H2477" s="20" t="n">
        <f aca="false">IF(G2477&lt;Parametres!$B$8*Parametres!$B$7,0,MIN(G2477,Parametres!$B$7))</f>
        <v>200</v>
      </c>
      <c r="I2477" s="20" t="n">
        <f aca="false">G2477-H2477</f>
        <v>0</v>
      </c>
      <c r="J2477" s="21" t="n">
        <f aca="false">H2477*1000/Parametres!$B$9</f>
        <v>3391.55502798033</v>
      </c>
    </row>
    <row r="2478" customFormat="false" ht="15" hidden="false" customHeight="false" outlineLevel="0" collapsed="false">
      <c r="A2478" s="0" t="n">
        <v>2474</v>
      </c>
      <c r="B2478" s="0" t="n">
        <v>4</v>
      </c>
      <c r="C2478" s="19" t="n">
        <v>0</v>
      </c>
      <c r="D2478" s="19" t="n">
        <v>1</v>
      </c>
      <c r="E2478" s="20" t="n">
        <f aca="false">Parametres!$B$5*C2478</f>
        <v>0</v>
      </c>
      <c r="F2478" s="20" t="n">
        <f aca="false">Parametres!$B$6*D2478</f>
        <v>200</v>
      </c>
      <c r="G2478" s="20" t="n">
        <f aca="false">E2478+F2478</f>
        <v>200</v>
      </c>
      <c r="H2478" s="20" t="n">
        <f aca="false">IF(G2478&lt;Parametres!$B$8*Parametres!$B$7,0,MIN(G2478,Parametres!$B$7))</f>
        <v>200</v>
      </c>
      <c r="I2478" s="20" t="n">
        <f aca="false">G2478-H2478</f>
        <v>0</v>
      </c>
      <c r="J2478" s="21" t="n">
        <f aca="false">H2478*1000/Parametres!$B$9</f>
        <v>3391.55502798033</v>
      </c>
    </row>
    <row r="2479" customFormat="false" ht="15" hidden="false" customHeight="false" outlineLevel="0" collapsed="false">
      <c r="A2479" s="0" t="n">
        <v>2475</v>
      </c>
      <c r="B2479" s="0" t="n">
        <v>4</v>
      </c>
      <c r="C2479" s="19" t="n">
        <v>0</v>
      </c>
      <c r="D2479" s="19" t="n">
        <v>0.7721</v>
      </c>
      <c r="E2479" s="20" t="n">
        <f aca="false">Parametres!$B$5*C2479</f>
        <v>0</v>
      </c>
      <c r="F2479" s="20" t="n">
        <f aca="false">Parametres!$B$6*D2479</f>
        <v>154.42</v>
      </c>
      <c r="G2479" s="20" t="n">
        <f aca="false">E2479+F2479</f>
        <v>154.42</v>
      </c>
      <c r="H2479" s="20" t="n">
        <f aca="false">IF(G2479&lt;Parametres!$B$8*Parametres!$B$7,0,MIN(G2479,Parametres!$B$7))</f>
        <v>154.42</v>
      </c>
      <c r="I2479" s="20" t="n">
        <f aca="false">G2479-H2479</f>
        <v>0</v>
      </c>
      <c r="J2479" s="21" t="n">
        <f aca="false">H2479*1000/Parametres!$B$9</f>
        <v>2618.61963710361</v>
      </c>
    </row>
    <row r="2480" customFormat="false" ht="15" hidden="false" customHeight="false" outlineLevel="0" collapsed="false">
      <c r="A2480" s="0" t="n">
        <v>2476</v>
      </c>
      <c r="B2480" s="0" t="n">
        <v>4</v>
      </c>
      <c r="C2480" s="19" t="n">
        <v>0</v>
      </c>
      <c r="D2480" s="19" t="n">
        <v>1</v>
      </c>
      <c r="E2480" s="20" t="n">
        <f aca="false">Parametres!$B$5*C2480</f>
        <v>0</v>
      </c>
      <c r="F2480" s="20" t="n">
        <f aca="false">Parametres!$B$6*D2480</f>
        <v>200</v>
      </c>
      <c r="G2480" s="20" t="n">
        <f aca="false">E2480+F2480</f>
        <v>200</v>
      </c>
      <c r="H2480" s="20" t="n">
        <f aca="false">IF(G2480&lt;Parametres!$B$8*Parametres!$B$7,0,MIN(G2480,Parametres!$B$7))</f>
        <v>200</v>
      </c>
      <c r="I2480" s="20" t="n">
        <f aca="false">G2480-H2480</f>
        <v>0</v>
      </c>
      <c r="J2480" s="21" t="n">
        <f aca="false">H2480*1000/Parametres!$B$9</f>
        <v>3391.55502798033</v>
      </c>
    </row>
    <row r="2481" customFormat="false" ht="15" hidden="false" customHeight="false" outlineLevel="0" collapsed="false">
      <c r="A2481" s="0" t="n">
        <v>2477</v>
      </c>
      <c r="B2481" s="0" t="n">
        <v>4</v>
      </c>
      <c r="C2481" s="19" t="n">
        <v>0</v>
      </c>
      <c r="D2481" s="19" t="n">
        <v>1</v>
      </c>
      <c r="E2481" s="20" t="n">
        <f aca="false">Parametres!$B$5*C2481</f>
        <v>0</v>
      </c>
      <c r="F2481" s="20" t="n">
        <f aca="false">Parametres!$B$6*D2481</f>
        <v>200</v>
      </c>
      <c r="G2481" s="20" t="n">
        <f aca="false">E2481+F2481</f>
        <v>200</v>
      </c>
      <c r="H2481" s="20" t="n">
        <f aca="false">IF(G2481&lt;Parametres!$B$8*Parametres!$B$7,0,MIN(G2481,Parametres!$B$7))</f>
        <v>200</v>
      </c>
      <c r="I2481" s="20" t="n">
        <f aca="false">G2481-H2481</f>
        <v>0</v>
      </c>
      <c r="J2481" s="21" t="n">
        <f aca="false">H2481*1000/Parametres!$B$9</f>
        <v>3391.55502798033</v>
      </c>
    </row>
    <row r="2482" customFormat="false" ht="15" hidden="false" customHeight="false" outlineLevel="0" collapsed="false">
      <c r="A2482" s="0" t="n">
        <v>2478</v>
      </c>
      <c r="B2482" s="0" t="n">
        <v>4</v>
      </c>
      <c r="C2482" s="19" t="n">
        <v>0</v>
      </c>
      <c r="D2482" s="19" t="n">
        <v>1</v>
      </c>
      <c r="E2482" s="20" t="n">
        <f aca="false">Parametres!$B$5*C2482</f>
        <v>0</v>
      </c>
      <c r="F2482" s="20" t="n">
        <f aca="false">Parametres!$B$6*D2482</f>
        <v>200</v>
      </c>
      <c r="G2482" s="20" t="n">
        <f aca="false">E2482+F2482</f>
        <v>200</v>
      </c>
      <c r="H2482" s="20" t="n">
        <f aca="false">IF(G2482&lt;Parametres!$B$8*Parametres!$B$7,0,MIN(G2482,Parametres!$B$7))</f>
        <v>200</v>
      </c>
      <c r="I2482" s="20" t="n">
        <f aca="false">G2482-H2482</f>
        <v>0</v>
      </c>
      <c r="J2482" s="21" t="n">
        <f aca="false">H2482*1000/Parametres!$B$9</f>
        <v>3391.55502798033</v>
      </c>
    </row>
    <row r="2483" customFormat="false" ht="15" hidden="false" customHeight="false" outlineLevel="0" collapsed="false">
      <c r="A2483" s="0" t="n">
        <v>2479</v>
      </c>
      <c r="B2483" s="0" t="n">
        <v>4</v>
      </c>
      <c r="C2483" s="19" t="n">
        <v>0.1903</v>
      </c>
      <c r="D2483" s="19" t="n">
        <v>1</v>
      </c>
      <c r="E2483" s="20" t="n">
        <f aca="false">Parametres!$B$5*C2483</f>
        <v>57.09</v>
      </c>
      <c r="F2483" s="20" t="n">
        <f aca="false">Parametres!$B$6*D2483</f>
        <v>200</v>
      </c>
      <c r="G2483" s="20" t="n">
        <f aca="false">E2483+F2483</f>
        <v>257.09</v>
      </c>
      <c r="H2483" s="20" t="n">
        <f aca="false">IF(G2483&lt;Parametres!$B$8*Parametres!$B$7,0,MIN(G2483,Parametres!$B$7))</f>
        <v>250</v>
      </c>
      <c r="I2483" s="20" t="n">
        <f aca="false">G2483-H2483</f>
        <v>7.08999999999998</v>
      </c>
      <c r="J2483" s="21" t="n">
        <f aca="false">H2483*1000/Parametres!$B$9</f>
        <v>4239.44378497541</v>
      </c>
    </row>
    <row r="2484" customFormat="false" ht="15" hidden="false" customHeight="false" outlineLevel="0" collapsed="false">
      <c r="A2484" s="0" t="n">
        <v>2480</v>
      </c>
      <c r="B2484" s="0" t="n">
        <v>4</v>
      </c>
      <c r="C2484" s="19" t="n">
        <v>0.4645</v>
      </c>
      <c r="D2484" s="19" t="n">
        <v>1</v>
      </c>
      <c r="E2484" s="20" t="n">
        <f aca="false">Parametres!$B$5*C2484</f>
        <v>139.35</v>
      </c>
      <c r="F2484" s="20" t="n">
        <f aca="false">Parametres!$B$6*D2484</f>
        <v>200</v>
      </c>
      <c r="G2484" s="20" t="n">
        <f aca="false">E2484+F2484</f>
        <v>339.35</v>
      </c>
      <c r="H2484" s="20" t="n">
        <f aca="false">IF(G2484&lt;Parametres!$B$8*Parametres!$B$7,0,MIN(G2484,Parametres!$B$7))</f>
        <v>250</v>
      </c>
      <c r="I2484" s="20" t="n">
        <f aca="false">G2484-H2484</f>
        <v>89.35</v>
      </c>
      <c r="J2484" s="21" t="n">
        <f aca="false">H2484*1000/Parametres!$B$9</f>
        <v>4239.44378497541</v>
      </c>
    </row>
    <row r="2485" customFormat="false" ht="15" hidden="false" customHeight="false" outlineLevel="0" collapsed="false">
      <c r="A2485" s="0" t="n">
        <v>2481</v>
      </c>
      <c r="B2485" s="0" t="n">
        <v>4</v>
      </c>
      <c r="C2485" s="19" t="n">
        <v>0.7395</v>
      </c>
      <c r="D2485" s="19" t="n">
        <v>1</v>
      </c>
      <c r="E2485" s="20" t="n">
        <f aca="false">Parametres!$B$5*C2485</f>
        <v>221.85</v>
      </c>
      <c r="F2485" s="20" t="n">
        <f aca="false">Parametres!$B$6*D2485</f>
        <v>200</v>
      </c>
      <c r="G2485" s="20" t="n">
        <f aca="false">E2485+F2485</f>
        <v>421.85</v>
      </c>
      <c r="H2485" s="20" t="n">
        <f aca="false">IF(G2485&lt;Parametres!$B$8*Parametres!$B$7,0,MIN(G2485,Parametres!$B$7))</f>
        <v>250</v>
      </c>
      <c r="I2485" s="20" t="n">
        <f aca="false">G2485-H2485</f>
        <v>171.85</v>
      </c>
      <c r="J2485" s="21" t="n">
        <f aca="false">H2485*1000/Parametres!$B$9</f>
        <v>4239.44378497541</v>
      </c>
    </row>
    <row r="2486" customFormat="false" ht="15" hidden="false" customHeight="false" outlineLevel="0" collapsed="false">
      <c r="A2486" s="0" t="n">
        <v>2482</v>
      </c>
      <c r="B2486" s="0" t="n">
        <v>4</v>
      </c>
      <c r="C2486" s="19" t="n">
        <v>1</v>
      </c>
      <c r="D2486" s="19" t="n">
        <v>1</v>
      </c>
      <c r="E2486" s="20" t="n">
        <f aca="false">Parametres!$B$5*C2486</f>
        <v>300</v>
      </c>
      <c r="F2486" s="20" t="n">
        <f aca="false">Parametres!$B$6*D2486</f>
        <v>200</v>
      </c>
      <c r="G2486" s="20" t="n">
        <f aca="false">E2486+F2486</f>
        <v>500</v>
      </c>
      <c r="H2486" s="20" t="n">
        <f aca="false">IF(G2486&lt;Parametres!$B$8*Parametres!$B$7,0,MIN(G2486,Parametres!$B$7))</f>
        <v>250</v>
      </c>
      <c r="I2486" s="20" t="n">
        <f aca="false">G2486-H2486</f>
        <v>250</v>
      </c>
      <c r="J2486" s="21" t="n">
        <f aca="false">H2486*1000/Parametres!$B$9</f>
        <v>4239.44378497541</v>
      </c>
    </row>
    <row r="2487" customFormat="false" ht="15" hidden="false" customHeight="false" outlineLevel="0" collapsed="false">
      <c r="A2487" s="0" t="n">
        <v>2483</v>
      </c>
      <c r="B2487" s="0" t="n">
        <v>4</v>
      </c>
      <c r="C2487" s="19" t="n">
        <v>1</v>
      </c>
      <c r="D2487" s="19" t="n">
        <v>1</v>
      </c>
      <c r="E2487" s="20" t="n">
        <f aca="false">Parametres!$B$5*C2487</f>
        <v>300</v>
      </c>
      <c r="F2487" s="20" t="n">
        <f aca="false">Parametres!$B$6*D2487</f>
        <v>200</v>
      </c>
      <c r="G2487" s="20" t="n">
        <f aca="false">E2487+F2487</f>
        <v>500</v>
      </c>
      <c r="H2487" s="20" t="n">
        <f aca="false">IF(G2487&lt;Parametres!$B$8*Parametres!$B$7,0,MIN(G2487,Parametres!$B$7))</f>
        <v>250</v>
      </c>
      <c r="I2487" s="20" t="n">
        <f aca="false">G2487-H2487</f>
        <v>250</v>
      </c>
      <c r="J2487" s="21" t="n">
        <f aca="false">H2487*1000/Parametres!$B$9</f>
        <v>4239.44378497541</v>
      </c>
    </row>
    <row r="2488" customFormat="false" ht="15" hidden="false" customHeight="false" outlineLevel="0" collapsed="false">
      <c r="A2488" s="0" t="n">
        <v>2484</v>
      </c>
      <c r="B2488" s="0" t="n">
        <v>4</v>
      </c>
      <c r="C2488" s="19" t="n">
        <v>1</v>
      </c>
      <c r="D2488" s="19" t="n">
        <v>1</v>
      </c>
      <c r="E2488" s="20" t="n">
        <f aca="false">Parametres!$B$5*C2488</f>
        <v>300</v>
      </c>
      <c r="F2488" s="20" t="n">
        <f aca="false">Parametres!$B$6*D2488</f>
        <v>200</v>
      </c>
      <c r="G2488" s="20" t="n">
        <f aca="false">E2488+F2488</f>
        <v>500</v>
      </c>
      <c r="H2488" s="20" t="n">
        <f aca="false">IF(G2488&lt;Parametres!$B$8*Parametres!$B$7,0,MIN(G2488,Parametres!$B$7))</f>
        <v>250</v>
      </c>
      <c r="I2488" s="20" t="n">
        <f aca="false">G2488-H2488</f>
        <v>250</v>
      </c>
      <c r="J2488" s="21" t="n">
        <f aca="false">H2488*1000/Parametres!$B$9</f>
        <v>4239.44378497541</v>
      </c>
    </row>
    <row r="2489" customFormat="false" ht="15" hidden="false" customHeight="false" outlineLevel="0" collapsed="false">
      <c r="A2489" s="0" t="n">
        <v>2485</v>
      </c>
      <c r="B2489" s="0" t="n">
        <v>4</v>
      </c>
      <c r="C2489" s="19" t="n">
        <v>1</v>
      </c>
      <c r="D2489" s="19" t="n">
        <v>1</v>
      </c>
      <c r="E2489" s="20" t="n">
        <f aca="false">Parametres!$B$5*C2489</f>
        <v>300</v>
      </c>
      <c r="F2489" s="20" t="n">
        <f aca="false">Parametres!$B$6*D2489</f>
        <v>200</v>
      </c>
      <c r="G2489" s="20" t="n">
        <f aca="false">E2489+F2489</f>
        <v>500</v>
      </c>
      <c r="H2489" s="20" t="n">
        <f aca="false">IF(G2489&lt;Parametres!$B$8*Parametres!$B$7,0,MIN(G2489,Parametres!$B$7))</f>
        <v>250</v>
      </c>
      <c r="I2489" s="20" t="n">
        <f aca="false">G2489-H2489</f>
        <v>250</v>
      </c>
      <c r="J2489" s="21" t="n">
        <f aca="false">H2489*1000/Parametres!$B$9</f>
        <v>4239.44378497541</v>
      </c>
    </row>
    <row r="2490" customFormat="false" ht="15" hidden="false" customHeight="false" outlineLevel="0" collapsed="false">
      <c r="A2490" s="0" t="n">
        <v>2486</v>
      </c>
      <c r="B2490" s="0" t="n">
        <v>4</v>
      </c>
      <c r="C2490" s="19" t="n">
        <v>1</v>
      </c>
      <c r="D2490" s="19" t="n">
        <v>1</v>
      </c>
      <c r="E2490" s="20" t="n">
        <f aca="false">Parametres!$B$5*C2490</f>
        <v>300</v>
      </c>
      <c r="F2490" s="20" t="n">
        <f aca="false">Parametres!$B$6*D2490</f>
        <v>200</v>
      </c>
      <c r="G2490" s="20" t="n">
        <f aca="false">E2490+F2490</f>
        <v>500</v>
      </c>
      <c r="H2490" s="20" t="n">
        <f aca="false">IF(G2490&lt;Parametres!$B$8*Parametres!$B$7,0,MIN(G2490,Parametres!$B$7))</f>
        <v>250</v>
      </c>
      <c r="I2490" s="20" t="n">
        <f aca="false">G2490-H2490</f>
        <v>250</v>
      </c>
      <c r="J2490" s="21" t="n">
        <f aca="false">H2490*1000/Parametres!$B$9</f>
        <v>4239.44378497541</v>
      </c>
    </row>
    <row r="2491" customFormat="false" ht="15" hidden="false" customHeight="false" outlineLevel="0" collapsed="false">
      <c r="A2491" s="0" t="n">
        <v>2487</v>
      </c>
      <c r="B2491" s="0" t="n">
        <v>4</v>
      </c>
      <c r="C2491" s="19" t="n">
        <v>0.9659</v>
      </c>
      <c r="D2491" s="19" t="n">
        <v>1</v>
      </c>
      <c r="E2491" s="20" t="n">
        <f aca="false">Parametres!$B$5*C2491</f>
        <v>289.77</v>
      </c>
      <c r="F2491" s="20" t="n">
        <f aca="false">Parametres!$B$6*D2491</f>
        <v>200</v>
      </c>
      <c r="G2491" s="20" t="n">
        <f aca="false">E2491+F2491</f>
        <v>489.77</v>
      </c>
      <c r="H2491" s="20" t="n">
        <f aca="false">IF(G2491&lt;Parametres!$B$8*Parametres!$B$7,0,MIN(G2491,Parametres!$B$7))</f>
        <v>250</v>
      </c>
      <c r="I2491" s="20" t="n">
        <f aca="false">G2491-H2491</f>
        <v>239.77</v>
      </c>
      <c r="J2491" s="21" t="n">
        <f aca="false">H2491*1000/Parametres!$B$9</f>
        <v>4239.44378497541</v>
      </c>
    </row>
    <row r="2492" customFormat="false" ht="15" hidden="false" customHeight="false" outlineLevel="0" collapsed="false">
      <c r="A2492" s="0" t="n">
        <v>2488</v>
      </c>
      <c r="B2492" s="0" t="n">
        <v>4</v>
      </c>
      <c r="C2492" s="19" t="n">
        <v>0.7899</v>
      </c>
      <c r="D2492" s="19" t="n">
        <v>1</v>
      </c>
      <c r="E2492" s="20" t="n">
        <f aca="false">Parametres!$B$5*C2492</f>
        <v>236.97</v>
      </c>
      <c r="F2492" s="20" t="n">
        <f aca="false">Parametres!$B$6*D2492</f>
        <v>200</v>
      </c>
      <c r="G2492" s="20" t="n">
        <f aca="false">E2492+F2492</f>
        <v>436.97</v>
      </c>
      <c r="H2492" s="20" t="n">
        <f aca="false">IF(G2492&lt;Parametres!$B$8*Parametres!$B$7,0,MIN(G2492,Parametres!$B$7))</f>
        <v>250</v>
      </c>
      <c r="I2492" s="20" t="n">
        <f aca="false">G2492-H2492</f>
        <v>186.97</v>
      </c>
      <c r="J2492" s="21" t="n">
        <f aca="false">H2492*1000/Parametres!$B$9</f>
        <v>4239.44378497541</v>
      </c>
    </row>
    <row r="2493" customFormat="false" ht="15" hidden="false" customHeight="false" outlineLevel="0" collapsed="false">
      <c r="A2493" s="0" t="n">
        <v>2489</v>
      </c>
      <c r="B2493" s="0" t="n">
        <v>4</v>
      </c>
      <c r="C2493" s="19" t="n">
        <v>0.4891</v>
      </c>
      <c r="D2493" s="19" t="n">
        <v>1</v>
      </c>
      <c r="E2493" s="20" t="n">
        <f aca="false">Parametres!$B$5*C2493</f>
        <v>146.73</v>
      </c>
      <c r="F2493" s="20" t="n">
        <f aca="false">Parametres!$B$6*D2493</f>
        <v>200</v>
      </c>
      <c r="G2493" s="20" t="n">
        <f aca="false">E2493+F2493</f>
        <v>346.73</v>
      </c>
      <c r="H2493" s="20" t="n">
        <f aca="false">IF(G2493&lt;Parametres!$B$8*Parametres!$B$7,0,MIN(G2493,Parametres!$B$7))</f>
        <v>250</v>
      </c>
      <c r="I2493" s="20" t="n">
        <f aca="false">G2493-H2493</f>
        <v>96.73</v>
      </c>
      <c r="J2493" s="21" t="n">
        <f aca="false">H2493*1000/Parametres!$B$9</f>
        <v>4239.44378497541</v>
      </c>
    </row>
    <row r="2494" customFormat="false" ht="15" hidden="false" customHeight="false" outlineLevel="0" collapsed="false">
      <c r="A2494" s="0" t="n">
        <v>2490</v>
      </c>
      <c r="B2494" s="0" t="n">
        <v>4</v>
      </c>
      <c r="C2494" s="19" t="n">
        <v>0.1805</v>
      </c>
      <c r="D2494" s="19" t="n">
        <v>1</v>
      </c>
      <c r="E2494" s="20" t="n">
        <f aca="false">Parametres!$B$5*C2494</f>
        <v>54.15</v>
      </c>
      <c r="F2494" s="20" t="n">
        <f aca="false">Parametres!$B$6*D2494</f>
        <v>200</v>
      </c>
      <c r="G2494" s="20" t="n">
        <f aca="false">E2494+F2494</f>
        <v>254.15</v>
      </c>
      <c r="H2494" s="20" t="n">
        <f aca="false">IF(G2494&lt;Parametres!$B$8*Parametres!$B$7,0,MIN(G2494,Parametres!$B$7))</f>
        <v>250</v>
      </c>
      <c r="I2494" s="20" t="n">
        <f aca="false">G2494-H2494</f>
        <v>4.15000000000001</v>
      </c>
      <c r="J2494" s="21" t="n">
        <f aca="false">H2494*1000/Parametres!$B$9</f>
        <v>4239.44378497541</v>
      </c>
    </row>
    <row r="2495" customFormat="false" ht="15" hidden="false" customHeight="false" outlineLevel="0" collapsed="false">
      <c r="A2495" s="0" t="n">
        <v>2491</v>
      </c>
      <c r="B2495" s="0" t="n">
        <v>4</v>
      </c>
      <c r="C2495" s="19" t="n">
        <v>0</v>
      </c>
      <c r="D2495" s="19" t="n">
        <v>1</v>
      </c>
      <c r="E2495" s="20" t="n">
        <f aca="false">Parametres!$B$5*C2495</f>
        <v>0</v>
      </c>
      <c r="F2495" s="20" t="n">
        <f aca="false">Parametres!$B$6*D2495</f>
        <v>200</v>
      </c>
      <c r="G2495" s="20" t="n">
        <f aca="false">E2495+F2495</f>
        <v>200</v>
      </c>
      <c r="H2495" s="20" t="n">
        <f aca="false">IF(G2495&lt;Parametres!$B$8*Parametres!$B$7,0,MIN(G2495,Parametres!$B$7))</f>
        <v>200</v>
      </c>
      <c r="I2495" s="20" t="n">
        <f aca="false">G2495-H2495</f>
        <v>0</v>
      </c>
      <c r="J2495" s="21" t="n">
        <f aca="false">H2495*1000/Parametres!$B$9</f>
        <v>3391.55502798033</v>
      </c>
    </row>
    <row r="2496" customFormat="false" ht="15" hidden="false" customHeight="false" outlineLevel="0" collapsed="false">
      <c r="A2496" s="0" t="n">
        <v>2492</v>
      </c>
      <c r="B2496" s="0" t="n">
        <v>4</v>
      </c>
      <c r="C2496" s="19" t="n">
        <v>0</v>
      </c>
      <c r="D2496" s="19" t="n">
        <v>1</v>
      </c>
      <c r="E2496" s="20" t="n">
        <f aca="false">Parametres!$B$5*C2496</f>
        <v>0</v>
      </c>
      <c r="F2496" s="20" t="n">
        <f aca="false">Parametres!$B$6*D2496</f>
        <v>200</v>
      </c>
      <c r="G2496" s="20" t="n">
        <f aca="false">E2496+F2496</f>
        <v>200</v>
      </c>
      <c r="H2496" s="20" t="n">
        <f aca="false">IF(G2496&lt;Parametres!$B$8*Parametres!$B$7,0,MIN(G2496,Parametres!$B$7))</f>
        <v>200</v>
      </c>
      <c r="I2496" s="20" t="n">
        <f aca="false">G2496-H2496</f>
        <v>0</v>
      </c>
      <c r="J2496" s="21" t="n">
        <f aca="false">H2496*1000/Parametres!$B$9</f>
        <v>3391.55502798033</v>
      </c>
    </row>
    <row r="2497" customFormat="false" ht="15" hidden="false" customHeight="false" outlineLevel="0" collapsed="false">
      <c r="A2497" s="0" t="n">
        <v>2493</v>
      </c>
      <c r="B2497" s="0" t="n">
        <v>4</v>
      </c>
      <c r="C2497" s="19" t="n">
        <v>0</v>
      </c>
      <c r="D2497" s="19" t="n">
        <v>0.6056</v>
      </c>
      <c r="E2497" s="20" t="n">
        <f aca="false">Parametres!$B$5*C2497</f>
        <v>0</v>
      </c>
      <c r="F2497" s="20" t="n">
        <f aca="false">Parametres!$B$6*D2497</f>
        <v>121.12</v>
      </c>
      <c r="G2497" s="20" t="n">
        <f aca="false">E2497+F2497</f>
        <v>121.12</v>
      </c>
      <c r="H2497" s="20" t="n">
        <f aca="false">IF(G2497&lt;Parametres!$B$8*Parametres!$B$7,0,MIN(G2497,Parametres!$B$7))</f>
        <v>121.12</v>
      </c>
      <c r="I2497" s="20" t="n">
        <f aca="false">G2497-H2497</f>
        <v>0</v>
      </c>
      <c r="J2497" s="21" t="n">
        <f aca="false">H2497*1000/Parametres!$B$9</f>
        <v>2053.92572494489</v>
      </c>
    </row>
    <row r="2498" customFormat="false" ht="15" hidden="false" customHeight="false" outlineLevel="0" collapsed="false">
      <c r="A2498" s="0" t="n">
        <v>2494</v>
      </c>
      <c r="B2498" s="0" t="n">
        <v>4</v>
      </c>
      <c r="C2498" s="19" t="n">
        <v>0</v>
      </c>
      <c r="D2498" s="19" t="n">
        <v>0.8986</v>
      </c>
      <c r="E2498" s="20" t="n">
        <f aca="false">Parametres!$B$5*C2498</f>
        <v>0</v>
      </c>
      <c r="F2498" s="20" t="n">
        <f aca="false">Parametres!$B$6*D2498</f>
        <v>179.72</v>
      </c>
      <c r="G2498" s="20" t="n">
        <f aca="false">E2498+F2498</f>
        <v>179.72</v>
      </c>
      <c r="H2498" s="20" t="n">
        <f aca="false">IF(G2498&lt;Parametres!$B$8*Parametres!$B$7,0,MIN(G2498,Parametres!$B$7))</f>
        <v>179.72</v>
      </c>
      <c r="I2498" s="20" t="n">
        <f aca="false">G2498-H2498</f>
        <v>0</v>
      </c>
      <c r="J2498" s="21" t="n">
        <f aca="false">H2498*1000/Parametres!$B$9</f>
        <v>3047.65134814312</v>
      </c>
    </row>
    <row r="2499" customFormat="false" ht="15" hidden="false" customHeight="false" outlineLevel="0" collapsed="false">
      <c r="A2499" s="0" t="n">
        <v>2495</v>
      </c>
      <c r="B2499" s="0" t="n">
        <v>4</v>
      </c>
      <c r="C2499" s="19" t="n">
        <v>0</v>
      </c>
      <c r="D2499" s="19" t="n">
        <v>0.6248</v>
      </c>
      <c r="E2499" s="20" t="n">
        <f aca="false">Parametres!$B$5*C2499</f>
        <v>0</v>
      </c>
      <c r="F2499" s="20" t="n">
        <f aca="false">Parametres!$B$6*D2499</f>
        <v>124.96</v>
      </c>
      <c r="G2499" s="20" t="n">
        <f aca="false">E2499+F2499</f>
        <v>124.96</v>
      </c>
      <c r="H2499" s="20" t="n">
        <f aca="false">IF(G2499&lt;Parametres!$B$8*Parametres!$B$7,0,MIN(G2499,Parametres!$B$7))</f>
        <v>124.96</v>
      </c>
      <c r="I2499" s="20" t="n">
        <f aca="false">G2499-H2499</f>
        <v>0</v>
      </c>
      <c r="J2499" s="21" t="n">
        <f aca="false">H2499*1000/Parametres!$B$9</f>
        <v>2119.04358148211</v>
      </c>
    </row>
    <row r="2500" customFormat="false" ht="15" hidden="false" customHeight="false" outlineLevel="0" collapsed="false">
      <c r="A2500" s="0" t="n">
        <v>2496</v>
      </c>
      <c r="B2500" s="0" t="n">
        <v>4</v>
      </c>
      <c r="C2500" s="19" t="n">
        <v>0</v>
      </c>
      <c r="D2500" s="19" t="n">
        <v>0.3217</v>
      </c>
      <c r="E2500" s="20" t="n">
        <f aca="false">Parametres!$B$5*C2500</f>
        <v>0</v>
      </c>
      <c r="F2500" s="20" t="n">
        <f aca="false">Parametres!$B$6*D2500</f>
        <v>64.34</v>
      </c>
      <c r="G2500" s="20" t="n">
        <f aca="false">E2500+F2500</f>
        <v>64.34</v>
      </c>
      <c r="H2500" s="20" t="n">
        <f aca="false">IF(G2500&lt;Parametres!$B$8*Parametres!$B$7,0,MIN(G2500,Parametres!$B$7))</f>
        <v>64.34</v>
      </c>
      <c r="I2500" s="20" t="n">
        <f aca="false">G2500-H2500</f>
        <v>0</v>
      </c>
      <c r="J2500" s="21" t="n">
        <f aca="false">H2500*1000/Parametres!$B$9</f>
        <v>1091.06325250127</v>
      </c>
    </row>
    <row r="2501" customFormat="false" ht="15" hidden="false" customHeight="false" outlineLevel="0" collapsed="false">
      <c r="A2501" s="0" t="n">
        <v>2497</v>
      </c>
      <c r="B2501" s="0" t="n">
        <v>4</v>
      </c>
      <c r="C2501" s="19" t="n">
        <v>0</v>
      </c>
      <c r="D2501" s="19" t="n">
        <v>0.3256</v>
      </c>
      <c r="E2501" s="20" t="n">
        <f aca="false">Parametres!$B$5*C2501</f>
        <v>0</v>
      </c>
      <c r="F2501" s="20" t="n">
        <f aca="false">Parametres!$B$6*D2501</f>
        <v>65.12</v>
      </c>
      <c r="G2501" s="20" t="n">
        <f aca="false">E2501+F2501</f>
        <v>65.12</v>
      </c>
      <c r="H2501" s="20" t="n">
        <f aca="false">IF(G2501&lt;Parametres!$B$8*Parametres!$B$7,0,MIN(G2501,Parametres!$B$7))</f>
        <v>65.12</v>
      </c>
      <c r="I2501" s="20" t="n">
        <f aca="false">G2501-H2501</f>
        <v>0</v>
      </c>
      <c r="J2501" s="21" t="n">
        <f aca="false">H2501*1000/Parametres!$B$9</f>
        <v>1104.2903171104</v>
      </c>
    </row>
    <row r="2502" customFormat="false" ht="15" hidden="false" customHeight="false" outlineLevel="0" collapsed="false">
      <c r="A2502" s="0" t="n">
        <v>2498</v>
      </c>
      <c r="B2502" s="0" t="n">
        <v>4</v>
      </c>
      <c r="C2502" s="19" t="n">
        <v>0</v>
      </c>
      <c r="D2502" s="19" t="n">
        <v>0.3136</v>
      </c>
      <c r="E2502" s="20" t="n">
        <f aca="false">Parametres!$B$5*C2502</f>
        <v>0</v>
      </c>
      <c r="F2502" s="20" t="n">
        <f aca="false">Parametres!$B$6*D2502</f>
        <v>62.72</v>
      </c>
      <c r="G2502" s="20" t="n">
        <f aca="false">E2502+F2502</f>
        <v>62.72</v>
      </c>
      <c r="H2502" s="20" t="n">
        <f aca="false">IF(G2502&lt;Parametres!$B$8*Parametres!$B$7,0,MIN(G2502,Parametres!$B$7))</f>
        <v>62.72</v>
      </c>
      <c r="I2502" s="20" t="n">
        <f aca="false">G2502-H2502</f>
        <v>0</v>
      </c>
      <c r="J2502" s="21" t="n">
        <f aca="false">H2502*1000/Parametres!$B$9</f>
        <v>1063.59165677463</v>
      </c>
    </row>
    <row r="2503" customFormat="false" ht="15" hidden="false" customHeight="false" outlineLevel="0" collapsed="false">
      <c r="A2503" s="0" t="n">
        <v>2499</v>
      </c>
      <c r="B2503" s="0" t="n">
        <v>4</v>
      </c>
      <c r="C2503" s="19" t="n">
        <v>0</v>
      </c>
      <c r="D2503" s="19" t="n">
        <v>0.2326</v>
      </c>
      <c r="E2503" s="20" t="n">
        <f aca="false">Parametres!$B$5*C2503</f>
        <v>0</v>
      </c>
      <c r="F2503" s="20" t="n">
        <f aca="false">Parametres!$B$6*D2503</f>
        <v>46.52</v>
      </c>
      <c r="G2503" s="20" t="n">
        <f aca="false">E2503+F2503</f>
        <v>46.52</v>
      </c>
      <c r="H2503" s="20" t="n">
        <f aca="false">IF(G2503&lt;Parametres!$B$8*Parametres!$B$7,0,MIN(G2503,Parametres!$B$7))</f>
        <v>46.52</v>
      </c>
      <c r="I2503" s="20" t="n">
        <f aca="false">G2503-H2503</f>
        <v>0</v>
      </c>
      <c r="J2503" s="21" t="n">
        <f aca="false">H2503*1000/Parametres!$B$9</f>
        <v>788.875699508225</v>
      </c>
    </row>
    <row r="2504" customFormat="false" ht="15" hidden="false" customHeight="false" outlineLevel="0" collapsed="false">
      <c r="A2504" s="0" t="n">
        <v>2500</v>
      </c>
      <c r="B2504" s="0" t="n">
        <v>4</v>
      </c>
      <c r="C2504" s="19" t="n">
        <v>0</v>
      </c>
      <c r="D2504" s="19" t="n">
        <v>0.1167</v>
      </c>
      <c r="E2504" s="20" t="n">
        <f aca="false">Parametres!$B$5*C2504</f>
        <v>0</v>
      </c>
      <c r="F2504" s="20" t="n">
        <f aca="false">Parametres!$B$6*D2504</f>
        <v>23.34</v>
      </c>
      <c r="G2504" s="20" t="n">
        <f aca="false">E2504+F2504</f>
        <v>23.34</v>
      </c>
      <c r="H2504" s="20" t="n">
        <f aca="false">IF(G2504&lt;Parametres!$B$8*Parametres!$B$7,0,MIN(G2504,Parametres!$B$7))</f>
        <v>0</v>
      </c>
      <c r="I2504" s="20" t="n">
        <f aca="false">G2504-H2504</f>
        <v>23.34</v>
      </c>
      <c r="J2504" s="21" t="n">
        <f aca="false">H2504*1000/Parametres!$B$9</f>
        <v>0</v>
      </c>
    </row>
    <row r="2505" customFormat="false" ht="15" hidden="false" customHeight="false" outlineLevel="0" collapsed="false">
      <c r="A2505" s="0" t="n">
        <v>2501</v>
      </c>
      <c r="B2505" s="0" t="n">
        <v>4</v>
      </c>
      <c r="C2505" s="19" t="n">
        <v>0</v>
      </c>
      <c r="D2505" s="19" t="n">
        <v>0.057</v>
      </c>
      <c r="E2505" s="20" t="n">
        <f aca="false">Parametres!$B$5*C2505</f>
        <v>0</v>
      </c>
      <c r="F2505" s="20" t="n">
        <f aca="false">Parametres!$B$6*D2505</f>
        <v>11.4</v>
      </c>
      <c r="G2505" s="20" t="n">
        <f aca="false">E2505+F2505</f>
        <v>11.4</v>
      </c>
      <c r="H2505" s="20" t="n">
        <f aca="false">IF(G2505&lt;Parametres!$B$8*Parametres!$B$7,0,MIN(G2505,Parametres!$B$7))</f>
        <v>0</v>
      </c>
      <c r="I2505" s="20" t="n">
        <f aca="false">G2505-H2505</f>
        <v>11.4</v>
      </c>
      <c r="J2505" s="21" t="n">
        <f aca="false">H2505*1000/Parametres!$B$9</f>
        <v>0</v>
      </c>
    </row>
    <row r="2506" customFormat="false" ht="15" hidden="false" customHeight="false" outlineLevel="0" collapsed="false">
      <c r="A2506" s="0" t="n">
        <v>2502</v>
      </c>
      <c r="B2506" s="0" t="n">
        <v>4</v>
      </c>
      <c r="C2506" s="19" t="n">
        <v>0</v>
      </c>
      <c r="D2506" s="19" t="n">
        <v>0.1284</v>
      </c>
      <c r="E2506" s="20" t="n">
        <f aca="false">Parametres!$B$5*C2506</f>
        <v>0</v>
      </c>
      <c r="F2506" s="20" t="n">
        <f aca="false">Parametres!$B$6*D2506</f>
        <v>25.68</v>
      </c>
      <c r="G2506" s="20" t="n">
        <f aca="false">E2506+F2506</f>
        <v>25.68</v>
      </c>
      <c r="H2506" s="20" t="n">
        <f aca="false">IF(G2506&lt;Parametres!$B$8*Parametres!$B$7,0,MIN(G2506,Parametres!$B$7))</f>
        <v>25.68</v>
      </c>
      <c r="I2506" s="20" t="n">
        <f aca="false">G2506-H2506</f>
        <v>0</v>
      </c>
      <c r="J2506" s="21" t="n">
        <f aca="false">H2506*1000/Parametres!$B$9</f>
        <v>435.475665592674</v>
      </c>
    </row>
    <row r="2507" customFormat="false" ht="15" hidden="false" customHeight="false" outlineLevel="0" collapsed="false">
      <c r="A2507" s="0" t="n">
        <v>2503</v>
      </c>
      <c r="B2507" s="0" t="n">
        <v>4</v>
      </c>
      <c r="C2507" s="19" t="n">
        <v>0.1892</v>
      </c>
      <c r="D2507" s="19" t="n">
        <v>0.1301</v>
      </c>
      <c r="E2507" s="20" t="n">
        <f aca="false">Parametres!$B$5*C2507</f>
        <v>56.76</v>
      </c>
      <c r="F2507" s="20" t="n">
        <f aca="false">Parametres!$B$6*D2507</f>
        <v>26.02</v>
      </c>
      <c r="G2507" s="20" t="n">
        <f aca="false">E2507+F2507</f>
        <v>82.78</v>
      </c>
      <c r="H2507" s="20" t="n">
        <f aca="false">IF(G2507&lt;Parametres!$B$8*Parametres!$B$7,0,MIN(G2507,Parametres!$B$7))</f>
        <v>82.78</v>
      </c>
      <c r="I2507" s="20" t="n">
        <f aca="false">G2507-H2507</f>
        <v>0</v>
      </c>
      <c r="J2507" s="21" t="n">
        <f aca="false">H2507*1000/Parametres!$B$9</f>
        <v>1403.76462608106</v>
      </c>
    </row>
    <row r="2508" customFormat="false" ht="15" hidden="false" customHeight="false" outlineLevel="0" collapsed="false">
      <c r="A2508" s="0" t="n">
        <v>2504</v>
      </c>
      <c r="B2508" s="0" t="n">
        <v>4</v>
      </c>
      <c r="C2508" s="19" t="n">
        <v>0.491</v>
      </c>
      <c r="D2508" s="19" t="n">
        <v>0.1069</v>
      </c>
      <c r="E2508" s="20" t="n">
        <f aca="false">Parametres!$B$5*C2508</f>
        <v>147.3</v>
      </c>
      <c r="F2508" s="20" t="n">
        <f aca="false">Parametres!$B$6*D2508</f>
        <v>21.38</v>
      </c>
      <c r="G2508" s="20" t="n">
        <f aca="false">E2508+F2508</f>
        <v>168.68</v>
      </c>
      <c r="H2508" s="20" t="n">
        <f aca="false">IF(G2508&lt;Parametres!$B$8*Parametres!$B$7,0,MIN(G2508,Parametres!$B$7))</f>
        <v>168.68</v>
      </c>
      <c r="I2508" s="20" t="n">
        <f aca="false">G2508-H2508</f>
        <v>0</v>
      </c>
      <c r="J2508" s="21" t="n">
        <f aca="false">H2508*1000/Parametres!$B$9</f>
        <v>2860.43751059861</v>
      </c>
    </row>
    <row r="2509" customFormat="false" ht="15" hidden="false" customHeight="false" outlineLevel="0" collapsed="false">
      <c r="A2509" s="0" t="n">
        <v>2505</v>
      </c>
      <c r="B2509" s="0" t="n">
        <v>4</v>
      </c>
      <c r="C2509" s="19" t="n">
        <v>0.8187</v>
      </c>
      <c r="D2509" s="19" t="n">
        <v>0.2696</v>
      </c>
      <c r="E2509" s="20" t="n">
        <f aca="false">Parametres!$B$5*C2509</f>
        <v>245.61</v>
      </c>
      <c r="F2509" s="20" t="n">
        <f aca="false">Parametres!$B$6*D2509</f>
        <v>53.92</v>
      </c>
      <c r="G2509" s="20" t="n">
        <f aca="false">E2509+F2509</f>
        <v>299.53</v>
      </c>
      <c r="H2509" s="20" t="n">
        <f aca="false">IF(G2509&lt;Parametres!$B$8*Parametres!$B$7,0,MIN(G2509,Parametres!$B$7))</f>
        <v>250</v>
      </c>
      <c r="I2509" s="20" t="n">
        <f aca="false">G2509-H2509</f>
        <v>49.53</v>
      </c>
      <c r="J2509" s="21" t="n">
        <f aca="false">H2509*1000/Parametres!$B$9</f>
        <v>4239.44378497541</v>
      </c>
    </row>
    <row r="2510" customFormat="false" ht="15" hidden="false" customHeight="false" outlineLevel="0" collapsed="false">
      <c r="A2510" s="0" t="n">
        <v>2506</v>
      </c>
      <c r="B2510" s="0" t="n">
        <v>4</v>
      </c>
      <c r="C2510" s="19" t="n">
        <v>1</v>
      </c>
      <c r="D2510" s="19" t="n">
        <v>0.2487</v>
      </c>
      <c r="E2510" s="20" t="n">
        <f aca="false">Parametres!$B$5*C2510</f>
        <v>300</v>
      </c>
      <c r="F2510" s="20" t="n">
        <f aca="false">Parametres!$B$6*D2510</f>
        <v>49.74</v>
      </c>
      <c r="G2510" s="20" t="n">
        <f aca="false">E2510+F2510</f>
        <v>349.74</v>
      </c>
      <c r="H2510" s="20" t="n">
        <f aca="false">IF(G2510&lt;Parametres!$B$8*Parametres!$B$7,0,MIN(G2510,Parametres!$B$7))</f>
        <v>250</v>
      </c>
      <c r="I2510" s="20" t="n">
        <f aca="false">G2510-H2510</f>
        <v>99.74</v>
      </c>
      <c r="J2510" s="21" t="n">
        <f aca="false">H2510*1000/Parametres!$B$9</f>
        <v>4239.44378497541</v>
      </c>
    </row>
    <row r="2511" customFormat="false" ht="15" hidden="false" customHeight="false" outlineLevel="0" collapsed="false">
      <c r="A2511" s="0" t="n">
        <v>2507</v>
      </c>
      <c r="B2511" s="0" t="n">
        <v>4</v>
      </c>
      <c r="C2511" s="19" t="n">
        <v>1</v>
      </c>
      <c r="D2511" s="19" t="n">
        <v>0.1954</v>
      </c>
      <c r="E2511" s="20" t="n">
        <f aca="false">Parametres!$B$5*C2511</f>
        <v>300</v>
      </c>
      <c r="F2511" s="20" t="n">
        <f aca="false">Parametres!$B$6*D2511</f>
        <v>39.08</v>
      </c>
      <c r="G2511" s="20" t="n">
        <f aca="false">E2511+F2511</f>
        <v>339.08</v>
      </c>
      <c r="H2511" s="20" t="n">
        <f aca="false">IF(G2511&lt;Parametres!$B$8*Parametres!$B$7,0,MIN(G2511,Parametres!$B$7))</f>
        <v>250</v>
      </c>
      <c r="I2511" s="20" t="n">
        <f aca="false">G2511-H2511</f>
        <v>89.08</v>
      </c>
      <c r="J2511" s="21" t="n">
        <f aca="false">H2511*1000/Parametres!$B$9</f>
        <v>4239.44378497541</v>
      </c>
    </row>
    <row r="2512" customFormat="false" ht="15" hidden="false" customHeight="false" outlineLevel="0" collapsed="false">
      <c r="A2512" s="0" t="n">
        <v>2508</v>
      </c>
      <c r="B2512" s="0" t="n">
        <v>4</v>
      </c>
      <c r="C2512" s="19" t="n">
        <v>1</v>
      </c>
      <c r="D2512" s="19" t="n">
        <v>0.2828</v>
      </c>
      <c r="E2512" s="20" t="n">
        <f aca="false">Parametres!$B$5*C2512</f>
        <v>300</v>
      </c>
      <c r="F2512" s="20" t="n">
        <f aca="false">Parametres!$B$6*D2512</f>
        <v>56.56</v>
      </c>
      <c r="G2512" s="20" t="n">
        <f aca="false">E2512+F2512</f>
        <v>356.56</v>
      </c>
      <c r="H2512" s="20" t="n">
        <f aca="false">IF(G2512&lt;Parametres!$B$8*Parametres!$B$7,0,MIN(G2512,Parametres!$B$7))</f>
        <v>250</v>
      </c>
      <c r="I2512" s="20" t="n">
        <f aca="false">G2512-H2512</f>
        <v>106.56</v>
      </c>
      <c r="J2512" s="21" t="n">
        <f aca="false">H2512*1000/Parametres!$B$9</f>
        <v>4239.44378497541</v>
      </c>
    </row>
    <row r="2513" customFormat="false" ht="15" hidden="false" customHeight="false" outlineLevel="0" collapsed="false">
      <c r="A2513" s="0" t="n">
        <v>2509</v>
      </c>
      <c r="B2513" s="0" t="n">
        <v>4</v>
      </c>
      <c r="C2513" s="19" t="n">
        <v>1</v>
      </c>
      <c r="D2513" s="19" t="n">
        <v>0.3687</v>
      </c>
      <c r="E2513" s="20" t="n">
        <f aca="false">Parametres!$B$5*C2513</f>
        <v>300</v>
      </c>
      <c r="F2513" s="20" t="n">
        <f aca="false">Parametres!$B$6*D2513</f>
        <v>73.74</v>
      </c>
      <c r="G2513" s="20" t="n">
        <f aca="false">E2513+F2513</f>
        <v>373.74</v>
      </c>
      <c r="H2513" s="20" t="n">
        <f aca="false">IF(G2513&lt;Parametres!$B$8*Parametres!$B$7,0,MIN(G2513,Parametres!$B$7))</f>
        <v>250</v>
      </c>
      <c r="I2513" s="20" t="n">
        <f aca="false">G2513-H2513</f>
        <v>123.74</v>
      </c>
      <c r="J2513" s="21" t="n">
        <f aca="false">H2513*1000/Parametres!$B$9</f>
        <v>4239.44378497541</v>
      </c>
    </row>
    <row r="2514" customFormat="false" ht="15" hidden="false" customHeight="false" outlineLevel="0" collapsed="false">
      <c r="A2514" s="0" t="n">
        <v>2510</v>
      </c>
      <c r="B2514" s="0" t="n">
        <v>4</v>
      </c>
      <c r="C2514" s="19" t="n">
        <v>1</v>
      </c>
      <c r="D2514" s="19" t="n">
        <v>0.7035</v>
      </c>
      <c r="E2514" s="20" t="n">
        <f aca="false">Parametres!$B$5*C2514</f>
        <v>300</v>
      </c>
      <c r="F2514" s="20" t="n">
        <f aca="false">Parametres!$B$6*D2514</f>
        <v>140.7</v>
      </c>
      <c r="G2514" s="20" t="n">
        <f aca="false">E2514+F2514</f>
        <v>440.7</v>
      </c>
      <c r="H2514" s="20" t="n">
        <f aca="false">IF(G2514&lt;Parametres!$B$8*Parametres!$B$7,0,MIN(G2514,Parametres!$B$7))</f>
        <v>250</v>
      </c>
      <c r="I2514" s="20" t="n">
        <f aca="false">G2514-H2514</f>
        <v>190.7</v>
      </c>
      <c r="J2514" s="21" t="n">
        <f aca="false">H2514*1000/Parametres!$B$9</f>
        <v>4239.44378497541</v>
      </c>
    </row>
    <row r="2515" customFormat="false" ht="15" hidden="false" customHeight="false" outlineLevel="0" collapsed="false">
      <c r="A2515" s="0" t="n">
        <v>2511</v>
      </c>
      <c r="B2515" s="0" t="n">
        <v>4</v>
      </c>
      <c r="C2515" s="19" t="n">
        <v>1</v>
      </c>
      <c r="D2515" s="19" t="n">
        <v>0.4338</v>
      </c>
      <c r="E2515" s="20" t="n">
        <f aca="false">Parametres!$B$5*C2515</f>
        <v>300</v>
      </c>
      <c r="F2515" s="20" t="n">
        <f aca="false">Parametres!$B$6*D2515</f>
        <v>86.76</v>
      </c>
      <c r="G2515" s="20" t="n">
        <f aca="false">E2515+F2515</f>
        <v>386.76</v>
      </c>
      <c r="H2515" s="20" t="n">
        <f aca="false">IF(G2515&lt;Parametres!$B$8*Parametres!$B$7,0,MIN(G2515,Parametres!$B$7))</f>
        <v>250</v>
      </c>
      <c r="I2515" s="20" t="n">
        <f aca="false">G2515-H2515</f>
        <v>136.76</v>
      </c>
      <c r="J2515" s="21" t="n">
        <f aca="false">H2515*1000/Parametres!$B$9</f>
        <v>4239.44378497541</v>
      </c>
    </row>
    <row r="2516" customFormat="false" ht="15" hidden="false" customHeight="false" outlineLevel="0" collapsed="false">
      <c r="A2516" s="0" t="n">
        <v>2512</v>
      </c>
      <c r="B2516" s="0" t="n">
        <v>4</v>
      </c>
      <c r="C2516" s="19" t="n">
        <v>0.8191</v>
      </c>
      <c r="D2516" s="19" t="n">
        <v>0.5038</v>
      </c>
      <c r="E2516" s="20" t="n">
        <f aca="false">Parametres!$B$5*C2516</f>
        <v>245.73</v>
      </c>
      <c r="F2516" s="20" t="n">
        <f aca="false">Parametres!$B$6*D2516</f>
        <v>100.76</v>
      </c>
      <c r="G2516" s="20" t="n">
        <f aca="false">E2516+F2516</f>
        <v>346.49</v>
      </c>
      <c r="H2516" s="20" t="n">
        <f aca="false">IF(G2516&lt;Parametres!$B$8*Parametres!$B$7,0,MIN(G2516,Parametres!$B$7))</f>
        <v>250</v>
      </c>
      <c r="I2516" s="20" t="n">
        <f aca="false">G2516-H2516</f>
        <v>96.49</v>
      </c>
      <c r="J2516" s="21" t="n">
        <f aca="false">H2516*1000/Parametres!$B$9</f>
        <v>4239.44378497541</v>
      </c>
    </row>
    <row r="2517" customFormat="false" ht="15" hidden="false" customHeight="false" outlineLevel="0" collapsed="false">
      <c r="A2517" s="0" t="n">
        <v>2513</v>
      </c>
      <c r="B2517" s="0" t="n">
        <v>4</v>
      </c>
      <c r="C2517" s="19" t="n">
        <v>0.4963</v>
      </c>
      <c r="D2517" s="19" t="n">
        <v>0.2598</v>
      </c>
      <c r="E2517" s="20" t="n">
        <f aca="false">Parametres!$B$5*C2517</f>
        <v>148.89</v>
      </c>
      <c r="F2517" s="20" t="n">
        <f aca="false">Parametres!$B$6*D2517</f>
        <v>51.96</v>
      </c>
      <c r="G2517" s="20" t="n">
        <f aca="false">E2517+F2517</f>
        <v>200.85</v>
      </c>
      <c r="H2517" s="20" t="n">
        <f aca="false">IF(G2517&lt;Parametres!$B$8*Parametres!$B$7,0,MIN(G2517,Parametres!$B$7))</f>
        <v>200.85</v>
      </c>
      <c r="I2517" s="20" t="n">
        <f aca="false">G2517-H2517</f>
        <v>0</v>
      </c>
      <c r="J2517" s="21" t="n">
        <f aca="false">H2517*1000/Parametres!$B$9</f>
        <v>3405.96913684925</v>
      </c>
    </row>
    <row r="2518" customFormat="false" ht="15" hidden="false" customHeight="false" outlineLevel="0" collapsed="false">
      <c r="A2518" s="0" t="n">
        <v>2514</v>
      </c>
      <c r="B2518" s="0" t="n">
        <v>4</v>
      </c>
      <c r="C2518" s="19" t="n">
        <v>0.2035</v>
      </c>
      <c r="D2518" s="19" t="n">
        <v>0.312</v>
      </c>
      <c r="E2518" s="20" t="n">
        <f aca="false">Parametres!$B$5*C2518</f>
        <v>61.05</v>
      </c>
      <c r="F2518" s="20" t="n">
        <f aca="false">Parametres!$B$6*D2518</f>
        <v>62.4</v>
      </c>
      <c r="G2518" s="20" t="n">
        <f aca="false">E2518+F2518</f>
        <v>123.45</v>
      </c>
      <c r="H2518" s="20" t="n">
        <f aca="false">IF(G2518&lt;Parametres!$B$8*Parametres!$B$7,0,MIN(G2518,Parametres!$B$7))</f>
        <v>123.45</v>
      </c>
      <c r="I2518" s="20" t="n">
        <f aca="false">G2518-H2518</f>
        <v>0</v>
      </c>
      <c r="J2518" s="21" t="n">
        <f aca="false">H2518*1000/Parametres!$B$9</f>
        <v>2093.43734102086</v>
      </c>
    </row>
    <row r="2519" customFormat="false" ht="15" hidden="false" customHeight="false" outlineLevel="0" collapsed="false">
      <c r="A2519" s="0" t="n">
        <v>2515</v>
      </c>
      <c r="B2519" s="0" t="n">
        <v>4</v>
      </c>
      <c r="C2519" s="19" t="n">
        <v>0</v>
      </c>
      <c r="D2519" s="19" t="n">
        <v>0.2248</v>
      </c>
      <c r="E2519" s="20" t="n">
        <f aca="false">Parametres!$B$5*C2519</f>
        <v>0</v>
      </c>
      <c r="F2519" s="20" t="n">
        <f aca="false">Parametres!$B$6*D2519</f>
        <v>44.96</v>
      </c>
      <c r="G2519" s="20" t="n">
        <f aca="false">E2519+F2519</f>
        <v>44.96</v>
      </c>
      <c r="H2519" s="20" t="n">
        <f aca="false">IF(G2519&lt;Parametres!$B$8*Parametres!$B$7,0,MIN(G2519,Parametres!$B$7))</f>
        <v>44.96</v>
      </c>
      <c r="I2519" s="20" t="n">
        <f aca="false">G2519-H2519</f>
        <v>0</v>
      </c>
      <c r="J2519" s="21" t="n">
        <f aca="false">H2519*1000/Parametres!$B$9</f>
        <v>762.421570289978</v>
      </c>
    </row>
    <row r="2520" customFormat="false" ht="15" hidden="false" customHeight="false" outlineLevel="0" collapsed="false">
      <c r="A2520" s="0" t="n">
        <v>2516</v>
      </c>
      <c r="B2520" s="0" t="n">
        <v>4</v>
      </c>
      <c r="C2520" s="19" t="n">
        <v>0</v>
      </c>
      <c r="D2520" s="19" t="n">
        <v>0.1685</v>
      </c>
      <c r="E2520" s="20" t="n">
        <f aca="false">Parametres!$B$5*C2520</f>
        <v>0</v>
      </c>
      <c r="F2520" s="20" t="n">
        <f aca="false">Parametres!$B$6*D2520</f>
        <v>33.7</v>
      </c>
      <c r="G2520" s="20" t="n">
        <f aca="false">E2520+F2520</f>
        <v>33.7</v>
      </c>
      <c r="H2520" s="20" t="n">
        <f aca="false">IF(G2520&lt;Parametres!$B$8*Parametres!$B$7,0,MIN(G2520,Parametres!$B$7))</f>
        <v>33.7</v>
      </c>
      <c r="I2520" s="20" t="n">
        <f aca="false">G2520-H2520</f>
        <v>0</v>
      </c>
      <c r="J2520" s="21" t="n">
        <f aca="false">H2520*1000/Parametres!$B$9</f>
        <v>571.477022214686</v>
      </c>
    </row>
    <row r="2521" customFormat="false" ht="15" hidden="false" customHeight="false" outlineLevel="0" collapsed="false">
      <c r="A2521" s="0" t="n">
        <v>2517</v>
      </c>
      <c r="B2521" s="0" t="n">
        <v>4</v>
      </c>
      <c r="C2521" s="19" t="n">
        <v>0</v>
      </c>
      <c r="D2521" s="19" t="n">
        <v>0.105</v>
      </c>
      <c r="E2521" s="20" t="n">
        <f aca="false">Parametres!$B$5*C2521</f>
        <v>0</v>
      </c>
      <c r="F2521" s="20" t="n">
        <f aca="false">Parametres!$B$6*D2521</f>
        <v>21</v>
      </c>
      <c r="G2521" s="20" t="n">
        <f aca="false">E2521+F2521</f>
        <v>21</v>
      </c>
      <c r="H2521" s="20" t="n">
        <f aca="false">IF(G2521&lt;Parametres!$B$8*Parametres!$B$7,0,MIN(G2521,Parametres!$B$7))</f>
        <v>0</v>
      </c>
      <c r="I2521" s="20" t="n">
        <f aca="false">G2521-H2521</f>
        <v>21</v>
      </c>
      <c r="J2521" s="21" t="n">
        <f aca="false">H2521*1000/Parametres!$B$9</f>
        <v>0</v>
      </c>
    </row>
    <row r="2522" customFormat="false" ht="15" hidden="false" customHeight="false" outlineLevel="0" collapsed="false">
      <c r="A2522" s="0" t="n">
        <v>2518</v>
      </c>
      <c r="B2522" s="0" t="n">
        <v>4</v>
      </c>
      <c r="C2522" s="19" t="n">
        <v>0</v>
      </c>
      <c r="D2522" s="19" t="n">
        <v>0.1417</v>
      </c>
      <c r="E2522" s="20" t="n">
        <f aca="false">Parametres!$B$5*C2522</f>
        <v>0</v>
      </c>
      <c r="F2522" s="20" t="n">
        <f aca="false">Parametres!$B$6*D2522</f>
        <v>28.34</v>
      </c>
      <c r="G2522" s="20" t="n">
        <f aca="false">E2522+F2522</f>
        <v>28.34</v>
      </c>
      <c r="H2522" s="20" t="n">
        <f aca="false">IF(G2522&lt;Parametres!$B$8*Parametres!$B$7,0,MIN(G2522,Parametres!$B$7))</f>
        <v>28.34</v>
      </c>
      <c r="I2522" s="20" t="n">
        <f aca="false">G2522-H2522</f>
        <v>0</v>
      </c>
      <c r="J2522" s="21" t="n">
        <f aca="false">H2522*1000/Parametres!$B$9</f>
        <v>480.583347464813</v>
      </c>
    </row>
    <row r="2523" customFormat="false" ht="15" hidden="false" customHeight="false" outlineLevel="0" collapsed="false">
      <c r="A2523" s="0" t="n">
        <v>2519</v>
      </c>
      <c r="B2523" s="0" t="n">
        <v>4</v>
      </c>
      <c r="C2523" s="19" t="n">
        <v>0</v>
      </c>
      <c r="D2523" s="19" t="n">
        <v>0.2528</v>
      </c>
      <c r="E2523" s="20" t="n">
        <f aca="false">Parametres!$B$5*C2523</f>
        <v>0</v>
      </c>
      <c r="F2523" s="20" t="n">
        <f aca="false">Parametres!$B$6*D2523</f>
        <v>50.56</v>
      </c>
      <c r="G2523" s="20" t="n">
        <f aca="false">E2523+F2523</f>
        <v>50.56</v>
      </c>
      <c r="H2523" s="20" t="n">
        <f aca="false">IF(G2523&lt;Parametres!$B$8*Parametres!$B$7,0,MIN(G2523,Parametres!$B$7))</f>
        <v>50.56</v>
      </c>
      <c r="I2523" s="20" t="n">
        <f aca="false">G2523-H2523</f>
        <v>0</v>
      </c>
      <c r="J2523" s="21" t="n">
        <f aca="false">H2523*1000/Parametres!$B$9</f>
        <v>857.385111073427</v>
      </c>
    </row>
    <row r="2524" customFormat="false" ht="15" hidden="false" customHeight="false" outlineLevel="0" collapsed="false">
      <c r="A2524" s="0" t="n">
        <v>2520</v>
      </c>
      <c r="B2524" s="0" t="n">
        <v>4</v>
      </c>
      <c r="C2524" s="19" t="n">
        <v>0</v>
      </c>
      <c r="D2524" s="19" t="n">
        <v>0.2103</v>
      </c>
      <c r="E2524" s="20" t="n">
        <f aca="false">Parametres!$B$5*C2524</f>
        <v>0</v>
      </c>
      <c r="F2524" s="20" t="n">
        <f aca="false">Parametres!$B$6*D2524</f>
        <v>42.06</v>
      </c>
      <c r="G2524" s="20" t="n">
        <f aca="false">E2524+F2524</f>
        <v>42.06</v>
      </c>
      <c r="H2524" s="20" t="n">
        <f aca="false">IF(G2524&lt;Parametres!$B$8*Parametres!$B$7,0,MIN(G2524,Parametres!$B$7))</f>
        <v>42.06</v>
      </c>
      <c r="I2524" s="20" t="n">
        <f aca="false">G2524-H2524</f>
        <v>0</v>
      </c>
      <c r="J2524" s="21" t="n">
        <f aca="false">H2524*1000/Parametres!$B$9</f>
        <v>713.244022384263</v>
      </c>
    </row>
    <row r="2525" customFormat="false" ht="15" hidden="false" customHeight="false" outlineLevel="0" collapsed="false">
      <c r="A2525" s="0" t="n">
        <v>2521</v>
      </c>
      <c r="B2525" s="0" t="n">
        <v>4</v>
      </c>
      <c r="C2525" s="19" t="n">
        <v>0</v>
      </c>
      <c r="D2525" s="19" t="n">
        <v>0.1642</v>
      </c>
      <c r="E2525" s="20" t="n">
        <f aca="false">Parametres!$B$5*C2525</f>
        <v>0</v>
      </c>
      <c r="F2525" s="20" t="n">
        <f aca="false">Parametres!$B$6*D2525</f>
        <v>32.84</v>
      </c>
      <c r="G2525" s="20" t="n">
        <f aca="false">E2525+F2525</f>
        <v>32.84</v>
      </c>
      <c r="H2525" s="20" t="n">
        <f aca="false">IF(G2525&lt;Parametres!$B$8*Parametres!$B$7,0,MIN(G2525,Parametres!$B$7))</f>
        <v>32.84</v>
      </c>
      <c r="I2525" s="20" t="n">
        <f aca="false">G2525-H2525</f>
        <v>0</v>
      </c>
      <c r="J2525" s="21" t="n">
        <f aca="false">H2525*1000/Parametres!$B$9</f>
        <v>556.89333559437</v>
      </c>
    </row>
    <row r="2526" customFormat="false" ht="15" hidden="false" customHeight="false" outlineLevel="0" collapsed="false">
      <c r="A2526" s="0" t="n">
        <v>2522</v>
      </c>
      <c r="B2526" s="0" t="n">
        <v>4</v>
      </c>
      <c r="C2526" s="19" t="n">
        <v>0</v>
      </c>
      <c r="D2526" s="19" t="n">
        <v>0.1145</v>
      </c>
      <c r="E2526" s="20" t="n">
        <f aca="false">Parametres!$B$5*C2526</f>
        <v>0</v>
      </c>
      <c r="F2526" s="20" t="n">
        <f aca="false">Parametres!$B$6*D2526</f>
        <v>22.9</v>
      </c>
      <c r="G2526" s="20" t="n">
        <f aca="false">E2526+F2526</f>
        <v>22.9</v>
      </c>
      <c r="H2526" s="20" t="n">
        <f aca="false">IF(G2526&lt;Parametres!$B$8*Parametres!$B$7,0,MIN(G2526,Parametres!$B$7))</f>
        <v>0</v>
      </c>
      <c r="I2526" s="20" t="n">
        <f aca="false">G2526-H2526</f>
        <v>22.9</v>
      </c>
      <c r="J2526" s="21" t="n">
        <f aca="false">H2526*1000/Parametres!$B$9</f>
        <v>0</v>
      </c>
    </row>
    <row r="2527" customFormat="false" ht="15" hidden="false" customHeight="false" outlineLevel="0" collapsed="false">
      <c r="A2527" s="0" t="n">
        <v>2523</v>
      </c>
      <c r="B2527" s="0" t="n">
        <v>4</v>
      </c>
      <c r="C2527" s="19" t="n">
        <v>0</v>
      </c>
      <c r="D2527" s="19" t="n">
        <v>0.1314</v>
      </c>
      <c r="E2527" s="20" t="n">
        <f aca="false">Parametres!$B$5*C2527</f>
        <v>0</v>
      </c>
      <c r="F2527" s="20" t="n">
        <f aca="false">Parametres!$B$6*D2527</f>
        <v>26.28</v>
      </c>
      <c r="G2527" s="20" t="n">
        <f aca="false">E2527+F2527</f>
        <v>26.28</v>
      </c>
      <c r="H2527" s="20" t="n">
        <f aca="false">IF(G2527&lt;Parametres!$B$8*Parametres!$B$7,0,MIN(G2527,Parametres!$B$7))</f>
        <v>26.28</v>
      </c>
      <c r="I2527" s="20" t="n">
        <f aca="false">G2527-H2527</f>
        <v>0</v>
      </c>
      <c r="J2527" s="21" t="n">
        <f aca="false">H2527*1000/Parametres!$B$9</f>
        <v>445.650330676615</v>
      </c>
    </row>
    <row r="2528" customFormat="false" ht="15" hidden="false" customHeight="false" outlineLevel="0" collapsed="false">
      <c r="A2528" s="0" t="n">
        <v>2524</v>
      </c>
      <c r="B2528" s="0" t="n">
        <v>4</v>
      </c>
      <c r="C2528" s="19" t="n">
        <v>0</v>
      </c>
      <c r="D2528" s="19" t="n">
        <v>0.0746</v>
      </c>
      <c r="E2528" s="20" t="n">
        <f aca="false">Parametres!$B$5*C2528</f>
        <v>0</v>
      </c>
      <c r="F2528" s="20" t="n">
        <f aca="false">Parametres!$B$6*D2528</f>
        <v>14.92</v>
      </c>
      <c r="G2528" s="20" t="n">
        <f aca="false">E2528+F2528</f>
        <v>14.92</v>
      </c>
      <c r="H2528" s="20" t="n">
        <f aca="false">IF(G2528&lt;Parametres!$B$8*Parametres!$B$7,0,MIN(G2528,Parametres!$B$7))</f>
        <v>0</v>
      </c>
      <c r="I2528" s="20" t="n">
        <f aca="false">G2528-H2528</f>
        <v>14.92</v>
      </c>
      <c r="J2528" s="21" t="n">
        <f aca="false">H2528*1000/Parametres!$B$9</f>
        <v>0</v>
      </c>
    </row>
    <row r="2529" customFormat="false" ht="15" hidden="false" customHeight="false" outlineLevel="0" collapsed="false">
      <c r="A2529" s="0" t="n">
        <v>2525</v>
      </c>
      <c r="B2529" s="0" t="n">
        <v>4</v>
      </c>
      <c r="C2529" s="19" t="n">
        <v>0</v>
      </c>
      <c r="D2529" s="19" t="n">
        <v>0.3252</v>
      </c>
      <c r="E2529" s="20" t="n">
        <f aca="false">Parametres!$B$5*C2529</f>
        <v>0</v>
      </c>
      <c r="F2529" s="20" t="n">
        <f aca="false">Parametres!$B$6*D2529</f>
        <v>65.04</v>
      </c>
      <c r="G2529" s="20" t="n">
        <f aca="false">E2529+F2529</f>
        <v>65.04</v>
      </c>
      <c r="H2529" s="20" t="n">
        <f aca="false">IF(G2529&lt;Parametres!$B$8*Parametres!$B$7,0,MIN(G2529,Parametres!$B$7))</f>
        <v>65.04</v>
      </c>
      <c r="I2529" s="20" t="n">
        <f aca="false">G2529-H2529</f>
        <v>0</v>
      </c>
      <c r="J2529" s="21" t="n">
        <f aca="false">H2529*1000/Parametres!$B$9</f>
        <v>1102.9336950992</v>
      </c>
    </row>
    <row r="2530" customFormat="false" ht="15" hidden="false" customHeight="false" outlineLevel="0" collapsed="false">
      <c r="A2530" s="0" t="n">
        <v>2526</v>
      </c>
      <c r="B2530" s="0" t="n">
        <v>4</v>
      </c>
      <c r="C2530" s="19" t="n">
        <v>0</v>
      </c>
      <c r="D2530" s="19" t="n">
        <v>0.3018</v>
      </c>
      <c r="E2530" s="20" t="n">
        <f aca="false">Parametres!$B$5*C2530</f>
        <v>0</v>
      </c>
      <c r="F2530" s="20" t="n">
        <f aca="false">Parametres!$B$6*D2530</f>
        <v>60.36</v>
      </c>
      <c r="G2530" s="20" t="n">
        <f aca="false">E2530+F2530</f>
        <v>60.36</v>
      </c>
      <c r="H2530" s="20" t="n">
        <f aca="false">IF(G2530&lt;Parametres!$B$8*Parametres!$B$7,0,MIN(G2530,Parametres!$B$7))</f>
        <v>60.36</v>
      </c>
      <c r="I2530" s="20" t="n">
        <f aca="false">G2530-H2530</f>
        <v>0</v>
      </c>
      <c r="J2530" s="21" t="n">
        <f aca="false">H2530*1000/Parametres!$B$9</f>
        <v>1023.57130744446</v>
      </c>
    </row>
    <row r="2531" customFormat="false" ht="15" hidden="false" customHeight="false" outlineLevel="0" collapsed="false">
      <c r="A2531" s="0" t="n">
        <v>2527</v>
      </c>
      <c r="B2531" s="0" t="n">
        <v>4</v>
      </c>
      <c r="C2531" s="19" t="n">
        <v>0.1971</v>
      </c>
      <c r="D2531" s="19" t="n">
        <v>0.5538</v>
      </c>
      <c r="E2531" s="20" t="n">
        <f aca="false">Parametres!$B$5*C2531</f>
        <v>59.13</v>
      </c>
      <c r="F2531" s="20" t="n">
        <f aca="false">Parametres!$B$6*D2531</f>
        <v>110.76</v>
      </c>
      <c r="G2531" s="20" t="n">
        <f aca="false">E2531+F2531</f>
        <v>169.89</v>
      </c>
      <c r="H2531" s="20" t="n">
        <f aca="false">IF(G2531&lt;Parametres!$B$8*Parametres!$B$7,0,MIN(G2531,Parametres!$B$7))</f>
        <v>169.89</v>
      </c>
      <c r="I2531" s="20" t="n">
        <f aca="false">G2531-H2531</f>
        <v>0</v>
      </c>
      <c r="J2531" s="21" t="n">
        <f aca="false">H2531*1000/Parametres!$B$9</f>
        <v>2880.95641851789</v>
      </c>
    </row>
    <row r="2532" customFormat="false" ht="15" hidden="false" customHeight="false" outlineLevel="0" collapsed="false">
      <c r="A2532" s="0" t="n">
        <v>2528</v>
      </c>
      <c r="B2532" s="0" t="n">
        <v>4</v>
      </c>
      <c r="C2532" s="19" t="n">
        <v>0.4851</v>
      </c>
      <c r="D2532" s="19" t="n">
        <v>0.621</v>
      </c>
      <c r="E2532" s="20" t="n">
        <f aca="false">Parametres!$B$5*C2532</f>
        <v>145.53</v>
      </c>
      <c r="F2532" s="20" t="n">
        <f aca="false">Parametres!$B$6*D2532</f>
        <v>124.2</v>
      </c>
      <c r="G2532" s="20" t="n">
        <f aca="false">E2532+F2532</f>
        <v>269.73</v>
      </c>
      <c r="H2532" s="20" t="n">
        <f aca="false">IF(G2532&lt;Parametres!$B$8*Parametres!$B$7,0,MIN(G2532,Parametres!$B$7))</f>
        <v>250</v>
      </c>
      <c r="I2532" s="20" t="n">
        <f aca="false">G2532-H2532</f>
        <v>19.73</v>
      </c>
      <c r="J2532" s="21" t="n">
        <f aca="false">H2532*1000/Parametres!$B$9</f>
        <v>4239.44378497541</v>
      </c>
    </row>
    <row r="2533" customFormat="false" ht="15" hidden="false" customHeight="false" outlineLevel="0" collapsed="false">
      <c r="A2533" s="0" t="n">
        <v>2529</v>
      </c>
      <c r="B2533" s="0" t="n">
        <v>4</v>
      </c>
      <c r="C2533" s="19" t="n">
        <v>0.7531</v>
      </c>
      <c r="D2533" s="19" t="n">
        <v>0.4425</v>
      </c>
      <c r="E2533" s="20" t="n">
        <f aca="false">Parametres!$B$5*C2533</f>
        <v>225.93</v>
      </c>
      <c r="F2533" s="20" t="n">
        <f aca="false">Parametres!$B$6*D2533</f>
        <v>88.5</v>
      </c>
      <c r="G2533" s="20" t="n">
        <f aca="false">E2533+F2533</f>
        <v>314.43</v>
      </c>
      <c r="H2533" s="20" t="n">
        <f aca="false">IF(G2533&lt;Parametres!$B$8*Parametres!$B$7,0,MIN(G2533,Parametres!$B$7))</f>
        <v>250</v>
      </c>
      <c r="I2533" s="20" t="n">
        <f aca="false">G2533-H2533</f>
        <v>64.43</v>
      </c>
      <c r="J2533" s="21" t="n">
        <f aca="false">H2533*1000/Parametres!$B$9</f>
        <v>4239.44378497541</v>
      </c>
    </row>
    <row r="2534" customFormat="false" ht="15" hidden="false" customHeight="false" outlineLevel="0" collapsed="false">
      <c r="A2534" s="0" t="n">
        <v>2530</v>
      </c>
      <c r="B2534" s="0" t="n">
        <v>4</v>
      </c>
      <c r="C2534" s="19" t="n">
        <v>1</v>
      </c>
      <c r="D2534" s="19" t="n">
        <v>0.2848</v>
      </c>
      <c r="E2534" s="20" t="n">
        <f aca="false">Parametres!$B$5*C2534</f>
        <v>300</v>
      </c>
      <c r="F2534" s="20" t="n">
        <f aca="false">Parametres!$B$6*D2534</f>
        <v>56.96</v>
      </c>
      <c r="G2534" s="20" t="n">
        <f aca="false">E2534+F2534</f>
        <v>356.96</v>
      </c>
      <c r="H2534" s="20" t="n">
        <f aca="false">IF(G2534&lt;Parametres!$B$8*Parametres!$B$7,0,MIN(G2534,Parametres!$B$7))</f>
        <v>250</v>
      </c>
      <c r="I2534" s="20" t="n">
        <f aca="false">G2534-H2534</f>
        <v>106.96</v>
      </c>
      <c r="J2534" s="21" t="n">
        <f aca="false">H2534*1000/Parametres!$B$9</f>
        <v>4239.44378497541</v>
      </c>
    </row>
    <row r="2535" customFormat="false" ht="15" hidden="false" customHeight="false" outlineLevel="0" collapsed="false">
      <c r="A2535" s="0" t="n">
        <v>2531</v>
      </c>
      <c r="B2535" s="0" t="n">
        <v>4</v>
      </c>
      <c r="C2535" s="19" t="n">
        <v>1</v>
      </c>
      <c r="D2535" s="19" t="n">
        <v>0.2767</v>
      </c>
      <c r="E2535" s="20" t="n">
        <f aca="false">Parametres!$B$5*C2535</f>
        <v>300</v>
      </c>
      <c r="F2535" s="20" t="n">
        <f aca="false">Parametres!$B$6*D2535</f>
        <v>55.34</v>
      </c>
      <c r="G2535" s="20" t="n">
        <f aca="false">E2535+F2535</f>
        <v>355.34</v>
      </c>
      <c r="H2535" s="20" t="n">
        <f aca="false">IF(G2535&lt;Parametres!$B$8*Parametres!$B$7,0,MIN(G2535,Parametres!$B$7))</f>
        <v>250</v>
      </c>
      <c r="I2535" s="20" t="n">
        <f aca="false">G2535-H2535</f>
        <v>105.34</v>
      </c>
      <c r="J2535" s="21" t="n">
        <f aca="false">H2535*1000/Parametres!$B$9</f>
        <v>4239.44378497541</v>
      </c>
    </row>
    <row r="2536" customFormat="false" ht="15" hidden="false" customHeight="false" outlineLevel="0" collapsed="false">
      <c r="A2536" s="0" t="n">
        <v>2532</v>
      </c>
      <c r="B2536" s="0" t="n">
        <v>4</v>
      </c>
      <c r="C2536" s="19" t="n">
        <v>1</v>
      </c>
      <c r="D2536" s="19" t="n">
        <v>0.2361</v>
      </c>
      <c r="E2536" s="20" t="n">
        <f aca="false">Parametres!$B$5*C2536</f>
        <v>300</v>
      </c>
      <c r="F2536" s="20" t="n">
        <f aca="false">Parametres!$B$6*D2536</f>
        <v>47.22</v>
      </c>
      <c r="G2536" s="20" t="n">
        <f aca="false">E2536+F2536</f>
        <v>347.22</v>
      </c>
      <c r="H2536" s="20" t="n">
        <f aca="false">IF(G2536&lt;Parametres!$B$8*Parametres!$B$7,0,MIN(G2536,Parametres!$B$7))</f>
        <v>250</v>
      </c>
      <c r="I2536" s="20" t="n">
        <f aca="false">G2536-H2536</f>
        <v>97.22</v>
      </c>
      <c r="J2536" s="21" t="n">
        <f aca="false">H2536*1000/Parametres!$B$9</f>
        <v>4239.44378497541</v>
      </c>
    </row>
    <row r="2537" customFormat="false" ht="15" hidden="false" customHeight="false" outlineLevel="0" collapsed="false">
      <c r="A2537" s="0" t="n">
        <v>2533</v>
      </c>
      <c r="B2537" s="0" t="n">
        <v>4</v>
      </c>
      <c r="C2537" s="19" t="n">
        <v>1</v>
      </c>
      <c r="D2537" s="19" t="n">
        <v>0.2413</v>
      </c>
      <c r="E2537" s="20" t="n">
        <f aca="false">Parametres!$B$5*C2537</f>
        <v>300</v>
      </c>
      <c r="F2537" s="20" t="n">
        <f aca="false">Parametres!$B$6*D2537</f>
        <v>48.26</v>
      </c>
      <c r="G2537" s="20" t="n">
        <f aca="false">E2537+F2537</f>
        <v>348.26</v>
      </c>
      <c r="H2537" s="20" t="n">
        <f aca="false">IF(G2537&lt;Parametres!$B$8*Parametres!$B$7,0,MIN(G2537,Parametres!$B$7))</f>
        <v>250</v>
      </c>
      <c r="I2537" s="20" t="n">
        <f aca="false">G2537-H2537</f>
        <v>98.26</v>
      </c>
      <c r="J2537" s="21" t="n">
        <f aca="false">H2537*1000/Parametres!$B$9</f>
        <v>4239.44378497541</v>
      </c>
    </row>
    <row r="2538" customFormat="false" ht="15" hidden="false" customHeight="false" outlineLevel="0" collapsed="false">
      <c r="A2538" s="0" t="n">
        <v>2534</v>
      </c>
      <c r="B2538" s="0" t="n">
        <v>4</v>
      </c>
      <c r="C2538" s="19" t="n">
        <v>1</v>
      </c>
      <c r="D2538" s="19" t="n">
        <v>0.1596</v>
      </c>
      <c r="E2538" s="20" t="n">
        <f aca="false">Parametres!$B$5*C2538</f>
        <v>300</v>
      </c>
      <c r="F2538" s="20" t="n">
        <f aca="false">Parametres!$B$6*D2538</f>
        <v>31.92</v>
      </c>
      <c r="G2538" s="20" t="n">
        <f aca="false">E2538+F2538</f>
        <v>331.92</v>
      </c>
      <c r="H2538" s="20" t="n">
        <f aca="false">IF(G2538&lt;Parametres!$B$8*Parametres!$B$7,0,MIN(G2538,Parametres!$B$7))</f>
        <v>250</v>
      </c>
      <c r="I2538" s="20" t="n">
        <f aca="false">G2538-H2538</f>
        <v>81.92</v>
      </c>
      <c r="J2538" s="21" t="n">
        <f aca="false">H2538*1000/Parametres!$B$9</f>
        <v>4239.44378497541</v>
      </c>
    </row>
    <row r="2539" customFormat="false" ht="15" hidden="false" customHeight="false" outlineLevel="0" collapsed="false">
      <c r="A2539" s="0" t="n">
        <v>2535</v>
      </c>
      <c r="B2539" s="0" t="n">
        <v>4</v>
      </c>
      <c r="C2539" s="19" t="n">
        <v>0.9767</v>
      </c>
      <c r="D2539" s="19" t="n">
        <v>0.4674</v>
      </c>
      <c r="E2539" s="20" t="n">
        <f aca="false">Parametres!$B$5*C2539</f>
        <v>293.01</v>
      </c>
      <c r="F2539" s="20" t="n">
        <f aca="false">Parametres!$B$6*D2539</f>
        <v>93.48</v>
      </c>
      <c r="G2539" s="20" t="n">
        <f aca="false">E2539+F2539</f>
        <v>386.49</v>
      </c>
      <c r="H2539" s="20" t="n">
        <f aca="false">IF(G2539&lt;Parametres!$B$8*Parametres!$B$7,0,MIN(G2539,Parametres!$B$7))</f>
        <v>250</v>
      </c>
      <c r="I2539" s="20" t="n">
        <f aca="false">G2539-H2539</f>
        <v>136.49</v>
      </c>
      <c r="J2539" s="21" t="n">
        <f aca="false">H2539*1000/Parametres!$B$9</f>
        <v>4239.44378497541</v>
      </c>
    </row>
    <row r="2540" customFormat="false" ht="15" hidden="false" customHeight="false" outlineLevel="0" collapsed="false">
      <c r="A2540" s="0" t="n">
        <v>2536</v>
      </c>
      <c r="B2540" s="0" t="n">
        <v>4</v>
      </c>
      <c r="C2540" s="19" t="n">
        <v>0.7395</v>
      </c>
      <c r="D2540" s="19" t="n">
        <v>0.9909</v>
      </c>
      <c r="E2540" s="20" t="n">
        <f aca="false">Parametres!$B$5*C2540</f>
        <v>221.85</v>
      </c>
      <c r="F2540" s="20" t="n">
        <f aca="false">Parametres!$B$6*D2540</f>
        <v>198.18</v>
      </c>
      <c r="G2540" s="20" t="n">
        <f aca="false">E2540+F2540</f>
        <v>420.03</v>
      </c>
      <c r="H2540" s="20" t="n">
        <f aca="false">IF(G2540&lt;Parametres!$B$8*Parametres!$B$7,0,MIN(G2540,Parametres!$B$7))</f>
        <v>250</v>
      </c>
      <c r="I2540" s="20" t="n">
        <f aca="false">G2540-H2540</f>
        <v>170.03</v>
      </c>
      <c r="J2540" s="21" t="n">
        <f aca="false">H2540*1000/Parametres!$B$9</f>
        <v>4239.44378497541</v>
      </c>
    </row>
    <row r="2541" customFormat="false" ht="15" hidden="false" customHeight="false" outlineLevel="0" collapsed="false">
      <c r="A2541" s="0" t="n">
        <v>2537</v>
      </c>
      <c r="B2541" s="0" t="n">
        <v>4</v>
      </c>
      <c r="C2541" s="19" t="n">
        <v>0.4606</v>
      </c>
      <c r="D2541" s="19" t="n">
        <v>0.5437</v>
      </c>
      <c r="E2541" s="20" t="n">
        <f aca="false">Parametres!$B$5*C2541</f>
        <v>138.18</v>
      </c>
      <c r="F2541" s="20" t="n">
        <f aca="false">Parametres!$B$6*D2541</f>
        <v>108.74</v>
      </c>
      <c r="G2541" s="20" t="n">
        <f aca="false">E2541+F2541</f>
        <v>246.92</v>
      </c>
      <c r="H2541" s="20" t="n">
        <f aca="false">IF(G2541&lt;Parametres!$B$8*Parametres!$B$7,0,MIN(G2541,Parametres!$B$7))</f>
        <v>246.92</v>
      </c>
      <c r="I2541" s="20" t="n">
        <f aca="false">G2541-H2541</f>
        <v>0</v>
      </c>
      <c r="J2541" s="21" t="n">
        <f aca="false">H2541*1000/Parametres!$B$9</f>
        <v>4187.21383754452</v>
      </c>
    </row>
    <row r="2542" customFormat="false" ht="15" hidden="false" customHeight="false" outlineLevel="0" collapsed="false">
      <c r="A2542" s="0" t="n">
        <v>2538</v>
      </c>
      <c r="B2542" s="0" t="n">
        <v>4</v>
      </c>
      <c r="C2542" s="19" t="n">
        <v>0.1946</v>
      </c>
      <c r="D2542" s="19" t="n">
        <v>0.6286</v>
      </c>
      <c r="E2542" s="20" t="n">
        <f aca="false">Parametres!$B$5*C2542</f>
        <v>58.38</v>
      </c>
      <c r="F2542" s="20" t="n">
        <f aca="false">Parametres!$B$6*D2542</f>
        <v>125.72</v>
      </c>
      <c r="G2542" s="20" t="n">
        <f aca="false">E2542+F2542</f>
        <v>184.1</v>
      </c>
      <c r="H2542" s="20" t="n">
        <f aca="false">IF(G2542&lt;Parametres!$B$8*Parametres!$B$7,0,MIN(G2542,Parametres!$B$7))</f>
        <v>184.1</v>
      </c>
      <c r="I2542" s="20" t="n">
        <f aca="false">G2542-H2542</f>
        <v>0</v>
      </c>
      <c r="J2542" s="21" t="n">
        <f aca="false">H2542*1000/Parametres!$B$9</f>
        <v>3121.92640325589</v>
      </c>
    </row>
    <row r="2543" customFormat="false" ht="15" hidden="false" customHeight="false" outlineLevel="0" collapsed="false">
      <c r="A2543" s="0" t="n">
        <v>2539</v>
      </c>
      <c r="B2543" s="0" t="n">
        <v>4</v>
      </c>
      <c r="C2543" s="19" t="n">
        <v>0</v>
      </c>
      <c r="D2543" s="19" t="n">
        <v>0.881</v>
      </c>
      <c r="E2543" s="20" t="n">
        <f aca="false">Parametres!$B$5*C2543</f>
        <v>0</v>
      </c>
      <c r="F2543" s="20" t="n">
        <f aca="false">Parametres!$B$6*D2543</f>
        <v>176.2</v>
      </c>
      <c r="G2543" s="20" t="n">
        <f aca="false">E2543+F2543</f>
        <v>176.2</v>
      </c>
      <c r="H2543" s="20" t="n">
        <f aca="false">IF(G2543&lt;Parametres!$B$8*Parametres!$B$7,0,MIN(G2543,Parametres!$B$7))</f>
        <v>176.2</v>
      </c>
      <c r="I2543" s="20" t="n">
        <f aca="false">G2543-H2543</f>
        <v>0</v>
      </c>
      <c r="J2543" s="21" t="n">
        <f aca="false">H2543*1000/Parametres!$B$9</f>
        <v>2987.95997965067</v>
      </c>
    </row>
    <row r="2544" customFormat="false" ht="15" hidden="false" customHeight="false" outlineLevel="0" collapsed="false">
      <c r="A2544" s="0" t="n">
        <v>2540</v>
      </c>
      <c r="B2544" s="0" t="n">
        <v>4</v>
      </c>
      <c r="C2544" s="19" t="n">
        <v>0</v>
      </c>
      <c r="D2544" s="19" t="n">
        <v>0.7253</v>
      </c>
      <c r="E2544" s="20" t="n">
        <f aca="false">Parametres!$B$5*C2544</f>
        <v>0</v>
      </c>
      <c r="F2544" s="20" t="n">
        <f aca="false">Parametres!$B$6*D2544</f>
        <v>145.06</v>
      </c>
      <c r="G2544" s="20" t="n">
        <f aca="false">E2544+F2544</f>
        <v>145.06</v>
      </c>
      <c r="H2544" s="20" t="n">
        <f aca="false">IF(G2544&lt;Parametres!$B$8*Parametres!$B$7,0,MIN(G2544,Parametres!$B$7))</f>
        <v>145.06</v>
      </c>
      <c r="I2544" s="20" t="n">
        <f aca="false">G2544-H2544</f>
        <v>0</v>
      </c>
      <c r="J2544" s="21" t="n">
        <f aca="false">H2544*1000/Parametres!$B$9</f>
        <v>2459.89486179413</v>
      </c>
    </row>
    <row r="2545" customFormat="false" ht="15" hidden="false" customHeight="false" outlineLevel="0" collapsed="false">
      <c r="A2545" s="0" t="n">
        <v>2541</v>
      </c>
      <c r="B2545" s="0" t="n">
        <v>4</v>
      </c>
      <c r="C2545" s="19" t="n">
        <v>0</v>
      </c>
      <c r="D2545" s="19" t="n">
        <v>0.6019</v>
      </c>
      <c r="E2545" s="20" t="n">
        <f aca="false">Parametres!$B$5*C2545</f>
        <v>0</v>
      </c>
      <c r="F2545" s="20" t="n">
        <f aca="false">Parametres!$B$6*D2545</f>
        <v>120.38</v>
      </c>
      <c r="G2545" s="20" t="n">
        <f aca="false">E2545+F2545</f>
        <v>120.38</v>
      </c>
      <c r="H2545" s="20" t="n">
        <f aca="false">IF(G2545&lt;Parametres!$B$8*Parametres!$B$7,0,MIN(G2545,Parametres!$B$7))</f>
        <v>120.38</v>
      </c>
      <c r="I2545" s="20" t="n">
        <f aca="false">G2545-H2545</f>
        <v>0</v>
      </c>
      <c r="J2545" s="21" t="n">
        <f aca="false">H2545*1000/Parametres!$B$9</f>
        <v>2041.37697134136</v>
      </c>
    </row>
    <row r="2546" customFormat="false" ht="15" hidden="false" customHeight="false" outlineLevel="0" collapsed="false">
      <c r="A2546" s="0" t="n">
        <v>2542</v>
      </c>
      <c r="B2546" s="0" t="n">
        <v>4</v>
      </c>
      <c r="C2546" s="19" t="n">
        <v>0</v>
      </c>
      <c r="D2546" s="19" t="n">
        <v>0.7524</v>
      </c>
      <c r="E2546" s="20" t="n">
        <f aca="false">Parametres!$B$5*C2546</f>
        <v>0</v>
      </c>
      <c r="F2546" s="20" t="n">
        <f aca="false">Parametres!$B$6*D2546</f>
        <v>150.48</v>
      </c>
      <c r="G2546" s="20" t="n">
        <f aca="false">E2546+F2546</f>
        <v>150.48</v>
      </c>
      <c r="H2546" s="20" t="n">
        <f aca="false">IF(G2546&lt;Parametres!$B$8*Parametres!$B$7,0,MIN(G2546,Parametres!$B$7))</f>
        <v>150.48</v>
      </c>
      <c r="I2546" s="20" t="n">
        <f aca="false">G2546-H2546</f>
        <v>0</v>
      </c>
      <c r="J2546" s="21" t="n">
        <f aca="false">H2546*1000/Parametres!$B$9</f>
        <v>2551.8060030524</v>
      </c>
    </row>
    <row r="2547" customFormat="false" ht="15" hidden="false" customHeight="false" outlineLevel="0" collapsed="false">
      <c r="A2547" s="0" t="n">
        <v>2543</v>
      </c>
      <c r="B2547" s="0" t="n">
        <v>4</v>
      </c>
      <c r="C2547" s="19" t="n">
        <v>0</v>
      </c>
      <c r="D2547" s="19" t="n">
        <v>0.7686</v>
      </c>
      <c r="E2547" s="20" t="n">
        <f aca="false">Parametres!$B$5*C2547</f>
        <v>0</v>
      </c>
      <c r="F2547" s="20" t="n">
        <f aca="false">Parametres!$B$6*D2547</f>
        <v>153.72</v>
      </c>
      <c r="G2547" s="20" t="n">
        <f aca="false">E2547+F2547</f>
        <v>153.72</v>
      </c>
      <c r="H2547" s="20" t="n">
        <f aca="false">IF(G2547&lt;Parametres!$B$8*Parametres!$B$7,0,MIN(G2547,Parametres!$B$7))</f>
        <v>153.72</v>
      </c>
      <c r="I2547" s="20" t="n">
        <f aca="false">G2547-H2547</f>
        <v>0</v>
      </c>
      <c r="J2547" s="21" t="n">
        <f aca="false">H2547*1000/Parametres!$B$9</f>
        <v>2606.74919450568</v>
      </c>
    </row>
    <row r="2548" customFormat="false" ht="15" hidden="false" customHeight="false" outlineLevel="0" collapsed="false">
      <c r="A2548" s="0" t="n">
        <v>2544</v>
      </c>
      <c r="B2548" s="0" t="n">
        <v>4</v>
      </c>
      <c r="C2548" s="19" t="n">
        <v>0</v>
      </c>
      <c r="D2548" s="19" t="n">
        <v>0.4466</v>
      </c>
      <c r="E2548" s="20" t="n">
        <f aca="false">Parametres!$B$5*C2548</f>
        <v>0</v>
      </c>
      <c r="F2548" s="20" t="n">
        <f aca="false">Parametres!$B$6*D2548</f>
        <v>89.32</v>
      </c>
      <c r="G2548" s="20" t="n">
        <f aca="false">E2548+F2548</f>
        <v>89.32</v>
      </c>
      <c r="H2548" s="20" t="n">
        <f aca="false">IF(G2548&lt;Parametres!$B$8*Parametres!$B$7,0,MIN(G2548,Parametres!$B$7))</f>
        <v>89.32</v>
      </c>
      <c r="I2548" s="20" t="n">
        <f aca="false">G2548-H2548</f>
        <v>0</v>
      </c>
      <c r="J2548" s="21" t="n">
        <f aca="false">H2548*1000/Parametres!$B$9</f>
        <v>1514.66847549602</v>
      </c>
    </row>
    <row r="2549" customFormat="false" ht="15" hidden="false" customHeight="false" outlineLevel="0" collapsed="false">
      <c r="A2549" s="0" t="n">
        <v>2545</v>
      </c>
      <c r="B2549" s="0" t="n">
        <v>4</v>
      </c>
      <c r="C2549" s="19" t="n">
        <v>0</v>
      </c>
      <c r="D2549" s="19" t="n">
        <v>0.5797</v>
      </c>
      <c r="E2549" s="20" t="n">
        <f aca="false">Parametres!$B$5*C2549</f>
        <v>0</v>
      </c>
      <c r="F2549" s="20" t="n">
        <f aca="false">Parametres!$B$6*D2549</f>
        <v>115.94</v>
      </c>
      <c r="G2549" s="20" t="n">
        <f aca="false">E2549+F2549</f>
        <v>115.94</v>
      </c>
      <c r="H2549" s="20" t="n">
        <f aca="false">IF(G2549&lt;Parametres!$B$8*Parametres!$B$7,0,MIN(G2549,Parametres!$B$7))</f>
        <v>115.94</v>
      </c>
      <c r="I2549" s="20" t="n">
        <f aca="false">G2549-H2549</f>
        <v>0</v>
      </c>
      <c r="J2549" s="21" t="n">
        <f aca="false">H2549*1000/Parametres!$B$9</f>
        <v>1966.0844497202</v>
      </c>
    </row>
    <row r="2550" customFormat="false" ht="15" hidden="false" customHeight="false" outlineLevel="0" collapsed="false">
      <c r="A2550" s="0" t="n">
        <v>2546</v>
      </c>
      <c r="B2550" s="0" t="n">
        <v>4</v>
      </c>
      <c r="C2550" s="19" t="n">
        <v>0</v>
      </c>
      <c r="D2550" s="19" t="n">
        <v>0.4327</v>
      </c>
      <c r="E2550" s="20" t="n">
        <f aca="false">Parametres!$B$5*C2550</f>
        <v>0</v>
      </c>
      <c r="F2550" s="20" t="n">
        <f aca="false">Parametres!$B$6*D2550</f>
        <v>86.54</v>
      </c>
      <c r="G2550" s="20" t="n">
        <f aca="false">E2550+F2550</f>
        <v>86.54</v>
      </c>
      <c r="H2550" s="20" t="n">
        <f aca="false">IF(G2550&lt;Parametres!$B$8*Parametres!$B$7,0,MIN(G2550,Parametres!$B$7))</f>
        <v>86.54</v>
      </c>
      <c r="I2550" s="20" t="n">
        <f aca="false">G2550-H2550</f>
        <v>0</v>
      </c>
      <c r="J2550" s="21" t="n">
        <f aca="false">H2550*1000/Parametres!$B$9</f>
        <v>1467.52586060709</v>
      </c>
    </row>
    <row r="2551" customFormat="false" ht="15" hidden="false" customHeight="false" outlineLevel="0" collapsed="false">
      <c r="A2551" s="0" t="n">
        <v>2547</v>
      </c>
      <c r="B2551" s="0" t="n">
        <v>4</v>
      </c>
      <c r="C2551" s="19" t="n">
        <v>0</v>
      </c>
      <c r="D2551" s="19" t="n">
        <v>0.6876</v>
      </c>
      <c r="E2551" s="20" t="n">
        <f aca="false">Parametres!$B$5*C2551</f>
        <v>0</v>
      </c>
      <c r="F2551" s="20" t="n">
        <f aca="false">Parametres!$B$6*D2551</f>
        <v>137.52</v>
      </c>
      <c r="G2551" s="20" t="n">
        <f aca="false">E2551+F2551</f>
        <v>137.52</v>
      </c>
      <c r="H2551" s="20" t="n">
        <f aca="false">IF(G2551&lt;Parametres!$B$8*Parametres!$B$7,0,MIN(G2551,Parametres!$B$7))</f>
        <v>137.52</v>
      </c>
      <c r="I2551" s="20" t="n">
        <f aca="false">G2551-H2551</f>
        <v>0</v>
      </c>
      <c r="J2551" s="21" t="n">
        <f aca="false">H2551*1000/Parametres!$B$9</f>
        <v>2332.03323723927</v>
      </c>
    </row>
    <row r="2552" customFormat="false" ht="15" hidden="false" customHeight="false" outlineLevel="0" collapsed="false">
      <c r="A2552" s="0" t="n">
        <v>2548</v>
      </c>
      <c r="B2552" s="0" t="n">
        <v>4</v>
      </c>
      <c r="C2552" s="19" t="n">
        <v>0</v>
      </c>
      <c r="D2552" s="19" t="n">
        <v>0.4748</v>
      </c>
      <c r="E2552" s="20" t="n">
        <f aca="false">Parametres!$B$5*C2552</f>
        <v>0</v>
      </c>
      <c r="F2552" s="20" t="n">
        <f aca="false">Parametres!$B$6*D2552</f>
        <v>94.96</v>
      </c>
      <c r="G2552" s="20" t="n">
        <f aca="false">E2552+F2552</f>
        <v>94.96</v>
      </c>
      <c r="H2552" s="20" t="n">
        <f aca="false">IF(G2552&lt;Parametres!$B$8*Parametres!$B$7,0,MIN(G2552,Parametres!$B$7))</f>
        <v>94.96</v>
      </c>
      <c r="I2552" s="20" t="n">
        <f aca="false">G2552-H2552</f>
        <v>0</v>
      </c>
      <c r="J2552" s="21" t="n">
        <f aca="false">H2552*1000/Parametres!$B$9</f>
        <v>1610.31032728506</v>
      </c>
    </row>
    <row r="2553" customFormat="false" ht="15" hidden="false" customHeight="false" outlineLevel="0" collapsed="false">
      <c r="A2553" s="0" t="n">
        <v>2549</v>
      </c>
      <c r="B2553" s="0" t="n">
        <v>4</v>
      </c>
      <c r="C2553" s="19" t="n">
        <v>0</v>
      </c>
      <c r="D2553" s="19" t="n">
        <v>0.2024</v>
      </c>
      <c r="E2553" s="20" t="n">
        <f aca="false">Parametres!$B$5*C2553</f>
        <v>0</v>
      </c>
      <c r="F2553" s="20" t="n">
        <f aca="false">Parametres!$B$6*D2553</f>
        <v>40.48</v>
      </c>
      <c r="G2553" s="20" t="n">
        <f aca="false">E2553+F2553</f>
        <v>40.48</v>
      </c>
      <c r="H2553" s="20" t="n">
        <f aca="false">IF(G2553&lt;Parametres!$B$8*Parametres!$B$7,0,MIN(G2553,Parametres!$B$7))</f>
        <v>40.48</v>
      </c>
      <c r="I2553" s="20" t="n">
        <f aca="false">G2553-H2553</f>
        <v>0</v>
      </c>
      <c r="J2553" s="21" t="n">
        <f aca="false">H2553*1000/Parametres!$B$9</f>
        <v>686.450737663219</v>
      </c>
    </row>
    <row r="2554" customFormat="false" ht="15" hidden="false" customHeight="false" outlineLevel="0" collapsed="false">
      <c r="A2554" s="0" t="n">
        <v>2550</v>
      </c>
      <c r="B2554" s="0" t="n">
        <v>4</v>
      </c>
      <c r="C2554" s="19" t="n">
        <v>0</v>
      </c>
      <c r="D2554" s="19" t="n">
        <v>0.2119</v>
      </c>
      <c r="E2554" s="20" t="n">
        <f aca="false">Parametres!$B$5*C2554</f>
        <v>0</v>
      </c>
      <c r="F2554" s="20" t="n">
        <f aca="false">Parametres!$B$6*D2554</f>
        <v>42.38</v>
      </c>
      <c r="G2554" s="20" t="n">
        <f aca="false">E2554+F2554</f>
        <v>42.38</v>
      </c>
      <c r="H2554" s="20" t="n">
        <f aca="false">IF(G2554&lt;Parametres!$B$8*Parametres!$B$7,0,MIN(G2554,Parametres!$B$7))</f>
        <v>42.38</v>
      </c>
      <c r="I2554" s="20" t="n">
        <f aca="false">G2554-H2554</f>
        <v>0</v>
      </c>
      <c r="J2554" s="21" t="n">
        <f aca="false">H2554*1000/Parametres!$B$9</f>
        <v>718.670510429032</v>
      </c>
    </row>
    <row r="2555" customFormat="false" ht="15" hidden="false" customHeight="false" outlineLevel="0" collapsed="false">
      <c r="A2555" s="0" t="n">
        <v>2551</v>
      </c>
      <c r="B2555" s="0" t="n">
        <v>4</v>
      </c>
      <c r="C2555" s="19" t="n">
        <v>0.1637</v>
      </c>
      <c r="D2555" s="19" t="n">
        <v>0.3468</v>
      </c>
      <c r="E2555" s="20" t="n">
        <f aca="false">Parametres!$B$5*C2555</f>
        <v>49.11</v>
      </c>
      <c r="F2555" s="20" t="n">
        <f aca="false">Parametres!$B$6*D2555</f>
        <v>69.36</v>
      </c>
      <c r="G2555" s="20" t="n">
        <f aca="false">E2555+F2555</f>
        <v>118.47</v>
      </c>
      <c r="H2555" s="20" t="n">
        <f aca="false">IF(G2555&lt;Parametres!$B$8*Parametres!$B$7,0,MIN(G2555,Parametres!$B$7))</f>
        <v>118.47</v>
      </c>
      <c r="I2555" s="20" t="n">
        <f aca="false">G2555-H2555</f>
        <v>0</v>
      </c>
      <c r="J2555" s="21" t="n">
        <f aca="false">H2555*1000/Parametres!$B$9</f>
        <v>2008.98762082415</v>
      </c>
    </row>
    <row r="2556" customFormat="false" ht="15" hidden="false" customHeight="false" outlineLevel="0" collapsed="false">
      <c r="A2556" s="0" t="n">
        <v>2552</v>
      </c>
      <c r="B2556" s="0" t="n">
        <v>4</v>
      </c>
      <c r="C2556" s="19" t="n">
        <v>0.4366</v>
      </c>
      <c r="D2556" s="19" t="n">
        <v>0.4433</v>
      </c>
      <c r="E2556" s="20" t="n">
        <f aca="false">Parametres!$B$5*C2556</f>
        <v>130.98</v>
      </c>
      <c r="F2556" s="20" t="n">
        <f aca="false">Parametres!$B$6*D2556</f>
        <v>88.66</v>
      </c>
      <c r="G2556" s="20" t="n">
        <f aca="false">E2556+F2556</f>
        <v>219.64</v>
      </c>
      <c r="H2556" s="20" t="n">
        <f aca="false">IF(G2556&lt;Parametres!$B$8*Parametres!$B$7,0,MIN(G2556,Parametres!$B$7))</f>
        <v>219.64</v>
      </c>
      <c r="I2556" s="20" t="n">
        <f aca="false">G2556-H2556</f>
        <v>0</v>
      </c>
      <c r="J2556" s="21" t="n">
        <f aca="false">H2556*1000/Parametres!$B$9</f>
        <v>3724.605731728</v>
      </c>
    </row>
    <row r="2557" customFormat="false" ht="15" hidden="false" customHeight="false" outlineLevel="0" collapsed="false">
      <c r="A2557" s="0" t="n">
        <v>2553</v>
      </c>
      <c r="B2557" s="0" t="n">
        <v>4</v>
      </c>
      <c r="C2557" s="19" t="n">
        <v>0.6612</v>
      </c>
      <c r="D2557" s="19" t="n">
        <v>0.5118</v>
      </c>
      <c r="E2557" s="20" t="n">
        <f aca="false">Parametres!$B$5*C2557</f>
        <v>198.36</v>
      </c>
      <c r="F2557" s="20" t="n">
        <f aca="false">Parametres!$B$6*D2557</f>
        <v>102.36</v>
      </c>
      <c r="G2557" s="20" t="n">
        <f aca="false">E2557+F2557</f>
        <v>300.72</v>
      </c>
      <c r="H2557" s="20" t="n">
        <f aca="false">IF(G2557&lt;Parametres!$B$8*Parametres!$B$7,0,MIN(G2557,Parametres!$B$7))</f>
        <v>250</v>
      </c>
      <c r="I2557" s="20" t="n">
        <f aca="false">G2557-H2557</f>
        <v>50.72</v>
      </c>
      <c r="J2557" s="21" t="n">
        <f aca="false">H2557*1000/Parametres!$B$9</f>
        <v>4239.44378497541</v>
      </c>
    </row>
    <row r="2558" customFormat="false" ht="15" hidden="false" customHeight="false" outlineLevel="0" collapsed="false">
      <c r="A2558" s="0" t="n">
        <v>2554</v>
      </c>
      <c r="B2558" s="0" t="n">
        <v>4</v>
      </c>
      <c r="C2558" s="19" t="n">
        <v>0.8305</v>
      </c>
      <c r="D2558" s="19" t="n">
        <v>0.4181</v>
      </c>
      <c r="E2558" s="20" t="n">
        <f aca="false">Parametres!$B$5*C2558</f>
        <v>249.15</v>
      </c>
      <c r="F2558" s="20" t="n">
        <f aca="false">Parametres!$B$6*D2558</f>
        <v>83.62</v>
      </c>
      <c r="G2558" s="20" t="n">
        <f aca="false">E2558+F2558</f>
        <v>332.77</v>
      </c>
      <c r="H2558" s="20" t="n">
        <f aca="false">IF(G2558&lt;Parametres!$B$8*Parametres!$B$7,0,MIN(G2558,Parametres!$B$7))</f>
        <v>250</v>
      </c>
      <c r="I2558" s="20" t="n">
        <f aca="false">G2558-H2558</f>
        <v>82.77</v>
      </c>
      <c r="J2558" s="21" t="n">
        <f aca="false">H2558*1000/Parametres!$B$9</f>
        <v>4239.44378497541</v>
      </c>
    </row>
    <row r="2559" customFormat="false" ht="15" hidden="false" customHeight="false" outlineLevel="0" collapsed="false">
      <c r="A2559" s="0" t="n">
        <v>2555</v>
      </c>
      <c r="B2559" s="0" t="n">
        <v>4</v>
      </c>
      <c r="C2559" s="19" t="n">
        <v>0.9261</v>
      </c>
      <c r="D2559" s="19" t="n">
        <v>0.6367</v>
      </c>
      <c r="E2559" s="20" t="n">
        <f aca="false">Parametres!$B$5*C2559</f>
        <v>277.83</v>
      </c>
      <c r="F2559" s="20" t="n">
        <f aca="false">Parametres!$B$6*D2559</f>
        <v>127.34</v>
      </c>
      <c r="G2559" s="20" t="n">
        <f aca="false">E2559+F2559</f>
        <v>405.17</v>
      </c>
      <c r="H2559" s="20" t="n">
        <f aca="false">IF(G2559&lt;Parametres!$B$8*Parametres!$B$7,0,MIN(G2559,Parametres!$B$7))</f>
        <v>250</v>
      </c>
      <c r="I2559" s="20" t="n">
        <f aca="false">G2559-H2559</f>
        <v>155.17</v>
      </c>
      <c r="J2559" s="21" t="n">
        <f aca="false">H2559*1000/Parametres!$B$9</f>
        <v>4239.44378497541</v>
      </c>
    </row>
    <row r="2560" customFormat="false" ht="15" hidden="false" customHeight="false" outlineLevel="0" collapsed="false">
      <c r="A2560" s="0" t="n">
        <v>2556</v>
      </c>
      <c r="B2560" s="0" t="n">
        <v>4</v>
      </c>
      <c r="C2560" s="19" t="n">
        <v>1</v>
      </c>
      <c r="D2560" s="19" t="n">
        <v>0.3732</v>
      </c>
      <c r="E2560" s="20" t="n">
        <f aca="false">Parametres!$B$5*C2560</f>
        <v>300</v>
      </c>
      <c r="F2560" s="20" t="n">
        <f aca="false">Parametres!$B$6*D2560</f>
        <v>74.64</v>
      </c>
      <c r="G2560" s="20" t="n">
        <f aca="false">E2560+F2560</f>
        <v>374.64</v>
      </c>
      <c r="H2560" s="20" t="n">
        <f aca="false">IF(G2560&lt;Parametres!$B$8*Parametres!$B$7,0,MIN(G2560,Parametres!$B$7))</f>
        <v>250</v>
      </c>
      <c r="I2560" s="20" t="n">
        <f aca="false">G2560-H2560</f>
        <v>124.64</v>
      </c>
      <c r="J2560" s="21" t="n">
        <f aca="false">H2560*1000/Parametres!$B$9</f>
        <v>4239.44378497541</v>
      </c>
    </row>
    <row r="2561" customFormat="false" ht="15" hidden="false" customHeight="false" outlineLevel="0" collapsed="false">
      <c r="A2561" s="0" t="n">
        <v>2557</v>
      </c>
      <c r="B2561" s="0" t="n">
        <v>4</v>
      </c>
      <c r="C2561" s="19" t="n">
        <v>1</v>
      </c>
      <c r="D2561" s="19" t="n">
        <v>0.5506</v>
      </c>
      <c r="E2561" s="20" t="n">
        <f aca="false">Parametres!$B$5*C2561</f>
        <v>300</v>
      </c>
      <c r="F2561" s="20" t="n">
        <f aca="false">Parametres!$B$6*D2561</f>
        <v>110.12</v>
      </c>
      <c r="G2561" s="20" t="n">
        <f aca="false">E2561+F2561</f>
        <v>410.12</v>
      </c>
      <c r="H2561" s="20" t="n">
        <f aca="false">IF(G2561&lt;Parametres!$B$8*Parametres!$B$7,0,MIN(G2561,Parametres!$B$7))</f>
        <v>250</v>
      </c>
      <c r="I2561" s="20" t="n">
        <f aca="false">G2561-H2561</f>
        <v>160.12</v>
      </c>
      <c r="J2561" s="21" t="n">
        <f aca="false">H2561*1000/Parametres!$B$9</f>
        <v>4239.44378497541</v>
      </c>
    </row>
    <row r="2562" customFormat="false" ht="15" hidden="false" customHeight="false" outlineLevel="0" collapsed="false">
      <c r="A2562" s="0" t="n">
        <v>2558</v>
      </c>
      <c r="B2562" s="0" t="n">
        <v>4</v>
      </c>
      <c r="C2562" s="19" t="n">
        <v>0.9896</v>
      </c>
      <c r="D2562" s="19" t="n">
        <v>0.3829</v>
      </c>
      <c r="E2562" s="20" t="n">
        <f aca="false">Parametres!$B$5*C2562</f>
        <v>296.88</v>
      </c>
      <c r="F2562" s="20" t="n">
        <f aca="false">Parametres!$B$6*D2562</f>
        <v>76.58</v>
      </c>
      <c r="G2562" s="20" t="n">
        <f aca="false">E2562+F2562</f>
        <v>373.46</v>
      </c>
      <c r="H2562" s="20" t="n">
        <f aca="false">IF(G2562&lt;Parametres!$B$8*Parametres!$B$7,0,MIN(G2562,Parametres!$B$7))</f>
        <v>250</v>
      </c>
      <c r="I2562" s="20" t="n">
        <f aca="false">G2562-H2562</f>
        <v>123.46</v>
      </c>
      <c r="J2562" s="21" t="n">
        <f aca="false">H2562*1000/Parametres!$B$9</f>
        <v>4239.44378497541</v>
      </c>
    </row>
    <row r="2563" customFormat="false" ht="15" hidden="false" customHeight="false" outlineLevel="0" collapsed="false">
      <c r="A2563" s="0" t="n">
        <v>2559</v>
      </c>
      <c r="B2563" s="0" t="n">
        <v>4</v>
      </c>
      <c r="C2563" s="19" t="n">
        <v>0.847</v>
      </c>
      <c r="D2563" s="19" t="n">
        <v>0.3205</v>
      </c>
      <c r="E2563" s="20" t="n">
        <f aca="false">Parametres!$B$5*C2563</f>
        <v>254.1</v>
      </c>
      <c r="F2563" s="20" t="n">
        <f aca="false">Parametres!$B$6*D2563</f>
        <v>64.1</v>
      </c>
      <c r="G2563" s="20" t="n">
        <f aca="false">E2563+F2563</f>
        <v>318.2</v>
      </c>
      <c r="H2563" s="20" t="n">
        <f aca="false">IF(G2563&lt;Parametres!$B$8*Parametres!$B$7,0,MIN(G2563,Parametres!$B$7))</f>
        <v>250</v>
      </c>
      <c r="I2563" s="20" t="n">
        <f aca="false">G2563-H2563</f>
        <v>68.2</v>
      </c>
      <c r="J2563" s="21" t="n">
        <f aca="false">H2563*1000/Parametres!$B$9</f>
        <v>4239.44378497541</v>
      </c>
    </row>
    <row r="2564" customFormat="false" ht="15" hidden="false" customHeight="false" outlineLevel="0" collapsed="false">
      <c r="A2564" s="0" t="n">
        <v>2560</v>
      </c>
      <c r="B2564" s="0" t="n">
        <v>4</v>
      </c>
      <c r="C2564" s="19" t="n">
        <v>0.628</v>
      </c>
      <c r="D2564" s="19" t="n">
        <v>0.1855</v>
      </c>
      <c r="E2564" s="20" t="n">
        <f aca="false">Parametres!$B$5*C2564</f>
        <v>188.4</v>
      </c>
      <c r="F2564" s="20" t="n">
        <f aca="false">Parametres!$B$6*D2564</f>
        <v>37.1</v>
      </c>
      <c r="G2564" s="20" t="n">
        <f aca="false">E2564+F2564</f>
        <v>225.5</v>
      </c>
      <c r="H2564" s="20" t="n">
        <f aca="false">IF(G2564&lt;Parametres!$B$8*Parametres!$B$7,0,MIN(G2564,Parametres!$B$7))</f>
        <v>225.5</v>
      </c>
      <c r="I2564" s="20" t="n">
        <f aca="false">G2564-H2564</f>
        <v>0</v>
      </c>
      <c r="J2564" s="21" t="n">
        <f aca="false">H2564*1000/Parametres!$B$9</f>
        <v>3823.97829404782</v>
      </c>
    </row>
    <row r="2565" customFormat="false" ht="15" hidden="false" customHeight="false" outlineLevel="0" collapsed="false">
      <c r="A2565" s="0" t="n">
        <v>2561</v>
      </c>
      <c r="B2565" s="0" t="n">
        <v>4</v>
      </c>
      <c r="C2565" s="19" t="n">
        <v>0.4184</v>
      </c>
      <c r="D2565" s="19" t="n">
        <v>0.1182</v>
      </c>
      <c r="E2565" s="20" t="n">
        <f aca="false">Parametres!$B$5*C2565</f>
        <v>125.52</v>
      </c>
      <c r="F2565" s="20" t="n">
        <f aca="false">Parametres!$B$6*D2565</f>
        <v>23.64</v>
      </c>
      <c r="G2565" s="20" t="n">
        <f aca="false">E2565+F2565</f>
        <v>149.16</v>
      </c>
      <c r="H2565" s="20" t="n">
        <f aca="false">IF(G2565&lt;Parametres!$B$8*Parametres!$B$7,0,MIN(G2565,Parametres!$B$7))</f>
        <v>149.16</v>
      </c>
      <c r="I2565" s="20" t="n">
        <f aca="false">G2565-H2565</f>
        <v>0</v>
      </c>
      <c r="J2565" s="21" t="n">
        <f aca="false">H2565*1000/Parametres!$B$9</f>
        <v>2529.42173986773</v>
      </c>
    </row>
    <row r="2566" customFormat="false" ht="15" hidden="false" customHeight="false" outlineLevel="0" collapsed="false">
      <c r="A2566" s="0" t="n">
        <v>2562</v>
      </c>
      <c r="B2566" s="0" t="n">
        <v>4</v>
      </c>
      <c r="C2566" s="19" t="n">
        <v>0.1634</v>
      </c>
      <c r="D2566" s="19" t="n">
        <v>0.2393</v>
      </c>
      <c r="E2566" s="20" t="n">
        <f aca="false">Parametres!$B$5*C2566</f>
        <v>49.02</v>
      </c>
      <c r="F2566" s="20" t="n">
        <f aca="false">Parametres!$B$6*D2566</f>
        <v>47.86</v>
      </c>
      <c r="G2566" s="20" t="n">
        <f aca="false">E2566+F2566</f>
        <v>96.88</v>
      </c>
      <c r="H2566" s="20" t="n">
        <f aca="false">IF(G2566&lt;Parametres!$B$8*Parametres!$B$7,0,MIN(G2566,Parametres!$B$7))</f>
        <v>96.88</v>
      </c>
      <c r="I2566" s="20" t="n">
        <f aca="false">G2566-H2566</f>
        <v>0</v>
      </c>
      <c r="J2566" s="21" t="n">
        <f aca="false">H2566*1000/Parametres!$B$9</f>
        <v>1642.86925555367</v>
      </c>
    </row>
    <row r="2567" customFormat="false" ht="15" hidden="false" customHeight="false" outlineLevel="0" collapsed="false">
      <c r="A2567" s="0" t="n">
        <v>2563</v>
      </c>
      <c r="B2567" s="0" t="n">
        <v>4</v>
      </c>
      <c r="C2567" s="19" t="n">
        <v>0</v>
      </c>
      <c r="D2567" s="19" t="n">
        <v>0.1272</v>
      </c>
      <c r="E2567" s="20" t="n">
        <f aca="false">Parametres!$B$5*C2567</f>
        <v>0</v>
      </c>
      <c r="F2567" s="20" t="n">
        <f aca="false">Parametres!$B$6*D2567</f>
        <v>25.44</v>
      </c>
      <c r="G2567" s="20" t="n">
        <f aca="false">E2567+F2567</f>
        <v>25.44</v>
      </c>
      <c r="H2567" s="20" t="n">
        <f aca="false">IF(G2567&lt;Parametres!$B$8*Parametres!$B$7,0,MIN(G2567,Parametres!$B$7))</f>
        <v>25.44</v>
      </c>
      <c r="I2567" s="20" t="n">
        <f aca="false">G2567-H2567</f>
        <v>0</v>
      </c>
      <c r="J2567" s="21" t="n">
        <f aca="false">H2567*1000/Parametres!$B$9</f>
        <v>431.405799559098</v>
      </c>
    </row>
    <row r="2568" customFormat="false" ht="15" hidden="false" customHeight="false" outlineLevel="0" collapsed="false">
      <c r="A2568" s="0" t="n">
        <v>2564</v>
      </c>
      <c r="B2568" s="0" t="n">
        <v>4</v>
      </c>
      <c r="C2568" s="19" t="n">
        <v>0</v>
      </c>
      <c r="D2568" s="19" t="n">
        <v>0.1279</v>
      </c>
      <c r="E2568" s="20" t="n">
        <f aca="false">Parametres!$B$5*C2568</f>
        <v>0</v>
      </c>
      <c r="F2568" s="20" t="n">
        <f aca="false">Parametres!$B$6*D2568</f>
        <v>25.58</v>
      </c>
      <c r="G2568" s="20" t="n">
        <f aca="false">E2568+F2568</f>
        <v>25.58</v>
      </c>
      <c r="H2568" s="20" t="n">
        <f aca="false">IF(G2568&lt;Parametres!$B$8*Parametres!$B$7,0,MIN(G2568,Parametres!$B$7))</f>
        <v>25.58</v>
      </c>
      <c r="I2568" s="20" t="n">
        <f aca="false">G2568-H2568</f>
        <v>0</v>
      </c>
      <c r="J2568" s="21" t="n">
        <f aca="false">H2568*1000/Parametres!$B$9</f>
        <v>433.779888078684</v>
      </c>
    </row>
    <row r="2569" customFormat="false" ht="15" hidden="false" customHeight="false" outlineLevel="0" collapsed="false">
      <c r="A2569" s="0" t="n">
        <v>2565</v>
      </c>
      <c r="B2569" s="0" t="n">
        <v>4</v>
      </c>
      <c r="C2569" s="19" t="n">
        <v>0</v>
      </c>
      <c r="D2569" s="19" t="n">
        <v>0.0724</v>
      </c>
      <c r="E2569" s="20" t="n">
        <f aca="false">Parametres!$B$5*C2569</f>
        <v>0</v>
      </c>
      <c r="F2569" s="20" t="n">
        <f aca="false">Parametres!$B$6*D2569</f>
        <v>14.48</v>
      </c>
      <c r="G2569" s="20" t="n">
        <f aca="false">E2569+F2569</f>
        <v>14.48</v>
      </c>
      <c r="H2569" s="20" t="n">
        <f aca="false">IF(G2569&lt;Parametres!$B$8*Parametres!$B$7,0,MIN(G2569,Parametres!$B$7))</f>
        <v>0</v>
      </c>
      <c r="I2569" s="20" t="n">
        <f aca="false">G2569-H2569</f>
        <v>14.48</v>
      </c>
      <c r="J2569" s="21" t="n">
        <f aca="false">H2569*1000/Parametres!$B$9</f>
        <v>0</v>
      </c>
    </row>
    <row r="2570" customFormat="false" ht="15" hidden="false" customHeight="false" outlineLevel="0" collapsed="false">
      <c r="A2570" s="0" t="n">
        <v>2566</v>
      </c>
      <c r="B2570" s="0" t="n">
        <v>4</v>
      </c>
      <c r="C2570" s="19" t="n">
        <v>0</v>
      </c>
      <c r="D2570" s="19" t="n">
        <v>0.1099</v>
      </c>
      <c r="E2570" s="20" t="n">
        <f aca="false">Parametres!$B$5*C2570</f>
        <v>0</v>
      </c>
      <c r="F2570" s="20" t="n">
        <f aca="false">Parametres!$B$6*D2570</f>
        <v>21.98</v>
      </c>
      <c r="G2570" s="20" t="n">
        <f aca="false">E2570+F2570</f>
        <v>21.98</v>
      </c>
      <c r="H2570" s="20" t="n">
        <f aca="false">IF(G2570&lt;Parametres!$B$8*Parametres!$B$7,0,MIN(G2570,Parametres!$B$7))</f>
        <v>0</v>
      </c>
      <c r="I2570" s="20" t="n">
        <f aca="false">G2570-H2570</f>
        <v>21.98</v>
      </c>
      <c r="J2570" s="21" t="n">
        <f aca="false">H2570*1000/Parametres!$B$9</f>
        <v>0</v>
      </c>
    </row>
    <row r="2571" customFormat="false" ht="15" hidden="false" customHeight="false" outlineLevel="0" collapsed="false">
      <c r="A2571" s="0" t="n">
        <v>2567</v>
      </c>
      <c r="B2571" s="0" t="n">
        <v>4</v>
      </c>
      <c r="C2571" s="19" t="n">
        <v>0</v>
      </c>
      <c r="D2571" s="19" t="n">
        <v>0.0417</v>
      </c>
      <c r="E2571" s="20" t="n">
        <f aca="false">Parametres!$B$5*C2571</f>
        <v>0</v>
      </c>
      <c r="F2571" s="20" t="n">
        <f aca="false">Parametres!$B$6*D2571</f>
        <v>8.34</v>
      </c>
      <c r="G2571" s="20" t="n">
        <f aca="false">E2571+F2571</f>
        <v>8.34</v>
      </c>
      <c r="H2571" s="20" t="n">
        <f aca="false">IF(G2571&lt;Parametres!$B$8*Parametres!$B$7,0,MIN(G2571,Parametres!$B$7))</f>
        <v>0</v>
      </c>
      <c r="I2571" s="20" t="n">
        <f aca="false">G2571-H2571</f>
        <v>8.34</v>
      </c>
      <c r="J2571" s="21" t="n">
        <f aca="false">H2571*1000/Parametres!$B$9</f>
        <v>0</v>
      </c>
    </row>
    <row r="2572" customFormat="false" ht="15" hidden="false" customHeight="false" outlineLevel="0" collapsed="false">
      <c r="A2572" s="0" t="n">
        <v>2568</v>
      </c>
      <c r="B2572" s="0" t="n">
        <v>4</v>
      </c>
      <c r="C2572" s="19" t="n">
        <v>0</v>
      </c>
      <c r="D2572" s="19" t="n">
        <v>0.0345</v>
      </c>
      <c r="E2572" s="20" t="n">
        <f aca="false">Parametres!$B$5*C2572</f>
        <v>0</v>
      </c>
      <c r="F2572" s="20" t="n">
        <f aca="false">Parametres!$B$6*D2572</f>
        <v>6.9</v>
      </c>
      <c r="G2572" s="20" t="n">
        <f aca="false">E2572+F2572</f>
        <v>6.9</v>
      </c>
      <c r="H2572" s="20" t="n">
        <f aca="false">IF(G2572&lt;Parametres!$B$8*Parametres!$B$7,0,MIN(G2572,Parametres!$B$7))</f>
        <v>0</v>
      </c>
      <c r="I2572" s="20" t="n">
        <f aca="false">G2572-H2572</f>
        <v>6.9</v>
      </c>
      <c r="J2572" s="21" t="n">
        <f aca="false">H2572*1000/Parametres!$B$9</f>
        <v>0</v>
      </c>
    </row>
    <row r="2573" customFormat="false" ht="15" hidden="false" customHeight="false" outlineLevel="0" collapsed="false">
      <c r="A2573" s="0" t="n">
        <v>2569</v>
      </c>
      <c r="B2573" s="0" t="n">
        <v>4</v>
      </c>
      <c r="C2573" s="19" t="n">
        <v>0</v>
      </c>
      <c r="D2573" s="19" t="n">
        <v>0.0516</v>
      </c>
      <c r="E2573" s="20" t="n">
        <f aca="false">Parametres!$B$5*C2573</f>
        <v>0</v>
      </c>
      <c r="F2573" s="20" t="n">
        <f aca="false">Parametres!$B$6*D2573</f>
        <v>10.32</v>
      </c>
      <c r="G2573" s="20" t="n">
        <f aca="false">E2573+F2573</f>
        <v>10.32</v>
      </c>
      <c r="H2573" s="20" t="n">
        <f aca="false">IF(G2573&lt;Parametres!$B$8*Parametres!$B$7,0,MIN(G2573,Parametres!$B$7))</f>
        <v>0</v>
      </c>
      <c r="I2573" s="20" t="n">
        <f aca="false">G2573-H2573</f>
        <v>10.32</v>
      </c>
      <c r="J2573" s="21" t="n">
        <f aca="false">H2573*1000/Parametres!$B$9</f>
        <v>0</v>
      </c>
    </row>
    <row r="2574" customFormat="false" ht="15" hidden="false" customHeight="false" outlineLevel="0" collapsed="false">
      <c r="A2574" s="0" t="n">
        <v>2570</v>
      </c>
      <c r="B2574" s="0" t="n">
        <v>4</v>
      </c>
      <c r="C2574" s="19" t="n">
        <v>0</v>
      </c>
      <c r="D2574" s="19" t="n">
        <v>0.1428</v>
      </c>
      <c r="E2574" s="20" t="n">
        <f aca="false">Parametres!$B$5*C2574</f>
        <v>0</v>
      </c>
      <c r="F2574" s="20" t="n">
        <f aca="false">Parametres!$B$6*D2574</f>
        <v>28.56</v>
      </c>
      <c r="G2574" s="20" t="n">
        <f aca="false">E2574+F2574</f>
        <v>28.56</v>
      </c>
      <c r="H2574" s="20" t="n">
        <f aca="false">IF(G2574&lt;Parametres!$B$8*Parametres!$B$7,0,MIN(G2574,Parametres!$B$7))</f>
        <v>28.56</v>
      </c>
      <c r="I2574" s="20" t="n">
        <f aca="false">G2574-H2574</f>
        <v>0</v>
      </c>
      <c r="J2574" s="21" t="n">
        <f aca="false">H2574*1000/Parametres!$B$9</f>
        <v>484.314057995591</v>
      </c>
    </row>
    <row r="2575" customFormat="false" ht="15" hidden="false" customHeight="false" outlineLevel="0" collapsed="false">
      <c r="A2575" s="0" t="n">
        <v>2571</v>
      </c>
      <c r="B2575" s="0" t="n">
        <v>4</v>
      </c>
      <c r="C2575" s="19" t="n">
        <v>0</v>
      </c>
      <c r="D2575" s="19" t="n">
        <v>0.0698</v>
      </c>
      <c r="E2575" s="20" t="n">
        <f aca="false">Parametres!$B$5*C2575</f>
        <v>0</v>
      </c>
      <c r="F2575" s="20" t="n">
        <f aca="false">Parametres!$B$6*D2575</f>
        <v>13.96</v>
      </c>
      <c r="G2575" s="20" t="n">
        <f aca="false">E2575+F2575</f>
        <v>13.96</v>
      </c>
      <c r="H2575" s="20" t="n">
        <f aca="false">IF(G2575&lt;Parametres!$B$8*Parametres!$B$7,0,MIN(G2575,Parametres!$B$7))</f>
        <v>0</v>
      </c>
      <c r="I2575" s="20" t="n">
        <f aca="false">G2575-H2575</f>
        <v>13.96</v>
      </c>
      <c r="J2575" s="21" t="n">
        <f aca="false">H2575*1000/Parametres!$B$9</f>
        <v>0</v>
      </c>
    </row>
    <row r="2576" customFormat="false" ht="15" hidden="false" customHeight="false" outlineLevel="0" collapsed="false">
      <c r="A2576" s="0" t="n">
        <v>2572</v>
      </c>
      <c r="B2576" s="0" t="n">
        <v>4</v>
      </c>
      <c r="C2576" s="19" t="n">
        <v>0</v>
      </c>
      <c r="D2576" s="19" t="n">
        <v>0.0381</v>
      </c>
      <c r="E2576" s="20" t="n">
        <f aca="false">Parametres!$B$5*C2576</f>
        <v>0</v>
      </c>
      <c r="F2576" s="20" t="n">
        <f aca="false">Parametres!$B$6*D2576</f>
        <v>7.62</v>
      </c>
      <c r="G2576" s="20" t="n">
        <f aca="false">E2576+F2576</f>
        <v>7.62</v>
      </c>
      <c r="H2576" s="20" t="n">
        <f aca="false">IF(G2576&lt;Parametres!$B$8*Parametres!$B$7,0,MIN(G2576,Parametres!$B$7))</f>
        <v>0</v>
      </c>
      <c r="I2576" s="20" t="n">
        <f aca="false">G2576-H2576</f>
        <v>7.62</v>
      </c>
      <c r="J2576" s="21" t="n">
        <f aca="false">H2576*1000/Parametres!$B$9</f>
        <v>0</v>
      </c>
    </row>
    <row r="2577" customFormat="false" ht="15" hidden="false" customHeight="false" outlineLevel="0" collapsed="false">
      <c r="A2577" s="0" t="n">
        <v>2573</v>
      </c>
      <c r="B2577" s="0" t="n">
        <v>4</v>
      </c>
      <c r="C2577" s="19" t="n">
        <v>0</v>
      </c>
      <c r="D2577" s="19" t="n">
        <v>0.0353</v>
      </c>
      <c r="E2577" s="20" t="n">
        <f aca="false">Parametres!$B$5*C2577</f>
        <v>0</v>
      </c>
      <c r="F2577" s="20" t="n">
        <f aca="false">Parametres!$B$6*D2577</f>
        <v>7.06</v>
      </c>
      <c r="G2577" s="20" t="n">
        <f aca="false">E2577+F2577</f>
        <v>7.06</v>
      </c>
      <c r="H2577" s="20" t="n">
        <f aca="false">IF(G2577&lt;Parametres!$B$8*Parametres!$B$7,0,MIN(G2577,Parametres!$B$7))</f>
        <v>0</v>
      </c>
      <c r="I2577" s="20" t="n">
        <f aca="false">G2577-H2577</f>
        <v>7.06</v>
      </c>
      <c r="J2577" s="21" t="n">
        <f aca="false">H2577*1000/Parametres!$B$9</f>
        <v>0</v>
      </c>
    </row>
    <row r="2578" customFormat="false" ht="15" hidden="false" customHeight="false" outlineLevel="0" collapsed="false">
      <c r="A2578" s="0" t="n">
        <v>2574</v>
      </c>
      <c r="B2578" s="0" t="n">
        <v>4</v>
      </c>
      <c r="C2578" s="19" t="n">
        <v>0</v>
      </c>
      <c r="D2578" s="19" t="n">
        <v>0.0828</v>
      </c>
      <c r="E2578" s="20" t="n">
        <f aca="false">Parametres!$B$5*C2578</f>
        <v>0</v>
      </c>
      <c r="F2578" s="20" t="n">
        <f aca="false">Parametres!$B$6*D2578</f>
        <v>16.56</v>
      </c>
      <c r="G2578" s="20" t="n">
        <f aca="false">E2578+F2578</f>
        <v>16.56</v>
      </c>
      <c r="H2578" s="20" t="n">
        <f aca="false">IF(G2578&lt;Parametres!$B$8*Parametres!$B$7,0,MIN(G2578,Parametres!$B$7))</f>
        <v>0</v>
      </c>
      <c r="I2578" s="20" t="n">
        <f aca="false">G2578-H2578</f>
        <v>16.56</v>
      </c>
      <c r="J2578" s="21" t="n">
        <f aca="false">H2578*1000/Parametres!$B$9</f>
        <v>0</v>
      </c>
    </row>
    <row r="2579" customFormat="false" ht="15" hidden="false" customHeight="false" outlineLevel="0" collapsed="false">
      <c r="A2579" s="0" t="n">
        <v>2575</v>
      </c>
      <c r="B2579" s="0" t="n">
        <v>4</v>
      </c>
      <c r="C2579" s="19" t="n">
        <v>0.1527</v>
      </c>
      <c r="D2579" s="19" t="n">
        <v>0.0497</v>
      </c>
      <c r="E2579" s="20" t="n">
        <f aca="false">Parametres!$B$5*C2579</f>
        <v>45.81</v>
      </c>
      <c r="F2579" s="20" t="n">
        <f aca="false">Parametres!$B$6*D2579</f>
        <v>9.94</v>
      </c>
      <c r="G2579" s="20" t="n">
        <f aca="false">E2579+F2579</f>
        <v>55.75</v>
      </c>
      <c r="H2579" s="20" t="n">
        <f aca="false">IF(G2579&lt;Parametres!$B$8*Parametres!$B$7,0,MIN(G2579,Parametres!$B$7))</f>
        <v>55.75</v>
      </c>
      <c r="I2579" s="20" t="n">
        <f aca="false">G2579-H2579</f>
        <v>0</v>
      </c>
      <c r="J2579" s="21" t="n">
        <f aca="false">H2579*1000/Parametres!$B$9</f>
        <v>945.395964049517</v>
      </c>
    </row>
    <row r="2580" customFormat="false" ht="15" hidden="false" customHeight="false" outlineLevel="0" collapsed="false">
      <c r="A2580" s="0" t="n">
        <v>2576</v>
      </c>
      <c r="B2580" s="0" t="n">
        <v>4</v>
      </c>
      <c r="C2580" s="19" t="n">
        <v>0.3699</v>
      </c>
      <c r="D2580" s="19" t="n">
        <v>0.086</v>
      </c>
      <c r="E2580" s="20" t="n">
        <f aca="false">Parametres!$B$5*C2580</f>
        <v>110.97</v>
      </c>
      <c r="F2580" s="20" t="n">
        <f aca="false">Parametres!$B$6*D2580</f>
        <v>17.2</v>
      </c>
      <c r="G2580" s="20" t="n">
        <f aca="false">E2580+F2580</f>
        <v>128.17</v>
      </c>
      <c r="H2580" s="20" t="n">
        <f aca="false">IF(G2580&lt;Parametres!$B$8*Parametres!$B$7,0,MIN(G2580,Parametres!$B$7))</f>
        <v>128.17</v>
      </c>
      <c r="I2580" s="20" t="n">
        <f aca="false">G2580-H2580</f>
        <v>0</v>
      </c>
      <c r="J2580" s="21" t="n">
        <f aca="false">H2580*1000/Parametres!$B$9</f>
        <v>2173.47803968119</v>
      </c>
    </row>
    <row r="2581" customFormat="false" ht="15" hidden="false" customHeight="false" outlineLevel="0" collapsed="false">
      <c r="A2581" s="0" t="n">
        <v>2577</v>
      </c>
      <c r="B2581" s="0" t="n">
        <v>4</v>
      </c>
      <c r="C2581" s="19" t="n">
        <v>0.5481</v>
      </c>
      <c r="D2581" s="19" t="n">
        <v>0.0693</v>
      </c>
      <c r="E2581" s="20" t="n">
        <f aca="false">Parametres!$B$5*C2581</f>
        <v>164.43</v>
      </c>
      <c r="F2581" s="20" t="n">
        <f aca="false">Parametres!$B$6*D2581</f>
        <v>13.86</v>
      </c>
      <c r="G2581" s="20" t="n">
        <f aca="false">E2581+F2581</f>
        <v>178.29</v>
      </c>
      <c r="H2581" s="20" t="n">
        <f aca="false">IF(G2581&lt;Parametres!$B$8*Parametres!$B$7,0,MIN(G2581,Parametres!$B$7))</f>
        <v>178.29</v>
      </c>
      <c r="I2581" s="20" t="n">
        <f aca="false">G2581-H2581</f>
        <v>0</v>
      </c>
      <c r="J2581" s="21" t="n">
        <f aca="false">H2581*1000/Parametres!$B$9</f>
        <v>3023.40172969306</v>
      </c>
    </row>
    <row r="2582" customFormat="false" ht="15" hidden="false" customHeight="false" outlineLevel="0" collapsed="false">
      <c r="A2582" s="0" t="n">
        <v>2578</v>
      </c>
      <c r="B2582" s="0" t="n">
        <v>4</v>
      </c>
      <c r="C2582" s="19" t="n">
        <v>0.7555</v>
      </c>
      <c r="D2582" s="19" t="n">
        <v>0.0434</v>
      </c>
      <c r="E2582" s="20" t="n">
        <f aca="false">Parametres!$B$5*C2582</f>
        <v>226.65</v>
      </c>
      <c r="F2582" s="20" t="n">
        <f aca="false">Parametres!$B$6*D2582</f>
        <v>8.68</v>
      </c>
      <c r="G2582" s="20" t="n">
        <f aca="false">E2582+F2582</f>
        <v>235.33</v>
      </c>
      <c r="H2582" s="20" t="n">
        <f aca="false">IF(G2582&lt;Parametres!$B$8*Parametres!$B$7,0,MIN(G2582,Parametres!$B$7))</f>
        <v>235.33</v>
      </c>
      <c r="I2582" s="20" t="n">
        <f aca="false">G2582-H2582</f>
        <v>0</v>
      </c>
      <c r="J2582" s="21" t="n">
        <f aca="false">H2582*1000/Parametres!$B$9</f>
        <v>3990.67322367305</v>
      </c>
    </row>
    <row r="2583" customFormat="false" ht="15" hidden="false" customHeight="false" outlineLevel="0" collapsed="false">
      <c r="A2583" s="0" t="n">
        <v>2579</v>
      </c>
      <c r="B2583" s="0" t="n">
        <v>4</v>
      </c>
      <c r="C2583" s="19" t="n">
        <v>0.8167</v>
      </c>
      <c r="D2583" s="19" t="n">
        <v>0.0163</v>
      </c>
      <c r="E2583" s="20" t="n">
        <f aca="false">Parametres!$B$5*C2583</f>
        <v>245.01</v>
      </c>
      <c r="F2583" s="20" t="n">
        <f aca="false">Parametres!$B$6*D2583</f>
        <v>3.26</v>
      </c>
      <c r="G2583" s="20" t="n">
        <f aca="false">E2583+F2583</f>
        <v>248.27</v>
      </c>
      <c r="H2583" s="20" t="n">
        <f aca="false">IF(G2583&lt;Parametres!$B$8*Parametres!$B$7,0,MIN(G2583,Parametres!$B$7))</f>
        <v>248.27</v>
      </c>
      <c r="I2583" s="20" t="n">
        <f aca="false">G2583-H2583</f>
        <v>0</v>
      </c>
      <c r="J2583" s="21" t="n">
        <f aca="false">H2583*1000/Parametres!$B$9</f>
        <v>4210.10683398338</v>
      </c>
    </row>
    <row r="2584" customFormat="false" ht="15" hidden="false" customHeight="false" outlineLevel="0" collapsed="false">
      <c r="A2584" s="0" t="n">
        <v>2580</v>
      </c>
      <c r="B2584" s="0" t="n">
        <v>4</v>
      </c>
      <c r="C2584" s="19" t="n">
        <v>0.9414</v>
      </c>
      <c r="D2584" s="19" t="n">
        <v>0.0223</v>
      </c>
      <c r="E2584" s="20" t="n">
        <f aca="false">Parametres!$B$5*C2584</f>
        <v>282.42</v>
      </c>
      <c r="F2584" s="20" t="n">
        <f aca="false">Parametres!$B$6*D2584</f>
        <v>4.46</v>
      </c>
      <c r="G2584" s="20" t="n">
        <f aca="false">E2584+F2584</f>
        <v>286.88</v>
      </c>
      <c r="H2584" s="20" t="n">
        <f aca="false">IF(G2584&lt;Parametres!$B$8*Parametres!$B$7,0,MIN(G2584,Parametres!$B$7))</f>
        <v>250</v>
      </c>
      <c r="I2584" s="20" t="n">
        <f aca="false">G2584-H2584</f>
        <v>36.88</v>
      </c>
      <c r="J2584" s="21" t="n">
        <f aca="false">H2584*1000/Parametres!$B$9</f>
        <v>4239.44378497541</v>
      </c>
    </row>
    <row r="2585" customFormat="false" ht="15" hidden="false" customHeight="false" outlineLevel="0" collapsed="false">
      <c r="A2585" s="0" t="n">
        <v>2581</v>
      </c>
      <c r="B2585" s="0" t="n">
        <v>4</v>
      </c>
      <c r="C2585" s="19" t="n">
        <v>0.9296</v>
      </c>
      <c r="D2585" s="19" t="n">
        <v>0.0529</v>
      </c>
      <c r="E2585" s="20" t="n">
        <f aca="false">Parametres!$B$5*C2585</f>
        <v>278.88</v>
      </c>
      <c r="F2585" s="20" t="n">
        <f aca="false">Parametres!$B$6*D2585</f>
        <v>10.58</v>
      </c>
      <c r="G2585" s="20" t="n">
        <f aca="false">E2585+F2585</f>
        <v>289.46</v>
      </c>
      <c r="H2585" s="20" t="n">
        <f aca="false">IF(G2585&lt;Parametres!$B$8*Parametres!$B$7,0,MIN(G2585,Parametres!$B$7))</f>
        <v>250</v>
      </c>
      <c r="I2585" s="20" t="n">
        <f aca="false">G2585-H2585</f>
        <v>39.46</v>
      </c>
      <c r="J2585" s="21" t="n">
        <f aca="false">H2585*1000/Parametres!$B$9</f>
        <v>4239.44378497541</v>
      </c>
    </row>
    <row r="2586" customFormat="false" ht="15" hidden="false" customHeight="false" outlineLevel="0" collapsed="false">
      <c r="A2586" s="0" t="n">
        <v>2582</v>
      </c>
      <c r="B2586" s="0" t="n">
        <v>4</v>
      </c>
      <c r="C2586" s="19" t="n">
        <v>0.9422</v>
      </c>
      <c r="D2586" s="19" t="n">
        <v>0.0558</v>
      </c>
      <c r="E2586" s="20" t="n">
        <f aca="false">Parametres!$B$5*C2586</f>
        <v>282.66</v>
      </c>
      <c r="F2586" s="20" t="n">
        <f aca="false">Parametres!$B$6*D2586</f>
        <v>11.16</v>
      </c>
      <c r="G2586" s="20" t="n">
        <f aca="false">E2586+F2586</f>
        <v>293.82</v>
      </c>
      <c r="H2586" s="20" t="n">
        <f aca="false">IF(G2586&lt;Parametres!$B$8*Parametres!$B$7,0,MIN(G2586,Parametres!$B$7))</f>
        <v>250</v>
      </c>
      <c r="I2586" s="20" t="n">
        <f aca="false">G2586-H2586</f>
        <v>43.8200000000001</v>
      </c>
      <c r="J2586" s="21" t="n">
        <f aca="false">H2586*1000/Parametres!$B$9</f>
        <v>4239.44378497541</v>
      </c>
    </row>
    <row r="2587" customFormat="false" ht="15" hidden="false" customHeight="false" outlineLevel="0" collapsed="false">
      <c r="A2587" s="0" t="n">
        <v>2583</v>
      </c>
      <c r="B2587" s="0" t="n">
        <v>4</v>
      </c>
      <c r="C2587" s="19" t="n">
        <v>0.7385</v>
      </c>
      <c r="D2587" s="19" t="n">
        <v>0.0117</v>
      </c>
      <c r="E2587" s="20" t="n">
        <f aca="false">Parametres!$B$5*C2587</f>
        <v>221.55</v>
      </c>
      <c r="F2587" s="20" t="n">
        <f aca="false">Parametres!$B$6*D2587</f>
        <v>2.34</v>
      </c>
      <c r="G2587" s="20" t="n">
        <f aca="false">E2587+F2587</f>
        <v>223.89</v>
      </c>
      <c r="H2587" s="20" t="n">
        <f aca="false">IF(G2587&lt;Parametres!$B$8*Parametres!$B$7,0,MIN(G2587,Parametres!$B$7))</f>
        <v>223.89</v>
      </c>
      <c r="I2587" s="20" t="n">
        <f aca="false">G2587-H2587</f>
        <v>0</v>
      </c>
      <c r="J2587" s="21" t="n">
        <f aca="false">H2587*1000/Parametres!$B$9</f>
        <v>3796.67627607258</v>
      </c>
    </row>
    <row r="2588" customFormat="false" ht="15" hidden="false" customHeight="false" outlineLevel="0" collapsed="false">
      <c r="A2588" s="0" t="n">
        <v>2584</v>
      </c>
      <c r="B2588" s="0" t="n">
        <v>4</v>
      </c>
      <c r="C2588" s="19" t="n">
        <v>0.5587</v>
      </c>
      <c r="D2588" s="19" t="n">
        <v>0.0072</v>
      </c>
      <c r="E2588" s="20" t="n">
        <f aca="false">Parametres!$B$5*C2588</f>
        <v>167.61</v>
      </c>
      <c r="F2588" s="20" t="n">
        <f aca="false">Parametres!$B$6*D2588</f>
        <v>1.44</v>
      </c>
      <c r="G2588" s="20" t="n">
        <f aca="false">E2588+F2588</f>
        <v>169.05</v>
      </c>
      <c r="H2588" s="20" t="n">
        <f aca="false">IF(G2588&lt;Parametres!$B$8*Parametres!$B$7,0,MIN(G2588,Parametres!$B$7))</f>
        <v>169.05</v>
      </c>
      <c r="I2588" s="20" t="n">
        <f aca="false">G2588-H2588</f>
        <v>0</v>
      </c>
      <c r="J2588" s="21" t="n">
        <f aca="false">H2588*1000/Parametres!$B$9</f>
        <v>2866.71188740037</v>
      </c>
    </row>
    <row r="2589" customFormat="false" ht="15" hidden="false" customHeight="false" outlineLevel="0" collapsed="false">
      <c r="A2589" s="0" t="n">
        <v>2585</v>
      </c>
      <c r="B2589" s="0" t="n">
        <v>4</v>
      </c>
      <c r="C2589" s="19" t="n">
        <v>0.355</v>
      </c>
      <c r="D2589" s="19" t="n">
        <v>0.0194</v>
      </c>
      <c r="E2589" s="20" t="n">
        <f aca="false">Parametres!$B$5*C2589</f>
        <v>106.5</v>
      </c>
      <c r="F2589" s="20" t="n">
        <f aca="false">Parametres!$B$6*D2589</f>
        <v>3.88</v>
      </c>
      <c r="G2589" s="20" t="n">
        <f aca="false">E2589+F2589</f>
        <v>110.38</v>
      </c>
      <c r="H2589" s="20" t="n">
        <f aca="false">IF(G2589&lt;Parametres!$B$8*Parametres!$B$7,0,MIN(G2589,Parametres!$B$7))</f>
        <v>110.38</v>
      </c>
      <c r="I2589" s="20" t="n">
        <f aca="false">G2589-H2589</f>
        <v>0</v>
      </c>
      <c r="J2589" s="21" t="n">
        <f aca="false">H2589*1000/Parametres!$B$9</f>
        <v>1871.79921994234</v>
      </c>
    </row>
    <row r="2590" customFormat="false" ht="15" hidden="false" customHeight="false" outlineLevel="0" collapsed="false">
      <c r="A2590" s="0" t="n">
        <v>2586</v>
      </c>
      <c r="B2590" s="0" t="n">
        <v>4</v>
      </c>
      <c r="C2590" s="19" t="n">
        <v>0.1459</v>
      </c>
      <c r="D2590" s="19" t="n">
        <v>0.0377</v>
      </c>
      <c r="E2590" s="20" t="n">
        <f aca="false">Parametres!$B$5*C2590</f>
        <v>43.77</v>
      </c>
      <c r="F2590" s="20" t="n">
        <f aca="false">Parametres!$B$6*D2590</f>
        <v>7.54</v>
      </c>
      <c r="G2590" s="20" t="n">
        <f aca="false">E2590+F2590</f>
        <v>51.31</v>
      </c>
      <c r="H2590" s="20" t="n">
        <f aca="false">IF(G2590&lt;Parametres!$B$8*Parametres!$B$7,0,MIN(G2590,Parametres!$B$7))</f>
        <v>51.31</v>
      </c>
      <c r="I2590" s="20" t="n">
        <f aca="false">G2590-H2590</f>
        <v>0</v>
      </c>
      <c r="J2590" s="21" t="n">
        <f aca="false">H2590*1000/Parametres!$B$9</f>
        <v>870.103442428353</v>
      </c>
    </row>
    <row r="2591" customFormat="false" ht="15" hidden="false" customHeight="false" outlineLevel="0" collapsed="false">
      <c r="A2591" s="0" t="n">
        <v>2587</v>
      </c>
      <c r="B2591" s="0" t="n">
        <v>4</v>
      </c>
      <c r="C2591" s="19" t="n">
        <v>0</v>
      </c>
      <c r="D2591" s="19" t="n">
        <v>0.0427</v>
      </c>
      <c r="E2591" s="20" t="n">
        <f aca="false">Parametres!$B$5*C2591</f>
        <v>0</v>
      </c>
      <c r="F2591" s="20" t="n">
        <f aca="false">Parametres!$B$6*D2591</f>
        <v>8.54</v>
      </c>
      <c r="G2591" s="20" t="n">
        <f aca="false">E2591+F2591</f>
        <v>8.54</v>
      </c>
      <c r="H2591" s="20" t="n">
        <f aca="false">IF(G2591&lt;Parametres!$B$8*Parametres!$B$7,0,MIN(G2591,Parametres!$B$7))</f>
        <v>0</v>
      </c>
      <c r="I2591" s="20" t="n">
        <f aca="false">G2591-H2591</f>
        <v>8.54</v>
      </c>
      <c r="J2591" s="21" t="n">
        <f aca="false">H2591*1000/Parametres!$B$9</f>
        <v>0</v>
      </c>
    </row>
    <row r="2592" customFormat="false" ht="15" hidden="false" customHeight="false" outlineLevel="0" collapsed="false">
      <c r="A2592" s="0" t="n">
        <v>2588</v>
      </c>
      <c r="B2592" s="0" t="n">
        <v>4</v>
      </c>
      <c r="C2592" s="19" t="n">
        <v>0</v>
      </c>
      <c r="D2592" s="19" t="n">
        <v>0.0962</v>
      </c>
      <c r="E2592" s="20" t="n">
        <f aca="false">Parametres!$B$5*C2592</f>
        <v>0</v>
      </c>
      <c r="F2592" s="20" t="n">
        <f aca="false">Parametres!$B$6*D2592</f>
        <v>19.24</v>
      </c>
      <c r="G2592" s="20" t="n">
        <f aca="false">E2592+F2592</f>
        <v>19.24</v>
      </c>
      <c r="H2592" s="20" t="n">
        <f aca="false">IF(G2592&lt;Parametres!$B$8*Parametres!$B$7,0,MIN(G2592,Parametres!$B$7))</f>
        <v>0</v>
      </c>
      <c r="I2592" s="20" t="n">
        <f aca="false">G2592-H2592</f>
        <v>19.24</v>
      </c>
      <c r="J2592" s="21" t="n">
        <f aca="false">H2592*1000/Parametres!$B$9</f>
        <v>0</v>
      </c>
    </row>
    <row r="2593" customFormat="false" ht="15" hidden="false" customHeight="false" outlineLevel="0" collapsed="false">
      <c r="A2593" s="0" t="n">
        <v>2589</v>
      </c>
      <c r="B2593" s="0" t="n">
        <v>4</v>
      </c>
      <c r="C2593" s="19" t="n">
        <v>0</v>
      </c>
      <c r="D2593" s="19" t="n">
        <v>0.0375</v>
      </c>
      <c r="E2593" s="20" t="n">
        <f aca="false">Parametres!$B$5*C2593</f>
        <v>0</v>
      </c>
      <c r="F2593" s="20" t="n">
        <f aca="false">Parametres!$B$6*D2593</f>
        <v>7.5</v>
      </c>
      <c r="G2593" s="20" t="n">
        <f aca="false">E2593+F2593</f>
        <v>7.5</v>
      </c>
      <c r="H2593" s="20" t="n">
        <f aca="false">IF(G2593&lt;Parametres!$B$8*Parametres!$B$7,0,MIN(G2593,Parametres!$B$7))</f>
        <v>0</v>
      </c>
      <c r="I2593" s="20" t="n">
        <f aca="false">G2593-H2593</f>
        <v>7.5</v>
      </c>
      <c r="J2593" s="21" t="n">
        <f aca="false">H2593*1000/Parametres!$B$9</f>
        <v>0</v>
      </c>
    </row>
    <row r="2594" customFormat="false" ht="15" hidden="false" customHeight="false" outlineLevel="0" collapsed="false">
      <c r="A2594" s="0" t="n">
        <v>2590</v>
      </c>
      <c r="B2594" s="0" t="n">
        <v>4</v>
      </c>
      <c r="C2594" s="19" t="n">
        <v>0</v>
      </c>
      <c r="D2594" s="19" t="n">
        <v>0.0113</v>
      </c>
      <c r="E2594" s="20" t="n">
        <f aca="false">Parametres!$B$5*C2594</f>
        <v>0</v>
      </c>
      <c r="F2594" s="20" t="n">
        <f aca="false">Parametres!$B$6*D2594</f>
        <v>2.26</v>
      </c>
      <c r="G2594" s="20" t="n">
        <f aca="false">E2594+F2594</f>
        <v>2.26</v>
      </c>
      <c r="H2594" s="20" t="n">
        <f aca="false">IF(G2594&lt;Parametres!$B$8*Parametres!$B$7,0,MIN(G2594,Parametres!$B$7))</f>
        <v>0</v>
      </c>
      <c r="I2594" s="20" t="n">
        <f aca="false">G2594-H2594</f>
        <v>2.26</v>
      </c>
      <c r="J2594" s="21" t="n">
        <f aca="false">H2594*1000/Parametres!$B$9</f>
        <v>0</v>
      </c>
    </row>
    <row r="2595" customFormat="false" ht="15" hidden="false" customHeight="false" outlineLevel="0" collapsed="false">
      <c r="A2595" s="0" t="n">
        <v>2591</v>
      </c>
      <c r="B2595" s="0" t="n">
        <v>4</v>
      </c>
      <c r="C2595" s="19" t="n">
        <v>0</v>
      </c>
      <c r="D2595" s="19" t="n">
        <v>0.0563</v>
      </c>
      <c r="E2595" s="20" t="n">
        <f aca="false">Parametres!$B$5*C2595</f>
        <v>0</v>
      </c>
      <c r="F2595" s="20" t="n">
        <f aca="false">Parametres!$B$6*D2595</f>
        <v>11.26</v>
      </c>
      <c r="G2595" s="20" t="n">
        <f aca="false">E2595+F2595</f>
        <v>11.26</v>
      </c>
      <c r="H2595" s="20" t="n">
        <f aca="false">IF(G2595&lt;Parametres!$B$8*Parametres!$B$7,0,MIN(G2595,Parametres!$B$7))</f>
        <v>0</v>
      </c>
      <c r="I2595" s="20" t="n">
        <f aca="false">G2595-H2595</f>
        <v>11.26</v>
      </c>
      <c r="J2595" s="21" t="n">
        <f aca="false">H2595*1000/Parametres!$B$9</f>
        <v>0</v>
      </c>
    </row>
    <row r="2596" customFormat="false" ht="15" hidden="false" customHeight="false" outlineLevel="0" collapsed="false">
      <c r="A2596" s="0" t="n">
        <v>2592</v>
      </c>
      <c r="B2596" s="0" t="n">
        <v>4</v>
      </c>
      <c r="C2596" s="19" t="n">
        <v>0</v>
      </c>
      <c r="D2596" s="19" t="n">
        <v>0.0688</v>
      </c>
      <c r="E2596" s="20" t="n">
        <f aca="false">Parametres!$B$5*C2596</f>
        <v>0</v>
      </c>
      <c r="F2596" s="20" t="n">
        <f aca="false">Parametres!$B$6*D2596</f>
        <v>13.76</v>
      </c>
      <c r="G2596" s="20" t="n">
        <f aca="false">E2596+F2596</f>
        <v>13.76</v>
      </c>
      <c r="H2596" s="20" t="n">
        <f aca="false">IF(G2596&lt;Parametres!$B$8*Parametres!$B$7,0,MIN(G2596,Parametres!$B$7))</f>
        <v>0</v>
      </c>
      <c r="I2596" s="20" t="n">
        <f aca="false">G2596-H2596</f>
        <v>13.76</v>
      </c>
      <c r="J2596" s="21" t="n">
        <f aca="false">H2596*1000/Parametres!$B$9</f>
        <v>0</v>
      </c>
    </row>
    <row r="2597" customFormat="false" ht="15" hidden="false" customHeight="false" outlineLevel="0" collapsed="false">
      <c r="A2597" s="0" t="n">
        <v>2593</v>
      </c>
      <c r="B2597" s="0" t="n">
        <v>4</v>
      </c>
      <c r="C2597" s="19" t="n">
        <v>0</v>
      </c>
      <c r="D2597" s="19" t="n">
        <v>0.0508</v>
      </c>
      <c r="E2597" s="20" t="n">
        <f aca="false">Parametres!$B$5*C2597</f>
        <v>0</v>
      </c>
      <c r="F2597" s="20" t="n">
        <f aca="false">Parametres!$B$6*D2597</f>
        <v>10.16</v>
      </c>
      <c r="G2597" s="20" t="n">
        <f aca="false">E2597+F2597</f>
        <v>10.16</v>
      </c>
      <c r="H2597" s="20" t="n">
        <f aca="false">IF(G2597&lt;Parametres!$B$8*Parametres!$B$7,0,MIN(G2597,Parametres!$B$7))</f>
        <v>0</v>
      </c>
      <c r="I2597" s="20" t="n">
        <f aca="false">G2597-H2597</f>
        <v>10.16</v>
      </c>
      <c r="J2597" s="21" t="n">
        <f aca="false">H2597*1000/Parametres!$B$9</f>
        <v>0</v>
      </c>
    </row>
    <row r="2598" customFormat="false" ht="15" hidden="false" customHeight="false" outlineLevel="0" collapsed="false">
      <c r="A2598" s="0" t="n">
        <v>2594</v>
      </c>
      <c r="B2598" s="0" t="n">
        <v>4</v>
      </c>
      <c r="C2598" s="19" t="n">
        <v>0</v>
      </c>
      <c r="D2598" s="19" t="n">
        <v>0.0309</v>
      </c>
      <c r="E2598" s="20" t="n">
        <f aca="false">Parametres!$B$5*C2598</f>
        <v>0</v>
      </c>
      <c r="F2598" s="20" t="n">
        <f aca="false">Parametres!$B$6*D2598</f>
        <v>6.18</v>
      </c>
      <c r="G2598" s="20" t="n">
        <f aca="false">E2598+F2598</f>
        <v>6.18</v>
      </c>
      <c r="H2598" s="20" t="n">
        <f aca="false">IF(G2598&lt;Parametres!$B$8*Parametres!$B$7,0,MIN(G2598,Parametres!$B$7))</f>
        <v>0</v>
      </c>
      <c r="I2598" s="20" t="n">
        <f aca="false">G2598-H2598</f>
        <v>6.18</v>
      </c>
      <c r="J2598" s="21" t="n">
        <f aca="false">H2598*1000/Parametres!$B$9</f>
        <v>0</v>
      </c>
    </row>
    <row r="2599" customFormat="false" ht="15" hidden="false" customHeight="false" outlineLevel="0" collapsed="false">
      <c r="A2599" s="0" t="n">
        <v>2595</v>
      </c>
      <c r="B2599" s="0" t="n">
        <v>4</v>
      </c>
      <c r="C2599" s="19" t="n">
        <v>0</v>
      </c>
      <c r="D2599" s="19" t="n">
        <v>0.0022</v>
      </c>
      <c r="E2599" s="20" t="n">
        <f aca="false">Parametres!$B$5*C2599</f>
        <v>0</v>
      </c>
      <c r="F2599" s="20" t="n">
        <f aca="false">Parametres!$B$6*D2599</f>
        <v>0.44</v>
      </c>
      <c r="G2599" s="20" t="n">
        <f aca="false">E2599+F2599</f>
        <v>0.44</v>
      </c>
      <c r="H2599" s="20" t="n">
        <f aca="false">IF(G2599&lt;Parametres!$B$8*Parametres!$B$7,0,MIN(G2599,Parametres!$B$7))</f>
        <v>0</v>
      </c>
      <c r="I2599" s="20" t="n">
        <f aca="false">G2599-H2599</f>
        <v>0.44</v>
      </c>
      <c r="J2599" s="21" t="n">
        <f aca="false">H2599*1000/Parametres!$B$9</f>
        <v>0</v>
      </c>
    </row>
    <row r="2600" customFormat="false" ht="15" hidden="false" customHeight="false" outlineLevel="0" collapsed="false">
      <c r="A2600" s="0" t="n">
        <v>2596</v>
      </c>
      <c r="B2600" s="0" t="n">
        <v>4</v>
      </c>
      <c r="C2600" s="19" t="n">
        <v>0</v>
      </c>
      <c r="D2600" s="19" t="n">
        <v>0.0054</v>
      </c>
      <c r="E2600" s="20" t="n">
        <f aca="false">Parametres!$B$5*C2600</f>
        <v>0</v>
      </c>
      <c r="F2600" s="20" t="n">
        <f aca="false">Parametres!$B$6*D2600</f>
        <v>1.08</v>
      </c>
      <c r="G2600" s="20" t="n">
        <f aca="false">E2600+F2600</f>
        <v>1.08</v>
      </c>
      <c r="H2600" s="20" t="n">
        <f aca="false">IF(G2600&lt;Parametres!$B$8*Parametres!$B$7,0,MIN(G2600,Parametres!$B$7))</f>
        <v>0</v>
      </c>
      <c r="I2600" s="20" t="n">
        <f aca="false">G2600-H2600</f>
        <v>1.08</v>
      </c>
      <c r="J2600" s="21" t="n">
        <f aca="false">H2600*1000/Parametres!$B$9</f>
        <v>0</v>
      </c>
    </row>
    <row r="2601" customFormat="false" ht="15" hidden="false" customHeight="false" outlineLevel="0" collapsed="false">
      <c r="A2601" s="0" t="n">
        <v>2597</v>
      </c>
      <c r="B2601" s="0" t="n">
        <v>4</v>
      </c>
      <c r="C2601" s="19" t="n">
        <v>0</v>
      </c>
      <c r="D2601" s="19" t="n">
        <v>0.0001</v>
      </c>
      <c r="E2601" s="20" t="n">
        <f aca="false">Parametres!$B$5*C2601</f>
        <v>0</v>
      </c>
      <c r="F2601" s="20" t="n">
        <f aca="false">Parametres!$B$6*D2601</f>
        <v>0.02</v>
      </c>
      <c r="G2601" s="20" t="n">
        <f aca="false">E2601+F2601</f>
        <v>0.02</v>
      </c>
      <c r="H2601" s="20" t="n">
        <f aca="false">IF(G2601&lt;Parametres!$B$8*Parametres!$B$7,0,MIN(G2601,Parametres!$B$7))</f>
        <v>0</v>
      </c>
      <c r="I2601" s="20" t="n">
        <f aca="false">G2601-H2601</f>
        <v>0.02</v>
      </c>
      <c r="J2601" s="21" t="n">
        <f aca="false">H2601*1000/Parametres!$B$9</f>
        <v>0</v>
      </c>
    </row>
    <row r="2602" customFormat="false" ht="15" hidden="false" customHeight="false" outlineLevel="0" collapsed="false">
      <c r="A2602" s="0" t="n">
        <v>2598</v>
      </c>
      <c r="B2602" s="0" t="n">
        <v>4</v>
      </c>
      <c r="C2602" s="19" t="n">
        <v>0</v>
      </c>
      <c r="D2602" s="19" t="n">
        <v>0</v>
      </c>
      <c r="E2602" s="20" t="n">
        <f aca="false">Parametres!$B$5*C2602</f>
        <v>0</v>
      </c>
      <c r="F2602" s="20" t="n">
        <f aca="false">Parametres!$B$6*D2602</f>
        <v>0</v>
      </c>
      <c r="G2602" s="20" t="n">
        <f aca="false">E2602+F2602</f>
        <v>0</v>
      </c>
      <c r="H2602" s="20" t="n">
        <f aca="false">IF(G2602&lt;Parametres!$B$8*Parametres!$B$7,0,MIN(G2602,Parametres!$B$7))</f>
        <v>0</v>
      </c>
      <c r="I2602" s="20" t="n">
        <f aca="false">G2602-H2602</f>
        <v>0</v>
      </c>
      <c r="J2602" s="21" t="n">
        <f aca="false">H2602*1000/Parametres!$B$9</f>
        <v>0</v>
      </c>
    </row>
    <row r="2603" customFormat="false" ht="15" hidden="false" customHeight="false" outlineLevel="0" collapsed="false">
      <c r="A2603" s="0" t="n">
        <v>2599</v>
      </c>
      <c r="B2603" s="0" t="n">
        <v>4</v>
      </c>
      <c r="C2603" s="19" t="n">
        <v>0.2199</v>
      </c>
      <c r="D2603" s="19" t="n">
        <v>0</v>
      </c>
      <c r="E2603" s="20" t="n">
        <f aca="false">Parametres!$B$5*C2603</f>
        <v>65.97</v>
      </c>
      <c r="F2603" s="20" t="n">
        <f aca="false">Parametres!$B$6*D2603</f>
        <v>0</v>
      </c>
      <c r="G2603" s="20" t="n">
        <f aca="false">E2603+F2603</f>
        <v>65.97</v>
      </c>
      <c r="H2603" s="20" t="n">
        <f aca="false">IF(G2603&lt;Parametres!$B$8*Parametres!$B$7,0,MIN(G2603,Parametres!$B$7))</f>
        <v>65.97</v>
      </c>
      <c r="I2603" s="20" t="n">
        <f aca="false">G2603-H2603</f>
        <v>0</v>
      </c>
      <c r="J2603" s="21" t="n">
        <f aca="false">H2603*1000/Parametres!$B$9</f>
        <v>1118.70442597931</v>
      </c>
    </row>
    <row r="2604" customFormat="false" ht="15" hidden="false" customHeight="false" outlineLevel="0" collapsed="false">
      <c r="A2604" s="0" t="n">
        <v>2600</v>
      </c>
      <c r="B2604" s="0" t="n">
        <v>4</v>
      </c>
      <c r="C2604" s="19" t="n">
        <v>0.504</v>
      </c>
      <c r="D2604" s="19" t="n">
        <v>0.0001</v>
      </c>
      <c r="E2604" s="20" t="n">
        <f aca="false">Parametres!$B$5*C2604</f>
        <v>151.2</v>
      </c>
      <c r="F2604" s="20" t="n">
        <f aca="false">Parametres!$B$6*D2604</f>
        <v>0.02</v>
      </c>
      <c r="G2604" s="20" t="n">
        <f aca="false">E2604+F2604</f>
        <v>151.22</v>
      </c>
      <c r="H2604" s="20" t="n">
        <f aca="false">IF(G2604&lt;Parametres!$B$8*Parametres!$B$7,0,MIN(G2604,Parametres!$B$7))</f>
        <v>151.22</v>
      </c>
      <c r="I2604" s="20" t="n">
        <f aca="false">G2604-H2604</f>
        <v>0</v>
      </c>
      <c r="J2604" s="21" t="n">
        <f aca="false">H2604*1000/Parametres!$B$9</f>
        <v>2564.35475665593</v>
      </c>
    </row>
    <row r="2605" customFormat="false" ht="15" hidden="false" customHeight="false" outlineLevel="0" collapsed="false">
      <c r="A2605" s="0" t="n">
        <v>2601</v>
      </c>
      <c r="B2605" s="0" t="n">
        <v>4</v>
      </c>
      <c r="C2605" s="19" t="n">
        <v>0.8164</v>
      </c>
      <c r="D2605" s="19" t="n">
        <v>0</v>
      </c>
      <c r="E2605" s="20" t="n">
        <f aca="false">Parametres!$B$5*C2605</f>
        <v>244.92</v>
      </c>
      <c r="F2605" s="20" t="n">
        <f aca="false">Parametres!$B$6*D2605</f>
        <v>0</v>
      </c>
      <c r="G2605" s="20" t="n">
        <f aca="false">E2605+F2605</f>
        <v>244.92</v>
      </c>
      <c r="H2605" s="20" t="n">
        <f aca="false">IF(G2605&lt;Parametres!$B$8*Parametres!$B$7,0,MIN(G2605,Parametres!$B$7))</f>
        <v>244.92</v>
      </c>
      <c r="I2605" s="20" t="n">
        <f aca="false">G2605-H2605</f>
        <v>0</v>
      </c>
      <c r="J2605" s="21" t="n">
        <f aca="false">H2605*1000/Parametres!$B$9</f>
        <v>4153.29828726471</v>
      </c>
    </row>
    <row r="2606" customFormat="false" ht="15" hidden="false" customHeight="false" outlineLevel="0" collapsed="false">
      <c r="A2606" s="0" t="n">
        <v>2602</v>
      </c>
      <c r="B2606" s="0" t="n">
        <v>4</v>
      </c>
      <c r="C2606" s="19" t="n">
        <v>1</v>
      </c>
      <c r="D2606" s="19" t="n">
        <v>0.0004</v>
      </c>
      <c r="E2606" s="20" t="n">
        <f aca="false">Parametres!$B$5*C2606</f>
        <v>300</v>
      </c>
      <c r="F2606" s="20" t="n">
        <f aca="false">Parametres!$B$6*D2606</f>
        <v>0.08</v>
      </c>
      <c r="G2606" s="20" t="n">
        <f aca="false">E2606+F2606</f>
        <v>300.08</v>
      </c>
      <c r="H2606" s="20" t="n">
        <f aca="false">IF(G2606&lt;Parametres!$B$8*Parametres!$B$7,0,MIN(G2606,Parametres!$B$7))</f>
        <v>250</v>
      </c>
      <c r="I2606" s="20" t="n">
        <f aca="false">G2606-H2606</f>
        <v>50.08</v>
      </c>
      <c r="J2606" s="21" t="n">
        <f aca="false">H2606*1000/Parametres!$B$9</f>
        <v>4239.44378497541</v>
      </c>
    </row>
    <row r="2607" customFormat="false" ht="15" hidden="false" customHeight="false" outlineLevel="0" collapsed="false">
      <c r="A2607" s="0" t="n">
        <v>2603</v>
      </c>
      <c r="B2607" s="0" t="n">
        <v>4</v>
      </c>
      <c r="C2607" s="19" t="n">
        <v>1</v>
      </c>
      <c r="D2607" s="19" t="n">
        <v>0.0002</v>
      </c>
      <c r="E2607" s="20" t="n">
        <f aca="false">Parametres!$B$5*C2607</f>
        <v>300</v>
      </c>
      <c r="F2607" s="20" t="n">
        <f aca="false">Parametres!$B$6*D2607</f>
        <v>0.04</v>
      </c>
      <c r="G2607" s="20" t="n">
        <f aca="false">E2607+F2607</f>
        <v>300.04</v>
      </c>
      <c r="H2607" s="20" t="n">
        <f aca="false">IF(G2607&lt;Parametres!$B$8*Parametres!$B$7,0,MIN(G2607,Parametres!$B$7))</f>
        <v>250</v>
      </c>
      <c r="I2607" s="20" t="n">
        <f aca="false">G2607-H2607</f>
        <v>50.04</v>
      </c>
      <c r="J2607" s="21" t="n">
        <f aca="false">H2607*1000/Parametres!$B$9</f>
        <v>4239.44378497541</v>
      </c>
    </row>
    <row r="2608" customFormat="false" ht="15" hidden="false" customHeight="false" outlineLevel="0" collapsed="false">
      <c r="A2608" s="0" t="n">
        <v>2604</v>
      </c>
      <c r="B2608" s="0" t="n">
        <v>4</v>
      </c>
      <c r="C2608" s="19" t="n">
        <v>1</v>
      </c>
      <c r="D2608" s="19" t="n">
        <v>0.0009</v>
      </c>
      <c r="E2608" s="20" t="n">
        <f aca="false">Parametres!$B$5*C2608</f>
        <v>300</v>
      </c>
      <c r="F2608" s="20" t="n">
        <f aca="false">Parametres!$B$6*D2608</f>
        <v>0.18</v>
      </c>
      <c r="G2608" s="20" t="n">
        <f aca="false">E2608+F2608</f>
        <v>300.18</v>
      </c>
      <c r="H2608" s="20" t="n">
        <f aca="false">IF(G2608&lt;Parametres!$B$8*Parametres!$B$7,0,MIN(G2608,Parametres!$B$7))</f>
        <v>250</v>
      </c>
      <c r="I2608" s="20" t="n">
        <f aca="false">G2608-H2608</f>
        <v>50.18</v>
      </c>
      <c r="J2608" s="21" t="n">
        <f aca="false">H2608*1000/Parametres!$B$9</f>
        <v>4239.44378497541</v>
      </c>
    </row>
    <row r="2609" customFormat="false" ht="15" hidden="false" customHeight="false" outlineLevel="0" collapsed="false">
      <c r="A2609" s="0" t="n">
        <v>2605</v>
      </c>
      <c r="B2609" s="0" t="n">
        <v>4</v>
      </c>
      <c r="C2609" s="19" t="n">
        <v>1</v>
      </c>
      <c r="D2609" s="19" t="n">
        <v>0</v>
      </c>
      <c r="E2609" s="20" t="n">
        <f aca="false">Parametres!$B$5*C2609</f>
        <v>300</v>
      </c>
      <c r="F2609" s="20" t="n">
        <f aca="false">Parametres!$B$6*D2609</f>
        <v>0</v>
      </c>
      <c r="G2609" s="20" t="n">
        <f aca="false">E2609+F2609</f>
        <v>300</v>
      </c>
      <c r="H2609" s="20" t="n">
        <f aca="false">IF(G2609&lt;Parametres!$B$8*Parametres!$B$7,0,MIN(G2609,Parametres!$B$7))</f>
        <v>250</v>
      </c>
      <c r="I2609" s="20" t="n">
        <f aca="false">G2609-H2609</f>
        <v>50</v>
      </c>
      <c r="J2609" s="21" t="n">
        <f aca="false">H2609*1000/Parametres!$B$9</f>
        <v>4239.44378497541</v>
      </c>
    </row>
    <row r="2610" customFormat="false" ht="15" hidden="false" customHeight="false" outlineLevel="0" collapsed="false">
      <c r="A2610" s="0" t="n">
        <v>2606</v>
      </c>
      <c r="B2610" s="0" t="n">
        <v>4</v>
      </c>
      <c r="C2610" s="19" t="n">
        <v>1</v>
      </c>
      <c r="D2610" s="19" t="n">
        <v>0.0037</v>
      </c>
      <c r="E2610" s="20" t="n">
        <f aca="false">Parametres!$B$5*C2610</f>
        <v>300</v>
      </c>
      <c r="F2610" s="20" t="n">
        <f aca="false">Parametres!$B$6*D2610</f>
        <v>0.74</v>
      </c>
      <c r="G2610" s="20" t="n">
        <f aca="false">E2610+F2610</f>
        <v>300.74</v>
      </c>
      <c r="H2610" s="20" t="n">
        <f aca="false">IF(G2610&lt;Parametres!$B$8*Parametres!$B$7,0,MIN(G2610,Parametres!$B$7))</f>
        <v>250</v>
      </c>
      <c r="I2610" s="20" t="n">
        <f aca="false">G2610-H2610</f>
        <v>50.74</v>
      </c>
      <c r="J2610" s="21" t="n">
        <f aca="false">H2610*1000/Parametres!$B$9</f>
        <v>4239.44378497541</v>
      </c>
    </row>
    <row r="2611" customFormat="false" ht="15" hidden="false" customHeight="false" outlineLevel="0" collapsed="false">
      <c r="A2611" s="0" t="n">
        <v>2607</v>
      </c>
      <c r="B2611" s="0" t="n">
        <v>4</v>
      </c>
      <c r="C2611" s="19" t="n">
        <v>1</v>
      </c>
      <c r="D2611" s="19" t="n">
        <v>0.001</v>
      </c>
      <c r="E2611" s="20" t="n">
        <f aca="false">Parametres!$B$5*C2611</f>
        <v>300</v>
      </c>
      <c r="F2611" s="20" t="n">
        <f aca="false">Parametres!$B$6*D2611</f>
        <v>0.2</v>
      </c>
      <c r="G2611" s="20" t="n">
        <f aca="false">E2611+F2611</f>
        <v>300.2</v>
      </c>
      <c r="H2611" s="20" t="n">
        <f aca="false">IF(G2611&lt;Parametres!$B$8*Parametres!$B$7,0,MIN(G2611,Parametres!$B$7))</f>
        <v>250</v>
      </c>
      <c r="I2611" s="20" t="n">
        <f aca="false">G2611-H2611</f>
        <v>50.2</v>
      </c>
      <c r="J2611" s="21" t="n">
        <f aca="false">H2611*1000/Parametres!$B$9</f>
        <v>4239.44378497541</v>
      </c>
    </row>
    <row r="2612" customFormat="false" ht="15" hidden="false" customHeight="false" outlineLevel="0" collapsed="false">
      <c r="A2612" s="0" t="n">
        <v>2608</v>
      </c>
      <c r="B2612" s="0" t="n">
        <v>4</v>
      </c>
      <c r="C2612" s="19" t="n">
        <v>0.8108</v>
      </c>
      <c r="D2612" s="19" t="n">
        <v>0.0031</v>
      </c>
      <c r="E2612" s="20" t="n">
        <f aca="false">Parametres!$B$5*C2612</f>
        <v>243.24</v>
      </c>
      <c r="F2612" s="20" t="n">
        <f aca="false">Parametres!$B$6*D2612</f>
        <v>0.62</v>
      </c>
      <c r="G2612" s="20" t="n">
        <f aca="false">E2612+F2612</f>
        <v>243.86</v>
      </c>
      <c r="H2612" s="20" t="n">
        <f aca="false">IF(G2612&lt;Parametres!$B$8*Parametres!$B$7,0,MIN(G2612,Parametres!$B$7))</f>
        <v>243.86</v>
      </c>
      <c r="I2612" s="20" t="n">
        <f aca="false">G2612-H2612</f>
        <v>0</v>
      </c>
      <c r="J2612" s="21" t="n">
        <f aca="false">H2612*1000/Parametres!$B$9</f>
        <v>4135.32304561642</v>
      </c>
    </row>
    <row r="2613" customFormat="false" ht="15" hidden="false" customHeight="false" outlineLevel="0" collapsed="false">
      <c r="A2613" s="0" t="n">
        <v>2609</v>
      </c>
      <c r="B2613" s="0" t="n">
        <v>4</v>
      </c>
      <c r="C2613" s="19" t="n">
        <v>0.5111</v>
      </c>
      <c r="D2613" s="19" t="n">
        <v>0</v>
      </c>
      <c r="E2613" s="20" t="n">
        <f aca="false">Parametres!$B$5*C2613</f>
        <v>153.33</v>
      </c>
      <c r="F2613" s="20" t="n">
        <f aca="false">Parametres!$B$6*D2613</f>
        <v>0</v>
      </c>
      <c r="G2613" s="20" t="n">
        <f aca="false">E2613+F2613</f>
        <v>153.33</v>
      </c>
      <c r="H2613" s="20" t="n">
        <f aca="false">IF(G2613&lt;Parametres!$B$8*Parametres!$B$7,0,MIN(G2613,Parametres!$B$7))</f>
        <v>153.33</v>
      </c>
      <c r="I2613" s="20" t="n">
        <f aca="false">G2613-H2613</f>
        <v>0</v>
      </c>
      <c r="J2613" s="21" t="n">
        <f aca="false">H2613*1000/Parametres!$B$9</f>
        <v>2600.13566220112</v>
      </c>
    </row>
    <row r="2614" customFormat="false" ht="15" hidden="false" customHeight="false" outlineLevel="0" collapsed="false">
      <c r="A2614" s="0" t="n">
        <v>2610</v>
      </c>
      <c r="B2614" s="0" t="n">
        <v>4</v>
      </c>
      <c r="C2614" s="19" t="n">
        <v>0.2223</v>
      </c>
      <c r="D2614" s="19" t="n">
        <v>0.0023</v>
      </c>
      <c r="E2614" s="20" t="n">
        <f aca="false">Parametres!$B$5*C2614</f>
        <v>66.69</v>
      </c>
      <c r="F2614" s="20" t="n">
        <f aca="false">Parametres!$B$6*D2614</f>
        <v>0.46</v>
      </c>
      <c r="G2614" s="20" t="n">
        <f aca="false">E2614+F2614</f>
        <v>67.15</v>
      </c>
      <c r="H2614" s="20" t="n">
        <f aca="false">IF(G2614&lt;Parametres!$B$8*Parametres!$B$7,0,MIN(G2614,Parametres!$B$7))</f>
        <v>67.15</v>
      </c>
      <c r="I2614" s="20" t="n">
        <f aca="false">G2614-H2614</f>
        <v>0</v>
      </c>
      <c r="J2614" s="21" t="n">
        <f aca="false">H2614*1000/Parametres!$B$9</f>
        <v>1138.7146006444</v>
      </c>
    </row>
    <row r="2615" customFormat="false" ht="15" hidden="false" customHeight="false" outlineLevel="0" collapsed="false">
      <c r="A2615" s="0" t="n">
        <v>2611</v>
      </c>
      <c r="B2615" s="0" t="n">
        <v>4</v>
      </c>
      <c r="C2615" s="19" t="n">
        <v>0</v>
      </c>
      <c r="D2615" s="19" t="n">
        <v>0.004</v>
      </c>
      <c r="E2615" s="20" t="n">
        <f aca="false">Parametres!$B$5*C2615</f>
        <v>0</v>
      </c>
      <c r="F2615" s="20" t="n">
        <f aca="false">Parametres!$B$6*D2615</f>
        <v>0.8</v>
      </c>
      <c r="G2615" s="20" t="n">
        <f aca="false">E2615+F2615</f>
        <v>0.8</v>
      </c>
      <c r="H2615" s="20" t="n">
        <f aca="false">IF(G2615&lt;Parametres!$B$8*Parametres!$B$7,0,MIN(G2615,Parametres!$B$7))</f>
        <v>0</v>
      </c>
      <c r="I2615" s="20" t="n">
        <f aca="false">G2615-H2615</f>
        <v>0.8</v>
      </c>
      <c r="J2615" s="21" t="n">
        <f aca="false">H2615*1000/Parametres!$B$9</f>
        <v>0</v>
      </c>
    </row>
    <row r="2616" customFormat="false" ht="15" hidden="false" customHeight="false" outlineLevel="0" collapsed="false">
      <c r="A2616" s="0" t="n">
        <v>2612</v>
      </c>
      <c r="B2616" s="0" t="n">
        <v>4</v>
      </c>
      <c r="C2616" s="19" t="n">
        <v>0</v>
      </c>
      <c r="D2616" s="19" t="n">
        <v>0.0266</v>
      </c>
      <c r="E2616" s="20" t="n">
        <f aca="false">Parametres!$B$5*C2616</f>
        <v>0</v>
      </c>
      <c r="F2616" s="20" t="n">
        <f aca="false">Parametres!$B$6*D2616</f>
        <v>5.32</v>
      </c>
      <c r="G2616" s="20" t="n">
        <f aca="false">E2616+F2616</f>
        <v>5.32</v>
      </c>
      <c r="H2616" s="20" t="n">
        <f aca="false">IF(G2616&lt;Parametres!$B$8*Parametres!$B$7,0,MIN(G2616,Parametres!$B$7))</f>
        <v>0</v>
      </c>
      <c r="I2616" s="20" t="n">
        <f aca="false">G2616-H2616</f>
        <v>5.32</v>
      </c>
      <c r="J2616" s="21" t="n">
        <f aca="false">H2616*1000/Parametres!$B$9</f>
        <v>0</v>
      </c>
    </row>
    <row r="2617" customFormat="false" ht="15" hidden="false" customHeight="false" outlineLevel="0" collapsed="false">
      <c r="A2617" s="0" t="n">
        <v>2613</v>
      </c>
      <c r="B2617" s="0" t="n">
        <v>4</v>
      </c>
      <c r="C2617" s="19" t="n">
        <v>0</v>
      </c>
      <c r="D2617" s="19" t="n">
        <v>0.0129</v>
      </c>
      <c r="E2617" s="20" t="n">
        <f aca="false">Parametres!$B$5*C2617</f>
        <v>0</v>
      </c>
      <c r="F2617" s="20" t="n">
        <f aca="false">Parametres!$B$6*D2617</f>
        <v>2.58</v>
      </c>
      <c r="G2617" s="20" t="n">
        <f aca="false">E2617+F2617</f>
        <v>2.58</v>
      </c>
      <c r="H2617" s="20" t="n">
        <f aca="false">IF(G2617&lt;Parametres!$B$8*Parametres!$B$7,0,MIN(G2617,Parametres!$B$7))</f>
        <v>0</v>
      </c>
      <c r="I2617" s="20" t="n">
        <f aca="false">G2617-H2617</f>
        <v>2.58</v>
      </c>
      <c r="J2617" s="21" t="n">
        <f aca="false">H2617*1000/Parametres!$B$9</f>
        <v>0</v>
      </c>
    </row>
    <row r="2618" customFormat="false" ht="15" hidden="false" customHeight="false" outlineLevel="0" collapsed="false">
      <c r="A2618" s="0" t="n">
        <v>2614</v>
      </c>
      <c r="B2618" s="0" t="n">
        <v>4</v>
      </c>
      <c r="C2618" s="19" t="n">
        <v>0</v>
      </c>
      <c r="D2618" s="19" t="n">
        <v>0.0258</v>
      </c>
      <c r="E2618" s="20" t="n">
        <f aca="false">Parametres!$B$5*C2618</f>
        <v>0</v>
      </c>
      <c r="F2618" s="20" t="n">
        <f aca="false">Parametres!$B$6*D2618</f>
        <v>5.16</v>
      </c>
      <c r="G2618" s="20" t="n">
        <f aca="false">E2618+F2618</f>
        <v>5.16</v>
      </c>
      <c r="H2618" s="20" t="n">
        <f aca="false">IF(G2618&lt;Parametres!$B$8*Parametres!$B$7,0,MIN(G2618,Parametres!$B$7))</f>
        <v>0</v>
      </c>
      <c r="I2618" s="20" t="n">
        <f aca="false">G2618-H2618</f>
        <v>5.16</v>
      </c>
      <c r="J2618" s="21" t="n">
        <f aca="false">H2618*1000/Parametres!$B$9</f>
        <v>0</v>
      </c>
    </row>
    <row r="2619" customFormat="false" ht="15" hidden="false" customHeight="false" outlineLevel="0" collapsed="false">
      <c r="A2619" s="0" t="n">
        <v>2615</v>
      </c>
      <c r="B2619" s="0" t="n">
        <v>4</v>
      </c>
      <c r="C2619" s="19" t="n">
        <v>0</v>
      </c>
      <c r="D2619" s="19" t="n">
        <v>0.0182</v>
      </c>
      <c r="E2619" s="20" t="n">
        <f aca="false">Parametres!$B$5*C2619</f>
        <v>0</v>
      </c>
      <c r="F2619" s="20" t="n">
        <f aca="false">Parametres!$B$6*D2619</f>
        <v>3.64</v>
      </c>
      <c r="G2619" s="20" t="n">
        <f aca="false">E2619+F2619</f>
        <v>3.64</v>
      </c>
      <c r="H2619" s="20" t="n">
        <f aca="false">IF(G2619&lt;Parametres!$B$8*Parametres!$B$7,0,MIN(G2619,Parametres!$B$7))</f>
        <v>0</v>
      </c>
      <c r="I2619" s="20" t="n">
        <f aca="false">G2619-H2619</f>
        <v>3.64</v>
      </c>
      <c r="J2619" s="21" t="n">
        <f aca="false">H2619*1000/Parametres!$B$9</f>
        <v>0</v>
      </c>
    </row>
    <row r="2620" customFormat="false" ht="15" hidden="false" customHeight="false" outlineLevel="0" collapsed="false">
      <c r="A2620" s="0" t="n">
        <v>2616</v>
      </c>
      <c r="B2620" s="0" t="n">
        <v>4</v>
      </c>
      <c r="C2620" s="19" t="n">
        <v>0</v>
      </c>
      <c r="D2620" s="19" t="n">
        <v>0.014</v>
      </c>
      <c r="E2620" s="20" t="n">
        <f aca="false">Parametres!$B$5*C2620</f>
        <v>0</v>
      </c>
      <c r="F2620" s="20" t="n">
        <f aca="false">Parametres!$B$6*D2620</f>
        <v>2.8</v>
      </c>
      <c r="G2620" s="20" t="n">
        <f aca="false">E2620+F2620</f>
        <v>2.8</v>
      </c>
      <c r="H2620" s="20" t="n">
        <f aca="false">IF(G2620&lt;Parametres!$B$8*Parametres!$B$7,0,MIN(G2620,Parametres!$B$7))</f>
        <v>0</v>
      </c>
      <c r="I2620" s="20" t="n">
        <f aca="false">G2620-H2620</f>
        <v>2.8</v>
      </c>
      <c r="J2620" s="21" t="n">
        <f aca="false">H2620*1000/Parametres!$B$9</f>
        <v>0</v>
      </c>
    </row>
    <row r="2621" customFormat="false" ht="15" hidden="false" customHeight="false" outlineLevel="0" collapsed="false">
      <c r="A2621" s="0" t="n">
        <v>2617</v>
      </c>
      <c r="B2621" s="0" t="n">
        <v>4</v>
      </c>
      <c r="C2621" s="19" t="n">
        <v>0</v>
      </c>
      <c r="D2621" s="19" t="n">
        <v>0.0315</v>
      </c>
      <c r="E2621" s="20" t="n">
        <f aca="false">Parametres!$B$5*C2621</f>
        <v>0</v>
      </c>
      <c r="F2621" s="20" t="n">
        <f aca="false">Parametres!$B$6*D2621</f>
        <v>6.3</v>
      </c>
      <c r="G2621" s="20" t="n">
        <f aca="false">E2621+F2621</f>
        <v>6.3</v>
      </c>
      <c r="H2621" s="20" t="n">
        <f aca="false">IF(G2621&lt;Parametres!$B$8*Parametres!$B$7,0,MIN(G2621,Parametres!$B$7))</f>
        <v>0</v>
      </c>
      <c r="I2621" s="20" t="n">
        <f aca="false">G2621-H2621</f>
        <v>6.3</v>
      </c>
      <c r="J2621" s="21" t="n">
        <f aca="false">H2621*1000/Parametres!$B$9</f>
        <v>0</v>
      </c>
    </row>
    <row r="2622" customFormat="false" ht="15" hidden="false" customHeight="false" outlineLevel="0" collapsed="false">
      <c r="A2622" s="0" t="n">
        <v>2618</v>
      </c>
      <c r="B2622" s="0" t="n">
        <v>4</v>
      </c>
      <c r="C2622" s="19" t="n">
        <v>0</v>
      </c>
      <c r="D2622" s="19" t="n">
        <v>0.0129</v>
      </c>
      <c r="E2622" s="20" t="n">
        <f aca="false">Parametres!$B$5*C2622</f>
        <v>0</v>
      </c>
      <c r="F2622" s="20" t="n">
        <f aca="false">Parametres!$B$6*D2622</f>
        <v>2.58</v>
      </c>
      <c r="G2622" s="20" t="n">
        <f aca="false">E2622+F2622</f>
        <v>2.58</v>
      </c>
      <c r="H2622" s="20" t="n">
        <f aca="false">IF(G2622&lt;Parametres!$B$8*Parametres!$B$7,0,MIN(G2622,Parametres!$B$7))</f>
        <v>0</v>
      </c>
      <c r="I2622" s="20" t="n">
        <f aca="false">G2622-H2622</f>
        <v>2.58</v>
      </c>
      <c r="J2622" s="21" t="n">
        <f aca="false">H2622*1000/Parametres!$B$9</f>
        <v>0</v>
      </c>
    </row>
    <row r="2623" customFormat="false" ht="15" hidden="false" customHeight="false" outlineLevel="0" collapsed="false">
      <c r="A2623" s="0" t="n">
        <v>2619</v>
      </c>
      <c r="B2623" s="0" t="n">
        <v>4</v>
      </c>
      <c r="C2623" s="19" t="n">
        <v>0</v>
      </c>
      <c r="D2623" s="19" t="n">
        <v>0.0202</v>
      </c>
      <c r="E2623" s="20" t="n">
        <f aca="false">Parametres!$B$5*C2623</f>
        <v>0</v>
      </c>
      <c r="F2623" s="20" t="n">
        <f aca="false">Parametres!$B$6*D2623</f>
        <v>4.04</v>
      </c>
      <c r="G2623" s="20" t="n">
        <f aca="false">E2623+F2623</f>
        <v>4.04</v>
      </c>
      <c r="H2623" s="20" t="n">
        <f aca="false">IF(G2623&lt;Parametres!$B$8*Parametres!$B$7,0,MIN(G2623,Parametres!$B$7))</f>
        <v>0</v>
      </c>
      <c r="I2623" s="20" t="n">
        <f aca="false">G2623-H2623</f>
        <v>4.04</v>
      </c>
      <c r="J2623" s="21" t="n">
        <f aca="false">H2623*1000/Parametres!$B$9</f>
        <v>0</v>
      </c>
    </row>
    <row r="2624" customFormat="false" ht="15" hidden="false" customHeight="false" outlineLevel="0" collapsed="false">
      <c r="A2624" s="0" t="n">
        <v>2620</v>
      </c>
      <c r="B2624" s="0" t="n">
        <v>4</v>
      </c>
      <c r="C2624" s="19" t="n">
        <v>0</v>
      </c>
      <c r="D2624" s="19" t="n">
        <v>0.0643</v>
      </c>
      <c r="E2624" s="20" t="n">
        <f aca="false">Parametres!$B$5*C2624</f>
        <v>0</v>
      </c>
      <c r="F2624" s="20" t="n">
        <f aca="false">Parametres!$B$6*D2624</f>
        <v>12.86</v>
      </c>
      <c r="G2624" s="20" t="n">
        <f aca="false">E2624+F2624</f>
        <v>12.86</v>
      </c>
      <c r="H2624" s="20" t="n">
        <f aca="false">IF(G2624&lt;Parametres!$B$8*Parametres!$B$7,0,MIN(G2624,Parametres!$B$7))</f>
        <v>0</v>
      </c>
      <c r="I2624" s="20" t="n">
        <f aca="false">G2624-H2624</f>
        <v>12.86</v>
      </c>
      <c r="J2624" s="21" t="n">
        <f aca="false">H2624*1000/Parametres!$B$9</f>
        <v>0</v>
      </c>
    </row>
    <row r="2625" customFormat="false" ht="15" hidden="false" customHeight="false" outlineLevel="0" collapsed="false">
      <c r="A2625" s="0" t="n">
        <v>2621</v>
      </c>
      <c r="B2625" s="0" t="n">
        <v>4</v>
      </c>
      <c r="C2625" s="19" t="n">
        <v>0</v>
      </c>
      <c r="D2625" s="19" t="n">
        <v>0.1453</v>
      </c>
      <c r="E2625" s="20" t="n">
        <f aca="false">Parametres!$B$5*C2625</f>
        <v>0</v>
      </c>
      <c r="F2625" s="20" t="n">
        <f aca="false">Parametres!$B$6*D2625</f>
        <v>29.06</v>
      </c>
      <c r="G2625" s="20" t="n">
        <f aca="false">E2625+F2625</f>
        <v>29.06</v>
      </c>
      <c r="H2625" s="20" t="n">
        <f aca="false">IF(G2625&lt;Parametres!$B$8*Parametres!$B$7,0,MIN(G2625,Parametres!$B$7))</f>
        <v>29.06</v>
      </c>
      <c r="I2625" s="20" t="n">
        <f aca="false">G2625-H2625</f>
        <v>0</v>
      </c>
      <c r="J2625" s="21" t="n">
        <f aca="false">H2625*1000/Parametres!$B$9</f>
        <v>492.792945565542</v>
      </c>
    </row>
    <row r="2626" customFormat="false" ht="15" hidden="false" customHeight="false" outlineLevel="0" collapsed="false">
      <c r="A2626" s="0" t="n">
        <v>2622</v>
      </c>
      <c r="B2626" s="0" t="n">
        <v>4</v>
      </c>
      <c r="C2626" s="19" t="n">
        <v>0</v>
      </c>
      <c r="D2626" s="19" t="n">
        <v>0.2249</v>
      </c>
      <c r="E2626" s="20" t="n">
        <f aca="false">Parametres!$B$5*C2626</f>
        <v>0</v>
      </c>
      <c r="F2626" s="20" t="n">
        <f aca="false">Parametres!$B$6*D2626</f>
        <v>44.98</v>
      </c>
      <c r="G2626" s="20" t="n">
        <f aca="false">E2626+F2626</f>
        <v>44.98</v>
      </c>
      <c r="H2626" s="20" t="n">
        <f aca="false">IF(G2626&lt;Parametres!$B$8*Parametres!$B$7,0,MIN(G2626,Parametres!$B$7))</f>
        <v>44.98</v>
      </c>
      <c r="I2626" s="20" t="n">
        <f aca="false">G2626-H2626</f>
        <v>0</v>
      </c>
      <c r="J2626" s="21" t="n">
        <f aca="false">H2626*1000/Parametres!$B$9</f>
        <v>762.760725792776</v>
      </c>
    </row>
    <row r="2627" customFormat="false" ht="15" hidden="false" customHeight="false" outlineLevel="0" collapsed="false">
      <c r="A2627" s="0" t="n">
        <v>2623</v>
      </c>
      <c r="B2627" s="0" t="n">
        <v>4</v>
      </c>
      <c r="C2627" s="19" t="n">
        <v>0.1919</v>
      </c>
      <c r="D2627" s="19" t="n">
        <v>0.2636</v>
      </c>
      <c r="E2627" s="20" t="n">
        <f aca="false">Parametres!$B$5*C2627</f>
        <v>57.57</v>
      </c>
      <c r="F2627" s="20" t="n">
        <f aca="false">Parametres!$B$6*D2627</f>
        <v>52.72</v>
      </c>
      <c r="G2627" s="20" t="n">
        <f aca="false">E2627+F2627</f>
        <v>110.29</v>
      </c>
      <c r="H2627" s="20" t="n">
        <f aca="false">IF(G2627&lt;Parametres!$B$8*Parametres!$B$7,0,MIN(G2627,Parametres!$B$7))</f>
        <v>110.29</v>
      </c>
      <c r="I2627" s="20" t="n">
        <f aca="false">G2627-H2627</f>
        <v>0</v>
      </c>
      <c r="J2627" s="21" t="n">
        <f aca="false">H2627*1000/Parametres!$B$9</f>
        <v>1870.27302017975</v>
      </c>
    </row>
    <row r="2628" customFormat="false" ht="15" hidden="false" customHeight="false" outlineLevel="0" collapsed="false">
      <c r="A2628" s="0" t="n">
        <v>2624</v>
      </c>
      <c r="B2628" s="0" t="n">
        <v>4</v>
      </c>
      <c r="C2628" s="19" t="n">
        <v>0.4684</v>
      </c>
      <c r="D2628" s="19" t="n">
        <v>0.1912</v>
      </c>
      <c r="E2628" s="20" t="n">
        <f aca="false">Parametres!$B$5*C2628</f>
        <v>140.52</v>
      </c>
      <c r="F2628" s="20" t="n">
        <f aca="false">Parametres!$B$6*D2628</f>
        <v>38.24</v>
      </c>
      <c r="G2628" s="20" t="n">
        <f aca="false">E2628+F2628</f>
        <v>178.76</v>
      </c>
      <c r="H2628" s="20" t="n">
        <f aca="false">IF(G2628&lt;Parametres!$B$8*Parametres!$B$7,0,MIN(G2628,Parametres!$B$7))</f>
        <v>178.76</v>
      </c>
      <c r="I2628" s="20" t="n">
        <f aca="false">G2628-H2628</f>
        <v>0</v>
      </c>
      <c r="J2628" s="21" t="n">
        <f aca="false">H2628*1000/Parametres!$B$9</f>
        <v>3031.37188400882</v>
      </c>
    </row>
    <row r="2629" customFormat="false" ht="15" hidden="false" customHeight="false" outlineLevel="0" collapsed="false">
      <c r="A2629" s="0" t="n">
        <v>2625</v>
      </c>
      <c r="B2629" s="0" t="n">
        <v>4</v>
      </c>
      <c r="C2629" s="19" t="n">
        <v>0.708</v>
      </c>
      <c r="D2629" s="19" t="n">
        <v>0.3681</v>
      </c>
      <c r="E2629" s="20" t="n">
        <f aca="false">Parametres!$B$5*C2629</f>
        <v>212.4</v>
      </c>
      <c r="F2629" s="20" t="n">
        <f aca="false">Parametres!$B$6*D2629</f>
        <v>73.62</v>
      </c>
      <c r="G2629" s="20" t="n">
        <f aca="false">E2629+F2629</f>
        <v>286.02</v>
      </c>
      <c r="H2629" s="20" t="n">
        <f aca="false">IF(G2629&lt;Parametres!$B$8*Parametres!$B$7,0,MIN(G2629,Parametres!$B$7))</f>
        <v>250</v>
      </c>
      <c r="I2629" s="20" t="n">
        <f aca="false">G2629-H2629</f>
        <v>36.02</v>
      </c>
      <c r="J2629" s="21" t="n">
        <f aca="false">H2629*1000/Parametres!$B$9</f>
        <v>4239.44378497541</v>
      </c>
    </row>
    <row r="2630" customFormat="false" ht="15" hidden="false" customHeight="false" outlineLevel="0" collapsed="false">
      <c r="A2630" s="0" t="n">
        <v>2626</v>
      </c>
      <c r="B2630" s="0" t="n">
        <v>4</v>
      </c>
      <c r="C2630" s="19" t="n">
        <v>0.9709</v>
      </c>
      <c r="D2630" s="19" t="n">
        <v>0.3174</v>
      </c>
      <c r="E2630" s="20" t="n">
        <f aca="false">Parametres!$B$5*C2630</f>
        <v>291.27</v>
      </c>
      <c r="F2630" s="20" t="n">
        <f aca="false">Parametres!$B$6*D2630</f>
        <v>63.48</v>
      </c>
      <c r="G2630" s="20" t="n">
        <f aca="false">E2630+F2630</f>
        <v>354.75</v>
      </c>
      <c r="H2630" s="20" t="n">
        <f aca="false">IF(G2630&lt;Parametres!$B$8*Parametres!$B$7,0,MIN(G2630,Parametres!$B$7))</f>
        <v>250</v>
      </c>
      <c r="I2630" s="20" t="n">
        <f aca="false">G2630-H2630</f>
        <v>104.75</v>
      </c>
      <c r="J2630" s="21" t="n">
        <f aca="false">H2630*1000/Parametres!$B$9</f>
        <v>4239.44378497541</v>
      </c>
    </row>
    <row r="2631" customFormat="false" ht="15" hidden="false" customHeight="false" outlineLevel="0" collapsed="false">
      <c r="A2631" s="0" t="n">
        <v>2627</v>
      </c>
      <c r="B2631" s="0" t="n">
        <v>4</v>
      </c>
      <c r="C2631" s="19" t="n">
        <v>1</v>
      </c>
      <c r="D2631" s="19" t="n">
        <v>0.5469</v>
      </c>
      <c r="E2631" s="20" t="n">
        <f aca="false">Parametres!$B$5*C2631</f>
        <v>300</v>
      </c>
      <c r="F2631" s="20" t="n">
        <f aca="false">Parametres!$B$6*D2631</f>
        <v>109.38</v>
      </c>
      <c r="G2631" s="20" t="n">
        <f aca="false">E2631+F2631</f>
        <v>409.38</v>
      </c>
      <c r="H2631" s="20" t="n">
        <f aca="false">IF(G2631&lt;Parametres!$B$8*Parametres!$B$7,0,MIN(G2631,Parametres!$B$7))</f>
        <v>250</v>
      </c>
      <c r="I2631" s="20" t="n">
        <f aca="false">G2631-H2631</f>
        <v>159.38</v>
      </c>
      <c r="J2631" s="21" t="n">
        <f aca="false">H2631*1000/Parametres!$B$9</f>
        <v>4239.44378497541</v>
      </c>
    </row>
    <row r="2632" customFormat="false" ht="15" hidden="false" customHeight="false" outlineLevel="0" collapsed="false">
      <c r="A2632" s="0" t="n">
        <v>2628</v>
      </c>
      <c r="B2632" s="0" t="n">
        <v>4</v>
      </c>
      <c r="C2632" s="19" t="n">
        <v>1</v>
      </c>
      <c r="D2632" s="19" t="n">
        <v>0.5399</v>
      </c>
      <c r="E2632" s="20" t="n">
        <f aca="false">Parametres!$B$5*C2632</f>
        <v>300</v>
      </c>
      <c r="F2632" s="20" t="n">
        <f aca="false">Parametres!$B$6*D2632</f>
        <v>107.98</v>
      </c>
      <c r="G2632" s="20" t="n">
        <f aca="false">E2632+F2632</f>
        <v>407.98</v>
      </c>
      <c r="H2632" s="20" t="n">
        <f aca="false">IF(G2632&lt;Parametres!$B$8*Parametres!$B$7,0,MIN(G2632,Parametres!$B$7))</f>
        <v>250</v>
      </c>
      <c r="I2632" s="20" t="n">
        <f aca="false">G2632-H2632</f>
        <v>157.98</v>
      </c>
      <c r="J2632" s="21" t="n">
        <f aca="false">H2632*1000/Parametres!$B$9</f>
        <v>4239.44378497541</v>
      </c>
    </row>
    <row r="2633" customFormat="false" ht="15" hidden="false" customHeight="false" outlineLevel="0" collapsed="false">
      <c r="A2633" s="0" t="n">
        <v>2629</v>
      </c>
      <c r="B2633" s="0" t="n">
        <v>4</v>
      </c>
      <c r="C2633" s="19" t="n">
        <v>1</v>
      </c>
      <c r="D2633" s="19" t="n">
        <v>0.593</v>
      </c>
      <c r="E2633" s="20" t="n">
        <f aca="false">Parametres!$B$5*C2633</f>
        <v>300</v>
      </c>
      <c r="F2633" s="20" t="n">
        <f aca="false">Parametres!$B$6*D2633</f>
        <v>118.6</v>
      </c>
      <c r="G2633" s="20" t="n">
        <f aca="false">E2633+F2633</f>
        <v>418.6</v>
      </c>
      <c r="H2633" s="20" t="n">
        <f aca="false">IF(G2633&lt;Parametres!$B$8*Parametres!$B$7,0,MIN(G2633,Parametres!$B$7))</f>
        <v>250</v>
      </c>
      <c r="I2633" s="20" t="n">
        <f aca="false">G2633-H2633</f>
        <v>168.6</v>
      </c>
      <c r="J2633" s="21" t="n">
        <f aca="false">H2633*1000/Parametres!$B$9</f>
        <v>4239.44378497541</v>
      </c>
    </row>
    <row r="2634" customFormat="false" ht="15" hidden="false" customHeight="false" outlineLevel="0" collapsed="false">
      <c r="A2634" s="0" t="n">
        <v>2630</v>
      </c>
      <c r="B2634" s="0" t="n">
        <v>4</v>
      </c>
      <c r="C2634" s="19" t="n">
        <v>1</v>
      </c>
      <c r="D2634" s="19" t="n">
        <v>0.6361</v>
      </c>
      <c r="E2634" s="20" t="n">
        <f aca="false">Parametres!$B$5*C2634</f>
        <v>300</v>
      </c>
      <c r="F2634" s="20" t="n">
        <f aca="false">Parametres!$B$6*D2634</f>
        <v>127.22</v>
      </c>
      <c r="G2634" s="20" t="n">
        <f aca="false">E2634+F2634</f>
        <v>427.22</v>
      </c>
      <c r="H2634" s="20" t="n">
        <f aca="false">IF(G2634&lt;Parametres!$B$8*Parametres!$B$7,0,MIN(G2634,Parametres!$B$7))</f>
        <v>250</v>
      </c>
      <c r="I2634" s="20" t="n">
        <f aca="false">G2634-H2634</f>
        <v>177.22</v>
      </c>
      <c r="J2634" s="21" t="n">
        <f aca="false">H2634*1000/Parametres!$B$9</f>
        <v>4239.44378497541</v>
      </c>
    </row>
    <row r="2635" customFormat="false" ht="15" hidden="false" customHeight="false" outlineLevel="0" collapsed="false">
      <c r="A2635" s="0" t="n">
        <v>2631</v>
      </c>
      <c r="B2635" s="0" t="n">
        <v>4</v>
      </c>
      <c r="C2635" s="19" t="n">
        <v>0.9304</v>
      </c>
      <c r="D2635" s="19" t="n">
        <v>0.8172</v>
      </c>
      <c r="E2635" s="20" t="n">
        <f aca="false">Parametres!$B$5*C2635</f>
        <v>279.12</v>
      </c>
      <c r="F2635" s="20" t="n">
        <f aca="false">Parametres!$B$6*D2635</f>
        <v>163.44</v>
      </c>
      <c r="G2635" s="20" t="n">
        <f aca="false">E2635+F2635</f>
        <v>442.56</v>
      </c>
      <c r="H2635" s="20" t="n">
        <f aca="false">IF(G2635&lt;Parametres!$B$8*Parametres!$B$7,0,MIN(G2635,Parametres!$B$7))</f>
        <v>250</v>
      </c>
      <c r="I2635" s="20" t="n">
        <f aca="false">G2635-H2635</f>
        <v>192.56</v>
      </c>
      <c r="J2635" s="21" t="n">
        <f aca="false">H2635*1000/Parametres!$B$9</f>
        <v>4239.44378497541</v>
      </c>
    </row>
    <row r="2636" customFormat="false" ht="15" hidden="false" customHeight="false" outlineLevel="0" collapsed="false">
      <c r="A2636" s="0" t="n">
        <v>2632</v>
      </c>
      <c r="B2636" s="0" t="n">
        <v>4</v>
      </c>
      <c r="C2636" s="19" t="n">
        <v>0.7407</v>
      </c>
      <c r="D2636" s="19" t="n">
        <v>0.7185</v>
      </c>
      <c r="E2636" s="20" t="n">
        <f aca="false">Parametres!$B$5*C2636</f>
        <v>222.21</v>
      </c>
      <c r="F2636" s="20" t="n">
        <f aca="false">Parametres!$B$6*D2636</f>
        <v>143.7</v>
      </c>
      <c r="G2636" s="20" t="n">
        <f aca="false">E2636+F2636</f>
        <v>365.91</v>
      </c>
      <c r="H2636" s="20" t="n">
        <f aca="false">IF(G2636&lt;Parametres!$B$8*Parametres!$B$7,0,MIN(G2636,Parametres!$B$7))</f>
        <v>250</v>
      </c>
      <c r="I2636" s="20" t="n">
        <f aca="false">G2636-H2636</f>
        <v>115.91</v>
      </c>
      <c r="J2636" s="21" t="n">
        <f aca="false">H2636*1000/Parametres!$B$9</f>
        <v>4239.44378497541</v>
      </c>
    </row>
    <row r="2637" customFormat="false" ht="15" hidden="false" customHeight="false" outlineLevel="0" collapsed="false">
      <c r="A2637" s="0" t="n">
        <v>2633</v>
      </c>
      <c r="B2637" s="0" t="n">
        <v>4</v>
      </c>
      <c r="C2637" s="19" t="n">
        <v>0.4464</v>
      </c>
      <c r="D2637" s="19" t="n">
        <v>0.7564</v>
      </c>
      <c r="E2637" s="20" t="n">
        <f aca="false">Parametres!$B$5*C2637</f>
        <v>133.92</v>
      </c>
      <c r="F2637" s="20" t="n">
        <f aca="false">Parametres!$B$6*D2637</f>
        <v>151.28</v>
      </c>
      <c r="G2637" s="20" t="n">
        <f aca="false">E2637+F2637</f>
        <v>285.2</v>
      </c>
      <c r="H2637" s="20" t="n">
        <f aca="false">IF(G2637&lt;Parametres!$B$8*Parametres!$B$7,0,MIN(G2637,Parametres!$B$7))</f>
        <v>250</v>
      </c>
      <c r="I2637" s="20" t="n">
        <f aca="false">G2637-H2637</f>
        <v>35.2</v>
      </c>
      <c r="J2637" s="21" t="n">
        <f aca="false">H2637*1000/Parametres!$B$9</f>
        <v>4239.44378497541</v>
      </c>
    </row>
    <row r="2638" customFormat="false" ht="15" hidden="false" customHeight="false" outlineLevel="0" collapsed="false">
      <c r="A2638" s="0" t="n">
        <v>2634</v>
      </c>
      <c r="B2638" s="0" t="n">
        <v>4</v>
      </c>
      <c r="C2638" s="19" t="n">
        <v>0.2158</v>
      </c>
      <c r="D2638" s="19" t="n">
        <v>0.6066</v>
      </c>
      <c r="E2638" s="20" t="n">
        <f aca="false">Parametres!$B$5*C2638</f>
        <v>64.74</v>
      </c>
      <c r="F2638" s="20" t="n">
        <f aca="false">Parametres!$B$6*D2638</f>
        <v>121.32</v>
      </c>
      <c r="G2638" s="20" t="n">
        <f aca="false">E2638+F2638</f>
        <v>186.06</v>
      </c>
      <c r="H2638" s="20" t="n">
        <f aca="false">IF(G2638&lt;Parametres!$B$8*Parametres!$B$7,0,MIN(G2638,Parametres!$B$7))</f>
        <v>186.06</v>
      </c>
      <c r="I2638" s="20" t="n">
        <f aca="false">G2638-H2638</f>
        <v>0</v>
      </c>
      <c r="J2638" s="21" t="n">
        <f aca="false">H2638*1000/Parametres!$B$9</f>
        <v>3155.1636425301</v>
      </c>
    </row>
    <row r="2639" customFormat="false" ht="15" hidden="false" customHeight="false" outlineLevel="0" collapsed="false">
      <c r="A2639" s="0" t="n">
        <v>2635</v>
      </c>
      <c r="B2639" s="0" t="n">
        <v>4</v>
      </c>
      <c r="C2639" s="19" t="n">
        <v>0</v>
      </c>
      <c r="D2639" s="19" t="n">
        <v>0.6821</v>
      </c>
      <c r="E2639" s="20" t="n">
        <f aca="false">Parametres!$B$5*C2639</f>
        <v>0</v>
      </c>
      <c r="F2639" s="20" t="n">
        <f aca="false">Parametres!$B$6*D2639</f>
        <v>136.42</v>
      </c>
      <c r="G2639" s="20" t="n">
        <f aca="false">E2639+F2639</f>
        <v>136.42</v>
      </c>
      <c r="H2639" s="20" t="n">
        <f aca="false">IF(G2639&lt;Parametres!$B$8*Parametres!$B$7,0,MIN(G2639,Parametres!$B$7))</f>
        <v>136.42</v>
      </c>
      <c r="I2639" s="20" t="n">
        <f aca="false">G2639-H2639</f>
        <v>0</v>
      </c>
      <c r="J2639" s="21" t="n">
        <f aca="false">H2639*1000/Parametres!$B$9</f>
        <v>2313.37968458538</v>
      </c>
    </row>
    <row r="2640" customFormat="false" ht="15" hidden="false" customHeight="false" outlineLevel="0" collapsed="false">
      <c r="A2640" s="0" t="n">
        <v>2636</v>
      </c>
      <c r="B2640" s="0" t="n">
        <v>4</v>
      </c>
      <c r="C2640" s="19" t="n">
        <v>0</v>
      </c>
      <c r="D2640" s="19" t="n">
        <v>0.6824</v>
      </c>
      <c r="E2640" s="20" t="n">
        <f aca="false">Parametres!$B$5*C2640</f>
        <v>0</v>
      </c>
      <c r="F2640" s="20" t="n">
        <f aca="false">Parametres!$B$6*D2640</f>
        <v>136.48</v>
      </c>
      <c r="G2640" s="20" t="n">
        <f aca="false">E2640+F2640</f>
        <v>136.48</v>
      </c>
      <c r="H2640" s="20" t="n">
        <f aca="false">IF(G2640&lt;Parametres!$B$8*Parametres!$B$7,0,MIN(G2640,Parametres!$B$7))</f>
        <v>136.48</v>
      </c>
      <c r="I2640" s="20" t="n">
        <f aca="false">G2640-H2640</f>
        <v>0</v>
      </c>
      <c r="J2640" s="21" t="n">
        <f aca="false">H2640*1000/Parametres!$B$9</f>
        <v>2314.39715109378</v>
      </c>
    </row>
    <row r="2641" customFormat="false" ht="15" hidden="false" customHeight="false" outlineLevel="0" collapsed="false">
      <c r="A2641" s="0" t="n">
        <v>2637</v>
      </c>
      <c r="B2641" s="0" t="n">
        <v>4</v>
      </c>
      <c r="C2641" s="19" t="n">
        <v>0</v>
      </c>
      <c r="D2641" s="19" t="n">
        <v>0.698</v>
      </c>
      <c r="E2641" s="20" t="n">
        <f aca="false">Parametres!$B$5*C2641</f>
        <v>0</v>
      </c>
      <c r="F2641" s="20" t="n">
        <f aca="false">Parametres!$B$6*D2641</f>
        <v>139.6</v>
      </c>
      <c r="G2641" s="20" t="n">
        <f aca="false">E2641+F2641</f>
        <v>139.6</v>
      </c>
      <c r="H2641" s="20" t="n">
        <f aca="false">IF(G2641&lt;Parametres!$B$8*Parametres!$B$7,0,MIN(G2641,Parametres!$B$7))</f>
        <v>139.6</v>
      </c>
      <c r="I2641" s="20" t="n">
        <f aca="false">G2641-H2641</f>
        <v>0</v>
      </c>
      <c r="J2641" s="21" t="n">
        <f aca="false">H2641*1000/Parametres!$B$9</f>
        <v>2367.30540953027</v>
      </c>
    </row>
    <row r="2642" customFormat="false" ht="15" hidden="false" customHeight="false" outlineLevel="0" collapsed="false">
      <c r="A2642" s="0" t="n">
        <v>2638</v>
      </c>
      <c r="B2642" s="0" t="n">
        <v>4</v>
      </c>
      <c r="C2642" s="19" t="n">
        <v>0</v>
      </c>
      <c r="D2642" s="19" t="n">
        <v>0.4511</v>
      </c>
      <c r="E2642" s="20" t="n">
        <f aca="false">Parametres!$B$5*C2642</f>
        <v>0</v>
      </c>
      <c r="F2642" s="20" t="n">
        <f aca="false">Parametres!$B$6*D2642</f>
        <v>90.22</v>
      </c>
      <c r="G2642" s="20" t="n">
        <f aca="false">E2642+F2642</f>
        <v>90.22</v>
      </c>
      <c r="H2642" s="20" t="n">
        <f aca="false">IF(G2642&lt;Parametres!$B$8*Parametres!$B$7,0,MIN(G2642,Parametres!$B$7))</f>
        <v>90.22</v>
      </c>
      <c r="I2642" s="20" t="n">
        <f aca="false">G2642-H2642</f>
        <v>0</v>
      </c>
      <c r="J2642" s="21" t="n">
        <f aca="false">H2642*1000/Parametres!$B$9</f>
        <v>1529.93047312193</v>
      </c>
    </row>
    <row r="2643" customFormat="false" ht="15" hidden="false" customHeight="false" outlineLevel="0" collapsed="false">
      <c r="A2643" s="0" t="n">
        <v>2639</v>
      </c>
      <c r="B2643" s="0" t="n">
        <v>4</v>
      </c>
      <c r="C2643" s="19" t="n">
        <v>0</v>
      </c>
      <c r="D2643" s="19" t="n">
        <v>0.4343</v>
      </c>
      <c r="E2643" s="20" t="n">
        <f aca="false">Parametres!$B$5*C2643</f>
        <v>0</v>
      </c>
      <c r="F2643" s="20" t="n">
        <f aca="false">Parametres!$B$6*D2643</f>
        <v>86.86</v>
      </c>
      <c r="G2643" s="20" t="n">
        <f aca="false">E2643+F2643</f>
        <v>86.86</v>
      </c>
      <c r="H2643" s="20" t="n">
        <f aca="false">IF(G2643&lt;Parametres!$B$8*Parametres!$B$7,0,MIN(G2643,Parametres!$B$7))</f>
        <v>86.86</v>
      </c>
      <c r="I2643" s="20" t="n">
        <f aca="false">G2643-H2643</f>
        <v>0</v>
      </c>
      <c r="J2643" s="21" t="n">
        <f aca="false">H2643*1000/Parametres!$B$9</f>
        <v>1472.95234865186</v>
      </c>
    </row>
    <row r="2644" customFormat="false" ht="15" hidden="false" customHeight="false" outlineLevel="0" collapsed="false">
      <c r="A2644" s="0" t="n">
        <v>2640</v>
      </c>
      <c r="B2644" s="0" t="n">
        <v>4</v>
      </c>
      <c r="C2644" s="19" t="n">
        <v>0</v>
      </c>
      <c r="D2644" s="19" t="n">
        <v>0.375</v>
      </c>
      <c r="E2644" s="20" t="n">
        <f aca="false">Parametres!$B$5*C2644</f>
        <v>0</v>
      </c>
      <c r="F2644" s="20" t="n">
        <f aca="false">Parametres!$B$6*D2644</f>
        <v>75</v>
      </c>
      <c r="G2644" s="20" t="n">
        <f aca="false">E2644+F2644</f>
        <v>75</v>
      </c>
      <c r="H2644" s="20" t="n">
        <f aca="false">IF(G2644&lt;Parametres!$B$8*Parametres!$B$7,0,MIN(G2644,Parametres!$B$7))</f>
        <v>75</v>
      </c>
      <c r="I2644" s="20" t="n">
        <f aca="false">G2644-H2644</f>
        <v>0</v>
      </c>
      <c r="J2644" s="21" t="n">
        <f aca="false">H2644*1000/Parametres!$B$9</f>
        <v>1271.83313549262</v>
      </c>
    </row>
    <row r="2645" customFormat="false" ht="15" hidden="false" customHeight="false" outlineLevel="0" collapsed="false">
      <c r="A2645" s="0" t="n">
        <v>2641</v>
      </c>
      <c r="B2645" s="0" t="n">
        <v>4</v>
      </c>
      <c r="C2645" s="19" t="n">
        <v>0</v>
      </c>
      <c r="D2645" s="19" t="n">
        <v>0.3979</v>
      </c>
      <c r="E2645" s="20" t="n">
        <f aca="false">Parametres!$B$5*C2645</f>
        <v>0</v>
      </c>
      <c r="F2645" s="20" t="n">
        <f aca="false">Parametres!$B$6*D2645</f>
        <v>79.58</v>
      </c>
      <c r="G2645" s="20" t="n">
        <f aca="false">E2645+F2645</f>
        <v>79.58</v>
      </c>
      <c r="H2645" s="20" t="n">
        <f aca="false">IF(G2645&lt;Parametres!$B$8*Parametres!$B$7,0,MIN(G2645,Parametres!$B$7))</f>
        <v>79.58</v>
      </c>
      <c r="I2645" s="20" t="n">
        <f aca="false">G2645-H2645</f>
        <v>0</v>
      </c>
      <c r="J2645" s="21" t="n">
        <f aca="false">H2645*1000/Parametres!$B$9</f>
        <v>1349.49974563337</v>
      </c>
    </row>
    <row r="2646" customFormat="false" ht="15" hidden="false" customHeight="false" outlineLevel="0" collapsed="false">
      <c r="A2646" s="0" t="n">
        <v>2642</v>
      </c>
      <c r="B2646" s="0" t="n">
        <v>4</v>
      </c>
      <c r="C2646" s="19" t="n">
        <v>0</v>
      </c>
      <c r="D2646" s="19" t="n">
        <v>0.3506</v>
      </c>
      <c r="E2646" s="20" t="n">
        <f aca="false">Parametres!$B$5*C2646</f>
        <v>0</v>
      </c>
      <c r="F2646" s="20" t="n">
        <f aca="false">Parametres!$B$6*D2646</f>
        <v>70.12</v>
      </c>
      <c r="G2646" s="20" t="n">
        <f aca="false">E2646+F2646</f>
        <v>70.12</v>
      </c>
      <c r="H2646" s="20" t="n">
        <f aca="false">IF(G2646&lt;Parametres!$B$8*Parametres!$B$7,0,MIN(G2646,Parametres!$B$7))</f>
        <v>70.12</v>
      </c>
      <c r="I2646" s="20" t="n">
        <f aca="false">G2646-H2646</f>
        <v>0</v>
      </c>
      <c r="J2646" s="21" t="n">
        <f aca="false">H2646*1000/Parametres!$B$9</f>
        <v>1189.0791928099</v>
      </c>
    </row>
    <row r="2647" customFormat="false" ht="15" hidden="false" customHeight="false" outlineLevel="0" collapsed="false">
      <c r="A2647" s="0" t="n">
        <v>2643</v>
      </c>
      <c r="B2647" s="0" t="n">
        <v>4</v>
      </c>
      <c r="C2647" s="19" t="n">
        <v>0</v>
      </c>
      <c r="D2647" s="19" t="n">
        <v>0.2142</v>
      </c>
      <c r="E2647" s="20" t="n">
        <f aca="false">Parametres!$B$5*C2647</f>
        <v>0</v>
      </c>
      <c r="F2647" s="20" t="n">
        <f aca="false">Parametres!$B$6*D2647</f>
        <v>42.84</v>
      </c>
      <c r="G2647" s="20" t="n">
        <f aca="false">E2647+F2647</f>
        <v>42.84</v>
      </c>
      <c r="H2647" s="20" t="n">
        <f aca="false">IF(G2647&lt;Parametres!$B$8*Parametres!$B$7,0,MIN(G2647,Parametres!$B$7))</f>
        <v>42.84</v>
      </c>
      <c r="I2647" s="20" t="n">
        <f aca="false">G2647-H2647</f>
        <v>0</v>
      </c>
      <c r="J2647" s="21" t="n">
        <f aca="false">H2647*1000/Parametres!$B$9</f>
        <v>726.471086993387</v>
      </c>
    </row>
    <row r="2648" customFormat="false" ht="15" hidden="false" customHeight="false" outlineLevel="0" collapsed="false">
      <c r="A2648" s="0" t="n">
        <v>2644</v>
      </c>
      <c r="B2648" s="0" t="n">
        <v>4</v>
      </c>
      <c r="C2648" s="19" t="n">
        <v>0</v>
      </c>
      <c r="D2648" s="19" t="n">
        <v>0.2608</v>
      </c>
      <c r="E2648" s="20" t="n">
        <f aca="false">Parametres!$B$5*C2648</f>
        <v>0</v>
      </c>
      <c r="F2648" s="20" t="n">
        <f aca="false">Parametres!$B$6*D2648</f>
        <v>52.16</v>
      </c>
      <c r="G2648" s="20" t="n">
        <f aca="false">E2648+F2648</f>
        <v>52.16</v>
      </c>
      <c r="H2648" s="20" t="n">
        <f aca="false">IF(G2648&lt;Parametres!$B$8*Parametres!$B$7,0,MIN(G2648,Parametres!$B$7))</f>
        <v>52.16</v>
      </c>
      <c r="I2648" s="20" t="n">
        <f aca="false">G2648-H2648</f>
        <v>0</v>
      </c>
      <c r="J2648" s="21" t="n">
        <f aca="false">H2648*1000/Parametres!$B$9</f>
        <v>884.51755129727</v>
      </c>
    </row>
    <row r="2649" customFormat="false" ht="15" hidden="false" customHeight="false" outlineLevel="0" collapsed="false">
      <c r="A2649" s="0" t="n">
        <v>2645</v>
      </c>
      <c r="B2649" s="0" t="n">
        <v>4</v>
      </c>
      <c r="C2649" s="19" t="n">
        <v>0</v>
      </c>
      <c r="D2649" s="19" t="n">
        <v>0.1905</v>
      </c>
      <c r="E2649" s="20" t="n">
        <f aca="false">Parametres!$B$5*C2649</f>
        <v>0</v>
      </c>
      <c r="F2649" s="20" t="n">
        <f aca="false">Parametres!$B$6*D2649</f>
        <v>38.1</v>
      </c>
      <c r="G2649" s="20" t="n">
        <f aca="false">E2649+F2649</f>
        <v>38.1</v>
      </c>
      <c r="H2649" s="20" t="n">
        <f aca="false">IF(G2649&lt;Parametres!$B$8*Parametres!$B$7,0,MIN(G2649,Parametres!$B$7))</f>
        <v>38.1</v>
      </c>
      <c r="I2649" s="20" t="n">
        <f aca="false">G2649-H2649</f>
        <v>0</v>
      </c>
      <c r="J2649" s="21" t="n">
        <f aca="false">H2649*1000/Parametres!$B$9</f>
        <v>646.091232830253</v>
      </c>
    </row>
    <row r="2650" customFormat="false" ht="15" hidden="false" customHeight="false" outlineLevel="0" collapsed="false">
      <c r="A2650" s="0" t="n">
        <v>2646</v>
      </c>
      <c r="B2650" s="0" t="n">
        <v>4</v>
      </c>
      <c r="C2650" s="19" t="n">
        <v>0</v>
      </c>
      <c r="D2650" s="19" t="n">
        <v>0.2131</v>
      </c>
      <c r="E2650" s="20" t="n">
        <f aca="false">Parametres!$B$5*C2650</f>
        <v>0</v>
      </c>
      <c r="F2650" s="20" t="n">
        <f aca="false">Parametres!$B$6*D2650</f>
        <v>42.62</v>
      </c>
      <c r="G2650" s="20" t="n">
        <f aca="false">E2650+F2650</f>
        <v>42.62</v>
      </c>
      <c r="H2650" s="20" t="n">
        <f aca="false">IF(G2650&lt;Parametres!$B$8*Parametres!$B$7,0,MIN(G2650,Parametres!$B$7))</f>
        <v>42.62</v>
      </c>
      <c r="I2650" s="20" t="n">
        <f aca="false">G2650-H2650</f>
        <v>0</v>
      </c>
      <c r="J2650" s="21" t="n">
        <f aca="false">H2650*1000/Parametres!$B$9</f>
        <v>722.740376462608</v>
      </c>
    </row>
    <row r="2651" customFormat="false" ht="15" hidden="false" customHeight="false" outlineLevel="0" collapsed="false">
      <c r="A2651" s="0" t="n">
        <v>2647</v>
      </c>
      <c r="B2651" s="0" t="n">
        <v>4</v>
      </c>
      <c r="C2651" s="19" t="n">
        <v>0.1849</v>
      </c>
      <c r="D2651" s="19" t="n">
        <v>0.0869</v>
      </c>
      <c r="E2651" s="20" t="n">
        <f aca="false">Parametres!$B$5*C2651</f>
        <v>55.47</v>
      </c>
      <c r="F2651" s="20" t="n">
        <f aca="false">Parametres!$B$6*D2651</f>
        <v>17.38</v>
      </c>
      <c r="G2651" s="20" t="n">
        <f aca="false">E2651+F2651</f>
        <v>72.85</v>
      </c>
      <c r="H2651" s="20" t="n">
        <f aca="false">IF(G2651&lt;Parametres!$B$8*Parametres!$B$7,0,MIN(G2651,Parametres!$B$7))</f>
        <v>72.85</v>
      </c>
      <c r="I2651" s="20" t="n">
        <f aca="false">G2651-H2651</f>
        <v>0</v>
      </c>
      <c r="J2651" s="21" t="n">
        <f aca="false">H2651*1000/Parametres!$B$9</f>
        <v>1235.37391894184</v>
      </c>
    </row>
    <row r="2652" customFormat="false" ht="15" hidden="false" customHeight="false" outlineLevel="0" collapsed="false">
      <c r="A2652" s="0" t="n">
        <v>2648</v>
      </c>
      <c r="B2652" s="0" t="n">
        <v>4</v>
      </c>
      <c r="C2652" s="19" t="n">
        <v>0.4332</v>
      </c>
      <c r="D2652" s="19" t="n">
        <v>0.122</v>
      </c>
      <c r="E2652" s="20" t="n">
        <f aca="false">Parametres!$B$5*C2652</f>
        <v>129.96</v>
      </c>
      <c r="F2652" s="20" t="n">
        <f aca="false">Parametres!$B$6*D2652</f>
        <v>24.4</v>
      </c>
      <c r="G2652" s="20" t="n">
        <f aca="false">E2652+F2652</f>
        <v>154.36</v>
      </c>
      <c r="H2652" s="20" t="n">
        <f aca="false">IF(G2652&lt;Parametres!$B$8*Parametres!$B$7,0,MIN(G2652,Parametres!$B$7))</f>
        <v>154.36</v>
      </c>
      <c r="I2652" s="20" t="n">
        <f aca="false">G2652-H2652</f>
        <v>0</v>
      </c>
      <c r="J2652" s="21" t="n">
        <f aca="false">H2652*1000/Parametres!$B$9</f>
        <v>2617.60217059522</v>
      </c>
    </row>
    <row r="2653" customFormat="false" ht="15" hidden="false" customHeight="false" outlineLevel="0" collapsed="false">
      <c r="A2653" s="0" t="n">
        <v>2649</v>
      </c>
      <c r="B2653" s="0" t="n">
        <v>4</v>
      </c>
      <c r="C2653" s="19" t="n">
        <v>0.6165</v>
      </c>
      <c r="D2653" s="19" t="n">
        <v>0.1841</v>
      </c>
      <c r="E2653" s="20" t="n">
        <f aca="false">Parametres!$B$5*C2653</f>
        <v>184.95</v>
      </c>
      <c r="F2653" s="20" t="n">
        <f aca="false">Parametres!$B$6*D2653</f>
        <v>36.82</v>
      </c>
      <c r="G2653" s="20" t="n">
        <f aca="false">E2653+F2653</f>
        <v>221.77</v>
      </c>
      <c r="H2653" s="20" t="n">
        <f aca="false">IF(G2653&lt;Parametres!$B$8*Parametres!$B$7,0,MIN(G2653,Parametres!$B$7))</f>
        <v>221.77</v>
      </c>
      <c r="I2653" s="20" t="n">
        <f aca="false">G2653-H2653</f>
        <v>0</v>
      </c>
      <c r="J2653" s="21" t="n">
        <f aca="false">H2653*1000/Parametres!$B$9</f>
        <v>3760.72579277599</v>
      </c>
    </row>
    <row r="2654" customFormat="false" ht="15" hidden="false" customHeight="false" outlineLevel="0" collapsed="false">
      <c r="A2654" s="0" t="n">
        <v>2650</v>
      </c>
      <c r="B2654" s="0" t="n">
        <v>4</v>
      </c>
      <c r="C2654" s="19" t="n">
        <v>0.8268</v>
      </c>
      <c r="D2654" s="19" t="n">
        <v>0.1372</v>
      </c>
      <c r="E2654" s="20" t="n">
        <f aca="false">Parametres!$B$5*C2654</f>
        <v>248.04</v>
      </c>
      <c r="F2654" s="20" t="n">
        <f aca="false">Parametres!$B$6*D2654</f>
        <v>27.44</v>
      </c>
      <c r="G2654" s="20" t="n">
        <f aca="false">E2654+F2654</f>
        <v>275.48</v>
      </c>
      <c r="H2654" s="20" t="n">
        <f aca="false">IF(G2654&lt;Parametres!$B$8*Parametres!$B$7,0,MIN(G2654,Parametres!$B$7))</f>
        <v>250</v>
      </c>
      <c r="I2654" s="20" t="n">
        <f aca="false">G2654-H2654</f>
        <v>25.48</v>
      </c>
      <c r="J2654" s="21" t="n">
        <f aca="false">H2654*1000/Parametres!$B$9</f>
        <v>4239.44378497541</v>
      </c>
    </row>
    <row r="2655" customFormat="false" ht="15" hidden="false" customHeight="false" outlineLevel="0" collapsed="false">
      <c r="A2655" s="0" t="n">
        <v>2651</v>
      </c>
      <c r="B2655" s="0" t="n">
        <v>4</v>
      </c>
      <c r="C2655" s="19" t="n">
        <v>1</v>
      </c>
      <c r="D2655" s="19" t="n">
        <v>0.2051</v>
      </c>
      <c r="E2655" s="20" t="n">
        <f aca="false">Parametres!$B$5*C2655</f>
        <v>300</v>
      </c>
      <c r="F2655" s="20" t="n">
        <f aca="false">Parametres!$B$6*D2655</f>
        <v>41.02</v>
      </c>
      <c r="G2655" s="20" t="n">
        <f aca="false">E2655+F2655</f>
        <v>341.02</v>
      </c>
      <c r="H2655" s="20" t="n">
        <f aca="false">IF(G2655&lt;Parametres!$B$8*Parametres!$B$7,0,MIN(G2655,Parametres!$B$7))</f>
        <v>250</v>
      </c>
      <c r="I2655" s="20" t="n">
        <f aca="false">G2655-H2655</f>
        <v>91.02</v>
      </c>
      <c r="J2655" s="21" t="n">
        <f aca="false">H2655*1000/Parametres!$B$9</f>
        <v>4239.44378497541</v>
      </c>
    </row>
    <row r="2656" customFormat="false" ht="15" hidden="false" customHeight="false" outlineLevel="0" collapsed="false">
      <c r="A2656" s="0" t="n">
        <v>2652</v>
      </c>
      <c r="B2656" s="0" t="n">
        <v>4</v>
      </c>
      <c r="C2656" s="19" t="n">
        <v>1</v>
      </c>
      <c r="D2656" s="19" t="n">
        <v>0.1967</v>
      </c>
      <c r="E2656" s="20" t="n">
        <f aca="false">Parametres!$B$5*C2656</f>
        <v>300</v>
      </c>
      <c r="F2656" s="20" t="n">
        <f aca="false">Parametres!$B$6*D2656</f>
        <v>39.34</v>
      </c>
      <c r="G2656" s="20" t="n">
        <f aca="false">E2656+F2656</f>
        <v>339.34</v>
      </c>
      <c r="H2656" s="20" t="n">
        <f aca="false">IF(G2656&lt;Parametres!$B$8*Parametres!$B$7,0,MIN(G2656,Parametres!$B$7))</f>
        <v>250</v>
      </c>
      <c r="I2656" s="20" t="n">
        <f aca="false">G2656-H2656</f>
        <v>89.34</v>
      </c>
      <c r="J2656" s="21" t="n">
        <f aca="false">H2656*1000/Parametres!$B$9</f>
        <v>4239.44378497541</v>
      </c>
    </row>
    <row r="2657" customFormat="false" ht="15" hidden="false" customHeight="false" outlineLevel="0" collapsed="false">
      <c r="A2657" s="0" t="n">
        <v>2653</v>
      </c>
      <c r="B2657" s="0" t="n">
        <v>4</v>
      </c>
      <c r="C2657" s="19" t="n">
        <v>1</v>
      </c>
      <c r="D2657" s="19" t="n">
        <v>0.3902</v>
      </c>
      <c r="E2657" s="20" t="n">
        <f aca="false">Parametres!$B$5*C2657</f>
        <v>300</v>
      </c>
      <c r="F2657" s="20" t="n">
        <f aca="false">Parametres!$B$6*D2657</f>
        <v>78.04</v>
      </c>
      <c r="G2657" s="20" t="n">
        <f aca="false">E2657+F2657</f>
        <v>378.04</v>
      </c>
      <c r="H2657" s="20" t="n">
        <f aca="false">IF(G2657&lt;Parametres!$B$8*Parametres!$B$7,0,MIN(G2657,Parametres!$B$7))</f>
        <v>250</v>
      </c>
      <c r="I2657" s="20" t="n">
        <f aca="false">G2657-H2657</f>
        <v>128.04</v>
      </c>
      <c r="J2657" s="21" t="n">
        <f aca="false">H2657*1000/Parametres!$B$9</f>
        <v>4239.44378497541</v>
      </c>
    </row>
    <row r="2658" customFormat="false" ht="15" hidden="false" customHeight="false" outlineLevel="0" collapsed="false">
      <c r="A2658" s="0" t="n">
        <v>2654</v>
      </c>
      <c r="B2658" s="0" t="n">
        <v>4</v>
      </c>
      <c r="C2658" s="19" t="n">
        <v>0.981</v>
      </c>
      <c r="D2658" s="19" t="n">
        <v>0.5397</v>
      </c>
      <c r="E2658" s="20" t="n">
        <f aca="false">Parametres!$B$5*C2658</f>
        <v>294.3</v>
      </c>
      <c r="F2658" s="20" t="n">
        <f aca="false">Parametres!$B$6*D2658</f>
        <v>107.94</v>
      </c>
      <c r="G2658" s="20" t="n">
        <f aca="false">E2658+F2658</f>
        <v>402.24</v>
      </c>
      <c r="H2658" s="20" t="n">
        <f aca="false">IF(G2658&lt;Parametres!$B$8*Parametres!$B$7,0,MIN(G2658,Parametres!$B$7))</f>
        <v>250</v>
      </c>
      <c r="I2658" s="20" t="n">
        <f aca="false">G2658-H2658</f>
        <v>152.24</v>
      </c>
      <c r="J2658" s="21" t="n">
        <f aca="false">H2658*1000/Parametres!$B$9</f>
        <v>4239.44378497541</v>
      </c>
    </row>
    <row r="2659" customFormat="false" ht="15" hidden="false" customHeight="false" outlineLevel="0" collapsed="false">
      <c r="A2659" s="0" t="n">
        <v>2655</v>
      </c>
      <c r="B2659" s="0" t="n">
        <v>4</v>
      </c>
      <c r="C2659" s="19" t="n">
        <v>0.8019</v>
      </c>
      <c r="D2659" s="19" t="n">
        <v>0.352</v>
      </c>
      <c r="E2659" s="20" t="n">
        <f aca="false">Parametres!$B$5*C2659</f>
        <v>240.57</v>
      </c>
      <c r="F2659" s="20" t="n">
        <f aca="false">Parametres!$B$6*D2659</f>
        <v>70.4</v>
      </c>
      <c r="G2659" s="20" t="n">
        <f aca="false">E2659+F2659</f>
        <v>310.97</v>
      </c>
      <c r="H2659" s="20" t="n">
        <f aca="false">IF(G2659&lt;Parametres!$B$8*Parametres!$B$7,0,MIN(G2659,Parametres!$B$7))</f>
        <v>250</v>
      </c>
      <c r="I2659" s="20" t="n">
        <f aca="false">G2659-H2659</f>
        <v>60.97</v>
      </c>
      <c r="J2659" s="21" t="n">
        <f aca="false">H2659*1000/Parametres!$B$9</f>
        <v>4239.44378497541</v>
      </c>
    </row>
    <row r="2660" customFormat="false" ht="15" hidden="false" customHeight="false" outlineLevel="0" collapsed="false">
      <c r="A2660" s="0" t="n">
        <v>2656</v>
      </c>
      <c r="B2660" s="0" t="n">
        <v>4</v>
      </c>
      <c r="C2660" s="19" t="n">
        <v>0.6267</v>
      </c>
      <c r="D2660" s="19" t="n">
        <v>0.3328</v>
      </c>
      <c r="E2660" s="20" t="n">
        <f aca="false">Parametres!$B$5*C2660</f>
        <v>188.01</v>
      </c>
      <c r="F2660" s="20" t="n">
        <f aca="false">Parametres!$B$6*D2660</f>
        <v>66.56</v>
      </c>
      <c r="G2660" s="20" t="n">
        <f aca="false">E2660+F2660</f>
        <v>254.57</v>
      </c>
      <c r="H2660" s="20" t="n">
        <f aca="false">IF(G2660&lt;Parametres!$B$8*Parametres!$B$7,0,MIN(G2660,Parametres!$B$7))</f>
        <v>250</v>
      </c>
      <c r="I2660" s="20" t="n">
        <f aca="false">G2660-H2660</f>
        <v>4.57000000000002</v>
      </c>
      <c r="J2660" s="21" t="n">
        <f aca="false">H2660*1000/Parametres!$B$9</f>
        <v>4239.44378497541</v>
      </c>
    </row>
    <row r="2661" customFormat="false" ht="15" hidden="false" customHeight="false" outlineLevel="0" collapsed="false">
      <c r="A2661" s="0" t="n">
        <v>2657</v>
      </c>
      <c r="B2661" s="0" t="n">
        <v>4</v>
      </c>
      <c r="C2661" s="19" t="n">
        <v>0.429</v>
      </c>
      <c r="D2661" s="19" t="n">
        <v>0.1468</v>
      </c>
      <c r="E2661" s="20" t="n">
        <f aca="false">Parametres!$B$5*C2661</f>
        <v>128.7</v>
      </c>
      <c r="F2661" s="20" t="n">
        <f aca="false">Parametres!$B$6*D2661</f>
        <v>29.36</v>
      </c>
      <c r="G2661" s="20" t="n">
        <f aca="false">E2661+F2661</f>
        <v>158.06</v>
      </c>
      <c r="H2661" s="20" t="n">
        <f aca="false">IF(G2661&lt;Parametres!$B$8*Parametres!$B$7,0,MIN(G2661,Parametres!$B$7))</f>
        <v>158.06</v>
      </c>
      <c r="I2661" s="20" t="n">
        <f aca="false">G2661-H2661</f>
        <v>0</v>
      </c>
      <c r="J2661" s="21" t="n">
        <f aca="false">H2661*1000/Parametres!$B$9</f>
        <v>2680.34593861285</v>
      </c>
    </row>
    <row r="2662" customFormat="false" ht="15" hidden="false" customHeight="false" outlineLevel="0" collapsed="false">
      <c r="A2662" s="0" t="n">
        <v>2658</v>
      </c>
      <c r="B2662" s="0" t="n">
        <v>4</v>
      </c>
      <c r="C2662" s="19" t="n">
        <v>0.1784</v>
      </c>
      <c r="D2662" s="19" t="n">
        <v>0.1206</v>
      </c>
      <c r="E2662" s="20" t="n">
        <f aca="false">Parametres!$B$5*C2662</f>
        <v>53.52</v>
      </c>
      <c r="F2662" s="20" t="n">
        <f aca="false">Parametres!$B$6*D2662</f>
        <v>24.12</v>
      </c>
      <c r="G2662" s="20" t="n">
        <f aca="false">E2662+F2662</f>
        <v>77.64</v>
      </c>
      <c r="H2662" s="20" t="n">
        <f aca="false">IF(G2662&lt;Parametres!$B$8*Parametres!$B$7,0,MIN(G2662,Parametres!$B$7))</f>
        <v>77.64</v>
      </c>
      <c r="I2662" s="20" t="n">
        <f aca="false">G2662-H2662</f>
        <v>0</v>
      </c>
      <c r="J2662" s="21" t="n">
        <f aca="false">H2662*1000/Parametres!$B$9</f>
        <v>1316.60166186196</v>
      </c>
    </row>
    <row r="2663" customFormat="false" ht="15" hidden="false" customHeight="false" outlineLevel="0" collapsed="false">
      <c r="A2663" s="0" t="n">
        <v>2659</v>
      </c>
      <c r="B2663" s="0" t="n">
        <v>4</v>
      </c>
      <c r="C2663" s="19" t="n">
        <v>0</v>
      </c>
      <c r="D2663" s="19" t="n">
        <v>0.1509</v>
      </c>
      <c r="E2663" s="20" t="n">
        <f aca="false">Parametres!$B$5*C2663</f>
        <v>0</v>
      </c>
      <c r="F2663" s="20" t="n">
        <f aca="false">Parametres!$B$6*D2663</f>
        <v>30.18</v>
      </c>
      <c r="G2663" s="20" t="n">
        <f aca="false">E2663+F2663</f>
        <v>30.18</v>
      </c>
      <c r="H2663" s="20" t="n">
        <f aca="false">IF(G2663&lt;Parametres!$B$8*Parametres!$B$7,0,MIN(G2663,Parametres!$B$7))</f>
        <v>30.18</v>
      </c>
      <c r="I2663" s="20" t="n">
        <f aca="false">G2663-H2663</f>
        <v>0</v>
      </c>
      <c r="J2663" s="21" t="n">
        <f aca="false">H2663*1000/Parametres!$B$9</f>
        <v>511.785653722232</v>
      </c>
    </row>
    <row r="2664" customFormat="false" ht="15" hidden="false" customHeight="false" outlineLevel="0" collapsed="false">
      <c r="A2664" s="0" t="n">
        <v>2660</v>
      </c>
      <c r="B2664" s="0" t="n">
        <v>4</v>
      </c>
      <c r="C2664" s="19" t="n">
        <v>0</v>
      </c>
      <c r="D2664" s="19" t="n">
        <v>0.2052</v>
      </c>
      <c r="E2664" s="20" t="n">
        <f aca="false">Parametres!$B$5*C2664</f>
        <v>0</v>
      </c>
      <c r="F2664" s="20" t="n">
        <f aca="false">Parametres!$B$6*D2664</f>
        <v>41.04</v>
      </c>
      <c r="G2664" s="20" t="n">
        <f aca="false">E2664+F2664</f>
        <v>41.04</v>
      </c>
      <c r="H2664" s="20" t="n">
        <f aca="false">IF(G2664&lt;Parametres!$B$8*Parametres!$B$7,0,MIN(G2664,Parametres!$B$7))</f>
        <v>41.04</v>
      </c>
      <c r="I2664" s="20" t="n">
        <f aca="false">G2664-H2664</f>
        <v>0</v>
      </c>
      <c r="J2664" s="21" t="n">
        <f aca="false">H2664*1000/Parametres!$B$9</f>
        <v>695.947091741564</v>
      </c>
    </row>
    <row r="2665" customFormat="false" ht="15" hidden="false" customHeight="false" outlineLevel="0" collapsed="false">
      <c r="A2665" s="0" t="n">
        <v>2661</v>
      </c>
      <c r="B2665" s="0" t="n">
        <v>4</v>
      </c>
      <c r="C2665" s="19" t="n">
        <v>0</v>
      </c>
      <c r="D2665" s="19" t="n">
        <v>0.1722</v>
      </c>
      <c r="E2665" s="20" t="n">
        <f aca="false">Parametres!$B$5*C2665</f>
        <v>0</v>
      </c>
      <c r="F2665" s="20" t="n">
        <f aca="false">Parametres!$B$6*D2665</f>
        <v>34.44</v>
      </c>
      <c r="G2665" s="20" t="n">
        <f aca="false">E2665+F2665</f>
        <v>34.44</v>
      </c>
      <c r="H2665" s="20" t="n">
        <f aca="false">IF(G2665&lt;Parametres!$B$8*Parametres!$B$7,0,MIN(G2665,Parametres!$B$7))</f>
        <v>34.44</v>
      </c>
      <c r="I2665" s="20" t="n">
        <f aca="false">G2665-H2665</f>
        <v>0</v>
      </c>
      <c r="J2665" s="21" t="n">
        <f aca="false">H2665*1000/Parametres!$B$9</f>
        <v>584.025775818213</v>
      </c>
    </row>
    <row r="2666" customFormat="false" ht="15" hidden="false" customHeight="false" outlineLevel="0" collapsed="false">
      <c r="A2666" s="0" t="n">
        <v>2662</v>
      </c>
      <c r="B2666" s="0" t="n">
        <v>4</v>
      </c>
      <c r="C2666" s="19" t="n">
        <v>0</v>
      </c>
      <c r="D2666" s="19" t="n">
        <v>0.1319</v>
      </c>
      <c r="E2666" s="20" t="n">
        <f aca="false">Parametres!$B$5*C2666</f>
        <v>0</v>
      </c>
      <c r="F2666" s="20" t="n">
        <f aca="false">Parametres!$B$6*D2666</f>
        <v>26.38</v>
      </c>
      <c r="G2666" s="20" t="n">
        <f aca="false">E2666+F2666</f>
        <v>26.38</v>
      </c>
      <c r="H2666" s="20" t="n">
        <f aca="false">IF(G2666&lt;Parametres!$B$8*Parametres!$B$7,0,MIN(G2666,Parametres!$B$7))</f>
        <v>26.38</v>
      </c>
      <c r="I2666" s="20" t="n">
        <f aca="false">G2666-H2666</f>
        <v>0</v>
      </c>
      <c r="J2666" s="21" t="n">
        <f aca="false">H2666*1000/Parametres!$B$9</f>
        <v>447.346108190605</v>
      </c>
    </row>
    <row r="2667" customFormat="false" ht="15" hidden="false" customHeight="false" outlineLevel="0" collapsed="false">
      <c r="A2667" s="0" t="n">
        <v>2663</v>
      </c>
      <c r="B2667" s="0" t="n">
        <v>4</v>
      </c>
      <c r="C2667" s="19" t="n">
        <v>0</v>
      </c>
      <c r="D2667" s="19" t="n">
        <v>0.1212</v>
      </c>
      <c r="E2667" s="20" t="n">
        <f aca="false">Parametres!$B$5*C2667</f>
        <v>0</v>
      </c>
      <c r="F2667" s="20" t="n">
        <f aca="false">Parametres!$B$6*D2667</f>
        <v>24.24</v>
      </c>
      <c r="G2667" s="20" t="n">
        <f aca="false">E2667+F2667</f>
        <v>24.24</v>
      </c>
      <c r="H2667" s="20" t="n">
        <f aca="false">IF(G2667&lt;Parametres!$B$8*Parametres!$B$7,0,MIN(G2667,Parametres!$B$7))</f>
        <v>0</v>
      </c>
      <c r="I2667" s="20" t="n">
        <f aca="false">G2667-H2667</f>
        <v>24.24</v>
      </c>
      <c r="J2667" s="21" t="n">
        <f aca="false">H2667*1000/Parametres!$B$9</f>
        <v>0</v>
      </c>
    </row>
    <row r="2668" customFormat="false" ht="15" hidden="false" customHeight="false" outlineLevel="0" collapsed="false">
      <c r="A2668" s="0" t="n">
        <v>2664</v>
      </c>
      <c r="B2668" s="0" t="n">
        <v>4</v>
      </c>
      <c r="C2668" s="19" t="n">
        <v>0</v>
      </c>
      <c r="D2668" s="19" t="n">
        <v>0.0737</v>
      </c>
      <c r="E2668" s="20" t="n">
        <f aca="false">Parametres!$B$5*C2668</f>
        <v>0</v>
      </c>
      <c r="F2668" s="20" t="n">
        <f aca="false">Parametres!$B$6*D2668</f>
        <v>14.74</v>
      </c>
      <c r="G2668" s="20" t="n">
        <f aca="false">E2668+F2668</f>
        <v>14.74</v>
      </c>
      <c r="H2668" s="20" t="n">
        <f aca="false">IF(G2668&lt;Parametres!$B$8*Parametres!$B$7,0,MIN(G2668,Parametres!$B$7))</f>
        <v>0</v>
      </c>
      <c r="I2668" s="20" t="n">
        <f aca="false">G2668-H2668</f>
        <v>14.74</v>
      </c>
      <c r="J2668" s="21" t="n">
        <f aca="false">H2668*1000/Parametres!$B$9</f>
        <v>0</v>
      </c>
    </row>
    <row r="2669" customFormat="false" ht="15" hidden="false" customHeight="false" outlineLevel="0" collapsed="false">
      <c r="A2669" s="0" t="n">
        <v>2665</v>
      </c>
      <c r="B2669" s="0" t="n">
        <v>4</v>
      </c>
      <c r="C2669" s="19" t="n">
        <v>0</v>
      </c>
      <c r="D2669" s="19" t="n">
        <v>0.075</v>
      </c>
      <c r="E2669" s="20" t="n">
        <f aca="false">Parametres!$B$5*C2669</f>
        <v>0</v>
      </c>
      <c r="F2669" s="20" t="n">
        <f aca="false">Parametres!$B$6*D2669</f>
        <v>15</v>
      </c>
      <c r="G2669" s="20" t="n">
        <f aca="false">E2669+F2669</f>
        <v>15</v>
      </c>
      <c r="H2669" s="20" t="n">
        <f aca="false">IF(G2669&lt;Parametres!$B$8*Parametres!$B$7,0,MIN(G2669,Parametres!$B$7))</f>
        <v>0</v>
      </c>
      <c r="I2669" s="20" t="n">
        <f aca="false">G2669-H2669</f>
        <v>15</v>
      </c>
      <c r="J2669" s="21" t="n">
        <f aca="false">H2669*1000/Parametres!$B$9</f>
        <v>0</v>
      </c>
    </row>
    <row r="2670" customFormat="false" ht="15" hidden="false" customHeight="false" outlineLevel="0" collapsed="false">
      <c r="A2670" s="0" t="n">
        <v>2666</v>
      </c>
      <c r="B2670" s="0" t="n">
        <v>4</v>
      </c>
      <c r="C2670" s="19" t="n">
        <v>0</v>
      </c>
      <c r="D2670" s="19" t="n">
        <v>0.1148</v>
      </c>
      <c r="E2670" s="20" t="n">
        <f aca="false">Parametres!$B$5*C2670</f>
        <v>0</v>
      </c>
      <c r="F2670" s="20" t="n">
        <f aca="false">Parametres!$B$6*D2670</f>
        <v>22.96</v>
      </c>
      <c r="G2670" s="20" t="n">
        <f aca="false">E2670+F2670</f>
        <v>22.96</v>
      </c>
      <c r="H2670" s="20" t="n">
        <f aca="false">IF(G2670&lt;Parametres!$B$8*Parametres!$B$7,0,MIN(G2670,Parametres!$B$7))</f>
        <v>0</v>
      </c>
      <c r="I2670" s="20" t="n">
        <f aca="false">G2670-H2670</f>
        <v>22.96</v>
      </c>
      <c r="J2670" s="21" t="n">
        <f aca="false">H2670*1000/Parametres!$B$9</f>
        <v>0</v>
      </c>
    </row>
    <row r="2671" customFormat="false" ht="15" hidden="false" customHeight="false" outlineLevel="0" collapsed="false">
      <c r="A2671" s="0" t="n">
        <v>2667</v>
      </c>
      <c r="B2671" s="0" t="n">
        <v>4</v>
      </c>
      <c r="C2671" s="19" t="n">
        <v>0</v>
      </c>
      <c r="D2671" s="19" t="n">
        <v>0.1114</v>
      </c>
      <c r="E2671" s="20" t="n">
        <f aca="false">Parametres!$B$5*C2671</f>
        <v>0</v>
      </c>
      <c r="F2671" s="20" t="n">
        <f aca="false">Parametres!$B$6*D2671</f>
        <v>22.28</v>
      </c>
      <c r="G2671" s="20" t="n">
        <f aca="false">E2671+F2671</f>
        <v>22.28</v>
      </c>
      <c r="H2671" s="20" t="n">
        <f aca="false">IF(G2671&lt;Parametres!$B$8*Parametres!$B$7,0,MIN(G2671,Parametres!$B$7))</f>
        <v>0</v>
      </c>
      <c r="I2671" s="20" t="n">
        <f aca="false">G2671-H2671</f>
        <v>22.28</v>
      </c>
      <c r="J2671" s="21" t="n">
        <f aca="false">H2671*1000/Parametres!$B$9</f>
        <v>0</v>
      </c>
    </row>
    <row r="2672" customFormat="false" ht="15" hidden="false" customHeight="false" outlineLevel="0" collapsed="false">
      <c r="A2672" s="0" t="n">
        <v>2668</v>
      </c>
      <c r="B2672" s="0" t="n">
        <v>4</v>
      </c>
      <c r="C2672" s="19" t="n">
        <v>0</v>
      </c>
      <c r="D2672" s="19" t="n">
        <v>0.152</v>
      </c>
      <c r="E2672" s="20" t="n">
        <f aca="false">Parametres!$B$5*C2672</f>
        <v>0</v>
      </c>
      <c r="F2672" s="20" t="n">
        <f aca="false">Parametres!$B$6*D2672</f>
        <v>30.4</v>
      </c>
      <c r="G2672" s="20" t="n">
        <f aca="false">E2672+F2672</f>
        <v>30.4</v>
      </c>
      <c r="H2672" s="20" t="n">
        <f aca="false">IF(G2672&lt;Parametres!$B$8*Parametres!$B$7,0,MIN(G2672,Parametres!$B$7))</f>
        <v>30.4</v>
      </c>
      <c r="I2672" s="20" t="n">
        <f aca="false">G2672-H2672</f>
        <v>0</v>
      </c>
      <c r="J2672" s="21" t="n">
        <f aca="false">H2672*1000/Parametres!$B$9</f>
        <v>515.51636425301</v>
      </c>
    </row>
    <row r="2673" customFormat="false" ht="15" hidden="false" customHeight="false" outlineLevel="0" collapsed="false">
      <c r="A2673" s="0" t="n">
        <v>2669</v>
      </c>
      <c r="B2673" s="0" t="n">
        <v>4</v>
      </c>
      <c r="C2673" s="19" t="n">
        <v>0</v>
      </c>
      <c r="D2673" s="19" t="n">
        <v>0.1016</v>
      </c>
      <c r="E2673" s="20" t="n">
        <f aca="false">Parametres!$B$5*C2673</f>
        <v>0</v>
      </c>
      <c r="F2673" s="20" t="n">
        <f aca="false">Parametres!$B$6*D2673</f>
        <v>20.32</v>
      </c>
      <c r="G2673" s="20" t="n">
        <f aca="false">E2673+F2673</f>
        <v>20.32</v>
      </c>
      <c r="H2673" s="20" t="n">
        <f aca="false">IF(G2673&lt;Parametres!$B$8*Parametres!$B$7,0,MIN(G2673,Parametres!$B$7))</f>
        <v>0</v>
      </c>
      <c r="I2673" s="20" t="n">
        <f aca="false">G2673-H2673</f>
        <v>20.32</v>
      </c>
      <c r="J2673" s="21" t="n">
        <f aca="false">H2673*1000/Parametres!$B$9</f>
        <v>0</v>
      </c>
    </row>
    <row r="2674" customFormat="false" ht="15" hidden="false" customHeight="false" outlineLevel="0" collapsed="false">
      <c r="A2674" s="0" t="n">
        <v>2670</v>
      </c>
      <c r="B2674" s="0" t="n">
        <v>4</v>
      </c>
      <c r="C2674" s="19" t="n">
        <v>0</v>
      </c>
      <c r="D2674" s="19" t="n">
        <v>0.0802</v>
      </c>
      <c r="E2674" s="20" t="n">
        <f aca="false">Parametres!$B$5*C2674</f>
        <v>0</v>
      </c>
      <c r="F2674" s="20" t="n">
        <f aca="false">Parametres!$B$6*D2674</f>
        <v>16.04</v>
      </c>
      <c r="G2674" s="20" t="n">
        <f aca="false">E2674+F2674</f>
        <v>16.04</v>
      </c>
      <c r="H2674" s="20" t="n">
        <f aca="false">IF(G2674&lt;Parametres!$B$8*Parametres!$B$7,0,MIN(G2674,Parametres!$B$7))</f>
        <v>0</v>
      </c>
      <c r="I2674" s="20" t="n">
        <f aca="false">G2674-H2674</f>
        <v>16.04</v>
      </c>
      <c r="J2674" s="21" t="n">
        <f aca="false">H2674*1000/Parametres!$B$9</f>
        <v>0</v>
      </c>
    </row>
    <row r="2675" customFormat="false" ht="15" hidden="false" customHeight="false" outlineLevel="0" collapsed="false">
      <c r="A2675" s="0" t="n">
        <v>2671</v>
      </c>
      <c r="B2675" s="0" t="n">
        <v>4</v>
      </c>
      <c r="C2675" s="19" t="n">
        <v>0.2112</v>
      </c>
      <c r="D2675" s="19" t="n">
        <v>0.1009</v>
      </c>
      <c r="E2675" s="20" t="n">
        <f aca="false">Parametres!$B$5*C2675</f>
        <v>63.36</v>
      </c>
      <c r="F2675" s="20" t="n">
        <f aca="false">Parametres!$B$6*D2675</f>
        <v>20.18</v>
      </c>
      <c r="G2675" s="20" t="n">
        <f aca="false">E2675+F2675</f>
        <v>83.54</v>
      </c>
      <c r="H2675" s="20" t="n">
        <f aca="false">IF(G2675&lt;Parametres!$B$8*Parametres!$B$7,0,MIN(G2675,Parametres!$B$7))</f>
        <v>83.54</v>
      </c>
      <c r="I2675" s="20" t="n">
        <f aca="false">G2675-H2675</f>
        <v>0</v>
      </c>
      <c r="J2675" s="21" t="n">
        <f aca="false">H2675*1000/Parametres!$B$9</f>
        <v>1416.65253518738</v>
      </c>
    </row>
    <row r="2676" customFormat="false" ht="15" hidden="false" customHeight="false" outlineLevel="0" collapsed="false">
      <c r="A2676" s="0" t="n">
        <v>2672</v>
      </c>
      <c r="B2676" s="0" t="n">
        <v>4</v>
      </c>
      <c r="C2676" s="19" t="n">
        <v>0.4886</v>
      </c>
      <c r="D2676" s="19" t="n">
        <v>0.2659</v>
      </c>
      <c r="E2676" s="20" t="n">
        <f aca="false">Parametres!$B$5*C2676</f>
        <v>146.58</v>
      </c>
      <c r="F2676" s="20" t="n">
        <f aca="false">Parametres!$B$6*D2676</f>
        <v>53.18</v>
      </c>
      <c r="G2676" s="20" t="n">
        <f aca="false">E2676+F2676</f>
        <v>199.76</v>
      </c>
      <c r="H2676" s="20" t="n">
        <f aca="false">IF(G2676&lt;Parametres!$B$8*Parametres!$B$7,0,MIN(G2676,Parametres!$B$7))</f>
        <v>199.76</v>
      </c>
      <c r="I2676" s="20" t="n">
        <f aca="false">G2676-H2676</f>
        <v>0</v>
      </c>
      <c r="J2676" s="21" t="n">
        <f aca="false">H2676*1000/Parametres!$B$9</f>
        <v>3387.48516194675</v>
      </c>
    </row>
    <row r="2677" customFormat="false" ht="15" hidden="false" customHeight="false" outlineLevel="0" collapsed="false">
      <c r="A2677" s="0" t="n">
        <v>2673</v>
      </c>
      <c r="B2677" s="0" t="n">
        <v>4</v>
      </c>
      <c r="C2677" s="19" t="n">
        <v>0.7446</v>
      </c>
      <c r="D2677" s="19" t="n">
        <v>0.425</v>
      </c>
      <c r="E2677" s="20" t="n">
        <f aca="false">Parametres!$B$5*C2677</f>
        <v>223.38</v>
      </c>
      <c r="F2677" s="20" t="n">
        <f aca="false">Parametres!$B$6*D2677</f>
        <v>85</v>
      </c>
      <c r="G2677" s="20" t="n">
        <f aca="false">E2677+F2677</f>
        <v>308.38</v>
      </c>
      <c r="H2677" s="20" t="n">
        <f aca="false">IF(G2677&lt;Parametres!$B$8*Parametres!$B$7,0,MIN(G2677,Parametres!$B$7))</f>
        <v>250</v>
      </c>
      <c r="I2677" s="20" t="n">
        <f aca="false">G2677-H2677</f>
        <v>58.38</v>
      </c>
      <c r="J2677" s="21" t="n">
        <f aca="false">H2677*1000/Parametres!$B$9</f>
        <v>4239.44378497541</v>
      </c>
    </row>
    <row r="2678" customFormat="false" ht="15" hidden="false" customHeight="false" outlineLevel="0" collapsed="false">
      <c r="A2678" s="0" t="n">
        <v>2674</v>
      </c>
      <c r="B2678" s="0" t="n">
        <v>4</v>
      </c>
      <c r="C2678" s="19" t="n">
        <v>0.998</v>
      </c>
      <c r="D2678" s="19" t="n">
        <v>0.8159</v>
      </c>
      <c r="E2678" s="20" t="n">
        <f aca="false">Parametres!$B$5*C2678</f>
        <v>299.4</v>
      </c>
      <c r="F2678" s="20" t="n">
        <f aca="false">Parametres!$B$6*D2678</f>
        <v>163.18</v>
      </c>
      <c r="G2678" s="20" t="n">
        <f aca="false">E2678+F2678</f>
        <v>462.58</v>
      </c>
      <c r="H2678" s="20" t="n">
        <f aca="false">IF(G2678&lt;Parametres!$B$8*Parametres!$B$7,0,MIN(G2678,Parametres!$B$7))</f>
        <v>250</v>
      </c>
      <c r="I2678" s="20" t="n">
        <f aca="false">G2678-H2678</f>
        <v>212.58</v>
      </c>
      <c r="J2678" s="21" t="n">
        <f aca="false">H2678*1000/Parametres!$B$9</f>
        <v>4239.44378497541</v>
      </c>
    </row>
    <row r="2679" customFormat="false" ht="15" hidden="false" customHeight="false" outlineLevel="0" collapsed="false">
      <c r="A2679" s="0" t="n">
        <v>2675</v>
      </c>
      <c r="B2679" s="0" t="n">
        <v>4</v>
      </c>
      <c r="C2679" s="19" t="n">
        <v>1</v>
      </c>
      <c r="D2679" s="19" t="n">
        <v>0.9176</v>
      </c>
      <c r="E2679" s="20" t="n">
        <f aca="false">Parametres!$B$5*C2679</f>
        <v>300</v>
      </c>
      <c r="F2679" s="20" t="n">
        <f aca="false">Parametres!$B$6*D2679</f>
        <v>183.52</v>
      </c>
      <c r="G2679" s="20" t="n">
        <f aca="false">E2679+F2679</f>
        <v>483.52</v>
      </c>
      <c r="H2679" s="20" t="n">
        <f aca="false">IF(G2679&lt;Parametres!$B$8*Parametres!$B$7,0,MIN(G2679,Parametres!$B$7))</f>
        <v>250</v>
      </c>
      <c r="I2679" s="20" t="n">
        <f aca="false">G2679-H2679</f>
        <v>233.52</v>
      </c>
      <c r="J2679" s="21" t="n">
        <f aca="false">H2679*1000/Parametres!$B$9</f>
        <v>4239.44378497541</v>
      </c>
    </row>
    <row r="2680" customFormat="false" ht="15" hidden="false" customHeight="false" outlineLevel="0" collapsed="false">
      <c r="A2680" s="0" t="n">
        <v>2676</v>
      </c>
      <c r="B2680" s="0" t="n">
        <v>4</v>
      </c>
      <c r="C2680" s="19" t="n">
        <v>1</v>
      </c>
      <c r="D2680" s="19" t="n">
        <v>1</v>
      </c>
      <c r="E2680" s="20" t="n">
        <f aca="false">Parametres!$B$5*C2680</f>
        <v>300</v>
      </c>
      <c r="F2680" s="20" t="n">
        <f aca="false">Parametres!$B$6*D2680</f>
        <v>200</v>
      </c>
      <c r="G2680" s="20" t="n">
        <f aca="false">E2680+F2680</f>
        <v>500</v>
      </c>
      <c r="H2680" s="20" t="n">
        <f aca="false">IF(G2680&lt;Parametres!$B$8*Parametres!$B$7,0,MIN(G2680,Parametres!$B$7))</f>
        <v>250</v>
      </c>
      <c r="I2680" s="20" t="n">
        <f aca="false">G2680-H2680</f>
        <v>250</v>
      </c>
      <c r="J2680" s="21" t="n">
        <f aca="false">H2680*1000/Parametres!$B$9</f>
        <v>4239.44378497541</v>
      </c>
    </row>
    <row r="2681" customFormat="false" ht="15" hidden="false" customHeight="false" outlineLevel="0" collapsed="false">
      <c r="A2681" s="0" t="n">
        <v>2677</v>
      </c>
      <c r="B2681" s="0" t="n">
        <v>4</v>
      </c>
      <c r="C2681" s="19" t="n">
        <v>1</v>
      </c>
      <c r="D2681" s="19" t="n">
        <v>0.9639</v>
      </c>
      <c r="E2681" s="20" t="n">
        <f aca="false">Parametres!$B$5*C2681</f>
        <v>300</v>
      </c>
      <c r="F2681" s="20" t="n">
        <f aca="false">Parametres!$B$6*D2681</f>
        <v>192.78</v>
      </c>
      <c r="G2681" s="20" t="n">
        <f aca="false">E2681+F2681</f>
        <v>492.78</v>
      </c>
      <c r="H2681" s="20" t="n">
        <f aca="false">IF(G2681&lt;Parametres!$B$8*Parametres!$B$7,0,MIN(G2681,Parametres!$B$7))</f>
        <v>250</v>
      </c>
      <c r="I2681" s="20" t="n">
        <f aca="false">G2681-H2681</f>
        <v>242.78</v>
      </c>
      <c r="J2681" s="21" t="n">
        <f aca="false">H2681*1000/Parametres!$B$9</f>
        <v>4239.44378497541</v>
      </c>
    </row>
    <row r="2682" customFormat="false" ht="15" hidden="false" customHeight="false" outlineLevel="0" collapsed="false">
      <c r="A2682" s="0" t="n">
        <v>2678</v>
      </c>
      <c r="B2682" s="0" t="n">
        <v>4</v>
      </c>
      <c r="C2682" s="19" t="n">
        <v>1</v>
      </c>
      <c r="D2682" s="19" t="n">
        <v>1</v>
      </c>
      <c r="E2682" s="20" t="n">
        <f aca="false">Parametres!$B$5*C2682</f>
        <v>300</v>
      </c>
      <c r="F2682" s="20" t="n">
        <f aca="false">Parametres!$B$6*D2682</f>
        <v>200</v>
      </c>
      <c r="G2682" s="20" t="n">
        <f aca="false">E2682+F2682</f>
        <v>500</v>
      </c>
      <c r="H2682" s="20" t="n">
        <f aca="false">IF(G2682&lt;Parametres!$B$8*Parametres!$B$7,0,MIN(G2682,Parametres!$B$7))</f>
        <v>250</v>
      </c>
      <c r="I2682" s="20" t="n">
        <f aca="false">G2682-H2682</f>
        <v>250</v>
      </c>
      <c r="J2682" s="21" t="n">
        <f aca="false">H2682*1000/Parametres!$B$9</f>
        <v>4239.44378497541</v>
      </c>
    </row>
    <row r="2683" customFormat="false" ht="15" hidden="false" customHeight="false" outlineLevel="0" collapsed="false">
      <c r="A2683" s="0" t="n">
        <v>2679</v>
      </c>
      <c r="B2683" s="0" t="n">
        <v>4</v>
      </c>
      <c r="C2683" s="19" t="n">
        <v>0.9517</v>
      </c>
      <c r="D2683" s="19" t="n">
        <v>0.6556</v>
      </c>
      <c r="E2683" s="20" t="n">
        <f aca="false">Parametres!$B$5*C2683</f>
        <v>285.51</v>
      </c>
      <c r="F2683" s="20" t="n">
        <f aca="false">Parametres!$B$6*D2683</f>
        <v>131.12</v>
      </c>
      <c r="G2683" s="20" t="n">
        <f aca="false">E2683+F2683</f>
        <v>416.63</v>
      </c>
      <c r="H2683" s="20" t="n">
        <f aca="false">IF(G2683&lt;Parametres!$B$8*Parametres!$B$7,0,MIN(G2683,Parametres!$B$7))</f>
        <v>250</v>
      </c>
      <c r="I2683" s="20" t="n">
        <f aca="false">G2683-H2683</f>
        <v>166.63</v>
      </c>
      <c r="J2683" s="21" t="n">
        <f aca="false">H2683*1000/Parametres!$B$9</f>
        <v>4239.44378497541</v>
      </c>
    </row>
    <row r="2684" customFormat="false" ht="15" hidden="false" customHeight="false" outlineLevel="0" collapsed="false">
      <c r="A2684" s="0" t="n">
        <v>2680</v>
      </c>
      <c r="B2684" s="0" t="n">
        <v>4</v>
      </c>
      <c r="C2684" s="19" t="n">
        <v>0.7204</v>
      </c>
      <c r="D2684" s="19" t="n">
        <v>1</v>
      </c>
      <c r="E2684" s="20" t="n">
        <f aca="false">Parametres!$B$5*C2684</f>
        <v>216.12</v>
      </c>
      <c r="F2684" s="20" t="n">
        <f aca="false">Parametres!$B$6*D2684</f>
        <v>200</v>
      </c>
      <c r="G2684" s="20" t="n">
        <f aca="false">E2684+F2684</f>
        <v>416.12</v>
      </c>
      <c r="H2684" s="20" t="n">
        <f aca="false">IF(G2684&lt;Parametres!$B$8*Parametres!$B$7,0,MIN(G2684,Parametres!$B$7))</f>
        <v>250</v>
      </c>
      <c r="I2684" s="20" t="n">
        <f aca="false">G2684-H2684</f>
        <v>166.12</v>
      </c>
      <c r="J2684" s="21" t="n">
        <f aca="false">H2684*1000/Parametres!$B$9</f>
        <v>4239.44378497541</v>
      </c>
    </row>
    <row r="2685" customFormat="false" ht="15" hidden="false" customHeight="false" outlineLevel="0" collapsed="false">
      <c r="A2685" s="0" t="n">
        <v>2681</v>
      </c>
      <c r="B2685" s="0" t="n">
        <v>4</v>
      </c>
      <c r="C2685" s="19" t="n">
        <v>0.4657</v>
      </c>
      <c r="D2685" s="19" t="n">
        <v>1</v>
      </c>
      <c r="E2685" s="20" t="n">
        <f aca="false">Parametres!$B$5*C2685</f>
        <v>139.71</v>
      </c>
      <c r="F2685" s="20" t="n">
        <f aca="false">Parametres!$B$6*D2685</f>
        <v>200</v>
      </c>
      <c r="G2685" s="20" t="n">
        <f aca="false">E2685+F2685</f>
        <v>339.71</v>
      </c>
      <c r="H2685" s="20" t="n">
        <f aca="false">IF(G2685&lt;Parametres!$B$8*Parametres!$B$7,0,MIN(G2685,Parametres!$B$7))</f>
        <v>250</v>
      </c>
      <c r="I2685" s="20" t="n">
        <f aca="false">G2685-H2685</f>
        <v>89.71</v>
      </c>
      <c r="J2685" s="21" t="n">
        <f aca="false">H2685*1000/Parametres!$B$9</f>
        <v>4239.44378497541</v>
      </c>
    </row>
    <row r="2686" customFormat="false" ht="15" hidden="false" customHeight="false" outlineLevel="0" collapsed="false">
      <c r="A2686" s="0" t="n">
        <v>2682</v>
      </c>
      <c r="B2686" s="0" t="n">
        <v>4</v>
      </c>
      <c r="C2686" s="19" t="n">
        <v>0.2216</v>
      </c>
      <c r="D2686" s="19" t="n">
        <v>1</v>
      </c>
      <c r="E2686" s="20" t="n">
        <f aca="false">Parametres!$B$5*C2686</f>
        <v>66.48</v>
      </c>
      <c r="F2686" s="20" t="n">
        <f aca="false">Parametres!$B$6*D2686</f>
        <v>200</v>
      </c>
      <c r="G2686" s="20" t="n">
        <f aca="false">E2686+F2686</f>
        <v>266.48</v>
      </c>
      <c r="H2686" s="20" t="n">
        <f aca="false">IF(G2686&lt;Parametres!$B$8*Parametres!$B$7,0,MIN(G2686,Parametres!$B$7))</f>
        <v>250</v>
      </c>
      <c r="I2686" s="20" t="n">
        <f aca="false">G2686-H2686</f>
        <v>16.48</v>
      </c>
      <c r="J2686" s="21" t="n">
        <f aca="false">H2686*1000/Parametres!$B$9</f>
        <v>4239.44378497541</v>
      </c>
    </row>
    <row r="2687" customFormat="false" ht="15" hidden="false" customHeight="false" outlineLevel="0" collapsed="false">
      <c r="A2687" s="0" t="n">
        <v>2683</v>
      </c>
      <c r="B2687" s="0" t="n">
        <v>4</v>
      </c>
      <c r="C2687" s="19" t="n">
        <v>0</v>
      </c>
      <c r="D2687" s="19" t="n">
        <v>1</v>
      </c>
      <c r="E2687" s="20" t="n">
        <f aca="false">Parametres!$B$5*C2687</f>
        <v>0</v>
      </c>
      <c r="F2687" s="20" t="n">
        <f aca="false">Parametres!$B$6*D2687</f>
        <v>200</v>
      </c>
      <c r="G2687" s="20" t="n">
        <f aca="false">E2687+F2687</f>
        <v>200</v>
      </c>
      <c r="H2687" s="20" t="n">
        <f aca="false">IF(G2687&lt;Parametres!$B$8*Parametres!$B$7,0,MIN(G2687,Parametres!$B$7))</f>
        <v>200</v>
      </c>
      <c r="I2687" s="20" t="n">
        <f aca="false">G2687-H2687</f>
        <v>0</v>
      </c>
      <c r="J2687" s="21" t="n">
        <f aca="false">H2687*1000/Parametres!$B$9</f>
        <v>3391.55502798033</v>
      </c>
    </row>
    <row r="2688" customFormat="false" ht="15" hidden="false" customHeight="false" outlineLevel="0" collapsed="false">
      <c r="A2688" s="0" t="n">
        <v>2684</v>
      </c>
      <c r="B2688" s="0" t="n">
        <v>4</v>
      </c>
      <c r="C2688" s="19" t="n">
        <v>0</v>
      </c>
      <c r="D2688" s="19" t="n">
        <v>1</v>
      </c>
      <c r="E2688" s="20" t="n">
        <f aca="false">Parametres!$B$5*C2688</f>
        <v>0</v>
      </c>
      <c r="F2688" s="20" t="n">
        <f aca="false">Parametres!$B$6*D2688</f>
        <v>200</v>
      </c>
      <c r="G2688" s="20" t="n">
        <f aca="false">E2688+F2688</f>
        <v>200</v>
      </c>
      <c r="H2688" s="20" t="n">
        <f aca="false">IF(G2688&lt;Parametres!$B$8*Parametres!$B$7,0,MIN(G2688,Parametres!$B$7))</f>
        <v>200</v>
      </c>
      <c r="I2688" s="20" t="n">
        <f aca="false">G2688-H2688</f>
        <v>0</v>
      </c>
      <c r="J2688" s="21" t="n">
        <f aca="false">H2688*1000/Parametres!$B$9</f>
        <v>3391.55502798033</v>
      </c>
    </row>
    <row r="2689" customFormat="false" ht="15" hidden="false" customHeight="false" outlineLevel="0" collapsed="false">
      <c r="A2689" s="0" t="n">
        <v>2685</v>
      </c>
      <c r="B2689" s="0" t="n">
        <v>4</v>
      </c>
      <c r="C2689" s="19" t="n">
        <v>0</v>
      </c>
      <c r="D2689" s="19" t="n">
        <v>0.954</v>
      </c>
      <c r="E2689" s="20" t="n">
        <f aca="false">Parametres!$B$5*C2689</f>
        <v>0</v>
      </c>
      <c r="F2689" s="20" t="n">
        <f aca="false">Parametres!$B$6*D2689</f>
        <v>190.8</v>
      </c>
      <c r="G2689" s="20" t="n">
        <f aca="false">E2689+F2689</f>
        <v>190.8</v>
      </c>
      <c r="H2689" s="20" t="n">
        <f aca="false">IF(G2689&lt;Parametres!$B$8*Parametres!$B$7,0,MIN(G2689,Parametres!$B$7))</f>
        <v>190.8</v>
      </c>
      <c r="I2689" s="20" t="n">
        <f aca="false">G2689-H2689</f>
        <v>0</v>
      </c>
      <c r="J2689" s="21" t="n">
        <f aca="false">H2689*1000/Parametres!$B$9</f>
        <v>3235.54349669323</v>
      </c>
    </row>
    <row r="2690" customFormat="false" ht="15" hidden="false" customHeight="false" outlineLevel="0" collapsed="false">
      <c r="A2690" s="0" t="n">
        <v>2686</v>
      </c>
      <c r="B2690" s="0" t="n">
        <v>4</v>
      </c>
      <c r="C2690" s="19" t="n">
        <v>0</v>
      </c>
      <c r="D2690" s="19" t="n">
        <v>0.8898</v>
      </c>
      <c r="E2690" s="20" t="n">
        <f aca="false">Parametres!$B$5*C2690</f>
        <v>0</v>
      </c>
      <c r="F2690" s="20" t="n">
        <f aca="false">Parametres!$B$6*D2690</f>
        <v>177.96</v>
      </c>
      <c r="G2690" s="20" t="n">
        <f aca="false">E2690+F2690</f>
        <v>177.96</v>
      </c>
      <c r="H2690" s="20" t="n">
        <f aca="false">IF(G2690&lt;Parametres!$B$8*Parametres!$B$7,0,MIN(G2690,Parametres!$B$7))</f>
        <v>177.96</v>
      </c>
      <c r="I2690" s="20" t="n">
        <f aca="false">G2690-H2690</f>
        <v>0</v>
      </c>
      <c r="J2690" s="21" t="n">
        <f aca="false">H2690*1000/Parametres!$B$9</f>
        <v>3017.8056638969</v>
      </c>
    </row>
    <row r="2691" customFormat="false" ht="15" hidden="false" customHeight="false" outlineLevel="0" collapsed="false">
      <c r="A2691" s="0" t="n">
        <v>2687</v>
      </c>
      <c r="B2691" s="0" t="n">
        <v>4</v>
      </c>
      <c r="C2691" s="19" t="n">
        <v>0</v>
      </c>
      <c r="D2691" s="19" t="n">
        <v>1</v>
      </c>
      <c r="E2691" s="20" t="n">
        <f aca="false">Parametres!$B$5*C2691</f>
        <v>0</v>
      </c>
      <c r="F2691" s="20" t="n">
        <f aca="false">Parametres!$B$6*D2691</f>
        <v>200</v>
      </c>
      <c r="G2691" s="20" t="n">
        <f aca="false">E2691+F2691</f>
        <v>200</v>
      </c>
      <c r="H2691" s="20" t="n">
        <f aca="false">IF(G2691&lt;Parametres!$B$8*Parametres!$B$7,0,MIN(G2691,Parametres!$B$7))</f>
        <v>200</v>
      </c>
      <c r="I2691" s="20" t="n">
        <f aca="false">G2691-H2691</f>
        <v>0</v>
      </c>
      <c r="J2691" s="21" t="n">
        <f aca="false">H2691*1000/Parametres!$B$9</f>
        <v>3391.55502798033</v>
      </c>
    </row>
    <row r="2692" customFormat="false" ht="15" hidden="false" customHeight="false" outlineLevel="0" collapsed="false">
      <c r="A2692" s="0" t="n">
        <v>2688</v>
      </c>
      <c r="B2692" s="0" t="n">
        <v>4</v>
      </c>
      <c r="C2692" s="19" t="n">
        <v>0</v>
      </c>
      <c r="D2692" s="19" t="n">
        <v>1</v>
      </c>
      <c r="E2692" s="20" t="n">
        <f aca="false">Parametres!$B$5*C2692</f>
        <v>0</v>
      </c>
      <c r="F2692" s="20" t="n">
        <f aca="false">Parametres!$B$6*D2692</f>
        <v>200</v>
      </c>
      <c r="G2692" s="20" t="n">
        <f aca="false">E2692+F2692</f>
        <v>200</v>
      </c>
      <c r="H2692" s="20" t="n">
        <f aca="false">IF(G2692&lt;Parametres!$B$8*Parametres!$B$7,0,MIN(G2692,Parametres!$B$7))</f>
        <v>200</v>
      </c>
      <c r="I2692" s="20" t="n">
        <f aca="false">G2692-H2692</f>
        <v>0</v>
      </c>
      <c r="J2692" s="21" t="n">
        <f aca="false">H2692*1000/Parametres!$B$9</f>
        <v>3391.55502798033</v>
      </c>
    </row>
    <row r="2693" customFormat="false" ht="15" hidden="false" customHeight="false" outlineLevel="0" collapsed="false">
      <c r="A2693" s="0" t="n">
        <v>2689</v>
      </c>
      <c r="B2693" s="0" t="n">
        <v>4</v>
      </c>
      <c r="C2693" s="19" t="n">
        <v>0</v>
      </c>
      <c r="D2693" s="19" t="n">
        <v>0.9203</v>
      </c>
      <c r="E2693" s="20" t="n">
        <f aca="false">Parametres!$B$5*C2693</f>
        <v>0</v>
      </c>
      <c r="F2693" s="20" t="n">
        <f aca="false">Parametres!$B$6*D2693</f>
        <v>184.06</v>
      </c>
      <c r="G2693" s="20" t="n">
        <f aca="false">E2693+F2693</f>
        <v>184.06</v>
      </c>
      <c r="H2693" s="20" t="n">
        <f aca="false">IF(G2693&lt;Parametres!$B$8*Parametres!$B$7,0,MIN(G2693,Parametres!$B$7))</f>
        <v>184.06</v>
      </c>
      <c r="I2693" s="20" t="n">
        <f aca="false">G2693-H2693</f>
        <v>0</v>
      </c>
      <c r="J2693" s="21" t="n">
        <f aca="false">H2693*1000/Parametres!$B$9</f>
        <v>3121.2480922503</v>
      </c>
    </row>
    <row r="2694" customFormat="false" ht="15" hidden="false" customHeight="false" outlineLevel="0" collapsed="false">
      <c r="A2694" s="0" t="n">
        <v>2690</v>
      </c>
      <c r="B2694" s="0" t="n">
        <v>4</v>
      </c>
      <c r="C2694" s="19" t="n">
        <v>0</v>
      </c>
      <c r="D2694" s="19" t="n">
        <v>0.6868</v>
      </c>
      <c r="E2694" s="20" t="n">
        <f aca="false">Parametres!$B$5*C2694</f>
        <v>0</v>
      </c>
      <c r="F2694" s="20" t="n">
        <f aca="false">Parametres!$B$6*D2694</f>
        <v>137.36</v>
      </c>
      <c r="G2694" s="20" t="n">
        <f aca="false">E2694+F2694</f>
        <v>137.36</v>
      </c>
      <c r="H2694" s="20" t="n">
        <f aca="false">IF(G2694&lt;Parametres!$B$8*Parametres!$B$7,0,MIN(G2694,Parametres!$B$7))</f>
        <v>137.36</v>
      </c>
      <c r="I2694" s="20" t="n">
        <f aca="false">G2694-H2694</f>
        <v>0</v>
      </c>
      <c r="J2694" s="21" t="n">
        <f aca="false">H2694*1000/Parametres!$B$9</f>
        <v>2329.31999321689</v>
      </c>
    </row>
    <row r="2695" customFormat="false" ht="15" hidden="false" customHeight="false" outlineLevel="0" collapsed="false">
      <c r="A2695" s="0" t="n">
        <v>2691</v>
      </c>
      <c r="B2695" s="0" t="n">
        <v>4</v>
      </c>
      <c r="C2695" s="19" t="n">
        <v>0</v>
      </c>
      <c r="D2695" s="19" t="n">
        <v>0.4967</v>
      </c>
      <c r="E2695" s="20" t="n">
        <f aca="false">Parametres!$B$5*C2695</f>
        <v>0</v>
      </c>
      <c r="F2695" s="20" t="n">
        <f aca="false">Parametres!$B$6*D2695</f>
        <v>99.34</v>
      </c>
      <c r="G2695" s="20" t="n">
        <f aca="false">E2695+F2695</f>
        <v>99.34</v>
      </c>
      <c r="H2695" s="20" t="n">
        <f aca="false">IF(G2695&lt;Parametres!$B$8*Parametres!$B$7,0,MIN(G2695,Parametres!$B$7))</f>
        <v>99.34</v>
      </c>
      <c r="I2695" s="20" t="n">
        <f aca="false">G2695-H2695</f>
        <v>0</v>
      </c>
      <c r="J2695" s="21" t="n">
        <f aca="false">H2695*1000/Parametres!$B$9</f>
        <v>1684.58538239783</v>
      </c>
    </row>
    <row r="2696" customFormat="false" ht="15" hidden="false" customHeight="false" outlineLevel="0" collapsed="false">
      <c r="A2696" s="0" t="n">
        <v>2692</v>
      </c>
      <c r="B2696" s="0" t="n">
        <v>4</v>
      </c>
      <c r="C2696" s="19" t="n">
        <v>0</v>
      </c>
      <c r="D2696" s="19" t="n">
        <v>0.4308</v>
      </c>
      <c r="E2696" s="20" t="n">
        <f aca="false">Parametres!$B$5*C2696</f>
        <v>0</v>
      </c>
      <c r="F2696" s="20" t="n">
        <f aca="false">Parametres!$B$6*D2696</f>
        <v>86.16</v>
      </c>
      <c r="G2696" s="20" t="n">
        <f aca="false">E2696+F2696</f>
        <v>86.16</v>
      </c>
      <c r="H2696" s="20" t="n">
        <f aca="false">IF(G2696&lt;Parametres!$B$8*Parametres!$B$7,0,MIN(G2696,Parametres!$B$7))</f>
        <v>86.16</v>
      </c>
      <c r="I2696" s="20" t="n">
        <f aca="false">G2696-H2696</f>
        <v>0</v>
      </c>
      <c r="J2696" s="21" t="n">
        <f aca="false">H2696*1000/Parametres!$B$9</f>
        <v>1461.08190605393</v>
      </c>
    </row>
    <row r="2697" customFormat="false" ht="15" hidden="false" customHeight="false" outlineLevel="0" collapsed="false">
      <c r="A2697" s="0" t="n">
        <v>2693</v>
      </c>
      <c r="B2697" s="0" t="n">
        <v>4</v>
      </c>
      <c r="C2697" s="19" t="n">
        <v>0</v>
      </c>
      <c r="D2697" s="19" t="n">
        <v>0.4038</v>
      </c>
      <c r="E2697" s="20" t="n">
        <f aca="false">Parametres!$B$5*C2697</f>
        <v>0</v>
      </c>
      <c r="F2697" s="20" t="n">
        <f aca="false">Parametres!$B$6*D2697</f>
        <v>80.76</v>
      </c>
      <c r="G2697" s="20" t="n">
        <f aca="false">E2697+F2697</f>
        <v>80.76</v>
      </c>
      <c r="H2697" s="20" t="n">
        <f aca="false">IF(G2697&lt;Parametres!$B$8*Parametres!$B$7,0,MIN(G2697,Parametres!$B$7))</f>
        <v>80.76</v>
      </c>
      <c r="I2697" s="20" t="n">
        <f aca="false">G2697-H2697</f>
        <v>0</v>
      </c>
      <c r="J2697" s="21" t="n">
        <f aca="false">H2697*1000/Parametres!$B$9</f>
        <v>1369.50992029846</v>
      </c>
    </row>
    <row r="2698" customFormat="false" ht="15" hidden="false" customHeight="false" outlineLevel="0" collapsed="false">
      <c r="A2698" s="0" t="n">
        <v>2694</v>
      </c>
      <c r="B2698" s="0" t="n">
        <v>4</v>
      </c>
      <c r="C2698" s="19" t="n">
        <v>0</v>
      </c>
      <c r="D2698" s="19" t="n">
        <v>0.3446</v>
      </c>
      <c r="E2698" s="20" t="n">
        <f aca="false">Parametres!$B$5*C2698</f>
        <v>0</v>
      </c>
      <c r="F2698" s="20" t="n">
        <f aca="false">Parametres!$B$6*D2698</f>
        <v>68.92</v>
      </c>
      <c r="G2698" s="20" t="n">
        <f aca="false">E2698+F2698</f>
        <v>68.92</v>
      </c>
      <c r="H2698" s="20" t="n">
        <f aca="false">IF(G2698&lt;Parametres!$B$8*Parametres!$B$7,0,MIN(G2698,Parametres!$B$7))</f>
        <v>68.92</v>
      </c>
      <c r="I2698" s="20" t="n">
        <f aca="false">G2698-H2698</f>
        <v>0</v>
      </c>
      <c r="J2698" s="21" t="n">
        <f aca="false">H2698*1000/Parametres!$B$9</f>
        <v>1168.72986264202</v>
      </c>
    </row>
    <row r="2699" customFormat="false" ht="15" hidden="false" customHeight="false" outlineLevel="0" collapsed="false">
      <c r="A2699" s="0" t="n">
        <v>2695</v>
      </c>
      <c r="B2699" s="0" t="n">
        <v>4</v>
      </c>
      <c r="C2699" s="19" t="n">
        <v>0.1909</v>
      </c>
      <c r="D2699" s="19" t="n">
        <v>0.3624</v>
      </c>
      <c r="E2699" s="20" t="n">
        <f aca="false">Parametres!$B$5*C2699</f>
        <v>57.27</v>
      </c>
      <c r="F2699" s="20" t="n">
        <f aca="false">Parametres!$B$6*D2699</f>
        <v>72.48</v>
      </c>
      <c r="G2699" s="20" t="n">
        <f aca="false">E2699+F2699</f>
        <v>129.75</v>
      </c>
      <c r="H2699" s="20" t="n">
        <f aca="false">IF(G2699&lt;Parametres!$B$8*Parametres!$B$7,0,MIN(G2699,Parametres!$B$7))</f>
        <v>129.75</v>
      </c>
      <c r="I2699" s="20" t="n">
        <f aca="false">G2699-H2699</f>
        <v>0</v>
      </c>
      <c r="J2699" s="21" t="n">
        <f aca="false">H2699*1000/Parametres!$B$9</f>
        <v>2200.27132440224</v>
      </c>
    </row>
    <row r="2700" customFormat="false" ht="15" hidden="false" customHeight="false" outlineLevel="0" collapsed="false">
      <c r="A2700" s="0" t="n">
        <v>2696</v>
      </c>
      <c r="B2700" s="0" t="n">
        <v>4</v>
      </c>
      <c r="C2700" s="19" t="n">
        <v>0.4684</v>
      </c>
      <c r="D2700" s="19" t="n">
        <v>0.218</v>
      </c>
      <c r="E2700" s="20" t="n">
        <f aca="false">Parametres!$B$5*C2700</f>
        <v>140.52</v>
      </c>
      <c r="F2700" s="20" t="n">
        <f aca="false">Parametres!$B$6*D2700</f>
        <v>43.6</v>
      </c>
      <c r="G2700" s="20" t="n">
        <f aca="false">E2700+F2700</f>
        <v>184.12</v>
      </c>
      <c r="H2700" s="20" t="n">
        <f aca="false">IF(G2700&lt;Parametres!$B$8*Parametres!$B$7,0,MIN(G2700,Parametres!$B$7))</f>
        <v>184.12</v>
      </c>
      <c r="I2700" s="20" t="n">
        <f aca="false">G2700-H2700</f>
        <v>0</v>
      </c>
      <c r="J2700" s="21" t="n">
        <f aca="false">H2700*1000/Parametres!$B$9</f>
        <v>3122.26555875869</v>
      </c>
    </row>
    <row r="2701" customFormat="false" ht="15" hidden="false" customHeight="false" outlineLevel="0" collapsed="false">
      <c r="A2701" s="0" t="n">
        <v>2697</v>
      </c>
      <c r="B2701" s="0" t="n">
        <v>4</v>
      </c>
      <c r="C2701" s="19" t="n">
        <v>0.7647</v>
      </c>
      <c r="D2701" s="19" t="n">
        <v>0.438</v>
      </c>
      <c r="E2701" s="20" t="n">
        <f aca="false">Parametres!$B$5*C2701</f>
        <v>229.41</v>
      </c>
      <c r="F2701" s="20" t="n">
        <f aca="false">Parametres!$B$6*D2701</f>
        <v>87.6</v>
      </c>
      <c r="G2701" s="20" t="n">
        <f aca="false">E2701+F2701</f>
        <v>317.01</v>
      </c>
      <c r="H2701" s="20" t="n">
        <f aca="false">IF(G2701&lt;Parametres!$B$8*Parametres!$B$7,0,MIN(G2701,Parametres!$B$7))</f>
        <v>250</v>
      </c>
      <c r="I2701" s="20" t="n">
        <f aca="false">G2701-H2701</f>
        <v>67.01</v>
      </c>
      <c r="J2701" s="21" t="n">
        <f aca="false">H2701*1000/Parametres!$B$9</f>
        <v>4239.44378497541</v>
      </c>
    </row>
    <row r="2702" customFormat="false" ht="15" hidden="false" customHeight="false" outlineLevel="0" collapsed="false">
      <c r="A2702" s="0" t="n">
        <v>2698</v>
      </c>
      <c r="B2702" s="0" t="n">
        <v>4</v>
      </c>
      <c r="C2702" s="19" t="n">
        <v>0.8559</v>
      </c>
      <c r="D2702" s="19" t="n">
        <v>0.5361</v>
      </c>
      <c r="E2702" s="20" t="n">
        <f aca="false">Parametres!$B$5*C2702</f>
        <v>256.77</v>
      </c>
      <c r="F2702" s="20" t="n">
        <f aca="false">Parametres!$B$6*D2702</f>
        <v>107.22</v>
      </c>
      <c r="G2702" s="20" t="n">
        <f aca="false">E2702+F2702</f>
        <v>363.99</v>
      </c>
      <c r="H2702" s="20" t="n">
        <f aca="false">IF(G2702&lt;Parametres!$B$8*Parametres!$B$7,0,MIN(G2702,Parametres!$B$7))</f>
        <v>250</v>
      </c>
      <c r="I2702" s="20" t="n">
        <f aca="false">G2702-H2702</f>
        <v>113.99</v>
      </c>
      <c r="J2702" s="21" t="n">
        <f aca="false">H2702*1000/Parametres!$B$9</f>
        <v>4239.44378497541</v>
      </c>
    </row>
    <row r="2703" customFormat="false" ht="15" hidden="false" customHeight="false" outlineLevel="0" collapsed="false">
      <c r="A2703" s="0" t="n">
        <v>2699</v>
      </c>
      <c r="B2703" s="0" t="n">
        <v>4</v>
      </c>
      <c r="C2703" s="19" t="n">
        <v>1</v>
      </c>
      <c r="D2703" s="19" t="n">
        <v>0.9679</v>
      </c>
      <c r="E2703" s="20" t="n">
        <f aca="false">Parametres!$B$5*C2703</f>
        <v>300</v>
      </c>
      <c r="F2703" s="20" t="n">
        <f aca="false">Parametres!$B$6*D2703</f>
        <v>193.58</v>
      </c>
      <c r="G2703" s="20" t="n">
        <f aca="false">E2703+F2703</f>
        <v>493.58</v>
      </c>
      <c r="H2703" s="20" t="n">
        <f aca="false">IF(G2703&lt;Parametres!$B$8*Parametres!$B$7,0,MIN(G2703,Parametres!$B$7))</f>
        <v>250</v>
      </c>
      <c r="I2703" s="20" t="n">
        <f aca="false">G2703-H2703</f>
        <v>243.58</v>
      </c>
      <c r="J2703" s="21" t="n">
        <f aca="false">H2703*1000/Parametres!$B$9</f>
        <v>4239.44378497541</v>
      </c>
    </row>
    <row r="2704" customFormat="false" ht="15" hidden="false" customHeight="false" outlineLevel="0" collapsed="false">
      <c r="A2704" s="0" t="n">
        <v>2700</v>
      </c>
      <c r="B2704" s="0" t="n">
        <v>4</v>
      </c>
      <c r="C2704" s="19" t="n">
        <v>1</v>
      </c>
      <c r="D2704" s="19" t="n">
        <v>1</v>
      </c>
      <c r="E2704" s="20" t="n">
        <f aca="false">Parametres!$B$5*C2704</f>
        <v>300</v>
      </c>
      <c r="F2704" s="20" t="n">
        <f aca="false">Parametres!$B$6*D2704</f>
        <v>200</v>
      </c>
      <c r="G2704" s="20" t="n">
        <f aca="false">E2704+F2704</f>
        <v>500</v>
      </c>
      <c r="H2704" s="20" t="n">
        <f aca="false">IF(G2704&lt;Parametres!$B$8*Parametres!$B$7,0,MIN(G2704,Parametres!$B$7))</f>
        <v>250</v>
      </c>
      <c r="I2704" s="20" t="n">
        <f aca="false">G2704-H2704</f>
        <v>250</v>
      </c>
      <c r="J2704" s="21" t="n">
        <f aca="false">H2704*1000/Parametres!$B$9</f>
        <v>4239.44378497541</v>
      </c>
    </row>
    <row r="2705" customFormat="false" ht="15" hidden="false" customHeight="false" outlineLevel="0" collapsed="false">
      <c r="A2705" s="0" t="n">
        <v>2701</v>
      </c>
      <c r="B2705" s="0" t="n">
        <v>4</v>
      </c>
      <c r="C2705" s="19" t="n">
        <v>1</v>
      </c>
      <c r="D2705" s="19" t="n">
        <v>1</v>
      </c>
      <c r="E2705" s="20" t="n">
        <f aca="false">Parametres!$B$5*C2705</f>
        <v>300</v>
      </c>
      <c r="F2705" s="20" t="n">
        <f aca="false">Parametres!$B$6*D2705</f>
        <v>200</v>
      </c>
      <c r="G2705" s="20" t="n">
        <f aca="false">E2705+F2705</f>
        <v>500</v>
      </c>
      <c r="H2705" s="20" t="n">
        <f aca="false">IF(G2705&lt;Parametres!$B$8*Parametres!$B$7,0,MIN(G2705,Parametres!$B$7))</f>
        <v>250</v>
      </c>
      <c r="I2705" s="20" t="n">
        <f aca="false">G2705-H2705</f>
        <v>250</v>
      </c>
      <c r="J2705" s="21" t="n">
        <f aca="false">H2705*1000/Parametres!$B$9</f>
        <v>4239.44378497541</v>
      </c>
    </row>
    <row r="2706" customFormat="false" ht="15" hidden="false" customHeight="false" outlineLevel="0" collapsed="false">
      <c r="A2706" s="0" t="n">
        <v>2702</v>
      </c>
      <c r="B2706" s="0" t="n">
        <v>4</v>
      </c>
      <c r="C2706" s="19" t="n">
        <v>1</v>
      </c>
      <c r="D2706" s="19" t="n">
        <v>1</v>
      </c>
      <c r="E2706" s="20" t="n">
        <f aca="false">Parametres!$B$5*C2706</f>
        <v>300</v>
      </c>
      <c r="F2706" s="20" t="n">
        <f aca="false">Parametres!$B$6*D2706</f>
        <v>200</v>
      </c>
      <c r="G2706" s="20" t="n">
        <f aca="false">E2706+F2706</f>
        <v>500</v>
      </c>
      <c r="H2706" s="20" t="n">
        <f aca="false">IF(G2706&lt;Parametres!$B$8*Parametres!$B$7,0,MIN(G2706,Parametres!$B$7))</f>
        <v>250</v>
      </c>
      <c r="I2706" s="20" t="n">
        <f aca="false">G2706-H2706</f>
        <v>250</v>
      </c>
      <c r="J2706" s="21" t="n">
        <f aca="false">H2706*1000/Parametres!$B$9</f>
        <v>4239.44378497541</v>
      </c>
    </row>
    <row r="2707" customFormat="false" ht="15" hidden="false" customHeight="false" outlineLevel="0" collapsed="false">
      <c r="A2707" s="0" t="n">
        <v>2703</v>
      </c>
      <c r="B2707" s="0" t="n">
        <v>4</v>
      </c>
      <c r="C2707" s="19" t="n">
        <v>0.835</v>
      </c>
      <c r="D2707" s="19" t="n">
        <v>1</v>
      </c>
      <c r="E2707" s="20" t="n">
        <f aca="false">Parametres!$B$5*C2707</f>
        <v>250.5</v>
      </c>
      <c r="F2707" s="20" t="n">
        <f aca="false">Parametres!$B$6*D2707</f>
        <v>200</v>
      </c>
      <c r="G2707" s="20" t="n">
        <f aca="false">E2707+F2707</f>
        <v>450.5</v>
      </c>
      <c r="H2707" s="20" t="n">
        <f aca="false">IF(G2707&lt;Parametres!$B$8*Parametres!$B$7,0,MIN(G2707,Parametres!$B$7))</f>
        <v>250</v>
      </c>
      <c r="I2707" s="20" t="n">
        <f aca="false">G2707-H2707</f>
        <v>200.5</v>
      </c>
      <c r="J2707" s="21" t="n">
        <f aca="false">H2707*1000/Parametres!$B$9</f>
        <v>4239.44378497541</v>
      </c>
    </row>
    <row r="2708" customFormat="false" ht="15" hidden="false" customHeight="false" outlineLevel="0" collapsed="false">
      <c r="A2708" s="0" t="n">
        <v>2704</v>
      </c>
      <c r="B2708" s="0" t="n">
        <v>4</v>
      </c>
      <c r="C2708" s="19" t="n">
        <v>0.7434</v>
      </c>
      <c r="D2708" s="19" t="n">
        <v>1</v>
      </c>
      <c r="E2708" s="20" t="n">
        <f aca="false">Parametres!$B$5*C2708</f>
        <v>223.02</v>
      </c>
      <c r="F2708" s="20" t="n">
        <f aca="false">Parametres!$B$6*D2708</f>
        <v>200</v>
      </c>
      <c r="G2708" s="20" t="n">
        <f aca="false">E2708+F2708</f>
        <v>423.02</v>
      </c>
      <c r="H2708" s="20" t="n">
        <f aca="false">IF(G2708&lt;Parametres!$B$8*Parametres!$B$7,0,MIN(G2708,Parametres!$B$7))</f>
        <v>250</v>
      </c>
      <c r="I2708" s="20" t="n">
        <f aca="false">G2708-H2708</f>
        <v>173.02</v>
      </c>
      <c r="J2708" s="21" t="n">
        <f aca="false">H2708*1000/Parametres!$B$9</f>
        <v>4239.44378497541</v>
      </c>
    </row>
    <row r="2709" customFormat="false" ht="15" hidden="false" customHeight="false" outlineLevel="0" collapsed="false">
      <c r="A2709" s="0" t="n">
        <v>2705</v>
      </c>
      <c r="B2709" s="0" t="n">
        <v>4</v>
      </c>
      <c r="C2709" s="19" t="n">
        <v>0.4542</v>
      </c>
      <c r="D2709" s="19" t="n">
        <v>1</v>
      </c>
      <c r="E2709" s="20" t="n">
        <f aca="false">Parametres!$B$5*C2709</f>
        <v>136.26</v>
      </c>
      <c r="F2709" s="20" t="n">
        <f aca="false">Parametres!$B$6*D2709</f>
        <v>200</v>
      </c>
      <c r="G2709" s="20" t="n">
        <f aca="false">E2709+F2709</f>
        <v>336.26</v>
      </c>
      <c r="H2709" s="20" t="n">
        <f aca="false">IF(G2709&lt;Parametres!$B$8*Parametres!$B$7,0,MIN(G2709,Parametres!$B$7))</f>
        <v>250</v>
      </c>
      <c r="I2709" s="20" t="n">
        <f aca="false">G2709-H2709</f>
        <v>86.26</v>
      </c>
      <c r="J2709" s="21" t="n">
        <f aca="false">H2709*1000/Parametres!$B$9</f>
        <v>4239.44378497541</v>
      </c>
    </row>
    <row r="2710" customFormat="false" ht="15" hidden="false" customHeight="false" outlineLevel="0" collapsed="false">
      <c r="A2710" s="0" t="n">
        <v>2706</v>
      </c>
      <c r="B2710" s="0" t="n">
        <v>4</v>
      </c>
      <c r="C2710" s="19" t="n">
        <v>0.2012</v>
      </c>
      <c r="D2710" s="19" t="n">
        <v>1</v>
      </c>
      <c r="E2710" s="20" t="n">
        <f aca="false">Parametres!$B$5*C2710</f>
        <v>60.36</v>
      </c>
      <c r="F2710" s="20" t="n">
        <f aca="false">Parametres!$B$6*D2710</f>
        <v>200</v>
      </c>
      <c r="G2710" s="20" t="n">
        <f aca="false">E2710+F2710</f>
        <v>260.36</v>
      </c>
      <c r="H2710" s="20" t="n">
        <f aca="false">IF(G2710&lt;Parametres!$B$8*Parametres!$B$7,0,MIN(G2710,Parametres!$B$7))</f>
        <v>250</v>
      </c>
      <c r="I2710" s="20" t="n">
        <f aca="false">G2710-H2710</f>
        <v>10.36</v>
      </c>
      <c r="J2710" s="21" t="n">
        <f aca="false">H2710*1000/Parametres!$B$9</f>
        <v>4239.44378497541</v>
      </c>
    </row>
    <row r="2711" customFormat="false" ht="15" hidden="false" customHeight="false" outlineLevel="0" collapsed="false">
      <c r="A2711" s="0" t="n">
        <v>2707</v>
      </c>
      <c r="B2711" s="0" t="n">
        <v>4</v>
      </c>
      <c r="C2711" s="19" t="n">
        <v>0</v>
      </c>
      <c r="D2711" s="19" t="n">
        <v>1</v>
      </c>
      <c r="E2711" s="20" t="n">
        <f aca="false">Parametres!$B$5*C2711</f>
        <v>0</v>
      </c>
      <c r="F2711" s="20" t="n">
        <f aca="false">Parametres!$B$6*D2711</f>
        <v>200</v>
      </c>
      <c r="G2711" s="20" t="n">
        <f aca="false">E2711+F2711</f>
        <v>200</v>
      </c>
      <c r="H2711" s="20" t="n">
        <f aca="false">IF(G2711&lt;Parametres!$B$8*Parametres!$B$7,0,MIN(G2711,Parametres!$B$7))</f>
        <v>200</v>
      </c>
      <c r="I2711" s="20" t="n">
        <f aca="false">G2711-H2711</f>
        <v>0</v>
      </c>
      <c r="J2711" s="21" t="n">
        <f aca="false">H2711*1000/Parametres!$B$9</f>
        <v>3391.55502798033</v>
      </c>
    </row>
    <row r="2712" customFormat="false" ht="15" hidden="false" customHeight="false" outlineLevel="0" collapsed="false">
      <c r="A2712" s="0" t="n">
        <v>2708</v>
      </c>
      <c r="B2712" s="0" t="n">
        <v>4</v>
      </c>
      <c r="C2712" s="19" t="n">
        <v>0</v>
      </c>
      <c r="D2712" s="19" t="n">
        <v>1</v>
      </c>
      <c r="E2712" s="20" t="n">
        <f aca="false">Parametres!$B$5*C2712</f>
        <v>0</v>
      </c>
      <c r="F2712" s="20" t="n">
        <f aca="false">Parametres!$B$6*D2712</f>
        <v>200</v>
      </c>
      <c r="G2712" s="20" t="n">
        <f aca="false">E2712+F2712</f>
        <v>200</v>
      </c>
      <c r="H2712" s="20" t="n">
        <f aca="false">IF(G2712&lt;Parametres!$B$8*Parametres!$B$7,0,MIN(G2712,Parametres!$B$7))</f>
        <v>200</v>
      </c>
      <c r="I2712" s="20" t="n">
        <f aca="false">G2712-H2712</f>
        <v>0</v>
      </c>
      <c r="J2712" s="21" t="n">
        <f aca="false">H2712*1000/Parametres!$B$9</f>
        <v>3391.55502798033</v>
      </c>
    </row>
    <row r="2713" customFormat="false" ht="15" hidden="false" customHeight="false" outlineLevel="0" collapsed="false">
      <c r="A2713" s="0" t="n">
        <v>2709</v>
      </c>
      <c r="B2713" s="0" t="n">
        <v>4</v>
      </c>
      <c r="C2713" s="19" t="n">
        <v>0</v>
      </c>
      <c r="D2713" s="19" t="n">
        <v>1</v>
      </c>
      <c r="E2713" s="20" t="n">
        <f aca="false">Parametres!$B$5*C2713</f>
        <v>0</v>
      </c>
      <c r="F2713" s="20" t="n">
        <f aca="false">Parametres!$B$6*D2713</f>
        <v>200</v>
      </c>
      <c r="G2713" s="20" t="n">
        <f aca="false">E2713+F2713</f>
        <v>200</v>
      </c>
      <c r="H2713" s="20" t="n">
        <f aca="false">IF(G2713&lt;Parametres!$B$8*Parametres!$B$7,0,MIN(G2713,Parametres!$B$7))</f>
        <v>200</v>
      </c>
      <c r="I2713" s="20" t="n">
        <f aca="false">G2713-H2713</f>
        <v>0</v>
      </c>
      <c r="J2713" s="21" t="n">
        <f aca="false">H2713*1000/Parametres!$B$9</f>
        <v>3391.55502798033</v>
      </c>
    </row>
    <row r="2714" customFormat="false" ht="15" hidden="false" customHeight="false" outlineLevel="0" collapsed="false">
      <c r="A2714" s="0" t="n">
        <v>2710</v>
      </c>
      <c r="B2714" s="0" t="n">
        <v>4</v>
      </c>
      <c r="C2714" s="19" t="n">
        <v>0</v>
      </c>
      <c r="D2714" s="19" t="n">
        <v>1</v>
      </c>
      <c r="E2714" s="20" t="n">
        <f aca="false">Parametres!$B$5*C2714</f>
        <v>0</v>
      </c>
      <c r="F2714" s="20" t="n">
        <f aca="false">Parametres!$B$6*D2714</f>
        <v>200</v>
      </c>
      <c r="G2714" s="20" t="n">
        <f aca="false">E2714+F2714</f>
        <v>200</v>
      </c>
      <c r="H2714" s="20" t="n">
        <f aca="false">IF(G2714&lt;Parametres!$B$8*Parametres!$B$7,0,MIN(G2714,Parametres!$B$7))</f>
        <v>200</v>
      </c>
      <c r="I2714" s="20" t="n">
        <f aca="false">G2714-H2714</f>
        <v>0</v>
      </c>
      <c r="J2714" s="21" t="n">
        <f aca="false">H2714*1000/Parametres!$B$9</f>
        <v>3391.55502798033</v>
      </c>
    </row>
    <row r="2715" customFormat="false" ht="15" hidden="false" customHeight="false" outlineLevel="0" collapsed="false">
      <c r="A2715" s="0" t="n">
        <v>2711</v>
      </c>
      <c r="B2715" s="0" t="n">
        <v>4</v>
      </c>
      <c r="C2715" s="19" t="n">
        <v>0</v>
      </c>
      <c r="D2715" s="19" t="n">
        <v>1</v>
      </c>
      <c r="E2715" s="20" t="n">
        <f aca="false">Parametres!$B$5*C2715</f>
        <v>0</v>
      </c>
      <c r="F2715" s="20" t="n">
        <f aca="false">Parametres!$B$6*D2715</f>
        <v>200</v>
      </c>
      <c r="G2715" s="20" t="n">
        <f aca="false">E2715+F2715</f>
        <v>200</v>
      </c>
      <c r="H2715" s="20" t="n">
        <f aca="false">IF(G2715&lt;Parametres!$B$8*Parametres!$B$7,0,MIN(G2715,Parametres!$B$7))</f>
        <v>200</v>
      </c>
      <c r="I2715" s="20" t="n">
        <f aca="false">G2715-H2715</f>
        <v>0</v>
      </c>
      <c r="J2715" s="21" t="n">
        <f aca="false">H2715*1000/Parametres!$B$9</f>
        <v>3391.55502798033</v>
      </c>
    </row>
    <row r="2716" customFormat="false" ht="15" hidden="false" customHeight="false" outlineLevel="0" collapsed="false">
      <c r="A2716" s="0" t="n">
        <v>2712</v>
      </c>
      <c r="B2716" s="0" t="n">
        <v>4</v>
      </c>
      <c r="C2716" s="19" t="n">
        <v>0</v>
      </c>
      <c r="D2716" s="19" t="n">
        <v>1</v>
      </c>
      <c r="E2716" s="20" t="n">
        <f aca="false">Parametres!$B$5*C2716</f>
        <v>0</v>
      </c>
      <c r="F2716" s="20" t="n">
        <f aca="false">Parametres!$B$6*D2716</f>
        <v>200</v>
      </c>
      <c r="G2716" s="20" t="n">
        <f aca="false">E2716+F2716</f>
        <v>200</v>
      </c>
      <c r="H2716" s="20" t="n">
        <f aca="false">IF(G2716&lt;Parametres!$B$8*Parametres!$B$7,0,MIN(G2716,Parametres!$B$7))</f>
        <v>200</v>
      </c>
      <c r="I2716" s="20" t="n">
        <f aca="false">G2716-H2716</f>
        <v>0</v>
      </c>
      <c r="J2716" s="21" t="n">
        <f aca="false">H2716*1000/Parametres!$B$9</f>
        <v>3391.55502798033</v>
      </c>
    </row>
    <row r="2717" customFormat="false" ht="15" hidden="false" customHeight="false" outlineLevel="0" collapsed="false">
      <c r="A2717" s="0" t="n">
        <v>2713</v>
      </c>
      <c r="B2717" s="0" t="n">
        <v>4</v>
      </c>
      <c r="C2717" s="19" t="n">
        <v>0</v>
      </c>
      <c r="D2717" s="19" t="n">
        <v>1</v>
      </c>
      <c r="E2717" s="20" t="n">
        <f aca="false">Parametres!$B$5*C2717</f>
        <v>0</v>
      </c>
      <c r="F2717" s="20" t="n">
        <f aca="false">Parametres!$B$6*D2717</f>
        <v>200</v>
      </c>
      <c r="G2717" s="20" t="n">
        <f aca="false">E2717+F2717</f>
        <v>200</v>
      </c>
      <c r="H2717" s="20" t="n">
        <f aca="false">IF(G2717&lt;Parametres!$B$8*Parametres!$B$7,0,MIN(G2717,Parametres!$B$7))</f>
        <v>200</v>
      </c>
      <c r="I2717" s="20" t="n">
        <f aca="false">G2717-H2717</f>
        <v>0</v>
      </c>
      <c r="J2717" s="21" t="n">
        <f aca="false">H2717*1000/Parametres!$B$9</f>
        <v>3391.55502798033</v>
      </c>
    </row>
    <row r="2718" customFormat="false" ht="15" hidden="false" customHeight="false" outlineLevel="0" collapsed="false">
      <c r="A2718" s="0" t="n">
        <v>2714</v>
      </c>
      <c r="B2718" s="0" t="n">
        <v>4</v>
      </c>
      <c r="C2718" s="19" t="n">
        <v>0</v>
      </c>
      <c r="D2718" s="19" t="n">
        <v>1</v>
      </c>
      <c r="E2718" s="20" t="n">
        <f aca="false">Parametres!$B$5*C2718</f>
        <v>0</v>
      </c>
      <c r="F2718" s="20" t="n">
        <f aca="false">Parametres!$B$6*D2718</f>
        <v>200</v>
      </c>
      <c r="G2718" s="20" t="n">
        <f aca="false">E2718+F2718</f>
        <v>200</v>
      </c>
      <c r="H2718" s="20" t="n">
        <f aca="false">IF(G2718&lt;Parametres!$B$8*Parametres!$B$7,0,MIN(G2718,Parametres!$B$7))</f>
        <v>200</v>
      </c>
      <c r="I2718" s="20" t="n">
        <f aca="false">G2718-H2718</f>
        <v>0</v>
      </c>
      <c r="J2718" s="21" t="n">
        <f aca="false">H2718*1000/Parametres!$B$9</f>
        <v>3391.55502798033</v>
      </c>
    </row>
    <row r="2719" customFormat="false" ht="15" hidden="false" customHeight="false" outlineLevel="0" collapsed="false">
      <c r="A2719" s="0" t="n">
        <v>2715</v>
      </c>
      <c r="B2719" s="0" t="n">
        <v>4</v>
      </c>
      <c r="C2719" s="19" t="n">
        <v>0</v>
      </c>
      <c r="D2719" s="19" t="n">
        <v>1</v>
      </c>
      <c r="E2719" s="20" t="n">
        <f aca="false">Parametres!$B$5*C2719</f>
        <v>0</v>
      </c>
      <c r="F2719" s="20" t="n">
        <f aca="false">Parametres!$B$6*D2719</f>
        <v>200</v>
      </c>
      <c r="G2719" s="20" t="n">
        <f aca="false">E2719+F2719</f>
        <v>200</v>
      </c>
      <c r="H2719" s="20" t="n">
        <f aca="false">IF(G2719&lt;Parametres!$B$8*Parametres!$B$7,0,MIN(G2719,Parametres!$B$7))</f>
        <v>200</v>
      </c>
      <c r="I2719" s="20" t="n">
        <f aca="false">G2719-H2719</f>
        <v>0</v>
      </c>
      <c r="J2719" s="21" t="n">
        <f aca="false">H2719*1000/Parametres!$B$9</f>
        <v>3391.55502798033</v>
      </c>
    </row>
    <row r="2720" customFormat="false" ht="15" hidden="false" customHeight="false" outlineLevel="0" collapsed="false">
      <c r="A2720" s="0" t="n">
        <v>2716</v>
      </c>
      <c r="B2720" s="0" t="n">
        <v>4</v>
      </c>
      <c r="C2720" s="19" t="n">
        <v>0</v>
      </c>
      <c r="D2720" s="19" t="n">
        <v>0.7695</v>
      </c>
      <c r="E2720" s="20" t="n">
        <f aca="false">Parametres!$B$5*C2720</f>
        <v>0</v>
      </c>
      <c r="F2720" s="20" t="n">
        <f aca="false">Parametres!$B$6*D2720</f>
        <v>153.9</v>
      </c>
      <c r="G2720" s="20" t="n">
        <f aca="false">E2720+F2720</f>
        <v>153.9</v>
      </c>
      <c r="H2720" s="20" t="n">
        <f aca="false">IF(G2720&lt;Parametres!$B$8*Parametres!$B$7,0,MIN(G2720,Parametres!$B$7))</f>
        <v>153.9</v>
      </c>
      <c r="I2720" s="20" t="n">
        <f aca="false">G2720-H2720</f>
        <v>0</v>
      </c>
      <c r="J2720" s="21" t="n">
        <f aca="false">H2720*1000/Parametres!$B$9</f>
        <v>2609.80159403086</v>
      </c>
    </row>
    <row r="2721" customFormat="false" ht="15" hidden="false" customHeight="false" outlineLevel="0" collapsed="false">
      <c r="A2721" s="0" t="n">
        <v>2717</v>
      </c>
      <c r="B2721" s="0" t="n">
        <v>4</v>
      </c>
      <c r="C2721" s="19" t="n">
        <v>0</v>
      </c>
      <c r="D2721" s="19" t="n">
        <v>0.6916</v>
      </c>
      <c r="E2721" s="20" t="n">
        <f aca="false">Parametres!$B$5*C2721</f>
        <v>0</v>
      </c>
      <c r="F2721" s="20" t="n">
        <f aca="false">Parametres!$B$6*D2721</f>
        <v>138.32</v>
      </c>
      <c r="G2721" s="20" t="n">
        <f aca="false">E2721+F2721</f>
        <v>138.32</v>
      </c>
      <c r="H2721" s="20" t="n">
        <f aca="false">IF(G2721&lt;Parametres!$B$8*Parametres!$B$7,0,MIN(G2721,Parametres!$B$7))</f>
        <v>138.32</v>
      </c>
      <c r="I2721" s="20" t="n">
        <f aca="false">G2721-H2721</f>
        <v>0</v>
      </c>
      <c r="J2721" s="21" t="n">
        <f aca="false">H2721*1000/Parametres!$B$9</f>
        <v>2345.5994573512</v>
      </c>
    </row>
    <row r="2722" customFormat="false" ht="15" hidden="false" customHeight="false" outlineLevel="0" collapsed="false">
      <c r="A2722" s="0" t="n">
        <v>2718</v>
      </c>
      <c r="B2722" s="0" t="n">
        <v>4</v>
      </c>
      <c r="C2722" s="19" t="n">
        <v>0</v>
      </c>
      <c r="D2722" s="19" t="n">
        <v>0.555</v>
      </c>
      <c r="E2722" s="20" t="n">
        <f aca="false">Parametres!$B$5*C2722</f>
        <v>0</v>
      </c>
      <c r="F2722" s="20" t="n">
        <f aca="false">Parametres!$B$6*D2722</f>
        <v>111</v>
      </c>
      <c r="G2722" s="20" t="n">
        <f aca="false">E2722+F2722</f>
        <v>111</v>
      </c>
      <c r="H2722" s="20" t="n">
        <f aca="false">IF(G2722&lt;Parametres!$B$8*Parametres!$B$7,0,MIN(G2722,Parametres!$B$7))</f>
        <v>111</v>
      </c>
      <c r="I2722" s="20" t="n">
        <f aca="false">G2722-H2722</f>
        <v>0</v>
      </c>
      <c r="J2722" s="21" t="n">
        <f aca="false">H2722*1000/Parametres!$B$9</f>
        <v>1882.31304052908</v>
      </c>
    </row>
    <row r="2723" customFormat="false" ht="15" hidden="false" customHeight="false" outlineLevel="0" collapsed="false">
      <c r="A2723" s="0" t="n">
        <v>2719</v>
      </c>
      <c r="B2723" s="0" t="n">
        <v>4</v>
      </c>
      <c r="C2723" s="19" t="n">
        <v>0.2556</v>
      </c>
      <c r="D2723" s="19" t="n">
        <v>0.4423</v>
      </c>
      <c r="E2723" s="20" t="n">
        <f aca="false">Parametres!$B$5*C2723</f>
        <v>76.68</v>
      </c>
      <c r="F2723" s="20" t="n">
        <f aca="false">Parametres!$B$6*D2723</f>
        <v>88.46</v>
      </c>
      <c r="G2723" s="20" t="n">
        <f aca="false">E2723+F2723</f>
        <v>165.14</v>
      </c>
      <c r="H2723" s="20" t="n">
        <f aca="false">IF(G2723&lt;Parametres!$B$8*Parametres!$B$7,0,MIN(G2723,Parametres!$B$7))</f>
        <v>165.14</v>
      </c>
      <c r="I2723" s="20" t="n">
        <f aca="false">G2723-H2723</f>
        <v>0</v>
      </c>
      <c r="J2723" s="21" t="n">
        <f aca="false">H2723*1000/Parametres!$B$9</f>
        <v>2800.40698660336</v>
      </c>
    </row>
    <row r="2724" customFormat="false" ht="15" hidden="false" customHeight="false" outlineLevel="0" collapsed="false">
      <c r="A2724" s="0" t="n">
        <v>2720</v>
      </c>
      <c r="B2724" s="0" t="n">
        <v>4</v>
      </c>
      <c r="C2724" s="19" t="n">
        <v>0.5251</v>
      </c>
      <c r="D2724" s="19" t="n">
        <v>0.5572</v>
      </c>
      <c r="E2724" s="20" t="n">
        <f aca="false">Parametres!$B$5*C2724</f>
        <v>157.53</v>
      </c>
      <c r="F2724" s="20" t="n">
        <f aca="false">Parametres!$B$6*D2724</f>
        <v>111.44</v>
      </c>
      <c r="G2724" s="20" t="n">
        <f aca="false">E2724+F2724</f>
        <v>268.97</v>
      </c>
      <c r="H2724" s="20" t="n">
        <f aca="false">IF(G2724&lt;Parametres!$B$8*Parametres!$B$7,0,MIN(G2724,Parametres!$B$7))</f>
        <v>250</v>
      </c>
      <c r="I2724" s="20" t="n">
        <f aca="false">G2724-H2724</f>
        <v>18.97</v>
      </c>
      <c r="J2724" s="21" t="n">
        <f aca="false">H2724*1000/Parametres!$B$9</f>
        <v>4239.44378497541</v>
      </c>
    </row>
    <row r="2725" customFormat="false" ht="15" hidden="false" customHeight="false" outlineLevel="0" collapsed="false">
      <c r="A2725" s="0" t="n">
        <v>2721</v>
      </c>
      <c r="B2725" s="0" t="n">
        <v>4</v>
      </c>
      <c r="C2725" s="19" t="n">
        <v>0.814</v>
      </c>
      <c r="D2725" s="19" t="n">
        <v>1</v>
      </c>
      <c r="E2725" s="20" t="n">
        <f aca="false">Parametres!$B$5*C2725</f>
        <v>244.2</v>
      </c>
      <c r="F2725" s="20" t="n">
        <f aca="false">Parametres!$B$6*D2725</f>
        <v>200</v>
      </c>
      <c r="G2725" s="20" t="n">
        <f aca="false">E2725+F2725</f>
        <v>444.2</v>
      </c>
      <c r="H2725" s="20" t="n">
        <f aca="false">IF(G2725&lt;Parametres!$B$8*Parametres!$B$7,0,MIN(G2725,Parametres!$B$7))</f>
        <v>250</v>
      </c>
      <c r="I2725" s="20" t="n">
        <f aca="false">G2725-H2725</f>
        <v>194.2</v>
      </c>
      <c r="J2725" s="21" t="n">
        <f aca="false">H2725*1000/Parametres!$B$9</f>
        <v>4239.44378497541</v>
      </c>
    </row>
    <row r="2726" customFormat="false" ht="15" hidden="false" customHeight="false" outlineLevel="0" collapsed="false">
      <c r="A2726" s="0" t="n">
        <v>2722</v>
      </c>
      <c r="B2726" s="0" t="n">
        <v>4</v>
      </c>
      <c r="C2726" s="19" t="n">
        <v>1</v>
      </c>
      <c r="D2726" s="19" t="n">
        <v>1</v>
      </c>
      <c r="E2726" s="20" t="n">
        <f aca="false">Parametres!$B$5*C2726</f>
        <v>300</v>
      </c>
      <c r="F2726" s="20" t="n">
        <f aca="false">Parametres!$B$6*D2726</f>
        <v>200</v>
      </c>
      <c r="G2726" s="20" t="n">
        <f aca="false">E2726+F2726</f>
        <v>500</v>
      </c>
      <c r="H2726" s="20" t="n">
        <f aca="false">IF(G2726&lt;Parametres!$B$8*Parametres!$B$7,0,MIN(G2726,Parametres!$B$7))</f>
        <v>250</v>
      </c>
      <c r="I2726" s="20" t="n">
        <f aca="false">G2726-H2726</f>
        <v>250</v>
      </c>
      <c r="J2726" s="21" t="n">
        <f aca="false">H2726*1000/Parametres!$B$9</f>
        <v>4239.44378497541</v>
      </c>
    </row>
    <row r="2727" customFormat="false" ht="15" hidden="false" customHeight="false" outlineLevel="0" collapsed="false">
      <c r="A2727" s="0" t="n">
        <v>2723</v>
      </c>
      <c r="B2727" s="0" t="n">
        <v>4</v>
      </c>
      <c r="C2727" s="19" t="n">
        <v>1</v>
      </c>
      <c r="D2727" s="19" t="n">
        <v>1</v>
      </c>
      <c r="E2727" s="20" t="n">
        <f aca="false">Parametres!$B$5*C2727</f>
        <v>300</v>
      </c>
      <c r="F2727" s="20" t="n">
        <f aca="false">Parametres!$B$6*D2727</f>
        <v>200</v>
      </c>
      <c r="G2727" s="20" t="n">
        <f aca="false">E2727+F2727</f>
        <v>500</v>
      </c>
      <c r="H2727" s="20" t="n">
        <f aca="false">IF(G2727&lt;Parametres!$B$8*Parametres!$B$7,0,MIN(G2727,Parametres!$B$7))</f>
        <v>250</v>
      </c>
      <c r="I2727" s="20" t="n">
        <f aca="false">G2727-H2727</f>
        <v>250</v>
      </c>
      <c r="J2727" s="21" t="n">
        <f aca="false">H2727*1000/Parametres!$B$9</f>
        <v>4239.44378497541</v>
      </c>
    </row>
    <row r="2728" customFormat="false" ht="15" hidden="false" customHeight="false" outlineLevel="0" collapsed="false">
      <c r="A2728" s="0" t="n">
        <v>2724</v>
      </c>
      <c r="B2728" s="0" t="n">
        <v>4</v>
      </c>
      <c r="C2728" s="19" t="n">
        <v>1</v>
      </c>
      <c r="D2728" s="19" t="n">
        <v>1</v>
      </c>
      <c r="E2728" s="20" t="n">
        <f aca="false">Parametres!$B$5*C2728</f>
        <v>300</v>
      </c>
      <c r="F2728" s="20" t="n">
        <f aca="false">Parametres!$B$6*D2728</f>
        <v>200</v>
      </c>
      <c r="G2728" s="20" t="n">
        <f aca="false">E2728+F2728</f>
        <v>500</v>
      </c>
      <c r="H2728" s="20" t="n">
        <f aca="false">IF(G2728&lt;Parametres!$B$8*Parametres!$B$7,0,MIN(G2728,Parametres!$B$7))</f>
        <v>250</v>
      </c>
      <c r="I2728" s="20" t="n">
        <f aca="false">G2728-H2728</f>
        <v>250</v>
      </c>
      <c r="J2728" s="21" t="n">
        <f aca="false">H2728*1000/Parametres!$B$9</f>
        <v>4239.44378497541</v>
      </c>
    </row>
    <row r="2729" customFormat="false" ht="15" hidden="false" customHeight="false" outlineLevel="0" collapsed="false">
      <c r="A2729" s="0" t="n">
        <v>2725</v>
      </c>
      <c r="B2729" s="0" t="n">
        <v>4</v>
      </c>
      <c r="C2729" s="19" t="n">
        <v>1</v>
      </c>
      <c r="D2729" s="19" t="n">
        <v>1</v>
      </c>
      <c r="E2729" s="20" t="n">
        <f aca="false">Parametres!$B$5*C2729</f>
        <v>300</v>
      </c>
      <c r="F2729" s="20" t="n">
        <f aca="false">Parametres!$B$6*D2729</f>
        <v>200</v>
      </c>
      <c r="G2729" s="20" t="n">
        <f aca="false">E2729+F2729</f>
        <v>500</v>
      </c>
      <c r="H2729" s="20" t="n">
        <f aca="false">IF(G2729&lt;Parametres!$B$8*Parametres!$B$7,0,MIN(G2729,Parametres!$B$7))</f>
        <v>250</v>
      </c>
      <c r="I2729" s="20" t="n">
        <f aca="false">G2729-H2729</f>
        <v>250</v>
      </c>
      <c r="J2729" s="21" t="n">
        <f aca="false">H2729*1000/Parametres!$B$9</f>
        <v>4239.44378497541</v>
      </c>
    </row>
    <row r="2730" customFormat="false" ht="15" hidden="false" customHeight="false" outlineLevel="0" collapsed="false">
      <c r="A2730" s="0" t="n">
        <v>2726</v>
      </c>
      <c r="B2730" s="0" t="n">
        <v>4</v>
      </c>
      <c r="C2730" s="19" t="n">
        <v>1</v>
      </c>
      <c r="D2730" s="19" t="n">
        <v>1</v>
      </c>
      <c r="E2730" s="20" t="n">
        <f aca="false">Parametres!$B$5*C2730</f>
        <v>300</v>
      </c>
      <c r="F2730" s="20" t="n">
        <f aca="false">Parametres!$B$6*D2730</f>
        <v>200</v>
      </c>
      <c r="G2730" s="20" t="n">
        <f aca="false">E2730+F2730</f>
        <v>500</v>
      </c>
      <c r="H2730" s="20" t="n">
        <f aca="false">IF(G2730&lt;Parametres!$B$8*Parametres!$B$7,0,MIN(G2730,Parametres!$B$7))</f>
        <v>250</v>
      </c>
      <c r="I2730" s="20" t="n">
        <f aca="false">G2730-H2730</f>
        <v>250</v>
      </c>
      <c r="J2730" s="21" t="n">
        <f aca="false">H2730*1000/Parametres!$B$9</f>
        <v>4239.44378497541</v>
      </c>
    </row>
    <row r="2731" customFormat="false" ht="15" hidden="false" customHeight="false" outlineLevel="0" collapsed="false">
      <c r="A2731" s="0" t="n">
        <v>2727</v>
      </c>
      <c r="B2731" s="0" t="n">
        <v>4</v>
      </c>
      <c r="C2731" s="19" t="n">
        <v>1</v>
      </c>
      <c r="D2731" s="19" t="n">
        <v>1</v>
      </c>
      <c r="E2731" s="20" t="n">
        <f aca="false">Parametres!$B$5*C2731</f>
        <v>300</v>
      </c>
      <c r="F2731" s="20" t="n">
        <f aca="false">Parametres!$B$6*D2731</f>
        <v>200</v>
      </c>
      <c r="G2731" s="20" t="n">
        <f aca="false">E2731+F2731</f>
        <v>500</v>
      </c>
      <c r="H2731" s="20" t="n">
        <f aca="false">IF(G2731&lt;Parametres!$B$8*Parametres!$B$7,0,MIN(G2731,Parametres!$B$7))</f>
        <v>250</v>
      </c>
      <c r="I2731" s="20" t="n">
        <f aca="false">G2731-H2731</f>
        <v>250</v>
      </c>
      <c r="J2731" s="21" t="n">
        <f aca="false">H2731*1000/Parametres!$B$9</f>
        <v>4239.44378497541</v>
      </c>
    </row>
    <row r="2732" customFormat="false" ht="15" hidden="false" customHeight="false" outlineLevel="0" collapsed="false">
      <c r="A2732" s="0" t="n">
        <v>2728</v>
      </c>
      <c r="B2732" s="0" t="n">
        <v>4</v>
      </c>
      <c r="C2732" s="19" t="n">
        <v>0.7962</v>
      </c>
      <c r="D2732" s="19" t="n">
        <v>1</v>
      </c>
      <c r="E2732" s="20" t="n">
        <f aca="false">Parametres!$B$5*C2732</f>
        <v>238.86</v>
      </c>
      <c r="F2732" s="20" t="n">
        <f aca="false">Parametres!$B$6*D2732</f>
        <v>200</v>
      </c>
      <c r="G2732" s="20" t="n">
        <f aca="false">E2732+F2732</f>
        <v>438.86</v>
      </c>
      <c r="H2732" s="20" t="n">
        <f aca="false">IF(G2732&lt;Parametres!$B$8*Parametres!$B$7,0,MIN(G2732,Parametres!$B$7))</f>
        <v>250</v>
      </c>
      <c r="I2732" s="20" t="n">
        <f aca="false">G2732-H2732</f>
        <v>188.86</v>
      </c>
      <c r="J2732" s="21" t="n">
        <f aca="false">H2732*1000/Parametres!$B$9</f>
        <v>4239.44378497541</v>
      </c>
    </row>
    <row r="2733" customFormat="false" ht="15" hidden="false" customHeight="false" outlineLevel="0" collapsed="false">
      <c r="A2733" s="0" t="n">
        <v>2729</v>
      </c>
      <c r="B2733" s="0" t="n">
        <v>4</v>
      </c>
      <c r="C2733" s="19" t="n">
        <v>0.5593</v>
      </c>
      <c r="D2733" s="19" t="n">
        <v>1</v>
      </c>
      <c r="E2733" s="20" t="n">
        <f aca="false">Parametres!$B$5*C2733</f>
        <v>167.79</v>
      </c>
      <c r="F2733" s="20" t="n">
        <f aca="false">Parametres!$B$6*D2733</f>
        <v>200</v>
      </c>
      <c r="G2733" s="20" t="n">
        <f aca="false">E2733+F2733</f>
        <v>367.79</v>
      </c>
      <c r="H2733" s="20" t="n">
        <f aca="false">IF(G2733&lt;Parametres!$B$8*Parametres!$B$7,0,MIN(G2733,Parametres!$B$7))</f>
        <v>250</v>
      </c>
      <c r="I2733" s="20" t="n">
        <f aca="false">G2733-H2733</f>
        <v>117.79</v>
      </c>
      <c r="J2733" s="21" t="n">
        <f aca="false">H2733*1000/Parametres!$B$9</f>
        <v>4239.44378497541</v>
      </c>
    </row>
    <row r="2734" customFormat="false" ht="15" hidden="false" customHeight="false" outlineLevel="0" collapsed="false">
      <c r="A2734" s="0" t="n">
        <v>2730</v>
      </c>
      <c r="B2734" s="0" t="n">
        <v>4</v>
      </c>
      <c r="C2734" s="19" t="n">
        <v>0.2404</v>
      </c>
      <c r="D2734" s="19" t="n">
        <v>1</v>
      </c>
      <c r="E2734" s="20" t="n">
        <f aca="false">Parametres!$B$5*C2734</f>
        <v>72.12</v>
      </c>
      <c r="F2734" s="20" t="n">
        <f aca="false">Parametres!$B$6*D2734</f>
        <v>200</v>
      </c>
      <c r="G2734" s="20" t="n">
        <f aca="false">E2734+F2734</f>
        <v>272.12</v>
      </c>
      <c r="H2734" s="20" t="n">
        <f aca="false">IF(G2734&lt;Parametres!$B$8*Parametres!$B$7,0,MIN(G2734,Parametres!$B$7))</f>
        <v>250</v>
      </c>
      <c r="I2734" s="20" t="n">
        <f aca="false">G2734-H2734</f>
        <v>22.12</v>
      </c>
      <c r="J2734" s="21" t="n">
        <f aca="false">H2734*1000/Parametres!$B$9</f>
        <v>4239.44378497541</v>
      </c>
    </row>
    <row r="2735" customFormat="false" ht="15" hidden="false" customHeight="false" outlineLevel="0" collapsed="false">
      <c r="A2735" s="0" t="n">
        <v>2731</v>
      </c>
      <c r="B2735" s="0" t="n">
        <v>4</v>
      </c>
      <c r="C2735" s="19" t="n">
        <v>0</v>
      </c>
      <c r="D2735" s="19" t="n">
        <v>1</v>
      </c>
      <c r="E2735" s="20" t="n">
        <f aca="false">Parametres!$B$5*C2735</f>
        <v>0</v>
      </c>
      <c r="F2735" s="20" t="n">
        <f aca="false">Parametres!$B$6*D2735</f>
        <v>200</v>
      </c>
      <c r="G2735" s="20" t="n">
        <f aca="false">E2735+F2735</f>
        <v>200</v>
      </c>
      <c r="H2735" s="20" t="n">
        <f aca="false">IF(G2735&lt;Parametres!$B$8*Parametres!$B$7,0,MIN(G2735,Parametres!$B$7))</f>
        <v>200</v>
      </c>
      <c r="I2735" s="20" t="n">
        <f aca="false">G2735-H2735</f>
        <v>0</v>
      </c>
      <c r="J2735" s="21" t="n">
        <f aca="false">H2735*1000/Parametres!$B$9</f>
        <v>3391.55502798033</v>
      </c>
    </row>
    <row r="2736" customFormat="false" ht="15" hidden="false" customHeight="false" outlineLevel="0" collapsed="false">
      <c r="A2736" s="0" t="n">
        <v>2732</v>
      </c>
      <c r="B2736" s="0" t="n">
        <v>4</v>
      </c>
      <c r="C2736" s="19" t="n">
        <v>0</v>
      </c>
      <c r="D2736" s="19" t="n">
        <v>1</v>
      </c>
      <c r="E2736" s="20" t="n">
        <f aca="false">Parametres!$B$5*C2736</f>
        <v>0</v>
      </c>
      <c r="F2736" s="20" t="n">
        <f aca="false">Parametres!$B$6*D2736</f>
        <v>200</v>
      </c>
      <c r="G2736" s="20" t="n">
        <f aca="false">E2736+F2736</f>
        <v>200</v>
      </c>
      <c r="H2736" s="20" t="n">
        <f aca="false">IF(G2736&lt;Parametres!$B$8*Parametres!$B$7,0,MIN(G2736,Parametres!$B$7))</f>
        <v>200</v>
      </c>
      <c r="I2736" s="20" t="n">
        <f aca="false">G2736-H2736</f>
        <v>0</v>
      </c>
      <c r="J2736" s="21" t="n">
        <f aca="false">H2736*1000/Parametres!$B$9</f>
        <v>3391.55502798033</v>
      </c>
    </row>
    <row r="2737" customFormat="false" ht="15" hidden="false" customHeight="false" outlineLevel="0" collapsed="false">
      <c r="A2737" s="0" t="n">
        <v>2733</v>
      </c>
      <c r="B2737" s="0" t="n">
        <v>4</v>
      </c>
      <c r="C2737" s="19" t="n">
        <v>0</v>
      </c>
      <c r="D2737" s="19" t="n">
        <v>1</v>
      </c>
      <c r="E2737" s="20" t="n">
        <f aca="false">Parametres!$B$5*C2737</f>
        <v>0</v>
      </c>
      <c r="F2737" s="20" t="n">
        <f aca="false">Parametres!$B$6*D2737</f>
        <v>200</v>
      </c>
      <c r="G2737" s="20" t="n">
        <f aca="false">E2737+F2737</f>
        <v>200</v>
      </c>
      <c r="H2737" s="20" t="n">
        <f aca="false">IF(G2737&lt;Parametres!$B$8*Parametres!$B$7,0,MIN(G2737,Parametres!$B$7))</f>
        <v>200</v>
      </c>
      <c r="I2737" s="20" t="n">
        <f aca="false">G2737-H2737</f>
        <v>0</v>
      </c>
      <c r="J2737" s="21" t="n">
        <f aca="false">H2737*1000/Parametres!$B$9</f>
        <v>3391.55502798033</v>
      </c>
    </row>
    <row r="2738" customFormat="false" ht="15" hidden="false" customHeight="false" outlineLevel="0" collapsed="false">
      <c r="A2738" s="0" t="n">
        <v>2734</v>
      </c>
      <c r="B2738" s="0" t="n">
        <v>4</v>
      </c>
      <c r="C2738" s="19" t="n">
        <v>0</v>
      </c>
      <c r="D2738" s="19" t="n">
        <v>1</v>
      </c>
      <c r="E2738" s="20" t="n">
        <f aca="false">Parametres!$B$5*C2738</f>
        <v>0</v>
      </c>
      <c r="F2738" s="20" t="n">
        <f aca="false">Parametres!$B$6*D2738</f>
        <v>200</v>
      </c>
      <c r="G2738" s="20" t="n">
        <f aca="false">E2738+F2738</f>
        <v>200</v>
      </c>
      <c r="H2738" s="20" t="n">
        <f aca="false">IF(G2738&lt;Parametres!$B$8*Parametres!$B$7,0,MIN(G2738,Parametres!$B$7))</f>
        <v>200</v>
      </c>
      <c r="I2738" s="20" t="n">
        <f aca="false">G2738-H2738</f>
        <v>0</v>
      </c>
      <c r="J2738" s="21" t="n">
        <f aca="false">H2738*1000/Parametres!$B$9</f>
        <v>3391.55502798033</v>
      </c>
    </row>
    <row r="2739" customFormat="false" ht="15" hidden="false" customHeight="false" outlineLevel="0" collapsed="false">
      <c r="A2739" s="0" t="n">
        <v>2735</v>
      </c>
      <c r="B2739" s="0" t="n">
        <v>4</v>
      </c>
      <c r="C2739" s="19" t="n">
        <v>0</v>
      </c>
      <c r="D2739" s="19" t="n">
        <v>1</v>
      </c>
      <c r="E2739" s="20" t="n">
        <f aca="false">Parametres!$B$5*C2739</f>
        <v>0</v>
      </c>
      <c r="F2739" s="20" t="n">
        <f aca="false">Parametres!$B$6*D2739</f>
        <v>200</v>
      </c>
      <c r="G2739" s="20" t="n">
        <f aca="false">E2739+F2739</f>
        <v>200</v>
      </c>
      <c r="H2739" s="20" t="n">
        <f aca="false">IF(G2739&lt;Parametres!$B$8*Parametres!$B$7,0,MIN(G2739,Parametres!$B$7))</f>
        <v>200</v>
      </c>
      <c r="I2739" s="20" t="n">
        <f aca="false">G2739-H2739</f>
        <v>0</v>
      </c>
      <c r="J2739" s="21" t="n">
        <f aca="false">H2739*1000/Parametres!$B$9</f>
        <v>3391.55502798033</v>
      </c>
    </row>
    <row r="2740" customFormat="false" ht="15" hidden="false" customHeight="false" outlineLevel="0" collapsed="false">
      <c r="A2740" s="0" t="n">
        <v>2736</v>
      </c>
      <c r="B2740" s="0" t="n">
        <v>4</v>
      </c>
      <c r="C2740" s="19" t="n">
        <v>0</v>
      </c>
      <c r="D2740" s="19" t="n">
        <v>1</v>
      </c>
      <c r="E2740" s="20" t="n">
        <f aca="false">Parametres!$B$5*C2740</f>
        <v>0</v>
      </c>
      <c r="F2740" s="20" t="n">
        <f aca="false">Parametres!$B$6*D2740</f>
        <v>200</v>
      </c>
      <c r="G2740" s="20" t="n">
        <f aca="false">E2740+F2740</f>
        <v>200</v>
      </c>
      <c r="H2740" s="20" t="n">
        <f aca="false">IF(G2740&lt;Parametres!$B$8*Parametres!$B$7,0,MIN(G2740,Parametres!$B$7))</f>
        <v>200</v>
      </c>
      <c r="I2740" s="20" t="n">
        <f aca="false">G2740-H2740</f>
        <v>0</v>
      </c>
      <c r="J2740" s="21" t="n">
        <f aca="false">H2740*1000/Parametres!$B$9</f>
        <v>3391.55502798033</v>
      </c>
    </row>
    <row r="2741" customFormat="false" ht="15" hidden="false" customHeight="false" outlineLevel="0" collapsed="false">
      <c r="A2741" s="0" t="n">
        <v>2737</v>
      </c>
      <c r="B2741" s="0" t="n">
        <v>4</v>
      </c>
      <c r="C2741" s="19" t="n">
        <v>0</v>
      </c>
      <c r="D2741" s="19" t="n">
        <v>1</v>
      </c>
      <c r="E2741" s="20" t="n">
        <f aca="false">Parametres!$B$5*C2741</f>
        <v>0</v>
      </c>
      <c r="F2741" s="20" t="n">
        <f aca="false">Parametres!$B$6*D2741</f>
        <v>200</v>
      </c>
      <c r="G2741" s="20" t="n">
        <f aca="false">E2741+F2741</f>
        <v>200</v>
      </c>
      <c r="H2741" s="20" t="n">
        <f aca="false">IF(G2741&lt;Parametres!$B$8*Parametres!$B$7,0,MIN(G2741,Parametres!$B$7))</f>
        <v>200</v>
      </c>
      <c r="I2741" s="20" t="n">
        <f aca="false">G2741-H2741</f>
        <v>0</v>
      </c>
      <c r="J2741" s="21" t="n">
        <f aca="false">H2741*1000/Parametres!$B$9</f>
        <v>3391.55502798033</v>
      </c>
    </row>
    <row r="2742" customFormat="false" ht="15" hidden="false" customHeight="false" outlineLevel="0" collapsed="false">
      <c r="A2742" s="0" t="n">
        <v>2738</v>
      </c>
      <c r="B2742" s="0" t="n">
        <v>4</v>
      </c>
      <c r="C2742" s="19" t="n">
        <v>0</v>
      </c>
      <c r="D2742" s="19" t="n">
        <v>1</v>
      </c>
      <c r="E2742" s="20" t="n">
        <f aca="false">Parametres!$B$5*C2742</f>
        <v>0</v>
      </c>
      <c r="F2742" s="20" t="n">
        <f aca="false">Parametres!$B$6*D2742</f>
        <v>200</v>
      </c>
      <c r="G2742" s="20" t="n">
        <f aca="false">E2742+F2742</f>
        <v>200</v>
      </c>
      <c r="H2742" s="20" t="n">
        <f aca="false">IF(G2742&lt;Parametres!$B$8*Parametres!$B$7,0,MIN(G2742,Parametres!$B$7))</f>
        <v>200</v>
      </c>
      <c r="I2742" s="20" t="n">
        <f aca="false">G2742-H2742</f>
        <v>0</v>
      </c>
      <c r="J2742" s="21" t="n">
        <f aca="false">H2742*1000/Parametres!$B$9</f>
        <v>3391.55502798033</v>
      </c>
    </row>
    <row r="2743" customFormat="false" ht="15" hidden="false" customHeight="false" outlineLevel="0" collapsed="false">
      <c r="A2743" s="0" t="n">
        <v>2739</v>
      </c>
      <c r="B2743" s="0" t="n">
        <v>4</v>
      </c>
      <c r="C2743" s="19" t="n">
        <v>0</v>
      </c>
      <c r="D2743" s="19" t="n">
        <v>1</v>
      </c>
      <c r="E2743" s="20" t="n">
        <f aca="false">Parametres!$B$5*C2743</f>
        <v>0</v>
      </c>
      <c r="F2743" s="20" t="n">
        <f aca="false">Parametres!$B$6*D2743</f>
        <v>200</v>
      </c>
      <c r="G2743" s="20" t="n">
        <f aca="false">E2743+F2743</f>
        <v>200</v>
      </c>
      <c r="H2743" s="20" t="n">
        <f aca="false">IF(G2743&lt;Parametres!$B$8*Parametres!$B$7,0,MIN(G2743,Parametres!$B$7))</f>
        <v>200</v>
      </c>
      <c r="I2743" s="20" t="n">
        <f aca="false">G2743-H2743</f>
        <v>0</v>
      </c>
      <c r="J2743" s="21" t="n">
        <f aca="false">H2743*1000/Parametres!$B$9</f>
        <v>3391.55502798033</v>
      </c>
    </row>
    <row r="2744" customFormat="false" ht="15" hidden="false" customHeight="false" outlineLevel="0" collapsed="false">
      <c r="A2744" s="0" t="n">
        <v>2740</v>
      </c>
      <c r="B2744" s="0" t="n">
        <v>4</v>
      </c>
      <c r="C2744" s="19" t="n">
        <v>0</v>
      </c>
      <c r="D2744" s="19" t="n">
        <v>1</v>
      </c>
      <c r="E2744" s="20" t="n">
        <f aca="false">Parametres!$B$5*C2744</f>
        <v>0</v>
      </c>
      <c r="F2744" s="20" t="n">
        <f aca="false">Parametres!$B$6*D2744</f>
        <v>200</v>
      </c>
      <c r="G2744" s="20" t="n">
        <f aca="false">E2744+F2744</f>
        <v>200</v>
      </c>
      <c r="H2744" s="20" t="n">
        <f aca="false">IF(G2744&lt;Parametres!$B$8*Parametres!$B$7,0,MIN(G2744,Parametres!$B$7))</f>
        <v>200</v>
      </c>
      <c r="I2744" s="20" t="n">
        <f aca="false">G2744-H2744</f>
        <v>0</v>
      </c>
      <c r="J2744" s="21" t="n">
        <f aca="false">H2744*1000/Parametres!$B$9</f>
        <v>3391.55502798033</v>
      </c>
    </row>
    <row r="2745" customFormat="false" ht="15" hidden="false" customHeight="false" outlineLevel="0" collapsed="false">
      <c r="A2745" s="0" t="n">
        <v>2741</v>
      </c>
      <c r="B2745" s="0" t="n">
        <v>4</v>
      </c>
      <c r="C2745" s="19" t="n">
        <v>0</v>
      </c>
      <c r="D2745" s="19" t="n">
        <v>1</v>
      </c>
      <c r="E2745" s="20" t="n">
        <f aca="false">Parametres!$B$5*C2745</f>
        <v>0</v>
      </c>
      <c r="F2745" s="20" t="n">
        <f aca="false">Parametres!$B$6*D2745</f>
        <v>200</v>
      </c>
      <c r="G2745" s="20" t="n">
        <f aca="false">E2745+F2745</f>
        <v>200</v>
      </c>
      <c r="H2745" s="20" t="n">
        <f aca="false">IF(G2745&lt;Parametres!$B$8*Parametres!$B$7,0,MIN(G2745,Parametres!$B$7))</f>
        <v>200</v>
      </c>
      <c r="I2745" s="20" t="n">
        <f aca="false">G2745-H2745</f>
        <v>0</v>
      </c>
      <c r="J2745" s="21" t="n">
        <f aca="false">H2745*1000/Parametres!$B$9</f>
        <v>3391.55502798033</v>
      </c>
    </row>
    <row r="2746" customFormat="false" ht="15" hidden="false" customHeight="false" outlineLevel="0" collapsed="false">
      <c r="A2746" s="0" t="n">
        <v>2742</v>
      </c>
      <c r="B2746" s="0" t="n">
        <v>4</v>
      </c>
      <c r="C2746" s="19" t="n">
        <v>0</v>
      </c>
      <c r="D2746" s="19" t="n">
        <v>1</v>
      </c>
      <c r="E2746" s="20" t="n">
        <f aca="false">Parametres!$B$5*C2746</f>
        <v>0</v>
      </c>
      <c r="F2746" s="20" t="n">
        <f aca="false">Parametres!$B$6*D2746</f>
        <v>200</v>
      </c>
      <c r="G2746" s="20" t="n">
        <f aca="false">E2746+F2746</f>
        <v>200</v>
      </c>
      <c r="H2746" s="20" t="n">
        <f aca="false">IF(G2746&lt;Parametres!$B$8*Parametres!$B$7,0,MIN(G2746,Parametres!$B$7))</f>
        <v>200</v>
      </c>
      <c r="I2746" s="20" t="n">
        <f aca="false">G2746-H2746</f>
        <v>0</v>
      </c>
      <c r="J2746" s="21" t="n">
        <f aca="false">H2746*1000/Parametres!$B$9</f>
        <v>3391.55502798033</v>
      </c>
    </row>
    <row r="2747" customFormat="false" ht="15" hidden="false" customHeight="false" outlineLevel="0" collapsed="false">
      <c r="A2747" s="0" t="n">
        <v>2743</v>
      </c>
      <c r="B2747" s="0" t="n">
        <v>4</v>
      </c>
      <c r="C2747" s="19" t="n">
        <v>0.2017</v>
      </c>
      <c r="D2747" s="19" t="n">
        <v>1</v>
      </c>
      <c r="E2747" s="20" t="n">
        <f aca="false">Parametres!$B$5*C2747</f>
        <v>60.51</v>
      </c>
      <c r="F2747" s="20" t="n">
        <f aca="false">Parametres!$B$6*D2747</f>
        <v>200</v>
      </c>
      <c r="G2747" s="20" t="n">
        <f aca="false">E2747+F2747</f>
        <v>260.51</v>
      </c>
      <c r="H2747" s="20" t="n">
        <f aca="false">IF(G2747&lt;Parametres!$B$8*Parametres!$B$7,0,MIN(G2747,Parametres!$B$7))</f>
        <v>250</v>
      </c>
      <c r="I2747" s="20" t="n">
        <f aca="false">G2747-H2747</f>
        <v>10.51</v>
      </c>
      <c r="J2747" s="21" t="n">
        <f aca="false">H2747*1000/Parametres!$B$9</f>
        <v>4239.44378497541</v>
      </c>
    </row>
    <row r="2748" customFormat="false" ht="15" hidden="false" customHeight="false" outlineLevel="0" collapsed="false">
      <c r="A2748" s="0" t="n">
        <v>2744</v>
      </c>
      <c r="B2748" s="0" t="n">
        <v>4</v>
      </c>
      <c r="C2748" s="19" t="n">
        <v>0.4646</v>
      </c>
      <c r="D2748" s="19" t="n">
        <v>1</v>
      </c>
      <c r="E2748" s="20" t="n">
        <f aca="false">Parametres!$B$5*C2748</f>
        <v>139.38</v>
      </c>
      <c r="F2748" s="20" t="n">
        <f aca="false">Parametres!$B$6*D2748</f>
        <v>200</v>
      </c>
      <c r="G2748" s="20" t="n">
        <f aca="false">E2748+F2748</f>
        <v>339.38</v>
      </c>
      <c r="H2748" s="20" t="n">
        <f aca="false">IF(G2748&lt;Parametres!$B$8*Parametres!$B$7,0,MIN(G2748,Parametres!$B$7))</f>
        <v>250</v>
      </c>
      <c r="I2748" s="20" t="n">
        <f aca="false">G2748-H2748</f>
        <v>89.38</v>
      </c>
      <c r="J2748" s="21" t="n">
        <f aca="false">H2748*1000/Parametres!$B$9</f>
        <v>4239.44378497541</v>
      </c>
    </row>
    <row r="2749" customFormat="false" ht="15" hidden="false" customHeight="false" outlineLevel="0" collapsed="false">
      <c r="A2749" s="0" t="n">
        <v>2745</v>
      </c>
      <c r="B2749" s="0" t="n">
        <v>4</v>
      </c>
      <c r="C2749" s="19" t="n">
        <v>0.7364</v>
      </c>
      <c r="D2749" s="19" t="n">
        <v>1</v>
      </c>
      <c r="E2749" s="20" t="n">
        <f aca="false">Parametres!$B$5*C2749</f>
        <v>220.92</v>
      </c>
      <c r="F2749" s="20" t="n">
        <f aca="false">Parametres!$B$6*D2749</f>
        <v>200</v>
      </c>
      <c r="G2749" s="20" t="n">
        <f aca="false">E2749+F2749</f>
        <v>420.92</v>
      </c>
      <c r="H2749" s="20" t="n">
        <f aca="false">IF(G2749&lt;Parametres!$B$8*Parametres!$B$7,0,MIN(G2749,Parametres!$B$7))</f>
        <v>250</v>
      </c>
      <c r="I2749" s="20" t="n">
        <f aca="false">G2749-H2749</f>
        <v>170.92</v>
      </c>
      <c r="J2749" s="21" t="n">
        <f aca="false">H2749*1000/Parametres!$B$9</f>
        <v>4239.44378497541</v>
      </c>
    </row>
    <row r="2750" customFormat="false" ht="15" hidden="false" customHeight="false" outlineLevel="0" collapsed="false">
      <c r="A2750" s="0" t="n">
        <v>2746</v>
      </c>
      <c r="B2750" s="0" t="n">
        <v>4</v>
      </c>
      <c r="C2750" s="19" t="n">
        <v>0.9243</v>
      </c>
      <c r="D2750" s="19" t="n">
        <v>1</v>
      </c>
      <c r="E2750" s="20" t="n">
        <f aca="false">Parametres!$B$5*C2750</f>
        <v>277.29</v>
      </c>
      <c r="F2750" s="20" t="n">
        <f aca="false">Parametres!$B$6*D2750</f>
        <v>200</v>
      </c>
      <c r="G2750" s="20" t="n">
        <f aca="false">E2750+F2750</f>
        <v>477.29</v>
      </c>
      <c r="H2750" s="20" t="n">
        <f aca="false">IF(G2750&lt;Parametres!$B$8*Parametres!$B$7,0,MIN(G2750,Parametres!$B$7))</f>
        <v>250</v>
      </c>
      <c r="I2750" s="20" t="n">
        <f aca="false">G2750-H2750</f>
        <v>227.29</v>
      </c>
      <c r="J2750" s="21" t="n">
        <f aca="false">H2750*1000/Parametres!$B$9</f>
        <v>4239.44378497541</v>
      </c>
    </row>
    <row r="2751" customFormat="false" ht="15" hidden="false" customHeight="false" outlineLevel="0" collapsed="false">
      <c r="A2751" s="0" t="n">
        <v>2747</v>
      </c>
      <c r="B2751" s="0" t="n">
        <v>4</v>
      </c>
      <c r="C2751" s="19" t="n">
        <v>1</v>
      </c>
      <c r="D2751" s="19" t="n">
        <v>1</v>
      </c>
      <c r="E2751" s="20" t="n">
        <f aca="false">Parametres!$B$5*C2751</f>
        <v>300</v>
      </c>
      <c r="F2751" s="20" t="n">
        <f aca="false">Parametres!$B$6*D2751</f>
        <v>200</v>
      </c>
      <c r="G2751" s="20" t="n">
        <f aca="false">E2751+F2751</f>
        <v>500</v>
      </c>
      <c r="H2751" s="20" t="n">
        <f aca="false">IF(G2751&lt;Parametres!$B$8*Parametres!$B$7,0,MIN(G2751,Parametres!$B$7))</f>
        <v>250</v>
      </c>
      <c r="I2751" s="20" t="n">
        <f aca="false">G2751-H2751</f>
        <v>250</v>
      </c>
      <c r="J2751" s="21" t="n">
        <f aca="false">H2751*1000/Parametres!$B$9</f>
        <v>4239.44378497541</v>
      </c>
    </row>
    <row r="2752" customFormat="false" ht="15" hidden="false" customHeight="false" outlineLevel="0" collapsed="false">
      <c r="A2752" s="0" t="n">
        <v>2748</v>
      </c>
      <c r="B2752" s="0" t="n">
        <v>4</v>
      </c>
      <c r="C2752" s="19" t="n">
        <v>1</v>
      </c>
      <c r="D2752" s="19" t="n">
        <v>1</v>
      </c>
      <c r="E2752" s="20" t="n">
        <f aca="false">Parametres!$B$5*C2752</f>
        <v>300</v>
      </c>
      <c r="F2752" s="20" t="n">
        <f aca="false">Parametres!$B$6*D2752</f>
        <v>200</v>
      </c>
      <c r="G2752" s="20" t="n">
        <f aca="false">E2752+F2752</f>
        <v>500</v>
      </c>
      <c r="H2752" s="20" t="n">
        <f aca="false">IF(G2752&lt;Parametres!$B$8*Parametres!$B$7,0,MIN(G2752,Parametres!$B$7))</f>
        <v>250</v>
      </c>
      <c r="I2752" s="20" t="n">
        <f aca="false">G2752-H2752</f>
        <v>250</v>
      </c>
      <c r="J2752" s="21" t="n">
        <f aca="false">H2752*1000/Parametres!$B$9</f>
        <v>4239.44378497541</v>
      </c>
    </row>
    <row r="2753" customFormat="false" ht="15" hidden="false" customHeight="false" outlineLevel="0" collapsed="false">
      <c r="A2753" s="0" t="n">
        <v>2749</v>
      </c>
      <c r="B2753" s="0" t="n">
        <v>4</v>
      </c>
      <c r="C2753" s="19" t="n">
        <v>1</v>
      </c>
      <c r="D2753" s="19" t="n">
        <v>1</v>
      </c>
      <c r="E2753" s="20" t="n">
        <f aca="false">Parametres!$B$5*C2753</f>
        <v>300</v>
      </c>
      <c r="F2753" s="20" t="n">
        <f aca="false">Parametres!$B$6*D2753</f>
        <v>200</v>
      </c>
      <c r="G2753" s="20" t="n">
        <f aca="false">E2753+F2753</f>
        <v>500</v>
      </c>
      <c r="H2753" s="20" t="n">
        <f aca="false">IF(G2753&lt;Parametres!$B$8*Parametres!$B$7,0,MIN(G2753,Parametres!$B$7))</f>
        <v>250</v>
      </c>
      <c r="I2753" s="20" t="n">
        <f aca="false">G2753-H2753</f>
        <v>250</v>
      </c>
      <c r="J2753" s="21" t="n">
        <f aca="false">H2753*1000/Parametres!$B$9</f>
        <v>4239.44378497541</v>
      </c>
    </row>
    <row r="2754" customFormat="false" ht="15" hidden="false" customHeight="false" outlineLevel="0" collapsed="false">
      <c r="A2754" s="0" t="n">
        <v>2750</v>
      </c>
      <c r="B2754" s="0" t="n">
        <v>4</v>
      </c>
      <c r="C2754" s="19" t="n">
        <v>1</v>
      </c>
      <c r="D2754" s="19" t="n">
        <v>1</v>
      </c>
      <c r="E2754" s="20" t="n">
        <f aca="false">Parametres!$B$5*C2754</f>
        <v>300</v>
      </c>
      <c r="F2754" s="20" t="n">
        <f aca="false">Parametres!$B$6*D2754</f>
        <v>200</v>
      </c>
      <c r="G2754" s="20" t="n">
        <f aca="false">E2754+F2754</f>
        <v>500</v>
      </c>
      <c r="H2754" s="20" t="n">
        <f aca="false">IF(G2754&lt;Parametres!$B$8*Parametres!$B$7,0,MIN(G2754,Parametres!$B$7))</f>
        <v>250</v>
      </c>
      <c r="I2754" s="20" t="n">
        <f aca="false">G2754-H2754</f>
        <v>250</v>
      </c>
      <c r="J2754" s="21" t="n">
        <f aca="false">H2754*1000/Parametres!$B$9</f>
        <v>4239.44378497541</v>
      </c>
    </row>
    <row r="2755" customFormat="false" ht="15" hidden="false" customHeight="false" outlineLevel="0" collapsed="false">
      <c r="A2755" s="0" t="n">
        <v>2751</v>
      </c>
      <c r="B2755" s="0" t="n">
        <v>4</v>
      </c>
      <c r="C2755" s="19" t="n">
        <v>0.9301</v>
      </c>
      <c r="D2755" s="19" t="n">
        <v>1</v>
      </c>
      <c r="E2755" s="20" t="n">
        <f aca="false">Parametres!$B$5*C2755</f>
        <v>279.03</v>
      </c>
      <c r="F2755" s="20" t="n">
        <f aca="false">Parametres!$B$6*D2755</f>
        <v>200</v>
      </c>
      <c r="G2755" s="20" t="n">
        <f aca="false">E2755+F2755</f>
        <v>479.03</v>
      </c>
      <c r="H2755" s="20" t="n">
        <f aca="false">IF(G2755&lt;Parametres!$B$8*Parametres!$B$7,0,MIN(G2755,Parametres!$B$7))</f>
        <v>250</v>
      </c>
      <c r="I2755" s="20" t="n">
        <f aca="false">G2755-H2755</f>
        <v>229.03</v>
      </c>
      <c r="J2755" s="21" t="n">
        <f aca="false">H2755*1000/Parametres!$B$9</f>
        <v>4239.44378497541</v>
      </c>
    </row>
    <row r="2756" customFormat="false" ht="15" hidden="false" customHeight="false" outlineLevel="0" collapsed="false">
      <c r="A2756" s="0" t="n">
        <v>2752</v>
      </c>
      <c r="B2756" s="0" t="n">
        <v>4</v>
      </c>
      <c r="C2756" s="19" t="n">
        <v>0.7679</v>
      </c>
      <c r="D2756" s="19" t="n">
        <v>1</v>
      </c>
      <c r="E2756" s="20" t="n">
        <f aca="false">Parametres!$B$5*C2756</f>
        <v>230.37</v>
      </c>
      <c r="F2756" s="20" t="n">
        <f aca="false">Parametres!$B$6*D2756</f>
        <v>200</v>
      </c>
      <c r="G2756" s="20" t="n">
        <f aca="false">E2756+F2756</f>
        <v>430.37</v>
      </c>
      <c r="H2756" s="20" t="n">
        <f aca="false">IF(G2756&lt;Parametres!$B$8*Parametres!$B$7,0,MIN(G2756,Parametres!$B$7))</f>
        <v>250</v>
      </c>
      <c r="I2756" s="20" t="n">
        <f aca="false">G2756-H2756</f>
        <v>180.37</v>
      </c>
      <c r="J2756" s="21" t="n">
        <f aca="false">H2756*1000/Parametres!$B$9</f>
        <v>4239.44378497541</v>
      </c>
    </row>
    <row r="2757" customFormat="false" ht="15" hidden="false" customHeight="false" outlineLevel="0" collapsed="false">
      <c r="A2757" s="0" t="n">
        <v>2753</v>
      </c>
      <c r="B2757" s="0" t="n">
        <v>4</v>
      </c>
      <c r="C2757" s="19" t="n">
        <v>0.498</v>
      </c>
      <c r="D2757" s="19" t="n">
        <v>1</v>
      </c>
      <c r="E2757" s="20" t="n">
        <f aca="false">Parametres!$B$5*C2757</f>
        <v>149.4</v>
      </c>
      <c r="F2757" s="20" t="n">
        <f aca="false">Parametres!$B$6*D2757</f>
        <v>200</v>
      </c>
      <c r="G2757" s="20" t="n">
        <f aca="false">E2757+F2757</f>
        <v>349.4</v>
      </c>
      <c r="H2757" s="20" t="n">
        <f aca="false">IF(G2757&lt;Parametres!$B$8*Parametres!$B$7,0,MIN(G2757,Parametres!$B$7))</f>
        <v>250</v>
      </c>
      <c r="I2757" s="20" t="n">
        <f aca="false">G2757-H2757</f>
        <v>99.4</v>
      </c>
      <c r="J2757" s="21" t="n">
        <f aca="false">H2757*1000/Parametres!$B$9</f>
        <v>4239.44378497541</v>
      </c>
    </row>
    <row r="2758" customFormat="false" ht="15" hidden="false" customHeight="false" outlineLevel="0" collapsed="false">
      <c r="A2758" s="0" t="n">
        <v>2754</v>
      </c>
      <c r="B2758" s="0" t="n">
        <v>4</v>
      </c>
      <c r="C2758" s="19" t="n">
        <v>0.2369</v>
      </c>
      <c r="D2758" s="19" t="n">
        <v>1</v>
      </c>
      <c r="E2758" s="20" t="n">
        <f aca="false">Parametres!$B$5*C2758</f>
        <v>71.07</v>
      </c>
      <c r="F2758" s="20" t="n">
        <f aca="false">Parametres!$B$6*D2758</f>
        <v>200</v>
      </c>
      <c r="G2758" s="20" t="n">
        <f aca="false">E2758+F2758</f>
        <v>271.07</v>
      </c>
      <c r="H2758" s="20" t="n">
        <f aca="false">IF(G2758&lt;Parametres!$B$8*Parametres!$B$7,0,MIN(G2758,Parametres!$B$7))</f>
        <v>250</v>
      </c>
      <c r="I2758" s="20" t="n">
        <f aca="false">G2758-H2758</f>
        <v>21.07</v>
      </c>
      <c r="J2758" s="21" t="n">
        <f aca="false">H2758*1000/Parametres!$B$9</f>
        <v>4239.44378497541</v>
      </c>
    </row>
    <row r="2759" customFormat="false" ht="15" hidden="false" customHeight="false" outlineLevel="0" collapsed="false">
      <c r="A2759" s="0" t="n">
        <v>2755</v>
      </c>
      <c r="B2759" s="0" t="n">
        <v>4</v>
      </c>
      <c r="C2759" s="19" t="n">
        <v>0</v>
      </c>
      <c r="D2759" s="19" t="n">
        <v>1</v>
      </c>
      <c r="E2759" s="20" t="n">
        <f aca="false">Parametres!$B$5*C2759</f>
        <v>0</v>
      </c>
      <c r="F2759" s="20" t="n">
        <f aca="false">Parametres!$B$6*D2759</f>
        <v>200</v>
      </c>
      <c r="G2759" s="20" t="n">
        <f aca="false">E2759+F2759</f>
        <v>200</v>
      </c>
      <c r="H2759" s="20" t="n">
        <f aca="false">IF(G2759&lt;Parametres!$B$8*Parametres!$B$7,0,MIN(G2759,Parametres!$B$7))</f>
        <v>200</v>
      </c>
      <c r="I2759" s="20" t="n">
        <f aca="false">G2759-H2759</f>
        <v>0</v>
      </c>
      <c r="J2759" s="21" t="n">
        <f aca="false">H2759*1000/Parametres!$B$9</f>
        <v>3391.55502798033</v>
      </c>
    </row>
    <row r="2760" customFormat="false" ht="15" hidden="false" customHeight="false" outlineLevel="0" collapsed="false">
      <c r="A2760" s="0" t="n">
        <v>2756</v>
      </c>
      <c r="B2760" s="0" t="n">
        <v>4</v>
      </c>
      <c r="C2760" s="19" t="n">
        <v>0</v>
      </c>
      <c r="D2760" s="19" t="n">
        <v>1</v>
      </c>
      <c r="E2760" s="20" t="n">
        <f aca="false">Parametres!$B$5*C2760</f>
        <v>0</v>
      </c>
      <c r="F2760" s="20" t="n">
        <f aca="false">Parametres!$B$6*D2760</f>
        <v>200</v>
      </c>
      <c r="G2760" s="20" t="n">
        <f aca="false">E2760+F2760</f>
        <v>200</v>
      </c>
      <c r="H2760" s="20" t="n">
        <f aca="false">IF(G2760&lt;Parametres!$B$8*Parametres!$B$7,0,MIN(G2760,Parametres!$B$7))</f>
        <v>200</v>
      </c>
      <c r="I2760" s="20" t="n">
        <f aca="false">G2760-H2760</f>
        <v>0</v>
      </c>
      <c r="J2760" s="21" t="n">
        <f aca="false">H2760*1000/Parametres!$B$9</f>
        <v>3391.55502798033</v>
      </c>
    </row>
    <row r="2761" customFormat="false" ht="15" hidden="false" customHeight="false" outlineLevel="0" collapsed="false">
      <c r="A2761" s="0" t="n">
        <v>2757</v>
      </c>
      <c r="B2761" s="0" t="n">
        <v>4</v>
      </c>
      <c r="C2761" s="19" t="n">
        <v>0</v>
      </c>
      <c r="D2761" s="19" t="n">
        <v>1</v>
      </c>
      <c r="E2761" s="20" t="n">
        <f aca="false">Parametres!$B$5*C2761</f>
        <v>0</v>
      </c>
      <c r="F2761" s="20" t="n">
        <f aca="false">Parametres!$B$6*D2761</f>
        <v>200</v>
      </c>
      <c r="G2761" s="20" t="n">
        <f aca="false">E2761+F2761</f>
        <v>200</v>
      </c>
      <c r="H2761" s="20" t="n">
        <f aca="false">IF(G2761&lt;Parametres!$B$8*Parametres!$B$7,0,MIN(G2761,Parametres!$B$7))</f>
        <v>200</v>
      </c>
      <c r="I2761" s="20" t="n">
        <f aca="false">G2761-H2761</f>
        <v>0</v>
      </c>
      <c r="J2761" s="21" t="n">
        <f aca="false">H2761*1000/Parametres!$B$9</f>
        <v>3391.55502798033</v>
      </c>
    </row>
    <row r="2762" customFormat="false" ht="15" hidden="false" customHeight="false" outlineLevel="0" collapsed="false">
      <c r="A2762" s="0" t="n">
        <v>2758</v>
      </c>
      <c r="B2762" s="0" t="n">
        <v>4</v>
      </c>
      <c r="C2762" s="19" t="n">
        <v>0</v>
      </c>
      <c r="D2762" s="19" t="n">
        <v>1</v>
      </c>
      <c r="E2762" s="20" t="n">
        <f aca="false">Parametres!$B$5*C2762</f>
        <v>0</v>
      </c>
      <c r="F2762" s="20" t="n">
        <f aca="false">Parametres!$B$6*D2762</f>
        <v>200</v>
      </c>
      <c r="G2762" s="20" t="n">
        <f aca="false">E2762+F2762</f>
        <v>200</v>
      </c>
      <c r="H2762" s="20" t="n">
        <f aca="false">IF(G2762&lt;Parametres!$B$8*Parametres!$B$7,0,MIN(G2762,Parametres!$B$7))</f>
        <v>200</v>
      </c>
      <c r="I2762" s="20" t="n">
        <f aca="false">G2762-H2762</f>
        <v>0</v>
      </c>
      <c r="J2762" s="21" t="n">
        <f aca="false">H2762*1000/Parametres!$B$9</f>
        <v>3391.55502798033</v>
      </c>
    </row>
    <row r="2763" customFormat="false" ht="15" hidden="false" customHeight="false" outlineLevel="0" collapsed="false">
      <c r="A2763" s="0" t="n">
        <v>2759</v>
      </c>
      <c r="B2763" s="0" t="n">
        <v>4</v>
      </c>
      <c r="C2763" s="19" t="n">
        <v>0</v>
      </c>
      <c r="D2763" s="19" t="n">
        <v>1</v>
      </c>
      <c r="E2763" s="20" t="n">
        <f aca="false">Parametres!$B$5*C2763</f>
        <v>0</v>
      </c>
      <c r="F2763" s="20" t="n">
        <f aca="false">Parametres!$B$6*D2763</f>
        <v>200</v>
      </c>
      <c r="G2763" s="20" t="n">
        <f aca="false">E2763+F2763</f>
        <v>200</v>
      </c>
      <c r="H2763" s="20" t="n">
        <f aca="false">IF(G2763&lt;Parametres!$B$8*Parametres!$B$7,0,MIN(G2763,Parametres!$B$7))</f>
        <v>200</v>
      </c>
      <c r="I2763" s="20" t="n">
        <f aca="false">G2763-H2763</f>
        <v>0</v>
      </c>
      <c r="J2763" s="21" t="n">
        <f aca="false">H2763*1000/Parametres!$B$9</f>
        <v>3391.55502798033</v>
      </c>
    </row>
    <row r="2764" customFormat="false" ht="15" hidden="false" customHeight="false" outlineLevel="0" collapsed="false">
      <c r="A2764" s="0" t="n">
        <v>2760</v>
      </c>
      <c r="B2764" s="0" t="n">
        <v>4</v>
      </c>
      <c r="C2764" s="19" t="n">
        <v>0</v>
      </c>
      <c r="D2764" s="19" t="n">
        <v>1</v>
      </c>
      <c r="E2764" s="20" t="n">
        <f aca="false">Parametres!$B$5*C2764</f>
        <v>0</v>
      </c>
      <c r="F2764" s="20" t="n">
        <f aca="false">Parametres!$B$6*D2764</f>
        <v>200</v>
      </c>
      <c r="G2764" s="20" t="n">
        <f aca="false">E2764+F2764</f>
        <v>200</v>
      </c>
      <c r="H2764" s="20" t="n">
        <f aca="false">IF(G2764&lt;Parametres!$B$8*Parametres!$B$7,0,MIN(G2764,Parametres!$B$7))</f>
        <v>200</v>
      </c>
      <c r="I2764" s="20" t="n">
        <f aca="false">G2764-H2764</f>
        <v>0</v>
      </c>
      <c r="J2764" s="21" t="n">
        <f aca="false">H2764*1000/Parametres!$B$9</f>
        <v>3391.55502798033</v>
      </c>
    </row>
    <row r="2765" customFormat="false" ht="15" hidden="false" customHeight="false" outlineLevel="0" collapsed="false">
      <c r="A2765" s="0" t="n">
        <v>2761</v>
      </c>
      <c r="B2765" s="0" t="n">
        <v>4</v>
      </c>
      <c r="C2765" s="19" t="n">
        <v>0</v>
      </c>
      <c r="D2765" s="19" t="n">
        <v>1</v>
      </c>
      <c r="E2765" s="20" t="n">
        <f aca="false">Parametres!$B$5*C2765</f>
        <v>0</v>
      </c>
      <c r="F2765" s="20" t="n">
        <f aca="false">Parametres!$B$6*D2765</f>
        <v>200</v>
      </c>
      <c r="G2765" s="20" t="n">
        <f aca="false">E2765+F2765</f>
        <v>200</v>
      </c>
      <c r="H2765" s="20" t="n">
        <f aca="false">IF(G2765&lt;Parametres!$B$8*Parametres!$B$7,0,MIN(G2765,Parametres!$B$7))</f>
        <v>200</v>
      </c>
      <c r="I2765" s="20" t="n">
        <f aca="false">G2765-H2765</f>
        <v>0</v>
      </c>
      <c r="J2765" s="21" t="n">
        <f aca="false">H2765*1000/Parametres!$B$9</f>
        <v>3391.55502798033</v>
      </c>
    </row>
    <row r="2766" customFormat="false" ht="15" hidden="false" customHeight="false" outlineLevel="0" collapsed="false">
      <c r="A2766" s="0" t="n">
        <v>2762</v>
      </c>
      <c r="B2766" s="0" t="n">
        <v>4</v>
      </c>
      <c r="C2766" s="19" t="n">
        <v>0</v>
      </c>
      <c r="D2766" s="19" t="n">
        <v>1</v>
      </c>
      <c r="E2766" s="20" t="n">
        <f aca="false">Parametres!$B$5*C2766</f>
        <v>0</v>
      </c>
      <c r="F2766" s="20" t="n">
        <f aca="false">Parametres!$B$6*D2766</f>
        <v>200</v>
      </c>
      <c r="G2766" s="20" t="n">
        <f aca="false">E2766+F2766</f>
        <v>200</v>
      </c>
      <c r="H2766" s="20" t="n">
        <f aca="false">IF(G2766&lt;Parametres!$B$8*Parametres!$B$7,0,MIN(G2766,Parametres!$B$7))</f>
        <v>200</v>
      </c>
      <c r="I2766" s="20" t="n">
        <f aca="false">G2766-H2766</f>
        <v>0</v>
      </c>
      <c r="J2766" s="21" t="n">
        <f aca="false">H2766*1000/Parametres!$B$9</f>
        <v>3391.55502798033</v>
      </c>
    </row>
    <row r="2767" customFormat="false" ht="15" hidden="false" customHeight="false" outlineLevel="0" collapsed="false">
      <c r="A2767" s="0" t="n">
        <v>2763</v>
      </c>
      <c r="B2767" s="0" t="n">
        <v>4</v>
      </c>
      <c r="C2767" s="19" t="n">
        <v>0</v>
      </c>
      <c r="D2767" s="19" t="n">
        <v>1</v>
      </c>
      <c r="E2767" s="20" t="n">
        <f aca="false">Parametres!$B$5*C2767</f>
        <v>0</v>
      </c>
      <c r="F2767" s="20" t="n">
        <f aca="false">Parametres!$B$6*D2767</f>
        <v>200</v>
      </c>
      <c r="G2767" s="20" t="n">
        <f aca="false">E2767+F2767</f>
        <v>200</v>
      </c>
      <c r="H2767" s="20" t="n">
        <f aca="false">IF(G2767&lt;Parametres!$B$8*Parametres!$B$7,0,MIN(G2767,Parametres!$B$7))</f>
        <v>200</v>
      </c>
      <c r="I2767" s="20" t="n">
        <f aca="false">G2767-H2767</f>
        <v>0</v>
      </c>
      <c r="J2767" s="21" t="n">
        <f aca="false">H2767*1000/Parametres!$B$9</f>
        <v>3391.55502798033</v>
      </c>
    </row>
    <row r="2768" customFormat="false" ht="15" hidden="false" customHeight="false" outlineLevel="0" collapsed="false">
      <c r="A2768" s="0" t="n">
        <v>2764</v>
      </c>
      <c r="B2768" s="0" t="n">
        <v>4</v>
      </c>
      <c r="C2768" s="19" t="n">
        <v>0</v>
      </c>
      <c r="D2768" s="19" t="n">
        <v>1</v>
      </c>
      <c r="E2768" s="20" t="n">
        <f aca="false">Parametres!$B$5*C2768</f>
        <v>0</v>
      </c>
      <c r="F2768" s="20" t="n">
        <f aca="false">Parametres!$B$6*D2768</f>
        <v>200</v>
      </c>
      <c r="G2768" s="20" t="n">
        <f aca="false">E2768+F2768</f>
        <v>200</v>
      </c>
      <c r="H2768" s="20" t="n">
        <f aca="false">IF(G2768&lt;Parametres!$B$8*Parametres!$B$7,0,MIN(G2768,Parametres!$B$7))</f>
        <v>200</v>
      </c>
      <c r="I2768" s="20" t="n">
        <f aca="false">G2768-H2768</f>
        <v>0</v>
      </c>
      <c r="J2768" s="21" t="n">
        <f aca="false">H2768*1000/Parametres!$B$9</f>
        <v>3391.55502798033</v>
      </c>
    </row>
    <row r="2769" customFormat="false" ht="15" hidden="false" customHeight="false" outlineLevel="0" collapsed="false">
      <c r="A2769" s="0" t="n">
        <v>2765</v>
      </c>
      <c r="B2769" s="0" t="n">
        <v>4</v>
      </c>
      <c r="C2769" s="19" t="n">
        <v>0</v>
      </c>
      <c r="D2769" s="19" t="n">
        <v>1</v>
      </c>
      <c r="E2769" s="20" t="n">
        <f aca="false">Parametres!$B$5*C2769</f>
        <v>0</v>
      </c>
      <c r="F2769" s="20" t="n">
        <f aca="false">Parametres!$B$6*D2769</f>
        <v>200</v>
      </c>
      <c r="G2769" s="20" t="n">
        <f aca="false">E2769+F2769</f>
        <v>200</v>
      </c>
      <c r="H2769" s="20" t="n">
        <f aca="false">IF(G2769&lt;Parametres!$B$8*Parametres!$B$7,0,MIN(G2769,Parametres!$B$7))</f>
        <v>200</v>
      </c>
      <c r="I2769" s="20" t="n">
        <f aca="false">G2769-H2769</f>
        <v>0</v>
      </c>
      <c r="J2769" s="21" t="n">
        <f aca="false">H2769*1000/Parametres!$B$9</f>
        <v>3391.55502798033</v>
      </c>
    </row>
    <row r="2770" customFormat="false" ht="15" hidden="false" customHeight="false" outlineLevel="0" collapsed="false">
      <c r="A2770" s="0" t="n">
        <v>2766</v>
      </c>
      <c r="B2770" s="0" t="n">
        <v>4</v>
      </c>
      <c r="C2770" s="19" t="n">
        <v>0</v>
      </c>
      <c r="D2770" s="19" t="n">
        <v>1</v>
      </c>
      <c r="E2770" s="20" t="n">
        <f aca="false">Parametres!$B$5*C2770</f>
        <v>0</v>
      </c>
      <c r="F2770" s="20" t="n">
        <f aca="false">Parametres!$B$6*D2770</f>
        <v>200</v>
      </c>
      <c r="G2770" s="20" t="n">
        <f aca="false">E2770+F2770</f>
        <v>200</v>
      </c>
      <c r="H2770" s="20" t="n">
        <f aca="false">IF(G2770&lt;Parametres!$B$8*Parametres!$B$7,0,MIN(G2770,Parametres!$B$7))</f>
        <v>200</v>
      </c>
      <c r="I2770" s="20" t="n">
        <f aca="false">G2770-H2770</f>
        <v>0</v>
      </c>
      <c r="J2770" s="21" t="n">
        <f aca="false">H2770*1000/Parametres!$B$9</f>
        <v>3391.55502798033</v>
      </c>
    </row>
    <row r="2771" customFormat="false" ht="15" hidden="false" customHeight="false" outlineLevel="0" collapsed="false">
      <c r="A2771" s="0" t="n">
        <v>2767</v>
      </c>
      <c r="B2771" s="0" t="n">
        <v>4</v>
      </c>
      <c r="C2771" s="19" t="n">
        <v>0.2134</v>
      </c>
      <c r="D2771" s="19" t="n">
        <v>1</v>
      </c>
      <c r="E2771" s="20" t="n">
        <f aca="false">Parametres!$B$5*C2771</f>
        <v>64.02</v>
      </c>
      <c r="F2771" s="20" t="n">
        <f aca="false">Parametres!$B$6*D2771</f>
        <v>200</v>
      </c>
      <c r="G2771" s="20" t="n">
        <f aca="false">E2771+F2771</f>
        <v>264.02</v>
      </c>
      <c r="H2771" s="20" t="n">
        <f aca="false">IF(G2771&lt;Parametres!$B$8*Parametres!$B$7,0,MIN(G2771,Parametres!$B$7))</f>
        <v>250</v>
      </c>
      <c r="I2771" s="20" t="n">
        <f aca="false">G2771-H2771</f>
        <v>14.02</v>
      </c>
      <c r="J2771" s="21" t="n">
        <f aca="false">H2771*1000/Parametres!$B$9</f>
        <v>4239.44378497541</v>
      </c>
    </row>
    <row r="2772" customFormat="false" ht="15" hidden="false" customHeight="false" outlineLevel="0" collapsed="false">
      <c r="A2772" s="0" t="n">
        <v>2768</v>
      </c>
      <c r="B2772" s="0" t="n">
        <v>4</v>
      </c>
      <c r="C2772" s="19" t="n">
        <v>0.5097</v>
      </c>
      <c r="D2772" s="19" t="n">
        <v>1</v>
      </c>
      <c r="E2772" s="20" t="n">
        <f aca="false">Parametres!$B$5*C2772</f>
        <v>152.91</v>
      </c>
      <c r="F2772" s="20" t="n">
        <f aca="false">Parametres!$B$6*D2772</f>
        <v>200</v>
      </c>
      <c r="G2772" s="20" t="n">
        <f aca="false">E2772+F2772</f>
        <v>352.91</v>
      </c>
      <c r="H2772" s="20" t="n">
        <f aca="false">IF(G2772&lt;Parametres!$B$8*Parametres!$B$7,0,MIN(G2772,Parametres!$B$7))</f>
        <v>250</v>
      </c>
      <c r="I2772" s="20" t="n">
        <f aca="false">G2772-H2772</f>
        <v>102.91</v>
      </c>
      <c r="J2772" s="21" t="n">
        <f aca="false">H2772*1000/Parametres!$B$9</f>
        <v>4239.44378497541</v>
      </c>
    </row>
    <row r="2773" customFormat="false" ht="15" hidden="false" customHeight="false" outlineLevel="0" collapsed="false">
      <c r="A2773" s="0" t="n">
        <v>2769</v>
      </c>
      <c r="B2773" s="0" t="n">
        <v>4</v>
      </c>
      <c r="C2773" s="19" t="n">
        <v>0.7233</v>
      </c>
      <c r="D2773" s="19" t="n">
        <v>1</v>
      </c>
      <c r="E2773" s="20" t="n">
        <f aca="false">Parametres!$B$5*C2773</f>
        <v>216.99</v>
      </c>
      <c r="F2773" s="20" t="n">
        <f aca="false">Parametres!$B$6*D2773</f>
        <v>200</v>
      </c>
      <c r="G2773" s="20" t="n">
        <f aca="false">E2773+F2773</f>
        <v>416.99</v>
      </c>
      <c r="H2773" s="20" t="n">
        <f aca="false">IF(G2773&lt;Parametres!$B$8*Parametres!$B$7,0,MIN(G2773,Parametres!$B$7))</f>
        <v>250</v>
      </c>
      <c r="I2773" s="20" t="n">
        <f aca="false">G2773-H2773</f>
        <v>166.99</v>
      </c>
      <c r="J2773" s="21" t="n">
        <f aca="false">H2773*1000/Parametres!$B$9</f>
        <v>4239.44378497541</v>
      </c>
    </row>
    <row r="2774" customFormat="false" ht="15" hidden="false" customHeight="false" outlineLevel="0" collapsed="false">
      <c r="A2774" s="0" t="n">
        <v>2770</v>
      </c>
      <c r="B2774" s="0" t="n">
        <v>4</v>
      </c>
      <c r="C2774" s="19" t="n">
        <v>1</v>
      </c>
      <c r="D2774" s="19" t="n">
        <v>1</v>
      </c>
      <c r="E2774" s="20" t="n">
        <f aca="false">Parametres!$B$5*C2774</f>
        <v>300</v>
      </c>
      <c r="F2774" s="20" t="n">
        <f aca="false">Parametres!$B$6*D2774</f>
        <v>200</v>
      </c>
      <c r="G2774" s="20" t="n">
        <f aca="false">E2774+F2774</f>
        <v>500</v>
      </c>
      <c r="H2774" s="20" t="n">
        <f aca="false">IF(G2774&lt;Parametres!$B$8*Parametres!$B$7,0,MIN(G2774,Parametres!$B$7))</f>
        <v>250</v>
      </c>
      <c r="I2774" s="20" t="n">
        <f aca="false">G2774-H2774</f>
        <v>250</v>
      </c>
      <c r="J2774" s="21" t="n">
        <f aca="false">H2774*1000/Parametres!$B$9</f>
        <v>4239.44378497541</v>
      </c>
    </row>
    <row r="2775" customFormat="false" ht="15" hidden="false" customHeight="false" outlineLevel="0" collapsed="false">
      <c r="A2775" s="0" t="n">
        <v>2771</v>
      </c>
      <c r="B2775" s="0" t="n">
        <v>4</v>
      </c>
      <c r="C2775" s="19" t="n">
        <v>1</v>
      </c>
      <c r="D2775" s="19" t="n">
        <v>1</v>
      </c>
      <c r="E2775" s="20" t="n">
        <f aca="false">Parametres!$B$5*C2775</f>
        <v>300</v>
      </c>
      <c r="F2775" s="20" t="n">
        <f aca="false">Parametres!$B$6*D2775</f>
        <v>200</v>
      </c>
      <c r="G2775" s="20" t="n">
        <f aca="false">E2775+F2775</f>
        <v>500</v>
      </c>
      <c r="H2775" s="20" t="n">
        <f aca="false">IF(G2775&lt;Parametres!$B$8*Parametres!$B$7,0,MIN(G2775,Parametres!$B$7))</f>
        <v>250</v>
      </c>
      <c r="I2775" s="20" t="n">
        <f aca="false">G2775-H2775</f>
        <v>250</v>
      </c>
      <c r="J2775" s="21" t="n">
        <f aca="false">H2775*1000/Parametres!$B$9</f>
        <v>4239.44378497541</v>
      </c>
    </row>
    <row r="2776" customFormat="false" ht="15" hidden="false" customHeight="false" outlineLevel="0" collapsed="false">
      <c r="A2776" s="0" t="n">
        <v>2772</v>
      </c>
      <c r="B2776" s="0" t="n">
        <v>4</v>
      </c>
      <c r="C2776" s="19" t="n">
        <v>1</v>
      </c>
      <c r="D2776" s="19" t="n">
        <v>1</v>
      </c>
      <c r="E2776" s="20" t="n">
        <f aca="false">Parametres!$B$5*C2776</f>
        <v>300</v>
      </c>
      <c r="F2776" s="20" t="n">
        <f aca="false">Parametres!$B$6*D2776</f>
        <v>200</v>
      </c>
      <c r="G2776" s="20" t="n">
        <f aca="false">E2776+F2776</f>
        <v>500</v>
      </c>
      <c r="H2776" s="20" t="n">
        <f aca="false">IF(G2776&lt;Parametres!$B$8*Parametres!$B$7,0,MIN(G2776,Parametres!$B$7))</f>
        <v>250</v>
      </c>
      <c r="I2776" s="20" t="n">
        <f aca="false">G2776-H2776</f>
        <v>250</v>
      </c>
      <c r="J2776" s="21" t="n">
        <f aca="false">H2776*1000/Parametres!$B$9</f>
        <v>4239.44378497541</v>
      </c>
    </row>
    <row r="2777" customFormat="false" ht="15" hidden="false" customHeight="false" outlineLevel="0" collapsed="false">
      <c r="A2777" s="0" t="n">
        <v>2773</v>
      </c>
      <c r="B2777" s="0" t="n">
        <v>4</v>
      </c>
      <c r="C2777" s="19" t="n">
        <v>1</v>
      </c>
      <c r="D2777" s="19" t="n">
        <v>1</v>
      </c>
      <c r="E2777" s="20" t="n">
        <f aca="false">Parametres!$B$5*C2777</f>
        <v>300</v>
      </c>
      <c r="F2777" s="20" t="n">
        <f aca="false">Parametres!$B$6*D2777</f>
        <v>200</v>
      </c>
      <c r="G2777" s="20" t="n">
        <f aca="false">E2777+F2777</f>
        <v>500</v>
      </c>
      <c r="H2777" s="20" t="n">
        <f aca="false">IF(G2777&lt;Parametres!$B$8*Parametres!$B$7,0,MIN(G2777,Parametres!$B$7))</f>
        <v>250</v>
      </c>
      <c r="I2777" s="20" t="n">
        <f aca="false">G2777-H2777</f>
        <v>250</v>
      </c>
      <c r="J2777" s="21" t="n">
        <f aca="false">H2777*1000/Parametres!$B$9</f>
        <v>4239.44378497541</v>
      </c>
    </row>
    <row r="2778" customFormat="false" ht="15" hidden="false" customHeight="false" outlineLevel="0" collapsed="false">
      <c r="A2778" s="0" t="n">
        <v>2774</v>
      </c>
      <c r="B2778" s="0" t="n">
        <v>4</v>
      </c>
      <c r="C2778" s="19" t="n">
        <v>1</v>
      </c>
      <c r="D2778" s="19" t="n">
        <v>1</v>
      </c>
      <c r="E2778" s="20" t="n">
        <f aca="false">Parametres!$B$5*C2778</f>
        <v>300</v>
      </c>
      <c r="F2778" s="20" t="n">
        <f aca="false">Parametres!$B$6*D2778</f>
        <v>200</v>
      </c>
      <c r="G2778" s="20" t="n">
        <f aca="false">E2778+F2778</f>
        <v>500</v>
      </c>
      <c r="H2778" s="20" t="n">
        <f aca="false">IF(G2778&lt;Parametres!$B$8*Parametres!$B$7,0,MIN(G2778,Parametres!$B$7))</f>
        <v>250</v>
      </c>
      <c r="I2778" s="20" t="n">
        <f aca="false">G2778-H2778</f>
        <v>250</v>
      </c>
      <c r="J2778" s="21" t="n">
        <f aca="false">H2778*1000/Parametres!$B$9</f>
        <v>4239.44378497541</v>
      </c>
    </row>
    <row r="2779" customFormat="false" ht="15" hidden="false" customHeight="false" outlineLevel="0" collapsed="false">
      <c r="A2779" s="0" t="n">
        <v>2775</v>
      </c>
      <c r="B2779" s="0" t="n">
        <v>4</v>
      </c>
      <c r="C2779" s="19" t="n">
        <v>0.9661</v>
      </c>
      <c r="D2779" s="19" t="n">
        <v>1</v>
      </c>
      <c r="E2779" s="20" t="n">
        <f aca="false">Parametres!$B$5*C2779</f>
        <v>289.83</v>
      </c>
      <c r="F2779" s="20" t="n">
        <f aca="false">Parametres!$B$6*D2779</f>
        <v>200</v>
      </c>
      <c r="G2779" s="20" t="n">
        <f aca="false">E2779+F2779</f>
        <v>489.83</v>
      </c>
      <c r="H2779" s="20" t="n">
        <f aca="false">IF(G2779&lt;Parametres!$B$8*Parametres!$B$7,0,MIN(G2779,Parametres!$B$7))</f>
        <v>250</v>
      </c>
      <c r="I2779" s="20" t="n">
        <f aca="false">G2779-H2779</f>
        <v>239.83</v>
      </c>
      <c r="J2779" s="21" t="n">
        <f aca="false">H2779*1000/Parametres!$B$9</f>
        <v>4239.44378497541</v>
      </c>
    </row>
    <row r="2780" customFormat="false" ht="15" hidden="false" customHeight="false" outlineLevel="0" collapsed="false">
      <c r="A2780" s="0" t="n">
        <v>2776</v>
      </c>
      <c r="B2780" s="0" t="n">
        <v>4</v>
      </c>
      <c r="C2780" s="19" t="n">
        <v>0.7453</v>
      </c>
      <c r="D2780" s="19" t="n">
        <v>1</v>
      </c>
      <c r="E2780" s="20" t="n">
        <f aca="false">Parametres!$B$5*C2780</f>
        <v>223.59</v>
      </c>
      <c r="F2780" s="20" t="n">
        <f aca="false">Parametres!$B$6*D2780</f>
        <v>200</v>
      </c>
      <c r="G2780" s="20" t="n">
        <f aca="false">E2780+F2780</f>
        <v>423.59</v>
      </c>
      <c r="H2780" s="20" t="n">
        <f aca="false">IF(G2780&lt;Parametres!$B$8*Parametres!$B$7,0,MIN(G2780,Parametres!$B$7))</f>
        <v>250</v>
      </c>
      <c r="I2780" s="20" t="n">
        <f aca="false">G2780-H2780</f>
        <v>173.59</v>
      </c>
      <c r="J2780" s="21" t="n">
        <f aca="false">H2780*1000/Parametres!$B$9</f>
        <v>4239.44378497541</v>
      </c>
    </row>
    <row r="2781" customFormat="false" ht="15" hidden="false" customHeight="false" outlineLevel="0" collapsed="false">
      <c r="A2781" s="0" t="n">
        <v>2777</v>
      </c>
      <c r="B2781" s="0" t="n">
        <v>4</v>
      </c>
      <c r="C2781" s="19" t="n">
        <v>0.4812</v>
      </c>
      <c r="D2781" s="19" t="n">
        <v>1</v>
      </c>
      <c r="E2781" s="20" t="n">
        <f aca="false">Parametres!$B$5*C2781</f>
        <v>144.36</v>
      </c>
      <c r="F2781" s="20" t="n">
        <f aca="false">Parametres!$B$6*D2781</f>
        <v>200</v>
      </c>
      <c r="G2781" s="20" t="n">
        <f aca="false">E2781+F2781</f>
        <v>344.36</v>
      </c>
      <c r="H2781" s="20" t="n">
        <f aca="false">IF(G2781&lt;Parametres!$B$8*Parametres!$B$7,0,MIN(G2781,Parametres!$B$7))</f>
        <v>250</v>
      </c>
      <c r="I2781" s="20" t="n">
        <f aca="false">G2781-H2781</f>
        <v>94.36</v>
      </c>
      <c r="J2781" s="21" t="n">
        <f aca="false">H2781*1000/Parametres!$B$9</f>
        <v>4239.44378497541</v>
      </c>
    </row>
    <row r="2782" customFormat="false" ht="15" hidden="false" customHeight="false" outlineLevel="0" collapsed="false">
      <c r="A2782" s="0" t="n">
        <v>2778</v>
      </c>
      <c r="B2782" s="0" t="n">
        <v>4</v>
      </c>
      <c r="C2782" s="19" t="n">
        <v>0.2151</v>
      </c>
      <c r="D2782" s="19" t="n">
        <v>1</v>
      </c>
      <c r="E2782" s="20" t="n">
        <f aca="false">Parametres!$B$5*C2782</f>
        <v>64.53</v>
      </c>
      <c r="F2782" s="20" t="n">
        <f aca="false">Parametres!$B$6*D2782</f>
        <v>200</v>
      </c>
      <c r="G2782" s="20" t="n">
        <f aca="false">E2782+F2782</f>
        <v>264.53</v>
      </c>
      <c r="H2782" s="20" t="n">
        <f aca="false">IF(G2782&lt;Parametres!$B$8*Parametres!$B$7,0,MIN(G2782,Parametres!$B$7))</f>
        <v>250</v>
      </c>
      <c r="I2782" s="20" t="n">
        <f aca="false">G2782-H2782</f>
        <v>14.53</v>
      </c>
      <c r="J2782" s="21" t="n">
        <f aca="false">H2782*1000/Parametres!$B$9</f>
        <v>4239.44378497541</v>
      </c>
    </row>
    <row r="2783" customFormat="false" ht="15" hidden="false" customHeight="false" outlineLevel="0" collapsed="false">
      <c r="A2783" s="0" t="n">
        <v>2779</v>
      </c>
      <c r="B2783" s="0" t="n">
        <v>4</v>
      </c>
      <c r="C2783" s="19" t="n">
        <v>0</v>
      </c>
      <c r="D2783" s="19" t="n">
        <v>1</v>
      </c>
      <c r="E2783" s="20" t="n">
        <f aca="false">Parametres!$B$5*C2783</f>
        <v>0</v>
      </c>
      <c r="F2783" s="20" t="n">
        <f aca="false">Parametres!$B$6*D2783</f>
        <v>200</v>
      </c>
      <c r="G2783" s="20" t="n">
        <f aca="false">E2783+F2783</f>
        <v>200</v>
      </c>
      <c r="H2783" s="20" t="n">
        <f aca="false">IF(G2783&lt;Parametres!$B$8*Parametres!$B$7,0,MIN(G2783,Parametres!$B$7))</f>
        <v>200</v>
      </c>
      <c r="I2783" s="20" t="n">
        <f aca="false">G2783-H2783</f>
        <v>0</v>
      </c>
      <c r="J2783" s="21" t="n">
        <f aca="false">H2783*1000/Parametres!$B$9</f>
        <v>3391.55502798033</v>
      </c>
    </row>
    <row r="2784" customFormat="false" ht="15" hidden="false" customHeight="false" outlineLevel="0" collapsed="false">
      <c r="A2784" s="0" t="n">
        <v>2780</v>
      </c>
      <c r="B2784" s="0" t="n">
        <v>4</v>
      </c>
      <c r="C2784" s="19" t="n">
        <v>0</v>
      </c>
      <c r="D2784" s="19" t="n">
        <v>1</v>
      </c>
      <c r="E2784" s="20" t="n">
        <f aca="false">Parametres!$B$5*C2784</f>
        <v>0</v>
      </c>
      <c r="F2784" s="20" t="n">
        <f aca="false">Parametres!$B$6*D2784</f>
        <v>200</v>
      </c>
      <c r="G2784" s="20" t="n">
        <f aca="false">E2784+F2784</f>
        <v>200</v>
      </c>
      <c r="H2784" s="20" t="n">
        <f aca="false">IF(G2784&lt;Parametres!$B$8*Parametres!$B$7,0,MIN(G2784,Parametres!$B$7))</f>
        <v>200</v>
      </c>
      <c r="I2784" s="20" t="n">
        <f aca="false">G2784-H2784</f>
        <v>0</v>
      </c>
      <c r="J2784" s="21" t="n">
        <f aca="false">H2784*1000/Parametres!$B$9</f>
        <v>3391.55502798033</v>
      </c>
    </row>
    <row r="2785" customFormat="false" ht="15" hidden="false" customHeight="false" outlineLevel="0" collapsed="false">
      <c r="A2785" s="0" t="n">
        <v>2781</v>
      </c>
      <c r="B2785" s="0" t="n">
        <v>4</v>
      </c>
      <c r="C2785" s="19" t="n">
        <v>0</v>
      </c>
      <c r="D2785" s="19" t="n">
        <v>1</v>
      </c>
      <c r="E2785" s="20" t="n">
        <f aca="false">Parametres!$B$5*C2785</f>
        <v>0</v>
      </c>
      <c r="F2785" s="20" t="n">
        <f aca="false">Parametres!$B$6*D2785</f>
        <v>200</v>
      </c>
      <c r="G2785" s="20" t="n">
        <f aca="false">E2785+F2785</f>
        <v>200</v>
      </c>
      <c r="H2785" s="20" t="n">
        <f aca="false">IF(G2785&lt;Parametres!$B$8*Parametres!$B$7,0,MIN(G2785,Parametres!$B$7))</f>
        <v>200</v>
      </c>
      <c r="I2785" s="20" t="n">
        <f aca="false">G2785-H2785</f>
        <v>0</v>
      </c>
      <c r="J2785" s="21" t="n">
        <f aca="false">H2785*1000/Parametres!$B$9</f>
        <v>3391.55502798033</v>
      </c>
    </row>
    <row r="2786" customFormat="false" ht="15" hidden="false" customHeight="false" outlineLevel="0" collapsed="false">
      <c r="A2786" s="0" t="n">
        <v>2782</v>
      </c>
      <c r="B2786" s="0" t="n">
        <v>4</v>
      </c>
      <c r="C2786" s="19" t="n">
        <v>0</v>
      </c>
      <c r="D2786" s="19" t="n">
        <v>1</v>
      </c>
      <c r="E2786" s="20" t="n">
        <f aca="false">Parametres!$B$5*C2786</f>
        <v>0</v>
      </c>
      <c r="F2786" s="20" t="n">
        <f aca="false">Parametres!$B$6*D2786</f>
        <v>200</v>
      </c>
      <c r="G2786" s="20" t="n">
        <f aca="false">E2786+F2786</f>
        <v>200</v>
      </c>
      <c r="H2786" s="20" t="n">
        <f aca="false">IF(G2786&lt;Parametres!$B$8*Parametres!$B$7,0,MIN(G2786,Parametres!$B$7))</f>
        <v>200</v>
      </c>
      <c r="I2786" s="20" t="n">
        <f aca="false">G2786-H2786</f>
        <v>0</v>
      </c>
      <c r="J2786" s="21" t="n">
        <f aca="false">H2786*1000/Parametres!$B$9</f>
        <v>3391.55502798033</v>
      </c>
    </row>
    <row r="2787" customFormat="false" ht="15" hidden="false" customHeight="false" outlineLevel="0" collapsed="false">
      <c r="A2787" s="0" t="n">
        <v>2783</v>
      </c>
      <c r="B2787" s="0" t="n">
        <v>4</v>
      </c>
      <c r="C2787" s="19" t="n">
        <v>0</v>
      </c>
      <c r="D2787" s="19" t="n">
        <v>1</v>
      </c>
      <c r="E2787" s="20" t="n">
        <f aca="false">Parametres!$B$5*C2787</f>
        <v>0</v>
      </c>
      <c r="F2787" s="20" t="n">
        <f aca="false">Parametres!$B$6*D2787</f>
        <v>200</v>
      </c>
      <c r="G2787" s="20" t="n">
        <f aca="false">E2787+F2787</f>
        <v>200</v>
      </c>
      <c r="H2787" s="20" t="n">
        <f aca="false">IF(G2787&lt;Parametres!$B$8*Parametres!$B$7,0,MIN(G2787,Parametres!$B$7))</f>
        <v>200</v>
      </c>
      <c r="I2787" s="20" t="n">
        <f aca="false">G2787-H2787</f>
        <v>0</v>
      </c>
      <c r="J2787" s="21" t="n">
        <f aca="false">H2787*1000/Parametres!$B$9</f>
        <v>3391.55502798033</v>
      </c>
    </row>
    <row r="2788" customFormat="false" ht="15" hidden="false" customHeight="false" outlineLevel="0" collapsed="false">
      <c r="A2788" s="0" t="n">
        <v>2784</v>
      </c>
      <c r="B2788" s="0" t="n">
        <v>4</v>
      </c>
      <c r="C2788" s="19" t="n">
        <v>0</v>
      </c>
      <c r="D2788" s="19" t="n">
        <v>1</v>
      </c>
      <c r="E2788" s="20" t="n">
        <f aca="false">Parametres!$B$5*C2788</f>
        <v>0</v>
      </c>
      <c r="F2788" s="20" t="n">
        <f aca="false">Parametres!$B$6*D2788</f>
        <v>200</v>
      </c>
      <c r="G2788" s="20" t="n">
        <f aca="false">E2788+F2788</f>
        <v>200</v>
      </c>
      <c r="H2788" s="20" t="n">
        <f aca="false">IF(G2788&lt;Parametres!$B$8*Parametres!$B$7,0,MIN(G2788,Parametres!$B$7))</f>
        <v>200</v>
      </c>
      <c r="I2788" s="20" t="n">
        <f aca="false">G2788-H2788</f>
        <v>0</v>
      </c>
      <c r="J2788" s="21" t="n">
        <f aca="false">H2788*1000/Parametres!$B$9</f>
        <v>3391.55502798033</v>
      </c>
    </row>
    <row r="2789" customFormat="false" ht="15" hidden="false" customHeight="false" outlineLevel="0" collapsed="false">
      <c r="A2789" s="0" t="n">
        <v>2785</v>
      </c>
      <c r="B2789" s="0" t="n">
        <v>4</v>
      </c>
      <c r="C2789" s="19" t="n">
        <v>0</v>
      </c>
      <c r="D2789" s="19" t="n">
        <v>1</v>
      </c>
      <c r="E2789" s="20" t="n">
        <f aca="false">Parametres!$B$5*C2789</f>
        <v>0</v>
      </c>
      <c r="F2789" s="20" t="n">
        <f aca="false">Parametres!$B$6*D2789</f>
        <v>200</v>
      </c>
      <c r="G2789" s="20" t="n">
        <f aca="false">E2789+F2789</f>
        <v>200</v>
      </c>
      <c r="H2789" s="20" t="n">
        <f aca="false">IF(G2789&lt;Parametres!$B$8*Parametres!$B$7,0,MIN(G2789,Parametres!$B$7))</f>
        <v>200</v>
      </c>
      <c r="I2789" s="20" t="n">
        <f aca="false">G2789-H2789</f>
        <v>0</v>
      </c>
      <c r="J2789" s="21" t="n">
        <f aca="false">H2789*1000/Parametres!$B$9</f>
        <v>3391.55502798033</v>
      </c>
    </row>
    <row r="2790" customFormat="false" ht="15" hidden="false" customHeight="false" outlineLevel="0" collapsed="false">
      <c r="A2790" s="0" t="n">
        <v>2786</v>
      </c>
      <c r="B2790" s="0" t="n">
        <v>4</v>
      </c>
      <c r="C2790" s="19" t="n">
        <v>0</v>
      </c>
      <c r="D2790" s="19" t="n">
        <v>1</v>
      </c>
      <c r="E2790" s="20" t="n">
        <f aca="false">Parametres!$B$5*C2790</f>
        <v>0</v>
      </c>
      <c r="F2790" s="20" t="n">
        <f aca="false">Parametres!$B$6*D2790</f>
        <v>200</v>
      </c>
      <c r="G2790" s="20" t="n">
        <f aca="false">E2790+F2790</f>
        <v>200</v>
      </c>
      <c r="H2790" s="20" t="n">
        <f aca="false">IF(G2790&lt;Parametres!$B$8*Parametres!$B$7,0,MIN(G2790,Parametres!$B$7))</f>
        <v>200</v>
      </c>
      <c r="I2790" s="20" t="n">
        <f aca="false">G2790-H2790</f>
        <v>0</v>
      </c>
      <c r="J2790" s="21" t="n">
        <f aca="false">H2790*1000/Parametres!$B$9</f>
        <v>3391.55502798033</v>
      </c>
    </row>
    <row r="2791" customFormat="false" ht="15" hidden="false" customHeight="false" outlineLevel="0" collapsed="false">
      <c r="A2791" s="0" t="n">
        <v>2787</v>
      </c>
      <c r="B2791" s="0" t="n">
        <v>4</v>
      </c>
      <c r="C2791" s="19" t="n">
        <v>0</v>
      </c>
      <c r="D2791" s="19" t="n">
        <v>1</v>
      </c>
      <c r="E2791" s="20" t="n">
        <f aca="false">Parametres!$B$5*C2791</f>
        <v>0</v>
      </c>
      <c r="F2791" s="20" t="n">
        <f aca="false">Parametres!$B$6*D2791</f>
        <v>200</v>
      </c>
      <c r="G2791" s="20" t="n">
        <f aca="false">E2791+F2791</f>
        <v>200</v>
      </c>
      <c r="H2791" s="20" t="n">
        <f aca="false">IF(G2791&lt;Parametres!$B$8*Parametres!$B$7,0,MIN(G2791,Parametres!$B$7))</f>
        <v>200</v>
      </c>
      <c r="I2791" s="20" t="n">
        <f aca="false">G2791-H2791</f>
        <v>0</v>
      </c>
      <c r="J2791" s="21" t="n">
        <f aca="false">H2791*1000/Parametres!$B$9</f>
        <v>3391.55502798033</v>
      </c>
    </row>
    <row r="2792" customFormat="false" ht="15" hidden="false" customHeight="false" outlineLevel="0" collapsed="false">
      <c r="A2792" s="0" t="n">
        <v>2788</v>
      </c>
      <c r="B2792" s="0" t="n">
        <v>4</v>
      </c>
      <c r="C2792" s="19" t="n">
        <v>0</v>
      </c>
      <c r="D2792" s="19" t="n">
        <v>1</v>
      </c>
      <c r="E2792" s="20" t="n">
        <f aca="false">Parametres!$B$5*C2792</f>
        <v>0</v>
      </c>
      <c r="F2792" s="20" t="n">
        <f aca="false">Parametres!$B$6*D2792</f>
        <v>200</v>
      </c>
      <c r="G2792" s="20" t="n">
        <f aca="false">E2792+F2792</f>
        <v>200</v>
      </c>
      <c r="H2792" s="20" t="n">
        <f aca="false">IF(G2792&lt;Parametres!$B$8*Parametres!$B$7,0,MIN(G2792,Parametres!$B$7))</f>
        <v>200</v>
      </c>
      <c r="I2792" s="20" t="n">
        <f aca="false">G2792-H2792</f>
        <v>0</v>
      </c>
      <c r="J2792" s="21" t="n">
        <f aca="false">H2792*1000/Parametres!$B$9</f>
        <v>3391.55502798033</v>
      </c>
    </row>
    <row r="2793" customFormat="false" ht="15" hidden="false" customHeight="false" outlineLevel="0" collapsed="false">
      <c r="A2793" s="0" t="n">
        <v>2789</v>
      </c>
      <c r="B2793" s="0" t="n">
        <v>4</v>
      </c>
      <c r="C2793" s="19" t="n">
        <v>0</v>
      </c>
      <c r="D2793" s="19" t="n">
        <v>1</v>
      </c>
      <c r="E2793" s="20" t="n">
        <f aca="false">Parametres!$B$5*C2793</f>
        <v>0</v>
      </c>
      <c r="F2793" s="20" t="n">
        <f aca="false">Parametres!$B$6*D2793</f>
        <v>200</v>
      </c>
      <c r="G2793" s="20" t="n">
        <f aca="false">E2793+F2793</f>
        <v>200</v>
      </c>
      <c r="H2793" s="20" t="n">
        <f aca="false">IF(G2793&lt;Parametres!$B$8*Parametres!$B$7,0,MIN(G2793,Parametres!$B$7))</f>
        <v>200</v>
      </c>
      <c r="I2793" s="20" t="n">
        <f aca="false">G2793-H2793</f>
        <v>0</v>
      </c>
      <c r="J2793" s="21" t="n">
        <f aca="false">H2793*1000/Parametres!$B$9</f>
        <v>3391.55502798033</v>
      </c>
    </row>
    <row r="2794" customFormat="false" ht="15" hidden="false" customHeight="false" outlineLevel="0" collapsed="false">
      <c r="A2794" s="0" t="n">
        <v>2790</v>
      </c>
      <c r="B2794" s="0" t="n">
        <v>4</v>
      </c>
      <c r="C2794" s="19" t="n">
        <v>0</v>
      </c>
      <c r="D2794" s="19" t="n">
        <v>1</v>
      </c>
      <c r="E2794" s="20" t="n">
        <f aca="false">Parametres!$B$5*C2794</f>
        <v>0</v>
      </c>
      <c r="F2794" s="20" t="n">
        <f aca="false">Parametres!$B$6*D2794</f>
        <v>200</v>
      </c>
      <c r="G2794" s="20" t="n">
        <f aca="false">E2794+F2794</f>
        <v>200</v>
      </c>
      <c r="H2794" s="20" t="n">
        <f aca="false">IF(G2794&lt;Parametres!$B$8*Parametres!$B$7,0,MIN(G2794,Parametres!$B$7))</f>
        <v>200</v>
      </c>
      <c r="I2794" s="20" t="n">
        <f aca="false">G2794-H2794</f>
        <v>0</v>
      </c>
      <c r="J2794" s="21" t="n">
        <f aca="false">H2794*1000/Parametres!$B$9</f>
        <v>3391.55502798033</v>
      </c>
    </row>
    <row r="2795" customFormat="false" ht="15" hidden="false" customHeight="false" outlineLevel="0" collapsed="false">
      <c r="A2795" s="0" t="n">
        <v>2791</v>
      </c>
      <c r="B2795" s="0" t="n">
        <v>4</v>
      </c>
      <c r="C2795" s="19" t="n">
        <v>0.1974</v>
      </c>
      <c r="D2795" s="19" t="n">
        <v>0.8774</v>
      </c>
      <c r="E2795" s="20" t="n">
        <f aca="false">Parametres!$B$5*C2795</f>
        <v>59.22</v>
      </c>
      <c r="F2795" s="20" t="n">
        <f aca="false">Parametres!$B$6*D2795</f>
        <v>175.48</v>
      </c>
      <c r="G2795" s="20" t="n">
        <f aca="false">E2795+F2795</f>
        <v>234.7</v>
      </c>
      <c r="H2795" s="20" t="n">
        <f aca="false">IF(G2795&lt;Parametres!$B$8*Parametres!$B$7,0,MIN(G2795,Parametres!$B$7))</f>
        <v>234.7</v>
      </c>
      <c r="I2795" s="20" t="n">
        <f aca="false">G2795-H2795</f>
        <v>0</v>
      </c>
      <c r="J2795" s="21" t="n">
        <f aca="false">H2795*1000/Parametres!$B$9</f>
        <v>3979.98982533492</v>
      </c>
    </row>
    <row r="2796" customFormat="false" ht="15" hidden="false" customHeight="false" outlineLevel="0" collapsed="false">
      <c r="A2796" s="0" t="n">
        <v>2792</v>
      </c>
      <c r="B2796" s="0" t="n">
        <v>4</v>
      </c>
      <c r="C2796" s="19" t="n">
        <v>0.4502</v>
      </c>
      <c r="D2796" s="19" t="n">
        <v>1</v>
      </c>
      <c r="E2796" s="20" t="n">
        <f aca="false">Parametres!$B$5*C2796</f>
        <v>135.06</v>
      </c>
      <c r="F2796" s="20" t="n">
        <f aca="false">Parametres!$B$6*D2796</f>
        <v>200</v>
      </c>
      <c r="G2796" s="20" t="n">
        <f aca="false">E2796+F2796</f>
        <v>335.06</v>
      </c>
      <c r="H2796" s="20" t="n">
        <f aca="false">IF(G2796&lt;Parametres!$B$8*Parametres!$B$7,0,MIN(G2796,Parametres!$B$7))</f>
        <v>250</v>
      </c>
      <c r="I2796" s="20" t="n">
        <f aca="false">G2796-H2796</f>
        <v>85.06</v>
      </c>
      <c r="J2796" s="21" t="n">
        <f aca="false">H2796*1000/Parametres!$B$9</f>
        <v>4239.44378497541</v>
      </c>
    </row>
    <row r="2797" customFormat="false" ht="15" hidden="false" customHeight="false" outlineLevel="0" collapsed="false">
      <c r="A2797" s="0" t="n">
        <v>2793</v>
      </c>
      <c r="B2797" s="0" t="n">
        <v>4</v>
      </c>
      <c r="C2797" s="19" t="n">
        <v>0.6319</v>
      </c>
      <c r="D2797" s="19" t="n">
        <v>0.9573</v>
      </c>
      <c r="E2797" s="20" t="n">
        <f aca="false">Parametres!$B$5*C2797</f>
        <v>189.57</v>
      </c>
      <c r="F2797" s="20" t="n">
        <f aca="false">Parametres!$B$6*D2797</f>
        <v>191.46</v>
      </c>
      <c r="G2797" s="20" t="n">
        <f aca="false">E2797+F2797</f>
        <v>381.03</v>
      </c>
      <c r="H2797" s="20" t="n">
        <f aca="false">IF(G2797&lt;Parametres!$B$8*Parametres!$B$7,0,MIN(G2797,Parametres!$B$7))</f>
        <v>250</v>
      </c>
      <c r="I2797" s="20" t="n">
        <f aca="false">G2797-H2797</f>
        <v>131.03</v>
      </c>
      <c r="J2797" s="21" t="n">
        <f aca="false">H2797*1000/Parametres!$B$9</f>
        <v>4239.44378497541</v>
      </c>
    </row>
    <row r="2798" customFormat="false" ht="15" hidden="false" customHeight="false" outlineLevel="0" collapsed="false">
      <c r="A2798" s="0" t="n">
        <v>2794</v>
      </c>
      <c r="B2798" s="0" t="n">
        <v>4</v>
      </c>
      <c r="C2798" s="19" t="n">
        <v>0.8435</v>
      </c>
      <c r="D2798" s="19" t="n">
        <v>1</v>
      </c>
      <c r="E2798" s="20" t="n">
        <f aca="false">Parametres!$B$5*C2798</f>
        <v>253.05</v>
      </c>
      <c r="F2798" s="20" t="n">
        <f aca="false">Parametres!$B$6*D2798</f>
        <v>200</v>
      </c>
      <c r="G2798" s="20" t="n">
        <f aca="false">E2798+F2798</f>
        <v>453.05</v>
      </c>
      <c r="H2798" s="20" t="n">
        <f aca="false">IF(G2798&lt;Parametres!$B$8*Parametres!$B$7,0,MIN(G2798,Parametres!$B$7))</f>
        <v>250</v>
      </c>
      <c r="I2798" s="20" t="n">
        <f aca="false">G2798-H2798</f>
        <v>203.05</v>
      </c>
      <c r="J2798" s="21" t="n">
        <f aca="false">H2798*1000/Parametres!$B$9</f>
        <v>4239.44378497541</v>
      </c>
    </row>
    <row r="2799" customFormat="false" ht="15" hidden="false" customHeight="false" outlineLevel="0" collapsed="false">
      <c r="A2799" s="0" t="n">
        <v>2795</v>
      </c>
      <c r="B2799" s="0" t="n">
        <v>4</v>
      </c>
      <c r="C2799" s="19" t="n">
        <v>0.9685</v>
      </c>
      <c r="D2799" s="19" t="n">
        <v>1</v>
      </c>
      <c r="E2799" s="20" t="n">
        <f aca="false">Parametres!$B$5*C2799</f>
        <v>290.55</v>
      </c>
      <c r="F2799" s="20" t="n">
        <f aca="false">Parametres!$B$6*D2799</f>
        <v>200</v>
      </c>
      <c r="G2799" s="20" t="n">
        <f aca="false">E2799+F2799</f>
        <v>490.55</v>
      </c>
      <c r="H2799" s="20" t="n">
        <f aca="false">IF(G2799&lt;Parametres!$B$8*Parametres!$B$7,0,MIN(G2799,Parametres!$B$7))</f>
        <v>250</v>
      </c>
      <c r="I2799" s="20" t="n">
        <f aca="false">G2799-H2799</f>
        <v>240.55</v>
      </c>
      <c r="J2799" s="21" t="n">
        <f aca="false">H2799*1000/Parametres!$B$9</f>
        <v>4239.44378497541</v>
      </c>
    </row>
    <row r="2800" customFormat="false" ht="15" hidden="false" customHeight="false" outlineLevel="0" collapsed="false">
      <c r="A2800" s="0" t="n">
        <v>2796</v>
      </c>
      <c r="B2800" s="0" t="n">
        <v>4</v>
      </c>
      <c r="C2800" s="19" t="n">
        <v>1</v>
      </c>
      <c r="D2800" s="19" t="n">
        <v>1</v>
      </c>
      <c r="E2800" s="20" t="n">
        <f aca="false">Parametres!$B$5*C2800</f>
        <v>300</v>
      </c>
      <c r="F2800" s="20" t="n">
        <f aca="false">Parametres!$B$6*D2800</f>
        <v>200</v>
      </c>
      <c r="G2800" s="20" t="n">
        <f aca="false">E2800+F2800</f>
        <v>500</v>
      </c>
      <c r="H2800" s="20" t="n">
        <f aca="false">IF(G2800&lt;Parametres!$B$8*Parametres!$B$7,0,MIN(G2800,Parametres!$B$7))</f>
        <v>250</v>
      </c>
      <c r="I2800" s="20" t="n">
        <f aca="false">G2800-H2800</f>
        <v>250</v>
      </c>
      <c r="J2800" s="21" t="n">
        <f aca="false">H2800*1000/Parametres!$B$9</f>
        <v>4239.44378497541</v>
      </c>
    </row>
    <row r="2801" customFormat="false" ht="15" hidden="false" customHeight="false" outlineLevel="0" collapsed="false">
      <c r="A2801" s="0" t="n">
        <v>2797</v>
      </c>
      <c r="B2801" s="0" t="n">
        <v>4</v>
      </c>
      <c r="C2801" s="19" t="n">
        <v>1</v>
      </c>
      <c r="D2801" s="19" t="n">
        <v>1</v>
      </c>
      <c r="E2801" s="20" t="n">
        <f aca="false">Parametres!$B$5*C2801</f>
        <v>300</v>
      </c>
      <c r="F2801" s="20" t="n">
        <f aca="false">Parametres!$B$6*D2801</f>
        <v>200</v>
      </c>
      <c r="G2801" s="20" t="n">
        <f aca="false">E2801+F2801</f>
        <v>500</v>
      </c>
      <c r="H2801" s="20" t="n">
        <f aca="false">IF(G2801&lt;Parametres!$B$8*Parametres!$B$7,0,MIN(G2801,Parametres!$B$7))</f>
        <v>250</v>
      </c>
      <c r="I2801" s="20" t="n">
        <f aca="false">G2801-H2801</f>
        <v>250</v>
      </c>
      <c r="J2801" s="21" t="n">
        <f aca="false">H2801*1000/Parametres!$B$9</f>
        <v>4239.44378497541</v>
      </c>
    </row>
    <row r="2802" customFormat="false" ht="15" hidden="false" customHeight="false" outlineLevel="0" collapsed="false">
      <c r="A2802" s="0" t="n">
        <v>2798</v>
      </c>
      <c r="B2802" s="0" t="n">
        <v>4</v>
      </c>
      <c r="C2802" s="19" t="n">
        <v>1</v>
      </c>
      <c r="D2802" s="19" t="n">
        <v>1</v>
      </c>
      <c r="E2802" s="20" t="n">
        <f aca="false">Parametres!$B$5*C2802</f>
        <v>300</v>
      </c>
      <c r="F2802" s="20" t="n">
        <f aca="false">Parametres!$B$6*D2802</f>
        <v>200</v>
      </c>
      <c r="G2802" s="20" t="n">
        <f aca="false">E2802+F2802</f>
        <v>500</v>
      </c>
      <c r="H2802" s="20" t="n">
        <f aca="false">IF(G2802&lt;Parametres!$B$8*Parametres!$B$7,0,MIN(G2802,Parametres!$B$7))</f>
        <v>250</v>
      </c>
      <c r="I2802" s="20" t="n">
        <f aca="false">G2802-H2802</f>
        <v>250</v>
      </c>
      <c r="J2802" s="21" t="n">
        <f aca="false">H2802*1000/Parametres!$B$9</f>
        <v>4239.44378497541</v>
      </c>
    </row>
    <row r="2803" customFormat="false" ht="15" hidden="false" customHeight="false" outlineLevel="0" collapsed="false">
      <c r="A2803" s="0" t="n">
        <v>2799</v>
      </c>
      <c r="B2803" s="0" t="n">
        <v>4</v>
      </c>
      <c r="C2803" s="19" t="n">
        <v>0.9034</v>
      </c>
      <c r="D2803" s="19" t="n">
        <v>1</v>
      </c>
      <c r="E2803" s="20" t="n">
        <f aca="false">Parametres!$B$5*C2803</f>
        <v>271.02</v>
      </c>
      <c r="F2803" s="20" t="n">
        <f aca="false">Parametres!$B$6*D2803</f>
        <v>200</v>
      </c>
      <c r="G2803" s="20" t="n">
        <f aca="false">E2803+F2803</f>
        <v>471.02</v>
      </c>
      <c r="H2803" s="20" t="n">
        <f aca="false">IF(G2803&lt;Parametres!$B$8*Parametres!$B$7,0,MIN(G2803,Parametres!$B$7))</f>
        <v>250</v>
      </c>
      <c r="I2803" s="20" t="n">
        <f aca="false">G2803-H2803</f>
        <v>221.02</v>
      </c>
      <c r="J2803" s="21" t="n">
        <f aca="false">H2803*1000/Parametres!$B$9</f>
        <v>4239.44378497541</v>
      </c>
    </row>
    <row r="2804" customFormat="false" ht="15" hidden="false" customHeight="false" outlineLevel="0" collapsed="false">
      <c r="A2804" s="0" t="n">
        <v>2800</v>
      </c>
      <c r="B2804" s="0" t="n">
        <v>4</v>
      </c>
      <c r="C2804" s="19" t="n">
        <v>0.6669</v>
      </c>
      <c r="D2804" s="19" t="n">
        <v>1</v>
      </c>
      <c r="E2804" s="20" t="n">
        <f aca="false">Parametres!$B$5*C2804</f>
        <v>200.07</v>
      </c>
      <c r="F2804" s="20" t="n">
        <f aca="false">Parametres!$B$6*D2804</f>
        <v>200</v>
      </c>
      <c r="G2804" s="20" t="n">
        <f aca="false">E2804+F2804</f>
        <v>400.07</v>
      </c>
      <c r="H2804" s="20" t="n">
        <f aca="false">IF(G2804&lt;Parametres!$B$8*Parametres!$B$7,0,MIN(G2804,Parametres!$B$7))</f>
        <v>250</v>
      </c>
      <c r="I2804" s="20" t="n">
        <f aca="false">G2804-H2804</f>
        <v>150.07</v>
      </c>
      <c r="J2804" s="21" t="n">
        <f aca="false">H2804*1000/Parametres!$B$9</f>
        <v>4239.44378497541</v>
      </c>
    </row>
    <row r="2805" customFormat="false" ht="15" hidden="false" customHeight="false" outlineLevel="0" collapsed="false">
      <c r="A2805" s="0" t="n">
        <v>2801</v>
      </c>
      <c r="B2805" s="0" t="n">
        <v>4</v>
      </c>
      <c r="C2805" s="19" t="n">
        <v>0.4302</v>
      </c>
      <c r="D2805" s="19" t="n">
        <v>0.83</v>
      </c>
      <c r="E2805" s="20" t="n">
        <f aca="false">Parametres!$B$5*C2805</f>
        <v>129.06</v>
      </c>
      <c r="F2805" s="20" t="n">
        <f aca="false">Parametres!$B$6*D2805</f>
        <v>166</v>
      </c>
      <c r="G2805" s="20" t="n">
        <f aca="false">E2805+F2805</f>
        <v>295.06</v>
      </c>
      <c r="H2805" s="20" t="n">
        <f aca="false">IF(G2805&lt;Parametres!$B$8*Parametres!$B$7,0,MIN(G2805,Parametres!$B$7))</f>
        <v>250</v>
      </c>
      <c r="I2805" s="20" t="n">
        <f aca="false">G2805-H2805</f>
        <v>45.06</v>
      </c>
      <c r="J2805" s="21" t="n">
        <f aca="false">H2805*1000/Parametres!$B$9</f>
        <v>4239.44378497541</v>
      </c>
    </row>
    <row r="2806" customFormat="false" ht="15" hidden="false" customHeight="false" outlineLevel="0" collapsed="false">
      <c r="A2806" s="0" t="n">
        <v>2802</v>
      </c>
      <c r="B2806" s="0" t="n">
        <v>4</v>
      </c>
      <c r="C2806" s="19" t="n">
        <v>0.2069</v>
      </c>
      <c r="D2806" s="19" t="n">
        <v>1</v>
      </c>
      <c r="E2806" s="20" t="n">
        <f aca="false">Parametres!$B$5*C2806</f>
        <v>62.07</v>
      </c>
      <c r="F2806" s="20" t="n">
        <f aca="false">Parametres!$B$6*D2806</f>
        <v>200</v>
      </c>
      <c r="G2806" s="20" t="n">
        <f aca="false">E2806+F2806</f>
        <v>262.07</v>
      </c>
      <c r="H2806" s="20" t="n">
        <f aca="false">IF(G2806&lt;Parametres!$B$8*Parametres!$B$7,0,MIN(G2806,Parametres!$B$7))</f>
        <v>250</v>
      </c>
      <c r="I2806" s="20" t="n">
        <f aca="false">G2806-H2806</f>
        <v>12.07</v>
      </c>
      <c r="J2806" s="21" t="n">
        <f aca="false">H2806*1000/Parametres!$B$9</f>
        <v>4239.44378497541</v>
      </c>
    </row>
    <row r="2807" customFormat="false" ht="15" hidden="false" customHeight="false" outlineLevel="0" collapsed="false">
      <c r="A2807" s="0" t="n">
        <v>2803</v>
      </c>
      <c r="B2807" s="0" t="n">
        <v>4</v>
      </c>
      <c r="C2807" s="19" t="n">
        <v>0</v>
      </c>
      <c r="D2807" s="19" t="n">
        <v>1</v>
      </c>
      <c r="E2807" s="20" t="n">
        <f aca="false">Parametres!$B$5*C2807</f>
        <v>0</v>
      </c>
      <c r="F2807" s="20" t="n">
        <f aca="false">Parametres!$B$6*D2807</f>
        <v>200</v>
      </c>
      <c r="G2807" s="20" t="n">
        <f aca="false">E2807+F2807</f>
        <v>200</v>
      </c>
      <c r="H2807" s="20" t="n">
        <f aca="false">IF(G2807&lt;Parametres!$B$8*Parametres!$B$7,0,MIN(G2807,Parametres!$B$7))</f>
        <v>200</v>
      </c>
      <c r="I2807" s="20" t="n">
        <f aca="false">G2807-H2807</f>
        <v>0</v>
      </c>
      <c r="J2807" s="21" t="n">
        <f aca="false">H2807*1000/Parametres!$B$9</f>
        <v>3391.55502798033</v>
      </c>
    </row>
    <row r="2808" customFormat="false" ht="15" hidden="false" customHeight="false" outlineLevel="0" collapsed="false">
      <c r="A2808" s="0" t="n">
        <v>2804</v>
      </c>
      <c r="B2808" s="0" t="n">
        <v>4</v>
      </c>
      <c r="C2808" s="19" t="n">
        <v>0</v>
      </c>
      <c r="D2808" s="19" t="n">
        <v>1</v>
      </c>
      <c r="E2808" s="20" t="n">
        <f aca="false">Parametres!$B$5*C2808</f>
        <v>0</v>
      </c>
      <c r="F2808" s="20" t="n">
        <f aca="false">Parametres!$B$6*D2808</f>
        <v>200</v>
      </c>
      <c r="G2808" s="20" t="n">
        <f aca="false">E2808+F2808</f>
        <v>200</v>
      </c>
      <c r="H2808" s="20" t="n">
        <f aca="false">IF(G2808&lt;Parametres!$B$8*Parametres!$B$7,0,MIN(G2808,Parametres!$B$7))</f>
        <v>200</v>
      </c>
      <c r="I2808" s="20" t="n">
        <f aca="false">G2808-H2808</f>
        <v>0</v>
      </c>
      <c r="J2808" s="21" t="n">
        <f aca="false">H2808*1000/Parametres!$B$9</f>
        <v>3391.55502798033</v>
      </c>
    </row>
    <row r="2809" customFormat="false" ht="15" hidden="false" customHeight="false" outlineLevel="0" collapsed="false">
      <c r="A2809" s="0" t="n">
        <v>2805</v>
      </c>
      <c r="B2809" s="0" t="n">
        <v>4</v>
      </c>
      <c r="C2809" s="19" t="n">
        <v>0</v>
      </c>
      <c r="D2809" s="19" t="n">
        <v>1</v>
      </c>
      <c r="E2809" s="20" t="n">
        <f aca="false">Parametres!$B$5*C2809</f>
        <v>0</v>
      </c>
      <c r="F2809" s="20" t="n">
        <f aca="false">Parametres!$B$6*D2809</f>
        <v>200</v>
      </c>
      <c r="G2809" s="20" t="n">
        <f aca="false">E2809+F2809</f>
        <v>200</v>
      </c>
      <c r="H2809" s="20" t="n">
        <f aca="false">IF(G2809&lt;Parametres!$B$8*Parametres!$B$7,0,MIN(G2809,Parametres!$B$7))</f>
        <v>200</v>
      </c>
      <c r="I2809" s="20" t="n">
        <f aca="false">G2809-H2809</f>
        <v>0</v>
      </c>
      <c r="J2809" s="21" t="n">
        <f aca="false">H2809*1000/Parametres!$B$9</f>
        <v>3391.55502798033</v>
      </c>
    </row>
    <row r="2810" customFormat="false" ht="15" hidden="false" customHeight="false" outlineLevel="0" collapsed="false">
      <c r="A2810" s="0" t="n">
        <v>2806</v>
      </c>
      <c r="B2810" s="0" t="n">
        <v>4</v>
      </c>
      <c r="C2810" s="19" t="n">
        <v>0</v>
      </c>
      <c r="D2810" s="19" t="n">
        <v>0.6922</v>
      </c>
      <c r="E2810" s="20" t="n">
        <f aca="false">Parametres!$B$5*C2810</f>
        <v>0</v>
      </c>
      <c r="F2810" s="20" t="n">
        <f aca="false">Parametres!$B$6*D2810</f>
        <v>138.44</v>
      </c>
      <c r="G2810" s="20" t="n">
        <f aca="false">E2810+F2810</f>
        <v>138.44</v>
      </c>
      <c r="H2810" s="20" t="n">
        <f aca="false">IF(G2810&lt;Parametres!$B$8*Parametres!$B$7,0,MIN(G2810,Parametres!$B$7))</f>
        <v>138.44</v>
      </c>
      <c r="I2810" s="20" t="n">
        <f aca="false">G2810-H2810</f>
        <v>0</v>
      </c>
      <c r="J2810" s="21" t="n">
        <f aca="false">H2810*1000/Parametres!$B$9</f>
        <v>2347.63439036798</v>
      </c>
    </row>
    <row r="2811" customFormat="false" ht="15" hidden="false" customHeight="false" outlineLevel="0" collapsed="false">
      <c r="A2811" s="0" t="n">
        <v>2807</v>
      </c>
      <c r="B2811" s="0" t="n">
        <v>4</v>
      </c>
      <c r="C2811" s="19" t="n">
        <v>0</v>
      </c>
      <c r="D2811" s="19" t="n">
        <v>0.8623</v>
      </c>
      <c r="E2811" s="20" t="n">
        <f aca="false">Parametres!$B$5*C2811</f>
        <v>0</v>
      </c>
      <c r="F2811" s="20" t="n">
        <f aca="false">Parametres!$B$6*D2811</f>
        <v>172.46</v>
      </c>
      <c r="G2811" s="20" t="n">
        <f aca="false">E2811+F2811</f>
        <v>172.46</v>
      </c>
      <c r="H2811" s="20" t="n">
        <f aca="false">IF(G2811&lt;Parametres!$B$8*Parametres!$B$7,0,MIN(G2811,Parametres!$B$7))</f>
        <v>172.46</v>
      </c>
      <c r="I2811" s="20" t="n">
        <f aca="false">G2811-H2811</f>
        <v>0</v>
      </c>
      <c r="J2811" s="21" t="n">
        <f aca="false">H2811*1000/Parametres!$B$9</f>
        <v>2924.53790062744</v>
      </c>
    </row>
    <row r="2812" customFormat="false" ht="15" hidden="false" customHeight="false" outlineLevel="0" collapsed="false">
      <c r="A2812" s="0" t="n">
        <v>2808</v>
      </c>
      <c r="B2812" s="0" t="n">
        <v>4</v>
      </c>
      <c r="C2812" s="19" t="n">
        <v>0</v>
      </c>
      <c r="D2812" s="19" t="n">
        <v>0.7893</v>
      </c>
      <c r="E2812" s="20" t="n">
        <f aca="false">Parametres!$B$5*C2812</f>
        <v>0</v>
      </c>
      <c r="F2812" s="20" t="n">
        <f aca="false">Parametres!$B$6*D2812</f>
        <v>157.86</v>
      </c>
      <c r="G2812" s="20" t="n">
        <f aca="false">E2812+F2812</f>
        <v>157.86</v>
      </c>
      <c r="H2812" s="20" t="n">
        <f aca="false">IF(G2812&lt;Parametres!$B$8*Parametres!$B$7,0,MIN(G2812,Parametres!$B$7))</f>
        <v>157.86</v>
      </c>
      <c r="I2812" s="20" t="n">
        <f aca="false">G2812-H2812</f>
        <v>0</v>
      </c>
      <c r="J2812" s="21" t="n">
        <f aca="false">H2812*1000/Parametres!$B$9</f>
        <v>2676.95438358487</v>
      </c>
    </row>
    <row r="2813" customFormat="false" ht="15" hidden="false" customHeight="false" outlineLevel="0" collapsed="false">
      <c r="A2813" s="0" t="n">
        <v>2809</v>
      </c>
      <c r="B2813" s="0" t="n">
        <v>4</v>
      </c>
      <c r="C2813" s="19" t="n">
        <v>0</v>
      </c>
      <c r="D2813" s="19" t="n">
        <v>0.8085</v>
      </c>
      <c r="E2813" s="20" t="n">
        <f aca="false">Parametres!$B$5*C2813</f>
        <v>0</v>
      </c>
      <c r="F2813" s="20" t="n">
        <f aca="false">Parametres!$B$6*D2813</f>
        <v>161.7</v>
      </c>
      <c r="G2813" s="20" t="n">
        <f aca="false">E2813+F2813</f>
        <v>161.7</v>
      </c>
      <c r="H2813" s="20" t="n">
        <f aca="false">IF(G2813&lt;Parametres!$B$8*Parametres!$B$7,0,MIN(G2813,Parametres!$B$7))</f>
        <v>161.7</v>
      </c>
      <c r="I2813" s="20" t="n">
        <f aca="false">G2813-H2813</f>
        <v>0</v>
      </c>
      <c r="J2813" s="21" t="n">
        <f aca="false">H2813*1000/Parametres!$B$9</f>
        <v>2742.0722401221</v>
      </c>
    </row>
    <row r="2814" customFormat="false" ht="15" hidden="false" customHeight="false" outlineLevel="0" collapsed="false">
      <c r="A2814" s="0" t="n">
        <v>2810</v>
      </c>
      <c r="B2814" s="0" t="n">
        <v>4</v>
      </c>
      <c r="C2814" s="19" t="n">
        <v>0</v>
      </c>
      <c r="D2814" s="19" t="n">
        <v>0.5353</v>
      </c>
      <c r="E2814" s="20" t="n">
        <f aca="false">Parametres!$B$5*C2814</f>
        <v>0</v>
      </c>
      <c r="F2814" s="20" t="n">
        <f aca="false">Parametres!$B$6*D2814</f>
        <v>107.06</v>
      </c>
      <c r="G2814" s="20" t="n">
        <f aca="false">E2814+F2814</f>
        <v>107.06</v>
      </c>
      <c r="H2814" s="20" t="n">
        <f aca="false">IF(G2814&lt;Parametres!$B$8*Parametres!$B$7,0,MIN(G2814,Parametres!$B$7))</f>
        <v>107.06</v>
      </c>
      <c r="I2814" s="20" t="n">
        <f aca="false">G2814-H2814</f>
        <v>0</v>
      </c>
      <c r="J2814" s="21" t="n">
        <f aca="false">H2814*1000/Parametres!$B$9</f>
        <v>1815.49940647787</v>
      </c>
    </row>
    <row r="2815" customFormat="false" ht="15" hidden="false" customHeight="false" outlineLevel="0" collapsed="false">
      <c r="A2815" s="0" t="n">
        <v>2811</v>
      </c>
      <c r="B2815" s="0" t="n">
        <v>4</v>
      </c>
      <c r="C2815" s="19" t="n">
        <v>0</v>
      </c>
      <c r="D2815" s="19" t="n">
        <v>0.3851</v>
      </c>
      <c r="E2815" s="20" t="n">
        <f aca="false">Parametres!$B$5*C2815</f>
        <v>0</v>
      </c>
      <c r="F2815" s="20" t="n">
        <f aca="false">Parametres!$B$6*D2815</f>
        <v>77.02</v>
      </c>
      <c r="G2815" s="20" t="n">
        <f aca="false">E2815+F2815</f>
        <v>77.02</v>
      </c>
      <c r="H2815" s="20" t="n">
        <f aca="false">IF(G2815&lt;Parametres!$B$8*Parametres!$B$7,0,MIN(G2815,Parametres!$B$7))</f>
        <v>77.02</v>
      </c>
      <c r="I2815" s="20" t="n">
        <f aca="false">G2815-H2815</f>
        <v>0</v>
      </c>
      <c r="J2815" s="21" t="n">
        <f aca="false">H2815*1000/Parametres!$B$9</f>
        <v>1306.08784127522</v>
      </c>
    </row>
    <row r="2816" customFormat="false" ht="15" hidden="false" customHeight="false" outlineLevel="0" collapsed="false">
      <c r="A2816" s="0" t="n">
        <v>2812</v>
      </c>
      <c r="B2816" s="0" t="n">
        <v>4</v>
      </c>
      <c r="C2816" s="19" t="n">
        <v>0</v>
      </c>
      <c r="D2816" s="19" t="n">
        <v>0.445</v>
      </c>
      <c r="E2816" s="20" t="n">
        <f aca="false">Parametres!$B$5*C2816</f>
        <v>0</v>
      </c>
      <c r="F2816" s="20" t="n">
        <f aca="false">Parametres!$B$6*D2816</f>
        <v>89</v>
      </c>
      <c r="G2816" s="20" t="n">
        <f aca="false">E2816+F2816</f>
        <v>89</v>
      </c>
      <c r="H2816" s="20" t="n">
        <f aca="false">IF(G2816&lt;Parametres!$B$8*Parametres!$B$7,0,MIN(G2816,Parametres!$B$7))</f>
        <v>89</v>
      </c>
      <c r="I2816" s="20" t="n">
        <f aca="false">G2816-H2816</f>
        <v>0</v>
      </c>
      <c r="J2816" s="21" t="n">
        <f aca="false">H2816*1000/Parametres!$B$9</f>
        <v>1509.24198745125</v>
      </c>
    </row>
    <row r="2817" customFormat="false" ht="15" hidden="false" customHeight="false" outlineLevel="0" collapsed="false">
      <c r="A2817" s="0" t="n">
        <v>2813</v>
      </c>
      <c r="B2817" s="0" t="n">
        <v>4</v>
      </c>
      <c r="C2817" s="19" t="n">
        <v>0</v>
      </c>
      <c r="D2817" s="19" t="n">
        <v>0.5428</v>
      </c>
      <c r="E2817" s="20" t="n">
        <f aca="false">Parametres!$B$5*C2817</f>
        <v>0</v>
      </c>
      <c r="F2817" s="20" t="n">
        <f aca="false">Parametres!$B$6*D2817</f>
        <v>108.56</v>
      </c>
      <c r="G2817" s="20" t="n">
        <f aca="false">E2817+F2817</f>
        <v>108.56</v>
      </c>
      <c r="H2817" s="20" t="n">
        <f aca="false">IF(G2817&lt;Parametres!$B$8*Parametres!$B$7,0,MIN(G2817,Parametres!$B$7))</f>
        <v>108.56</v>
      </c>
      <c r="I2817" s="20" t="n">
        <f aca="false">G2817-H2817</f>
        <v>0</v>
      </c>
      <c r="J2817" s="21" t="n">
        <f aca="false">H2817*1000/Parametres!$B$9</f>
        <v>1840.93606918772</v>
      </c>
    </row>
    <row r="2818" customFormat="false" ht="15" hidden="false" customHeight="false" outlineLevel="0" collapsed="false">
      <c r="A2818" s="0" t="n">
        <v>2814</v>
      </c>
      <c r="B2818" s="0" t="n">
        <v>4</v>
      </c>
      <c r="C2818" s="19" t="n">
        <v>0</v>
      </c>
      <c r="D2818" s="19" t="n">
        <v>0.3959</v>
      </c>
      <c r="E2818" s="20" t="n">
        <f aca="false">Parametres!$B$5*C2818</f>
        <v>0</v>
      </c>
      <c r="F2818" s="20" t="n">
        <f aca="false">Parametres!$B$6*D2818</f>
        <v>79.18</v>
      </c>
      <c r="G2818" s="20" t="n">
        <f aca="false">E2818+F2818</f>
        <v>79.18</v>
      </c>
      <c r="H2818" s="20" t="n">
        <f aca="false">IF(G2818&lt;Parametres!$B$8*Parametres!$B$7,0,MIN(G2818,Parametres!$B$7))</f>
        <v>79.18</v>
      </c>
      <c r="I2818" s="20" t="n">
        <f aca="false">G2818-H2818</f>
        <v>0</v>
      </c>
      <c r="J2818" s="21" t="n">
        <f aca="false">H2818*1000/Parametres!$B$9</f>
        <v>1342.71663557741</v>
      </c>
    </row>
    <row r="2819" customFormat="false" ht="15" hidden="false" customHeight="false" outlineLevel="0" collapsed="false">
      <c r="A2819" s="0" t="n">
        <v>2815</v>
      </c>
      <c r="B2819" s="0" t="n">
        <v>4</v>
      </c>
      <c r="C2819" s="19" t="n">
        <v>0.2568</v>
      </c>
      <c r="D2819" s="19" t="n">
        <v>0.4557</v>
      </c>
      <c r="E2819" s="20" t="n">
        <f aca="false">Parametres!$B$5*C2819</f>
        <v>77.04</v>
      </c>
      <c r="F2819" s="20" t="n">
        <f aca="false">Parametres!$B$6*D2819</f>
        <v>91.14</v>
      </c>
      <c r="G2819" s="20" t="n">
        <f aca="false">E2819+F2819</f>
        <v>168.18</v>
      </c>
      <c r="H2819" s="20" t="n">
        <f aca="false">IF(G2819&lt;Parametres!$B$8*Parametres!$B$7,0,MIN(G2819,Parametres!$B$7))</f>
        <v>168.18</v>
      </c>
      <c r="I2819" s="20" t="n">
        <f aca="false">G2819-H2819</f>
        <v>0</v>
      </c>
      <c r="J2819" s="21" t="n">
        <f aca="false">H2819*1000/Parametres!$B$9</f>
        <v>2851.95862302866</v>
      </c>
    </row>
    <row r="2820" customFormat="false" ht="15" hidden="false" customHeight="false" outlineLevel="0" collapsed="false">
      <c r="A2820" s="0" t="n">
        <v>2816</v>
      </c>
      <c r="B2820" s="0" t="n">
        <v>4</v>
      </c>
      <c r="C2820" s="19" t="n">
        <v>0.4933</v>
      </c>
      <c r="D2820" s="19" t="n">
        <v>0.3302</v>
      </c>
      <c r="E2820" s="20" t="n">
        <f aca="false">Parametres!$B$5*C2820</f>
        <v>147.99</v>
      </c>
      <c r="F2820" s="20" t="n">
        <f aca="false">Parametres!$B$6*D2820</f>
        <v>66.04</v>
      </c>
      <c r="G2820" s="20" t="n">
        <f aca="false">E2820+F2820</f>
        <v>214.03</v>
      </c>
      <c r="H2820" s="20" t="n">
        <f aca="false">IF(G2820&lt;Parametres!$B$8*Parametres!$B$7,0,MIN(G2820,Parametres!$B$7))</f>
        <v>214.03</v>
      </c>
      <c r="I2820" s="20" t="n">
        <f aca="false">G2820-H2820</f>
        <v>0</v>
      </c>
      <c r="J2820" s="21" t="n">
        <f aca="false">H2820*1000/Parametres!$B$9</f>
        <v>3629.47261319315</v>
      </c>
    </row>
    <row r="2821" customFormat="false" ht="15" hidden="false" customHeight="false" outlineLevel="0" collapsed="false">
      <c r="A2821" s="0" t="n">
        <v>2817</v>
      </c>
      <c r="B2821" s="0" t="n">
        <v>4</v>
      </c>
      <c r="C2821" s="19" t="n">
        <v>0.7894</v>
      </c>
      <c r="D2821" s="19" t="n">
        <v>0.5556</v>
      </c>
      <c r="E2821" s="20" t="n">
        <f aca="false">Parametres!$B$5*C2821</f>
        <v>236.82</v>
      </c>
      <c r="F2821" s="20" t="n">
        <f aca="false">Parametres!$B$6*D2821</f>
        <v>111.12</v>
      </c>
      <c r="G2821" s="20" t="n">
        <f aca="false">E2821+F2821</f>
        <v>347.94</v>
      </c>
      <c r="H2821" s="20" t="n">
        <f aca="false">IF(G2821&lt;Parametres!$B$8*Parametres!$B$7,0,MIN(G2821,Parametres!$B$7))</f>
        <v>250</v>
      </c>
      <c r="I2821" s="20" t="n">
        <f aca="false">G2821-H2821</f>
        <v>97.94</v>
      </c>
      <c r="J2821" s="21" t="n">
        <f aca="false">H2821*1000/Parametres!$B$9</f>
        <v>4239.44378497541</v>
      </c>
    </row>
    <row r="2822" customFormat="false" ht="15" hidden="false" customHeight="false" outlineLevel="0" collapsed="false">
      <c r="A2822" s="0" t="n">
        <v>2818</v>
      </c>
      <c r="B2822" s="0" t="n">
        <v>4</v>
      </c>
      <c r="C2822" s="19" t="n">
        <v>0.9702</v>
      </c>
      <c r="D2822" s="19" t="n">
        <v>0.7632</v>
      </c>
      <c r="E2822" s="20" t="n">
        <f aca="false">Parametres!$B$5*C2822</f>
        <v>291.06</v>
      </c>
      <c r="F2822" s="20" t="n">
        <f aca="false">Parametres!$B$6*D2822</f>
        <v>152.64</v>
      </c>
      <c r="G2822" s="20" t="n">
        <f aca="false">E2822+F2822</f>
        <v>443.7</v>
      </c>
      <c r="H2822" s="20" t="n">
        <f aca="false">IF(G2822&lt;Parametres!$B$8*Parametres!$B$7,0,MIN(G2822,Parametres!$B$7))</f>
        <v>250</v>
      </c>
      <c r="I2822" s="20" t="n">
        <f aca="false">G2822-H2822</f>
        <v>193.7</v>
      </c>
      <c r="J2822" s="21" t="n">
        <f aca="false">H2822*1000/Parametres!$B$9</f>
        <v>4239.44378497541</v>
      </c>
    </row>
    <row r="2823" customFormat="false" ht="15" hidden="false" customHeight="false" outlineLevel="0" collapsed="false">
      <c r="A2823" s="0" t="n">
        <v>2819</v>
      </c>
      <c r="B2823" s="0" t="n">
        <v>4</v>
      </c>
      <c r="C2823" s="19" t="n">
        <v>1</v>
      </c>
      <c r="D2823" s="19" t="n">
        <v>1</v>
      </c>
      <c r="E2823" s="20" t="n">
        <f aca="false">Parametres!$B$5*C2823</f>
        <v>300</v>
      </c>
      <c r="F2823" s="20" t="n">
        <f aca="false">Parametres!$B$6*D2823</f>
        <v>200</v>
      </c>
      <c r="G2823" s="20" t="n">
        <f aca="false">E2823+F2823</f>
        <v>500</v>
      </c>
      <c r="H2823" s="20" t="n">
        <f aca="false">IF(G2823&lt;Parametres!$B$8*Parametres!$B$7,0,MIN(G2823,Parametres!$B$7))</f>
        <v>250</v>
      </c>
      <c r="I2823" s="20" t="n">
        <f aca="false">G2823-H2823</f>
        <v>250</v>
      </c>
      <c r="J2823" s="21" t="n">
        <f aca="false">H2823*1000/Parametres!$B$9</f>
        <v>4239.44378497541</v>
      </c>
    </row>
    <row r="2824" customFormat="false" ht="15" hidden="false" customHeight="false" outlineLevel="0" collapsed="false">
      <c r="A2824" s="0" t="n">
        <v>2820</v>
      </c>
      <c r="B2824" s="0" t="n">
        <v>4</v>
      </c>
      <c r="C2824" s="19" t="n">
        <v>1</v>
      </c>
      <c r="D2824" s="19" t="n">
        <v>1</v>
      </c>
      <c r="E2824" s="20" t="n">
        <f aca="false">Parametres!$B$5*C2824</f>
        <v>300</v>
      </c>
      <c r="F2824" s="20" t="n">
        <f aca="false">Parametres!$B$6*D2824</f>
        <v>200</v>
      </c>
      <c r="G2824" s="20" t="n">
        <f aca="false">E2824+F2824</f>
        <v>500</v>
      </c>
      <c r="H2824" s="20" t="n">
        <f aca="false">IF(G2824&lt;Parametres!$B$8*Parametres!$B$7,0,MIN(G2824,Parametres!$B$7))</f>
        <v>250</v>
      </c>
      <c r="I2824" s="20" t="n">
        <f aca="false">G2824-H2824</f>
        <v>250</v>
      </c>
      <c r="J2824" s="21" t="n">
        <f aca="false">H2824*1000/Parametres!$B$9</f>
        <v>4239.44378497541</v>
      </c>
    </row>
    <row r="2825" customFormat="false" ht="15" hidden="false" customHeight="false" outlineLevel="0" collapsed="false">
      <c r="A2825" s="0" t="n">
        <v>2821</v>
      </c>
      <c r="B2825" s="0" t="n">
        <v>4</v>
      </c>
      <c r="C2825" s="19" t="n">
        <v>1</v>
      </c>
      <c r="D2825" s="19" t="n">
        <v>1</v>
      </c>
      <c r="E2825" s="20" t="n">
        <f aca="false">Parametres!$B$5*C2825</f>
        <v>300</v>
      </c>
      <c r="F2825" s="20" t="n">
        <f aca="false">Parametres!$B$6*D2825</f>
        <v>200</v>
      </c>
      <c r="G2825" s="20" t="n">
        <f aca="false">E2825+F2825</f>
        <v>500</v>
      </c>
      <c r="H2825" s="20" t="n">
        <f aca="false">IF(G2825&lt;Parametres!$B$8*Parametres!$B$7,0,MIN(G2825,Parametres!$B$7))</f>
        <v>250</v>
      </c>
      <c r="I2825" s="20" t="n">
        <f aca="false">G2825-H2825</f>
        <v>250</v>
      </c>
      <c r="J2825" s="21" t="n">
        <f aca="false">H2825*1000/Parametres!$B$9</f>
        <v>4239.44378497541</v>
      </c>
    </row>
    <row r="2826" customFormat="false" ht="15" hidden="false" customHeight="false" outlineLevel="0" collapsed="false">
      <c r="A2826" s="0" t="n">
        <v>2822</v>
      </c>
      <c r="B2826" s="0" t="n">
        <v>4</v>
      </c>
      <c r="C2826" s="19" t="n">
        <v>1</v>
      </c>
      <c r="D2826" s="19" t="n">
        <v>1</v>
      </c>
      <c r="E2826" s="20" t="n">
        <f aca="false">Parametres!$B$5*C2826</f>
        <v>300</v>
      </c>
      <c r="F2826" s="20" t="n">
        <f aca="false">Parametres!$B$6*D2826</f>
        <v>200</v>
      </c>
      <c r="G2826" s="20" t="n">
        <f aca="false">E2826+F2826</f>
        <v>500</v>
      </c>
      <c r="H2826" s="20" t="n">
        <f aca="false">IF(G2826&lt;Parametres!$B$8*Parametres!$B$7,0,MIN(G2826,Parametres!$B$7))</f>
        <v>250</v>
      </c>
      <c r="I2826" s="20" t="n">
        <f aca="false">G2826-H2826</f>
        <v>250</v>
      </c>
      <c r="J2826" s="21" t="n">
        <f aca="false">H2826*1000/Parametres!$B$9</f>
        <v>4239.44378497541</v>
      </c>
    </row>
    <row r="2827" customFormat="false" ht="15" hidden="false" customHeight="false" outlineLevel="0" collapsed="false">
      <c r="A2827" s="0" t="n">
        <v>2823</v>
      </c>
      <c r="B2827" s="0" t="n">
        <v>4</v>
      </c>
      <c r="C2827" s="19" t="n">
        <v>1</v>
      </c>
      <c r="D2827" s="19" t="n">
        <v>1</v>
      </c>
      <c r="E2827" s="20" t="n">
        <f aca="false">Parametres!$B$5*C2827</f>
        <v>300</v>
      </c>
      <c r="F2827" s="20" t="n">
        <f aca="false">Parametres!$B$6*D2827</f>
        <v>200</v>
      </c>
      <c r="G2827" s="20" t="n">
        <f aca="false">E2827+F2827</f>
        <v>500</v>
      </c>
      <c r="H2827" s="20" t="n">
        <f aca="false">IF(G2827&lt;Parametres!$B$8*Parametres!$B$7,0,MIN(G2827,Parametres!$B$7))</f>
        <v>250</v>
      </c>
      <c r="I2827" s="20" t="n">
        <f aca="false">G2827-H2827</f>
        <v>250</v>
      </c>
      <c r="J2827" s="21" t="n">
        <f aca="false">H2827*1000/Parametres!$B$9</f>
        <v>4239.44378497541</v>
      </c>
    </row>
    <row r="2828" customFormat="false" ht="15" hidden="false" customHeight="false" outlineLevel="0" collapsed="false">
      <c r="A2828" s="0" t="n">
        <v>2824</v>
      </c>
      <c r="B2828" s="0" t="n">
        <v>4</v>
      </c>
      <c r="C2828" s="19" t="n">
        <v>0.7603</v>
      </c>
      <c r="D2828" s="19" t="n">
        <v>1</v>
      </c>
      <c r="E2828" s="20" t="n">
        <f aca="false">Parametres!$B$5*C2828</f>
        <v>228.09</v>
      </c>
      <c r="F2828" s="20" t="n">
        <f aca="false">Parametres!$B$6*D2828</f>
        <v>200</v>
      </c>
      <c r="G2828" s="20" t="n">
        <f aca="false">E2828+F2828</f>
        <v>428.09</v>
      </c>
      <c r="H2828" s="20" t="n">
        <f aca="false">IF(G2828&lt;Parametres!$B$8*Parametres!$B$7,0,MIN(G2828,Parametres!$B$7))</f>
        <v>250</v>
      </c>
      <c r="I2828" s="20" t="n">
        <f aca="false">G2828-H2828</f>
        <v>178.09</v>
      </c>
      <c r="J2828" s="21" t="n">
        <f aca="false">H2828*1000/Parametres!$B$9</f>
        <v>4239.44378497541</v>
      </c>
    </row>
    <row r="2829" customFormat="false" ht="15" hidden="false" customHeight="false" outlineLevel="0" collapsed="false">
      <c r="A2829" s="0" t="n">
        <v>2825</v>
      </c>
      <c r="B2829" s="0" t="n">
        <v>4</v>
      </c>
      <c r="C2829" s="19" t="n">
        <v>0.5382</v>
      </c>
      <c r="D2829" s="19" t="n">
        <v>1</v>
      </c>
      <c r="E2829" s="20" t="n">
        <f aca="false">Parametres!$B$5*C2829</f>
        <v>161.46</v>
      </c>
      <c r="F2829" s="20" t="n">
        <f aca="false">Parametres!$B$6*D2829</f>
        <v>200</v>
      </c>
      <c r="G2829" s="20" t="n">
        <f aca="false">E2829+F2829</f>
        <v>361.46</v>
      </c>
      <c r="H2829" s="20" t="n">
        <f aca="false">IF(G2829&lt;Parametres!$B$8*Parametres!$B$7,0,MIN(G2829,Parametres!$B$7))</f>
        <v>250</v>
      </c>
      <c r="I2829" s="20" t="n">
        <f aca="false">G2829-H2829</f>
        <v>111.46</v>
      </c>
      <c r="J2829" s="21" t="n">
        <f aca="false">H2829*1000/Parametres!$B$9</f>
        <v>4239.44378497541</v>
      </c>
    </row>
    <row r="2830" customFormat="false" ht="15" hidden="false" customHeight="false" outlineLevel="0" collapsed="false">
      <c r="A2830" s="0" t="n">
        <v>2826</v>
      </c>
      <c r="B2830" s="0" t="n">
        <v>4</v>
      </c>
      <c r="C2830" s="19" t="n">
        <v>0.2369</v>
      </c>
      <c r="D2830" s="19" t="n">
        <v>1</v>
      </c>
      <c r="E2830" s="20" t="n">
        <f aca="false">Parametres!$B$5*C2830</f>
        <v>71.07</v>
      </c>
      <c r="F2830" s="20" t="n">
        <f aca="false">Parametres!$B$6*D2830</f>
        <v>200</v>
      </c>
      <c r="G2830" s="20" t="n">
        <f aca="false">E2830+F2830</f>
        <v>271.07</v>
      </c>
      <c r="H2830" s="20" t="n">
        <f aca="false">IF(G2830&lt;Parametres!$B$8*Parametres!$B$7,0,MIN(G2830,Parametres!$B$7))</f>
        <v>250</v>
      </c>
      <c r="I2830" s="20" t="n">
        <f aca="false">G2830-H2830</f>
        <v>21.07</v>
      </c>
      <c r="J2830" s="21" t="n">
        <f aca="false">H2830*1000/Parametres!$B$9</f>
        <v>4239.44378497541</v>
      </c>
    </row>
    <row r="2831" customFormat="false" ht="15" hidden="false" customHeight="false" outlineLevel="0" collapsed="false">
      <c r="A2831" s="0" t="n">
        <v>2827</v>
      </c>
      <c r="B2831" s="0" t="n">
        <v>4</v>
      </c>
      <c r="C2831" s="19" t="n">
        <v>0</v>
      </c>
      <c r="D2831" s="19" t="n">
        <v>1</v>
      </c>
      <c r="E2831" s="20" t="n">
        <f aca="false">Parametres!$B$5*C2831</f>
        <v>0</v>
      </c>
      <c r="F2831" s="20" t="n">
        <f aca="false">Parametres!$B$6*D2831</f>
        <v>200</v>
      </c>
      <c r="G2831" s="20" t="n">
        <f aca="false">E2831+F2831</f>
        <v>200</v>
      </c>
      <c r="H2831" s="20" t="n">
        <f aca="false">IF(G2831&lt;Parametres!$B$8*Parametres!$B$7,0,MIN(G2831,Parametres!$B$7))</f>
        <v>200</v>
      </c>
      <c r="I2831" s="20" t="n">
        <f aca="false">G2831-H2831</f>
        <v>0</v>
      </c>
      <c r="J2831" s="21" t="n">
        <f aca="false">H2831*1000/Parametres!$B$9</f>
        <v>3391.55502798033</v>
      </c>
    </row>
    <row r="2832" customFormat="false" ht="15" hidden="false" customHeight="false" outlineLevel="0" collapsed="false">
      <c r="A2832" s="0" t="n">
        <v>2828</v>
      </c>
      <c r="B2832" s="0" t="n">
        <v>4</v>
      </c>
      <c r="C2832" s="19" t="n">
        <v>0</v>
      </c>
      <c r="D2832" s="19" t="n">
        <v>1</v>
      </c>
      <c r="E2832" s="20" t="n">
        <f aca="false">Parametres!$B$5*C2832</f>
        <v>0</v>
      </c>
      <c r="F2832" s="20" t="n">
        <f aca="false">Parametres!$B$6*D2832</f>
        <v>200</v>
      </c>
      <c r="G2832" s="20" t="n">
        <f aca="false">E2832+F2832</f>
        <v>200</v>
      </c>
      <c r="H2832" s="20" t="n">
        <f aca="false">IF(G2832&lt;Parametres!$B$8*Parametres!$B$7,0,MIN(G2832,Parametres!$B$7))</f>
        <v>200</v>
      </c>
      <c r="I2832" s="20" t="n">
        <f aca="false">G2832-H2832</f>
        <v>0</v>
      </c>
      <c r="J2832" s="21" t="n">
        <f aca="false">H2832*1000/Parametres!$B$9</f>
        <v>3391.55502798033</v>
      </c>
    </row>
    <row r="2833" customFormat="false" ht="15" hidden="false" customHeight="false" outlineLevel="0" collapsed="false">
      <c r="A2833" s="0" t="n">
        <v>2829</v>
      </c>
      <c r="B2833" s="0" t="n">
        <v>4</v>
      </c>
      <c r="C2833" s="19" t="n">
        <v>0</v>
      </c>
      <c r="D2833" s="19" t="n">
        <v>1</v>
      </c>
      <c r="E2833" s="20" t="n">
        <f aca="false">Parametres!$B$5*C2833</f>
        <v>0</v>
      </c>
      <c r="F2833" s="20" t="n">
        <f aca="false">Parametres!$B$6*D2833</f>
        <v>200</v>
      </c>
      <c r="G2833" s="20" t="n">
        <f aca="false">E2833+F2833</f>
        <v>200</v>
      </c>
      <c r="H2833" s="20" t="n">
        <f aca="false">IF(G2833&lt;Parametres!$B$8*Parametres!$B$7,0,MIN(G2833,Parametres!$B$7))</f>
        <v>200</v>
      </c>
      <c r="I2833" s="20" t="n">
        <f aca="false">G2833-H2833</f>
        <v>0</v>
      </c>
      <c r="J2833" s="21" t="n">
        <f aca="false">H2833*1000/Parametres!$B$9</f>
        <v>3391.55502798033</v>
      </c>
    </row>
    <row r="2834" customFormat="false" ht="15" hidden="false" customHeight="false" outlineLevel="0" collapsed="false">
      <c r="A2834" s="0" t="n">
        <v>2830</v>
      </c>
      <c r="B2834" s="0" t="n">
        <v>4</v>
      </c>
      <c r="C2834" s="19" t="n">
        <v>0</v>
      </c>
      <c r="D2834" s="19" t="n">
        <v>1</v>
      </c>
      <c r="E2834" s="20" t="n">
        <f aca="false">Parametres!$B$5*C2834</f>
        <v>0</v>
      </c>
      <c r="F2834" s="20" t="n">
        <f aca="false">Parametres!$B$6*D2834</f>
        <v>200</v>
      </c>
      <c r="G2834" s="20" t="n">
        <f aca="false">E2834+F2834</f>
        <v>200</v>
      </c>
      <c r="H2834" s="20" t="n">
        <f aca="false">IF(G2834&lt;Parametres!$B$8*Parametres!$B$7,0,MIN(G2834,Parametres!$B$7))</f>
        <v>200</v>
      </c>
      <c r="I2834" s="20" t="n">
        <f aca="false">G2834-H2834</f>
        <v>0</v>
      </c>
      <c r="J2834" s="21" t="n">
        <f aca="false">H2834*1000/Parametres!$B$9</f>
        <v>3391.55502798033</v>
      </c>
    </row>
    <row r="2835" customFormat="false" ht="15" hidden="false" customHeight="false" outlineLevel="0" collapsed="false">
      <c r="A2835" s="0" t="n">
        <v>2831</v>
      </c>
      <c r="B2835" s="0" t="n">
        <v>4</v>
      </c>
      <c r="C2835" s="19" t="n">
        <v>0</v>
      </c>
      <c r="D2835" s="19" t="n">
        <v>1</v>
      </c>
      <c r="E2835" s="20" t="n">
        <f aca="false">Parametres!$B$5*C2835</f>
        <v>0</v>
      </c>
      <c r="F2835" s="20" t="n">
        <f aca="false">Parametres!$B$6*D2835</f>
        <v>200</v>
      </c>
      <c r="G2835" s="20" t="n">
        <f aca="false">E2835+F2835</f>
        <v>200</v>
      </c>
      <c r="H2835" s="20" t="n">
        <f aca="false">IF(G2835&lt;Parametres!$B$8*Parametres!$B$7,0,MIN(G2835,Parametres!$B$7))</f>
        <v>200</v>
      </c>
      <c r="I2835" s="20" t="n">
        <f aca="false">G2835-H2835</f>
        <v>0</v>
      </c>
      <c r="J2835" s="21" t="n">
        <f aca="false">H2835*1000/Parametres!$B$9</f>
        <v>3391.55502798033</v>
      </c>
    </row>
    <row r="2836" customFormat="false" ht="15" hidden="false" customHeight="false" outlineLevel="0" collapsed="false">
      <c r="A2836" s="0" t="n">
        <v>2832</v>
      </c>
      <c r="B2836" s="0" t="n">
        <v>4</v>
      </c>
      <c r="C2836" s="19" t="n">
        <v>0</v>
      </c>
      <c r="D2836" s="19" t="n">
        <v>1</v>
      </c>
      <c r="E2836" s="20" t="n">
        <f aca="false">Parametres!$B$5*C2836</f>
        <v>0</v>
      </c>
      <c r="F2836" s="20" t="n">
        <f aca="false">Parametres!$B$6*D2836</f>
        <v>200</v>
      </c>
      <c r="G2836" s="20" t="n">
        <f aca="false">E2836+F2836</f>
        <v>200</v>
      </c>
      <c r="H2836" s="20" t="n">
        <f aca="false">IF(G2836&lt;Parametres!$B$8*Parametres!$B$7,0,MIN(G2836,Parametres!$B$7))</f>
        <v>200</v>
      </c>
      <c r="I2836" s="20" t="n">
        <f aca="false">G2836-H2836</f>
        <v>0</v>
      </c>
      <c r="J2836" s="21" t="n">
        <f aca="false">H2836*1000/Parametres!$B$9</f>
        <v>3391.55502798033</v>
      </c>
    </row>
    <row r="2837" customFormat="false" ht="15" hidden="false" customHeight="false" outlineLevel="0" collapsed="false">
      <c r="A2837" s="0" t="n">
        <v>2833</v>
      </c>
      <c r="B2837" s="0" t="n">
        <v>4</v>
      </c>
      <c r="C2837" s="19" t="n">
        <v>0</v>
      </c>
      <c r="D2837" s="19" t="n">
        <v>1</v>
      </c>
      <c r="E2837" s="20" t="n">
        <f aca="false">Parametres!$B$5*C2837</f>
        <v>0</v>
      </c>
      <c r="F2837" s="20" t="n">
        <f aca="false">Parametres!$B$6*D2837</f>
        <v>200</v>
      </c>
      <c r="G2837" s="20" t="n">
        <f aca="false">E2837+F2837</f>
        <v>200</v>
      </c>
      <c r="H2837" s="20" t="n">
        <f aca="false">IF(G2837&lt;Parametres!$B$8*Parametres!$B$7,0,MIN(G2837,Parametres!$B$7))</f>
        <v>200</v>
      </c>
      <c r="I2837" s="20" t="n">
        <f aca="false">G2837-H2837</f>
        <v>0</v>
      </c>
      <c r="J2837" s="21" t="n">
        <f aca="false">H2837*1000/Parametres!$B$9</f>
        <v>3391.55502798033</v>
      </c>
    </row>
    <row r="2838" customFormat="false" ht="15" hidden="false" customHeight="false" outlineLevel="0" collapsed="false">
      <c r="A2838" s="0" t="n">
        <v>2834</v>
      </c>
      <c r="B2838" s="0" t="n">
        <v>4</v>
      </c>
      <c r="C2838" s="19" t="n">
        <v>0</v>
      </c>
      <c r="D2838" s="19" t="n">
        <v>1</v>
      </c>
      <c r="E2838" s="20" t="n">
        <f aca="false">Parametres!$B$5*C2838</f>
        <v>0</v>
      </c>
      <c r="F2838" s="20" t="n">
        <f aca="false">Parametres!$B$6*D2838</f>
        <v>200</v>
      </c>
      <c r="G2838" s="20" t="n">
        <f aca="false">E2838+F2838</f>
        <v>200</v>
      </c>
      <c r="H2838" s="20" t="n">
        <f aca="false">IF(G2838&lt;Parametres!$B$8*Parametres!$B$7,0,MIN(G2838,Parametres!$B$7))</f>
        <v>200</v>
      </c>
      <c r="I2838" s="20" t="n">
        <f aca="false">G2838-H2838</f>
        <v>0</v>
      </c>
      <c r="J2838" s="21" t="n">
        <f aca="false">H2838*1000/Parametres!$B$9</f>
        <v>3391.55502798033</v>
      </c>
    </row>
    <row r="2839" customFormat="false" ht="15" hidden="false" customHeight="false" outlineLevel="0" collapsed="false">
      <c r="A2839" s="0" t="n">
        <v>2835</v>
      </c>
      <c r="B2839" s="0" t="n">
        <v>4</v>
      </c>
      <c r="C2839" s="19" t="n">
        <v>0</v>
      </c>
      <c r="D2839" s="19" t="n">
        <v>1</v>
      </c>
      <c r="E2839" s="20" t="n">
        <f aca="false">Parametres!$B$5*C2839</f>
        <v>0</v>
      </c>
      <c r="F2839" s="20" t="n">
        <f aca="false">Parametres!$B$6*D2839</f>
        <v>200</v>
      </c>
      <c r="G2839" s="20" t="n">
        <f aca="false">E2839+F2839</f>
        <v>200</v>
      </c>
      <c r="H2839" s="20" t="n">
        <f aca="false">IF(G2839&lt;Parametres!$B$8*Parametres!$B$7,0,MIN(G2839,Parametres!$B$7))</f>
        <v>200</v>
      </c>
      <c r="I2839" s="20" t="n">
        <f aca="false">G2839-H2839</f>
        <v>0</v>
      </c>
      <c r="J2839" s="21" t="n">
        <f aca="false">H2839*1000/Parametres!$B$9</f>
        <v>3391.55502798033</v>
      </c>
    </row>
    <row r="2840" customFormat="false" ht="15" hidden="false" customHeight="false" outlineLevel="0" collapsed="false">
      <c r="A2840" s="0" t="n">
        <v>2836</v>
      </c>
      <c r="B2840" s="0" t="n">
        <v>4</v>
      </c>
      <c r="C2840" s="19" t="n">
        <v>0</v>
      </c>
      <c r="D2840" s="19" t="n">
        <v>1</v>
      </c>
      <c r="E2840" s="20" t="n">
        <f aca="false">Parametres!$B$5*C2840</f>
        <v>0</v>
      </c>
      <c r="F2840" s="20" t="n">
        <f aca="false">Parametres!$B$6*D2840</f>
        <v>200</v>
      </c>
      <c r="G2840" s="20" t="n">
        <f aca="false">E2840+F2840</f>
        <v>200</v>
      </c>
      <c r="H2840" s="20" t="n">
        <f aca="false">IF(G2840&lt;Parametres!$B$8*Parametres!$B$7,0,MIN(G2840,Parametres!$B$7))</f>
        <v>200</v>
      </c>
      <c r="I2840" s="20" t="n">
        <f aca="false">G2840-H2840</f>
        <v>0</v>
      </c>
      <c r="J2840" s="21" t="n">
        <f aca="false">H2840*1000/Parametres!$B$9</f>
        <v>3391.55502798033</v>
      </c>
    </row>
    <row r="2841" customFormat="false" ht="15" hidden="false" customHeight="false" outlineLevel="0" collapsed="false">
      <c r="A2841" s="0" t="n">
        <v>2837</v>
      </c>
      <c r="B2841" s="0" t="n">
        <v>4</v>
      </c>
      <c r="C2841" s="19" t="n">
        <v>0</v>
      </c>
      <c r="D2841" s="19" t="n">
        <v>1</v>
      </c>
      <c r="E2841" s="20" t="n">
        <f aca="false">Parametres!$B$5*C2841</f>
        <v>0</v>
      </c>
      <c r="F2841" s="20" t="n">
        <f aca="false">Parametres!$B$6*D2841</f>
        <v>200</v>
      </c>
      <c r="G2841" s="20" t="n">
        <f aca="false">E2841+F2841</f>
        <v>200</v>
      </c>
      <c r="H2841" s="20" t="n">
        <f aca="false">IF(G2841&lt;Parametres!$B$8*Parametres!$B$7,0,MIN(G2841,Parametres!$B$7))</f>
        <v>200</v>
      </c>
      <c r="I2841" s="20" t="n">
        <f aca="false">G2841-H2841</f>
        <v>0</v>
      </c>
      <c r="J2841" s="21" t="n">
        <f aca="false">H2841*1000/Parametres!$B$9</f>
        <v>3391.55502798033</v>
      </c>
    </row>
    <row r="2842" customFormat="false" ht="15" hidden="false" customHeight="false" outlineLevel="0" collapsed="false">
      <c r="A2842" s="0" t="n">
        <v>2838</v>
      </c>
      <c r="B2842" s="0" t="n">
        <v>4</v>
      </c>
      <c r="C2842" s="19" t="n">
        <v>0.0005</v>
      </c>
      <c r="D2842" s="19" t="n">
        <v>1</v>
      </c>
      <c r="E2842" s="20" t="n">
        <f aca="false">Parametres!$B$5*C2842</f>
        <v>0.15</v>
      </c>
      <c r="F2842" s="20" t="n">
        <f aca="false">Parametres!$B$6*D2842</f>
        <v>200</v>
      </c>
      <c r="G2842" s="20" t="n">
        <f aca="false">E2842+F2842</f>
        <v>200.15</v>
      </c>
      <c r="H2842" s="20" t="n">
        <f aca="false">IF(G2842&lt;Parametres!$B$8*Parametres!$B$7,0,MIN(G2842,Parametres!$B$7))</f>
        <v>200.15</v>
      </c>
      <c r="I2842" s="20" t="n">
        <f aca="false">G2842-H2842</f>
        <v>0</v>
      </c>
      <c r="J2842" s="21" t="n">
        <f aca="false">H2842*1000/Parametres!$B$9</f>
        <v>3394.09869425131</v>
      </c>
    </row>
    <row r="2843" customFormat="false" ht="15" hidden="false" customHeight="false" outlineLevel="0" collapsed="false">
      <c r="A2843" s="0" t="n">
        <v>2839</v>
      </c>
      <c r="B2843" s="0" t="n">
        <v>4</v>
      </c>
      <c r="C2843" s="19" t="n">
        <v>0.194</v>
      </c>
      <c r="D2843" s="19" t="n">
        <v>1</v>
      </c>
      <c r="E2843" s="20" t="n">
        <f aca="false">Parametres!$B$5*C2843</f>
        <v>58.2</v>
      </c>
      <c r="F2843" s="20" t="n">
        <f aca="false">Parametres!$B$6*D2843</f>
        <v>200</v>
      </c>
      <c r="G2843" s="20" t="n">
        <f aca="false">E2843+F2843</f>
        <v>258.2</v>
      </c>
      <c r="H2843" s="20" t="n">
        <f aca="false">IF(G2843&lt;Parametres!$B$8*Parametres!$B$7,0,MIN(G2843,Parametres!$B$7))</f>
        <v>250</v>
      </c>
      <c r="I2843" s="20" t="n">
        <f aca="false">G2843-H2843</f>
        <v>8.19999999999999</v>
      </c>
      <c r="J2843" s="21" t="n">
        <f aca="false">H2843*1000/Parametres!$B$9</f>
        <v>4239.44378497541</v>
      </c>
    </row>
    <row r="2844" customFormat="false" ht="15" hidden="false" customHeight="false" outlineLevel="0" collapsed="false">
      <c r="A2844" s="0" t="n">
        <v>2840</v>
      </c>
      <c r="B2844" s="0" t="n">
        <v>4</v>
      </c>
      <c r="C2844" s="19" t="n">
        <v>0.4031</v>
      </c>
      <c r="D2844" s="19" t="n">
        <v>0.9101</v>
      </c>
      <c r="E2844" s="20" t="n">
        <f aca="false">Parametres!$B$5*C2844</f>
        <v>120.93</v>
      </c>
      <c r="F2844" s="20" t="n">
        <f aca="false">Parametres!$B$6*D2844</f>
        <v>182.02</v>
      </c>
      <c r="G2844" s="20" t="n">
        <f aca="false">E2844+F2844</f>
        <v>302.95</v>
      </c>
      <c r="H2844" s="20" t="n">
        <f aca="false">IF(G2844&lt;Parametres!$B$8*Parametres!$B$7,0,MIN(G2844,Parametres!$B$7))</f>
        <v>250</v>
      </c>
      <c r="I2844" s="20" t="n">
        <f aca="false">G2844-H2844</f>
        <v>52.95</v>
      </c>
      <c r="J2844" s="21" t="n">
        <f aca="false">H2844*1000/Parametres!$B$9</f>
        <v>4239.44378497541</v>
      </c>
    </row>
    <row r="2845" customFormat="false" ht="15" hidden="false" customHeight="false" outlineLevel="0" collapsed="false">
      <c r="A2845" s="0" t="n">
        <v>2841</v>
      </c>
      <c r="B2845" s="0" t="n">
        <v>4</v>
      </c>
      <c r="C2845" s="19" t="n">
        <v>0.6411</v>
      </c>
      <c r="D2845" s="19" t="n">
        <v>0.829</v>
      </c>
      <c r="E2845" s="20" t="n">
        <f aca="false">Parametres!$B$5*C2845</f>
        <v>192.33</v>
      </c>
      <c r="F2845" s="20" t="n">
        <f aca="false">Parametres!$B$6*D2845</f>
        <v>165.8</v>
      </c>
      <c r="G2845" s="20" t="n">
        <f aca="false">E2845+F2845</f>
        <v>358.13</v>
      </c>
      <c r="H2845" s="20" t="n">
        <f aca="false">IF(G2845&lt;Parametres!$B$8*Parametres!$B$7,0,MIN(G2845,Parametres!$B$7))</f>
        <v>250</v>
      </c>
      <c r="I2845" s="20" t="n">
        <f aca="false">G2845-H2845</f>
        <v>108.13</v>
      </c>
      <c r="J2845" s="21" t="n">
        <f aca="false">H2845*1000/Parametres!$B$9</f>
        <v>4239.44378497541</v>
      </c>
    </row>
    <row r="2846" customFormat="false" ht="15" hidden="false" customHeight="false" outlineLevel="0" collapsed="false">
      <c r="A2846" s="0" t="n">
        <v>2842</v>
      </c>
      <c r="B2846" s="0" t="n">
        <v>4</v>
      </c>
      <c r="C2846" s="19" t="n">
        <v>0.8457</v>
      </c>
      <c r="D2846" s="19" t="n">
        <v>0.8128</v>
      </c>
      <c r="E2846" s="20" t="n">
        <f aca="false">Parametres!$B$5*C2846</f>
        <v>253.71</v>
      </c>
      <c r="F2846" s="20" t="n">
        <f aca="false">Parametres!$B$6*D2846</f>
        <v>162.56</v>
      </c>
      <c r="G2846" s="20" t="n">
        <f aca="false">E2846+F2846</f>
        <v>416.27</v>
      </c>
      <c r="H2846" s="20" t="n">
        <f aca="false">IF(G2846&lt;Parametres!$B$8*Parametres!$B$7,0,MIN(G2846,Parametres!$B$7))</f>
        <v>250</v>
      </c>
      <c r="I2846" s="20" t="n">
        <f aca="false">G2846-H2846</f>
        <v>166.27</v>
      </c>
      <c r="J2846" s="21" t="n">
        <f aca="false">H2846*1000/Parametres!$B$9</f>
        <v>4239.44378497541</v>
      </c>
    </row>
    <row r="2847" customFormat="false" ht="15" hidden="false" customHeight="false" outlineLevel="0" collapsed="false">
      <c r="A2847" s="0" t="n">
        <v>2843</v>
      </c>
      <c r="B2847" s="0" t="n">
        <v>4</v>
      </c>
      <c r="C2847" s="19" t="n">
        <v>0.9593</v>
      </c>
      <c r="D2847" s="19" t="n">
        <v>0.9148</v>
      </c>
      <c r="E2847" s="20" t="n">
        <f aca="false">Parametres!$B$5*C2847</f>
        <v>287.79</v>
      </c>
      <c r="F2847" s="20" t="n">
        <f aca="false">Parametres!$B$6*D2847</f>
        <v>182.96</v>
      </c>
      <c r="G2847" s="20" t="n">
        <f aca="false">E2847+F2847</f>
        <v>470.75</v>
      </c>
      <c r="H2847" s="20" t="n">
        <f aca="false">IF(G2847&lt;Parametres!$B$8*Parametres!$B$7,0,MIN(G2847,Parametres!$B$7))</f>
        <v>250</v>
      </c>
      <c r="I2847" s="20" t="n">
        <f aca="false">G2847-H2847</f>
        <v>220.75</v>
      </c>
      <c r="J2847" s="21" t="n">
        <f aca="false">H2847*1000/Parametres!$B$9</f>
        <v>4239.44378497541</v>
      </c>
    </row>
    <row r="2848" customFormat="false" ht="15" hidden="false" customHeight="false" outlineLevel="0" collapsed="false">
      <c r="A2848" s="0" t="n">
        <v>2844</v>
      </c>
      <c r="B2848" s="0" t="n">
        <v>4</v>
      </c>
      <c r="C2848" s="19" t="n">
        <v>1</v>
      </c>
      <c r="D2848" s="19" t="n">
        <v>0.9914</v>
      </c>
      <c r="E2848" s="20" t="n">
        <f aca="false">Parametres!$B$5*C2848</f>
        <v>300</v>
      </c>
      <c r="F2848" s="20" t="n">
        <f aca="false">Parametres!$B$6*D2848</f>
        <v>198.28</v>
      </c>
      <c r="G2848" s="20" t="n">
        <f aca="false">E2848+F2848</f>
        <v>498.28</v>
      </c>
      <c r="H2848" s="20" t="n">
        <f aca="false">IF(G2848&lt;Parametres!$B$8*Parametres!$B$7,0,MIN(G2848,Parametres!$B$7))</f>
        <v>250</v>
      </c>
      <c r="I2848" s="20" t="n">
        <f aca="false">G2848-H2848</f>
        <v>248.28</v>
      </c>
      <c r="J2848" s="21" t="n">
        <f aca="false">H2848*1000/Parametres!$B$9</f>
        <v>4239.44378497541</v>
      </c>
    </row>
    <row r="2849" customFormat="false" ht="15" hidden="false" customHeight="false" outlineLevel="0" collapsed="false">
      <c r="A2849" s="0" t="n">
        <v>2845</v>
      </c>
      <c r="B2849" s="0" t="n">
        <v>4</v>
      </c>
      <c r="C2849" s="19" t="n">
        <v>1</v>
      </c>
      <c r="D2849" s="19" t="n">
        <v>0.8993</v>
      </c>
      <c r="E2849" s="20" t="n">
        <f aca="false">Parametres!$B$5*C2849</f>
        <v>300</v>
      </c>
      <c r="F2849" s="20" t="n">
        <f aca="false">Parametres!$B$6*D2849</f>
        <v>179.86</v>
      </c>
      <c r="G2849" s="20" t="n">
        <f aca="false">E2849+F2849</f>
        <v>479.86</v>
      </c>
      <c r="H2849" s="20" t="n">
        <f aca="false">IF(G2849&lt;Parametres!$B$8*Parametres!$B$7,0,MIN(G2849,Parametres!$B$7))</f>
        <v>250</v>
      </c>
      <c r="I2849" s="20" t="n">
        <f aca="false">G2849-H2849</f>
        <v>229.86</v>
      </c>
      <c r="J2849" s="21" t="n">
        <f aca="false">H2849*1000/Parametres!$B$9</f>
        <v>4239.44378497541</v>
      </c>
    </row>
    <row r="2850" customFormat="false" ht="15" hidden="false" customHeight="false" outlineLevel="0" collapsed="false">
      <c r="A2850" s="0" t="n">
        <v>2846</v>
      </c>
      <c r="B2850" s="0" t="n">
        <v>4</v>
      </c>
      <c r="C2850" s="19" t="n">
        <v>1</v>
      </c>
      <c r="D2850" s="19" t="n">
        <v>0.9197</v>
      </c>
      <c r="E2850" s="20" t="n">
        <f aca="false">Parametres!$B$5*C2850</f>
        <v>300</v>
      </c>
      <c r="F2850" s="20" t="n">
        <f aca="false">Parametres!$B$6*D2850</f>
        <v>183.94</v>
      </c>
      <c r="G2850" s="20" t="n">
        <f aca="false">E2850+F2850</f>
        <v>483.94</v>
      </c>
      <c r="H2850" s="20" t="n">
        <f aca="false">IF(G2850&lt;Parametres!$B$8*Parametres!$B$7,0,MIN(G2850,Parametres!$B$7))</f>
        <v>250</v>
      </c>
      <c r="I2850" s="20" t="n">
        <f aca="false">G2850-H2850</f>
        <v>233.94</v>
      </c>
      <c r="J2850" s="21" t="n">
        <f aca="false">H2850*1000/Parametres!$B$9</f>
        <v>4239.44378497541</v>
      </c>
    </row>
    <row r="2851" customFormat="false" ht="15" hidden="false" customHeight="false" outlineLevel="0" collapsed="false">
      <c r="A2851" s="0" t="n">
        <v>2847</v>
      </c>
      <c r="B2851" s="0" t="n">
        <v>4</v>
      </c>
      <c r="C2851" s="19" t="n">
        <v>0.8534</v>
      </c>
      <c r="D2851" s="19" t="n">
        <v>0.4723</v>
      </c>
      <c r="E2851" s="20" t="n">
        <f aca="false">Parametres!$B$5*C2851</f>
        <v>256.02</v>
      </c>
      <c r="F2851" s="20" t="n">
        <f aca="false">Parametres!$B$6*D2851</f>
        <v>94.46</v>
      </c>
      <c r="G2851" s="20" t="n">
        <f aca="false">E2851+F2851</f>
        <v>350.48</v>
      </c>
      <c r="H2851" s="20" t="n">
        <f aca="false">IF(G2851&lt;Parametres!$B$8*Parametres!$B$7,0,MIN(G2851,Parametres!$B$7))</f>
        <v>250</v>
      </c>
      <c r="I2851" s="20" t="n">
        <f aca="false">G2851-H2851</f>
        <v>100.48</v>
      </c>
      <c r="J2851" s="21" t="n">
        <f aca="false">H2851*1000/Parametres!$B$9</f>
        <v>4239.44378497541</v>
      </c>
    </row>
    <row r="2852" customFormat="false" ht="15" hidden="false" customHeight="false" outlineLevel="0" collapsed="false">
      <c r="A2852" s="0" t="n">
        <v>2848</v>
      </c>
      <c r="B2852" s="0" t="n">
        <v>4</v>
      </c>
      <c r="C2852" s="19" t="n">
        <v>0.6362</v>
      </c>
      <c r="D2852" s="19" t="n">
        <v>0.5093</v>
      </c>
      <c r="E2852" s="20" t="n">
        <f aca="false">Parametres!$B$5*C2852</f>
        <v>190.86</v>
      </c>
      <c r="F2852" s="20" t="n">
        <f aca="false">Parametres!$B$6*D2852</f>
        <v>101.86</v>
      </c>
      <c r="G2852" s="20" t="n">
        <f aca="false">E2852+F2852</f>
        <v>292.72</v>
      </c>
      <c r="H2852" s="20" t="n">
        <f aca="false">IF(G2852&lt;Parametres!$B$8*Parametres!$B$7,0,MIN(G2852,Parametres!$B$7))</f>
        <v>250</v>
      </c>
      <c r="I2852" s="20" t="n">
        <f aca="false">G2852-H2852</f>
        <v>42.72</v>
      </c>
      <c r="J2852" s="21" t="n">
        <f aca="false">H2852*1000/Parametres!$B$9</f>
        <v>4239.44378497541</v>
      </c>
    </row>
    <row r="2853" customFormat="false" ht="15" hidden="false" customHeight="false" outlineLevel="0" collapsed="false">
      <c r="A2853" s="0" t="n">
        <v>2849</v>
      </c>
      <c r="B2853" s="0" t="n">
        <v>4</v>
      </c>
      <c r="C2853" s="19" t="n">
        <v>0.4354</v>
      </c>
      <c r="D2853" s="19" t="n">
        <v>0.6285</v>
      </c>
      <c r="E2853" s="20" t="n">
        <f aca="false">Parametres!$B$5*C2853</f>
        <v>130.62</v>
      </c>
      <c r="F2853" s="20" t="n">
        <f aca="false">Parametres!$B$6*D2853</f>
        <v>125.7</v>
      </c>
      <c r="G2853" s="20" t="n">
        <f aca="false">E2853+F2853</f>
        <v>256.32</v>
      </c>
      <c r="H2853" s="20" t="n">
        <f aca="false">IF(G2853&lt;Parametres!$B$8*Parametres!$B$7,0,MIN(G2853,Parametres!$B$7))</f>
        <v>250</v>
      </c>
      <c r="I2853" s="20" t="n">
        <f aca="false">G2853-H2853</f>
        <v>6.31999999999999</v>
      </c>
      <c r="J2853" s="21" t="n">
        <f aca="false">H2853*1000/Parametres!$B$9</f>
        <v>4239.44378497541</v>
      </c>
    </row>
    <row r="2854" customFormat="false" ht="15" hidden="false" customHeight="false" outlineLevel="0" collapsed="false">
      <c r="A2854" s="0" t="n">
        <v>2850</v>
      </c>
      <c r="B2854" s="0" t="n">
        <v>4</v>
      </c>
      <c r="C2854" s="19" t="n">
        <v>0.208</v>
      </c>
      <c r="D2854" s="19" t="n">
        <v>0.8017</v>
      </c>
      <c r="E2854" s="20" t="n">
        <f aca="false">Parametres!$B$5*C2854</f>
        <v>62.4</v>
      </c>
      <c r="F2854" s="20" t="n">
        <f aca="false">Parametres!$B$6*D2854</f>
        <v>160.34</v>
      </c>
      <c r="G2854" s="20" t="n">
        <f aca="false">E2854+F2854</f>
        <v>222.74</v>
      </c>
      <c r="H2854" s="20" t="n">
        <f aca="false">IF(G2854&lt;Parametres!$B$8*Parametres!$B$7,0,MIN(G2854,Parametres!$B$7))</f>
        <v>222.74</v>
      </c>
      <c r="I2854" s="20" t="n">
        <f aca="false">G2854-H2854</f>
        <v>0</v>
      </c>
      <c r="J2854" s="21" t="n">
        <f aca="false">H2854*1000/Parametres!$B$9</f>
        <v>3777.17483466169</v>
      </c>
    </row>
    <row r="2855" customFormat="false" ht="15" hidden="false" customHeight="false" outlineLevel="0" collapsed="false">
      <c r="A2855" s="0" t="n">
        <v>2851</v>
      </c>
      <c r="B2855" s="0" t="n">
        <v>4</v>
      </c>
      <c r="C2855" s="19" t="n">
        <v>0.0005</v>
      </c>
      <c r="D2855" s="19" t="n">
        <v>1</v>
      </c>
      <c r="E2855" s="20" t="n">
        <f aca="false">Parametres!$B$5*C2855</f>
        <v>0.15</v>
      </c>
      <c r="F2855" s="20" t="n">
        <f aca="false">Parametres!$B$6*D2855</f>
        <v>200</v>
      </c>
      <c r="G2855" s="20" t="n">
        <f aca="false">E2855+F2855</f>
        <v>200.15</v>
      </c>
      <c r="H2855" s="20" t="n">
        <f aca="false">IF(G2855&lt;Parametres!$B$8*Parametres!$B$7,0,MIN(G2855,Parametres!$B$7))</f>
        <v>200.15</v>
      </c>
      <c r="I2855" s="20" t="n">
        <f aca="false">G2855-H2855</f>
        <v>0</v>
      </c>
      <c r="J2855" s="21" t="n">
        <f aca="false">H2855*1000/Parametres!$B$9</f>
        <v>3394.09869425131</v>
      </c>
    </row>
    <row r="2856" customFormat="false" ht="15" hidden="false" customHeight="false" outlineLevel="0" collapsed="false">
      <c r="A2856" s="0" t="n">
        <v>2852</v>
      </c>
      <c r="B2856" s="0" t="n">
        <v>4</v>
      </c>
      <c r="C2856" s="19" t="n">
        <v>0</v>
      </c>
      <c r="D2856" s="19" t="n">
        <v>0.9175</v>
      </c>
      <c r="E2856" s="20" t="n">
        <f aca="false">Parametres!$B$5*C2856</f>
        <v>0</v>
      </c>
      <c r="F2856" s="20" t="n">
        <f aca="false">Parametres!$B$6*D2856</f>
        <v>183.5</v>
      </c>
      <c r="G2856" s="20" t="n">
        <f aca="false">E2856+F2856</f>
        <v>183.5</v>
      </c>
      <c r="H2856" s="20" t="n">
        <f aca="false">IF(G2856&lt;Parametres!$B$8*Parametres!$B$7,0,MIN(G2856,Parametres!$B$7))</f>
        <v>183.5</v>
      </c>
      <c r="I2856" s="20" t="n">
        <f aca="false">G2856-H2856</f>
        <v>0</v>
      </c>
      <c r="J2856" s="21" t="n">
        <f aca="false">H2856*1000/Parametres!$B$9</f>
        <v>3111.75173817195</v>
      </c>
    </row>
    <row r="2857" customFormat="false" ht="15" hidden="false" customHeight="false" outlineLevel="0" collapsed="false">
      <c r="A2857" s="0" t="n">
        <v>2853</v>
      </c>
      <c r="B2857" s="0" t="n">
        <v>4</v>
      </c>
      <c r="C2857" s="19" t="n">
        <v>0</v>
      </c>
      <c r="D2857" s="19" t="n">
        <v>0.8017</v>
      </c>
      <c r="E2857" s="20" t="n">
        <f aca="false">Parametres!$B$5*C2857</f>
        <v>0</v>
      </c>
      <c r="F2857" s="20" t="n">
        <f aca="false">Parametres!$B$6*D2857</f>
        <v>160.34</v>
      </c>
      <c r="G2857" s="20" t="n">
        <f aca="false">E2857+F2857</f>
        <v>160.34</v>
      </c>
      <c r="H2857" s="20" t="n">
        <f aca="false">IF(G2857&lt;Parametres!$B$8*Parametres!$B$7,0,MIN(G2857,Parametres!$B$7))</f>
        <v>160.34</v>
      </c>
      <c r="I2857" s="20" t="n">
        <f aca="false">G2857-H2857</f>
        <v>0</v>
      </c>
      <c r="J2857" s="21" t="n">
        <f aca="false">H2857*1000/Parametres!$B$9</f>
        <v>2719.00966593183</v>
      </c>
    </row>
    <row r="2858" customFormat="false" ht="15" hidden="false" customHeight="false" outlineLevel="0" collapsed="false">
      <c r="A2858" s="0" t="n">
        <v>2854</v>
      </c>
      <c r="B2858" s="0" t="n">
        <v>4</v>
      </c>
      <c r="C2858" s="19" t="n">
        <v>0</v>
      </c>
      <c r="D2858" s="19" t="n">
        <v>0.6036</v>
      </c>
      <c r="E2858" s="20" t="n">
        <f aca="false">Parametres!$B$5*C2858</f>
        <v>0</v>
      </c>
      <c r="F2858" s="20" t="n">
        <f aca="false">Parametres!$B$6*D2858</f>
        <v>120.72</v>
      </c>
      <c r="G2858" s="20" t="n">
        <f aca="false">E2858+F2858</f>
        <v>120.72</v>
      </c>
      <c r="H2858" s="20" t="n">
        <f aca="false">IF(G2858&lt;Parametres!$B$8*Parametres!$B$7,0,MIN(G2858,Parametres!$B$7))</f>
        <v>120.72</v>
      </c>
      <c r="I2858" s="20" t="n">
        <f aca="false">G2858-H2858</f>
        <v>0</v>
      </c>
      <c r="J2858" s="21" t="n">
        <f aca="false">H2858*1000/Parametres!$B$9</f>
        <v>2047.14261488893</v>
      </c>
    </row>
    <row r="2859" customFormat="false" ht="15" hidden="false" customHeight="false" outlineLevel="0" collapsed="false">
      <c r="A2859" s="0" t="n">
        <v>2855</v>
      </c>
      <c r="B2859" s="0" t="n">
        <v>4</v>
      </c>
      <c r="C2859" s="19" t="n">
        <v>0</v>
      </c>
      <c r="D2859" s="19" t="n">
        <v>0.4433</v>
      </c>
      <c r="E2859" s="20" t="n">
        <f aca="false">Parametres!$B$5*C2859</f>
        <v>0</v>
      </c>
      <c r="F2859" s="20" t="n">
        <f aca="false">Parametres!$B$6*D2859</f>
        <v>88.66</v>
      </c>
      <c r="G2859" s="20" t="n">
        <f aca="false">E2859+F2859</f>
        <v>88.66</v>
      </c>
      <c r="H2859" s="20" t="n">
        <f aca="false">IF(G2859&lt;Parametres!$B$8*Parametres!$B$7,0,MIN(G2859,Parametres!$B$7))</f>
        <v>88.66</v>
      </c>
      <c r="I2859" s="20" t="n">
        <f aca="false">G2859-H2859</f>
        <v>0</v>
      </c>
      <c r="J2859" s="21" t="n">
        <f aca="false">H2859*1000/Parametres!$B$9</f>
        <v>1503.47634390368</v>
      </c>
    </row>
    <row r="2860" customFormat="false" ht="15" hidden="false" customHeight="false" outlineLevel="0" collapsed="false">
      <c r="A2860" s="0" t="n">
        <v>2856</v>
      </c>
      <c r="B2860" s="0" t="n">
        <v>4</v>
      </c>
      <c r="C2860" s="19" t="n">
        <v>0</v>
      </c>
      <c r="D2860" s="19" t="n">
        <v>0.3994</v>
      </c>
      <c r="E2860" s="20" t="n">
        <f aca="false">Parametres!$B$5*C2860</f>
        <v>0</v>
      </c>
      <c r="F2860" s="20" t="n">
        <f aca="false">Parametres!$B$6*D2860</f>
        <v>79.88</v>
      </c>
      <c r="G2860" s="20" t="n">
        <f aca="false">E2860+F2860</f>
        <v>79.88</v>
      </c>
      <c r="H2860" s="20" t="n">
        <f aca="false">IF(G2860&lt;Parametres!$B$8*Parametres!$B$7,0,MIN(G2860,Parametres!$B$7))</f>
        <v>79.88</v>
      </c>
      <c r="I2860" s="20" t="n">
        <f aca="false">G2860-H2860</f>
        <v>0</v>
      </c>
      <c r="J2860" s="21" t="n">
        <f aca="false">H2860*1000/Parametres!$B$9</f>
        <v>1354.58707817534</v>
      </c>
    </row>
    <row r="2861" customFormat="false" ht="15" hidden="false" customHeight="false" outlineLevel="0" collapsed="false">
      <c r="A2861" s="0" t="n">
        <v>2857</v>
      </c>
      <c r="B2861" s="0" t="n">
        <v>4</v>
      </c>
      <c r="C2861" s="19" t="n">
        <v>0</v>
      </c>
      <c r="D2861" s="19" t="n">
        <v>0.5482</v>
      </c>
      <c r="E2861" s="20" t="n">
        <f aca="false">Parametres!$B$5*C2861</f>
        <v>0</v>
      </c>
      <c r="F2861" s="20" t="n">
        <f aca="false">Parametres!$B$6*D2861</f>
        <v>109.64</v>
      </c>
      <c r="G2861" s="20" t="n">
        <f aca="false">E2861+F2861</f>
        <v>109.64</v>
      </c>
      <c r="H2861" s="20" t="n">
        <f aca="false">IF(G2861&lt;Parametres!$B$8*Parametres!$B$7,0,MIN(G2861,Parametres!$B$7))</f>
        <v>109.64</v>
      </c>
      <c r="I2861" s="20" t="n">
        <f aca="false">G2861-H2861</f>
        <v>0</v>
      </c>
      <c r="J2861" s="21" t="n">
        <f aca="false">H2861*1000/Parametres!$B$9</f>
        <v>1859.25046633882</v>
      </c>
    </row>
    <row r="2862" customFormat="false" ht="15" hidden="false" customHeight="false" outlineLevel="0" collapsed="false">
      <c r="A2862" s="0" t="n">
        <v>2858</v>
      </c>
      <c r="B2862" s="0" t="n">
        <v>4</v>
      </c>
      <c r="C2862" s="19" t="n">
        <v>0</v>
      </c>
      <c r="D2862" s="19" t="n">
        <v>0.2657</v>
      </c>
      <c r="E2862" s="20" t="n">
        <f aca="false">Parametres!$B$5*C2862</f>
        <v>0</v>
      </c>
      <c r="F2862" s="20" t="n">
        <f aca="false">Parametres!$B$6*D2862</f>
        <v>53.14</v>
      </c>
      <c r="G2862" s="20" t="n">
        <f aca="false">E2862+F2862</f>
        <v>53.14</v>
      </c>
      <c r="H2862" s="20" t="n">
        <f aca="false">IF(G2862&lt;Parametres!$B$8*Parametres!$B$7,0,MIN(G2862,Parametres!$B$7))</f>
        <v>53.14</v>
      </c>
      <c r="I2862" s="20" t="n">
        <f aca="false">G2862-H2862</f>
        <v>0</v>
      </c>
      <c r="J2862" s="21" t="n">
        <f aca="false">H2862*1000/Parametres!$B$9</f>
        <v>901.136170934374</v>
      </c>
    </row>
    <row r="2863" customFormat="false" ht="15" hidden="false" customHeight="false" outlineLevel="0" collapsed="false">
      <c r="A2863" s="0" t="n">
        <v>2859</v>
      </c>
      <c r="B2863" s="0" t="n">
        <v>4</v>
      </c>
      <c r="C2863" s="19" t="n">
        <v>0</v>
      </c>
      <c r="D2863" s="19" t="n">
        <v>0.196</v>
      </c>
      <c r="E2863" s="20" t="n">
        <f aca="false">Parametres!$B$5*C2863</f>
        <v>0</v>
      </c>
      <c r="F2863" s="20" t="n">
        <f aca="false">Parametres!$B$6*D2863</f>
        <v>39.2</v>
      </c>
      <c r="G2863" s="20" t="n">
        <f aca="false">E2863+F2863</f>
        <v>39.2</v>
      </c>
      <c r="H2863" s="20" t="n">
        <f aca="false">IF(G2863&lt;Parametres!$B$8*Parametres!$B$7,0,MIN(G2863,Parametres!$B$7))</f>
        <v>39.2</v>
      </c>
      <c r="I2863" s="20" t="n">
        <f aca="false">G2863-H2863</f>
        <v>0</v>
      </c>
      <c r="J2863" s="21" t="n">
        <f aca="false">H2863*1000/Parametres!$B$9</f>
        <v>664.744785484145</v>
      </c>
    </row>
    <row r="2864" customFormat="false" ht="15" hidden="false" customHeight="false" outlineLevel="0" collapsed="false">
      <c r="A2864" s="0" t="n">
        <v>2860</v>
      </c>
      <c r="B2864" s="0" t="n">
        <v>4</v>
      </c>
      <c r="C2864" s="19" t="n">
        <v>0</v>
      </c>
      <c r="D2864" s="19" t="n">
        <v>0.2038</v>
      </c>
      <c r="E2864" s="20" t="n">
        <f aca="false">Parametres!$B$5*C2864</f>
        <v>0</v>
      </c>
      <c r="F2864" s="20" t="n">
        <f aca="false">Parametres!$B$6*D2864</f>
        <v>40.76</v>
      </c>
      <c r="G2864" s="20" t="n">
        <f aca="false">E2864+F2864</f>
        <v>40.76</v>
      </c>
      <c r="H2864" s="20" t="n">
        <f aca="false">IF(G2864&lt;Parametres!$B$8*Parametres!$B$7,0,MIN(G2864,Parametres!$B$7))</f>
        <v>40.76</v>
      </c>
      <c r="I2864" s="20" t="n">
        <f aca="false">G2864-H2864</f>
        <v>0</v>
      </c>
      <c r="J2864" s="21" t="n">
        <f aca="false">H2864*1000/Parametres!$B$9</f>
        <v>691.198914702391</v>
      </c>
    </row>
    <row r="2865" customFormat="false" ht="15" hidden="false" customHeight="false" outlineLevel="0" collapsed="false">
      <c r="A2865" s="0" t="n">
        <v>2861</v>
      </c>
      <c r="B2865" s="0" t="n">
        <v>4</v>
      </c>
      <c r="C2865" s="19" t="n">
        <v>0</v>
      </c>
      <c r="D2865" s="19" t="n">
        <v>0.1292</v>
      </c>
      <c r="E2865" s="20" t="n">
        <f aca="false">Parametres!$B$5*C2865</f>
        <v>0</v>
      </c>
      <c r="F2865" s="20" t="n">
        <f aca="false">Parametres!$B$6*D2865</f>
        <v>25.84</v>
      </c>
      <c r="G2865" s="20" t="n">
        <f aca="false">E2865+F2865</f>
        <v>25.84</v>
      </c>
      <c r="H2865" s="20" t="n">
        <f aca="false">IF(G2865&lt;Parametres!$B$8*Parametres!$B$7,0,MIN(G2865,Parametres!$B$7))</f>
        <v>25.84</v>
      </c>
      <c r="I2865" s="20" t="n">
        <f aca="false">G2865-H2865</f>
        <v>0</v>
      </c>
      <c r="J2865" s="21" t="n">
        <f aca="false">H2865*1000/Parametres!$B$9</f>
        <v>438.188909615059</v>
      </c>
    </row>
    <row r="2866" customFormat="false" ht="15" hidden="false" customHeight="false" outlineLevel="0" collapsed="false">
      <c r="A2866" s="0" t="n">
        <v>2862</v>
      </c>
      <c r="B2866" s="0" t="n">
        <v>4</v>
      </c>
      <c r="C2866" s="19" t="n">
        <v>0.0024</v>
      </c>
      <c r="D2866" s="19" t="n">
        <v>0.1575</v>
      </c>
      <c r="E2866" s="20" t="n">
        <f aca="false">Parametres!$B$5*C2866</f>
        <v>0.72</v>
      </c>
      <c r="F2866" s="20" t="n">
        <f aca="false">Parametres!$B$6*D2866</f>
        <v>31.5</v>
      </c>
      <c r="G2866" s="20" t="n">
        <f aca="false">E2866+F2866</f>
        <v>32.22</v>
      </c>
      <c r="H2866" s="20" t="n">
        <f aca="false">IF(G2866&lt;Parametres!$B$8*Parametres!$B$7,0,MIN(G2866,Parametres!$B$7))</f>
        <v>32.22</v>
      </c>
      <c r="I2866" s="20" t="n">
        <f aca="false">G2866-H2866</f>
        <v>0</v>
      </c>
      <c r="J2866" s="21" t="n">
        <f aca="false">H2866*1000/Parametres!$B$9</f>
        <v>546.379515007631</v>
      </c>
    </row>
    <row r="2867" customFormat="false" ht="15" hidden="false" customHeight="false" outlineLevel="0" collapsed="false">
      <c r="A2867" s="0" t="n">
        <v>2863</v>
      </c>
      <c r="B2867" s="0" t="n">
        <v>4</v>
      </c>
      <c r="C2867" s="19" t="n">
        <v>0.2479</v>
      </c>
      <c r="D2867" s="19" t="n">
        <v>0.0885</v>
      </c>
      <c r="E2867" s="20" t="n">
        <f aca="false">Parametres!$B$5*C2867</f>
        <v>74.37</v>
      </c>
      <c r="F2867" s="20" t="n">
        <f aca="false">Parametres!$B$6*D2867</f>
        <v>17.7</v>
      </c>
      <c r="G2867" s="20" t="n">
        <f aca="false">E2867+F2867</f>
        <v>92.07</v>
      </c>
      <c r="H2867" s="20" t="n">
        <f aca="false">IF(G2867&lt;Parametres!$B$8*Parametres!$B$7,0,MIN(G2867,Parametres!$B$7))</f>
        <v>92.07</v>
      </c>
      <c r="I2867" s="20" t="n">
        <f aca="false">G2867-H2867</f>
        <v>0</v>
      </c>
      <c r="J2867" s="21" t="n">
        <f aca="false">H2867*1000/Parametres!$B$9</f>
        <v>1561.30235713074</v>
      </c>
    </row>
    <row r="2868" customFormat="false" ht="15" hidden="false" customHeight="false" outlineLevel="0" collapsed="false">
      <c r="A2868" s="0" t="n">
        <v>2864</v>
      </c>
      <c r="B2868" s="0" t="n">
        <v>4</v>
      </c>
      <c r="C2868" s="19" t="n">
        <v>0.5243</v>
      </c>
      <c r="D2868" s="19" t="n">
        <v>0.0829</v>
      </c>
      <c r="E2868" s="20" t="n">
        <f aca="false">Parametres!$B$5*C2868</f>
        <v>157.29</v>
      </c>
      <c r="F2868" s="20" t="n">
        <f aca="false">Parametres!$B$6*D2868</f>
        <v>16.58</v>
      </c>
      <c r="G2868" s="20" t="n">
        <f aca="false">E2868+F2868</f>
        <v>173.87</v>
      </c>
      <c r="H2868" s="20" t="n">
        <f aca="false">IF(G2868&lt;Parametres!$B$8*Parametres!$B$7,0,MIN(G2868,Parametres!$B$7))</f>
        <v>173.87</v>
      </c>
      <c r="I2868" s="20" t="n">
        <f aca="false">G2868-H2868</f>
        <v>0</v>
      </c>
      <c r="J2868" s="21" t="n">
        <f aca="false">H2868*1000/Parametres!$B$9</f>
        <v>2948.4483635747</v>
      </c>
    </row>
    <row r="2869" customFormat="false" ht="15" hidden="false" customHeight="false" outlineLevel="0" collapsed="false">
      <c r="A2869" s="0" t="n">
        <v>2865</v>
      </c>
      <c r="B2869" s="0" t="n">
        <v>4</v>
      </c>
      <c r="C2869" s="19" t="n">
        <v>0.8188</v>
      </c>
      <c r="D2869" s="19" t="n">
        <v>0.037</v>
      </c>
      <c r="E2869" s="20" t="n">
        <f aca="false">Parametres!$B$5*C2869</f>
        <v>245.64</v>
      </c>
      <c r="F2869" s="20" t="n">
        <f aca="false">Parametres!$B$6*D2869</f>
        <v>7.4</v>
      </c>
      <c r="G2869" s="20" t="n">
        <f aca="false">E2869+F2869</f>
        <v>253.04</v>
      </c>
      <c r="H2869" s="20" t="n">
        <f aca="false">IF(G2869&lt;Parametres!$B$8*Parametres!$B$7,0,MIN(G2869,Parametres!$B$7))</f>
        <v>250</v>
      </c>
      <c r="I2869" s="20" t="n">
        <f aca="false">G2869-H2869</f>
        <v>3.03999999999999</v>
      </c>
      <c r="J2869" s="21" t="n">
        <f aca="false">H2869*1000/Parametres!$B$9</f>
        <v>4239.44378497541</v>
      </c>
    </row>
    <row r="2870" customFormat="false" ht="15" hidden="false" customHeight="false" outlineLevel="0" collapsed="false">
      <c r="A2870" s="0" t="n">
        <v>2866</v>
      </c>
      <c r="B2870" s="0" t="n">
        <v>4</v>
      </c>
      <c r="C2870" s="19" t="n">
        <v>0.9916</v>
      </c>
      <c r="D2870" s="19" t="n">
        <v>0.0533</v>
      </c>
      <c r="E2870" s="20" t="n">
        <f aca="false">Parametres!$B$5*C2870</f>
        <v>297.48</v>
      </c>
      <c r="F2870" s="20" t="n">
        <f aca="false">Parametres!$B$6*D2870</f>
        <v>10.66</v>
      </c>
      <c r="G2870" s="20" t="n">
        <f aca="false">E2870+F2870</f>
        <v>308.14</v>
      </c>
      <c r="H2870" s="20" t="n">
        <f aca="false">IF(G2870&lt;Parametres!$B$8*Parametres!$B$7,0,MIN(G2870,Parametres!$B$7))</f>
        <v>250</v>
      </c>
      <c r="I2870" s="20" t="n">
        <f aca="false">G2870-H2870</f>
        <v>58.14</v>
      </c>
      <c r="J2870" s="21" t="n">
        <f aca="false">H2870*1000/Parametres!$B$9</f>
        <v>4239.44378497541</v>
      </c>
    </row>
    <row r="2871" customFormat="false" ht="15" hidden="false" customHeight="false" outlineLevel="0" collapsed="false">
      <c r="A2871" s="0" t="n">
        <v>2867</v>
      </c>
      <c r="B2871" s="0" t="n">
        <v>4</v>
      </c>
      <c r="C2871" s="19" t="n">
        <v>1</v>
      </c>
      <c r="D2871" s="19" t="n">
        <v>0.0395</v>
      </c>
      <c r="E2871" s="20" t="n">
        <f aca="false">Parametres!$B$5*C2871</f>
        <v>300</v>
      </c>
      <c r="F2871" s="20" t="n">
        <f aca="false">Parametres!$B$6*D2871</f>
        <v>7.9</v>
      </c>
      <c r="G2871" s="20" t="n">
        <f aca="false">E2871+F2871</f>
        <v>307.9</v>
      </c>
      <c r="H2871" s="20" t="n">
        <f aca="false">IF(G2871&lt;Parametres!$B$8*Parametres!$B$7,0,MIN(G2871,Parametres!$B$7))</f>
        <v>250</v>
      </c>
      <c r="I2871" s="20" t="n">
        <f aca="false">G2871-H2871</f>
        <v>57.9</v>
      </c>
      <c r="J2871" s="21" t="n">
        <f aca="false">H2871*1000/Parametres!$B$9</f>
        <v>4239.44378497541</v>
      </c>
    </row>
    <row r="2872" customFormat="false" ht="15" hidden="false" customHeight="false" outlineLevel="0" collapsed="false">
      <c r="A2872" s="0" t="n">
        <v>2868</v>
      </c>
      <c r="B2872" s="0" t="n">
        <v>4</v>
      </c>
      <c r="C2872" s="19" t="n">
        <v>1</v>
      </c>
      <c r="D2872" s="19" t="n">
        <v>0.0715</v>
      </c>
      <c r="E2872" s="20" t="n">
        <f aca="false">Parametres!$B$5*C2872</f>
        <v>300</v>
      </c>
      <c r="F2872" s="20" t="n">
        <f aca="false">Parametres!$B$6*D2872</f>
        <v>14.3</v>
      </c>
      <c r="G2872" s="20" t="n">
        <f aca="false">E2872+F2872</f>
        <v>314.3</v>
      </c>
      <c r="H2872" s="20" t="n">
        <f aca="false">IF(G2872&lt;Parametres!$B$8*Parametres!$B$7,0,MIN(G2872,Parametres!$B$7))</f>
        <v>250</v>
      </c>
      <c r="I2872" s="20" t="n">
        <f aca="false">G2872-H2872</f>
        <v>64.3</v>
      </c>
      <c r="J2872" s="21" t="n">
        <f aca="false">H2872*1000/Parametres!$B$9</f>
        <v>4239.44378497541</v>
      </c>
    </row>
    <row r="2873" customFormat="false" ht="15" hidden="false" customHeight="false" outlineLevel="0" collapsed="false">
      <c r="A2873" s="0" t="n">
        <v>2869</v>
      </c>
      <c r="B2873" s="0" t="n">
        <v>4</v>
      </c>
      <c r="C2873" s="19" t="n">
        <v>1</v>
      </c>
      <c r="D2873" s="19" t="n">
        <v>0.0707</v>
      </c>
      <c r="E2873" s="20" t="n">
        <f aca="false">Parametres!$B$5*C2873</f>
        <v>300</v>
      </c>
      <c r="F2873" s="20" t="n">
        <f aca="false">Parametres!$B$6*D2873</f>
        <v>14.14</v>
      </c>
      <c r="G2873" s="20" t="n">
        <f aca="false">E2873+F2873</f>
        <v>314.14</v>
      </c>
      <c r="H2873" s="20" t="n">
        <f aca="false">IF(G2873&lt;Parametres!$B$8*Parametres!$B$7,0,MIN(G2873,Parametres!$B$7))</f>
        <v>250</v>
      </c>
      <c r="I2873" s="20" t="n">
        <f aca="false">G2873-H2873</f>
        <v>64.14</v>
      </c>
      <c r="J2873" s="21" t="n">
        <f aca="false">H2873*1000/Parametres!$B$9</f>
        <v>4239.44378497541</v>
      </c>
    </row>
    <row r="2874" customFormat="false" ht="15" hidden="false" customHeight="false" outlineLevel="0" collapsed="false">
      <c r="A2874" s="0" t="n">
        <v>2870</v>
      </c>
      <c r="B2874" s="0" t="n">
        <v>4</v>
      </c>
      <c r="C2874" s="19" t="n">
        <v>1</v>
      </c>
      <c r="D2874" s="19" t="n">
        <v>0.0446</v>
      </c>
      <c r="E2874" s="20" t="n">
        <f aca="false">Parametres!$B$5*C2874</f>
        <v>300</v>
      </c>
      <c r="F2874" s="20" t="n">
        <f aca="false">Parametres!$B$6*D2874</f>
        <v>8.92</v>
      </c>
      <c r="G2874" s="20" t="n">
        <f aca="false">E2874+F2874</f>
        <v>308.92</v>
      </c>
      <c r="H2874" s="20" t="n">
        <f aca="false">IF(G2874&lt;Parametres!$B$8*Parametres!$B$7,0,MIN(G2874,Parametres!$B$7))</f>
        <v>250</v>
      </c>
      <c r="I2874" s="20" t="n">
        <f aca="false">G2874-H2874</f>
        <v>58.92</v>
      </c>
      <c r="J2874" s="21" t="n">
        <f aca="false">H2874*1000/Parametres!$B$9</f>
        <v>4239.44378497541</v>
      </c>
    </row>
    <row r="2875" customFormat="false" ht="15" hidden="false" customHeight="false" outlineLevel="0" collapsed="false">
      <c r="A2875" s="0" t="n">
        <v>2871</v>
      </c>
      <c r="B2875" s="0" t="n">
        <v>4</v>
      </c>
      <c r="C2875" s="19" t="n">
        <v>1</v>
      </c>
      <c r="D2875" s="19" t="n">
        <v>0.0379</v>
      </c>
      <c r="E2875" s="20" t="n">
        <f aca="false">Parametres!$B$5*C2875</f>
        <v>300</v>
      </c>
      <c r="F2875" s="20" t="n">
        <f aca="false">Parametres!$B$6*D2875</f>
        <v>7.58</v>
      </c>
      <c r="G2875" s="20" t="n">
        <f aca="false">E2875+F2875</f>
        <v>307.58</v>
      </c>
      <c r="H2875" s="20" t="n">
        <f aca="false">IF(G2875&lt;Parametres!$B$8*Parametres!$B$7,0,MIN(G2875,Parametres!$B$7))</f>
        <v>250</v>
      </c>
      <c r="I2875" s="20" t="n">
        <f aca="false">G2875-H2875</f>
        <v>57.58</v>
      </c>
      <c r="J2875" s="21" t="n">
        <f aca="false">H2875*1000/Parametres!$B$9</f>
        <v>4239.44378497541</v>
      </c>
    </row>
    <row r="2876" customFormat="false" ht="15" hidden="false" customHeight="false" outlineLevel="0" collapsed="false">
      <c r="A2876" s="0" t="n">
        <v>2872</v>
      </c>
      <c r="B2876" s="0" t="n">
        <v>4</v>
      </c>
      <c r="C2876" s="19" t="n">
        <v>0.803</v>
      </c>
      <c r="D2876" s="19" t="n">
        <v>0.0453</v>
      </c>
      <c r="E2876" s="20" t="n">
        <f aca="false">Parametres!$B$5*C2876</f>
        <v>240.9</v>
      </c>
      <c r="F2876" s="20" t="n">
        <f aca="false">Parametres!$B$6*D2876</f>
        <v>9.06</v>
      </c>
      <c r="G2876" s="20" t="n">
        <f aca="false">E2876+F2876</f>
        <v>249.96</v>
      </c>
      <c r="H2876" s="20" t="n">
        <f aca="false">IF(G2876&lt;Parametres!$B$8*Parametres!$B$7,0,MIN(G2876,Parametres!$B$7))</f>
        <v>249.96</v>
      </c>
      <c r="I2876" s="20" t="n">
        <f aca="false">G2876-H2876</f>
        <v>0</v>
      </c>
      <c r="J2876" s="21" t="n">
        <f aca="false">H2876*1000/Parametres!$B$9</f>
        <v>4238.76547396982</v>
      </c>
    </row>
    <row r="2877" customFormat="false" ht="15" hidden="false" customHeight="false" outlineLevel="0" collapsed="false">
      <c r="A2877" s="0" t="n">
        <v>2873</v>
      </c>
      <c r="B2877" s="0" t="n">
        <v>4</v>
      </c>
      <c r="C2877" s="19" t="n">
        <v>0.5279</v>
      </c>
      <c r="D2877" s="19" t="n">
        <v>0.047</v>
      </c>
      <c r="E2877" s="20" t="n">
        <f aca="false">Parametres!$B$5*C2877</f>
        <v>158.37</v>
      </c>
      <c r="F2877" s="20" t="n">
        <f aca="false">Parametres!$B$6*D2877</f>
        <v>9.4</v>
      </c>
      <c r="G2877" s="20" t="n">
        <f aca="false">E2877+F2877</f>
        <v>167.77</v>
      </c>
      <c r="H2877" s="20" t="n">
        <f aca="false">IF(G2877&lt;Parametres!$B$8*Parametres!$B$7,0,MIN(G2877,Parametres!$B$7))</f>
        <v>167.77</v>
      </c>
      <c r="I2877" s="20" t="n">
        <f aca="false">G2877-H2877</f>
        <v>0</v>
      </c>
      <c r="J2877" s="21" t="n">
        <f aca="false">H2877*1000/Parametres!$B$9</f>
        <v>2845.0059352213</v>
      </c>
    </row>
    <row r="2878" customFormat="false" ht="15" hidden="false" customHeight="false" outlineLevel="0" collapsed="false">
      <c r="A2878" s="0" t="n">
        <v>2874</v>
      </c>
      <c r="B2878" s="0" t="n">
        <v>4</v>
      </c>
      <c r="C2878" s="19" t="n">
        <v>0.2528</v>
      </c>
      <c r="D2878" s="19" t="n">
        <v>0.0394</v>
      </c>
      <c r="E2878" s="20" t="n">
        <f aca="false">Parametres!$B$5*C2878</f>
        <v>75.84</v>
      </c>
      <c r="F2878" s="20" t="n">
        <f aca="false">Parametres!$B$6*D2878</f>
        <v>7.88</v>
      </c>
      <c r="G2878" s="20" t="n">
        <f aca="false">E2878+F2878</f>
        <v>83.72</v>
      </c>
      <c r="H2878" s="20" t="n">
        <f aca="false">IF(G2878&lt;Parametres!$B$8*Parametres!$B$7,0,MIN(G2878,Parametres!$B$7))</f>
        <v>83.72</v>
      </c>
      <c r="I2878" s="20" t="n">
        <f aca="false">G2878-H2878</f>
        <v>0</v>
      </c>
      <c r="J2878" s="21" t="n">
        <f aca="false">H2878*1000/Parametres!$B$9</f>
        <v>1419.70493471257</v>
      </c>
    </row>
    <row r="2879" customFormat="false" ht="15" hidden="false" customHeight="false" outlineLevel="0" collapsed="false">
      <c r="A2879" s="0" t="n">
        <v>2875</v>
      </c>
      <c r="B2879" s="0" t="n">
        <v>4</v>
      </c>
      <c r="C2879" s="19" t="n">
        <v>0.0025</v>
      </c>
      <c r="D2879" s="19" t="n">
        <v>0.0293</v>
      </c>
      <c r="E2879" s="20" t="n">
        <f aca="false">Parametres!$B$5*C2879</f>
        <v>0.75</v>
      </c>
      <c r="F2879" s="20" t="n">
        <f aca="false">Parametres!$B$6*D2879</f>
        <v>5.86</v>
      </c>
      <c r="G2879" s="20" t="n">
        <f aca="false">E2879+F2879</f>
        <v>6.61</v>
      </c>
      <c r="H2879" s="20" t="n">
        <f aca="false">IF(G2879&lt;Parametres!$B$8*Parametres!$B$7,0,MIN(G2879,Parametres!$B$7))</f>
        <v>0</v>
      </c>
      <c r="I2879" s="20" t="n">
        <f aca="false">G2879-H2879</f>
        <v>6.61</v>
      </c>
      <c r="J2879" s="21" t="n">
        <f aca="false">H2879*1000/Parametres!$B$9</f>
        <v>0</v>
      </c>
    </row>
    <row r="2880" customFormat="false" ht="15" hidden="false" customHeight="false" outlineLevel="0" collapsed="false">
      <c r="A2880" s="0" t="n">
        <v>2876</v>
      </c>
      <c r="B2880" s="0" t="n">
        <v>4</v>
      </c>
      <c r="C2880" s="19" t="n">
        <v>0</v>
      </c>
      <c r="D2880" s="19" t="n">
        <v>0.0273</v>
      </c>
      <c r="E2880" s="20" t="n">
        <f aca="false">Parametres!$B$5*C2880</f>
        <v>0</v>
      </c>
      <c r="F2880" s="20" t="n">
        <f aca="false">Parametres!$B$6*D2880</f>
        <v>5.46</v>
      </c>
      <c r="G2880" s="20" t="n">
        <f aca="false">E2880+F2880</f>
        <v>5.46</v>
      </c>
      <c r="H2880" s="20" t="n">
        <f aca="false">IF(G2880&lt;Parametres!$B$8*Parametres!$B$7,0,MIN(G2880,Parametres!$B$7))</f>
        <v>0</v>
      </c>
      <c r="I2880" s="20" t="n">
        <f aca="false">G2880-H2880</f>
        <v>5.46</v>
      </c>
      <c r="J2880" s="21" t="n">
        <f aca="false">H2880*1000/Parametres!$B$9</f>
        <v>0</v>
      </c>
    </row>
    <row r="2881" customFormat="false" ht="15" hidden="false" customHeight="false" outlineLevel="0" collapsed="false">
      <c r="A2881" s="0" t="n">
        <v>2877</v>
      </c>
      <c r="B2881" s="0" t="n">
        <v>4</v>
      </c>
      <c r="C2881" s="19" t="n">
        <v>0</v>
      </c>
      <c r="D2881" s="19" t="n">
        <v>0.0445</v>
      </c>
      <c r="E2881" s="20" t="n">
        <f aca="false">Parametres!$B$5*C2881</f>
        <v>0</v>
      </c>
      <c r="F2881" s="20" t="n">
        <f aca="false">Parametres!$B$6*D2881</f>
        <v>8.9</v>
      </c>
      <c r="G2881" s="20" t="n">
        <f aca="false">E2881+F2881</f>
        <v>8.9</v>
      </c>
      <c r="H2881" s="20" t="n">
        <f aca="false">IF(G2881&lt;Parametres!$B$8*Parametres!$B$7,0,MIN(G2881,Parametres!$B$7))</f>
        <v>0</v>
      </c>
      <c r="I2881" s="20" t="n">
        <f aca="false">G2881-H2881</f>
        <v>8.9</v>
      </c>
      <c r="J2881" s="21" t="n">
        <f aca="false">H2881*1000/Parametres!$B$9</f>
        <v>0</v>
      </c>
    </row>
    <row r="2882" customFormat="false" ht="15" hidden="false" customHeight="false" outlineLevel="0" collapsed="false">
      <c r="A2882" s="0" t="n">
        <v>2878</v>
      </c>
      <c r="B2882" s="0" t="n">
        <v>4</v>
      </c>
      <c r="C2882" s="19" t="n">
        <v>0</v>
      </c>
      <c r="D2882" s="19" t="n">
        <v>0.0255</v>
      </c>
      <c r="E2882" s="20" t="n">
        <f aca="false">Parametres!$B$5*C2882</f>
        <v>0</v>
      </c>
      <c r="F2882" s="20" t="n">
        <f aca="false">Parametres!$B$6*D2882</f>
        <v>5.1</v>
      </c>
      <c r="G2882" s="20" t="n">
        <f aca="false">E2882+F2882</f>
        <v>5.1</v>
      </c>
      <c r="H2882" s="20" t="n">
        <f aca="false">IF(G2882&lt;Parametres!$B$8*Parametres!$B$7,0,MIN(G2882,Parametres!$B$7))</f>
        <v>0</v>
      </c>
      <c r="I2882" s="20" t="n">
        <f aca="false">G2882-H2882</f>
        <v>5.1</v>
      </c>
      <c r="J2882" s="21" t="n">
        <f aca="false">H2882*1000/Parametres!$B$9</f>
        <v>0</v>
      </c>
    </row>
    <row r="2883" customFormat="false" ht="15" hidden="false" customHeight="false" outlineLevel="0" collapsed="false">
      <c r="A2883" s="0" t="n">
        <v>2879</v>
      </c>
      <c r="B2883" s="0" t="n">
        <v>4</v>
      </c>
      <c r="C2883" s="19" t="n">
        <v>0</v>
      </c>
      <c r="D2883" s="19" t="n">
        <v>0.0297</v>
      </c>
      <c r="E2883" s="20" t="n">
        <f aca="false">Parametres!$B$5*C2883</f>
        <v>0</v>
      </c>
      <c r="F2883" s="20" t="n">
        <f aca="false">Parametres!$B$6*D2883</f>
        <v>5.94</v>
      </c>
      <c r="G2883" s="20" t="n">
        <f aca="false">E2883+F2883</f>
        <v>5.94</v>
      </c>
      <c r="H2883" s="20" t="n">
        <f aca="false">IF(G2883&lt;Parametres!$B$8*Parametres!$B$7,0,MIN(G2883,Parametres!$B$7))</f>
        <v>0</v>
      </c>
      <c r="I2883" s="20" t="n">
        <f aca="false">G2883-H2883</f>
        <v>5.94</v>
      </c>
      <c r="J2883" s="21" t="n">
        <f aca="false">H2883*1000/Parametres!$B$9</f>
        <v>0</v>
      </c>
    </row>
    <row r="2884" customFormat="false" ht="15" hidden="false" customHeight="false" outlineLevel="0" collapsed="false">
      <c r="A2884" s="0" t="n">
        <v>2880</v>
      </c>
      <c r="B2884" s="0" t="n">
        <v>4</v>
      </c>
      <c r="C2884" s="19" t="n">
        <v>0</v>
      </c>
      <c r="D2884" s="19" t="n">
        <v>0.008</v>
      </c>
      <c r="E2884" s="20" t="n">
        <f aca="false">Parametres!$B$5*C2884</f>
        <v>0</v>
      </c>
      <c r="F2884" s="20" t="n">
        <f aca="false">Parametres!$B$6*D2884</f>
        <v>1.6</v>
      </c>
      <c r="G2884" s="20" t="n">
        <f aca="false">E2884+F2884</f>
        <v>1.6</v>
      </c>
      <c r="H2884" s="20" t="n">
        <f aca="false">IF(G2884&lt;Parametres!$B$8*Parametres!$B$7,0,MIN(G2884,Parametres!$B$7))</f>
        <v>0</v>
      </c>
      <c r="I2884" s="20" t="n">
        <f aca="false">G2884-H2884</f>
        <v>1.6</v>
      </c>
      <c r="J2884" s="21" t="n">
        <f aca="false">H2884*1000/Parametres!$B$9</f>
        <v>0</v>
      </c>
    </row>
    <row r="2885" customFormat="false" ht="15" hidden="false" customHeight="false" outlineLevel="0" collapsed="false">
      <c r="A2885" s="0" t="n">
        <v>2881</v>
      </c>
      <c r="B2885" s="0" t="n">
        <v>5</v>
      </c>
      <c r="C2885" s="19" t="n">
        <v>0</v>
      </c>
      <c r="D2885" s="19" t="n">
        <v>0.0155</v>
      </c>
      <c r="E2885" s="20" t="n">
        <f aca="false">Parametres!$B$5*C2885</f>
        <v>0</v>
      </c>
      <c r="F2885" s="20" t="n">
        <f aca="false">Parametres!$B$6*D2885</f>
        <v>3.1</v>
      </c>
      <c r="G2885" s="20" t="n">
        <f aca="false">E2885+F2885</f>
        <v>3.1</v>
      </c>
      <c r="H2885" s="20" t="n">
        <f aca="false">IF(G2885&lt;Parametres!$B$8*Parametres!$B$7,0,MIN(G2885,Parametres!$B$7))</f>
        <v>0</v>
      </c>
      <c r="I2885" s="20" t="n">
        <f aca="false">G2885-H2885</f>
        <v>3.1</v>
      </c>
      <c r="J2885" s="21" t="n">
        <f aca="false">H2885*1000/Parametres!$B$9</f>
        <v>0</v>
      </c>
    </row>
    <row r="2886" customFormat="false" ht="15" hidden="false" customHeight="false" outlineLevel="0" collapsed="false">
      <c r="A2886" s="0" t="n">
        <v>2882</v>
      </c>
      <c r="B2886" s="0" t="n">
        <v>5</v>
      </c>
      <c r="C2886" s="19" t="n">
        <v>0</v>
      </c>
      <c r="D2886" s="19" t="n">
        <v>0.0176</v>
      </c>
      <c r="E2886" s="20" t="n">
        <f aca="false">Parametres!$B$5*C2886</f>
        <v>0</v>
      </c>
      <c r="F2886" s="20" t="n">
        <f aca="false">Parametres!$B$6*D2886</f>
        <v>3.52</v>
      </c>
      <c r="G2886" s="20" t="n">
        <f aca="false">E2886+F2886</f>
        <v>3.52</v>
      </c>
      <c r="H2886" s="20" t="n">
        <f aca="false">IF(G2886&lt;Parametres!$B$8*Parametres!$B$7,0,MIN(G2886,Parametres!$B$7))</f>
        <v>0</v>
      </c>
      <c r="I2886" s="20" t="n">
        <f aca="false">G2886-H2886</f>
        <v>3.52</v>
      </c>
      <c r="J2886" s="21" t="n">
        <f aca="false">H2886*1000/Parametres!$B$9</f>
        <v>0</v>
      </c>
    </row>
    <row r="2887" customFormat="false" ht="15" hidden="false" customHeight="false" outlineLevel="0" collapsed="false">
      <c r="A2887" s="0" t="n">
        <v>2883</v>
      </c>
      <c r="B2887" s="0" t="n">
        <v>5</v>
      </c>
      <c r="C2887" s="19" t="n">
        <v>0</v>
      </c>
      <c r="D2887" s="19" t="n">
        <v>0.0116</v>
      </c>
      <c r="E2887" s="20" t="n">
        <f aca="false">Parametres!$B$5*C2887</f>
        <v>0</v>
      </c>
      <c r="F2887" s="20" t="n">
        <f aca="false">Parametres!$B$6*D2887</f>
        <v>2.32</v>
      </c>
      <c r="G2887" s="20" t="n">
        <f aca="false">E2887+F2887</f>
        <v>2.32</v>
      </c>
      <c r="H2887" s="20" t="n">
        <f aca="false">IF(G2887&lt;Parametres!$B$8*Parametres!$B$7,0,MIN(G2887,Parametres!$B$7))</f>
        <v>0</v>
      </c>
      <c r="I2887" s="20" t="n">
        <f aca="false">G2887-H2887</f>
        <v>2.32</v>
      </c>
      <c r="J2887" s="21" t="n">
        <f aca="false">H2887*1000/Parametres!$B$9</f>
        <v>0</v>
      </c>
    </row>
    <row r="2888" customFormat="false" ht="15" hidden="false" customHeight="false" outlineLevel="0" collapsed="false">
      <c r="A2888" s="0" t="n">
        <v>2884</v>
      </c>
      <c r="B2888" s="0" t="n">
        <v>5</v>
      </c>
      <c r="C2888" s="19" t="n">
        <v>0</v>
      </c>
      <c r="D2888" s="19" t="n">
        <v>0.0079</v>
      </c>
      <c r="E2888" s="20" t="n">
        <f aca="false">Parametres!$B$5*C2888</f>
        <v>0</v>
      </c>
      <c r="F2888" s="20" t="n">
        <f aca="false">Parametres!$B$6*D2888</f>
        <v>1.58</v>
      </c>
      <c r="G2888" s="20" t="n">
        <f aca="false">E2888+F2888</f>
        <v>1.58</v>
      </c>
      <c r="H2888" s="20" t="n">
        <f aca="false">IF(G2888&lt;Parametres!$B$8*Parametres!$B$7,0,MIN(G2888,Parametres!$B$7))</f>
        <v>0</v>
      </c>
      <c r="I2888" s="20" t="n">
        <f aca="false">G2888-H2888</f>
        <v>1.58</v>
      </c>
      <c r="J2888" s="21" t="n">
        <f aca="false">H2888*1000/Parametres!$B$9</f>
        <v>0</v>
      </c>
    </row>
    <row r="2889" customFormat="false" ht="15" hidden="false" customHeight="false" outlineLevel="0" collapsed="false">
      <c r="A2889" s="0" t="n">
        <v>2885</v>
      </c>
      <c r="B2889" s="0" t="n">
        <v>5</v>
      </c>
      <c r="C2889" s="19" t="n">
        <v>0</v>
      </c>
      <c r="D2889" s="19" t="n">
        <v>0.0009</v>
      </c>
      <c r="E2889" s="20" t="n">
        <f aca="false">Parametres!$B$5*C2889</f>
        <v>0</v>
      </c>
      <c r="F2889" s="20" t="n">
        <f aca="false">Parametres!$B$6*D2889</f>
        <v>0.18</v>
      </c>
      <c r="G2889" s="20" t="n">
        <f aca="false">E2889+F2889</f>
        <v>0.18</v>
      </c>
      <c r="H2889" s="20" t="n">
        <f aca="false">IF(G2889&lt;Parametres!$B$8*Parametres!$B$7,0,MIN(G2889,Parametres!$B$7))</f>
        <v>0</v>
      </c>
      <c r="I2889" s="20" t="n">
        <f aca="false">G2889-H2889</f>
        <v>0.18</v>
      </c>
      <c r="J2889" s="21" t="n">
        <f aca="false">H2889*1000/Parametres!$B$9</f>
        <v>0</v>
      </c>
    </row>
    <row r="2890" customFormat="false" ht="15" hidden="false" customHeight="false" outlineLevel="0" collapsed="false">
      <c r="A2890" s="0" t="n">
        <v>2886</v>
      </c>
      <c r="B2890" s="0" t="n">
        <v>5</v>
      </c>
      <c r="C2890" s="19" t="n">
        <v>0.0044</v>
      </c>
      <c r="D2890" s="19" t="n">
        <v>0.0013</v>
      </c>
      <c r="E2890" s="20" t="n">
        <f aca="false">Parametres!$B$5*C2890</f>
        <v>1.32</v>
      </c>
      <c r="F2890" s="20" t="n">
        <f aca="false">Parametres!$B$6*D2890</f>
        <v>0.26</v>
      </c>
      <c r="G2890" s="20" t="n">
        <f aca="false">E2890+F2890</f>
        <v>1.58</v>
      </c>
      <c r="H2890" s="20" t="n">
        <f aca="false">IF(G2890&lt;Parametres!$B$8*Parametres!$B$7,0,MIN(G2890,Parametres!$B$7))</f>
        <v>0</v>
      </c>
      <c r="I2890" s="20" t="n">
        <f aca="false">G2890-H2890</f>
        <v>1.58</v>
      </c>
      <c r="J2890" s="21" t="n">
        <f aca="false">H2890*1000/Parametres!$B$9</f>
        <v>0</v>
      </c>
    </row>
    <row r="2891" customFormat="false" ht="15" hidden="false" customHeight="false" outlineLevel="0" collapsed="false">
      <c r="A2891" s="0" t="n">
        <v>2887</v>
      </c>
      <c r="B2891" s="0" t="n">
        <v>5</v>
      </c>
      <c r="C2891" s="19" t="n">
        <v>0.255</v>
      </c>
      <c r="D2891" s="19" t="n">
        <v>0.0011</v>
      </c>
      <c r="E2891" s="20" t="n">
        <f aca="false">Parametres!$B$5*C2891</f>
        <v>76.5</v>
      </c>
      <c r="F2891" s="20" t="n">
        <f aca="false">Parametres!$B$6*D2891</f>
        <v>0.22</v>
      </c>
      <c r="G2891" s="20" t="n">
        <f aca="false">E2891+F2891</f>
        <v>76.72</v>
      </c>
      <c r="H2891" s="20" t="n">
        <f aca="false">IF(G2891&lt;Parametres!$B$8*Parametres!$B$7,0,MIN(G2891,Parametres!$B$7))</f>
        <v>76.72</v>
      </c>
      <c r="I2891" s="20" t="n">
        <f aca="false">G2891-H2891</f>
        <v>0</v>
      </c>
      <c r="J2891" s="21" t="n">
        <f aca="false">H2891*1000/Parametres!$B$9</f>
        <v>1301.00050873325</v>
      </c>
    </row>
    <row r="2892" customFormat="false" ht="15" hidden="false" customHeight="false" outlineLevel="0" collapsed="false">
      <c r="A2892" s="0" t="n">
        <v>2888</v>
      </c>
      <c r="B2892" s="0" t="n">
        <v>5</v>
      </c>
      <c r="C2892" s="19" t="n">
        <v>0.5554</v>
      </c>
      <c r="D2892" s="19" t="n">
        <v>0.0001</v>
      </c>
      <c r="E2892" s="20" t="n">
        <f aca="false">Parametres!$B$5*C2892</f>
        <v>166.62</v>
      </c>
      <c r="F2892" s="20" t="n">
        <f aca="false">Parametres!$B$6*D2892</f>
        <v>0.02</v>
      </c>
      <c r="G2892" s="20" t="n">
        <f aca="false">E2892+F2892</f>
        <v>166.64</v>
      </c>
      <c r="H2892" s="20" t="n">
        <f aca="false">IF(G2892&lt;Parametres!$B$8*Parametres!$B$7,0,MIN(G2892,Parametres!$B$7))</f>
        <v>166.64</v>
      </c>
      <c r="I2892" s="20" t="n">
        <f aca="false">G2892-H2892</f>
        <v>0</v>
      </c>
      <c r="J2892" s="21" t="n">
        <f aca="false">H2892*1000/Parametres!$B$9</f>
        <v>2825.84364931321</v>
      </c>
    </row>
    <row r="2893" customFormat="false" ht="15" hidden="false" customHeight="false" outlineLevel="0" collapsed="false">
      <c r="A2893" s="0" t="n">
        <v>2889</v>
      </c>
      <c r="B2893" s="0" t="n">
        <v>5</v>
      </c>
      <c r="C2893" s="19" t="n">
        <v>0.8843</v>
      </c>
      <c r="D2893" s="19" t="n">
        <v>0</v>
      </c>
      <c r="E2893" s="20" t="n">
        <f aca="false">Parametres!$B$5*C2893</f>
        <v>265.29</v>
      </c>
      <c r="F2893" s="20" t="n">
        <f aca="false">Parametres!$B$6*D2893</f>
        <v>0</v>
      </c>
      <c r="G2893" s="20" t="n">
        <f aca="false">E2893+F2893</f>
        <v>265.29</v>
      </c>
      <c r="H2893" s="20" t="n">
        <f aca="false">IF(G2893&lt;Parametres!$B$8*Parametres!$B$7,0,MIN(G2893,Parametres!$B$7))</f>
        <v>250</v>
      </c>
      <c r="I2893" s="20" t="n">
        <f aca="false">G2893-H2893</f>
        <v>15.29</v>
      </c>
      <c r="J2893" s="21" t="n">
        <f aca="false">H2893*1000/Parametres!$B$9</f>
        <v>4239.44378497541</v>
      </c>
    </row>
    <row r="2894" customFormat="false" ht="15" hidden="false" customHeight="false" outlineLevel="0" collapsed="false">
      <c r="A2894" s="0" t="n">
        <v>2890</v>
      </c>
      <c r="B2894" s="0" t="n">
        <v>5</v>
      </c>
      <c r="C2894" s="19" t="n">
        <v>1</v>
      </c>
      <c r="D2894" s="19" t="n">
        <v>0.0004</v>
      </c>
      <c r="E2894" s="20" t="n">
        <f aca="false">Parametres!$B$5*C2894</f>
        <v>300</v>
      </c>
      <c r="F2894" s="20" t="n">
        <f aca="false">Parametres!$B$6*D2894</f>
        <v>0.08</v>
      </c>
      <c r="G2894" s="20" t="n">
        <f aca="false">E2894+F2894</f>
        <v>300.08</v>
      </c>
      <c r="H2894" s="20" t="n">
        <f aca="false">IF(G2894&lt;Parametres!$B$8*Parametres!$B$7,0,MIN(G2894,Parametres!$B$7))</f>
        <v>250</v>
      </c>
      <c r="I2894" s="20" t="n">
        <f aca="false">G2894-H2894</f>
        <v>50.08</v>
      </c>
      <c r="J2894" s="21" t="n">
        <f aca="false">H2894*1000/Parametres!$B$9</f>
        <v>4239.44378497541</v>
      </c>
    </row>
    <row r="2895" customFormat="false" ht="15" hidden="false" customHeight="false" outlineLevel="0" collapsed="false">
      <c r="A2895" s="0" t="n">
        <v>2891</v>
      </c>
      <c r="B2895" s="0" t="n">
        <v>5</v>
      </c>
      <c r="C2895" s="19" t="n">
        <v>1</v>
      </c>
      <c r="D2895" s="19" t="n">
        <v>0.0011</v>
      </c>
      <c r="E2895" s="20" t="n">
        <f aca="false">Parametres!$B$5*C2895</f>
        <v>300</v>
      </c>
      <c r="F2895" s="20" t="n">
        <f aca="false">Parametres!$B$6*D2895</f>
        <v>0.22</v>
      </c>
      <c r="G2895" s="20" t="n">
        <f aca="false">E2895+F2895</f>
        <v>300.22</v>
      </c>
      <c r="H2895" s="20" t="n">
        <f aca="false">IF(G2895&lt;Parametres!$B$8*Parametres!$B$7,0,MIN(G2895,Parametres!$B$7))</f>
        <v>250</v>
      </c>
      <c r="I2895" s="20" t="n">
        <f aca="false">G2895-H2895</f>
        <v>50.22</v>
      </c>
      <c r="J2895" s="21" t="n">
        <f aca="false">H2895*1000/Parametres!$B$9</f>
        <v>4239.44378497541</v>
      </c>
    </row>
    <row r="2896" customFormat="false" ht="15" hidden="false" customHeight="false" outlineLevel="0" collapsed="false">
      <c r="A2896" s="0" t="n">
        <v>2892</v>
      </c>
      <c r="B2896" s="0" t="n">
        <v>5</v>
      </c>
      <c r="C2896" s="19" t="n">
        <v>1</v>
      </c>
      <c r="D2896" s="19" t="n">
        <v>0.0028</v>
      </c>
      <c r="E2896" s="20" t="n">
        <f aca="false">Parametres!$B$5*C2896</f>
        <v>300</v>
      </c>
      <c r="F2896" s="20" t="n">
        <f aca="false">Parametres!$B$6*D2896</f>
        <v>0.56</v>
      </c>
      <c r="G2896" s="20" t="n">
        <f aca="false">E2896+F2896</f>
        <v>300.56</v>
      </c>
      <c r="H2896" s="20" t="n">
        <f aca="false">IF(G2896&lt;Parametres!$B$8*Parametres!$B$7,0,MIN(G2896,Parametres!$B$7))</f>
        <v>250</v>
      </c>
      <c r="I2896" s="20" t="n">
        <f aca="false">G2896-H2896</f>
        <v>50.56</v>
      </c>
      <c r="J2896" s="21" t="n">
        <f aca="false">H2896*1000/Parametres!$B$9</f>
        <v>4239.44378497541</v>
      </c>
    </row>
    <row r="2897" customFormat="false" ht="15" hidden="false" customHeight="false" outlineLevel="0" collapsed="false">
      <c r="A2897" s="0" t="n">
        <v>2893</v>
      </c>
      <c r="B2897" s="0" t="n">
        <v>5</v>
      </c>
      <c r="C2897" s="19" t="n">
        <v>1</v>
      </c>
      <c r="D2897" s="19" t="n">
        <v>0.0018</v>
      </c>
      <c r="E2897" s="20" t="n">
        <f aca="false">Parametres!$B$5*C2897</f>
        <v>300</v>
      </c>
      <c r="F2897" s="20" t="n">
        <f aca="false">Parametres!$B$6*D2897</f>
        <v>0.36</v>
      </c>
      <c r="G2897" s="20" t="n">
        <f aca="false">E2897+F2897</f>
        <v>300.36</v>
      </c>
      <c r="H2897" s="20" t="n">
        <f aca="false">IF(G2897&lt;Parametres!$B$8*Parametres!$B$7,0,MIN(G2897,Parametres!$B$7))</f>
        <v>250</v>
      </c>
      <c r="I2897" s="20" t="n">
        <f aca="false">G2897-H2897</f>
        <v>50.36</v>
      </c>
      <c r="J2897" s="21" t="n">
        <f aca="false">H2897*1000/Parametres!$B$9</f>
        <v>4239.44378497541</v>
      </c>
    </row>
    <row r="2898" customFormat="false" ht="15" hidden="false" customHeight="false" outlineLevel="0" collapsed="false">
      <c r="A2898" s="0" t="n">
        <v>2894</v>
      </c>
      <c r="B2898" s="0" t="n">
        <v>5</v>
      </c>
      <c r="C2898" s="19" t="n">
        <v>1</v>
      </c>
      <c r="D2898" s="19" t="n">
        <v>0.0074</v>
      </c>
      <c r="E2898" s="20" t="n">
        <f aca="false">Parametres!$B$5*C2898</f>
        <v>300</v>
      </c>
      <c r="F2898" s="20" t="n">
        <f aca="false">Parametres!$B$6*D2898</f>
        <v>1.48</v>
      </c>
      <c r="G2898" s="20" t="n">
        <f aca="false">E2898+F2898</f>
        <v>301.48</v>
      </c>
      <c r="H2898" s="20" t="n">
        <f aca="false">IF(G2898&lt;Parametres!$B$8*Parametres!$B$7,0,MIN(G2898,Parametres!$B$7))</f>
        <v>250</v>
      </c>
      <c r="I2898" s="20" t="n">
        <f aca="false">G2898-H2898</f>
        <v>51.48</v>
      </c>
      <c r="J2898" s="21" t="n">
        <f aca="false">H2898*1000/Parametres!$B$9</f>
        <v>4239.44378497541</v>
      </c>
    </row>
    <row r="2899" customFormat="false" ht="15" hidden="false" customHeight="false" outlineLevel="0" collapsed="false">
      <c r="A2899" s="0" t="n">
        <v>2895</v>
      </c>
      <c r="B2899" s="0" t="n">
        <v>5</v>
      </c>
      <c r="C2899" s="19" t="n">
        <v>1</v>
      </c>
      <c r="D2899" s="19" t="n">
        <v>0.0089</v>
      </c>
      <c r="E2899" s="20" t="n">
        <f aca="false">Parametres!$B$5*C2899</f>
        <v>300</v>
      </c>
      <c r="F2899" s="20" t="n">
        <f aca="false">Parametres!$B$6*D2899</f>
        <v>1.78</v>
      </c>
      <c r="G2899" s="20" t="n">
        <f aca="false">E2899+F2899</f>
        <v>301.78</v>
      </c>
      <c r="H2899" s="20" t="n">
        <f aca="false">IF(G2899&lt;Parametres!$B$8*Parametres!$B$7,0,MIN(G2899,Parametres!$B$7))</f>
        <v>250</v>
      </c>
      <c r="I2899" s="20" t="n">
        <f aca="false">G2899-H2899</f>
        <v>51.78</v>
      </c>
      <c r="J2899" s="21" t="n">
        <f aca="false">H2899*1000/Parametres!$B$9</f>
        <v>4239.44378497541</v>
      </c>
    </row>
    <row r="2900" customFormat="false" ht="15" hidden="false" customHeight="false" outlineLevel="0" collapsed="false">
      <c r="A2900" s="0" t="n">
        <v>2896</v>
      </c>
      <c r="B2900" s="0" t="n">
        <v>5</v>
      </c>
      <c r="C2900" s="19" t="n">
        <v>0.8496</v>
      </c>
      <c r="D2900" s="19" t="n">
        <v>0.0221</v>
      </c>
      <c r="E2900" s="20" t="n">
        <f aca="false">Parametres!$B$5*C2900</f>
        <v>254.88</v>
      </c>
      <c r="F2900" s="20" t="n">
        <f aca="false">Parametres!$B$6*D2900</f>
        <v>4.42</v>
      </c>
      <c r="G2900" s="20" t="n">
        <f aca="false">E2900+F2900</f>
        <v>259.3</v>
      </c>
      <c r="H2900" s="20" t="n">
        <f aca="false">IF(G2900&lt;Parametres!$B$8*Parametres!$B$7,0,MIN(G2900,Parametres!$B$7))</f>
        <v>250</v>
      </c>
      <c r="I2900" s="20" t="n">
        <f aca="false">G2900-H2900</f>
        <v>9.30000000000001</v>
      </c>
      <c r="J2900" s="21" t="n">
        <f aca="false">H2900*1000/Parametres!$B$9</f>
        <v>4239.44378497541</v>
      </c>
    </row>
    <row r="2901" customFormat="false" ht="15" hidden="false" customHeight="false" outlineLevel="0" collapsed="false">
      <c r="A2901" s="0" t="n">
        <v>2897</v>
      </c>
      <c r="B2901" s="0" t="n">
        <v>5</v>
      </c>
      <c r="C2901" s="19" t="n">
        <v>0.5587</v>
      </c>
      <c r="D2901" s="19" t="n">
        <v>0.1024</v>
      </c>
      <c r="E2901" s="20" t="n">
        <f aca="false">Parametres!$B$5*C2901</f>
        <v>167.61</v>
      </c>
      <c r="F2901" s="20" t="n">
        <f aca="false">Parametres!$B$6*D2901</f>
        <v>20.48</v>
      </c>
      <c r="G2901" s="20" t="n">
        <f aca="false">E2901+F2901</f>
        <v>188.09</v>
      </c>
      <c r="H2901" s="20" t="n">
        <f aca="false">IF(G2901&lt;Parametres!$B$8*Parametres!$B$7,0,MIN(G2901,Parametres!$B$7))</f>
        <v>188.09</v>
      </c>
      <c r="I2901" s="20" t="n">
        <f aca="false">G2901-H2901</f>
        <v>0</v>
      </c>
      <c r="J2901" s="21" t="n">
        <f aca="false">H2901*1000/Parametres!$B$9</f>
        <v>3189.5879260641</v>
      </c>
    </row>
    <row r="2902" customFormat="false" ht="15" hidden="false" customHeight="false" outlineLevel="0" collapsed="false">
      <c r="A2902" s="0" t="n">
        <v>2898</v>
      </c>
      <c r="B2902" s="0" t="n">
        <v>5</v>
      </c>
      <c r="C2902" s="19" t="n">
        <v>0.263</v>
      </c>
      <c r="D2902" s="19" t="n">
        <v>0.0276</v>
      </c>
      <c r="E2902" s="20" t="n">
        <f aca="false">Parametres!$B$5*C2902</f>
        <v>78.9</v>
      </c>
      <c r="F2902" s="20" t="n">
        <f aca="false">Parametres!$B$6*D2902</f>
        <v>5.52</v>
      </c>
      <c r="G2902" s="20" t="n">
        <f aca="false">E2902+F2902</f>
        <v>84.42</v>
      </c>
      <c r="H2902" s="20" t="n">
        <f aca="false">IF(G2902&lt;Parametres!$B$8*Parametres!$B$7,0,MIN(G2902,Parametres!$B$7))</f>
        <v>84.42</v>
      </c>
      <c r="I2902" s="20" t="n">
        <f aca="false">G2902-H2902</f>
        <v>0</v>
      </c>
      <c r="J2902" s="21" t="n">
        <f aca="false">H2902*1000/Parametres!$B$9</f>
        <v>1431.5753773105</v>
      </c>
    </row>
    <row r="2903" customFormat="false" ht="15" hidden="false" customHeight="false" outlineLevel="0" collapsed="false">
      <c r="A2903" s="0" t="n">
        <v>2899</v>
      </c>
      <c r="B2903" s="0" t="n">
        <v>5</v>
      </c>
      <c r="C2903" s="19" t="n">
        <v>0.0045</v>
      </c>
      <c r="D2903" s="19" t="n">
        <v>0.0178</v>
      </c>
      <c r="E2903" s="20" t="n">
        <f aca="false">Parametres!$B$5*C2903</f>
        <v>1.35</v>
      </c>
      <c r="F2903" s="20" t="n">
        <f aca="false">Parametres!$B$6*D2903</f>
        <v>3.56</v>
      </c>
      <c r="G2903" s="20" t="n">
        <f aca="false">E2903+F2903</f>
        <v>4.91</v>
      </c>
      <c r="H2903" s="20" t="n">
        <f aca="false">IF(G2903&lt;Parametres!$B$8*Parametres!$B$7,0,MIN(G2903,Parametres!$B$7))</f>
        <v>0</v>
      </c>
      <c r="I2903" s="20" t="n">
        <f aca="false">G2903-H2903</f>
        <v>4.91</v>
      </c>
      <c r="J2903" s="21" t="n">
        <f aca="false">H2903*1000/Parametres!$B$9</f>
        <v>0</v>
      </c>
    </row>
    <row r="2904" customFormat="false" ht="15" hidden="false" customHeight="false" outlineLevel="0" collapsed="false">
      <c r="A2904" s="0" t="n">
        <v>2900</v>
      </c>
      <c r="B2904" s="0" t="n">
        <v>5</v>
      </c>
      <c r="C2904" s="19" t="n">
        <v>0</v>
      </c>
      <c r="D2904" s="19" t="n">
        <v>0.0166</v>
      </c>
      <c r="E2904" s="20" t="n">
        <f aca="false">Parametres!$B$5*C2904</f>
        <v>0</v>
      </c>
      <c r="F2904" s="20" t="n">
        <f aca="false">Parametres!$B$6*D2904</f>
        <v>3.32</v>
      </c>
      <c r="G2904" s="20" t="n">
        <f aca="false">E2904+F2904</f>
        <v>3.32</v>
      </c>
      <c r="H2904" s="20" t="n">
        <f aca="false">IF(G2904&lt;Parametres!$B$8*Parametres!$B$7,0,MIN(G2904,Parametres!$B$7))</f>
        <v>0</v>
      </c>
      <c r="I2904" s="20" t="n">
        <f aca="false">G2904-H2904</f>
        <v>3.32</v>
      </c>
      <c r="J2904" s="21" t="n">
        <f aca="false">H2904*1000/Parametres!$B$9</f>
        <v>0</v>
      </c>
    </row>
    <row r="2905" customFormat="false" ht="15" hidden="false" customHeight="false" outlineLevel="0" collapsed="false">
      <c r="A2905" s="0" t="n">
        <v>2901</v>
      </c>
      <c r="B2905" s="0" t="n">
        <v>5</v>
      </c>
      <c r="C2905" s="19" t="n">
        <v>0</v>
      </c>
      <c r="D2905" s="19" t="n">
        <v>0.0073</v>
      </c>
      <c r="E2905" s="20" t="n">
        <f aca="false">Parametres!$B$5*C2905</f>
        <v>0</v>
      </c>
      <c r="F2905" s="20" t="n">
        <f aca="false">Parametres!$B$6*D2905</f>
        <v>1.46</v>
      </c>
      <c r="G2905" s="20" t="n">
        <f aca="false">E2905+F2905</f>
        <v>1.46</v>
      </c>
      <c r="H2905" s="20" t="n">
        <f aca="false">IF(G2905&lt;Parametres!$B$8*Parametres!$B$7,0,MIN(G2905,Parametres!$B$7))</f>
        <v>0</v>
      </c>
      <c r="I2905" s="20" t="n">
        <f aca="false">G2905-H2905</f>
        <v>1.46</v>
      </c>
      <c r="J2905" s="21" t="n">
        <f aca="false">H2905*1000/Parametres!$B$9</f>
        <v>0</v>
      </c>
    </row>
    <row r="2906" customFormat="false" ht="15" hidden="false" customHeight="false" outlineLevel="0" collapsed="false">
      <c r="A2906" s="0" t="n">
        <v>2902</v>
      </c>
      <c r="B2906" s="0" t="n">
        <v>5</v>
      </c>
      <c r="C2906" s="19" t="n">
        <v>0</v>
      </c>
      <c r="D2906" s="19" t="n">
        <v>0.0167</v>
      </c>
      <c r="E2906" s="20" t="n">
        <f aca="false">Parametres!$B$5*C2906</f>
        <v>0</v>
      </c>
      <c r="F2906" s="20" t="n">
        <f aca="false">Parametres!$B$6*D2906</f>
        <v>3.34</v>
      </c>
      <c r="G2906" s="20" t="n">
        <f aca="false">E2906+F2906</f>
        <v>3.34</v>
      </c>
      <c r="H2906" s="20" t="n">
        <f aca="false">IF(G2906&lt;Parametres!$B$8*Parametres!$B$7,0,MIN(G2906,Parametres!$B$7))</f>
        <v>0</v>
      </c>
      <c r="I2906" s="20" t="n">
        <f aca="false">G2906-H2906</f>
        <v>3.34</v>
      </c>
      <c r="J2906" s="21" t="n">
        <f aca="false">H2906*1000/Parametres!$B$9</f>
        <v>0</v>
      </c>
    </row>
    <row r="2907" customFormat="false" ht="15" hidden="false" customHeight="false" outlineLevel="0" collapsed="false">
      <c r="A2907" s="0" t="n">
        <v>2903</v>
      </c>
      <c r="B2907" s="0" t="n">
        <v>5</v>
      </c>
      <c r="C2907" s="19" t="n">
        <v>0</v>
      </c>
      <c r="D2907" s="19" t="n">
        <v>0.0103</v>
      </c>
      <c r="E2907" s="20" t="n">
        <f aca="false">Parametres!$B$5*C2907</f>
        <v>0</v>
      </c>
      <c r="F2907" s="20" t="n">
        <f aca="false">Parametres!$B$6*D2907</f>
        <v>2.06</v>
      </c>
      <c r="G2907" s="20" t="n">
        <f aca="false">E2907+F2907</f>
        <v>2.06</v>
      </c>
      <c r="H2907" s="20" t="n">
        <f aca="false">IF(G2907&lt;Parametres!$B$8*Parametres!$B$7,0,MIN(G2907,Parametres!$B$7))</f>
        <v>0</v>
      </c>
      <c r="I2907" s="20" t="n">
        <f aca="false">G2907-H2907</f>
        <v>2.06</v>
      </c>
      <c r="J2907" s="21" t="n">
        <f aca="false">H2907*1000/Parametres!$B$9</f>
        <v>0</v>
      </c>
    </row>
    <row r="2908" customFormat="false" ht="15" hidden="false" customHeight="false" outlineLevel="0" collapsed="false">
      <c r="A2908" s="0" t="n">
        <v>2904</v>
      </c>
      <c r="B2908" s="0" t="n">
        <v>5</v>
      </c>
      <c r="C2908" s="19" t="n">
        <v>0</v>
      </c>
      <c r="D2908" s="19" t="n">
        <v>0.0331</v>
      </c>
      <c r="E2908" s="20" t="n">
        <f aca="false">Parametres!$B$5*C2908</f>
        <v>0</v>
      </c>
      <c r="F2908" s="20" t="n">
        <f aca="false">Parametres!$B$6*D2908</f>
        <v>6.62</v>
      </c>
      <c r="G2908" s="20" t="n">
        <f aca="false">E2908+F2908</f>
        <v>6.62</v>
      </c>
      <c r="H2908" s="20" t="n">
        <f aca="false">IF(G2908&lt;Parametres!$B$8*Parametres!$B$7,0,MIN(G2908,Parametres!$B$7))</f>
        <v>0</v>
      </c>
      <c r="I2908" s="20" t="n">
        <f aca="false">G2908-H2908</f>
        <v>6.62</v>
      </c>
      <c r="J2908" s="21" t="n">
        <f aca="false">H2908*1000/Parametres!$B$9</f>
        <v>0</v>
      </c>
    </row>
    <row r="2909" customFormat="false" ht="15" hidden="false" customHeight="false" outlineLevel="0" collapsed="false">
      <c r="A2909" s="0" t="n">
        <v>2905</v>
      </c>
      <c r="B2909" s="0" t="n">
        <v>5</v>
      </c>
      <c r="C2909" s="19" t="n">
        <v>0</v>
      </c>
      <c r="D2909" s="19" t="n">
        <v>0.0464</v>
      </c>
      <c r="E2909" s="20" t="n">
        <f aca="false">Parametres!$B$5*C2909</f>
        <v>0</v>
      </c>
      <c r="F2909" s="20" t="n">
        <f aca="false">Parametres!$B$6*D2909</f>
        <v>9.28</v>
      </c>
      <c r="G2909" s="20" t="n">
        <f aca="false">E2909+F2909</f>
        <v>9.28</v>
      </c>
      <c r="H2909" s="20" t="n">
        <f aca="false">IF(G2909&lt;Parametres!$B$8*Parametres!$B$7,0,MIN(G2909,Parametres!$B$7))</f>
        <v>0</v>
      </c>
      <c r="I2909" s="20" t="n">
        <f aca="false">G2909-H2909</f>
        <v>9.28</v>
      </c>
      <c r="J2909" s="21" t="n">
        <f aca="false">H2909*1000/Parametres!$B$9</f>
        <v>0</v>
      </c>
    </row>
    <row r="2910" customFormat="false" ht="15" hidden="false" customHeight="false" outlineLevel="0" collapsed="false">
      <c r="A2910" s="0" t="n">
        <v>2906</v>
      </c>
      <c r="B2910" s="0" t="n">
        <v>5</v>
      </c>
      <c r="C2910" s="19" t="n">
        <v>0</v>
      </c>
      <c r="D2910" s="19" t="n">
        <v>0.052</v>
      </c>
      <c r="E2910" s="20" t="n">
        <f aca="false">Parametres!$B$5*C2910</f>
        <v>0</v>
      </c>
      <c r="F2910" s="20" t="n">
        <f aca="false">Parametres!$B$6*D2910</f>
        <v>10.4</v>
      </c>
      <c r="G2910" s="20" t="n">
        <f aca="false">E2910+F2910</f>
        <v>10.4</v>
      </c>
      <c r="H2910" s="20" t="n">
        <f aca="false">IF(G2910&lt;Parametres!$B$8*Parametres!$B$7,0,MIN(G2910,Parametres!$B$7))</f>
        <v>0</v>
      </c>
      <c r="I2910" s="20" t="n">
        <f aca="false">G2910-H2910</f>
        <v>10.4</v>
      </c>
      <c r="J2910" s="21" t="n">
        <f aca="false">H2910*1000/Parametres!$B$9</f>
        <v>0</v>
      </c>
    </row>
    <row r="2911" customFormat="false" ht="15" hidden="false" customHeight="false" outlineLevel="0" collapsed="false">
      <c r="A2911" s="0" t="n">
        <v>2907</v>
      </c>
      <c r="B2911" s="0" t="n">
        <v>5</v>
      </c>
      <c r="C2911" s="19" t="n">
        <v>0</v>
      </c>
      <c r="D2911" s="19" t="n">
        <v>0.046</v>
      </c>
      <c r="E2911" s="20" t="n">
        <f aca="false">Parametres!$B$5*C2911</f>
        <v>0</v>
      </c>
      <c r="F2911" s="20" t="n">
        <f aca="false">Parametres!$B$6*D2911</f>
        <v>9.2</v>
      </c>
      <c r="G2911" s="20" t="n">
        <f aca="false">E2911+F2911</f>
        <v>9.2</v>
      </c>
      <c r="H2911" s="20" t="n">
        <f aca="false">IF(G2911&lt;Parametres!$B$8*Parametres!$B$7,0,MIN(G2911,Parametres!$B$7))</f>
        <v>0</v>
      </c>
      <c r="I2911" s="20" t="n">
        <f aca="false">G2911-H2911</f>
        <v>9.2</v>
      </c>
      <c r="J2911" s="21" t="n">
        <f aca="false">H2911*1000/Parametres!$B$9</f>
        <v>0</v>
      </c>
    </row>
    <row r="2912" customFormat="false" ht="15" hidden="false" customHeight="false" outlineLevel="0" collapsed="false">
      <c r="A2912" s="0" t="n">
        <v>2908</v>
      </c>
      <c r="B2912" s="0" t="n">
        <v>5</v>
      </c>
      <c r="C2912" s="19" t="n">
        <v>0</v>
      </c>
      <c r="D2912" s="19" t="n">
        <v>0.0693</v>
      </c>
      <c r="E2912" s="20" t="n">
        <f aca="false">Parametres!$B$5*C2912</f>
        <v>0</v>
      </c>
      <c r="F2912" s="20" t="n">
        <f aca="false">Parametres!$B$6*D2912</f>
        <v>13.86</v>
      </c>
      <c r="G2912" s="20" t="n">
        <f aca="false">E2912+F2912</f>
        <v>13.86</v>
      </c>
      <c r="H2912" s="20" t="n">
        <f aca="false">IF(G2912&lt;Parametres!$B$8*Parametres!$B$7,0,MIN(G2912,Parametres!$B$7))</f>
        <v>0</v>
      </c>
      <c r="I2912" s="20" t="n">
        <f aca="false">G2912-H2912</f>
        <v>13.86</v>
      </c>
      <c r="J2912" s="21" t="n">
        <f aca="false">H2912*1000/Parametres!$B$9</f>
        <v>0</v>
      </c>
    </row>
    <row r="2913" customFormat="false" ht="15" hidden="false" customHeight="false" outlineLevel="0" collapsed="false">
      <c r="A2913" s="0" t="n">
        <v>2909</v>
      </c>
      <c r="B2913" s="0" t="n">
        <v>5</v>
      </c>
      <c r="C2913" s="19" t="n">
        <v>0</v>
      </c>
      <c r="D2913" s="19" t="n">
        <v>0.0873</v>
      </c>
      <c r="E2913" s="20" t="n">
        <f aca="false">Parametres!$B$5*C2913</f>
        <v>0</v>
      </c>
      <c r="F2913" s="20" t="n">
        <f aca="false">Parametres!$B$6*D2913</f>
        <v>17.46</v>
      </c>
      <c r="G2913" s="20" t="n">
        <f aca="false">E2913+F2913</f>
        <v>17.46</v>
      </c>
      <c r="H2913" s="20" t="n">
        <f aca="false">IF(G2913&lt;Parametres!$B$8*Parametres!$B$7,0,MIN(G2913,Parametres!$B$7))</f>
        <v>0</v>
      </c>
      <c r="I2913" s="20" t="n">
        <f aca="false">G2913-H2913</f>
        <v>17.46</v>
      </c>
      <c r="J2913" s="21" t="n">
        <f aca="false">H2913*1000/Parametres!$B$9</f>
        <v>0</v>
      </c>
    </row>
    <row r="2914" customFormat="false" ht="15" hidden="false" customHeight="false" outlineLevel="0" collapsed="false">
      <c r="A2914" s="0" t="n">
        <v>2910</v>
      </c>
      <c r="B2914" s="0" t="n">
        <v>5</v>
      </c>
      <c r="C2914" s="19" t="n">
        <v>0.0046</v>
      </c>
      <c r="D2914" s="19" t="n">
        <v>0.1741</v>
      </c>
      <c r="E2914" s="20" t="n">
        <f aca="false">Parametres!$B$5*C2914</f>
        <v>1.38</v>
      </c>
      <c r="F2914" s="20" t="n">
        <f aca="false">Parametres!$B$6*D2914</f>
        <v>34.82</v>
      </c>
      <c r="G2914" s="20" t="n">
        <f aca="false">E2914+F2914</f>
        <v>36.2</v>
      </c>
      <c r="H2914" s="20" t="n">
        <f aca="false">IF(G2914&lt;Parametres!$B$8*Parametres!$B$7,0,MIN(G2914,Parametres!$B$7))</f>
        <v>36.2</v>
      </c>
      <c r="I2914" s="20" t="n">
        <f aca="false">G2914-H2914</f>
        <v>0</v>
      </c>
      <c r="J2914" s="21" t="n">
        <f aca="false">H2914*1000/Parametres!$B$9</f>
        <v>613.87146006444</v>
      </c>
    </row>
    <row r="2915" customFormat="false" ht="15" hidden="false" customHeight="false" outlineLevel="0" collapsed="false">
      <c r="A2915" s="0" t="n">
        <v>2911</v>
      </c>
      <c r="B2915" s="0" t="n">
        <v>5</v>
      </c>
      <c r="C2915" s="19" t="n">
        <v>0.1835</v>
      </c>
      <c r="D2915" s="19" t="n">
        <v>0.2182</v>
      </c>
      <c r="E2915" s="20" t="n">
        <f aca="false">Parametres!$B$5*C2915</f>
        <v>55.05</v>
      </c>
      <c r="F2915" s="20" t="n">
        <f aca="false">Parametres!$B$6*D2915</f>
        <v>43.64</v>
      </c>
      <c r="G2915" s="20" t="n">
        <f aca="false">E2915+F2915</f>
        <v>98.69</v>
      </c>
      <c r="H2915" s="20" t="n">
        <f aca="false">IF(G2915&lt;Parametres!$B$8*Parametres!$B$7,0,MIN(G2915,Parametres!$B$7))</f>
        <v>98.69</v>
      </c>
      <c r="I2915" s="20" t="n">
        <f aca="false">G2915-H2915</f>
        <v>0</v>
      </c>
      <c r="J2915" s="21" t="n">
        <f aca="false">H2915*1000/Parametres!$B$9</f>
        <v>1673.56282855689</v>
      </c>
    </row>
    <row r="2916" customFormat="false" ht="15" hidden="false" customHeight="false" outlineLevel="0" collapsed="false">
      <c r="A2916" s="0" t="n">
        <v>2912</v>
      </c>
      <c r="B2916" s="0" t="n">
        <v>5</v>
      </c>
      <c r="C2916" s="19" t="n">
        <v>0.4118</v>
      </c>
      <c r="D2916" s="19" t="n">
        <v>0.3496</v>
      </c>
      <c r="E2916" s="20" t="n">
        <f aca="false">Parametres!$B$5*C2916</f>
        <v>123.54</v>
      </c>
      <c r="F2916" s="20" t="n">
        <f aca="false">Parametres!$B$6*D2916</f>
        <v>69.92</v>
      </c>
      <c r="G2916" s="20" t="n">
        <f aca="false">E2916+F2916</f>
        <v>193.46</v>
      </c>
      <c r="H2916" s="20" t="n">
        <f aca="false">IF(G2916&lt;Parametres!$B$8*Parametres!$B$7,0,MIN(G2916,Parametres!$B$7))</f>
        <v>193.46</v>
      </c>
      <c r="I2916" s="20" t="n">
        <f aca="false">G2916-H2916</f>
        <v>0</v>
      </c>
      <c r="J2916" s="21" t="n">
        <f aca="false">H2916*1000/Parametres!$B$9</f>
        <v>3280.65117856537</v>
      </c>
    </row>
    <row r="2917" customFormat="false" ht="15" hidden="false" customHeight="false" outlineLevel="0" collapsed="false">
      <c r="A2917" s="0" t="n">
        <v>2913</v>
      </c>
      <c r="B2917" s="0" t="n">
        <v>5</v>
      </c>
      <c r="C2917" s="19" t="n">
        <v>0.5664</v>
      </c>
      <c r="D2917" s="19" t="n">
        <v>0.4466</v>
      </c>
      <c r="E2917" s="20" t="n">
        <f aca="false">Parametres!$B$5*C2917</f>
        <v>169.92</v>
      </c>
      <c r="F2917" s="20" t="n">
        <f aca="false">Parametres!$B$6*D2917</f>
        <v>89.32</v>
      </c>
      <c r="G2917" s="20" t="n">
        <f aca="false">E2917+F2917</f>
        <v>259.24</v>
      </c>
      <c r="H2917" s="20" t="n">
        <f aca="false">IF(G2917&lt;Parametres!$B$8*Parametres!$B$7,0,MIN(G2917,Parametres!$B$7))</f>
        <v>250</v>
      </c>
      <c r="I2917" s="20" t="n">
        <f aca="false">G2917-H2917</f>
        <v>9.24000000000001</v>
      </c>
      <c r="J2917" s="21" t="n">
        <f aca="false">H2917*1000/Parametres!$B$9</f>
        <v>4239.44378497541</v>
      </c>
    </row>
    <row r="2918" customFormat="false" ht="15" hidden="false" customHeight="false" outlineLevel="0" collapsed="false">
      <c r="A2918" s="0" t="n">
        <v>2914</v>
      </c>
      <c r="B2918" s="0" t="n">
        <v>5</v>
      </c>
      <c r="C2918" s="19" t="n">
        <v>0.7571</v>
      </c>
      <c r="D2918" s="19" t="n">
        <v>0.5601</v>
      </c>
      <c r="E2918" s="20" t="n">
        <f aca="false">Parametres!$B$5*C2918</f>
        <v>227.13</v>
      </c>
      <c r="F2918" s="20" t="n">
        <f aca="false">Parametres!$B$6*D2918</f>
        <v>112.02</v>
      </c>
      <c r="G2918" s="20" t="n">
        <f aca="false">E2918+F2918</f>
        <v>339.15</v>
      </c>
      <c r="H2918" s="20" t="n">
        <f aca="false">IF(G2918&lt;Parametres!$B$8*Parametres!$B$7,0,MIN(G2918,Parametres!$B$7))</f>
        <v>250</v>
      </c>
      <c r="I2918" s="20" t="n">
        <f aca="false">G2918-H2918</f>
        <v>89.15</v>
      </c>
      <c r="J2918" s="21" t="n">
        <f aca="false">H2918*1000/Parametres!$B$9</f>
        <v>4239.44378497541</v>
      </c>
    </row>
    <row r="2919" customFormat="false" ht="15" hidden="false" customHeight="false" outlineLevel="0" collapsed="false">
      <c r="A2919" s="0" t="n">
        <v>2915</v>
      </c>
      <c r="B2919" s="0" t="n">
        <v>5</v>
      </c>
      <c r="C2919" s="19" t="n">
        <v>0.8658</v>
      </c>
      <c r="D2919" s="19" t="n">
        <v>0.3692</v>
      </c>
      <c r="E2919" s="20" t="n">
        <f aca="false">Parametres!$B$5*C2919</f>
        <v>259.74</v>
      </c>
      <c r="F2919" s="20" t="n">
        <f aca="false">Parametres!$B$6*D2919</f>
        <v>73.84</v>
      </c>
      <c r="G2919" s="20" t="n">
        <f aca="false">E2919+F2919</f>
        <v>333.58</v>
      </c>
      <c r="H2919" s="20" t="n">
        <f aca="false">IF(G2919&lt;Parametres!$B$8*Parametres!$B$7,0,MIN(G2919,Parametres!$B$7))</f>
        <v>250</v>
      </c>
      <c r="I2919" s="20" t="n">
        <f aca="false">G2919-H2919</f>
        <v>83.58</v>
      </c>
      <c r="J2919" s="21" t="n">
        <f aca="false">H2919*1000/Parametres!$B$9</f>
        <v>4239.44378497541</v>
      </c>
    </row>
    <row r="2920" customFormat="false" ht="15" hidden="false" customHeight="false" outlineLevel="0" collapsed="false">
      <c r="A2920" s="0" t="n">
        <v>2916</v>
      </c>
      <c r="B2920" s="0" t="n">
        <v>5</v>
      </c>
      <c r="C2920" s="19" t="n">
        <v>0.9848</v>
      </c>
      <c r="D2920" s="19" t="n">
        <v>0.4208</v>
      </c>
      <c r="E2920" s="20" t="n">
        <f aca="false">Parametres!$B$5*C2920</f>
        <v>295.44</v>
      </c>
      <c r="F2920" s="20" t="n">
        <f aca="false">Parametres!$B$6*D2920</f>
        <v>84.16</v>
      </c>
      <c r="G2920" s="20" t="n">
        <f aca="false">E2920+F2920</f>
        <v>379.6</v>
      </c>
      <c r="H2920" s="20" t="n">
        <f aca="false">IF(G2920&lt;Parametres!$B$8*Parametres!$B$7,0,MIN(G2920,Parametres!$B$7))</f>
        <v>250</v>
      </c>
      <c r="I2920" s="20" t="n">
        <f aca="false">G2920-H2920</f>
        <v>129.6</v>
      </c>
      <c r="J2920" s="21" t="n">
        <f aca="false">H2920*1000/Parametres!$B$9</f>
        <v>4239.44378497541</v>
      </c>
    </row>
    <row r="2921" customFormat="false" ht="15" hidden="false" customHeight="false" outlineLevel="0" collapsed="false">
      <c r="A2921" s="0" t="n">
        <v>2917</v>
      </c>
      <c r="B2921" s="0" t="n">
        <v>5</v>
      </c>
      <c r="C2921" s="19" t="n">
        <v>0.9619</v>
      </c>
      <c r="D2921" s="19" t="n">
        <v>0.5417</v>
      </c>
      <c r="E2921" s="20" t="n">
        <f aca="false">Parametres!$B$5*C2921</f>
        <v>288.57</v>
      </c>
      <c r="F2921" s="20" t="n">
        <f aca="false">Parametres!$B$6*D2921</f>
        <v>108.34</v>
      </c>
      <c r="G2921" s="20" t="n">
        <f aca="false">E2921+F2921</f>
        <v>396.91</v>
      </c>
      <c r="H2921" s="20" t="n">
        <f aca="false">IF(G2921&lt;Parametres!$B$8*Parametres!$B$7,0,MIN(G2921,Parametres!$B$7))</f>
        <v>250</v>
      </c>
      <c r="I2921" s="20" t="n">
        <f aca="false">G2921-H2921</f>
        <v>146.91</v>
      </c>
      <c r="J2921" s="21" t="n">
        <f aca="false">H2921*1000/Parametres!$B$9</f>
        <v>4239.44378497541</v>
      </c>
    </row>
    <row r="2922" customFormat="false" ht="15" hidden="false" customHeight="false" outlineLevel="0" collapsed="false">
      <c r="A2922" s="0" t="n">
        <v>2918</v>
      </c>
      <c r="B2922" s="0" t="n">
        <v>5</v>
      </c>
      <c r="C2922" s="19" t="n">
        <v>0.9181</v>
      </c>
      <c r="D2922" s="19" t="n">
        <v>0.3876</v>
      </c>
      <c r="E2922" s="20" t="n">
        <f aca="false">Parametres!$B$5*C2922</f>
        <v>275.43</v>
      </c>
      <c r="F2922" s="20" t="n">
        <f aca="false">Parametres!$B$6*D2922</f>
        <v>77.52</v>
      </c>
      <c r="G2922" s="20" t="n">
        <f aca="false">E2922+F2922</f>
        <v>352.95</v>
      </c>
      <c r="H2922" s="20" t="n">
        <f aca="false">IF(G2922&lt;Parametres!$B$8*Parametres!$B$7,0,MIN(G2922,Parametres!$B$7))</f>
        <v>250</v>
      </c>
      <c r="I2922" s="20" t="n">
        <f aca="false">G2922-H2922</f>
        <v>102.95</v>
      </c>
      <c r="J2922" s="21" t="n">
        <f aca="false">H2922*1000/Parametres!$B$9</f>
        <v>4239.44378497541</v>
      </c>
    </row>
    <row r="2923" customFormat="false" ht="15" hidden="false" customHeight="false" outlineLevel="0" collapsed="false">
      <c r="A2923" s="0" t="n">
        <v>2919</v>
      </c>
      <c r="B2923" s="0" t="n">
        <v>5</v>
      </c>
      <c r="C2923" s="19" t="n">
        <v>0.7681</v>
      </c>
      <c r="D2923" s="19" t="n">
        <v>0.2361</v>
      </c>
      <c r="E2923" s="20" t="n">
        <f aca="false">Parametres!$B$5*C2923</f>
        <v>230.43</v>
      </c>
      <c r="F2923" s="20" t="n">
        <f aca="false">Parametres!$B$6*D2923</f>
        <v>47.22</v>
      </c>
      <c r="G2923" s="20" t="n">
        <f aca="false">E2923+F2923</f>
        <v>277.65</v>
      </c>
      <c r="H2923" s="20" t="n">
        <f aca="false">IF(G2923&lt;Parametres!$B$8*Parametres!$B$7,0,MIN(G2923,Parametres!$B$7))</f>
        <v>250</v>
      </c>
      <c r="I2923" s="20" t="n">
        <f aca="false">G2923-H2923</f>
        <v>27.65</v>
      </c>
      <c r="J2923" s="21" t="n">
        <f aca="false">H2923*1000/Parametres!$B$9</f>
        <v>4239.44378497541</v>
      </c>
    </row>
    <row r="2924" customFormat="false" ht="15" hidden="false" customHeight="false" outlineLevel="0" collapsed="false">
      <c r="A2924" s="0" t="n">
        <v>2920</v>
      </c>
      <c r="B2924" s="0" t="n">
        <v>5</v>
      </c>
      <c r="C2924" s="19" t="n">
        <v>0.6549</v>
      </c>
      <c r="D2924" s="19" t="n">
        <v>0.2183</v>
      </c>
      <c r="E2924" s="20" t="n">
        <f aca="false">Parametres!$B$5*C2924</f>
        <v>196.47</v>
      </c>
      <c r="F2924" s="20" t="n">
        <f aca="false">Parametres!$B$6*D2924</f>
        <v>43.66</v>
      </c>
      <c r="G2924" s="20" t="n">
        <f aca="false">E2924+F2924</f>
        <v>240.13</v>
      </c>
      <c r="H2924" s="20" t="n">
        <f aca="false">IF(G2924&lt;Parametres!$B$8*Parametres!$B$7,0,MIN(G2924,Parametres!$B$7))</f>
        <v>240.13</v>
      </c>
      <c r="I2924" s="20" t="n">
        <f aca="false">G2924-H2924</f>
        <v>0</v>
      </c>
      <c r="J2924" s="21" t="n">
        <f aca="false">H2924*1000/Parametres!$B$9</f>
        <v>4072.07054434458</v>
      </c>
    </row>
    <row r="2925" customFormat="false" ht="15" hidden="false" customHeight="false" outlineLevel="0" collapsed="false">
      <c r="A2925" s="0" t="n">
        <v>2921</v>
      </c>
      <c r="B2925" s="0" t="n">
        <v>5</v>
      </c>
      <c r="C2925" s="19" t="n">
        <v>0.405</v>
      </c>
      <c r="D2925" s="19" t="n">
        <v>0.2559</v>
      </c>
      <c r="E2925" s="20" t="n">
        <f aca="false">Parametres!$B$5*C2925</f>
        <v>121.5</v>
      </c>
      <c r="F2925" s="20" t="n">
        <f aca="false">Parametres!$B$6*D2925</f>
        <v>51.18</v>
      </c>
      <c r="G2925" s="20" t="n">
        <f aca="false">E2925+F2925</f>
        <v>172.68</v>
      </c>
      <c r="H2925" s="20" t="n">
        <f aca="false">IF(G2925&lt;Parametres!$B$8*Parametres!$B$7,0,MIN(G2925,Parametres!$B$7))</f>
        <v>172.68</v>
      </c>
      <c r="I2925" s="20" t="n">
        <f aca="false">G2925-H2925</f>
        <v>0</v>
      </c>
      <c r="J2925" s="21" t="n">
        <f aca="false">H2925*1000/Parametres!$B$9</f>
        <v>2928.26861115822</v>
      </c>
    </row>
    <row r="2926" customFormat="false" ht="15" hidden="false" customHeight="false" outlineLevel="0" collapsed="false">
      <c r="A2926" s="0" t="n">
        <v>2922</v>
      </c>
      <c r="B2926" s="0" t="n">
        <v>5</v>
      </c>
      <c r="C2926" s="19" t="n">
        <v>0.1796</v>
      </c>
      <c r="D2926" s="19" t="n">
        <v>0.111</v>
      </c>
      <c r="E2926" s="20" t="n">
        <f aca="false">Parametres!$B$5*C2926</f>
        <v>53.88</v>
      </c>
      <c r="F2926" s="20" t="n">
        <f aca="false">Parametres!$B$6*D2926</f>
        <v>22.2</v>
      </c>
      <c r="G2926" s="20" t="n">
        <f aca="false">E2926+F2926</f>
        <v>76.08</v>
      </c>
      <c r="H2926" s="20" t="n">
        <f aca="false">IF(G2926&lt;Parametres!$B$8*Parametres!$B$7,0,MIN(G2926,Parametres!$B$7))</f>
        <v>76.08</v>
      </c>
      <c r="I2926" s="20" t="n">
        <f aca="false">G2926-H2926</f>
        <v>0</v>
      </c>
      <c r="J2926" s="21" t="n">
        <f aca="false">H2926*1000/Parametres!$B$9</f>
        <v>1290.14753264372</v>
      </c>
    </row>
    <row r="2927" customFormat="false" ht="15" hidden="false" customHeight="false" outlineLevel="0" collapsed="false">
      <c r="A2927" s="0" t="n">
        <v>2923</v>
      </c>
      <c r="B2927" s="0" t="n">
        <v>5</v>
      </c>
      <c r="C2927" s="19" t="n">
        <v>0.0046</v>
      </c>
      <c r="D2927" s="19" t="n">
        <v>0.1269</v>
      </c>
      <c r="E2927" s="20" t="n">
        <f aca="false">Parametres!$B$5*C2927</f>
        <v>1.38</v>
      </c>
      <c r="F2927" s="20" t="n">
        <f aca="false">Parametres!$B$6*D2927</f>
        <v>25.38</v>
      </c>
      <c r="G2927" s="20" t="n">
        <f aca="false">E2927+F2927</f>
        <v>26.76</v>
      </c>
      <c r="H2927" s="20" t="n">
        <f aca="false">IF(G2927&lt;Parametres!$B$8*Parametres!$B$7,0,MIN(G2927,Parametres!$B$7))</f>
        <v>26.76</v>
      </c>
      <c r="I2927" s="20" t="n">
        <f aca="false">G2927-H2927</f>
        <v>0</v>
      </c>
      <c r="J2927" s="21" t="n">
        <f aca="false">H2927*1000/Parametres!$B$9</f>
        <v>453.790062743768</v>
      </c>
    </row>
    <row r="2928" customFormat="false" ht="15" hidden="false" customHeight="false" outlineLevel="0" collapsed="false">
      <c r="A2928" s="0" t="n">
        <v>2924</v>
      </c>
      <c r="B2928" s="0" t="n">
        <v>5</v>
      </c>
      <c r="C2928" s="19" t="n">
        <v>0</v>
      </c>
      <c r="D2928" s="19" t="n">
        <v>0.1902</v>
      </c>
      <c r="E2928" s="20" t="n">
        <f aca="false">Parametres!$B$5*C2928</f>
        <v>0</v>
      </c>
      <c r="F2928" s="20" t="n">
        <f aca="false">Parametres!$B$6*D2928</f>
        <v>38.04</v>
      </c>
      <c r="G2928" s="20" t="n">
        <f aca="false">E2928+F2928</f>
        <v>38.04</v>
      </c>
      <c r="H2928" s="20" t="n">
        <f aca="false">IF(G2928&lt;Parametres!$B$8*Parametres!$B$7,0,MIN(G2928,Parametres!$B$7))</f>
        <v>38.04</v>
      </c>
      <c r="I2928" s="20" t="n">
        <f aca="false">G2928-H2928</f>
        <v>0</v>
      </c>
      <c r="J2928" s="21" t="n">
        <f aca="false">H2928*1000/Parametres!$B$9</f>
        <v>645.073766321859</v>
      </c>
    </row>
    <row r="2929" customFormat="false" ht="15" hidden="false" customHeight="false" outlineLevel="0" collapsed="false">
      <c r="A2929" s="0" t="n">
        <v>2925</v>
      </c>
      <c r="B2929" s="0" t="n">
        <v>5</v>
      </c>
      <c r="C2929" s="19" t="n">
        <v>0</v>
      </c>
      <c r="D2929" s="19" t="n">
        <v>0.1529</v>
      </c>
      <c r="E2929" s="20" t="n">
        <f aca="false">Parametres!$B$5*C2929</f>
        <v>0</v>
      </c>
      <c r="F2929" s="20" t="n">
        <f aca="false">Parametres!$B$6*D2929</f>
        <v>30.58</v>
      </c>
      <c r="G2929" s="20" t="n">
        <f aca="false">E2929+F2929</f>
        <v>30.58</v>
      </c>
      <c r="H2929" s="20" t="n">
        <f aca="false">IF(G2929&lt;Parametres!$B$8*Parametres!$B$7,0,MIN(G2929,Parametres!$B$7))</f>
        <v>30.58</v>
      </c>
      <c r="I2929" s="20" t="n">
        <f aca="false">G2929-H2929</f>
        <v>0</v>
      </c>
      <c r="J2929" s="21" t="n">
        <f aca="false">H2929*1000/Parametres!$B$9</f>
        <v>518.568763778192</v>
      </c>
    </row>
    <row r="2930" customFormat="false" ht="15" hidden="false" customHeight="false" outlineLevel="0" collapsed="false">
      <c r="A2930" s="0" t="n">
        <v>2926</v>
      </c>
      <c r="B2930" s="0" t="n">
        <v>5</v>
      </c>
      <c r="C2930" s="19" t="n">
        <v>0</v>
      </c>
      <c r="D2930" s="19" t="n">
        <v>0.1519</v>
      </c>
      <c r="E2930" s="20" t="n">
        <f aca="false">Parametres!$B$5*C2930</f>
        <v>0</v>
      </c>
      <c r="F2930" s="20" t="n">
        <f aca="false">Parametres!$B$6*D2930</f>
        <v>30.38</v>
      </c>
      <c r="G2930" s="20" t="n">
        <f aca="false">E2930+F2930</f>
        <v>30.38</v>
      </c>
      <c r="H2930" s="20" t="n">
        <f aca="false">IF(G2930&lt;Parametres!$B$8*Parametres!$B$7,0,MIN(G2930,Parametres!$B$7))</f>
        <v>30.38</v>
      </c>
      <c r="I2930" s="20" t="n">
        <f aca="false">G2930-H2930</f>
        <v>0</v>
      </c>
      <c r="J2930" s="21" t="n">
        <f aca="false">H2930*1000/Parametres!$B$9</f>
        <v>515.177208750212</v>
      </c>
    </row>
    <row r="2931" customFormat="false" ht="15" hidden="false" customHeight="false" outlineLevel="0" collapsed="false">
      <c r="A2931" s="0" t="n">
        <v>2927</v>
      </c>
      <c r="B2931" s="0" t="n">
        <v>5</v>
      </c>
      <c r="C2931" s="19" t="n">
        <v>0</v>
      </c>
      <c r="D2931" s="19" t="n">
        <v>0.1644</v>
      </c>
      <c r="E2931" s="20" t="n">
        <f aca="false">Parametres!$B$5*C2931</f>
        <v>0</v>
      </c>
      <c r="F2931" s="20" t="n">
        <f aca="false">Parametres!$B$6*D2931</f>
        <v>32.88</v>
      </c>
      <c r="G2931" s="20" t="n">
        <f aca="false">E2931+F2931</f>
        <v>32.88</v>
      </c>
      <c r="H2931" s="20" t="n">
        <f aca="false">IF(G2931&lt;Parametres!$B$8*Parametres!$B$7,0,MIN(G2931,Parametres!$B$7))</f>
        <v>32.88</v>
      </c>
      <c r="I2931" s="20" t="n">
        <f aca="false">G2931-H2931</f>
        <v>0</v>
      </c>
      <c r="J2931" s="21" t="n">
        <f aca="false">H2931*1000/Parametres!$B$9</f>
        <v>557.571646599966</v>
      </c>
    </row>
    <row r="2932" customFormat="false" ht="15" hidden="false" customHeight="false" outlineLevel="0" collapsed="false">
      <c r="A2932" s="0" t="n">
        <v>2928</v>
      </c>
      <c r="B2932" s="0" t="n">
        <v>5</v>
      </c>
      <c r="C2932" s="19" t="n">
        <v>0</v>
      </c>
      <c r="D2932" s="19" t="n">
        <v>0.1031</v>
      </c>
      <c r="E2932" s="20" t="n">
        <f aca="false">Parametres!$B$5*C2932</f>
        <v>0</v>
      </c>
      <c r="F2932" s="20" t="n">
        <f aca="false">Parametres!$B$6*D2932</f>
        <v>20.62</v>
      </c>
      <c r="G2932" s="20" t="n">
        <f aca="false">E2932+F2932</f>
        <v>20.62</v>
      </c>
      <c r="H2932" s="20" t="n">
        <f aca="false">IF(G2932&lt;Parametres!$B$8*Parametres!$B$7,0,MIN(G2932,Parametres!$B$7))</f>
        <v>0</v>
      </c>
      <c r="I2932" s="20" t="n">
        <f aca="false">G2932-H2932</f>
        <v>20.62</v>
      </c>
      <c r="J2932" s="21" t="n">
        <f aca="false">H2932*1000/Parametres!$B$9</f>
        <v>0</v>
      </c>
    </row>
    <row r="2933" customFormat="false" ht="15" hidden="false" customHeight="false" outlineLevel="0" collapsed="false">
      <c r="A2933" s="0" t="n">
        <v>2929</v>
      </c>
      <c r="B2933" s="0" t="n">
        <v>5</v>
      </c>
      <c r="C2933" s="19" t="n">
        <v>0</v>
      </c>
      <c r="D2933" s="19" t="n">
        <v>0.1223</v>
      </c>
      <c r="E2933" s="20" t="n">
        <f aca="false">Parametres!$B$5*C2933</f>
        <v>0</v>
      </c>
      <c r="F2933" s="20" t="n">
        <f aca="false">Parametres!$B$6*D2933</f>
        <v>24.46</v>
      </c>
      <c r="G2933" s="20" t="n">
        <f aca="false">E2933+F2933</f>
        <v>24.46</v>
      </c>
      <c r="H2933" s="20" t="n">
        <f aca="false">IF(G2933&lt;Parametres!$B$8*Parametres!$B$7,0,MIN(G2933,Parametres!$B$7))</f>
        <v>0</v>
      </c>
      <c r="I2933" s="20" t="n">
        <f aca="false">G2933-H2933</f>
        <v>24.46</v>
      </c>
      <c r="J2933" s="21" t="n">
        <f aca="false">H2933*1000/Parametres!$B$9</f>
        <v>0</v>
      </c>
    </row>
    <row r="2934" customFormat="false" ht="15" hidden="false" customHeight="false" outlineLevel="0" collapsed="false">
      <c r="A2934" s="0" t="n">
        <v>2930</v>
      </c>
      <c r="B2934" s="0" t="n">
        <v>5</v>
      </c>
      <c r="C2934" s="19" t="n">
        <v>0</v>
      </c>
      <c r="D2934" s="19" t="n">
        <v>0.1329</v>
      </c>
      <c r="E2934" s="20" t="n">
        <f aca="false">Parametres!$B$5*C2934</f>
        <v>0</v>
      </c>
      <c r="F2934" s="20" t="n">
        <f aca="false">Parametres!$B$6*D2934</f>
        <v>26.58</v>
      </c>
      <c r="G2934" s="20" t="n">
        <f aca="false">E2934+F2934</f>
        <v>26.58</v>
      </c>
      <c r="H2934" s="20" t="n">
        <f aca="false">IF(G2934&lt;Parametres!$B$8*Parametres!$B$7,0,MIN(G2934,Parametres!$B$7))</f>
        <v>26.58</v>
      </c>
      <c r="I2934" s="20" t="n">
        <f aca="false">G2934-H2934</f>
        <v>0</v>
      </c>
      <c r="J2934" s="21" t="n">
        <f aca="false">H2934*1000/Parametres!$B$9</f>
        <v>450.737663218586</v>
      </c>
    </row>
    <row r="2935" customFormat="false" ht="15" hidden="false" customHeight="false" outlineLevel="0" collapsed="false">
      <c r="A2935" s="0" t="n">
        <v>2931</v>
      </c>
      <c r="B2935" s="0" t="n">
        <v>5</v>
      </c>
      <c r="C2935" s="19" t="n">
        <v>0</v>
      </c>
      <c r="D2935" s="19" t="n">
        <v>0.0646</v>
      </c>
      <c r="E2935" s="20" t="n">
        <f aca="false">Parametres!$B$5*C2935</f>
        <v>0</v>
      </c>
      <c r="F2935" s="20" t="n">
        <f aca="false">Parametres!$B$6*D2935</f>
        <v>12.92</v>
      </c>
      <c r="G2935" s="20" t="n">
        <f aca="false">E2935+F2935</f>
        <v>12.92</v>
      </c>
      <c r="H2935" s="20" t="n">
        <f aca="false">IF(G2935&lt;Parametres!$B$8*Parametres!$B$7,0,MIN(G2935,Parametres!$B$7))</f>
        <v>0</v>
      </c>
      <c r="I2935" s="20" t="n">
        <f aca="false">G2935-H2935</f>
        <v>12.92</v>
      </c>
      <c r="J2935" s="21" t="n">
        <f aca="false">H2935*1000/Parametres!$B$9</f>
        <v>0</v>
      </c>
    </row>
    <row r="2936" customFormat="false" ht="15" hidden="false" customHeight="false" outlineLevel="0" collapsed="false">
      <c r="A2936" s="0" t="n">
        <v>2932</v>
      </c>
      <c r="B2936" s="0" t="n">
        <v>5</v>
      </c>
      <c r="C2936" s="19" t="n">
        <v>0</v>
      </c>
      <c r="D2936" s="19" t="n">
        <v>0.08</v>
      </c>
      <c r="E2936" s="20" t="n">
        <f aca="false">Parametres!$B$5*C2936</f>
        <v>0</v>
      </c>
      <c r="F2936" s="20" t="n">
        <f aca="false">Parametres!$B$6*D2936</f>
        <v>16</v>
      </c>
      <c r="G2936" s="20" t="n">
        <f aca="false">E2936+F2936</f>
        <v>16</v>
      </c>
      <c r="H2936" s="20" t="n">
        <f aca="false">IF(G2936&lt;Parametres!$B$8*Parametres!$B$7,0,MIN(G2936,Parametres!$B$7))</f>
        <v>0</v>
      </c>
      <c r="I2936" s="20" t="n">
        <f aca="false">G2936-H2936</f>
        <v>16</v>
      </c>
      <c r="J2936" s="21" t="n">
        <f aca="false">H2936*1000/Parametres!$B$9</f>
        <v>0</v>
      </c>
    </row>
    <row r="2937" customFormat="false" ht="15" hidden="false" customHeight="false" outlineLevel="0" collapsed="false">
      <c r="A2937" s="0" t="n">
        <v>2933</v>
      </c>
      <c r="B2937" s="0" t="n">
        <v>5</v>
      </c>
      <c r="C2937" s="19" t="n">
        <v>0</v>
      </c>
      <c r="D2937" s="19" t="n">
        <v>0.1203</v>
      </c>
      <c r="E2937" s="20" t="n">
        <f aca="false">Parametres!$B$5*C2937</f>
        <v>0</v>
      </c>
      <c r="F2937" s="20" t="n">
        <f aca="false">Parametres!$B$6*D2937</f>
        <v>24.06</v>
      </c>
      <c r="G2937" s="20" t="n">
        <f aca="false">E2937+F2937</f>
        <v>24.06</v>
      </c>
      <c r="H2937" s="20" t="n">
        <f aca="false">IF(G2937&lt;Parametres!$B$8*Parametres!$B$7,0,MIN(G2937,Parametres!$B$7))</f>
        <v>0</v>
      </c>
      <c r="I2937" s="20" t="n">
        <f aca="false">G2937-H2937</f>
        <v>24.06</v>
      </c>
      <c r="J2937" s="21" t="n">
        <f aca="false">H2937*1000/Parametres!$B$9</f>
        <v>0</v>
      </c>
    </row>
    <row r="2938" customFormat="false" ht="15" hidden="false" customHeight="false" outlineLevel="0" collapsed="false">
      <c r="A2938" s="0" t="n">
        <v>2934</v>
      </c>
      <c r="B2938" s="0" t="n">
        <v>5</v>
      </c>
      <c r="C2938" s="19" t="n">
        <v>0.005</v>
      </c>
      <c r="D2938" s="19" t="n">
        <v>0.073</v>
      </c>
      <c r="E2938" s="20" t="n">
        <f aca="false">Parametres!$B$5*C2938</f>
        <v>1.5</v>
      </c>
      <c r="F2938" s="20" t="n">
        <f aca="false">Parametres!$B$6*D2938</f>
        <v>14.6</v>
      </c>
      <c r="G2938" s="20" t="n">
        <f aca="false">E2938+F2938</f>
        <v>16.1</v>
      </c>
      <c r="H2938" s="20" t="n">
        <f aca="false">IF(G2938&lt;Parametres!$B$8*Parametres!$B$7,0,MIN(G2938,Parametres!$B$7))</f>
        <v>0</v>
      </c>
      <c r="I2938" s="20" t="n">
        <f aca="false">G2938-H2938</f>
        <v>16.1</v>
      </c>
      <c r="J2938" s="21" t="n">
        <f aca="false">H2938*1000/Parametres!$B$9</f>
        <v>0</v>
      </c>
    </row>
    <row r="2939" customFormat="false" ht="15" hidden="false" customHeight="false" outlineLevel="0" collapsed="false">
      <c r="A2939" s="0" t="n">
        <v>2935</v>
      </c>
      <c r="B2939" s="0" t="n">
        <v>5</v>
      </c>
      <c r="C2939" s="19" t="n">
        <v>0.1546</v>
      </c>
      <c r="D2939" s="19" t="n">
        <v>0.1212</v>
      </c>
      <c r="E2939" s="20" t="n">
        <f aca="false">Parametres!$B$5*C2939</f>
        <v>46.38</v>
      </c>
      <c r="F2939" s="20" t="n">
        <f aca="false">Parametres!$B$6*D2939</f>
        <v>24.24</v>
      </c>
      <c r="G2939" s="20" t="n">
        <f aca="false">E2939+F2939</f>
        <v>70.62</v>
      </c>
      <c r="H2939" s="20" t="n">
        <f aca="false">IF(G2939&lt;Parametres!$B$8*Parametres!$B$7,0,MIN(G2939,Parametres!$B$7))</f>
        <v>70.62</v>
      </c>
      <c r="I2939" s="20" t="n">
        <f aca="false">G2939-H2939</f>
        <v>0</v>
      </c>
      <c r="J2939" s="21" t="n">
        <f aca="false">H2939*1000/Parametres!$B$9</f>
        <v>1197.55808037985</v>
      </c>
    </row>
    <row r="2940" customFormat="false" ht="15" hidden="false" customHeight="false" outlineLevel="0" collapsed="false">
      <c r="A2940" s="0" t="n">
        <v>2936</v>
      </c>
      <c r="B2940" s="0" t="n">
        <v>5</v>
      </c>
      <c r="C2940" s="19" t="n">
        <v>0.3542</v>
      </c>
      <c r="D2940" s="19" t="n">
        <v>0.1195</v>
      </c>
      <c r="E2940" s="20" t="n">
        <f aca="false">Parametres!$B$5*C2940</f>
        <v>106.26</v>
      </c>
      <c r="F2940" s="20" t="n">
        <f aca="false">Parametres!$B$6*D2940</f>
        <v>23.9</v>
      </c>
      <c r="G2940" s="20" t="n">
        <f aca="false">E2940+F2940</f>
        <v>130.16</v>
      </c>
      <c r="H2940" s="20" t="n">
        <f aca="false">IF(G2940&lt;Parametres!$B$8*Parametres!$B$7,0,MIN(G2940,Parametres!$B$7))</f>
        <v>130.16</v>
      </c>
      <c r="I2940" s="20" t="n">
        <f aca="false">G2940-H2940</f>
        <v>0</v>
      </c>
      <c r="J2940" s="21" t="n">
        <f aca="false">H2940*1000/Parametres!$B$9</f>
        <v>2207.2240122096</v>
      </c>
    </row>
    <row r="2941" customFormat="false" ht="15" hidden="false" customHeight="false" outlineLevel="0" collapsed="false">
      <c r="A2941" s="0" t="n">
        <v>2937</v>
      </c>
      <c r="B2941" s="0" t="n">
        <v>5</v>
      </c>
      <c r="C2941" s="19" t="n">
        <v>0.4773</v>
      </c>
      <c r="D2941" s="19" t="n">
        <v>0.07</v>
      </c>
      <c r="E2941" s="20" t="n">
        <f aca="false">Parametres!$B$5*C2941</f>
        <v>143.19</v>
      </c>
      <c r="F2941" s="20" t="n">
        <f aca="false">Parametres!$B$6*D2941</f>
        <v>14</v>
      </c>
      <c r="G2941" s="20" t="n">
        <f aca="false">E2941+F2941</f>
        <v>157.19</v>
      </c>
      <c r="H2941" s="20" t="n">
        <f aca="false">IF(G2941&lt;Parametres!$B$8*Parametres!$B$7,0,MIN(G2941,Parametres!$B$7))</f>
        <v>157.19</v>
      </c>
      <c r="I2941" s="20" t="n">
        <f aca="false">G2941-H2941</f>
        <v>0</v>
      </c>
      <c r="J2941" s="21" t="n">
        <f aca="false">H2941*1000/Parametres!$B$9</f>
        <v>2665.59267424114</v>
      </c>
    </row>
    <row r="2942" customFormat="false" ht="15" hidden="false" customHeight="false" outlineLevel="0" collapsed="false">
      <c r="A2942" s="0" t="n">
        <v>2938</v>
      </c>
      <c r="B2942" s="0" t="n">
        <v>5</v>
      </c>
      <c r="C2942" s="19" t="n">
        <v>0.6166</v>
      </c>
      <c r="D2942" s="19" t="n">
        <v>0.046</v>
      </c>
      <c r="E2942" s="20" t="n">
        <f aca="false">Parametres!$B$5*C2942</f>
        <v>184.98</v>
      </c>
      <c r="F2942" s="20" t="n">
        <f aca="false">Parametres!$B$6*D2942</f>
        <v>9.2</v>
      </c>
      <c r="G2942" s="20" t="n">
        <f aca="false">E2942+F2942</f>
        <v>194.18</v>
      </c>
      <c r="H2942" s="20" t="n">
        <f aca="false">IF(G2942&lt;Parametres!$B$8*Parametres!$B$7,0,MIN(G2942,Parametres!$B$7))</f>
        <v>194.18</v>
      </c>
      <c r="I2942" s="20" t="n">
        <f aca="false">G2942-H2942</f>
        <v>0</v>
      </c>
      <c r="J2942" s="21" t="n">
        <f aca="false">H2942*1000/Parametres!$B$9</f>
        <v>3292.8607766661</v>
      </c>
    </row>
    <row r="2943" customFormat="false" ht="15" hidden="false" customHeight="false" outlineLevel="0" collapsed="false">
      <c r="A2943" s="0" t="n">
        <v>2939</v>
      </c>
      <c r="B2943" s="0" t="n">
        <v>5</v>
      </c>
      <c r="C2943" s="19" t="n">
        <v>0.8208</v>
      </c>
      <c r="D2943" s="19" t="n">
        <v>0.0319</v>
      </c>
      <c r="E2943" s="20" t="n">
        <f aca="false">Parametres!$B$5*C2943</f>
        <v>246.24</v>
      </c>
      <c r="F2943" s="20" t="n">
        <f aca="false">Parametres!$B$6*D2943</f>
        <v>6.38</v>
      </c>
      <c r="G2943" s="20" t="n">
        <f aca="false">E2943+F2943</f>
        <v>252.62</v>
      </c>
      <c r="H2943" s="20" t="n">
        <f aca="false">IF(G2943&lt;Parametres!$B$8*Parametres!$B$7,0,MIN(G2943,Parametres!$B$7))</f>
        <v>250</v>
      </c>
      <c r="I2943" s="20" t="n">
        <f aca="false">G2943-H2943</f>
        <v>2.61999999999998</v>
      </c>
      <c r="J2943" s="21" t="n">
        <f aca="false">H2943*1000/Parametres!$B$9</f>
        <v>4239.44378497541</v>
      </c>
    </row>
    <row r="2944" customFormat="false" ht="15" hidden="false" customHeight="false" outlineLevel="0" collapsed="false">
      <c r="A2944" s="0" t="n">
        <v>2940</v>
      </c>
      <c r="B2944" s="0" t="n">
        <v>5</v>
      </c>
      <c r="C2944" s="19" t="n">
        <v>0.7868</v>
      </c>
      <c r="D2944" s="19" t="n">
        <v>0.0565</v>
      </c>
      <c r="E2944" s="20" t="n">
        <f aca="false">Parametres!$B$5*C2944</f>
        <v>236.04</v>
      </c>
      <c r="F2944" s="20" t="n">
        <f aca="false">Parametres!$B$6*D2944</f>
        <v>11.3</v>
      </c>
      <c r="G2944" s="20" t="n">
        <f aca="false">E2944+F2944</f>
        <v>247.34</v>
      </c>
      <c r="H2944" s="20" t="n">
        <f aca="false">IF(G2944&lt;Parametres!$B$8*Parametres!$B$7,0,MIN(G2944,Parametres!$B$7))</f>
        <v>247.34</v>
      </c>
      <c r="I2944" s="20" t="n">
        <f aca="false">G2944-H2944</f>
        <v>0</v>
      </c>
      <c r="J2944" s="21" t="n">
        <f aca="false">H2944*1000/Parametres!$B$9</f>
        <v>4194.33610310327</v>
      </c>
    </row>
    <row r="2945" customFormat="false" ht="15" hidden="false" customHeight="false" outlineLevel="0" collapsed="false">
      <c r="A2945" s="0" t="n">
        <v>2941</v>
      </c>
      <c r="B2945" s="0" t="n">
        <v>5</v>
      </c>
      <c r="C2945" s="19" t="n">
        <v>0.7946</v>
      </c>
      <c r="D2945" s="19" t="n">
        <v>0.0504</v>
      </c>
      <c r="E2945" s="20" t="n">
        <f aca="false">Parametres!$B$5*C2945</f>
        <v>238.38</v>
      </c>
      <c r="F2945" s="20" t="n">
        <f aca="false">Parametres!$B$6*D2945</f>
        <v>10.08</v>
      </c>
      <c r="G2945" s="20" t="n">
        <f aca="false">E2945+F2945</f>
        <v>248.46</v>
      </c>
      <c r="H2945" s="20" t="n">
        <f aca="false">IF(G2945&lt;Parametres!$B$8*Parametres!$B$7,0,MIN(G2945,Parametres!$B$7))</f>
        <v>248.46</v>
      </c>
      <c r="I2945" s="20" t="n">
        <f aca="false">G2945-H2945</f>
        <v>0</v>
      </c>
      <c r="J2945" s="21" t="n">
        <f aca="false">H2945*1000/Parametres!$B$9</f>
        <v>4213.32881125996</v>
      </c>
    </row>
    <row r="2946" customFormat="false" ht="15" hidden="false" customHeight="false" outlineLevel="0" collapsed="false">
      <c r="A2946" s="0" t="n">
        <v>2942</v>
      </c>
      <c r="B2946" s="0" t="n">
        <v>5</v>
      </c>
      <c r="C2946" s="19" t="n">
        <v>0.7818</v>
      </c>
      <c r="D2946" s="19" t="n">
        <v>0.0462</v>
      </c>
      <c r="E2946" s="20" t="n">
        <f aca="false">Parametres!$B$5*C2946</f>
        <v>234.54</v>
      </c>
      <c r="F2946" s="20" t="n">
        <f aca="false">Parametres!$B$6*D2946</f>
        <v>9.24</v>
      </c>
      <c r="G2946" s="20" t="n">
        <f aca="false">E2946+F2946</f>
        <v>243.78</v>
      </c>
      <c r="H2946" s="20" t="n">
        <f aca="false">IF(G2946&lt;Parametres!$B$8*Parametres!$B$7,0,MIN(G2946,Parametres!$B$7))</f>
        <v>243.78</v>
      </c>
      <c r="I2946" s="20" t="n">
        <f aca="false">G2946-H2946</f>
        <v>0</v>
      </c>
      <c r="J2946" s="21" t="n">
        <f aca="false">H2946*1000/Parametres!$B$9</f>
        <v>4133.96642360522</v>
      </c>
    </row>
    <row r="2947" customFormat="false" ht="15" hidden="false" customHeight="false" outlineLevel="0" collapsed="false">
      <c r="A2947" s="0" t="n">
        <v>2943</v>
      </c>
      <c r="B2947" s="0" t="n">
        <v>5</v>
      </c>
      <c r="C2947" s="19" t="n">
        <v>0.6305</v>
      </c>
      <c r="D2947" s="19" t="n">
        <v>0.0211</v>
      </c>
      <c r="E2947" s="20" t="n">
        <f aca="false">Parametres!$B$5*C2947</f>
        <v>189.15</v>
      </c>
      <c r="F2947" s="20" t="n">
        <f aca="false">Parametres!$B$6*D2947</f>
        <v>4.22</v>
      </c>
      <c r="G2947" s="20" t="n">
        <f aca="false">E2947+F2947</f>
        <v>193.37</v>
      </c>
      <c r="H2947" s="20" t="n">
        <f aca="false">IF(G2947&lt;Parametres!$B$8*Parametres!$B$7,0,MIN(G2947,Parametres!$B$7))</f>
        <v>193.37</v>
      </c>
      <c r="I2947" s="20" t="n">
        <f aca="false">G2947-H2947</f>
        <v>0</v>
      </c>
      <c r="J2947" s="21" t="n">
        <f aca="false">H2947*1000/Parametres!$B$9</f>
        <v>3279.12497880278</v>
      </c>
    </row>
    <row r="2948" customFormat="false" ht="15" hidden="false" customHeight="false" outlineLevel="0" collapsed="false">
      <c r="A2948" s="0" t="n">
        <v>2944</v>
      </c>
      <c r="B2948" s="0" t="n">
        <v>5</v>
      </c>
      <c r="C2948" s="19" t="n">
        <v>0.501</v>
      </c>
      <c r="D2948" s="19" t="n">
        <v>0.0246</v>
      </c>
      <c r="E2948" s="20" t="n">
        <f aca="false">Parametres!$B$5*C2948</f>
        <v>150.3</v>
      </c>
      <c r="F2948" s="20" t="n">
        <f aca="false">Parametres!$B$6*D2948</f>
        <v>4.92</v>
      </c>
      <c r="G2948" s="20" t="n">
        <f aca="false">E2948+F2948</f>
        <v>155.22</v>
      </c>
      <c r="H2948" s="20" t="n">
        <f aca="false">IF(G2948&lt;Parametres!$B$8*Parametres!$B$7,0,MIN(G2948,Parametres!$B$7))</f>
        <v>155.22</v>
      </c>
      <c r="I2948" s="20" t="n">
        <f aca="false">G2948-H2948</f>
        <v>0</v>
      </c>
      <c r="J2948" s="21" t="n">
        <f aca="false">H2948*1000/Parametres!$B$9</f>
        <v>2632.18585721553</v>
      </c>
    </row>
    <row r="2949" customFormat="false" ht="15" hidden="false" customHeight="false" outlineLevel="0" collapsed="false">
      <c r="A2949" s="0" t="n">
        <v>2945</v>
      </c>
      <c r="B2949" s="0" t="n">
        <v>5</v>
      </c>
      <c r="C2949" s="19" t="n">
        <v>0.3351</v>
      </c>
      <c r="D2949" s="19" t="n">
        <v>0.0087</v>
      </c>
      <c r="E2949" s="20" t="n">
        <f aca="false">Parametres!$B$5*C2949</f>
        <v>100.53</v>
      </c>
      <c r="F2949" s="20" t="n">
        <f aca="false">Parametres!$B$6*D2949</f>
        <v>1.74</v>
      </c>
      <c r="G2949" s="20" t="n">
        <f aca="false">E2949+F2949</f>
        <v>102.27</v>
      </c>
      <c r="H2949" s="20" t="n">
        <f aca="false">IF(G2949&lt;Parametres!$B$8*Parametres!$B$7,0,MIN(G2949,Parametres!$B$7))</f>
        <v>102.27</v>
      </c>
      <c r="I2949" s="20" t="n">
        <f aca="false">G2949-H2949</f>
        <v>0</v>
      </c>
      <c r="J2949" s="21" t="n">
        <f aca="false">H2949*1000/Parametres!$B$9</f>
        <v>1734.27166355774</v>
      </c>
    </row>
    <row r="2950" customFormat="false" ht="15" hidden="false" customHeight="false" outlineLevel="0" collapsed="false">
      <c r="A2950" s="0" t="n">
        <v>2946</v>
      </c>
      <c r="B2950" s="0" t="n">
        <v>5</v>
      </c>
      <c r="C2950" s="19" t="n">
        <v>0.1659</v>
      </c>
      <c r="D2950" s="19" t="n">
        <v>0.0044</v>
      </c>
      <c r="E2950" s="20" t="n">
        <f aca="false">Parametres!$B$5*C2950</f>
        <v>49.77</v>
      </c>
      <c r="F2950" s="20" t="n">
        <f aca="false">Parametres!$B$6*D2950</f>
        <v>0.88</v>
      </c>
      <c r="G2950" s="20" t="n">
        <f aca="false">E2950+F2950</f>
        <v>50.65</v>
      </c>
      <c r="H2950" s="20" t="n">
        <f aca="false">IF(G2950&lt;Parametres!$B$8*Parametres!$B$7,0,MIN(G2950,Parametres!$B$7))</f>
        <v>50.65</v>
      </c>
      <c r="I2950" s="20" t="n">
        <f aca="false">G2950-H2950</f>
        <v>0</v>
      </c>
      <c r="J2950" s="21" t="n">
        <f aca="false">H2950*1000/Parametres!$B$9</f>
        <v>858.911310836018</v>
      </c>
    </row>
    <row r="2951" customFormat="false" ht="15" hidden="false" customHeight="false" outlineLevel="0" collapsed="false">
      <c r="A2951" s="0" t="n">
        <v>2947</v>
      </c>
      <c r="B2951" s="0" t="n">
        <v>5</v>
      </c>
      <c r="C2951" s="19" t="n">
        <v>0.0048</v>
      </c>
      <c r="D2951" s="19" t="n">
        <v>0.009</v>
      </c>
      <c r="E2951" s="20" t="n">
        <f aca="false">Parametres!$B$5*C2951</f>
        <v>1.44</v>
      </c>
      <c r="F2951" s="20" t="n">
        <f aca="false">Parametres!$B$6*D2951</f>
        <v>1.8</v>
      </c>
      <c r="G2951" s="20" t="n">
        <f aca="false">E2951+F2951</f>
        <v>3.24</v>
      </c>
      <c r="H2951" s="20" t="n">
        <f aca="false">IF(G2951&lt;Parametres!$B$8*Parametres!$B$7,0,MIN(G2951,Parametres!$B$7))</f>
        <v>0</v>
      </c>
      <c r="I2951" s="20" t="n">
        <f aca="false">G2951-H2951</f>
        <v>3.24</v>
      </c>
      <c r="J2951" s="21" t="n">
        <f aca="false">H2951*1000/Parametres!$B$9</f>
        <v>0</v>
      </c>
    </row>
    <row r="2952" customFormat="false" ht="15" hidden="false" customHeight="false" outlineLevel="0" collapsed="false">
      <c r="A2952" s="0" t="n">
        <v>2948</v>
      </c>
      <c r="B2952" s="0" t="n">
        <v>5</v>
      </c>
      <c r="C2952" s="19" t="n">
        <v>0</v>
      </c>
      <c r="D2952" s="19" t="n">
        <v>0.0162</v>
      </c>
      <c r="E2952" s="20" t="n">
        <f aca="false">Parametres!$B$5*C2952</f>
        <v>0</v>
      </c>
      <c r="F2952" s="20" t="n">
        <f aca="false">Parametres!$B$6*D2952</f>
        <v>3.24</v>
      </c>
      <c r="G2952" s="20" t="n">
        <f aca="false">E2952+F2952</f>
        <v>3.24</v>
      </c>
      <c r="H2952" s="20" t="n">
        <f aca="false">IF(G2952&lt;Parametres!$B$8*Parametres!$B$7,0,MIN(G2952,Parametres!$B$7))</f>
        <v>0</v>
      </c>
      <c r="I2952" s="20" t="n">
        <f aca="false">G2952-H2952</f>
        <v>3.24</v>
      </c>
      <c r="J2952" s="21" t="n">
        <f aca="false">H2952*1000/Parametres!$B$9</f>
        <v>0</v>
      </c>
    </row>
    <row r="2953" customFormat="false" ht="15" hidden="false" customHeight="false" outlineLevel="0" collapsed="false">
      <c r="A2953" s="0" t="n">
        <v>2949</v>
      </c>
      <c r="B2953" s="0" t="n">
        <v>5</v>
      </c>
      <c r="C2953" s="19" t="n">
        <v>0</v>
      </c>
      <c r="D2953" s="19" t="n">
        <v>0.009</v>
      </c>
      <c r="E2953" s="20" t="n">
        <f aca="false">Parametres!$B$5*C2953</f>
        <v>0</v>
      </c>
      <c r="F2953" s="20" t="n">
        <f aca="false">Parametres!$B$6*D2953</f>
        <v>1.8</v>
      </c>
      <c r="G2953" s="20" t="n">
        <f aca="false">E2953+F2953</f>
        <v>1.8</v>
      </c>
      <c r="H2953" s="20" t="n">
        <f aca="false">IF(G2953&lt;Parametres!$B$8*Parametres!$B$7,0,MIN(G2953,Parametres!$B$7))</f>
        <v>0</v>
      </c>
      <c r="I2953" s="20" t="n">
        <f aca="false">G2953-H2953</f>
        <v>1.8</v>
      </c>
      <c r="J2953" s="21" t="n">
        <f aca="false">H2953*1000/Parametres!$B$9</f>
        <v>0</v>
      </c>
    </row>
    <row r="2954" customFormat="false" ht="15" hidden="false" customHeight="false" outlineLevel="0" collapsed="false">
      <c r="A2954" s="0" t="n">
        <v>2950</v>
      </c>
      <c r="B2954" s="0" t="n">
        <v>5</v>
      </c>
      <c r="C2954" s="19" t="n">
        <v>0</v>
      </c>
      <c r="D2954" s="19" t="n">
        <v>0.0075</v>
      </c>
      <c r="E2954" s="20" t="n">
        <f aca="false">Parametres!$B$5*C2954</f>
        <v>0</v>
      </c>
      <c r="F2954" s="20" t="n">
        <f aca="false">Parametres!$B$6*D2954</f>
        <v>1.5</v>
      </c>
      <c r="G2954" s="20" t="n">
        <f aca="false">E2954+F2954</f>
        <v>1.5</v>
      </c>
      <c r="H2954" s="20" t="n">
        <f aca="false">IF(G2954&lt;Parametres!$B$8*Parametres!$B$7,0,MIN(G2954,Parametres!$B$7))</f>
        <v>0</v>
      </c>
      <c r="I2954" s="20" t="n">
        <f aca="false">G2954-H2954</f>
        <v>1.5</v>
      </c>
      <c r="J2954" s="21" t="n">
        <f aca="false">H2954*1000/Parametres!$B$9</f>
        <v>0</v>
      </c>
    </row>
    <row r="2955" customFormat="false" ht="15" hidden="false" customHeight="false" outlineLevel="0" collapsed="false">
      <c r="A2955" s="0" t="n">
        <v>2951</v>
      </c>
      <c r="B2955" s="0" t="n">
        <v>5</v>
      </c>
      <c r="C2955" s="19" t="n">
        <v>0</v>
      </c>
      <c r="D2955" s="19" t="n">
        <v>0.0108</v>
      </c>
      <c r="E2955" s="20" t="n">
        <f aca="false">Parametres!$B$5*C2955</f>
        <v>0</v>
      </c>
      <c r="F2955" s="20" t="n">
        <f aca="false">Parametres!$B$6*D2955</f>
        <v>2.16</v>
      </c>
      <c r="G2955" s="20" t="n">
        <f aca="false">E2955+F2955</f>
        <v>2.16</v>
      </c>
      <c r="H2955" s="20" t="n">
        <f aca="false">IF(G2955&lt;Parametres!$B$8*Parametres!$B$7,0,MIN(G2955,Parametres!$B$7))</f>
        <v>0</v>
      </c>
      <c r="I2955" s="20" t="n">
        <f aca="false">G2955-H2955</f>
        <v>2.16</v>
      </c>
      <c r="J2955" s="21" t="n">
        <f aca="false">H2955*1000/Parametres!$B$9</f>
        <v>0</v>
      </c>
    </row>
    <row r="2956" customFormat="false" ht="15" hidden="false" customHeight="false" outlineLevel="0" collapsed="false">
      <c r="A2956" s="0" t="n">
        <v>2952</v>
      </c>
      <c r="B2956" s="0" t="n">
        <v>5</v>
      </c>
      <c r="C2956" s="19" t="n">
        <v>0</v>
      </c>
      <c r="D2956" s="19" t="n">
        <v>0.0091</v>
      </c>
      <c r="E2956" s="20" t="n">
        <f aca="false">Parametres!$B$5*C2956</f>
        <v>0</v>
      </c>
      <c r="F2956" s="20" t="n">
        <f aca="false">Parametres!$B$6*D2956</f>
        <v>1.82</v>
      </c>
      <c r="G2956" s="20" t="n">
        <f aca="false">E2956+F2956</f>
        <v>1.82</v>
      </c>
      <c r="H2956" s="20" t="n">
        <f aca="false">IF(G2956&lt;Parametres!$B$8*Parametres!$B$7,0,MIN(G2956,Parametres!$B$7))</f>
        <v>0</v>
      </c>
      <c r="I2956" s="20" t="n">
        <f aca="false">G2956-H2956</f>
        <v>1.82</v>
      </c>
      <c r="J2956" s="21" t="n">
        <f aca="false">H2956*1000/Parametres!$B$9</f>
        <v>0</v>
      </c>
    </row>
    <row r="2957" customFormat="false" ht="15" hidden="false" customHeight="false" outlineLevel="0" collapsed="false">
      <c r="A2957" s="0" t="n">
        <v>2953</v>
      </c>
      <c r="B2957" s="0" t="n">
        <v>5</v>
      </c>
      <c r="C2957" s="19" t="n">
        <v>0</v>
      </c>
      <c r="D2957" s="19" t="n">
        <v>0.0219</v>
      </c>
      <c r="E2957" s="20" t="n">
        <f aca="false">Parametres!$B$5*C2957</f>
        <v>0</v>
      </c>
      <c r="F2957" s="20" t="n">
        <f aca="false">Parametres!$B$6*D2957</f>
        <v>4.38</v>
      </c>
      <c r="G2957" s="20" t="n">
        <f aca="false">E2957+F2957</f>
        <v>4.38</v>
      </c>
      <c r="H2957" s="20" t="n">
        <f aca="false">IF(G2957&lt;Parametres!$B$8*Parametres!$B$7,0,MIN(G2957,Parametres!$B$7))</f>
        <v>0</v>
      </c>
      <c r="I2957" s="20" t="n">
        <f aca="false">G2957-H2957</f>
        <v>4.38</v>
      </c>
      <c r="J2957" s="21" t="n">
        <f aca="false">H2957*1000/Parametres!$B$9</f>
        <v>0</v>
      </c>
    </row>
    <row r="2958" customFormat="false" ht="15" hidden="false" customHeight="false" outlineLevel="0" collapsed="false">
      <c r="A2958" s="0" t="n">
        <v>2954</v>
      </c>
      <c r="B2958" s="0" t="n">
        <v>5</v>
      </c>
      <c r="C2958" s="19" t="n">
        <v>0</v>
      </c>
      <c r="D2958" s="19" t="n">
        <v>0.0474</v>
      </c>
      <c r="E2958" s="20" t="n">
        <f aca="false">Parametres!$B$5*C2958</f>
        <v>0</v>
      </c>
      <c r="F2958" s="20" t="n">
        <f aca="false">Parametres!$B$6*D2958</f>
        <v>9.48</v>
      </c>
      <c r="G2958" s="20" t="n">
        <f aca="false">E2958+F2958</f>
        <v>9.48</v>
      </c>
      <c r="H2958" s="20" t="n">
        <f aca="false">IF(G2958&lt;Parametres!$B$8*Parametres!$B$7,0,MIN(G2958,Parametres!$B$7))</f>
        <v>0</v>
      </c>
      <c r="I2958" s="20" t="n">
        <f aca="false">G2958-H2958</f>
        <v>9.48</v>
      </c>
      <c r="J2958" s="21" t="n">
        <f aca="false">H2958*1000/Parametres!$B$9</f>
        <v>0</v>
      </c>
    </row>
    <row r="2959" customFormat="false" ht="15" hidden="false" customHeight="false" outlineLevel="0" collapsed="false">
      <c r="A2959" s="0" t="n">
        <v>2955</v>
      </c>
      <c r="B2959" s="0" t="n">
        <v>5</v>
      </c>
      <c r="C2959" s="19" t="n">
        <v>0</v>
      </c>
      <c r="D2959" s="19" t="n">
        <v>0.0407</v>
      </c>
      <c r="E2959" s="20" t="n">
        <f aca="false">Parametres!$B$5*C2959</f>
        <v>0</v>
      </c>
      <c r="F2959" s="20" t="n">
        <f aca="false">Parametres!$B$6*D2959</f>
        <v>8.14</v>
      </c>
      <c r="G2959" s="20" t="n">
        <f aca="false">E2959+F2959</f>
        <v>8.14</v>
      </c>
      <c r="H2959" s="20" t="n">
        <f aca="false">IF(G2959&lt;Parametres!$B$8*Parametres!$B$7,0,MIN(G2959,Parametres!$B$7))</f>
        <v>0</v>
      </c>
      <c r="I2959" s="20" t="n">
        <f aca="false">G2959-H2959</f>
        <v>8.14</v>
      </c>
      <c r="J2959" s="21" t="n">
        <f aca="false">H2959*1000/Parametres!$B$9</f>
        <v>0</v>
      </c>
    </row>
    <row r="2960" customFormat="false" ht="15" hidden="false" customHeight="false" outlineLevel="0" collapsed="false">
      <c r="A2960" s="0" t="n">
        <v>2956</v>
      </c>
      <c r="B2960" s="0" t="n">
        <v>5</v>
      </c>
      <c r="C2960" s="19" t="n">
        <v>0</v>
      </c>
      <c r="D2960" s="19" t="n">
        <v>0.0163</v>
      </c>
      <c r="E2960" s="20" t="n">
        <f aca="false">Parametres!$B$5*C2960</f>
        <v>0</v>
      </c>
      <c r="F2960" s="20" t="n">
        <f aca="false">Parametres!$B$6*D2960</f>
        <v>3.26</v>
      </c>
      <c r="G2960" s="20" t="n">
        <f aca="false">E2960+F2960</f>
        <v>3.26</v>
      </c>
      <c r="H2960" s="20" t="n">
        <f aca="false">IF(G2960&lt;Parametres!$B$8*Parametres!$B$7,0,MIN(G2960,Parametres!$B$7))</f>
        <v>0</v>
      </c>
      <c r="I2960" s="20" t="n">
        <f aca="false">G2960-H2960</f>
        <v>3.26</v>
      </c>
      <c r="J2960" s="21" t="n">
        <f aca="false">H2960*1000/Parametres!$B$9</f>
        <v>0</v>
      </c>
    </row>
    <row r="2961" customFormat="false" ht="15" hidden="false" customHeight="false" outlineLevel="0" collapsed="false">
      <c r="A2961" s="0" t="n">
        <v>2957</v>
      </c>
      <c r="B2961" s="0" t="n">
        <v>5</v>
      </c>
      <c r="C2961" s="19" t="n">
        <v>0</v>
      </c>
      <c r="D2961" s="19" t="n">
        <v>0.0146</v>
      </c>
      <c r="E2961" s="20" t="n">
        <f aca="false">Parametres!$B$5*C2961</f>
        <v>0</v>
      </c>
      <c r="F2961" s="20" t="n">
        <f aca="false">Parametres!$B$6*D2961</f>
        <v>2.92</v>
      </c>
      <c r="G2961" s="20" t="n">
        <f aca="false">E2961+F2961</f>
        <v>2.92</v>
      </c>
      <c r="H2961" s="20" t="n">
        <f aca="false">IF(G2961&lt;Parametres!$B$8*Parametres!$B$7,0,MIN(G2961,Parametres!$B$7))</f>
        <v>0</v>
      </c>
      <c r="I2961" s="20" t="n">
        <f aca="false">G2961-H2961</f>
        <v>2.92</v>
      </c>
      <c r="J2961" s="21" t="n">
        <f aca="false">H2961*1000/Parametres!$B$9</f>
        <v>0</v>
      </c>
    </row>
    <row r="2962" customFormat="false" ht="15" hidden="false" customHeight="false" outlineLevel="0" collapsed="false">
      <c r="A2962" s="0" t="n">
        <v>2958</v>
      </c>
      <c r="B2962" s="0" t="n">
        <v>5</v>
      </c>
      <c r="C2962" s="19" t="n">
        <v>0.0106</v>
      </c>
      <c r="D2962" s="19" t="n">
        <v>0.0404</v>
      </c>
      <c r="E2962" s="20" t="n">
        <f aca="false">Parametres!$B$5*C2962</f>
        <v>3.18</v>
      </c>
      <c r="F2962" s="20" t="n">
        <f aca="false">Parametres!$B$6*D2962</f>
        <v>8.08</v>
      </c>
      <c r="G2962" s="20" t="n">
        <f aca="false">E2962+F2962</f>
        <v>11.26</v>
      </c>
      <c r="H2962" s="20" t="n">
        <f aca="false">IF(G2962&lt;Parametres!$B$8*Parametres!$B$7,0,MIN(G2962,Parametres!$B$7))</f>
        <v>0</v>
      </c>
      <c r="I2962" s="20" t="n">
        <f aca="false">G2962-H2962</f>
        <v>11.26</v>
      </c>
      <c r="J2962" s="21" t="n">
        <f aca="false">H2962*1000/Parametres!$B$9</f>
        <v>0</v>
      </c>
    </row>
    <row r="2963" customFormat="false" ht="15" hidden="false" customHeight="false" outlineLevel="0" collapsed="false">
      <c r="A2963" s="0" t="n">
        <v>2959</v>
      </c>
      <c r="B2963" s="0" t="n">
        <v>5</v>
      </c>
      <c r="C2963" s="19" t="n">
        <v>0.2711</v>
      </c>
      <c r="D2963" s="19" t="n">
        <v>0.0835</v>
      </c>
      <c r="E2963" s="20" t="n">
        <f aca="false">Parametres!$B$5*C2963</f>
        <v>81.33</v>
      </c>
      <c r="F2963" s="20" t="n">
        <f aca="false">Parametres!$B$6*D2963</f>
        <v>16.7</v>
      </c>
      <c r="G2963" s="20" t="n">
        <f aca="false">E2963+F2963</f>
        <v>98.03</v>
      </c>
      <c r="H2963" s="20" t="n">
        <f aca="false">IF(G2963&lt;Parametres!$B$8*Parametres!$B$7,0,MIN(G2963,Parametres!$B$7))</f>
        <v>98.03</v>
      </c>
      <c r="I2963" s="20" t="n">
        <f aca="false">G2963-H2963</f>
        <v>0</v>
      </c>
      <c r="J2963" s="21" t="n">
        <f aca="false">H2963*1000/Parametres!$B$9</f>
        <v>1662.37069696456</v>
      </c>
    </row>
    <row r="2964" customFormat="false" ht="15" hidden="false" customHeight="false" outlineLevel="0" collapsed="false">
      <c r="A2964" s="0" t="n">
        <v>2960</v>
      </c>
      <c r="B2964" s="0" t="n">
        <v>5</v>
      </c>
      <c r="C2964" s="19" t="n">
        <v>0.5611</v>
      </c>
      <c r="D2964" s="19" t="n">
        <v>0.1634</v>
      </c>
      <c r="E2964" s="20" t="n">
        <f aca="false">Parametres!$B$5*C2964</f>
        <v>168.33</v>
      </c>
      <c r="F2964" s="20" t="n">
        <f aca="false">Parametres!$B$6*D2964</f>
        <v>32.68</v>
      </c>
      <c r="G2964" s="20" t="n">
        <f aca="false">E2964+F2964</f>
        <v>201.01</v>
      </c>
      <c r="H2964" s="20" t="n">
        <f aca="false">IF(G2964&lt;Parametres!$B$8*Parametres!$B$7,0,MIN(G2964,Parametres!$B$7))</f>
        <v>201.01</v>
      </c>
      <c r="I2964" s="20" t="n">
        <f aca="false">G2964-H2964</f>
        <v>0</v>
      </c>
      <c r="J2964" s="21" t="n">
        <f aca="false">H2964*1000/Parametres!$B$9</f>
        <v>3408.68238087163</v>
      </c>
    </row>
    <row r="2965" customFormat="false" ht="15" hidden="false" customHeight="false" outlineLevel="0" collapsed="false">
      <c r="A2965" s="0" t="n">
        <v>2961</v>
      </c>
      <c r="B2965" s="0" t="n">
        <v>5</v>
      </c>
      <c r="C2965" s="19" t="n">
        <v>0.7688</v>
      </c>
      <c r="D2965" s="19" t="n">
        <v>0.2913</v>
      </c>
      <c r="E2965" s="20" t="n">
        <f aca="false">Parametres!$B$5*C2965</f>
        <v>230.64</v>
      </c>
      <c r="F2965" s="20" t="n">
        <f aca="false">Parametres!$B$6*D2965</f>
        <v>58.26</v>
      </c>
      <c r="G2965" s="20" t="n">
        <f aca="false">E2965+F2965</f>
        <v>288.9</v>
      </c>
      <c r="H2965" s="20" t="n">
        <f aca="false">IF(G2965&lt;Parametres!$B$8*Parametres!$B$7,0,MIN(G2965,Parametres!$B$7))</f>
        <v>250</v>
      </c>
      <c r="I2965" s="20" t="n">
        <f aca="false">G2965-H2965</f>
        <v>38.9</v>
      </c>
      <c r="J2965" s="21" t="n">
        <f aca="false">H2965*1000/Parametres!$B$9</f>
        <v>4239.44378497541</v>
      </c>
    </row>
    <row r="2966" customFormat="false" ht="15" hidden="false" customHeight="false" outlineLevel="0" collapsed="false">
      <c r="A2966" s="0" t="n">
        <v>2962</v>
      </c>
      <c r="B2966" s="0" t="n">
        <v>5</v>
      </c>
      <c r="C2966" s="19" t="n">
        <v>0.9889</v>
      </c>
      <c r="D2966" s="19" t="n">
        <v>0.2726</v>
      </c>
      <c r="E2966" s="20" t="n">
        <f aca="false">Parametres!$B$5*C2966</f>
        <v>296.67</v>
      </c>
      <c r="F2966" s="20" t="n">
        <f aca="false">Parametres!$B$6*D2966</f>
        <v>54.52</v>
      </c>
      <c r="G2966" s="20" t="n">
        <f aca="false">E2966+F2966</f>
        <v>351.19</v>
      </c>
      <c r="H2966" s="20" t="n">
        <f aca="false">IF(G2966&lt;Parametres!$B$8*Parametres!$B$7,0,MIN(G2966,Parametres!$B$7))</f>
        <v>250</v>
      </c>
      <c r="I2966" s="20" t="n">
        <f aca="false">G2966-H2966</f>
        <v>101.19</v>
      </c>
      <c r="J2966" s="21" t="n">
        <f aca="false">H2966*1000/Parametres!$B$9</f>
        <v>4239.44378497541</v>
      </c>
    </row>
    <row r="2967" customFormat="false" ht="15" hidden="false" customHeight="false" outlineLevel="0" collapsed="false">
      <c r="A2967" s="0" t="n">
        <v>2963</v>
      </c>
      <c r="B2967" s="0" t="n">
        <v>5</v>
      </c>
      <c r="C2967" s="19" t="n">
        <v>1</v>
      </c>
      <c r="D2967" s="19" t="n">
        <v>0.3485</v>
      </c>
      <c r="E2967" s="20" t="n">
        <f aca="false">Parametres!$B$5*C2967</f>
        <v>300</v>
      </c>
      <c r="F2967" s="20" t="n">
        <f aca="false">Parametres!$B$6*D2967</f>
        <v>69.7</v>
      </c>
      <c r="G2967" s="20" t="n">
        <f aca="false">E2967+F2967</f>
        <v>369.7</v>
      </c>
      <c r="H2967" s="20" t="n">
        <f aca="false">IF(G2967&lt;Parametres!$B$8*Parametres!$B$7,0,MIN(G2967,Parametres!$B$7))</f>
        <v>250</v>
      </c>
      <c r="I2967" s="20" t="n">
        <f aca="false">G2967-H2967</f>
        <v>119.7</v>
      </c>
      <c r="J2967" s="21" t="n">
        <f aca="false">H2967*1000/Parametres!$B$9</f>
        <v>4239.44378497541</v>
      </c>
    </row>
    <row r="2968" customFormat="false" ht="15" hidden="false" customHeight="false" outlineLevel="0" collapsed="false">
      <c r="A2968" s="0" t="n">
        <v>2964</v>
      </c>
      <c r="B2968" s="0" t="n">
        <v>5</v>
      </c>
      <c r="C2968" s="19" t="n">
        <v>1</v>
      </c>
      <c r="D2968" s="19" t="n">
        <v>0.583</v>
      </c>
      <c r="E2968" s="20" t="n">
        <f aca="false">Parametres!$B$5*C2968</f>
        <v>300</v>
      </c>
      <c r="F2968" s="20" t="n">
        <f aca="false">Parametres!$B$6*D2968</f>
        <v>116.6</v>
      </c>
      <c r="G2968" s="20" t="n">
        <f aca="false">E2968+F2968</f>
        <v>416.6</v>
      </c>
      <c r="H2968" s="20" t="n">
        <f aca="false">IF(G2968&lt;Parametres!$B$8*Parametres!$B$7,0,MIN(G2968,Parametres!$B$7))</f>
        <v>250</v>
      </c>
      <c r="I2968" s="20" t="n">
        <f aca="false">G2968-H2968</f>
        <v>166.6</v>
      </c>
      <c r="J2968" s="21" t="n">
        <f aca="false">H2968*1000/Parametres!$B$9</f>
        <v>4239.44378497541</v>
      </c>
    </row>
    <row r="2969" customFormat="false" ht="15" hidden="false" customHeight="false" outlineLevel="0" collapsed="false">
      <c r="A2969" s="0" t="n">
        <v>2965</v>
      </c>
      <c r="B2969" s="0" t="n">
        <v>5</v>
      </c>
      <c r="C2969" s="19" t="n">
        <v>1</v>
      </c>
      <c r="D2969" s="19" t="n">
        <v>0.7085</v>
      </c>
      <c r="E2969" s="20" t="n">
        <f aca="false">Parametres!$B$5*C2969</f>
        <v>300</v>
      </c>
      <c r="F2969" s="20" t="n">
        <f aca="false">Parametres!$B$6*D2969</f>
        <v>141.7</v>
      </c>
      <c r="G2969" s="20" t="n">
        <f aca="false">E2969+F2969</f>
        <v>441.7</v>
      </c>
      <c r="H2969" s="20" t="n">
        <f aca="false">IF(G2969&lt;Parametres!$B$8*Parametres!$B$7,0,MIN(G2969,Parametres!$B$7))</f>
        <v>250</v>
      </c>
      <c r="I2969" s="20" t="n">
        <f aca="false">G2969-H2969</f>
        <v>191.7</v>
      </c>
      <c r="J2969" s="21" t="n">
        <f aca="false">H2969*1000/Parametres!$B$9</f>
        <v>4239.44378497541</v>
      </c>
    </row>
    <row r="2970" customFormat="false" ht="15" hidden="false" customHeight="false" outlineLevel="0" collapsed="false">
      <c r="A2970" s="0" t="n">
        <v>2966</v>
      </c>
      <c r="B2970" s="0" t="n">
        <v>5</v>
      </c>
      <c r="C2970" s="19" t="n">
        <v>1</v>
      </c>
      <c r="D2970" s="19" t="n">
        <v>1</v>
      </c>
      <c r="E2970" s="20" t="n">
        <f aca="false">Parametres!$B$5*C2970</f>
        <v>300</v>
      </c>
      <c r="F2970" s="20" t="n">
        <f aca="false">Parametres!$B$6*D2970</f>
        <v>200</v>
      </c>
      <c r="G2970" s="20" t="n">
        <f aca="false">E2970+F2970</f>
        <v>500</v>
      </c>
      <c r="H2970" s="20" t="n">
        <f aca="false">IF(G2970&lt;Parametres!$B$8*Parametres!$B$7,0,MIN(G2970,Parametres!$B$7))</f>
        <v>250</v>
      </c>
      <c r="I2970" s="20" t="n">
        <f aca="false">G2970-H2970</f>
        <v>250</v>
      </c>
      <c r="J2970" s="21" t="n">
        <f aca="false">H2970*1000/Parametres!$B$9</f>
        <v>4239.44378497541</v>
      </c>
    </row>
    <row r="2971" customFormat="false" ht="15" hidden="false" customHeight="false" outlineLevel="0" collapsed="false">
      <c r="A2971" s="0" t="n">
        <v>2967</v>
      </c>
      <c r="B2971" s="0" t="n">
        <v>5</v>
      </c>
      <c r="C2971" s="19" t="n">
        <v>1</v>
      </c>
      <c r="D2971" s="19" t="n">
        <v>0.7858</v>
      </c>
      <c r="E2971" s="20" t="n">
        <f aca="false">Parametres!$B$5*C2971</f>
        <v>300</v>
      </c>
      <c r="F2971" s="20" t="n">
        <f aca="false">Parametres!$B$6*D2971</f>
        <v>157.16</v>
      </c>
      <c r="G2971" s="20" t="n">
        <f aca="false">E2971+F2971</f>
        <v>457.16</v>
      </c>
      <c r="H2971" s="20" t="n">
        <f aca="false">IF(G2971&lt;Parametres!$B$8*Parametres!$B$7,0,MIN(G2971,Parametres!$B$7))</f>
        <v>250</v>
      </c>
      <c r="I2971" s="20" t="n">
        <f aca="false">G2971-H2971</f>
        <v>207.16</v>
      </c>
      <c r="J2971" s="21" t="n">
        <f aca="false">H2971*1000/Parametres!$B$9</f>
        <v>4239.44378497541</v>
      </c>
    </row>
    <row r="2972" customFormat="false" ht="15" hidden="false" customHeight="false" outlineLevel="0" collapsed="false">
      <c r="A2972" s="0" t="n">
        <v>2968</v>
      </c>
      <c r="B2972" s="0" t="n">
        <v>5</v>
      </c>
      <c r="C2972" s="19" t="n">
        <v>0.8586</v>
      </c>
      <c r="D2972" s="19" t="n">
        <v>0.5362</v>
      </c>
      <c r="E2972" s="20" t="n">
        <f aca="false">Parametres!$B$5*C2972</f>
        <v>257.58</v>
      </c>
      <c r="F2972" s="20" t="n">
        <f aca="false">Parametres!$B$6*D2972</f>
        <v>107.24</v>
      </c>
      <c r="G2972" s="20" t="n">
        <f aca="false">E2972+F2972</f>
        <v>364.82</v>
      </c>
      <c r="H2972" s="20" t="n">
        <f aca="false">IF(G2972&lt;Parametres!$B$8*Parametres!$B$7,0,MIN(G2972,Parametres!$B$7))</f>
        <v>250</v>
      </c>
      <c r="I2972" s="20" t="n">
        <f aca="false">G2972-H2972</f>
        <v>114.82</v>
      </c>
      <c r="J2972" s="21" t="n">
        <f aca="false">H2972*1000/Parametres!$B$9</f>
        <v>4239.44378497541</v>
      </c>
    </row>
    <row r="2973" customFormat="false" ht="15" hidden="false" customHeight="false" outlineLevel="0" collapsed="false">
      <c r="A2973" s="0" t="n">
        <v>2969</v>
      </c>
      <c r="B2973" s="0" t="n">
        <v>5</v>
      </c>
      <c r="C2973" s="19" t="n">
        <v>0.5619</v>
      </c>
      <c r="D2973" s="19" t="n">
        <v>1</v>
      </c>
      <c r="E2973" s="20" t="n">
        <f aca="false">Parametres!$B$5*C2973</f>
        <v>168.57</v>
      </c>
      <c r="F2973" s="20" t="n">
        <f aca="false">Parametres!$B$6*D2973</f>
        <v>200</v>
      </c>
      <c r="G2973" s="20" t="n">
        <f aca="false">E2973+F2973</f>
        <v>368.57</v>
      </c>
      <c r="H2973" s="20" t="n">
        <f aca="false">IF(G2973&lt;Parametres!$B$8*Parametres!$B$7,0,MIN(G2973,Parametres!$B$7))</f>
        <v>250</v>
      </c>
      <c r="I2973" s="20" t="n">
        <f aca="false">G2973-H2973</f>
        <v>118.57</v>
      </c>
      <c r="J2973" s="21" t="n">
        <f aca="false">H2973*1000/Parametres!$B$9</f>
        <v>4239.44378497541</v>
      </c>
    </row>
    <row r="2974" customFormat="false" ht="15" hidden="false" customHeight="false" outlineLevel="0" collapsed="false">
      <c r="A2974" s="0" t="n">
        <v>2970</v>
      </c>
      <c r="B2974" s="0" t="n">
        <v>5</v>
      </c>
      <c r="C2974" s="19" t="n">
        <v>0.2613</v>
      </c>
      <c r="D2974" s="19" t="n">
        <v>1</v>
      </c>
      <c r="E2974" s="20" t="n">
        <f aca="false">Parametres!$B$5*C2974</f>
        <v>78.39</v>
      </c>
      <c r="F2974" s="20" t="n">
        <f aca="false">Parametres!$B$6*D2974</f>
        <v>200</v>
      </c>
      <c r="G2974" s="20" t="n">
        <f aca="false">E2974+F2974</f>
        <v>278.39</v>
      </c>
      <c r="H2974" s="20" t="n">
        <f aca="false">IF(G2974&lt;Parametres!$B$8*Parametres!$B$7,0,MIN(G2974,Parametres!$B$7))</f>
        <v>250</v>
      </c>
      <c r="I2974" s="20" t="n">
        <f aca="false">G2974-H2974</f>
        <v>28.39</v>
      </c>
      <c r="J2974" s="21" t="n">
        <f aca="false">H2974*1000/Parametres!$B$9</f>
        <v>4239.44378497541</v>
      </c>
    </row>
    <row r="2975" customFormat="false" ht="15" hidden="false" customHeight="false" outlineLevel="0" collapsed="false">
      <c r="A2975" s="0" t="n">
        <v>2971</v>
      </c>
      <c r="B2975" s="0" t="n">
        <v>5</v>
      </c>
      <c r="C2975" s="19" t="n">
        <v>0.0107</v>
      </c>
      <c r="D2975" s="19" t="n">
        <v>1</v>
      </c>
      <c r="E2975" s="20" t="n">
        <f aca="false">Parametres!$B$5*C2975</f>
        <v>3.21</v>
      </c>
      <c r="F2975" s="20" t="n">
        <f aca="false">Parametres!$B$6*D2975</f>
        <v>200</v>
      </c>
      <c r="G2975" s="20" t="n">
        <f aca="false">E2975+F2975</f>
        <v>203.21</v>
      </c>
      <c r="H2975" s="20" t="n">
        <f aca="false">IF(G2975&lt;Parametres!$B$8*Parametres!$B$7,0,MIN(G2975,Parametres!$B$7))</f>
        <v>203.21</v>
      </c>
      <c r="I2975" s="20" t="n">
        <f aca="false">G2975-H2975</f>
        <v>0</v>
      </c>
      <c r="J2975" s="21" t="n">
        <f aca="false">H2975*1000/Parametres!$B$9</f>
        <v>3445.98948617941</v>
      </c>
    </row>
    <row r="2976" customFormat="false" ht="15" hidden="false" customHeight="false" outlineLevel="0" collapsed="false">
      <c r="A2976" s="0" t="n">
        <v>2972</v>
      </c>
      <c r="B2976" s="0" t="n">
        <v>5</v>
      </c>
      <c r="C2976" s="19" t="n">
        <v>0</v>
      </c>
      <c r="D2976" s="19" t="n">
        <v>1</v>
      </c>
      <c r="E2976" s="20" t="n">
        <f aca="false">Parametres!$B$5*C2976</f>
        <v>0</v>
      </c>
      <c r="F2976" s="20" t="n">
        <f aca="false">Parametres!$B$6*D2976</f>
        <v>200</v>
      </c>
      <c r="G2976" s="20" t="n">
        <f aca="false">E2976+F2976</f>
        <v>200</v>
      </c>
      <c r="H2976" s="20" t="n">
        <f aca="false">IF(G2976&lt;Parametres!$B$8*Parametres!$B$7,0,MIN(G2976,Parametres!$B$7))</f>
        <v>200</v>
      </c>
      <c r="I2976" s="20" t="n">
        <f aca="false">G2976-H2976</f>
        <v>0</v>
      </c>
      <c r="J2976" s="21" t="n">
        <f aca="false">H2976*1000/Parametres!$B$9</f>
        <v>3391.55502798033</v>
      </c>
    </row>
    <row r="2977" customFormat="false" ht="15" hidden="false" customHeight="false" outlineLevel="0" collapsed="false">
      <c r="A2977" s="0" t="n">
        <v>2973</v>
      </c>
      <c r="B2977" s="0" t="n">
        <v>5</v>
      </c>
      <c r="C2977" s="19" t="n">
        <v>0</v>
      </c>
      <c r="D2977" s="19" t="n">
        <v>1</v>
      </c>
      <c r="E2977" s="20" t="n">
        <f aca="false">Parametres!$B$5*C2977</f>
        <v>0</v>
      </c>
      <c r="F2977" s="20" t="n">
        <f aca="false">Parametres!$B$6*D2977</f>
        <v>200</v>
      </c>
      <c r="G2977" s="20" t="n">
        <f aca="false">E2977+F2977</f>
        <v>200</v>
      </c>
      <c r="H2977" s="20" t="n">
        <f aca="false">IF(G2977&lt;Parametres!$B$8*Parametres!$B$7,0,MIN(G2977,Parametres!$B$7))</f>
        <v>200</v>
      </c>
      <c r="I2977" s="20" t="n">
        <f aca="false">G2977-H2977</f>
        <v>0</v>
      </c>
      <c r="J2977" s="21" t="n">
        <f aca="false">H2977*1000/Parametres!$B$9</f>
        <v>3391.55502798033</v>
      </c>
    </row>
    <row r="2978" customFormat="false" ht="15" hidden="false" customHeight="false" outlineLevel="0" collapsed="false">
      <c r="A2978" s="0" t="n">
        <v>2974</v>
      </c>
      <c r="B2978" s="0" t="n">
        <v>5</v>
      </c>
      <c r="C2978" s="19" t="n">
        <v>0</v>
      </c>
      <c r="D2978" s="19" t="n">
        <v>1</v>
      </c>
      <c r="E2978" s="20" t="n">
        <f aca="false">Parametres!$B$5*C2978</f>
        <v>0</v>
      </c>
      <c r="F2978" s="20" t="n">
        <f aca="false">Parametres!$B$6*D2978</f>
        <v>200</v>
      </c>
      <c r="G2978" s="20" t="n">
        <f aca="false">E2978+F2978</f>
        <v>200</v>
      </c>
      <c r="H2978" s="20" t="n">
        <f aca="false">IF(G2978&lt;Parametres!$B$8*Parametres!$B$7,0,MIN(G2978,Parametres!$B$7))</f>
        <v>200</v>
      </c>
      <c r="I2978" s="20" t="n">
        <f aca="false">G2978-H2978</f>
        <v>0</v>
      </c>
      <c r="J2978" s="21" t="n">
        <f aca="false">H2978*1000/Parametres!$B$9</f>
        <v>3391.55502798033</v>
      </c>
    </row>
    <row r="2979" customFormat="false" ht="15" hidden="false" customHeight="false" outlineLevel="0" collapsed="false">
      <c r="A2979" s="0" t="n">
        <v>2975</v>
      </c>
      <c r="B2979" s="0" t="n">
        <v>5</v>
      </c>
      <c r="C2979" s="19" t="n">
        <v>0</v>
      </c>
      <c r="D2979" s="19" t="n">
        <v>1</v>
      </c>
      <c r="E2979" s="20" t="n">
        <f aca="false">Parametres!$B$5*C2979</f>
        <v>0</v>
      </c>
      <c r="F2979" s="20" t="n">
        <f aca="false">Parametres!$B$6*D2979</f>
        <v>200</v>
      </c>
      <c r="G2979" s="20" t="n">
        <f aca="false">E2979+F2979</f>
        <v>200</v>
      </c>
      <c r="H2979" s="20" t="n">
        <f aca="false">IF(G2979&lt;Parametres!$B$8*Parametres!$B$7,0,MIN(G2979,Parametres!$B$7))</f>
        <v>200</v>
      </c>
      <c r="I2979" s="20" t="n">
        <f aca="false">G2979-H2979</f>
        <v>0</v>
      </c>
      <c r="J2979" s="21" t="n">
        <f aca="false">H2979*1000/Parametres!$B$9</f>
        <v>3391.55502798033</v>
      </c>
    </row>
    <row r="2980" customFormat="false" ht="15" hidden="false" customHeight="false" outlineLevel="0" collapsed="false">
      <c r="A2980" s="0" t="n">
        <v>2976</v>
      </c>
      <c r="B2980" s="0" t="n">
        <v>5</v>
      </c>
      <c r="C2980" s="19" t="n">
        <v>0</v>
      </c>
      <c r="D2980" s="19" t="n">
        <v>1</v>
      </c>
      <c r="E2980" s="20" t="n">
        <f aca="false">Parametres!$B$5*C2980</f>
        <v>0</v>
      </c>
      <c r="F2980" s="20" t="n">
        <f aca="false">Parametres!$B$6*D2980</f>
        <v>200</v>
      </c>
      <c r="G2980" s="20" t="n">
        <f aca="false">E2980+F2980</f>
        <v>200</v>
      </c>
      <c r="H2980" s="20" t="n">
        <f aca="false">IF(G2980&lt;Parametres!$B$8*Parametres!$B$7,0,MIN(G2980,Parametres!$B$7))</f>
        <v>200</v>
      </c>
      <c r="I2980" s="20" t="n">
        <f aca="false">G2980-H2980</f>
        <v>0</v>
      </c>
      <c r="J2980" s="21" t="n">
        <f aca="false">H2980*1000/Parametres!$B$9</f>
        <v>3391.55502798033</v>
      </c>
    </row>
    <row r="2981" customFormat="false" ht="15" hidden="false" customHeight="false" outlineLevel="0" collapsed="false">
      <c r="A2981" s="0" t="n">
        <v>2977</v>
      </c>
      <c r="B2981" s="0" t="n">
        <v>5</v>
      </c>
      <c r="C2981" s="19" t="n">
        <v>0</v>
      </c>
      <c r="D2981" s="19" t="n">
        <v>1</v>
      </c>
      <c r="E2981" s="20" t="n">
        <f aca="false">Parametres!$B$5*C2981</f>
        <v>0</v>
      </c>
      <c r="F2981" s="20" t="n">
        <f aca="false">Parametres!$B$6*D2981</f>
        <v>200</v>
      </c>
      <c r="G2981" s="20" t="n">
        <f aca="false">E2981+F2981</f>
        <v>200</v>
      </c>
      <c r="H2981" s="20" t="n">
        <f aca="false">IF(G2981&lt;Parametres!$B$8*Parametres!$B$7,0,MIN(G2981,Parametres!$B$7))</f>
        <v>200</v>
      </c>
      <c r="I2981" s="20" t="n">
        <f aca="false">G2981-H2981</f>
        <v>0</v>
      </c>
      <c r="J2981" s="21" t="n">
        <f aca="false">H2981*1000/Parametres!$B$9</f>
        <v>3391.55502798033</v>
      </c>
    </row>
    <row r="2982" customFormat="false" ht="15" hidden="false" customHeight="false" outlineLevel="0" collapsed="false">
      <c r="A2982" s="0" t="n">
        <v>2978</v>
      </c>
      <c r="B2982" s="0" t="n">
        <v>5</v>
      </c>
      <c r="C2982" s="19" t="n">
        <v>0</v>
      </c>
      <c r="D2982" s="19" t="n">
        <v>1</v>
      </c>
      <c r="E2982" s="20" t="n">
        <f aca="false">Parametres!$B$5*C2982</f>
        <v>0</v>
      </c>
      <c r="F2982" s="20" t="n">
        <f aca="false">Parametres!$B$6*D2982</f>
        <v>200</v>
      </c>
      <c r="G2982" s="20" t="n">
        <f aca="false">E2982+F2982</f>
        <v>200</v>
      </c>
      <c r="H2982" s="20" t="n">
        <f aca="false">IF(G2982&lt;Parametres!$B$8*Parametres!$B$7,0,MIN(G2982,Parametres!$B$7))</f>
        <v>200</v>
      </c>
      <c r="I2982" s="20" t="n">
        <f aca="false">G2982-H2982</f>
        <v>0</v>
      </c>
      <c r="J2982" s="21" t="n">
        <f aca="false">H2982*1000/Parametres!$B$9</f>
        <v>3391.55502798033</v>
      </c>
    </row>
    <row r="2983" customFormat="false" ht="15" hidden="false" customHeight="false" outlineLevel="0" collapsed="false">
      <c r="A2983" s="0" t="n">
        <v>2979</v>
      </c>
      <c r="B2983" s="0" t="n">
        <v>5</v>
      </c>
      <c r="C2983" s="19" t="n">
        <v>0</v>
      </c>
      <c r="D2983" s="19" t="n">
        <v>0.87</v>
      </c>
      <c r="E2983" s="20" t="n">
        <f aca="false">Parametres!$B$5*C2983</f>
        <v>0</v>
      </c>
      <c r="F2983" s="20" t="n">
        <f aca="false">Parametres!$B$6*D2983</f>
        <v>174</v>
      </c>
      <c r="G2983" s="20" t="n">
        <f aca="false">E2983+F2983</f>
        <v>174</v>
      </c>
      <c r="H2983" s="20" t="n">
        <f aca="false">IF(G2983&lt;Parametres!$B$8*Parametres!$B$7,0,MIN(G2983,Parametres!$B$7))</f>
        <v>174</v>
      </c>
      <c r="I2983" s="20" t="n">
        <f aca="false">G2983-H2983</f>
        <v>0</v>
      </c>
      <c r="J2983" s="21" t="n">
        <f aca="false">H2983*1000/Parametres!$B$9</f>
        <v>2950.65287434289</v>
      </c>
    </row>
    <row r="2984" customFormat="false" ht="15" hidden="false" customHeight="false" outlineLevel="0" collapsed="false">
      <c r="A2984" s="0" t="n">
        <v>2980</v>
      </c>
      <c r="B2984" s="0" t="n">
        <v>5</v>
      </c>
      <c r="C2984" s="19" t="n">
        <v>0</v>
      </c>
      <c r="D2984" s="19" t="n">
        <v>0.7714</v>
      </c>
      <c r="E2984" s="20" t="n">
        <f aca="false">Parametres!$B$5*C2984</f>
        <v>0</v>
      </c>
      <c r="F2984" s="20" t="n">
        <f aca="false">Parametres!$B$6*D2984</f>
        <v>154.28</v>
      </c>
      <c r="G2984" s="20" t="n">
        <f aca="false">E2984+F2984</f>
        <v>154.28</v>
      </c>
      <c r="H2984" s="20" t="n">
        <f aca="false">IF(G2984&lt;Parametres!$B$8*Parametres!$B$7,0,MIN(G2984,Parametres!$B$7))</f>
        <v>154.28</v>
      </c>
      <c r="I2984" s="20" t="n">
        <f aca="false">G2984-H2984</f>
        <v>0</v>
      </c>
      <c r="J2984" s="21" t="n">
        <f aca="false">H2984*1000/Parametres!$B$9</f>
        <v>2616.24554858403</v>
      </c>
    </row>
    <row r="2985" customFormat="false" ht="15" hidden="false" customHeight="false" outlineLevel="0" collapsed="false">
      <c r="A2985" s="0" t="n">
        <v>2981</v>
      </c>
      <c r="B2985" s="0" t="n">
        <v>5</v>
      </c>
      <c r="C2985" s="19" t="n">
        <v>0</v>
      </c>
      <c r="D2985" s="19" t="n">
        <v>1</v>
      </c>
      <c r="E2985" s="20" t="n">
        <f aca="false">Parametres!$B$5*C2985</f>
        <v>0</v>
      </c>
      <c r="F2985" s="20" t="n">
        <f aca="false">Parametres!$B$6*D2985</f>
        <v>200</v>
      </c>
      <c r="G2985" s="20" t="n">
        <f aca="false">E2985+F2985</f>
        <v>200</v>
      </c>
      <c r="H2985" s="20" t="n">
        <f aca="false">IF(G2985&lt;Parametres!$B$8*Parametres!$B$7,0,MIN(G2985,Parametres!$B$7))</f>
        <v>200</v>
      </c>
      <c r="I2985" s="20" t="n">
        <f aca="false">G2985-H2985</f>
        <v>0</v>
      </c>
      <c r="J2985" s="21" t="n">
        <f aca="false">H2985*1000/Parametres!$B$9</f>
        <v>3391.55502798033</v>
      </c>
    </row>
    <row r="2986" customFormat="false" ht="15" hidden="false" customHeight="false" outlineLevel="0" collapsed="false">
      <c r="A2986" s="0" t="n">
        <v>2982</v>
      </c>
      <c r="B2986" s="0" t="n">
        <v>5</v>
      </c>
      <c r="C2986" s="19" t="n">
        <v>0.0132</v>
      </c>
      <c r="D2986" s="19" t="n">
        <v>1</v>
      </c>
      <c r="E2986" s="20" t="n">
        <f aca="false">Parametres!$B$5*C2986</f>
        <v>3.96</v>
      </c>
      <c r="F2986" s="20" t="n">
        <f aca="false">Parametres!$B$6*D2986</f>
        <v>200</v>
      </c>
      <c r="G2986" s="20" t="n">
        <f aca="false">E2986+F2986</f>
        <v>203.96</v>
      </c>
      <c r="H2986" s="20" t="n">
        <f aca="false">IF(G2986&lt;Parametres!$B$8*Parametres!$B$7,0,MIN(G2986,Parametres!$B$7))</f>
        <v>203.96</v>
      </c>
      <c r="I2986" s="20" t="n">
        <f aca="false">G2986-H2986</f>
        <v>0</v>
      </c>
      <c r="J2986" s="21" t="n">
        <f aca="false">H2986*1000/Parametres!$B$9</f>
        <v>3458.70781753434</v>
      </c>
    </row>
    <row r="2987" customFormat="false" ht="15" hidden="false" customHeight="false" outlineLevel="0" collapsed="false">
      <c r="A2987" s="0" t="n">
        <v>2983</v>
      </c>
      <c r="B2987" s="0" t="n">
        <v>5</v>
      </c>
      <c r="C2987" s="19" t="n">
        <v>0.2751</v>
      </c>
      <c r="D2987" s="19" t="n">
        <v>1</v>
      </c>
      <c r="E2987" s="20" t="n">
        <f aca="false">Parametres!$B$5*C2987</f>
        <v>82.53</v>
      </c>
      <c r="F2987" s="20" t="n">
        <f aca="false">Parametres!$B$6*D2987</f>
        <v>200</v>
      </c>
      <c r="G2987" s="20" t="n">
        <f aca="false">E2987+F2987</f>
        <v>282.53</v>
      </c>
      <c r="H2987" s="20" t="n">
        <f aca="false">IF(G2987&lt;Parametres!$B$8*Parametres!$B$7,0,MIN(G2987,Parametres!$B$7))</f>
        <v>250</v>
      </c>
      <c r="I2987" s="20" t="n">
        <f aca="false">G2987-H2987</f>
        <v>32.53</v>
      </c>
      <c r="J2987" s="21" t="n">
        <f aca="false">H2987*1000/Parametres!$B$9</f>
        <v>4239.44378497541</v>
      </c>
    </row>
    <row r="2988" customFormat="false" ht="15" hidden="false" customHeight="false" outlineLevel="0" collapsed="false">
      <c r="A2988" s="0" t="n">
        <v>2984</v>
      </c>
      <c r="B2988" s="0" t="n">
        <v>5</v>
      </c>
      <c r="C2988" s="19" t="n">
        <v>0.5882</v>
      </c>
      <c r="D2988" s="19" t="n">
        <v>1</v>
      </c>
      <c r="E2988" s="20" t="n">
        <f aca="false">Parametres!$B$5*C2988</f>
        <v>176.46</v>
      </c>
      <c r="F2988" s="20" t="n">
        <f aca="false">Parametres!$B$6*D2988</f>
        <v>200</v>
      </c>
      <c r="G2988" s="20" t="n">
        <f aca="false">E2988+F2988</f>
        <v>376.46</v>
      </c>
      <c r="H2988" s="20" t="n">
        <f aca="false">IF(G2988&lt;Parametres!$B$8*Parametres!$B$7,0,MIN(G2988,Parametres!$B$7))</f>
        <v>250</v>
      </c>
      <c r="I2988" s="20" t="n">
        <f aca="false">G2988-H2988</f>
        <v>126.46</v>
      </c>
      <c r="J2988" s="21" t="n">
        <f aca="false">H2988*1000/Parametres!$B$9</f>
        <v>4239.44378497541</v>
      </c>
    </row>
    <row r="2989" customFormat="false" ht="15" hidden="false" customHeight="false" outlineLevel="0" collapsed="false">
      <c r="A2989" s="0" t="n">
        <v>2985</v>
      </c>
      <c r="B2989" s="0" t="n">
        <v>5</v>
      </c>
      <c r="C2989" s="19" t="n">
        <v>0.8831</v>
      </c>
      <c r="D2989" s="19" t="n">
        <v>1</v>
      </c>
      <c r="E2989" s="20" t="n">
        <f aca="false">Parametres!$B$5*C2989</f>
        <v>264.93</v>
      </c>
      <c r="F2989" s="20" t="n">
        <f aca="false">Parametres!$B$6*D2989</f>
        <v>200</v>
      </c>
      <c r="G2989" s="20" t="n">
        <f aca="false">E2989+F2989</f>
        <v>464.93</v>
      </c>
      <c r="H2989" s="20" t="n">
        <f aca="false">IF(G2989&lt;Parametres!$B$8*Parametres!$B$7,0,MIN(G2989,Parametres!$B$7))</f>
        <v>250</v>
      </c>
      <c r="I2989" s="20" t="n">
        <f aca="false">G2989-H2989</f>
        <v>214.93</v>
      </c>
      <c r="J2989" s="21" t="n">
        <f aca="false">H2989*1000/Parametres!$B$9</f>
        <v>4239.44378497541</v>
      </c>
    </row>
    <row r="2990" customFormat="false" ht="15" hidden="false" customHeight="false" outlineLevel="0" collapsed="false">
      <c r="A2990" s="0" t="n">
        <v>2986</v>
      </c>
      <c r="B2990" s="0" t="n">
        <v>5</v>
      </c>
      <c r="C2990" s="19" t="n">
        <v>1</v>
      </c>
      <c r="D2990" s="19" t="n">
        <v>1</v>
      </c>
      <c r="E2990" s="20" t="n">
        <f aca="false">Parametres!$B$5*C2990</f>
        <v>300</v>
      </c>
      <c r="F2990" s="20" t="n">
        <f aca="false">Parametres!$B$6*D2990</f>
        <v>200</v>
      </c>
      <c r="G2990" s="20" t="n">
        <f aca="false">E2990+F2990</f>
        <v>500</v>
      </c>
      <c r="H2990" s="20" t="n">
        <f aca="false">IF(G2990&lt;Parametres!$B$8*Parametres!$B$7,0,MIN(G2990,Parametres!$B$7))</f>
        <v>250</v>
      </c>
      <c r="I2990" s="20" t="n">
        <f aca="false">G2990-H2990</f>
        <v>250</v>
      </c>
      <c r="J2990" s="21" t="n">
        <f aca="false">H2990*1000/Parametres!$B$9</f>
        <v>4239.44378497541</v>
      </c>
    </row>
    <row r="2991" customFormat="false" ht="15" hidden="false" customHeight="false" outlineLevel="0" collapsed="false">
      <c r="A2991" s="0" t="n">
        <v>2987</v>
      </c>
      <c r="B2991" s="0" t="n">
        <v>5</v>
      </c>
      <c r="C2991" s="19" t="n">
        <v>1</v>
      </c>
      <c r="D2991" s="19" t="n">
        <v>1</v>
      </c>
      <c r="E2991" s="20" t="n">
        <f aca="false">Parametres!$B$5*C2991</f>
        <v>300</v>
      </c>
      <c r="F2991" s="20" t="n">
        <f aca="false">Parametres!$B$6*D2991</f>
        <v>200</v>
      </c>
      <c r="G2991" s="20" t="n">
        <f aca="false">E2991+F2991</f>
        <v>500</v>
      </c>
      <c r="H2991" s="20" t="n">
        <f aca="false">IF(G2991&lt;Parametres!$B$8*Parametres!$B$7,0,MIN(G2991,Parametres!$B$7))</f>
        <v>250</v>
      </c>
      <c r="I2991" s="20" t="n">
        <f aca="false">G2991-H2991</f>
        <v>250</v>
      </c>
      <c r="J2991" s="21" t="n">
        <f aca="false">H2991*1000/Parametres!$B$9</f>
        <v>4239.44378497541</v>
      </c>
    </row>
    <row r="2992" customFormat="false" ht="15" hidden="false" customHeight="false" outlineLevel="0" collapsed="false">
      <c r="A2992" s="0" t="n">
        <v>2988</v>
      </c>
      <c r="B2992" s="0" t="n">
        <v>5</v>
      </c>
      <c r="C2992" s="19" t="n">
        <v>1</v>
      </c>
      <c r="D2992" s="19" t="n">
        <v>1</v>
      </c>
      <c r="E2992" s="20" t="n">
        <f aca="false">Parametres!$B$5*C2992</f>
        <v>300</v>
      </c>
      <c r="F2992" s="20" t="n">
        <f aca="false">Parametres!$B$6*D2992</f>
        <v>200</v>
      </c>
      <c r="G2992" s="20" t="n">
        <f aca="false">E2992+F2992</f>
        <v>500</v>
      </c>
      <c r="H2992" s="20" t="n">
        <f aca="false">IF(G2992&lt;Parametres!$B$8*Parametres!$B$7,0,MIN(G2992,Parametres!$B$7))</f>
        <v>250</v>
      </c>
      <c r="I2992" s="20" t="n">
        <f aca="false">G2992-H2992</f>
        <v>250</v>
      </c>
      <c r="J2992" s="21" t="n">
        <f aca="false">H2992*1000/Parametres!$B$9</f>
        <v>4239.44378497541</v>
      </c>
    </row>
    <row r="2993" customFormat="false" ht="15" hidden="false" customHeight="false" outlineLevel="0" collapsed="false">
      <c r="A2993" s="0" t="n">
        <v>2989</v>
      </c>
      <c r="B2993" s="0" t="n">
        <v>5</v>
      </c>
      <c r="C2993" s="19" t="n">
        <v>1</v>
      </c>
      <c r="D2993" s="19" t="n">
        <v>1</v>
      </c>
      <c r="E2993" s="20" t="n">
        <f aca="false">Parametres!$B$5*C2993</f>
        <v>300</v>
      </c>
      <c r="F2993" s="20" t="n">
        <f aca="false">Parametres!$B$6*D2993</f>
        <v>200</v>
      </c>
      <c r="G2993" s="20" t="n">
        <f aca="false">E2993+F2993</f>
        <v>500</v>
      </c>
      <c r="H2993" s="20" t="n">
        <f aca="false">IF(G2993&lt;Parametres!$B$8*Parametres!$B$7,0,MIN(G2993,Parametres!$B$7))</f>
        <v>250</v>
      </c>
      <c r="I2993" s="20" t="n">
        <f aca="false">G2993-H2993</f>
        <v>250</v>
      </c>
      <c r="J2993" s="21" t="n">
        <f aca="false">H2993*1000/Parametres!$B$9</f>
        <v>4239.44378497541</v>
      </c>
    </row>
    <row r="2994" customFormat="false" ht="15" hidden="false" customHeight="false" outlineLevel="0" collapsed="false">
      <c r="A2994" s="0" t="n">
        <v>2990</v>
      </c>
      <c r="B2994" s="0" t="n">
        <v>5</v>
      </c>
      <c r="C2994" s="19" t="n">
        <v>1</v>
      </c>
      <c r="D2994" s="19" t="n">
        <v>1</v>
      </c>
      <c r="E2994" s="20" t="n">
        <f aca="false">Parametres!$B$5*C2994</f>
        <v>300</v>
      </c>
      <c r="F2994" s="20" t="n">
        <f aca="false">Parametres!$B$6*D2994</f>
        <v>200</v>
      </c>
      <c r="G2994" s="20" t="n">
        <f aca="false">E2994+F2994</f>
        <v>500</v>
      </c>
      <c r="H2994" s="20" t="n">
        <f aca="false">IF(G2994&lt;Parametres!$B$8*Parametres!$B$7,0,MIN(G2994,Parametres!$B$7))</f>
        <v>250</v>
      </c>
      <c r="I2994" s="20" t="n">
        <f aca="false">G2994-H2994</f>
        <v>250</v>
      </c>
      <c r="J2994" s="21" t="n">
        <f aca="false">H2994*1000/Parametres!$B$9</f>
        <v>4239.44378497541</v>
      </c>
    </row>
    <row r="2995" customFormat="false" ht="15" hidden="false" customHeight="false" outlineLevel="0" collapsed="false">
      <c r="A2995" s="0" t="n">
        <v>2991</v>
      </c>
      <c r="B2995" s="0" t="n">
        <v>5</v>
      </c>
      <c r="C2995" s="19" t="n">
        <v>1</v>
      </c>
      <c r="D2995" s="19" t="n">
        <v>1</v>
      </c>
      <c r="E2995" s="20" t="n">
        <f aca="false">Parametres!$B$5*C2995</f>
        <v>300</v>
      </c>
      <c r="F2995" s="20" t="n">
        <f aca="false">Parametres!$B$6*D2995</f>
        <v>200</v>
      </c>
      <c r="G2995" s="20" t="n">
        <f aca="false">E2995+F2995</f>
        <v>500</v>
      </c>
      <c r="H2995" s="20" t="n">
        <f aca="false">IF(G2995&lt;Parametres!$B$8*Parametres!$B$7,0,MIN(G2995,Parametres!$B$7))</f>
        <v>250</v>
      </c>
      <c r="I2995" s="20" t="n">
        <f aca="false">G2995-H2995</f>
        <v>250</v>
      </c>
      <c r="J2995" s="21" t="n">
        <f aca="false">H2995*1000/Parametres!$B$9</f>
        <v>4239.44378497541</v>
      </c>
    </row>
    <row r="2996" customFormat="false" ht="15" hidden="false" customHeight="false" outlineLevel="0" collapsed="false">
      <c r="A2996" s="0" t="n">
        <v>2992</v>
      </c>
      <c r="B2996" s="0" t="n">
        <v>5</v>
      </c>
      <c r="C2996" s="19" t="n">
        <v>0.9278</v>
      </c>
      <c r="D2996" s="19" t="n">
        <v>1</v>
      </c>
      <c r="E2996" s="20" t="n">
        <f aca="false">Parametres!$B$5*C2996</f>
        <v>278.34</v>
      </c>
      <c r="F2996" s="20" t="n">
        <f aca="false">Parametres!$B$6*D2996</f>
        <v>200</v>
      </c>
      <c r="G2996" s="20" t="n">
        <f aca="false">E2996+F2996</f>
        <v>478.34</v>
      </c>
      <c r="H2996" s="20" t="n">
        <f aca="false">IF(G2996&lt;Parametres!$B$8*Parametres!$B$7,0,MIN(G2996,Parametres!$B$7))</f>
        <v>250</v>
      </c>
      <c r="I2996" s="20" t="n">
        <f aca="false">G2996-H2996</f>
        <v>228.34</v>
      </c>
      <c r="J2996" s="21" t="n">
        <f aca="false">H2996*1000/Parametres!$B$9</f>
        <v>4239.44378497541</v>
      </c>
    </row>
    <row r="2997" customFormat="false" ht="15" hidden="false" customHeight="false" outlineLevel="0" collapsed="false">
      <c r="A2997" s="0" t="n">
        <v>2993</v>
      </c>
      <c r="B2997" s="0" t="n">
        <v>5</v>
      </c>
      <c r="C2997" s="19" t="n">
        <v>0.6242</v>
      </c>
      <c r="D2997" s="19" t="n">
        <v>1</v>
      </c>
      <c r="E2997" s="20" t="n">
        <f aca="false">Parametres!$B$5*C2997</f>
        <v>187.26</v>
      </c>
      <c r="F2997" s="20" t="n">
        <f aca="false">Parametres!$B$6*D2997</f>
        <v>200</v>
      </c>
      <c r="G2997" s="20" t="n">
        <f aca="false">E2997+F2997</f>
        <v>387.26</v>
      </c>
      <c r="H2997" s="20" t="n">
        <f aca="false">IF(G2997&lt;Parametres!$B$8*Parametres!$B$7,0,MIN(G2997,Parametres!$B$7))</f>
        <v>250</v>
      </c>
      <c r="I2997" s="20" t="n">
        <f aca="false">G2997-H2997</f>
        <v>137.26</v>
      </c>
      <c r="J2997" s="21" t="n">
        <f aca="false">H2997*1000/Parametres!$B$9</f>
        <v>4239.44378497541</v>
      </c>
    </row>
    <row r="2998" customFormat="false" ht="15" hidden="false" customHeight="false" outlineLevel="0" collapsed="false">
      <c r="A2998" s="0" t="n">
        <v>2994</v>
      </c>
      <c r="B2998" s="0" t="n">
        <v>5</v>
      </c>
      <c r="C2998" s="19" t="n">
        <v>0.2988</v>
      </c>
      <c r="D2998" s="19" t="n">
        <v>1</v>
      </c>
      <c r="E2998" s="20" t="n">
        <f aca="false">Parametres!$B$5*C2998</f>
        <v>89.64</v>
      </c>
      <c r="F2998" s="20" t="n">
        <f aca="false">Parametres!$B$6*D2998</f>
        <v>200</v>
      </c>
      <c r="G2998" s="20" t="n">
        <f aca="false">E2998+F2998</f>
        <v>289.64</v>
      </c>
      <c r="H2998" s="20" t="n">
        <f aca="false">IF(G2998&lt;Parametres!$B$8*Parametres!$B$7,0,MIN(G2998,Parametres!$B$7))</f>
        <v>250</v>
      </c>
      <c r="I2998" s="20" t="n">
        <f aca="false">G2998-H2998</f>
        <v>39.64</v>
      </c>
      <c r="J2998" s="21" t="n">
        <f aca="false">H2998*1000/Parametres!$B$9</f>
        <v>4239.44378497541</v>
      </c>
    </row>
    <row r="2999" customFormat="false" ht="15" hidden="false" customHeight="false" outlineLevel="0" collapsed="false">
      <c r="A2999" s="0" t="n">
        <v>2995</v>
      </c>
      <c r="B2999" s="0" t="n">
        <v>5</v>
      </c>
      <c r="C2999" s="19" t="n">
        <v>0.0132</v>
      </c>
      <c r="D2999" s="19" t="n">
        <v>1</v>
      </c>
      <c r="E2999" s="20" t="n">
        <f aca="false">Parametres!$B$5*C2999</f>
        <v>3.96</v>
      </c>
      <c r="F2999" s="20" t="n">
        <f aca="false">Parametres!$B$6*D2999</f>
        <v>200</v>
      </c>
      <c r="G2999" s="20" t="n">
        <f aca="false">E2999+F2999</f>
        <v>203.96</v>
      </c>
      <c r="H2999" s="20" t="n">
        <f aca="false">IF(G2999&lt;Parametres!$B$8*Parametres!$B$7,0,MIN(G2999,Parametres!$B$7))</f>
        <v>203.96</v>
      </c>
      <c r="I2999" s="20" t="n">
        <f aca="false">G2999-H2999</f>
        <v>0</v>
      </c>
      <c r="J2999" s="21" t="n">
        <f aca="false">H2999*1000/Parametres!$B$9</f>
        <v>3458.70781753434</v>
      </c>
    </row>
    <row r="3000" customFormat="false" ht="15" hidden="false" customHeight="false" outlineLevel="0" collapsed="false">
      <c r="A3000" s="0" t="n">
        <v>2996</v>
      </c>
      <c r="B3000" s="0" t="n">
        <v>5</v>
      </c>
      <c r="C3000" s="19" t="n">
        <v>0</v>
      </c>
      <c r="D3000" s="19" t="n">
        <v>1</v>
      </c>
      <c r="E3000" s="20" t="n">
        <f aca="false">Parametres!$B$5*C3000</f>
        <v>0</v>
      </c>
      <c r="F3000" s="20" t="n">
        <f aca="false">Parametres!$B$6*D3000</f>
        <v>200</v>
      </c>
      <c r="G3000" s="20" t="n">
        <f aca="false">E3000+F3000</f>
        <v>200</v>
      </c>
      <c r="H3000" s="20" t="n">
        <f aca="false">IF(G3000&lt;Parametres!$B$8*Parametres!$B$7,0,MIN(G3000,Parametres!$B$7))</f>
        <v>200</v>
      </c>
      <c r="I3000" s="20" t="n">
        <f aca="false">G3000-H3000</f>
        <v>0</v>
      </c>
      <c r="J3000" s="21" t="n">
        <f aca="false">H3000*1000/Parametres!$B$9</f>
        <v>3391.55502798033</v>
      </c>
    </row>
    <row r="3001" customFormat="false" ht="15" hidden="false" customHeight="false" outlineLevel="0" collapsed="false">
      <c r="A3001" s="0" t="n">
        <v>2997</v>
      </c>
      <c r="B3001" s="0" t="n">
        <v>5</v>
      </c>
      <c r="C3001" s="19" t="n">
        <v>0</v>
      </c>
      <c r="D3001" s="19" t="n">
        <v>1</v>
      </c>
      <c r="E3001" s="20" t="n">
        <f aca="false">Parametres!$B$5*C3001</f>
        <v>0</v>
      </c>
      <c r="F3001" s="20" t="n">
        <f aca="false">Parametres!$B$6*D3001</f>
        <v>200</v>
      </c>
      <c r="G3001" s="20" t="n">
        <f aca="false">E3001+F3001</f>
        <v>200</v>
      </c>
      <c r="H3001" s="20" t="n">
        <f aca="false">IF(G3001&lt;Parametres!$B$8*Parametres!$B$7,0,MIN(G3001,Parametres!$B$7))</f>
        <v>200</v>
      </c>
      <c r="I3001" s="20" t="n">
        <f aca="false">G3001-H3001</f>
        <v>0</v>
      </c>
      <c r="J3001" s="21" t="n">
        <f aca="false">H3001*1000/Parametres!$B$9</f>
        <v>3391.55502798033</v>
      </c>
    </row>
    <row r="3002" customFormat="false" ht="15" hidden="false" customHeight="false" outlineLevel="0" collapsed="false">
      <c r="A3002" s="0" t="n">
        <v>2998</v>
      </c>
      <c r="B3002" s="0" t="n">
        <v>5</v>
      </c>
      <c r="C3002" s="19" t="n">
        <v>0</v>
      </c>
      <c r="D3002" s="19" t="n">
        <v>1</v>
      </c>
      <c r="E3002" s="20" t="n">
        <f aca="false">Parametres!$B$5*C3002</f>
        <v>0</v>
      </c>
      <c r="F3002" s="20" t="n">
        <f aca="false">Parametres!$B$6*D3002</f>
        <v>200</v>
      </c>
      <c r="G3002" s="20" t="n">
        <f aca="false">E3002+F3002</f>
        <v>200</v>
      </c>
      <c r="H3002" s="20" t="n">
        <f aca="false">IF(G3002&lt;Parametres!$B$8*Parametres!$B$7,0,MIN(G3002,Parametres!$B$7))</f>
        <v>200</v>
      </c>
      <c r="I3002" s="20" t="n">
        <f aca="false">G3002-H3002</f>
        <v>0</v>
      </c>
      <c r="J3002" s="21" t="n">
        <f aca="false">H3002*1000/Parametres!$B$9</f>
        <v>3391.55502798033</v>
      </c>
    </row>
    <row r="3003" customFormat="false" ht="15" hidden="false" customHeight="false" outlineLevel="0" collapsed="false">
      <c r="A3003" s="0" t="n">
        <v>2999</v>
      </c>
      <c r="B3003" s="0" t="n">
        <v>5</v>
      </c>
      <c r="C3003" s="19" t="n">
        <v>0</v>
      </c>
      <c r="D3003" s="19" t="n">
        <v>1</v>
      </c>
      <c r="E3003" s="20" t="n">
        <f aca="false">Parametres!$B$5*C3003</f>
        <v>0</v>
      </c>
      <c r="F3003" s="20" t="n">
        <f aca="false">Parametres!$B$6*D3003</f>
        <v>200</v>
      </c>
      <c r="G3003" s="20" t="n">
        <f aca="false">E3003+F3003</f>
        <v>200</v>
      </c>
      <c r="H3003" s="20" t="n">
        <f aca="false">IF(G3003&lt;Parametres!$B$8*Parametres!$B$7,0,MIN(G3003,Parametres!$B$7))</f>
        <v>200</v>
      </c>
      <c r="I3003" s="20" t="n">
        <f aca="false">G3003-H3003</f>
        <v>0</v>
      </c>
      <c r="J3003" s="21" t="n">
        <f aca="false">H3003*1000/Parametres!$B$9</f>
        <v>3391.55502798033</v>
      </c>
    </row>
    <row r="3004" customFormat="false" ht="15" hidden="false" customHeight="false" outlineLevel="0" collapsed="false">
      <c r="A3004" s="0" t="n">
        <v>3000</v>
      </c>
      <c r="B3004" s="0" t="n">
        <v>5</v>
      </c>
      <c r="C3004" s="19" t="n">
        <v>0</v>
      </c>
      <c r="D3004" s="19" t="n">
        <v>1</v>
      </c>
      <c r="E3004" s="20" t="n">
        <f aca="false">Parametres!$B$5*C3004</f>
        <v>0</v>
      </c>
      <c r="F3004" s="20" t="n">
        <f aca="false">Parametres!$B$6*D3004</f>
        <v>200</v>
      </c>
      <c r="G3004" s="20" t="n">
        <f aca="false">E3004+F3004</f>
        <v>200</v>
      </c>
      <c r="H3004" s="20" t="n">
        <f aca="false">IF(G3004&lt;Parametres!$B$8*Parametres!$B$7,0,MIN(G3004,Parametres!$B$7))</f>
        <v>200</v>
      </c>
      <c r="I3004" s="20" t="n">
        <f aca="false">G3004-H3004</f>
        <v>0</v>
      </c>
      <c r="J3004" s="21" t="n">
        <f aca="false">H3004*1000/Parametres!$B$9</f>
        <v>3391.55502798033</v>
      </c>
    </row>
    <row r="3005" customFormat="false" ht="15" hidden="false" customHeight="false" outlineLevel="0" collapsed="false">
      <c r="A3005" s="0" t="n">
        <v>3001</v>
      </c>
      <c r="B3005" s="0" t="n">
        <v>5</v>
      </c>
      <c r="C3005" s="19" t="n">
        <v>0</v>
      </c>
      <c r="D3005" s="19" t="n">
        <v>1</v>
      </c>
      <c r="E3005" s="20" t="n">
        <f aca="false">Parametres!$B$5*C3005</f>
        <v>0</v>
      </c>
      <c r="F3005" s="20" t="n">
        <f aca="false">Parametres!$B$6*D3005</f>
        <v>200</v>
      </c>
      <c r="G3005" s="20" t="n">
        <f aca="false">E3005+F3005</f>
        <v>200</v>
      </c>
      <c r="H3005" s="20" t="n">
        <f aca="false">IF(G3005&lt;Parametres!$B$8*Parametres!$B$7,0,MIN(G3005,Parametres!$B$7))</f>
        <v>200</v>
      </c>
      <c r="I3005" s="20" t="n">
        <f aca="false">G3005-H3005</f>
        <v>0</v>
      </c>
      <c r="J3005" s="21" t="n">
        <f aca="false">H3005*1000/Parametres!$B$9</f>
        <v>3391.55502798033</v>
      </c>
    </row>
    <row r="3006" customFormat="false" ht="15" hidden="false" customHeight="false" outlineLevel="0" collapsed="false">
      <c r="A3006" s="0" t="n">
        <v>3002</v>
      </c>
      <c r="B3006" s="0" t="n">
        <v>5</v>
      </c>
      <c r="C3006" s="19" t="n">
        <v>0</v>
      </c>
      <c r="D3006" s="19" t="n">
        <v>0.9321</v>
      </c>
      <c r="E3006" s="20" t="n">
        <f aca="false">Parametres!$B$5*C3006</f>
        <v>0</v>
      </c>
      <c r="F3006" s="20" t="n">
        <f aca="false">Parametres!$B$6*D3006</f>
        <v>186.42</v>
      </c>
      <c r="G3006" s="20" t="n">
        <f aca="false">E3006+F3006</f>
        <v>186.42</v>
      </c>
      <c r="H3006" s="20" t="n">
        <f aca="false">IF(G3006&lt;Parametres!$B$8*Parametres!$B$7,0,MIN(G3006,Parametres!$B$7))</f>
        <v>186.42</v>
      </c>
      <c r="I3006" s="20" t="n">
        <f aca="false">G3006-H3006</f>
        <v>0</v>
      </c>
      <c r="J3006" s="21" t="n">
        <f aca="false">H3006*1000/Parametres!$B$9</f>
        <v>3161.26844158047</v>
      </c>
    </row>
    <row r="3007" customFormat="false" ht="15" hidden="false" customHeight="false" outlineLevel="0" collapsed="false">
      <c r="A3007" s="0" t="n">
        <v>3003</v>
      </c>
      <c r="B3007" s="0" t="n">
        <v>5</v>
      </c>
      <c r="C3007" s="19" t="n">
        <v>0</v>
      </c>
      <c r="D3007" s="19" t="n">
        <v>0.791</v>
      </c>
      <c r="E3007" s="20" t="n">
        <f aca="false">Parametres!$B$5*C3007</f>
        <v>0</v>
      </c>
      <c r="F3007" s="20" t="n">
        <f aca="false">Parametres!$B$6*D3007</f>
        <v>158.2</v>
      </c>
      <c r="G3007" s="20" t="n">
        <f aca="false">E3007+F3007</f>
        <v>158.2</v>
      </c>
      <c r="H3007" s="20" t="n">
        <f aca="false">IF(G3007&lt;Parametres!$B$8*Parametres!$B$7,0,MIN(G3007,Parametres!$B$7))</f>
        <v>158.2</v>
      </c>
      <c r="I3007" s="20" t="n">
        <f aca="false">G3007-H3007</f>
        <v>0</v>
      </c>
      <c r="J3007" s="21" t="n">
        <f aca="false">H3007*1000/Parametres!$B$9</f>
        <v>2682.72002713244</v>
      </c>
    </row>
    <row r="3008" customFormat="false" ht="15" hidden="false" customHeight="false" outlineLevel="0" collapsed="false">
      <c r="A3008" s="0" t="n">
        <v>3004</v>
      </c>
      <c r="B3008" s="0" t="n">
        <v>5</v>
      </c>
      <c r="C3008" s="19" t="n">
        <v>0</v>
      </c>
      <c r="D3008" s="19" t="n">
        <v>0.6734</v>
      </c>
      <c r="E3008" s="20" t="n">
        <f aca="false">Parametres!$B$5*C3008</f>
        <v>0</v>
      </c>
      <c r="F3008" s="20" t="n">
        <f aca="false">Parametres!$B$6*D3008</f>
        <v>134.68</v>
      </c>
      <c r="G3008" s="20" t="n">
        <f aca="false">E3008+F3008</f>
        <v>134.68</v>
      </c>
      <c r="H3008" s="20" t="n">
        <f aca="false">IF(G3008&lt;Parametres!$B$8*Parametres!$B$7,0,MIN(G3008,Parametres!$B$7))</f>
        <v>134.68</v>
      </c>
      <c r="I3008" s="20" t="n">
        <f aca="false">G3008-H3008</f>
        <v>0</v>
      </c>
      <c r="J3008" s="21" t="n">
        <f aca="false">H3008*1000/Parametres!$B$9</f>
        <v>2283.87315584195</v>
      </c>
    </row>
    <row r="3009" customFormat="false" ht="15" hidden="false" customHeight="false" outlineLevel="0" collapsed="false">
      <c r="A3009" s="0" t="n">
        <v>3005</v>
      </c>
      <c r="B3009" s="0" t="n">
        <v>5</v>
      </c>
      <c r="C3009" s="19" t="n">
        <v>0</v>
      </c>
      <c r="D3009" s="19" t="n">
        <v>0.4449</v>
      </c>
      <c r="E3009" s="20" t="n">
        <f aca="false">Parametres!$B$5*C3009</f>
        <v>0</v>
      </c>
      <c r="F3009" s="20" t="n">
        <f aca="false">Parametres!$B$6*D3009</f>
        <v>88.98</v>
      </c>
      <c r="G3009" s="20" t="n">
        <f aca="false">E3009+F3009</f>
        <v>88.98</v>
      </c>
      <c r="H3009" s="20" t="n">
        <f aca="false">IF(G3009&lt;Parametres!$B$8*Parametres!$B$7,0,MIN(G3009,Parametres!$B$7))</f>
        <v>88.98</v>
      </c>
      <c r="I3009" s="20" t="n">
        <f aca="false">G3009-H3009</f>
        <v>0</v>
      </c>
      <c r="J3009" s="21" t="n">
        <f aca="false">H3009*1000/Parametres!$B$9</f>
        <v>1508.90283194845</v>
      </c>
    </row>
    <row r="3010" customFormat="false" ht="15" hidden="false" customHeight="false" outlineLevel="0" collapsed="false">
      <c r="A3010" s="0" t="n">
        <v>3006</v>
      </c>
      <c r="B3010" s="0" t="n">
        <v>5</v>
      </c>
      <c r="C3010" s="19" t="n">
        <v>0.0121</v>
      </c>
      <c r="D3010" s="19" t="n">
        <v>0.4395</v>
      </c>
      <c r="E3010" s="20" t="n">
        <f aca="false">Parametres!$B$5*C3010</f>
        <v>3.63</v>
      </c>
      <c r="F3010" s="20" t="n">
        <f aca="false">Parametres!$B$6*D3010</f>
        <v>87.9</v>
      </c>
      <c r="G3010" s="20" t="n">
        <f aca="false">E3010+F3010</f>
        <v>91.53</v>
      </c>
      <c r="H3010" s="20" t="n">
        <f aca="false">IF(G3010&lt;Parametres!$B$8*Parametres!$B$7,0,MIN(G3010,Parametres!$B$7))</f>
        <v>91.53</v>
      </c>
      <c r="I3010" s="20" t="n">
        <f aca="false">G3010-H3010</f>
        <v>0</v>
      </c>
      <c r="J3010" s="21" t="n">
        <f aca="false">H3010*1000/Parametres!$B$9</f>
        <v>1552.1451585552</v>
      </c>
    </row>
    <row r="3011" customFormat="false" ht="15" hidden="false" customHeight="false" outlineLevel="0" collapsed="false">
      <c r="A3011" s="0" t="n">
        <v>3007</v>
      </c>
      <c r="B3011" s="0" t="n">
        <v>5</v>
      </c>
      <c r="C3011" s="19" t="n">
        <v>0.2137</v>
      </c>
      <c r="D3011" s="19" t="n">
        <v>0.3473</v>
      </c>
      <c r="E3011" s="20" t="n">
        <f aca="false">Parametres!$B$5*C3011</f>
        <v>64.11</v>
      </c>
      <c r="F3011" s="20" t="n">
        <f aca="false">Parametres!$B$6*D3011</f>
        <v>69.46</v>
      </c>
      <c r="G3011" s="20" t="n">
        <f aca="false">E3011+F3011</f>
        <v>133.57</v>
      </c>
      <c r="H3011" s="20" t="n">
        <f aca="false">IF(G3011&lt;Parametres!$B$8*Parametres!$B$7,0,MIN(G3011,Parametres!$B$7))</f>
        <v>133.57</v>
      </c>
      <c r="I3011" s="20" t="n">
        <f aca="false">G3011-H3011</f>
        <v>0</v>
      </c>
      <c r="J3011" s="21" t="n">
        <f aca="false">H3011*1000/Parametres!$B$9</f>
        <v>2265.05002543666</v>
      </c>
    </row>
    <row r="3012" customFormat="false" ht="15" hidden="false" customHeight="false" outlineLevel="0" collapsed="false">
      <c r="A3012" s="0" t="n">
        <v>3008</v>
      </c>
      <c r="B3012" s="0" t="n">
        <v>5</v>
      </c>
      <c r="C3012" s="19" t="n">
        <v>0.4035</v>
      </c>
      <c r="D3012" s="19" t="n">
        <v>0.3651</v>
      </c>
      <c r="E3012" s="20" t="n">
        <f aca="false">Parametres!$B$5*C3012</f>
        <v>121.05</v>
      </c>
      <c r="F3012" s="20" t="n">
        <f aca="false">Parametres!$B$6*D3012</f>
        <v>73.02</v>
      </c>
      <c r="G3012" s="20" t="n">
        <f aca="false">E3012+F3012</f>
        <v>194.07</v>
      </c>
      <c r="H3012" s="20" t="n">
        <f aca="false">IF(G3012&lt;Parametres!$B$8*Parametres!$B$7,0,MIN(G3012,Parametres!$B$7))</f>
        <v>194.07</v>
      </c>
      <c r="I3012" s="20" t="n">
        <f aca="false">G3012-H3012</f>
        <v>0</v>
      </c>
      <c r="J3012" s="21" t="n">
        <f aca="false">H3012*1000/Parametres!$B$9</f>
        <v>3290.99542140071</v>
      </c>
    </row>
    <row r="3013" customFormat="false" ht="15" hidden="false" customHeight="false" outlineLevel="0" collapsed="false">
      <c r="A3013" s="0" t="n">
        <v>3009</v>
      </c>
      <c r="B3013" s="0" t="n">
        <v>5</v>
      </c>
      <c r="C3013" s="19" t="n">
        <v>0.6668</v>
      </c>
      <c r="D3013" s="19" t="n">
        <v>0.2955</v>
      </c>
      <c r="E3013" s="20" t="n">
        <f aca="false">Parametres!$B$5*C3013</f>
        <v>200.04</v>
      </c>
      <c r="F3013" s="20" t="n">
        <f aca="false">Parametres!$B$6*D3013</f>
        <v>59.1</v>
      </c>
      <c r="G3013" s="20" t="n">
        <f aca="false">E3013+F3013</f>
        <v>259.14</v>
      </c>
      <c r="H3013" s="20" t="n">
        <f aca="false">IF(G3013&lt;Parametres!$B$8*Parametres!$B$7,0,MIN(G3013,Parametres!$B$7))</f>
        <v>250</v>
      </c>
      <c r="I3013" s="20" t="n">
        <f aca="false">G3013-H3013</f>
        <v>9.13999999999999</v>
      </c>
      <c r="J3013" s="21" t="n">
        <f aca="false">H3013*1000/Parametres!$B$9</f>
        <v>4239.44378497541</v>
      </c>
    </row>
    <row r="3014" customFormat="false" ht="15" hidden="false" customHeight="false" outlineLevel="0" collapsed="false">
      <c r="A3014" s="0" t="n">
        <v>3010</v>
      </c>
      <c r="B3014" s="0" t="n">
        <v>5</v>
      </c>
      <c r="C3014" s="19" t="n">
        <v>0.8809</v>
      </c>
      <c r="D3014" s="19" t="n">
        <v>0.4879</v>
      </c>
      <c r="E3014" s="20" t="n">
        <f aca="false">Parametres!$B$5*C3014</f>
        <v>264.27</v>
      </c>
      <c r="F3014" s="20" t="n">
        <f aca="false">Parametres!$B$6*D3014</f>
        <v>97.58</v>
      </c>
      <c r="G3014" s="20" t="n">
        <f aca="false">E3014+F3014</f>
        <v>361.85</v>
      </c>
      <c r="H3014" s="20" t="n">
        <f aca="false">IF(G3014&lt;Parametres!$B$8*Parametres!$B$7,0,MIN(G3014,Parametres!$B$7))</f>
        <v>250</v>
      </c>
      <c r="I3014" s="20" t="n">
        <f aca="false">G3014-H3014</f>
        <v>111.85</v>
      </c>
      <c r="J3014" s="21" t="n">
        <f aca="false">H3014*1000/Parametres!$B$9</f>
        <v>4239.44378497541</v>
      </c>
    </row>
    <row r="3015" customFormat="false" ht="15" hidden="false" customHeight="false" outlineLevel="0" collapsed="false">
      <c r="A3015" s="0" t="n">
        <v>3011</v>
      </c>
      <c r="B3015" s="0" t="n">
        <v>5</v>
      </c>
      <c r="C3015" s="19" t="n">
        <v>1</v>
      </c>
      <c r="D3015" s="19" t="n">
        <v>1</v>
      </c>
      <c r="E3015" s="20" t="n">
        <f aca="false">Parametres!$B$5*C3015</f>
        <v>300</v>
      </c>
      <c r="F3015" s="20" t="n">
        <f aca="false">Parametres!$B$6*D3015</f>
        <v>200</v>
      </c>
      <c r="G3015" s="20" t="n">
        <f aca="false">E3015+F3015</f>
        <v>500</v>
      </c>
      <c r="H3015" s="20" t="n">
        <f aca="false">IF(G3015&lt;Parametres!$B$8*Parametres!$B$7,0,MIN(G3015,Parametres!$B$7))</f>
        <v>250</v>
      </c>
      <c r="I3015" s="20" t="n">
        <f aca="false">G3015-H3015</f>
        <v>250</v>
      </c>
      <c r="J3015" s="21" t="n">
        <f aca="false">H3015*1000/Parametres!$B$9</f>
        <v>4239.44378497541</v>
      </c>
    </row>
    <row r="3016" customFormat="false" ht="15" hidden="false" customHeight="false" outlineLevel="0" collapsed="false">
      <c r="A3016" s="0" t="n">
        <v>3012</v>
      </c>
      <c r="B3016" s="0" t="n">
        <v>5</v>
      </c>
      <c r="C3016" s="19" t="n">
        <v>1</v>
      </c>
      <c r="D3016" s="19" t="n">
        <v>1</v>
      </c>
      <c r="E3016" s="20" t="n">
        <f aca="false">Parametres!$B$5*C3016</f>
        <v>300</v>
      </c>
      <c r="F3016" s="20" t="n">
        <f aca="false">Parametres!$B$6*D3016</f>
        <v>200</v>
      </c>
      <c r="G3016" s="20" t="n">
        <f aca="false">E3016+F3016</f>
        <v>500</v>
      </c>
      <c r="H3016" s="20" t="n">
        <f aca="false">IF(G3016&lt;Parametres!$B$8*Parametres!$B$7,0,MIN(G3016,Parametres!$B$7))</f>
        <v>250</v>
      </c>
      <c r="I3016" s="20" t="n">
        <f aca="false">G3016-H3016</f>
        <v>250</v>
      </c>
      <c r="J3016" s="21" t="n">
        <f aca="false">H3016*1000/Parametres!$B$9</f>
        <v>4239.44378497541</v>
      </c>
    </row>
    <row r="3017" customFormat="false" ht="15" hidden="false" customHeight="false" outlineLevel="0" collapsed="false">
      <c r="A3017" s="0" t="n">
        <v>3013</v>
      </c>
      <c r="B3017" s="0" t="n">
        <v>5</v>
      </c>
      <c r="C3017" s="19" t="n">
        <v>1</v>
      </c>
      <c r="D3017" s="19" t="n">
        <v>1</v>
      </c>
      <c r="E3017" s="20" t="n">
        <f aca="false">Parametres!$B$5*C3017</f>
        <v>300</v>
      </c>
      <c r="F3017" s="20" t="n">
        <f aca="false">Parametres!$B$6*D3017</f>
        <v>200</v>
      </c>
      <c r="G3017" s="20" t="n">
        <f aca="false">E3017+F3017</f>
        <v>500</v>
      </c>
      <c r="H3017" s="20" t="n">
        <f aca="false">IF(G3017&lt;Parametres!$B$8*Parametres!$B$7,0,MIN(G3017,Parametres!$B$7))</f>
        <v>250</v>
      </c>
      <c r="I3017" s="20" t="n">
        <f aca="false">G3017-H3017</f>
        <v>250</v>
      </c>
      <c r="J3017" s="21" t="n">
        <f aca="false">H3017*1000/Parametres!$B$9</f>
        <v>4239.44378497541</v>
      </c>
    </row>
    <row r="3018" customFormat="false" ht="15" hidden="false" customHeight="false" outlineLevel="0" collapsed="false">
      <c r="A3018" s="0" t="n">
        <v>3014</v>
      </c>
      <c r="B3018" s="0" t="n">
        <v>5</v>
      </c>
      <c r="C3018" s="19" t="n">
        <v>0.9508</v>
      </c>
      <c r="D3018" s="19" t="n">
        <v>1</v>
      </c>
      <c r="E3018" s="20" t="n">
        <f aca="false">Parametres!$B$5*C3018</f>
        <v>285.24</v>
      </c>
      <c r="F3018" s="20" t="n">
        <f aca="false">Parametres!$B$6*D3018</f>
        <v>200</v>
      </c>
      <c r="G3018" s="20" t="n">
        <f aca="false">E3018+F3018</f>
        <v>485.24</v>
      </c>
      <c r="H3018" s="20" t="n">
        <f aca="false">IF(G3018&lt;Parametres!$B$8*Parametres!$B$7,0,MIN(G3018,Parametres!$B$7))</f>
        <v>250</v>
      </c>
      <c r="I3018" s="20" t="n">
        <f aca="false">G3018-H3018</f>
        <v>235.24</v>
      </c>
      <c r="J3018" s="21" t="n">
        <f aca="false">H3018*1000/Parametres!$B$9</f>
        <v>4239.44378497541</v>
      </c>
    </row>
    <row r="3019" customFormat="false" ht="15" hidden="false" customHeight="false" outlineLevel="0" collapsed="false">
      <c r="A3019" s="0" t="n">
        <v>3015</v>
      </c>
      <c r="B3019" s="0" t="n">
        <v>5</v>
      </c>
      <c r="C3019" s="19" t="n">
        <v>0.8214</v>
      </c>
      <c r="D3019" s="19" t="n">
        <v>1</v>
      </c>
      <c r="E3019" s="20" t="n">
        <f aca="false">Parametres!$B$5*C3019</f>
        <v>246.42</v>
      </c>
      <c r="F3019" s="20" t="n">
        <f aca="false">Parametres!$B$6*D3019</f>
        <v>200</v>
      </c>
      <c r="G3019" s="20" t="n">
        <f aca="false">E3019+F3019</f>
        <v>446.42</v>
      </c>
      <c r="H3019" s="20" t="n">
        <f aca="false">IF(G3019&lt;Parametres!$B$8*Parametres!$B$7,0,MIN(G3019,Parametres!$B$7))</f>
        <v>250</v>
      </c>
      <c r="I3019" s="20" t="n">
        <f aca="false">G3019-H3019</f>
        <v>196.42</v>
      </c>
      <c r="J3019" s="21" t="n">
        <f aca="false">H3019*1000/Parametres!$B$9</f>
        <v>4239.44378497541</v>
      </c>
    </row>
    <row r="3020" customFormat="false" ht="15" hidden="false" customHeight="false" outlineLevel="0" collapsed="false">
      <c r="A3020" s="0" t="n">
        <v>3016</v>
      </c>
      <c r="B3020" s="0" t="n">
        <v>5</v>
      </c>
      <c r="C3020" s="19" t="n">
        <v>0.6143</v>
      </c>
      <c r="D3020" s="19" t="n">
        <v>1</v>
      </c>
      <c r="E3020" s="20" t="n">
        <f aca="false">Parametres!$B$5*C3020</f>
        <v>184.29</v>
      </c>
      <c r="F3020" s="20" t="n">
        <f aca="false">Parametres!$B$6*D3020</f>
        <v>200</v>
      </c>
      <c r="G3020" s="20" t="n">
        <f aca="false">E3020+F3020</f>
        <v>384.29</v>
      </c>
      <c r="H3020" s="20" t="n">
        <f aca="false">IF(G3020&lt;Parametres!$B$8*Parametres!$B$7,0,MIN(G3020,Parametres!$B$7))</f>
        <v>250</v>
      </c>
      <c r="I3020" s="20" t="n">
        <f aca="false">G3020-H3020</f>
        <v>134.29</v>
      </c>
      <c r="J3020" s="21" t="n">
        <f aca="false">H3020*1000/Parametres!$B$9</f>
        <v>4239.44378497541</v>
      </c>
    </row>
    <row r="3021" customFormat="false" ht="15" hidden="false" customHeight="false" outlineLevel="0" collapsed="false">
      <c r="A3021" s="0" t="n">
        <v>3017</v>
      </c>
      <c r="B3021" s="0" t="n">
        <v>5</v>
      </c>
      <c r="C3021" s="19" t="n">
        <v>0.4263</v>
      </c>
      <c r="D3021" s="19" t="n">
        <v>0.7151</v>
      </c>
      <c r="E3021" s="20" t="n">
        <f aca="false">Parametres!$B$5*C3021</f>
        <v>127.89</v>
      </c>
      <c r="F3021" s="20" t="n">
        <f aca="false">Parametres!$B$6*D3021</f>
        <v>143.02</v>
      </c>
      <c r="G3021" s="20" t="n">
        <f aca="false">E3021+F3021</f>
        <v>270.91</v>
      </c>
      <c r="H3021" s="20" t="n">
        <f aca="false">IF(G3021&lt;Parametres!$B$8*Parametres!$B$7,0,MIN(G3021,Parametres!$B$7))</f>
        <v>250</v>
      </c>
      <c r="I3021" s="20" t="n">
        <f aca="false">G3021-H3021</f>
        <v>20.91</v>
      </c>
      <c r="J3021" s="21" t="n">
        <f aca="false">H3021*1000/Parametres!$B$9</f>
        <v>4239.44378497541</v>
      </c>
    </row>
    <row r="3022" customFormat="false" ht="15" hidden="false" customHeight="false" outlineLevel="0" collapsed="false">
      <c r="A3022" s="0" t="n">
        <v>3018</v>
      </c>
      <c r="B3022" s="0" t="n">
        <v>5</v>
      </c>
      <c r="C3022" s="19" t="n">
        <v>0.2245</v>
      </c>
      <c r="D3022" s="19" t="n">
        <v>0.7844</v>
      </c>
      <c r="E3022" s="20" t="n">
        <f aca="false">Parametres!$B$5*C3022</f>
        <v>67.35</v>
      </c>
      <c r="F3022" s="20" t="n">
        <f aca="false">Parametres!$B$6*D3022</f>
        <v>156.88</v>
      </c>
      <c r="G3022" s="20" t="n">
        <f aca="false">E3022+F3022</f>
        <v>224.23</v>
      </c>
      <c r="H3022" s="20" t="n">
        <f aca="false">IF(G3022&lt;Parametres!$B$8*Parametres!$B$7,0,MIN(G3022,Parametres!$B$7))</f>
        <v>224.23</v>
      </c>
      <c r="I3022" s="20" t="n">
        <f aca="false">G3022-H3022</f>
        <v>0</v>
      </c>
      <c r="J3022" s="21" t="n">
        <f aca="false">H3022*1000/Parametres!$B$9</f>
        <v>3802.44191962015</v>
      </c>
    </row>
    <row r="3023" customFormat="false" ht="15" hidden="false" customHeight="false" outlineLevel="0" collapsed="false">
      <c r="A3023" s="0" t="n">
        <v>3019</v>
      </c>
      <c r="B3023" s="0" t="n">
        <v>5</v>
      </c>
      <c r="C3023" s="19" t="n">
        <v>0.0113</v>
      </c>
      <c r="D3023" s="19" t="n">
        <v>0.7091</v>
      </c>
      <c r="E3023" s="20" t="n">
        <f aca="false">Parametres!$B$5*C3023</f>
        <v>3.39</v>
      </c>
      <c r="F3023" s="20" t="n">
        <f aca="false">Parametres!$B$6*D3023</f>
        <v>141.82</v>
      </c>
      <c r="G3023" s="20" t="n">
        <f aca="false">E3023+F3023</f>
        <v>145.21</v>
      </c>
      <c r="H3023" s="20" t="n">
        <f aca="false">IF(G3023&lt;Parametres!$B$8*Parametres!$B$7,0,MIN(G3023,Parametres!$B$7))</f>
        <v>145.21</v>
      </c>
      <c r="I3023" s="20" t="n">
        <f aca="false">G3023-H3023</f>
        <v>0</v>
      </c>
      <c r="J3023" s="21" t="n">
        <f aca="false">H3023*1000/Parametres!$B$9</f>
        <v>2462.43852806512</v>
      </c>
    </row>
    <row r="3024" customFormat="false" ht="15" hidden="false" customHeight="false" outlineLevel="0" collapsed="false">
      <c r="A3024" s="0" t="n">
        <v>3020</v>
      </c>
      <c r="B3024" s="0" t="n">
        <v>5</v>
      </c>
      <c r="C3024" s="19" t="n">
        <v>0</v>
      </c>
      <c r="D3024" s="19" t="n">
        <v>0.4424</v>
      </c>
      <c r="E3024" s="20" t="n">
        <f aca="false">Parametres!$B$5*C3024</f>
        <v>0</v>
      </c>
      <c r="F3024" s="20" t="n">
        <f aca="false">Parametres!$B$6*D3024</f>
        <v>88.48</v>
      </c>
      <c r="G3024" s="20" t="n">
        <f aca="false">E3024+F3024</f>
        <v>88.48</v>
      </c>
      <c r="H3024" s="20" t="n">
        <f aca="false">IF(G3024&lt;Parametres!$B$8*Parametres!$B$7,0,MIN(G3024,Parametres!$B$7))</f>
        <v>88.48</v>
      </c>
      <c r="I3024" s="20" t="n">
        <f aca="false">G3024-H3024</f>
        <v>0</v>
      </c>
      <c r="J3024" s="21" t="n">
        <f aca="false">H3024*1000/Parametres!$B$9</f>
        <v>1500.4239443785</v>
      </c>
    </row>
    <row r="3025" customFormat="false" ht="15" hidden="false" customHeight="false" outlineLevel="0" collapsed="false">
      <c r="A3025" s="0" t="n">
        <v>3021</v>
      </c>
      <c r="B3025" s="0" t="n">
        <v>5</v>
      </c>
      <c r="C3025" s="19" t="n">
        <v>0</v>
      </c>
      <c r="D3025" s="19" t="n">
        <v>0.367</v>
      </c>
      <c r="E3025" s="20" t="n">
        <f aca="false">Parametres!$B$5*C3025</f>
        <v>0</v>
      </c>
      <c r="F3025" s="20" t="n">
        <f aca="false">Parametres!$B$6*D3025</f>
        <v>73.4</v>
      </c>
      <c r="G3025" s="20" t="n">
        <f aca="false">E3025+F3025</f>
        <v>73.4</v>
      </c>
      <c r="H3025" s="20" t="n">
        <f aca="false">IF(G3025&lt;Parametres!$B$8*Parametres!$B$7,0,MIN(G3025,Parametres!$B$7))</f>
        <v>73.4</v>
      </c>
      <c r="I3025" s="20" t="n">
        <f aca="false">G3025-H3025</f>
        <v>0</v>
      </c>
      <c r="J3025" s="21" t="n">
        <f aca="false">H3025*1000/Parametres!$B$9</f>
        <v>1244.70069526878</v>
      </c>
    </row>
    <row r="3026" customFormat="false" ht="15" hidden="false" customHeight="false" outlineLevel="0" collapsed="false">
      <c r="A3026" s="0" t="n">
        <v>3022</v>
      </c>
      <c r="B3026" s="0" t="n">
        <v>5</v>
      </c>
      <c r="C3026" s="19" t="n">
        <v>0</v>
      </c>
      <c r="D3026" s="19" t="n">
        <v>0.2618</v>
      </c>
      <c r="E3026" s="20" t="n">
        <f aca="false">Parametres!$B$5*C3026</f>
        <v>0</v>
      </c>
      <c r="F3026" s="20" t="n">
        <f aca="false">Parametres!$B$6*D3026</f>
        <v>52.36</v>
      </c>
      <c r="G3026" s="20" t="n">
        <f aca="false">E3026+F3026</f>
        <v>52.36</v>
      </c>
      <c r="H3026" s="20" t="n">
        <f aca="false">IF(G3026&lt;Parametres!$B$8*Parametres!$B$7,0,MIN(G3026,Parametres!$B$7))</f>
        <v>52.36</v>
      </c>
      <c r="I3026" s="20" t="n">
        <f aca="false">G3026-H3026</f>
        <v>0</v>
      </c>
      <c r="J3026" s="21" t="n">
        <f aca="false">H3026*1000/Parametres!$B$9</f>
        <v>887.90910632525</v>
      </c>
    </row>
    <row r="3027" customFormat="false" ht="15" hidden="false" customHeight="false" outlineLevel="0" collapsed="false">
      <c r="A3027" s="0" t="n">
        <v>3023</v>
      </c>
      <c r="B3027" s="0" t="n">
        <v>5</v>
      </c>
      <c r="C3027" s="19" t="n">
        <v>0</v>
      </c>
      <c r="D3027" s="19" t="n">
        <v>0.2498</v>
      </c>
      <c r="E3027" s="20" t="n">
        <f aca="false">Parametres!$B$5*C3027</f>
        <v>0</v>
      </c>
      <c r="F3027" s="20" t="n">
        <f aca="false">Parametres!$B$6*D3027</f>
        <v>49.96</v>
      </c>
      <c r="G3027" s="20" t="n">
        <f aca="false">E3027+F3027</f>
        <v>49.96</v>
      </c>
      <c r="H3027" s="20" t="n">
        <f aca="false">IF(G3027&lt;Parametres!$B$8*Parametres!$B$7,0,MIN(G3027,Parametres!$B$7))</f>
        <v>49.96</v>
      </c>
      <c r="I3027" s="20" t="n">
        <f aca="false">G3027-H3027</f>
        <v>0</v>
      </c>
      <c r="J3027" s="21" t="n">
        <f aca="false">H3027*1000/Parametres!$B$9</f>
        <v>847.210445989486</v>
      </c>
    </row>
    <row r="3028" customFormat="false" ht="15" hidden="false" customHeight="false" outlineLevel="0" collapsed="false">
      <c r="A3028" s="0" t="n">
        <v>3024</v>
      </c>
      <c r="B3028" s="0" t="n">
        <v>5</v>
      </c>
      <c r="C3028" s="19" t="n">
        <v>0</v>
      </c>
      <c r="D3028" s="19" t="n">
        <v>0.1867</v>
      </c>
      <c r="E3028" s="20" t="n">
        <f aca="false">Parametres!$B$5*C3028</f>
        <v>0</v>
      </c>
      <c r="F3028" s="20" t="n">
        <f aca="false">Parametres!$B$6*D3028</f>
        <v>37.34</v>
      </c>
      <c r="G3028" s="20" t="n">
        <f aca="false">E3028+F3028</f>
        <v>37.34</v>
      </c>
      <c r="H3028" s="20" t="n">
        <f aca="false">IF(G3028&lt;Parametres!$B$8*Parametres!$B$7,0,MIN(G3028,Parametres!$B$7))</f>
        <v>37.34</v>
      </c>
      <c r="I3028" s="20" t="n">
        <f aca="false">G3028-H3028</f>
        <v>0</v>
      </c>
      <c r="J3028" s="21" t="n">
        <f aca="false">H3028*1000/Parametres!$B$9</f>
        <v>633.203323723927</v>
      </c>
    </row>
    <row r="3029" customFormat="false" ht="15" hidden="false" customHeight="false" outlineLevel="0" collapsed="false">
      <c r="A3029" s="0" t="n">
        <v>3025</v>
      </c>
      <c r="B3029" s="0" t="n">
        <v>5</v>
      </c>
      <c r="C3029" s="19" t="n">
        <v>0</v>
      </c>
      <c r="D3029" s="19" t="n">
        <v>0.1422</v>
      </c>
      <c r="E3029" s="20" t="n">
        <f aca="false">Parametres!$B$5*C3029</f>
        <v>0</v>
      </c>
      <c r="F3029" s="20" t="n">
        <f aca="false">Parametres!$B$6*D3029</f>
        <v>28.44</v>
      </c>
      <c r="G3029" s="20" t="n">
        <f aca="false">E3029+F3029</f>
        <v>28.44</v>
      </c>
      <c r="H3029" s="20" t="n">
        <f aca="false">IF(G3029&lt;Parametres!$B$8*Parametres!$B$7,0,MIN(G3029,Parametres!$B$7))</f>
        <v>28.44</v>
      </c>
      <c r="I3029" s="20" t="n">
        <f aca="false">G3029-H3029</f>
        <v>0</v>
      </c>
      <c r="J3029" s="21" t="n">
        <f aca="false">H3029*1000/Parametres!$B$9</f>
        <v>482.279124978803</v>
      </c>
    </row>
    <row r="3030" customFormat="false" ht="15" hidden="false" customHeight="false" outlineLevel="0" collapsed="false">
      <c r="A3030" s="0" t="n">
        <v>3026</v>
      </c>
      <c r="B3030" s="0" t="n">
        <v>5</v>
      </c>
      <c r="C3030" s="19" t="n">
        <v>0</v>
      </c>
      <c r="D3030" s="19" t="n">
        <v>0.1303</v>
      </c>
      <c r="E3030" s="20" t="n">
        <f aca="false">Parametres!$B$5*C3030</f>
        <v>0</v>
      </c>
      <c r="F3030" s="20" t="n">
        <f aca="false">Parametres!$B$6*D3030</f>
        <v>26.06</v>
      </c>
      <c r="G3030" s="20" t="n">
        <f aca="false">E3030+F3030</f>
        <v>26.06</v>
      </c>
      <c r="H3030" s="20" t="n">
        <f aca="false">IF(G3030&lt;Parametres!$B$8*Parametres!$B$7,0,MIN(G3030,Parametres!$B$7))</f>
        <v>26.06</v>
      </c>
      <c r="I3030" s="20" t="n">
        <f aca="false">G3030-H3030</f>
        <v>0</v>
      </c>
      <c r="J3030" s="21" t="n">
        <f aca="false">H3030*1000/Parametres!$B$9</f>
        <v>441.919620145837</v>
      </c>
    </row>
    <row r="3031" customFormat="false" ht="15" hidden="false" customHeight="false" outlineLevel="0" collapsed="false">
      <c r="A3031" s="0" t="n">
        <v>3027</v>
      </c>
      <c r="B3031" s="0" t="n">
        <v>5</v>
      </c>
      <c r="C3031" s="19" t="n">
        <v>0</v>
      </c>
      <c r="D3031" s="19" t="n">
        <v>0.1307</v>
      </c>
      <c r="E3031" s="20" t="n">
        <f aca="false">Parametres!$B$5*C3031</f>
        <v>0</v>
      </c>
      <c r="F3031" s="20" t="n">
        <f aca="false">Parametres!$B$6*D3031</f>
        <v>26.14</v>
      </c>
      <c r="G3031" s="20" t="n">
        <f aca="false">E3031+F3031</f>
        <v>26.14</v>
      </c>
      <c r="H3031" s="20" t="n">
        <f aca="false">IF(G3031&lt;Parametres!$B$8*Parametres!$B$7,0,MIN(G3031,Parametres!$B$7))</f>
        <v>26.14</v>
      </c>
      <c r="I3031" s="20" t="n">
        <f aca="false">G3031-H3031</f>
        <v>0</v>
      </c>
      <c r="J3031" s="21" t="n">
        <f aca="false">H3031*1000/Parametres!$B$9</f>
        <v>443.276242157029</v>
      </c>
    </row>
    <row r="3032" customFormat="false" ht="15" hidden="false" customHeight="false" outlineLevel="0" collapsed="false">
      <c r="A3032" s="0" t="n">
        <v>3028</v>
      </c>
      <c r="B3032" s="0" t="n">
        <v>5</v>
      </c>
      <c r="C3032" s="19" t="n">
        <v>0</v>
      </c>
      <c r="D3032" s="19" t="n">
        <v>0.1222</v>
      </c>
      <c r="E3032" s="20" t="n">
        <f aca="false">Parametres!$B$5*C3032</f>
        <v>0</v>
      </c>
      <c r="F3032" s="20" t="n">
        <f aca="false">Parametres!$B$6*D3032</f>
        <v>24.44</v>
      </c>
      <c r="G3032" s="20" t="n">
        <f aca="false">E3032+F3032</f>
        <v>24.44</v>
      </c>
      <c r="H3032" s="20" t="n">
        <f aca="false">IF(G3032&lt;Parametres!$B$8*Parametres!$B$7,0,MIN(G3032,Parametres!$B$7))</f>
        <v>0</v>
      </c>
      <c r="I3032" s="20" t="n">
        <f aca="false">G3032-H3032</f>
        <v>24.44</v>
      </c>
      <c r="J3032" s="21" t="n">
        <f aca="false">H3032*1000/Parametres!$B$9</f>
        <v>0</v>
      </c>
    </row>
    <row r="3033" customFormat="false" ht="15" hidden="false" customHeight="false" outlineLevel="0" collapsed="false">
      <c r="A3033" s="0" t="n">
        <v>3029</v>
      </c>
      <c r="B3033" s="0" t="n">
        <v>5</v>
      </c>
      <c r="C3033" s="19" t="n">
        <v>0</v>
      </c>
      <c r="D3033" s="19" t="n">
        <v>0.1972</v>
      </c>
      <c r="E3033" s="20" t="n">
        <f aca="false">Parametres!$B$5*C3033</f>
        <v>0</v>
      </c>
      <c r="F3033" s="20" t="n">
        <f aca="false">Parametres!$B$6*D3033</f>
        <v>39.44</v>
      </c>
      <c r="G3033" s="20" t="n">
        <f aca="false">E3033+F3033</f>
        <v>39.44</v>
      </c>
      <c r="H3033" s="20" t="n">
        <f aca="false">IF(G3033&lt;Parametres!$B$8*Parametres!$B$7,0,MIN(G3033,Parametres!$B$7))</f>
        <v>39.44</v>
      </c>
      <c r="I3033" s="20" t="n">
        <f aca="false">G3033-H3033</f>
        <v>0</v>
      </c>
      <c r="J3033" s="21" t="n">
        <f aca="false">H3033*1000/Parametres!$B$9</f>
        <v>668.814651517721</v>
      </c>
    </row>
    <row r="3034" customFormat="false" ht="15" hidden="false" customHeight="false" outlineLevel="0" collapsed="false">
      <c r="A3034" s="0" t="n">
        <v>3030</v>
      </c>
      <c r="B3034" s="0" t="n">
        <v>5</v>
      </c>
      <c r="C3034" s="19" t="n">
        <v>0.0129</v>
      </c>
      <c r="D3034" s="19" t="n">
        <v>0.2191</v>
      </c>
      <c r="E3034" s="20" t="n">
        <f aca="false">Parametres!$B$5*C3034</f>
        <v>3.87</v>
      </c>
      <c r="F3034" s="20" t="n">
        <f aca="false">Parametres!$B$6*D3034</f>
        <v>43.82</v>
      </c>
      <c r="G3034" s="20" t="n">
        <f aca="false">E3034+F3034</f>
        <v>47.69</v>
      </c>
      <c r="H3034" s="20" t="n">
        <f aca="false">IF(G3034&lt;Parametres!$B$8*Parametres!$B$7,0,MIN(G3034,Parametres!$B$7))</f>
        <v>47.69</v>
      </c>
      <c r="I3034" s="20" t="n">
        <f aca="false">G3034-H3034</f>
        <v>0</v>
      </c>
      <c r="J3034" s="21" t="n">
        <f aca="false">H3034*1000/Parametres!$B$9</f>
        <v>808.716296421909</v>
      </c>
    </row>
    <row r="3035" customFormat="false" ht="15" hidden="false" customHeight="false" outlineLevel="0" collapsed="false">
      <c r="A3035" s="0" t="n">
        <v>3031</v>
      </c>
      <c r="B3035" s="0" t="n">
        <v>5</v>
      </c>
      <c r="C3035" s="19" t="n">
        <v>0.209</v>
      </c>
      <c r="D3035" s="19" t="n">
        <v>0.1674</v>
      </c>
      <c r="E3035" s="20" t="n">
        <f aca="false">Parametres!$B$5*C3035</f>
        <v>62.7</v>
      </c>
      <c r="F3035" s="20" t="n">
        <f aca="false">Parametres!$B$6*D3035</f>
        <v>33.48</v>
      </c>
      <c r="G3035" s="20" t="n">
        <f aca="false">E3035+F3035</f>
        <v>96.18</v>
      </c>
      <c r="H3035" s="20" t="n">
        <f aca="false">IF(G3035&lt;Parametres!$B$8*Parametres!$B$7,0,MIN(G3035,Parametres!$B$7))</f>
        <v>96.18</v>
      </c>
      <c r="I3035" s="20" t="n">
        <f aca="false">G3035-H3035</f>
        <v>0</v>
      </c>
      <c r="J3035" s="21" t="n">
        <f aca="false">H3035*1000/Parametres!$B$9</f>
        <v>1630.99881295574</v>
      </c>
    </row>
    <row r="3036" customFormat="false" ht="15" hidden="false" customHeight="false" outlineLevel="0" collapsed="false">
      <c r="A3036" s="0" t="n">
        <v>3032</v>
      </c>
      <c r="B3036" s="0" t="n">
        <v>5</v>
      </c>
      <c r="C3036" s="19" t="n">
        <v>0.4088</v>
      </c>
      <c r="D3036" s="19" t="n">
        <v>0.3587</v>
      </c>
      <c r="E3036" s="20" t="n">
        <f aca="false">Parametres!$B$5*C3036</f>
        <v>122.64</v>
      </c>
      <c r="F3036" s="20" t="n">
        <f aca="false">Parametres!$B$6*D3036</f>
        <v>71.74</v>
      </c>
      <c r="G3036" s="20" t="n">
        <f aca="false">E3036+F3036</f>
        <v>194.38</v>
      </c>
      <c r="H3036" s="20" t="n">
        <f aca="false">IF(G3036&lt;Parametres!$B$8*Parametres!$B$7,0,MIN(G3036,Parametres!$B$7))</f>
        <v>194.38</v>
      </c>
      <c r="I3036" s="20" t="n">
        <f aca="false">G3036-H3036</f>
        <v>0</v>
      </c>
      <c r="J3036" s="21" t="n">
        <f aca="false">H3036*1000/Parametres!$B$9</f>
        <v>3296.25233169408</v>
      </c>
    </row>
    <row r="3037" customFormat="false" ht="15" hidden="false" customHeight="false" outlineLevel="0" collapsed="false">
      <c r="A3037" s="0" t="n">
        <v>3033</v>
      </c>
      <c r="B3037" s="0" t="n">
        <v>5</v>
      </c>
      <c r="C3037" s="19" t="n">
        <v>0.6329</v>
      </c>
      <c r="D3037" s="19" t="n">
        <v>0.4133</v>
      </c>
      <c r="E3037" s="20" t="n">
        <f aca="false">Parametres!$B$5*C3037</f>
        <v>189.87</v>
      </c>
      <c r="F3037" s="20" t="n">
        <f aca="false">Parametres!$B$6*D3037</f>
        <v>82.66</v>
      </c>
      <c r="G3037" s="20" t="n">
        <f aca="false">E3037+F3037</f>
        <v>272.53</v>
      </c>
      <c r="H3037" s="20" t="n">
        <f aca="false">IF(G3037&lt;Parametres!$B$8*Parametres!$B$7,0,MIN(G3037,Parametres!$B$7))</f>
        <v>250</v>
      </c>
      <c r="I3037" s="20" t="n">
        <f aca="false">G3037-H3037</f>
        <v>22.53</v>
      </c>
      <c r="J3037" s="21" t="n">
        <f aca="false">H3037*1000/Parametres!$B$9</f>
        <v>4239.44378497541</v>
      </c>
    </row>
    <row r="3038" customFormat="false" ht="15" hidden="false" customHeight="false" outlineLevel="0" collapsed="false">
      <c r="A3038" s="0" t="n">
        <v>3034</v>
      </c>
      <c r="B3038" s="0" t="n">
        <v>5</v>
      </c>
      <c r="C3038" s="19" t="n">
        <v>0.8175</v>
      </c>
      <c r="D3038" s="19" t="n">
        <v>0.7672</v>
      </c>
      <c r="E3038" s="20" t="n">
        <f aca="false">Parametres!$B$5*C3038</f>
        <v>245.25</v>
      </c>
      <c r="F3038" s="20" t="n">
        <f aca="false">Parametres!$B$6*D3038</f>
        <v>153.44</v>
      </c>
      <c r="G3038" s="20" t="n">
        <f aca="false">E3038+F3038</f>
        <v>398.69</v>
      </c>
      <c r="H3038" s="20" t="n">
        <f aca="false">IF(G3038&lt;Parametres!$B$8*Parametres!$B$7,0,MIN(G3038,Parametres!$B$7))</f>
        <v>250</v>
      </c>
      <c r="I3038" s="20" t="n">
        <f aca="false">G3038-H3038</f>
        <v>148.69</v>
      </c>
      <c r="J3038" s="21" t="n">
        <f aca="false">H3038*1000/Parametres!$B$9</f>
        <v>4239.44378497541</v>
      </c>
    </row>
    <row r="3039" customFormat="false" ht="15" hidden="false" customHeight="false" outlineLevel="0" collapsed="false">
      <c r="A3039" s="0" t="n">
        <v>3035</v>
      </c>
      <c r="B3039" s="0" t="n">
        <v>5</v>
      </c>
      <c r="C3039" s="19" t="n">
        <v>0.9848</v>
      </c>
      <c r="D3039" s="19" t="n">
        <v>0.6109</v>
      </c>
      <c r="E3039" s="20" t="n">
        <f aca="false">Parametres!$B$5*C3039</f>
        <v>295.44</v>
      </c>
      <c r="F3039" s="20" t="n">
        <f aca="false">Parametres!$B$6*D3039</f>
        <v>122.18</v>
      </c>
      <c r="G3039" s="20" t="n">
        <f aca="false">E3039+F3039</f>
        <v>417.62</v>
      </c>
      <c r="H3039" s="20" t="n">
        <f aca="false">IF(G3039&lt;Parametres!$B$8*Parametres!$B$7,0,MIN(G3039,Parametres!$B$7))</f>
        <v>250</v>
      </c>
      <c r="I3039" s="20" t="n">
        <f aca="false">G3039-H3039</f>
        <v>167.62</v>
      </c>
      <c r="J3039" s="21" t="n">
        <f aca="false">H3039*1000/Parametres!$B$9</f>
        <v>4239.44378497541</v>
      </c>
    </row>
    <row r="3040" customFormat="false" ht="15" hidden="false" customHeight="false" outlineLevel="0" collapsed="false">
      <c r="A3040" s="0" t="n">
        <v>3036</v>
      </c>
      <c r="B3040" s="0" t="n">
        <v>5</v>
      </c>
      <c r="C3040" s="19" t="n">
        <v>0.9317</v>
      </c>
      <c r="D3040" s="19" t="n">
        <v>0.8146</v>
      </c>
      <c r="E3040" s="20" t="n">
        <f aca="false">Parametres!$B$5*C3040</f>
        <v>279.51</v>
      </c>
      <c r="F3040" s="20" t="n">
        <f aca="false">Parametres!$B$6*D3040</f>
        <v>162.92</v>
      </c>
      <c r="G3040" s="20" t="n">
        <f aca="false">E3040+F3040</f>
        <v>442.43</v>
      </c>
      <c r="H3040" s="20" t="n">
        <f aca="false">IF(G3040&lt;Parametres!$B$8*Parametres!$B$7,0,MIN(G3040,Parametres!$B$7))</f>
        <v>250</v>
      </c>
      <c r="I3040" s="20" t="n">
        <f aca="false">G3040-H3040</f>
        <v>192.43</v>
      </c>
      <c r="J3040" s="21" t="n">
        <f aca="false">H3040*1000/Parametres!$B$9</f>
        <v>4239.44378497541</v>
      </c>
    </row>
    <row r="3041" customFormat="false" ht="15" hidden="false" customHeight="false" outlineLevel="0" collapsed="false">
      <c r="A3041" s="0" t="n">
        <v>3037</v>
      </c>
      <c r="B3041" s="0" t="n">
        <v>5</v>
      </c>
      <c r="C3041" s="19" t="n">
        <v>0.9939</v>
      </c>
      <c r="D3041" s="19" t="n">
        <v>1</v>
      </c>
      <c r="E3041" s="20" t="n">
        <f aca="false">Parametres!$B$5*C3041</f>
        <v>298.17</v>
      </c>
      <c r="F3041" s="20" t="n">
        <f aca="false">Parametres!$B$6*D3041</f>
        <v>200</v>
      </c>
      <c r="G3041" s="20" t="n">
        <f aca="false">E3041+F3041</f>
        <v>498.17</v>
      </c>
      <c r="H3041" s="20" t="n">
        <f aca="false">IF(G3041&lt;Parametres!$B$8*Parametres!$B$7,0,MIN(G3041,Parametres!$B$7))</f>
        <v>250</v>
      </c>
      <c r="I3041" s="20" t="n">
        <f aca="false">G3041-H3041</f>
        <v>248.17</v>
      </c>
      <c r="J3041" s="21" t="n">
        <f aca="false">H3041*1000/Parametres!$B$9</f>
        <v>4239.44378497541</v>
      </c>
    </row>
    <row r="3042" customFormat="false" ht="15" hidden="false" customHeight="false" outlineLevel="0" collapsed="false">
      <c r="A3042" s="0" t="n">
        <v>3038</v>
      </c>
      <c r="B3042" s="0" t="n">
        <v>5</v>
      </c>
      <c r="C3042" s="19" t="n">
        <v>0.9571</v>
      </c>
      <c r="D3042" s="19" t="n">
        <v>1</v>
      </c>
      <c r="E3042" s="20" t="n">
        <f aca="false">Parametres!$B$5*C3042</f>
        <v>287.13</v>
      </c>
      <c r="F3042" s="20" t="n">
        <f aca="false">Parametres!$B$6*D3042</f>
        <v>200</v>
      </c>
      <c r="G3042" s="20" t="n">
        <f aca="false">E3042+F3042</f>
        <v>487.13</v>
      </c>
      <c r="H3042" s="20" t="n">
        <f aca="false">IF(G3042&lt;Parametres!$B$8*Parametres!$B$7,0,MIN(G3042,Parametres!$B$7))</f>
        <v>250</v>
      </c>
      <c r="I3042" s="20" t="n">
        <f aca="false">G3042-H3042</f>
        <v>237.13</v>
      </c>
      <c r="J3042" s="21" t="n">
        <f aca="false">H3042*1000/Parametres!$B$9</f>
        <v>4239.44378497541</v>
      </c>
    </row>
    <row r="3043" customFormat="false" ht="15" hidden="false" customHeight="false" outlineLevel="0" collapsed="false">
      <c r="A3043" s="0" t="n">
        <v>3039</v>
      </c>
      <c r="B3043" s="0" t="n">
        <v>5</v>
      </c>
      <c r="C3043" s="19" t="n">
        <v>0.792</v>
      </c>
      <c r="D3043" s="19" t="n">
        <v>1</v>
      </c>
      <c r="E3043" s="20" t="n">
        <f aca="false">Parametres!$B$5*C3043</f>
        <v>237.6</v>
      </c>
      <c r="F3043" s="20" t="n">
        <f aca="false">Parametres!$B$6*D3043</f>
        <v>200</v>
      </c>
      <c r="G3043" s="20" t="n">
        <f aca="false">E3043+F3043</f>
        <v>437.6</v>
      </c>
      <c r="H3043" s="20" t="n">
        <f aca="false">IF(G3043&lt;Parametres!$B$8*Parametres!$B$7,0,MIN(G3043,Parametres!$B$7))</f>
        <v>250</v>
      </c>
      <c r="I3043" s="20" t="n">
        <f aca="false">G3043-H3043</f>
        <v>187.6</v>
      </c>
      <c r="J3043" s="21" t="n">
        <f aca="false">H3043*1000/Parametres!$B$9</f>
        <v>4239.44378497541</v>
      </c>
    </row>
    <row r="3044" customFormat="false" ht="15" hidden="false" customHeight="false" outlineLevel="0" collapsed="false">
      <c r="A3044" s="0" t="n">
        <v>3040</v>
      </c>
      <c r="B3044" s="0" t="n">
        <v>5</v>
      </c>
      <c r="C3044" s="19" t="n">
        <v>0.6347</v>
      </c>
      <c r="D3044" s="19" t="n">
        <v>1</v>
      </c>
      <c r="E3044" s="20" t="n">
        <f aca="false">Parametres!$B$5*C3044</f>
        <v>190.41</v>
      </c>
      <c r="F3044" s="20" t="n">
        <f aca="false">Parametres!$B$6*D3044</f>
        <v>200</v>
      </c>
      <c r="G3044" s="20" t="n">
        <f aca="false">E3044+F3044</f>
        <v>390.41</v>
      </c>
      <c r="H3044" s="20" t="n">
        <f aca="false">IF(G3044&lt;Parametres!$B$8*Parametres!$B$7,0,MIN(G3044,Parametres!$B$7))</f>
        <v>250</v>
      </c>
      <c r="I3044" s="20" t="n">
        <f aca="false">G3044-H3044</f>
        <v>140.41</v>
      </c>
      <c r="J3044" s="21" t="n">
        <f aca="false">H3044*1000/Parametres!$B$9</f>
        <v>4239.44378497541</v>
      </c>
    </row>
    <row r="3045" customFormat="false" ht="15" hidden="false" customHeight="false" outlineLevel="0" collapsed="false">
      <c r="A3045" s="0" t="n">
        <v>3041</v>
      </c>
      <c r="B3045" s="0" t="n">
        <v>5</v>
      </c>
      <c r="C3045" s="19" t="n">
        <v>0.4344</v>
      </c>
      <c r="D3045" s="19" t="n">
        <v>1</v>
      </c>
      <c r="E3045" s="20" t="n">
        <f aca="false">Parametres!$B$5*C3045</f>
        <v>130.32</v>
      </c>
      <c r="F3045" s="20" t="n">
        <f aca="false">Parametres!$B$6*D3045</f>
        <v>200</v>
      </c>
      <c r="G3045" s="20" t="n">
        <f aca="false">E3045+F3045</f>
        <v>330.32</v>
      </c>
      <c r="H3045" s="20" t="n">
        <f aca="false">IF(G3045&lt;Parametres!$B$8*Parametres!$B$7,0,MIN(G3045,Parametres!$B$7))</f>
        <v>250</v>
      </c>
      <c r="I3045" s="20" t="n">
        <f aca="false">G3045-H3045</f>
        <v>80.32</v>
      </c>
      <c r="J3045" s="21" t="n">
        <f aca="false">H3045*1000/Parametres!$B$9</f>
        <v>4239.44378497541</v>
      </c>
    </row>
    <row r="3046" customFormat="false" ht="15" hidden="false" customHeight="false" outlineLevel="0" collapsed="false">
      <c r="A3046" s="0" t="n">
        <v>3042</v>
      </c>
      <c r="B3046" s="0" t="n">
        <v>5</v>
      </c>
      <c r="C3046" s="19" t="n">
        <v>0.2087</v>
      </c>
      <c r="D3046" s="19" t="n">
        <v>1</v>
      </c>
      <c r="E3046" s="20" t="n">
        <f aca="false">Parametres!$B$5*C3046</f>
        <v>62.61</v>
      </c>
      <c r="F3046" s="20" t="n">
        <f aca="false">Parametres!$B$6*D3046</f>
        <v>200</v>
      </c>
      <c r="G3046" s="20" t="n">
        <f aca="false">E3046+F3046</f>
        <v>262.61</v>
      </c>
      <c r="H3046" s="20" t="n">
        <f aca="false">IF(G3046&lt;Parametres!$B$8*Parametres!$B$7,0,MIN(G3046,Parametres!$B$7))</f>
        <v>250</v>
      </c>
      <c r="I3046" s="20" t="n">
        <f aca="false">G3046-H3046</f>
        <v>12.61</v>
      </c>
      <c r="J3046" s="21" t="n">
        <f aca="false">H3046*1000/Parametres!$B$9</f>
        <v>4239.44378497541</v>
      </c>
    </row>
    <row r="3047" customFormat="false" ht="15" hidden="false" customHeight="false" outlineLevel="0" collapsed="false">
      <c r="A3047" s="0" t="n">
        <v>3043</v>
      </c>
      <c r="B3047" s="0" t="n">
        <v>5</v>
      </c>
      <c r="C3047" s="19" t="n">
        <v>0.012</v>
      </c>
      <c r="D3047" s="19" t="n">
        <v>1</v>
      </c>
      <c r="E3047" s="20" t="n">
        <f aca="false">Parametres!$B$5*C3047</f>
        <v>3.6</v>
      </c>
      <c r="F3047" s="20" t="n">
        <f aca="false">Parametres!$B$6*D3047</f>
        <v>200</v>
      </c>
      <c r="G3047" s="20" t="n">
        <f aca="false">E3047+F3047</f>
        <v>203.6</v>
      </c>
      <c r="H3047" s="20" t="n">
        <f aca="false">IF(G3047&lt;Parametres!$B$8*Parametres!$B$7,0,MIN(G3047,Parametres!$B$7))</f>
        <v>203.6</v>
      </c>
      <c r="I3047" s="20" t="n">
        <f aca="false">G3047-H3047</f>
        <v>0</v>
      </c>
      <c r="J3047" s="21" t="n">
        <f aca="false">H3047*1000/Parametres!$B$9</f>
        <v>3452.60301848398</v>
      </c>
    </row>
    <row r="3048" customFormat="false" ht="15" hidden="false" customHeight="false" outlineLevel="0" collapsed="false">
      <c r="A3048" s="0" t="n">
        <v>3044</v>
      </c>
      <c r="B3048" s="0" t="n">
        <v>5</v>
      </c>
      <c r="C3048" s="19" t="n">
        <v>0</v>
      </c>
      <c r="D3048" s="19" t="n">
        <v>0.8001</v>
      </c>
      <c r="E3048" s="20" t="n">
        <f aca="false">Parametres!$B$5*C3048</f>
        <v>0</v>
      </c>
      <c r="F3048" s="20" t="n">
        <f aca="false">Parametres!$B$6*D3048</f>
        <v>160.02</v>
      </c>
      <c r="G3048" s="20" t="n">
        <f aca="false">E3048+F3048</f>
        <v>160.02</v>
      </c>
      <c r="H3048" s="20" t="n">
        <f aca="false">IF(G3048&lt;Parametres!$B$8*Parametres!$B$7,0,MIN(G3048,Parametres!$B$7))</f>
        <v>160.02</v>
      </c>
      <c r="I3048" s="20" t="n">
        <f aca="false">G3048-H3048</f>
        <v>0</v>
      </c>
      <c r="J3048" s="21" t="n">
        <f aca="false">H3048*1000/Parametres!$B$9</f>
        <v>2713.58317788706</v>
      </c>
    </row>
    <row r="3049" customFormat="false" ht="15" hidden="false" customHeight="false" outlineLevel="0" collapsed="false">
      <c r="A3049" s="0" t="n">
        <v>3045</v>
      </c>
      <c r="B3049" s="0" t="n">
        <v>5</v>
      </c>
      <c r="C3049" s="19" t="n">
        <v>0</v>
      </c>
      <c r="D3049" s="19" t="n">
        <v>0.5075</v>
      </c>
      <c r="E3049" s="20" t="n">
        <f aca="false">Parametres!$B$5*C3049</f>
        <v>0</v>
      </c>
      <c r="F3049" s="20" t="n">
        <f aca="false">Parametres!$B$6*D3049</f>
        <v>101.5</v>
      </c>
      <c r="G3049" s="20" t="n">
        <f aca="false">E3049+F3049</f>
        <v>101.5</v>
      </c>
      <c r="H3049" s="20" t="n">
        <f aca="false">IF(G3049&lt;Parametres!$B$8*Parametres!$B$7,0,MIN(G3049,Parametres!$B$7))</f>
        <v>101.5</v>
      </c>
      <c r="I3049" s="20" t="n">
        <f aca="false">G3049-H3049</f>
        <v>0</v>
      </c>
      <c r="J3049" s="21" t="n">
        <f aca="false">H3049*1000/Parametres!$B$9</f>
        <v>1721.21417670002</v>
      </c>
    </row>
    <row r="3050" customFormat="false" ht="15" hidden="false" customHeight="false" outlineLevel="0" collapsed="false">
      <c r="A3050" s="0" t="n">
        <v>3046</v>
      </c>
      <c r="B3050" s="0" t="n">
        <v>5</v>
      </c>
      <c r="C3050" s="19" t="n">
        <v>0</v>
      </c>
      <c r="D3050" s="19" t="n">
        <v>0.3025</v>
      </c>
      <c r="E3050" s="20" t="n">
        <f aca="false">Parametres!$B$5*C3050</f>
        <v>0</v>
      </c>
      <c r="F3050" s="20" t="n">
        <f aca="false">Parametres!$B$6*D3050</f>
        <v>60.5</v>
      </c>
      <c r="G3050" s="20" t="n">
        <f aca="false">E3050+F3050</f>
        <v>60.5</v>
      </c>
      <c r="H3050" s="20" t="n">
        <f aca="false">IF(G3050&lt;Parametres!$B$8*Parametres!$B$7,0,MIN(G3050,Parametres!$B$7))</f>
        <v>60.5</v>
      </c>
      <c r="I3050" s="20" t="n">
        <f aca="false">G3050-H3050</f>
        <v>0</v>
      </c>
      <c r="J3050" s="21" t="n">
        <f aca="false">H3050*1000/Parametres!$B$9</f>
        <v>1025.94539596405</v>
      </c>
    </row>
    <row r="3051" customFormat="false" ht="15" hidden="false" customHeight="false" outlineLevel="0" collapsed="false">
      <c r="A3051" s="0" t="n">
        <v>3047</v>
      </c>
      <c r="B3051" s="0" t="n">
        <v>5</v>
      </c>
      <c r="C3051" s="19" t="n">
        <v>0</v>
      </c>
      <c r="D3051" s="19" t="n">
        <v>0.2873</v>
      </c>
      <c r="E3051" s="20" t="n">
        <f aca="false">Parametres!$B$5*C3051</f>
        <v>0</v>
      </c>
      <c r="F3051" s="20" t="n">
        <f aca="false">Parametres!$B$6*D3051</f>
        <v>57.46</v>
      </c>
      <c r="G3051" s="20" t="n">
        <f aca="false">E3051+F3051</f>
        <v>57.46</v>
      </c>
      <c r="H3051" s="20" t="n">
        <f aca="false">IF(G3051&lt;Parametres!$B$8*Parametres!$B$7,0,MIN(G3051,Parametres!$B$7))</f>
        <v>57.46</v>
      </c>
      <c r="I3051" s="20" t="n">
        <f aca="false">G3051-H3051</f>
        <v>0</v>
      </c>
      <c r="J3051" s="21" t="n">
        <f aca="false">H3051*1000/Parametres!$B$9</f>
        <v>974.393759538749</v>
      </c>
    </row>
    <row r="3052" customFormat="false" ht="15" hidden="false" customHeight="false" outlineLevel="0" collapsed="false">
      <c r="A3052" s="0" t="n">
        <v>3048</v>
      </c>
      <c r="B3052" s="0" t="n">
        <v>5</v>
      </c>
      <c r="C3052" s="19" t="n">
        <v>0</v>
      </c>
      <c r="D3052" s="19" t="n">
        <v>0.1103</v>
      </c>
      <c r="E3052" s="20" t="n">
        <f aca="false">Parametres!$B$5*C3052</f>
        <v>0</v>
      </c>
      <c r="F3052" s="20" t="n">
        <f aca="false">Parametres!$B$6*D3052</f>
        <v>22.06</v>
      </c>
      <c r="G3052" s="20" t="n">
        <f aca="false">E3052+F3052</f>
        <v>22.06</v>
      </c>
      <c r="H3052" s="20" t="n">
        <f aca="false">IF(G3052&lt;Parametres!$B$8*Parametres!$B$7,0,MIN(G3052,Parametres!$B$7))</f>
        <v>0</v>
      </c>
      <c r="I3052" s="20" t="n">
        <f aca="false">G3052-H3052</f>
        <v>22.06</v>
      </c>
      <c r="J3052" s="21" t="n">
        <f aca="false">H3052*1000/Parametres!$B$9</f>
        <v>0</v>
      </c>
    </row>
    <row r="3053" customFormat="false" ht="15" hidden="false" customHeight="false" outlineLevel="0" collapsed="false">
      <c r="A3053" s="0" t="n">
        <v>3049</v>
      </c>
      <c r="B3053" s="0" t="n">
        <v>5</v>
      </c>
      <c r="C3053" s="19" t="n">
        <v>0</v>
      </c>
      <c r="D3053" s="19" t="n">
        <v>0.1033</v>
      </c>
      <c r="E3053" s="20" t="n">
        <f aca="false">Parametres!$B$5*C3053</f>
        <v>0</v>
      </c>
      <c r="F3053" s="20" t="n">
        <f aca="false">Parametres!$B$6*D3053</f>
        <v>20.66</v>
      </c>
      <c r="G3053" s="20" t="n">
        <f aca="false">E3053+F3053</f>
        <v>20.66</v>
      </c>
      <c r="H3053" s="20" t="n">
        <f aca="false">IF(G3053&lt;Parametres!$B$8*Parametres!$B$7,0,MIN(G3053,Parametres!$B$7))</f>
        <v>0</v>
      </c>
      <c r="I3053" s="20" t="n">
        <f aca="false">G3053-H3053</f>
        <v>20.66</v>
      </c>
      <c r="J3053" s="21" t="n">
        <f aca="false">H3053*1000/Parametres!$B$9</f>
        <v>0</v>
      </c>
    </row>
    <row r="3054" customFormat="false" ht="15" hidden="false" customHeight="false" outlineLevel="0" collapsed="false">
      <c r="A3054" s="0" t="n">
        <v>3050</v>
      </c>
      <c r="B3054" s="0" t="n">
        <v>5</v>
      </c>
      <c r="C3054" s="19" t="n">
        <v>0</v>
      </c>
      <c r="D3054" s="19" t="n">
        <v>0.126</v>
      </c>
      <c r="E3054" s="20" t="n">
        <f aca="false">Parametres!$B$5*C3054</f>
        <v>0</v>
      </c>
      <c r="F3054" s="20" t="n">
        <f aca="false">Parametres!$B$6*D3054</f>
        <v>25.2</v>
      </c>
      <c r="G3054" s="20" t="n">
        <f aca="false">E3054+F3054</f>
        <v>25.2</v>
      </c>
      <c r="H3054" s="20" t="n">
        <f aca="false">IF(G3054&lt;Parametres!$B$8*Parametres!$B$7,0,MIN(G3054,Parametres!$B$7))</f>
        <v>25.2</v>
      </c>
      <c r="I3054" s="20" t="n">
        <f aca="false">G3054-H3054</f>
        <v>0</v>
      </c>
      <c r="J3054" s="21" t="n">
        <f aca="false">H3054*1000/Parametres!$B$9</f>
        <v>427.335933525521</v>
      </c>
    </row>
    <row r="3055" customFormat="false" ht="15" hidden="false" customHeight="false" outlineLevel="0" collapsed="false">
      <c r="A3055" s="0" t="n">
        <v>3051</v>
      </c>
      <c r="B3055" s="0" t="n">
        <v>5</v>
      </c>
      <c r="C3055" s="19" t="n">
        <v>0</v>
      </c>
      <c r="D3055" s="19" t="n">
        <v>0.0696</v>
      </c>
      <c r="E3055" s="20" t="n">
        <f aca="false">Parametres!$B$5*C3055</f>
        <v>0</v>
      </c>
      <c r="F3055" s="20" t="n">
        <f aca="false">Parametres!$B$6*D3055</f>
        <v>13.92</v>
      </c>
      <c r="G3055" s="20" t="n">
        <f aca="false">E3055+F3055</f>
        <v>13.92</v>
      </c>
      <c r="H3055" s="20" t="n">
        <f aca="false">IF(G3055&lt;Parametres!$B$8*Parametres!$B$7,0,MIN(G3055,Parametres!$B$7))</f>
        <v>0</v>
      </c>
      <c r="I3055" s="20" t="n">
        <f aca="false">G3055-H3055</f>
        <v>13.92</v>
      </c>
      <c r="J3055" s="21" t="n">
        <f aca="false">H3055*1000/Parametres!$B$9</f>
        <v>0</v>
      </c>
    </row>
    <row r="3056" customFormat="false" ht="15" hidden="false" customHeight="false" outlineLevel="0" collapsed="false">
      <c r="A3056" s="0" t="n">
        <v>3052</v>
      </c>
      <c r="B3056" s="0" t="n">
        <v>5</v>
      </c>
      <c r="C3056" s="19" t="n">
        <v>0</v>
      </c>
      <c r="D3056" s="19" t="n">
        <v>0.0378</v>
      </c>
      <c r="E3056" s="20" t="n">
        <f aca="false">Parametres!$B$5*C3056</f>
        <v>0</v>
      </c>
      <c r="F3056" s="20" t="n">
        <f aca="false">Parametres!$B$6*D3056</f>
        <v>7.56</v>
      </c>
      <c r="G3056" s="20" t="n">
        <f aca="false">E3056+F3056</f>
        <v>7.56</v>
      </c>
      <c r="H3056" s="20" t="n">
        <f aca="false">IF(G3056&lt;Parametres!$B$8*Parametres!$B$7,0,MIN(G3056,Parametres!$B$7))</f>
        <v>0</v>
      </c>
      <c r="I3056" s="20" t="n">
        <f aca="false">G3056-H3056</f>
        <v>7.56</v>
      </c>
      <c r="J3056" s="21" t="n">
        <f aca="false">H3056*1000/Parametres!$B$9</f>
        <v>0</v>
      </c>
    </row>
    <row r="3057" customFormat="false" ht="15" hidden="false" customHeight="false" outlineLevel="0" collapsed="false">
      <c r="A3057" s="0" t="n">
        <v>3053</v>
      </c>
      <c r="B3057" s="0" t="n">
        <v>5</v>
      </c>
      <c r="C3057" s="19" t="n">
        <v>0</v>
      </c>
      <c r="D3057" s="19" t="n">
        <v>0.0377</v>
      </c>
      <c r="E3057" s="20" t="n">
        <f aca="false">Parametres!$B$5*C3057</f>
        <v>0</v>
      </c>
      <c r="F3057" s="20" t="n">
        <f aca="false">Parametres!$B$6*D3057</f>
        <v>7.54</v>
      </c>
      <c r="G3057" s="20" t="n">
        <f aca="false">E3057+F3057</f>
        <v>7.54</v>
      </c>
      <c r="H3057" s="20" t="n">
        <f aca="false">IF(G3057&lt;Parametres!$B$8*Parametres!$B$7,0,MIN(G3057,Parametres!$B$7))</f>
        <v>0</v>
      </c>
      <c r="I3057" s="20" t="n">
        <f aca="false">G3057-H3057</f>
        <v>7.54</v>
      </c>
      <c r="J3057" s="21" t="n">
        <f aca="false">H3057*1000/Parametres!$B$9</f>
        <v>0</v>
      </c>
    </row>
    <row r="3058" customFormat="false" ht="15" hidden="false" customHeight="false" outlineLevel="0" collapsed="false">
      <c r="A3058" s="0" t="n">
        <v>3054</v>
      </c>
      <c r="B3058" s="0" t="n">
        <v>5</v>
      </c>
      <c r="C3058" s="19" t="n">
        <v>0.0188</v>
      </c>
      <c r="D3058" s="19" t="n">
        <v>0.038</v>
      </c>
      <c r="E3058" s="20" t="n">
        <f aca="false">Parametres!$B$5*C3058</f>
        <v>5.64</v>
      </c>
      <c r="F3058" s="20" t="n">
        <f aca="false">Parametres!$B$6*D3058</f>
        <v>7.6</v>
      </c>
      <c r="G3058" s="20" t="n">
        <f aca="false">E3058+F3058</f>
        <v>13.24</v>
      </c>
      <c r="H3058" s="20" t="n">
        <f aca="false">IF(G3058&lt;Parametres!$B$8*Parametres!$B$7,0,MIN(G3058,Parametres!$B$7))</f>
        <v>0</v>
      </c>
      <c r="I3058" s="20" t="n">
        <f aca="false">G3058-H3058</f>
        <v>13.24</v>
      </c>
      <c r="J3058" s="21" t="n">
        <f aca="false">H3058*1000/Parametres!$B$9</f>
        <v>0</v>
      </c>
    </row>
    <row r="3059" customFormat="false" ht="15" hidden="false" customHeight="false" outlineLevel="0" collapsed="false">
      <c r="A3059" s="0" t="n">
        <v>3055</v>
      </c>
      <c r="B3059" s="0" t="n">
        <v>5</v>
      </c>
      <c r="C3059" s="19" t="n">
        <v>0.2777</v>
      </c>
      <c r="D3059" s="19" t="n">
        <v>0.072</v>
      </c>
      <c r="E3059" s="20" t="n">
        <f aca="false">Parametres!$B$5*C3059</f>
        <v>83.31</v>
      </c>
      <c r="F3059" s="20" t="n">
        <f aca="false">Parametres!$B$6*D3059</f>
        <v>14.4</v>
      </c>
      <c r="G3059" s="20" t="n">
        <f aca="false">E3059+F3059</f>
        <v>97.71</v>
      </c>
      <c r="H3059" s="20" t="n">
        <f aca="false">IF(G3059&lt;Parametres!$B$8*Parametres!$B$7,0,MIN(G3059,Parametres!$B$7))</f>
        <v>97.71</v>
      </c>
      <c r="I3059" s="20" t="n">
        <f aca="false">G3059-H3059</f>
        <v>0</v>
      </c>
      <c r="J3059" s="21" t="n">
        <f aca="false">H3059*1000/Parametres!$B$9</f>
        <v>1656.94420891979</v>
      </c>
    </row>
    <row r="3060" customFormat="false" ht="15" hidden="false" customHeight="false" outlineLevel="0" collapsed="false">
      <c r="A3060" s="0" t="n">
        <v>3056</v>
      </c>
      <c r="B3060" s="0" t="n">
        <v>5</v>
      </c>
      <c r="C3060" s="19" t="n">
        <v>0.5732</v>
      </c>
      <c r="D3060" s="19" t="n">
        <v>0.0234</v>
      </c>
      <c r="E3060" s="20" t="n">
        <f aca="false">Parametres!$B$5*C3060</f>
        <v>171.96</v>
      </c>
      <c r="F3060" s="20" t="n">
        <f aca="false">Parametres!$B$6*D3060</f>
        <v>4.68</v>
      </c>
      <c r="G3060" s="20" t="n">
        <f aca="false">E3060+F3060</f>
        <v>176.64</v>
      </c>
      <c r="H3060" s="20" t="n">
        <f aca="false">IF(G3060&lt;Parametres!$B$8*Parametres!$B$7,0,MIN(G3060,Parametres!$B$7))</f>
        <v>176.64</v>
      </c>
      <c r="I3060" s="20" t="n">
        <f aca="false">G3060-H3060</f>
        <v>0</v>
      </c>
      <c r="J3060" s="21" t="n">
        <f aca="false">H3060*1000/Parametres!$B$9</f>
        <v>2995.42140071223</v>
      </c>
    </row>
    <row r="3061" customFormat="false" ht="15" hidden="false" customHeight="false" outlineLevel="0" collapsed="false">
      <c r="A3061" s="0" t="n">
        <v>3057</v>
      </c>
      <c r="B3061" s="0" t="n">
        <v>5</v>
      </c>
      <c r="C3061" s="19" t="n">
        <v>0.8117</v>
      </c>
      <c r="D3061" s="19" t="n">
        <v>0.027</v>
      </c>
      <c r="E3061" s="20" t="n">
        <f aca="false">Parametres!$B$5*C3061</f>
        <v>243.51</v>
      </c>
      <c r="F3061" s="20" t="n">
        <f aca="false">Parametres!$B$6*D3061</f>
        <v>5.4</v>
      </c>
      <c r="G3061" s="20" t="n">
        <f aca="false">E3061+F3061</f>
        <v>248.91</v>
      </c>
      <c r="H3061" s="20" t="n">
        <f aca="false">IF(G3061&lt;Parametres!$B$8*Parametres!$B$7,0,MIN(G3061,Parametres!$B$7))</f>
        <v>248.91</v>
      </c>
      <c r="I3061" s="20" t="n">
        <f aca="false">G3061-H3061</f>
        <v>0</v>
      </c>
      <c r="J3061" s="21" t="n">
        <f aca="false">H3061*1000/Parametres!$B$9</f>
        <v>4220.95981007292</v>
      </c>
    </row>
    <row r="3062" customFormat="false" ht="15" hidden="false" customHeight="false" outlineLevel="0" collapsed="false">
      <c r="A3062" s="0" t="n">
        <v>3058</v>
      </c>
      <c r="B3062" s="0" t="n">
        <v>5</v>
      </c>
      <c r="C3062" s="19" t="n">
        <v>1</v>
      </c>
      <c r="D3062" s="19" t="n">
        <v>0.0791</v>
      </c>
      <c r="E3062" s="20" t="n">
        <f aca="false">Parametres!$B$5*C3062</f>
        <v>300</v>
      </c>
      <c r="F3062" s="20" t="n">
        <f aca="false">Parametres!$B$6*D3062</f>
        <v>15.82</v>
      </c>
      <c r="G3062" s="20" t="n">
        <f aca="false">E3062+F3062</f>
        <v>315.82</v>
      </c>
      <c r="H3062" s="20" t="n">
        <f aca="false">IF(G3062&lt;Parametres!$B$8*Parametres!$B$7,0,MIN(G3062,Parametres!$B$7))</f>
        <v>250</v>
      </c>
      <c r="I3062" s="20" t="n">
        <f aca="false">G3062-H3062</f>
        <v>65.82</v>
      </c>
      <c r="J3062" s="21" t="n">
        <f aca="false">H3062*1000/Parametres!$B$9</f>
        <v>4239.44378497541</v>
      </c>
    </row>
    <row r="3063" customFormat="false" ht="15" hidden="false" customHeight="false" outlineLevel="0" collapsed="false">
      <c r="A3063" s="0" t="n">
        <v>3059</v>
      </c>
      <c r="B3063" s="0" t="n">
        <v>5</v>
      </c>
      <c r="C3063" s="19" t="n">
        <v>1</v>
      </c>
      <c r="D3063" s="19" t="n">
        <v>0.0982</v>
      </c>
      <c r="E3063" s="20" t="n">
        <f aca="false">Parametres!$B$5*C3063</f>
        <v>300</v>
      </c>
      <c r="F3063" s="20" t="n">
        <f aca="false">Parametres!$B$6*D3063</f>
        <v>19.64</v>
      </c>
      <c r="G3063" s="20" t="n">
        <f aca="false">E3063+F3063</f>
        <v>319.64</v>
      </c>
      <c r="H3063" s="20" t="n">
        <f aca="false">IF(G3063&lt;Parametres!$B$8*Parametres!$B$7,0,MIN(G3063,Parametres!$B$7))</f>
        <v>250</v>
      </c>
      <c r="I3063" s="20" t="n">
        <f aca="false">G3063-H3063</f>
        <v>69.64</v>
      </c>
      <c r="J3063" s="21" t="n">
        <f aca="false">H3063*1000/Parametres!$B$9</f>
        <v>4239.44378497541</v>
      </c>
    </row>
    <row r="3064" customFormat="false" ht="15" hidden="false" customHeight="false" outlineLevel="0" collapsed="false">
      <c r="A3064" s="0" t="n">
        <v>3060</v>
      </c>
      <c r="B3064" s="0" t="n">
        <v>5</v>
      </c>
      <c r="C3064" s="19" t="n">
        <v>1</v>
      </c>
      <c r="D3064" s="19" t="n">
        <v>0.2633</v>
      </c>
      <c r="E3064" s="20" t="n">
        <f aca="false">Parametres!$B$5*C3064</f>
        <v>300</v>
      </c>
      <c r="F3064" s="20" t="n">
        <f aca="false">Parametres!$B$6*D3064</f>
        <v>52.66</v>
      </c>
      <c r="G3064" s="20" t="n">
        <f aca="false">E3064+F3064</f>
        <v>352.66</v>
      </c>
      <c r="H3064" s="20" t="n">
        <f aca="false">IF(G3064&lt;Parametres!$B$8*Parametres!$B$7,0,MIN(G3064,Parametres!$B$7))</f>
        <v>250</v>
      </c>
      <c r="I3064" s="20" t="n">
        <f aca="false">G3064-H3064</f>
        <v>102.66</v>
      </c>
      <c r="J3064" s="21" t="n">
        <f aca="false">H3064*1000/Parametres!$B$9</f>
        <v>4239.44378497541</v>
      </c>
    </row>
    <row r="3065" customFormat="false" ht="15" hidden="false" customHeight="false" outlineLevel="0" collapsed="false">
      <c r="A3065" s="0" t="n">
        <v>3061</v>
      </c>
      <c r="B3065" s="0" t="n">
        <v>5</v>
      </c>
      <c r="C3065" s="19" t="n">
        <v>1</v>
      </c>
      <c r="D3065" s="19" t="n">
        <v>0.668</v>
      </c>
      <c r="E3065" s="20" t="n">
        <f aca="false">Parametres!$B$5*C3065</f>
        <v>300</v>
      </c>
      <c r="F3065" s="20" t="n">
        <f aca="false">Parametres!$B$6*D3065</f>
        <v>133.6</v>
      </c>
      <c r="G3065" s="20" t="n">
        <f aca="false">E3065+F3065</f>
        <v>433.6</v>
      </c>
      <c r="H3065" s="20" t="n">
        <f aca="false">IF(G3065&lt;Parametres!$B$8*Parametres!$B$7,0,MIN(G3065,Parametres!$B$7))</f>
        <v>250</v>
      </c>
      <c r="I3065" s="20" t="n">
        <f aca="false">G3065-H3065</f>
        <v>183.6</v>
      </c>
      <c r="J3065" s="21" t="n">
        <f aca="false">H3065*1000/Parametres!$B$9</f>
        <v>4239.44378497541</v>
      </c>
    </row>
    <row r="3066" customFormat="false" ht="15" hidden="false" customHeight="false" outlineLevel="0" collapsed="false">
      <c r="A3066" s="0" t="n">
        <v>3062</v>
      </c>
      <c r="B3066" s="0" t="n">
        <v>5</v>
      </c>
      <c r="C3066" s="19" t="n">
        <v>1</v>
      </c>
      <c r="D3066" s="19" t="n">
        <v>0.5996</v>
      </c>
      <c r="E3066" s="20" t="n">
        <f aca="false">Parametres!$B$5*C3066</f>
        <v>300</v>
      </c>
      <c r="F3066" s="20" t="n">
        <f aca="false">Parametres!$B$6*D3066</f>
        <v>119.92</v>
      </c>
      <c r="G3066" s="20" t="n">
        <f aca="false">E3066+F3066</f>
        <v>419.92</v>
      </c>
      <c r="H3066" s="20" t="n">
        <f aca="false">IF(G3066&lt;Parametres!$B$8*Parametres!$B$7,0,MIN(G3066,Parametres!$B$7))</f>
        <v>250</v>
      </c>
      <c r="I3066" s="20" t="n">
        <f aca="false">G3066-H3066</f>
        <v>169.92</v>
      </c>
      <c r="J3066" s="21" t="n">
        <f aca="false">H3066*1000/Parametres!$B$9</f>
        <v>4239.44378497541</v>
      </c>
    </row>
    <row r="3067" customFormat="false" ht="15" hidden="false" customHeight="false" outlineLevel="0" collapsed="false">
      <c r="A3067" s="0" t="n">
        <v>3063</v>
      </c>
      <c r="B3067" s="0" t="n">
        <v>5</v>
      </c>
      <c r="C3067" s="19" t="n">
        <v>1</v>
      </c>
      <c r="D3067" s="19" t="n">
        <v>1</v>
      </c>
      <c r="E3067" s="20" t="n">
        <f aca="false">Parametres!$B$5*C3067</f>
        <v>300</v>
      </c>
      <c r="F3067" s="20" t="n">
        <f aca="false">Parametres!$B$6*D3067</f>
        <v>200</v>
      </c>
      <c r="G3067" s="20" t="n">
        <f aca="false">E3067+F3067</f>
        <v>500</v>
      </c>
      <c r="H3067" s="20" t="n">
        <f aca="false">IF(G3067&lt;Parametres!$B$8*Parametres!$B$7,0,MIN(G3067,Parametres!$B$7))</f>
        <v>250</v>
      </c>
      <c r="I3067" s="20" t="n">
        <f aca="false">G3067-H3067</f>
        <v>250</v>
      </c>
      <c r="J3067" s="21" t="n">
        <f aca="false">H3067*1000/Parametres!$B$9</f>
        <v>4239.44378497541</v>
      </c>
    </row>
    <row r="3068" customFormat="false" ht="15" hidden="false" customHeight="false" outlineLevel="0" collapsed="false">
      <c r="A3068" s="0" t="n">
        <v>3064</v>
      </c>
      <c r="B3068" s="0" t="n">
        <v>5</v>
      </c>
      <c r="C3068" s="19" t="n">
        <v>0.9086</v>
      </c>
      <c r="D3068" s="19" t="n">
        <v>1</v>
      </c>
      <c r="E3068" s="20" t="n">
        <f aca="false">Parametres!$B$5*C3068</f>
        <v>272.58</v>
      </c>
      <c r="F3068" s="20" t="n">
        <f aca="false">Parametres!$B$6*D3068</f>
        <v>200</v>
      </c>
      <c r="G3068" s="20" t="n">
        <f aca="false">E3068+F3068</f>
        <v>472.58</v>
      </c>
      <c r="H3068" s="20" t="n">
        <f aca="false">IF(G3068&lt;Parametres!$B$8*Parametres!$B$7,0,MIN(G3068,Parametres!$B$7))</f>
        <v>250</v>
      </c>
      <c r="I3068" s="20" t="n">
        <f aca="false">G3068-H3068</f>
        <v>222.58</v>
      </c>
      <c r="J3068" s="21" t="n">
        <f aca="false">H3068*1000/Parametres!$B$9</f>
        <v>4239.44378497541</v>
      </c>
    </row>
    <row r="3069" customFormat="false" ht="15" hidden="false" customHeight="false" outlineLevel="0" collapsed="false">
      <c r="A3069" s="0" t="n">
        <v>3065</v>
      </c>
      <c r="B3069" s="0" t="n">
        <v>5</v>
      </c>
      <c r="C3069" s="19" t="n">
        <v>0.5338</v>
      </c>
      <c r="D3069" s="19" t="n">
        <v>1</v>
      </c>
      <c r="E3069" s="20" t="n">
        <f aca="false">Parametres!$B$5*C3069</f>
        <v>160.14</v>
      </c>
      <c r="F3069" s="20" t="n">
        <f aca="false">Parametres!$B$6*D3069</f>
        <v>200</v>
      </c>
      <c r="G3069" s="20" t="n">
        <f aca="false">E3069+F3069</f>
        <v>360.14</v>
      </c>
      <c r="H3069" s="20" t="n">
        <f aca="false">IF(G3069&lt;Parametres!$B$8*Parametres!$B$7,0,MIN(G3069,Parametres!$B$7))</f>
        <v>250</v>
      </c>
      <c r="I3069" s="20" t="n">
        <f aca="false">G3069-H3069</f>
        <v>110.14</v>
      </c>
      <c r="J3069" s="21" t="n">
        <f aca="false">H3069*1000/Parametres!$B$9</f>
        <v>4239.44378497541</v>
      </c>
    </row>
    <row r="3070" customFormat="false" ht="15" hidden="false" customHeight="false" outlineLevel="0" collapsed="false">
      <c r="A3070" s="0" t="n">
        <v>3066</v>
      </c>
      <c r="B3070" s="0" t="n">
        <v>5</v>
      </c>
      <c r="C3070" s="19" t="n">
        <v>0.2628</v>
      </c>
      <c r="D3070" s="19" t="n">
        <v>1</v>
      </c>
      <c r="E3070" s="20" t="n">
        <f aca="false">Parametres!$B$5*C3070</f>
        <v>78.84</v>
      </c>
      <c r="F3070" s="20" t="n">
        <f aca="false">Parametres!$B$6*D3070</f>
        <v>200</v>
      </c>
      <c r="G3070" s="20" t="n">
        <f aca="false">E3070+F3070</f>
        <v>278.84</v>
      </c>
      <c r="H3070" s="20" t="n">
        <f aca="false">IF(G3070&lt;Parametres!$B$8*Parametres!$B$7,0,MIN(G3070,Parametres!$B$7))</f>
        <v>250</v>
      </c>
      <c r="I3070" s="20" t="n">
        <f aca="false">G3070-H3070</f>
        <v>28.84</v>
      </c>
      <c r="J3070" s="21" t="n">
        <f aca="false">H3070*1000/Parametres!$B$9</f>
        <v>4239.44378497541</v>
      </c>
    </row>
    <row r="3071" customFormat="false" ht="15" hidden="false" customHeight="false" outlineLevel="0" collapsed="false">
      <c r="A3071" s="0" t="n">
        <v>3067</v>
      </c>
      <c r="B3071" s="0" t="n">
        <v>5</v>
      </c>
      <c r="C3071" s="19" t="n">
        <v>0.0193</v>
      </c>
      <c r="D3071" s="19" t="n">
        <v>0.962</v>
      </c>
      <c r="E3071" s="20" t="n">
        <f aca="false">Parametres!$B$5*C3071</f>
        <v>5.79</v>
      </c>
      <c r="F3071" s="20" t="n">
        <f aca="false">Parametres!$B$6*D3071</f>
        <v>192.4</v>
      </c>
      <c r="G3071" s="20" t="n">
        <f aca="false">E3071+F3071</f>
        <v>198.19</v>
      </c>
      <c r="H3071" s="20" t="n">
        <f aca="false">IF(G3071&lt;Parametres!$B$8*Parametres!$B$7,0,MIN(G3071,Parametres!$B$7))</f>
        <v>198.19</v>
      </c>
      <c r="I3071" s="20" t="n">
        <f aca="false">G3071-H3071</f>
        <v>0</v>
      </c>
      <c r="J3071" s="21" t="n">
        <f aca="false">H3071*1000/Parametres!$B$9</f>
        <v>3360.86145497711</v>
      </c>
    </row>
    <row r="3072" customFormat="false" ht="15" hidden="false" customHeight="false" outlineLevel="0" collapsed="false">
      <c r="A3072" s="0" t="n">
        <v>3068</v>
      </c>
      <c r="B3072" s="0" t="n">
        <v>5</v>
      </c>
      <c r="C3072" s="19" t="n">
        <v>0</v>
      </c>
      <c r="D3072" s="19" t="n">
        <v>0.6528</v>
      </c>
      <c r="E3072" s="20" t="n">
        <f aca="false">Parametres!$B$5*C3072</f>
        <v>0</v>
      </c>
      <c r="F3072" s="20" t="n">
        <f aca="false">Parametres!$B$6*D3072</f>
        <v>130.56</v>
      </c>
      <c r="G3072" s="20" t="n">
        <f aca="false">E3072+F3072</f>
        <v>130.56</v>
      </c>
      <c r="H3072" s="20" t="n">
        <f aca="false">IF(G3072&lt;Parametres!$B$8*Parametres!$B$7,0,MIN(G3072,Parametres!$B$7))</f>
        <v>130.56</v>
      </c>
      <c r="I3072" s="20" t="n">
        <f aca="false">G3072-H3072</f>
        <v>0</v>
      </c>
      <c r="J3072" s="21" t="n">
        <f aca="false">H3072*1000/Parametres!$B$9</f>
        <v>2214.00712226556</v>
      </c>
    </row>
    <row r="3073" customFormat="false" ht="15" hidden="false" customHeight="false" outlineLevel="0" collapsed="false">
      <c r="A3073" s="0" t="n">
        <v>3069</v>
      </c>
      <c r="B3073" s="0" t="n">
        <v>5</v>
      </c>
      <c r="C3073" s="19" t="n">
        <v>0</v>
      </c>
      <c r="D3073" s="19" t="n">
        <v>0.5507</v>
      </c>
      <c r="E3073" s="20" t="n">
        <f aca="false">Parametres!$B$5*C3073</f>
        <v>0</v>
      </c>
      <c r="F3073" s="20" t="n">
        <f aca="false">Parametres!$B$6*D3073</f>
        <v>110.14</v>
      </c>
      <c r="G3073" s="20" t="n">
        <f aca="false">E3073+F3073</f>
        <v>110.14</v>
      </c>
      <c r="H3073" s="20" t="n">
        <f aca="false">IF(G3073&lt;Parametres!$B$8*Parametres!$B$7,0,MIN(G3073,Parametres!$B$7))</f>
        <v>110.14</v>
      </c>
      <c r="I3073" s="20" t="n">
        <f aca="false">G3073-H3073</f>
        <v>0</v>
      </c>
      <c r="J3073" s="21" t="n">
        <f aca="false">H3073*1000/Parametres!$B$9</f>
        <v>1867.72935390877</v>
      </c>
    </row>
    <row r="3074" customFormat="false" ht="15" hidden="false" customHeight="false" outlineLevel="0" collapsed="false">
      <c r="A3074" s="0" t="n">
        <v>3070</v>
      </c>
      <c r="B3074" s="0" t="n">
        <v>5</v>
      </c>
      <c r="C3074" s="19" t="n">
        <v>0</v>
      </c>
      <c r="D3074" s="19" t="n">
        <v>0.6669</v>
      </c>
      <c r="E3074" s="20" t="n">
        <f aca="false">Parametres!$B$5*C3074</f>
        <v>0</v>
      </c>
      <c r="F3074" s="20" t="n">
        <f aca="false">Parametres!$B$6*D3074</f>
        <v>133.38</v>
      </c>
      <c r="G3074" s="20" t="n">
        <f aca="false">E3074+F3074</f>
        <v>133.38</v>
      </c>
      <c r="H3074" s="20" t="n">
        <f aca="false">IF(G3074&lt;Parametres!$B$8*Parametres!$B$7,0,MIN(G3074,Parametres!$B$7))</f>
        <v>133.38</v>
      </c>
      <c r="I3074" s="20" t="n">
        <f aca="false">G3074-H3074</f>
        <v>0</v>
      </c>
      <c r="J3074" s="21" t="n">
        <f aca="false">H3074*1000/Parametres!$B$9</f>
        <v>2261.82804816008</v>
      </c>
    </row>
    <row r="3075" customFormat="false" ht="15" hidden="false" customHeight="false" outlineLevel="0" collapsed="false">
      <c r="A3075" s="0" t="n">
        <v>3071</v>
      </c>
      <c r="B3075" s="0" t="n">
        <v>5</v>
      </c>
      <c r="C3075" s="19" t="n">
        <v>0</v>
      </c>
      <c r="D3075" s="19" t="n">
        <v>0.8602</v>
      </c>
      <c r="E3075" s="20" t="n">
        <f aca="false">Parametres!$B$5*C3075</f>
        <v>0</v>
      </c>
      <c r="F3075" s="20" t="n">
        <f aca="false">Parametres!$B$6*D3075</f>
        <v>172.04</v>
      </c>
      <c r="G3075" s="20" t="n">
        <f aca="false">E3075+F3075</f>
        <v>172.04</v>
      </c>
      <c r="H3075" s="20" t="n">
        <f aca="false">IF(G3075&lt;Parametres!$B$8*Parametres!$B$7,0,MIN(G3075,Parametres!$B$7))</f>
        <v>172.04</v>
      </c>
      <c r="I3075" s="20" t="n">
        <f aca="false">G3075-H3075</f>
        <v>0</v>
      </c>
      <c r="J3075" s="21" t="n">
        <f aca="false">H3075*1000/Parametres!$B$9</f>
        <v>2917.41563506868</v>
      </c>
    </row>
    <row r="3076" customFormat="false" ht="15" hidden="false" customHeight="false" outlineLevel="0" collapsed="false">
      <c r="A3076" s="0" t="n">
        <v>3072</v>
      </c>
      <c r="B3076" s="0" t="n">
        <v>5</v>
      </c>
      <c r="C3076" s="19" t="n">
        <v>0</v>
      </c>
      <c r="D3076" s="19" t="n">
        <v>0.6583</v>
      </c>
      <c r="E3076" s="20" t="n">
        <f aca="false">Parametres!$B$5*C3076</f>
        <v>0</v>
      </c>
      <c r="F3076" s="20" t="n">
        <f aca="false">Parametres!$B$6*D3076</f>
        <v>131.66</v>
      </c>
      <c r="G3076" s="20" t="n">
        <f aca="false">E3076+F3076</f>
        <v>131.66</v>
      </c>
      <c r="H3076" s="20" t="n">
        <f aca="false">IF(G3076&lt;Parametres!$B$8*Parametres!$B$7,0,MIN(G3076,Parametres!$B$7))</f>
        <v>131.66</v>
      </c>
      <c r="I3076" s="20" t="n">
        <f aca="false">G3076-H3076</f>
        <v>0</v>
      </c>
      <c r="J3076" s="21" t="n">
        <f aca="false">H3076*1000/Parametres!$B$9</f>
        <v>2232.66067491945</v>
      </c>
    </row>
    <row r="3077" customFormat="false" ht="15" hidden="false" customHeight="false" outlineLevel="0" collapsed="false">
      <c r="A3077" s="0" t="n">
        <v>3073</v>
      </c>
      <c r="B3077" s="0" t="n">
        <v>5</v>
      </c>
      <c r="C3077" s="19" t="n">
        <v>0</v>
      </c>
      <c r="D3077" s="19" t="n">
        <v>0.6759</v>
      </c>
      <c r="E3077" s="20" t="n">
        <f aca="false">Parametres!$B$5*C3077</f>
        <v>0</v>
      </c>
      <c r="F3077" s="20" t="n">
        <f aca="false">Parametres!$B$6*D3077</f>
        <v>135.18</v>
      </c>
      <c r="G3077" s="20" t="n">
        <f aca="false">E3077+F3077</f>
        <v>135.18</v>
      </c>
      <c r="H3077" s="20" t="n">
        <f aca="false">IF(G3077&lt;Parametres!$B$8*Parametres!$B$7,0,MIN(G3077,Parametres!$B$7))</f>
        <v>135.18</v>
      </c>
      <c r="I3077" s="20" t="n">
        <f aca="false">G3077-H3077</f>
        <v>0</v>
      </c>
      <c r="J3077" s="21" t="n">
        <f aca="false">H3077*1000/Parametres!$B$9</f>
        <v>2292.3520434119</v>
      </c>
    </row>
    <row r="3078" customFormat="false" ht="15" hidden="false" customHeight="false" outlineLevel="0" collapsed="false">
      <c r="A3078" s="0" t="n">
        <v>3074</v>
      </c>
      <c r="B3078" s="0" t="n">
        <v>5</v>
      </c>
      <c r="C3078" s="19" t="n">
        <v>0</v>
      </c>
      <c r="D3078" s="19" t="n">
        <v>0.685</v>
      </c>
      <c r="E3078" s="20" t="n">
        <f aca="false">Parametres!$B$5*C3078</f>
        <v>0</v>
      </c>
      <c r="F3078" s="20" t="n">
        <f aca="false">Parametres!$B$6*D3078</f>
        <v>137</v>
      </c>
      <c r="G3078" s="20" t="n">
        <f aca="false">E3078+F3078</f>
        <v>137</v>
      </c>
      <c r="H3078" s="20" t="n">
        <f aca="false">IF(G3078&lt;Parametres!$B$8*Parametres!$B$7,0,MIN(G3078,Parametres!$B$7))</f>
        <v>137</v>
      </c>
      <c r="I3078" s="20" t="n">
        <f aca="false">G3078-H3078</f>
        <v>0</v>
      </c>
      <c r="J3078" s="21" t="n">
        <f aca="false">H3078*1000/Parametres!$B$9</f>
        <v>2323.21519416653</v>
      </c>
    </row>
    <row r="3079" customFormat="false" ht="15" hidden="false" customHeight="false" outlineLevel="0" collapsed="false">
      <c r="A3079" s="0" t="n">
        <v>3075</v>
      </c>
      <c r="B3079" s="0" t="n">
        <v>5</v>
      </c>
      <c r="C3079" s="19" t="n">
        <v>0</v>
      </c>
      <c r="D3079" s="19" t="n">
        <v>0.277</v>
      </c>
      <c r="E3079" s="20" t="n">
        <f aca="false">Parametres!$B$5*C3079</f>
        <v>0</v>
      </c>
      <c r="F3079" s="20" t="n">
        <f aca="false">Parametres!$B$6*D3079</f>
        <v>55.4</v>
      </c>
      <c r="G3079" s="20" t="n">
        <f aca="false">E3079+F3079</f>
        <v>55.4</v>
      </c>
      <c r="H3079" s="20" t="n">
        <f aca="false">IF(G3079&lt;Parametres!$B$8*Parametres!$B$7,0,MIN(G3079,Parametres!$B$7))</f>
        <v>55.4</v>
      </c>
      <c r="I3079" s="20" t="n">
        <f aca="false">G3079-H3079</f>
        <v>0</v>
      </c>
      <c r="J3079" s="21" t="n">
        <f aca="false">H3079*1000/Parametres!$B$9</f>
        <v>939.460742750551</v>
      </c>
    </row>
    <row r="3080" customFormat="false" ht="15" hidden="false" customHeight="false" outlineLevel="0" collapsed="false">
      <c r="A3080" s="0" t="n">
        <v>3076</v>
      </c>
      <c r="B3080" s="0" t="n">
        <v>5</v>
      </c>
      <c r="C3080" s="19" t="n">
        <v>0</v>
      </c>
      <c r="D3080" s="19" t="n">
        <v>0.3339</v>
      </c>
      <c r="E3080" s="20" t="n">
        <f aca="false">Parametres!$B$5*C3080</f>
        <v>0</v>
      </c>
      <c r="F3080" s="20" t="n">
        <f aca="false">Parametres!$B$6*D3080</f>
        <v>66.78</v>
      </c>
      <c r="G3080" s="20" t="n">
        <f aca="false">E3080+F3080</f>
        <v>66.78</v>
      </c>
      <c r="H3080" s="20" t="n">
        <f aca="false">IF(G3080&lt;Parametres!$B$8*Parametres!$B$7,0,MIN(G3080,Parametres!$B$7))</f>
        <v>66.78</v>
      </c>
      <c r="I3080" s="20" t="n">
        <f aca="false">G3080-H3080</f>
        <v>0</v>
      </c>
      <c r="J3080" s="21" t="n">
        <f aca="false">H3080*1000/Parametres!$B$9</f>
        <v>1132.44022384263</v>
      </c>
    </row>
    <row r="3081" customFormat="false" ht="15" hidden="false" customHeight="false" outlineLevel="0" collapsed="false">
      <c r="A3081" s="0" t="n">
        <v>3077</v>
      </c>
      <c r="B3081" s="0" t="n">
        <v>5</v>
      </c>
      <c r="C3081" s="19" t="n">
        <v>0</v>
      </c>
      <c r="D3081" s="19" t="n">
        <v>0.2013</v>
      </c>
      <c r="E3081" s="20" t="n">
        <f aca="false">Parametres!$B$5*C3081</f>
        <v>0</v>
      </c>
      <c r="F3081" s="20" t="n">
        <f aca="false">Parametres!$B$6*D3081</f>
        <v>40.26</v>
      </c>
      <c r="G3081" s="20" t="n">
        <f aca="false">E3081+F3081</f>
        <v>40.26</v>
      </c>
      <c r="H3081" s="20" t="n">
        <f aca="false">IF(G3081&lt;Parametres!$B$8*Parametres!$B$7,0,MIN(G3081,Parametres!$B$7))</f>
        <v>40.26</v>
      </c>
      <c r="I3081" s="20" t="n">
        <f aca="false">G3081-H3081</f>
        <v>0</v>
      </c>
      <c r="J3081" s="21" t="n">
        <f aca="false">H3081*1000/Parametres!$B$9</f>
        <v>682.72002713244</v>
      </c>
    </row>
    <row r="3082" customFormat="false" ht="15" hidden="false" customHeight="false" outlineLevel="0" collapsed="false">
      <c r="A3082" s="0" t="n">
        <v>3078</v>
      </c>
      <c r="B3082" s="0" t="n">
        <v>5</v>
      </c>
      <c r="C3082" s="19" t="n">
        <v>0.0166</v>
      </c>
      <c r="D3082" s="19" t="n">
        <v>0.1238</v>
      </c>
      <c r="E3082" s="20" t="n">
        <f aca="false">Parametres!$B$5*C3082</f>
        <v>4.98</v>
      </c>
      <c r="F3082" s="20" t="n">
        <f aca="false">Parametres!$B$6*D3082</f>
        <v>24.76</v>
      </c>
      <c r="G3082" s="20" t="n">
        <f aca="false">E3082+F3082</f>
        <v>29.74</v>
      </c>
      <c r="H3082" s="20" t="n">
        <f aca="false">IF(G3082&lt;Parametres!$B$8*Parametres!$B$7,0,MIN(G3082,Parametres!$B$7))</f>
        <v>29.74</v>
      </c>
      <c r="I3082" s="20" t="n">
        <f aca="false">G3082-H3082</f>
        <v>0</v>
      </c>
      <c r="J3082" s="21" t="n">
        <f aca="false">H3082*1000/Parametres!$B$9</f>
        <v>504.324232660675</v>
      </c>
    </row>
    <row r="3083" customFormat="false" ht="15" hidden="false" customHeight="false" outlineLevel="0" collapsed="false">
      <c r="A3083" s="0" t="n">
        <v>3079</v>
      </c>
      <c r="B3083" s="0" t="n">
        <v>5</v>
      </c>
      <c r="C3083" s="19" t="n">
        <v>0.2219</v>
      </c>
      <c r="D3083" s="19" t="n">
        <v>0.1903</v>
      </c>
      <c r="E3083" s="20" t="n">
        <f aca="false">Parametres!$B$5*C3083</f>
        <v>66.57</v>
      </c>
      <c r="F3083" s="20" t="n">
        <f aca="false">Parametres!$B$6*D3083</f>
        <v>38.06</v>
      </c>
      <c r="G3083" s="20" t="n">
        <f aca="false">E3083+F3083</f>
        <v>104.63</v>
      </c>
      <c r="H3083" s="20" t="n">
        <f aca="false">IF(G3083&lt;Parametres!$B$8*Parametres!$B$7,0,MIN(G3083,Parametres!$B$7))</f>
        <v>104.63</v>
      </c>
      <c r="I3083" s="20" t="n">
        <f aca="false">G3083-H3083</f>
        <v>0</v>
      </c>
      <c r="J3083" s="21" t="n">
        <f aca="false">H3083*1000/Parametres!$B$9</f>
        <v>1774.29201288791</v>
      </c>
    </row>
    <row r="3084" customFormat="false" ht="15" hidden="false" customHeight="false" outlineLevel="0" collapsed="false">
      <c r="A3084" s="0" t="n">
        <v>3080</v>
      </c>
      <c r="B3084" s="0" t="n">
        <v>5</v>
      </c>
      <c r="C3084" s="19" t="n">
        <v>0.4481</v>
      </c>
      <c r="D3084" s="19" t="n">
        <v>0.3928</v>
      </c>
      <c r="E3084" s="20" t="n">
        <f aca="false">Parametres!$B$5*C3084</f>
        <v>134.43</v>
      </c>
      <c r="F3084" s="20" t="n">
        <f aca="false">Parametres!$B$6*D3084</f>
        <v>78.56</v>
      </c>
      <c r="G3084" s="20" t="n">
        <f aca="false">E3084+F3084</f>
        <v>212.99</v>
      </c>
      <c r="H3084" s="20" t="n">
        <f aca="false">IF(G3084&lt;Parametres!$B$8*Parametres!$B$7,0,MIN(G3084,Parametres!$B$7))</f>
        <v>212.99</v>
      </c>
      <c r="I3084" s="20" t="n">
        <f aca="false">G3084-H3084</f>
        <v>0</v>
      </c>
      <c r="J3084" s="21" t="n">
        <f aca="false">H3084*1000/Parametres!$B$9</f>
        <v>3611.83652704765</v>
      </c>
    </row>
    <row r="3085" customFormat="false" ht="15" hidden="false" customHeight="false" outlineLevel="0" collapsed="false">
      <c r="A3085" s="0" t="n">
        <v>3081</v>
      </c>
      <c r="B3085" s="0" t="n">
        <v>5</v>
      </c>
      <c r="C3085" s="19" t="n">
        <v>0.6103</v>
      </c>
      <c r="D3085" s="19" t="n">
        <v>0.2896</v>
      </c>
      <c r="E3085" s="20" t="n">
        <f aca="false">Parametres!$B$5*C3085</f>
        <v>183.09</v>
      </c>
      <c r="F3085" s="20" t="n">
        <f aca="false">Parametres!$B$6*D3085</f>
        <v>57.92</v>
      </c>
      <c r="G3085" s="20" t="n">
        <f aca="false">E3085+F3085</f>
        <v>241.01</v>
      </c>
      <c r="H3085" s="20" t="n">
        <f aca="false">IF(G3085&lt;Parametres!$B$8*Parametres!$B$7,0,MIN(G3085,Parametres!$B$7))</f>
        <v>241.01</v>
      </c>
      <c r="I3085" s="20" t="n">
        <f aca="false">G3085-H3085</f>
        <v>0</v>
      </c>
      <c r="J3085" s="21" t="n">
        <f aca="false">H3085*1000/Parametres!$B$9</f>
        <v>4086.9933864677</v>
      </c>
    </row>
    <row r="3086" customFormat="false" ht="15" hidden="false" customHeight="false" outlineLevel="0" collapsed="false">
      <c r="A3086" s="0" t="n">
        <v>3082</v>
      </c>
      <c r="B3086" s="0" t="n">
        <v>5</v>
      </c>
      <c r="C3086" s="19" t="n">
        <v>0.9555</v>
      </c>
      <c r="D3086" s="19" t="n">
        <v>0.2303</v>
      </c>
      <c r="E3086" s="20" t="n">
        <f aca="false">Parametres!$B$5*C3086</f>
        <v>286.65</v>
      </c>
      <c r="F3086" s="20" t="n">
        <f aca="false">Parametres!$B$6*D3086</f>
        <v>46.06</v>
      </c>
      <c r="G3086" s="20" t="n">
        <f aca="false">E3086+F3086</f>
        <v>332.71</v>
      </c>
      <c r="H3086" s="20" t="n">
        <f aca="false">IF(G3086&lt;Parametres!$B$8*Parametres!$B$7,0,MIN(G3086,Parametres!$B$7))</f>
        <v>250</v>
      </c>
      <c r="I3086" s="20" t="n">
        <f aca="false">G3086-H3086</f>
        <v>82.71</v>
      </c>
      <c r="J3086" s="21" t="n">
        <f aca="false">H3086*1000/Parametres!$B$9</f>
        <v>4239.44378497541</v>
      </c>
    </row>
    <row r="3087" customFormat="false" ht="15" hidden="false" customHeight="false" outlineLevel="0" collapsed="false">
      <c r="A3087" s="0" t="n">
        <v>3083</v>
      </c>
      <c r="B3087" s="0" t="n">
        <v>5</v>
      </c>
      <c r="C3087" s="19" t="n">
        <v>1</v>
      </c>
      <c r="D3087" s="19" t="n">
        <v>0.175</v>
      </c>
      <c r="E3087" s="20" t="n">
        <f aca="false">Parametres!$B$5*C3087</f>
        <v>300</v>
      </c>
      <c r="F3087" s="20" t="n">
        <f aca="false">Parametres!$B$6*D3087</f>
        <v>35</v>
      </c>
      <c r="G3087" s="20" t="n">
        <f aca="false">E3087+F3087</f>
        <v>335</v>
      </c>
      <c r="H3087" s="20" t="n">
        <f aca="false">IF(G3087&lt;Parametres!$B$8*Parametres!$B$7,0,MIN(G3087,Parametres!$B$7))</f>
        <v>250</v>
      </c>
      <c r="I3087" s="20" t="n">
        <f aca="false">G3087-H3087</f>
        <v>85</v>
      </c>
      <c r="J3087" s="21" t="n">
        <f aca="false">H3087*1000/Parametres!$B$9</f>
        <v>4239.44378497541</v>
      </c>
    </row>
    <row r="3088" customFormat="false" ht="15" hidden="false" customHeight="false" outlineLevel="0" collapsed="false">
      <c r="A3088" s="0" t="n">
        <v>3084</v>
      </c>
      <c r="B3088" s="0" t="n">
        <v>5</v>
      </c>
      <c r="C3088" s="19" t="n">
        <v>1</v>
      </c>
      <c r="D3088" s="19" t="n">
        <v>0.1578</v>
      </c>
      <c r="E3088" s="20" t="n">
        <f aca="false">Parametres!$B$5*C3088</f>
        <v>300</v>
      </c>
      <c r="F3088" s="20" t="n">
        <f aca="false">Parametres!$B$6*D3088</f>
        <v>31.56</v>
      </c>
      <c r="G3088" s="20" t="n">
        <f aca="false">E3088+F3088</f>
        <v>331.56</v>
      </c>
      <c r="H3088" s="20" t="n">
        <f aca="false">IF(G3088&lt;Parametres!$B$8*Parametres!$B$7,0,MIN(G3088,Parametres!$B$7))</f>
        <v>250</v>
      </c>
      <c r="I3088" s="20" t="n">
        <f aca="false">G3088-H3088</f>
        <v>81.56</v>
      </c>
      <c r="J3088" s="21" t="n">
        <f aca="false">H3088*1000/Parametres!$B$9</f>
        <v>4239.44378497541</v>
      </c>
    </row>
    <row r="3089" customFormat="false" ht="15" hidden="false" customHeight="false" outlineLevel="0" collapsed="false">
      <c r="A3089" s="0" t="n">
        <v>3085</v>
      </c>
      <c r="B3089" s="0" t="n">
        <v>5</v>
      </c>
      <c r="C3089" s="19" t="n">
        <v>1</v>
      </c>
      <c r="D3089" s="19" t="n">
        <v>0.1499</v>
      </c>
      <c r="E3089" s="20" t="n">
        <f aca="false">Parametres!$B$5*C3089</f>
        <v>300</v>
      </c>
      <c r="F3089" s="20" t="n">
        <f aca="false">Parametres!$B$6*D3089</f>
        <v>29.98</v>
      </c>
      <c r="G3089" s="20" t="n">
        <f aca="false">E3089+F3089</f>
        <v>329.98</v>
      </c>
      <c r="H3089" s="20" t="n">
        <f aca="false">IF(G3089&lt;Parametres!$B$8*Parametres!$B$7,0,MIN(G3089,Parametres!$B$7))</f>
        <v>250</v>
      </c>
      <c r="I3089" s="20" t="n">
        <f aca="false">G3089-H3089</f>
        <v>79.98</v>
      </c>
      <c r="J3089" s="21" t="n">
        <f aca="false">H3089*1000/Parametres!$B$9</f>
        <v>4239.44378497541</v>
      </c>
    </row>
    <row r="3090" customFormat="false" ht="15" hidden="false" customHeight="false" outlineLevel="0" collapsed="false">
      <c r="A3090" s="0" t="n">
        <v>3086</v>
      </c>
      <c r="B3090" s="0" t="n">
        <v>5</v>
      </c>
      <c r="C3090" s="19" t="n">
        <v>0.9816</v>
      </c>
      <c r="D3090" s="19" t="n">
        <v>0.1098</v>
      </c>
      <c r="E3090" s="20" t="n">
        <f aca="false">Parametres!$B$5*C3090</f>
        <v>294.48</v>
      </c>
      <c r="F3090" s="20" t="n">
        <f aca="false">Parametres!$B$6*D3090</f>
        <v>21.96</v>
      </c>
      <c r="G3090" s="20" t="n">
        <f aca="false">E3090+F3090</f>
        <v>316.44</v>
      </c>
      <c r="H3090" s="20" t="n">
        <f aca="false">IF(G3090&lt;Parametres!$B$8*Parametres!$B$7,0,MIN(G3090,Parametres!$B$7))</f>
        <v>250</v>
      </c>
      <c r="I3090" s="20" t="n">
        <f aca="false">G3090-H3090</f>
        <v>66.44</v>
      </c>
      <c r="J3090" s="21" t="n">
        <f aca="false">H3090*1000/Parametres!$B$9</f>
        <v>4239.44378497541</v>
      </c>
    </row>
    <row r="3091" customFormat="false" ht="15" hidden="false" customHeight="false" outlineLevel="0" collapsed="false">
      <c r="A3091" s="0" t="n">
        <v>3087</v>
      </c>
      <c r="B3091" s="0" t="n">
        <v>5</v>
      </c>
      <c r="C3091" s="19" t="n">
        <v>0.9532</v>
      </c>
      <c r="D3091" s="19" t="n">
        <v>0.0451</v>
      </c>
      <c r="E3091" s="20" t="n">
        <f aca="false">Parametres!$B$5*C3091</f>
        <v>285.96</v>
      </c>
      <c r="F3091" s="20" t="n">
        <f aca="false">Parametres!$B$6*D3091</f>
        <v>9.02</v>
      </c>
      <c r="G3091" s="20" t="n">
        <f aca="false">E3091+F3091</f>
        <v>294.98</v>
      </c>
      <c r="H3091" s="20" t="n">
        <f aca="false">IF(G3091&lt;Parametres!$B$8*Parametres!$B$7,0,MIN(G3091,Parametres!$B$7))</f>
        <v>250</v>
      </c>
      <c r="I3091" s="20" t="n">
        <f aca="false">G3091-H3091</f>
        <v>44.98</v>
      </c>
      <c r="J3091" s="21" t="n">
        <f aca="false">H3091*1000/Parametres!$B$9</f>
        <v>4239.44378497541</v>
      </c>
    </row>
    <row r="3092" customFormat="false" ht="15" hidden="false" customHeight="false" outlineLevel="0" collapsed="false">
      <c r="A3092" s="0" t="n">
        <v>3088</v>
      </c>
      <c r="B3092" s="0" t="n">
        <v>5</v>
      </c>
      <c r="C3092" s="19" t="n">
        <v>0.6892</v>
      </c>
      <c r="D3092" s="19" t="n">
        <v>0.1406</v>
      </c>
      <c r="E3092" s="20" t="n">
        <f aca="false">Parametres!$B$5*C3092</f>
        <v>206.76</v>
      </c>
      <c r="F3092" s="20" t="n">
        <f aca="false">Parametres!$B$6*D3092</f>
        <v>28.12</v>
      </c>
      <c r="G3092" s="20" t="n">
        <f aca="false">E3092+F3092</f>
        <v>234.88</v>
      </c>
      <c r="H3092" s="20" t="n">
        <f aca="false">IF(G3092&lt;Parametres!$B$8*Parametres!$B$7,0,MIN(G3092,Parametres!$B$7))</f>
        <v>234.88</v>
      </c>
      <c r="I3092" s="20" t="n">
        <f aca="false">G3092-H3092</f>
        <v>0</v>
      </c>
      <c r="J3092" s="21" t="n">
        <f aca="false">H3092*1000/Parametres!$B$9</f>
        <v>3983.0422248601</v>
      </c>
    </row>
    <row r="3093" customFormat="false" ht="15" hidden="false" customHeight="false" outlineLevel="0" collapsed="false">
      <c r="A3093" s="0" t="n">
        <v>3089</v>
      </c>
      <c r="B3093" s="0" t="n">
        <v>5</v>
      </c>
      <c r="C3093" s="19" t="n">
        <v>0.4307</v>
      </c>
      <c r="D3093" s="19" t="n">
        <v>0.1103</v>
      </c>
      <c r="E3093" s="20" t="n">
        <f aca="false">Parametres!$B$5*C3093</f>
        <v>129.21</v>
      </c>
      <c r="F3093" s="20" t="n">
        <f aca="false">Parametres!$B$6*D3093</f>
        <v>22.06</v>
      </c>
      <c r="G3093" s="20" t="n">
        <f aca="false">E3093+F3093</f>
        <v>151.27</v>
      </c>
      <c r="H3093" s="20" t="n">
        <f aca="false">IF(G3093&lt;Parametres!$B$8*Parametres!$B$7,0,MIN(G3093,Parametres!$B$7))</f>
        <v>151.27</v>
      </c>
      <c r="I3093" s="20" t="n">
        <f aca="false">G3093-H3093</f>
        <v>0</v>
      </c>
      <c r="J3093" s="21" t="n">
        <f aca="false">H3093*1000/Parametres!$B$9</f>
        <v>2565.20264541292</v>
      </c>
    </row>
    <row r="3094" customFormat="false" ht="15" hidden="false" customHeight="false" outlineLevel="0" collapsed="false">
      <c r="A3094" s="0" t="n">
        <v>3090</v>
      </c>
      <c r="B3094" s="0" t="n">
        <v>5</v>
      </c>
      <c r="C3094" s="19" t="n">
        <v>0.2308</v>
      </c>
      <c r="D3094" s="19" t="n">
        <v>0.0701</v>
      </c>
      <c r="E3094" s="20" t="n">
        <f aca="false">Parametres!$B$5*C3094</f>
        <v>69.24</v>
      </c>
      <c r="F3094" s="20" t="n">
        <f aca="false">Parametres!$B$6*D3094</f>
        <v>14.02</v>
      </c>
      <c r="G3094" s="20" t="n">
        <f aca="false">E3094+F3094</f>
        <v>83.26</v>
      </c>
      <c r="H3094" s="20" t="n">
        <f aca="false">IF(G3094&lt;Parametres!$B$8*Parametres!$B$7,0,MIN(G3094,Parametres!$B$7))</f>
        <v>83.26</v>
      </c>
      <c r="I3094" s="20" t="n">
        <f aca="false">G3094-H3094</f>
        <v>0</v>
      </c>
      <c r="J3094" s="21" t="n">
        <f aca="false">H3094*1000/Parametres!$B$9</f>
        <v>1411.90435814821</v>
      </c>
    </row>
    <row r="3095" customFormat="false" ht="15" hidden="false" customHeight="false" outlineLevel="0" collapsed="false">
      <c r="A3095" s="0" t="n">
        <v>3091</v>
      </c>
      <c r="B3095" s="0" t="n">
        <v>5</v>
      </c>
      <c r="C3095" s="19" t="n">
        <v>0.0176</v>
      </c>
      <c r="D3095" s="19" t="n">
        <v>0.1136</v>
      </c>
      <c r="E3095" s="20" t="n">
        <f aca="false">Parametres!$B$5*C3095</f>
        <v>5.28</v>
      </c>
      <c r="F3095" s="20" t="n">
        <f aca="false">Parametres!$B$6*D3095</f>
        <v>22.72</v>
      </c>
      <c r="G3095" s="20" t="n">
        <f aca="false">E3095+F3095</f>
        <v>28</v>
      </c>
      <c r="H3095" s="20" t="n">
        <f aca="false">IF(G3095&lt;Parametres!$B$8*Parametres!$B$7,0,MIN(G3095,Parametres!$B$7))</f>
        <v>28</v>
      </c>
      <c r="I3095" s="20" t="n">
        <f aca="false">G3095-H3095</f>
        <v>0</v>
      </c>
      <c r="J3095" s="21" t="n">
        <f aca="false">H3095*1000/Parametres!$B$9</f>
        <v>474.817703917246</v>
      </c>
    </row>
    <row r="3096" customFormat="false" ht="15" hidden="false" customHeight="false" outlineLevel="0" collapsed="false">
      <c r="A3096" s="0" t="n">
        <v>3092</v>
      </c>
      <c r="B3096" s="0" t="n">
        <v>5</v>
      </c>
      <c r="C3096" s="19" t="n">
        <v>0</v>
      </c>
      <c r="D3096" s="19" t="n">
        <v>0.0853</v>
      </c>
      <c r="E3096" s="20" t="n">
        <f aca="false">Parametres!$B$5*C3096</f>
        <v>0</v>
      </c>
      <c r="F3096" s="20" t="n">
        <f aca="false">Parametres!$B$6*D3096</f>
        <v>17.06</v>
      </c>
      <c r="G3096" s="20" t="n">
        <f aca="false">E3096+F3096</f>
        <v>17.06</v>
      </c>
      <c r="H3096" s="20" t="n">
        <f aca="false">IF(G3096&lt;Parametres!$B$8*Parametres!$B$7,0,MIN(G3096,Parametres!$B$7))</f>
        <v>0</v>
      </c>
      <c r="I3096" s="20" t="n">
        <f aca="false">G3096-H3096</f>
        <v>17.06</v>
      </c>
      <c r="J3096" s="21" t="n">
        <f aca="false">H3096*1000/Parametres!$B$9</f>
        <v>0</v>
      </c>
    </row>
    <row r="3097" customFormat="false" ht="15" hidden="false" customHeight="false" outlineLevel="0" collapsed="false">
      <c r="A3097" s="0" t="n">
        <v>3093</v>
      </c>
      <c r="B3097" s="0" t="n">
        <v>5</v>
      </c>
      <c r="C3097" s="19" t="n">
        <v>0</v>
      </c>
      <c r="D3097" s="19" t="n">
        <v>0.1378</v>
      </c>
      <c r="E3097" s="20" t="n">
        <f aca="false">Parametres!$B$5*C3097</f>
        <v>0</v>
      </c>
      <c r="F3097" s="20" t="n">
        <f aca="false">Parametres!$B$6*D3097</f>
        <v>27.56</v>
      </c>
      <c r="G3097" s="20" t="n">
        <f aca="false">E3097+F3097</f>
        <v>27.56</v>
      </c>
      <c r="H3097" s="20" t="n">
        <f aca="false">IF(G3097&lt;Parametres!$B$8*Parametres!$B$7,0,MIN(G3097,Parametres!$B$7))</f>
        <v>27.56</v>
      </c>
      <c r="I3097" s="20" t="n">
        <f aca="false">G3097-H3097</f>
        <v>0</v>
      </c>
      <c r="J3097" s="21" t="n">
        <f aca="false">H3097*1000/Parametres!$B$9</f>
        <v>467.356282855689</v>
      </c>
    </row>
    <row r="3098" customFormat="false" ht="15" hidden="false" customHeight="false" outlineLevel="0" collapsed="false">
      <c r="A3098" s="0" t="n">
        <v>3094</v>
      </c>
      <c r="B3098" s="0" t="n">
        <v>5</v>
      </c>
      <c r="C3098" s="19" t="n">
        <v>0</v>
      </c>
      <c r="D3098" s="19" t="n">
        <v>0.1768</v>
      </c>
      <c r="E3098" s="20" t="n">
        <f aca="false">Parametres!$B$5*C3098</f>
        <v>0</v>
      </c>
      <c r="F3098" s="20" t="n">
        <f aca="false">Parametres!$B$6*D3098</f>
        <v>35.36</v>
      </c>
      <c r="G3098" s="20" t="n">
        <f aca="false">E3098+F3098</f>
        <v>35.36</v>
      </c>
      <c r="H3098" s="20" t="n">
        <f aca="false">IF(G3098&lt;Parametres!$B$8*Parametres!$B$7,0,MIN(G3098,Parametres!$B$7))</f>
        <v>35.36</v>
      </c>
      <c r="I3098" s="20" t="n">
        <f aca="false">G3098-H3098</f>
        <v>0</v>
      </c>
      <c r="J3098" s="21" t="n">
        <f aca="false">H3098*1000/Parametres!$B$9</f>
        <v>599.626928946922</v>
      </c>
    </row>
    <row r="3099" customFormat="false" ht="15" hidden="false" customHeight="false" outlineLevel="0" collapsed="false">
      <c r="A3099" s="0" t="n">
        <v>3095</v>
      </c>
      <c r="B3099" s="0" t="n">
        <v>5</v>
      </c>
      <c r="C3099" s="19" t="n">
        <v>0</v>
      </c>
      <c r="D3099" s="19" t="n">
        <v>0.2366</v>
      </c>
      <c r="E3099" s="20" t="n">
        <f aca="false">Parametres!$B$5*C3099</f>
        <v>0</v>
      </c>
      <c r="F3099" s="20" t="n">
        <f aca="false">Parametres!$B$6*D3099</f>
        <v>47.32</v>
      </c>
      <c r="G3099" s="20" t="n">
        <f aca="false">E3099+F3099</f>
        <v>47.32</v>
      </c>
      <c r="H3099" s="20" t="n">
        <f aca="false">IF(G3099&lt;Parametres!$B$8*Parametres!$B$7,0,MIN(G3099,Parametres!$B$7))</f>
        <v>47.32</v>
      </c>
      <c r="I3099" s="20" t="n">
        <f aca="false">G3099-H3099</f>
        <v>0</v>
      </c>
      <c r="J3099" s="21" t="n">
        <f aca="false">H3099*1000/Parametres!$B$9</f>
        <v>802.441919620146</v>
      </c>
    </row>
    <row r="3100" customFormat="false" ht="15" hidden="false" customHeight="false" outlineLevel="0" collapsed="false">
      <c r="A3100" s="0" t="n">
        <v>3096</v>
      </c>
      <c r="B3100" s="0" t="n">
        <v>5</v>
      </c>
      <c r="C3100" s="19" t="n">
        <v>0</v>
      </c>
      <c r="D3100" s="19" t="n">
        <v>0.1696</v>
      </c>
      <c r="E3100" s="20" t="n">
        <f aca="false">Parametres!$B$5*C3100</f>
        <v>0</v>
      </c>
      <c r="F3100" s="20" t="n">
        <f aca="false">Parametres!$B$6*D3100</f>
        <v>33.92</v>
      </c>
      <c r="G3100" s="20" t="n">
        <f aca="false">E3100+F3100</f>
        <v>33.92</v>
      </c>
      <c r="H3100" s="20" t="n">
        <f aca="false">IF(G3100&lt;Parametres!$B$8*Parametres!$B$7,0,MIN(G3100,Parametres!$B$7))</f>
        <v>33.92</v>
      </c>
      <c r="I3100" s="20" t="n">
        <f aca="false">G3100-H3100</f>
        <v>0</v>
      </c>
      <c r="J3100" s="21" t="n">
        <f aca="false">H3100*1000/Parametres!$B$9</f>
        <v>575.207732745464</v>
      </c>
    </row>
    <row r="3101" customFormat="false" ht="15" hidden="false" customHeight="false" outlineLevel="0" collapsed="false">
      <c r="A3101" s="0" t="n">
        <v>3097</v>
      </c>
      <c r="B3101" s="0" t="n">
        <v>5</v>
      </c>
      <c r="C3101" s="19" t="n">
        <v>0</v>
      </c>
      <c r="D3101" s="19" t="n">
        <v>0.1942</v>
      </c>
      <c r="E3101" s="20" t="n">
        <f aca="false">Parametres!$B$5*C3101</f>
        <v>0</v>
      </c>
      <c r="F3101" s="20" t="n">
        <f aca="false">Parametres!$B$6*D3101</f>
        <v>38.84</v>
      </c>
      <c r="G3101" s="20" t="n">
        <f aca="false">E3101+F3101</f>
        <v>38.84</v>
      </c>
      <c r="H3101" s="20" t="n">
        <f aca="false">IF(G3101&lt;Parametres!$B$8*Parametres!$B$7,0,MIN(G3101,Parametres!$B$7))</f>
        <v>38.84</v>
      </c>
      <c r="I3101" s="20" t="n">
        <f aca="false">G3101-H3101</f>
        <v>0</v>
      </c>
      <c r="J3101" s="21" t="n">
        <f aca="false">H3101*1000/Parametres!$B$9</f>
        <v>658.63998643378</v>
      </c>
    </row>
    <row r="3102" customFormat="false" ht="15" hidden="false" customHeight="false" outlineLevel="0" collapsed="false">
      <c r="A3102" s="0" t="n">
        <v>3098</v>
      </c>
      <c r="B3102" s="0" t="n">
        <v>5</v>
      </c>
      <c r="C3102" s="19" t="n">
        <v>0</v>
      </c>
      <c r="D3102" s="19" t="n">
        <v>0.0802</v>
      </c>
      <c r="E3102" s="20" t="n">
        <f aca="false">Parametres!$B$5*C3102</f>
        <v>0</v>
      </c>
      <c r="F3102" s="20" t="n">
        <f aca="false">Parametres!$B$6*D3102</f>
        <v>16.04</v>
      </c>
      <c r="G3102" s="20" t="n">
        <f aca="false">E3102+F3102</f>
        <v>16.04</v>
      </c>
      <c r="H3102" s="20" t="n">
        <f aca="false">IF(G3102&lt;Parametres!$B$8*Parametres!$B$7,0,MIN(G3102,Parametres!$B$7))</f>
        <v>0</v>
      </c>
      <c r="I3102" s="20" t="n">
        <f aca="false">G3102-H3102</f>
        <v>16.04</v>
      </c>
      <c r="J3102" s="21" t="n">
        <f aca="false">H3102*1000/Parametres!$B$9</f>
        <v>0</v>
      </c>
    </row>
    <row r="3103" customFormat="false" ht="15" hidden="false" customHeight="false" outlineLevel="0" collapsed="false">
      <c r="A3103" s="0" t="n">
        <v>3099</v>
      </c>
      <c r="B3103" s="0" t="n">
        <v>5</v>
      </c>
      <c r="C3103" s="19" t="n">
        <v>0</v>
      </c>
      <c r="D3103" s="19" t="n">
        <v>0.0313</v>
      </c>
      <c r="E3103" s="20" t="n">
        <f aca="false">Parametres!$B$5*C3103</f>
        <v>0</v>
      </c>
      <c r="F3103" s="20" t="n">
        <f aca="false">Parametres!$B$6*D3103</f>
        <v>6.26</v>
      </c>
      <c r="G3103" s="20" t="n">
        <f aca="false">E3103+F3103</f>
        <v>6.26</v>
      </c>
      <c r="H3103" s="20" t="n">
        <f aca="false">IF(G3103&lt;Parametres!$B$8*Parametres!$B$7,0,MIN(G3103,Parametres!$B$7))</f>
        <v>0</v>
      </c>
      <c r="I3103" s="20" t="n">
        <f aca="false">G3103-H3103</f>
        <v>6.26</v>
      </c>
      <c r="J3103" s="21" t="n">
        <f aca="false">H3103*1000/Parametres!$B$9</f>
        <v>0</v>
      </c>
    </row>
    <row r="3104" customFormat="false" ht="15" hidden="false" customHeight="false" outlineLevel="0" collapsed="false">
      <c r="A3104" s="0" t="n">
        <v>3100</v>
      </c>
      <c r="B3104" s="0" t="n">
        <v>5</v>
      </c>
      <c r="C3104" s="19" t="n">
        <v>0</v>
      </c>
      <c r="D3104" s="19" t="n">
        <v>0.0306</v>
      </c>
      <c r="E3104" s="20" t="n">
        <f aca="false">Parametres!$B$5*C3104</f>
        <v>0</v>
      </c>
      <c r="F3104" s="20" t="n">
        <f aca="false">Parametres!$B$6*D3104</f>
        <v>6.12</v>
      </c>
      <c r="G3104" s="20" t="n">
        <f aca="false">E3104+F3104</f>
        <v>6.12</v>
      </c>
      <c r="H3104" s="20" t="n">
        <f aca="false">IF(G3104&lt;Parametres!$B$8*Parametres!$B$7,0,MIN(G3104,Parametres!$B$7))</f>
        <v>0</v>
      </c>
      <c r="I3104" s="20" t="n">
        <f aca="false">G3104-H3104</f>
        <v>6.12</v>
      </c>
      <c r="J3104" s="21" t="n">
        <f aca="false">H3104*1000/Parametres!$B$9</f>
        <v>0</v>
      </c>
    </row>
    <row r="3105" customFormat="false" ht="15" hidden="false" customHeight="false" outlineLevel="0" collapsed="false">
      <c r="A3105" s="0" t="n">
        <v>3101</v>
      </c>
      <c r="B3105" s="0" t="n">
        <v>5</v>
      </c>
      <c r="C3105" s="19" t="n">
        <v>0</v>
      </c>
      <c r="D3105" s="19" t="n">
        <v>0.0243</v>
      </c>
      <c r="E3105" s="20" t="n">
        <f aca="false">Parametres!$B$5*C3105</f>
        <v>0</v>
      </c>
      <c r="F3105" s="20" t="n">
        <f aca="false">Parametres!$B$6*D3105</f>
        <v>4.86</v>
      </c>
      <c r="G3105" s="20" t="n">
        <f aca="false">E3105+F3105</f>
        <v>4.86</v>
      </c>
      <c r="H3105" s="20" t="n">
        <f aca="false">IF(G3105&lt;Parametres!$B$8*Parametres!$B$7,0,MIN(G3105,Parametres!$B$7))</f>
        <v>0</v>
      </c>
      <c r="I3105" s="20" t="n">
        <f aca="false">G3105-H3105</f>
        <v>4.86</v>
      </c>
      <c r="J3105" s="21" t="n">
        <f aca="false">H3105*1000/Parametres!$B$9</f>
        <v>0</v>
      </c>
    </row>
    <row r="3106" customFormat="false" ht="15" hidden="false" customHeight="false" outlineLevel="0" collapsed="false">
      <c r="A3106" s="0" t="n">
        <v>3102</v>
      </c>
      <c r="B3106" s="0" t="n">
        <v>5</v>
      </c>
      <c r="C3106" s="19" t="n">
        <v>0.0198</v>
      </c>
      <c r="D3106" s="19" t="n">
        <v>0.0594</v>
      </c>
      <c r="E3106" s="20" t="n">
        <f aca="false">Parametres!$B$5*C3106</f>
        <v>5.94</v>
      </c>
      <c r="F3106" s="20" t="n">
        <f aca="false">Parametres!$B$6*D3106</f>
        <v>11.88</v>
      </c>
      <c r="G3106" s="20" t="n">
        <f aca="false">E3106+F3106</f>
        <v>17.82</v>
      </c>
      <c r="H3106" s="20" t="n">
        <f aca="false">IF(G3106&lt;Parametres!$B$8*Parametres!$B$7,0,MIN(G3106,Parametres!$B$7))</f>
        <v>0</v>
      </c>
      <c r="I3106" s="20" t="n">
        <f aca="false">G3106-H3106</f>
        <v>17.82</v>
      </c>
      <c r="J3106" s="21" t="n">
        <f aca="false">H3106*1000/Parametres!$B$9</f>
        <v>0</v>
      </c>
    </row>
    <row r="3107" customFormat="false" ht="15" hidden="false" customHeight="false" outlineLevel="0" collapsed="false">
      <c r="A3107" s="0" t="n">
        <v>3103</v>
      </c>
      <c r="B3107" s="0" t="n">
        <v>5</v>
      </c>
      <c r="C3107" s="19" t="n">
        <v>0.2434</v>
      </c>
      <c r="D3107" s="19" t="n">
        <v>0.055</v>
      </c>
      <c r="E3107" s="20" t="n">
        <f aca="false">Parametres!$B$5*C3107</f>
        <v>73.02</v>
      </c>
      <c r="F3107" s="20" t="n">
        <f aca="false">Parametres!$B$6*D3107</f>
        <v>11</v>
      </c>
      <c r="G3107" s="20" t="n">
        <f aca="false">E3107+F3107</f>
        <v>84.02</v>
      </c>
      <c r="H3107" s="20" t="n">
        <f aca="false">IF(G3107&lt;Parametres!$B$8*Parametres!$B$7,0,MIN(G3107,Parametres!$B$7))</f>
        <v>84.02</v>
      </c>
      <c r="I3107" s="20" t="n">
        <f aca="false">G3107-H3107</f>
        <v>0</v>
      </c>
      <c r="J3107" s="21" t="n">
        <f aca="false">H3107*1000/Parametres!$B$9</f>
        <v>1424.79226725454</v>
      </c>
    </row>
    <row r="3108" customFormat="false" ht="15" hidden="false" customHeight="false" outlineLevel="0" collapsed="false">
      <c r="A3108" s="0" t="n">
        <v>3104</v>
      </c>
      <c r="B3108" s="0" t="n">
        <v>5</v>
      </c>
      <c r="C3108" s="19" t="n">
        <v>0.4837</v>
      </c>
      <c r="D3108" s="19" t="n">
        <v>0.0193</v>
      </c>
      <c r="E3108" s="20" t="n">
        <f aca="false">Parametres!$B$5*C3108</f>
        <v>145.11</v>
      </c>
      <c r="F3108" s="20" t="n">
        <f aca="false">Parametres!$B$6*D3108</f>
        <v>3.86</v>
      </c>
      <c r="G3108" s="20" t="n">
        <f aca="false">E3108+F3108</f>
        <v>148.97</v>
      </c>
      <c r="H3108" s="20" t="n">
        <f aca="false">IF(G3108&lt;Parametres!$B$8*Parametres!$B$7,0,MIN(G3108,Parametres!$B$7))</f>
        <v>148.97</v>
      </c>
      <c r="I3108" s="20" t="n">
        <f aca="false">G3108-H3108</f>
        <v>0</v>
      </c>
      <c r="J3108" s="21" t="n">
        <f aca="false">H3108*1000/Parametres!$B$9</f>
        <v>2526.19976259115</v>
      </c>
    </row>
    <row r="3109" customFormat="false" ht="15" hidden="false" customHeight="false" outlineLevel="0" collapsed="false">
      <c r="A3109" s="0" t="n">
        <v>3105</v>
      </c>
      <c r="B3109" s="0" t="n">
        <v>5</v>
      </c>
      <c r="C3109" s="19" t="n">
        <v>0.7065</v>
      </c>
      <c r="D3109" s="19" t="n">
        <v>0.0248</v>
      </c>
      <c r="E3109" s="20" t="n">
        <f aca="false">Parametres!$B$5*C3109</f>
        <v>211.95</v>
      </c>
      <c r="F3109" s="20" t="n">
        <f aca="false">Parametres!$B$6*D3109</f>
        <v>4.96</v>
      </c>
      <c r="G3109" s="20" t="n">
        <f aca="false">E3109+F3109</f>
        <v>216.91</v>
      </c>
      <c r="H3109" s="20" t="n">
        <f aca="false">IF(G3109&lt;Parametres!$B$8*Parametres!$B$7,0,MIN(G3109,Parametres!$B$7))</f>
        <v>216.91</v>
      </c>
      <c r="I3109" s="20" t="n">
        <f aca="false">G3109-H3109</f>
        <v>0</v>
      </c>
      <c r="J3109" s="21" t="n">
        <f aca="false">H3109*1000/Parametres!$B$9</f>
        <v>3678.31100559607</v>
      </c>
    </row>
    <row r="3110" customFormat="false" ht="15" hidden="false" customHeight="false" outlineLevel="0" collapsed="false">
      <c r="A3110" s="0" t="n">
        <v>3106</v>
      </c>
      <c r="B3110" s="0" t="n">
        <v>5</v>
      </c>
      <c r="C3110" s="19" t="n">
        <v>0.9036</v>
      </c>
      <c r="D3110" s="19" t="n">
        <v>0.0248</v>
      </c>
      <c r="E3110" s="20" t="n">
        <f aca="false">Parametres!$B$5*C3110</f>
        <v>271.08</v>
      </c>
      <c r="F3110" s="20" t="n">
        <f aca="false">Parametres!$B$6*D3110</f>
        <v>4.96</v>
      </c>
      <c r="G3110" s="20" t="n">
        <f aca="false">E3110+F3110</f>
        <v>276.04</v>
      </c>
      <c r="H3110" s="20" t="n">
        <f aca="false">IF(G3110&lt;Parametres!$B$8*Parametres!$B$7,0,MIN(G3110,Parametres!$B$7))</f>
        <v>250</v>
      </c>
      <c r="I3110" s="20" t="n">
        <f aca="false">G3110-H3110</f>
        <v>26.04</v>
      </c>
      <c r="J3110" s="21" t="n">
        <f aca="false">H3110*1000/Parametres!$B$9</f>
        <v>4239.44378497541</v>
      </c>
    </row>
    <row r="3111" customFormat="false" ht="15" hidden="false" customHeight="false" outlineLevel="0" collapsed="false">
      <c r="A3111" s="0" t="n">
        <v>3107</v>
      </c>
      <c r="B3111" s="0" t="n">
        <v>5</v>
      </c>
      <c r="C3111" s="19" t="n">
        <v>1</v>
      </c>
      <c r="D3111" s="19" t="n">
        <v>0.0357</v>
      </c>
      <c r="E3111" s="20" t="n">
        <f aca="false">Parametres!$B$5*C3111</f>
        <v>300</v>
      </c>
      <c r="F3111" s="20" t="n">
        <f aca="false">Parametres!$B$6*D3111</f>
        <v>7.14</v>
      </c>
      <c r="G3111" s="20" t="n">
        <f aca="false">E3111+F3111</f>
        <v>307.14</v>
      </c>
      <c r="H3111" s="20" t="n">
        <f aca="false">IF(G3111&lt;Parametres!$B$8*Parametres!$B$7,0,MIN(G3111,Parametres!$B$7))</f>
        <v>250</v>
      </c>
      <c r="I3111" s="20" t="n">
        <f aca="false">G3111-H3111</f>
        <v>57.14</v>
      </c>
      <c r="J3111" s="21" t="n">
        <f aca="false">H3111*1000/Parametres!$B$9</f>
        <v>4239.44378497541</v>
      </c>
    </row>
    <row r="3112" customFormat="false" ht="15" hidden="false" customHeight="false" outlineLevel="0" collapsed="false">
      <c r="A3112" s="0" t="n">
        <v>3108</v>
      </c>
      <c r="B3112" s="0" t="n">
        <v>5</v>
      </c>
      <c r="C3112" s="19" t="n">
        <v>1</v>
      </c>
      <c r="D3112" s="19" t="n">
        <v>0.0184</v>
      </c>
      <c r="E3112" s="20" t="n">
        <f aca="false">Parametres!$B$5*C3112</f>
        <v>300</v>
      </c>
      <c r="F3112" s="20" t="n">
        <f aca="false">Parametres!$B$6*D3112</f>
        <v>3.68</v>
      </c>
      <c r="G3112" s="20" t="n">
        <f aca="false">E3112+F3112</f>
        <v>303.68</v>
      </c>
      <c r="H3112" s="20" t="n">
        <f aca="false">IF(G3112&lt;Parametres!$B$8*Parametres!$B$7,0,MIN(G3112,Parametres!$B$7))</f>
        <v>250</v>
      </c>
      <c r="I3112" s="20" t="n">
        <f aca="false">G3112-H3112</f>
        <v>53.68</v>
      </c>
      <c r="J3112" s="21" t="n">
        <f aca="false">H3112*1000/Parametres!$B$9</f>
        <v>4239.44378497541</v>
      </c>
    </row>
    <row r="3113" customFormat="false" ht="15" hidden="false" customHeight="false" outlineLevel="0" collapsed="false">
      <c r="A3113" s="0" t="n">
        <v>3109</v>
      </c>
      <c r="B3113" s="0" t="n">
        <v>5</v>
      </c>
      <c r="C3113" s="19" t="n">
        <v>1</v>
      </c>
      <c r="D3113" s="19" t="n">
        <v>0.0117</v>
      </c>
      <c r="E3113" s="20" t="n">
        <f aca="false">Parametres!$B$5*C3113</f>
        <v>300</v>
      </c>
      <c r="F3113" s="20" t="n">
        <f aca="false">Parametres!$B$6*D3113</f>
        <v>2.34</v>
      </c>
      <c r="G3113" s="20" t="n">
        <f aca="false">E3113+F3113</f>
        <v>302.34</v>
      </c>
      <c r="H3113" s="20" t="n">
        <f aca="false">IF(G3113&lt;Parametres!$B$8*Parametres!$B$7,0,MIN(G3113,Parametres!$B$7))</f>
        <v>250</v>
      </c>
      <c r="I3113" s="20" t="n">
        <f aca="false">G3113-H3113</f>
        <v>52.34</v>
      </c>
      <c r="J3113" s="21" t="n">
        <f aca="false">H3113*1000/Parametres!$B$9</f>
        <v>4239.44378497541</v>
      </c>
    </row>
    <row r="3114" customFormat="false" ht="15" hidden="false" customHeight="false" outlineLevel="0" collapsed="false">
      <c r="A3114" s="0" t="n">
        <v>3110</v>
      </c>
      <c r="B3114" s="0" t="n">
        <v>5</v>
      </c>
      <c r="C3114" s="19" t="n">
        <v>0.9937</v>
      </c>
      <c r="D3114" s="19" t="n">
        <v>0.0156</v>
      </c>
      <c r="E3114" s="20" t="n">
        <f aca="false">Parametres!$B$5*C3114</f>
        <v>298.11</v>
      </c>
      <c r="F3114" s="20" t="n">
        <f aca="false">Parametres!$B$6*D3114</f>
        <v>3.12</v>
      </c>
      <c r="G3114" s="20" t="n">
        <f aca="false">E3114+F3114</f>
        <v>301.23</v>
      </c>
      <c r="H3114" s="20" t="n">
        <f aca="false">IF(G3114&lt;Parametres!$B$8*Parametres!$B$7,0,MIN(G3114,Parametres!$B$7))</f>
        <v>250</v>
      </c>
      <c r="I3114" s="20" t="n">
        <f aca="false">G3114-H3114</f>
        <v>51.23</v>
      </c>
      <c r="J3114" s="21" t="n">
        <f aca="false">H3114*1000/Parametres!$B$9</f>
        <v>4239.44378497541</v>
      </c>
    </row>
    <row r="3115" customFormat="false" ht="15" hidden="false" customHeight="false" outlineLevel="0" collapsed="false">
      <c r="A3115" s="0" t="n">
        <v>3111</v>
      </c>
      <c r="B3115" s="0" t="n">
        <v>5</v>
      </c>
      <c r="C3115" s="19" t="n">
        <v>0.887</v>
      </c>
      <c r="D3115" s="19" t="n">
        <v>0.0336</v>
      </c>
      <c r="E3115" s="20" t="n">
        <f aca="false">Parametres!$B$5*C3115</f>
        <v>266.1</v>
      </c>
      <c r="F3115" s="20" t="n">
        <f aca="false">Parametres!$B$6*D3115</f>
        <v>6.72</v>
      </c>
      <c r="G3115" s="20" t="n">
        <f aca="false">E3115+F3115</f>
        <v>272.82</v>
      </c>
      <c r="H3115" s="20" t="n">
        <f aca="false">IF(G3115&lt;Parametres!$B$8*Parametres!$B$7,0,MIN(G3115,Parametres!$B$7))</f>
        <v>250</v>
      </c>
      <c r="I3115" s="20" t="n">
        <f aca="false">G3115-H3115</f>
        <v>22.8200000000001</v>
      </c>
      <c r="J3115" s="21" t="n">
        <f aca="false">H3115*1000/Parametres!$B$9</f>
        <v>4239.44378497541</v>
      </c>
    </row>
    <row r="3116" customFormat="false" ht="15" hidden="false" customHeight="false" outlineLevel="0" collapsed="false">
      <c r="A3116" s="0" t="n">
        <v>3112</v>
      </c>
      <c r="B3116" s="0" t="n">
        <v>5</v>
      </c>
      <c r="C3116" s="19" t="n">
        <v>0.6484</v>
      </c>
      <c r="D3116" s="19" t="n">
        <v>0.0497</v>
      </c>
      <c r="E3116" s="20" t="n">
        <f aca="false">Parametres!$B$5*C3116</f>
        <v>194.52</v>
      </c>
      <c r="F3116" s="20" t="n">
        <f aca="false">Parametres!$B$6*D3116</f>
        <v>9.94</v>
      </c>
      <c r="G3116" s="20" t="n">
        <f aca="false">E3116+F3116</f>
        <v>204.46</v>
      </c>
      <c r="H3116" s="20" t="n">
        <f aca="false">IF(G3116&lt;Parametres!$B$8*Parametres!$B$7,0,MIN(G3116,Parametres!$B$7))</f>
        <v>204.46</v>
      </c>
      <c r="I3116" s="20" t="n">
        <f aca="false">G3116-H3116</f>
        <v>0</v>
      </c>
      <c r="J3116" s="21" t="n">
        <f aca="false">H3116*1000/Parametres!$B$9</f>
        <v>3467.18670510429</v>
      </c>
    </row>
    <row r="3117" customFormat="false" ht="15" hidden="false" customHeight="false" outlineLevel="0" collapsed="false">
      <c r="A3117" s="0" t="n">
        <v>3113</v>
      </c>
      <c r="B3117" s="0" t="n">
        <v>5</v>
      </c>
      <c r="C3117" s="19" t="n">
        <v>0.4653</v>
      </c>
      <c r="D3117" s="19" t="n">
        <v>0.0841</v>
      </c>
      <c r="E3117" s="20" t="n">
        <f aca="false">Parametres!$B$5*C3117</f>
        <v>139.59</v>
      </c>
      <c r="F3117" s="20" t="n">
        <f aca="false">Parametres!$B$6*D3117</f>
        <v>16.82</v>
      </c>
      <c r="G3117" s="20" t="n">
        <f aca="false">E3117+F3117</f>
        <v>156.41</v>
      </c>
      <c r="H3117" s="20" t="n">
        <f aca="false">IF(G3117&lt;Parametres!$B$8*Parametres!$B$7,0,MIN(G3117,Parametres!$B$7))</f>
        <v>156.41</v>
      </c>
      <c r="I3117" s="20" t="n">
        <f aca="false">G3117-H3117</f>
        <v>0</v>
      </c>
      <c r="J3117" s="21" t="n">
        <f aca="false">H3117*1000/Parametres!$B$9</f>
        <v>2652.36560963202</v>
      </c>
    </row>
    <row r="3118" customFormat="false" ht="15" hidden="false" customHeight="false" outlineLevel="0" collapsed="false">
      <c r="A3118" s="0" t="n">
        <v>3114</v>
      </c>
      <c r="B3118" s="0" t="n">
        <v>5</v>
      </c>
      <c r="C3118" s="19" t="n">
        <v>0.2444</v>
      </c>
      <c r="D3118" s="19" t="n">
        <v>0.0319</v>
      </c>
      <c r="E3118" s="20" t="n">
        <f aca="false">Parametres!$B$5*C3118</f>
        <v>73.32</v>
      </c>
      <c r="F3118" s="20" t="n">
        <f aca="false">Parametres!$B$6*D3118</f>
        <v>6.38</v>
      </c>
      <c r="G3118" s="20" t="n">
        <f aca="false">E3118+F3118</f>
        <v>79.7</v>
      </c>
      <c r="H3118" s="20" t="n">
        <f aca="false">IF(G3118&lt;Parametres!$B$8*Parametres!$B$7,0,MIN(G3118,Parametres!$B$7))</f>
        <v>79.7</v>
      </c>
      <c r="I3118" s="20" t="n">
        <f aca="false">G3118-H3118</f>
        <v>0</v>
      </c>
      <c r="J3118" s="21" t="n">
        <f aca="false">H3118*1000/Parametres!$B$9</f>
        <v>1351.53467865016</v>
      </c>
    </row>
    <row r="3119" customFormat="false" ht="15" hidden="false" customHeight="false" outlineLevel="0" collapsed="false">
      <c r="A3119" s="0" t="n">
        <v>3115</v>
      </c>
      <c r="B3119" s="0" t="n">
        <v>5</v>
      </c>
      <c r="C3119" s="19" t="n">
        <v>0.0208</v>
      </c>
      <c r="D3119" s="19" t="n">
        <v>0.0264</v>
      </c>
      <c r="E3119" s="20" t="n">
        <f aca="false">Parametres!$B$5*C3119</f>
        <v>6.24</v>
      </c>
      <c r="F3119" s="20" t="n">
        <f aca="false">Parametres!$B$6*D3119</f>
        <v>5.28</v>
      </c>
      <c r="G3119" s="20" t="n">
        <f aca="false">E3119+F3119</f>
        <v>11.52</v>
      </c>
      <c r="H3119" s="20" t="n">
        <f aca="false">IF(G3119&lt;Parametres!$B$8*Parametres!$B$7,0,MIN(G3119,Parametres!$B$7))</f>
        <v>0</v>
      </c>
      <c r="I3119" s="20" t="n">
        <f aca="false">G3119-H3119</f>
        <v>11.52</v>
      </c>
      <c r="J3119" s="21" t="n">
        <f aca="false">H3119*1000/Parametres!$B$9</f>
        <v>0</v>
      </c>
    </row>
    <row r="3120" customFormat="false" ht="15" hidden="false" customHeight="false" outlineLevel="0" collapsed="false">
      <c r="A3120" s="0" t="n">
        <v>3116</v>
      </c>
      <c r="B3120" s="0" t="n">
        <v>5</v>
      </c>
      <c r="C3120" s="19" t="n">
        <v>0</v>
      </c>
      <c r="D3120" s="19" t="n">
        <v>0.0294</v>
      </c>
      <c r="E3120" s="20" t="n">
        <f aca="false">Parametres!$B$5*C3120</f>
        <v>0</v>
      </c>
      <c r="F3120" s="20" t="n">
        <f aca="false">Parametres!$B$6*D3120</f>
        <v>5.88</v>
      </c>
      <c r="G3120" s="20" t="n">
        <f aca="false">E3120+F3120</f>
        <v>5.88</v>
      </c>
      <c r="H3120" s="20" t="n">
        <f aca="false">IF(G3120&lt;Parametres!$B$8*Parametres!$B$7,0,MIN(G3120,Parametres!$B$7))</f>
        <v>0</v>
      </c>
      <c r="I3120" s="20" t="n">
        <f aca="false">G3120-H3120</f>
        <v>5.88</v>
      </c>
      <c r="J3120" s="21" t="n">
        <f aca="false">H3120*1000/Parametres!$B$9</f>
        <v>0</v>
      </c>
    </row>
    <row r="3121" customFormat="false" ht="15" hidden="false" customHeight="false" outlineLevel="0" collapsed="false">
      <c r="A3121" s="0" t="n">
        <v>3117</v>
      </c>
      <c r="B3121" s="0" t="n">
        <v>5</v>
      </c>
      <c r="C3121" s="19" t="n">
        <v>0</v>
      </c>
      <c r="D3121" s="19" t="n">
        <v>0.0525</v>
      </c>
      <c r="E3121" s="20" t="n">
        <f aca="false">Parametres!$B$5*C3121</f>
        <v>0</v>
      </c>
      <c r="F3121" s="20" t="n">
        <f aca="false">Parametres!$B$6*D3121</f>
        <v>10.5</v>
      </c>
      <c r="G3121" s="20" t="n">
        <f aca="false">E3121+F3121</f>
        <v>10.5</v>
      </c>
      <c r="H3121" s="20" t="n">
        <f aca="false">IF(G3121&lt;Parametres!$B$8*Parametres!$B$7,0,MIN(G3121,Parametres!$B$7))</f>
        <v>0</v>
      </c>
      <c r="I3121" s="20" t="n">
        <f aca="false">G3121-H3121</f>
        <v>10.5</v>
      </c>
      <c r="J3121" s="21" t="n">
        <f aca="false">H3121*1000/Parametres!$B$9</f>
        <v>0</v>
      </c>
    </row>
    <row r="3122" customFormat="false" ht="15" hidden="false" customHeight="false" outlineLevel="0" collapsed="false">
      <c r="A3122" s="0" t="n">
        <v>3118</v>
      </c>
      <c r="B3122" s="0" t="n">
        <v>5</v>
      </c>
      <c r="C3122" s="19" t="n">
        <v>0</v>
      </c>
      <c r="D3122" s="19" t="n">
        <v>0.0547</v>
      </c>
      <c r="E3122" s="20" t="n">
        <f aca="false">Parametres!$B$5*C3122</f>
        <v>0</v>
      </c>
      <c r="F3122" s="20" t="n">
        <f aca="false">Parametres!$B$6*D3122</f>
        <v>10.94</v>
      </c>
      <c r="G3122" s="20" t="n">
        <f aca="false">E3122+F3122</f>
        <v>10.94</v>
      </c>
      <c r="H3122" s="20" t="n">
        <f aca="false">IF(G3122&lt;Parametres!$B$8*Parametres!$B$7,0,MIN(G3122,Parametres!$B$7))</f>
        <v>0</v>
      </c>
      <c r="I3122" s="20" t="n">
        <f aca="false">G3122-H3122</f>
        <v>10.94</v>
      </c>
      <c r="J3122" s="21" t="n">
        <f aca="false">H3122*1000/Parametres!$B$9</f>
        <v>0</v>
      </c>
    </row>
    <row r="3123" customFormat="false" ht="15" hidden="false" customHeight="false" outlineLevel="0" collapsed="false">
      <c r="A3123" s="0" t="n">
        <v>3119</v>
      </c>
      <c r="B3123" s="0" t="n">
        <v>5</v>
      </c>
      <c r="C3123" s="19" t="n">
        <v>0</v>
      </c>
      <c r="D3123" s="19" t="n">
        <v>0.0402</v>
      </c>
      <c r="E3123" s="20" t="n">
        <f aca="false">Parametres!$B$5*C3123</f>
        <v>0</v>
      </c>
      <c r="F3123" s="20" t="n">
        <f aca="false">Parametres!$B$6*D3123</f>
        <v>8.04</v>
      </c>
      <c r="G3123" s="20" t="n">
        <f aca="false">E3123+F3123</f>
        <v>8.04</v>
      </c>
      <c r="H3123" s="20" t="n">
        <f aca="false">IF(G3123&lt;Parametres!$B$8*Parametres!$B$7,0,MIN(G3123,Parametres!$B$7))</f>
        <v>0</v>
      </c>
      <c r="I3123" s="20" t="n">
        <f aca="false">G3123-H3123</f>
        <v>8.04</v>
      </c>
      <c r="J3123" s="21" t="n">
        <f aca="false">H3123*1000/Parametres!$B$9</f>
        <v>0</v>
      </c>
    </row>
    <row r="3124" customFormat="false" ht="15" hidden="false" customHeight="false" outlineLevel="0" collapsed="false">
      <c r="A3124" s="0" t="n">
        <v>3120</v>
      </c>
      <c r="B3124" s="0" t="n">
        <v>5</v>
      </c>
      <c r="C3124" s="19" t="n">
        <v>0</v>
      </c>
      <c r="D3124" s="19" t="n">
        <v>0.0315</v>
      </c>
      <c r="E3124" s="20" t="n">
        <f aca="false">Parametres!$B$5*C3124</f>
        <v>0</v>
      </c>
      <c r="F3124" s="20" t="n">
        <f aca="false">Parametres!$B$6*D3124</f>
        <v>6.3</v>
      </c>
      <c r="G3124" s="20" t="n">
        <f aca="false">E3124+F3124</f>
        <v>6.3</v>
      </c>
      <c r="H3124" s="20" t="n">
        <f aca="false">IF(G3124&lt;Parametres!$B$8*Parametres!$B$7,0,MIN(G3124,Parametres!$B$7))</f>
        <v>0</v>
      </c>
      <c r="I3124" s="20" t="n">
        <f aca="false">G3124-H3124</f>
        <v>6.3</v>
      </c>
      <c r="J3124" s="21" t="n">
        <f aca="false">H3124*1000/Parametres!$B$9</f>
        <v>0</v>
      </c>
    </row>
    <row r="3125" customFormat="false" ht="15" hidden="false" customHeight="false" outlineLevel="0" collapsed="false">
      <c r="A3125" s="0" t="n">
        <v>3121</v>
      </c>
      <c r="B3125" s="0" t="n">
        <v>5</v>
      </c>
      <c r="C3125" s="19" t="n">
        <v>0</v>
      </c>
      <c r="D3125" s="19" t="n">
        <v>0.0255</v>
      </c>
      <c r="E3125" s="20" t="n">
        <f aca="false">Parametres!$B$5*C3125</f>
        <v>0</v>
      </c>
      <c r="F3125" s="20" t="n">
        <f aca="false">Parametres!$B$6*D3125</f>
        <v>5.1</v>
      </c>
      <c r="G3125" s="20" t="n">
        <f aca="false">E3125+F3125</f>
        <v>5.1</v>
      </c>
      <c r="H3125" s="20" t="n">
        <f aca="false">IF(G3125&lt;Parametres!$B$8*Parametres!$B$7,0,MIN(G3125,Parametres!$B$7))</f>
        <v>0</v>
      </c>
      <c r="I3125" s="20" t="n">
        <f aca="false">G3125-H3125</f>
        <v>5.1</v>
      </c>
      <c r="J3125" s="21" t="n">
        <f aca="false">H3125*1000/Parametres!$B$9</f>
        <v>0</v>
      </c>
    </row>
    <row r="3126" customFormat="false" ht="15" hidden="false" customHeight="false" outlineLevel="0" collapsed="false">
      <c r="A3126" s="0" t="n">
        <v>3122</v>
      </c>
      <c r="B3126" s="0" t="n">
        <v>5</v>
      </c>
      <c r="C3126" s="19" t="n">
        <v>0</v>
      </c>
      <c r="D3126" s="19" t="n">
        <v>0.0063</v>
      </c>
      <c r="E3126" s="20" t="n">
        <f aca="false">Parametres!$B$5*C3126</f>
        <v>0</v>
      </c>
      <c r="F3126" s="20" t="n">
        <f aca="false">Parametres!$B$6*D3126</f>
        <v>1.26</v>
      </c>
      <c r="G3126" s="20" t="n">
        <f aca="false">E3126+F3126</f>
        <v>1.26</v>
      </c>
      <c r="H3126" s="20" t="n">
        <f aca="false">IF(G3126&lt;Parametres!$B$8*Parametres!$B$7,0,MIN(G3126,Parametres!$B$7))</f>
        <v>0</v>
      </c>
      <c r="I3126" s="20" t="n">
        <f aca="false">G3126-H3126</f>
        <v>1.26</v>
      </c>
      <c r="J3126" s="21" t="n">
        <f aca="false">H3126*1000/Parametres!$B$9</f>
        <v>0</v>
      </c>
    </row>
    <row r="3127" customFormat="false" ht="15" hidden="false" customHeight="false" outlineLevel="0" collapsed="false">
      <c r="A3127" s="0" t="n">
        <v>3123</v>
      </c>
      <c r="B3127" s="0" t="n">
        <v>5</v>
      </c>
      <c r="C3127" s="19" t="n">
        <v>0</v>
      </c>
      <c r="D3127" s="19" t="n">
        <v>0.0058</v>
      </c>
      <c r="E3127" s="20" t="n">
        <f aca="false">Parametres!$B$5*C3127</f>
        <v>0</v>
      </c>
      <c r="F3127" s="20" t="n">
        <f aca="false">Parametres!$B$6*D3127</f>
        <v>1.16</v>
      </c>
      <c r="G3127" s="20" t="n">
        <f aca="false">E3127+F3127</f>
        <v>1.16</v>
      </c>
      <c r="H3127" s="20" t="n">
        <f aca="false">IF(G3127&lt;Parametres!$B$8*Parametres!$B$7,0,MIN(G3127,Parametres!$B$7))</f>
        <v>0</v>
      </c>
      <c r="I3127" s="20" t="n">
        <f aca="false">G3127-H3127</f>
        <v>1.16</v>
      </c>
      <c r="J3127" s="21" t="n">
        <f aca="false">H3127*1000/Parametres!$B$9</f>
        <v>0</v>
      </c>
    </row>
    <row r="3128" customFormat="false" ht="15" hidden="false" customHeight="false" outlineLevel="0" collapsed="false">
      <c r="A3128" s="0" t="n">
        <v>3124</v>
      </c>
      <c r="B3128" s="0" t="n">
        <v>5</v>
      </c>
      <c r="C3128" s="19" t="n">
        <v>0</v>
      </c>
      <c r="D3128" s="19" t="n">
        <v>0.0121</v>
      </c>
      <c r="E3128" s="20" t="n">
        <f aca="false">Parametres!$B$5*C3128</f>
        <v>0</v>
      </c>
      <c r="F3128" s="20" t="n">
        <f aca="false">Parametres!$B$6*D3128</f>
        <v>2.42</v>
      </c>
      <c r="G3128" s="20" t="n">
        <f aca="false">E3128+F3128</f>
        <v>2.42</v>
      </c>
      <c r="H3128" s="20" t="n">
        <f aca="false">IF(G3128&lt;Parametres!$B$8*Parametres!$B$7,0,MIN(G3128,Parametres!$B$7))</f>
        <v>0</v>
      </c>
      <c r="I3128" s="20" t="n">
        <f aca="false">G3128-H3128</f>
        <v>2.42</v>
      </c>
      <c r="J3128" s="21" t="n">
        <f aca="false">H3128*1000/Parametres!$B$9</f>
        <v>0</v>
      </c>
    </row>
    <row r="3129" customFormat="false" ht="15" hidden="false" customHeight="false" outlineLevel="0" collapsed="false">
      <c r="A3129" s="0" t="n">
        <v>3125</v>
      </c>
      <c r="B3129" s="0" t="n">
        <v>5</v>
      </c>
      <c r="C3129" s="19" t="n">
        <v>0</v>
      </c>
      <c r="D3129" s="19" t="n">
        <v>0.0216</v>
      </c>
      <c r="E3129" s="20" t="n">
        <f aca="false">Parametres!$B$5*C3129</f>
        <v>0</v>
      </c>
      <c r="F3129" s="20" t="n">
        <f aca="false">Parametres!$B$6*D3129</f>
        <v>4.32</v>
      </c>
      <c r="G3129" s="20" t="n">
        <f aca="false">E3129+F3129</f>
        <v>4.32</v>
      </c>
      <c r="H3129" s="20" t="n">
        <f aca="false">IF(G3129&lt;Parametres!$B$8*Parametres!$B$7,0,MIN(G3129,Parametres!$B$7))</f>
        <v>0</v>
      </c>
      <c r="I3129" s="20" t="n">
        <f aca="false">G3129-H3129</f>
        <v>4.32</v>
      </c>
      <c r="J3129" s="21" t="n">
        <f aca="false">H3129*1000/Parametres!$B$9</f>
        <v>0</v>
      </c>
    </row>
    <row r="3130" customFormat="false" ht="15" hidden="false" customHeight="false" outlineLevel="0" collapsed="false">
      <c r="A3130" s="0" t="n">
        <v>3126</v>
      </c>
      <c r="B3130" s="0" t="n">
        <v>5</v>
      </c>
      <c r="C3130" s="19" t="n">
        <v>0.0223</v>
      </c>
      <c r="D3130" s="19" t="n">
        <v>0.0043</v>
      </c>
      <c r="E3130" s="20" t="n">
        <f aca="false">Parametres!$B$5*C3130</f>
        <v>6.69</v>
      </c>
      <c r="F3130" s="20" t="n">
        <f aca="false">Parametres!$B$6*D3130</f>
        <v>0.86</v>
      </c>
      <c r="G3130" s="20" t="n">
        <f aca="false">E3130+F3130</f>
        <v>7.55</v>
      </c>
      <c r="H3130" s="20" t="n">
        <f aca="false">IF(G3130&lt;Parametres!$B$8*Parametres!$B$7,0,MIN(G3130,Parametres!$B$7))</f>
        <v>0</v>
      </c>
      <c r="I3130" s="20" t="n">
        <f aca="false">G3130-H3130</f>
        <v>7.55</v>
      </c>
      <c r="J3130" s="21" t="n">
        <f aca="false">H3130*1000/Parametres!$B$9</f>
        <v>0</v>
      </c>
    </row>
    <row r="3131" customFormat="false" ht="15" hidden="false" customHeight="false" outlineLevel="0" collapsed="false">
      <c r="A3131" s="0" t="n">
        <v>3127</v>
      </c>
      <c r="B3131" s="0" t="n">
        <v>5</v>
      </c>
      <c r="C3131" s="19" t="n">
        <v>0.2382</v>
      </c>
      <c r="D3131" s="19" t="n">
        <v>0.0052</v>
      </c>
      <c r="E3131" s="20" t="n">
        <f aca="false">Parametres!$B$5*C3131</f>
        <v>71.46</v>
      </c>
      <c r="F3131" s="20" t="n">
        <f aca="false">Parametres!$B$6*D3131</f>
        <v>1.04</v>
      </c>
      <c r="G3131" s="20" t="n">
        <f aca="false">E3131+F3131</f>
        <v>72.5</v>
      </c>
      <c r="H3131" s="20" t="n">
        <f aca="false">IF(G3131&lt;Parametres!$B$8*Parametres!$B$7,0,MIN(G3131,Parametres!$B$7))</f>
        <v>72.5</v>
      </c>
      <c r="I3131" s="20" t="n">
        <f aca="false">G3131-H3131</f>
        <v>0</v>
      </c>
      <c r="J3131" s="21" t="n">
        <f aca="false">H3131*1000/Parametres!$B$9</f>
        <v>1229.43869764287</v>
      </c>
    </row>
    <row r="3132" customFormat="false" ht="15" hidden="false" customHeight="false" outlineLevel="0" collapsed="false">
      <c r="A3132" s="0" t="n">
        <v>3128</v>
      </c>
      <c r="B3132" s="0" t="n">
        <v>5</v>
      </c>
      <c r="C3132" s="19" t="n">
        <v>0.4965</v>
      </c>
      <c r="D3132" s="19" t="n">
        <v>0.0009</v>
      </c>
      <c r="E3132" s="20" t="n">
        <f aca="false">Parametres!$B$5*C3132</f>
        <v>148.95</v>
      </c>
      <c r="F3132" s="20" t="n">
        <f aca="false">Parametres!$B$6*D3132</f>
        <v>0.18</v>
      </c>
      <c r="G3132" s="20" t="n">
        <f aca="false">E3132+F3132</f>
        <v>149.13</v>
      </c>
      <c r="H3132" s="20" t="n">
        <f aca="false">IF(G3132&lt;Parametres!$B$8*Parametres!$B$7,0,MIN(G3132,Parametres!$B$7))</f>
        <v>149.13</v>
      </c>
      <c r="I3132" s="20" t="n">
        <f aca="false">G3132-H3132</f>
        <v>0</v>
      </c>
      <c r="J3132" s="21" t="n">
        <f aca="false">H3132*1000/Parametres!$B$9</f>
        <v>2528.91300661353</v>
      </c>
    </row>
    <row r="3133" customFormat="false" ht="15" hidden="false" customHeight="false" outlineLevel="0" collapsed="false">
      <c r="A3133" s="0" t="n">
        <v>3129</v>
      </c>
      <c r="B3133" s="0" t="n">
        <v>5</v>
      </c>
      <c r="C3133" s="19" t="n">
        <v>0.7599</v>
      </c>
      <c r="D3133" s="19" t="n">
        <v>0.006</v>
      </c>
      <c r="E3133" s="20" t="n">
        <f aca="false">Parametres!$B$5*C3133</f>
        <v>227.97</v>
      </c>
      <c r="F3133" s="20" t="n">
        <f aca="false">Parametres!$B$6*D3133</f>
        <v>1.2</v>
      </c>
      <c r="G3133" s="20" t="n">
        <f aca="false">E3133+F3133</f>
        <v>229.17</v>
      </c>
      <c r="H3133" s="20" t="n">
        <f aca="false">IF(G3133&lt;Parametres!$B$8*Parametres!$B$7,0,MIN(G3133,Parametres!$B$7))</f>
        <v>229.17</v>
      </c>
      <c r="I3133" s="20" t="n">
        <f aca="false">G3133-H3133</f>
        <v>0</v>
      </c>
      <c r="J3133" s="21" t="n">
        <f aca="false">H3133*1000/Parametres!$B$9</f>
        <v>3886.21332881126</v>
      </c>
    </row>
    <row r="3134" customFormat="false" ht="15" hidden="false" customHeight="false" outlineLevel="0" collapsed="false">
      <c r="A3134" s="0" t="n">
        <v>3130</v>
      </c>
      <c r="B3134" s="0" t="n">
        <v>5</v>
      </c>
      <c r="C3134" s="19" t="n">
        <v>0.9424</v>
      </c>
      <c r="D3134" s="19" t="n">
        <v>0.0139</v>
      </c>
      <c r="E3134" s="20" t="n">
        <f aca="false">Parametres!$B$5*C3134</f>
        <v>282.72</v>
      </c>
      <c r="F3134" s="20" t="n">
        <f aca="false">Parametres!$B$6*D3134</f>
        <v>2.78</v>
      </c>
      <c r="G3134" s="20" t="n">
        <f aca="false">E3134+F3134</f>
        <v>285.5</v>
      </c>
      <c r="H3134" s="20" t="n">
        <f aca="false">IF(G3134&lt;Parametres!$B$8*Parametres!$B$7,0,MIN(G3134,Parametres!$B$7))</f>
        <v>250</v>
      </c>
      <c r="I3134" s="20" t="n">
        <f aca="false">G3134-H3134</f>
        <v>35.5</v>
      </c>
      <c r="J3134" s="21" t="n">
        <f aca="false">H3134*1000/Parametres!$B$9</f>
        <v>4239.44378497541</v>
      </c>
    </row>
    <row r="3135" customFormat="false" ht="15" hidden="false" customHeight="false" outlineLevel="0" collapsed="false">
      <c r="A3135" s="0" t="n">
        <v>3131</v>
      </c>
      <c r="B3135" s="0" t="n">
        <v>5</v>
      </c>
      <c r="C3135" s="19" t="n">
        <v>1</v>
      </c>
      <c r="D3135" s="19" t="n">
        <v>0.0316</v>
      </c>
      <c r="E3135" s="20" t="n">
        <f aca="false">Parametres!$B$5*C3135</f>
        <v>300</v>
      </c>
      <c r="F3135" s="20" t="n">
        <f aca="false">Parametres!$B$6*D3135</f>
        <v>6.32</v>
      </c>
      <c r="G3135" s="20" t="n">
        <f aca="false">E3135+F3135</f>
        <v>306.32</v>
      </c>
      <c r="H3135" s="20" t="n">
        <f aca="false">IF(G3135&lt;Parametres!$B$8*Parametres!$B$7,0,MIN(G3135,Parametres!$B$7))</f>
        <v>250</v>
      </c>
      <c r="I3135" s="20" t="n">
        <f aca="false">G3135-H3135</f>
        <v>56.32</v>
      </c>
      <c r="J3135" s="21" t="n">
        <f aca="false">H3135*1000/Parametres!$B$9</f>
        <v>4239.44378497541</v>
      </c>
    </row>
    <row r="3136" customFormat="false" ht="15" hidden="false" customHeight="false" outlineLevel="0" collapsed="false">
      <c r="A3136" s="0" t="n">
        <v>3132</v>
      </c>
      <c r="B3136" s="0" t="n">
        <v>5</v>
      </c>
      <c r="C3136" s="19" t="n">
        <v>1</v>
      </c>
      <c r="D3136" s="19" t="n">
        <v>0.0243</v>
      </c>
      <c r="E3136" s="20" t="n">
        <f aca="false">Parametres!$B$5*C3136</f>
        <v>300</v>
      </c>
      <c r="F3136" s="20" t="n">
        <f aca="false">Parametres!$B$6*D3136</f>
        <v>4.86</v>
      </c>
      <c r="G3136" s="20" t="n">
        <f aca="false">E3136+F3136</f>
        <v>304.86</v>
      </c>
      <c r="H3136" s="20" t="n">
        <f aca="false">IF(G3136&lt;Parametres!$B$8*Parametres!$B$7,0,MIN(G3136,Parametres!$B$7))</f>
        <v>250</v>
      </c>
      <c r="I3136" s="20" t="n">
        <f aca="false">G3136-H3136</f>
        <v>54.86</v>
      </c>
      <c r="J3136" s="21" t="n">
        <f aca="false">H3136*1000/Parametres!$B$9</f>
        <v>4239.44378497541</v>
      </c>
    </row>
    <row r="3137" customFormat="false" ht="15" hidden="false" customHeight="false" outlineLevel="0" collapsed="false">
      <c r="A3137" s="0" t="n">
        <v>3133</v>
      </c>
      <c r="B3137" s="0" t="n">
        <v>5</v>
      </c>
      <c r="C3137" s="19" t="n">
        <v>1</v>
      </c>
      <c r="D3137" s="19" t="n">
        <v>0.0049</v>
      </c>
      <c r="E3137" s="20" t="n">
        <f aca="false">Parametres!$B$5*C3137</f>
        <v>300</v>
      </c>
      <c r="F3137" s="20" t="n">
        <f aca="false">Parametres!$B$6*D3137</f>
        <v>0.98</v>
      </c>
      <c r="G3137" s="20" t="n">
        <f aca="false">E3137+F3137</f>
        <v>300.98</v>
      </c>
      <c r="H3137" s="20" t="n">
        <f aca="false">IF(G3137&lt;Parametres!$B$8*Parametres!$B$7,0,MIN(G3137,Parametres!$B$7))</f>
        <v>250</v>
      </c>
      <c r="I3137" s="20" t="n">
        <f aca="false">G3137-H3137</f>
        <v>50.98</v>
      </c>
      <c r="J3137" s="21" t="n">
        <f aca="false">H3137*1000/Parametres!$B$9</f>
        <v>4239.44378497541</v>
      </c>
    </row>
    <row r="3138" customFormat="false" ht="15" hidden="false" customHeight="false" outlineLevel="0" collapsed="false">
      <c r="A3138" s="0" t="n">
        <v>3134</v>
      </c>
      <c r="B3138" s="0" t="n">
        <v>5</v>
      </c>
      <c r="C3138" s="19" t="n">
        <v>1</v>
      </c>
      <c r="D3138" s="19" t="n">
        <v>0.0016</v>
      </c>
      <c r="E3138" s="20" t="n">
        <f aca="false">Parametres!$B$5*C3138</f>
        <v>300</v>
      </c>
      <c r="F3138" s="20" t="n">
        <f aca="false">Parametres!$B$6*D3138</f>
        <v>0.32</v>
      </c>
      <c r="G3138" s="20" t="n">
        <f aca="false">E3138+F3138</f>
        <v>300.32</v>
      </c>
      <c r="H3138" s="20" t="n">
        <f aca="false">IF(G3138&lt;Parametres!$B$8*Parametres!$B$7,0,MIN(G3138,Parametres!$B$7))</f>
        <v>250</v>
      </c>
      <c r="I3138" s="20" t="n">
        <f aca="false">G3138-H3138</f>
        <v>50.32</v>
      </c>
      <c r="J3138" s="21" t="n">
        <f aca="false">H3138*1000/Parametres!$B$9</f>
        <v>4239.44378497541</v>
      </c>
    </row>
    <row r="3139" customFormat="false" ht="15" hidden="false" customHeight="false" outlineLevel="0" collapsed="false">
      <c r="A3139" s="0" t="n">
        <v>3135</v>
      </c>
      <c r="B3139" s="0" t="n">
        <v>5</v>
      </c>
      <c r="C3139" s="19" t="n">
        <v>0.9847</v>
      </c>
      <c r="D3139" s="19" t="n">
        <v>0.0013</v>
      </c>
      <c r="E3139" s="20" t="n">
        <f aca="false">Parametres!$B$5*C3139</f>
        <v>295.41</v>
      </c>
      <c r="F3139" s="20" t="n">
        <f aca="false">Parametres!$B$6*D3139</f>
        <v>0.26</v>
      </c>
      <c r="G3139" s="20" t="n">
        <f aca="false">E3139+F3139</f>
        <v>295.67</v>
      </c>
      <c r="H3139" s="20" t="n">
        <f aca="false">IF(G3139&lt;Parametres!$B$8*Parametres!$B$7,0,MIN(G3139,Parametres!$B$7))</f>
        <v>250</v>
      </c>
      <c r="I3139" s="20" t="n">
        <f aca="false">G3139-H3139</f>
        <v>45.67</v>
      </c>
      <c r="J3139" s="21" t="n">
        <f aca="false">H3139*1000/Parametres!$B$9</f>
        <v>4239.44378497541</v>
      </c>
    </row>
    <row r="3140" customFormat="false" ht="15" hidden="false" customHeight="false" outlineLevel="0" collapsed="false">
      <c r="A3140" s="0" t="n">
        <v>3136</v>
      </c>
      <c r="B3140" s="0" t="n">
        <v>5</v>
      </c>
      <c r="C3140" s="19" t="n">
        <v>0.7077</v>
      </c>
      <c r="D3140" s="19" t="n">
        <v>0</v>
      </c>
      <c r="E3140" s="20" t="n">
        <f aca="false">Parametres!$B$5*C3140</f>
        <v>212.31</v>
      </c>
      <c r="F3140" s="20" t="n">
        <f aca="false">Parametres!$B$6*D3140</f>
        <v>0</v>
      </c>
      <c r="G3140" s="20" t="n">
        <f aca="false">E3140+F3140</f>
        <v>212.31</v>
      </c>
      <c r="H3140" s="20" t="n">
        <f aca="false">IF(G3140&lt;Parametres!$B$8*Parametres!$B$7,0,MIN(G3140,Parametres!$B$7))</f>
        <v>212.31</v>
      </c>
      <c r="I3140" s="20" t="n">
        <f aca="false">G3140-H3140</f>
        <v>0</v>
      </c>
      <c r="J3140" s="21" t="n">
        <f aca="false">H3140*1000/Parametres!$B$9</f>
        <v>3600.30523995252</v>
      </c>
    </row>
    <row r="3141" customFormat="false" ht="15" hidden="false" customHeight="false" outlineLevel="0" collapsed="false">
      <c r="A3141" s="0" t="n">
        <v>3137</v>
      </c>
      <c r="B3141" s="0" t="n">
        <v>5</v>
      </c>
      <c r="C3141" s="19" t="n">
        <v>0.5046</v>
      </c>
      <c r="D3141" s="19" t="n">
        <v>0</v>
      </c>
      <c r="E3141" s="20" t="n">
        <f aca="false">Parametres!$B$5*C3141</f>
        <v>151.38</v>
      </c>
      <c r="F3141" s="20" t="n">
        <f aca="false">Parametres!$B$6*D3141</f>
        <v>0</v>
      </c>
      <c r="G3141" s="20" t="n">
        <f aca="false">E3141+F3141</f>
        <v>151.38</v>
      </c>
      <c r="H3141" s="20" t="n">
        <f aca="false">IF(G3141&lt;Parametres!$B$8*Parametres!$B$7,0,MIN(G3141,Parametres!$B$7))</f>
        <v>151.38</v>
      </c>
      <c r="I3141" s="20" t="n">
        <f aca="false">G3141-H3141</f>
        <v>0</v>
      </c>
      <c r="J3141" s="21" t="n">
        <f aca="false">H3141*1000/Parametres!$B$9</f>
        <v>2567.06800067831</v>
      </c>
    </row>
    <row r="3142" customFormat="false" ht="15" hidden="false" customHeight="false" outlineLevel="0" collapsed="false">
      <c r="A3142" s="0" t="n">
        <v>3138</v>
      </c>
      <c r="B3142" s="0" t="n">
        <v>5</v>
      </c>
      <c r="C3142" s="19" t="n">
        <v>0.2356</v>
      </c>
      <c r="D3142" s="19" t="n">
        <v>0.0007</v>
      </c>
      <c r="E3142" s="20" t="n">
        <f aca="false">Parametres!$B$5*C3142</f>
        <v>70.68</v>
      </c>
      <c r="F3142" s="20" t="n">
        <f aca="false">Parametres!$B$6*D3142</f>
        <v>0.14</v>
      </c>
      <c r="G3142" s="20" t="n">
        <f aca="false">E3142+F3142</f>
        <v>70.82</v>
      </c>
      <c r="H3142" s="20" t="n">
        <f aca="false">IF(G3142&lt;Parametres!$B$8*Parametres!$B$7,0,MIN(G3142,Parametres!$B$7))</f>
        <v>70.82</v>
      </c>
      <c r="I3142" s="20" t="n">
        <f aca="false">G3142-H3142</f>
        <v>0</v>
      </c>
      <c r="J3142" s="21" t="n">
        <f aca="false">H3142*1000/Parametres!$B$9</f>
        <v>1200.94963540783</v>
      </c>
    </row>
    <row r="3143" customFormat="false" ht="15" hidden="false" customHeight="false" outlineLevel="0" collapsed="false">
      <c r="A3143" s="0" t="n">
        <v>3139</v>
      </c>
      <c r="B3143" s="0" t="n">
        <v>5</v>
      </c>
      <c r="C3143" s="19" t="n">
        <v>0.0221</v>
      </c>
      <c r="D3143" s="19" t="n">
        <v>0</v>
      </c>
      <c r="E3143" s="20" t="n">
        <f aca="false">Parametres!$B$5*C3143</f>
        <v>6.63</v>
      </c>
      <c r="F3143" s="20" t="n">
        <f aca="false">Parametres!$B$6*D3143</f>
        <v>0</v>
      </c>
      <c r="G3143" s="20" t="n">
        <f aca="false">E3143+F3143</f>
        <v>6.63</v>
      </c>
      <c r="H3143" s="20" t="n">
        <f aca="false">IF(G3143&lt;Parametres!$B$8*Parametres!$B$7,0,MIN(G3143,Parametres!$B$7))</f>
        <v>0</v>
      </c>
      <c r="I3143" s="20" t="n">
        <f aca="false">G3143-H3143</f>
        <v>6.63</v>
      </c>
      <c r="J3143" s="21" t="n">
        <f aca="false">H3143*1000/Parametres!$B$9</f>
        <v>0</v>
      </c>
    </row>
    <row r="3144" customFormat="false" ht="15" hidden="false" customHeight="false" outlineLevel="0" collapsed="false">
      <c r="A3144" s="0" t="n">
        <v>3140</v>
      </c>
      <c r="B3144" s="0" t="n">
        <v>5</v>
      </c>
      <c r="C3144" s="19" t="n">
        <v>0</v>
      </c>
      <c r="D3144" s="19" t="n">
        <v>0.0001</v>
      </c>
      <c r="E3144" s="20" t="n">
        <f aca="false">Parametres!$B$5*C3144</f>
        <v>0</v>
      </c>
      <c r="F3144" s="20" t="n">
        <f aca="false">Parametres!$B$6*D3144</f>
        <v>0.02</v>
      </c>
      <c r="G3144" s="20" t="n">
        <f aca="false">E3144+F3144</f>
        <v>0.02</v>
      </c>
      <c r="H3144" s="20" t="n">
        <f aca="false">IF(G3144&lt;Parametres!$B$8*Parametres!$B$7,0,MIN(G3144,Parametres!$B$7))</f>
        <v>0</v>
      </c>
      <c r="I3144" s="20" t="n">
        <f aca="false">G3144-H3144</f>
        <v>0.02</v>
      </c>
      <c r="J3144" s="21" t="n">
        <f aca="false">H3144*1000/Parametres!$B$9</f>
        <v>0</v>
      </c>
    </row>
    <row r="3145" customFormat="false" ht="15" hidden="false" customHeight="false" outlineLevel="0" collapsed="false">
      <c r="A3145" s="0" t="n">
        <v>3141</v>
      </c>
      <c r="B3145" s="0" t="n">
        <v>5</v>
      </c>
      <c r="C3145" s="19" t="n">
        <v>0</v>
      </c>
      <c r="D3145" s="19" t="n">
        <v>0</v>
      </c>
      <c r="E3145" s="20" t="n">
        <f aca="false">Parametres!$B$5*C3145</f>
        <v>0</v>
      </c>
      <c r="F3145" s="20" t="n">
        <f aca="false">Parametres!$B$6*D3145</f>
        <v>0</v>
      </c>
      <c r="G3145" s="20" t="n">
        <f aca="false">E3145+F3145</f>
        <v>0</v>
      </c>
      <c r="H3145" s="20" t="n">
        <f aca="false">IF(G3145&lt;Parametres!$B$8*Parametres!$B$7,0,MIN(G3145,Parametres!$B$7))</f>
        <v>0</v>
      </c>
      <c r="I3145" s="20" t="n">
        <f aca="false">G3145-H3145</f>
        <v>0</v>
      </c>
      <c r="J3145" s="21" t="n">
        <f aca="false">H3145*1000/Parametres!$B$9</f>
        <v>0</v>
      </c>
    </row>
    <row r="3146" customFormat="false" ht="15" hidden="false" customHeight="false" outlineLevel="0" collapsed="false">
      <c r="A3146" s="0" t="n">
        <v>3142</v>
      </c>
      <c r="B3146" s="0" t="n">
        <v>5</v>
      </c>
      <c r="C3146" s="19" t="n">
        <v>0</v>
      </c>
      <c r="D3146" s="19" t="n">
        <v>0</v>
      </c>
      <c r="E3146" s="20" t="n">
        <f aca="false">Parametres!$B$5*C3146</f>
        <v>0</v>
      </c>
      <c r="F3146" s="20" t="n">
        <f aca="false">Parametres!$B$6*D3146</f>
        <v>0</v>
      </c>
      <c r="G3146" s="20" t="n">
        <f aca="false">E3146+F3146</f>
        <v>0</v>
      </c>
      <c r="H3146" s="20" t="n">
        <f aca="false">IF(G3146&lt;Parametres!$B$8*Parametres!$B$7,0,MIN(G3146,Parametres!$B$7))</f>
        <v>0</v>
      </c>
      <c r="I3146" s="20" t="n">
        <f aca="false">G3146-H3146</f>
        <v>0</v>
      </c>
      <c r="J3146" s="21" t="n">
        <f aca="false">H3146*1000/Parametres!$B$9</f>
        <v>0</v>
      </c>
    </row>
    <row r="3147" customFormat="false" ht="15" hidden="false" customHeight="false" outlineLevel="0" collapsed="false">
      <c r="A3147" s="0" t="n">
        <v>3143</v>
      </c>
      <c r="B3147" s="0" t="n">
        <v>5</v>
      </c>
      <c r="C3147" s="19" t="n">
        <v>0</v>
      </c>
      <c r="D3147" s="19" t="n">
        <v>0</v>
      </c>
      <c r="E3147" s="20" t="n">
        <f aca="false">Parametres!$B$5*C3147</f>
        <v>0</v>
      </c>
      <c r="F3147" s="20" t="n">
        <f aca="false">Parametres!$B$6*D3147</f>
        <v>0</v>
      </c>
      <c r="G3147" s="20" t="n">
        <f aca="false">E3147+F3147</f>
        <v>0</v>
      </c>
      <c r="H3147" s="20" t="n">
        <f aca="false">IF(G3147&lt;Parametres!$B$8*Parametres!$B$7,0,MIN(G3147,Parametres!$B$7))</f>
        <v>0</v>
      </c>
      <c r="I3147" s="20" t="n">
        <f aca="false">G3147-H3147</f>
        <v>0</v>
      </c>
      <c r="J3147" s="21" t="n">
        <f aca="false">H3147*1000/Parametres!$B$9</f>
        <v>0</v>
      </c>
    </row>
    <row r="3148" customFormat="false" ht="15" hidden="false" customHeight="false" outlineLevel="0" collapsed="false">
      <c r="A3148" s="0" t="n">
        <v>3144</v>
      </c>
      <c r="B3148" s="0" t="n">
        <v>5</v>
      </c>
      <c r="C3148" s="19" t="n">
        <v>0</v>
      </c>
      <c r="D3148" s="19" t="n">
        <v>0</v>
      </c>
      <c r="E3148" s="20" t="n">
        <f aca="false">Parametres!$B$5*C3148</f>
        <v>0</v>
      </c>
      <c r="F3148" s="20" t="n">
        <f aca="false">Parametres!$B$6*D3148</f>
        <v>0</v>
      </c>
      <c r="G3148" s="20" t="n">
        <f aca="false">E3148+F3148</f>
        <v>0</v>
      </c>
      <c r="H3148" s="20" t="n">
        <f aca="false">IF(G3148&lt;Parametres!$B$8*Parametres!$B$7,0,MIN(G3148,Parametres!$B$7))</f>
        <v>0</v>
      </c>
      <c r="I3148" s="20" t="n">
        <f aca="false">G3148-H3148</f>
        <v>0</v>
      </c>
      <c r="J3148" s="21" t="n">
        <f aca="false">H3148*1000/Parametres!$B$9</f>
        <v>0</v>
      </c>
    </row>
    <row r="3149" customFormat="false" ht="15" hidden="false" customHeight="false" outlineLevel="0" collapsed="false">
      <c r="A3149" s="0" t="n">
        <v>3145</v>
      </c>
      <c r="B3149" s="0" t="n">
        <v>5</v>
      </c>
      <c r="C3149" s="19" t="n">
        <v>0</v>
      </c>
      <c r="D3149" s="19" t="n">
        <v>0.0006</v>
      </c>
      <c r="E3149" s="20" t="n">
        <f aca="false">Parametres!$B$5*C3149</f>
        <v>0</v>
      </c>
      <c r="F3149" s="20" t="n">
        <f aca="false">Parametres!$B$6*D3149</f>
        <v>0.12</v>
      </c>
      <c r="G3149" s="20" t="n">
        <f aca="false">E3149+F3149</f>
        <v>0.12</v>
      </c>
      <c r="H3149" s="20" t="n">
        <f aca="false">IF(G3149&lt;Parametres!$B$8*Parametres!$B$7,0,MIN(G3149,Parametres!$B$7))</f>
        <v>0</v>
      </c>
      <c r="I3149" s="20" t="n">
        <f aca="false">G3149-H3149</f>
        <v>0.12</v>
      </c>
      <c r="J3149" s="21" t="n">
        <f aca="false">H3149*1000/Parametres!$B$9</f>
        <v>0</v>
      </c>
    </row>
    <row r="3150" customFormat="false" ht="15" hidden="false" customHeight="false" outlineLevel="0" collapsed="false">
      <c r="A3150" s="0" t="n">
        <v>3146</v>
      </c>
      <c r="B3150" s="0" t="n">
        <v>5</v>
      </c>
      <c r="C3150" s="19" t="n">
        <v>0</v>
      </c>
      <c r="D3150" s="19" t="n">
        <v>0.0066</v>
      </c>
      <c r="E3150" s="20" t="n">
        <f aca="false">Parametres!$B$5*C3150</f>
        <v>0</v>
      </c>
      <c r="F3150" s="20" t="n">
        <f aca="false">Parametres!$B$6*D3150</f>
        <v>1.32</v>
      </c>
      <c r="G3150" s="20" t="n">
        <f aca="false">E3150+F3150</f>
        <v>1.32</v>
      </c>
      <c r="H3150" s="20" t="n">
        <f aca="false">IF(G3150&lt;Parametres!$B$8*Parametres!$B$7,0,MIN(G3150,Parametres!$B$7))</f>
        <v>0</v>
      </c>
      <c r="I3150" s="20" t="n">
        <f aca="false">G3150-H3150</f>
        <v>1.32</v>
      </c>
      <c r="J3150" s="21" t="n">
        <f aca="false">H3150*1000/Parametres!$B$9</f>
        <v>0</v>
      </c>
    </row>
    <row r="3151" customFormat="false" ht="15" hidden="false" customHeight="false" outlineLevel="0" collapsed="false">
      <c r="A3151" s="0" t="n">
        <v>3147</v>
      </c>
      <c r="B3151" s="0" t="n">
        <v>5</v>
      </c>
      <c r="C3151" s="19" t="n">
        <v>0</v>
      </c>
      <c r="D3151" s="19" t="n">
        <v>0.0009</v>
      </c>
      <c r="E3151" s="20" t="n">
        <f aca="false">Parametres!$B$5*C3151</f>
        <v>0</v>
      </c>
      <c r="F3151" s="20" t="n">
        <f aca="false">Parametres!$B$6*D3151</f>
        <v>0.18</v>
      </c>
      <c r="G3151" s="20" t="n">
        <f aca="false">E3151+F3151</f>
        <v>0.18</v>
      </c>
      <c r="H3151" s="20" t="n">
        <f aca="false">IF(G3151&lt;Parametres!$B$8*Parametres!$B$7,0,MIN(G3151,Parametres!$B$7))</f>
        <v>0</v>
      </c>
      <c r="I3151" s="20" t="n">
        <f aca="false">G3151-H3151</f>
        <v>0.18</v>
      </c>
      <c r="J3151" s="21" t="n">
        <f aca="false">H3151*1000/Parametres!$B$9</f>
        <v>0</v>
      </c>
    </row>
    <row r="3152" customFormat="false" ht="15" hidden="false" customHeight="false" outlineLevel="0" collapsed="false">
      <c r="A3152" s="0" t="n">
        <v>3148</v>
      </c>
      <c r="B3152" s="0" t="n">
        <v>5</v>
      </c>
      <c r="C3152" s="19" t="n">
        <v>0</v>
      </c>
      <c r="D3152" s="19" t="n">
        <v>0.0014</v>
      </c>
      <c r="E3152" s="20" t="n">
        <f aca="false">Parametres!$B$5*C3152</f>
        <v>0</v>
      </c>
      <c r="F3152" s="20" t="n">
        <f aca="false">Parametres!$B$6*D3152</f>
        <v>0.28</v>
      </c>
      <c r="G3152" s="20" t="n">
        <f aca="false">E3152+F3152</f>
        <v>0.28</v>
      </c>
      <c r="H3152" s="20" t="n">
        <f aca="false">IF(G3152&lt;Parametres!$B$8*Parametres!$B$7,0,MIN(G3152,Parametres!$B$7))</f>
        <v>0</v>
      </c>
      <c r="I3152" s="20" t="n">
        <f aca="false">G3152-H3152</f>
        <v>0.28</v>
      </c>
      <c r="J3152" s="21" t="n">
        <f aca="false">H3152*1000/Parametres!$B$9</f>
        <v>0</v>
      </c>
    </row>
    <row r="3153" customFormat="false" ht="15" hidden="false" customHeight="false" outlineLevel="0" collapsed="false">
      <c r="A3153" s="0" t="n">
        <v>3149</v>
      </c>
      <c r="B3153" s="0" t="n">
        <v>5</v>
      </c>
      <c r="C3153" s="19" t="n">
        <v>0</v>
      </c>
      <c r="D3153" s="19" t="n">
        <v>0.0032</v>
      </c>
      <c r="E3153" s="20" t="n">
        <f aca="false">Parametres!$B$5*C3153</f>
        <v>0</v>
      </c>
      <c r="F3153" s="20" t="n">
        <f aca="false">Parametres!$B$6*D3153</f>
        <v>0.64</v>
      </c>
      <c r="G3153" s="20" t="n">
        <f aca="false">E3153+F3153</f>
        <v>0.64</v>
      </c>
      <c r="H3153" s="20" t="n">
        <f aca="false">IF(G3153&lt;Parametres!$B$8*Parametres!$B$7,0,MIN(G3153,Parametres!$B$7))</f>
        <v>0</v>
      </c>
      <c r="I3153" s="20" t="n">
        <f aca="false">G3153-H3153</f>
        <v>0.64</v>
      </c>
      <c r="J3153" s="21" t="n">
        <f aca="false">H3153*1000/Parametres!$B$9</f>
        <v>0</v>
      </c>
    </row>
    <row r="3154" customFormat="false" ht="15" hidden="false" customHeight="false" outlineLevel="0" collapsed="false">
      <c r="A3154" s="0" t="n">
        <v>3150</v>
      </c>
      <c r="B3154" s="0" t="n">
        <v>5</v>
      </c>
      <c r="C3154" s="19" t="n">
        <v>0.0262</v>
      </c>
      <c r="D3154" s="19" t="n">
        <v>0.006</v>
      </c>
      <c r="E3154" s="20" t="n">
        <f aca="false">Parametres!$B$5*C3154</f>
        <v>7.86</v>
      </c>
      <c r="F3154" s="20" t="n">
        <f aca="false">Parametres!$B$6*D3154</f>
        <v>1.2</v>
      </c>
      <c r="G3154" s="20" t="n">
        <f aca="false">E3154+F3154</f>
        <v>9.06</v>
      </c>
      <c r="H3154" s="20" t="n">
        <f aca="false">IF(G3154&lt;Parametres!$B$8*Parametres!$B$7,0,MIN(G3154,Parametres!$B$7))</f>
        <v>0</v>
      </c>
      <c r="I3154" s="20" t="n">
        <f aca="false">G3154-H3154</f>
        <v>9.06</v>
      </c>
      <c r="J3154" s="21" t="n">
        <f aca="false">H3154*1000/Parametres!$B$9</f>
        <v>0</v>
      </c>
    </row>
    <row r="3155" customFormat="false" ht="15" hidden="false" customHeight="false" outlineLevel="0" collapsed="false">
      <c r="A3155" s="0" t="n">
        <v>3151</v>
      </c>
      <c r="B3155" s="0" t="n">
        <v>5</v>
      </c>
      <c r="C3155" s="19" t="n">
        <v>0.2685</v>
      </c>
      <c r="D3155" s="19" t="n">
        <v>0.0272</v>
      </c>
      <c r="E3155" s="20" t="n">
        <f aca="false">Parametres!$B$5*C3155</f>
        <v>80.55</v>
      </c>
      <c r="F3155" s="20" t="n">
        <f aca="false">Parametres!$B$6*D3155</f>
        <v>5.44</v>
      </c>
      <c r="G3155" s="20" t="n">
        <f aca="false">E3155+F3155</f>
        <v>85.99</v>
      </c>
      <c r="H3155" s="20" t="n">
        <f aca="false">IF(G3155&lt;Parametres!$B$8*Parametres!$B$7,0,MIN(G3155,Parametres!$B$7))</f>
        <v>85.99</v>
      </c>
      <c r="I3155" s="20" t="n">
        <f aca="false">G3155-H3155</f>
        <v>0</v>
      </c>
      <c r="J3155" s="21" t="n">
        <f aca="false">H3155*1000/Parametres!$B$9</f>
        <v>1458.19908428014</v>
      </c>
    </row>
    <row r="3156" customFormat="false" ht="15" hidden="false" customHeight="false" outlineLevel="0" collapsed="false">
      <c r="A3156" s="0" t="n">
        <v>3152</v>
      </c>
      <c r="B3156" s="0" t="n">
        <v>5</v>
      </c>
      <c r="C3156" s="19" t="n">
        <v>0.5571</v>
      </c>
      <c r="D3156" s="19" t="n">
        <v>0.0388</v>
      </c>
      <c r="E3156" s="20" t="n">
        <f aca="false">Parametres!$B$5*C3156</f>
        <v>167.13</v>
      </c>
      <c r="F3156" s="20" t="n">
        <f aca="false">Parametres!$B$6*D3156</f>
        <v>7.76</v>
      </c>
      <c r="G3156" s="20" t="n">
        <f aca="false">E3156+F3156</f>
        <v>174.89</v>
      </c>
      <c r="H3156" s="20" t="n">
        <f aca="false">IF(G3156&lt;Parametres!$B$8*Parametres!$B$7,0,MIN(G3156,Parametres!$B$7))</f>
        <v>174.89</v>
      </c>
      <c r="I3156" s="20" t="n">
        <f aca="false">G3156-H3156</f>
        <v>0</v>
      </c>
      <c r="J3156" s="21" t="n">
        <f aca="false">H3156*1000/Parametres!$B$9</f>
        <v>2965.7452942174</v>
      </c>
    </row>
    <row r="3157" customFormat="false" ht="15" hidden="false" customHeight="false" outlineLevel="0" collapsed="false">
      <c r="A3157" s="0" t="n">
        <v>3153</v>
      </c>
      <c r="B3157" s="0" t="n">
        <v>5</v>
      </c>
      <c r="C3157" s="19" t="n">
        <v>0.798</v>
      </c>
      <c r="D3157" s="19" t="n">
        <v>0.093</v>
      </c>
      <c r="E3157" s="20" t="n">
        <f aca="false">Parametres!$B$5*C3157</f>
        <v>239.4</v>
      </c>
      <c r="F3157" s="20" t="n">
        <f aca="false">Parametres!$B$6*D3157</f>
        <v>18.6</v>
      </c>
      <c r="G3157" s="20" t="n">
        <f aca="false">E3157+F3157</f>
        <v>258</v>
      </c>
      <c r="H3157" s="20" t="n">
        <f aca="false">IF(G3157&lt;Parametres!$B$8*Parametres!$B$7,0,MIN(G3157,Parametres!$B$7))</f>
        <v>250</v>
      </c>
      <c r="I3157" s="20" t="n">
        <f aca="false">G3157-H3157</f>
        <v>8</v>
      </c>
      <c r="J3157" s="21" t="n">
        <f aca="false">H3157*1000/Parametres!$B$9</f>
        <v>4239.44378497541</v>
      </c>
    </row>
    <row r="3158" customFormat="false" ht="15" hidden="false" customHeight="false" outlineLevel="0" collapsed="false">
      <c r="A3158" s="0" t="n">
        <v>3154</v>
      </c>
      <c r="B3158" s="0" t="n">
        <v>5</v>
      </c>
      <c r="C3158" s="19" t="n">
        <v>1</v>
      </c>
      <c r="D3158" s="19" t="n">
        <v>0.1913</v>
      </c>
      <c r="E3158" s="20" t="n">
        <f aca="false">Parametres!$B$5*C3158</f>
        <v>300</v>
      </c>
      <c r="F3158" s="20" t="n">
        <f aca="false">Parametres!$B$6*D3158</f>
        <v>38.26</v>
      </c>
      <c r="G3158" s="20" t="n">
        <f aca="false">E3158+F3158</f>
        <v>338.26</v>
      </c>
      <c r="H3158" s="20" t="n">
        <f aca="false">IF(G3158&lt;Parametres!$B$8*Parametres!$B$7,0,MIN(G3158,Parametres!$B$7))</f>
        <v>250</v>
      </c>
      <c r="I3158" s="20" t="n">
        <f aca="false">G3158-H3158</f>
        <v>88.26</v>
      </c>
      <c r="J3158" s="21" t="n">
        <f aca="false">H3158*1000/Parametres!$B$9</f>
        <v>4239.44378497541</v>
      </c>
    </row>
    <row r="3159" customFormat="false" ht="15" hidden="false" customHeight="false" outlineLevel="0" collapsed="false">
      <c r="A3159" s="0" t="n">
        <v>3155</v>
      </c>
      <c r="B3159" s="0" t="n">
        <v>5</v>
      </c>
      <c r="C3159" s="19" t="n">
        <v>1</v>
      </c>
      <c r="D3159" s="19" t="n">
        <v>0.2387</v>
      </c>
      <c r="E3159" s="20" t="n">
        <f aca="false">Parametres!$B$5*C3159</f>
        <v>300</v>
      </c>
      <c r="F3159" s="20" t="n">
        <f aca="false">Parametres!$B$6*D3159</f>
        <v>47.74</v>
      </c>
      <c r="G3159" s="20" t="n">
        <f aca="false">E3159+F3159</f>
        <v>347.74</v>
      </c>
      <c r="H3159" s="20" t="n">
        <f aca="false">IF(G3159&lt;Parametres!$B$8*Parametres!$B$7,0,MIN(G3159,Parametres!$B$7))</f>
        <v>250</v>
      </c>
      <c r="I3159" s="20" t="n">
        <f aca="false">G3159-H3159</f>
        <v>97.74</v>
      </c>
      <c r="J3159" s="21" t="n">
        <f aca="false">H3159*1000/Parametres!$B$9</f>
        <v>4239.44378497541</v>
      </c>
    </row>
    <row r="3160" customFormat="false" ht="15" hidden="false" customHeight="false" outlineLevel="0" collapsed="false">
      <c r="A3160" s="0" t="n">
        <v>3156</v>
      </c>
      <c r="B3160" s="0" t="n">
        <v>5</v>
      </c>
      <c r="C3160" s="19" t="n">
        <v>1</v>
      </c>
      <c r="D3160" s="19" t="n">
        <v>0.3457</v>
      </c>
      <c r="E3160" s="20" t="n">
        <f aca="false">Parametres!$B$5*C3160</f>
        <v>300</v>
      </c>
      <c r="F3160" s="20" t="n">
        <f aca="false">Parametres!$B$6*D3160</f>
        <v>69.14</v>
      </c>
      <c r="G3160" s="20" t="n">
        <f aca="false">E3160+F3160</f>
        <v>369.14</v>
      </c>
      <c r="H3160" s="20" t="n">
        <f aca="false">IF(G3160&lt;Parametres!$B$8*Parametres!$B$7,0,MIN(G3160,Parametres!$B$7))</f>
        <v>250</v>
      </c>
      <c r="I3160" s="20" t="n">
        <f aca="false">G3160-H3160</f>
        <v>119.14</v>
      </c>
      <c r="J3160" s="21" t="n">
        <f aca="false">H3160*1000/Parametres!$B$9</f>
        <v>4239.44378497541</v>
      </c>
    </row>
    <row r="3161" customFormat="false" ht="15" hidden="false" customHeight="false" outlineLevel="0" collapsed="false">
      <c r="A3161" s="0" t="n">
        <v>3157</v>
      </c>
      <c r="B3161" s="0" t="n">
        <v>5</v>
      </c>
      <c r="C3161" s="19" t="n">
        <v>1</v>
      </c>
      <c r="D3161" s="19" t="n">
        <v>0.2889</v>
      </c>
      <c r="E3161" s="20" t="n">
        <f aca="false">Parametres!$B$5*C3161</f>
        <v>300</v>
      </c>
      <c r="F3161" s="20" t="n">
        <f aca="false">Parametres!$B$6*D3161</f>
        <v>57.78</v>
      </c>
      <c r="G3161" s="20" t="n">
        <f aca="false">E3161+F3161</f>
        <v>357.78</v>
      </c>
      <c r="H3161" s="20" t="n">
        <f aca="false">IF(G3161&lt;Parametres!$B$8*Parametres!$B$7,0,MIN(G3161,Parametres!$B$7))</f>
        <v>250</v>
      </c>
      <c r="I3161" s="20" t="n">
        <f aca="false">G3161-H3161</f>
        <v>107.78</v>
      </c>
      <c r="J3161" s="21" t="n">
        <f aca="false">H3161*1000/Parametres!$B$9</f>
        <v>4239.44378497541</v>
      </c>
    </row>
    <row r="3162" customFormat="false" ht="15" hidden="false" customHeight="false" outlineLevel="0" collapsed="false">
      <c r="A3162" s="0" t="n">
        <v>3158</v>
      </c>
      <c r="B3162" s="0" t="n">
        <v>5</v>
      </c>
      <c r="C3162" s="19" t="n">
        <v>1</v>
      </c>
      <c r="D3162" s="19" t="n">
        <v>0.3686</v>
      </c>
      <c r="E3162" s="20" t="n">
        <f aca="false">Parametres!$B$5*C3162</f>
        <v>300</v>
      </c>
      <c r="F3162" s="20" t="n">
        <f aca="false">Parametres!$B$6*D3162</f>
        <v>73.72</v>
      </c>
      <c r="G3162" s="20" t="n">
        <f aca="false">E3162+F3162</f>
        <v>373.72</v>
      </c>
      <c r="H3162" s="20" t="n">
        <f aca="false">IF(G3162&lt;Parametres!$B$8*Parametres!$B$7,0,MIN(G3162,Parametres!$B$7))</f>
        <v>250</v>
      </c>
      <c r="I3162" s="20" t="n">
        <f aca="false">G3162-H3162</f>
        <v>123.72</v>
      </c>
      <c r="J3162" s="21" t="n">
        <f aca="false">H3162*1000/Parametres!$B$9</f>
        <v>4239.44378497541</v>
      </c>
    </row>
    <row r="3163" customFormat="false" ht="15" hidden="false" customHeight="false" outlineLevel="0" collapsed="false">
      <c r="A3163" s="0" t="n">
        <v>3159</v>
      </c>
      <c r="B3163" s="0" t="n">
        <v>5</v>
      </c>
      <c r="C3163" s="19" t="n">
        <v>1</v>
      </c>
      <c r="D3163" s="19" t="n">
        <v>0.433</v>
      </c>
      <c r="E3163" s="20" t="n">
        <f aca="false">Parametres!$B$5*C3163</f>
        <v>300</v>
      </c>
      <c r="F3163" s="20" t="n">
        <f aca="false">Parametres!$B$6*D3163</f>
        <v>86.6</v>
      </c>
      <c r="G3163" s="20" t="n">
        <f aca="false">E3163+F3163</f>
        <v>386.6</v>
      </c>
      <c r="H3163" s="20" t="n">
        <f aca="false">IF(G3163&lt;Parametres!$B$8*Parametres!$B$7,0,MIN(G3163,Parametres!$B$7))</f>
        <v>250</v>
      </c>
      <c r="I3163" s="20" t="n">
        <f aca="false">G3163-H3163</f>
        <v>136.6</v>
      </c>
      <c r="J3163" s="21" t="n">
        <f aca="false">H3163*1000/Parametres!$B$9</f>
        <v>4239.44378497541</v>
      </c>
    </row>
    <row r="3164" customFormat="false" ht="15" hidden="false" customHeight="false" outlineLevel="0" collapsed="false">
      <c r="A3164" s="0" t="n">
        <v>3160</v>
      </c>
      <c r="B3164" s="0" t="n">
        <v>5</v>
      </c>
      <c r="C3164" s="19" t="n">
        <v>0.8497</v>
      </c>
      <c r="D3164" s="19" t="n">
        <v>0.4323</v>
      </c>
      <c r="E3164" s="20" t="n">
        <f aca="false">Parametres!$B$5*C3164</f>
        <v>254.91</v>
      </c>
      <c r="F3164" s="20" t="n">
        <f aca="false">Parametres!$B$6*D3164</f>
        <v>86.46</v>
      </c>
      <c r="G3164" s="20" t="n">
        <f aca="false">E3164+F3164</f>
        <v>341.37</v>
      </c>
      <c r="H3164" s="20" t="n">
        <f aca="false">IF(G3164&lt;Parametres!$B$8*Parametres!$B$7,0,MIN(G3164,Parametres!$B$7))</f>
        <v>250</v>
      </c>
      <c r="I3164" s="20" t="n">
        <f aca="false">G3164-H3164</f>
        <v>91.37</v>
      </c>
      <c r="J3164" s="21" t="n">
        <f aca="false">H3164*1000/Parametres!$B$9</f>
        <v>4239.44378497541</v>
      </c>
    </row>
    <row r="3165" customFormat="false" ht="15" hidden="false" customHeight="false" outlineLevel="0" collapsed="false">
      <c r="A3165" s="0" t="n">
        <v>3161</v>
      </c>
      <c r="B3165" s="0" t="n">
        <v>5</v>
      </c>
      <c r="C3165" s="19" t="n">
        <v>0.5332</v>
      </c>
      <c r="D3165" s="19" t="n">
        <v>0.3694</v>
      </c>
      <c r="E3165" s="20" t="n">
        <f aca="false">Parametres!$B$5*C3165</f>
        <v>159.96</v>
      </c>
      <c r="F3165" s="20" t="n">
        <f aca="false">Parametres!$B$6*D3165</f>
        <v>73.88</v>
      </c>
      <c r="G3165" s="20" t="n">
        <f aca="false">E3165+F3165</f>
        <v>233.84</v>
      </c>
      <c r="H3165" s="20" t="n">
        <f aca="false">IF(G3165&lt;Parametres!$B$8*Parametres!$B$7,0,MIN(G3165,Parametres!$B$7))</f>
        <v>233.84</v>
      </c>
      <c r="I3165" s="20" t="n">
        <f aca="false">G3165-H3165</f>
        <v>0</v>
      </c>
      <c r="J3165" s="21" t="n">
        <f aca="false">H3165*1000/Parametres!$B$9</f>
        <v>3965.4061387146</v>
      </c>
    </row>
    <row r="3166" customFormat="false" ht="15" hidden="false" customHeight="false" outlineLevel="0" collapsed="false">
      <c r="A3166" s="0" t="n">
        <v>3162</v>
      </c>
      <c r="B3166" s="0" t="n">
        <v>5</v>
      </c>
      <c r="C3166" s="19" t="n">
        <v>0.2508</v>
      </c>
      <c r="D3166" s="19" t="n">
        <v>0.5371</v>
      </c>
      <c r="E3166" s="20" t="n">
        <f aca="false">Parametres!$B$5*C3166</f>
        <v>75.24</v>
      </c>
      <c r="F3166" s="20" t="n">
        <f aca="false">Parametres!$B$6*D3166</f>
        <v>107.42</v>
      </c>
      <c r="G3166" s="20" t="n">
        <f aca="false">E3166+F3166</f>
        <v>182.66</v>
      </c>
      <c r="H3166" s="20" t="n">
        <f aca="false">IF(G3166&lt;Parametres!$B$8*Parametres!$B$7,0,MIN(G3166,Parametres!$B$7))</f>
        <v>182.66</v>
      </c>
      <c r="I3166" s="20" t="n">
        <f aca="false">G3166-H3166</f>
        <v>0</v>
      </c>
      <c r="J3166" s="21" t="n">
        <f aca="false">H3166*1000/Parametres!$B$9</f>
        <v>3097.50720705444</v>
      </c>
    </row>
    <row r="3167" customFormat="false" ht="15" hidden="false" customHeight="false" outlineLevel="0" collapsed="false">
      <c r="A3167" s="0" t="n">
        <v>3163</v>
      </c>
      <c r="B3167" s="0" t="n">
        <v>5</v>
      </c>
      <c r="C3167" s="19" t="n">
        <v>0.0282</v>
      </c>
      <c r="D3167" s="19" t="n">
        <v>0.4969</v>
      </c>
      <c r="E3167" s="20" t="n">
        <f aca="false">Parametres!$B$5*C3167</f>
        <v>8.46</v>
      </c>
      <c r="F3167" s="20" t="n">
        <f aca="false">Parametres!$B$6*D3167</f>
        <v>99.38</v>
      </c>
      <c r="G3167" s="20" t="n">
        <f aca="false">E3167+F3167</f>
        <v>107.84</v>
      </c>
      <c r="H3167" s="20" t="n">
        <f aca="false">IF(G3167&lt;Parametres!$B$8*Parametres!$B$7,0,MIN(G3167,Parametres!$B$7))</f>
        <v>107.84</v>
      </c>
      <c r="I3167" s="20" t="n">
        <f aca="false">G3167-H3167</f>
        <v>0</v>
      </c>
      <c r="J3167" s="21" t="n">
        <f aca="false">H3167*1000/Parametres!$B$9</f>
        <v>1828.72647108699</v>
      </c>
    </row>
    <row r="3168" customFormat="false" ht="15" hidden="false" customHeight="false" outlineLevel="0" collapsed="false">
      <c r="A3168" s="0" t="n">
        <v>3164</v>
      </c>
      <c r="B3168" s="0" t="n">
        <v>5</v>
      </c>
      <c r="C3168" s="19" t="n">
        <v>0</v>
      </c>
      <c r="D3168" s="19" t="n">
        <v>1</v>
      </c>
      <c r="E3168" s="20" t="n">
        <f aca="false">Parametres!$B$5*C3168</f>
        <v>0</v>
      </c>
      <c r="F3168" s="20" t="n">
        <f aca="false">Parametres!$B$6*D3168</f>
        <v>200</v>
      </c>
      <c r="G3168" s="20" t="n">
        <f aca="false">E3168+F3168</f>
        <v>200</v>
      </c>
      <c r="H3168" s="20" t="n">
        <f aca="false">IF(G3168&lt;Parametres!$B$8*Parametres!$B$7,0,MIN(G3168,Parametres!$B$7))</f>
        <v>200</v>
      </c>
      <c r="I3168" s="20" t="n">
        <f aca="false">G3168-H3168</f>
        <v>0</v>
      </c>
      <c r="J3168" s="21" t="n">
        <f aca="false">H3168*1000/Parametres!$B$9</f>
        <v>3391.55502798033</v>
      </c>
    </row>
    <row r="3169" customFormat="false" ht="15" hidden="false" customHeight="false" outlineLevel="0" collapsed="false">
      <c r="A3169" s="0" t="n">
        <v>3165</v>
      </c>
      <c r="B3169" s="0" t="n">
        <v>5</v>
      </c>
      <c r="C3169" s="19" t="n">
        <v>0</v>
      </c>
      <c r="D3169" s="19" t="n">
        <v>1</v>
      </c>
      <c r="E3169" s="20" t="n">
        <f aca="false">Parametres!$B$5*C3169</f>
        <v>0</v>
      </c>
      <c r="F3169" s="20" t="n">
        <f aca="false">Parametres!$B$6*D3169</f>
        <v>200</v>
      </c>
      <c r="G3169" s="20" t="n">
        <f aca="false">E3169+F3169</f>
        <v>200</v>
      </c>
      <c r="H3169" s="20" t="n">
        <f aca="false">IF(G3169&lt;Parametres!$B$8*Parametres!$B$7,0,MIN(G3169,Parametres!$B$7))</f>
        <v>200</v>
      </c>
      <c r="I3169" s="20" t="n">
        <f aca="false">G3169-H3169</f>
        <v>0</v>
      </c>
      <c r="J3169" s="21" t="n">
        <f aca="false">H3169*1000/Parametres!$B$9</f>
        <v>3391.55502798033</v>
      </c>
    </row>
    <row r="3170" customFormat="false" ht="15" hidden="false" customHeight="false" outlineLevel="0" collapsed="false">
      <c r="A3170" s="0" t="n">
        <v>3166</v>
      </c>
      <c r="B3170" s="0" t="n">
        <v>5</v>
      </c>
      <c r="C3170" s="19" t="n">
        <v>0</v>
      </c>
      <c r="D3170" s="19" t="n">
        <v>1</v>
      </c>
      <c r="E3170" s="20" t="n">
        <f aca="false">Parametres!$B$5*C3170</f>
        <v>0</v>
      </c>
      <c r="F3170" s="20" t="n">
        <f aca="false">Parametres!$B$6*D3170</f>
        <v>200</v>
      </c>
      <c r="G3170" s="20" t="n">
        <f aca="false">E3170+F3170</f>
        <v>200</v>
      </c>
      <c r="H3170" s="20" t="n">
        <f aca="false">IF(G3170&lt;Parametres!$B$8*Parametres!$B$7,0,MIN(G3170,Parametres!$B$7))</f>
        <v>200</v>
      </c>
      <c r="I3170" s="20" t="n">
        <f aca="false">G3170-H3170</f>
        <v>0</v>
      </c>
      <c r="J3170" s="21" t="n">
        <f aca="false">H3170*1000/Parametres!$B$9</f>
        <v>3391.55502798033</v>
      </c>
    </row>
    <row r="3171" customFormat="false" ht="15" hidden="false" customHeight="false" outlineLevel="0" collapsed="false">
      <c r="A3171" s="0" t="n">
        <v>3167</v>
      </c>
      <c r="B3171" s="0" t="n">
        <v>5</v>
      </c>
      <c r="C3171" s="19" t="n">
        <v>0</v>
      </c>
      <c r="D3171" s="19" t="n">
        <v>1</v>
      </c>
      <c r="E3171" s="20" t="n">
        <f aca="false">Parametres!$B$5*C3171</f>
        <v>0</v>
      </c>
      <c r="F3171" s="20" t="n">
        <f aca="false">Parametres!$B$6*D3171</f>
        <v>200</v>
      </c>
      <c r="G3171" s="20" t="n">
        <f aca="false">E3171+F3171</f>
        <v>200</v>
      </c>
      <c r="H3171" s="20" t="n">
        <f aca="false">IF(G3171&lt;Parametres!$B$8*Parametres!$B$7,0,MIN(G3171,Parametres!$B$7))</f>
        <v>200</v>
      </c>
      <c r="I3171" s="20" t="n">
        <f aca="false">G3171-H3171</f>
        <v>0</v>
      </c>
      <c r="J3171" s="21" t="n">
        <f aca="false">H3171*1000/Parametres!$B$9</f>
        <v>3391.55502798033</v>
      </c>
    </row>
    <row r="3172" customFormat="false" ht="15" hidden="false" customHeight="false" outlineLevel="0" collapsed="false">
      <c r="A3172" s="0" t="n">
        <v>3168</v>
      </c>
      <c r="B3172" s="0" t="n">
        <v>5</v>
      </c>
      <c r="C3172" s="19" t="n">
        <v>0</v>
      </c>
      <c r="D3172" s="19" t="n">
        <v>1</v>
      </c>
      <c r="E3172" s="20" t="n">
        <f aca="false">Parametres!$B$5*C3172</f>
        <v>0</v>
      </c>
      <c r="F3172" s="20" t="n">
        <f aca="false">Parametres!$B$6*D3172</f>
        <v>200</v>
      </c>
      <c r="G3172" s="20" t="n">
        <f aca="false">E3172+F3172</f>
        <v>200</v>
      </c>
      <c r="H3172" s="20" t="n">
        <f aca="false">IF(G3172&lt;Parametres!$B$8*Parametres!$B$7,0,MIN(G3172,Parametres!$B$7))</f>
        <v>200</v>
      </c>
      <c r="I3172" s="20" t="n">
        <f aca="false">G3172-H3172</f>
        <v>0</v>
      </c>
      <c r="J3172" s="21" t="n">
        <f aca="false">H3172*1000/Parametres!$B$9</f>
        <v>3391.55502798033</v>
      </c>
    </row>
    <row r="3173" customFormat="false" ht="15" hidden="false" customHeight="false" outlineLevel="0" collapsed="false">
      <c r="A3173" s="0" t="n">
        <v>3169</v>
      </c>
      <c r="B3173" s="0" t="n">
        <v>5</v>
      </c>
      <c r="C3173" s="19" t="n">
        <v>0</v>
      </c>
      <c r="D3173" s="19" t="n">
        <v>1</v>
      </c>
      <c r="E3173" s="20" t="n">
        <f aca="false">Parametres!$B$5*C3173</f>
        <v>0</v>
      </c>
      <c r="F3173" s="20" t="n">
        <f aca="false">Parametres!$B$6*D3173</f>
        <v>200</v>
      </c>
      <c r="G3173" s="20" t="n">
        <f aca="false">E3173+F3173</f>
        <v>200</v>
      </c>
      <c r="H3173" s="20" t="n">
        <f aca="false">IF(G3173&lt;Parametres!$B$8*Parametres!$B$7,0,MIN(G3173,Parametres!$B$7))</f>
        <v>200</v>
      </c>
      <c r="I3173" s="20" t="n">
        <f aca="false">G3173-H3173</f>
        <v>0</v>
      </c>
      <c r="J3173" s="21" t="n">
        <f aca="false">H3173*1000/Parametres!$B$9</f>
        <v>3391.55502798033</v>
      </c>
    </row>
    <row r="3174" customFormat="false" ht="15" hidden="false" customHeight="false" outlineLevel="0" collapsed="false">
      <c r="A3174" s="0" t="n">
        <v>3170</v>
      </c>
      <c r="B3174" s="0" t="n">
        <v>5</v>
      </c>
      <c r="C3174" s="19" t="n">
        <v>0</v>
      </c>
      <c r="D3174" s="19" t="n">
        <v>1</v>
      </c>
      <c r="E3174" s="20" t="n">
        <f aca="false">Parametres!$B$5*C3174</f>
        <v>0</v>
      </c>
      <c r="F3174" s="20" t="n">
        <f aca="false">Parametres!$B$6*D3174</f>
        <v>200</v>
      </c>
      <c r="G3174" s="20" t="n">
        <f aca="false">E3174+F3174</f>
        <v>200</v>
      </c>
      <c r="H3174" s="20" t="n">
        <f aca="false">IF(G3174&lt;Parametres!$B$8*Parametres!$B$7,0,MIN(G3174,Parametres!$B$7))</f>
        <v>200</v>
      </c>
      <c r="I3174" s="20" t="n">
        <f aca="false">G3174-H3174</f>
        <v>0</v>
      </c>
      <c r="J3174" s="21" t="n">
        <f aca="false">H3174*1000/Parametres!$B$9</f>
        <v>3391.55502798033</v>
      </c>
    </row>
    <row r="3175" customFormat="false" ht="15" hidden="false" customHeight="false" outlineLevel="0" collapsed="false">
      <c r="A3175" s="0" t="n">
        <v>3171</v>
      </c>
      <c r="B3175" s="0" t="n">
        <v>5</v>
      </c>
      <c r="C3175" s="19" t="n">
        <v>0</v>
      </c>
      <c r="D3175" s="19" t="n">
        <v>0.6968</v>
      </c>
      <c r="E3175" s="20" t="n">
        <f aca="false">Parametres!$B$5*C3175</f>
        <v>0</v>
      </c>
      <c r="F3175" s="20" t="n">
        <f aca="false">Parametres!$B$6*D3175</f>
        <v>139.36</v>
      </c>
      <c r="G3175" s="20" t="n">
        <f aca="false">E3175+F3175</f>
        <v>139.36</v>
      </c>
      <c r="H3175" s="20" t="n">
        <f aca="false">IF(G3175&lt;Parametres!$B$8*Parametres!$B$7,0,MIN(G3175,Parametres!$B$7))</f>
        <v>139.36</v>
      </c>
      <c r="I3175" s="20" t="n">
        <f aca="false">G3175-H3175</f>
        <v>0</v>
      </c>
      <c r="J3175" s="21" t="n">
        <f aca="false">H3175*1000/Parametres!$B$9</f>
        <v>2363.23554349669</v>
      </c>
    </row>
    <row r="3176" customFormat="false" ht="15" hidden="false" customHeight="false" outlineLevel="0" collapsed="false">
      <c r="A3176" s="0" t="n">
        <v>3172</v>
      </c>
      <c r="B3176" s="0" t="n">
        <v>5</v>
      </c>
      <c r="C3176" s="19" t="n">
        <v>0</v>
      </c>
      <c r="D3176" s="19" t="n">
        <v>0.7756</v>
      </c>
      <c r="E3176" s="20" t="n">
        <f aca="false">Parametres!$B$5*C3176</f>
        <v>0</v>
      </c>
      <c r="F3176" s="20" t="n">
        <f aca="false">Parametres!$B$6*D3176</f>
        <v>155.12</v>
      </c>
      <c r="G3176" s="20" t="n">
        <f aca="false">E3176+F3176</f>
        <v>155.12</v>
      </c>
      <c r="H3176" s="20" t="n">
        <f aca="false">IF(G3176&lt;Parametres!$B$8*Parametres!$B$7,0,MIN(G3176,Parametres!$B$7))</f>
        <v>155.12</v>
      </c>
      <c r="I3176" s="20" t="n">
        <f aca="false">G3176-H3176</f>
        <v>0</v>
      </c>
      <c r="J3176" s="21" t="n">
        <f aca="false">H3176*1000/Parametres!$B$9</f>
        <v>2630.49007970154</v>
      </c>
    </row>
    <row r="3177" customFormat="false" ht="15" hidden="false" customHeight="false" outlineLevel="0" collapsed="false">
      <c r="A3177" s="0" t="n">
        <v>3173</v>
      </c>
      <c r="B3177" s="0" t="n">
        <v>5</v>
      </c>
      <c r="C3177" s="19" t="n">
        <v>0</v>
      </c>
      <c r="D3177" s="19" t="n">
        <v>0.8108</v>
      </c>
      <c r="E3177" s="20" t="n">
        <f aca="false">Parametres!$B$5*C3177</f>
        <v>0</v>
      </c>
      <c r="F3177" s="20" t="n">
        <f aca="false">Parametres!$B$6*D3177</f>
        <v>162.16</v>
      </c>
      <c r="G3177" s="20" t="n">
        <f aca="false">E3177+F3177</f>
        <v>162.16</v>
      </c>
      <c r="H3177" s="20" t="n">
        <f aca="false">IF(G3177&lt;Parametres!$B$8*Parametres!$B$7,0,MIN(G3177,Parametres!$B$7))</f>
        <v>162.16</v>
      </c>
      <c r="I3177" s="20" t="n">
        <f aca="false">G3177-H3177</f>
        <v>0</v>
      </c>
      <c r="J3177" s="21" t="n">
        <f aca="false">H3177*1000/Parametres!$B$9</f>
        <v>2749.87281668645</v>
      </c>
    </row>
    <row r="3178" customFormat="false" ht="15" hidden="false" customHeight="false" outlineLevel="0" collapsed="false">
      <c r="A3178" s="0" t="n">
        <v>3174</v>
      </c>
      <c r="B3178" s="0" t="n">
        <v>5</v>
      </c>
      <c r="C3178" s="19" t="n">
        <v>0.0265</v>
      </c>
      <c r="D3178" s="19" t="n">
        <v>0.7202</v>
      </c>
      <c r="E3178" s="20" t="n">
        <f aca="false">Parametres!$B$5*C3178</f>
        <v>7.95</v>
      </c>
      <c r="F3178" s="20" t="n">
        <f aca="false">Parametres!$B$6*D3178</f>
        <v>144.04</v>
      </c>
      <c r="G3178" s="20" t="n">
        <f aca="false">E3178+F3178</f>
        <v>151.99</v>
      </c>
      <c r="H3178" s="20" t="n">
        <f aca="false">IF(G3178&lt;Parametres!$B$8*Parametres!$B$7,0,MIN(G3178,Parametres!$B$7))</f>
        <v>151.99</v>
      </c>
      <c r="I3178" s="20" t="n">
        <f aca="false">G3178-H3178</f>
        <v>0</v>
      </c>
      <c r="J3178" s="21" t="n">
        <f aca="false">H3178*1000/Parametres!$B$9</f>
        <v>2577.41224351365</v>
      </c>
    </row>
    <row r="3179" customFormat="false" ht="15" hidden="false" customHeight="false" outlineLevel="0" collapsed="false">
      <c r="A3179" s="0" t="n">
        <v>3175</v>
      </c>
      <c r="B3179" s="0" t="n">
        <v>5</v>
      </c>
      <c r="C3179" s="19" t="n">
        <v>0.2436</v>
      </c>
      <c r="D3179" s="19" t="n">
        <v>0.6219</v>
      </c>
      <c r="E3179" s="20" t="n">
        <f aca="false">Parametres!$B$5*C3179</f>
        <v>73.08</v>
      </c>
      <c r="F3179" s="20" t="n">
        <f aca="false">Parametres!$B$6*D3179</f>
        <v>124.38</v>
      </c>
      <c r="G3179" s="20" t="n">
        <f aca="false">E3179+F3179</f>
        <v>197.46</v>
      </c>
      <c r="H3179" s="20" t="n">
        <f aca="false">IF(G3179&lt;Parametres!$B$8*Parametres!$B$7,0,MIN(G3179,Parametres!$B$7))</f>
        <v>197.46</v>
      </c>
      <c r="I3179" s="20" t="n">
        <f aca="false">G3179-H3179</f>
        <v>0</v>
      </c>
      <c r="J3179" s="21" t="n">
        <f aca="false">H3179*1000/Parametres!$B$9</f>
        <v>3348.48227912498</v>
      </c>
    </row>
    <row r="3180" customFormat="false" ht="15" hidden="false" customHeight="false" outlineLevel="0" collapsed="false">
      <c r="A3180" s="0" t="n">
        <v>3176</v>
      </c>
      <c r="B3180" s="0" t="n">
        <v>5</v>
      </c>
      <c r="C3180" s="19" t="n">
        <v>0.4647</v>
      </c>
      <c r="D3180" s="19" t="n">
        <v>0.624</v>
      </c>
      <c r="E3180" s="20" t="n">
        <f aca="false">Parametres!$B$5*C3180</f>
        <v>139.41</v>
      </c>
      <c r="F3180" s="20" t="n">
        <f aca="false">Parametres!$B$6*D3180</f>
        <v>124.8</v>
      </c>
      <c r="G3180" s="20" t="n">
        <f aca="false">E3180+F3180</f>
        <v>264.21</v>
      </c>
      <c r="H3180" s="20" t="n">
        <f aca="false">IF(G3180&lt;Parametres!$B$8*Parametres!$B$7,0,MIN(G3180,Parametres!$B$7))</f>
        <v>250</v>
      </c>
      <c r="I3180" s="20" t="n">
        <f aca="false">G3180-H3180</f>
        <v>14.21</v>
      </c>
      <c r="J3180" s="21" t="n">
        <f aca="false">H3180*1000/Parametres!$B$9</f>
        <v>4239.44378497541</v>
      </c>
    </row>
    <row r="3181" customFormat="false" ht="15" hidden="false" customHeight="false" outlineLevel="0" collapsed="false">
      <c r="A3181" s="0" t="n">
        <v>3177</v>
      </c>
      <c r="B3181" s="0" t="n">
        <v>5</v>
      </c>
      <c r="C3181" s="19" t="n">
        <v>0.7032</v>
      </c>
      <c r="D3181" s="19" t="n">
        <v>0.4559</v>
      </c>
      <c r="E3181" s="20" t="n">
        <f aca="false">Parametres!$B$5*C3181</f>
        <v>210.96</v>
      </c>
      <c r="F3181" s="20" t="n">
        <f aca="false">Parametres!$B$6*D3181</f>
        <v>91.18</v>
      </c>
      <c r="G3181" s="20" t="n">
        <f aca="false">E3181+F3181</f>
        <v>302.14</v>
      </c>
      <c r="H3181" s="20" t="n">
        <f aca="false">IF(G3181&lt;Parametres!$B$8*Parametres!$B$7,0,MIN(G3181,Parametres!$B$7))</f>
        <v>250</v>
      </c>
      <c r="I3181" s="20" t="n">
        <f aca="false">G3181-H3181</f>
        <v>52.14</v>
      </c>
      <c r="J3181" s="21" t="n">
        <f aca="false">H3181*1000/Parametres!$B$9</f>
        <v>4239.44378497541</v>
      </c>
    </row>
    <row r="3182" customFormat="false" ht="15" hidden="false" customHeight="false" outlineLevel="0" collapsed="false">
      <c r="A3182" s="0" t="n">
        <v>3178</v>
      </c>
      <c r="B3182" s="0" t="n">
        <v>5</v>
      </c>
      <c r="C3182" s="19" t="n">
        <v>0.9252</v>
      </c>
      <c r="D3182" s="19" t="n">
        <v>0.4324</v>
      </c>
      <c r="E3182" s="20" t="n">
        <f aca="false">Parametres!$B$5*C3182</f>
        <v>277.56</v>
      </c>
      <c r="F3182" s="20" t="n">
        <f aca="false">Parametres!$B$6*D3182</f>
        <v>86.48</v>
      </c>
      <c r="G3182" s="20" t="n">
        <f aca="false">E3182+F3182</f>
        <v>364.04</v>
      </c>
      <c r="H3182" s="20" t="n">
        <f aca="false">IF(G3182&lt;Parametres!$B$8*Parametres!$B$7,0,MIN(G3182,Parametres!$B$7))</f>
        <v>250</v>
      </c>
      <c r="I3182" s="20" t="n">
        <f aca="false">G3182-H3182</f>
        <v>114.04</v>
      </c>
      <c r="J3182" s="21" t="n">
        <f aca="false">H3182*1000/Parametres!$B$9</f>
        <v>4239.44378497541</v>
      </c>
    </row>
    <row r="3183" customFormat="false" ht="15" hidden="false" customHeight="false" outlineLevel="0" collapsed="false">
      <c r="A3183" s="0" t="n">
        <v>3179</v>
      </c>
      <c r="B3183" s="0" t="n">
        <v>5</v>
      </c>
      <c r="C3183" s="19" t="n">
        <v>1</v>
      </c>
      <c r="D3183" s="19" t="n">
        <v>0.7864</v>
      </c>
      <c r="E3183" s="20" t="n">
        <f aca="false">Parametres!$B$5*C3183</f>
        <v>300</v>
      </c>
      <c r="F3183" s="20" t="n">
        <f aca="false">Parametres!$B$6*D3183</f>
        <v>157.28</v>
      </c>
      <c r="G3183" s="20" t="n">
        <f aca="false">E3183+F3183</f>
        <v>457.28</v>
      </c>
      <c r="H3183" s="20" t="n">
        <f aca="false">IF(G3183&lt;Parametres!$B$8*Parametres!$B$7,0,MIN(G3183,Parametres!$B$7))</f>
        <v>250</v>
      </c>
      <c r="I3183" s="20" t="n">
        <f aca="false">G3183-H3183</f>
        <v>207.28</v>
      </c>
      <c r="J3183" s="21" t="n">
        <f aca="false">H3183*1000/Parametres!$B$9</f>
        <v>4239.44378497541</v>
      </c>
    </row>
    <row r="3184" customFormat="false" ht="15" hidden="false" customHeight="false" outlineLevel="0" collapsed="false">
      <c r="A3184" s="0" t="n">
        <v>3180</v>
      </c>
      <c r="B3184" s="0" t="n">
        <v>5</v>
      </c>
      <c r="C3184" s="19" t="n">
        <v>1</v>
      </c>
      <c r="D3184" s="19" t="n">
        <v>0.7292</v>
      </c>
      <c r="E3184" s="20" t="n">
        <f aca="false">Parametres!$B$5*C3184</f>
        <v>300</v>
      </c>
      <c r="F3184" s="20" t="n">
        <f aca="false">Parametres!$B$6*D3184</f>
        <v>145.84</v>
      </c>
      <c r="G3184" s="20" t="n">
        <f aca="false">E3184+F3184</f>
        <v>445.84</v>
      </c>
      <c r="H3184" s="20" t="n">
        <f aca="false">IF(G3184&lt;Parametres!$B$8*Parametres!$B$7,0,MIN(G3184,Parametres!$B$7))</f>
        <v>250</v>
      </c>
      <c r="I3184" s="20" t="n">
        <f aca="false">G3184-H3184</f>
        <v>195.84</v>
      </c>
      <c r="J3184" s="21" t="n">
        <f aca="false">H3184*1000/Parametres!$B$9</f>
        <v>4239.44378497541</v>
      </c>
    </row>
    <row r="3185" customFormat="false" ht="15" hidden="false" customHeight="false" outlineLevel="0" collapsed="false">
      <c r="A3185" s="0" t="n">
        <v>3181</v>
      </c>
      <c r="B3185" s="0" t="n">
        <v>5</v>
      </c>
      <c r="C3185" s="19" t="n">
        <v>1</v>
      </c>
      <c r="D3185" s="19" t="n">
        <v>1</v>
      </c>
      <c r="E3185" s="20" t="n">
        <f aca="false">Parametres!$B$5*C3185</f>
        <v>300</v>
      </c>
      <c r="F3185" s="20" t="n">
        <f aca="false">Parametres!$B$6*D3185</f>
        <v>200</v>
      </c>
      <c r="G3185" s="20" t="n">
        <f aca="false">E3185+F3185</f>
        <v>500</v>
      </c>
      <c r="H3185" s="20" t="n">
        <f aca="false">IF(G3185&lt;Parametres!$B$8*Parametres!$B$7,0,MIN(G3185,Parametres!$B$7))</f>
        <v>250</v>
      </c>
      <c r="I3185" s="20" t="n">
        <f aca="false">G3185-H3185</f>
        <v>250</v>
      </c>
      <c r="J3185" s="21" t="n">
        <f aca="false">H3185*1000/Parametres!$B$9</f>
        <v>4239.44378497541</v>
      </c>
    </row>
    <row r="3186" customFormat="false" ht="15" hidden="false" customHeight="false" outlineLevel="0" collapsed="false">
      <c r="A3186" s="0" t="n">
        <v>3182</v>
      </c>
      <c r="B3186" s="0" t="n">
        <v>5</v>
      </c>
      <c r="C3186" s="19" t="n">
        <v>1</v>
      </c>
      <c r="D3186" s="19" t="n">
        <v>1</v>
      </c>
      <c r="E3186" s="20" t="n">
        <f aca="false">Parametres!$B$5*C3186</f>
        <v>300</v>
      </c>
      <c r="F3186" s="20" t="n">
        <f aca="false">Parametres!$B$6*D3186</f>
        <v>200</v>
      </c>
      <c r="G3186" s="20" t="n">
        <f aca="false">E3186+F3186</f>
        <v>500</v>
      </c>
      <c r="H3186" s="20" t="n">
        <f aca="false">IF(G3186&lt;Parametres!$B$8*Parametres!$B$7,0,MIN(G3186,Parametres!$B$7))</f>
        <v>250</v>
      </c>
      <c r="I3186" s="20" t="n">
        <f aca="false">G3186-H3186</f>
        <v>250</v>
      </c>
      <c r="J3186" s="21" t="n">
        <f aca="false">H3186*1000/Parametres!$B$9</f>
        <v>4239.44378497541</v>
      </c>
    </row>
    <row r="3187" customFormat="false" ht="15" hidden="false" customHeight="false" outlineLevel="0" collapsed="false">
      <c r="A3187" s="0" t="n">
        <v>3183</v>
      </c>
      <c r="B3187" s="0" t="n">
        <v>5</v>
      </c>
      <c r="C3187" s="19" t="n">
        <v>0.8655</v>
      </c>
      <c r="D3187" s="19" t="n">
        <v>1</v>
      </c>
      <c r="E3187" s="20" t="n">
        <f aca="false">Parametres!$B$5*C3187</f>
        <v>259.65</v>
      </c>
      <c r="F3187" s="20" t="n">
        <f aca="false">Parametres!$B$6*D3187</f>
        <v>200</v>
      </c>
      <c r="G3187" s="20" t="n">
        <f aca="false">E3187+F3187</f>
        <v>459.65</v>
      </c>
      <c r="H3187" s="20" t="n">
        <f aca="false">IF(G3187&lt;Parametres!$B$8*Parametres!$B$7,0,MIN(G3187,Parametres!$B$7))</f>
        <v>250</v>
      </c>
      <c r="I3187" s="20" t="n">
        <f aca="false">G3187-H3187</f>
        <v>209.65</v>
      </c>
      <c r="J3187" s="21" t="n">
        <f aca="false">H3187*1000/Parametres!$B$9</f>
        <v>4239.44378497541</v>
      </c>
    </row>
    <row r="3188" customFormat="false" ht="15" hidden="false" customHeight="false" outlineLevel="0" collapsed="false">
      <c r="A3188" s="0" t="n">
        <v>3184</v>
      </c>
      <c r="B3188" s="0" t="n">
        <v>5</v>
      </c>
      <c r="C3188" s="19" t="n">
        <v>0.742</v>
      </c>
      <c r="D3188" s="19" t="n">
        <v>1</v>
      </c>
      <c r="E3188" s="20" t="n">
        <f aca="false">Parametres!$B$5*C3188</f>
        <v>222.6</v>
      </c>
      <c r="F3188" s="20" t="n">
        <f aca="false">Parametres!$B$6*D3188</f>
        <v>200</v>
      </c>
      <c r="G3188" s="20" t="n">
        <f aca="false">E3188+F3188</f>
        <v>422.6</v>
      </c>
      <c r="H3188" s="20" t="n">
        <f aca="false">IF(G3188&lt;Parametres!$B$8*Parametres!$B$7,0,MIN(G3188,Parametres!$B$7))</f>
        <v>250</v>
      </c>
      <c r="I3188" s="20" t="n">
        <f aca="false">G3188-H3188</f>
        <v>172.6</v>
      </c>
      <c r="J3188" s="21" t="n">
        <f aca="false">H3188*1000/Parametres!$B$9</f>
        <v>4239.44378497541</v>
      </c>
    </row>
    <row r="3189" customFormat="false" ht="15" hidden="false" customHeight="false" outlineLevel="0" collapsed="false">
      <c r="A3189" s="0" t="n">
        <v>3185</v>
      </c>
      <c r="B3189" s="0" t="n">
        <v>5</v>
      </c>
      <c r="C3189" s="19" t="n">
        <v>0.4793</v>
      </c>
      <c r="D3189" s="19" t="n">
        <v>1</v>
      </c>
      <c r="E3189" s="20" t="n">
        <f aca="false">Parametres!$B$5*C3189</f>
        <v>143.79</v>
      </c>
      <c r="F3189" s="20" t="n">
        <f aca="false">Parametres!$B$6*D3189</f>
        <v>200</v>
      </c>
      <c r="G3189" s="20" t="n">
        <f aca="false">E3189+F3189</f>
        <v>343.79</v>
      </c>
      <c r="H3189" s="20" t="n">
        <f aca="false">IF(G3189&lt;Parametres!$B$8*Parametres!$B$7,0,MIN(G3189,Parametres!$B$7))</f>
        <v>250</v>
      </c>
      <c r="I3189" s="20" t="n">
        <f aca="false">G3189-H3189</f>
        <v>93.79</v>
      </c>
      <c r="J3189" s="21" t="n">
        <f aca="false">H3189*1000/Parametres!$B$9</f>
        <v>4239.44378497541</v>
      </c>
    </row>
    <row r="3190" customFormat="false" ht="15" hidden="false" customHeight="false" outlineLevel="0" collapsed="false">
      <c r="A3190" s="0" t="n">
        <v>3186</v>
      </c>
      <c r="B3190" s="0" t="n">
        <v>5</v>
      </c>
      <c r="C3190" s="19" t="n">
        <v>0.2611</v>
      </c>
      <c r="D3190" s="19" t="n">
        <v>1</v>
      </c>
      <c r="E3190" s="20" t="n">
        <f aca="false">Parametres!$B$5*C3190</f>
        <v>78.33</v>
      </c>
      <c r="F3190" s="20" t="n">
        <f aca="false">Parametres!$B$6*D3190</f>
        <v>200</v>
      </c>
      <c r="G3190" s="20" t="n">
        <f aca="false">E3190+F3190</f>
        <v>278.33</v>
      </c>
      <c r="H3190" s="20" t="n">
        <f aca="false">IF(G3190&lt;Parametres!$B$8*Parametres!$B$7,0,MIN(G3190,Parametres!$B$7))</f>
        <v>250</v>
      </c>
      <c r="I3190" s="20" t="n">
        <f aca="false">G3190-H3190</f>
        <v>28.33</v>
      </c>
      <c r="J3190" s="21" t="n">
        <f aca="false">H3190*1000/Parametres!$B$9</f>
        <v>4239.44378497541</v>
      </c>
    </row>
    <row r="3191" customFormat="false" ht="15" hidden="false" customHeight="false" outlineLevel="0" collapsed="false">
      <c r="A3191" s="0" t="n">
        <v>3187</v>
      </c>
      <c r="B3191" s="0" t="n">
        <v>5</v>
      </c>
      <c r="C3191" s="19" t="n">
        <v>0.024</v>
      </c>
      <c r="D3191" s="19" t="n">
        <v>1</v>
      </c>
      <c r="E3191" s="20" t="n">
        <f aca="false">Parametres!$B$5*C3191</f>
        <v>7.2</v>
      </c>
      <c r="F3191" s="20" t="n">
        <f aca="false">Parametres!$B$6*D3191</f>
        <v>200</v>
      </c>
      <c r="G3191" s="20" t="n">
        <f aca="false">E3191+F3191</f>
        <v>207.2</v>
      </c>
      <c r="H3191" s="20" t="n">
        <f aca="false">IF(G3191&lt;Parametres!$B$8*Parametres!$B$7,0,MIN(G3191,Parametres!$B$7))</f>
        <v>207.2</v>
      </c>
      <c r="I3191" s="20" t="n">
        <f aca="false">G3191-H3191</f>
        <v>0</v>
      </c>
      <c r="J3191" s="21" t="n">
        <f aca="false">H3191*1000/Parametres!$B$9</f>
        <v>3513.65100898762</v>
      </c>
    </row>
    <row r="3192" customFormat="false" ht="15" hidden="false" customHeight="false" outlineLevel="0" collapsed="false">
      <c r="A3192" s="0" t="n">
        <v>3188</v>
      </c>
      <c r="B3192" s="0" t="n">
        <v>5</v>
      </c>
      <c r="C3192" s="19" t="n">
        <v>0</v>
      </c>
      <c r="D3192" s="19" t="n">
        <v>1</v>
      </c>
      <c r="E3192" s="20" t="n">
        <f aca="false">Parametres!$B$5*C3192</f>
        <v>0</v>
      </c>
      <c r="F3192" s="20" t="n">
        <f aca="false">Parametres!$B$6*D3192</f>
        <v>200</v>
      </c>
      <c r="G3192" s="20" t="n">
        <f aca="false">E3192+F3192</f>
        <v>200</v>
      </c>
      <c r="H3192" s="20" t="n">
        <f aca="false">IF(G3192&lt;Parametres!$B$8*Parametres!$B$7,0,MIN(G3192,Parametres!$B$7))</f>
        <v>200</v>
      </c>
      <c r="I3192" s="20" t="n">
        <f aca="false">G3192-H3192</f>
        <v>0</v>
      </c>
      <c r="J3192" s="21" t="n">
        <f aca="false">H3192*1000/Parametres!$B$9</f>
        <v>3391.55502798033</v>
      </c>
    </row>
    <row r="3193" customFormat="false" ht="15" hidden="false" customHeight="false" outlineLevel="0" collapsed="false">
      <c r="A3193" s="0" t="n">
        <v>3189</v>
      </c>
      <c r="B3193" s="0" t="n">
        <v>5</v>
      </c>
      <c r="C3193" s="19" t="n">
        <v>0</v>
      </c>
      <c r="D3193" s="19" t="n">
        <v>1</v>
      </c>
      <c r="E3193" s="20" t="n">
        <f aca="false">Parametres!$B$5*C3193</f>
        <v>0</v>
      </c>
      <c r="F3193" s="20" t="n">
        <f aca="false">Parametres!$B$6*D3193</f>
        <v>200</v>
      </c>
      <c r="G3193" s="20" t="n">
        <f aca="false">E3193+F3193</f>
        <v>200</v>
      </c>
      <c r="H3193" s="20" t="n">
        <f aca="false">IF(G3193&lt;Parametres!$B$8*Parametres!$B$7,0,MIN(G3193,Parametres!$B$7))</f>
        <v>200</v>
      </c>
      <c r="I3193" s="20" t="n">
        <f aca="false">G3193-H3193</f>
        <v>0</v>
      </c>
      <c r="J3193" s="21" t="n">
        <f aca="false">H3193*1000/Parametres!$B$9</f>
        <v>3391.55502798033</v>
      </c>
    </row>
    <row r="3194" customFormat="false" ht="15" hidden="false" customHeight="false" outlineLevel="0" collapsed="false">
      <c r="A3194" s="0" t="n">
        <v>3190</v>
      </c>
      <c r="B3194" s="0" t="n">
        <v>5</v>
      </c>
      <c r="C3194" s="19" t="n">
        <v>0</v>
      </c>
      <c r="D3194" s="19" t="n">
        <v>1</v>
      </c>
      <c r="E3194" s="20" t="n">
        <f aca="false">Parametres!$B$5*C3194</f>
        <v>0</v>
      </c>
      <c r="F3194" s="20" t="n">
        <f aca="false">Parametres!$B$6*D3194</f>
        <v>200</v>
      </c>
      <c r="G3194" s="20" t="n">
        <f aca="false">E3194+F3194</f>
        <v>200</v>
      </c>
      <c r="H3194" s="20" t="n">
        <f aca="false">IF(G3194&lt;Parametres!$B$8*Parametres!$B$7,0,MIN(G3194,Parametres!$B$7))</f>
        <v>200</v>
      </c>
      <c r="I3194" s="20" t="n">
        <f aca="false">G3194-H3194</f>
        <v>0</v>
      </c>
      <c r="J3194" s="21" t="n">
        <f aca="false">H3194*1000/Parametres!$B$9</f>
        <v>3391.55502798033</v>
      </c>
    </row>
    <row r="3195" customFormat="false" ht="15" hidden="false" customHeight="false" outlineLevel="0" collapsed="false">
      <c r="A3195" s="0" t="n">
        <v>3191</v>
      </c>
      <c r="B3195" s="0" t="n">
        <v>5</v>
      </c>
      <c r="C3195" s="19" t="n">
        <v>0</v>
      </c>
      <c r="D3195" s="19" t="n">
        <v>1</v>
      </c>
      <c r="E3195" s="20" t="n">
        <f aca="false">Parametres!$B$5*C3195</f>
        <v>0</v>
      </c>
      <c r="F3195" s="20" t="n">
        <f aca="false">Parametres!$B$6*D3195</f>
        <v>200</v>
      </c>
      <c r="G3195" s="20" t="n">
        <f aca="false">E3195+F3195</f>
        <v>200</v>
      </c>
      <c r="H3195" s="20" t="n">
        <f aca="false">IF(G3195&lt;Parametres!$B$8*Parametres!$B$7,0,MIN(G3195,Parametres!$B$7))</f>
        <v>200</v>
      </c>
      <c r="I3195" s="20" t="n">
        <f aca="false">G3195-H3195</f>
        <v>0</v>
      </c>
      <c r="J3195" s="21" t="n">
        <f aca="false">H3195*1000/Parametres!$B$9</f>
        <v>3391.55502798033</v>
      </c>
    </row>
    <row r="3196" customFormat="false" ht="15" hidden="false" customHeight="false" outlineLevel="0" collapsed="false">
      <c r="A3196" s="0" t="n">
        <v>3192</v>
      </c>
      <c r="B3196" s="0" t="n">
        <v>5</v>
      </c>
      <c r="C3196" s="19" t="n">
        <v>0</v>
      </c>
      <c r="D3196" s="19" t="n">
        <v>1</v>
      </c>
      <c r="E3196" s="20" t="n">
        <f aca="false">Parametres!$B$5*C3196</f>
        <v>0</v>
      </c>
      <c r="F3196" s="20" t="n">
        <f aca="false">Parametres!$B$6*D3196</f>
        <v>200</v>
      </c>
      <c r="G3196" s="20" t="n">
        <f aca="false">E3196+F3196</f>
        <v>200</v>
      </c>
      <c r="H3196" s="20" t="n">
        <f aca="false">IF(G3196&lt;Parametres!$B$8*Parametres!$B$7,0,MIN(G3196,Parametres!$B$7))</f>
        <v>200</v>
      </c>
      <c r="I3196" s="20" t="n">
        <f aca="false">G3196-H3196</f>
        <v>0</v>
      </c>
      <c r="J3196" s="21" t="n">
        <f aca="false">H3196*1000/Parametres!$B$9</f>
        <v>3391.55502798033</v>
      </c>
    </row>
    <row r="3197" customFormat="false" ht="15" hidden="false" customHeight="false" outlineLevel="0" collapsed="false">
      <c r="A3197" s="0" t="n">
        <v>3193</v>
      </c>
      <c r="B3197" s="0" t="n">
        <v>5</v>
      </c>
      <c r="C3197" s="19" t="n">
        <v>0</v>
      </c>
      <c r="D3197" s="19" t="n">
        <v>1</v>
      </c>
      <c r="E3197" s="20" t="n">
        <f aca="false">Parametres!$B$5*C3197</f>
        <v>0</v>
      </c>
      <c r="F3197" s="20" t="n">
        <f aca="false">Parametres!$B$6*D3197</f>
        <v>200</v>
      </c>
      <c r="G3197" s="20" t="n">
        <f aca="false">E3197+F3197</f>
        <v>200</v>
      </c>
      <c r="H3197" s="20" t="n">
        <f aca="false">IF(G3197&lt;Parametres!$B$8*Parametres!$B$7,0,MIN(G3197,Parametres!$B$7))</f>
        <v>200</v>
      </c>
      <c r="I3197" s="20" t="n">
        <f aca="false">G3197-H3197</f>
        <v>0</v>
      </c>
      <c r="J3197" s="21" t="n">
        <f aca="false">H3197*1000/Parametres!$B$9</f>
        <v>3391.55502798033</v>
      </c>
    </row>
    <row r="3198" customFormat="false" ht="15" hidden="false" customHeight="false" outlineLevel="0" collapsed="false">
      <c r="A3198" s="0" t="n">
        <v>3194</v>
      </c>
      <c r="B3198" s="0" t="n">
        <v>5</v>
      </c>
      <c r="C3198" s="19" t="n">
        <v>0</v>
      </c>
      <c r="D3198" s="19" t="n">
        <v>0.9905</v>
      </c>
      <c r="E3198" s="20" t="n">
        <f aca="false">Parametres!$B$5*C3198</f>
        <v>0</v>
      </c>
      <c r="F3198" s="20" t="n">
        <f aca="false">Parametres!$B$6*D3198</f>
        <v>198.1</v>
      </c>
      <c r="G3198" s="20" t="n">
        <f aca="false">E3198+F3198</f>
        <v>198.1</v>
      </c>
      <c r="H3198" s="20" t="n">
        <f aca="false">IF(G3198&lt;Parametres!$B$8*Parametres!$B$7,0,MIN(G3198,Parametres!$B$7))</f>
        <v>198.1</v>
      </c>
      <c r="I3198" s="20" t="n">
        <f aca="false">G3198-H3198</f>
        <v>0</v>
      </c>
      <c r="J3198" s="21" t="n">
        <f aca="false">H3198*1000/Parametres!$B$9</f>
        <v>3359.33525521452</v>
      </c>
    </row>
    <row r="3199" customFormat="false" ht="15" hidden="false" customHeight="false" outlineLevel="0" collapsed="false">
      <c r="A3199" s="0" t="n">
        <v>3195</v>
      </c>
      <c r="B3199" s="0" t="n">
        <v>5</v>
      </c>
      <c r="C3199" s="19" t="n">
        <v>0</v>
      </c>
      <c r="D3199" s="19" t="n">
        <v>1</v>
      </c>
      <c r="E3199" s="20" t="n">
        <f aca="false">Parametres!$B$5*C3199</f>
        <v>0</v>
      </c>
      <c r="F3199" s="20" t="n">
        <f aca="false">Parametres!$B$6*D3199</f>
        <v>200</v>
      </c>
      <c r="G3199" s="20" t="n">
        <f aca="false">E3199+F3199</f>
        <v>200</v>
      </c>
      <c r="H3199" s="20" t="n">
        <f aca="false">IF(G3199&lt;Parametres!$B$8*Parametres!$B$7,0,MIN(G3199,Parametres!$B$7))</f>
        <v>200</v>
      </c>
      <c r="I3199" s="20" t="n">
        <f aca="false">G3199-H3199</f>
        <v>0</v>
      </c>
      <c r="J3199" s="21" t="n">
        <f aca="false">H3199*1000/Parametres!$B$9</f>
        <v>3391.55502798033</v>
      </c>
    </row>
    <row r="3200" customFormat="false" ht="15" hidden="false" customHeight="false" outlineLevel="0" collapsed="false">
      <c r="A3200" s="0" t="n">
        <v>3196</v>
      </c>
      <c r="B3200" s="0" t="n">
        <v>5</v>
      </c>
      <c r="C3200" s="19" t="n">
        <v>0</v>
      </c>
      <c r="D3200" s="19" t="n">
        <v>1</v>
      </c>
      <c r="E3200" s="20" t="n">
        <f aca="false">Parametres!$B$5*C3200</f>
        <v>0</v>
      </c>
      <c r="F3200" s="20" t="n">
        <f aca="false">Parametres!$B$6*D3200</f>
        <v>200</v>
      </c>
      <c r="G3200" s="20" t="n">
        <f aca="false">E3200+F3200</f>
        <v>200</v>
      </c>
      <c r="H3200" s="20" t="n">
        <f aca="false">IF(G3200&lt;Parametres!$B$8*Parametres!$B$7,0,MIN(G3200,Parametres!$B$7))</f>
        <v>200</v>
      </c>
      <c r="I3200" s="20" t="n">
        <f aca="false">G3200-H3200</f>
        <v>0</v>
      </c>
      <c r="J3200" s="21" t="n">
        <f aca="false">H3200*1000/Parametres!$B$9</f>
        <v>3391.55502798033</v>
      </c>
    </row>
    <row r="3201" customFormat="false" ht="15" hidden="false" customHeight="false" outlineLevel="0" collapsed="false">
      <c r="A3201" s="0" t="n">
        <v>3197</v>
      </c>
      <c r="B3201" s="0" t="n">
        <v>5</v>
      </c>
      <c r="C3201" s="19" t="n">
        <v>0</v>
      </c>
      <c r="D3201" s="19" t="n">
        <v>1</v>
      </c>
      <c r="E3201" s="20" t="n">
        <f aca="false">Parametres!$B$5*C3201</f>
        <v>0</v>
      </c>
      <c r="F3201" s="20" t="n">
        <f aca="false">Parametres!$B$6*D3201</f>
        <v>200</v>
      </c>
      <c r="G3201" s="20" t="n">
        <f aca="false">E3201+F3201</f>
        <v>200</v>
      </c>
      <c r="H3201" s="20" t="n">
        <f aca="false">IF(G3201&lt;Parametres!$B$8*Parametres!$B$7,0,MIN(G3201,Parametres!$B$7))</f>
        <v>200</v>
      </c>
      <c r="I3201" s="20" t="n">
        <f aca="false">G3201-H3201</f>
        <v>0</v>
      </c>
      <c r="J3201" s="21" t="n">
        <f aca="false">H3201*1000/Parametres!$B$9</f>
        <v>3391.55502798033</v>
      </c>
    </row>
    <row r="3202" customFormat="false" ht="15" hidden="false" customHeight="false" outlineLevel="0" collapsed="false">
      <c r="A3202" s="0" t="n">
        <v>3198</v>
      </c>
      <c r="B3202" s="0" t="n">
        <v>5</v>
      </c>
      <c r="C3202" s="19" t="n">
        <v>0.0299</v>
      </c>
      <c r="D3202" s="19" t="n">
        <v>1</v>
      </c>
      <c r="E3202" s="20" t="n">
        <f aca="false">Parametres!$B$5*C3202</f>
        <v>8.97</v>
      </c>
      <c r="F3202" s="20" t="n">
        <f aca="false">Parametres!$B$6*D3202</f>
        <v>200</v>
      </c>
      <c r="G3202" s="20" t="n">
        <f aca="false">E3202+F3202</f>
        <v>208.97</v>
      </c>
      <c r="H3202" s="20" t="n">
        <f aca="false">IF(G3202&lt;Parametres!$B$8*Parametres!$B$7,0,MIN(G3202,Parametres!$B$7))</f>
        <v>208.97</v>
      </c>
      <c r="I3202" s="20" t="n">
        <f aca="false">G3202-H3202</f>
        <v>0</v>
      </c>
      <c r="J3202" s="21" t="n">
        <f aca="false">H3202*1000/Parametres!$B$9</f>
        <v>3543.66627098525</v>
      </c>
    </row>
    <row r="3203" customFormat="false" ht="15" hidden="false" customHeight="false" outlineLevel="0" collapsed="false">
      <c r="A3203" s="0" t="n">
        <v>3199</v>
      </c>
      <c r="B3203" s="0" t="n">
        <v>5</v>
      </c>
      <c r="C3203" s="19" t="n">
        <v>0.2695</v>
      </c>
      <c r="D3203" s="19" t="n">
        <v>1</v>
      </c>
      <c r="E3203" s="20" t="n">
        <f aca="false">Parametres!$B$5*C3203</f>
        <v>80.85</v>
      </c>
      <c r="F3203" s="20" t="n">
        <f aca="false">Parametres!$B$6*D3203</f>
        <v>200</v>
      </c>
      <c r="G3203" s="20" t="n">
        <f aca="false">E3203+F3203</f>
        <v>280.85</v>
      </c>
      <c r="H3203" s="20" t="n">
        <f aca="false">IF(G3203&lt;Parametres!$B$8*Parametres!$B$7,0,MIN(G3203,Parametres!$B$7))</f>
        <v>250</v>
      </c>
      <c r="I3203" s="20" t="n">
        <f aca="false">G3203-H3203</f>
        <v>30.85</v>
      </c>
      <c r="J3203" s="21" t="n">
        <f aca="false">H3203*1000/Parametres!$B$9</f>
        <v>4239.44378497541</v>
      </c>
    </row>
    <row r="3204" customFormat="false" ht="15" hidden="false" customHeight="false" outlineLevel="0" collapsed="false">
      <c r="A3204" s="0" t="n">
        <v>3200</v>
      </c>
      <c r="B3204" s="0" t="n">
        <v>5</v>
      </c>
      <c r="C3204" s="19" t="n">
        <v>0.5368</v>
      </c>
      <c r="D3204" s="19" t="n">
        <v>1</v>
      </c>
      <c r="E3204" s="20" t="n">
        <f aca="false">Parametres!$B$5*C3204</f>
        <v>161.04</v>
      </c>
      <c r="F3204" s="20" t="n">
        <f aca="false">Parametres!$B$6*D3204</f>
        <v>200</v>
      </c>
      <c r="G3204" s="20" t="n">
        <f aca="false">E3204+F3204</f>
        <v>361.04</v>
      </c>
      <c r="H3204" s="20" t="n">
        <f aca="false">IF(G3204&lt;Parametres!$B$8*Parametres!$B$7,0,MIN(G3204,Parametres!$B$7))</f>
        <v>250</v>
      </c>
      <c r="I3204" s="20" t="n">
        <f aca="false">G3204-H3204</f>
        <v>111.04</v>
      </c>
      <c r="J3204" s="21" t="n">
        <f aca="false">H3204*1000/Parametres!$B$9</f>
        <v>4239.44378497541</v>
      </c>
    </row>
    <row r="3205" customFormat="false" ht="15" hidden="false" customHeight="false" outlineLevel="0" collapsed="false">
      <c r="A3205" s="0" t="n">
        <v>3201</v>
      </c>
      <c r="B3205" s="0" t="n">
        <v>5</v>
      </c>
      <c r="C3205" s="19" t="n">
        <v>0.7527</v>
      </c>
      <c r="D3205" s="19" t="n">
        <v>1</v>
      </c>
      <c r="E3205" s="20" t="n">
        <f aca="false">Parametres!$B$5*C3205</f>
        <v>225.81</v>
      </c>
      <c r="F3205" s="20" t="n">
        <f aca="false">Parametres!$B$6*D3205</f>
        <v>200</v>
      </c>
      <c r="G3205" s="20" t="n">
        <f aca="false">E3205+F3205</f>
        <v>425.81</v>
      </c>
      <c r="H3205" s="20" t="n">
        <f aca="false">IF(G3205&lt;Parametres!$B$8*Parametres!$B$7,0,MIN(G3205,Parametres!$B$7))</f>
        <v>250</v>
      </c>
      <c r="I3205" s="20" t="n">
        <f aca="false">G3205-H3205</f>
        <v>175.81</v>
      </c>
      <c r="J3205" s="21" t="n">
        <f aca="false">H3205*1000/Parametres!$B$9</f>
        <v>4239.44378497541</v>
      </c>
    </row>
    <row r="3206" customFormat="false" ht="15" hidden="false" customHeight="false" outlineLevel="0" collapsed="false">
      <c r="A3206" s="0" t="n">
        <v>3202</v>
      </c>
      <c r="B3206" s="0" t="n">
        <v>5</v>
      </c>
      <c r="C3206" s="19" t="n">
        <v>0.9472</v>
      </c>
      <c r="D3206" s="19" t="n">
        <v>1</v>
      </c>
      <c r="E3206" s="20" t="n">
        <f aca="false">Parametres!$B$5*C3206</f>
        <v>284.16</v>
      </c>
      <c r="F3206" s="20" t="n">
        <f aca="false">Parametres!$B$6*D3206</f>
        <v>200</v>
      </c>
      <c r="G3206" s="20" t="n">
        <f aca="false">E3206+F3206</f>
        <v>484.16</v>
      </c>
      <c r="H3206" s="20" t="n">
        <f aca="false">IF(G3206&lt;Parametres!$B$8*Parametres!$B$7,0,MIN(G3206,Parametres!$B$7))</f>
        <v>250</v>
      </c>
      <c r="I3206" s="20" t="n">
        <f aca="false">G3206-H3206</f>
        <v>234.16</v>
      </c>
      <c r="J3206" s="21" t="n">
        <f aca="false">H3206*1000/Parametres!$B$9</f>
        <v>4239.44378497541</v>
      </c>
    </row>
    <row r="3207" customFormat="false" ht="15" hidden="false" customHeight="false" outlineLevel="0" collapsed="false">
      <c r="A3207" s="0" t="n">
        <v>3203</v>
      </c>
      <c r="B3207" s="0" t="n">
        <v>5</v>
      </c>
      <c r="C3207" s="19" t="n">
        <v>1</v>
      </c>
      <c r="D3207" s="19" t="n">
        <v>1</v>
      </c>
      <c r="E3207" s="20" t="n">
        <f aca="false">Parametres!$B$5*C3207</f>
        <v>300</v>
      </c>
      <c r="F3207" s="20" t="n">
        <f aca="false">Parametres!$B$6*D3207</f>
        <v>200</v>
      </c>
      <c r="G3207" s="20" t="n">
        <f aca="false">E3207+F3207</f>
        <v>500</v>
      </c>
      <c r="H3207" s="20" t="n">
        <f aca="false">IF(G3207&lt;Parametres!$B$8*Parametres!$B$7,0,MIN(G3207,Parametres!$B$7))</f>
        <v>250</v>
      </c>
      <c r="I3207" s="20" t="n">
        <f aca="false">G3207-H3207</f>
        <v>250</v>
      </c>
      <c r="J3207" s="21" t="n">
        <f aca="false">H3207*1000/Parametres!$B$9</f>
        <v>4239.44378497541</v>
      </c>
    </row>
    <row r="3208" customFormat="false" ht="15" hidden="false" customHeight="false" outlineLevel="0" collapsed="false">
      <c r="A3208" s="0" t="n">
        <v>3204</v>
      </c>
      <c r="B3208" s="0" t="n">
        <v>5</v>
      </c>
      <c r="C3208" s="19" t="n">
        <v>1</v>
      </c>
      <c r="D3208" s="19" t="n">
        <v>1</v>
      </c>
      <c r="E3208" s="20" t="n">
        <f aca="false">Parametres!$B$5*C3208</f>
        <v>300</v>
      </c>
      <c r="F3208" s="20" t="n">
        <f aca="false">Parametres!$B$6*D3208</f>
        <v>200</v>
      </c>
      <c r="G3208" s="20" t="n">
        <f aca="false">E3208+F3208</f>
        <v>500</v>
      </c>
      <c r="H3208" s="20" t="n">
        <f aca="false">IF(G3208&lt;Parametres!$B$8*Parametres!$B$7,0,MIN(G3208,Parametres!$B$7))</f>
        <v>250</v>
      </c>
      <c r="I3208" s="20" t="n">
        <f aca="false">G3208-H3208</f>
        <v>250</v>
      </c>
      <c r="J3208" s="21" t="n">
        <f aca="false">H3208*1000/Parametres!$B$9</f>
        <v>4239.44378497541</v>
      </c>
    </row>
    <row r="3209" customFormat="false" ht="15" hidden="false" customHeight="false" outlineLevel="0" collapsed="false">
      <c r="A3209" s="0" t="n">
        <v>3205</v>
      </c>
      <c r="B3209" s="0" t="n">
        <v>5</v>
      </c>
      <c r="C3209" s="19" t="n">
        <v>1</v>
      </c>
      <c r="D3209" s="19" t="n">
        <v>1</v>
      </c>
      <c r="E3209" s="20" t="n">
        <f aca="false">Parametres!$B$5*C3209</f>
        <v>300</v>
      </c>
      <c r="F3209" s="20" t="n">
        <f aca="false">Parametres!$B$6*D3209</f>
        <v>200</v>
      </c>
      <c r="G3209" s="20" t="n">
        <f aca="false">E3209+F3209</f>
        <v>500</v>
      </c>
      <c r="H3209" s="20" t="n">
        <f aca="false">IF(G3209&lt;Parametres!$B$8*Parametres!$B$7,0,MIN(G3209,Parametres!$B$7))</f>
        <v>250</v>
      </c>
      <c r="I3209" s="20" t="n">
        <f aca="false">G3209-H3209</f>
        <v>250</v>
      </c>
      <c r="J3209" s="21" t="n">
        <f aca="false">H3209*1000/Parametres!$B$9</f>
        <v>4239.44378497541</v>
      </c>
    </row>
    <row r="3210" customFormat="false" ht="15" hidden="false" customHeight="false" outlineLevel="0" collapsed="false">
      <c r="A3210" s="0" t="n">
        <v>3206</v>
      </c>
      <c r="B3210" s="0" t="n">
        <v>5</v>
      </c>
      <c r="C3210" s="19" t="n">
        <v>1</v>
      </c>
      <c r="D3210" s="19" t="n">
        <v>1</v>
      </c>
      <c r="E3210" s="20" t="n">
        <f aca="false">Parametres!$B$5*C3210</f>
        <v>300</v>
      </c>
      <c r="F3210" s="20" t="n">
        <f aca="false">Parametres!$B$6*D3210</f>
        <v>200</v>
      </c>
      <c r="G3210" s="20" t="n">
        <f aca="false">E3210+F3210</f>
        <v>500</v>
      </c>
      <c r="H3210" s="20" t="n">
        <f aca="false">IF(G3210&lt;Parametres!$B$8*Parametres!$B$7,0,MIN(G3210,Parametres!$B$7))</f>
        <v>250</v>
      </c>
      <c r="I3210" s="20" t="n">
        <f aca="false">G3210-H3210</f>
        <v>250</v>
      </c>
      <c r="J3210" s="21" t="n">
        <f aca="false">H3210*1000/Parametres!$B$9</f>
        <v>4239.44378497541</v>
      </c>
    </row>
    <row r="3211" customFormat="false" ht="15" hidden="false" customHeight="false" outlineLevel="0" collapsed="false">
      <c r="A3211" s="0" t="n">
        <v>3207</v>
      </c>
      <c r="B3211" s="0" t="n">
        <v>5</v>
      </c>
      <c r="C3211" s="19" t="n">
        <v>0.9633</v>
      </c>
      <c r="D3211" s="19" t="n">
        <v>1</v>
      </c>
      <c r="E3211" s="20" t="n">
        <f aca="false">Parametres!$B$5*C3211</f>
        <v>288.99</v>
      </c>
      <c r="F3211" s="20" t="n">
        <f aca="false">Parametres!$B$6*D3211</f>
        <v>200</v>
      </c>
      <c r="G3211" s="20" t="n">
        <f aca="false">E3211+F3211</f>
        <v>488.99</v>
      </c>
      <c r="H3211" s="20" t="n">
        <f aca="false">IF(G3211&lt;Parametres!$B$8*Parametres!$B$7,0,MIN(G3211,Parametres!$B$7))</f>
        <v>250</v>
      </c>
      <c r="I3211" s="20" t="n">
        <f aca="false">G3211-H3211</f>
        <v>238.99</v>
      </c>
      <c r="J3211" s="21" t="n">
        <f aca="false">H3211*1000/Parametres!$B$9</f>
        <v>4239.44378497541</v>
      </c>
    </row>
    <row r="3212" customFormat="false" ht="15" hidden="false" customHeight="false" outlineLevel="0" collapsed="false">
      <c r="A3212" s="0" t="n">
        <v>3208</v>
      </c>
      <c r="B3212" s="0" t="n">
        <v>5</v>
      </c>
      <c r="C3212" s="19" t="n">
        <v>0.7954</v>
      </c>
      <c r="D3212" s="19" t="n">
        <v>1</v>
      </c>
      <c r="E3212" s="20" t="n">
        <f aca="false">Parametres!$B$5*C3212</f>
        <v>238.62</v>
      </c>
      <c r="F3212" s="20" t="n">
        <f aca="false">Parametres!$B$6*D3212</f>
        <v>200</v>
      </c>
      <c r="G3212" s="20" t="n">
        <f aca="false">E3212+F3212</f>
        <v>438.62</v>
      </c>
      <c r="H3212" s="20" t="n">
        <f aca="false">IF(G3212&lt;Parametres!$B$8*Parametres!$B$7,0,MIN(G3212,Parametres!$B$7))</f>
        <v>250</v>
      </c>
      <c r="I3212" s="20" t="n">
        <f aca="false">G3212-H3212</f>
        <v>188.62</v>
      </c>
      <c r="J3212" s="21" t="n">
        <f aca="false">H3212*1000/Parametres!$B$9</f>
        <v>4239.44378497541</v>
      </c>
    </row>
    <row r="3213" customFormat="false" ht="15" hidden="false" customHeight="false" outlineLevel="0" collapsed="false">
      <c r="A3213" s="0" t="n">
        <v>3209</v>
      </c>
      <c r="B3213" s="0" t="n">
        <v>5</v>
      </c>
      <c r="C3213" s="19" t="n">
        <v>0.5318</v>
      </c>
      <c r="D3213" s="19" t="n">
        <v>1</v>
      </c>
      <c r="E3213" s="20" t="n">
        <f aca="false">Parametres!$B$5*C3213</f>
        <v>159.54</v>
      </c>
      <c r="F3213" s="20" t="n">
        <f aca="false">Parametres!$B$6*D3213</f>
        <v>200</v>
      </c>
      <c r="G3213" s="20" t="n">
        <f aca="false">E3213+F3213</f>
        <v>359.54</v>
      </c>
      <c r="H3213" s="20" t="n">
        <f aca="false">IF(G3213&lt;Parametres!$B$8*Parametres!$B$7,0,MIN(G3213,Parametres!$B$7))</f>
        <v>250</v>
      </c>
      <c r="I3213" s="20" t="n">
        <f aca="false">G3213-H3213</f>
        <v>109.54</v>
      </c>
      <c r="J3213" s="21" t="n">
        <f aca="false">H3213*1000/Parametres!$B$9</f>
        <v>4239.44378497541</v>
      </c>
    </row>
    <row r="3214" customFormat="false" ht="15" hidden="false" customHeight="false" outlineLevel="0" collapsed="false">
      <c r="A3214" s="0" t="n">
        <v>3210</v>
      </c>
      <c r="B3214" s="0" t="n">
        <v>5</v>
      </c>
      <c r="C3214" s="19" t="n">
        <v>0.2648</v>
      </c>
      <c r="D3214" s="19" t="n">
        <v>1</v>
      </c>
      <c r="E3214" s="20" t="n">
        <f aca="false">Parametres!$B$5*C3214</f>
        <v>79.44</v>
      </c>
      <c r="F3214" s="20" t="n">
        <f aca="false">Parametres!$B$6*D3214</f>
        <v>200</v>
      </c>
      <c r="G3214" s="20" t="n">
        <f aca="false">E3214+F3214</f>
        <v>279.44</v>
      </c>
      <c r="H3214" s="20" t="n">
        <f aca="false">IF(G3214&lt;Parametres!$B$8*Parametres!$B$7,0,MIN(G3214,Parametres!$B$7))</f>
        <v>250</v>
      </c>
      <c r="I3214" s="20" t="n">
        <f aca="false">G3214-H3214</f>
        <v>29.44</v>
      </c>
      <c r="J3214" s="21" t="n">
        <f aca="false">H3214*1000/Parametres!$B$9</f>
        <v>4239.44378497541</v>
      </c>
    </row>
    <row r="3215" customFormat="false" ht="15" hidden="false" customHeight="false" outlineLevel="0" collapsed="false">
      <c r="A3215" s="0" t="n">
        <v>3211</v>
      </c>
      <c r="B3215" s="0" t="n">
        <v>5</v>
      </c>
      <c r="C3215" s="19" t="n">
        <v>0.0305</v>
      </c>
      <c r="D3215" s="19" t="n">
        <v>1</v>
      </c>
      <c r="E3215" s="20" t="n">
        <f aca="false">Parametres!$B$5*C3215</f>
        <v>9.15</v>
      </c>
      <c r="F3215" s="20" t="n">
        <f aca="false">Parametres!$B$6*D3215</f>
        <v>200</v>
      </c>
      <c r="G3215" s="20" t="n">
        <f aca="false">E3215+F3215</f>
        <v>209.15</v>
      </c>
      <c r="H3215" s="20" t="n">
        <f aca="false">IF(G3215&lt;Parametres!$B$8*Parametres!$B$7,0,MIN(G3215,Parametres!$B$7))</f>
        <v>209.15</v>
      </c>
      <c r="I3215" s="20" t="n">
        <f aca="false">G3215-H3215</f>
        <v>0</v>
      </c>
      <c r="J3215" s="21" t="n">
        <f aca="false">H3215*1000/Parametres!$B$9</f>
        <v>3546.71867051043</v>
      </c>
    </row>
    <row r="3216" customFormat="false" ht="15" hidden="false" customHeight="false" outlineLevel="0" collapsed="false">
      <c r="A3216" s="0" t="n">
        <v>3212</v>
      </c>
      <c r="B3216" s="0" t="n">
        <v>5</v>
      </c>
      <c r="C3216" s="19" t="n">
        <v>0</v>
      </c>
      <c r="D3216" s="19" t="n">
        <v>1</v>
      </c>
      <c r="E3216" s="20" t="n">
        <f aca="false">Parametres!$B$5*C3216</f>
        <v>0</v>
      </c>
      <c r="F3216" s="20" t="n">
        <f aca="false">Parametres!$B$6*D3216</f>
        <v>200</v>
      </c>
      <c r="G3216" s="20" t="n">
        <f aca="false">E3216+F3216</f>
        <v>200</v>
      </c>
      <c r="H3216" s="20" t="n">
        <f aca="false">IF(G3216&lt;Parametres!$B$8*Parametres!$B$7,0,MIN(G3216,Parametres!$B$7))</f>
        <v>200</v>
      </c>
      <c r="I3216" s="20" t="n">
        <f aca="false">G3216-H3216</f>
        <v>0</v>
      </c>
      <c r="J3216" s="21" t="n">
        <f aca="false">H3216*1000/Parametres!$B$9</f>
        <v>3391.55502798033</v>
      </c>
    </row>
    <row r="3217" customFormat="false" ht="15" hidden="false" customHeight="false" outlineLevel="0" collapsed="false">
      <c r="A3217" s="0" t="n">
        <v>3213</v>
      </c>
      <c r="B3217" s="0" t="n">
        <v>5</v>
      </c>
      <c r="C3217" s="19" t="n">
        <v>0</v>
      </c>
      <c r="D3217" s="19" t="n">
        <v>1</v>
      </c>
      <c r="E3217" s="20" t="n">
        <f aca="false">Parametres!$B$5*C3217</f>
        <v>0</v>
      </c>
      <c r="F3217" s="20" t="n">
        <f aca="false">Parametres!$B$6*D3217</f>
        <v>200</v>
      </c>
      <c r="G3217" s="20" t="n">
        <f aca="false">E3217+F3217</f>
        <v>200</v>
      </c>
      <c r="H3217" s="20" t="n">
        <f aca="false">IF(G3217&lt;Parametres!$B$8*Parametres!$B$7,0,MIN(G3217,Parametres!$B$7))</f>
        <v>200</v>
      </c>
      <c r="I3217" s="20" t="n">
        <f aca="false">G3217-H3217</f>
        <v>0</v>
      </c>
      <c r="J3217" s="21" t="n">
        <f aca="false">H3217*1000/Parametres!$B$9</f>
        <v>3391.55502798033</v>
      </c>
    </row>
    <row r="3218" customFormat="false" ht="15" hidden="false" customHeight="false" outlineLevel="0" collapsed="false">
      <c r="A3218" s="0" t="n">
        <v>3214</v>
      </c>
      <c r="B3218" s="0" t="n">
        <v>5</v>
      </c>
      <c r="C3218" s="19" t="n">
        <v>0</v>
      </c>
      <c r="D3218" s="19" t="n">
        <v>1</v>
      </c>
      <c r="E3218" s="20" t="n">
        <f aca="false">Parametres!$B$5*C3218</f>
        <v>0</v>
      </c>
      <c r="F3218" s="20" t="n">
        <f aca="false">Parametres!$B$6*D3218</f>
        <v>200</v>
      </c>
      <c r="G3218" s="20" t="n">
        <f aca="false">E3218+F3218</f>
        <v>200</v>
      </c>
      <c r="H3218" s="20" t="n">
        <f aca="false">IF(G3218&lt;Parametres!$B$8*Parametres!$B$7,0,MIN(G3218,Parametres!$B$7))</f>
        <v>200</v>
      </c>
      <c r="I3218" s="20" t="n">
        <f aca="false">G3218-H3218</f>
        <v>0</v>
      </c>
      <c r="J3218" s="21" t="n">
        <f aca="false">H3218*1000/Parametres!$B$9</f>
        <v>3391.55502798033</v>
      </c>
    </row>
    <row r="3219" customFormat="false" ht="15" hidden="false" customHeight="false" outlineLevel="0" collapsed="false">
      <c r="A3219" s="0" t="n">
        <v>3215</v>
      </c>
      <c r="B3219" s="0" t="n">
        <v>5</v>
      </c>
      <c r="C3219" s="19" t="n">
        <v>0</v>
      </c>
      <c r="D3219" s="19" t="n">
        <v>0.8511</v>
      </c>
      <c r="E3219" s="20" t="n">
        <f aca="false">Parametres!$B$5*C3219</f>
        <v>0</v>
      </c>
      <c r="F3219" s="20" t="n">
        <f aca="false">Parametres!$B$6*D3219</f>
        <v>170.22</v>
      </c>
      <c r="G3219" s="20" t="n">
        <f aca="false">E3219+F3219</f>
        <v>170.22</v>
      </c>
      <c r="H3219" s="20" t="n">
        <f aca="false">IF(G3219&lt;Parametres!$B$8*Parametres!$B$7,0,MIN(G3219,Parametres!$B$7))</f>
        <v>170.22</v>
      </c>
      <c r="I3219" s="20" t="n">
        <f aca="false">G3219-H3219</f>
        <v>0</v>
      </c>
      <c r="J3219" s="21" t="n">
        <f aca="false">H3219*1000/Parametres!$B$9</f>
        <v>2886.55248431406</v>
      </c>
    </row>
    <row r="3220" customFormat="false" ht="15" hidden="false" customHeight="false" outlineLevel="0" collapsed="false">
      <c r="A3220" s="0" t="n">
        <v>3216</v>
      </c>
      <c r="B3220" s="0" t="n">
        <v>5</v>
      </c>
      <c r="C3220" s="19" t="n">
        <v>0</v>
      </c>
      <c r="D3220" s="19" t="n">
        <v>0.6994</v>
      </c>
      <c r="E3220" s="20" t="n">
        <f aca="false">Parametres!$B$5*C3220</f>
        <v>0</v>
      </c>
      <c r="F3220" s="20" t="n">
        <f aca="false">Parametres!$B$6*D3220</f>
        <v>139.88</v>
      </c>
      <c r="G3220" s="20" t="n">
        <f aca="false">E3220+F3220</f>
        <v>139.88</v>
      </c>
      <c r="H3220" s="20" t="n">
        <f aca="false">IF(G3220&lt;Parametres!$B$8*Parametres!$B$7,0,MIN(G3220,Parametres!$B$7))</f>
        <v>139.88</v>
      </c>
      <c r="I3220" s="20" t="n">
        <f aca="false">G3220-H3220</f>
        <v>0</v>
      </c>
      <c r="J3220" s="21" t="n">
        <f aca="false">H3220*1000/Parametres!$B$9</f>
        <v>2372.05358656944</v>
      </c>
    </row>
    <row r="3221" customFormat="false" ht="15" hidden="false" customHeight="false" outlineLevel="0" collapsed="false">
      <c r="A3221" s="0" t="n">
        <v>3217</v>
      </c>
      <c r="B3221" s="0" t="n">
        <v>5</v>
      </c>
      <c r="C3221" s="19" t="n">
        <v>0</v>
      </c>
      <c r="D3221" s="19" t="n">
        <v>0.3768</v>
      </c>
      <c r="E3221" s="20" t="n">
        <f aca="false">Parametres!$B$5*C3221</f>
        <v>0</v>
      </c>
      <c r="F3221" s="20" t="n">
        <f aca="false">Parametres!$B$6*D3221</f>
        <v>75.36</v>
      </c>
      <c r="G3221" s="20" t="n">
        <f aca="false">E3221+F3221</f>
        <v>75.36</v>
      </c>
      <c r="H3221" s="20" t="n">
        <f aca="false">IF(G3221&lt;Parametres!$B$8*Parametres!$B$7,0,MIN(G3221,Parametres!$B$7))</f>
        <v>75.36</v>
      </c>
      <c r="I3221" s="20" t="n">
        <f aca="false">G3221-H3221</f>
        <v>0</v>
      </c>
      <c r="J3221" s="21" t="n">
        <f aca="false">H3221*1000/Parametres!$B$9</f>
        <v>1277.93793454299</v>
      </c>
    </row>
    <row r="3222" customFormat="false" ht="15" hidden="false" customHeight="false" outlineLevel="0" collapsed="false">
      <c r="A3222" s="0" t="n">
        <v>3218</v>
      </c>
      <c r="B3222" s="0" t="n">
        <v>5</v>
      </c>
      <c r="C3222" s="19" t="n">
        <v>0</v>
      </c>
      <c r="D3222" s="19" t="n">
        <v>0.36</v>
      </c>
      <c r="E3222" s="20" t="n">
        <f aca="false">Parametres!$B$5*C3222</f>
        <v>0</v>
      </c>
      <c r="F3222" s="20" t="n">
        <f aca="false">Parametres!$B$6*D3222</f>
        <v>72</v>
      </c>
      <c r="G3222" s="20" t="n">
        <f aca="false">E3222+F3222</f>
        <v>72</v>
      </c>
      <c r="H3222" s="20" t="n">
        <f aca="false">IF(G3222&lt;Parametres!$B$8*Parametres!$B$7,0,MIN(G3222,Parametres!$B$7))</f>
        <v>72</v>
      </c>
      <c r="I3222" s="20" t="n">
        <f aca="false">G3222-H3222</f>
        <v>0</v>
      </c>
      <c r="J3222" s="21" t="n">
        <f aca="false">H3222*1000/Parametres!$B$9</f>
        <v>1220.95981007292</v>
      </c>
    </row>
    <row r="3223" customFormat="false" ht="15" hidden="false" customHeight="false" outlineLevel="0" collapsed="false">
      <c r="A3223" s="0" t="n">
        <v>3219</v>
      </c>
      <c r="B3223" s="0" t="n">
        <v>5</v>
      </c>
      <c r="C3223" s="19" t="n">
        <v>0</v>
      </c>
      <c r="D3223" s="19" t="n">
        <v>0.1626</v>
      </c>
      <c r="E3223" s="20" t="n">
        <f aca="false">Parametres!$B$5*C3223</f>
        <v>0</v>
      </c>
      <c r="F3223" s="20" t="n">
        <f aca="false">Parametres!$B$6*D3223</f>
        <v>32.52</v>
      </c>
      <c r="G3223" s="20" t="n">
        <f aca="false">E3223+F3223</f>
        <v>32.52</v>
      </c>
      <c r="H3223" s="20" t="n">
        <f aca="false">IF(G3223&lt;Parametres!$B$8*Parametres!$B$7,0,MIN(G3223,Parametres!$B$7))</f>
        <v>32.52</v>
      </c>
      <c r="I3223" s="20" t="n">
        <f aca="false">G3223-H3223</f>
        <v>0</v>
      </c>
      <c r="J3223" s="21" t="n">
        <f aca="false">H3223*1000/Parametres!$B$9</f>
        <v>551.466847549601</v>
      </c>
    </row>
    <row r="3224" customFormat="false" ht="15" hidden="false" customHeight="false" outlineLevel="0" collapsed="false">
      <c r="A3224" s="0" t="n">
        <v>3220</v>
      </c>
      <c r="B3224" s="0" t="n">
        <v>5</v>
      </c>
      <c r="C3224" s="19" t="n">
        <v>0</v>
      </c>
      <c r="D3224" s="19" t="n">
        <v>0.2077</v>
      </c>
      <c r="E3224" s="20" t="n">
        <f aca="false">Parametres!$B$5*C3224</f>
        <v>0</v>
      </c>
      <c r="F3224" s="20" t="n">
        <f aca="false">Parametres!$B$6*D3224</f>
        <v>41.54</v>
      </c>
      <c r="G3224" s="20" t="n">
        <f aca="false">E3224+F3224</f>
        <v>41.54</v>
      </c>
      <c r="H3224" s="20" t="n">
        <f aca="false">IF(G3224&lt;Parametres!$B$8*Parametres!$B$7,0,MIN(G3224,Parametres!$B$7))</f>
        <v>41.54</v>
      </c>
      <c r="I3224" s="20" t="n">
        <f aca="false">G3224-H3224</f>
        <v>0</v>
      </c>
      <c r="J3224" s="21" t="n">
        <f aca="false">H3224*1000/Parametres!$B$9</f>
        <v>704.425979311514</v>
      </c>
    </row>
    <row r="3225" customFormat="false" ht="15" hidden="false" customHeight="false" outlineLevel="0" collapsed="false">
      <c r="A3225" s="0" t="n">
        <v>3221</v>
      </c>
      <c r="B3225" s="0" t="n">
        <v>5</v>
      </c>
      <c r="C3225" s="19" t="n">
        <v>0</v>
      </c>
      <c r="D3225" s="19" t="n">
        <v>0.2646</v>
      </c>
      <c r="E3225" s="20" t="n">
        <f aca="false">Parametres!$B$5*C3225</f>
        <v>0</v>
      </c>
      <c r="F3225" s="20" t="n">
        <f aca="false">Parametres!$B$6*D3225</f>
        <v>52.92</v>
      </c>
      <c r="G3225" s="20" t="n">
        <f aca="false">E3225+F3225</f>
        <v>52.92</v>
      </c>
      <c r="H3225" s="20" t="n">
        <f aca="false">IF(G3225&lt;Parametres!$B$8*Parametres!$B$7,0,MIN(G3225,Parametres!$B$7))</f>
        <v>52.92</v>
      </c>
      <c r="I3225" s="20" t="n">
        <f aca="false">G3225-H3225</f>
        <v>0</v>
      </c>
      <c r="J3225" s="21" t="n">
        <f aca="false">H3225*1000/Parametres!$B$9</f>
        <v>897.405460403595</v>
      </c>
    </row>
    <row r="3226" customFormat="false" ht="15" hidden="false" customHeight="false" outlineLevel="0" collapsed="false">
      <c r="A3226" s="0" t="n">
        <v>3222</v>
      </c>
      <c r="B3226" s="0" t="n">
        <v>5</v>
      </c>
      <c r="C3226" s="19" t="n">
        <v>0.0293</v>
      </c>
      <c r="D3226" s="19" t="n">
        <v>0.3651</v>
      </c>
      <c r="E3226" s="20" t="n">
        <f aca="false">Parametres!$B$5*C3226</f>
        <v>8.79</v>
      </c>
      <c r="F3226" s="20" t="n">
        <f aca="false">Parametres!$B$6*D3226</f>
        <v>73.02</v>
      </c>
      <c r="G3226" s="20" t="n">
        <f aca="false">E3226+F3226</f>
        <v>81.81</v>
      </c>
      <c r="H3226" s="20" t="n">
        <f aca="false">IF(G3226&lt;Parametres!$B$8*Parametres!$B$7,0,MIN(G3226,Parametres!$B$7))</f>
        <v>81.81</v>
      </c>
      <c r="I3226" s="20" t="n">
        <f aca="false">G3226-H3226</f>
        <v>0</v>
      </c>
      <c r="J3226" s="21" t="n">
        <f aca="false">H3226*1000/Parametres!$B$9</f>
        <v>1387.31558419535</v>
      </c>
    </row>
    <row r="3227" customFormat="false" ht="15" hidden="false" customHeight="false" outlineLevel="0" collapsed="false">
      <c r="A3227" s="0" t="n">
        <v>3223</v>
      </c>
      <c r="B3227" s="0" t="n">
        <v>5</v>
      </c>
      <c r="C3227" s="19" t="n">
        <v>0.2518</v>
      </c>
      <c r="D3227" s="19" t="n">
        <v>0.6867</v>
      </c>
      <c r="E3227" s="20" t="n">
        <f aca="false">Parametres!$B$5*C3227</f>
        <v>75.54</v>
      </c>
      <c r="F3227" s="20" t="n">
        <f aca="false">Parametres!$B$6*D3227</f>
        <v>137.34</v>
      </c>
      <c r="G3227" s="20" t="n">
        <f aca="false">E3227+F3227</f>
        <v>212.88</v>
      </c>
      <c r="H3227" s="20" t="n">
        <f aca="false">IF(G3227&lt;Parametres!$B$8*Parametres!$B$7,0,MIN(G3227,Parametres!$B$7))</f>
        <v>212.88</v>
      </c>
      <c r="I3227" s="20" t="n">
        <f aca="false">G3227-H3227</f>
        <v>0</v>
      </c>
      <c r="J3227" s="21" t="n">
        <f aca="false">H3227*1000/Parametres!$B$9</f>
        <v>3609.97117178226</v>
      </c>
    </row>
    <row r="3228" customFormat="false" ht="15" hidden="false" customHeight="false" outlineLevel="0" collapsed="false">
      <c r="A3228" s="0" t="n">
        <v>3224</v>
      </c>
      <c r="B3228" s="0" t="n">
        <v>5</v>
      </c>
      <c r="C3228" s="19" t="n">
        <v>0.5276</v>
      </c>
      <c r="D3228" s="19" t="n">
        <v>0.7774</v>
      </c>
      <c r="E3228" s="20" t="n">
        <f aca="false">Parametres!$B$5*C3228</f>
        <v>158.28</v>
      </c>
      <c r="F3228" s="20" t="n">
        <f aca="false">Parametres!$B$6*D3228</f>
        <v>155.48</v>
      </c>
      <c r="G3228" s="20" t="n">
        <f aca="false">E3228+F3228</f>
        <v>313.76</v>
      </c>
      <c r="H3228" s="20" t="n">
        <f aca="false">IF(G3228&lt;Parametres!$B$8*Parametres!$B$7,0,MIN(G3228,Parametres!$B$7))</f>
        <v>250</v>
      </c>
      <c r="I3228" s="20" t="n">
        <f aca="false">G3228-H3228</f>
        <v>63.76</v>
      </c>
      <c r="J3228" s="21" t="n">
        <f aca="false">H3228*1000/Parametres!$B$9</f>
        <v>4239.44378497541</v>
      </c>
    </row>
    <row r="3229" customFormat="false" ht="15" hidden="false" customHeight="false" outlineLevel="0" collapsed="false">
      <c r="A3229" s="0" t="n">
        <v>3225</v>
      </c>
      <c r="B3229" s="0" t="n">
        <v>5</v>
      </c>
      <c r="C3229" s="19" t="n">
        <v>0.7482</v>
      </c>
      <c r="D3229" s="19" t="n">
        <v>0.8848</v>
      </c>
      <c r="E3229" s="20" t="n">
        <f aca="false">Parametres!$B$5*C3229</f>
        <v>224.46</v>
      </c>
      <c r="F3229" s="20" t="n">
        <f aca="false">Parametres!$B$6*D3229</f>
        <v>176.96</v>
      </c>
      <c r="G3229" s="20" t="n">
        <f aca="false">E3229+F3229</f>
        <v>401.42</v>
      </c>
      <c r="H3229" s="20" t="n">
        <f aca="false">IF(G3229&lt;Parametres!$B$8*Parametres!$B$7,0,MIN(G3229,Parametres!$B$7))</f>
        <v>250</v>
      </c>
      <c r="I3229" s="20" t="n">
        <f aca="false">G3229-H3229</f>
        <v>151.42</v>
      </c>
      <c r="J3229" s="21" t="n">
        <f aca="false">H3229*1000/Parametres!$B$9</f>
        <v>4239.44378497541</v>
      </c>
    </row>
    <row r="3230" customFormat="false" ht="15" hidden="false" customHeight="false" outlineLevel="0" collapsed="false">
      <c r="A3230" s="0" t="n">
        <v>3226</v>
      </c>
      <c r="B3230" s="0" t="n">
        <v>5</v>
      </c>
      <c r="C3230" s="19" t="n">
        <v>0.9858</v>
      </c>
      <c r="D3230" s="19" t="n">
        <v>1</v>
      </c>
      <c r="E3230" s="20" t="n">
        <f aca="false">Parametres!$B$5*C3230</f>
        <v>295.74</v>
      </c>
      <c r="F3230" s="20" t="n">
        <f aca="false">Parametres!$B$6*D3230</f>
        <v>200</v>
      </c>
      <c r="G3230" s="20" t="n">
        <f aca="false">E3230+F3230</f>
        <v>495.74</v>
      </c>
      <c r="H3230" s="20" t="n">
        <f aca="false">IF(G3230&lt;Parametres!$B$8*Parametres!$B$7,0,MIN(G3230,Parametres!$B$7))</f>
        <v>250</v>
      </c>
      <c r="I3230" s="20" t="n">
        <f aca="false">G3230-H3230</f>
        <v>245.74</v>
      </c>
      <c r="J3230" s="21" t="n">
        <f aca="false">H3230*1000/Parametres!$B$9</f>
        <v>4239.44378497541</v>
      </c>
    </row>
    <row r="3231" customFormat="false" ht="15" hidden="false" customHeight="false" outlineLevel="0" collapsed="false">
      <c r="A3231" s="0" t="n">
        <v>3227</v>
      </c>
      <c r="B3231" s="0" t="n">
        <v>5</v>
      </c>
      <c r="C3231" s="19" t="n">
        <v>1</v>
      </c>
      <c r="D3231" s="19" t="n">
        <v>1</v>
      </c>
      <c r="E3231" s="20" t="n">
        <f aca="false">Parametres!$B$5*C3231</f>
        <v>300</v>
      </c>
      <c r="F3231" s="20" t="n">
        <f aca="false">Parametres!$B$6*D3231</f>
        <v>200</v>
      </c>
      <c r="G3231" s="20" t="n">
        <f aca="false">E3231+F3231</f>
        <v>500</v>
      </c>
      <c r="H3231" s="20" t="n">
        <f aca="false">IF(G3231&lt;Parametres!$B$8*Parametres!$B$7,0,MIN(G3231,Parametres!$B$7))</f>
        <v>250</v>
      </c>
      <c r="I3231" s="20" t="n">
        <f aca="false">G3231-H3231</f>
        <v>250</v>
      </c>
      <c r="J3231" s="21" t="n">
        <f aca="false">H3231*1000/Parametres!$B$9</f>
        <v>4239.44378497541</v>
      </c>
    </row>
    <row r="3232" customFormat="false" ht="15" hidden="false" customHeight="false" outlineLevel="0" collapsed="false">
      <c r="A3232" s="0" t="n">
        <v>3228</v>
      </c>
      <c r="B3232" s="0" t="n">
        <v>5</v>
      </c>
      <c r="C3232" s="19" t="n">
        <v>1</v>
      </c>
      <c r="D3232" s="19" t="n">
        <v>0.7184</v>
      </c>
      <c r="E3232" s="20" t="n">
        <f aca="false">Parametres!$B$5*C3232</f>
        <v>300</v>
      </c>
      <c r="F3232" s="20" t="n">
        <f aca="false">Parametres!$B$6*D3232</f>
        <v>143.68</v>
      </c>
      <c r="G3232" s="20" t="n">
        <f aca="false">E3232+F3232</f>
        <v>443.68</v>
      </c>
      <c r="H3232" s="20" t="n">
        <f aca="false">IF(G3232&lt;Parametres!$B$8*Parametres!$B$7,0,MIN(G3232,Parametres!$B$7))</f>
        <v>250</v>
      </c>
      <c r="I3232" s="20" t="n">
        <f aca="false">G3232-H3232</f>
        <v>193.68</v>
      </c>
      <c r="J3232" s="21" t="n">
        <f aca="false">H3232*1000/Parametres!$B$9</f>
        <v>4239.44378497541</v>
      </c>
    </row>
    <row r="3233" customFormat="false" ht="15" hidden="false" customHeight="false" outlineLevel="0" collapsed="false">
      <c r="A3233" s="0" t="n">
        <v>3229</v>
      </c>
      <c r="B3233" s="0" t="n">
        <v>5</v>
      </c>
      <c r="C3233" s="19" t="n">
        <v>1</v>
      </c>
      <c r="D3233" s="19" t="n">
        <v>0.5261</v>
      </c>
      <c r="E3233" s="20" t="n">
        <f aca="false">Parametres!$B$5*C3233</f>
        <v>300</v>
      </c>
      <c r="F3233" s="20" t="n">
        <f aca="false">Parametres!$B$6*D3233</f>
        <v>105.22</v>
      </c>
      <c r="G3233" s="20" t="n">
        <f aca="false">E3233+F3233</f>
        <v>405.22</v>
      </c>
      <c r="H3233" s="20" t="n">
        <f aca="false">IF(G3233&lt;Parametres!$B$8*Parametres!$B$7,0,MIN(G3233,Parametres!$B$7))</f>
        <v>250</v>
      </c>
      <c r="I3233" s="20" t="n">
        <f aca="false">G3233-H3233</f>
        <v>155.22</v>
      </c>
      <c r="J3233" s="21" t="n">
        <f aca="false">H3233*1000/Parametres!$B$9</f>
        <v>4239.44378497541</v>
      </c>
    </row>
    <row r="3234" customFormat="false" ht="15" hidden="false" customHeight="false" outlineLevel="0" collapsed="false">
      <c r="A3234" s="0" t="n">
        <v>3230</v>
      </c>
      <c r="B3234" s="0" t="n">
        <v>5</v>
      </c>
      <c r="C3234" s="19" t="n">
        <v>1</v>
      </c>
      <c r="D3234" s="19" t="n">
        <v>0.3644</v>
      </c>
      <c r="E3234" s="20" t="n">
        <f aca="false">Parametres!$B$5*C3234</f>
        <v>300</v>
      </c>
      <c r="F3234" s="20" t="n">
        <f aca="false">Parametres!$B$6*D3234</f>
        <v>72.88</v>
      </c>
      <c r="G3234" s="20" t="n">
        <f aca="false">E3234+F3234</f>
        <v>372.88</v>
      </c>
      <c r="H3234" s="20" t="n">
        <f aca="false">IF(G3234&lt;Parametres!$B$8*Parametres!$B$7,0,MIN(G3234,Parametres!$B$7))</f>
        <v>250</v>
      </c>
      <c r="I3234" s="20" t="n">
        <f aca="false">G3234-H3234</f>
        <v>122.88</v>
      </c>
      <c r="J3234" s="21" t="n">
        <f aca="false">H3234*1000/Parametres!$B$9</f>
        <v>4239.44378497541</v>
      </c>
    </row>
    <row r="3235" customFormat="false" ht="15" hidden="false" customHeight="false" outlineLevel="0" collapsed="false">
      <c r="A3235" s="0" t="n">
        <v>3231</v>
      </c>
      <c r="B3235" s="0" t="n">
        <v>5</v>
      </c>
      <c r="C3235" s="19" t="n">
        <v>0.9971</v>
      </c>
      <c r="D3235" s="19" t="n">
        <v>0.4264</v>
      </c>
      <c r="E3235" s="20" t="n">
        <f aca="false">Parametres!$B$5*C3235</f>
        <v>299.13</v>
      </c>
      <c r="F3235" s="20" t="n">
        <f aca="false">Parametres!$B$6*D3235</f>
        <v>85.28</v>
      </c>
      <c r="G3235" s="20" t="n">
        <f aca="false">E3235+F3235</f>
        <v>384.41</v>
      </c>
      <c r="H3235" s="20" t="n">
        <f aca="false">IF(G3235&lt;Parametres!$B$8*Parametres!$B$7,0,MIN(G3235,Parametres!$B$7))</f>
        <v>250</v>
      </c>
      <c r="I3235" s="20" t="n">
        <f aca="false">G3235-H3235</f>
        <v>134.41</v>
      </c>
      <c r="J3235" s="21" t="n">
        <f aca="false">H3235*1000/Parametres!$B$9</f>
        <v>4239.44378497541</v>
      </c>
    </row>
    <row r="3236" customFormat="false" ht="15" hidden="false" customHeight="false" outlineLevel="0" collapsed="false">
      <c r="A3236" s="0" t="n">
        <v>3232</v>
      </c>
      <c r="B3236" s="0" t="n">
        <v>5</v>
      </c>
      <c r="C3236" s="19" t="n">
        <v>0.7594</v>
      </c>
      <c r="D3236" s="19" t="n">
        <v>0.3465</v>
      </c>
      <c r="E3236" s="20" t="n">
        <f aca="false">Parametres!$B$5*C3236</f>
        <v>227.82</v>
      </c>
      <c r="F3236" s="20" t="n">
        <f aca="false">Parametres!$B$6*D3236</f>
        <v>69.3</v>
      </c>
      <c r="G3236" s="20" t="n">
        <f aca="false">E3236+F3236</f>
        <v>297.12</v>
      </c>
      <c r="H3236" s="20" t="n">
        <f aca="false">IF(G3236&lt;Parametres!$B$8*Parametres!$B$7,0,MIN(G3236,Parametres!$B$7))</f>
        <v>250</v>
      </c>
      <c r="I3236" s="20" t="n">
        <f aca="false">G3236-H3236</f>
        <v>47.12</v>
      </c>
      <c r="J3236" s="21" t="n">
        <f aca="false">H3236*1000/Parametres!$B$9</f>
        <v>4239.44378497541</v>
      </c>
    </row>
    <row r="3237" customFormat="false" ht="15" hidden="false" customHeight="false" outlineLevel="0" collapsed="false">
      <c r="A3237" s="0" t="n">
        <v>3233</v>
      </c>
      <c r="B3237" s="0" t="n">
        <v>5</v>
      </c>
      <c r="C3237" s="19" t="n">
        <v>0.5146</v>
      </c>
      <c r="D3237" s="19" t="n">
        <v>0.2999</v>
      </c>
      <c r="E3237" s="20" t="n">
        <f aca="false">Parametres!$B$5*C3237</f>
        <v>154.38</v>
      </c>
      <c r="F3237" s="20" t="n">
        <f aca="false">Parametres!$B$6*D3237</f>
        <v>59.98</v>
      </c>
      <c r="G3237" s="20" t="n">
        <f aca="false">E3237+F3237</f>
        <v>214.36</v>
      </c>
      <c r="H3237" s="20" t="n">
        <f aca="false">IF(G3237&lt;Parametres!$B$8*Parametres!$B$7,0,MIN(G3237,Parametres!$B$7))</f>
        <v>214.36</v>
      </c>
      <c r="I3237" s="20" t="n">
        <f aca="false">G3237-H3237</f>
        <v>0</v>
      </c>
      <c r="J3237" s="21" t="n">
        <f aca="false">H3237*1000/Parametres!$B$9</f>
        <v>3635.06867898932</v>
      </c>
    </row>
    <row r="3238" customFormat="false" ht="15" hidden="false" customHeight="false" outlineLevel="0" collapsed="false">
      <c r="A3238" s="0" t="n">
        <v>3234</v>
      </c>
      <c r="B3238" s="0" t="n">
        <v>5</v>
      </c>
      <c r="C3238" s="19" t="n">
        <v>0.2467</v>
      </c>
      <c r="D3238" s="19" t="n">
        <v>0.3769</v>
      </c>
      <c r="E3238" s="20" t="n">
        <f aca="false">Parametres!$B$5*C3238</f>
        <v>74.01</v>
      </c>
      <c r="F3238" s="20" t="n">
        <f aca="false">Parametres!$B$6*D3238</f>
        <v>75.38</v>
      </c>
      <c r="G3238" s="20" t="n">
        <f aca="false">E3238+F3238</f>
        <v>149.39</v>
      </c>
      <c r="H3238" s="20" t="n">
        <f aca="false">IF(G3238&lt;Parametres!$B$8*Parametres!$B$7,0,MIN(G3238,Parametres!$B$7))</f>
        <v>149.39</v>
      </c>
      <c r="I3238" s="20" t="n">
        <f aca="false">G3238-H3238</f>
        <v>0</v>
      </c>
      <c r="J3238" s="21" t="n">
        <f aca="false">H3238*1000/Parametres!$B$9</f>
        <v>2533.32202814991</v>
      </c>
    </row>
    <row r="3239" customFormat="false" ht="15" hidden="false" customHeight="false" outlineLevel="0" collapsed="false">
      <c r="A3239" s="0" t="n">
        <v>3235</v>
      </c>
      <c r="B3239" s="0" t="n">
        <v>5</v>
      </c>
      <c r="C3239" s="19" t="n">
        <v>0.0291</v>
      </c>
      <c r="D3239" s="19" t="n">
        <v>0.3897</v>
      </c>
      <c r="E3239" s="20" t="n">
        <f aca="false">Parametres!$B$5*C3239</f>
        <v>8.73</v>
      </c>
      <c r="F3239" s="20" t="n">
        <f aca="false">Parametres!$B$6*D3239</f>
        <v>77.94</v>
      </c>
      <c r="G3239" s="20" t="n">
        <f aca="false">E3239+F3239</f>
        <v>86.67</v>
      </c>
      <c r="H3239" s="20" t="n">
        <f aca="false">IF(G3239&lt;Parametres!$B$8*Parametres!$B$7,0,MIN(G3239,Parametres!$B$7))</f>
        <v>86.67</v>
      </c>
      <c r="I3239" s="20" t="n">
        <f aca="false">G3239-H3239</f>
        <v>0</v>
      </c>
      <c r="J3239" s="21" t="n">
        <f aca="false">H3239*1000/Parametres!$B$9</f>
        <v>1469.73037137528</v>
      </c>
    </row>
    <row r="3240" customFormat="false" ht="15" hidden="false" customHeight="false" outlineLevel="0" collapsed="false">
      <c r="A3240" s="0" t="n">
        <v>3236</v>
      </c>
      <c r="B3240" s="0" t="n">
        <v>5</v>
      </c>
      <c r="C3240" s="19" t="n">
        <v>0</v>
      </c>
      <c r="D3240" s="19" t="n">
        <v>0.7532</v>
      </c>
      <c r="E3240" s="20" t="n">
        <f aca="false">Parametres!$B$5*C3240</f>
        <v>0</v>
      </c>
      <c r="F3240" s="20" t="n">
        <f aca="false">Parametres!$B$6*D3240</f>
        <v>150.64</v>
      </c>
      <c r="G3240" s="20" t="n">
        <f aca="false">E3240+F3240</f>
        <v>150.64</v>
      </c>
      <c r="H3240" s="20" t="n">
        <f aca="false">IF(G3240&lt;Parametres!$B$8*Parametres!$B$7,0,MIN(G3240,Parametres!$B$7))</f>
        <v>150.64</v>
      </c>
      <c r="I3240" s="20" t="n">
        <f aca="false">G3240-H3240</f>
        <v>0</v>
      </c>
      <c r="J3240" s="21" t="n">
        <f aca="false">H3240*1000/Parametres!$B$9</f>
        <v>2554.51924707478</v>
      </c>
    </row>
    <row r="3241" customFormat="false" ht="15" hidden="false" customHeight="false" outlineLevel="0" collapsed="false">
      <c r="A3241" s="0" t="n">
        <v>3237</v>
      </c>
      <c r="B3241" s="0" t="n">
        <v>5</v>
      </c>
      <c r="C3241" s="19" t="n">
        <v>0</v>
      </c>
      <c r="D3241" s="19" t="n">
        <v>0.6682</v>
      </c>
      <c r="E3241" s="20" t="n">
        <f aca="false">Parametres!$B$5*C3241</f>
        <v>0</v>
      </c>
      <c r="F3241" s="20" t="n">
        <f aca="false">Parametres!$B$6*D3241</f>
        <v>133.64</v>
      </c>
      <c r="G3241" s="20" t="n">
        <f aca="false">E3241+F3241</f>
        <v>133.64</v>
      </c>
      <c r="H3241" s="20" t="n">
        <f aca="false">IF(G3241&lt;Parametres!$B$8*Parametres!$B$7,0,MIN(G3241,Parametres!$B$7))</f>
        <v>133.64</v>
      </c>
      <c r="I3241" s="20" t="n">
        <f aca="false">G3241-H3241</f>
        <v>0</v>
      </c>
      <c r="J3241" s="21" t="n">
        <f aca="false">H3241*1000/Parametres!$B$9</f>
        <v>2266.23706969646</v>
      </c>
    </row>
    <row r="3242" customFormat="false" ht="15" hidden="false" customHeight="false" outlineLevel="0" collapsed="false">
      <c r="A3242" s="0" t="n">
        <v>3238</v>
      </c>
      <c r="B3242" s="0" t="n">
        <v>5</v>
      </c>
      <c r="C3242" s="19" t="n">
        <v>0</v>
      </c>
      <c r="D3242" s="19" t="n">
        <v>0.422</v>
      </c>
      <c r="E3242" s="20" t="n">
        <f aca="false">Parametres!$B$5*C3242</f>
        <v>0</v>
      </c>
      <c r="F3242" s="20" t="n">
        <f aca="false">Parametres!$B$6*D3242</f>
        <v>84.4</v>
      </c>
      <c r="G3242" s="20" t="n">
        <f aca="false">E3242+F3242</f>
        <v>84.4</v>
      </c>
      <c r="H3242" s="20" t="n">
        <f aca="false">IF(G3242&lt;Parametres!$B$8*Parametres!$B$7,0,MIN(G3242,Parametres!$B$7))</f>
        <v>84.4</v>
      </c>
      <c r="I3242" s="20" t="n">
        <f aca="false">G3242-H3242</f>
        <v>0</v>
      </c>
      <c r="J3242" s="21" t="n">
        <f aca="false">H3242*1000/Parametres!$B$9</f>
        <v>1431.2362218077</v>
      </c>
    </row>
    <row r="3243" customFormat="false" ht="15" hidden="false" customHeight="false" outlineLevel="0" collapsed="false">
      <c r="A3243" s="0" t="n">
        <v>3239</v>
      </c>
      <c r="B3243" s="0" t="n">
        <v>5</v>
      </c>
      <c r="C3243" s="19" t="n">
        <v>0</v>
      </c>
      <c r="D3243" s="19" t="n">
        <v>0.5794</v>
      </c>
      <c r="E3243" s="20" t="n">
        <f aca="false">Parametres!$B$5*C3243</f>
        <v>0</v>
      </c>
      <c r="F3243" s="20" t="n">
        <f aca="false">Parametres!$B$6*D3243</f>
        <v>115.88</v>
      </c>
      <c r="G3243" s="20" t="n">
        <f aca="false">E3243+F3243</f>
        <v>115.88</v>
      </c>
      <c r="H3243" s="20" t="n">
        <f aca="false">IF(G3243&lt;Parametres!$B$8*Parametres!$B$7,0,MIN(G3243,Parametres!$B$7))</f>
        <v>115.88</v>
      </c>
      <c r="I3243" s="20" t="n">
        <f aca="false">G3243-H3243</f>
        <v>0</v>
      </c>
      <c r="J3243" s="21" t="n">
        <f aca="false">H3243*1000/Parametres!$B$9</f>
        <v>1965.0669832118</v>
      </c>
    </row>
    <row r="3244" customFormat="false" ht="15" hidden="false" customHeight="false" outlineLevel="0" collapsed="false">
      <c r="A3244" s="0" t="n">
        <v>3240</v>
      </c>
      <c r="B3244" s="0" t="n">
        <v>5</v>
      </c>
      <c r="C3244" s="19" t="n">
        <v>0</v>
      </c>
      <c r="D3244" s="19" t="n">
        <v>0.4351</v>
      </c>
      <c r="E3244" s="20" t="n">
        <f aca="false">Parametres!$B$5*C3244</f>
        <v>0</v>
      </c>
      <c r="F3244" s="20" t="n">
        <f aca="false">Parametres!$B$6*D3244</f>
        <v>87.02</v>
      </c>
      <c r="G3244" s="20" t="n">
        <f aca="false">E3244+F3244</f>
        <v>87.02</v>
      </c>
      <c r="H3244" s="20" t="n">
        <f aca="false">IF(G3244&lt;Parametres!$B$8*Parametres!$B$7,0,MIN(G3244,Parametres!$B$7))</f>
        <v>87.02</v>
      </c>
      <c r="I3244" s="20" t="n">
        <f aca="false">G3244-H3244</f>
        <v>0</v>
      </c>
      <c r="J3244" s="21" t="n">
        <f aca="false">H3244*1000/Parametres!$B$9</f>
        <v>1475.66559267424</v>
      </c>
    </row>
    <row r="3245" customFormat="false" ht="15" hidden="false" customHeight="false" outlineLevel="0" collapsed="false">
      <c r="A3245" s="0" t="n">
        <v>3241</v>
      </c>
      <c r="B3245" s="0" t="n">
        <v>5</v>
      </c>
      <c r="C3245" s="19" t="n">
        <v>0</v>
      </c>
      <c r="D3245" s="19" t="n">
        <v>0.3714</v>
      </c>
      <c r="E3245" s="20" t="n">
        <f aca="false">Parametres!$B$5*C3245</f>
        <v>0</v>
      </c>
      <c r="F3245" s="20" t="n">
        <f aca="false">Parametres!$B$6*D3245</f>
        <v>74.28</v>
      </c>
      <c r="G3245" s="20" t="n">
        <f aca="false">E3245+F3245</f>
        <v>74.28</v>
      </c>
      <c r="H3245" s="20" t="n">
        <f aca="false">IF(G3245&lt;Parametres!$B$8*Parametres!$B$7,0,MIN(G3245,Parametres!$B$7))</f>
        <v>74.28</v>
      </c>
      <c r="I3245" s="20" t="n">
        <f aca="false">G3245-H3245</f>
        <v>0</v>
      </c>
      <c r="J3245" s="21" t="n">
        <f aca="false">H3245*1000/Parametres!$B$9</f>
        <v>1259.62353739189</v>
      </c>
    </row>
    <row r="3246" customFormat="false" ht="15" hidden="false" customHeight="false" outlineLevel="0" collapsed="false">
      <c r="A3246" s="0" t="n">
        <v>3242</v>
      </c>
      <c r="B3246" s="0" t="n">
        <v>5</v>
      </c>
      <c r="C3246" s="19" t="n">
        <v>0</v>
      </c>
      <c r="D3246" s="19" t="n">
        <v>0.465</v>
      </c>
      <c r="E3246" s="20" t="n">
        <f aca="false">Parametres!$B$5*C3246</f>
        <v>0</v>
      </c>
      <c r="F3246" s="20" t="n">
        <f aca="false">Parametres!$B$6*D3246</f>
        <v>93</v>
      </c>
      <c r="G3246" s="20" t="n">
        <f aca="false">E3246+F3246</f>
        <v>93</v>
      </c>
      <c r="H3246" s="20" t="n">
        <f aca="false">IF(G3246&lt;Parametres!$B$8*Parametres!$B$7,0,MIN(G3246,Parametres!$B$7))</f>
        <v>93</v>
      </c>
      <c r="I3246" s="20" t="n">
        <f aca="false">G3246-H3246</f>
        <v>0</v>
      </c>
      <c r="J3246" s="21" t="n">
        <f aca="false">H3246*1000/Parametres!$B$9</f>
        <v>1577.07308801085</v>
      </c>
    </row>
    <row r="3247" customFormat="false" ht="15" hidden="false" customHeight="false" outlineLevel="0" collapsed="false">
      <c r="A3247" s="0" t="n">
        <v>3243</v>
      </c>
      <c r="B3247" s="0" t="n">
        <v>5</v>
      </c>
      <c r="C3247" s="19" t="n">
        <v>0</v>
      </c>
      <c r="D3247" s="19" t="n">
        <v>0.4466</v>
      </c>
      <c r="E3247" s="20" t="n">
        <f aca="false">Parametres!$B$5*C3247</f>
        <v>0</v>
      </c>
      <c r="F3247" s="20" t="n">
        <f aca="false">Parametres!$B$6*D3247</f>
        <v>89.32</v>
      </c>
      <c r="G3247" s="20" t="n">
        <f aca="false">E3247+F3247</f>
        <v>89.32</v>
      </c>
      <c r="H3247" s="20" t="n">
        <f aca="false">IF(G3247&lt;Parametres!$B$8*Parametres!$B$7,0,MIN(G3247,Parametres!$B$7))</f>
        <v>89.32</v>
      </c>
      <c r="I3247" s="20" t="n">
        <f aca="false">G3247-H3247</f>
        <v>0</v>
      </c>
      <c r="J3247" s="21" t="n">
        <f aca="false">H3247*1000/Parametres!$B$9</f>
        <v>1514.66847549602</v>
      </c>
    </row>
    <row r="3248" customFormat="false" ht="15" hidden="false" customHeight="false" outlineLevel="0" collapsed="false">
      <c r="A3248" s="0" t="n">
        <v>3244</v>
      </c>
      <c r="B3248" s="0" t="n">
        <v>5</v>
      </c>
      <c r="C3248" s="19" t="n">
        <v>0</v>
      </c>
      <c r="D3248" s="19" t="n">
        <v>0.5236</v>
      </c>
      <c r="E3248" s="20" t="n">
        <f aca="false">Parametres!$B$5*C3248</f>
        <v>0</v>
      </c>
      <c r="F3248" s="20" t="n">
        <f aca="false">Parametres!$B$6*D3248</f>
        <v>104.72</v>
      </c>
      <c r="G3248" s="20" t="n">
        <f aca="false">E3248+F3248</f>
        <v>104.72</v>
      </c>
      <c r="H3248" s="20" t="n">
        <f aca="false">IF(G3248&lt;Parametres!$B$8*Parametres!$B$7,0,MIN(G3248,Parametres!$B$7))</f>
        <v>104.72</v>
      </c>
      <c r="I3248" s="20" t="n">
        <f aca="false">G3248-H3248</f>
        <v>0</v>
      </c>
      <c r="J3248" s="21" t="n">
        <f aca="false">H3248*1000/Parametres!$B$9</f>
        <v>1775.8182126505</v>
      </c>
    </row>
    <row r="3249" customFormat="false" ht="15" hidden="false" customHeight="false" outlineLevel="0" collapsed="false">
      <c r="A3249" s="0" t="n">
        <v>3245</v>
      </c>
      <c r="B3249" s="0" t="n">
        <v>5</v>
      </c>
      <c r="C3249" s="19" t="n">
        <v>0</v>
      </c>
      <c r="D3249" s="19" t="n">
        <v>0.414</v>
      </c>
      <c r="E3249" s="20" t="n">
        <f aca="false">Parametres!$B$5*C3249</f>
        <v>0</v>
      </c>
      <c r="F3249" s="20" t="n">
        <f aca="false">Parametres!$B$6*D3249</f>
        <v>82.8</v>
      </c>
      <c r="G3249" s="20" t="n">
        <f aca="false">E3249+F3249</f>
        <v>82.8</v>
      </c>
      <c r="H3249" s="20" t="n">
        <f aca="false">IF(G3249&lt;Parametres!$B$8*Parametres!$B$7,0,MIN(G3249,Parametres!$B$7))</f>
        <v>82.8</v>
      </c>
      <c r="I3249" s="20" t="n">
        <f aca="false">G3249-H3249</f>
        <v>0</v>
      </c>
      <c r="J3249" s="21" t="n">
        <f aca="false">H3249*1000/Parametres!$B$9</f>
        <v>1404.10378158386</v>
      </c>
    </row>
    <row r="3250" customFormat="false" ht="15" hidden="false" customHeight="false" outlineLevel="0" collapsed="false">
      <c r="A3250" s="0" t="n">
        <v>3246</v>
      </c>
      <c r="B3250" s="0" t="n">
        <v>5</v>
      </c>
      <c r="C3250" s="19" t="n">
        <v>0.0278</v>
      </c>
      <c r="D3250" s="19" t="n">
        <v>0.3786</v>
      </c>
      <c r="E3250" s="20" t="n">
        <f aca="false">Parametres!$B$5*C3250</f>
        <v>8.34</v>
      </c>
      <c r="F3250" s="20" t="n">
        <f aca="false">Parametres!$B$6*D3250</f>
        <v>75.72</v>
      </c>
      <c r="G3250" s="20" t="n">
        <f aca="false">E3250+F3250</f>
        <v>84.06</v>
      </c>
      <c r="H3250" s="20" t="n">
        <f aca="false">IF(G3250&lt;Parametres!$B$8*Parametres!$B$7,0,MIN(G3250,Parametres!$B$7))</f>
        <v>84.06</v>
      </c>
      <c r="I3250" s="20" t="n">
        <f aca="false">G3250-H3250</f>
        <v>0</v>
      </c>
      <c r="J3250" s="21" t="n">
        <f aca="false">H3250*1000/Parametres!$B$9</f>
        <v>1425.47057826013</v>
      </c>
    </row>
    <row r="3251" customFormat="false" ht="15" hidden="false" customHeight="false" outlineLevel="0" collapsed="false">
      <c r="A3251" s="0" t="n">
        <v>3247</v>
      </c>
      <c r="B3251" s="0" t="n">
        <v>5</v>
      </c>
      <c r="C3251" s="19" t="n">
        <v>0.2412</v>
      </c>
      <c r="D3251" s="19" t="n">
        <v>0.4941</v>
      </c>
      <c r="E3251" s="20" t="n">
        <f aca="false">Parametres!$B$5*C3251</f>
        <v>72.36</v>
      </c>
      <c r="F3251" s="20" t="n">
        <f aca="false">Parametres!$B$6*D3251</f>
        <v>98.82</v>
      </c>
      <c r="G3251" s="20" t="n">
        <f aca="false">E3251+F3251</f>
        <v>171.18</v>
      </c>
      <c r="H3251" s="20" t="n">
        <f aca="false">IF(G3251&lt;Parametres!$B$8*Parametres!$B$7,0,MIN(G3251,Parametres!$B$7))</f>
        <v>171.18</v>
      </c>
      <c r="I3251" s="20" t="n">
        <f aca="false">G3251-H3251</f>
        <v>0</v>
      </c>
      <c r="J3251" s="21" t="n">
        <f aca="false">H3251*1000/Parametres!$B$9</f>
        <v>2902.83194844836</v>
      </c>
    </row>
    <row r="3252" customFormat="false" ht="15" hidden="false" customHeight="false" outlineLevel="0" collapsed="false">
      <c r="A3252" s="0" t="n">
        <v>3248</v>
      </c>
      <c r="B3252" s="0" t="n">
        <v>5</v>
      </c>
      <c r="C3252" s="19" t="n">
        <v>0.4356</v>
      </c>
      <c r="D3252" s="19" t="n">
        <v>0.4491</v>
      </c>
      <c r="E3252" s="20" t="n">
        <f aca="false">Parametres!$B$5*C3252</f>
        <v>130.68</v>
      </c>
      <c r="F3252" s="20" t="n">
        <f aca="false">Parametres!$B$6*D3252</f>
        <v>89.82</v>
      </c>
      <c r="G3252" s="20" t="n">
        <f aca="false">E3252+F3252</f>
        <v>220.5</v>
      </c>
      <c r="H3252" s="20" t="n">
        <f aca="false">IF(G3252&lt;Parametres!$B$8*Parametres!$B$7,0,MIN(G3252,Parametres!$B$7))</f>
        <v>220.5</v>
      </c>
      <c r="I3252" s="20" t="n">
        <f aca="false">G3252-H3252</f>
        <v>0</v>
      </c>
      <c r="J3252" s="21" t="n">
        <f aca="false">H3252*1000/Parametres!$B$9</f>
        <v>3739.18941834831</v>
      </c>
    </row>
    <row r="3253" customFormat="false" ht="15" hidden="false" customHeight="false" outlineLevel="0" collapsed="false">
      <c r="A3253" s="0" t="n">
        <v>3249</v>
      </c>
      <c r="B3253" s="0" t="n">
        <v>5</v>
      </c>
      <c r="C3253" s="19" t="n">
        <v>0.744</v>
      </c>
      <c r="D3253" s="19" t="n">
        <v>0.4383</v>
      </c>
      <c r="E3253" s="20" t="n">
        <f aca="false">Parametres!$B$5*C3253</f>
        <v>223.2</v>
      </c>
      <c r="F3253" s="20" t="n">
        <f aca="false">Parametres!$B$6*D3253</f>
        <v>87.66</v>
      </c>
      <c r="G3253" s="20" t="n">
        <f aca="false">E3253+F3253</f>
        <v>310.86</v>
      </c>
      <c r="H3253" s="20" t="n">
        <f aca="false">IF(G3253&lt;Parametres!$B$8*Parametres!$B$7,0,MIN(G3253,Parametres!$B$7))</f>
        <v>250</v>
      </c>
      <c r="I3253" s="20" t="n">
        <f aca="false">G3253-H3253</f>
        <v>60.86</v>
      </c>
      <c r="J3253" s="21" t="n">
        <f aca="false">H3253*1000/Parametres!$B$9</f>
        <v>4239.44378497541</v>
      </c>
    </row>
    <row r="3254" customFormat="false" ht="15" hidden="false" customHeight="false" outlineLevel="0" collapsed="false">
      <c r="A3254" s="0" t="n">
        <v>3250</v>
      </c>
      <c r="B3254" s="0" t="n">
        <v>5</v>
      </c>
      <c r="C3254" s="19" t="n">
        <v>0.8746</v>
      </c>
      <c r="D3254" s="19" t="n">
        <v>0.4917</v>
      </c>
      <c r="E3254" s="20" t="n">
        <f aca="false">Parametres!$B$5*C3254</f>
        <v>262.38</v>
      </c>
      <c r="F3254" s="20" t="n">
        <f aca="false">Parametres!$B$6*D3254</f>
        <v>98.34</v>
      </c>
      <c r="G3254" s="20" t="n">
        <f aca="false">E3254+F3254</f>
        <v>360.72</v>
      </c>
      <c r="H3254" s="20" t="n">
        <f aca="false">IF(G3254&lt;Parametres!$B$8*Parametres!$B$7,0,MIN(G3254,Parametres!$B$7))</f>
        <v>250</v>
      </c>
      <c r="I3254" s="20" t="n">
        <f aca="false">G3254-H3254</f>
        <v>110.72</v>
      </c>
      <c r="J3254" s="21" t="n">
        <f aca="false">H3254*1000/Parametres!$B$9</f>
        <v>4239.44378497541</v>
      </c>
    </row>
    <row r="3255" customFormat="false" ht="15" hidden="false" customHeight="false" outlineLevel="0" collapsed="false">
      <c r="A3255" s="0" t="n">
        <v>3251</v>
      </c>
      <c r="B3255" s="0" t="n">
        <v>5</v>
      </c>
      <c r="C3255" s="19" t="n">
        <v>0.9952</v>
      </c>
      <c r="D3255" s="19" t="n">
        <v>0.9313</v>
      </c>
      <c r="E3255" s="20" t="n">
        <f aca="false">Parametres!$B$5*C3255</f>
        <v>298.56</v>
      </c>
      <c r="F3255" s="20" t="n">
        <f aca="false">Parametres!$B$6*D3255</f>
        <v>186.26</v>
      </c>
      <c r="G3255" s="20" t="n">
        <f aca="false">E3255+F3255</f>
        <v>484.82</v>
      </c>
      <c r="H3255" s="20" t="n">
        <f aca="false">IF(G3255&lt;Parametres!$B$8*Parametres!$B$7,0,MIN(G3255,Parametres!$B$7))</f>
        <v>250</v>
      </c>
      <c r="I3255" s="20" t="n">
        <f aca="false">G3255-H3255</f>
        <v>234.82</v>
      </c>
      <c r="J3255" s="21" t="n">
        <f aca="false">H3255*1000/Parametres!$B$9</f>
        <v>4239.44378497541</v>
      </c>
    </row>
    <row r="3256" customFormat="false" ht="15" hidden="false" customHeight="false" outlineLevel="0" collapsed="false">
      <c r="A3256" s="0" t="n">
        <v>3252</v>
      </c>
      <c r="B3256" s="0" t="n">
        <v>5</v>
      </c>
      <c r="C3256" s="19" t="n">
        <v>1</v>
      </c>
      <c r="D3256" s="19" t="n">
        <v>1</v>
      </c>
      <c r="E3256" s="20" t="n">
        <f aca="false">Parametres!$B$5*C3256</f>
        <v>300</v>
      </c>
      <c r="F3256" s="20" t="n">
        <f aca="false">Parametres!$B$6*D3256</f>
        <v>200</v>
      </c>
      <c r="G3256" s="20" t="n">
        <f aca="false">E3256+F3256</f>
        <v>500</v>
      </c>
      <c r="H3256" s="20" t="n">
        <f aca="false">IF(G3256&lt;Parametres!$B$8*Parametres!$B$7,0,MIN(G3256,Parametres!$B$7))</f>
        <v>250</v>
      </c>
      <c r="I3256" s="20" t="n">
        <f aca="false">G3256-H3256</f>
        <v>250</v>
      </c>
      <c r="J3256" s="21" t="n">
        <f aca="false">H3256*1000/Parametres!$B$9</f>
        <v>4239.44378497541</v>
      </c>
    </row>
    <row r="3257" customFormat="false" ht="15" hidden="false" customHeight="false" outlineLevel="0" collapsed="false">
      <c r="A3257" s="0" t="n">
        <v>3253</v>
      </c>
      <c r="B3257" s="0" t="n">
        <v>5</v>
      </c>
      <c r="C3257" s="19" t="n">
        <v>1</v>
      </c>
      <c r="D3257" s="19" t="n">
        <v>1</v>
      </c>
      <c r="E3257" s="20" t="n">
        <f aca="false">Parametres!$B$5*C3257</f>
        <v>300</v>
      </c>
      <c r="F3257" s="20" t="n">
        <f aca="false">Parametres!$B$6*D3257</f>
        <v>200</v>
      </c>
      <c r="G3257" s="20" t="n">
        <f aca="false">E3257+F3257</f>
        <v>500</v>
      </c>
      <c r="H3257" s="20" t="n">
        <f aca="false">IF(G3257&lt;Parametres!$B$8*Parametres!$B$7,0,MIN(G3257,Parametres!$B$7))</f>
        <v>250</v>
      </c>
      <c r="I3257" s="20" t="n">
        <f aca="false">G3257-H3257</f>
        <v>250</v>
      </c>
      <c r="J3257" s="21" t="n">
        <f aca="false">H3257*1000/Parametres!$B$9</f>
        <v>4239.44378497541</v>
      </c>
    </row>
    <row r="3258" customFormat="false" ht="15" hidden="false" customHeight="false" outlineLevel="0" collapsed="false">
      <c r="A3258" s="0" t="n">
        <v>3254</v>
      </c>
      <c r="B3258" s="0" t="n">
        <v>5</v>
      </c>
      <c r="C3258" s="19" t="n">
        <v>1</v>
      </c>
      <c r="D3258" s="19" t="n">
        <v>1</v>
      </c>
      <c r="E3258" s="20" t="n">
        <f aca="false">Parametres!$B$5*C3258</f>
        <v>300</v>
      </c>
      <c r="F3258" s="20" t="n">
        <f aca="false">Parametres!$B$6*D3258</f>
        <v>200</v>
      </c>
      <c r="G3258" s="20" t="n">
        <f aca="false">E3258+F3258</f>
        <v>500</v>
      </c>
      <c r="H3258" s="20" t="n">
        <f aca="false">IF(G3258&lt;Parametres!$B$8*Parametres!$B$7,0,MIN(G3258,Parametres!$B$7))</f>
        <v>250</v>
      </c>
      <c r="I3258" s="20" t="n">
        <f aca="false">G3258-H3258</f>
        <v>250</v>
      </c>
      <c r="J3258" s="21" t="n">
        <f aca="false">H3258*1000/Parametres!$B$9</f>
        <v>4239.44378497541</v>
      </c>
    </row>
    <row r="3259" customFormat="false" ht="15" hidden="false" customHeight="false" outlineLevel="0" collapsed="false">
      <c r="A3259" s="0" t="n">
        <v>3255</v>
      </c>
      <c r="B3259" s="0" t="n">
        <v>5</v>
      </c>
      <c r="C3259" s="19" t="n">
        <v>0.8506</v>
      </c>
      <c r="D3259" s="19" t="n">
        <v>1</v>
      </c>
      <c r="E3259" s="20" t="n">
        <f aca="false">Parametres!$B$5*C3259</f>
        <v>255.18</v>
      </c>
      <c r="F3259" s="20" t="n">
        <f aca="false">Parametres!$B$6*D3259</f>
        <v>200</v>
      </c>
      <c r="G3259" s="20" t="n">
        <f aca="false">E3259+F3259</f>
        <v>455.18</v>
      </c>
      <c r="H3259" s="20" t="n">
        <f aca="false">IF(G3259&lt;Parametres!$B$8*Parametres!$B$7,0,MIN(G3259,Parametres!$B$7))</f>
        <v>250</v>
      </c>
      <c r="I3259" s="20" t="n">
        <f aca="false">G3259-H3259</f>
        <v>205.18</v>
      </c>
      <c r="J3259" s="21" t="n">
        <f aca="false">H3259*1000/Parametres!$B$9</f>
        <v>4239.44378497541</v>
      </c>
    </row>
    <row r="3260" customFormat="false" ht="15" hidden="false" customHeight="false" outlineLevel="0" collapsed="false">
      <c r="A3260" s="0" t="n">
        <v>3256</v>
      </c>
      <c r="B3260" s="0" t="n">
        <v>5</v>
      </c>
      <c r="C3260" s="19" t="n">
        <v>0.721</v>
      </c>
      <c r="D3260" s="19" t="n">
        <v>1</v>
      </c>
      <c r="E3260" s="20" t="n">
        <f aca="false">Parametres!$B$5*C3260</f>
        <v>216.3</v>
      </c>
      <c r="F3260" s="20" t="n">
        <f aca="false">Parametres!$B$6*D3260</f>
        <v>200</v>
      </c>
      <c r="G3260" s="20" t="n">
        <f aca="false">E3260+F3260</f>
        <v>416.3</v>
      </c>
      <c r="H3260" s="20" t="n">
        <f aca="false">IF(G3260&lt;Parametres!$B$8*Parametres!$B$7,0,MIN(G3260,Parametres!$B$7))</f>
        <v>250</v>
      </c>
      <c r="I3260" s="20" t="n">
        <f aca="false">G3260-H3260</f>
        <v>166.3</v>
      </c>
      <c r="J3260" s="21" t="n">
        <f aca="false">H3260*1000/Parametres!$B$9</f>
        <v>4239.44378497541</v>
      </c>
    </row>
    <row r="3261" customFormat="false" ht="15" hidden="false" customHeight="false" outlineLevel="0" collapsed="false">
      <c r="A3261" s="0" t="n">
        <v>3257</v>
      </c>
      <c r="B3261" s="0" t="n">
        <v>5</v>
      </c>
      <c r="C3261" s="19" t="n">
        <v>0.4608</v>
      </c>
      <c r="D3261" s="19" t="n">
        <v>1</v>
      </c>
      <c r="E3261" s="20" t="n">
        <f aca="false">Parametres!$B$5*C3261</f>
        <v>138.24</v>
      </c>
      <c r="F3261" s="20" t="n">
        <f aca="false">Parametres!$B$6*D3261</f>
        <v>200</v>
      </c>
      <c r="G3261" s="20" t="n">
        <f aca="false">E3261+F3261</f>
        <v>338.24</v>
      </c>
      <c r="H3261" s="20" t="n">
        <f aca="false">IF(G3261&lt;Parametres!$B$8*Parametres!$B$7,0,MIN(G3261,Parametres!$B$7))</f>
        <v>250</v>
      </c>
      <c r="I3261" s="20" t="n">
        <f aca="false">G3261-H3261</f>
        <v>88.24</v>
      </c>
      <c r="J3261" s="21" t="n">
        <f aca="false">H3261*1000/Parametres!$B$9</f>
        <v>4239.44378497541</v>
      </c>
    </row>
    <row r="3262" customFormat="false" ht="15" hidden="false" customHeight="false" outlineLevel="0" collapsed="false">
      <c r="A3262" s="0" t="n">
        <v>3258</v>
      </c>
      <c r="B3262" s="0" t="n">
        <v>5</v>
      </c>
      <c r="C3262" s="19" t="n">
        <v>0.237</v>
      </c>
      <c r="D3262" s="19" t="n">
        <v>1</v>
      </c>
      <c r="E3262" s="20" t="n">
        <f aca="false">Parametres!$B$5*C3262</f>
        <v>71.1</v>
      </c>
      <c r="F3262" s="20" t="n">
        <f aca="false">Parametres!$B$6*D3262</f>
        <v>200</v>
      </c>
      <c r="G3262" s="20" t="n">
        <f aca="false">E3262+F3262</f>
        <v>271.1</v>
      </c>
      <c r="H3262" s="20" t="n">
        <f aca="false">IF(G3262&lt;Parametres!$B$8*Parametres!$B$7,0,MIN(G3262,Parametres!$B$7))</f>
        <v>250</v>
      </c>
      <c r="I3262" s="20" t="n">
        <f aca="false">G3262-H3262</f>
        <v>21.1</v>
      </c>
      <c r="J3262" s="21" t="n">
        <f aca="false">H3262*1000/Parametres!$B$9</f>
        <v>4239.44378497541</v>
      </c>
    </row>
    <row r="3263" customFormat="false" ht="15" hidden="false" customHeight="false" outlineLevel="0" collapsed="false">
      <c r="A3263" s="0" t="n">
        <v>3259</v>
      </c>
      <c r="B3263" s="0" t="n">
        <v>5</v>
      </c>
      <c r="C3263" s="19" t="n">
        <v>0.0294</v>
      </c>
      <c r="D3263" s="19" t="n">
        <v>1</v>
      </c>
      <c r="E3263" s="20" t="n">
        <f aca="false">Parametres!$B$5*C3263</f>
        <v>8.82</v>
      </c>
      <c r="F3263" s="20" t="n">
        <f aca="false">Parametres!$B$6*D3263</f>
        <v>200</v>
      </c>
      <c r="G3263" s="20" t="n">
        <f aca="false">E3263+F3263</f>
        <v>208.82</v>
      </c>
      <c r="H3263" s="20" t="n">
        <f aca="false">IF(G3263&lt;Parametres!$B$8*Parametres!$B$7,0,MIN(G3263,Parametres!$B$7))</f>
        <v>208.82</v>
      </c>
      <c r="I3263" s="20" t="n">
        <f aca="false">G3263-H3263</f>
        <v>0</v>
      </c>
      <c r="J3263" s="21" t="n">
        <f aca="false">H3263*1000/Parametres!$B$9</f>
        <v>3541.12260471426</v>
      </c>
    </row>
    <row r="3264" customFormat="false" ht="15" hidden="false" customHeight="false" outlineLevel="0" collapsed="false">
      <c r="A3264" s="0" t="n">
        <v>3260</v>
      </c>
      <c r="B3264" s="0" t="n">
        <v>5</v>
      </c>
      <c r="C3264" s="19" t="n">
        <v>0</v>
      </c>
      <c r="D3264" s="19" t="n">
        <v>1</v>
      </c>
      <c r="E3264" s="20" t="n">
        <f aca="false">Parametres!$B$5*C3264</f>
        <v>0</v>
      </c>
      <c r="F3264" s="20" t="n">
        <f aca="false">Parametres!$B$6*D3264</f>
        <v>200</v>
      </c>
      <c r="G3264" s="20" t="n">
        <f aca="false">E3264+F3264</f>
        <v>200</v>
      </c>
      <c r="H3264" s="20" t="n">
        <f aca="false">IF(G3264&lt;Parametres!$B$8*Parametres!$B$7,0,MIN(G3264,Parametres!$B$7))</f>
        <v>200</v>
      </c>
      <c r="I3264" s="20" t="n">
        <f aca="false">G3264-H3264</f>
        <v>0</v>
      </c>
      <c r="J3264" s="21" t="n">
        <f aca="false">H3264*1000/Parametres!$B$9</f>
        <v>3391.55502798033</v>
      </c>
    </row>
    <row r="3265" customFormat="false" ht="15" hidden="false" customHeight="false" outlineLevel="0" collapsed="false">
      <c r="A3265" s="0" t="n">
        <v>3261</v>
      </c>
      <c r="B3265" s="0" t="n">
        <v>5</v>
      </c>
      <c r="C3265" s="19" t="n">
        <v>0</v>
      </c>
      <c r="D3265" s="19" t="n">
        <v>1</v>
      </c>
      <c r="E3265" s="20" t="n">
        <f aca="false">Parametres!$B$5*C3265</f>
        <v>0</v>
      </c>
      <c r="F3265" s="20" t="n">
        <f aca="false">Parametres!$B$6*D3265</f>
        <v>200</v>
      </c>
      <c r="G3265" s="20" t="n">
        <f aca="false">E3265+F3265</f>
        <v>200</v>
      </c>
      <c r="H3265" s="20" t="n">
        <f aca="false">IF(G3265&lt;Parametres!$B$8*Parametres!$B$7,0,MIN(G3265,Parametres!$B$7))</f>
        <v>200</v>
      </c>
      <c r="I3265" s="20" t="n">
        <f aca="false">G3265-H3265</f>
        <v>0</v>
      </c>
      <c r="J3265" s="21" t="n">
        <f aca="false">H3265*1000/Parametres!$B$9</f>
        <v>3391.55502798033</v>
      </c>
    </row>
    <row r="3266" customFormat="false" ht="15" hidden="false" customHeight="false" outlineLevel="0" collapsed="false">
      <c r="A3266" s="0" t="n">
        <v>3262</v>
      </c>
      <c r="B3266" s="0" t="n">
        <v>5</v>
      </c>
      <c r="C3266" s="19" t="n">
        <v>0</v>
      </c>
      <c r="D3266" s="19" t="n">
        <v>1</v>
      </c>
      <c r="E3266" s="20" t="n">
        <f aca="false">Parametres!$B$5*C3266</f>
        <v>0</v>
      </c>
      <c r="F3266" s="20" t="n">
        <f aca="false">Parametres!$B$6*D3266</f>
        <v>200</v>
      </c>
      <c r="G3266" s="20" t="n">
        <f aca="false">E3266+F3266</f>
        <v>200</v>
      </c>
      <c r="H3266" s="20" t="n">
        <f aca="false">IF(G3266&lt;Parametres!$B$8*Parametres!$B$7,0,MIN(G3266,Parametres!$B$7))</f>
        <v>200</v>
      </c>
      <c r="I3266" s="20" t="n">
        <f aca="false">G3266-H3266</f>
        <v>0</v>
      </c>
      <c r="J3266" s="21" t="n">
        <f aca="false">H3266*1000/Parametres!$B$9</f>
        <v>3391.55502798033</v>
      </c>
    </row>
    <row r="3267" customFormat="false" ht="15" hidden="false" customHeight="false" outlineLevel="0" collapsed="false">
      <c r="A3267" s="0" t="n">
        <v>3263</v>
      </c>
      <c r="B3267" s="0" t="n">
        <v>5</v>
      </c>
      <c r="C3267" s="19" t="n">
        <v>0</v>
      </c>
      <c r="D3267" s="19" t="n">
        <v>1</v>
      </c>
      <c r="E3267" s="20" t="n">
        <f aca="false">Parametres!$B$5*C3267</f>
        <v>0</v>
      </c>
      <c r="F3267" s="20" t="n">
        <f aca="false">Parametres!$B$6*D3267</f>
        <v>200</v>
      </c>
      <c r="G3267" s="20" t="n">
        <f aca="false">E3267+F3267</f>
        <v>200</v>
      </c>
      <c r="H3267" s="20" t="n">
        <f aca="false">IF(G3267&lt;Parametres!$B$8*Parametres!$B$7,0,MIN(G3267,Parametres!$B$7))</f>
        <v>200</v>
      </c>
      <c r="I3267" s="20" t="n">
        <f aca="false">G3267-H3267</f>
        <v>0</v>
      </c>
      <c r="J3267" s="21" t="n">
        <f aca="false">H3267*1000/Parametres!$B$9</f>
        <v>3391.55502798033</v>
      </c>
    </row>
    <row r="3268" customFormat="false" ht="15" hidden="false" customHeight="false" outlineLevel="0" collapsed="false">
      <c r="A3268" s="0" t="n">
        <v>3264</v>
      </c>
      <c r="B3268" s="0" t="n">
        <v>5</v>
      </c>
      <c r="C3268" s="19" t="n">
        <v>0</v>
      </c>
      <c r="D3268" s="19" t="n">
        <v>1</v>
      </c>
      <c r="E3268" s="20" t="n">
        <f aca="false">Parametres!$B$5*C3268</f>
        <v>0</v>
      </c>
      <c r="F3268" s="20" t="n">
        <f aca="false">Parametres!$B$6*D3268</f>
        <v>200</v>
      </c>
      <c r="G3268" s="20" t="n">
        <f aca="false">E3268+F3268</f>
        <v>200</v>
      </c>
      <c r="H3268" s="20" t="n">
        <f aca="false">IF(G3268&lt;Parametres!$B$8*Parametres!$B$7,0,MIN(G3268,Parametres!$B$7))</f>
        <v>200</v>
      </c>
      <c r="I3268" s="20" t="n">
        <f aca="false">G3268-H3268</f>
        <v>0</v>
      </c>
      <c r="J3268" s="21" t="n">
        <f aca="false">H3268*1000/Parametres!$B$9</f>
        <v>3391.55502798033</v>
      </c>
    </row>
    <row r="3269" customFormat="false" ht="15" hidden="false" customHeight="false" outlineLevel="0" collapsed="false">
      <c r="A3269" s="0" t="n">
        <v>3265</v>
      </c>
      <c r="B3269" s="0" t="n">
        <v>5</v>
      </c>
      <c r="C3269" s="19" t="n">
        <v>0</v>
      </c>
      <c r="D3269" s="19" t="n">
        <v>1</v>
      </c>
      <c r="E3269" s="20" t="n">
        <f aca="false">Parametres!$B$5*C3269</f>
        <v>0</v>
      </c>
      <c r="F3269" s="20" t="n">
        <f aca="false">Parametres!$B$6*D3269</f>
        <v>200</v>
      </c>
      <c r="G3269" s="20" t="n">
        <f aca="false">E3269+F3269</f>
        <v>200</v>
      </c>
      <c r="H3269" s="20" t="n">
        <f aca="false">IF(G3269&lt;Parametres!$B$8*Parametres!$B$7,0,MIN(G3269,Parametres!$B$7))</f>
        <v>200</v>
      </c>
      <c r="I3269" s="20" t="n">
        <f aca="false">G3269-H3269</f>
        <v>0</v>
      </c>
      <c r="J3269" s="21" t="n">
        <f aca="false">H3269*1000/Parametres!$B$9</f>
        <v>3391.55502798033</v>
      </c>
    </row>
    <row r="3270" customFormat="false" ht="15" hidden="false" customHeight="false" outlineLevel="0" collapsed="false">
      <c r="A3270" s="0" t="n">
        <v>3266</v>
      </c>
      <c r="B3270" s="0" t="n">
        <v>5</v>
      </c>
      <c r="C3270" s="19" t="n">
        <v>0</v>
      </c>
      <c r="D3270" s="19" t="n">
        <v>1</v>
      </c>
      <c r="E3270" s="20" t="n">
        <f aca="false">Parametres!$B$5*C3270</f>
        <v>0</v>
      </c>
      <c r="F3270" s="20" t="n">
        <f aca="false">Parametres!$B$6*D3270</f>
        <v>200</v>
      </c>
      <c r="G3270" s="20" t="n">
        <f aca="false">E3270+F3270</f>
        <v>200</v>
      </c>
      <c r="H3270" s="20" t="n">
        <f aca="false">IF(G3270&lt;Parametres!$B$8*Parametres!$B$7,0,MIN(G3270,Parametres!$B$7))</f>
        <v>200</v>
      </c>
      <c r="I3270" s="20" t="n">
        <f aca="false">G3270-H3270</f>
        <v>0</v>
      </c>
      <c r="J3270" s="21" t="n">
        <f aca="false">H3270*1000/Parametres!$B$9</f>
        <v>3391.55502798033</v>
      </c>
    </row>
    <row r="3271" customFormat="false" ht="15" hidden="false" customHeight="false" outlineLevel="0" collapsed="false">
      <c r="A3271" s="0" t="n">
        <v>3267</v>
      </c>
      <c r="B3271" s="0" t="n">
        <v>5</v>
      </c>
      <c r="C3271" s="19" t="n">
        <v>0</v>
      </c>
      <c r="D3271" s="19" t="n">
        <v>1</v>
      </c>
      <c r="E3271" s="20" t="n">
        <f aca="false">Parametres!$B$5*C3271</f>
        <v>0</v>
      </c>
      <c r="F3271" s="20" t="n">
        <f aca="false">Parametres!$B$6*D3271</f>
        <v>200</v>
      </c>
      <c r="G3271" s="20" t="n">
        <f aca="false">E3271+F3271</f>
        <v>200</v>
      </c>
      <c r="H3271" s="20" t="n">
        <f aca="false">IF(G3271&lt;Parametres!$B$8*Parametres!$B$7,0,MIN(G3271,Parametres!$B$7))</f>
        <v>200</v>
      </c>
      <c r="I3271" s="20" t="n">
        <f aca="false">G3271-H3271</f>
        <v>0</v>
      </c>
      <c r="J3271" s="21" t="n">
        <f aca="false">H3271*1000/Parametres!$B$9</f>
        <v>3391.55502798033</v>
      </c>
    </row>
    <row r="3272" customFormat="false" ht="15" hidden="false" customHeight="false" outlineLevel="0" collapsed="false">
      <c r="A3272" s="0" t="n">
        <v>3268</v>
      </c>
      <c r="B3272" s="0" t="n">
        <v>5</v>
      </c>
      <c r="C3272" s="19" t="n">
        <v>0</v>
      </c>
      <c r="D3272" s="19" t="n">
        <v>1</v>
      </c>
      <c r="E3272" s="20" t="n">
        <f aca="false">Parametres!$B$5*C3272</f>
        <v>0</v>
      </c>
      <c r="F3272" s="20" t="n">
        <f aca="false">Parametres!$B$6*D3272</f>
        <v>200</v>
      </c>
      <c r="G3272" s="20" t="n">
        <f aca="false">E3272+F3272</f>
        <v>200</v>
      </c>
      <c r="H3272" s="20" t="n">
        <f aca="false">IF(G3272&lt;Parametres!$B$8*Parametres!$B$7,0,MIN(G3272,Parametres!$B$7))</f>
        <v>200</v>
      </c>
      <c r="I3272" s="20" t="n">
        <f aca="false">G3272-H3272</f>
        <v>0</v>
      </c>
      <c r="J3272" s="21" t="n">
        <f aca="false">H3272*1000/Parametres!$B$9</f>
        <v>3391.55502798033</v>
      </c>
    </row>
    <row r="3273" customFormat="false" ht="15" hidden="false" customHeight="false" outlineLevel="0" collapsed="false">
      <c r="A3273" s="0" t="n">
        <v>3269</v>
      </c>
      <c r="B3273" s="0" t="n">
        <v>5</v>
      </c>
      <c r="C3273" s="19" t="n">
        <v>0</v>
      </c>
      <c r="D3273" s="19" t="n">
        <v>1</v>
      </c>
      <c r="E3273" s="20" t="n">
        <f aca="false">Parametres!$B$5*C3273</f>
        <v>0</v>
      </c>
      <c r="F3273" s="20" t="n">
        <f aca="false">Parametres!$B$6*D3273</f>
        <v>200</v>
      </c>
      <c r="G3273" s="20" t="n">
        <f aca="false">E3273+F3273</f>
        <v>200</v>
      </c>
      <c r="H3273" s="20" t="n">
        <f aca="false">IF(G3273&lt;Parametres!$B$8*Parametres!$B$7,0,MIN(G3273,Parametres!$B$7))</f>
        <v>200</v>
      </c>
      <c r="I3273" s="20" t="n">
        <f aca="false">G3273-H3273</f>
        <v>0</v>
      </c>
      <c r="J3273" s="21" t="n">
        <f aca="false">H3273*1000/Parametres!$B$9</f>
        <v>3391.55502798033</v>
      </c>
    </row>
    <row r="3274" customFormat="false" ht="15" hidden="false" customHeight="false" outlineLevel="0" collapsed="false">
      <c r="A3274" s="0" t="n">
        <v>3270</v>
      </c>
      <c r="B3274" s="0" t="n">
        <v>5</v>
      </c>
      <c r="C3274" s="19" t="n">
        <v>0.0306</v>
      </c>
      <c r="D3274" s="19" t="n">
        <v>1</v>
      </c>
      <c r="E3274" s="20" t="n">
        <f aca="false">Parametres!$B$5*C3274</f>
        <v>9.18</v>
      </c>
      <c r="F3274" s="20" t="n">
        <f aca="false">Parametres!$B$6*D3274</f>
        <v>200</v>
      </c>
      <c r="G3274" s="20" t="n">
        <f aca="false">E3274+F3274</f>
        <v>209.18</v>
      </c>
      <c r="H3274" s="20" t="n">
        <f aca="false">IF(G3274&lt;Parametres!$B$8*Parametres!$B$7,0,MIN(G3274,Parametres!$B$7))</f>
        <v>209.18</v>
      </c>
      <c r="I3274" s="20" t="n">
        <f aca="false">G3274-H3274</f>
        <v>0</v>
      </c>
      <c r="J3274" s="21" t="n">
        <f aca="false">H3274*1000/Parametres!$B$9</f>
        <v>3547.22740376463</v>
      </c>
    </row>
    <row r="3275" customFormat="false" ht="15" hidden="false" customHeight="false" outlineLevel="0" collapsed="false">
      <c r="A3275" s="0" t="n">
        <v>3271</v>
      </c>
      <c r="B3275" s="0" t="n">
        <v>5</v>
      </c>
      <c r="C3275" s="19" t="n">
        <v>0.2492</v>
      </c>
      <c r="D3275" s="19" t="n">
        <v>1</v>
      </c>
      <c r="E3275" s="20" t="n">
        <f aca="false">Parametres!$B$5*C3275</f>
        <v>74.76</v>
      </c>
      <c r="F3275" s="20" t="n">
        <f aca="false">Parametres!$B$6*D3275</f>
        <v>200</v>
      </c>
      <c r="G3275" s="20" t="n">
        <f aca="false">E3275+F3275</f>
        <v>274.76</v>
      </c>
      <c r="H3275" s="20" t="n">
        <f aca="false">IF(G3275&lt;Parametres!$B$8*Parametres!$B$7,0,MIN(G3275,Parametres!$B$7))</f>
        <v>250</v>
      </c>
      <c r="I3275" s="20" t="n">
        <f aca="false">G3275-H3275</f>
        <v>24.76</v>
      </c>
      <c r="J3275" s="21" t="n">
        <f aca="false">H3275*1000/Parametres!$B$9</f>
        <v>4239.44378497541</v>
      </c>
    </row>
    <row r="3276" customFormat="false" ht="15" hidden="false" customHeight="false" outlineLevel="0" collapsed="false">
      <c r="A3276" s="0" t="n">
        <v>3272</v>
      </c>
      <c r="B3276" s="0" t="n">
        <v>5</v>
      </c>
      <c r="C3276" s="19" t="n">
        <v>0.5104</v>
      </c>
      <c r="D3276" s="19" t="n">
        <v>1</v>
      </c>
      <c r="E3276" s="20" t="n">
        <f aca="false">Parametres!$B$5*C3276</f>
        <v>153.12</v>
      </c>
      <c r="F3276" s="20" t="n">
        <f aca="false">Parametres!$B$6*D3276</f>
        <v>200</v>
      </c>
      <c r="G3276" s="20" t="n">
        <f aca="false">E3276+F3276</f>
        <v>353.12</v>
      </c>
      <c r="H3276" s="20" t="n">
        <f aca="false">IF(G3276&lt;Parametres!$B$8*Parametres!$B$7,0,MIN(G3276,Parametres!$B$7))</f>
        <v>250</v>
      </c>
      <c r="I3276" s="20" t="n">
        <f aca="false">G3276-H3276</f>
        <v>103.12</v>
      </c>
      <c r="J3276" s="21" t="n">
        <f aca="false">H3276*1000/Parametres!$B$9</f>
        <v>4239.44378497541</v>
      </c>
    </row>
    <row r="3277" customFormat="false" ht="15" hidden="false" customHeight="false" outlineLevel="0" collapsed="false">
      <c r="A3277" s="0" t="n">
        <v>3273</v>
      </c>
      <c r="B3277" s="0" t="n">
        <v>5</v>
      </c>
      <c r="C3277" s="19" t="n">
        <v>0.7861</v>
      </c>
      <c r="D3277" s="19" t="n">
        <v>1</v>
      </c>
      <c r="E3277" s="20" t="n">
        <f aca="false">Parametres!$B$5*C3277</f>
        <v>235.83</v>
      </c>
      <c r="F3277" s="20" t="n">
        <f aca="false">Parametres!$B$6*D3277</f>
        <v>200</v>
      </c>
      <c r="G3277" s="20" t="n">
        <f aca="false">E3277+F3277</f>
        <v>435.83</v>
      </c>
      <c r="H3277" s="20" t="n">
        <f aca="false">IF(G3277&lt;Parametres!$B$8*Parametres!$B$7,0,MIN(G3277,Parametres!$B$7))</f>
        <v>250</v>
      </c>
      <c r="I3277" s="20" t="n">
        <f aca="false">G3277-H3277</f>
        <v>185.83</v>
      </c>
      <c r="J3277" s="21" t="n">
        <f aca="false">H3277*1000/Parametres!$B$9</f>
        <v>4239.44378497541</v>
      </c>
    </row>
    <row r="3278" customFormat="false" ht="15" hidden="false" customHeight="false" outlineLevel="0" collapsed="false">
      <c r="A3278" s="0" t="n">
        <v>3274</v>
      </c>
      <c r="B3278" s="0" t="n">
        <v>5</v>
      </c>
      <c r="C3278" s="19" t="n">
        <v>0.9455</v>
      </c>
      <c r="D3278" s="19" t="n">
        <v>1</v>
      </c>
      <c r="E3278" s="20" t="n">
        <f aca="false">Parametres!$B$5*C3278</f>
        <v>283.65</v>
      </c>
      <c r="F3278" s="20" t="n">
        <f aca="false">Parametres!$B$6*D3278</f>
        <v>200</v>
      </c>
      <c r="G3278" s="20" t="n">
        <f aca="false">E3278+F3278</f>
        <v>483.65</v>
      </c>
      <c r="H3278" s="20" t="n">
        <f aca="false">IF(G3278&lt;Parametres!$B$8*Parametres!$B$7,0,MIN(G3278,Parametres!$B$7))</f>
        <v>250</v>
      </c>
      <c r="I3278" s="20" t="n">
        <f aca="false">G3278-H3278</f>
        <v>233.65</v>
      </c>
      <c r="J3278" s="21" t="n">
        <f aca="false">H3278*1000/Parametres!$B$9</f>
        <v>4239.44378497541</v>
      </c>
    </row>
    <row r="3279" customFormat="false" ht="15" hidden="false" customHeight="false" outlineLevel="0" collapsed="false">
      <c r="A3279" s="0" t="n">
        <v>3275</v>
      </c>
      <c r="B3279" s="0" t="n">
        <v>5</v>
      </c>
      <c r="C3279" s="19" t="n">
        <v>1</v>
      </c>
      <c r="D3279" s="19" t="n">
        <v>1</v>
      </c>
      <c r="E3279" s="20" t="n">
        <f aca="false">Parametres!$B$5*C3279</f>
        <v>300</v>
      </c>
      <c r="F3279" s="20" t="n">
        <f aca="false">Parametres!$B$6*D3279</f>
        <v>200</v>
      </c>
      <c r="G3279" s="20" t="n">
        <f aca="false">E3279+F3279</f>
        <v>500</v>
      </c>
      <c r="H3279" s="20" t="n">
        <f aca="false">IF(G3279&lt;Parametres!$B$8*Parametres!$B$7,0,MIN(G3279,Parametres!$B$7))</f>
        <v>250</v>
      </c>
      <c r="I3279" s="20" t="n">
        <f aca="false">G3279-H3279</f>
        <v>250</v>
      </c>
      <c r="J3279" s="21" t="n">
        <f aca="false">H3279*1000/Parametres!$B$9</f>
        <v>4239.44378497541</v>
      </c>
    </row>
    <row r="3280" customFormat="false" ht="15" hidden="false" customHeight="false" outlineLevel="0" collapsed="false">
      <c r="A3280" s="0" t="n">
        <v>3276</v>
      </c>
      <c r="B3280" s="0" t="n">
        <v>5</v>
      </c>
      <c r="C3280" s="19" t="n">
        <v>1</v>
      </c>
      <c r="D3280" s="19" t="n">
        <v>1</v>
      </c>
      <c r="E3280" s="20" t="n">
        <f aca="false">Parametres!$B$5*C3280</f>
        <v>300</v>
      </c>
      <c r="F3280" s="20" t="n">
        <f aca="false">Parametres!$B$6*D3280</f>
        <v>200</v>
      </c>
      <c r="G3280" s="20" t="n">
        <f aca="false">E3280+F3280</f>
        <v>500</v>
      </c>
      <c r="H3280" s="20" t="n">
        <f aca="false">IF(G3280&lt;Parametres!$B$8*Parametres!$B$7,0,MIN(G3280,Parametres!$B$7))</f>
        <v>250</v>
      </c>
      <c r="I3280" s="20" t="n">
        <f aca="false">G3280-H3280</f>
        <v>250</v>
      </c>
      <c r="J3280" s="21" t="n">
        <f aca="false">H3280*1000/Parametres!$B$9</f>
        <v>4239.44378497541</v>
      </c>
    </row>
    <row r="3281" customFormat="false" ht="15" hidden="false" customHeight="false" outlineLevel="0" collapsed="false">
      <c r="A3281" s="0" t="n">
        <v>3277</v>
      </c>
      <c r="B3281" s="0" t="n">
        <v>5</v>
      </c>
      <c r="C3281" s="19" t="n">
        <v>1</v>
      </c>
      <c r="D3281" s="19" t="n">
        <v>1</v>
      </c>
      <c r="E3281" s="20" t="n">
        <f aca="false">Parametres!$B$5*C3281</f>
        <v>300</v>
      </c>
      <c r="F3281" s="20" t="n">
        <f aca="false">Parametres!$B$6*D3281</f>
        <v>200</v>
      </c>
      <c r="G3281" s="20" t="n">
        <f aca="false">E3281+F3281</f>
        <v>500</v>
      </c>
      <c r="H3281" s="20" t="n">
        <f aca="false">IF(G3281&lt;Parametres!$B$8*Parametres!$B$7,0,MIN(G3281,Parametres!$B$7))</f>
        <v>250</v>
      </c>
      <c r="I3281" s="20" t="n">
        <f aca="false">G3281-H3281</f>
        <v>250</v>
      </c>
      <c r="J3281" s="21" t="n">
        <f aca="false">H3281*1000/Parametres!$B$9</f>
        <v>4239.44378497541</v>
      </c>
    </row>
    <row r="3282" customFormat="false" ht="15" hidden="false" customHeight="false" outlineLevel="0" collapsed="false">
      <c r="A3282" s="0" t="n">
        <v>3278</v>
      </c>
      <c r="B3282" s="0" t="n">
        <v>5</v>
      </c>
      <c r="C3282" s="19" t="n">
        <v>1</v>
      </c>
      <c r="D3282" s="19" t="n">
        <v>1</v>
      </c>
      <c r="E3282" s="20" t="n">
        <f aca="false">Parametres!$B$5*C3282</f>
        <v>300</v>
      </c>
      <c r="F3282" s="20" t="n">
        <f aca="false">Parametres!$B$6*D3282</f>
        <v>200</v>
      </c>
      <c r="G3282" s="20" t="n">
        <f aca="false">E3282+F3282</f>
        <v>500</v>
      </c>
      <c r="H3282" s="20" t="n">
        <f aca="false">IF(G3282&lt;Parametres!$B$8*Parametres!$B$7,0,MIN(G3282,Parametres!$B$7))</f>
        <v>250</v>
      </c>
      <c r="I3282" s="20" t="n">
        <f aca="false">G3282-H3282</f>
        <v>250</v>
      </c>
      <c r="J3282" s="21" t="n">
        <f aca="false">H3282*1000/Parametres!$B$9</f>
        <v>4239.44378497541</v>
      </c>
    </row>
    <row r="3283" customFormat="false" ht="15" hidden="false" customHeight="false" outlineLevel="0" collapsed="false">
      <c r="A3283" s="0" t="n">
        <v>3279</v>
      </c>
      <c r="B3283" s="0" t="n">
        <v>5</v>
      </c>
      <c r="C3283" s="19" t="n">
        <v>0.9663</v>
      </c>
      <c r="D3283" s="19" t="n">
        <v>1</v>
      </c>
      <c r="E3283" s="20" t="n">
        <f aca="false">Parametres!$B$5*C3283</f>
        <v>289.89</v>
      </c>
      <c r="F3283" s="20" t="n">
        <f aca="false">Parametres!$B$6*D3283</f>
        <v>200</v>
      </c>
      <c r="G3283" s="20" t="n">
        <f aca="false">E3283+F3283</f>
        <v>489.89</v>
      </c>
      <c r="H3283" s="20" t="n">
        <f aca="false">IF(G3283&lt;Parametres!$B$8*Parametres!$B$7,0,MIN(G3283,Parametres!$B$7))</f>
        <v>250</v>
      </c>
      <c r="I3283" s="20" t="n">
        <f aca="false">G3283-H3283</f>
        <v>239.89</v>
      </c>
      <c r="J3283" s="21" t="n">
        <f aca="false">H3283*1000/Parametres!$B$9</f>
        <v>4239.44378497541</v>
      </c>
    </row>
    <row r="3284" customFormat="false" ht="15" hidden="false" customHeight="false" outlineLevel="0" collapsed="false">
      <c r="A3284" s="0" t="n">
        <v>3280</v>
      </c>
      <c r="B3284" s="0" t="n">
        <v>5</v>
      </c>
      <c r="C3284" s="19" t="n">
        <v>0.7357</v>
      </c>
      <c r="D3284" s="19" t="n">
        <v>1</v>
      </c>
      <c r="E3284" s="20" t="n">
        <f aca="false">Parametres!$B$5*C3284</f>
        <v>220.71</v>
      </c>
      <c r="F3284" s="20" t="n">
        <f aca="false">Parametres!$B$6*D3284</f>
        <v>200</v>
      </c>
      <c r="G3284" s="20" t="n">
        <f aca="false">E3284+F3284</f>
        <v>420.71</v>
      </c>
      <c r="H3284" s="20" t="n">
        <f aca="false">IF(G3284&lt;Parametres!$B$8*Parametres!$B$7,0,MIN(G3284,Parametres!$B$7))</f>
        <v>250</v>
      </c>
      <c r="I3284" s="20" t="n">
        <f aca="false">G3284-H3284</f>
        <v>170.71</v>
      </c>
      <c r="J3284" s="21" t="n">
        <f aca="false">H3284*1000/Parametres!$B$9</f>
        <v>4239.44378497541</v>
      </c>
    </row>
    <row r="3285" customFormat="false" ht="15" hidden="false" customHeight="false" outlineLevel="0" collapsed="false">
      <c r="A3285" s="0" t="n">
        <v>3281</v>
      </c>
      <c r="B3285" s="0" t="n">
        <v>5</v>
      </c>
      <c r="C3285" s="19" t="n">
        <v>0.487</v>
      </c>
      <c r="D3285" s="19" t="n">
        <v>1</v>
      </c>
      <c r="E3285" s="20" t="n">
        <f aca="false">Parametres!$B$5*C3285</f>
        <v>146.1</v>
      </c>
      <c r="F3285" s="20" t="n">
        <f aca="false">Parametres!$B$6*D3285</f>
        <v>200</v>
      </c>
      <c r="G3285" s="20" t="n">
        <f aca="false">E3285+F3285</f>
        <v>346.1</v>
      </c>
      <c r="H3285" s="20" t="n">
        <f aca="false">IF(G3285&lt;Parametres!$B$8*Parametres!$B$7,0,MIN(G3285,Parametres!$B$7))</f>
        <v>250</v>
      </c>
      <c r="I3285" s="20" t="n">
        <f aca="false">G3285-H3285</f>
        <v>96.1</v>
      </c>
      <c r="J3285" s="21" t="n">
        <f aca="false">H3285*1000/Parametres!$B$9</f>
        <v>4239.44378497541</v>
      </c>
    </row>
    <row r="3286" customFormat="false" ht="15" hidden="false" customHeight="false" outlineLevel="0" collapsed="false">
      <c r="A3286" s="0" t="n">
        <v>3282</v>
      </c>
      <c r="B3286" s="0" t="n">
        <v>5</v>
      </c>
      <c r="C3286" s="19" t="n">
        <v>0.247</v>
      </c>
      <c r="D3286" s="19" t="n">
        <v>1</v>
      </c>
      <c r="E3286" s="20" t="n">
        <f aca="false">Parametres!$B$5*C3286</f>
        <v>74.1</v>
      </c>
      <c r="F3286" s="20" t="n">
        <f aca="false">Parametres!$B$6*D3286</f>
        <v>200</v>
      </c>
      <c r="G3286" s="20" t="n">
        <f aca="false">E3286+F3286</f>
        <v>274.1</v>
      </c>
      <c r="H3286" s="20" t="n">
        <f aca="false">IF(G3286&lt;Parametres!$B$8*Parametres!$B$7,0,MIN(G3286,Parametres!$B$7))</f>
        <v>250</v>
      </c>
      <c r="I3286" s="20" t="n">
        <f aca="false">G3286-H3286</f>
        <v>24.1</v>
      </c>
      <c r="J3286" s="21" t="n">
        <f aca="false">H3286*1000/Parametres!$B$9</f>
        <v>4239.44378497541</v>
      </c>
    </row>
    <row r="3287" customFormat="false" ht="15" hidden="false" customHeight="false" outlineLevel="0" collapsed="false">
      <c r="A3287" s="0" t="n">
        <v>3283</v>
      </c>
      <c r="B3287" s="0" t="n">
        <v>5</v>
      </c>
      <c r="C3287" s="19" t="n">
        <v>0.0323</v>
      </c>
      <c r="D3287" s="19" t="n">
        <v>1</v>
      </c>
      <c r="E3287" s="20" t="n">
        <f aca="false">Parametres!$B$5*C3287</f>
        <v>9.69</v>
      </c>
      <c r="F3287" s="20" t="n">
        <f aca="false">Parametres!$B$6*D3287</f>
        <v>200</v>
      </c>
      <c r="G3287" s="20" t="n">
        <f aca="false">E3287+F3287</f>
        <v>209.69</v>
      </c>
      <c r="H3287" s="20" t="n">
        <f aca="false">IF(G3287&lt;Parametres!$B$8*Parametres!$B$7,0,MIN(G3287,Parametres!$B$7))</f>
        <v>209.69</v>
      </c>
      <c r="I3287" s="20" t="n">
        <f aca="false">G3287-H3287</f>
        <v>0</v>
      </c>
      <c r="J3287" s="21" t="n">
        <f aca="false">H3287*1000/Parametres!$B$9</f>
        <v>3555.87586908598</v>
      </c>
    </row>
    <row r="3288" customFormat="false" ht="15" hidden="false" customHeight="false" outlineLevel="0" collapsed="false">
      <c r="A3288" s="0" t="n">
        <v>3284</v>
      </c>
      <c r="B3288" s="0" t="n">
        <v>5</v>
      </c>
      <c r="C3288" s="19" t="n">
        <v>0</v>
      </c>
      <c r="D3288" s="19" t="n">
        <v>1</v>
      </c>
      <c r="E3288" s="20" t="n">
        <f aca="false">Parametres!$B$5*C3288</f>
        <v>0</v>
      </c>
      <c r="F3288" s="20" t="n">
        <f aca="false">Parametres!$B$6*D3288</f>
        <v>200</v>
      </c>
      <c r="G3288" s="20" t="n">
        <f aca="false">E3288+F3288</f>
        <v>200</v>
      </c>
      <c r="H3288" s="20" t="n">
        <f aca="false">IF(G3288&lt;Parametres!$B$8*Parametres!$B$7,0,MIN(G3288,Parametres!$B$7))</f>
        <v>200</v>
      </c>
      <c r="I3288" s="20" t="n">
        <f aca="false">G3288-H3288</f>
        <v>0</v>
      </c>
      <c r="J3288" s="21" t="n">
        <f aca="false">H3288*1000/Parametres!$B$9</f>
        <v>3391.55502798033</v>
      </c>
    </row>
    <row r="3289" customFormat="false" ht="15" hidden="false" customHeight="false" outlineLevel="0" collapsed="false">
      <c r="A3289" s="0" t="n">
        <v>3285</v>
      </c>
      <c r="B3289" s="0" t="n">
        <v>5</v>
      </c>
      <c r="C3289" s="19" t="n">
        <v>0</v>
      </c>
      <c r="D3289" s="19" t="n">
        <v>1</v>
      </c>
      <c r="E3289" s="20" t="n">
        <f aca="false">Parametres!$B$5*C3289</f>
        <v>0</v>
      </c>
      <c r="F3289" s="20" t="n">
        <f aca="false">Parametres!$B$6*D3289</f>
        <v>200</v>
      </c>
      <c r="G3289" s="20" t="n">
        <f aca="false">E3289+F3289</f>
        <v>200</v>
      </c>
      <c r="H3289" s="20" t="n">
        <f aca="false">IF(G3289&lt;Parametres!$B$8*Parametres!$B$7,0,MIN(G3289,Parametres!$B$7))</f>
        <v>200</v>
      </c>
      <c r="I3289" s="20" t="n">
        <f aca="false">G3289-H3289</f>
        <v>0</v>
      </c>
      <c r="J3289" s="21" t="n">
        <f aca="false">H3289*1000/Parametres!$B$9</f>
        <v>3391.55502798033</v>
      </c>
    </row>
    <row r="3290" customFormat="false" ht="15" hidden="false" customHeight="false" outlineLevel="0" collapsed="false">
      <c r="A3290" s="0" t="n">
        <v>3286</v>
      </c>
      <c r="B3290" s="0" t="n">
        <v>5</v>
      </c>
      <c r="C3290" s="19" t="n">
        <v>0</v>
      </c>
      <c r="D3290" s="19" t="n">
        <v>1</v>
      </c>
      <c r="E3290" s="20" t="n">
        <f aca="false">Parametres!$B$5*C3290</f>
        <v>0</v>
      </c>
      <c r="F3290" s="20" t="n">
        <f aca="false">Parametres!$B$6*D3290</f>
        <v>200</v>
      </c>
      <c r="G3290" s="20" t="n">
        <f aca="false">E3290+F3290</f>
        <v>200</v>
      </c>
      <c r="H3290" s="20" t="n">
        <f aca="false">IF(G3290&lt;Parametres!$B$8*Parametres!$B$7,0,MIN(G3290,Parametres!$B$7))</f>
        <v>200</v>
      </c>
      <c r="I3290" s="20" t="n">
        <f aca="false">G3290-H3290</f>
        <v>0</v>
      </c>
      <c r="J3290" s="21" t="n">
        <f aca="false">H3290*1000/Parametres!$B$9</f>
        <v>3391.55502798033</v>
      </c>
    </row>
    <row r="3291" customFormat="false" ht="15" hidden="false" customHeight="false" outlineLevel="0" collapsed="false">
      <c r="A3291" s="0" t="n">
        <v>3287</v>
      </c>
      <c r="B3291" s="0" t="n">
        <v>5</v>
      </c>
      <c r="C3291" s="19" t="n">
        <v>0</v>
      </c>
      <c r="D3291" s="19" t="n">
        <v>1</v>
      </c>
      <c r="E3291" s="20" t="n">
        <f aca="false">Parametres!$B$5*C3291</f>
        <v>0</v>
      </c>
      <c r="F3291" s="20" t="n">
        <f aca="false">Parametres!$B$6*D3291</f>
        <v>200</v>
      </c>
      <c r="G3291" s="20" t="n">
        <f aca="false">E3291+F3291</f>
        <v>200</v>
      </c>
      <c r="H3291" s="20" t="n">
        <f aca="false">IF(G3291&lt;Parametres!$B$8*Parametres!$B$7,0,MIN(G3291,Parametres!$B$7))</f>
        <v>200</v>
      </c>
      <c r="I3291" s="20" t="n">
        <f aca="false">G3291-H3291</f>
        <v>0</v>
      </c>
      <c r="J3291" s="21" t="n">
        <f aca="false">H3291*1000/Parametres!$B$9</f>
        <v>3391.55502798033</v>
      </c>
    </row>
    <row r="3292" customFormat="false" ht="15" hidden="false" customHeight="false" outlineLevel="0" collapsed="false">
      <c r="A3292" s="0" t="n">
        <v>3288</v>
      </c>
      <c r="B3292" s="0" t="n">
        <v>5</v>
      </c>
      <c r="C3292" s="19" t="n">
        <v>0</v>
      </c>
      <c r="D3292" s="19" t="n">
        <v>1</v>
      </c>
      <c r="E3292" s="20" t="n">
        <f aca="false">Parametres!$B$5*C3292</f>
        <v>0</v>
      </c>
      <c r="F3292" s="20" t="n">
        <f aca="false">Parametres!$B$6*D3292</f>
        <v>200</v>
      </c>
      <c r="G3292" s="20" t="n">
        <f aca="false">E3292+F3292</f>
        <v>200</v>
      </c>
      <c r="H3292" s="20" t="n">
        <f aca="false">IF(G3292&lt;Parametres!$B$8*Parametres!$B$7,0,MIN(G3292,Parametres!$B$7))</f>
        <v>200</v>
      </c>
      <c r="I3292" s="20" t="n">
        <f aca="false">G3292-H3292</f>
        <v>0</v>
      </c>
      <c r="J3292" s="21" t="n">
        <f aca="false">H3292*1000/Parametres!$B$9</f>
        <v>3391.55502798033</v>
      </c>
    </row>
    <row r="3293" customFormat="false" ht="15" hidden="false" customHeight="false" outlineLevel="0" collapsed="false">
      <c r="A3293" s="0" t="n">
        <v>3289</v>
      </c>
      <c r="B3293" s="0" t="n">
        <v>5</v>
      </c>
      <c r="C3293" s="19" t="n">
        <v>0</v>
      </c>
      <c r="D3293" s="19" t="n">
        <v>1</v>
      </c>
      <c r="E3293" s="20" t="n">
        <f aca="false">Parametres!$B$5*C3293</f>
        <v>0</v>
      </c>
      <c r="F3293" s="20" t="n">
        <f aca="false">Parametres!$B$6*D3293</f>
        <v>200</v>
      </c>
      <c r="G3293" s="20" t="n">
        <f aca="false">E3293+F3293</f>
        <v>200</v>
      </c>
      <c r="H3293" s="20" t="n">
        <f aca="false">IF(G3293&lt;Parametres!$B$8*Parametres!$B$7,0,MIN(G3293,Parametres!$B$7))</f>
        <v>200</v>
      </c>
      <c r="I3293" s="20" t="n">
        <f aca="false">G3293-H3293</f>
        <v>0</v>
      </c>
      <c r="J3293" s="21" t="n">
        <f aca="false">H3293*1000/Parametres!$B$9</f>
        <v>3391.55502798033</v>
      </c>
    </row>
    <row r="3294" customFormat="false" ht="15" hidden="false" customHeight="false" outlineLevel="0" collapsed="false">
      <c r="A3294" s="0" t="n">
        <v>3290</v>
      </c>
      <c r="B3294" s="0" t="n">
        <v>5</v>
      </c>
      <c r="C3294" s="19" t="n">
        <v>0</v>
      </c>
      <c r="D3294" s="19" t="n">
        <v>1</v>
      </c>
      <c r="E3294" s="20" t="n">
        <f aca="false">Parametres!$B$5*C3294</f>
        <v>0</v>
      </c>
      <c r="F3294" s="20" t="n">
        <f aca="false">Parametres!$B$6*D3294</f>
        <v>200</v>
      </c>
      <c r="G3294" s="20" t="n">
        <f aca="false">E3294+F3294</f>
        <v>200</v>
      </c>
      <c r="H3294" s="20" t="n">
        <f aca="false">IF(G3294&lt;Parametres!$B$8*Parametres!$B$7,0,MIN(G3294,Parametres!$B$7))</f>
        <v>200</v>
      </c>
      <c r="I3294" s="20" t="n">
        <f aca="false">G3294-H3294</f>
        <v>0</v>
      </c>
      <c r="J3294" s="21" t="n">
        <f aca="false">H3294*1000/Parametres!$B$9</f>
        <v>3391.55502798033</v>
      </c>
    </row>
    <row r="3295" customFormat="false" ht="15" hidden="false" customHeight="false" outlineLevel="0" collapsed="false">
      <c r="A3295" s="0" t="n">
        <v>3291</v>
      </c>
      <c r="B3295" s="0" t="n">
        <v>5</v>
      </c>
      <c r="C3295" s="19" t="n">
        <v>0</v>
      </c>
      <c r="D3295" s="19" t="n">
        <v>1</v>
      </c>
      <c r="E3295" s="20" t="n">
        <f aca="false">Parametres!$B$5*C3295</f>
        <v>0</v>
      </c>
      <c r="F3295" s="20" t="n">
        <f aca="false">Parametres!$B$6*D3295</f>
        <v>200</v>
      </c>
      <c r="G3295" s="20" t="n">
        <f aca="false">E3295+F3295</f>
        <v>200</v>
      </c>
      <c r="H3295" s="20" t="n">
        <f aca="false">IF(G3295&lt;Parametres!$B$8*Parametres!$B$7,0,MIN(G3295,Parametres!$B$7))</f>
        <v>200</v>
      </c>
      <c r="I3295" s="20" t="n">
        <f aca="false">G3295-H3295</f>
        <v>0</v>
      </c>
      <c r="J3295" s="21" t="n">
        <f aca="false">H3295*1000/Parametres!$B$9</f>
        <v>3391.55502798033</v>
      </c>
    </row>
    <row r="3296" customFormat="false" ht="15" hidden="false" customHeight="false" outlineLevel="0" collapsed="false">
      <c r="A3296" s="0" t="n">
        <v>3292</v>
      </c>
      <c r="B3296" s="0" t="n">
        <v>5</v>
      </c>
      <c r="C3296" s="19" t="n">
        <v>0</v>
      </c>
      <c r="D3296" s="19" t="n">
        <v>1</v>
      </c>
      <c r="E3296" s="20" t="n">
        <f aca="false">Parametres!$B$5*C3296</f>
        <v>0</v>
      </c>
      <c r="F3296" s="20" t="n">
        <f aca="false">Parametres!$B$6*D3296</f>
        <v>200</v>
      </c>
      <c r="G3296" s="20" t="n">
        <f aca="false">E3296+F3296</f>
        <v>200</v>
      </c>
      <c r="H3296" s="20" t="n">
        <f aca="false">IF(G3296&lt;Parametres!$B$8*Parametres!$B$7,0,MIN(G3296,Parametres!$B$7))</f>
        <v>200</v>
      </c>
      <c r="I3296" s="20" t="n">
        <f aca="false">G3296-H3296</f>
        <v>0</v>
      </c>
      <c r="J3296" s="21" t="n">
        <f aca="false">H3296*1000/Parametres!$B$9</f>
        <v>3391.55502798033</v>
      </c>
    </row>
    <row r="3297" customFormat="false" ht="15" hidden="false" customHeight="false" outlineLevel="0" collapsed="false">
      <c r="A3297" s="0" t="n">
        <v>3293</v>
      </c>
      <c r="B3297" s="0" t="n">
        <v>5</v>
      </c>
      <c r="C3297" s="19" t="n">
        <v>0</v>
      </c>
      <c r="D3297" s="19" t="n">
        <v>1</v>
      </c>
      <c r="E3297" s="20" t="n">
        <f aca="false">Parametres!$B$5*C3297</f>
        <v>0</v>
      </c>
      <c r="F3297" s="20" t="n">
        <f aca="false">Parametres!$B$6*D3297</f>
        <v>200</v>
      </c>
      <c r="G3297" s="20" t="n">
        <f aca="false">E3297+F3297</f>
        <v>200</v>
      </c>
      <c r="H3297" s="20" t="n">
        <f aca="false">IF(G3297&lt;Parametres!$B$8*Parametres!$B$7,0,MIN(G3297,Parametres!$B$7))</f>
        <v>200</v>
      </c>
      <c r="I3297" s="20" t="n">
        <f aca="false">G3297-H3297</f>
        <v>0</v>
      </c>
      <c r="J3297" s="21" t="n">
        <f aca="false">H3297*1000/Parametres!$B$9</f>
        <v>3391.55502798033</v>
      </c>
    </row>
    <row r="3298" customFormat="false" ht="15" hidden="false" customHeight="false" outlineLevel="0" collapsed="false">
      <c r="A3298" s="0" t="n">
        <v>3294</v>
      </c>
      <c r="B3298" s="0" t="n">
        <v>5</v>
      </c>
      <c r="C3298" s="19" t="n">
        <v>0.0318</v>
      </c>
      <c r="D3298" s="19" t="n">
        <v>1</v>
      </c>
      <c r="E3298" s="20" t="n">
        <f aca="false">Parametres!$B$5*C3298</f>
        <v>9.54</v>
      </c>
      <c r="F3298" s="20" t="n">
        <f aca="false">Parametres!$B$6*D3298</f>
        <v>200</v>
      </c>
      <c r="G3298" s="20" t="n">
        <f aca="false">E3298+F3298</f>
        <v>209.54</v>
      </c>
      <c r="H3298" s="20" t="n">
        <f aca="false">IF(G3298&lt;Parametres!$B$8*Parametres!$B$7,0,MIN(G3298,Parametres!$B$7))</f>
        <v>209.54</v>
      </c>
      <c r="I3298" s="20" t="n">
        <f aca="false">G3298-H3298</f>
        <v>0</v>
      </c>
      <c r="J3298" s="21" t="n">
        <f aca="false">H3298*1000/Parametres!$B$9</f>
        <v>3553.33220281499</v>
      </c>
    </row>
    <row r="3299" customFormat="false" ht="15" hidden="false" customHeight="false" outlineLevel="0" collapsed="false">
      <c r="A3299" s="0" t="n">
        <v>3295</v>
      </c>
      <c r="B3299" s="0" t="n">
        <v>5</v>
      </c>
      <c r="C3299" s="19" t="n">
        <v>0.2371</v>
      </c>
      <c r="D3299" s="19" t="n">
        <v>1</v>
      </c>
      <c r="E3299" s="20" t="n">
        <f aca="false">Parametres!$B$5*C3299</f>
        <v>71.13</v>
      </c>
      <c r="F3299" s="20" t="n">
        <f aca="false">Parametres!$B$6*D3299</f>
        <v>200</v>
      </c>
      <c r="G3299" s="20" t="n">
        <f aca="false">E3299+F3299</f>
        <v>271.13</v>
      </c>
      <c r="H3299" s="20" t="n">
        <f aca="false">IF(G3299&lt;Parametres!$B$8*Parametres!$B$7,0,MIN(G3299,Parametres!$B$7))</f>
        <v>250</v>
      </c>
      <c r="I3299" s="20" t="n">
        <f aca="false">G3299-H3299</f>
        <v>21.13</v>
      </c>
      <c r="J3299" s="21" t="n">
        <f aca="false">H3299*1000/Parametres!$B$9</f>
        <v>4239.44378497541</v>
      </c>
    </row>
    <row r="3300" customFormat="false" ht="15" hidden="false" customHeight="false" outlineLevel="0" collapsed="false">
      <c r="A3300" s="0" t="n">
        <v>3296</v>
      </c>
      <c r="B3300" s="0" t="n">
        <v>5</v>
      </c>
      <c r="C3300" s="19" t="n">
        <v>0.4809</v>
      </c>
      <c r="D3300" s="19" t="n">
        <v>1</v>
      </c>
      <c r="E3300" s="20" t="n">
        <f aca="false">Parametres!$B$5*C3300</f>
        <v>144.27</v>
      </c>
      <c r="F3300" s="20" t="n">
        <f aca="false">Parametres!$B$6*D3300</f>
        <v>200</v>
      </c>
      <c r="G3300" s="20" t="n">
        <f aca="false">E3300+F3300</f>
        <v>344.27</v>
      </c>
      <c r="H3300" s="20" t="n">
        <f aca="false">IF(G3300&lt;Parametres!$B$8*Parametres!$B$7,0,MIN(G3300,Parametres!$B$7))</f>
        <v>250</v>
      </c>
      <c r="I3300" s="20" t="n">
        <f aca="false">G3300-H3300</f>
        <v>94.27</v>
      </c>
      <c r="J3300" s="21" t="n">
        <f aca="false">H3300*1000/Parametres!$B$9</f>
        <v>4239.44378497541</v>
      </c>
    </row>
    <row r="3301" customFormat="false" ht="15" hidden="false" customHeight="false" outlineLevel="0" collapsed="false">
      <c r="A3301" s="0" t="n">
        <v>3297</v>
      </c>
      <c r="B3301" s="0" t="n">
        <v>5</v>
      </c>
      <c r="C3301" s="19" t="n">
        <v>0.6423</v>
      </c>
      <c r="D3301" s="19" t="n">
        <v>1</v>
      </c>
      <c r="E3301" s="20" t="n">
        <f aca="false">Parametres!$B$5*C3301</f>
        <v>192.69</v>
      </c>
      <c r="F3301" s="20" t="n">
        <f aca="false">Parametres!$B$6*D3301</f>
        <v>200</v>
      </c>
      <c r="G3301" s="20" t="n">
        <f aca="false">E3301+F3301</f>
        <v>392.69</v>
      </c>
      <c r="H3301" s="20" t="n">
        <f aca="false">IF(G3301&lt;Parametres!$B$8*Parametres!$B$7,0,MIN(G3301,Parametres!$B$7))</f>
        <v>250</v>
      </c>
      <c r="I3301" s="20" t="n">
        <f aca="false">G3301-H3301</f>
        <v>142.69</v>
      </c>
      <c r="J3301" s="21" t="n">
        <f aca="false">H3301*1000/Parametres!$B$9</f>
        <v>4239.44378497541</v>
      </c>
    </row>
    <row r="3302" customFormat="false" ht="15" hidden="false" customHeight="false" outlineLevel="0" collapsed="false">
      <c r="A3302" s="0" t="n">
        <v>3298</v>
      </c>
      <c r="B3302" s="0" t="n">
        <v>5</v>
      </c>
      <c r="C3302" s="19" t="n">
        <v>0.8371</v>
      </c>
      <c r="D3302" s="19" t="n">
        <v>1</v>
      </c>
      <c r="E3302" s="20" t="n">
        <f aca="false">Parametres!$B$5*C3302</f>
        <v>251.13</v>
      </c>
      <c r="F3302" s="20" t="n">
        <f aca="false">Parametres!$B$6*D3302</f>
        <v>200</v>
      </c>
      <c r="G3302" s="20" t="n">
        <f aca="false">E3302+F3302</f>
        <v>451.13</v>
      </c>
      <c r="H3302" s="20" t="n">
        <f aca="false">IF(G3302&lt;Parametres!$B$8*Parametres!$B$7,0,MIN(G3302,Parametres!$B$7))</f>
        <v>250</v>
      </c>
      <c r="I3302" s="20" t="n">
        <f aca="false">G3302-H3302</f>
        <v>201.13</v>
      </c>
      <c r="J3302" s="21" t="n">
        <f aca="false">H3302*1000/Parametres!$B$9</f>
        <v>4239.44378497541</v>
      </c>
    </row>
    <row r="3303" customFormat="false" ht="15" hidden="false" customHeight="false" outlineLevel="0" collapsed="false">
      <c r="A3303" s="0" t="n">
        <v>3299</v>
      </c>
      <c r="B3303" s="0" t="n">
        <v>5</v>
      </c>
      <c r="C3303" s="19" t="n">
        <v>1</v>
      </c>
      <c r="D3303" s="19" t="n">
        <v>1</v>
      </c>
      <c r="E3303" s="20" t="n">
        <f aca="false">Parametres!$B$5*C3303</f>
        <v>300</v>
      </c>
      <c r="F3303" s="20" t="n">
        <f aca="false">Parametres!$B$6*D3303</f>
        <v>200</v>
      </c>
      <c r="G3303" s="20" t="n">
        <f aca="false">E3303+F3303</f>
        <v>500</v>
      </c>
      <c r="H3303" s="20" t="n">
        <f aca="false">IF(G3303&lt;Parametres!$B$8*Parametres!$B$7,0,MIN(G3303,Parametres!$B$7))</f>
        <v>250</v>
      </c>
      <c r="I3303" s="20" t="n">
        <f aca="false">G3303-H3303</f>
        <v>250</v>
      </c>
      <c r="J3303" s="21" t="n">
        <f aca="false">H3303*1000/Parametres!$B$9</f>
        <v>4239.44378497541</v>
      </c>
    </row>
    <row r="3304" customFormat="false" ht="15" hidden="false" customHeight="false" outlineLevel="0" collapsed="false">
      <c r="A3304" s="0" t="n">
        <v>3300</v>
      </c>
      <c r="B3304" s="0" t="n">
        <v>5</v>
      </c>
      <c r="C3304" s="19" t="n">
        <v>1</v>
      </c>
      <c r="D3304" s="19" t="n">
        <v>1</v>
      </c>
      <c r="E3304" s="20" t="n">
        <f aca="false">Parametres!$B$5*C3304</f>
        <v>300</v>
      </c>
      <c r="F3304" s="20" t="n">
        <f aca="false">Parametres!$B$6*D3304</f>
        <v>200</v>
      </c>
      <c r="G3304" s="20" t="n">
        <f aca="false">E3304+F3304</f>
        <v>500</v>
      </c>
      <c r="H3304" s="20" t="n">
        <f aca="false">IF(G3304&lt;Parametres!$B$8*Parametres!$B$7,0,MIN(G3304,Parametres!$B$7))</f>
        <v>250</v>
      </c>
      <c r="I3304" s="20" t="n">
        <f aca="false">G3304-H3304</f>
        <v>250</v>
      </c>
      <c r="J3304" s="21" t="n">
        <f aca="false">H3304*1000/Parametres!$B$9</f>
        <v>4239.44378497541</v>
      </c>
    </row>
    <row r="3305" customFormat="false" ht="15" hidden="false" customHeight="false" outlineLevel="0" collapsed="false">
      <c r="A3305" s="0" t="n">
        <v>3301</v>
      </c>
      <c r="B3305" s="0" t="n">
        <v>5</v>
      </c>
      <c r="C3305" s="19" t="n">
        <v>1</v>
      </c>
      <c r="D3305" s="19" t="n">
        <v>1</v>
      </c>
      <c r="E3305" s="20" t="n">
        <f aca="false">Parametres!$B$5*C3305</f>
        <v>300</v>
      </c>
      <c r="F3305" s="20" t="n">
        <f aca="false">Parametres!$B$6*D3305</f>
        <v>200</v>
      </c>
      <c r="G3305" s="20" t="n">
        <f aca="false">E3305+F3305</f>
        <v>500</v>
      </c>
      <c r="H3305" s="20" t="n">
        <f aca="false">IF(G3305&lt;Parametres!$B$8*Parametres!$B$7,0,MIN(G3305,Parametres!$B$7))</f>
        <v>250</v>
      </c>
      <c r="I3305" s="20" t="n">
        <f aca="false">G3305-H3305</f>
        <v>250</v>
      </c>
      <c r="J3305" s="21" t="n">
        <f aca="false">H3305*1000/Parametres!$B$9</f>
        <v>4239.44378497541</v>
      </c>
    </row>
    <row r="3306" customFormat="false" ht="15" hidden="false" customHeight="false" outlineLevel="0" collapsed="false">
      <c r="A3306" s="0" t="n">
        <v>3302</v>
      </c>
      <c r="B3306" s="0" t="n">
        <v>5</v>
      </c>
      <c r="C3306" s="19" t="n">
        <v>0.974</v>
      </c>
      <c r="D3306" s="19" t="n">
        <v>1</v>
      </c>
      <c r="E3306" s="20" t="n">
        <f aca="false">Parametres!$B$5*C3306</f>
        <v>292.2</v>
      </c>
      <c r="F3306" s="20" t="n">
        <f aca="false">Parametres!$B$6*D3306</f>
        <v>200</v>
      </c>
      <c r="G3306" s="20" t="n">
        <f aca="false">E3306+F3306</f>
        <v>492.2</v>
      </c>
      <c r="H3306" s="20" t="n">
        <f aca="false">IF(G3306&lt;Parametres!$B$8*Parametres!$B$7,0,MIN(G3306,Parametres!$B$7))</f>
        <v>250</v>
      </c>
      <c r="I3306" s="20" t="n">
        <f aca="false">G3306-H3306</f>
        <v>242.2</v>
      </c>
      <c r="J3306" s="21" t="n">
        <f aca="false">H3306*1000/Parametres!$B$9</f>
        <v>4239.44378497541</v>
      </c>
    </row>
    <row r="3307" customFormat="false" ht="15" hidden="false" customHeight="false" outlineLevel="0" collapsed="false">
      <c r="A3307" s="0" t="n">
        <v>3303</v>
      </c>
      <c r="B3307" s="0" t="n">
        <v>5</v>
      </c>
      <c r="C3307" s="19" t="n">
        <v>0.8502</v>
      </c>
      <c r="D3307" s="19" t="n">
        <v>1</v>
      </c>
      <c r="E3307" s="20" t="n">
        <f aca="false">Parametres!$B$5*C3307</f>
        <v>255.06</v>
      </c>
      <c r="F3307" s="20" t="n">
        <f aca="false">Parametres!$B$6*D3307</f>
        <v>200</v>
      </c>
      <c r="G3307" s="20" t="n">
        <f aca="false">E3307+F3307</f>
        <v>455.06</v>
      </c>
      <c r="H3307" s="20" t="n">
        <f aca="false">IF(G3307&lt;Parametres!$B$8*Parametres!$B$7,0,MIN(G3307,Parametres!$B$7))</f>
        <v>250</v>
      </c>
      <c r="I3307" s="20" t="n">
        <f aca="false">G3307-H3307</f>
        <v>205.06</v>
      </c>
      <c r="J3307" s="21" t="n">
        <f aca="false">H3307*1000/Parametres!$B$9</f>
        <v>4239.44378497541</v>
      </c>
    </row>
    <row r="3308" customFormat="false" ht="15" hidden="false" customHeight="false" outlineLevel="0" collapsed="false">
      <c r="A3308" s="0" t="n">
        <v>3304</v>
      </c>
      <c r="B3308" s="0" t="n">
        <v>5</v>
      </c>
      <c r="C3308" s="19" t="n">
        <v>0.6892</v>
      </c>
      <c r="D3308" s="19" t="n">
        <v>1</v>
      </c>
      <c r="E3308" s="20" t="n">
        <f aca="false">Parametres!$B$5*C3308</f>
        <v>206.76</v>
      </c>
      <c r="F3308" s="20" t="n">
        <f aca="false">Parametres!$B$6*D3308</f>
        <v>200</v>
      </c>
      <c r="G3308" s="20" t="n">
        <f aca="false">E3308+F3308</f>
        <v>406.76</v>
      </c>
      <c r="H3308" s="20" t="n">
        <f aca="false">IF(G3308&lt;Parametres!$B$8*Parametres!$B$7,0,MIN(G3308,Parametres!$B$7))</f>
        <v>250</v>
      </c>
      <c r="I3308" s="20" t="n">
        <f aca="false">G3308-H3308</f>
        <v>156.76</v>
      </c>
      <c r="J3308" s="21" t="n">
        <f aca="false">H3308*1000/Parametres!$B$9</f>
        <v>4239.44378497541</v>
      </c>
    </row>
    <row r="3309" customFormat="false" ht="15" hidden="false" customHeight="false" outlineLevel="0" collapsed="false">
      <c r="A3309" s="0" t="n">
        <v>3305</v>
      </c>
      <c r="B3309" s="0" t="n">
        <v>5</v>
      </c>
      <c r="C3309" s="19" t="n">
        <v>0.4909</v>
      </c>
      <c r="D3309" s="19" t="n">
        <v>1</v>
      </c>
      <c r="E3309" s="20" t="n">
        <f aca="false">Parametres!$B$5*C3309</f>
        <v>147.27</v>
      </c>
      <c r="F3309" s="20" t="n">
        <f aca="false">Parametres!$B$6*D3309</f>
        <v>200</v>
      </c>
      <c r="G3309" s="20" t="n">
        <f aca="false">E3309+F3309</f>
        <v>347.27</v>
      </c>
      <c r="H3309" s="20" t="n">
        <f aca="false">IF(G3309&lt;Parametres!$B$8*Parametres!$B$7,0,MIN(G3309,Parametres!$B$7))</f>
        <v>250</v>
      </c>
      <c r="I3309" s="20" t="n">
        <f aca="false">G3309-H3309</f>
        <v>97.27</v>
      </c>
      <c r="J3309" s="21" t="n">
        <f aca="false">H3309*1000/Parametres!$B$9</f>
        <v>4239.44378497541</v>
      </c>
    </row>
    <row r="3310" customFormat="false" ht="15" hidden="false" customHeight="false" outlineLevel="0" collapsed="false">
      <c r="A3310" s="0" t="n">
        <v>3306</v>
      </c>
      <c r="B3310" s="0" t="n">
        <v>5</v>
      </c>
      <c r="C3310" s="19" t="n">
        <v>0.2355</v>
      </c>
      <c r="D3310" s="19" t="n">
        <v>1</v>
      </c>
      <c r="E3310" s="20" t="n">
        <f aca="false">Parametres!$B$5*C3310</f>
        <v>70.65</v>
      </c>
      <c r="F3310" s="20" t="n">
        <f aca="false">Parametres!$B$6*D3310</f>
        <v>200</v>
      </c>
      <c r="G3310" s="20" t="n">
        <f aca="false">E3310+F3310</f>
        <v>270.65</v>
      </c>
      <c r="H3310" s="20" t="n">
        <f aca="false">IF(G3310&lt;Parametres!$B$8*Parametres!$B$7,0,MIN(G3310,Parametres!$B$7))</f>
        <v>250</v>
      </c>
      <c r="I3310" s="20" t="n">
        <f aca="false">G3310-H3310</f>
        <v>20.65</v>
      </c>
      <c r="J3310" s="21" t="n">
        <f aca="false">H3310*1000/Parametres!$B$9</f>
        <v>4239.44378497541</v>
      </c>
    </row>
    <row r="3311" customFormat="false" ht="15" hidden="false" customHeight="false" outlineLevel="0" collapsed="false">
      <c r="A3311" s="0" t="n">
        <v>3307</v>
      </c>
      <c r="B3311" s="0" t="n">
        <v>5</v>
      </c>
      <c r="C3311" s="19" t="n">
        <v>0.0308</v>
      </c>
      <c r="D3311" s="19" t="n">
        <v>1</v>
      </c>
      <c r="E3311" s="20" t="n">
        <f aca="false">Parametres!$B$5*C3311</f>
        <v>9.24</v>
      </c>
      <c r="F3311" s="20" t="n">
        <f aca="false">Parametres!$B$6*D3311</f>
        <v>200</v>
      </c>
      <c r="G3311" s="20" t="n">
        <f aca="false">E3311+F3311</f>
        <v>209.24</v>
      </c>
      <c r="H3311" s="20" t="n">
        <f aca="false">IF(G3311&lt;Parametres!$B$8*Parametres!$B$7,0,MIN(G3311,Parametres!$B$7))</f>
        <v>209.24</v>
      </c>
      <c r="I3311" s="20" t="n">
        <f aca="false">G3311-H3311</f>
        <v>0</v>
      </c>
      <c r="J3311" s="21" t="n">
        <f aca="false">H3311*1000/Parametres!$B$9</f>
        <v>3548.24487027302</v>
      </c>
    </row>
    <row r="3312" customFormat="false" ht="15" hidden="false" customHeight="false" outlineLevel="0" collapsed="false">
      <c r="A3312" s="0" t="n">
        <v>3308</v>
      </c>
      <c r="B3312" s="0" t="n">
        <v>5</v>
      </c>
      <c r="C3312" s="19" t="n">
        <v>0</v>
      </c>
      <c r="D3312" s="19" t="n">
        <v>1</v>
      </c>
      <c r="E3312" s="20" t="n">
        <f aca="false">Parametres!$B$5*C3312</f>
        <v>0</v>
      </c>
      <c r="F3312" s="20" t="n">
        <f aca="false">Parametres!$B$6*D3312</f>
        <v>200</v>
      </c>
      <c r="G3312" s="20" t="n">
        <f aca="false">E3312+F3312</f>
        <v>200</v>
      </c>
      <c r="H3312" s="20" t="n">
        <f aca="false">IF(G3312&lt;Parametres!$B$8*Parametres!$B$7,0,MIN(G3312,Parametres!$B$7))</f>
        <v>200</v>
      </c>
      <c r="I3312" s="20" t="n">
        <f aca="false">G3312-H3312</f>
        <v>0</v>
      </c>
      <c r="J3312" s="21" t="n">
        <f aca="false">H3312*1000/Parametres!$B$9</f>
        <v>3391.55502798033</v>
      </c>
    </row>
    <row r="3313" customFormat="false" ht="15" hidden="false" customHeight="false" outlineLevel="0" collapsed="false">
      <c r="A3313" s="0" t="n">
        <v>3309</v>
      </c>
      <c r="B3313" s="0" t="n">
        <v>5</v>
      </c>
      <c r="C3313" s="19" t="n">
        <v>0</v>
      </c>
      <c r="D3313" s="19" t="n">
        <v>1</v>
      </c>
      <c r="E3313" s="20" t="n">
        <f aca="false">Parametres!$B$5*C3313</f>
        <v>0</v>
      </c>
      <c r="F3313" s="20" t="n">
        <f aca="false">Parametres!$B$6*D3313</f>
        <v>200</v>
      </c>
      <c r="G3313" s="20" t="n">
        <f aca="false">E3313+F3313</f>
        <v>200</v>
      </c>
      <c r="H3313" s="20" t="n">
        <f aca="false">IF(G3313&lt;Parametres!$B$8*Parametres!$B$7,0,MIN(G3313,Parametres!$B$7))</f>
        <v>200</v>
      </c>
      <c r="I3313" s="20" t="n">
        <f aca="false">G3313-H3313</f>
        <v>0</v>
      </c>
      <c r="J3313" s="21" t="n">
        <f aca="false">H3313*1000/Parametres!$B$9</f>
        <v>3391.55502798033</v>
      </c>
    </row>
    <row r="3314" customFormat="false" ht="15" hidden="false" customHeight="false" outlineLevel="0" collapsed="false">
      <c r="A3314" s="0" t="n">
        <v>3310</v>
      </c>
      <c r="B3314" s="0" t="n">
        <v>5</v>
      </c>
      <c r="C3314" s="19" t="n">
        <v>0</v>
      </c>
      <c r="D3314" s="19" t="n">
        <v>1</v>
      </c>
      <c r="E3314" s="20" t="n">
        <f aca="false">Parametres!$B$5*C3314</f>
        <v>0</v>
      </c>
      <c r="F3314" s="20" t="n">
        <f aca="false">Parametres!$B$6*D3314</f>
        <v>200</v>
      </c>
      <c r="G3314" s="20" t="n">
        <f aca="false">E3314+F3314</f>
        <v>200</v>
      </c>
      <c r="H3314" s="20" t="n">
        <f aca="false">IF(G3314&lt;Parametres!$B$8*Parametres!$B$7,0,MIN(G3314,Parametres!$B$7))</f>
        <v>200</v>
      </c>
      <c r="I3314" s="20" t="n">
        <f aca="false">G3314-H3314</f>
        <v>0</v>
      </c>
      <c r="J3314" s="21" t="n">
        <f aca="false">H3314*1000/Parametres!$B$9</f>
        <v>3391.55502798033</v>
      </c>
    </row>
    <row r="3315" customFormat="false" ht="15" hidden="false" customHeight="false" outlineLevel="0" collapsed="false">
      <c r="A3315" s="0" t="n">
        <v>3311</v>
      </c>
      <c r="B3315" s="0" t="n">
        <v>5</v>
      </c>
      <c r="C3315" s="19" t="n">
        <v>0</v>
      </c>
      <c r="D3315" s="19" t="n">
        <v>1</v>
      </c>
      <c r="E3315" s="20" t="n">
        <f aca="false">Parametres!$B$5*C3315</f>
        <v>0</v>
      </c>
      <c r="F3315" s="20" t="n">
        <f aca="false">Parametres!$B$6*D3315</f>
        <v>200</v>
      </c>
      <c r="G3315" s="20" t="n">
        <f aca="false">E3315+F3315</f>
        <v>200</v>
      </c>
      <c r="H3315" s="20" t="n">
        <f aca="false">IF(G3315&lt;Parametres!$B$8*Parametres!$B$7,0,MIN(G3315,Parametres!$B$7))</f>
        <v>200</v>
      </c>
      <c r="I3315" s="20" t="n">
        <f aca="false">G3315-H3315</f>
        <v>0</v>
      </c>
      <c r="J3315" s="21" t="n">
        <f aca="false">H3315*1000/Parametres!$B$9</f>
        <v>3391.55502798033</v>
      </c>
    </row>
    <row r="3316" customFormat="false" ht="15" hidden="false" customHeight="false" outlineLevel="0" collapsed="false">
      <c r="A3316" s="0" t="n">
        <v>3312</v>
      </c>
      <c r="B3316" s="0" t="n">
        <v>5</v>
      </c>
      <c r="C3316" s="19" t="n">
        <v>0</v>
      </c>
      <c r="D3316" s="19" t="n">
        <v>1</v>
      </c>
      <c r="E3316" s="20" t="n">
        <f aca="false">Parametres!$B$5*C3316</f>
        <v>0</v>
      </c>
      <c r="F3316" s="20" t="n">
        <f aca="false">Parametres!$B$6*D3316</f>
        <v>200</v>
      </c>
      <c r="G3316" s="20" t="n">
        <f aca="false">E3316+F3316</f>
        <v>200</v>
      </c>
      <c r="H3316" s="20" t="n">
        <f aca="false">IF(G3316&lt;Parametres!$B$8*Parametres!$B$7,0,MIN(G3316,Parametres!$B$7))</f>
        <v>200</v>
      </c>
      <c r="I3316" s="20" t="n">
        <f aca="false">G3316-H3316</f>
        <v>0</v>
      </c>
      <c r="J3316" s="21" t="n">
        <f aca="false">H3316*1000/Parametres!$B$9</f>
        <v>3391.55502798033</v>
      </c>
    </row>
    <row r="3317" customFormat="false" ht="15" hidden="false" customHeight="false" outlineLevel="0" collapsed="false">
      <c r="A3317" s="0" t="n">
        <v>3313</v>
      </c>
      <c r="B3317" s="0" t="n">
        <v>5</v>
      </c>
      <c r="C3317" s="19" t="n">
        <v>0</v>
      </c>
      <c r="D3317" s="19" t="n">
        <v>1</v>
      </c>
      <c r="E3317" s="20" t="n">
        <f aca="false">Parametres!$B$5*C3317</f>
        <v>0</v>
      </c>
      <c r="F3317" s="20" t="n">
        <f aca="false">Parametres!$B$6*D3317</f>
        <v>200</v>
      </c>
      <c r="G3317" s="20" t="n">
        <f aca="false">E3317+F3317</f>
        <v>200</v>
      </c>
      <c r="H3317" s="20" t="n">
        <f aca="false">IF(G3317&lt;Parametres!$B$8*Parametres!$B$7,0,MIN(G3317,Parametres!$B$7))</f>
        <v>200</v>
      </c>
      <c r="I3317" s="20" t="n">
        <f aca="false">G3317-H3317</f>
        <v>0</v>
      </c>
      <c r="J3317" s="21" t="n">
        <f aca="false">H3317*1000/Parametres!$B$9</f>
        <v>3391.55502798033</v>
      </c>
    </row>
    <row r="3318" customFormat="false" ht="15" hidden="false" customHeight="false" outlineLevel="0" collapsed="false">
      <c r="A3318" s="0" t="n">
        <v>3314</v>
      </c>
      <c r="B3318" s="0" t="n">
        <v>5</v>
      </c>
      <c r="C3318" s="19" t="n">
        <v>0</v>
      </c>
      <c r="D3318" s="19" t="n">
        <v>1</v>
      </c>
      <c r="E3318" s="20" t="n">
        <f aca="false">Parametres!$B$5*C3318</f>
        <v>0</v>
      </c>
      <c r="F3318" s="20" t="n">
        <f aca="false">Parametres!$B$6*D3318</f>
        <v>200</v>
      </c>
      <c r="G3318" s="20" t="n">
        <f aca="false">E3318+F3318</f>
        <v>200</v>
      </c>
      <c r="H3318" s="20" t="n">
        <f aca="false">IF(G3318&lt;Parametres!$B$8*Parametres!$B$7,0,MIN(G3318,Parametres!$B$7))</f>
        <v>200</v>
      </c>
      <c r="I3318" s="20" t="n">
        <f aca="false">G3318-H3318</f>
        <v>0</v>
      </c>
      <c r="J3318" s="21" t="n">
        <f aca="false">H3318*1000/Parametres!$B$9</f>
        <v>3391.55502798033</v>
      </c>
    </row>
    <row r="3319" customFormat="false" ht="15" hidden="false" customHeight="false" outlineLevel="0" collapsed="false">
      <c r="A3319" s="0" t="n">
        <v>3315</v>
      </c>
      <c r="B3319" s="0" t="n">
        <v>5</v>
      </c>
      <c r="C3319" s="19" t="n">
        <v>0</v>
      </c>
      <c r="D3319" s="19" t="n">
        <v>1</v>
      </c>
      <c r="E3319" s="20" t="n">
        <f aca="false">Parametres!$B$5*C3319</f>
        <v>0</v>
      </c>
      <c r="F3319" s="20" t="n">
        <f aca="false">Parametres!$B$6*D3319</f>
        <v>200</v>
      </c>
      <c r="G3319" s="20" t="n">
        <f aca="false">E3319+F3319</f>
        <v>200</v>
      </c>
      <c r="H3319" s="20" t="n">
        <f aca="false">IF(G3319&lt;Parametres!$B$8*Parametres!$B$7,0,MIN(G3319,Parametres!$B$7))</f>
        <v>200</v>
      </c>
      <c r="I3319" s="20" t="n">
        <f aca="false">G3319-H3319</f>
        <v>0</v>
      </c>
      <c r="J3319" s="21" t="n">
        <f aca="false">H3319*1000/Parametres!$B$9</f>
        <v>3391.55502798033</v>
      </c>
    </row>
    <row r="3320" customFormat="false" ht="15" hidden="false" customHeight="false" outlineLevel="0" collapsed="false">
      <c r="A3320" s="0" t="n">
        <v>3316</v>
      </c>
      <c r="B3320" s="0" t="n">
        <v>5</v>
      </c>
      <c r="C3320" s="19" t="n">
        <v>0</v>
      </c>
      <c r="D3320" s="19" t="n">
        <v>1</v>
      </c>
      <c r="E3320" s="20" t="n">
        <f aca="false">Parametres!$B$5*C3320</f>
        <v>0</v>
      </c>
      <c r="F3320" s="20" t="n">
        <f aca="false">Parametres!$B$6*D3320</f>
        <v>200</v>
      </c>
      <c r="G3320" s="20" t="n">
        <f aca="false">E3320+F3320</f>
        <v>200</v>
      </c>
      <c r="H3320" s="20" t="n">
        <f aca="false">IF(G3320&lt;Parametres!$B$8*Parametres!$B$7,0,MIN(G3320,Parametres!$B$7))</f>
        <v>200</v>
      </c>
      <c r="I3320" s="20" t="n">
        <f aca="false">G3320-H3320</f>
        <v>0</v>
      </c>
      <c r="J3320" s="21" t="n">
        <f aca="false">H3320*1000/Parametres!$B$9</f>
        <v>3391.55502798033</v>
      </c>
    </row>
    <row r="3321" customFormat="false" ht="15" hidden="false" customHeight="false" outlineLevel="0" collapsed="false">
      <c r="A3321" s="0" t="n">
        <v>3317</v>
      </c>
      <c r="B3321" s="0" t="n">
        <v>5</v>
      </c>
      <c r="C3321" s="19" t="n">
        <v>0</v>
      </c>
      <c r="D3321" s="19" t="n">
        <v>1</v>
      </c>
      <c r="E3321" s="20" t="n">
        <f aca="false">Parametres!$B$5*C3321</f>
        <v>0</v>
      </c>
      <c r="F3321" s="20" t="n">
        <f aca="false">Parametres!$B$6*D3321</f>
        <v>200</v>
      </c>
      <c r="G3321" s="20" t="n">
        <f aca="false">E3321+F3321</f>
        <v>200</v>
      </c>
      <c r="H3321" s="20" t="n">
        <f aca="false">IF(G3321&lt;Parametres!$B$8*Parametres!$B$7,0,MIN(G3321,Parametres!$B$7))</f>
        <v>200</v>
      </c>
      <c r="I3321" s="20" t="n">
        <f aca="false">G3321-H3321</f>
        <v>0</v>
      </c>
      <c r="J3321" s="21" t="n">
        <f aca="false">H3321*1000/Parametres!$B$9</f>
        <v>3391.55502798033</v>
      </c>
    </row>
    <row r="3322" customFormat="false" ht="15" hidden="false" customHeight="false" outlineLevel="0" collapsed="false">
      <c r="A3322" s="0" t="n">
        <v>3318</v>
      </c>
      <c r="B3322" s="0" t="n">
        <v>5</v>
      </c>
      <c r="C3322" s="19" t="n">
        <v>0.0376</v>
      </c>
      <c r="D3322" s="19" t="n">
        <v>1</v>
      </c>
      <c r="E3322" s="20" t="n">
        <f aca="false">Parametres!$B$5*C3322</f>
        <v>11.28</v>
      </c>
      <c r="F3322" s="20" t="n">
        <f aca="false">Parametres!$B$6*D3322</f>
        <v>200</v>
      </c>
      <c r="G3322" s="20" t="n">
        <f aca="false">E3322+F3322</f>
        <v>211.28</v>
      </c>
      <c r="H3322" s="20" t="n">
        <f aca="false">IF(G3322&lt;Parametres!$B$8*Parametres!$B$7,0,MIN(G3322,Parametres!$B$7))</f>
        <v>211.28</v>
      </c>
      <c r="I3322" s="20" t="n">
        <f aca="false">G3322-H3322</f>
        <v>0</v>
      </c>
      <c r="J3322" s="21" t="n">
        <f aca="false">H3322*1000/Parametres!$B$9</f>
        <v>3582.83873155842</v>
      </c>
    </row>
    <row r="3323" customFormat="false" ht="15" hidden="false" customHeight="false" outlineLevel="0" collapsed="false">
      <c r="A3323" s="0" t="n">
        <v>3319</v>
      </c>
      <c r="B3323" s="0" t="n">
        <v>5</v>
      </c>
      <c r="C3323" s="19" t="n">
        <v>0.2864</v>
      </c>
      <c r="D3323" s="19" t="n">
        <v>1</v>
      </c>
      <c r="E3323" s="20" t="n">
        <f aca="false">Parametres!$B$5*C3323</f>
        <v>85.92</v>
      </c>
      <c r="F3323" s="20" t="n">
        <f aca="false">Parametres!$B$6*D3323</f>
        <v>200</v>
      </c>
      <c r="G3323" s="20" t="n">
        <f aca="false">E3323+F3323</f>
        <v>285.92</v>
      </c>
      <c r="H3323" s="20" t="n">
        <f aca="false">IF(G3323&lt;Parametres!$B$8*Parametres!$B$7,0,MIN(G3323,Parametres!$B$7))</f>
        <v>250</v>
      </c>
      <c r="I3323" s="20" t="n">
        <f aca="false">G3323-H3323</f>
        <v>35.92</v>
      </c>
      <c r="J3323" s="21" t="n">
        <f aca="false">H3323*1000/Parametres!$B$9</f>
        <v>4239.44378497541</v>
      </c>
    </row>
    <row r="3324" customFormat="false" ht="15" hidden="false" customHeight="false" outlineLevel="0" collapsed="false">
      <c r="A3324" s="0" t="n">
        <v>3320</v>
      </c>
      <c r="B3324" s="0" t="n">
        <v>5</v>
      </c>
      <c r="C3324" s="19" t="n">
        <v>0.5192</v>
      </c>
      <c r="D3324" s="19" t="n">
        <v>1</v>
      </c>
      <c r="E3324" s="20" t="n">
        <f aca="false">Parametres!$B$5*C3324</f>
        <v>155.76</v>
      </c>
      <c r="F3324" s="20" t="n">
        <f aca="false">Parametres!$B$6*D3324</f>
        <v>200</v>
      </c>
      <c r="G3324" s="20" t="n">
        <f aca="false">E3324+F3324</f>
        <v>355.76</v>
      </c>
      <c r="H3324" s="20" t="n">
        <f aca="false">IF(G3324&lt;Parametres!$B$8*Parametres!$B$7,0,MIN(G3324,Parametres!$B$7))</f>
        <v>250</v>
      </c>
      <c r="I3324" s="20" t="n">
        <f aca="false">G3324-H3324</f>
        <v>105.76</v>
      </c>
      <c r="J3324" s="21" t="n">
        <f aca="false">H3324*1000/Parametres!$B$9</f>
        <v>4239.44378497541</v>
      </c>
    </row>
    <row r="3325" customFormat="false" ht="15" hidden="false" customHeight="false" outlineLevel="0" collapsed="false">
      <c r="A3325" s="0" t="n">
        <v>3321</v>
      </c>
      <c r="B3325" s="0" t="n">
        <v>5</v>
      </c>
      <c r="C3325" s="19" t="n">
        <v>0.786</v>
      </c>
      <c r="D3325" s="19" t="n">
        <v>1</v>
      </c>
      <c r="E3325" s="20" t="n">
        <f aca="false">Parametres!$B$5*C3325</f>
        <v>235.8</v>
      </c>
      <c r="F3325" s="20" t="n">
        <f aca="false">Parametres!$B$6*D3325</f>
        <v>200</v>
      </c>
      <c r="G3325" s="20" t="n">
        <f aca="false">E3325+F3325</f>
        <v>435.8</v>
      </c>
      <c r="H3325" s="20" t="n">
        <f aca="false">IF(G3325&lt;Parametres!$B$8*Parametres!$B$7,0,MIN(G3325,Parametres!$B$7))</f>
        <v>250</v>
      </c>
      <c r="I3325" s="20" t="n">
        <f aca="false">G3325-H3325</f>
        <v>185.8</v>
      </c>
      <c r="J3325" s="21" t="n">
        <f aca="false">H3325*1000/Parametres!$B$9</f>
        <v>4239.44378497541</v>
      </c>
    </row>
    <row r="3326" customFormat="false" ht="15" hidden="false" customHeight="false" outlineLevel="0" collapsed="false">
      <c r="A3326" s="0" t="n">
        <v>3322</v>
      </c>
      <c r="B3326" s="0" t="n">
        <v>5</v>
      </c>
      <c r="C3326" s="19" t="n">
        <v>0.976</v>
      </c>
      <c r="D3326" s="19" t="n">
        <v>1</v>
      </c>
      <c r="E3326" s="20" t="n">
        <f aca="false">Parametres!$B$5*C3326</f>
        <v>292.8</v>
      </c>
      <c r="F3326" s="20" t="n">
        <f aca="false">Parametres!$B$6*D3326</f>
        <v>200</v>
      </c>
      <c r="G3326" s="20" t="n">
        <f aca="false">E3326+F3326</f>
        <v>492.8</v>
      </c>
      <c r="H3326" s="20" t="n">
        <f aca="false">IF(G3326&lt;Parametres!$B$8*Parametres!$B$7,0,MIN(G3326,Parametres!$B$7))</f>
        <v>250</v>
      </c>
      <c r="I3326" s="20" t="n">
        <f aca="false">G3326-H3326</f>
        <v>242.8</v>
      </c>
      <c r="J3326" s="21" t="n">
        <f aca="false">H3326*1000/Parametres!$B$9</f>
        <v>4239.44378497541</v>
      </c>
    </row>
    <row r="3327" customFormat="false" ht="15" hidden="false" customHeight="false" outlineLevel="0" collapsed="false">
      <c r="A3327" s="0" t="n">
        <v>3323</v>
      </c>
      <c r="B3327" s="0" t="n">
        <v>5</v>
      </c>
      <c r="C3327" s="19" t="n">
        <v>1</v>
      </c>
      <c r="D3327" s="19" t="n">
        <v>1</v>
      </c>
      <c r="E3327" s="20" t="n">
        <f aca="false">Parametres!$B$5*C3327</f>
        <v>300</v>
      </c>
      <c r="F3327" s="20" t="n">
        <f aca="false">Parametres!$B$6*D3327</f>
        <v>200</v>
      </c>
      <c r="G3327" s="20" t="n">
        <f aca="false">E3327+F3327</f>
        <v>500</v>
      </c>
      <c r="H3327" s="20" t="n">
        <f aca="false">IF(G3327&lt;Parametres!$B$8*Parametres!$B$7,0,MIN(G3327,Parametres!$B$7))</f>
        <v>250</v>
      </c>
      <c r="I3327" s="20" t="n">
        <f aca="false">G3327-H3327</f>
        <v>250</v>
      </c>
      <c r="J3327" s="21" t="n">
        <f aca="false">H3327*1000/Parametres!$B$9</f>
        <v>4239.44378497541</v>
      </c>
    </row>
    <row r="3328" customFormat="false" ht="15" hidden="false" customHeight="false" outlineLevel="0" collapsed="false">
      <c r="A3328" s="0" t="n">
        <v>3324</v>
      </c>
      <c r="B3328" s="0" t="n">
        <v>5</v>
      </c>
      <c r="C3328" s="19" t="n">
        <v>1</v>
      </c>
      <c r="D3328" s="19" t="n">
        <v>1</v>
      </c>
      <c r="E3328" s="20" t="n">
        <f aca="false">Parametres!$B$5*C3328</f>
        <v>300</v>
      </c>
      <c r="F3328" s="20" t="n">
        <f aca="false">Parametres!$B$6*D3328</f>
        <v>200</v>
      </c>
      <c r="G3328" s="20" t="n">
        <f aca="false">E3328+F3328</f>
        <v>500</v>
      </c>
      <c r="H3328" s="20" t="n">
        <f aca="false">IF(G3328&lt;Parametres!$B$8*Parametres!$B$7,0,MIN(G3328,Parametres!$B$7))</f>
        <v>250</v>
      </c>
      <c r="I3328" s="20" t="n">
        <f aca="false">G3328-H3328</f>
        <v>250</v>
      </c>
      <c r="J3328" s="21" t="n">
        <f aca="false">H3328*1000/Parametres!$B$9</f>
        <v>4239.44378497541</v>
      </c>
    </row>
    <row r="3329" customFormat="false" ht="15" hidden="false" customHeight="false" outlineLevel="0" collapsed="false">
      <c r="A3329" s="0" t="n">
        <v>3325</v>
      </c>
      <c r="B3329" s="0" t="n">
        <v>5</v>
      </c>
      <c r="C3329" s="19" t="n">
        <v>1</v>
      </c>
      <c r="D3329" s="19" t="n">
        <v>1</v>
      </c>
      <c r="E3329" s="20" t="n">
        <f aca="false">Parametres!$B$5*C3329</f>
        <v>300</v>
      </c>
      <c r="F3329" s="20" t="n">
        <f aca="false">Parametres!$B$6*D3329</f>
        <v>200</v>
      </c>
      <c r="G3329" s="20" t="n">
        <f aca="false">E3329+F3329</f>
        <v>500</v>
      </c>
      <c r="H3329" s="20" t="n">
        <f aca="false">IF(G3329&lt;Parametres!$B$8*Parametres!$B$7,0,MIN(G3329,Parametres!$B$7))</f>
        <v>250</v>
      </c>
      <c r="I3329" s="20" t="n">
        <f aca="false">G3329-H3329</f>
        <v>250</v>
      </c>
      <c r="J3329" s="21" t="n">
        <f aca="false">H3329*1000/Parametres!$B$9</f>
        <v>4239.44378497541</v>
      </c>
    </row>
    <row r="3330" customFormat="false" ht="15" hidden="false" customHeight="false" outlineLevel="0" collapsed="false">
      <c r="A3330" s="0" t="n">
        <v>3326</v>
      </c>
      <c r="B3330" s="0" t="n">
        <v>5</v>
      </c>
      <c r="C3330" s="19" t="n">
        <v>1</v>
      </c>
      <c r="D3330" s="19" t="n">
        <v>1</v>
      </c>
      <c r="E3330" s="20" t="n">
        <f aca="false">Parametres!$B$5*C3330</f>
        <v>300</v>
      </c>
      <c r="F3330" s="20" t="n">
        <f aca="false">Parametres!$B$6*D3330</f>
        <v>200</v>
      </c>
      <c r="G3330" s="20" t="n">
        <f aca="false">E3330+F3330</f>
        <v>500</v>
      </c>
      <c r="H3330" s="20" t="n">
        <f aca="false">IF(G3330&lt;Parametres!$B$8*Parametres!$B$7,0,MIN(G3330,Parametres!$B$7))</f>
        <v>250</v>
      </c>
      <c r="I3330" s="20" t="n">
        <f aca="false">G3330-H3330</f>
        <v>250</v>
      </c>
      <c r="J3330" s="21" t="n">
        <f aca="false">H3330*1000/Parametres!$B$9</f>
        <v>4239.44378497541</v>
      </c>
    </row>
    <row r="3331" customFormat="false" ht="15" hidden="false" customHeight="false" outlineLevel="0" collapsed="false">
      <c r="A3331" s="0" t="n">
        <v>3327</v>
      </c>
      <c r="B3331" s="0" t="n">
        <v>5</v>
      </c>
      <c r="C3331" s="19" t="n">
        <v>1</v>
      </c>
      <c r="D3331" s="19" t="n">
        <v>1</v>
      </c>
      <c r="E3331" s="20" t="n">
        <f aca="false">Parametres!$B$5*C3331</f>
        <v>300</v>
      </c>
      <c r="F3331" s="20" t="n">
        <f aca="false">Parametres!$B$6*D3331</f>
        <v>200</v>
      </c>
      <c r="G3331" s="20" t="n">
        <f aca="false">E3331+F3331</f>
        <v>500</v>
      </c>
      <c r="H3331" s="20" t="n">
        <f aca="false">IF(G3331&lt;Parametres!$B$8*Parametres!$B$7,0,MIN(G3331,Parametres!$B$7))</f>
        <v>250</v>
      </c>
      <c r="I3331" s="20" t="n">
        <f aca="false">G3331-H3331</f>
        <v>250</v>
      </c>
      <c r="J3331" s="21" t="n">
        <f aca="false">H3331*1000/Parametres!$B$9</f>
        <v>4239.44378497541</v>
      </c>
    </row>
    <row r="3332" customFormat="false" ht="15" hidden="false" customHeight="false" outlineLevel="0" collapsed="false">
      <c r="A3332" s="0" t="n">
        <v>3328</v>
      </c>
      <c r="B3332" s="0" t="n">
        <v>5</v>
      </c>
      <c r="C3332" s="19" t="n">
        <v>0.8028</v>
      </c>
      <c r="D3332" s="19" t="n">
        <v>1</v>
      </c>
      <c r="E3332" s="20" t="n">
        <f aca="false">Parametres!$B$5*C3332</f>
        <v>240.84</v>
      </c>
      <c r="F3332" s="20" t="n">
        <f aca="false">Parametres!$B$6*D3332</f>
        <v>200</v>
      </c>
      <c r="G3332" s="20" t="n">
        <f aca="false">E3332+F3332</f>
        <v>440.84</v>
      </c>
      <c r="H3332" s="20" t="n">
        <f aca="false">IF(G3332&lt;Parametres!$B$8*Parametres!$B$7,0,MIN(G3332,Parametres!$B$7))</f>
        <v>250</v>
      </c>
      <c r="I3332" s="20" t="n">
        <f aca="false">G3332-H3332</f>
        <v>190.84</v>
      </c>
      <c r="J3332" s="21" t="n">
        <f aca="false">H3332*1000/Parametres!$B$9</f>
        <v>4239.44378497541</v>
      </c>
    </row>
    <row r="3333" customFormat="false" ht="15" hidden="false" customHeight="false" outlineLevel="0" collapsed="false">
      <c r="A3333" s="0" t="n">
        <v>3329</v>
      </c>
      <c r="B3333" s="0" t="n">
        <v>5</v>
      </c>
      <c r="C3333" s="19" t="n">
        <v>0.5333</v>
      </c>
      <c r="D3333" s="19" t="n">
        <v>1</v>
      </c>
      <c r="E3333" s="20" t="n">
        <f aca="false">Parametres!$B$5*C3333</f>
        <v>159.99</v>
      </c>
      <c r="F3333" s="20" t="n">
        <f aca="false">Parametres!$B$6*D3333</f>
        <v>200</v>
      </c>
      <c r="G3333" s="20" t="n">
        <f aca="false">E3333+F3333</f>
        <v>359.99</v>
      </c>
      <c r="H3333" s="20" t="n">
        <f aca="false">IF(G3333&lt;Parametres!$B$8*Parametres!$B$7,0,MIN(G3333,Parametres!$B$7))</f>
        <v>250</v>
      </c>
      <c r="I3333" s="20" t="n">
        <f aca="false">G3333-H3333</f>
        <v>109.99</v>
      </c>
      <c r="J3333" s="21" t="n">
        <f aca="false">H3333*1000/Parametres!$B$9</f>
        <v>4239.44378497541</v>
      </c>
    </row>
    <row r="3334" customFormat="false" ht="15" hidden="false" customHeight="false" outlineLevel="0" collapsed="false">
      <c r="A3334" s="0" t="n">
        <v>3330</v>
      </c>
      <c r="B3334" s="0" t="n">
        <v>5</v>
      </c>
      <c r="C3334" s="19" t="n">
        <v>0.2736</v>
      </c>
      <c r="D3334" s="19" t="n">
        <v>1</v>
      </c>
      <c r="E3334" s="20" t="n">
        <f aca="false">Parametres!$B$5*C3334</f>
        <v>82.08</v>
      </c>
      <c r="F3334" s="20" t="n">
        <f aca="false">Parametres!$B$6*D3334</f>
        <v>200</v>
      </c>
      <c r="G3334" s="20" t="n">
        <f aca="false">E3334+F3334</f>
        <v>282.08</v>
      </c>
      <c r="H3334" s="20" t="n">
        <f aca="false">IF(G3334&lt;Parametres!$B$8*Parametres!$B$7,0,MIN(G3334,Parametres!$B$7))</f>
        <v>250</v>
      </c>
      <c r="I3334" s="20" t="n">
        <f aca="false">G3334-H3334</f>
        <v>32.08</v>
      </c>
      <c r="J3334" s="21" t="n">
        <f aca="false">H3334*1000/Parametres!$B$9</f>
        <v>4239.44378497541</v>
      </c>
    </row>
    <row r="3335" customFormat="false" ht="15" hidden="false" customHeight="false" outlineLevel="0" collapsed="false">
      <c r="A3335" s="0" t="n">
        <v>3331</v>
      </c>
      <c r="B3335" s="0" t="n">
        <v>5</v>
      </c>
      <c r="C3335" s="19" t="n">
        <v>0.0383</v>
      </c>
      <c r="D3335" s="19" t="n">
        <v>1</v>
      </c>
      <c r="E3335" s="20" t="n">
        <f aca="false">Parametres!$B$5*C3335</f>
        <v>11.49</v>
      </c>
      <c r="F3335" s="20" t="n">
        <f aca="false">Parametres!$B$6*D3335</f>
        <v>200</v>
      </c>
      <c r="G3335" s="20" t="n">
        <f aca="false">E3335+F3335</f>
        <v>211.49</v>
      </c>
      <c r="H3335" s="20" t="n">
        <f aca="false">IF(G3335&lt;Parametres!$B$8*Parametres!$B$7,0,MIN(G3335,Parametres!$B$7))</f>
        <v>211.49</v>
      </c>
      <c r="I3335" s="20" t="n">
        <f aca="false">G3335-H3335</f>
        <v>0</v>
      </c>
      <c r="J3335" s="21" t="n">
        <f aca="false">H3335*1000/Parametres!$B$9</f>
        <v>3586.3998643378</v>
      </c>
    </row>
    <row r="3336" customFormat="false" ht="15" hidden="false" customHeight="false" outlineLevel="0" collapsed="false">
      <c r="A3336" s="0" t="n">
        <v>3332</v>
      </c>
      <c r="B3336" s="0" t="n">
        <v>5</v>
      </c>
      <c r="C3336" s="19" t="n">
        <v>0</v>
      </c>
      <c r="D3336" s="19" t="n">
        <v>1</v>
      </c>
      <c r="E3336" s="20" t="n">
        <f aca="false">Parametres!$B$5*C3336</f>
        <v>0</v>
      </c>
      <c r="F3336" s="20" t="n">
        <f aca="false">Parametres!$B$6*D3336</f>
        <v>200</v>
      </c>
      <c r="G3336" s="20" t="n">
        <f aca="false">E3336+F3336</f>
        <v>200</v>
      </c>
      <c r="H3336" s="20" t="n">
        <f aca="false">IF(G3336&lt;Parametres!$B$8*Parametres!$B$7,0,MIN(G3336,Parametres!$B$7))</f>
        <v>200</v>
      </c>
      <c r="I3336" s="20" t="n">
        <f aca="false">G3336-H3336</f>
        <v>0</v>
      </c>
      <c r="J3336" s="21" t="n">
        <f aca="false">H3336*1000/Parametres!$B$9</f>
        <v>3391.55502798033</v>
      </c>
    </row>
    <row r="3337" customFormat="false" ht="15" hidden="false" customHeight="false" outlineLevel="0" collapsed="false">
      <c r="A3337" s="0" t="n">
        <v>3333</v>
      </c>
      <c r="B3337" s="0" t="n">
        <v>5</v>
      </c>
      <c r="C3337" s="19" t="n">
        <v>0</v>
      </c>
      <c r="D3337" s="19" t="n">
        <v>1</v>
      </c>
      <c r="E3337" s="20" t="n">
        <f aca="false">Parametres!$B$5*C3337</f>
        <v>0</v>
      </c>
      <c r="F3337" s="20" t="n">
        <f aca="false">Parametres!$B$6*D3337</f>
        <v>200</v>
      </c>
      <c r="G3337" s="20" t="n">
        <f aca="false">E3337+F3337</f>
        <v>200</v>
      </c>
      <c r="H3337" s="20" t="n">
        <f aca="false">IF(G3337&lt;Parametres!$B$8*Parametres!$B$7,0,MIN(G3337,Parametres!$B$7))</f>
        <v>200</v>
      </c>
      <c r="I3337" s="20" t="n">
        <f aca="false">G3337-H3337</f>
        <v>0</v>
      </c>
      <c r="J3337" s="21" t="n">
        <f aca="false">H3337*1000/Parametres!$B$9</f>
        <v>3391.55502798033</v>
      </c>
    </row>
    <row r="3338" customFormat="false" ht="15" hidden="false" customHeight="false" outlineLevel="0" collapsed="false">
      <c r="A3338" s="0" t="n">
        <v>3334</v>
      </c>
      <c r="B3338" s="0" t="n">
        <v>5</v>
      </c>
      <c r="C3338" s="19" t="n">
        <v>0</v>
      </c>
      <c r="D3338" s="19" t="n">
        <v>1</v>
      </c>
      <c r="E3338" s="20" t="n">
        <f aca="false">Parametres!$B$5*C3338</f>
        <v>0</v>
      </c>
      <c r="F3338" s="20" t="n">
        <f aca="false">Parametres!$B$6*D3338</f>
        <v>200</v>
      </c>
      <c r="G3338" s="20" t="n">
        <f aca="false">E3338+F3338</f>
        <v>200</v>
      </c>
      <c r="H3338" s="20" t="n">
        <f aca="false">IF(G3338&lt;Parametres!$B$8*Parametres!$B$7,0,MIN(G3338,Parametres!$B$7))</f>
        <v>200</v>
      </c>
      <c r="I3338" s="20" t="n">
        <f aca="false">G3338-H3338</f>
        <v>0</v>
      </c>
      <c r="J3338" s="21" t="n">
        <f aca="false">H3338*1000/Parametres!$B$9</f>
        <v>3391.55502798033</v>
      </c>
    </row>
    <row r="3339" customFormat="false" ht="15" hidden="false" customHeight="false" outlineLevel="0" collapsed="false">
      <c r="A3339" s="0" t="n">
        <v>3335</v>
      </c>
      <c r="B3339" s="0" t="n">
        <v>5</v>
      </c>
      <c r="C3339" s="19" t="n">
        <v>0</v>
      </c>
      <c r="D3339" s="19" t="n">
        <v>1</v>
      </c>
      <c r="E3339" s="20" t="n">
        <f aca="false">Parametres!$B$5*C3339</f>
        <v>0</v>
      </c>
      <c r="F3339" s="20" t="n">
        <f aca="false">Parametres!$B$6*D3339</f>
        <v>200</v>
      </c>
      <c r="G3339" s="20" t="n">
        <f aca="false">E3339+F3339</f>
        <v>200</v>
      </c>
      <c r="H3339" s="20" t="n">
        <f aca="false">IF(G3339&lt;Parametres!$B$8*Parametres!$B$7,0,MIN(G3339,Parametres!$B$7))</f>
        <v>200</v>
      </c>
      <c r="I3339" s="20" t="n">
        <f aca="false">G3339-H3339</f>
        <v>0</v>
      </c>
      <c r="J3339" s="21" t="n">
        <f aca="false">H3339*1000/Parametres!$B$9</f>
        <v>3391.55502798033</v>
      </c>
    </row>
    <row r="3340" customFormat="false" ht="15" hidden="false" customHeight="false" outlineLevel="0" collapsed="false">
      <c r="A3340" s="0" t="n">
        <v>3336</v>
      </c>
      <c r="B3340" s="0" t="n">
        <v>5</v>
      </c>
      <c r="C3340" s="19" t="n">
        <v>0</v>
      </c>
      <c r="D3340" s="19" t="n">
        <v>1</v>
      </c>
      <c r="E3340" s="20" t="n">
        <f aca="false">Parametres!$B$5*C3340</f>
        <v>0</v>
      </c>
      <c r="F3340" s="20" t="n">
        <f aca="false">Parametres!$B$6*D3340</f>
        <v>200</v>
      </c>
      <c r="G3340" s="20" t="n">
        <f aca="false">E3340+F3340</f>
        <v>200</v>
      </c>
      <c r="H3340" s="20" t="n">
        <f aca="false">IF(G3340&lt;Parametres!$B$8*Parametres!$B$7,0,MIN(G3340,Parametres!$B$7))</f>
        <v>200</v>
      </c>
      <c r="I3340" s="20" t="n">
        <f aca="false">G3340-H3340</f>
        <v>0</v>
      </c>
      <c r="J3340" s="21" t="n">
        <f aca="false">H3340*1000/Parametres!$B$9</f>
        <v>3391.55502798033</v>
      </c>
    </row>
    <row r="3341" customFormat="false" ht="15" hidden="false" customHeight="false" outlineLevel="0" collapsed="false">
      <c r="A3341" s="0" t="n">
        <v>3337</v>
      </c>
      <c r="B3341" s="0" t="n">
        <v>5</v>
      </c>
      <c r="C3341" s="19" t="n">
        <v>0</v>
      </c>
      <c r="D3341" s="19" t="n">
        <v>1</v>
      </c>
      <c r="E3341" s="20" t="n">
        <f aca="false">Parametres!$B$5*C3341</f>
        <v>0</v>
      </c>
      <c r="F3341" s="20" t="n">
        <f aca="false">Parametres!$B$6*D3341</f>
        <v>200</v>
      </c>
      <c r="G3341" s="20" t="n">
        <f aca="false">E3341+F3341</f>
        <v>200</v>
      </c>
      <c r="H3341" s="20" t="n">
        <f aca="false">IF(G3341&lt;Parametres!$B$8*Parametres!$B$7,0,MIN(G3341,Parametres!$B$7))</f>
        <v>200</v>
      </c>
      <c r="I3341" s="20" t="n">
        <f aca="false">G3341-H3341</f>
        <v>0</v>
      </c>
      <c r="J3341" s="21" t="n">
        <f aca="false">H3341*1000/Parametres!$B$9</f>
        <v>3391.55502798033</v>
      </c>
    </row>
    <row r="3342" customFormat="false" ht="15" hidden="false" customHeight="false" outlineLevel="0" collapsed="false">
      <c r="A3342" s="0" t="n">
        <v>3338</v>
      </c>
      <c r="B3342" s="0" t="n">
        <v>5</v>
      </c>
      <c r="C3342" s="19" t="n">
        <v>0</v>
      </c>
      <c r="D3342" s="19" t="n">
        <v>1</v>
      </c>
      <c r="E3342" s="20" t="n">
        <f aca="false">Parametres!$B$5*C3342</f>
        <v>0</v>
      </c>
      <c r="F3342" s="20" t="n">
        <f aca="false">Parametres!$B$6*D3342</f>
        <v>200</v>
      </c>
      <c r="G3342" s="20" t="n">
        <f aca="false">E3342+F3342</f>
        <v>200</v>
      </c>
      <c r="H3342" s="20" t="n">
        <f aca="false">IF(G3342&lt;Parametres!$B$8*Parametres!$B$7,0,MIN(G3342,Parametres!$B$7))</f>
        <v>200</v>
      </c>
      <c r="I3342" s="20" t="n">
        <f aca="false">G3342-H3342</f>
        <v>0</v>
      </c>
      <c r="J3342" s="21" t="n">
        <f aca="false">H3342*1000/Parametres!$B$9</f>
        <v>3391.55502798033</v>
      </c>
    </row>
    <row r="3343" customFormat="false" ht="15" hidden="false" customHeight="false" outlineLevel="0" collapsed="false">
      <c r="A3343" s="0" t="n">
        <v>3339</v>
      </c>
      <c r="B3343" s="0" t="n">
        <v>5</v>
      </c>
      <c r="C3343" s="19" t="n">
        <v>0</v>
      </c>
      <c r="D3343" s="19" t="n">
        <v>1</v>
      </c>
      <c r="E3343" s="20" t="n">
        <f aca="false">Parametres!$B$5*C3343</f>
        <v>0</v>
      </c>
      <c r="F3343" s="20" t="n">
        <f aca="false">Parametres!$B$6*D3343</f>
        <v>200</v>
      </c>
      <c r="G3343" s="20" t="n">
        <f aca="false">E3343+F3343</f>
        <v>200</v>
      </c>
      <c r="H3343" s="20" t="n">
        <f aca="false">IF(G3343&lt;Parametres!$B$8*Parametres!$B$7,0,MIN(G3343,Parametres!$B$7))</f>
        <v>200</v>
      </c>
      <c r="I3343" s="20" t="n">
        <f aca="false">G3343-H3343</f>
        <v>0</v>
      </c>
      <c r="J3343" s="21" t="n">
        <f aca="false">H3343*1000/Parametres!$B$9</f>
        <v>3391.55502798033</v>
      </c>
    </row>
    <row r="3344" customFormat="false" ht="15" hidden="false" customHeight="false" outlineLevel="0" collapsed="false">
      <c r="A3344" s="0" t="n">
        <v>3340</v>
      </c>
      <c r="B3344" s="0" t="n">
        <v>5</v>
      </c>
      <c r="C3344" s="19" t="n">
        <v>0</v>
      </c>
      <c r="D3344" s="19" t="n">
        <v>1</v>
      </c>
      <c r="E3344" s="20" t="n">
        <f aca="false">Parametres!$B$5*C3344</f>
        <v>0</v>
      </c>
      <c r="F3344" s="20" t="n">
        <f aca="false">Parametres!$B$6*D3344</f>
        <v>200</v>
      </c>
      <c r="G3344" s="20" t="n">
        <f aca="false">E3344+F3344</f>
        <v>200</v>
      </c>
      <c r="H3344" s="20" t="n">
        <f aca="false">IF(G3344&lt;Parametres!$B$8*Parametres!$B$7,0,MIN(G3344,Parametres!$B$7))</f>
        <v>200</v>
      </c>
      <c r="I3344" s="20" t="n">
        <f aca="false">G3344-H3344</f>
        <v>0</v>
      </c>
      <c r="J3344" s="21" t="n">
        <f aca="false">H3344*1000/Parametres!$B$9</f>
        <v>3391.55502798033</v>
      </c>
    </row>
    <row r="3345" customFormat="false" ht="15" hidden="false" customHeight="false" outlineLevel="0" collapsed="false">
      <c r="A3345" s="0" t="n">
        <v>3341</v>
      </c>
      <c r="B3345" s="0" t="n">
        <v>5</v>
      </c>
      <c r="C3345" s="19" t="n">
        <v>0</v>
      </c>
      <c r="D3345" s="19" t="n">
        <v>1</v>
      </c>
      <c r="E3345" s="20" t="n">
        <f aca="false">Parametres!$B$5*C3345</f>
        <v>0</v>
      </c>
      <c r="F3345" s="20" t="n">
        <f aca="false">Parametres!$B$6*D3345</f>
        <v>200</v>
      </c>
      <c r="G3345" s="20" t="n">
        <f aca="false">E3345+F3345</f>
        <v>200</v>
      </c>
      <c r="H3345" s="20" t="n">
        <f aca="false">IF(G3345&lt;Parametres!$B$8*Parametres!$B$7,0,MIN(G3345,Parametres!$B$7))</f>
        <v>200</v>
      </c>
      <c r="I3345" s="20" t="n">
        <f aca="false">G3345-H3345</f>
        <v>0</v>
      </c>
      <c r="J3345" s="21" t="n">
        <f aca="false">H3345*1000/Parametres!$B$9</f>
        <v>3391.55502798033</v>
      </c>
    </row>
    <row r="3346" customFormat="false" ht="15" hidden="false" customHeight="false" outlineLevel="0" collapsed="false">
      <c r="A3346" s="0" t="n">
        <v>3342</v>
      </c>
      <c r="B3346" s="0" t="n">
        <v>5</v>
      </c>
      <c r="C3346" s="19" t="n">
        <v>0.0336</v>
      </c>
      <c r="D3346" s="19" t="n">
        <v>1</v>
      </c>
      <c r="E3346" s="20" t="n">
        <f aca="false">Parametres!$B$5*C3346</f>
        <v>10.08</v>
      </c>
      <c r="F3346" s="20" t="n">
        <f aca="false">Parametres!$B$6*D3346</f>
        <v>200</v>
      </c>
      <c r="G3346" s="20" t="n">
        <f aca="false">E3346+F3346</f>
        <v>210.08</v>
      </c>
      <c r="H3346" s="20" t="n">
        <f aca="false">IF(G3346&lt;Parametres!$B$8*Parametres!$B$7,0,MIN(G3346,Parametres!$B$7))</f>
        <v>210.08</v>
      </c>
      <c r="I3346" s="20" t="n">
        <f aca="false">G3346-H3346</f>
        <v>0</v>
      </c>
      <c r="J3346" s="21" t="n">
        <f aca="false">H3346*1000/Parametres!$B$9</f>
        <v>3562.48940139054</v>
      </c>
    </row>
    <row r="3347" customFormat="false" ht="15" hidden="false" customHeight="false" outlineLevel="0" collapsed="false">
      <c r="A3347" s="0" t="n">
        <v>3343</v>
      </c>
      <c r="B3347" s="0" t="n">
        <v>5</v>
      </c>
      <c r="C3347" s="19" t="n">
        <v>0.2334</v>
      </c>
      <c r="D3347" s="19" t="n">
        <v>1</v>
      </c>
      <c r="E3347" s="20" t="n">
        <f aca="false">Parametres!$B$5*C3347</f>
        <v>70.02</v>
      </c>
      <c r="F3347" s="20" t="n">
        <f aca="false">Parametres!$B$6*D3347</f>
        <v>200</v>
      </c>
      <c r="G3347" s="20" t="n">
        <f aca="false">E3347+F3347</f>
        <v>270.02</v>
      </c>
      <c r="H3347" s="20" t="n">
        <f aca="false">IF(G3347&lt;Parametres!$B$8*Parametres!$B$7,0,MIN(G3347,Parametres!$B$7))</f>
        <v>250</v>
      </c>
      <c r="I3347" s="20" t="n">
        <f aca="false">G3347-H3347</f>
        <v>20.02</v>
      </c>
      <c r="J3347" s="21" t="n">
        <f aca="false">H3347*1000/Parametres!$B$9</f>
        <v>4239.44378497541</v>
      </c>
    </row>
    <row r="3348" customFormat="false" ht="15" hidden="false" customHeight="false" outlineLevel="0" collapsed="false">
      <c r="A3348" s="0" t="n">
        <v>3344</v>
      </c>
      <c r="B3348" s="0" t="n">
        <v>5</v>
      </c>
      <c r="C3348" s="19" t="n">
        <v>0.4418</v>
      </c>
      <c r="D3348" s="19" t="n">
        <v>1</v>
      </c>
      <c r="E3348" s="20" t="n">
        <f aca="false">Parametres!$B$5*C3348</f>
        <v>132.54</v>
      </c>
      <c r="F3348" s="20" t="n">
        <f aca="false">Parametres!$B$6*D3348</f>
        <v>200</v>
      </c>
      <c r="G3348" s="20" t="n">
        <f aca="false">E3348+F3348</f>
        <v>332.54</v>
      </c>
      <c r="H3348" s="20" t="n">
        <f aca="false">IF(G3348&lt;Parametres!$B$8*Parametres!$B$7,0,MIN(G3348,Parametres!$B$7))</f>
        <v>250</v>
      </c>
      <c r="I3348" s="20" t="n">
        <f aca="false">G3348-H3348</f>
        <v>82.54</v>
      </c>
      <c r="J3348" s="21" t="n">
        <f aca="false">H3348*1000/Parametres!$B$9</f>
        <v>4239.44378497541</v>
      </c>
    </row>
    <row r="3349" customFormat="false" ht="15" hidden="false" customHeight="false" outlineLevel="0" collapsed="false">
      <c r="A3349" s="0" t="n">
        <v>3345</v>
      </c>
      <c r="B3349" s="0" t="n">
        <v>5</v>
      </c>
      <c r="C3349" s="19" t="n">
        <v>0.6669</v>
      </c>
      <c r="D3349" s="19" t="n">
        <v>1</v>
      </c>
      <c r="E3349" s="20" t="n">
        <f aca="false">Parametres!$B$5*C3349</f>
        <v>200.07</v>
      </c>
      <c r="F3349" s="20" t="n">
        <f aca="false">Parametres!$B$6*D3349</f>
        <v>200</v>
      </c>
      <c r="G3349" s="20" t="n">
        <f aca="false">E3349+F3349</f>
        <v>400.07</v>
      </c>
      <c r="H3349" s="20" t="n">
        <f aca="false">IF(G3349&lt;Parametres!$B$8*Parametres!$B$7,0,MIN(G3349,Parametres!$B$7))</f>
        <v>250</v>
      </c>
      <c r="I3349" s="20" t="n">
        <f aca="false">G3349-H3349</f>
        <v>150.07</v>
      </c>
      <c r="J3349" s="21" t="n">
        <f aca="false">H3349*1000/Parametres!$B$9</f>
        <v>4239.44378497541</v>
      </c>
    </row>
    <row r="3350" customFormat="false" ht="15" hidden="false" customHeight="false" outlineLevel="0" collapsed="false">
      <c r="A3350" s="0" t="n">
        <v>3346</v>
      </c>
      <c r="B3350" s="0" t="n">
        <v>5</v>
      </c>
      <c r="C3350" s="19" t="n">
        <v>0.8285</v>
      </c>
      <c r="D3350" s="19" t="n">
        <v>1</v>
      </c>
      <c r="E3350" s="20" t="n">
        <f aca="false">Parametres!$B$5*C3350</f>
        <v>248.55</v>
      </c>
      <c r="F3350" s="20" t="n">
        <f aca="false">Parametres!$B$6*D3350</f>
        <v>200</v>
      </c>
      <c r="G3350" s="20" t="n">
        <f aca="false">E3350+F3350</f>
        <v>448.55</v>
      </c>
      <c r="H3350" s="20" t="n">
        <f aca="false">IF(G3350&lt;Parametres!$B$8*Parametres!$B$7,0,MIN(G3350,Parametres!$B$7))</f>
        <v>250</v>
      </c>
      <c r="I3350" s="20" t="n">
        <f aca="false">G3350-H3350</f>
        <v>198.55</v>
      </c>
      <c r="J3350" s="21" t="n">
        <f aca="false">H3350*1000/Parametres!$B$9</f>
        <v>4239.44378497541</v>
      </c>
    </row>
    <row r="3351" customFormat="false" ht="15" hidden="false" customHeight="false" outlineLevel="0" collapsed="false">
      <c r="A3351" s="0" t="n">
        <v>3347</v>
      </c>
      <c r="B3351" s="0" t="n">
        <v>5</v>
      </c>
      <c r="C3351" s="19" t="n">
        <v>0.94</v>
      </c>
      <c r="D3351" s="19" t="n">
        <v>1</v>
      </c>
      <c r="E3351" s="20" t="n">
        <f aca="false">Parametres!$B$5*C3351</f>
        <v>282</v>
      </c>
      <c r="F3351" s="20" t="n">
        <f aca="false">Parametres!$B$6*D3351</f>
        <v>200</v>
      </c>
      <c r="G3351" s="20" t="n">
        <f aca="false">E3351+F3351</f>
        <v>482</v>
      </c>
      <c r="H3351" s="20" t="n">
        <f aca="false">IF(G3351&lt;Parametres!$B$8*Parametres!$B$7,0,MIN(G3351,Parametres!$B$7))</f>
        <v>250</v>
      </c>
      <c r="I3351" s="20" t="n">
        <f aca="false">G3351-H3351</f>
        <v>232</v>
      </c>
      <c r="J3351" s="21" t="n">
        <f aca="false">H3351*1000/Parametres!$B$9</f>
        <v>4239.44378497541</v>
      </c>
    </row>
    <row r="3352" customFormat="false" ht="15" hidden="false" customHeight="false" outlineLevel="0" collapsed="false">
      <c r="A3352" s="0" t="n">
        <v>3348</v>
      </c>
      <c r="B3352" s="0" t="n">
        <v>5</v>
      </c>
      <c r="C3352" s="19" t="n">
        <v>1</v>
      </c>
      <c r="D3352" s="19" t="n">
        <v>1</v>
      </c>
      <c r="E3352" s="20" t="n">
        <f aca="false">Parametres!$B$5*C3352</f>
        <v>300</v>
      </c>
      <c r="F3352" s="20" t="n">
        <f aca="false">Parametres!$B$6*D3352</f>
        <v>200</v>
      </c>
      <c r="G3352" s="20" t="n">
        <f aca="false">E3352+F3352</f>
        <v>500</v>
      </c>
      <c r="H3352" s="20" t="n">
        <f aca="false">IF(G3352&lt;Parametres!$B$8*Parametres!$B$7,0,MIN(G3352,Parametres!$B$7))</f>
        <v>250</v>
      </c>
      <c r="I3352" s="20" t="n">
        <f aca="false">G3352-H3352</f>
        <v>250</v>
      </c>
      <c r="J3352" s="21" t="n">
        <f aca="false">H3352*1000/Parametres!$B$9</f>
        <v>4239.44378497541</v>
      </c>
    </row>
    <row r="3353" customFormat="false" ht="15" hidden="false" customHeight="false" outlineLevel="0" collapsed="false">
      <c r="A3353" s="0" t="n">
        <v>3349</v>
      </c>
      <c r="B3353" s="0" t="n">
        <v>5</v>
      </c>
      <c r="C3353" s="19" t="n">
        <v>1</v>
      </c>
      <c r="D3353" s="19" t="n">
        <v>1</v>
      </c>
      <c r="E3353" s="20" t="n">
        <f aca="false">Parametres!$B$5*C3353</f>
        <v>300</v>
      </c>
      <c r="F3353" s="20" t="n">
        <f aca="false">Parametres!$B$6*D3353</f>
        <v>200</v>
      </c>
      <c r="G3353" s="20" t="n">
        <f aca="false">E3353+F3353</f>
        <v>500</v>
      </c>
      <c r="H3353" s="20" t="n">
        <f aca="false">IF(G3353&lt;Parametres!$B$8*Parametres!$B$7,0,MIN(G3353,Parametres!$B$7))</f>
        <v>250</v>
      </c>
      <c r="I3353" s="20" t="n">
        <f aca="false">G3353-H3353</f>
        <v>250</v>
      </c>
      <c r="J3353" s="21" t="n">
        <f aca="false">H3353*1000/Parametres!$B$9</f>
        <v>4239.44378497541</v>
      </c>
    </row>
    <row r="3354" customFormat="false" ht="15" hidden="false" customHeight="false" outlineLevel="0" collapsed="false">
      <c r="A3354" s="0" t="n">
        <v>3350</v>
      </c>
      <c r="B3354" s="0" t="n">
        <v>5</v>
      </c>
      <c r="C3354" s="19" t="n">
        <v>0.9398</v>
      </c>
      <c r="D3354" s="19" t="n">
        <v>1</v>
      </c>
      <c r="E3354" s="20" t="n">
        <f aca="false">Parametres!$B$5*C3354</f>
        <v>281.94</v>
      </c>
      <c r="F3354" s="20" t="n">
        <f aca="false">Parametres!$B$6*D3354</f>
        <v>200</v>
      </c>
      <c r="G3354" s="20" t="n">
        <f aca="false">E3354+F3354</f>
        <v>481.94</v>
      </c>
      <c r="H3354" s="20" t="n">
        <f aca="false">IF(G3354&lt;Parametres!$B$8*Parametres!$B$7,0,MIN(G3354,Parametres!$B$7))</f>
        <v>250</v>
      </c>
      <c r="I3354" s="20" t="n">
        <f aca="false">G3354-H3354</f>
        <v>231.94</v>
      </c>
      <c r="J3354" s="21" t="n">
        <f aca="false">H3354*1000/Parametres!$B$9</f>
        <v>4239.44378497541</v>
      </c>
    </row>
    <row r="3355" customFormat="false" ht="15" hidden="false" customHeight="false" outlineLevel="0" collapsed="false">
      <c r="A3355" s="0" t="n">
        <v>3351</v>
      </c>
      <c r="B3355" s="0" t="n">
        <v>5</v>
      </c>
      <c r="C3355" s="19" t="n">
        <v>0.8216</v>
      </c>
      <c r="D3355" s="19" t="n">
        <v>1</v>
      </c>
      <c r="E3355" s="20" t="n">
        <f aca="false">Parametres!$B$5*C3355</f>
        <v>246.48</v>
      </c>
      <c r="F3355" s="20" t="n">
        <f aca="false">Parametres!$B$6*D3355</f>
        <v>200</v>
      </c>
      <c r="G3355" s="20" t="n">
        <f aca="false">E3355+F3355</f>
        <v>446.48</v>
      </c>
      <c r="H3355" s="20" t="n">
        <f aca="false">IF(G3355&lt;Parametres!$B$8*Parametres!$B$7,0,MIN(G3355,Parametres!$B$7))</f>
        <v>250</v>
      </c>
      <c r="I3355" s="20" t="n">
        <f aca="false">G3355-H3355</f>
        <v>196.48</v>
      </c>
      <c r="J3355" s="21" t="n">
        <f aca="false">H3355*1000/Parametres!$B$9</f>
        <v>4239.44378497541</v>
      </c>
    </row>
    <row r="3356" customFormat="false" ht="15" hidden="false" customHeight="false" outlineLevel="0" collapsed="false">
      <c r="A3356" s="0" t="n">
        <v>3352</v>
      </c>
      <c r="B3356" s="0" t="n">
        <v>5</v>
      </c>
      <c r="C3356" s="19" t="n">
        <v>0.6632</v>
      </c>
      <c r="D3356" s="19" t="n">
        <v>1</v>
      </c>
      <c r="E3356" s="20" t="n">
        <f aca="false">Parametres!$B$5*C3356</f>
        <v>198.96</v>
      </c>
      <c r="F3356" s="20" t="n">
        <f aca="false">Parametres!$B$6*D3356</f>
        <v>200</v>
      </c>
      <c r="G3356" s="20" t="n">
        <f aca="false">E3356+F3356</f>
        <v>398.96</v>
      </c>
      <c r="H3356" s="20" t="n">
        <f aca="false">IF(G3356&lt;Parametres!$B$8*Parametres!$B$7,0,MIN(G3356,Parametres!$B$7))</f>
        <v>250</v>
      </c>
      <c r="I3356" s="20" t="n">
        <f aca="false">G3356-H3356</f>
        <v>148.96</v>
      </c>
      <c r="J3356" s="21" t="n">
        <f aca="false">H3356*1000/Parametres!$B$9</f>
        <v>4239.44378497541</v>
      </c>
    </row>
    <row r="3357" customFormat="false" ht="15" hidden="false" customHeight="false" outlineLevel="0" collapsed="false">
      <c r="A3357" s="0" t="n">
        <v>3353</v>
      </c>
      <c r="B3357" s="0" t="n">
        <v>5</v>
      </c>
      <c r="C3357" s="19" t="n">
        <v>0.4578</v>
      </c>
      <c r="D3357" s="19" t="n">
        <v>1</v>
      </c>
      <c r="E3357" s="20" t="n">
        <f aca="false">Parametres!$B$5*C3357</f>
        <v>137.34</v>
      </c>
      <c r="F3357" s="20" t="n">
        <f aca="false">Parametres!$B$6*D3357</f>
        <v>200</v>
      </c>
      <c r="G3357" s="20" t="n">
        <f aca="false">E3357+F3357</f>
        <v>337.34</v>
      </c>
      <c r="H3357" s="20" t="n">
        <f aca="false">IF(G3357&lt;Parametres!$B$8*Parametres!$B$7,0,MIN(G3357,Parametres!$B$7))</f>
        <v>250</v>
      </c>
      <c r="I3357" s="20" t="n">
        <f aca="false">G3357-H3357</f>
        <v>87.34</v>
      </c>
      <c r="J3357" s="21" t="n">
        <f aca="false">H3357*1000/Parametres!$B$9</f>
        <v>4239.44378497541</v>
      </c>
    </row>
    <row r="3358" customFormat="false" ht="15" hidden="false" customHeight="false" outlineLevel="0" collapsed="false">
      <c r="A3358" s="0" t="n">
        <v>3354</v>
      </c>
      <c r="B3358" s="0" t="n">
        <v>5</v>
      </c>
      <c r="C3358" s="19" t="n">
        <v>0.2448</v>
      </c>
      <c r="D3358" s="19" t="n">
        <v>1</v>
      </c>
      <c r="E3358" s="20" t="n">
        <f aca="false">Parametres!$B$5*C3358</f>
        <v>73.44</v>
      </c>
      <c r="F3358" s="20" t="n">
        <f aca="false">Parametres!$B$6*D3358</f>
        <v>200</v>
      </c>
      <c r="G3358" s="20" t="n">
        <f aca="false">E3358+F3358</f>
        <v>273.44</v>
      </c>
      <c r="H3358" s="20" t="n">
        <f aca="false">IF(G3358&lt;Parametres!$B$8*Parametres!$B$7,0,MIN(G3358,Parametres!$B$7))</f>
        <v>250</v>
      </c>
      <c r="I3358" s="20" t="n">
        <f aca="false">G3358-H3358</f>
        <v>23.44</v>
      </c>
      <c r="J3358" s="21" t="n">
        <f aca="false">H3358*1000/Parametres!$B$9</f>
        <v>4239.44378497541</v>
      </c>
    </row>
    <row r="3359" customFormat="false" ht="15" hidden="false" customHeight="false" outlineLevel="0" collapsed="false">
      <c r="A3359" s="0" t="n">
        <v>3355</v>
      </c>
      <c r="B3359" s="0" t="n">
        <v>5</v>
      </c>
      <c r="C3359" s="19" t="n">
        <v>0.0329</v>
      </c>
      <c r="D3359" s="19" t="n">
        <v>1</v>
      </c>
      <c r="E3359" s="20" t="n">
        <f aca="false">Parametres!$B$5*C3359</f>
        <v>9.87</v>
      </c>
      <c r="F3359" s="20" t="n">
        <f aca="false">Parametres!$B$6*D3359</f>
        <v>200</v>
      </c>
      <c r="G3359" s="20" t="n">
        <f aca="false">E3359+F3359</f>
        <v>209.87</v>
      </c>
      <c r="H3359" s="20" t="n">
        <f aca="false">IF(G3359&lt;Parametres!$B$8*Parametres!$B$7,0,MIN(G3359,Parametres!$B$7))</f>
        <v>209.87</v>
      </c>
      <c r="I3359" s="20" t="n">
        <f aca="false">G3359-H3359</f>
        <v>0</v>
      </c>
      <c r="J3359" s="21" t="n">
        <f aca="false">H3359*1000/Parametres!$B$9</f>
        <v>3558.92826861116</v>
      </c>
    </row>
    <row r="3360" customFormat="false" ht="15" hidden="false" customHeight="false" outlineLevel="0" collapsed="false">
      <c r="A3360" s="0" t="n">
        <v>3356</v>
      </c>
      <c r="B3360" s="0" t="n">
        <v>5</v>
      </c>
      <c r="C3360" s="19" t="n">
        <v>0</v>
      </c>
      <c r="D3360" s="19" t="n">
        <v>1</v>
      </c>
      <c r="E3360" s="20" t="n">
        <f aca="false">Parametres!$B$5*C3360</f>
        <v>0</v>
      </c>
      <c r="F3360" s="20" t="n">
        <f aca="false">Parametres!$B$6*D3360</f>
        <v>200</v>
      </c>
      <c r="G3360" s="20" t="n">
        <f aca="false">E3360+F3360</f>
        <v>200</v>
      </c>
      <c r="H3360" s="20" t="n">
        <f aca="false">IF(G3360&lt;Parametres!$B$8*Parametres!$B$7,0,MIN(G3360,Parametres!$B$7))</f>
        <v>200</v>
      </c>
      <c r="I3360" s="20" t="n">
        <f aca="false">G3360-H3360</f>
        <v>0</v>
      </c>
      <c r="J3360" s="21" t="n">
        <f aca="false">H3360*1000/Parametres!$B$9</f>
        <v>3391.55502798033</v>
      </c>
    </row>
    <row r="3361" customFormat="false" ht="15" hidden="false" customHeight="false" outlineLevel="0" collapsed="false">
      <c r="A3361" s="0" t="n">
        <v>3357</v>
      </c>
      <c r="B3361" s="0" t="n">
        <v>5</v>
      </c>
      <c r="C3361" s="19" t="n">
        <v>0</v>
      </c>
      <c r="D3361" s="19" t="n">
        <v>1</v>
      </c>
      <c r="E3361" s="20" t="n">
        <f aca="false">Parametres!$B$5*C3361</f>
        <v>0</v>
      </c>
      <c r="F3361" s="20" t="n">
        <f aca="false">Parametres!$B$6*D3361</f>
        <v>200</v>
      </c>
      <c r="G3361" s="20" t="n">
        <f aca="false">E3361+F3361</f>
        <v>200</v>
      </c>
      <c r="H3361" s="20" t="n">
        <f aca="false">IF(G3361&lt;Parametres!$B$8*Parametres!$B$7,0,MIN(G3361,Parametres!$B$7))</f>
        <v>200</v>
      </c>
      <c r="I3361" s="20" t="n">
        <f aca="false">G3361-H3361</f>
        <v>0</v>
      </c>
      <c r="J3361" s="21" t="n">
        <f aca="false">H3361*1000/Parametres!$B$9</f>
        <v>3391.55502798033</v>
      </c>
    </row>
    <row r="3362" customFormat="false" ht="15" hidden="false" customHeight="false" outlineLevel="0" collapsed="false">
      <c r="A3362" s="0" t="n">
        <v>3358</v>
      </c>
      <c r="B3362" s="0" t="n">
        <v>5</v>
      </c>
      <c r="C3362" s="19" t="n">
        <v>0</v>
      </c>
      <c r="D3362" s="19" t="n">
        <v>1</v>
      </c>
      <c r="E3362" s="20" t="n">
        <f aca="false">Parametres!$B$5*C3362</f>
        <v>0</v>
      </c>
      <c r="F3362" s="20" t="n">
        <f aca="false">Parametres!$B$6*D3362</f>
        <v>200</v>
      </c>
      <c r="G3362" s="20" t="n">
        <f aca="false">E3362+F3362</f>
        <v>200</v>
      </c>
      <c r="H3362" s="20" t="n">
        <f aca="false">IF(G3362&lt;Parametres!$B$8*Parametres!$B$7,0,MIN(G3362,Parametres!$B$7))</f>
        <v>200</v>
      </c>
      <c r="I3362" s="20" t="n">
        <f aca="false">G3362-H3362</f>
        <v>0</v>
      </c>
      <c r="J3362" s="21" t="n">
        <f aca="false">H3362*1000/Parametres!$B$9</f>
        <v>3391.55502798033</v>
      </c>
    </row>
    <row r="3363" customFormat="false" ht="15" hidden="false" customHeight="false" outlineLevel="0" collapsed="false">
      <c r="A3363" s="0" t="n">
        <v>3359</v>
      </c>
      <c r="B3363" s="0" t="n">
        <v>5</v>
      </c>
      <c r="C3363" s="19" t="n">
        <v>0</v>
      </c>
      <c r="D3363" s="19" t="n">
        <v>1</v>
      </c>
      <c r="E3363" s="20" t="n">
        <f aca="false">Parametres!$B$5*C3363</f>
        <v>0</v>
      </c>
      <c r="F3363" s="20" t="n">
        <f aca="false">Parametres!$B$6*D3363</f>
        <v>200</v>
      </c>
      <c r="G3363" s="20" t="n">
        <f aca="false">E3363+F3363</f>
        <v>200</v>
      </c>
      <c r="H3363" s="20" t="n">
        <f aca="false">IF(G3363&lt;Parametres!$B$8*Parametres!$B$7,0,MIN(G3363,Parametres!$B$7))</f>
        <v>200</v>
      </c>
      <c r="I3363" s="20" t="n">
        <f aca="false">G3363-H3363</f>
        <v>0</v>
      </c>
      <c r="J3363" s="21" t="n">
        <f aca="false">H3363*1000/Parametres!$B$9</f>
        <v>3391.55502798033</v>
      </c>
    </row>
    <row r="3364" customFormat="false" ht="15" hidden="false" customHeight="false" outlineLevel="0" collapsed="false">
      <c r="A3364" s="0" t="n">
        <v>3360</v>
      </c>
      <c r="B3364" s="0" t="n">
        <v>5</v>
      </c>
      <c r="C3364" s="19" t="n">
        <v>0</v>
      </c>
      <c r="D3364" s="19" t="n">
        <v>1</v>
      </c>
      <c r="E3364" s="20" t="n">
        <f aca="false">Parametres!$B$5*C3364</f>
        <v>0</v>
      </c>
      <c r="F3364" s="20" t="n">
        <f aca="false">Parametres!$B$6*D3364</f>
        <v>200</v>
      </c>
      <c r="G3364" s="20" t="n">
        <f aca="false">E3364+F3364</f>
        <v>200</v>
      </c>
      <c r="H3364" s="20" t="n">
        <f aca="false">IF(G3364&lt;Parametres!$B$8*Parametres!$B$7,0,MIN(G3364,Parametres!$B$7))</f>
        <v>200</v>
      </c>
      <c r="I3364" s="20" t="n">
        <f aca="false">G3364-H3364</f>
        <v>0</v>
      </c>
      <c r="J3364" s="21" t="n">
        <f aca="false">H3364*1000/Parametres!$B$9</f>
        <v>3391.55502798033</v>
      </c>
    </row>
    <row r="3365" customFormat="false" ht="15" hidden="false" customHeight="false" outlineLevel="0" collapsed="false">
      <c r="A3365" s="0" t="n">
        <v>3361</v>
      </c>
      <c r="B3365" s="0" t="n">
        <v>5</v>
      </c>
      <c r="C3365" s="19" t="n">
        <v>0</v>
      </c>
      <c r="D3365" s="19" t="n">
        <v>1</v>
      </c>
      <c r="E3365" s="20" t="n">
        <f aca="false">Parametres!$B$5*C3365</f>
        <v>0</v>
      </c>
      <c r="F3365" s="20" t="n">
        <f aca="false">Parametres!$B$6*D3365</f>
        <v>200</v>
      </c>
      <c r="G3365" s="20" t="n">
        <f aca="false">E3365+F3365</f>
        <v>200</v>
      </c>
      <c r="H3365" s="20" t="n">
        <f aca="false">IF(G3365&lt;Parametres!$B$8*Parametres!$B$7,0,MIN(G3365,Parametres!$B$7))</f>
        <v>200</v>
      </c>
      <c r="I3365" s="20" t="n">
        <f aca="false">G3365-H3365</f>
        <v>0</v>
      </c>
      <c r="J3365" s="21" t="n">
        <f aca="false">H3365*1000/Parametres!$B$9</f>
        <v>3391.55502798033</v>
      </c>
    </row>
    <row r="3366" customFormat="false" ht="15" hidden="false" customHeight="false" outlineLevel="0" collapsed="false">
      <c r="A3366" s="0" t="n">
        <v>3362</v>
      </c>
      <c r="B3366" s="0" t="n">
        <v>5</v>
      </c>
      <c r="C3366" s="19" t="n">
        <v>0</v>
      </c>
      <c r="D3366" s="19" t="n">
        <v>1</v>
      </c>
      <c r="E3366" s="20" t="n">
        <f aca="false">Parametres!$B$5*C3366</f>
        <v>0</v>
      </c>
      <c r="F3366" s="20" t="n">
        <f aca="false">Parametres!$B$6*D3366</f>
        <v>200</v>
      </c>
      <c r="G3366" s="20" t="n">
        <f aca="false">E3366+F3366</f>
        <v>200</v>
      </c>
      <c r="H3366" s="20" t="n">
        <f aca="false">IF(G3366&lt;Parametres!$B$8*Parametres!$B$7,0,MIN(G3366,Parametres!$B$7))</f>
        <v>200</v>
      </c>
      <c r="I3366" s="20" t="n">
        <f aca="false">G3366-H3366</f>
        <v>0</v>
      </c>
      <c r="J3366" s="21" t="n">
        <f aca="false">H3366*1000/Parametres!$B$9</f>
        <v>3391.55502798033</v>
      </c>
    </row>
    <row r="3367" customFormat="false" ht="15" hidden="false" customHeight="false" outlineLevel="0" collapsed="false">
      <c r="A3367" s="0" t="n">
        <v>3363</v>
      </c>
      <c r="B3367" s="0" t="n">
        <v>5</v>
      </c>
      <c r="C3367" s="19" t="n">
        <v>0</v>
      </c>
      <c r="D3367" s="19" t="n">
        <v>1</v>
      </c>
      <c r="E3367" s="20" t="n">
        <f aca="false">Parametres!$B$5*C3367</f>
        <v>0</v>
      </c>
      <c r="F3367" s="20" t="n">
        <f aca="false">Parametres!$B$6*D3367</f>
        <v>200</v>
      </c>
      <c r="G3367" s="20" t="n">
        <f aca="false">E3367+F3367</f>
        <v>200</v>
      </c>
      <c r="H3367" s="20" t="n">
        <f aca="false">IF(G3367&lt;Parametres!$B$8*Parametres!$B$7,0,MIN(G3367,Parametres!$B$7))</f>
        <v>200</v>
      </c>
      <c r="I3367" s="20" t="n">
        <f aca="false">G3367-H3367</f>
        <v>0</v>
      </c>
      <c r="J3367" s="21" t="n">
        <f aca="false">H3367*1000/Parametres!$B$9</f>
        <v>3391.55502798033</v>
      </c>
    </row>
    <row r="3368" customFormat="false" ht="15" hidden="false" customHeight="false" outlineLevel="0" collapsed="false">
      <c r="A3368" s="0" t="n">
        <v>3364</v>
      </c>
      <c r="B3368" s="0" t="n">
        <v>5</v>
      </c>
      <c r="C3368" s="19" t="n">
        <v>0</v>
      </c>
      <c r="D3368" s="19" t="n">
        <v>1</v>
      </c>
      <c r="E3368" s="20" t="n">
        <f aca="false">Parametres!$B$5*C3368</f>
        <v>0</v>
      </c>
      <c r="F3368" s="20" t="n">
        <f aca="false">Parametres!$B$6*D3368</f>
        <v>200</v>
      </c>
      <c r="G3368" s="20" t="n">
        <f aca="false">E3368+F3368</f>
        <v>200</v>
      </c>
      <c r="H3368" s="20" t="n">
        <f aca="false">IF(G3368&lt;Parametres!$B$8*Parametres!$B$7,0,MIN(G3368,Parametres!$B$7))</f>
        <v>200</v>
      </c>
      <c r="I3368" s="20" t="n">
        <f aca="false">G3368-H3368</f>
        <v>0</v>
      </c>
      <c r="J3368" s="21" t="n">
        <f aca="false">H3368*1000/Parametres!$B$9</f>
        <v>3391.55502798033</v>
      </c>
    </row>
    <row r="3369" customFormat="false" ht="15" hidden="false" customHeight="false" outlineLevel="0" collapsed="false">
      <c r="A3369" s="0" t="n">
        <v>3365</v>
      </c>
      <c r="B3369" s="0" t="n">
        <v>5</v>
      </c>
      <c r="C3369" s="19" t="n">
        <v>0</v>
      </c>
      <c r="D3369" s="19" t="n">
        <v>1</v>
      </c>
      <c r="E3369" s="20" t="n">
        <f aca="false">Parametres!$B$5*C3369</f>
        <v>0</v>
      </c>
      <c r="F3369" s="20" t="n">
        <f aca="false">Parametres!$B$6*D3369</f>
        <v>200</v>
      </c>
      <c r="G3369" s="20" t="n">
        <f aca="false">E3369+F3369</f>
        <v>200</v>
      </c>
      <c r="H3369" s="20" t="n">
        <f aca="false">IF(G3369&lt;Parametres!$B$8*Parametres!$B$7,0,MIN(G3369,Parametres!$B$7))</f>
        <v>200</v>
      </c>
      <c r="I3369" s="20" t="n">
        <f aca="false">G3369-H3369</f>
        <v>0</v>
      </c>
      <c r="J3369" s="21" t="n">
        <f aca="false">H3369*1000/Parametres!$B$9</f>
        <v>3391.55502798033</v>
      </c>
    </row>
    <row r="3370" customFormat="false" ht="15" hidden="false" customHeight="false" outlineLevel="0" collapsed="false">
      <c r="A3370" s="0" t="n">
        <v>3366</v>
      </c>
      <c r="B3370" s="0" t="n">
        <v>5</v>
      </c>
      <c r="C3370" s="19" t="n">
        <v>0.0351</v>
      </c>
      <c r="D3370" s="19" t="n">
        <v>1</v>
      </c>
      <c r="E3370" s="20" t="n">
        <f aca="false">Parametres!$B$5*C3370</f>
        <v>10.53</v>
      </c>
      <c r="F3370" s="20" t="n">
        <f aca="false">Parametres!$B$6*D3370</f>
        <v>200</v>
      </c>
      <c r="G3370" s="20" t="n">
        <f aca="false">E3370+F3370</f>
        <v>210.53</v>
      </c>
      <c r="H3370" s="20" t="n">
        <f aca="false">IF(G3370&lt;Parametres!$B$8*Parametres!$B$7,0,MIN(G3370,Parametres!$B$7))</f>
        <v>210.53</v>
      </c>
      <c r="I3370" s="20" t="n">
        <f aca="false">G3370-H3370</f>
        <v>0</v>
      </c>
      <c r="J3370" s="21" t="n">
        <f aca="false">H3370*1000/Parametres!$B$9</f>
        <v>3570.12040020349</v>
      </c>
    </row>
    <row r="3371" customFormat="false" ht="15" hidden="false" customHeight="false" outlineLevel="0" collapsed="false">
      <c r="A3371" s="0" t="n">
        <v>3367</v>
      </c>
      <c r="B3371" s="0" t="n">
        <v>5</v>
      </c>
      <c r="C3371" s="19" t="n">
        <v>0.2492</v>
      </c>
      <c r="D3371" s="19" t="n">
        <v>1</v>
      </c>
      <c r="E3371" s="20" t="n">
        <f aca="false">Parametres!$B$5*C3371</f>
        <v>74.76</v>
      </c>
      <c r="F3371" s="20" t="n">
        <f aca="false">Parametres!$B$6*D3371</f>
        <v>200</v>
      </c>
      <c r="G3371" s="20" t="n">
        <f aca="false">E3371+F3371</f>
        <v>274.76</v>
      </c>
      <c r="H3371" s="20" t="n">
        <f aca="false">IF(G3371&lt;Parametres!$B$8*Parametres!$B$7,0,MIN(G3371,Parametres!$B$7))</f>
        <v>250</v>
      </c>
      <c r="I3371" s="20" t="n">
        <f aca="false">G3371-H3371</f>
        <v>24.76</v>
      </c>
      <c r="J3371" s="21" t="n">
        <f aca="false">H3371*1000/Parametres!$B$9</f>
        <v>4239.44378497541</v>
      </c>
    </row>
    <row r="3372" customFormat="false" ht="15" hidden="false" customHeight="false" outlineLevel="0" collapsed="false">
      <c r="A3372" s="0" t="n">
        <v>3368</v>
      </c>
      <c r="B3372" s="0" t="n">
        <v>5</v>
      </c>
      <c r="C3372" s="19" t="n">
        <v>0.4035</v>
      </c>
      <c r="D3372" s="19" t="n">
        <v>1</v>
      </c>
      <c r="E3372" s="20" t="n">
        <f aca="false">Parametres!$B$5*C3372</f>
        <v>121.05</v>
      </c>
      <c r="F3372" s="20" t="n">
        <f aca="false">Parametres!$B$6*D3372</f>
        <v>200</v>
      </c>
      <c r="G3372" s="20" t="n">
        <f aca="false">E3372+F3372</f>
        <v>321.05</v>
      </c>
      <c r="H3372" s="20" t="n">
        <f aca="false">IF(G3372&lt;Parametres!$B$8*Parametres!$B$7,0,MIN(G3372,Parametres!$B$7))</f>
        <v>250</v>
      </c>
      <c r="I3372" s="20" t="n">
        <f aca="false">G3372-H3372</f>
        <v>71.05</v>
      </c>
      <c r="J3372" s="21" t="n">
        <f aca="false">H3372*1000/Parametres!$B$9</f>
        <v>4239.44378497541</v>
      </c>
    </row>
    <row r="3373" customFormat="false" ht="15" hidden="false" customHeight="false" outlineLevel="0" collapsed="false">
      <c r="A3373" s="0" t="n">
        <v>3369</v>
      </c>
      <c r="B3373" s="0" t="n">
        <v>5</v>
      </c>
      <c r="C3373" s="19" t="n">
        <v>0.6637</v>
      </c>
      <c r="D3373" s="19" t="n">
        <v>1</v>
      </c>
      <c r="E3373" s="20" t="n">
        <f aca="false">Parametres!$B$5*C3373</f>
        <v>199.11</v>
      </c>
      <c r="F3373" s="20" t="n">
        <f aca="false">Parametres!$B$6*D3373</f>
        <v>200</v>
      </c>
      <c r="G3373" s="20" t="n">
        <f aca="false">E3373+F3373</f>
        <v>399.11</v>
      </c>
      <c r="H3373" s="20" t="n">
        <f aca="false">IF(G3373&lt;Parametres!$B$8*Parametres!$B$7,0,MIN(G3373,Parametres!$B$7))</f>
        <v>250</v>
      </c>
      <c r="I3373" s="20" t="n">
        <f aca="false">G3373-H3373</f>
        <v>149.11</v>
      </c>
      <c r="J3373" s="21" t="n">
        <f aca="false">H3373*1000/Parametres!$B$9</f>
        <v>4239.44378497541</v>
      </c>
    </row>
    <row r="3374" customFormat="false" ht="15" hidden="false" customHeight="false" outlineLevel="0" collapsed="false">
      <c r="A3374" s="0" t="n">
        <v>3370</v>
      </c>
      <c r="B3374" s="0" t="n">
        <v>5</v>
      </c>
      <c r="C3374" s="19" t="n">
        <v>0.8133</v>
      </c>
      <c r="D3374" s="19" t="n">
        <v>1</v>
      </c>
      <c r="E3374" s="20" t="n">
        <f aca="false">Parametres!$B$5*C3374</f>
        <v>243.99</v>
      </c>
      <c r="F3374" s="20" t="n">
        <f aca="false">Parametres!$B$6*D3374</f>
        <v>200</v>
      </c>
      <c r="G3374" s="20" t="n">
        <f aca="false">E3374+F3374</f>
        <v>443.99</v>
      </c>
      <c r="H3374" s="20" t="n">
        <f aca="false">IF(G3374&lt;Parametres!$B$8*Parametres!$B$7,0,MIN(G3374,Parametres!$B$7))</f>
        <v>250</v>
      </c>
      <c r="I3374" s="20" t="n">
        <f aca="false">G3374-H3374</f>
        <v>193.99</v>
      </c>
      <c r="J3374" s="21" t="n">
        <f aca="false">H3374*1000/Parametres!$B$9</f>
        <v>4239.44378497541</v>
      </c>
    </row>
    <row r="3375" customFormat="false" ht="15" hidden="false" customHeight="false" outlineLevel="0" collapsed="false">
      <c r="A3375" s="0" t="n">
        <v>3371</v>
      </c>
      <c r="B3375" s="0" t="n">
        <v>5</v>
      </c>
      <c r="C3375" s="19" t="n">
        <v>0.9572</v>
      </c>
      <c r="D3375" s="19" t="n">
        <v>1</v>
      </c>
      <c r="E3375" s="20" t="n">
        <f aca="false">Parametres!$B$5*C3375</f>
        <v>287.16</v>
      </c>
      <c r="F3375" s="20" t="n">
        <f aca="false">Parametres!$B$6*D3375</f>
        <v>200</v>
      </c>
      <c r="G3375" s="20" t="n">
        <f aca="false">E3375+F3375</f>
        <v>487.16</v>
      </c>
      <c r="H3375" s="20" t="n">
        <f aca="false">IF(G3375&lt;Parametres!$B$8*Parametres!$B$7,0,MIN(G3375,Parametres!$B$7))</f>
        <v>250</v>
      </c>
      <c r="I3375" s="20" t="n">
        <f aca="false">G3375-H3375</f>
        <v>237.16</v>
      </c>
      <c r="J3375" s="21" t="n">
        <f aca="false">H3375*1000/Parametres!$B$9</f>
        <v>4239.44378497541</v>
      </c>
    </row>
    <row r="3376" customFormat="false" ht="15" hidden="false" customHeight="false" outlineLevel="0" collapsed="false">
      <c r="A3376" s="0" t="n">
        <v>3372</v>
      </c>
      <c r="B3376" s="0" t="n">
        <v>5</v>
      </c>
      <c r="C3376" s="19" t="n">
        <v>1</v>
      </c>
      <c r="D3376" s="19" t="n">
        <v>1</v>
      </c>
      <c r="E3376" s="20" t="n">
        <f aca="false">Parametres!$B$5*C3376</f>
        <v>300</v>
      </c>
      <c r="F3376" s="20" t="n">
        <f aca="false">Parametres!$B$6*D3376</f>
        <v>200</v>
      </c>
      <c r="G3376" s="20" t="n">
        <f aca="false">E3376+F3376</f>
        <v>500</v>
      </c>
      <c r="H3376" s="20" t="n">
        <f aca="false">IF(G3376&lt;Parametres!$B$8*Parametres!$B$7,0,MIN(G3376,Parametres!$B$7))</f>
        <v>250</v>
      </c>
      <c r="I3376" s="20" t="n">
        <f aca="false">G3376-H3376</f>
        <v>250</v>
      </c>
      <c r="J3376" s="21" t="n">
        <f aca="false">H3376*1000/Parametres!$B$9</f>
        <v>4239.44378497541</v>
      </c>
    </row>
    <row r="3377" customFormat="false" ht="15" hidden="false" customHeight="false" outlineLevel="0" collapsed="false">
      <c r="A3377" s="0" t="n">
        <v>3373</v>
      </c>
      <c r="B3377" s="0" t="n">
        <v>5</v>
      </c>
      <c r="C3377" s="19" t="n">
        <v>1</v>
      </c>
      <c r="D3377" s="19" t="n">
        <v>1</v>
      </c>
      <c r="E3377" s="20" t="n">
        <f aca="false">Parametres!$B$5*C3377</f>
        <v>300</v>
      </c>
      <c r="F3377" s="20" t="n">
        <f aca="false">Parametres!$B$6*D3377</f>
        <v>200</v>
      </c>
      <c r="G3377" s="20" t="n">
        <f aca="false">E3377+F3377</f>
        <v>500</v>
      </c>
      <c r="H3377" s="20" t="n">
        <f aca="false">IF(G3377&lt;Parametres!$B$8*Parametres!$B$7,0,MIN(G3377,Parametres!$B$7))</f>
        <v>250</v>
      </c>
      <c r="I3377" s="20" t="n">
        <f aca="false">G3377-H3377</f>
        <v>250</v>
      </c>
      <c r="J3377" s="21" t="n">
        <f aca="false">H3377*1000/Parametres!$B$9</f>
        <v>4239.44378497541</v>
      </c>
    </row>
    <row r="3378" customFormat="false" ht="15" hidden="false" customHeight="false" outlineLevel="0" collapsed="false">
      <c r="A3378" s="0" t="n">
        <v>3374</v>
      </c>
      <c r="B3378" s="0" t="n">
        <v>5</v>
      </c>
      <c r="C3378" s="19" t="n">
        <v>0.9713</v>
      </c>
      <c r="D3378" s="19" t="n">
        <v>1</v>
      </c>
      <c r="E3378" s="20" t="n">
        <f aca="false">Parametres!$B$5*C3378</f>
        <v>291.39</v>
      </c>
      <c r="F3378" s="20" t="n">
        <f aca="false">Parametres!$B$6*D3378</f>
        <v>200</v>
      </c>
      <c r="G3378" s="20" t="n">
        <f aca="false">E3378+F3378</f>
        <v>491.39</v>
      </c>
      <c r="H3378" s="20" t="n">
        <f aca="false">IF(G3378&lt;Parametres!$B$8*Parametres!$B$7,0,MIN(G3378,Parametres!$B$7))</f>
        <v>250</v>
      </c>
      <c r="I3378" s="20" t="n">
        <f aca="false">G3378-H3378</f>
        <v>241.39</v>
      </c>
      <c r="J3378" s="21" t="n">
        <f aca="false">H3378*1000/Parametres!$B$9</f>
        <v>4239.44378497541</v>
      </c>
    </row>
    <row r="3379" customFormat="false" ht="15" hidden="false" customHeight="false" outlineLevel="0" collapsed="false">
      <c r="A3379" s="0" t="n">
        <v>3375</v>
      </c>
      <c r="B3379" s="0" t="n">
        <v>5</v>
      </c>
      <c r="C3379" s="19" t="n">
        <v>0.8796</v>
      </c>
      <c r="D3379" s="19" t="n">
        <v>1</v>
      </c>
      <c r="E3379" s="20" t="n">
        <f aca="false">Parametres!$B$5*C3379</f>
        <v>263.88</v>
      </c>
      <c r="F3379" s="20" t="n">
        <f aca="false">Parametres!$B$6*D3379</f>
        <v>200</v>
      </c>
      <c r="G3379" s="20" t="n">
        <f aca="false">E3379+F3379</f>
        <v>463.88</v>
      </c>
      <c r="H3379" s="20" t="n">
        <f aca="false">IF(G3379&lt;Parametres!$B$8*Parametres!$B$7,0,MIN(G3379,Parametres!$B$7))</f>
        <v>250</v>
      </c>
      <c r="I3379" s="20" t="n">
        <f aca="false">G3379-H3379</f>
        <v>213.88</v>
      </c>
      <c r="J3379" s="21" t="n">
        <f aca="false">H3379*1000/Parametres!$B$9</f>
        <v>4239.44378497541</v>
      </c>
    </row>
    <row r="3380" customFormat="false" ht="15" hidden="false" customHeight="false" outlineLevel="0" collapsed="false">
      <c r="A3380" s="0" t="n">
        <v>3376</v>
      </c>
      <c r="B3380" s="0" t="n">
        <v>5</v>
      </c>
      <c r="C3380" s="19" t="n">
        <v>0.638</v>
      </c>
      <c r="D3380" s="19" t="n">
        <v>1</v>
      </c>
      <c r="E3380" s="20" t="n">
        <f aca="false">Parametres!$B$5*C3380</f>
        <v>191.4</v>
      </c>
      <c r="F3380" s="20" t="n">
        <f aca="false">Parametres!$B$6*D3380</f>
        <v>200</v>
      </c>
      <c r="G3380" s="20" t="n">
        <f aca="false">E3380+F3380</f>
        <v>391.4</v>
      </c>
      <c r="H3380" s="20" t="n">
        <f aca="false">IF(G3380&lt;Parametres!$B$8*Parametres!$B$7,0,MIN(G3380,Parametres!$B$7))</f>
        <v>250</v>
      </c>
      <c r="I3380" s="20" t="n">
        <f aca="false">G3380-H3380</f>
        <v>141.4</v>
      </c>
      <c r="J3380" s="21" t="n">
        <f aca="false">H3380*1000/Parametres!$B$9</f>
        <v>4239.44378497541</v>
      </c>
    </row>
    <row r="3381" customFormat="false" ht="15" hidden="false" customHeight="false" outlineLevel="0" collapsed="false">
      <c r="A3381" s="0" t="n">
        <v>3377</v>
      </c>
      <c r="B3381" s="0" t="n">
        <v>5</v>
      </c>
      <c r="C3381" s="19" t="n">
        <v>0.4613</v>
      </c>
      <c r="D3381" s="19" t="n">
        <v>1</v>
      </c>
      <c r="E3381" s="20" t="n">
        <f aca="false">Parametres!$B$5*C3381</f>
        <v>138.39</v>
      </c>
      <c r="F3381" s="20" t="n">
        <f aca="false">Parametres!$B$6*D3381</f>
        <v>200</v>
      </c>
      <c r="G3381" s="20" t="n">
        <f aca="false">E3381+F3381</f>
        <v>338.39</v>
      </c>
      <c r="H3381" s="20" t="n">
        <f aca="false">IF(G3381&lt;Parametres!$B$8*Parametres!$B$7,0,MIN(G3381,Parametres!$B$7))</f>
        <v>250</v>
      </c>
      <c r="I3381" s="20" t="n">
        <f aca="false">G3381-H3381</f>
        <v>88.39</v>
      </c>
      <c r="J3381" s="21" t="n">
        <f aca="false">H3381*1000/Parametres!$B$9</f>
        <v>4239.44378497541</v>
      </c>
    </row>
    <row r="3382" customFormat="false" ht="15" hidden="false" customHeight="false" outlineLevel="0" collapsed="false">
      <c r="A3382" s="0" t="n">
        <v>3378</v>
      </c>
      <c r="B3382" s="0" t="n">
        <v>5</v>
      </c>
      <c r="C3382" s="19" t="n">
        <v>0.2337</v>
      </c>
      <c r="D3382" s="19" t="n">
        <v>1</v>
      </c>
      <c r="E3382" s="20" t="n">
        <f aca="false">Parametres!$B$5*C3382</f>
        <v>70.11</v>
      </c>
      <c r="F3382" s="20" t="n">
        <f aca="false">Parametres!$B$6*D3382</f>
        <v>200</v>
      </c>
      <c r="G3382" s="20" t="n">
        <f aca="false">E3382+F3382</f>
        <v>270.11</v>
      </c>
      <c r="H3382" s="20" t="n">
        <f aca="false">IF(G3382&lt;Parametres!$B$8*Parametres!$B$7,0,MIN(G3382,Parametres!$B$7))</f>
        <v>250</v>
      </c>
      <c r="I3382" s="20" t="n">
        <f aca="false">G3382-H3382</f>
        <v>20.11</v>
      </c>
      <c r="J3382" s="21" t="n">
        <f aca="false">H3382*1000/Parametres!$B$9</f>
        <v>4239.44378497541</v>
      </c>
    </row>
    <row r="3383" customFormat="false" ht="15" hidden="false" customHeight="false" outlineLevel="0" collapsed="false">
      <c r="A3383" s="0" t="n">
        <v>3379</v>
      </c>
      <c r="B3383" s="0" t="n">
        <v>5</v>
      </c>
      <c r="C3383" s="19" t="n">
        <v>0.0329</v>
      </c>
      <c r="D3383" s="19" t="n">
        <v>1</v>
      </c>
      <c r="E3383" s="20" t="n">
        <f aca="false">Parametres!$B$5*C3383</f>
        <v>9.87</v>
      </c>
      <c r="F3383" s="20" t="n">
        <f aca="false">Parametres!$B$6*D3383</f>
        <v>200</v>
      </c>
      <c r="G3383" s="20" t="n">
        <f aca="false">E3383+F3383</f>
        <v>209.87</v>
      </c>
      <c r="H3383" s="20" t="n">
        <f aca="false">IF(G3383&lt;Parametres!$B$8*Parametres!$B$7,0,MIN(G3383,Parametres!$B$7))</f>
        <v>209.87</v>
      </c>
      <c r="I3383" s="20" t="n">
        <f aca="false">G3383-H3383</f>
        <v>0</v>
      </c>
      <c r="J3383" s="21" t="n">
        <f aca="false">H3383*1000/Parametres!$B$9</f>
        <v>3558.92826861116</v>
      </c>
    </row>
    <row r="3384" customFormat="false" ht="15" hidden="false" customHeight="false" outlineLevel="0" collapsed="false">
      <c r="A3384" s="0" t="n">
        <v>3380</v>
      </c>
      <c r="B3384" s="0" t="n">
        <v>5</v>
      </c>
      <c r="C3384" s="19" t="n">
        <v>0</v>
      </c>
      <c r="D3384" s="19" t="n">
        <v>1</v>
      </c>
      <c r="E3384" s="20" t="n">
        <f aca="false">Parametres!$B$5*C3384</f>
        <v>0</v>
      </c>
      <c r="F3384" s="20" t="n">
        <f aca="false">Parametres!$B$6*D3384</f>
        <v>200</v>
      </c>
      <c r="G3384" s="20" t="n">
        <f aca="false">E3384+F3384</f>
        <v>200</v>
      </c>
      <c r="H3384" s="20" t="n">
        <f aca="false">IF(G3384&lt;Parametres!$B$8*Parametres!$B$7,0,MIN(G3384,Parametres!$B$7))</f>
        <v>200</v>
      </c>
      <c r="I3384" s="20" t="n">
        <f aca="false">G3384-H3384</f>
        <v>0</v>
      </c>
      <c r="J3384" s="21" t="n">
        <f aca="false">H3384*1000/Parametres!$B$9</f>
        <v>3391.55502798033</v>
      </c>
    </row>
    <row r="3385" customFormat="false" ht="15" hidden="false" customHeight="false" outlineLevel="0" collapsed="false">
      <c r="A3385" s="0" t="n">
        <v>3381</v>
      </c>
      <c r="B3385" s="0" t="n">
        <v>5</v>
      </c>
      <c r="C3385" s="19" t="n">
        <v>0</v>
      </c>
      <c r="D3385" s="19" t="n">
        <v>1</v>
      </c>
      <c r="E3385" s="20" t="n">
        <f aca="false">Parametres!$B$5*C3385</f>
        <v>0</v>
      </c>
      <c r="F3385" s="20" t="n">
        <f aca="false">Parametres!$B$6*D3385</f>
        <v>200</v>
      </c>
      <c r="G3385" s="20" t="n">
        <f aca="false">E3385+F3385</f>
        <v>200</v>
      </c>
      <c r="H3385" s="20" t="n">
        <f aca="false">IF(G3385&lt;Parametres!$B$8*Parametres!$B$7,0,MIN(G3385,Parametres!$B$7))</f>
        <v>200</v>
      </c>
      <c r="I3385" s="20" t="n">
        <f aca="false">G3385-H3385</f>
        <v>0</v>
      </c>
      <c r="J3385" s="21" t="n">
        <f aca="false">H3385*1000/Parametres!$B$9</f>
        <v>3391.55502798033</v>
      </c>
    </row>
    <row r="3386" customFormat="false" ht="15" hidden="false" customHeight="false" outlineLevel="0" collapsed="false">
      <c r="A3386" s="0" t="n">
        <v>3382</v>
      </c>
      <c r="B3386" s="0" t="n">
        <v>5</v>
      </c>
      <c r="C3386" s="19" t="n">
        <v>0</v>
      </c>
      <c r="D3386" s="19" t="n">
        <v>0.7369</v>
      </c>
      <c r="E3386" s="20" t="n">
        <f aca="false">Parametres!$B$5*C3386</f>
        <v>0</v>
      </c>
      <c r="F3386" s="20" t="n">
        <f aca="false">Parametres!$B$6*D3386</f>
        <v>147.38</v>
      </c>
      <c r="G3386" s="20" t="n">
        <f aca="false">E3386+F3386</f>
        <v>147.38</v>
      </c>
      <c r="H3386" s="20" t="n">
        <f aca="false">IF(G3386&lt;Parametres!$B$8*Parametres!$B$7,0,MIN(G3386,Parametres!$B$7))</f>
        <v>147.38</v>
      </c>
      <c r="I3386" s="20" t="n">
        <f aca="false">G3386-H3386</f>
        <v>0</v>
      </c>
      <c r="J3386" s="21" t="n">
        <f aca="false">H3386*1000/Parametres!$B$9</f>
        <v>2499.2369001187</v>
      </c>
    </row>
    <row r="3387" customFormat="false" ht="15" hidden="false" customHeight="false" outlineLevel="0" collapsed="false">
      <c r="A3387" s="0" t="n">
        <v>3383</v>
      </c>
      <c r="B3387" s="0" t="n">
        <v>5</v>
      </c>
      <c r="C3387" s="19" t="n">
        <v>0</v>
      </c>
      <c r="D3387" s="19" t="n">
        <v>0.4509</v>
      </c>
      <c r="E3387" s="20" t="n">
        <f aca="false">Parametres!$B$5*C3387</f>
        <v>0</v>
      </c>
      <c r="F3387" s="20" t="n">
        <f aca="false">Parametres!$B$6*D3387</f>
        <v>90.18</v>
      </c>
      <c r="G3387" s="20" t="n">
        <f aca="false">E3387+F3387</f>
        <v>90.18</v>
      </c>
      <c r="H3387" s="20" t="n">
        <f aca="false">IF(G3387&lt;Parametres!$B$8*Parametres!$B$7,0,MIN(G3387,Parametres!$B$7))</f>
        <v>90.18</v>
      </c>
      <c r="I3387" s="20" t="n">
        <f aca="false">G3387-H3387</f>
        <v>0</v>
      </c>
      <c r="J3387" s="21" t="n">
        <f aca="false">H3387*1000/Parametres!$B$9</f>
        <v>1529.25216211633</v>
      </c>
    </row>
    <row r="3388" customFormat="false" ht="15" hidden="false" customHeight="false" outlineLevel="0" collapsed="false">
      <c r="A3388" s="0" t="n">
        <v>3384</v>
      </c>
      <c r="B3388" s="0" t="n">
        <v>5</v>
      </c>
      <c r="C3388" s="19" t="n">
        <v>0</v>
      </c>
      <c r="D3388" s="19" t="n">
        <v>0.2414</v>
      </c>
      <c r="E3388" s="20" t="n">
        <f aca="false">Parametres!$B$5*C3388</f>
        <v>0</v>
      </c>
      <c r="F3388" s="20" t="n">
        <f aca="false">Parametres!$B$6*D3388</f>
        <v>48.28</v>
      </c>
      <c r="G3388" s="20" t="n">
        <f aca="false">E3388+F3388</f>
        <v>48.28</v>
      </c>
      <c r="H3388" s="20" t="n">
        <f aca="false">IF(G3388&lt;Parametres!$B$8*Parametres!$B$7,0,MIN(G3388,Parametres!$B$7))</f>
        <v>48.28</v>
      </c>
      <c r="I3388" s="20" t="n">
        <f aca="false">G3388-H3388</f>
        <v>0</v>
      </c>
      <c r="J3388" s="21" t="n">
        <f aca="false">H3388*1000/Parametres!$B$9</f>
        <v>818.721383754451</v>
      </c>
    </row>
    <row r="3389" customFormat="false" ht="15" hidden="false" customHeight="false" outlineLevel="0" collapsed="false">
      <c r="A3389" s="0" t="n">
        <v>3385</v>
      </c>
      <c r="B3389" s="0" t="n">
        <v>5</v>
      </c>
      <c r="C3389" s="19" t="n">
        <v>0</v>
      </c>
      <c r="D3389" s="19" t="n">
        <v>0.1898</v>
      </c>
      <c r="E3389" s="20" t="n">
        <f aca="false">Parametres!$B$5*C3389</f>
        <v>0</v>
      </c>
      <c r="F3389" s="20" t="n">
        <f aca="false">Parametres!$B$6*D3389</f>
        <v>37.96</v>
      </c>
      <c r="G3389" s="20" t="n">
        <f aca="false">E3389+F3389</f>
        <v>37.96</v>
      </c>
      <c r="H3389" s="20" t="n">
        <f aca="false">IF(G3389&lt;Parametres!$B$8*Parametres!$B$7,0,MIN(G3389,Parametres!$B$7))</f>
        <v>37.96</v>
      </c>
      <c r="I3389" s="20" t="n">
        <f aca="false">G3389-H3389</f>
        <v>0</v>
      </c>
      <c r="J3389" s="21" t="n">
        <f aca="false">H3389*1000/Parametres!$B$9</f>
        <v>643.717144310666</v>
      </c>
    </row>
    <row r="3390" customFormat="false" ht="15" hidden="false" customHeight="false" outlineLevel="0" collapsed="false">
      <c r="A3390" s="0" t="n">
        <v>3386</v>
      </c>
      <c r="B3390" s="0" t="n">
        <v>5</v>
      </c>
      <c r="C3390" s="19" t="n">
        <v>0</v>
      </c>
      <c r="D3390" s="19" t="n">
        <v>0.0882</v>
      </c>
      <c r="E3390" s="20" t="n">
        <f aca="false">Parametres!$B$5*C3390</f>
        <v>0</v>
      </c>
      <c r="F3390" s="20" t="n">
        <f aca="false">Parametres!$B$6*D3390</f>
        <v>17.64</v>
      </c>
      <c r="G3390" s="20" t="n">
        <f aca="false">E3390+F3390</f>
        <v>17.64</v>
      </c>
      <c r="H3390" s="20" t="n">
        <f aca="false">IF(G3390&lt;Parametres!$B$8*Parametres!$B$7,0,MIN(G3390,Parametres!$B$7))</f>
        <v>0</v>
      </c>
      <c r="I3390" s="20" t="n">
        <f aca="false">G3390-H3390</f>
        <v>17.64</v>
      </c>
      <c r="J3390" s="21" t="n">
        <f aca="false">H3390*1000/Parametres!$B$9</f>
        <v>0</v>
      </c>
    </row>
    <row r="3391" customFormat="false" ht="15" hidden="false" customHeight="false" outlineLevel="0" collapsed="false">
      <c r="A3391" s="0" t="n">
        <v>3387</v>
      </c>
      <c r="B3391" s="0" t="n">
        <v>5</v>
      </c>
      <c r="C3391" s="19" t="n">
        <v>0</v>
      </c>
      <c r="D3391" s="19" t="n">
        <v>0.0516</v>
      </c>
      <c r="E3391" s="20" t="n">
        <f aca="false">Parametres!$B$5*C3391</f>
        <v>0</v>
      </c>
      <c r="F3391" s="20" t="n">
        <f aca="false">Parametres!$B$6*D3391</f>
        <v>10.32</v>
      </c>
      <c r="G3391" s="20" t="n">
        <f aca="false">E3391+F3391</f>
        <v>10.32</v>
      </c>
      <c r="H3391" s="20" t="n">
        <f aca="false">IF(G3391&lt;Parametres!$B$8*Parametres!$B$7,0,MIN(G3391,Parametres!$B$7))</f>
        <v>0</v>
      </c>
      <c r="I3391" s="20" t="n">
        <f aca="false">G3391-H3391</f>
        <v>10.32</v>
      </c>
      <c r="J3391" s="21" t="n">
        <f aca="false">H3391*1000/Parametres!$B$9</f>
        <v>0</v>
      </c>
    </row>
    <row r="3392" customFormat="false" ht="15" hidden="false" customHeight="false" outlineLevel="0" collapsed="false">
      <c r="A3392" s="0" t="n">
        <v>3388</v>
      </c>
      <c r="B3392" s="0" t="n">
        <v>5</v>
      </c>
      <c r="C3392" s="19" t="n">
        <v>0</v>
      </c>
      <c r="D3392" s="19" t="n">
        <v>0.1016</v>
      </c>
      <c r="E3392" s="20" t="n">
        <f aca="false">Parametres!$B$5*C3392</f>
        <v>0</v>
      </c>
      <c r="F3392" s="20" t="n">
        <f aca="false">Parametres!$B$6*D3392</f>
        <v>20.32</v>
      </c>
      <c r="G3392" s="20" t="n">
        <f aca="false">E3392+F3392</f>
        <v>20.32</v>
      </c>
      <c r="H3392" s="20" t="n">
        <f aca="false">IF(G3392&lt;Parametres!$B$8*Parametres!$B$7,0,MIN(G3392,Parametres!$B$7))</f>
        <v>0</v>
      </c>
      <c r="I3392" s="20" t="n">
        <f aca="false">G3392-H3392</f>
        <v>20.32</v>
      </c>
      <c r="J3392" s="21" t="n">
        <f aca="false">H3392*1000/Parametres!$B$9</f>
        <v>0</v>
      </c>
    </row>
    <row r="3393" customFormat="false" ht="15" hidden="false" customHeight="false" outlineLevel="0" collapsed="false">
      <c r="A3393" s="0" t="n">
        <v>3389</v>
      </c>
      <c r="B3393" s="0" t="n">
        <v>5</v>
      </c>
      <c r="C3393" s="19" t="n">
        <v>0</v>
      </c>
      <c r="D3393" s="19" t="n">
        <v>0.0491</v>
      </c>
      <c r="E3393" s="20" t="n">
        <f aca="false">Parametres!$B$5*C3393</f>
        <v>0</v>
      </c>
      <c r="F3393" s="20" t="n">
        <f aca="false">Parametres!$B$6*D3393</f>
        <v>9.82</v>
      </c>
      <c r="G3393" s="20" t="n">
        <f aca="false">E3393+F3393</f>
        <v>9.82</v>
      </c>
      <c r="H3393" s="20" t="n">
        <f aca="false">IF(G3393&lt;Parametres!$B$8*Parametres!$B$7,0,MIN(G3393,Parametres!$B$7))</f>
        <v>0</v>
      </c>
      <c r="I3393" s="20" t="n">
        <f aca="false">G3393-H3393</f>
        <v>9.82</v>
      </c>
      <c r="J3393" s="21" t="n">
        <f aca="false">H3393*1000/Parametres!$B$9</f>
        <v>0</v>
      </c>
    </row>
    <row r="3394" customFormat="false" ht="15" hidden="false" customHeight="false" outlineLevel="0" collapsed="false">
      <c r="A3394" s="0" t="n">
        <v>3390</v>
      </c>
      <c r="B3394" s="0" t="n">
        <v>5</v>
      </c>
      <c r="C3394" s="19" t="n">
        <v>0.0483</v>
      </c>
      <c r="D3394" s="19" t="n">
        <v>0.0836</v>
      </c>
      <c r="E3394" s="20" t="n">
        <f aca="false">Parametres!$B$5*C3394</f>
        <v>14.49</v>
      </c>
      <c r="F3394" s="20" t="n">
        <f aca="false">Parametres!$B$6*D3394</f>
        <v>16.72</v>
      </c>
      <c r="G3394" s="20" t="n">
        <f aca="false">E3394+F3394</f>
        <v>31.21</v>
      </c>
      <c r="H3394" s="20" t="n">
        <f aca="false">IF(G3394&lt;Parametres!$B$8*Parametres!$B$7,0,MIN(G3394,Parametres!$B$7))</f>
        <v>31.21</v>
      </c>
      <c r="I3394" s="20" t="n">
        <f aca="false">G3394-H3394</f>
        <v>0</v>
      </c>
      <c r="J3394" s="21" t="n">
        <f aca="false">H3394*1000/Parametres!$B$9</f>
        <v>529.25216211633</v>
      </c>
    </row>
    <row r="3395" customFormat="false" ht="15" hidden="false" customHeight="false" outlineLevel="0" collapsed="false">
      <c r="A3395" s="0" t="n">
        <v>3391</v>
      </c>
      <c r="B3395" s="0" t="n">
        <v>5</v>
      </c>
      <c r="C3395" s="19" t="n">
        <v>0.3166</v>
      </c>
      <c r="D3395" s="19" t="n">
        <v>0.0864</v>
      </c>
      <c r="E3395" s="20" t="n">
        <f aca="false">Parametres!$B$5*C3395</f>
        <v>94.98</v>
      </c>
      <c r="F3395" s="20" t="n">
        <f aca="false">Parametres!$B$6*D3395</f>
        <v>17.28</v>
      </c>
      <c r="G3395" s="20" t="n">
        <f aca="false">E3395+F3395</f>
        <v>112.26</v>
      </c>
      <c r="H3395" s="20" t="n">
        <f aca="false">IF(G3395&lt;Parametres!$B$8*Parametres!$B$7,0,MIN(G3395,Parametres!$B$7))</f>
        <v>112.26</v>
      </c>
      <c r="I3395" s="20" t="n">
        <f aca="false">G3395-H3395</f>
        <v>0</v>
      </c>
      <c r="J3395" s="21" t="n">
        <f aca="false">H3395*1000/Parametres!$B$9</f>
        <v>1903.67983720536</v>
      </c>
    </row>
    <row r="3396" customFormat="false" ht="15" hidden="false" customHeight="false" outlineLevel="0" collapsed="false">
      <c r="A3396" s="0" t="n">
        <v>3392</v>
      </c>
      <c r="B3396" s="0" t="n">
        <v>5</v>
      </c>
      <c r="C3396" s="19" t="n">
        <v>0.6092</v>
      </c>
      <c r="D3396" s="19" t="n">
        <v>0.1824</v>
      </c>
      <c r="E3396" s="20" t="n">
        <f aca="false">Parametres!$B$5*C3396</f>
        <v>182.76</v>
      </c>
      <c r="F3396" s="20" t="n">
        <f aca="false">Parametres!$B$6*D3396</f>
        <v>36.48</v>
      </c>
      <c r="G3396" s="20" t="n">
        <f aca="false">E3396+F3396</f>
        <v>219.24</v>
      </c>
      <c r="H3396" s="20" t="n">
        <f aca="false">IF(G3396&lt;Parametres!$B$8*Parametres!$B$7,0,MIN(G3396,Parametres!$B$7))</f>
        <v>219.24</v>
      </c>
      <c r="I3396" s="20" t="n">
        <f aca="false">G3396-H3396</f>
        <v>0</v>
      </c>
      <c r="J3396" s="21" t="n">
        <f aca="false">H3396*1000/Parametres!$B$9</f>
        <v>3717.82262167204</v>
      </c>
    </row>
    <row r="3397" customFormat="false" ht="15" hidden="false" customHeight="false" outlineLevel="0" collapsed="false">
      <c r="A3397" s="0" t="n">
        <v>3393</v>
      </c>
      <c r="B3397" s="0" t="n">
        <v>5</v>
      </c>
      <c r="C3397" s="19" t="n">
        <v>0.8815</v>
      </c>
      <c r="D3397" s="19" t="n">
        <v>0.3019</v>
      </c>
      <c r="E3397" s="20" t="n">
        <f aca="false">Parametres!$B$5*C3397</f>
        <v>264.45</v>
      </c>
      <c r="F3397" s="20" t="n">
        <f aca="false">Parametres!$B$6*D3397</f>
        <v>60.38</v>
      </c>
      <c r="G3397" s="20" t="n">
        <f aca="false">E3397+F3397</f>
        <v>324.83</v>
      </c>
      <c r="H3397" s="20" t="n">
        <f aca="false">IF(G3397&lt;Parametres!$B$8*Parametres!$B$7,0,MIN(G3397,Parametres!$B$7))</f>
        <v>250</v>
      </c>
      <c r="I3397" s="20" t="n">
        <f aca="false">G3397-H3397</f>
        <v>74.83</v>
      </c>
      <c r="J3397" s="21" t="n">
        <f aca="false">H3397*1000/Parametres!$B$9</f>
        <v>4239.44378497541</v>
      </c>
    </row>
    <row r="3398" customFormat="false" ht="15" hidden="false" customHeight="false" outlineLevel="0" collapsed="false">
      <c r="A3398" s="0" t="n">
        <v>3394</v>
      </c>
      <c r="B3398" s="0" t="n">
        <v>5</v>
      </c>
      <c r="C3398" s="19" t="n">
        <v>1</v>
      </c>
      <c r="D3398" s="19" t="n">
        <v>0.3565</v>
      </c>
      <c r="E3398" s="20" t="n">
        <f aca="false">Parametres!$B$5*C3398</f>
        <v>300</v>
      </c>
      <c r="F3398" s="20" t="n">
        <f aca="false">Parametres!$B$6*D3398</f>
        <v>71.3</v>
      </c>
      <c r="G3398" s="20" t="n">
        <f aca="false">E3398+F3398</f>
        <v>371.3</v>
      </c>
      <c r="H3398" s="20" t="n">
        <f aca="false">IF(G3398&lt;Parametres!$B$8*Parametres!$B$7,0,MIN(G3398,Parametres!$B$7))</f>
        <v>250</v>
      </c>
      <c r="I3398" s="20" t="n">
        <f aca="false">G3398-H3398</f>
        <v>121.3</v>
      </c>
      <c r="J3398" s="21" t="n">
        <f aca="false">H3398*1000/Parametres!$B$9</f>
        <v>4239.44378497541</v>
      </c>
    </row>
    <row r="3399" customFormat="false" ht="15" hidden="false" customHeight="false" outlineLevel="0" collapsed="false">
      <c r="A3399" s="0" t="n">
        <v>3395</v>
      </c>
      <c r="B3399" s="0" t="n">
        <v>5</v>
      </c>
      <c r="C3399" s="19" t="n">
        <v>1</v>
      </c>
      <c r="D3399" s="19" t="n">
        <v>0.6045</v>
      </c>
      <c r="E3399" s="20" t="n">
        <f aca="false">Parametres!$B$5*C3399</f>
        <v>300</v>
      </c>
      <c r="F3399" s="20" t="n">
        <f aca="false">Parametres!$B$6*D3399</f>
        <v>120.9</v>
      </c>
      <c r="G3399" s="20" t="n">
        <f aca="false">E3399+F3399</f>
        <v>420.9</v>
      </c>
      <c r="H3399" s="20" t="n">
        <f aca="false">IF(G3399&lt;Parametres!$B$8*Parametres!$B$7,0,MIN(G3399,Parametres!$B$7))</f>
        <v>250</v>
      </c>
      <c r="I3399" s="20" t="n">
        <f aca="false">G3399-H3399</f>
        <v>170.9</v>
      </c>
      <c r="J3399" s="21" t="n">
        <f aca="false">H3399*1000/Parametres!$B$9</f>
        <v>4239.44378497541</v>
      </c>
    </row>
    <row r="3400" customFormat="false" ht="15" hidden="false" customHeight="false" outlineLevel="0" collapsed="false">
      <c r="A3400" s="0" t="n">
        <v>3396</v>
      </c>
      <c r="B3400" s="0" t="n">
        <v>5</v>
      </c>
      <c r="C3400" s="19" t="n">
        <v>1</v>
      </c>
      <c r="D3400" s="19" t="n">
        <v>0.7413</v>
      </c>
      <c r="E3400" s="20" t="n">
        <f aca="false">Parametres!$B$5*C3400</f>
        <v>300</v>
      </c>
      <c r="F3400" s="20" t="n">
        <f aca="false">Parametres!$B$6*D3400</f>
        <v>148.26</v>
      </c>
      <c r="G3400" s="20" t="n">
        <f aca="false">E3400+F3400</f>
        <v>448.26</v>
      </c>
      <c r="H3400" s="20" t="n">
        <f aca="false">IF(G3400&lt;Parametres!$B$8*Parametres!$B$7,0,MIN(G3400,Parametres!$B$7))</f>
        <v>250</v>
      </c>
      <c r="I3400" s="20" t="n">
        <f aca="false">G3400-H3400</f>
        <v>198.26</v>
      </c>
      <c r="J3400" s="21" t="n">
        <f aca="false">H3400*1000/Parametres!$B$9</f>
        <v>4239.44378497541</v>
      </c>
    </row>
    <row r="3401" customFormat="false" ht="15" hidden="false" customHeight="false" outlineLevel="0" collapsed="false">
      <c r="A3401" s="0" t="n">
        <v>3397</v>
      </c>
      <c r="B3401" s="0" t="n">
        <v>5</v>
      </c>
      <c r="C3401" s="19" t="n">
        <v>1</v>
      </c>
      <c r="D3401" s="19" t="n">
        <v>0.5698</v>
      </c>
      <c r="E3401" s="20" t="n">
        <f aca="false">Parametres!$B$5*C3401</f>
        <v>300</v>
      </c>
      <c r="F3401" s="20" t="n">
        <f aca="false">Parametres!$B$6*D3401</f>
        <v>113.96</v>
      </c>
      <c r="G3401" s="20" t="n">
        <f aca="false">E3401+F3401</f>
        <v>413.96</v>
      </c>
      <c r="H3401" s="20" t="n">
        <f aca="false">IF(G3401&lt;Parametres!$B$8*Parametres!$B$7,0,MIN(G3401,Parametres!$B$7))</f>
        <v>250</v>
      </c>
      <c r="I3401" s="20" t="n">
        <f aca="false">G3401-H3401</f>
        <v>163.96</v>
      </c>
      <c r="J3401" s="21" t="n">
        <f aca="false">H3401*1000/Parametres!$B$9</f>
        <v>4239.44378497541</v>
      </c>
    </row>
    <row r="3402" customFormat="false" ht="15" hidden="false" customHeight="false" outlineLevel="0" collapsed="false">
      <c r="A3402" s="0" t="n">
        <v>3398</v>
      </c>
      <c r="B3402" s="0" t="n">
        <v>5</v>
      </c>
      <c r="C3402" s="19" t="n">
        <v>1</v>
      </c>
      <c r="D3402" s="19" t="n">
        <v>0.752</v>
      </c>
      <c r="E3402" s="20" t="n">
        <f aca="false">Parametres!$B$5*C3402</f>
        <v>300</v>
      </c>
      <c r="F3402" s="20" t="n">
        <f aca="false">Parametres!$B$6*D3402</f>
        <v>150.4</v>
      </c>
      <c r="G3402" s="20" t="n">
        <f aca="false">E3402+F3402</f>
        <v>450.4</v>
      </c>
      <c r="H3402" s="20" t="n">
        <f aca="false">IF(G3402&lt;Parametres!$B$8*Parametres!$B$7,0,MIN(G3402,Parametres!$B$7))</f>
        <v>250</v>
      </c>
      <c r="I3402" s="20" t="n">
        <f aca="false">G3402-H3402</f>
        <v>200.4</v>
      </c>
      <c r="J3402" s="21" t="n">
        <f aca="false">H3402*1000/Parametres!$B$9</f>
        <v>4239.44378497541</v>
      </c>
    </row>
    <row r="3403" customFormat="false" ht="15" hidden="false" customHeight="false" outlineLevel="0" collapsed="false">
      <c r="A3403" s="0" t="n">
        <v>3399</v>
      </c>
      <c r="B3403" s="0" t="n">
        <v>5</v>
      </c>
      <c r="C3403" s="19" t="n">
        <v>1</v>
      </c>
      <c r="D3403" s="19" t="n">
        <v>0.959</v>
      </c>
      <c r="E3403" s="20" t="n">
        <f aca="false">Parametres!$B$5*C3403</f>
        <v>300</v>
      </c>
      <c r="F3403" s="20" t="n">
        <f aca="false">Parametres!$B$6*D3403</f>
        <v>191.8</v>
      </c>
      <c r="G3403" s="20" t="n">
        <f aca="false">E3403+F3403</f>
        <v>491.8</v>
      </c>
      <c r="H3403" s="20" t="n">
        <f aca="false">IF(G3403&lt;Parametres!$B$8*Parametres!$B$7,0,MIN(G3403,Parametres!$B$7))</f>
        <v>250</v>
      </c>
      <c r="I3403" s="20" t="n">
        <f aca="false">G3403-H3403</f>
        <v>241.8</v>
      </c>
      <c r="J3403" s="21" t="n">
        <f aca="false">H3403*1000/Parametres!$B$9</f>
        <v>4239.44378497541</v>
      </c>
    </row>
    <row r="3404" customFormat="false" ht="15" hidden="false" customHeight="false" outlineLevel="0" collapsed="false">
      <c r="A3404" s="0" t="n">
        <v>3400</v>
      </c>
      <c r="B3404" s="0" t="n">
        <v>5</v>
      </c>
      <c r="C3404" s="19" t="n">
        <v>0.9344</v>
      </c>
      <c r="D3404" s="19" t="n">
        <v>0.9712</v>
      </c>
      <c r="E3404" s="20" t="n">
        <f aca="false">Parametres!$B$5*C3404</f>
        <v>280.32</v>
      </c>
      <c r="F3404" s="20" t="n">
        <f aca="false">Parametres!$B$6*D3404</f>
        <v>194.24</v>
      </c>
      <c r="G3404" s="20" t="n">
        <f aca="false">E3404+F3404</f>
        <v>474.56</v>
      </c>
      <c r="H3404" s="20" t="n">
        <f aca="false">IF(G3404&lt;Parametres!$B$8*Parametres!$B$7,0,MIN(G3404,Parametres!$B$7))</f>
        <v>250</v>
      </c>
      <c r="I3404" s="20" t="n">
        <f aca="false">G3404-H3404</f>
        <v>224.56</v>
      </c>
      <c r="J3404" s="21" t="n">
        <f aca="false">H3404*1000/Parametres!$B$9</f>
        <v>4239.44378497541</v>
      </c>
    </row>
    <row r="3405" customFormat="false" ht="15" hidden="false" customHeight="false" outlineLevel="0" collapsed="false">
      <c r="A3405" s="0" t="n">
        <v>3401</v>
      </c>
      <c r="B3405" s="0" t="n">
        <v>5</v>
      </c>
      <c r="C3405" s="19" t="n">
        <v>0.5949</v>
      </c>
      <c r="D3405" s="19" t="n">
        <v>1</v>
      </c>
      <c r="E3405" s="20" t="n">
        <f aca="false">Parametres!$B$5*C3405</f>
        <v>178.47</v>
      </c>
      <c r="F3405" s="20" t="n">
        <f aca="false">Parametres!$B$6*D3405</f>
        <v>200</v>
      </c>
      <c r="G3405" s="20" t="n">
        <f aca="false">E3405+F3405</f>
        <v>378.47</v>
      </c>
      <c r="H3405" s="20" t="n">
        <f aca="false">IF(G3405&lt;Parametres!$B$8*Parametres!$B$7,0,MIN(G3405,Parametres!$B$7))</f>
        <v>250</v>
      </c>
      <c r="I3405" s="20" t="n">
        <f aca="false">G3405-H3405</f>
        <v>128.47</v>
      </c>
      <c r="J3405" s="21" t="n">
        <f aca="false">H3405*1000/Parametres!$B$9</f>
        <v>4239.44378497541</v>
      </c>
    </row>
    <row r="3406" customFormat="false" ht="15" hidden="false" customHeight="false" outlineLevel="0" collapsed="false">
      <c r="A3406" s="0" t="n">
        <v>3402</v>
      </c>
      <c r="B3406" s="0" t="n">
        <v>5</v>
      </c>
      <c r="C3406" s="19" t="n">
        <v>0.3204</v>
      </c>
      <c r="D3406" s="19" t="n">
        <v>0.932</v>
      </c>
      <c r="E3406" s="20" t="n">
        <f aca="false">Parametres!$B$5*C3406</f>
        <v>96.12</v>
      </c>
      <c r="F3406" s="20" t="n">
        <f aca="false">Parametres!$B$6*D3406</f>
        <v>186.4</v>
      </c>
      <c r="G3406" s="20" t="n">
        <f aca="false">E3406+F3406</f>
        <v>282.52</v>
      </c>
      <c r="H3406" s="20" t="n">
        <f aca="false">IF(G3406&lt;Parametres!$B$8*Parametres!$B$7,0,MIN(G3406,Parametres!$B$7))</f>
        <v>250</v>
      </c>
      <c r="I3406" s="20" t="n">
        <f aca="false">G3406-H3406</f>
        <v>32.52</v>
      </c>
      <c r="J3406" s="21" t="n">
        <f aca="false">H3406*1000/Parametres!$B$9</f>
        <v>4239.44378497541</v>
      </c>
    </row>
    <row r="3407" customFormat="false" ht="15" hidden="false" customHeight="false" outlineLevel="0" collapsed="false">
      <c r="A3407" s="0" t="n">
        <v>3403</v>
      </c>
      <c r="B3407" s="0" t="n">
        <v>5</v>
      </c>
      <c r="C3407" s="19" t="n">
        <v>0.0464</v>
      </c>
      <c r="D3407" s="19" t="n">
        <v>1</v>
      </c>
      <c r="E3407" s="20" t="n">
        <f aca="false">Parametres!$B$5*C3407</f>
        <v>13.92</v>
      </c>
      <c r="F3407" s="20" t="n">
        <f aca="false">Parametres!$B$6*D3407</f>
        <v>200</v>
      </c>
      <c r="G3407" s="20" t="n">
        <f aca="false">E3407+F3407</f>
        <v>213.92</v>
      </c>
      <c r="H3407" s="20" t="n">
        <f aca="false">IF(G3407&lt;Parametres!$B$8*Parametres!$B$7,0,MIN(G3407,Parametres!$B$7))</f>
        <v>213.92</v>
      </c>
      <c r="I3407" s="20" t="n">
        <f aca="false">G3407-H3407</f>
        <v>0</v>
      </c>
      <c r="J3407" s="21" t="n">
        <f aca="false">H3407*1000/Parametres!$B$9</f>
        <v>3627.60725792776</v>
      </c>
    </row>
    <row r="3408" customFormat="false" ht="15" hidden="false" customHeight="false" outlineLevel="0" collapsed="false">
      <c r="A3408" s="0" t="n">
        <v>3404</v>
      </c>
      <c r="B3408" s="0" t="n">
        <v>5</v>
      </c>
      <c r="C3408" s="19" t="n">
        <v>0</v>
      </c>
      <c r="D3408" s="19" t="n">
        <v>0.8617</v>
      </c>
      <c r="E3408" s="20" t="n">
        <f aca="false">Parametres!$B$5*C3408</f>
        <v>0</v>
      </c>
      <c r="F3408" s="20" t="n">
        <f aca="false">Parametres!$B$6*D3408</f>
        <v>172.34</v>
      </c>
      <c r="G3408" s="20" t="n">
        <f aca="false">E3408+F3408</f>
        <v>172.34</v>
      </c>
      <c r="H3408" s="20" t="n">
        <f aca="false">IF(G3408&lt;Parametres!$B$8*Parametres!$B$7,0,MIN(G3408,Parametres!$B$7))</f>
        <v>172.34</v>
      </c>
      <c r="I3408" s="20" t="n">
        <f aca="false">G3408-H3408</f>
        <v>0</v>
      </c>
      <c r="J3408" s="21" t="n">
        <f aca="false">H3408*1000/Parametres!$B$9</f>
        <v>2922.50296761065</v>
      </c>
    </row>
    <row r="3409" customFormat="false" ht="15" hidden="false" customHeight="false" outlineLevel="0" collapsed="false">
      <c r="A3409" s="0" t="n">
        <v>3405</v>
      </c>
      <c r="B3409" s="0" t="n">
        <v>5</v>
      </c>
      <c r="C3409" s="19" t="n">
        <v>0</v>
      </c>
      <c r="D3409" s="19" t="n">
        <v>0.4626</v>
      </c>
      <c r="E3409" s="20" t="n">
        <f aca="false">Parametres!$B$5*C3409</f>
        <v>0</v>
      </c>
      <c r="F3409" s="20" t="n">
        <f aca="false">Parametres!$B$6*D3409</f>
        <v>92.52</v>
      </c>
      <c r="G3409" s="20" t="n">
        <f aca="false">E3409+F3409</f>
        <v>92.52</v>
      </c>
      <c r="H3409" s="20" t="n">
        <f aca="false">IF(G3409&lt;Parametres!$B$8*Parametres!$B$7,0,MIN(G3409,Parametres!$B$7))</f>
        <v>92.52</v>
      </c>
      <c r="I3409" s="20" t="n">
        <f aca="false">G3409-H3409</f>
        <v>0</v>
      </c>
      <c r="J3409" s="21" t="n">
        <f aca="false">H3409*1000/Parametres!$B$9</f>
        <v>1568.9333559437</v>
      </c>
    </row>
    <row r="3410" customFormat="false" ht="15" hidden="false" customHeight="false" outlineLevel="0" collapsed="false">
      <c r="A3410" s="0" t="n">
        <v>3406</v>
      </c>
      <c r="B3410" s="0" t="n">
        <v>5</v>
      </c>
      <c r="C3410" s="19" t="n">
        <v>0</v>
      </c>
      <c r="D3410" s="19" t="n">
        <v>0.3786</v>
      </c>
      <c r="E3410" s="20" t="n">
        <f aca="false">Parametres!$B$5*C3410</f>
        <v>0</v>
      </c>
      <c r="F3410" s="20" t="n">
        <f aca="false">Parametres!$B$6*D3410</f>
        <v>75.72</v>
      </c>
      <c r="G3410" s="20" t="n">
        <f aca="false">E3410+F3410</f>
        <v>75.72</v>
      </c>
      <c r="H3410" s="20" t="n">
        <f aca="false">IF(G3410&lt;Parametres!$B$8*Parametres!$B$7,0,MIN(G3410,Parametres!$B$7))</f>
        <v>75.72</v>
      </c>
      <c r="I3410" s="20" t="n">
        <f aca="false">G3410-H3410</f>
        <v>0</v>
      </c>
      <c r="J3410" s="21" t="n">
        <f aca="false">H3410*1000/Parametres!$B$9</f>
        <v>1284.04273359335</v>
      </c>
    </row>
    <row r="3411" customFormat="false" ht="15" hidden="false" customHeight="false" outlineLevel="0" collapsed="false">
      <c r="A3411" s="0" t="n">
        <v>3407</v>
      </c>
      <c r="B3411" s="0" t="n">
        <v>5</v>
      </c>
      <c r="C3411" s="19" t="n">
        <v>0</v>
      </c>
      <c r="D3411" s="19" t="n">
        <v>0.6027</v>
      </c>
      <c r="E3411" s="20" t="n">
        <f aca="false">Parametres!$B$5*C3411</f>
        <v>0</v>
      </c>
      <c r="F3411" s="20" t="n">
        <f aca="false">Parametres!$B$6*D3411</f>
        <v>120.54</v>
      </c>
      <c r="G3411" s="20" t="n">
        <f aca="false">E3411+F3411</f>
        <v>120.54</v>
      </c>
      <c r="H3411" s="20" t="n">
        <f aca="false">IF(G3411&lt;Parametres!$B$8*Parametres!$B$7,0,MIN(G3411,Parametres!$B$7))</f>
        <v>120.54</v>
      </c>
      <c r="I3411" s="20" t="n">
        <f aca="false">G3411-H3411</f>
        <v>0</v>
      </c>
      <c r="J3411" s="21" t="n">
        <f aca="false">H3411*1000/Parametres!$B$9</f>
        <v>2044.09021536374</v>
      </c>
    </row>
    <row r="3412" customFormat="false" ht="15" hidden="false" customHeight="false" outlineLevel="0" collapsed="false">
      <c r="A3412" s="0" t="n">
        <v>3408</v>
      </c>
      <c r="B3412" s="0" t="n">
        <v>5</v>
      </c>
      <c r="C3412" s="19" t="n">
        <v>0</v>
      </c>
      <c r="D3412" s="19" t="n">
        <v>0.6998</v>
      </c>
      <c r="E3412" s="20" t="n">
        <f aca="false">Parametres!$B$5*C3412</f>
        <v>0</v>
      </c>
      <c r="F3412" s="20" t="n">
        <f aca="false">Parametres!$B$6*D3412</f>
        <v>139.96</v>
      </c>
      <c r="G3412" s="20" t="n">
        <f aca="false">E3412+F3412</f>
        <v>139.96</v>
      </c>
      <c r="H3412" s="20" t="n">
        <f aca="false">IF(G3412&lt;Parametres!$B$8*Parametres!$B$7,0,MIN(G3412,Parametres!$B$7))</f>
        <v>139.96</v>
      </c>
      <c r="I3412" s="20" t="n">
        <f aca="false">G3412-H3412</f>
        <v>0</v>
      </c>
      <c r="J3412" s="21" t="n">
        <f aca="false">H3412*1000/Parametres!$B$9</f>
        <v>2373.41020858063</v>
      </c>
    </row>
    <row r="3413" customFormat="false" ht="15" hidden="false" customHeight="false" outlineLevel="0" collapsed="false">
      <c r="A3413" s="0" t="n">
        <v>3409</v>
      </c>
      <c r="B3413" s="0" t="n">
        <v>5</v>
      </c>
      <c r="C3413" s="19" t="n">
        <v>0</v>
      </c>
      <c r="D3413" s="19" t="n">
        <v>0.9785</v>
      </c>
      <c r="E3413" s="20" t="n">
        <f aca="false">Parametres!$B$5*C3413</f>
        <v>0</v>
      </c>
      <c r="F3413" s="20" t="n">
        <f aca="false">Parametres!$B$6*D3413</f>
        <v>195.7</v>
      </c>
      <c r="G3413" s="20" t="n">
        <f aca="false">E3413+F3413</f>
        <v>195.7</v>
      </c>
      <c r="H3413" s="20" t="n">
        <f aca="false">IF(G3413&lt;Parametres!$B$8*Parametres!$B$7,0,MIN(G3413,Parametres!$B$7))</f>
        <v>195.7</v>
      </c>
      <c r="I3413" s="20" t="n">
        <f aca="false">G3413-H3413</f>
        <v>0</v>
      </c>
      <c r="J3413" s="21" t="n">
        <f aca="false">H3413*1000/Parametres!$B$9</f>
        <v>3318.63659487875</v>
      </c>
    </row>
    <row r="3414" customFormat="false" ht="15" hidden="false" customHeight="false" outlineLevel="0" collapsed="false">
      <c r="A3414" s="0" t="n">
        <v>3410</v>
      </c>
      <c r="B3414" s="0" t="n">
        <v>5</v>
      </c>
      <c r="C3414" s="19" t="n">
        <v>0</v>
      </c>
      <c r="D3414" s="19" t="n">
        <v>0.8792</v>
      </c>
      <c r="E3414" s="20" t="n">
        <f aca="false">Parametres!$B$5*C3414</f>
        <v>0</v>
      </c>
      <c r="F3414" s="20" t="n">
        <f aca="false">Parametres!$B$6*D3414</f>
        <v>175.84</v>
      </c>
      <c r="G3414" s="20" t="n">
        <f aca="false">E3414+F3414</f>
        <v>175.84</v>
      </c>
      <c r="H3414" s="20" t="n">
        <f aca="false">IF(G3414&lt;Parametres!$B$8*Parametres!$B$7,0,MIN(G3414,Parametres!$B$7))</f>
        <v>175.84</v>
      </c>
      <c r="I3414" s="20" t="n">
        <f aca="false">G3414-H3414</f>
        <v>0</v>
      </c>
      <c r="J3414" s="21" t="n">
        <f aca="false">H3414*1000/Parametres!$B$9</f>
        <v>2981.85518060031</v>
      </c>
    </row>
    <row r="3415" customFormat="false" ht="15" hidden="false" customHeight="false" outlineLevel="0" collapsed="false">
      <c r="A3415" s="0" t="n">
        <v>3411</v>
      </c>
      <c r="B3415" s="0" t="n">
        <v>5</v>
      </c>
      <c r="C3415" s="19" t="n">
        <v>0</v>
      </c>
      <c r="D3415" s="19" t="n">
        <v>0.7178</v>
      </c>
      <c r="E3415" s="20" t="n">
        <f aca="false">Parametres!$B$5*C3415</f>
        <v>0</v>
      </c>
      <c r="F3415" s="20" t="n">
        <f aca="false">Parametres!$B$6*D3415</f>
        <v>143.56</v>
      </c>
      <c r="G3415" s="20" t="n">
        <f aca="false">E3415+F3415</f>
        <v>143.56</v>
      </c>
      <c r="H3415" s="20" t="n">
        <f aca="false">IF(G3415&lt;Parametres!$B$8*Parametres!$B$7,0,MIN(G3415,Parametres!$B$7))</f>
        <v>143.56</v>
      </c>
      <c r="I3415" s="20" t="n">
        <f aca="false">G3415-H3415</f>
        <v>0</v>
      </c>
      <c r="J3415" s="21" t="n">
        <f aca="false">H3415*1000/Parametres!$B$9</f>
        <v>2434.45819908428</v>
      </c>
    </row>
    <row r="3416" customFormat="false" ht="15" hidden="false" customHeight="false" outlineLevel="0" collapsed="false">
      <c r="A3416" s="0" t="n">
        <v>3412</v>
      </c>
      <c r="B3416" s="0" t="n">
        <v>5</v>
      </c>
      <c r="C3416" s="19" t="n">
        <v>0</v>
      </c>
      <c r="D3416" s="19" t="n">
        <v>0.4893</v>
      </c>
      <c r="E3416" s="20" t="n">
        <f aca="false">Parametres!$B$5*C3416</f>
        <v>0</v>
      </c>
      <c r="F3416" s="20" t="n">
        <f aca="false">Parametres!$B$6*D3416</f>
        <v>97.86</v>
      </c>
      <c r="G3416" s="20" t="n">
        <f aca="false">E3416+F3416</f>
        <v>97.86</v>
      </c>
      <c r="H3416" s="20" t="n">
        <f aca="false">IF(G3416&lt;Parametres!$B$8*Parametres!$B$7,0,MIN(G3416,Parametres!$B$7))</f>
        <v>97.86</v>
      </c>
      <c r="I3416" s="20" t="n">
        <f aca="false">G3416-H3416</f>
        <v>0</v>
      </c>
      <c r="J3416" s="21" t="n">
        <f aca="false">H3416*1000/Parametres!$B$9</f>
        <v>1659.48787519078</v>
      </c>
    </row>
    <row r="3417" customFormat="false" ht="15" hidden="false" customHeight="false" outlineLevel="0" collapsed="false">
      <c r="A3417" s="0" t="n">
        <v>3413</v>
      </c>
      <c r="B3417" s="0" t="n">
        <v>5</v>
      </c>
      <c r="C3417" s="19" t="n">
        <v>0</v>
      </c>
      <c r="D3417" s="19" t="n">
        <v>0.5076</v>
      </c>
      <c r="E3417" s="20" t="n">
        <f aca="false">Parametres!$B$5*C3417</f>
        <v>0</v>
      </c>
      <c r="F3417" s="20" t="n">
        <f aca="false">Parametres!$B$6*D3417</f>
        <v>101.52</v>
      </c>
      <c r="G3417" s="20" t="n">
        <f aca="false">E3417+F3417</f>
        <v>101.52</v>
      </c>
      <c r="H3417" s="20" t="n">
        <f aca="false">IF(G3417&lt;Parametres!$B$8*Parametres!$B$7,0,MIN(G3417,Parametres!$B$7))</f>
        <v>101.52</v>
      </c>
      <c r="I3417" s="20" t="n">
        <f aca="false">G3417-H3417</f>
        <v>0</v>
      </c>
      <c r="J3417" s="21" t="n">
        <f aca="false">H3417*1000/Parametres!$B$9</f>
        <v>1721.55333220282</v>
      </c>
    </row>
    <row r="3418" customFormat="false" ht="15" hidden="false" customHeight="false" outlineLevel="0" collapsed="false">
      <c r="A3418" s="0" t="n">
        <v>3414</v>
      </c>
      <c r="B3418" s="0" t="n">
        <v>5</v>
      </c>
      <c r="C3418" s="19" t="n">
        <v>0.0426</v>
      </c>
      <c r="D3418" s="19" t="n">
        <v>0.7118</v>
      </c>
      <c r="E3418" s="20" t="n">
        <f aca="false">Parametres!$B$5*C3418</f>
        <v>12.78</v>
      </c>
      <c r="F3418" s="20" t="n">
        <f aca="false">Parametres!$B$6*D3418</f>
        <v>142.36</v>
      </c>
      <c r="G3418" s="20" t="n">
        <f aca="false">E3418+F3418</f>
        <v>155.14</v>
      </c>
      <c r="H3418" s="20" t="n">
        <f aca="false">IF(G3418&lt;Parametres!$B$8*Parametres!$B$7,0,MIN(G3418,Parametres!$B$7))</f>
        <v>155.14</v>
      </c>
      <c r="I3418" s="20" t="n">
        <f aca="false">G3418-H3418</f>
        <v>0</v>
      </c>
      <c r="J3418" s="21" t="n">
        <f aca="false">H3418*1000/Parametres!$B$9</f>
        <v>2630.82923520434</v>
      </c>
    </row>
    <row r="3419" customFormat="false" ht="15" hidden="false" customHeight="false" outlineLevel="0" collapsed="false">
      <c r="A3419" s="0" t="n">
        <v>3415</v>
      </c>
      <c r="B3419" s="0" t="n">
        <v>5</v>
      </c>
      <c r="C3419" s="19" t="n">
        <v>0.2724</v>
      </c>
      <c r="D3419" s="19" t="n">
        <v>0.9484</v>
      </c>
      <c r="E3419" s="20" t="n">
        <f aca="false">Parametres!$B$5*C3419</f>
        <v>81.72</v>
      </c>
      <c r="F3419" s="20" t="n">
        <f aca="false">Parametres!$B$6*D3419</f>
        <v>189.68</v>
      </c>
      <c r="G3419" s="20" t="n">
        <f aca="false">E3419+F3419</f>
        <v>271.4</v>
      </c>
      <c r="H3419" s="20" t="n">
        <f aca="false">IF(G3419&lt;Parametres!$B$8*Parametres!$B$7,0,MIN(G3419,Parametres!$B$7))</f>
        <v>250</v>
      </c>
      <c r="I3419" s="20" t="n">
        <f aca="false">G3419-H3419</f>
        <v>21.4</v>
      </c>
      <c r="J3419" s="21" t="n">
        <f aca="false">H3419*1000/Parametres!$B$9</f>
        <v>4239.44378497541</v>
      </c>
    </row>
    <row r="3420" customFormat="false" ht="15" hidden="false" customHeight="false" outlineLevel="0" collapsed="false">
      <c r="A3420" s="0" t="n">
        <v>3416</v>
      </c>
      <c r="B3420" s="0" t="n">
        <v>5</v>
      </c>
      <c r="C3420" s="19" t="n">
        <v>0.5286</v>
      </c>
      <c r="D3420" s="19" t="n">
        <v>1</v>
      </c>
      <c r="E3420" s="20" t="n">
        <f aca="false">Parametres!$B$5*C3420</f>
        <v>158.58</v>
      </c>
      <c r="F3420" s="20" t="n">
        <f aca="false">Parametres!$B$6*D3420</f>
        <v>200</v>
      </c>
      <c r="G3420" s="20" t="n">
        <f aca="false">E3420+F3420</f>
        <v>358.58</v>
      </c>
      <c r="H3420" s="20" t="n">
        <f aca="false">IF(G3420&lt;Parametres!$B$8*Parametres!$B$7,0,MIN(G3420,Parametres!$B$7))</f>
        <v>250</v>
      </c>
      <c r="I3420" s="20" t="n">
        <f aca="false">G3420-H3420</f>
        <v>108.58</v>
      </c>
      <c r="J3420" s="21" t="n">
        <f aca="false">H3420*1000/Parametres!$B$9</f>
        <v>4239.44378497541</v>
      </c>
    </row>
    <row r="3421" customFormat="false" ht="15" hidden="false" customHeight="false" outlineLevel="0" collapsed="false">
      <c r="A3421" s="0" t="n">
        <v>3417</v>
      </c>
      <c r="B3421" s="0" t="n">
        <v>5</v>
      </c>
      <c r="C3421" s="19" t="n">
        <v>0.8271</v>
      </c>
      <c r="D3421" s="19" t="n">
        <v>1</v>
      </c>
      <c r="E3421" s="20" t="n">
        <f aca="false">Parametres!$B$5*C3421</f>
        <v>248.13</v>
      </c>
      <c r="F3421" s="20" t="n">
        <f aca="false">Parametres!$B$6*D3421</f>
        <v>200</v>
      </c>
      <c r="G3421" s="20" t="n">
        <f aca="false">E3421+F3421</f>
        <v>448.13</v>
      </c>
      <c r="H3421" s="20" t="n">
        <f aca="false">IF(G3421&lt;Parametres!$B$8*Parametres!$B$7,0,MIN(G3421,Parametres!$B$7))</f>
        <v>250</v>
      </c>
      <c r="I3421" s="20" t="n">
        <f aca="false">G3421-H3421</f>
        <v>198.13</v>
      </c>
      <c r="J3421" s="21" t="n">
        <f aca="false">H3421*1000/Parametres!$B$9</f>
        <v>4239.44378497541</v>
      </c>
    </row>
    <row r="3422" customFormat="false" ht="15" hidden="false" customHeight="false" outlineLevel="0" collapsed="false">
      <c r="A3422" s="0" t="n">
        <v>3418</v>
      </c>
      <c r="B3422" s="0" t="n">
        <v>5</v>
      </c>
      <c r="C3422" s="19" t="n">
        <v>0.93</v>
      </c>
      <c r="D3422" s="19" t="n">
        <v>1</v>
      </c>
      <c r="E3422" s="20" t="n">
        <f aca="false">Parametres!$B$5*C3422</f>
        <v>279</v>
      </c>
      <c r="F3422" s="20" t="n">
        <f aca="false">Parametres!$B$6*D3422</f>
        <v>200</v>
      </c>
      <c r="G3422" s="20" t="n">
        <f aca="false">E3422+F3422</f>
        <v>479</v>
      </c>
      <c r="H3422" s="20" t="n">
        <f aca="false">IF(G3422&lt;Parametres!$B$8*Parametres!$B$7,0,MIN(G3422,Parametres!$B$7))</f>
        <v>250</v>
      </c>
      <c r="I3422" s="20" t="n">
        <f aca="false">G3422-H3422</f>
        <v>229</v>
      </c>
      <c r="J3422" s="21" t="n">
        <f aca="false">H3422*1000/Parametres!$B$9</f>
        <v>4239.44378497541</v>
      </c>
    </row>
    <row r="3423" customFormat="false" ht="15" hidden="false" customHeight="false" outlineLevel="0" collapsed="false">
      <c r="A3423" s="0" t="n">
        <v>3419</v>
      </c>
      <c r="B3423" s="0" t="n">
        <v>5</v>
      </c>
      <c r="C3423" s="19" t="n">
        <v>1</v>
      </c>
      <c r="D3423" s="19" t="n">
        <v>1</v>
      </c>
      <c r="E3423" s="20" t="n">
        <f aca="false">Parametres!$B$5*C3423</f>
        <v>300</v>
      </c>
      <c r="F3423" s="20" t="n">
        <f aca="false">Parametres!$B$6*D3423</f>
        <v>200</v>
      </c>
      <c r="G3423" s="20" t="n">
        <f aca="false">E3423+F3423</f>
        <v>500</v>
      </c>
      <c r="H3423" s="20" t="n">
        <f aca="false">IF(G3423&lt;Parametres!$B$8*Parametres!$B$7,0,MIN(G3423,Parametres!$B$7))</f>
        <v>250</v>
      </c>
      <c r="I3423" s="20" t="n">
        <f aca="false">G3423-H3423</f>
        <v>250</v>
      </c>
      <c r="J3423" s="21" t="n">
        <f aca="false">H3423*1000/Parametres!$B$9</f>
        <v>4239.44378497541</v>
      </c>
    </row>
    <row r="3424" customFormat="false" ht="15" hidden="false" customHeight="false" outlineLevel="0" collapsed="false">
      <c r="A3424" s="0" t="n">
        <v>3420</v>
      </c>
      <c r="B3424" s="0" t="n">
        <v>5</v>
      </c>
      <c r="C3424" s="19" t="n">
        <v>1</v>
      </c>
      <c r="D3424" s="19" t="n">
        <v>1</v>
      </c>
      <c r="E3424" s="20" t="n">
        <f aca="false">Parametres!$B$5*C3424</f>
        <v>300</v>
      </c>
      <c r="F3424" s="20" t="n">
        <f aca="false">Parametres!$B$6*D3424</f>
        <v>200</v>
      </c>
      <c r="G3424" s="20" t="n">
        <f aca="false">E3424+F3424</f>
        <v>500</v>
      </c>
      <c r="H3424" s="20" t="n">
        <f aca="false">IF(G3424&lt;Parametres!$B$8*Parametres!$B$7,0,MIN(G3424,Parametres!$B$7))</f>
        <v>250</v>
      </c>
      <c r="I3424" s="20" t="n">
        <f aca="false">G3424-H3424</f>
        <v>250</v>
      </c>
      <c r="J3424" s="21" t="n">
        <f aca="false">H3424*1000/Parametres!$B$9</f>
        <v>4239.44378497541</v>
      </c>
    </row>
    <row r="3425" customFormat="false" ht="15" hidden="false" customHeight="false" outlineLevel="0" collapsed="false">
      <c r="A3425" s="0" t="n">
        <v>3421</v>
      </c>
      <c r="B3425" s="0" t="n">
        <v>5</v>
      </c>
      <c r="C3425" s="19" t="n">
        <v>1</v>
      </c>
      <c r="D3425" s="19" t="n">
        <v>1</v>
      </c>
      <c r="E3425" s="20" t="n">
        <f aca="false">Parametres!$B$5*C3425</f>
        <v>300</v>
      </c>
      <c r="F3425" s="20" t="n">
        <f aca="false">Parametres!$B$6*D3425</f>
        <v>200</v>
      </c>
      <c r="G3425" s="20" t="n">
        <f aca="false">E3425+F3425</f>
        <v>500</v>
      </c>
      <c r="H3425" s="20" t="n">
        <f aca="false">IF(G3425&lt;Parametres!$B$8*Parametres!$B$7,0,MIN(G3425,Parametres!$B$7))</f>
        <v>250</v>
      </c>
      <c r="I3425" s="20" t="n">
        <f aca="false">G3425-H3425</f>
        <v>250</v>
      </c>
      <c r="J3425" s="21" t="n">
        <f aca="false">H3425*1000/Parametres!$B$9</f>
        <v>4239.44378497541</v>
      </c>
    </row>
    <row r="3426" customFormat="false" ht="15" hidden="false" customHeight="false" outlineLevel="0" collapsed="false">
      <c r="A3426" s="0" t="n">
        <v>3422</v>
      </c>
      <c r="B3426" s="0" t="n">
        <v>5</v>
      </c>
      <c r="C3426" s="19" t="n">
        <v>1</v>
      </c>
      <c r="D3426" s="19" t="n">
        <v>1</v>
      </c>
      <c r="E3426" s="20" t="n">
        <f aca="false">Parametres!$B$5*C3426</f>
        <v>300</v>
      </c>
      <c r="F3426" s="20" t="n">
        <f aca="false">Parametres!$B$6*D3426</f>
        <v>200</v>
      </c>
      <c r="G3426" s="20" t="n">
        <f aca="false">E3426+F3426</f>
        <v>500</v>
      </c>
      <c r="H3426" s="20" t="n">
        <f aca="false">IF(G3426&lt;Parametres!$B$8*Parametres!$B$7,0,MIN(G3426,Parametres!$B$7))</f>
        <v>250</v>
      </c>
      <c r="I3426" s="20" t="n">
        <f aca="false">G3426-H3426</f>
        <v>250</v>
      </c>
      <c r="J3426" s="21" t="n">
        <f aca="false">H3426*1000/Parametres!$B$9</f>
        <v>4239.44378497541</v>
      </c>
    </row>
    <row r="3427" customFormat="false" ht="15" hidden="false" customHeight="false" outlineLevel="0" collapsed="false">
      <c r="A3427" s="0" t="n">
        <v>3423</v>
      </c>
      <c r="B3427" s="0" t="n">
        <v>5</v>
      </c>
      <c r="C3427" s="19" t="n">
        <v>0.9185</v>
      </c>
      <c r="D3427" s="19" t="n">
        <v>1</v>
      </c>
      <c r="E3427" s="20" t="n">
        <f aca="false">Parametres!$B$5*C3427</f>
        <v>275.55</v>
      </c>
      <c r="F3427" s="20" t="n">
        <f aca="false">Parametres!$B$6*D3427</f>
        <v>200</v>
      </c>
      <c r="G3427" s="20" t="n">
        <f aca="false">E3427+F3427</f>
        <v>475.55</v>
      </c>
      <c r="H3427" s="20" t="n">
        <f aca="false">IF(G3427&lt;Parametres!$B$8*Parametres!$B$7,0,MIN(G3427,Parametres!$B$7))</f>
        <v>250</v>
      </c>
      <c r="I3427" s="20" t="n">
        <f aca="false">G3427-H3427</f>
        <v>225.55</v>
      </c>
      <c r="J3427" s="21" t="n">
        <f aca="false">H3427*1000/Parametres!$B$9</f>
        <v>4239.44378497541</v>
      </c>
    </row>
    <row r="3428" customFormat="false" ht="15" hidden="false" customHeight="false" outlineLevel="0" collapsed="false">
      <c r="A3428" s="0" t="n">
        <v>3424</v>
      </c>
      <c r="B3428" s="0" t="n">
        <v>5</v>
      </c>
      <c r="C3428" s="19" t="n">
        <v>0.7176</v>
      </c>
      <c r="D3428" s="19" t="n">
        <v>1</v>
      </c>
      <c r="E3428" s="20" t="n">
        <f aca="false">Parametres!$B$5*C3428</f>
        <v>215.28</v>
      </c>
      <c r="F3428" s="20" t="n">
        <f aca="false">Parametres!$B$6*D3428</f>
        <v>200</v>
      </c>
      <c r="G3428" s="20" t="n">
        <f aca="false">E3428+F3428</f>
        <v>415.28</v>
      </c>
      <c r="H3428" s="20" t="n">
        <f aca="false">IF(G3428&lt;Parametres!$B$8*Parametres!$B$7,0,MIN(G3428,Parametres!$B$7))</f>
        <v>250</v>
      </c>
      <c r="I3428" s="20" t="n">
        <f aca="false">G3428-H3428</f>
        <v>165.28</v>
      </c>
      <c r="J3428" s="21" t="n">
        <f aca="false">H3428*1000/Parametres!$B$9</f>
        <v>4239.44378497541</v>
      </c>
    </row>
    <row r="3429" customFormat="false" ht="15" hidden="false" customHeight="false" outlineLevel="0" collapsed="false">
      <c r="A3429" s="0" t="n">
        <v>3425</v>
      </c>
      <c r="B3429" s="0" t="n">
        <v>5</v>
      </c>
      <c r="C3429" s="19" t="n">
        <v>0.542</v>
      </c>
      <c r="D3429" s="19" t="n">
        <v>1</v>
      </c>
      <c r="E3429" s="20" t="n">
        <f aca="false">Parametres!$B$5*C3429</f>
        <v>162.6</v>
      </c>
      <c r="F3429" s="20" t="n">
        <f aca="false">Parametres!$B$6*D3429</f>
        <v>200</v>
      </c>
      <c r="G3429" s="20" t="n">
        <f aca="false">E3429+F3429</f>
        <v>362.6</v>
      </c>
      <c r="H3429" s="20" t="n">
        <f aca="false">IF(G3429&lt;Parametres!$B$8*Parametres!$B$7,0,MIN(G3429,Parametres!$B$7))</f>
        <v>250</v>
      </c>
      <c r="I3429" s="20" t="n">
        <f aca="false">G3429-H3429</f>
        <v>112.6</v>
      </c>
      <c r="J3429" s="21" t="n">
        <f aca="false">H3429*1000/Parametres!$B$9</f>
        <v>4239.44378497541</v>
      </c>
    </row>
    <row r="3430" customFormat="false" ht="15" hidden="false" customHeight="false" outlineLevel="0" collapsed="false">
      <c r="A3430" s="0" t="n">
        <v>3426</v>
      </c>
      <c r="B3430" s="0" t="n">
        <v>5</v>
      </c>
      <c r="C3430" s="19" t="n">
        <v>0.2596</v>
      </c>
      <c r="D3430" s="19" t="n">
        <v>1</v>
      </c>
      <c r="E3430" s="20" t="n">
        <f aca="false">Parametres!$B$5*C3430</f>
        <v>77.88</v>
      </c>
      <c r="F3430" s="20" t="n">
        <f aca="false">Parametres!$B$6*D3430</f>
        <v>200</v>
      </c>
      <c r="G3430" s="20" t="n">
        <f aca="false">E3430+F3430</f>
        <v>277.88</v>
      </c>
      <c r="H3430" s="20" t="n">
        <f aca="false">IF(G3430&lt;Parametres!$B$8*Parametres!$B$7,0,MIN(G3430,Parametres!$B$7))</f>
        <v>250</v>
      </c>
      <c r="I3430" s="20" t="n">
        <f aca="false">G3430-H3430</f>
        <v>27.88</v>
      </c>
      <c r="J3430" s="21" t="n">
        <f aca="false">H3430*1000/Parametres!$B$9</f>
        <v>4239.44378497541</v>
      </c>
    </row>
    <row r="3431" customFormat="false" ht="15" hidden="false" customHeight="false" outlineLevel="0" collapsed="false">
      <c r="A3431" s="0" t="n">
        <v>3427</v>
      </c>
      <c r="B3431" s="0" t="n">
        <v>5</v>
      </c>
      <c r="C3431" s="19" t="n">
        <v>0.0464</v>
      </c>
      <c r="D3431" s="19" t="n">
        <v>1</v>
      </c>
      <c r="E3431" s="20" t="n">
        <f aca="false">Parametres!$B$5*C3431</f>
        <v>13.92</v>
      </c>
      <c r="F3431" s="20" t="n">
        <f aca="false">Parametres!$B$6*D3431</f>
        <v>200</v>
      </c>
      <c r="G3431" s="20" t="n">
        <f aca="false">E3431+F3431</f>
        <v>213.92</v>
      </c>
      <c r="H3431" s="20" t="n">
        <f aca="false">IF(G3431&lt;Parametres!$B$8*Parametres!$B$7,0,MIN(G3431,Parametres!$B$7))</f>
        <v>213.92</v>
      </c>
      <c r="I3431" s="20" t="n">
        <f aca="false">G3431-H3431</f>
        <v>0</v>
      </c>
      <c r="J3431" s="21" t="n">
        <f aca="false">H3431*1000/Parametres!$B$9</f>
        <v>3627.60725792776</v>
      </c>
    </row>
    <row r="3432" customFormat="false" ht="15" hidden="false" customHeight="false" outlineLevel="0" collapsed="false">
      <c r="A3432" s="0" t="n">
        <v>3428</v>
      </c>
      <c r="B3432" s="0" t="n">
        <v>5</v>
      </c>
      <c r="C3432" s="19" t="n">
        <v>0</v>
      </c>
      <c r="D3432" s="19" t="n">
        <v>1</v>
      </c>
      <c r="E3432" s="20" t="n">
        <f aca="false">Parametres!$B$5*C3432</f>
        <v>0</v>
      </c>
      <c r="F3432" s="20" t="n">
        <f aca="false">Parametres!$B$6*D3432</f>
        <v>200</v>
      </c>
      <c r="G3432" s="20" t="n">
        <f aca="false">E3432+F3432</f>
        <v>200</v>
      </c>
      <c r="H3432" s="20" t="n">
        <f aca="false">IF(G3432&lt;Parametres!$B$8*Parametres!$B$7,0,MIN(G3432,Parametres!$B$7))</f>
        <v>200</v>
      </c>
      <c r="I3432" s="20" t="n">
        <f aca="false">G3432-H3432</f>
        <v>0</v>
      </c>
      <c r="J3432" s="21" t="n">
        <f aca="false">H3432*1000/Parametres!$B$9</f>
        <v>3391.55502798033</v>
      </c>
    </row>
    <row r="3433" customFormat="false" ht="15" hidden="false" customHeight="false" outlineLevel="0" collapsed="false">
      <c r="A3433" s="0" t="n">
        <v>3429</v>
      </c>
      <c r="B3433" s="0" t="n">
        <v>5</v>
      </c>
      <c r="C3433" s="19" t="n">
        <v>0</v>
      </c>
      <c r="D3433" s="19" t="n">
        <v>1</v>
      </c>
      <c r="E3433" s="20" t="n">
        <f aca="false">Parametres!$B$5*C3433</f>
        <v>0</v>
      </c>
      <c r="F3433" s="20" t="n">
        <f aca="false">Parametres!$B$6*D3433</f>
        <v>200</v>
      </c>
      <c r="G3433" s="20" t="n">
        <f aca="false">E3433+F3433</f>
        <v>200</v>
      </c>
      <c r="H3433" s="20" t="n">
        <f aca="false">IF(G3433&lt;Parametres!$B$8*Parametres!$B$7,0,MIN(G3433,Parametres!$B$7))</f>
        <v>200</v>
      </c>
      <c r="I3433" s="20" t="n">
        <f aca="false">G3433-H3433</f>
        <v>0</v>
      </c>
      <c r="J3433" s="21" t="n">
        <f aca="false">H3433*1000/Parametres!$B$9</f>
        <v>3391.55502798033</v>
      </c>
    </row>
    <row r="3434" customFormat="false" ht="15" hidden="false" customHeight="false" outlineLevel="0" collapsed="false">
      <c r="A3434" s="0" t="n">
        <v>3430</v>
      </c>
      <c r="B3434" s="0" t="n">
        <v>5</v>
      </c>
      <c r="C3434" s="19" t="n">
        <v>0</v>
      </c>
      <c r="D3434" s="19" t="n">
        <v>1</v>
      </c>
      <c r="E3434" s="20" t="n">
        <f aca="false">Parametres!$B$5*C3434</f>
        <v>0</v>
      </c>
      <c r="F3434" s="20" t="n">
        <f aca="false">Parametres!$B$6*D3434</f>
        <v>200</v>
      </c>
      <c r="G3434" s="20" t="n">
        <f aca="false">E3434+F3434</f>
        <v>200</v>
      </c>
      <c r="H3434" s="20" t="n">
        <f aca="false">IF(G3434&lt;Parametres!$B$8*Parametres!$B$7,0,MIN(G3434,Parametres!$B$7))</f>
        <v>200</v>
      </c>
      <c r="I3434" s="20" t="n">
        <f aca="false">G3434-H3434</f>
        <v>0</v>
      </c>
      <c r="J3434" s="21" t="n">
        <f aca="false">H3434*1000/Parametres!$B$9</f>
        <v>3391.55502798033</v>
      </c>
    </row>
    <row r="3435" customFormat="false" ht="15" hidden="false" customHeight="false" outlineLevel="0" collapsed="false">
      <c r="A3435" s="0" t="n">
        <v>3431</v>
      </c>
      <c r="B3435" s="0" t="n">
        <v>5</v>
      </c>
      <c r="C3435" s="19" t="n">
        <v>0</v>
      </c>
      <c r="D3435" s="19" t="n">
        <v>1</v>
      </c>
      <c r="E3435" s="20" t="n">
        <f aca="false">Parametres!$B$5*C3435</f>
        <v>0</v>
      </c>
      <c r="F3435" s="20" t="n">
        <f aca="false">Parametres!$B$6*D3435</f>
        <v>200</v>
      </c>
      <c r="G3435" s="20" t="n">
        <f aca="false">E3435+F3435</f>
        <v>200</v>
      </c>
      <c r="H3435" s="20" t="n">
        <f aca="false">IF(G3435&lt;Parametres!$B$8*Parametres!$B$7,0,MIN(G3435,Parametres!$B$7))</f>
        <v>200</v>
      </c>
      <c r="I3435" s="20" t="n">
        <f aca="false">G3435-H3435</f>
        <v>0</v>
      </c>
      <c r="J3435" s="21" t="n">
        <f aca="false">H3435*1000/Parametres!$B$9</f>
        <v>3391.55502798033</v>
      </c>
    </row>
    <row r="3436" customFormat="false" ht="15" hidden="false" customHeight="false" outlineLevel="0" collapsed="false">
      <c r="A3436" s="0" t="n">
        <v>3432</v>
      </c>
      <c r="B3436" s="0" t="n">
        <v>5</v>
      </c>
      <c r="C3436" s="19" t="n">
        <v>0</v>
      </c>
      <c r="D3436" s="19" t="n">
        <v>1</v>
      </c>
      <c r="E3436" s="20" t="n">
        <f aca="false">Parametres!$B$5*C3436</f>
        <v>0</v>
      </c>
      <c r="F3436" s="20" t="n">
        <f aca="false">Parametres!$B$6*D3436</f>
        <v>200</v>
      </c>
      <c r="G3436" s="20" t="n">
        <f aca="false">E3436+F3436</f>
        <v>200</v>
      </c>
      <c r="H3436" s="20" t="n">
        <f aca="false">IF(G3436&lt;Parametres!$B$8*Parametres!$B$7,0,MIN(G3436,Parametres!$B$7))</f>
        <v>200</v>
      </c>
      <c r="I3436" s="20" t="n">
        <f aca="false">G3436-H3436</f>
        <v>0</v>
      </c>
      <c r="J3436" s="21" t="n">
        <f aca="false">H3436*1000/Parametres!$B$9</f>
        <v>3391.55502798033</v>
      </c>
    </row>
    <row r="3437" customFormat="false" ht="15" hidden="false" customHeight="false" outlineLevel="0" collapsed="false">
      <c r="A3437" s="0" t="n">
        <v>3433</v>
      </c>
      <c r="B3437" s="0" t="n">
        <v>5</v>
      </c>
      <c r="C3437" s="19" t="n">
        <v>0</v>
      </c>
      <c r="D3437" s="19" t="n">
        <v>1</v>
      </c>
      <c r="E3437" s="20" t="n">
        <f aca="false">Parametres!$B$5*C3437</f>
        <v>0</v>
      </c>
      <c r="F3437" s="20" t="n">
        <f aca="false">Parametres!$B$6*D3437</f>
        <v>200</v>
      </c>
      <c r="G3437" s="20" t="n">
        <f aca="false">E3437+F3437</f>
        <v>200</v>
      </c>
      <c r="H3437" s="20" t="n">
        <f aca="false">IF(G3437&lt;Parametres!$B$8*Parametres!$B$7,0,MIN(G3437,Parametres!$B$7))</f>
        <v>200</v>
      </c>
      <c r="I3437" s="20" t="n">
        <f aca="false">G3437-H3437</f>
        <v>0</v>
      </c>
      <c r="J3437" s="21" t="n">
        <f aca="false">H3437*1000/Parametres!$B$9</f>
        <v>3391.55502798033</v>
      </c>
    </row>
    <row r="3438" customFormat="false" ht="15" hidden="false" customHeight="false" outlineLevel="0" collapsed="false">
      <c r="A3438" s="0" t="n">
        <v>3434</v>
      </c>
      <c r="B3438" s="0" t="n">
        <v>5</v>
      </c>
      <c r="C3438" s="19" t="n">
        <v>0</v>
      </c>
      <c r="D3438" s="19" t="n">
        <v>1</v>
      </c>
      <c r="E3438" s="20" t="n">
        <f aca="false">Parametres!$B$5*C3438</f>
        <v>0</v>
      </c>
      <c r="F3438" s="20" t="n">
        <f aca="false">Parametres!$B$6*D3438</f>
        <v>200</v>
      </c>
      <c r="G3438" s="20" t="n">
        <f aca="false">E3438+F3438</f>
        <v>200</v>
      </c>
      <c r="H3438" s="20" t="n">
        <f aca="false">IF(G3438&lt;Parametres!$B$8*Parametres!$B$7,0,MIN(G3438,Parametres!$B$7))</f>
        <v>200</v>
      </c>
      <c r="I3438" s="20" t="n">
        <f aca="false">G3438-H3438</f>
        <v>0</v>
      </c>
      <c r="J3438" s="21" t="n">
        <f aca="false">H3438*1000/Parametres!$B$9</f>
        <v>3391.55502798033</v>
      </c>
    </row>
    <row r="3439" customFormat="false" ht="15" hidden="false" customHeight="false" outlineLevel="0" collapsed="false">
      <c r="A3439" s="0" t="n">
        <v>3435</v>
      </c>
      <c r="B3439" s="0" t="n">
        <v>5</v>
      </c>
      <c r="C3439" s="19" t="n">
        <v>0</v>
      </c>
      <c r="D3439" s="19" t="n">
        <v>1</v>
      </c>
      <c r="E3439" s="20" t="n">
        <f aca="false">Parametres!$B$5*C3439</f>
        <v>0</v>
      </c>
      <c r="F3439" s="20" t="n">
        <f aca="false">Parametres!$B$6*D3439</f>
        <v>200</v>
      </c>
      <c r="G3439" s="20" t="n">
        <f aca="false">E3439+F3439</f>
        <v>200</v>
      </c>
      <c r="H3439" s="20" t="n">
        <f aca="false">IF(G3439&lt;Parametres!$B$8*Parametres!$B$7,0,MIN(G3439,Parametres!$B$7))</f>
        <v>200</v>
      </c>
      <c r="I3439" s="20" t="n">
        <f aca="false">G3439-H3439</f>
        <v>0</v>
      </c>
      <c r="J3439" s="21" t="n">
        <f aca="false">H3439*1000/Parametres!$B$9</f>
        <v>3391.55502798033</v>
      </c>
    </row>
    <row r="3440" customFormat="false" ht="15" hidden="false" customHeight="false" outlineLevel="0" collapsed="false">
      <c r="A3440" s="0" t="n">
        <v>3436</v>
      </c>
      <c r="B3440" s="0" t="n">
        <v>5</v>
      </c>
      <c r="C3440" s="19" t="n">
        <v>0</v>
      </c>
      <c r="D3440" s="19" t="n">
        <v>1</v>
      </c>
      <c r="E3440" s="20" t="n">
        <f aca="false">Parametres!$B$5*C3440</f>
        <v>0</v>
      </c>
      <c r="F3440" s="20" t="n">
        <f aca="false">Parametres!$B$6*D3440</f>
        <v>200</v>
      </c>
      <c r="G3440" s="20" t="n">
        <f aca="false">E3440+F3440</f>
        <v>200</v>
      </c>
      <c r="H3440" s="20" t="n">
        <f aca="false">IF(G3440&lt;Parametres!$B$8*Parametres!$B$7,0,MIN(G3440,Parametres!$B$7))</f>
        <v>200</v>
      </c>
      <c r="I3440" s="20" t="n">
        <f aca="false">G3440-H3440</f>
        <v>0</v>
      </c>
      <c r="J3440" s="21" t="n">
        <f aca="false">H3440*1000/Parametres!$B$9</f>
        <v>3391.55502798033</v>
      </c>
    </row>
    <row r="3441" customFormat="false" ht="15" hidden="false" customHeight="false" outlineLevel="0" collapsed="false">
      <c r="A3441" s="0" t="n">
        <v>3437</v>
      </c>
      <c r="B3441" s="0" t="n">
        <v>5</v>
      </c>
      <c r="C3441" s="19" t="n">
        <v>0</v>
      </c>
      <c r="D3441" s="19" t="n">
        <v>1</v>
      </c>
      <c r="E3441" s="20" t="n">
        <f aca="false">Parametres!$B$5*C3441</f>
        <v>0</v>
      </c>
      <c r="F3441" s="20" t="n">
        <f aca="false">Parametres!$B$6*D3441</f>
        <v>200</v>
      </c>
      <c r="G3441" s="20" t="n">
        <f aca="false">E3441+F3441</f>
        <v>200</v>
      </c>
      <c r="H3441" s="20" t="n">
        <f aca="false">IF(G3441&lt;Parametres!$B$8*Parametres!$B$7,0,MIN(G3441,Parametres!$B$7))</f>
        <v>200</v>
      </c>
      <c r="I3441" s="20" t="n">
        <f aca="false">G3441-H3441</f>
        <v>0</v>
      </c>
      <c r="J3441" s="21" t="n">
        <f aca="false">H3441*1000/Parametres!$B$9</f>
        <v>3391.55502798033</v>
      </c>
    </row>
    <row r="3442" customFormat="false" ht="15" hidden="false" customHeight="false" outlineLevel="0" collapsed="false">
      <c r="A3442" s="0" t="n">
        <v>3438</v>
      </c>
      <c r="B3442" s="0" t="n">
        <v>5</v>
      </c>
      <c r="C3442" s="19" t="n">
        <v>0.0464</v>
      </c>
      <c r="D3442" s="19" t="n">
        <v>1</v>
      </c>
      <c r="E3442" s="20" t="n">
        <f aca="false">Parametres!$B$5*C3442</f>
        <v>13.92</v>
      </c>
      <c r="F3442" s="20" t="n">
        <f aca="false">Parametres!$B$6*D3442</f>
        <v>200</v>
      </c>
      <c r="G3442" s="20" t="n">
        <f aca="false">E3442+F3442</f>
        <v>213.92</v>
      </c>
      <c r="H3442" s="20" t="n">
        <f aca="false">IF(G3442&lt;Parametres!$B$8*Parametres!$B$7,0,MIN(G3442,Parametres!$B$7))</f>
        <v>213.92</v>
      </c>
      <c r="I3442" s="20" t="n">
        <f aca="false">G3442-H3442</f>
        <v>0</v>
      </c>
      <c r="J3442" s="21" t="n">
        <f aca="false">H3442*1000/Parametres!$B$9</f>
        <v>3627.60725792776</v>
      </c>
    </row>
    <row r="3443" customFormat="false" ht="15" hidden="false" customHeight="false" outlineLevel="0" collapsed="false">
      <c r="A3443" s="0" t="n">
        <v>3439</v>
      </c>
      <c r="B3443" s="0" t="n">
        <v>5</v>
      </c>
      <c r="C3443" s="19" t="n">
        <v>0.2778</v>
      </c>
      <c r="D3443" s="19" t="n">
        <v>1</v>
      </c>
      <c r="E3443" s="20" t="n">
        <f aca="false">Parametres!$B$5*C3443</f>
        <v>83.34</v>
      </c>
      <c r="F3443" s="20" t="n">
        <f aca="false">Parametres!$B$6*D3443</f>
        <v>200</v>
      </c>
      <c r="G3443" s="20" t="n">
        <f aca="false">E3443+F3443</f>
        <v>283.34</v>
      </c>
      <c r="H3443" s="20" t="n">
        <f aca="false">IF(G3443&lt;Parametres!$B$8*Parametres!$B$7,0,MIN(G3443,Parametres!$B$7))</f>
        <v>250</v>
      </c>
      <c r="I3443" s="20" t="n">
        <f aca="false">G3443-H3443</f>
        <v>33.34</v>
      </c>
      <c r="J3443" s="21" t="n">
        <f aca="false">H3443*1000/Parametres!$B$9</f>
        <v>4239.44378497541</v>
      </c>
    </row>
    <row r="3444" customFormat="false" ht="15" hidden="false" customHeight="false" outlineLevel="0" collapsed="false">
      <c r="A3444" s="0" t="n">
        <v>3440</v>
      </c>
      <c r="B3444" s="0" t="n">
        <v>5</v>
      </c>
      <c r="C3444" s="19" t="n">
        <v>0.5306</v>
      </c>
      <c r="D3444" s="19" t="n">
        <v>1</v>
      </c>
      <c r="E3444" s="20" t="n">
        <f aca="false">Parametres!$B$5*C3444</f>
        <v>159.18</v>
      </c>
      <c r="F3444" s="20" t="n">
        <f aca="false">Parametres!$B$6*D3444</f>
        <v>200</v>
      </c>
      <c r="G3444" s="20" t="n">
        <f aca="false">E3444+F3444</f>
        <v>359.18</v>
      </c>
      <c r="H3444" s="20" t="n">
        <f aca="false">IF(G3444&lt;Parametres!$B$8*Parametres!$B$7,0,MIN(G3444,Parametres!$B$7))</f>
        <v>250</v>
      </c>
      <c r="I3444" s="20" t="n">
        <f aca="false">G3444-H3444</f>
        <v>109.18</v>
      </c>
      <c r="J3444" s="21" t="n">
        <f aca="false">H3444*1000/Parametres!$B$9</f>
        <v>4239.44378497541</v>
      </c>
    </row>
    <row r="3445" customFormat="false" ht="15" hidden="false" customHeight="false" outlineLevel="0" collapsed="false">
      <c r="A3445" s="0" t="n">
        <v>3441</v>
      </c>
      <c r="B3445" s="0" t="n">
        <v>5</v>
      </c>
      <c r="C3445" s="19" t="n">
        <v>0.7678</v>
      </c>
      <c r="D3445" s="19" t="n">
        <v>1</v>
      </c>
      <c r="E3445" s="20" t="n">
        <f aca="false">Parametres!$B$5*C3445</f>
        <v>230.34</v>
      </c>
      <c r="F3445" s="20" t="n">
        <f aca="false">Parametres!$B$6*D3445</f>
        <v>200</v>
      </c>
      <c r="G3445" s="20" t="n">
        <f aca="false">E3445+F3445</f>
        <v>430.34</v>
      </c>
      <c r="H3445" s="20" t="n">
        <f aca="false">IF(G3445&lt;Parametres!$B$8*Parametres!$B$7,0,MIN(G3445,Parametres!$B$7))</f>
        <v>250</v>
      </c>
      <c r="I3445" s="20" t="n">
        <f aca="false">G3445-H3445</f>
        <v>180.34</v>
      </c>
      <c r="J3445" s="21" t="n">
        <f aca="false">H3445*1000/Parametres!$B$9</f>
        <v>4239.44378497541</v>
      </c>
    </row>
    <row r="3446" customFormat="false" ht="15" hidden="false" customHeight="false" outlineLevel="0" collapsed="false">
      <c r="A3446" s="0" t="n">
        <v>3442</v>
      </c>
      <c r="B3446" s="0" t="n">
        <v>5</v>
      </c>
      <c r="C3446" s="19" t="n">
        <v>1</v>
      </c>
      <c r="D3446" s="19" t="n">
        <v>1</v>
      </c>
      <c r="E3446" s="20" t="n">
        <f aca="false">Parametres!$B$5*C3446</f>
        <v>300</v>
      </c>
      <c r="F3446" s="20" t="n">
        <f aca="false">Parametres!$B$6*D3446</f>
        <v>200</v>
      </c>
      <c r="G3446" s="20" t="n">
        <f aca="false">E3446+F3446</f>
        <v>500</v>
      </c>
      <c r="H3446" s="20" t="n">
        <f aca="false">IF(G3446&lt;Parametres!$B$8*Parametres!$B$7,0,MIN(G3446,Parametres!$B$7))</f>
        <v>250</v>
      </c>
      <c r="I3446" s="20" t="n">
        <f aca="false">G3446-H3446</f>
        <v>250</v>
      </c>
      <c r="J3446" s="21" t="n">
        <f aca="false">H3446*1000/Parametres!$B$9</f>
        <v>4239.44378497541</v>
      </c>
    </row>
    <row r="3447" customFormat="false" ht="15" hidden="false" customHeight="false" outlineLevel="0" collapsed="false">
      <c r="A3447" s="0" t="n">
        <v>3443</v>
      </c>
      <c r="B3447" s="0" t="n">
        <v>5</v>
      </c>
      <c r="C3447" s="19" t="n">
        <v>1</v>
      </c>
      <c r="D3447" s="19" t="n">
        <v>1</v>
      </c>
      <c r="E3447" s="20" t="n">
        <f aca="false">Parametres!$B$5*C3447</f>
        <v>300</v>
      </c>
      <c r="F3447" s="20" t="n">
        <f aca="false">Parametres!$B$6*D3447</f>
        <v>200</v>
      </c>
      <c r="G3447" s="20" t="n">
        <f aca="false">E3447+F3447</f>
        <v>500</v>
      </c>
      <c r="H3447" s="20" t="n">
        <f aca="false">IF(G3447&lt;Parametres!$B$8*Parametres!$B$7,0,MIN(G3447,Parametres!$B$7))</f>
        <v>250</v>
      </c>
      <c r="I3447" s="20" t="n">
        <f aca="false">G3447-H3447</f>
        <v>250</v>
      </c>
      <c r="J3447" s="21" t="n">
        <f aca="false">H3447*1000/Parametres!$B$9</f>
        <v>4239.44378497541</v>
      </c>
    </row>
    <row r="3448" customFormat="false" ht="15" hidden="false" customHeight="false" outlineLevel="0" collapsed="false">
      <c r="A3448" s="0" t="n">
        <v>3444</v>
      </c>
      <c r="B3448" s="0" t="n">
        <v>5</v>
      </c>
      <c r="C3448" s="19" t="n">
        <v>1</v>
      </c>
      <c r="D3448" s="19" t="n">
        <v>1</v>
      </c>
      <c r="E3448" s="20" t="n">
        <f aca="false">Parametres!$B$5*C3448</f>
        <v>300</v>
      </c>
      <c r="F3448" s="20" t="n">
        <f aca="false">Parametres!$B$6*D3448</f>
        <v>200</v>
      </c>
      <c r="G3448" s="20" t="n">
        <f aca="false">E3448+F3448</f>
        <v>500</v>
      </c>
      <c r="H3448" s="20" t="n">
        <f aca="false">IF(G3448&lt;Parametres!$B$8*Parametres!$B$7,0,MIN(G3448,Parametres!$B$7))</f>
        <v>250</v>
      </c>
      <c r="I3448" s="20" t="n">
        <f aca="false">G3448-H3448</f>
        <v>250</v>
      </c>
      <c r="J3448" s="21" t="n">
        <f aca="false">H3448*1000/Parametres!$B$9</f>
        <v>4239.44378497541</v>
      </c>
    </row>
    <row r="3449" customFormat="false" ht="15" hidden="false" customHeight="false" outlineLevel="0" collapsed="false">
      <c r="A3449" s="0" t="n">
        <v>3445</v>
      </c>
      <c r="B3449" s="0" t="n">
        <v>5</v>
      </c>
      <c r="C3449" s="19" t="n">
        <v>1</v>
      </c>
      <c r="D3449" s="19" t="n">
        <v>1</v>
      </c>
      <c r="E3449" s="20" t="n">
        <f aca="false">Parametres!$B$5*C3449</f>
        <v>300</v>
      </c>
      <c r="F3449" s="20" t="n">
        <f aca="false">Parametres!$B$6*D3449</f>
        <v>200</v>
      </c>
      <c r="G3449" s="20" t="n">
        <f aca="false">E3449+F3449</f>
        <v>500</v>
      </c>
      <c r="H3449" s="20" t="n">
        <f aca="false">IF(G3449&lt;Parametres!$B$8*Parametres!$B$7,0,MIN(G3449,Parametres!$B$7))</f>
        <v>250</v>
      </c>
      <c r="I3449" s="20" t="n">
        <f aca="false">G3449-H3449</f>
        <v>250</v>
      </c>
      <c r="J3449" s="21" t="n">
        <f aca="false">H3449*1000/Parametres!$B$9</f>
        <v>4239.44378497541</v>
      </c>
    </row>
    <row r="3450" customFormat="false" ht="15" hidden="false" customHeight="false" outlineLevel="0" collapsed="false">
      <c r="A3450" s="0" t="n">
        <v>3446</v>
      </c>
      <c r="B3450" s="0" t="n">
        <v>5</v>
      </c>
      <c r="C3450" s="19" t="n">
        <v>1</v>
      </c>
      <c r="D3450" s="19" t="n">
        <v>1</v>
      </c>
      <c r="E3450" s="20" t="n">
        <f aca="false">Parametres!$B$5*C3450</f>
        <v>300</v>
      </c>
      <c r="F3450" s="20" t="n">
        <f aca="false">Parametres!$B$6*D3450</f>
        <v>200</v>
      </c>
      <c r="G3450" s="20" t="n">
        <f aca="false">E3450+F3450</f>
        <v>500</v>
      </c>
      <c r="H3450" s="20" t="n">
        <f aca="false">IF(G3450&lt;Parametres!$B$8*Parametres!$B$7,0,MIN(G3450,Parametres!$B$7))</f>
        <v>250</v>
      </c>
      <c r="I3450" s="20" t="n">
        <f aca="false">G3450-H3450</f>
        <v>250</v>
      </c>
      <c r="J3450" s="21" t="n">
        <f aca="false">H3450*1000/Parametres!$B$9</f>
        <v>4239.44378497541</v>
      </c>
    </row>
    <row r="3451" customFormat="false" ht="15" hidden="false" customHeight="false" outlineLevel="0" collapsed="false">
      <c r="A3451" s="0" t="n">
        <v>3447</v>
      </c>
      <c r="B3451" s="0" t="n">
        <v>5</v>
      </c>
      <c r="C3451" s="19" t="n">
        <v>0.975</v>
      </c>
      <c r="D3451" s="19" t="n">
        <v>1</v>
      </c>
      <c r="E3451" s="20" t="n">
        <f aca="false">Parametres!$B$5*C3451</f>
        <v>292.5</v>
      </c>
      <c r="F3451" s="20" t="n">
        <f aca="false">Parametres!$B$6*D3451</f>
        <v>200</v>
      </c>
      <c r="G3451" s="20" t="n">
        <f aca="false">E3451+F3451</f>
        <v>492.5</v>
      </c>
      <c r="H3451" s="20" t="n">
        <f aca="false">IF(G3451&lt;Parametres!$B$8*Parametres!$B$7,0,MIN(G3451,Parametres!$B$7))</f>
        <v>250</v>
      </c>
      <c r="I3451" s="20" t="n">
        <f aca="false">G3451-H3451</f>
        <v>242.5</v>
      </c>
      <c r="J3451" s="21" t="n">
        <f aca="false">H3451*1000/Parametres!$B$9</f>
        <v>4239.44378497541</v>
      </c>
    </row>
    <row r="3452" customFormat="false" ht="15" hidden="false" customHeight="false" outlineLevel="0" collapsed="false">
      <c r="A3452" s="0" t="n">
        <v>3448</v>
      </c>
      <c r="B3452" s="0" t="n">
        <v>5</v>
      </c>
      <c r="C3452" s="19" t="n">
        <v>0.8038</v>
      </c>
      <c r="D3452" s="19" t="n">
        <v>1</v>
      </c>
      <c r="E3452" s="20" t="n">
        <f aca="false">Parametres!$B$5*C3452</f>
        <v>241.14</v>
      </c>
      <c r="F3452" s="20" t="n">
        <f aca="false">Parametres!$B$6*D3452</f>
        <v>200</v>
      </c>
      <c r="G3452" s="20" t="n">
        <f aca="false">E3452+F3452</f>
        <v>441.14</v>
      </c>
      <c r="H3452" s="20" t="n">
        <f aca="false">IF(G3452&lt;Parametres!$B$8*Parametres!$B$7,0,MIN(G3452,Parametres!$B$7))</f>
        <v>250</v>
      </c>
      <c r="I3452" s="20" t="n">
        <f aca="false">G3452-H3452</f>
        <v>191.14</v>
      </c>
      <c r="J3452" s="21" t="n">
        <f aca="false">H3452*1000/Parametres!$B$9</f>
        <v>4239.44378497541</v>
      </c>
    </row>
    <row r="3453" customFormat="false" ht="15" hidden="false" customHeight="false" outlineLevel="0" collapsed="false">
      <c r="A3453" s="0" t="n">
        <v>3449</v>
      </c>
      <c r="B3453" s="0" t="n">
        <v>5</v>
      </c>
      <c r="C3453" s="19" t="n">
        <v>0.5341</v>
      </c>
      <c r="D3453" s="19" t="n">
        <v>1</v>
      </c>
      <c r="E3453" s="20" t="n">
        <f aca="false">Parametres!$B$5*C3453</f>
        <v>160.23</v>
      </c>
      <c r="F3453" s="20" t="n">
        <f aca="false">Parametres!$B$6*D3453</f>
        <v>200</v>
      </c>
      <c r="G3453" s="20" t="n">
        <f aca="false">E3453+F3453</f>
        <v>360.23</v>
      </c>
      <c r="H3453" s="20" t="n">
        <f aca="false">IF(G3453&lt;Parametres!$B$8*Parametres!$B$7,0,MIN(G3453,Parametres!$B$7))</f>
        <v>250</v>
      </c>
      <c r="I3453" s="20" t="n">
        <f aca="false">G3453-H3453</f>
        <v>110.23</v>
      </c>
      <c r="J3453" s="21" t="n">
        <f aca="false">H3453*1000/Parametres!$B$9</f>
        <v>4239.44378497541</v>
      </c>
    </row>
    <row r="3454" customFormat="false" ht="15" hidden="false" customHeight="false" outlineLevel="0" collapsed="false">
      <c r="A3454" s="0" t="n">
        <v>3450</v>
      </c>
      <c r="B3454" s="0" t="n">
        <v>5</v>
      </c>
      <c r="C3454" s="19" t="n">
        <v>0.2831</v>
      </c>
      <c r="D3454" s="19" t="n">
        <v>1</v>
      </c>
      <c r="E3454" s="20" t="n">
        <f aca="false">Parametres!$B$5*C3454</f>
        <v>84.93</v>
      </c>
      <c r="F3454" s="20" t="n">
        <f aca="false">Parametres!$B$6*D3454</f>
        <v>200</v>
      </c>
      <c r="G3454" s="20" t="n">
        <f aca="false">E3454+F3454</f>
        <v>284.93</v>
      </c>
      <c r="H3454" s="20" t="n">
        <f aca="false">IF(G3454&lt;Parametres!$B$8*Parametres!$B$7,0,MIN(G3454,Parametres!$B$7))</f>
        <v>250</v>
      </c>
      <c r="I3454" s="20" t="n">
        <f aca="false">G3454-H3454</f>
        <v>34.93</v>
      </c>
      <c r="J3454" s="21" t="n">
        <f aca="false">H3454*1000/Parametres!$B$9</f>
        <v>4239.44378497541</v>
      </c>
    </row>
    <row r="3455" customFormat="false" ht="15" hidden="false" customHeight="false" outlineLevel="0" collapsed="false">
      <c r="A3455" s="0" t="n">
        <v>3451</v>
      </c>
      <c r="B3455" s="0" t="n">
        <v>5</v>
      </c>
      <c r="C3455" s="19" t="n">
        <v>0.0457</v>
      </c>
      <c r="D3455" s="19" t="n">
        <v>1</v>
      </c>
      <c r="E3455" s="20" t="n">
        <f aca="false">Parametres!$B$5*C3455</f>
        <v>13.71</v>
      </c>
      <c r="F3455" s="20" t="n">
        <f aca="false">Parametres!$B$6*D3455</f>
        <v>200</v>
      </c>
      <c r="G3455" s="20" t="n">
        <f aca="false">E3455+F3455</f>
        <v>213.71</v>
      </c>
      <c r="H3455" s="20" t="n">
        <f aca="false">IF(G3455&lt;Parametres!$B$8*Parametres!$B$7,0,MIN(G3455,Parametres!$B$7))</f>
        <v>213.71</v>
      </c>
      <c r="I3455" s="20" t="n">
        <f aca="false">G3455-H3455</f>
        <v>0</v>
      </c>
      <c r="J3455" s="21" t="n">
        <f aca="false">H3455*1000/Parametres!$B$9</f>
        <v>3624.04612514838</v>
      </c>
    </row>
    <row r="3456" customFormat="false" ht="15" hidden="false" customHeight="false" outlineLevel="0" collapsed="false">
      <c r="A3456" s="0" t="n">
        <v>3452</v>
      </c>
      <c r="B3456" s="0" t="n">
        <v>5</v>
      </c>
      <c r="C3456" s="19" t="n">
        <v>0</v>
      </c>
      <c r="D3456" s="19" t="n">
        <v>1</v>
      </c>
      <c r="E3456" s="20" t="n">
        <f aca="false">Parametres!$B$5*C3456</f>
        <v>0</v>
      </c>
      <c r="F3456" s="20" t="n">
        <f aca="false">Parametres!$B$6*D3456</f>
        <v>200</v>
      </c>
      <c r="G3456" s="20" t="n">
        <f aca="false">E3456+F3456</f>
        <v>200</v>
      </c>
      <c r="H3456" s="20" t="n">
        <f aca="false">IF(G3456&lt;Parametres!$B$8*Parametres!$B$7,0,MIN(G3456,Parametres!$B$7))</f>
        <v>200</v>
      </c>
      <c r="I3456" s="20" t="n">
        <f aca="false">G3456-H3456</f>
        <v>0</v>
      </c>
      <c r="J3456" s="21" t="n">
        <f aca="false">H3456*1000/Parametres!$B$9</f>
        <v>3391.55502798033</v>
      </c>
    </row>
    <row r="3457" customFormat="false" ht="15" hidden="false" customHeight="false" outlineLevel="0" collapsed="false">
      <c r="A3457" s="0" t="n">
        <v>3453</v>
      </c>
      <c r="B3457" s="0" t="n">
        <v>5</v>
      </c>
      <c r="C3457" s="19" t="n">
        <v>0</v>
      </c>
      <c r="D3457" s="19" t="n">
        <v>1</v>
      </c>
      <c r="E3457" s="20" t="n">
        <f aca="false">Parametres!$B$5*C3457</f>
        <v>0</v>
      </c>
      <c r="F3457" s="20" t="n">
        <f aca="false">Parametres!$B$6*D3457</f>
        <v>200</v>
      </c>
      <c r="G3457" s="20" t="n">
        <f aca="false">E3457+F3457</f>
        <v>200</v>
      </c>
      <c r="H3457" s="20" t="n">
        <f aca="false">IF(G3457&lt;Parametres!$B$8*Parametres!$B$7,0,MIN(G3457,Parametres!$B$7))</f>
        <v>200</v>
      </c>
      <c r="I3457" s="20" t="n">
        <f aca="false">G3457-H3457</f>
        <v>0</v>
      </c>
      <c r="J3457" s="21" t="n">
        <f aca="false">H3457*1000/Parametres!$B$9</f>
        <v>3391.55502798033</v>
      </c>
    </row>
    <row r="3458" customFormat="false" ht="15" hidden="false" customHeight="false" outlineLevel="0" collapsed="false">
      <c r="A3458" s="0" t="n">
        <v>3454</v>
      </c>
      <c r="B3458" s="0" t="n">
        <v>5</v>
      </c>
      <c r="C3458" s="19" t="n">
        <v>0</v>
      </c>
      <c r="D3458" s="19" t="n">
        <v>1</v>
      </c>
      <c r="E3458" s="20" t="n">
        <f aca="false">Parametres!$B$5*C3458</f>
        <v>0</v>
      </c>
      <c r="F3458" s="20" t="n">
        <f aca="false">Parametres!$B$6*D3458</f>
        <v>200</v>
      </c>
      <c r="G3458" s="20" t="n">
        <f aca="false">E3458+F3458</f>
        <v>200</v>
      </c>
      <c r="H3458" s="20" t="n">
        <f aca="false">IF(G3458&lt;Parametres!$B$8*Parametres!$B$7,0,MIN(G3458,Parametres!$B$7))</f>
        <v>200</v>
      </c>
      <c r="I3458" s="20" t="n">
        <f aca="false">G3458-H3458</f>
        <v>0</v>
      </c>
      <c r="J3458" s="21" t="n">
        <f aca="false">H3458*1000/Parametres!$B$9</f>
        <v>3391.55502798033</v>
      </c>
    </row>
    <row r="3459" customFormat="false" ht="15" hidden="false" customHeight="false" outlineLevel="0" collapsed="false">
      <c r="A3459" s="0" t="n">
        <v>3455</v>
      </c>
      <c r="B3459" s="0" t="n">
        <v>5</v>
      </c>
      <c r="C3459" s="19" t="n">
        <v>0</v>
      </c>
      <c r="D3459" s="19" t="n">
        <v>1</v>
      </c>
      <c r="E3459" s="20" t="n">
        <f aca="false">Parametres!$B$5*C3459</f>
        <v>0</v>
      </c>
      <c r="F3459" s="20" t="n">
        <f aca="false">Parametres!$B$6*D3459</f>
        <v>200</v>
      </c>
      <c r="G3459" s="20" t="n">
        <f aca="false">E3459+F3459</f>
        <v>200</v>
      </c>
      <c r="H3459" s="20" t="n">
        <f aca="false">IF(G3459&lt;Parametres!$B$8*Parametres!$B$7,0,MIN(G3459,Parametres!$B$7))</f>
        <v>200</v>
      </c>
      <c r="I3459" s="20" t="n">
        <f aca="false">G3459-H3459</f>
        <v>0</v>
      </c>
      <c r="J3459" s="21" t="n">
        <f aca="false">H3459*1000/Parametres!$B$9</f>
        <v>3391.55502798033</v>
      </c>
    </row>
    <row r="3460" customFormat="false" ht="15" hidden="false" customHeight="false" outlineLevel="0" collapsed="false">
      <c r="A3460" s="0" t="n">
        <v>3456</v>
      </c>
      <c r="B3460" s="0" t="n">
        <v>5</v>
      </c>
      <c r="C3460" s="19" t="n">
        <v>0</v>
      </c>
      <c r="D3460" s="19" t="n">
        <v>1</v>
      </c>
      <c r="E3460" s="20" t="n">
        <f aca="false">Parametres!$B$5*C3460</f>
        <v>0</v>
      </c>
      <c r="F3460" s="20" t="n">
        <f aca="false">Parametres!$B$6*D3460</f>
        <v>200</v>
      </c>
      <c r="G3460" s="20" t="n">
        <f aca="false">E3460+F3460</f>
        <v>200</v>
      </c>
      <c r="H3460" s="20" t="n">
        <f aca="false">IF(G3460&lt;Parametres!$B$8*Parametres!$B$7,0,MIN(G3460,Parametres!$B$7))</f>
        <v>200</v>
      </c>
      <c r="I3460" s="20" t="n">
        <f aca="false">G3460-H3460</f>
        <v>0</v>
      </c>
      <c r="J3460" s="21" t="n">
        <f aca="false">H3460*1000/Parametres!$B$9</f>
        <v>3391.55502798033</v>
      </c>
    </row>
    <row r="3461" customFormat="false" ht="15" hidden="false" customHeight="false" outlineLevel="0" collapsed="false">
      <c r="A3461" s="0" t="n">
        <v>3457</v>
      </c>
      <c r="B3461" s="0" t="n">
        <v>5</v>
      </c>
      <c r="C3461" s="19" t="n">
        <v>0</v>
      </c>
      <c r="D3461" s="19" t="n">
        <v>1</v>
      </c>
      <c r="E3461" s="20" t="n">
        <f aca="false">Parametres!$B$5*C3461</f>
        <v>0</v>
      </c>
      <c r="F3461" s="20" t="n">
        <f aca="false">Parametres!$B$6*D3461</f>
        <v>200</v>
      </c>
      <c r="G3461" s="20" t="n">
        <f aca="false">E3461+F3461</f>
        <v>200</v>
      </c>
      <c r="H3461" s="20" t="n">
        <f aca="false">IF(G3461&lt;Parametres!$B$8*Parametres!$B$7,0,MIN(G3461,Parametres!$B$7))</f>
        <v>200</v>
      </c>
      <c r="I3461" s="20" t="n">
        <f aca="false">G3461-H3461</f>
        <v>0</v>
      </c>
      <c r="J3461" s="21" t="n">
        <f aca="false">H3461*1000/Parametres!$B$9</f>
        <v>3391.55502798033</v>
      </c>
    </row>
    <row r="3462" customFormat="false" ht="15" hidden="false" customHeight="false" outlineLevel="0" collapsed="false">
      <c r="A3462" s="0" t="n">
        <v>3458</v>
      </c>
      <c r="B3462" s="0" t="n">
        <v>5</v>
      </c>
      <c r="C3462" s="19" t="n">
        <v>0</v>
      </c>
      <c r="D3462" s="19" t="n">
        <v>1</v>
      </c>
      <c r="E3462" s="20" t="n">
        <f aca="false">Parametres!$B$5*C3462</f>
        <v>0</v>
      </c>
      <c r="F3462" s="20" t="n">
        <f aca="false">Parametres!$B$6*D3462</f>
        <v>200</v>
      </c>
      <c r="G3462" s="20" t="n">
        <f aca="false">E3462+F3462</f>
        <v>200</v>
      </c>
      <c r="H3462" s="20" t="n">
        <f aca="false">IF(G3462&lt;Parametres!$B$8*Parametres!$B$7,0,MIN(G3462,Parametres!$B$7))</f>
        <v>200</v>
      </c>
      <c r="I3462" s="20" t="n">
        <f aca="false">G3462-H3462</f>
        <v>0</v>
      </c>
      <c r="J3462" s="21" t="n">
        <f aca="false">H3462*1000/Parametres!$B$9</f>
        <v>3391.55502798033</v>
      </c>
    </row>
    <row r="3463" customFormat="false" ht="15" hidden="false" customHeight="false" outlineLevel="0" collapsed="false">
      <c r="A3463" s="0" t="n">
        <v>3459</v>
      </c>
      <c r="B3463" s="0" t="n">
        <v>5</v>
      </c>
      <c r="C3463" s="19" t="n">
        <v>0</v>
      </c>
      <c r="D3463" s="19" t="n">
        <v>1</v>
      </c>
      <c r="E3463" s="20" t="n">
        <f aca="false">Parametres!$B$5*C3463</f>
        <v>0</v>
      </c>
      <c r="F3463" s="20" t="n">
        <f aca="false">Parametres!$B$6*D3463</f>
        <v>200</v>
      </c>
      <c r="G3463" s="20" t="n">
        <f aca="false">E3463+F3463</f>
        <v>200</v>
      </c>
      <c r="H3463" s="20" t="n">
        <f aca="false">IF(G3463&lt;Parametres!$B$8*Parametres!$B$7,0,MIN(G3463,Parametres!$B$7))</f>
        <v>200</v>
      </c>
      <c r="I3463" s="20" t="n">
        <f aca="false">G3463-H3463</f>
        <v>0</v>
      </c>
      <c r="J3463" s="21" t="n">
        <f aca="false">H3463*1000/Parametres!$B$9</f>
        <v>3391.55502798033</v>
      </c>
    </row>
    <row r="3464" customFormat="false" ht="15" hidden="false" customHeight="false" outlineLevel="0" collapsed="false">
      <c r="A3464" s="0" t="n">
        <v>3460</v>
      </c>
      <c r="B3464" s="0" t="n">
        <v>5</v>
      </c>
      <c r="C3464" s="19" t="n">
        <v>0</v>
      </c>
      <c r="D3464" s="19" t="n">
        <v>1</v>
      </c>
      <c r="E3464" s="20" t="n">
        <f aca="false">Parametres!$B$5*C3464</f>
        <v>0</v>
      </c>
      <c r="F3464" s="20" t="n">
        <f aca="false">Parametres!$B$6*D3464</f>
        <v>200</v>
      </c>
      <c r="G3464" s="20" t="n">
        <f aca="false">E3464+F3464</f>
        <v>200</v>
      </c>
      <c r="H3464" s="20" t="n">
        <f aca="false">IF(G3464&lt;Parametres!$B$8*Parametres!$B$7,0,MIN(G3464,Parametres!$B$7))</f>
        <v>200</v>
      </c>
      <c r="I3464" s="20" t="n">
        <f aca="false">G3464-H3464</f>
        <v>0</v>
      </c>
      <c r="J3464" s="21" t="n">
        <f aca="false">H3464*1000/Parametres!$B$9</f>
        <v>3391.55502798033</v>
      </c>
    </row>
    <row r="3465" customFormat="false" ht="15" hidden="false" customHeight="false" outlineLevel="0" collapsed="false">
      <c r="A3465" s="0" t="n">
        <v>3461</v>
      </c>
      <c r="B3465" s="0" t="n">
        <v>5</v>
      </c>
      <c r="C3465" s="19" t="n">
        <v>0</v>
      </c>
      <c r="D3465" s="19" t="n">
        <v>1</v>
      </c>
      <c r="E3465" s="20" t="n">
        <f aca="false">Parametres!$B$5*C3465</f>
        <v>0</v>
      </c>
      <c r="F3465" s="20" t="n">
        <f aca="false">Parametres!$B$6*D3465</f>
        <v>200</v>
      </c>
      <c r="G3465" s="20" t="n">
        <f aca="false">E3465+F3465</f>
        <v>200</v>
      </c>
      <c r="H3465" s="20" t="n">
        <f aca="false">IF(G3465&lt;Parametres!$B$8*Parametres!$B$7,0,MIN(G3465,Parametres!$B$7))</f>
        <v>200</v>
      </c>
      <c r="I3465" s="20" t="n">
        <f aca="false">G3465-H3465</f>
        <v>0</v>
      </c>
      <c r="J3465" s="21" t="n">
        <f aca="false">H3465*1000/Parametres!$B$9</f>
        <v>3391.55502798033</v>
      </c>
    </row>
    <row r="3466" customFormat="false" ht="15" hidden="false" customHeight="false" outlineLevel="0" collapsed="false">
      <c r="A3466" s="0" t="n">
        <v>3462</v>
      </c>
      <c r="B3466" s="0" t="n">
        <v>5</v>
      </c>
      <c r="C3466" s="19" t="n">
        <v>0.0519</v>
      </c>
      <c r="D3466" s="19" t="n">
        <v>1</v>
      </c>
      <c r="E3466" s="20" t="n">
        <f aca="false">Parametres!$B$5*C3466</f>
        <v>15.57</v>
      </c>
      <c r="F3466" s="20" t="n">
        <f aca="false">Parametres!$B$6*D3466</f>
        <v>200</v>
      </c>
      <c r="G3466" s="20" t="n">
        <f aca="false">E3466+F3466</f>
        <v>215.57</v>
      </c>
      <c r="H3466" s="20" t="n">
        <f aca="false">IF(G3466&lt;Parametres!$B$8*Parametres!$B$7,0,MIN(G3466,Parametres!$B$7))</f>
        <v>215.57</v>
      </c>
      <c r="I3466" s="20" t="n">
        <f aca="false">G3466-H3466</f>
        <v>0</v>
      </c>
      <c r="J3466" s="21" t="n">
        <f aca="false">H3466*1000/Parametres!$B$9</f>
        <v>3655.5875869086</v>
      </c>
    </row>
    <row r="3467" customFormat="false" ht="15" hidden="false" customHeight="false" outlineLevel="0" collapsed="false">
      <c r="A3467" s="0" t="n">
        <v>3463</v>
      </c>
      <c r="B3467" s="0" t="n">
        <v>5</v>
      </c>
      <c r="C3467" s="19" t="n">
        <v>0.3165</v>
      </c>
      <c r="D3467" s="19" t="n">
        <v>1</v>
      </c>
      <c r="E3467" s="20" t="n">
        <f aca="false">Parametres!$B$5*C3467</f>
        <v>94.95</v>
      </c>
      <c r="F3467" s="20" t="n">
        <f aca="false">Parametres!$B$6*D3467</f>
        <v>200</v>
      </c>
      <c r="G3467" s="20" t="n">
        <f aca="false">E3467+F3467</f>
        <v>294.95</v>
      </c>
      <c r="H3467" s="20" t="n">
        <f aca="false">IF(G3467&lt;Parametres!$B$8*Parametres!$B$7,0,MIN(G3467,Parametres!$B$7))</f>
        <v>250</v>
      </c>
      <c r="I3467" s="20" t="n">
        <f aca="false">G3467-H3467</f>
        <v>44.95</v>
      </c>
      <c r="J3467" s="21" t="n">
        <f aca="false">H3467*1000/Parametres!$B$9</f>
        <v>4239.44378497541</v>
      </c>
    </row>
    <row r="3468" customFormat="false" ht="15" hidden="false" customHeight="false" outlineLevel="0" collapsed="false">
      <c r="A3468" s="0" t="n">
        <v>3464</v>
      </c>
      <c r="B3468" s="0" t="n">
        <v>5</v>
      </c>
      <c r="C3468" s="19" t="n">
        <v>0.5948</v>
      </c>
      <c r="D3468" s="19" t="n">
        <v>1</v>
      </c>
      <c r="E3468" s="20" t="n">
        <f aca="false">Parametres!$B$5*C3468</f>
        <v>178.44</v>
      </c>
      <c r="F3468" s="20" t="n">
        <f aca="false">Parametres!$B$6*D3468</f>
        <v>200</v>
      </c>
      <c r="G3468" s="20" t="n">
        <f aca="false">E3468+F3468</f>
        <v>378.44</v>
      </c>
      <c r="H3468" s="20" t="n">
        <f aca="false">IF(G3468&lt;Parametres!$B$8*Parametres!$B$7,0,MIN(G3468,Parametres!$B$7))</f>
        <v>250</v>
      </c>
      <c r="I3468" s="20" t="n">
        <f aca="false">G3468-H3468</f>
        <v>128.44</v>
      </c>
      <c r="J3468" s="21" t="n">
        <f aca="false">H3468*1000/Parametres!$B$9</f>
        <v>4239.44378497541</v>
      </c>
    </row>
    <row r="3469" customFormat="false" ht="15" hidden="false" customHeight="false" outlineLevel="0" collapsed="false">
      <c r="A3469" s="0" t="n">
        <v>3465</v>
      </c>
      <c r="B3469" s="0" t="n">
        <v>5</v>
      </c>
      <c r="C3469" s="19" t="n">
        <v>0.9024</v>
      </c>
      <c r="D3469" s="19" t="n">
        <v>1</v>
      </c>
      <c r="E3469" s="20" t="n">
        <f aca="false">Parametres!$B$5*C3469</f>
        <v>270.72</v>
      </c>
      <c r="F3469" s="20" t="n">
        <f aca="false">Parametres!$B$6*D3469</f>
        <v>200</v>
      </c>
      <c r="G3469" s="20" t="n">
        <f aca="false">E3469+F3469</f>
        <v>470.72</v>
      </c>
      <c r="H3469" s="20" t="n">
        <f aca="false">IF(G3469&lt;Parametres!$B$8*Parametres!$B$7,0,MIN(G3469,Parametres!$B$7))</f>
        <v>250</v>
      </c>
      <c r="I3469" s="20" t="n">
        <f aca="false">G3469-H3469</f>
        <v>220.72</v>
      </c>
      <c r="J3469" s="21" t="n">
        <f aca="false">H3469*1000/Parametres!$B$9</f>
        <v>4239.44378497541</v>
      </c>
    </row>
    <row r="3470" customFormat="false" ht="15" hidden="false" customHeight="false" outlineLevel="0" collapsed="false">
      <c r="A3470" s="0" t="n">
        <v>3466</v>
      </c>
      <c r="B3470" s="0" t="n">
        <v>5</v>
      </c>
      <c r="C3470" s="19" t="n">
        <v>1</v>
      </c>
      <c r="D3470" s="19" t="n">
        <v>1</v>
      </c>
      <c r="E3470" s="20" t="n">
        <f aca="false">Parametres!$B$5*C3470</f>
        <v>300</v>
      </c>
      <c r="F3470" s="20" t="n">
        <f aca="false">Parametres!$B$6*D3470</f>
        <v>200</v>
      </c>
      <c r="G3470" s="20" t="n">
        <f aca="false">E3470+F3470</f>
        <v>500</v>
      </c>
      <c r="H3470" s="20" t="n">
        <f aca="false">IF(G3470&lt;Parametres!$B$8*Parametres!$B$7,0,MIN(G3470,Parametres!$B$7))</f>
        <v>250</v>
      </c>
      <c r="I3470" s="20" t="n">
        <f aca="false">G3470-H3470</f>
        <v>250</v>
      </c>
      <c r="J3470" s="21" t="n">
        <f aca="false">H3470*1000/Parametres!$B$9</f>
        <v>4239.44378497541</v>
      </c>
    </row>
    <row r="3471" customFormat="false" ht="15" hidden="false" customHeight="false" outlineLevel="0" collapsed="false">
      <c r="A3471" s="0" t="n">
        <v>3467</v>
      </c>
      <c r="B3471" s="0" t="n">
        <v>5</v>
      </c>
      <c r="C3471" s="19" t="n">
        <v>1</v>
      </c>
      <c r="D3471" s="19" t="n">
        <v>1</v>
      </c>
      <c r="E3471" s="20" t="n">
        <f aca="false">Parametres!$B$5*C3471</f>
        <v>300</v>
      </c>
      <c r="F3471" s="20" t="n">
        <f aca="false">Parametres!$B$6*D3471</f>
        <v>200</v>
      </c>
      <c r="G3471" s="20" t="n">
        <f aca="false">E3471+F3471</f>
        <v>500</v>
      </c>
      <c r="H3471" s="20" t="n">
        <f aca="false">IF(G3471&lt;Parametres!$B$8*Parametres!$B$7,0,MIN(G3471,Parametres!$B$7))</f>
        <v>250</v>
      </c>
      <c r="I3471" s="20" t="n">
        <f aca="false">G3471-H3471</f>
        <v>250</v>
      </c>
      <c r="J3471" s="21" t="n">
        <f aca="false">H3471*1000/Parametres!$B$9</f>
        <v>4239.44378497541</v>
      </c>
    </row>
    <row r="3472" customFormat="false" ht="15" hidden="false" customHeight="false" outlineLevel="0" collapsed="false">
      <c r="A3472" s="0" t="n">
        <v>3468</v>
      </c>
      <c r="B3472" s="0" t="n">
        <v>5</v>
      </c>
      <c r="C3472" s="19" t="n">
        <v>1</v>
      </c>
      <c r="D3472" s="19" t="n">
        <v>1</v>
      </c>
      <c r="E3472" s="20" t="n">
        <f aca="false">Parametres!$B$5*C3472</f>
        <v>300</v>
      </c>
      <c r="F3472" s="20" t="n">
        <f aca="false">Parametres!$B$6*D3472</f>
        <v>200</v>
      </c>
      <c r="G3472" s="20" t="n">
        <f aca="false">E3472+F3472</f>
        <v>500</v>
      </c>
      <c r="H3472" s="20" t="n">
        <f aca="false">IF(G3472&lt;Parametres!$B$8*Parametres!$B$7,0,MIN(G3472,Parametres!$B$7))</f>
        <v>250</v>
      </c>
      <c r="I3472" s="20" t="n">
        <f aca="false">G3472-H3472</f>
        <v>250</v>
      </c>
      <c r="J3472" s="21" t="n">
        <f aca="false">H3472*1000/Parametres!$B$9</f>
        <v>4239.44378497541</v>
      </c>
    </row>
    <row r="3473" customFormat="false" ht="15" hidden="false" customHeight="false" outlineLevel="0" collapsed="false">
      <c r="A3473" s="0" t="n">
        <v>3469</v>
      </c>
      <c r="B3473" s="0" t="n">
        <v>5</v>
      </c>
      <c r="C3473" s="19" t="n">
        <v>1</v>
      </c>
      <c r="D3473" s="19" t="n">
        <v>1</v>
      </c>
      <c r="E3473" s="20" t="n">
        <f aca="false">Parametres!$B$5*C3473</f>
        <v>300</v>
      </c>
      <c r="F3473" s="20" t="n">
        <f aca="false">Parametres!$B$6*D3473</f>
        <v>200</v>
      </c>
      <c r="G3473" s="20" t="n">
        <f aca="false">E3473+F3473</f>
        <v>500</v>
      </c>
      <c r="H3473" s="20" t="n">
        <f aca="false">IF(G3473&lt;Parametres!$B$8*Parametres!$B$7,0,MIN(G3473,Parametres!$B$7))</f>
        <v>250</v>
      </c>
      <c r="I3473" s="20" t="n">
        <f aca="false">G3473-H3473</f>
        <v>250</v>
      </c>
      <c r="J3473" s="21" t="n">
        <f aca="false">H3473*1000/Parametres!$B$9</f>
        <v>4239.44378497541</v>
      </c>
    </row>
    <row r="3474" customFormat="false" ht="15" hidden="false" customHeight="false" outlineLevel="0" collapsed="false">
      <c r="A3474" s="0" t="n">
        <v>3470</v>
      </c>
      <c r="B3474" s="0" t="n">
        <v>5</v>
      </c>
      <c r="C3474" s="19" t="n">
        <v>1</v>
      </c>
      <c r="D3474" s="19" t="n">
        <v>1</v>
      </c>
      <c r="E3474" s="20" t="n">
        <f aca="false">Parametres!$B$5*C3474</f>
        <v>300</v>
      </c>
      <c r="F3474" s="20" t="n">
        <f aca="false">Parametres!$B$6*D3474</f>
        <v>200</v>
      </c>
      <c r="G3474" s="20" t="n">
        <f aca="false">E3474+F3474</f>
        <v>500</v>
      </c>
      <c r="H3474" s="20" t="n">
        <f aca="false">IF(G3474&lt;Parametres!$B$8*Parametres!$B$7,0,MIN(G3474,Parametres!$B$7))</f>
        <v>250</v>
      </c>
      <c r="I3474" s="20" t="n">
        <f aca="false">G3474-H3474</f>
        <v>250</v>
      </c>
      <c r="J3474" s="21" t="n">
        <f aca="false">H3474*1000/Parametres!$B$9</f>
        <v>4239.44378497541</v>
      </c>
    </row>
    <row r="3475" customFormat="false" ht="15" hidden="false" customHeight="false" outlineLevel="0" collapsed="false">
      <c r="A3475" s="0" t="n">
        <v>3471</v>
      </c>
      <c r="B3475" s="0" t="n">
        <v>5</v>
      </c>
      <c r="C3475" s="19" t="n">
        <v>1</v>
      </c>
      <c r="D3475" s="19" t="n">
        <v>1</v>
      </c>
      <c r="E3475" s="20" t="n">
        <f aca="false">Parametres!$B$5*C3475</f>
        <v>300</v>
      </c>
      <c r="F3475" s="20" t="n">
        <f aca="false">Parametres!$B$6*D3475</f>
        <v>200</v>
      </c>
      <c r="G3475" s="20" t="n">
        <f aca="false">E3475+F3475</f>
        <v>500</v>
      </c>
      <c r="H3475" s="20" t="n">
        <f aca="false">IF(G3475&lt;Parametres!$B$8*Parametres!$B$7,0,MIN(G3475,Parametres!$B$7))</f>
        <v>250</v>
      </c>
      <c r="I3475" s="20" t="n">
        <f aca="false">G3475-H3475</f>
        <v>250</v>
      </c>
      <c r="J3475" s="21" t="n">
        <f aca="false">H3475*1000/Parametres!$B$9</f>
        <v>4239.44378497541</v>
      </c>
    </row>
    <row r="3476" customFormat="false" ht="15" hidden="false" customHeight="false" outlineLevel="0" collapsed="false">
      <c r="A3476" s="0" t="n">
        <v>3472</v>
      </c>
      <c r="B3476" s="0" t="n">
        <v>5</v>
      </c>
      <c r="C3476" s="19" t="n">
        <v>0.8922</v>
      </c>
      <c r="D3476" s="19" t="n">
        <v>1</v>
      </c>
      <c r="E3476" s="20" t="n">
        <f aca="false">Parametres!$B$5*C3476</f>
        <v>267.66</v>
      </c>
      <c r="F3476" s="20" t="n">
        <f aca="false">Parametres!$B$6*D3476</f>
        <v>200</v>
      </c>
      <c r="G3476" s="20" t="n">
        <f aca="false">E3476+F3476</f>
        <v>467.66</v>
      </c>
      <c r="H3476" s="20" t="n">
        <f aca="false">IF(G3476&lt;Parametres!$B$8*Parametres!$B$7,0,MIN(G3476,Parametres!$B$7))</f>
        <v>250</v>
      </c>
      <c r="I3476" s="20" t="n">
        <f aca="false">G3476-H3476</f>
        <v>217.66</v>
      </c>
      <c r="J3476" s="21" t="n">
        <f aca="false">H3476*1000/Parametres!$B$9</f>
        <v>4239.44378497541</v>
      </c>
    </row>
    <row r="3477" customFormat="false" ht="15" hidden="false" customHeight="false" outlineLevel="0" collapsed="false">
      <c r="A3477" s="0" t="n">
        <v>3473</v>
      </c>
      <c r="B3477" s="0" t="n">
        <v>5</v>
      </c>
      <c r="C3477" s="19" t="n">
        <v>0.6019</v>
      </c>
      <c r="D3477" s="19" t="n">
        <v>1</v>
      </c>
      <c r="E3477" s="20" t="n">
        <f aca="false">Parametres!$B$5*C3477</f>
        <v>180.57</v>
      </c>
      <c r="F3477" s="20" t="n">
        <f aca="false">Parametres!$B$6*D3477</f>
        <v>200</v>
      </c>
      <c r="G3477" s="20" t="n">
        <f aca="false">E3477+F3477</f>
        <v>380.57</v>
      </c>
      <c r="H3477" s="20" t="n">
        <f aca="false">IF(G3477&lt;Parametres!$B$8*Parametres!$B$7,0,MIN(G3477,Parametres!$B$7))</f>
        <v>250</v>
      </c>
      <c r="I3477" s="20" t="n">
        <f aca="false">G3477-H3477</f>
        <v>130.57</v>
      </c>
      <c r="J3477" s="21" t="n">
        <f aca="false">H3477*1000/Parametres!$B$9</f>
        <v>4239.44378497541</v>
      </c>
    </row>
    <row r="3478" customFormat="false" ht="15" hidden="false" customHeight="false" outlineLevel="0" collapsed="false">
      <c r="A3478" s="0" t="n">
        <v>3474</v>
      </c>
      <c r="B3478" s="0" t="n">
        <v>5</v>
      </c>
      <c r="C3478" s="19" t="n">
        <v>0.297</v>
      </c>
      <c r="D3478" s="19" t="n">
        <v>1</v>
      </c>
      <c r="E3478" s="20" t="n">
        <f aca="false">Parametres!$B$5*C3478</f>
        <v>89.1</v>
      </c>
      <c r="F3478" s="20" t="n">
        <f aca="false">Parametres!$B$6*D3478</f>
        <v>200</v>
      </c>
      <c r="G3478" s="20" t="n">
        <f aca="false">E3478+F3478</f>
        <v>289.1</v>
      </c>
      <c r="H3478" s="20" t="n">
        <f aca="false">IF(G3478&lt;Parametres!$B$8*Parametres!$B$7,0,MIN(G3478,Parametres!$B$7))</f>
        <v>250</v>
      </c>
      <c r="I3478" s="20" t="n">
        <f aca="false">G3478-H3478</f>
        <v>39.1</v>
      </c>
      <c r="J3478" s="21" t="n">
        <f aca="false">H3478*1000/Parametres!$B$9</f>
        <v>4239.44378497541</v>
      </c>
    </row>
    <row r="3479" customFormat="false" ht="15" hidden="false" customHeight="false" outlineLevel="0" collapsed="false">
      <c r="A3479" s="0" t="n">
        <v>3475</v>
      </c>
      <c r="B3479" s="0" t="n">
        <v>5</v>
      </c>
      <c r="C3479" s="19" t="n">
        <v>0.0548</v>
      </c>
      <c r="D3479" s="19" t="n">
        <v>1</v>
      </c>
      <c r="E3479" s="20" t="n">
        <f aca="false">Parametres!$B$5*C3479</f>
        <v>16.44</v>
      </c>
      <c r="F3479" s="20" t="n">
        <f aca="false">Parametres!$B$6*D3479</f>
        <v>200</v>
      </c>
      <c r="G3479" s="20" t="n">
        <f aca="false">E3479+F3479</f>
        <v>216.44</v>
      </c>
      <c r="H3479" s="20" t="n">
        <f aca="false">IF(G3479&lt;Parametres!$B$8*Parametres!$B$7,0,MIN(G3479,Parametres!$B$7))</f>
        <v>216.44</v>
      </c>
      <c r="I3479" s="20" t="n">
        <f aca="false">G3479-H3479</f>
        <v>0</v>
      </c>
      <c r="J3479" s="21" t="n">
        <f aca="false">H3479*1000/Parametres!$B$9</f>
        <v>3670.34085128031</v>
      </c>
    </row>
    <row r="3480" customFormat="false" ht="15" hidden="false" customHeight="false" outlineLevel="0" collapsed="false">
      <c r="A3480" s="0" t="n">
        <v>3476</v>
      </c>
      <c r="B3480" s="0" t="n">
        <v>5</v>
      </c>
      <c r="C3480" s="19" t="n">
        <v>0</v>
      </c>
      <c r="D3480" s="19" t="n">
        <v>1</v>
      </c>
      <c r="E3480" s="20" t="n">
        <f aca="false">Parametres!$B$5*C3480</f>
        <v>0</v>
      </c>
      <c r="F3480" s="20" t="n">
        <f aca="false">Parametres!$B$6*D3480</f>
        <v>200</v>
      </c>
      <c r="G3480" s="20" t="n">
        <f aca="false">E3480+F3480</f>
        <v>200</v>
      </c>
      <c r="H3480" s="20" t="n">
        <f aca="false">IF(G3480&lt;Parametres!$B$8*Parametres!$B$7,0,MIN(G3480,Parametres!$B$7))</f>
        <v>200</v>
      </c>
      <c r="I3480" s="20" t="n">
        <f aca="false">G3480-H3480</f>
        <v>0</v>
      </c>
      <c r="J3480" s="21" t="n">
        <f aca="false">H3480*1000/Parametres!$B$9</f>
        <v>3391.55502798033</v>
      </c>
    </row>
    <row r="3481" customFormat="false" ht="15" hidden="false" customHeight="false" outlineLevel="0" collapsed="false">
      <c r="A3481" s="0" t="n">
        <v>3477</v>
      </c>
      <c r="B3481" s="0" t="n">
        <v>5</v>
      </c>
      <c r="C3481" s="19" t="n">
        <v>0</v>
      </c>
      <c r="D3481" s="19" t="n">
        <v>1</v>
      </c>
      <c r="E3481" s="20" t="n">
        <f aca="false">Parametres!$B$5*C3481</f>
        <v>0</v>
      </c>
      <c r="F3481" s="20" t="n">
        <f aca="false">Parametres!$B$6*D3481</f>
        <v>200</v>
      </c>
      <c r="G3481" s="20" t="n">
        <f aca="false">E3481+F3481</f>
        <v>200</v>
      </c>
      <c r="H3481" s="20" t="n">
        <f aca="false">IF(G3481&lt;Parametres!$B$8*Parametres!$B$7,0,MIN(G3481,Parametres!$B$7))</f>
        <v>200</v>
      </c>
      <c r="I3481" s="20" t="n">
        <f aca="false">G3481-H3481</f>
        <v>0</v>
      </c>
      <c r="J3481" s="21" t="n">
        <f aca="false">H3481*1000/Parametres!$B$9</f>
        <v>3391.55502798033</v>
      </c>
    </row>
    <row r="3482" customFormat="false" ht="15" hidden="false" customHeight="false" outlineLevel="0" collapsed="false">
      <c r="A3482" s="0" t="n">
        <v>3478</v>
      </c>
      <c r="B3482" s="0" t="n">
        <v>5</v>
      </c>
      <c r="C3482" s="19" t="n">
        <v>0</v>
      </c>
      <c r="D3482" s="19" t="n">
        <v>1</v>
      </c>
      <c r="E3482" s="20" t="n">
        <f aca="false">Parametres!$B$5*C3482</f>
        <v>0</v>
      </c>
      <c r="F3482" s="20" t="n">
        <f aca="false">Parametres!$B$6*D3482</f>
        <v>200</v>
      </c>
      <c r="G3482" s="20" t="n">
        <f aca="false">E3482+F3482</f>
        <v>200</v>
      </c>
      <c r="H3482" s="20" t="n">
        <f aca="false">IF(G3482&lt;Parametres!$B$8*Parametres!$B$7,0,MIN(G3482,Parametres!$B$7))</f>
        <v>200</v>
      </c>
      <c r="I3482" s="20" t="n">
        <f aca="false">G3482-H3482</f>
        <v>0</v>
      </c>
      <c r="J3482" s="21" t="n">
        <f aca="false">H3482*1000/Parametres!$B$9</f>
        <v>3391.55502798033</v>
      </c>
    </row>
    <row r="3483" customFormat="false" ht="15" hidden="false" customHeight="false" outlineLevel="0" collapsed="false">
      <c r="A3483" s="0" t="n">
        <v>3479</v>
      </c>
      <c r="B3483" s="0" t="n">
        <v>5</v>
      </c>
      <c r="C3483" s="19" t="n">
        <v>0</v>
      </c>
      <c r="D3483" s="19" t="n">
        <v>1</v>
      </c>
      <c r="E3483" s="20" t="n">
        <f aca="false">Parametres!$B$5*C3483</f>
        <v>0</v>
      </c>
      <c r="F3483" s="20" t="n">
        <f aca="false">Parametres!$B$6*D3483</f>
        <v>200</v>
      </c>
      <c r="G3483" s="20" t="n">
        <f aca="false">E3483+F3483</f>
        <v>200</v>
      </c>
      <c r="H3483" s="20" t="n">
        <f aca="false">IF(G3483&lt;Parametres!$B$8*Parametres!$B$7,0,MIN(G3483,Parametres!$B$7))</f>
        <v>200</v>
      </c>
      <c r="I3483" s="20" t="n">
        <f aca="false">G3483-H3483</f>
        <v>0</v>
      </c>
      <c r="J3483" s="21" t="n">
        <f aca="false">H3483*1000/Parametres!$B$9</f>
        <v>3391.55502798033</v>
      </c>
    </row>
    <row r="3484" customFormat="false" ht="15" hidden="false" customHeight="false" outlineLevel="0" collapsed="false">
      <c r="A3484" s="0" t="n">
        <v>3480</v>
      </c>
      <c r="B3484" s="0" t="n">
        <v>5</v>
      </c>
      <c r="C3484" s="19" t="n">
        <v>0</v>
      </c>
      <c r="D3484" s="19" t="n">
        <v>0.8321</v>
      </c>
      <c r="E3484" s="20" t="n">
        <f aca="false">Parametres!$B$5*C3484</f>
        <v>0</v>
      </c>
      <c r="F3484" s="20" t="n">
        <f aca="false">Parametres!$B$6*D3484</f>
        <v>166.42</v>
      </c>
      <c r="G3484" s="20" t="n">
        <f aca="false">E3484+F3484</f>
        <v>166.42</v>
      </c>
      <c r="H3484" s="20" t="n">
        <f aca="false">IF(G3484&lt;Parametres!$B$8*Parametres!$B$7,0,MIN(G3484,Parametres!$B$7))</f>
        <v>166.42</v>
      </c>
      <c r="I3484" s="20" t="n">
        <f aca="false">G3484-H3484</f>
        <v>0</v>
      </c>
      <c r="J3484" s="21" t="n">
        <f aca="false">H3484*1000/Parametres!$B$9</f>
        <v>2822.11293878243</v>
      </c>
    </row>
    <row r="3485" customFormat="false" ht="15" hidden="false" customHeight="false" outlineLevel="0" collapsed="false">
      <c r="A3485" s="0" t="n">
        <v>3481</v>
      </c>
      <c r="B3485" s="0" t="n">
        <v>5</v>
      </c>
      <c r="C3485" s="19" t="n">
        <v>0</v>
      </c>
      <c r="D3485" s="19" t="n">
        <v>0.8917</v>
      </c>
      <c r="E3485" s="20" t="n">
        <f aca="false">Parametres!$B$5*C3485</f>
        <v>0</v>
      </c>
      <c r="F3485" s="20" t="n">
        <f aca="false">Parametres!$B$6*D3485</f>
        <v>178.34</v>
      </c>
      <c r="G3485" s="20" t="n">
        <f aca="false">E3485+F3485</f>
        <v>178.34</v>
      </c>
      <c r="H3485" s="20" t="n">
        <f aca="false">IF(G3485&lt;Parametres!$B$8*Parametres!$B$7,0,MIN(G3485,Parametres!$B$7))</f>
        <v>178.34</v>
      </c>
      <c r="I3485" s="20" t="n">
        <f aca="false">G3485-H3485</f>
        <v>0</v>
      </c>
      <c r="J3485" s="21" t="n">
        <f aca="false">H3485*1000/Parametres!$B$9</f>
        <v>3024.24961845006</v>
      </c>
    </row>
    <row r="3486" customFormat="false" ht="15" hidden="false" customHeight="false" outlineLevel="0" collapsed="false">
      <c r="A3486" s="0" t="n">
        <v>3482</v>
      </c>
      <c r="B3486" s="0" t="n">
        <v>5</v>
      </c>
      <c r="C3486" s="19" t="n">
        <v>0</v>
      </c>
      <c r="D3486" s="19" t="n">
        <v>0.6952</v>
      </c>
      <c r="E3486" s="20" t="n">
        <f aca="false">Parametres!$B$5*C3486</f>
        <v>0</v>
      </c>
      <c r="F3486" s="20" t="n">
        <f aca="false">Parametres!$B$6*D3486</f>
        <v>139.04</v>
      </c>
      <c r="G3486" s="20" t="n">
        <f aca="false">E3486+F3486</f>
        <v>139.04</v>
      </c>
      <c r="H3486" s="20" t="n">
        <f aca="false">IF(G3486&lt;Parametres!$B$8*Parametres!$B$7,0,MIN(G3486,Parametres!$B$7))</f>
        <v>139.04</v>
      </c>
      <c r="I3486" s="20" t="n">
        <f aca="false">G3486-H3486</f>
        <v>0</v>
      </c>
      <c r="J3486" s="21" t="n">
        <f aca="false">H3486*1000/Parametres!$B$9</f>
        <v>2357.80905545193</v>
      </c>
    </row>
    <row r="3487" customFormat="false" ht="15" hidden="false" customHeight="false" outlineLevel="0" collapsed="false">
      <c r="A3487" s="0" t="n">
        <v>3483</v>
      </c>
      <c r="B3487" s="0" t="n">
        <v>5</v>
      </c>
      <c r="C3487" s="19" t="n">
        <v>0</v>
      </c>
      <c r="D3487" s="19" t="n">
        <v>0.5847</v>
      </c>
      <c r="E3487" s="20" t="n">
        <f aca="false">Parametres!$B$5*C3487</f>
        <v>0</v>
      </c>
      <c r="F3487" s="20" t="n">
        <f aca="false">Parametres!$B$6*D3487</f>
        <v>116.94</v>
      </c>
      <c r="G3487" s="20" t="n">
        <f aca="false">E3487+F3487</f>
        <v>116.94</v>
      </c>
      <c r="H3487" s="20" t="n">
        <f aca="false">IF(G3487&lt;Parametres!$B$8*Parametres!$B$7,0,MIN(G3487,Parametres!$B$7))</f>
        <v>116.94</v>
      </c>
      <c r="I3487" s="20" t="n">
        <f aca="false">G3487-H3487</f>
        <v>0</v>
      </c>
      <c r="J3487" s="21" t="n">
        <f aca="false">H3487*1000/Parametres!$B$9</f>
        <v>1983.0422248601</v>
      </c>
    </row>
    <row r="3488" customFormat="false" ht="15" hidden="false" customHeight="false" outlineLevel="0" collapsed="false">
      <c r="A3488" s="0" t="n">
        <v>3484</v>
      </c>
      <c r="B3488" s="0" t="n">
        <v>5</v>
      </c>
      <c r="C3488" s="19" t="n">
        <v>0</v>
      </c>
      <c r="D3488" s="19" t="n">
        <v>0.6832</v>
      </c>
      <c r="E3488" s="20" t="n">
        <f aca="false">Parametres!$B$5*C3488</f>
        <v>0</v>
      </c>
      <c r="F3488" s="20" t="n">
        <f aca="false">Parametres!$B$6*D3488</f>
        <v>136.64</v>
      </c>
      <c r="G3488" s="20" t="n">
        <f aca="false">E3488+F3488</f>
        <v>136.64</v>
      </c>
      <c r="H3488" s="20" t="n">
        <f aca="false">IF(G3488&lt;Parametres!$B$8*Parametres!$B$7,0,MIN(G3488,Parametres!$B$7))</f>
        <v>136.64</v>
      </c>
      <c r="I3488" s="20" t="n">
        <f aca="false">G3488-H3488</f>
        <v>0</v>
      </c>
      <c r="J3488" s="21" t="n">
        <f aca="false">H3488*1000/Parametres!$B$9</f>
        <v>2317.11039511616</v>
      </c>
    </row>
    <row r="3489" customFormat="false" ht="15" hidden="false" customHeight="false" outlineLevel="0" collapsed="false">
      <c r="A3489" s="0" t="n">
        <v>3485</v>
      </c>
      <c r="B3489" s="0" t="n">
        <v>5</v>
      </c>
      <c r="C3489" s="19" t="n">
        <v>0</v>
      </c>
      <c r="D3489" s="19" t="n">
        <v>0.9955</v>
      </c>
      <c r="E3489" s="20" t="n">
        <f aca="false">Parametres!$B$5*C3489</f>
        <v>0</v>
      </c>
      <c r="F3489" s="20" t="n">
        <f aca="false">Parametres!$B$6*D3489</f>
        <v>199.1</v>
      </c>
      <c r="G3489" s="20" t="n">
        <f aca="false">E3489+F3489</f>
        <v>199.1</v>
      </c>
      <c r="H3489" s="20" t="n">
        <f aca="false">IF(G3489&lt;Parametres!$B$8*Parametres!$B$7,0,MIN(G3489,Parametres!$B$7))</f>
        <v>199.1</v>
      </c>
      <c r="I3489" s="20" t="n">
        <f aca="false">G3489-H3489</f>
        <v>0</v>
      </c>
      <c r="J3489" s="21" t="n">
        <f aca="false">H3489*1000/Parametres!$B$9</f>
        <v>3376.29303035442</v>
      </c>
    </row>
    <row r="3490" customFormat="false" ht="15" hidden="false" customHeight="false" outlineLevel="0" collapsed="false">
      <c r="A3490" s="0" t="n">
        <v>3486</v>
      </c>
      <c r="B3490" s="0" t="n">
        <v>5</v>
      </c>
      <c r="C3490" s="19" t="n">
        <v>0.0467</v>
      </c>
      <c r="D3490" s="19" t="n">
        <v>1</v>
      </c>
      <c r="E3490" s="20" t="n">
        <f aca="false">Parametres!$B$5*C3490</f>
        <v>14.01</v>
      </c>
      <c r="F3490" s="20" t="n">
        <f aca="false">Parametres!$B$6*D3490</f>
        <v>200</v>
      </c>
      <c r="G3490" s="20" t="n">
        <f aca="false">E3490+F3490</f>
        <v>214.01</v>
      </c>
      <c r="H3490" s="20" t="n">
        <f aca="false">IF(G3490&lt;Parametres!$B$8*Parametres!$B$7,0,MIN(G3490,Parametres!$B$7))</f>
        <v>214.01</v>
      </c>
      <c r="I3490" s="20" t="n">
        <f aca="false">G3490-H3490</f>
        <v>0</v>
      </c>
      <c r="J3490" s="21" t="n">
        <f aca="false">H3490*1000/Parametres!$B$9</f>
        <v>3629.13345769035</v>
      </c>
    </row>
    <row r="3491" customFormat="false" ht="15" hidden="false" customHeight="false" outlineLevel="0" collapsed="false">
      <c r="A3491" s="0" t="n">
        <v>3487</v>
      </c>
      <c r="B3491" s="0" t="n">
        <v>5</v>
      </c>
      <c r="C3491" s="19" t="n">
        <v>0.2685</v>
      </c>
      <c r="D3491" s="19" t="n">
        <v>1</v>
      </c>
      <c r="E3491" s="20" t="n">
        <f aca="false">Parametres!$B$5*C3491</f>
        <v>80.55</v>
      </c>
      <c r="F3491" s="20" t="n">
        <f aca="false">Parametres!$B$6*D3491</f>
        <v>200</v>
      </c>
      <c r="G3491" s="20" t="n">
        <f aca="false">E3491+F3491</f>
        <v>280.55</v>
      </c>
      <c r="H3491" s="20" t="n">
        <f aca="false">IF(G3491&lt;Parametres!$B$8*Parametres!$B$7,0,MIN(G3491,Parametres!$B$7))</f>
        <v>250</v>
      </c>
      <c r="I3491" s="20" t="n">
        <f aca="false">G3491-H3491</f>
        <v>30.55</v>
      </c>
      <c r="J3491" s="21" t="n">
        <f aca="false">H3491*1000/Parametres!$B$9</f>
        <v>4239.44378497541</v>
      </c>
    </row>
    <row r="3492" customFormat="false" ht="15" hidden="false" customHeight="false" outlineLevel="0" collapsed="false">
      <c r="A3492" s="0" t="n">
        <v>3488</v>
      </c>
      <c r="B3492" s="0" t="n">
        <v>5</v>
      </c>
      <c r="C3492" s="19" t="n">
        <v>0.516</v>
      </c>
      <c r="D3492" s="19" t="n">
        <v>1</v>
      </c>
      <c r="E3492" s="20" t="n">
        <f aca="false">Parametres!$B$5*C3492</f>
        <v>154.8</v>
      </c>
      <c r="F3492" s="20" t="n">
        <f aca="false">Parametres!$B$6*D3492</f>
        <v>200</v>
      </c>
      <c r="G3492" s="20" t="n">
        <f aca="false">E3492+F3492</f>
        <v>354.8</v>
      </c>
      <c r="H3492" s="20" t="n">
        <f aca="false">IF(G3492&lt;Parametres!$B$8*Parametres!$B$7,0,MIN(G3492,Parametres!$B$7))</f>
        <v>250</v>
      </c>
      <c r="I3492" s="20" t="n">
        <f aca="false">G3492-H3492</f>
        <v>104.8</v>
      </c>
      <c r="J3492" s="21" t="n">
        <f aca="false">H3492*1000/Parametres!$B$9</f>
        <v>4239.44378497541</v>
      </c>
    </row>
    <row r="3493" customFormat="false" ht="15" hidden="false" customHeight="false" outlineLevel="0" collapsed="false">
      <c r="A3493" s="0" t="n">
        <v>3489</v>
      </c>
      <c r="B3493" s="0" t="n">
        <v>5</v>
      </c>
      <c r="C3493" s="19" t="n">
        <v>0.7639</v>
      </c>
      <c r="D3493" s="19" t="n">
        <v>1</v>
      </c>
      <c r="E3493" s="20" t="n">
        <f aca="false">Parametres!$B$5*C3493</f>
        <v>229.17</v>
      </c>
      <c r="F3493" s="20" t="n">
        <f aca="false">Parametres!$B$6*D3493</f>
        <v>200</v>
      </c>
      <c r="G3493" s="20" t="n">
        <f aca="false">E3493+F3493</f>
        <v>429.17</v>
      </c>
      <c r="H3493" s="20" t="n">
        <f aca="false">IF(G3493&lt;Parametres!$B$8*Parametres!$B$7,0,MIN(G3493,Parametres!$B$7))</f>
        <v>250</v>
      </c>
      <c r="I3493" s="20" t="n">
        <f aca="false">G3493-H3493</f>
        <v>179.17</v>
      </c>
      <c r="J3493" s="21" t="n">
        <f aca="false">H3493*1000/Parametres!$B$9</f>
        <v>4239.44378497541</v>
      </c>
    </row>
    <row r="3494" customFormat="false" ht="15" hidden="false" customHeight="false" outlineLevel="0" collapsed="false">
      <c r="A3494" s="0" t="n">
        <v>3490</v>
      </c>
      <c r="B3494" s="0" t="n">
        <v>5</v>
      </c>
      <c r="C3494" s="19" t="n">
        <v>0.8879</v>
      </c>
      <c r="D3494" s="19" t="n">
        <v>1</v>
      </c>
      <c r="E3494" s="20" t="n">
        <f aca="false">Parametres!$B$5*C3494</f>
        <v>266.37</v>
      </c>
      <c r="F3494" s="20" t="n">
        <f aca="false">Parametres!$B$6*D3494</f>
        <v>200</v>
      </c>
      <c r="G3494" s="20" t="n">
        <f aca="false">E3494+F3494</f>
        <v>466.37</v>
      </c>
      <c r="H3494" s="20" t="n">
        <f aca="false">IF(G3494&lt;Parametres!$B$8*Parametres!$B$7,0,MIN(G3494,Parametres!$B$7))</f>
        <v>250</v>
      </c>
      <c r="I3494" s="20" t="n">
        <f aca="false">G3494-H3494</f>
        <v>216.37</v>
      </c>
      <c r="J3494" s="21" t="n">
        <f aca="false">H3494*1000/Parametres!$B$9</f>
        <v>4239.44378497541</v>
      </c>
    </row>
    <row r="3495" customFormat="false" ht="15" hidden="false" customHeight="false" outlineLevel="0" collapsed="false">
      <c r="A3495" s="0" t="n">
        <v>3491</v>
      </c>
      <c r="B3495" s="0" t="n">
        <v>5</v>
      </c>
      <c r="C3495" s="19" t="n">
        <v>1</v>
      </c>
      <c r="D3495" s="19" t="n">
        <v>1</v>
      </c>
      <c r="E3495" s="20" t="n">
        <f aca="false">Parametres!$B$5*C3495</f>
        <v>300</v>
      </c>
      <c r="F3495" s="20" t="n">
        <f aca="false">Parametres!$B$6*D3495</f>
        <v>200</v>
      </c>
      <c r="G3495" s="20" t="n">
        <f aca="false">E3495+F3495</f>
        <v>500</v>
      </c>
      <c r="H3495" s="20" t="n">
        <f aca="false">IF(G3495&lt;Parametres!$B$8*Parametres!$B$7,0,MIN(G3495,Parametres!$B$7))</f>
        <v>250</v>
      </c>
      <c r="I3495" s="20" t="n">
        <f aca="false">G3495-H3495</f>
        <v>250</v>
      </c>
      <c r="J3495" s="21" t="n">
        <f aca="false">H3495*1000/Parametres!$B$9</f>
        <v>4239.44378497541</v>
      </c>
    </row>
    <row r="3496" customFormat="false" ht="15" hidden="false" customHeight="false" outlineLevel="0" collapsed="false">
      <c r="A3496" s="0" t="n">
        <v>3492</v>
      </c>
      <c r="B3496" s="0" t="n">
        <v>5</v>
      </c>
      <c r="C3496" s="19" t="n">
        <v>1</v>
      </c>
      <c r="D3496" s="19" t="n">
        <v>1</v>
      </c>
      <c r="E3496" s="20" t="n">
        <f aca="false">Parametres!$B$5*C3496</f>
        <v>300</v>
      </c>
      <c r="F3496" s="20" t="n">
        <f aca="false">Parametres!$B$6*D3496</f>
        <v>200</v>
      </c>
      <c r="G3496" s="20" t="n">
        <f aca="false">E3496+F3496</f>
        <v>500</v>
      </c>
      <c r="H3496" s="20" t="n">
        <f aca="false">IF(G3496&lt;Parametres!$B$8*Parametres!$B$7,0,MIN(G3496,Parametres!$B$7))</f>
        <v>250</v>
      </c>
      <c r="I3496" s="20" t="n">
        <f aca="false">G3496-H3496</f>
        <v>250</v>
      </c>
      <c r="J3496" s="21" t="n">
        <f aca="false">H3496*1000/Parametres!$B$9</f>
        <v>4239.44378497541</v>
      </c>
    </row>
    <row r="3497" customFormat="false" ht="15" hidden="false" customHeight="false" outlineLevel="0" collapsed="false">
      <c r="A3497" s="0" t="n">
        <v>3493</v>
      </c>
      <c r="B3497" s="0" t="n">
        <v>5</v>
      </c>
      <c r="C3497" s="19" t="n">
        <v>1</v>
      </c>
      <c r="D3497" s="19" t="n">
        <v>1</v>
      </c>
      <c r="E3497" s="20" t="n">
        <f aca="false">Parametres!$B$5*C3497</f>
        <v>300</v>
      </c>
      <c r="F3497" s="20" t="n">
        <f aca="false">Parametres!$B$6*D3497</f>
        <v>200</v>
      </c>
      <c r="G3497" s="20" t="n">
        <f aca="false">E3497+F3497</f>
        <v>500</v>
      </c>
      <c r="H3497" s="20" t="n">
        <f aca="false">IF(G3497&lt;Parametres!$B$8*Parametres!$B$7,0,MIN(G3497,Parametres!$B$7))</f>
        <v>250</v>
      </c>
      <c r="I3497" s="20" t="n">
        <f aca="false">G3497-H3497</f>
        <v>250</v>
      </c>
      <c r="J3497" s="21" t="n">
        <f aca="false">H3497*1000/Parametres!$B$9</f>
        <v>4239.44378497541</v>
      </c>
    </row>
    <row r="3498" customFormat="false" ht="15" hidden="false" customHeight="false" outlineLevel="0" collapsed="false">
      <c r="A3498" s="0" t="n">
        <v>3494</v>
      </c>
      <c r="B3498" s="0" t="n">
        <v>5</v>
      </c>
      <c r="C3498" s="19" t="n">
        <v>1</v>
      </c>
      <c r="D3498" s="19" t="n">
        <v>1</v>
      </c>
      <c r="E3498" s="20" t="n">
        <f aca="false">Parametres!$B$5*C3498</f>
        <v>300</v>
      </c>
      <c r="F3498" s="20" t="n">
        <f aca="false">Parametres!$B$6*D3498</f>
        <v>200</v>
      </c>
      <c r="G3498" s="20" t="n">
        <f aca="false">E3498+F3498</f>
        <v>500</v>
      </c>
      <c r="H3498" s="20" t="n">
        <f aca="false">IF(G3498&lt;Parametres!$B$8*Parametres!$B$7,0,MIN(G3498,Parametres!$B$7))</f>
        <v>250</v>
      </c>
      <c r="I3498" s="20" t="n">
        <f aca="false">G3498-H3498</f>
        <v>250</v>
      </c>
      <c r="J3498" s="21" t="n">
        <f aca="false">H3498*1000/Parametres!$B$9</f>
        <v>4239.44378497541</v>
      </c>
    </row>
    <row r="3499" customFormat="false" ht="15" hidden="false" customHeight="false" outlineLevel="0" collapsed="false">
      <c r="A3499" s="0" t="n">
        <v>3495</v>
      </c>
      <c r="B3499" s="0" t="n">
        <v>5</v>
      </c>
      <c r="C3499" s="19" t="n">
        <v>0.9747</v>
      </c>
      <c r="D3499" s="19" t="n">
        <v>1</v>
      </c>
      <c r="E3499" s="20" t="n">
        <f aca="false">Parametres!$B$5*C3499</f>
        <v>292.41</v>
      </c>
      <c r="F3499" s="20" t="n">
        <f aca="false">Parametres!$B$6*D3499</f>
        <v>200</v>
      </c>
      <c r="G3499" s="20" t="n">
        <f aca="false">E3499+F3499</f>
        <v>492.41</v>
      </c>
      <c r="H3499" s="20" t="n">
        <f aca="false">IF(G3499&lt;Parametres!$B$8*Parametres!$B$7,0,MIN(G3499,Parametres!$B$7))</f>
        <v>250</v>
      </c>
      <c r="I3499" s="20" t="n">
        <f aca="false">G3499-H3499</f>
        <v>242.41</v>
      </c>
      <c r="J3499" s="21" t="n">
        <f aca="false">H3499*1000/Parametres!$B$9</f>
        <v>4239.44378497541</v>
      </c>
    </row>
    <row r="3500" customFormat="false" ht="15" hidden="false" customHeight="false" outlineLevel="0" collapsed="false">
      <c r="A3500" s="0" t="n">
        <v>3496</v>
      </c>
      <c r="B3500" s="0" t="n">
        <v>5</v>
      </c>
      <c r="C3500" s="19" t="n">
        <v>0.6913</v>
      </c>
      <c r="D3500" s="19" t="n">
        <v>1</v>
      </c>
      <c r="E3500" s="20" t="n">
        <f aca="false">Parametres!$B$5*C3500</f>
        <v>207.39</v>
      </c>
      <c r="F3500" s="20" t="n">
        <f aca="false">Parametres!$B$6*D3500</f>
        <v>200</v>
      </c>
      <c r="G3500" s="20" t="n">
        <f aca="false">E3500+F3500</f>
        <v>407.39</v>
      </c>
      <c r="H3500" s="20" t="n">
        <f aca="false">IF(G3500&lt;Parametres!$B$8*Parametres!$B$7,0,MIN(G3500,Parametres!$B$7))</f>
        <v>250</v>
      </c>
      <c r="I3500" s="20" t="n">
        <f aca="false">G3500-H3500</f>
        <v>157.39</v>
      </c>
      <c r="J3500" s="21" t="n">
        <f aca="false">H3500*1000/Parametres!$B$9</f>
        <v>4239.44378497541</v>
      </c>
    </row>
    <row r="3501" customFormat="false" ht="15" hidden="false" customHeight="false" outlineLevel="0" collapsed="false">
      <c r="A3501" s="0" t="n">
        <v>3497</v>
      </c>
      <c r="B3501" s="0" t="n">
        <v>5</v>
      </c>
      <c r="C3501" s="19" t="n">
        <v>0.4951</v>
      </c>
      <c r="D3501" s="19" t="n">
        <v>1</v>
      </c>
      <c r="E3501" s="20" t="n">
        <f aca="false">Parametres!$B$5*C3501</f>
        <v>148.53</v>
      </c>
      <c r="F3501" s="20" t="n">
        <f aca="false">Parametres!$B$6*D3501</f>
        <v>200</v>
      </c>
      <c r="G3501" s="20" t="n">
        <f aca="false">E3501+F3501</f>
        <v>348.53</v>
      </c>
      <c r="H3501" s="20" t="n">
        <f aca="false">IF(G3501&lt;Parametres!$B$8*Parametres!$B$7,0,MIN(G3501,Parametres!$B$7))</f>
        <v>250</v>
      </c>
      <c r="I3501" s="20" t="n">
        <f aca="false">G3501-H3501</f>
        <v>98.53</v>
      </c>
      <c r="J3501" s="21" t="n">
        <f aca="false">H3501*1000/Parametres!$B$9</f>
        <v>4239.44378497541</v>
      </c>
    </row>
    <row r="3502" customFormat="false" ht="15" hidden="false" customHeight="false" outlineLevel="0" collapsed="false">
      <c r="A3502" s="0" t="n">
        <v>3498</v>
      </c>
      <c r="B3502" s="0" t="n">
        <v>5</v>
      </c>
      <c r="C3502" s="19" t="n">
        <v>0.2598</v>
      </c>
      <c r="D3502" s="19" t="n">
        <v>1</v>
      </c>
      <c r="E3502" s="20" t="n">
        <f aca="false">Parametres!$B$5*C3502</f>
        <v>77.94</v>
      </c>
      <c r="F3502" s="20" t="n">
        <f aca="false">Parametres!$B$6*D3502</f>
        <v>200</v>
      </c>
      <c r="G3502" s="20" t="n">
        <f aca="false">E3502+F3502</f>
        <v>277.94</v>
      </c>
      <c r="H3502" s="20" t="n">
        <f aca="false">IF(G3502&lt;Parametres!$B$8*Parametres!$B$7,0,MIN(G3502,Parametres!$B$7))</f>
        <v>250</v>
      </c>
      <c r="I3502" s="20" t="n">
        <f aca="false">G3502-H3502</f>
        <v>27.94</v>
      </c>
      <c r="J3502" s="21" t="n">
        <f aca="false">H3502*1000/Parametres!$B$9</f>
        <v>4239.44378497541</v>
      </c>
    </row>
    <row r="3503" customFormat="false" ht="15" hidden="false" customHeight="false" outlineLevel="0" collapsed="false">
      <c r="A3503" s="0" t="n">
        <v>3499</v>
      </c>
      <c r="B3503" s="0" t="n">
        <v>5</v>
      </c>
      <c r="C3503" s="19" t="n">
        <v>0.0494</v>
      </c>
      <c r="D3503" s="19" t="n">
        <v>1</v>
      </c>
      <c r="E3503" s="20" t="n">
        <f aca="false">Parametres!$B$5*C3503</f>
        <v>14.82</v>
      </c>
      <c r="F3503" s="20" t="n">
        <f aca="false">Parametres!$B$6*D3503</f>
        <v>200</v>
      </c>
      <c r="G3503" s="20" t="n">
        <f aca="false">E3503+F3503</f>
        <v>214.82</v>
      </c>
      <c r="H3503" s="20" t="n">
        <f aca="false">IF(G3503&lt;Parametres!$B$8*Parametres!$B$7,0,MIN(G3503,Parametres!$B$7))</f>
        <v>214.82</v>
      </c>
      <c r="I3503" s="20" t="n">
        <f aca="false">G3503-H3503</f>
        <v>0</v>
      </c>
      <c r="J3503" s="21" t="n">
        <f aca="false">H3503*1000/Parametres!$B$9</f>
        <v>3642.86925555367</v>
      </c>
    </row>
    <row r="3504" customFormat="false" ht="15" hidden="false" customHeight="false" outlineLevel="0" collapsed="false">
      <c r="A3504" s="0" t="n">
        <v>3500</v>
      </c>
      <c r="B3504" s="0" t="n">
        <v>5</v>
      </c>
      <c r="C3504" s="19" t="n">
        <v>0</v>
      </c>
      <c r="D3504" s="19" t="n">
        <v>1</v>
      </c>
      <c r="E3504" s="20" t="n">
        <f aca="false">Parametres!$B$5*C3504</f>
        <v>0</v>
      </c>
      <c r="F3504" s="20" t="n">
        <f aca="false">Parametres!$B$6*D3504</f>
        <v>200</v>
      </c>
      <c r="G3504" s="20" t="n">
        <f aca="false">E3504+F3504</f>
        <v>200</v>
      </c>
      <c r="H3504" s="20" t="n">
        <f aca="false">IF(G3504&lt;Parametres!$B$8*Parametres!$B$7,0,MIN(G3504,Parametres!$B$7))</f>
        <v>200</v>
      </c>
      <c r="I3504" s="20" t="n">
        <f aca="false">G3504-H3504</f>
        <v>0</v>
      </c>
      <c r="J3504" s="21" t="n">
        <f aca="false">H3504*1000/Parametres!$B$9</f>
        <v>3391.55502798033</v>
      </c>
    </row>
    <row r="3505" customFormat="false" ht="15" hidden="false" customHeight="false" outlineLevel="0" collapsed="false">
      <c r="A3505" s="0" t="n">
        <v>3501</v>
      </c>
      <c r="B3505" s="0" t="n">
        <v>5</v>
      </c>
      <c r="C3505" s="19" t="n">
        <v>0</v>
      </c>
      <c r="D3505" s="19" t="n">
        <v>1</v>
      </c>
      <c r="E3505" s="20" t="n">
        <f aca="false">Parametres!$B$5*C3505</f>
        <v>0</v>
      </c>
      <c r="F3505" s="20" t="n">
        <f aca="false">Parametres!$B$6*D3505</f>
        <v>200</v>
      </c>
      <c r="G3505" s="20" t="n">
        <f aca="false">E3505+F3505</f>
        <v>200</v>
      </c>
      <c r="H3505" s="20" t="n">
        <f aca="false">IF(G3505&lt;Parametres!$B$8*Parametres!$B$7,0,MIN(G3505,Parametres!$B$7))</f>
        <v>200</v>
      </c>
      <c r="I3505" s="20" t="n">
        <f aca="false">G3505-H3505</f>
        <v>0</v>
      </c>
      <c r="J3505" s="21" t="n">
        <f aca="false">H3505*1000/Parametres!$B$9</f>
        <v>3391.55502798033</v>
      </c>
    </row>
    <row r="3506" customFormat="false" ht="15" hidden="false" customHeight="false" outlineLevel="0" collapsed="false">
      <c r="A3506" s="0" t="n">
        <v>3502</v>
      </c>
      <c r="B3506" s="0" t="n">
        <v>5</v>
      </c>
      <c r="C3506" s="19" t="n">
        <v>0</v>
      </c>
      <c r="D3506" s="19" t="n">
        <v>1</v>
      </c>
      <c r="E3506" s="20" t="n">
        <f aca="false">Parametres!$B$5*C3506</f>
        <v>0</v>
      </c>
      <c r="F3506" s="20" t="n">
        <f aca="false">Parametres!$B$6*D3506</f>
        <v>200</v>
      </c>
      <c r="G3506" s="20" t="n">
        <f aca="false">E3506+F3506</f>
        <v>200</v>
      </c>
      <c r="H3506" s="20" t="n">
        <f aca="false">IF(G3506&lt;Parametres!$B$8*Parametres!$B$7,0,MIN(G3506,Parametres!$B$7))</f>
        <v>200</v>
      </c>
      <c r="I3506" s="20" t="n">
        <f aca="false">G3506-H3506</f>
        <v>0</v>
      </c>
      <c r="J3506" s="21" t="n">
        <f aca="false">H3506*1000/Parametres!$B$9</f>
        <v>3391.55502798033</v>
      </c>
    </row>
    <row r="3507" customFormat="false" ht="15" hidden="false" customHeight="false" outlineLevel="0" collapsed="false">
      <c r="A3507" s="0" t="n">
        <v>3503</v>
      </c>
      <c r="B3507" s="0" t="n">
        <v>5</v>
      </c>
      <c r="C3507" s="19" t="n">
        <v>0</v>
      </c>
      <c r="D3507" s="19" t="n">
        <v>1</v>
      </c>
      <c r="E3507" s="20" t="n">
        <f aca="false">Parametres!$B$5*C3507</f>
        <v>0</v>
      </c>
      <c r="F3507" s="20" t="n">
        <f aca="false">Parametres!$B$6*D3507</f>
        <v>200</v>
      </c>
      <c r="G3507" s="20" t="n">
        <f aca="false">E3507+F3507</f>
        <v>200</v>
      </c>
      <c r="H3507" s="20" t="n">
        <f aca="false">IF(G3507&lt;Parametres!$B$8*Parametres!$B$7,0,MIN(G3507,Parametres!$B$7))</f>
        <v>200</v>
      </c>
      <c r="I3507" s="20" t="n">
        <f aca="false">G3507-H3507</f>
        <v>0</v>
      </c>
      <c r="J3507" s="21" t="n">
        <f aca="false">H3507*1000/Parametres!$B$9</f>
        <v>3391.55502798033</v>
      </c>
    </row>
    <row r="3508" customFormat="false" ht="15" hidden="false" customHeight="false" outlineLevel="0" collapsed="false">
      <c r="A3508" s="0" t="n">
        <v>3504</v>
      </c>
      <c r="B3508" s="0" t="n">
        <v>5</v>
      </c>
      <c r="C3508" s="19" t="n">
        <v>0</v>
      </c>
      <c r="D3508" s="19" t="n">
        <v>1</v>
      </c>
      <c r="E3508" s="20" t="n">
        <f aca="false">Parametres!$B$5*C3508</f>
        <v>0</v>
      </c>
      <c r="F3508" s="20" t="n">
        <f aca="false">Parametres!$B$6*D3508</f>
        <v>200</v>
      </c>
      <c r="G3508" s="20" t="n">
        <f aca="false">E3508+F3508</f>
        <v>200</v>
      </c>
      <c r="H3508" s="20" t="n">
        <f aca="false">IF(G3508&lt;Parametres!$B$8*Parametres!$B$7,0,MIN(G3508,Parametres!$B$7))</f>
        <v>200</v>
      </c>
      <c r="I3508" s="20" t="n">
        <f aca="false">G3508-H3508</f>
        <v>0</v>
      </c>
      <c r="J3508" s="21" t="n">
        <f aca="false">H3508*1000/Parametres!$B$9</f>
        <v>3391.55502798033</v>
      </c>
    </row>
    <row r="3509" customFormat="false" ht="15" hidden="false" customHeight="false" outlineLevel="0" collapsed="false">
      <c r="A3509" s="0" t="n">
        <v>3505</v>
      </c>
      <c r="B3509" s="0" t="n">
        <v>5</v>
      </c>
      <c r="C3509" s="19" t="n">
        <v>0</v>
      </c>
      <c r="D3509" s="19" t="n">
        <v>1</v>
      </c>
      <c r="E3509" s="20" t="n">
        <f aca="false">Parametres!$B$5*C3509</f>
        <v>0</v>
      </c>
      <c r="F3509" s="20" t="n">
        <f aca="false">Parametres!$B$6*D3509</f>
        <v>200</v>
      </c>
      <c r="G3509" s="20" t="n">
        <f aca="false">E3509+F3509</f>
        <v>200</v>
      </c>
      <c r="H3509" s="20" t="n">
        <f aca="false">IF(G3509&lt;Parametres!$B$8*Parametres!$B$7,0,MIN(G3509,Parametres!$B$7))</f>
        <v>200</v>
      </c>
      <c r="I3509" s="20" t="n">
        <f aca="false">G3509-H3509</f>
        <v>0</v>
      </c>
      <c r="J3509" s="21" t="n">
        <f aca="false">H3509*1000/Parametres!$B$9</f>
        <v>3391.55502798033</v>
      </c>
    </row>
    <row r="3510" customFormat="false" ht="15" hidden="false" customHeight="false" outlineLevel="0" collapsed="false">
      <c r="A3510" s="0" t="n">
        <v>3506</v>
      </c>
      <c r="B3510" s="0" t="n">
        <v>5</v>
      </c>
      <c r="C3510" s="19" t="n">
        <v>0</v>
      </c>
      <c r="D3510" s="19" t="n">
        <v>1</v>
      </c>
      <c r="E3510" s="20" t="n">
        <f aca="false">Parametres!$B$5*C3510</f>
        <v>0</v>
      </c>
      <c r="F3510" s="20" t="n">
        <f aca="false">Parametres!$B$6*D3510</f>
        <v>200</v>
      </c>
      <c r="G3510" s="20" t="n">
        <f aca="false">E3510+F3510</f>
        <v>200</v>
      </c>
      <c r="H3510" s="20" t="n">
        <f aca="false">IF(G3510&lt;Parametres!$B$8*Parametres!$B$7,0,MIN(G3510,Parametres!$B$7))</f>
        <v>200</v>
      </c>
      <c r="I3510" s="20" t="n">
        <f aca="false">G3510-H3510</f>
        <v>0</v>
      </c>
      <c r="J3510" s="21" t="n">
        <f aca="false">H3510*1000/Parametres!$B$9</f>
        <v>3391.55502798033</v>
      </c>
    </row>
    <row r="3511" customFormat="false" ht="15" hidden="false" customHeight="false" outlineLevel="0" collapsed="false">
      <c r="A3511" s="0" t="n">
        <v>3507</v>
      </c>
      <c r="B3511" s="0" t="n">
        <v>5</v>
      </c>
      <c r="C3511" s="19" t="n">
        <v>0</v>
      </c>
      <c r="D3511" s="19" t="n">
        <v>1</v>
      </c>
      <c r="E3511" s="20" t="n">
        <f aca="false">Parametres!$B$5*C3511</f>
        <v>0</v>
      </c>
      <c r="F3511" s="20" t="n">
        <f aca="false">Parametres!$B$6*D3511</f>
        <v>200</v>
      </c>
      <c r="G3511" s="20" t="n">
        <f aca="false">E3511+F3511</f>
        <v>200</v>
      </c>
      <c r="H3511" s="20" t="n">
        <f aca="false">IF(G3511&lt;Parametres!$B$8*Parametres!$B$7,0,MIN(G3511,Parametres!$B$7))</f>
        <v>200</v>
      </c>
      <c r="I3511" s="20" t="n">
        <f aca="false">G3511-H3511</f>
        <v>0</v>
      </c>
      <c r="J3511" s="21" t="n">
        <f aca="false">H3511*1000/Parametres!$B$9</f>
        <v>3391.55502798033</v>
      </c>
    </row>
    <row r="3512" customFormat="false" ht="15" hidden="false" customHeight="false" outlineLevel="0" collapsed="false">
      <c r="A3512" s="0" t="n">
        <v>3508</v>
      </c>
      <c r="B3512" s="0" t="n">
        <v>5</v>
      </c>
      <c r="C3512" s="19" t="n">
        <v>0</v>
      </c>
      <c r="D3512" s="19" t="n">
        <v>1</v>
      </c>
      <c r="E3512" s="20" t="n">
        <f aca="false">Parametres!$B$5*C3512</f>
        <v>0</v>
      </c>
      <c r="F3512" s="20" t="n">
        <f aca="false">Parametres!$B$6*D3512</f>
        <v>200</v>
      </c>
      <c r="G3512" s="20" t="n">
        <f aca="false">E3512+F3512</f>
        <v>200</v>
      </c>
      <c r="H3512" s="20" t="n">
        <f aca="false">IF(G3512&lt;Parametres!$B$8*Parametres!$B$7,0,MIN(G3512,Parametres!$B$7))</f>
        <v>200</v>
      </c>
      <c r="I3512" s="20" t="n">
        <f aca="false">G3512-H3512</f>
        <v>0</v>
      </c>
      <c r="J3512" s="21" t="n">
        <f aca="false">H3512*1000/Parametres!$B$9</f>
        <v>3391.55502798033</v>
      </c>
    </row>
    <row r="3513" customFormat="false" ht="15" hidden="false" customHeight="false" outlineLevel="0" collapsed="false">
      <c r="A3513" s="0" t="n">
        <v>3509</v>
      </c>
      <c r="B3513" s="0" t="n">
        <v>5</v>
      </c>
      <c r="C3513" s="19" t="n">
        <v>0</v>
      </c>
      <c r="D3513" s="19" t="n">
        <v>1</v>
      </c>
      <c r="E3513" s="20" t="n">
        <f aca="false">Parametres!$B$5*C3513</f>
        <v>0</v>
      </c>
      <c r="F3513" s="20" t="n">
        <f aca="false">Parametres!$B$6*D3513</f>
        <v>200</v>
      </c>
      <c r="G3513" s="20" t="n">
        <f aca="false">E3513+F3513</f>
        <v>200</v>
      </c>
      <c r="H3513" s="20" t="n">
        <f aca="false">IF(G3513&lt;Parametres!$B$8*Parametres!$B$7,0,MIN(G3513,Parametres!$B$7))</f>
        <v>200</v>
      </c>
      <c r="I3513" s="20" t="n">
        <f aca="false">G3513-H3513</f>
        <v>0</v>
      </c>
      <c r="J3513" s="21" t="n">
        <f aca="false">H3513*1000/Parametres!$B$9</f>
        <v>3391.55502798033</v>
      </c>
    </row>
    <row r="3514" customFormat="false" ht="15" hidden="false" customHeight="false" outlineLevel="0" collapsed="false">
      <c r="A3514" s="0" t="n">
        <v>3510</v>
      </c>
      <c r="B3514" s="0" t="n">
        <v>5</v>
      </c>
      <c r="C3514" s="19" t="n">
        <v>0.05</v>
      </c>
      <c r="D3514" s="19" t="n">
        <v>1</v>
      </c>
      <c r="E3514" s="20" t="n">
        <f aca="false">Parametres!$B$5*C3514</f>
        <v>15</v>
      </c>
      <c r="F3514" s="20" t="n">
        <f aca="false">Parametres!$B$6*D3514</f>
        <v>200</v>
      </c>
      <c r="G3514" s="20" t="n">
        <f aca="false">E3514+F3514</f>
        <v>215</v>
      </c>
      <c r="H3514" s="20" t="n">
        <f aca="false">IF(G3514&lt;Parametres!$B$8*Parametres!$B$7,0,MIN(G3514,Parametres!$B$7))</f>
        <v>215</v>
      </c>
      <c r="I3514" s="20" t="n">
        <f aca="false">G3514-H3514</f>
        <v>0</v>
      </c>
      <c r="J3514" s="21" t="n">
        <f aca="false">H3514*1000/Parametres!$B$9</f>
        <v>3645.92165507885</v>
      </c>
    </row>
    <row r="3515" customFormat="false" ht="15" hidden="false" customHeight="false" outlineLevel="0" collapsed="false">
      <c r="A3515" s="0" t="n">
        <v>3511</v>
      </c>
      <c r="B3515" s="0" t="n">
        <v>5</v>
      </c>
      <c r="C3515" s="19" t="n">
        <v>0.2943</v>
      </c>
      <c r="D3515" s="19" t="n">
        <v>1</v>
      </c>
      <c r="E3515" s="20" t="n">
        <f aca="false">Parametres!$B$5*C3515</f>
        <v>88.29</v>
      </c>
      <c r="F3515" s="20" t="n">
        <f aca="false">Parametres!$B$6*D3515</f>
        <v>200</v>
      </c>
      <c r="G3515" s="20" t="n">
        <f aca="false">E3515+F3515</f>
        <v>288.29</v>
      </c>
      <c r="H3515" s="20" t="n">
        <f aca="false">IF(G3515&lt;Parametres!$B$8*Parametres!$B$7,0,MIN(G3515,Parametres!$B$7))</f>
        <v>250</v>
      </c>
      <c r="I3515" s="20" t="n">
        <f aca="false">G3515-H3515</f>
        <v>38.29</v>
      </c>
      <c r="J3515" s="21" t="n">
        <f aca="false">H3515*1000/Parametres!$B$9</f>
        <v>4239.44378497541</v>
      </c>
    </row>
    <row r="3516" customFormat="false" ht="15" hidden="false" customHeight="false" outlineLevel="0" collapsed="false">
      <c r="A3516" s="0" t="n">
        <v>3512</v>
      </c>
      <c r="B3516" s="0" t="n">
        <v>5</v>
      </c>
      <c r="C3516" s="19" t="n">
        <v>0.5583</v>
      </c>
      <c r="D3516" s="19" t="n">
        <v>1</v>
      </c>
      <c r="E3516" s="20" t="n">
        <f aca="false">Parametres!$B$5*C3516</f>
        <v>167.49</v>
      </c>
      <c r="F3516" s="20" t="n">
        <f aca="false">Parametres!$B$6*D3516</f>
        <v>200</v>
      </c>
      <c r="G3516" s="20" t="n">
        <f aca="false">E3516+F3516</f>
        <v>367.49</v>
      </c>
      <c r="H3516" s="20" t="n">
        <f aca="false">IF(G3516&lt;Parametres!$B$8*Parametres!$B$7,0,MIN(G3516,Parametres!$B$7))</f>
        <v>250</v>
      </c>
      <c r="I3516" s="20" t="n">
        <f aca="false">G3516-H3516</f>
        <v>117.49</v>
      </c>
      <c r="J3516" s="21" t="n">
        <f aca="false">H3516*1000/Parametres!$B$9</f>
        <v>4239.44378497541</v>
      </c>
    </row>
    <row r="3517" customFormat="false" ht="15" hidden="false" customHeight="false" outlineLevel="0" collapsed="false">
      <c r="A3517" s="0" t="n">
        <v>3513</v>
      </c>
      <c r="B3517" s="0" t="n">
        <v>5</v>
      </c>
      <c r="C3517" s="19" t="n">
        <v>0.7341</v>
      </c>
      <c r="D3517" s="19" t="n">
        <v>1</v>
      </c>
      <c r="E3517" s="20" t="n">
        <f aca="false">Parametres!$B$5*C3517</f>
        <v>220.23</v>
      </c>
      <c r="F3517" s="20" t="n">
        <f aca="false">Parametres!$B$6*D3517</f>
        <v>200</v>
      </c>
      <c r="G3517" s="20" t="n">
        <f aca="false">E3517+F3517</f>
        <v>420.23</v>
      </c>
      <c r="H3517" s="20" t="n">
        <f aca="false">IF(G3517&lt;Parametres!$B$8*Parametres!$B$7,0,MIN(G3517,Parametres!$B$7))</f>
        <v>250</v>
      </c>
      <c r="I3517" s="20" t="n">
        <f aca="false">G3517-H3517</f>
        <v>170.23</v>
      </c>
      <c r="J3517" s="21" t="n">
        <f aca="false">H3517*1000/Parametres!$B$9</f>
        <v>4239.44378497541</v>
      </c>
    </row>
    <row r="3518" customFormat="false" ht="15" hidden="false" customHeight="false" outlineLevel="0" collapsed="false">
      <c r="A3518" s="0" t="n">
        <v>3514</v>
      </c>
      <c r="B3518" s="0" t="n">
        <v>5</v>
      </c>
      <c r="C3518" s="19" t="n">
        <v>0.9424</v>
      </c>
      <c r="D3518" s="19" t="n">
        <v>1</v>
      </c>
      <c r="E3518" s="20" t="n">
        <f aca="false">Parametres!$B$5*C3518</f>
        <v>282.72</v>
      </c>
      <c r="F3518" s="20" t="n">
        <f aca="false">Parametres!$B$6*D3518</f>
        <v>200</v>
      </c>
      <c r="G3518" s="20" t="n">
        <f aca="false">E3518+F3518</f>
        <v>482.72</v>
      </c>
      <c r="H3518" s="20" t="n">
        <f aca="false">IF(G3518&lt;Parametres!$B$8*Parametres!$B$7,0,MIN(G3518,Parametres!$B$7))</f>
        <v>250</v>
      </c>
      <c r="I3518" s="20" t="n">
        <f aca="false">G3518-H3518</f>
        <v>232.72</v>
      </c>
      <c r="J3518" s="21" t="n">
        <f aca="false">H3518*1000/Parametres!$B$9</f>
        <v>4239.44378497541</v>
      </c>
    </row>
    <row r="3519" customFormat="false" ht="15" hidden="false" customHeight="false" outlineLevel="0" collapsed="false">
      <c r="A3519" s="0" t="n">
        <v>3515</v>
      </c>
      <c r="B3519" s="0" t="n">
        <v>5</v>
      </c>
      <c r="C3519" s="19" t="n">
        <v>1</v>
      </c>
      <c r="D3519" s="19" t="n">
        <v>1</v>
      </c>
      <c r="E3519" s="20" t="n">
        <f aca="false">Parametres!$B$5*C3519</f>
        <v>300</v>
      </c>
      <c r="F3519" s="20" t="n">
        <f aca="false">Parametres!$B$6*D3519</f>
        <v>200</v>
      </c>
      <c r="G3519" s="20" t="n">
        <f aca="false">E3519+F3519</f>
        <v>500</v>
      </c>
      <c r="H3519" s="20" t="n">
        <f aca="false">IF(G3519&lt;Parametres!$B$8*Parametres!$B$7,0,MIN(G3519,Parametres!$B$7))</f>
        <v>250</v>
      </c>
      <c r="I3519" s="20" t="n">
        <f aca="false">G3519-H3519</f>
        <v>250</v>
      </c>
      <c r="J3519" s="21" t="n">
        <f aca="false">H3519*1000/Parametres!$B$9</f>
        <v>4239.44378497541</v>
      </c>
    </row>
    <row r="3520" customFormat="false" ht="15" hidden="false" customHeight="false" outlineLevel="0" collapsed="false">
      <c r="A3520" s="0" t="n">
        <v>3516</v>
      </c>
      <c r="B3520" s="0" t="n">
        <v>5</v>
      </c>
      <c r="C3520" s="19" t="n">
        <v>1</v>
      </c>
      <c r="D3520" s="19" t="n">
        <v>1</v>
      </c>
      <c r="E3520" s="20" t="n">
        <f aca="false">Parametres!$B$5*C3520</f>
        <v>300</v>
      </c>
      <c r="F3520" s="20" t="n">
        <f aca="false">Parametres!$B$6*D3520</f>
        <v>200</v>
      </c>
      <c r="G3520" s="20" t="n">
        <f aca="false">E3520+F3520</f>
        <v>500</v>
      </c>
      <c r="H3520" s="20" t="n">
        <f aca="false">IF(G3520&lt;Parametres!$B$8*Parametres!$B$7,0,MIN(G3520,Parametres!$B$7))</f>
        <v>250</v>
      </c>
      <c r="I3520" s="20" t="n">
        <f aca="false">G3520-H3520</f>
        <v>250</v>
      </c>
      <c r="J3520" s="21" t="n">
        <f aca="false">H3520*1000/Parametres!$B$9</f>
        <v>4239.44378497541</v>
      </c>
    </row>
    <row r="3521" customFormat="false" ht="15" hidden="false" customHeight="false" outlineLevel="0" collapsed="false">
      <c r="A3521" s="0" t="n">
        <v>3517</v>
      </c>
      <c r="B3521" s="0" t="n">
        <v>5</v>
      </c>
      <c r="C3521" s="19" t="n">
        <v>1</v>
      </c>
      <c r="D3521" s="19" t="n">
        <v>1</v>
      </c>
      <c r="E3521" s="20" t="n">
        <f aca="false">Parametres!$B$5*C3521</f>
        <v>300</v>
      </c>
      <c r="F3521" s="20" t="n">
        <f aca="false">Parametres!$B$6*D3521</f>
        <v>200</v>
      </c>
      <c r="G3521" s="20" t="n">
        <f aca="false">E3521+F3521</f>
        <v>500</v>
      </c>
      <c r="H3521" s="20" t="n">
        <f aca="false">IF(G3521&lt;Parametres!$B$8*Parametres!$B$7,0,MIN(G3521,Parametres!$B$7))</f>
        <v>250</v>
      </c>
      <c r="I3521" s="20" t="n">
        <f aca="false">G3521-H3521</f>
        <v>250</v>
      </c>
      <c r="J3521" s="21" t="n">
        <f aca="false">H3521*1000/Parametres!$B$9</f>
        <v>4239.44378497541</v>
      </c>
    </row>
    <row r="3522" customFormat="false" ht="15" hidden="false" customHeight="false" outlineLevel="0" collapsed="false">
      <c r="A3522" s="0" t="n">
        <v>3518</v>
      </c>
      <c r="B3522" s="0" t="n">
        <v>5</v>
      </c>
      <c r="C3522" s="19" t="n">
        <v>1</v>
      </c>
      <c r="D3522" s="19" t="n">
        <v>1</v>
      </c>
      <c r="E3522" s="20" t="n">
        <f aca="false">Parametres!$B$5*C3522</f>
        <v>300</v>
      </c>
      <c r="F3522" s="20" t="n">
        <f aca="false">Parametres!$B$6*D3522</f>
        <v>200</v>
      </c>
      <c r="G3522" s="20" t="n">
        <f aca="false">E3522+F3522</f>
        <v>500</v>
      </c>
      <c r="H3522" s="20" t="n">
        <f aca="false">IF(G3522&lt;Parametres!$B$8*Parametres!$B$7,0,MIN(G3522,Parametres!$B$7))</f>
        <v>250</v>
      </c>
      <c r="I3522" s="20" t="n">
        <f aca="false">G3522-H3522</f>
        <v>250</v>
      </c>
      <c r="J3522" s="21" t="n">
        <f aca="false">H3522*1000/Parametres!$B$9</f>
        <v>4239.44378497541</v>
      </c>
    </row>
    <row r="3523" customFormat="false" ht="15" hidden="false" customHeight="false" outlineLevel="0" collapsed="false">
      <c r="A3523" s="0" t="n">
        <v>3519</v>
      </c>
      <c r="B3523" s="0" t="n">
        <v>5</v>
      </c>
      <c r="C3523" s="19" t="n">
        <v>0.9473</v>
      </c>
      <c r="D3523" s="19" t="n">
        <v>1</v>
      </c>
      <c r="E3523" s="20" t="n">
        <f aca="false">Parametres!$B$5*C3523</f>
        <v>284.19</v>
      </c>
      <c r="F3523" s="20" t="n">
        <f aca="false">Parametres!$B$6*D3523</f>
        <v>200</v>
      </c>
      <c r="G3523" s="20" t="n">
        <f aca="false">E3523+F3523</f>
        <v>484.19</v>
      </c>
      <c r="H3523" s="20" t="n">
        <f aca="false">IF(G3523&lt;Parametres!$B$8*Parametres!$B$7,0,MIN(G3523,Parametres!$B$7))</f>
        <v>250</v>
      </c>
      <c r="I3523" s="20" t="n">
        <f aca="false">G3523-H3523</f>
        <v>234.19</v>
      </c>
      <c r="J3523" s="21" t="n">
        <f aca="false">H3523*1000/Parametres!$B$9</f>
        <v>4239.44378497541</v>
      </c>
    </row>
    <row r="3524" customFormat="false" ht="15" hidden="false" customHeight="false" outlineLevel="0" collapsed="false">
      <c r="A3524" s="0" t="n">
        <v>3520</v>
      </c>
      <c r="B3524" s="0" t="n">
        <v>5</v>
      </c>
      <c r="C3524" s="19" t="n">
        <v>0.7967</v>
      </c>
      <c r="D3524" s="19" t="n">
        <v>1</v>
      </c>
      <c r="E3524" s="20" t="n">
        <f aca="false">Parametres!$B$5*C3524</f>
        <v>239.01</v>
      </c>
      <c r="F3524" s="20" t="n">
        <f aca="false">Parametres!$B$6*D3524</f>
        <v>200</v>
      </c>
      <c r="G3524" s="20" t="n">
        <f aca="false">E3524+F3524</f>
        <v>439.01</v>
      </c>
      <c r="H3524" s="20" t="n">
        <f aca="false">IF(G3524&lt;Parametres!$B$8*Parametres!$B$7,0,MIN(G3524,Parametres!$B$7))</f>
        <v>250</v>
      </c>
      <c r="I3524" s="20" t="n">
        <f aca="false">G3524-H3524</f>
        <v>189.01</v>
      </c>
      <c r="J3524" s="21" t="n">
        <f aca="false">H3524*1000/Parametres!$B$9</f>
        <v>4239.44378497541</v>
      </c>
    </row>
    <row r="3525" customFormat="false" ht="15" hidden="false" customHeight="false" outlineLevel="0" collapsed="false">
      <c r="A3525" s="0" t="n">
        <v>3521</v>
      </c>
      <c r="B3525" s="0" t="n">
        <v>5</v>
      </c>
      <c r="C3525" s="19" t="n">
        <v>0.5219</v>
      </c>
      <c r="D3525" s="19" t="n">
        <v>1</v>
      </c>
      <c r="E3525" s="20" t="n">
        <f aca="false">Parametres!$B$5*C3525</f>
        <v>156.57</v>
      </c>
      <c r="F3525" s="20" t="n">
        <f aca="false">Parametres!$B$6*D3525</f>
        <v>200</v>
      </c>
      <c r="G3525" s="20" t="n">
        <f aca="false">E3525+F3525</f>
        <v>356.57</v>
      </c>
      <c r="H3525" s="20" t="n">
        <f aca="false">IF(G3525&lt;Parametres!$B$8*Parametres!$B$7,0,MIN(G3525,Parametres!$B$7))</f>
        <v>250</v>
      </c>
      <c r="I3525" s="20" t="n">
        <f aca="false">G3525-H3525</f>
        <v>106.57</v>
      </c>
      <c r="J3525" s="21" t="n">
        <f aca="false">H3525*1000/Parametres!$B$9</f>
        <v>4239.44378497541</v>
      </c>
    </row>
    <row r="3526" customFormat="false" ht="15" hidden="false" customHeight="false" outlineLevel="0" collapsed="false">
      <c r="A3526" s="0" t="n">
        <v>3522</v>
      </c>
      <c r="B3526" s="0" t="n">
        <v>5</v>
      </c>
      <c r="C3526" s="19" t="n">
        <v>0.2917</v>
      </c>
      <c r="D3526" s="19" t="n">
        <v>1</v>
      </c>
      <c r="E3526" s="20" t="n">
        <f aca="false">Parametres!$B$5*C3526</f>
        <v>87.51</v>
      </c>
      <c r="F3526" s="20" t="n">
        <f aca="false">Parametres!$B$6*D3526</f>
        <v>200</v>
      </c>
      <c r="G3526" s="20" t="n">
        <f aca="false">E3526+F3526</f>
        <v>287.51</v>
      </c>
      <c r="H3526" s="20" t="n">
        <f aca="false">IF(G3526&lt;Parametres!$B$8*Parametres!$B$7,0,MIN(G3526,Parametres!$B$7))</f>
        <v>250</v>
      </c>
      <c r="I3526" s="20" t="n">
        <f aca="false">G3526-H3526</f>
        <v>37.51</v>
      </c>
      <c r="J3526" s="21" t="n">
        <f aca="false">H3526*1000/Parametres!$B$9</f>
        <v>4239.44378497541</v>
      </c>
    </row>
    <row r="3527" customFormat="false" ht="15" hidden="false" customHeight="false" outlineLevel="0" collapsed="false">
      <c r="A3527" s="0" t="n">
        <v>3523</v>
      </c>
      <c r="B3527" s="0" t="n">
        <v>5</v>
      </c>
      <c r="C3527" s="19" t="n">
        <v>0.0489</v>
      </c>
      <c r="D3527" s="19" t="n">
        <v>1</v>
      </c>
      <c r="E3527" s="20" t="n">
        <f aca="false">Parametres!$B$5*C3527</f>
        <v>14.67</v>
      </c>
      <c r="F3527" s="20" t="n">
        <f aca="false">Parametres!$B$6*D3527</f>
        <v>200</v>
      </c>
      <c r="G3527" s="20" t="n">
        <f aca="false">E3527+F3527</f>
        <v>214.67</v>
      </c>
      <c r="H3527" s="20" t="n">
        <f aca="false">IF(G3527&lt;Parametres!$B$8*Parametres!$B$7,0,MIN(G3527,Parametres!$B$7))</f>
        <v>214.67</v>
      </c>
      <c r="I3527" s="20" t="n">
        <f aca="false">G3527-H3527</f>
        <v>0</v>
      </c>
      <c r="J3527" s="21" t="n">
        <f aca="false">H3527*1000/Parametres!$B$9</f>
        <v>3640.32558928269</v>
      </c>
    </row>
    <row r="3528" customFormat="false" ht="15" hidden="false" customHeight="false" outlineLevel="0" collapsed="false">
      <c r="A3528" s="0" t="n">
        <v>3524</v>
      </c>
      <c r="B3528" s="0" t="n">
        <v>5</v>
      </c>
      <c r="C3528" s="19" t="n">
        <v>0</v>
      </c>
      <c r="D3528" s="19" t="n">
        <v>1</v>
      </c>
      <c r="E3528" s="20" t="n">
        <f aca="false">Parametres!$B$5*C3528</f>
        <v>0</v>
      </c>
      <c r="F3528" s="20" t="n">
        <f aca="false">Parametres!$B$6*D3528</f>
        <v>200</v>
      </c>
      <c r="G3528" s="20" t="n">
        <f aca="false">E3528+F3528</f>
        <v>200</v>
      </c>
      <c r="H3528" s="20" t="n">
        <f aca="false">IF(G3528&lt;Parametres!$B$8*Parametres!$B$7,0,MIN(G3528,Parametres!$B$7))</f>
        <v>200</v>
      </c>
      <c r="I3528" s="20" t="n">
        <f aca="false">G3528-H3528</f>
        <v>0</v>
      </c>
      <c r="J3528" s="21" t="n">
        <f aca="false">H3528*1000/Parametres!$B$9</f>
        <v>3391.55502798033</v>
      </c>
    </row>
    <row r="3529" customFormat="false" ht="15" hidden="false" customHeight="false" outlineLevel="0" collapsed="false">
      <c r="A3529" s="0" t="n">
        <v>3525</v>
      </c>
      <c r="B3529" s="0" t="n">
        <v>5</v>
      </c>
      <c r="C3529" s="19" t="n">
        <v>0</v>
      </c>
      <c r="D3529" s="19" t="n">
        <v>1</v>
      </c>
      <c r="E3529" s="20" t="n">
        <f aca="false">Parametres!$B$5*C3529</f>
        <v>0</v>
      </c>
      <c r="F3529" s="20" t="n">
        <f aca="false">Parametres!$B$6*D3529</f>
        <v>200</v>
      </c>
      <c r="G3529" s="20" t="n">
        <f aca="false">E3529+F3529</f>
        <v>200</v>
      </c>
      <c r="H3529" s="20" t="n">
        <f aca="false">IF(G3529&lt;Parametres!$B$8*Parametres!$B$7,0,MIN(G3529,Parametres!$B$7))</f>
        <v>200</v>
      </c>
      <c r="I3529" s="20" t="n">
        <f aca="false">G3529-H3529</f>
        <v>0</v>
      </c>
      <c r="J3529" s="21" t="n">
        <f aca="false">H3529*1000/Parametres!$B$9</f>
        <v>3391.55502798033</v>
      </c>
    </row>
    <row r="3530" customFormat="false" ht="15" hidden="false" customHeight="false" outlineLevel="0" collapsed="false">
      <c r="A3530" s="0" t="n">
        <v>3526</v>
      </c>
      <c r="B3530" s="0" t="n">
        <v>5</v>
      </c>
      <c r="C3530" s="19" t="n">
        <v>0</v>
      </c>
      <c r="D3530" s="19" t="n">
        <v>1</v>
      </c>
      <c r="E3530" s="20" t="n">
        <f aca="false">Parametres!$B$5*C3530</f>
        <v>0</v>
      </c>
      <c r="F3530" s="20" t="n">
        <f aca="false">Parametres!$B$6*D3530</f>
        <v>200</v>
      </c>
      <c r="G3530" s="20" t="n">
        <f aca="false">E3530+F3530</f>
        <v>200</v>
      </c>
      <c r="H3530" s="20" t="n">
        <f aca="false">IF(G3530&lt;Parametres!$B$8*Parametres!$B$7,0,MIN(G3530,Parametres!$B$7))</f>
        <v>200</v>
      </c>
      <c r="I3530" s="20" t="n">
        <f aca="false">G3530-H3530</f>
        <v>0</v>
      </c>
      <c r="J3530" s="21" t="n">
        <f aca="false">H3530*1000/Parametres!$B$9</f>
        <v>3391.55502798033</v>
      </c>
    </row>
    <row r="3531" customFormat="false" ht="15" hidden="false" customHeight="false" outlineLevel="0" collapsed="false">
      <c r="A3531" s="0" t="n">
        <v>3527</v>
      </c>
      <c r="B3531" s="0" t="n">
        <v>5</v>
      </c>
      <c r="C3531" s="19" t="n">
        <v>0</v>
      </c>
      <c r="D3531" s="19" t="n">
        <v>1</v>
      </c>
      <c r="E3531" s="20" t="n">
        <f aca="false">Parametres!$B$5*C3531</f>
        <v>0</v>
      </c>
      <c r="F3531" s="20" t="n">
        <f aca="false">Parametres!$B$6*D3531</f>
        <v>200</v>
      </c>
      <c r="G3531" s="20" t="n">
        <f aca="false">E3531+F3531</f>
        <v>200</v>
      </c>
      <c r="H3531" s="20" t="n">
        <f aca="false">IF(G3531&lt;Parametres!$B$8*Parametres!$B$7,0,MIN(G3531,Parametres!$B$7))</f>
        <v>200</v>
      </c>
      <c r="I3531" s="20" t="n">
        <f aca="false">G3531-H3531</f>
        <v>0</v>
      </c>
      <c r="J3531" s="21" t="n">
        <f aca="false">H3531*1000/Parametres!$B$9</f>
        <v>3391.55502798033</v>
      </c>
    </row>
    <row r="3532" customFormat="false" ht="15" hidden="false" customHeight="false" outlineLevel="0" collapsed="false">
      <c r="A3532" s="0" t="n">
        <v>3528</v>
      </c>
      <c r="B3532" s="0" t="n">
        <v>5</v>
      </c>
      <c r="C3532" s="19" t="n">
        <v>0</v>
      </c>
      <c r="D3532" s="19" t="n">
        <v>1</v>
      </c>
      <c r="E3532" s="20" t="n">
        <f aca="false">Parametres!$B$5*C3532</f>
        <v>0</v>
      </c>
      <c r="F3532" s="20" t="n">
        <f aca="false">Parametres!$B$6*D3532</f>
        <v>200</v>
      </c>
      <c r="G3532" s="20" t="n">
        <f aca="false">E3532+F3532</f>
        <v>200</v>
      </c>
      <c r="H3532" s="20" t="n">
        <f aca="false">IF(G3532&lt;Parametres!$B$8*Parametres!$B$7,0,MIN(G3532,Parametres!$B$7))</f>
        <v>200</v>
      </c>
      <c r="I3532" s="20" t="n">
        <f aca="false">G3532-H3532</f>
        <v>0</v>
      </c>
      <c r="J3532" s="21" t="n">
        <f aca="false">H3532*1000/Parametres!$B$9</f>
        <v>3391.55502798033</v>
      </c>
    </row>
    <row r="3533" customFormat="false" ht="15" hidden="false" customHeight="false" outlineLevel="0" collapsed="false">
      <c r="A3533" s="0" t="n">
        <v>3529</v>
      </c>
      <c r="B3533" s="0" t="n">
        <v>5</v>
      </c>
      <c r="C3533" s="19" t="n">
        <v>0</v>
      </c>
      <c r="D3533" s="19" t="n">
        <v>1</v>
      </c>
      <c r="E3533" s="20" t="n">
        <f aca="false">Parametres!$B$5*C3533</f>
        <v>0</v>
      </c>
      <c r="F3533" s="20" t="n">
        <f aca="false">Parametres!$B$6*D3533</f>
        <v>200</v>
      </c>
      <c r="G3533" s="20" t="n">
        <f aca="false">E3533+F3533</f>
        <v>200</v>
      </c>
      <c r="H3533" s="20" t="n">
        <f aca="false">IF(G3533&lt;Parametres!$B$8*Parametres!$B$7,0,MIN(G3533,Parametres!$B$7))</f>
        <v>200</v>
      </c>
      <c r="I3533" s="20" t="n">
        <f aca="false">G3533-H3533</f>
        <v>0</v>
      </c>
      <c r="J3533" s="21" t="n">
        <f aca="false">H3533*1000/Parametres!$B$9</f>
        <v>3391.55502798033</v>
      </c>
    </row>
    <row r="3534" customFormat="false" ht="15" hidden="false" customHeight="false" outlineLevel="0" collapsed="false">
      <c r="A3534" s="0" t="n">
        <v>3530</v>
      </c>
      <c r="B3534" s="0" t="n">
        <v>5</v>
      </c>
      <c r="C3534" s="19" t="n">
        <v>0</v>
      </c>
      <c r="D3534" s="19" t="n">
        <v>1</v>
      </c>
      <c r="E3534" s="20" t="n">
        <f aca="false">Parametres!$B$5*C3534</f>
        <v>0</v>
      </c>
      <c r="F3534" s="20" t="n">
        <f aca="false">Parametres!$B$6*D3534</f>
        <v>200</v>
      </c>
      <c r="G3534" s="20" t="n">
        <f aca="false">E3534+F3534</f>
        <v>200</v>
      </c>
      <c r="H3534" s="20" t="n">
        <f aca="false">IF(G3534&lt;Parametres!$B$8*Parametres!$B$7,0,MIN(G3534,Parametres!$B$7))</f>
        <v>200</v>
      </c>
      <c r="I3534" s="20" t="n">
        <f aca="false">G3534-H3534</f>
        <v>0</v>
      </c>
      <c r="J3534" s="21" t="n">
        <f aca="false">H3534*1000/Parametres!$B$9</f>
        <v>3391.55502798033</v>
      </c>
    </row>
    <row r="3535" customFormat="false" ht="15" hidden="false" customHeight="false" outlineLevel="0" collapsed="false">
      <c r="A3535" s="0" t="n">
        <v>3531</v>
      </c>
      <c r="B3535" s="0" t="n">
        <v>5</v>
      </c>
      <c r="C3535" s="19" t="n">
        <v>0</v>
      </c>
      <c r="D3535" s="19" t="n">
        <v>1</v>
      </c>
      <c r="E3535" s="20" t="n">
        <f aca="false">Parametres!$B$5*C3535</f>
        <v>0</v>
      </c>
      <c r="F3535" s="20" t="n">
        <f aca="false">Parametres!$B$6*D3535</f>
        <v>200</v>
      </c>
      <c r="G3535" s="20" t="n">
        <f aca="false">E3535+F3535</f>
        <v>200</v>
      </c>
      <c r="H3535" s="20" t="n">
        <f aca="false">IF(G3535&lt;Parametres!$B$8*Parametres!$B$7,0,MIN(G3535,Parametres!$B$7))</f>
        <v>200</v>
      </c>
      <c r="I3535" s="20" t="n">
        <f aca="false">G3535-H3535</f>
        <v>0</v>
      </c>
      <c r="J3535" s="21" t="n">
        <f aca="false">H3535*1000/Parametres!$B$9</f>
        <v>3391.55502798033</v>
      </c>
    </row>
    <row r="3536" customFormat="false" ht="15" hidden="false" customHeight="false" outlineLevel="0" collapsed="false">
      <c r="A3536" s="0" t="n">
        <v>3532</v>
      </c>
      <c r="B3536" s="0" t="n">
        <v>5</v>
      </c>
      <c r="C3536" s="19" t="n">
        <v>0</v>
      </c>
      <c r="D3536" s="19" t="n">
        <v>1</v>
      </c>
      <c r="E3536" s="20" t="n">
        <f aca="false">Parametres!$B$5*C3536</f>
        <v>0</v>
      </c>
      <c r="F3536" s="20" t="n">
        <f aca="false">Parametres!$B$6*D3536</f>
        <v>200</v>
      </c>
      <c r="G3536" s="20" t="n">
        <f aca="false">E3536+F3536</f>
        <v>200</v>
      </c>
      <c r="H3536" s="20" t="n">
        <f aca="false">IF(G3536&lt;Parametres!$B$8*Parametres!$B$7,0,MIN(G3536,Parametres!$B$7))</f>
        <v>200</v>
      </c>
      <c r="I3536" s="20" t="n">
        <f aca="false">G3536-H3536</f>
        <v>0</v>
      </c>
      <c r="J3536" s="21" t="n">
        <f aca="false">H3536*1000/Parametres!$B$9</f>
        <v>3391.55502798033</v>
      </c>
    </row>
    <row r="3537" customFormat="false" ht="15" hidden="false" customHeight="false" outlineLevel="0" collapsed="false">
      <c r="A3537" s="0" t="n">
        <v>3533</v>
      </c>
      <c r="B3537" s="0" t="n">
        <v>5</v>
      </c>
      <c r="C3537" s="19" t="n">
        <v>0</v>
      </c>
      <c r="D3537" s="19" t="n">
        <v>1</v>
      </c>
      <c r="E3537" s="20" t="n">
        <f aca="false">Parametres!$B$5*C3537</f>
        <v>0</v>
      </c>
      <c r="F3537" s="20" t="n">
        <f aca="false">Parametres!$B$6*D3537</f>
        <v>200</v>
      </c>
      <c r="G3537" s="20" t="n">
        <f aca="false">E3537+F3537</f>
        <v>200</v>
      </c>
      <c r="H3537" s="20" t="n">
        <f aca="false">IF(G3537&lt;Parametres!$B$8*Parametres!$B$7,0,MIN(G3537,Parametres!$B$7))</f>
        <v>200</v>
      </c>
      <c r="I3537" s="20" t="n">
        <f aca="false">G3537-H3537</f>
        <v>0</v>
      </c>
      <c r="J3537" s="21" t="n">
        <f aca="false">H3537*1000/Parametres!$B$9</f>
        <v>3391.55502798033</v>
      </c>
    </row>
    <row r="3538" customFormat="false" ht="15" hidden="false" customHeight="false" outlineLevel="0" collapsed="false">
      <c r="A3538" s="0" t="n">
        <v>3534</v>
      </c>
      <c r="B3538" s="0" t="n">
        <v>5</v>
      </c>
      <c r="C3538" s="19" t="n">
        <v>0.0543</v>
      </c>
      <c r="D3538" s="19" t="n">
        <v>1</v>
      </c>
      <c r="E3538" s="20" t="n">
        <f aca="false">Parametres!$B$5*C3538</f>
        <v>16.29</v>
      </c>
      <c r="F3538" s="20" t="n">
        <f aca="false">Parametres!$B$6*D3538</f>
        <v>200</v>
      </c>
      <c r="G3538" s="20" t="n">
        <f aca="false">E3538+F3538</f>
        <v>216.29</v>
      </c>
      <c r="H3538" s="20" t="n">
        <f aca="false">IF(G3538&lt;Parametres!$B$8*Parametres!$B$7,0,MIN(G3538,Parametres!$B$7))</f>
        <v>216.29</v>
      </c>
      <c r="I3538" s="20" t="n">
        <f aca="false">G3538-H3538</f>
        <v>0</v>
      </c>
      <c r="J3538" s="21" t="n">
        <f aca="false">H3538*1000/Parametres!$B$9</f>
        <v>3667.79718500933</v>
      </c>
    </row>
    <row r="3539" customFormat="false" ht="15" hidden="false" customHeight="false" outlineLevel="0" collapsed="false">
      <c r="A3539" s="0" t="n">
        <v>3535</v>
      </c>
      <c r="B3539" s="0" t="n">
        <v>5</v>
      </c>
      <c r="C3539" s="19" t="n">
        <v>0.3276</v>
      </c>
      <c r="D3539" s="19" t="n">
        <v>1</v>
      </c>
      <c r="E3539" s="20" t="n">
        <f aca="false">Parametres!$B$5*C3539</f>
        <v>98.28</v>
      </c>
      <c r="F3539" s="20" t="n">
        <f aca="false">Parametres!$B$6*D3539</f>
        <v>200</v>
      </c>
      <c r="G3539" s="20" t="n">
        <f aca="false">E3539+F3539</f>
        <v>298.28</v>
      </c>
      <c r="H3539" s="20" t="n">
        <f aca="false">IF(G3539&lt;Parametres!$B$8*Parametres!$B$7,0,MIN(G3539,Parametres!$B$7))</f>
        <v>250</v>
      </c>
      <c r="I3539" s="20" t="n">
        <f aca="false">G3539-H3539</f>
        <v>48.28</v>
      </c>
      <c r="J3539" s="21" t="n">
        <f aca="false">H3539*1000/Parametres!$B$9</f>
        <v>4239.44378497541</v>
      </c>
    </row>
    <row r="3540" customFormat="false" ht="15" hidden="false" customHeight="false" outlineLevel="0" collapsed="false">
      <c r="A3540" s="0" t="n">
        <v>3536</v>
      </c>
      <c r="B3540" s="0" t="n">
        <v>5</v>
      </c>
      <c r="C3540" s="19" t="n">
        <v>0.5824</v>
      </c>
      <c r="D3540" s="19" t="n">
        <v>1</v>
      </c>
      <c r="E3540" s="20" t="n">
        <f aca="false">Parametres!$B$5*C3540</f>
        <v>174.72</v>
      </c>
      <c r="F3540" s="20" t="n">
        <f aca="false">Parametres!$B$6*D3540</f>
        <v>200</v>
      </c>
      <c r="G3540" s="20" t="n">
        <f aca="false">E3540+F3540</f>
        <v>374.72</v>
      </c>
      <c r="H3540" s="20" t="n">
        <f aca="false">IF(G3540&lt;Parametres!$B$8*Parametres!$B$7,0,MIN(G3540,Parametres!$B$7))</f>
        <v>250</v>
      </c>
      <c r="I3540" s="20" t="n">
        <f aca="false">G3540-H3540</f>
        <v>124.72</v>
      </c>
      <c r="J3540" s="21" t="n">
        <f aca="false">H3540*1000/Parametres!$B$9</f>
        <v>4239.44378497541</v>
      </c>
    </row>
    <row r="3541" customFormat="false" ht="15" hidden="false" customHeight="false" outlineLevel="0" collapsed="false">
      <c r="A3541" s="0" t="n">
        <v>3537</v>
      </c>
      <c r="B3541" s="0" t="n">
        <v>5</v>
      </c>
      <c r="C3541" s="19" t="n">
        <v>0.8693</v>
      </c>
      <c r="D3541" s="19" t="n">
        <v>1</v>
      </c>
      <c r="E3541" s="20" t="n">
        <f aca="false">Parametres!$B$5*C3541</f>
        <v>260.79</v>
      </c>
      <c r="F3541" s="20" t="n">
        <f aca="false">Parametres!$B$6*D3541</f>
        <v>200</v>
      </c>
      <c r="G3541" s="20" t="n">
        <f aca="false">E3541+F3541</f>
        <v>460.79</v>
      </c>
      <c r="H3541" s="20" t="n">
        <f aca="false">IF(G3541&lt;Parametres!$B$8*Parametres!$B$7,0,MIN(G3541,Parametres!$B$7))</f>
        <v>250</v>
      </c>
      <c r="I3541" s="20" t="n">
        <f aca="false">G3541-H3541</f>
        <v>210.79</v>
      </c>
      <c r="J3541" s="21" t="n">
        <f aca="false">H3541*1000/Parametres!$B$9</f>
        <v>4239.44378497541</v>
      </c>
    </row>
    <row r="3542" customFormat="false" ht="15" hidden="false" customHeight="false" outlineLevel="0" collapsed="false">
      <c r="A3542" s="0" t="n">
        <v>3538</v>
      </c>
      <c r="B3542" s="0" t="n">
        <v>5</v>
      </c>
      <c r="C3542" s="19" t="n">
        <v>1</v>
      </c>
      <c r="D3542" s="19" t="n">
        <v>1</v>
      </c>
      <c r="E3542" s="20" t="n">
        <f aca="false">Parametres!$B$5*C3542</f>
        <v>300</v>
      </c>
      <c r="F3542" s="20" t="n">
        <f aca="false">Parametres!$B$6*D3542</f>
        <v>200</v>
      </c>
      <c r="G3542" s="20" t="n">
        <f aca="false">E3542+F3542</f>
        <v>500</v>
      </c>
      <c r="H3542" s="20" t="n">
        <f aca="false">IF(G3542&lt;Parametres!$B$8*Parametres!$B$7,0,MIN(G3542,Parametres!$B$7))</f>
        <v>250</v>
      </c>
      <c r="I3542" s="20" t="n">
        <f aca="false">G3542-H3542</f>
        <v>250</v>
      </c>
      <c r="J3542" s="21" t="n">
        <f aca="false">H3542*1000/Parametres!$B$9</f>
        <v>4239.44378497541</v>
      </c>
    </row>
    <row r="3543" customFormat="false" ht="15" hidden="false" customHeight="false" outlineLevel="0" collapsed="false">
      <c r="A3543" s="0" t="n">
        <v>3539</v>
      </c>
      <c r="B3543" s="0" t="n">
        <v>5</v>
      </c>
      <c r="C3543" s="19" t="n">
        <v>1</v>
      </c>
      <c r="D3543" s="19" t="n">
        <v>1</v>
      </c>
      <c r="E3543" s="20" t="n">
        <f aca="false">Parametres!$B$5*C3543</f>
        <v>300</v>
      </c>
      <c r="F3543" s="20" t="n">
        <f aca="false">Parametres!$B$6*D3543</f>
        <v>200</v>
      </c>
      <c r="G3543" s="20" t="n">
        <f aca="false">E3543+F3543</f>
        <v>500</v>
      </c>
      <c r="H3543" s="20" t="n">
        <f aca="false">IF(G3543&lt;Parametres!$B$8*Parametres!$B$7,0,MIN(G3543,Parametres!$B$7))</f>
        <v>250</v>
      </c>
      <c r="I3543" s="20" t="n">
        <f aca="false">G3543-H3543</f>
        <v>250</v>
      </c>
      <c r="J3543" s="21" t="n">
        <f aca="false">H3543*1000/Parametres!$B$9</f>
        <v>4239.44378497541</v>
      </c>
    </row>
    <row r="3544" customFormat="false" ht="15" hidden="false" customHeight="false" outlineLevel="0" collapsed="false">
      <c r="A3544" s="0" t="n">
        <v>3540</v>
      </c>
      <c r="B3544" s="0" t="n">
        <v>5</v>
      </c>
      <c r="C3544" s="19" t="n">
        <v>1</v>
      </c>
      <c r="D3544" s="19" t="n">
        <v>1</v>
      </c>
      <c r="E3544" s="20" t="n">
        <f aca="false">Parametres!$B$5*C3544</f>
        <v>300</v>
      </c>
      <c r="F3544" s="20" t="n">
        <f aca="false">Parametres!$B$6*D3544</f>
        <v>200</v>
      </c>
      <c r="G3544" s="20" t="n">
        <f aca="false">E3544+F3544</f>
        <v>500</v>
      </c>
      <c r="H3544" s="20" t="n">
        <f aca="false">IF(G3544&lt;Parametres!$B$8*Parametres!$B$7,0,MIN(G3544,Parametres!$B$7))</f>
        <v>250</v>
      </c>
      <c r="I3544" s="20" t="n">
        <f aca="false">G3544-H3544</f>
        <v>250</v>
      </c>
      <c r="J3544" s="21" t="n">
        <f aca="false">H3544*1000/Parametres!$B$9</f>
        <v>4239.44378497541</v>
      </c>
    </row>
    <row r="3545" customFormat="false" ht="15" hidden="false" customHeight="false" outlineLevel="0" collapsed="false">
      <c r="A3545" s="0" t="n">
        <v>3541</v>
      </c>
      <c r="B3545" s="0" t="n">
        <v>5</v>
      </c>
      <c r="C3545" s="19" t="n">
        <v>1</v>
      </c>
      <c r="D3545" s="19" t="n">
        <v>1</v>
      </c>
      <c r="E3545" s="20" t="n">
        <f aca="false">Parametres!$B$5*C3545</f>
        <v>300</v>
      </c>
      <c r="F3545" s="20" t="n">
        <f aca="false">Parametres!$B$6*D3545</f>
        <v>200</v>
      </c>
      <c r="G3545" s="20" t="n">
        <f aca="false">E3545+F3545</f>
        <v>500</v>
      </c>
      <c r="H3545" s="20" t="n">
        <f aca="false">IF(G3545&lt;Parametres!$B$8*Parametres!$B$7,0,MIN(G3545,Parametres!$B$7))</f>
        <v>250</v>
      </c>
      <c r="I3545" s="20" t="n">
        <f aca="false">G3545-H3545</f>
        <v>250</v>
      </c>
      <c r="J3545" s="21" t="n">
        <f aca="false">H3545*1000/Parametres!$B$9</f>
        <v>4239.44378497541</v>
      </c>
    </row>
    <row r="3546" customFormat="false" ht="15" hidden="false" customHeight="false" outlineLevel="0" collapsed="false">
      <c r="A3546" s="0" t="n">
        <v>3542</v>
      </c>
      <c r="B3546" s="0" t="n">
        <v>5</v>
      </c>
      <c r="C3546" s="19" t="n">
        <v>1</v>
      </c>
      <c r="D3546" s="19" t="n">
        <v>1</v>
      </c>
      <c r="E3546" s="20" t="n">
        <f aca="false">Parametres!$B$5*C3546</f>
        <v>300</v>
      </c>
      <c r="F3546" s="20" t="n">
        <f aca="false">Parametres!$B$6*D3546</f>
        <v>200</v>
      </c>
      <c r="G3546" s="20" t="n">
        <f aca="false">E3546+F3546</f>
        <v>500</v>
      </c>
      <c r="H3546" s="20" t="n">
        <f aca="false">IF(G3546&lt;Parametres!$B$8*Parametres!$B$7,0,MIN(G3546,Parametres!$B$7))</f>
        <v>250</v>
      </c>
      <c r="I3546" s="20" t="n">
        <f aca="false">G3546-H3546</f>
        <v>250</v>
      </c>
      <c r="J3546" s="21" t="n">
        <f aca="false">H3546*1000/Parametres!$B$9</f>
        <v>4239.44378497541</v>
      </c>
    </row>
    <row r="3547" customFormat="false" ht="15" hidden="false" customHeight="false" outlineLevel="0" collapsed="false">
      <c r="A3547" s="0" t="n">
        <v>3543</v>
      </c>
      <c r="B3547" s="0" t="n">
        <v>5</v>
      </c>
      <c r="C3547" s="19" t="n">
        <v>1</v>
      </c>
      <c r="D3547" s="19" t="n">
        <v>1</v>
      </c>
      <c r="E3547" s="20" t="n">
        <f aca="false">Parametres!$B$5*C3547</f>
        <v>300</v>
      </c>
      <c r="F3547" s="20" t="n">
        <f aca="false">Parametres!$B$6*D3547</f>
        <v>200</v>
      </c>
      <c r="G3547" s="20" t="n">
        <f aca="false">E3547+F3547</f>
        <v>500</v>
      </c>
      <c r="H3547" s="20" t="n">
        <f aca="false">IF(G3547&lt;Parametres!$B$8*Parametres!$B$7,0,MIN(G3547,Parametres!$B$7))</f>
        <v>250</v>
      </c>
      <c r="I3547" s="20" t="n">
        <f aca="false">G3547-H3547</f>
        <v>250</v>
      </c>
      <c r="J3547" s="21" t="n">
        <f aca="false">H3547*1000/Parametres!$B$9</f>
        <v>4239.44378497541</v>
      </c>
    </row>
    <row r="3548" customFormat="false" ht="15" hidden="false" customHeight="false" outlineLevel="0" collapsed="false">
      <c r="A3548" s="0" t="n">
        <v>3544</v>
      </c>
      <c r="B3548" s="0" t="n">
        <v>5</v>
      </c>
      <c r="C3548" s="19" t="n">
        <v>0.8594</v>
      </c>
      <c r="D3548" s="19" t="n">
        <v>1</v>
      </c>
      <c r="E3548" s="20" t="n">
        <f aca="false">Parametres!$B$5*C3548</f>
        <v>257.82</v>
      </c>
      <c r="F3548" s="20" t="n">
        <f aca="false">Parametres!$B$6*D3548</f>
        <v>200</v>
      </c>
      <c r="G3548" s="20" t="n">
        <f aca="false">E3548+F3548</f>
        <v>457.82</v>
      </c>
      <c r="H3548" s="20" t="n">
        <f aca="false">IF(G3548&lt;Parametres!$B$8*Parametres!$B$7,0,MIN(G3548,Parametres!$B$7))</f>
        <v>250</v>
      </c>
      <c r="I3548" s="20" t="n">
        <f aca="false">G3548-H3548</f>
        <v>207.82</v>
      </c>
      <c r="J3548" s="21" t="n">
        <f aca="false">H3548*1000/Parametres!$B$9</f>
        <v>4239.44378497541</v>
      </c>
    </row>
    <row r="3549" customFormat="false" ht="15" hidden="false" customHeight="false" outlineLevel="0" collapsed="false">
      <c r="A3549" s="0" t="n">
        <v>3545</v>
      </c>
      <c r="B3549" s="0" t="n">
        <v>5</v>
      </c>
      <c r="C3549" s="19" t="n">
        <v>0.5744</v>
      </c>
      <c r="D3549" s="19" t="n">
        <v>1</v>
      </c>
      <c r="E3549" s="20" t="n">
        <f aca="false">Parametres!$B$5*C3549</f>
        <v>172.32</v>
      </c>
      <c r="F3549" s="20" t="n">
        <f aca="false">Parametres!$B$6*D3549</f>
        <v>200</v>
      </c>
      <c r="G3549" s="20" t="n">
        <f aca="false">E3549+F3549</f>
        <v>372.32</v>
      </c>
      <c r="H3549" s="20" t="n">
        <f aca="false">IF(G3549&lt;Parametres!$B$8*Parametres!$B$7,0,MIN(G3549,Parametres!$B$7))</f>
        <v>250</v>
      </c>
      <c r="I3549" s="20" t="n">
        <f aca="false">G3549-H3549</f>
        <v>122.32</v>
      </c>
      <c r="J3549" s="21" t="n">
        <f aca="false">H3549*1000/Parametres!$B$9</f>
        <v>4239.44378497541</v>
      </c>
    </row>
    <row r="3550" customFormat="false" ht="15" hidden="false" customHeight="false" outlineLevel="0" collapsed="false">
      <c r="A3550" s="0" t="n">
        <v>3546</v>
      </c>
      <c r="B3550" s="0" t="n">
        <v>5</v>
      </c>
      <c r="C3550" s="19" t="n">
        <v>0.3001</v>
      </c>
      <c r="D3550" s="19" t="n">
        <v>1</v>
      </c>
      <c r="E3550" s="20" t="n">
        <f aca="false">Parametres!$B$5*C3550</f>
        <v>90.03</v>
      </c>
      <c r="F3550" s="20" t="n">
        <f aca="false">Parametres!$B$6*D3550</f>
        <v>200</v>
      </c>
      <c r="G3550" s="20" t="n">
        <f aca="false">E3550+F3550</f>
        <v>290.03</v>
      </c>
      <c r="H3550" s="20" t="n">
        <f aca="false">IF(G3550&lt;Parametres!$B$8*Parametres!$B$7,0,MIN(G3550,Parametres!$B$7))</f>
        <v>250</v>
      </c>
      <c r="I3550" s="20" t="n">
        <f aca="false">G3550-H3550</f>
        <v>40.03</v>
      </c>
      <c r="J3550" s="21" t="n">
        <f aca="false">H3550*1000/Parametres!$B$9</f>
        <v>4239.44378497541</v>
      </c>
    </row>
    <row r="3551" customFormat="false" ht="15" hidden="false" customHeight="false" outlineLevel="0" collapsed="false">
      <c r="A3551" s="0" t="n">
        <v>3547</v>
      </c>
      <c r="B3551" s="0" t="n">
        <v>5</v>
      </c>
      <c r="C3551" s="19" t="n">
        <v>0.0548</v>
      </c>
      <c r="D3551" s="19" t="n">
        <v>1</v>
      </c>
      <c r="E3551" s="20" t="n">
        <f aca="false">Parametres!$B$5*C3551</f>
        <v>16.44</v>
      </c>
      <c r="F3551" s="20" t="n">
        <f aca="false">Parametres!$B$6*D3551</f>
        <v>200</v>
      </c>
      <c r="G3551" s="20" t="n">
        <f aca="false">E3551+F3551</f>
        <v>216.44</v>
      </c>
      <c r="H3551" s="20" t="n">
        <f aca="false">IF(G3551&lt;Parametres!$B$8*Parametres!$B$7,0,MIN(G3551,Parametres!$B$7))</f>
        <v>216.44</v>
      </c>
      <c r="I3551" s="20" t="n">
        <f aca="false">G3551-H3551</f>
        <v>0</v>
      </c>
      <c r="J3551" s="21" t="n">
        <f aca="false">H3551*1000/Parametres!$B$9</f>
        <v>3670.34085128031</v>
      </c>
    </row>
    <row r="3552" customFormat="false" ht="15" hidden="false" customHeight="false" outlineLevel="0" collapsed="false">
      <c r="A3552" s="0" t="n">
        <v>3548</v>
      </c>
      <c r="B3552" s="0" t="n">
        <v>5</v>
      </c>
      <c r="C3552" s="19" t="n">
        <v>0</v>
      </c>
      <c r="D3552" s="19" t="n">
        <v>0.999</v>
      </c>
      <c r="E3552" s="20" t="n">
        <f aca="false">Parametres!$B$5*C3552</f>
        <v>0</v>
      </c>
      <c r="F3552" s="20" t="n">
        <f aca="false">Parametres!$B$6*D3552</f>
        <v>199.8</v>
      </c>
      <c r="G3552" s="20" t="n">
        <f aca="false">E3552+F3552</f>
        <v>199.8</v>
      </c>
      <c r="H3552" s="20" t="n">
        <f aca="false">IF(G3552&lt;Parametres!$B$8*Parametres!$B$7,0,MIN(G3552,Parametres!$B$7))</f>
        <v>199.8</v>
      </c>
      <c r="I3552" s="20" t="n">
        <f aca="false">G3552-H3552</f>
        <v>0</v>
      </c>
      <c r="J3552" s="21" t="n">
        <f aca="false">H3552*1000/Parametres!$B$9</f>
        <v>3388.16347295235</v>
      </c>
    </row>
    <row r="3553" customFormat="false" ht="15" hidden="false" customHeight="false" outlineLevel="0" collapsed="false">
      <c r="A3553" s="0" t="n">
        <v>3549</v>
      </c>
      <c r="B3553" s="0" t="n">
        <v>5</v>
      </c>
      <c r="C3553" s="19" t="n">
        <v>0</v>
      </c>
      <c r="D3553" s="19" t="n">
        <v>0.5851</v>
      </c>
      <c r="E3553" s="20" t="n">
        <f aca="false">Parametres!$B$5*C3553</f>
        <v>0</v>
      </c>
      <c r="F3553" s="20" t="n">
        <f aca="false">Parametres!$B$6*D3553</f>
        <v>117.02</v>
      </c>
      <c r="G3553" s="20" t="n">
        <f aca="false">E3553+F3553</f>
        <v>117.02</v>
      </c>
      <c r="H3553" s="20" t="n">
        <f aca="false">IF(G3553&lt;Parametres!$B$8*Parametres!$B$7,0,MIN(G3553,Parametres!$B$7))</f>
        <v>117.02</v>
      </c>
      <c r="I3553" s="20" t="n">
        <f aca="false">G3553-H3553</f>
        <v>0</v>
      </c>
      <c r="J3553" s="21" t="n">
        <f aca="false">H3553*1000/Parametres!$B$9</f>
        <v>1984.39884687129</v>
      </c>
    </row>
    <row r="3554" customFormat="false" ht="15" hidden="false" customHeight="false" outlineLevel="0" collapsed="false">
      <c r="A3554" s="0" t="n">
        <v>3550</v>
      </c>
      <c r="B3554" s="0" t="n">
        <v>5</v>
      </c>
      <c r="C3554" s="19" t="n">
        <v>0</v>
      </c>
      <c r="D3554" s="19" t="n">
        <v>0.4924</v>
      </c>
      <c r="E3554" s="20" t="n">
        <f aca="false">Parametres!$B$5*C3554</f>
        <v>0</v>
      </c>
      <c r="F3554" s="20" t="n">
        <f aca="false">Parametres!$B$6*D3554</f>
        <v>98.48</v>
      </c>
      <c r="G3554" s="20" t="n">
        <f aca="false">E3554+F3554</f>
        <v>98.48</v>
      </c>
      <c r="H3554" s="20" t="n">
        <f aca="false">IF(G3554&lt;Parametres!$B$8*Parametres!$B$7,0,MIN(G3554,Parametres!$B$7))</f>
        <v>98.48</v>
      </c>
      <c r="I3554" s="20" t="n">
        <f aca="false">G3554-H3554</f>
        <v>0</v>
      </c>
      <c r="J3554" s="21" t="n">
        <f aca="false">H3554*1000/Parametres!$B$9</f>
        <v>1670.00169577751</v>
      </c>
    </row>
    <row r="3555" customFormat="false" ht="15" hidden="false" customHeight="false" outlineLevel="0" collapsed="false">
      <c r="A3555" s="0" t="n">
        <v>3551</v>
      </c>
      <c r="B3555" s="0" t="n">
        <v>5</v>
      </c>
      <c r="C3555" s="19" t="n">
        <v>0</v>
      </c>
      <c r="D3555" s="19" t="n">
        <v>0.2931</v>
      </c>
      <c r="E3555" s="20" t="n">
        <f aca="false">Parametres!$B$5*C3555</f>
        <v>0</v>
      </c>
      <c r="F3555" s="20" t="n">
        <f aca="false">Parametres!$B$6*D3555</f>
        <v>58.62</v>
      </c>
      <c r="G3555" s="20" t="n">
        <f aca="false">E3555+F3555</f>
        <v>58.62</v>
      </c>
      <c r="H3555" s="20" t="n">
        <f aca="false">IF(G3555&lt;Parametres!$B$8*Parametres!$B$7,0,MIN(G3555,Parametres!$B$7))</f>
        <v>58.62</v>
      </c>
      <c r="I3555" s="20" t="n">
        <f aca="false">G3555-H3555</f>
        <v>0</v>
      </c>
      <c r="J3555" s="21" t="n">
        <f aca="false">H3555*1000/Parametres!$B$9</f>
        <v>994.064778701035</v>
      </c>
    </row>
    <row r="3556" customFormat="false" ht="15" hidden="false" customHeight="false" outlineLevel="0" collapsed="false">
      <c r="A3556" s="0" t="n">
        <v>3552</v>
      </c>
      <c r="B3556" s="0" t="n">
        <v>5</v>
      </c>
      <c r="C3556" s="19" t="n">
        <v>0</v>
      </c>
      <c r="D3556" s="19" t="n">
        <v>0.1782</v>
      </c>
      <c r="E3556" s="20" t="n">
        <f aca="false">Parametres!$B$5*C3556</f>
        <v>0</v>
      </c>
      <c r="F3556" s="20" t="n">
        <f aca="false">Parametres!$B$6*D3556</f>
        <v>35.64</v>
      </c>
      <c r="G3556" s="20" t="n">
        <f aca="false">E3556+F3556</f>
        <v>35.64</v>
      </c>
      <c r="H3556" s="20" t="n">
        <f aca="false">IF(G3556&lt;Parametres!$B$8*Parametres!$B$7,0,MIN(G3556,Parametres!$B$7))</f>
        <v>35.64</v>
      </c>
      <c r="I3556" s="20" t="n">
        <f aca="false">G3556-H3556</f>
        <v>0</v>
      </c>
      <c r="J3556" s="21" t="n">
        <f aca="false">H3556*1000/Parametres!$B$9</f>
        <v>604.375105986095</v>
      </c>
    </row>
    <row r="3557" customFormat="false" ht="15" hidden="false" customHeight="false" outlineLevel="0" collapsed="false">
      <c r="A3557" s="0" t="n">
        <v>3553</v>
      </c>
      <c r="B3557" s="0" t="n">
        <v>5</v>
      </c>
      <c r="C3557" s="19" t="n">
        <v>0</v>
      </c>
      <c r="D3557" s="19" t="n">
        <v>0.2501</v>
      </c>
      <c r="E3557" s="20" t="n">
        <f aca="false">Parametres!$B$5*C3557</f>
        <v>0</v>
      </c>
      <c r="F3557" s="20" t="n">
        <f aca="false">Parametres!$B$6*D3557</f>
        <v>50.02</v>
      </c>
      <c r="G3557" s="20" t="n">
        <f aca="false">E3557+F3557</f>
        <v>50.02</v>
      </c>
      <c r="H3557" s="20" t="n">
        <f aca="false">IF(G3557&lt;Parametres!$B$8*Parametres!$B$7,0,MIN(G3557,Parametres!$B$7))</f>
        <v>50.02</v>
      </c>
      <c r="I3557" s="20" t="n">
        <f aca="false">G3557-H3557</f>
        <v>0</v>
      </c>
      <c r="J3557" s="21" t="n">
        <f aca="false">H3557*1000/Parametres!$B$9</f>
        <v>848.22791249788</v>
      </c>
    </row>
    <row r="3558" customFormat="false" ht="15" hidden="false" customHeight="false" outlineLevel="0" collapsed="false">
      <c r="A3558" s="0" t="n">
        <v>3554</v>
      </c>
      <c r="B3558" s="0" t="n">
        <v>5</v>
      </c>
      <c r="C3558" s="19" t="n">
        <v>0</v>
      </c>
      <c r="D3558" s="19" t="n">
        <v>0.1366</v>
      </c>
      <c r="E3558" s="20" t="n">
        <f aca="false">Parametres!$B$5*C3558</f>
        <v>0</v>
      </c>
      <c r="F3558" s="20" t="n">
        <f aca="false">Parametres!$B$6*D3558</f>
        <v>27.32</v>
      </c>
      <c r="G3558" s="20" t="n">
        <f aca="false">E3558+F3558</f>
        <v>27.32</v>
      </c>
      <c r="H3558" s="20" t="n">
        <f aca="false">IF(G3558&lt;Parametres!$B$8*Parametres!$B$7,0,MIN(G3558,Parametres!$B$7))</f>
        <v>27.32</v>
      </c>
      <c r="I3558" s="20" t="n">
        <f aca="false">G3558-H3558</f>
        <v>0</v>
      </c>
      <c r="J3558" s="21" t="n">
        <f aca="false">H3558*1000/Parametres!$B$9</f>
        <v>463.286416822113</v>
      </c>
    </row>
    <row r="3559" customFormat="false" ht="15" hidden="false" customHeight="false" outlineLevel="0" collapsed="false">
      <c r="A3559" s="0" t="n">
        <v>3555</v>
      </c>
      <c r="B3559" s="0" t="n">
        <v>5</v>
      </c>
      <c r="C3559" s="19" t="n">
        <v>0</v>
      </c>
      <c r="D3559" s="19" t="n">
        <v>0.2073</v>
      </c>
      <c r="E3559" s="20" t="n">
        <f aca="false">Parametres!$B$5*C3559</f>
        <v>0</v>
      </c>
      <c r="F3559" s="20" t="n">
        <f aca="false">Parametres!$B$6*D3559</f>
        <v>41.46</v>
      </c>
      <c r="G3559" s="20" t="n">
        <f aca="false">E3559+F3559</f>
        <v>41.46</v>
      </c>
      <c r="H3559" s="20" t="n">
        <f aca="false">IF(G3559&lt;Parametres!$B$8*Parametres!$B$7,0,MIN(G3559,Parametres!$B$7))</f>
        <v>41.46</v>
      </c>
      <c r="I3559" s="20" t="n">
        <f aca="false">G3559-H3559</f>
        <v>0</v>
      </c>
      <c r="J3559" s="21" t="n">
        <f aca="false">H3559*1000/Parametres!$B$9</f>
        <v>703.069357300322</v>
      </c>
    </row>
    <row r="3560" customFormat="false" ht="15" hidden="false" customHeight="false" outlineLevel="0" collapsed="false">
      <c r="A3560" s="0" t="n">
        <v>3556</v>
      </c>
      <c r="B3560" s="0" t="n">
        <v>5</v>
      </c>
      <c r="C3560" s="19" t="n">
        <v>0</v>
      </c>
      <c r="D3560" s="19" t="n">
        <v>0.3858</v>
      </c>
      <c r="E3560" s="20" t="n">
        <f aca="false">Parametres!$B$5*C3560</f>
        <v>0</v>
      </c>
      <c r="F3560" s="20" t="n">
        <f aca="false">Parametres!$B$6*D3560</f>
        <v>77.16</v>
      </c>
      <c r="G3560" s="20" t="n">
        <f aca="false">E3560+F3560</f>
        <v>77.16</v>
      </c>
      <c r="H3560" s="20" t="n">
        <f aca="false">IF(G3560&lt;Parametres!$B$8*Parametres!$B$7,0,MIN(G3560,Parametres!$B$7))</f>
        <v>77.16</v>
      </c>
      <c r="I3560" s="20" t="n">
        <f aca="false">G3560-H3560</f>
        <v>0</v>
      </c>
      <c r="J3560" s="21" t="n">
        <f aca="false">H3560*1000/Parametres!$B$9</f>
        <v>1308.46192979481</v>
      </c>
    </row>
    <row r="3561" customFormat="false" ht="15" hidden="false" customHeight="false" outlineLevel="0" collapsed="false">
      <c r="A3561" s="0" t="n">
        <v>3557</v>
      </c>
      <c r="B3561" s="0" t="n">
        <v>5</v>
      </c>
      <c r="C3561" s="19" t="n">
        <v>0</v>
      </c>
      <c r="D3561" s="19" t="n">
        <v>0.5878</v>
      </c>
      <c r="E3561" s="20" t="n">
        <f aca="false">Parametres!$B$5*C3561</f>
        <v>0</v>
      </c>
      <c r="F3561" s="20" t="n">
        <f aca="false">Parametres!$B$6*D3561</f>
        <v>117.56</v>
      </c>
      <c r="G3561" s="20" t="n">
        <f aca="false">E3561+F3561</f>
        <v>117.56</v>
      </c>
      <c r="H3561" s="20" t="n">
        <f aca="false">IF(G3561&lt;Parametres!$B$8*Parametres!$B$7,0,MIN(G3561,Parametres!$B$7))</f>
        <v>117.56</v>
      </c>
      <c r="I3561" s="20" t="n">
        <f aca="false">G3561-H3561</f>
        <v>0</v>
      </c>
      <c r="J3561" s="21" t="n">
        <f aca="false">H3561*1000/Parametres!$B$9</f>
        <v>1993.55604544684</v>
      </c>
    </row>
    <row r="3562" customFormat="false" ht="15" hidden="false" customHeight="false" outlineLevel="0" collapsed="false">
      <c r="A3562" s="0" t="n">
        <v>3558</v>
      </c>
      <c r="B3562" s="0" t="n">
        <v>5</v>
      </c>
      <c r="C3562" s="19" t="n">
        <v>0.056</v>
      </c>
      <c r="D3562" s="19" t="n">
        <v>0.4087</v>
      </c>
      <c r="E3562" s="20" t="n">
        <f aca="false">Parametres!$B$5*C3562</f>
        <v>16.8</v>
      </c>
      <c r="F3562" s="20" t="n">
        <f aca="false">Parametres!$B$6*D3562</f>
        <v>81.74</v>
      </c>
      <c r="G3562" s="20" t="n">
        <f aca="false">E3562+F3562</f>
        <v>98.54</v>
      </c>
      <c r="H3562" s="20" t="n">
        <f aca="false">IF(G3562&lt;Parametres!$B$8*Parametres!$B$7,0,MIN(G3562,Parametres!$B$7))</f>
        <v>98.54</v>
      </c>
      <c r="I3562" s="20" t="n">
        <f aca="false">G3562-H3562</f>
        <v>0</v>
      </c>
      <c r="J3562" s="21" t="n">
        <f aca="false">H3562*1000/Parametres!$B$9</f>
        <v>1671.01916228591</v>
      </c>
    </row>
    <row r="3563" customFormat="false" ht="15" hidden="false" customHeight="false" outlineLevel="0" collapsed="false">
      <c r="A3563" s="0" t="n">
        <v>3559</v>
      </c>
      <c r="B3563" s="0" t="n">
        <v>5</v>
      </c>
      <c r="C3563" s="19" t="n">
        <v>0.2953</v>
      </c>
      <c r="D3563" s="19" t="n">
        <v>0.2411</v>
      </c>
      <c r="E3563" s="20" t="n">
        <f aca="false">Parametres!$B$5*C3563</f>
        <v>88.59</v>
      </c>
      <c r="F3563" s="20" t="n">
        <f aca="false">Parametres!$B$6*D3563</f>
        <v>48.22</v>
      </c>
      <c r="G3563" s="20" t="n">
        <f aca="false">E3563+F3563</f>
        <v>136.81</v>
      </c>
      <c r="H3563" s="20" t="n">
        <f aca="false">IF(G3563&lt;Parametres!$B$8*Parametres!$B$7,0,MIN(G3563,Parametres!$B$7))</f>
        <v>136.81</v>
      </c>
      <c r="I3563" s="20" t="n">
        <f aca="false">G3563-H3563</f>
        <v>0</v>
      </c>
      <c r="J3563" s="21" t="n">
        <f aca="false">H3563*1000/Parametres!$B$9</f>
        <v>2319.99321688994</v>
      </c>
    </row>
    <row r="3564" customFormat="false" ht="15" hidden="false" customHeight="false" outlineLevel="0" collapsed="false">
      <c r="A3564" s="0" t="n">
        <v>3560</v>
      </c>
      <c r="B3564" s="0" t="n">
        <v>5</v>
      </c>
      <c r="C3564" s="19" t="n">
        <v>0.5708</v>
      </c>
      <c r="D3564" s="19" t="n">
        <v>0.2678</v>
      </c>
      <c r="E3564" s="20" t="n">
        <f aca="false">Parametres!$B$5*C3564</f>
        <v>171.24</v>
      </c>
      <c r="F3564" s="20" t="n">
        <f aca="false">Parametres!$B$6*D3564</f>
        <v>53.56</v>
      </c>
      <c r="G3564" s="20" t="n">
        <f aca="false">E3564+F3564</f>
        <v>224.8</v>
      </c>
      <c r="H3564" s="20" t="n">
        <f aca="false">IF(G3564&lt;Parametres!$B$8*Parametres!$B$7,0,MIN(G3564,Parametres!$B$7))</f>
        <v>224.8</v>
      </c>
      <c r="I3564" s="20" t="n">
        <f aca="false">G3564-H3564</f>
        <v>0</v>
      </c>
      <c r="J3564" s="21" t="n">
        <f aca="false">H3564*1000/Parametres!$B$9</f>
        <v>3812.10785144989</v>
      </c>
    </row>
    <row r="3565" customFormat="false" ht="15" hidden="false" customHeight="false" outlineLevel="0" collapsed="false">
      <c r="A3565" s="0" t="n">
        <v>3561</v>
      </c>
      <c r="B3565" s="0" t="n">
        <v>5</v>
      </c>
      <c r="C3565" s="19" t="n">
        <v>0.7661</v>
      </c>
      <c r="D3565" s="19" t="n">
        <v>0.6268</v>
      </c>
      <c r="E3565" s="20" t="n">
        <f aca="false">Parametres!$B$5*C3565</f>
        <v>229.83</v>
      </c>
      <c r="F3565" s="20" t="n">
        <f aca="false">Parametres!$B$6*D3565</f>
        <v>125.36</v>
      </c>
      <c r="G3565" s="20" t="n">
        <f aca="false">E3565+F3565</f>
        <v>355.19</v>
      </c>
      <c r="H3565" s="20" t="n">
        <f aca="false">IF(G3565&lt;Parametres!$B$8*Parametres!$B$7,0,MIN(G3565,Parametres!$B$7))</f>
        <v>250</v>
      </c>
      <c r="I3565" s="20" t="n">
        <f aca="false">G3565-H3565</f>
        <v>105.19</v>
      </c>
      <c r="J3565" s="21" t="n">
        <f aca="false">H3565*1000/Parametres!$B$9</f>
        <v>4239.44378497541</v>
      </c>
    </row>
    <row r="3566" customFormat="false" ht="15" hidden="false" customHeight="false" outlineLevel="0" collapsed="false">
      <c r="A3566" s="0" t="n">
        <v>3562</v>
      </c>
      <c r="B3566" s="0" t="n">
        <v>5</v>
      </c>
      <c r="C3566" s="19" t="n">
        <v>0.9743</v>
      </c>
      <c r="D3566" s="19" t="n">
        <v>0.6486</v>
      </c>
      <c r="E3566" s="20" t="n">
        <f aca="false">Parametres!$B$5*C3566</f>
        <v>292.29</v>
      </c>
      <c r="F3566" s="20" t="n">
        <f aca="false">Parametres!$B$6*D3566</f>
        <v>129.72</v>
      </c>
      <c r="G3566" s="20" t="n">
        <f aca="false">E3566+F3566</f>
        <v>422.01</v>
      </c>
      <c r="H3566" s="20" t="n">
        <f aca="false">IF(G3566&lt;Parametres!$B$8*Parametres!$B$7,0,MIN(G3566,Parametres!$B$7))</f>
        <v>250</v>
      </c>
      <c r="I3566" s="20" t="n">
        <f aca="false">G3566-H3566</f>
        <v>172.01</v>
      </c>
      <c r="J3566" s="21" t="n">
        <f aca="false">H3566*1000/Parametres!$B$9</f>
        <v>4239.44378497541</v>
      </c>
    </row>
    <row r="3567" customFormat="false" ht="15" hidden="false" customHeight="false" outlineLevel="0" collapsed="false">
      <c r="A3567" s="0" t="n">
        <v>3563</v>
      </c>
      <c r="B3567" s="0" t="n">
        <v>5</v>
      </c>
      <c r="C3567" s="19" t="n">
        <v>1</v>
      </c>
      <c r="D3567" s="19" t="n">
        <v>0.6005</v>
      </c>
      <c r="E3567" s="20" t="n">
        <f aca="false">Parametres!$B$5*C3567</f>
        <v>300</v>
      </c>
      <c r="F3567" s="20" t="n">
        <f aca="false">Parametres!$B$6*D3567</f>
        <v>120.1</v>
      </c>
      <c r="G3567" s="20" t="n">
        <f aca="false">E3567+F3567</f>
        <v>420.1</v>
      </c>
      <c r="H3567" s="20" t="n">
        <f aca="false">IF(G3567&lt;Parametres!$B$8*Parametres!$B$7,0,MIN(G3567,Parametres!$B$7))</f>
        <v>250</v>
      </c>
      <c r="I3567" s="20" t="n">
        <f aca="false">G3567-H3567</f>
        <v>170.1</v>
      </c>
      <c r="J3567" s="21" t="n">
        <f aca="false">H3567*1000/Parametres!$B$9</f>
        <v>4239.44378497541</v>
      </c>
    </row>
    <row r="3568" customFormat="false" ht="15" hidden="false" customHeight="false" outlineLevel="0" collapsed="false">
      <c r="A3568" s="0" t="n">
        <v>3564</v>
      </c>
      <c r="B3568" s="0" t="n">
        <v>5</v>
      </c>
      <c r="C3568" s="19" t="n">
        <v>1</v>
      </c>
      <c r="D3568" s="19" t="n">
        <v>0.6411</v>
      </c>
      <c r="E3568" s="20" t="n">
        <f aca="false">Parametres!$B$5*C3568</f>
        <v>300</v>
      </c>
      <c r="F3568" s="20" t="n">
        <f aca="false">Parametres!$B$6*D3568</f>
        <v>128.22</v>
      </c>
      <c r="G3568" s="20" t="n">
        <f aca="false">E3568+F3568</f>
        <v>428.22</v>
      </c>
      <c r="H3568" s="20" t="n">
        <f aca="false">IF(G3568&lt;Parametres!$B$8*Parametres!$B$7,0,MIN(G3568,Parametres!$B$7))</f>
        <v>250</v>
      </c>
      <c r="I3568" s="20" t="n">
        <f aca="false">G3568-H3568</f>
        <v>178.22</v>
      </c>
      <c r="J3568" s="21" t="n">
        <f aca="false">H3568*1000/Parametres!$B$9</f>
        <v>4239.44378497541</v>
      </c>
    </row>
    <row r="3569" customFormat="false" ht="15" hidden="false" customHeight="false" outlineLevel="0" collapsed="false">
      <c r="A3569" s="0" t="n">
        <v>3565</v>
      </c>
      <c r="B3569" s="0" t="n">
        <v>5</v>
      </c>
      <c r="C3569" s="19" t="n">
        <v>1</v>
      </c>
      <c r="D3569" s="19" t="n">
        <v>0.9008</v>
      </c>
      <c r="E3569" s="20" t="n">
        <f aca="false">Parametres!$B$5*C3569</f>
        <v>300</v>
      </c>
      <c r="F3569" s="20" t="n">
        <f aca="false">Parametres!$B$6*D3569</f>
        <v>180.16</v>
      </c>
      <c r="G3569" s="20" t="n">
        <f aca="false">E3569+F3569</f>
        <v>480.16</v>
      </c>
      <c r="H3569" s="20" t="n">
        <f aca="false">IF(G3569&lt;Parametres!$B$8*Parametres!$B$7,0,MIN(G3569,Parametres!$B$7))</f>
        <v>250</v>
      </c>
      <c r="I3569" s="20" t="n">
        <f aca="false">G3569-H3569</f>
        <v>230.16</v>
      </c>
      <c r="J3569" s="21" t="n">
        <f aca="false">H3569*1000/Parametres!$B$9</f>
        <v>4239.44378497541</v>
      </c>
    </row>
    <row r="3570" customFormat="false" ht="15" hidden="false" customHeight="false" outlineLevel="0" collapsed="false">
      <c r="A3570" s="0" t="n">
        <v>3566</v>
      </c>
      <c r="B3570" s="0" t="n">
        <v>5</v>
      </c>
      <c r="C3570" s="19" t="n">
        <v>1</v>
      </c>
      <c r="D3570" s="19" t="n">
        <v>1</v>
      </c>
      <c r="E3570" s="20" t="n">
        <f aca="false">Parametres!$B$5*C3570</f>
        <v>300</v>
      </c>
      <c r="F3570" s="20" t="n">
        <f aca="false">Parametres!$B$6*D3570</f>
        <v>200</v>
      </c>
      <c r="G3570" s="20" t="n">
        <f aca="false">E3570+F3570</f>
        <v>500</v>
      </c>
      <c r="H3570" s="20" t="n">
        <f aca="false">IF(G3570&lt;Parametres!$B$8*Parametres!$B$7,0,MIN(G3570,Parametres!$B$7))</f>
        <v>250</v>
      </c>
      <c r="I3570" s="20" t="n">
        <f aca="false">G3570-H3570</f>
        <v>250</v>
      </c>
      <c r="J3570" s="21" t="n">
        <f aca="false">H3570*1000/Parametres!$B$9</f>
        <v>4239.44378497541</v>
      </c>
    </row>
    <row r="3571" customFormat="false" ht="15" hidden="false" customHeight="false" outlineLevel="0" collapsed="false">
      <c r="A3571" s="0" t="n">
        <v>3567</v>
      </c>
      <c r="B3571" s="0" t="n">
        <v>5</v>
      </c>
      <c r="C3571" s="19" t="n">
        <v>0.9921</v>
      </c>
      <c r="D3571" s="19" t="n">
        <v>1</v>
      </c>
      <c r="E3571" s="20" t="n">
        <f aca="false">Parametres!$B$5*C3571</f>
        <v>297.63</v>
      </c>
      <c r="F3571" s="20" t="n">
        <f aca="false">Parametres!$B$6*D3571</f>
        <v>200</v>
      </c>
      <c r="G3571" s="20" t="n">
        <f aca="false">E3571+F3571</f>
        <v>497.63</v>
      </c>
      <c r="H3571" s="20" t="n">
        <f aca="false">IF(G3571&lt;Parametres!$B$8*Parametres!$B$7,0,MIN(G3571,Parametres!$B$7))</f>
        <v>250</v>
      </c>
      <c r="I3571" s="20" t="n">
        <f aca="false">G3571-H3571</f>
        <v>247.63</v>
      </c>
      <c r="J3571" s="21" t="n">
        <f aca="false">H3571*1000/Parametres!$B$9</f>
        <v>4239.44378497541</v>
      </c>
    </row>
    <row r="3572" customFormat="false" ht="15" hidden="false" customHeight="false" outlineLevel="0" collapsed="false">
      <c r="A3572" s="0" t="n">
        <v>3568</v>
      </c>
      <c r="B3572" s="0" t="n">
        <v>5</v>
      </c>
      <c r="C3572" s="19" t="n">
        <v>0.7526</v>
      </c>
      <c r="D3572" s="19" t="n">
        <v>1</v>
      </c>
      <c r="E3572" s="20" t="n">
        <f aca="false">Parametres!$B$5*C3572</f>
        <v>225.78</v>
      </c>
      <c r="F3572" s="20" t="n">
        <f aca="false">Parametres!$B$6*D3572</f>
        <v>200</v>
      </c>
      <c r="G3572" s="20" t="n">
        <f aca="false">E3572+F3572</f>
        <v>425.78</v>
      </c>
      <c r="H3572" s="20" t="n">
        <f aca="false">IF(G3572&lt;Parametres!$B$8*Parametres!$B$7,0,MIN(G3572,Parametres!$B$7))</f>
        <v>250</v>
      </c>
      <c r="I3572" s="20" t="n">
        <f aca="false">G3572-H3572</f>
        <v>175.78</v>
      </c>
      <c r="J3572" s="21" t="n">
        <f aca="false">H3572*1000/Parametres!$B$9</f>
        <v>4239.44378497541</v>
      </c>
    </row>
    <row r="3573" customFormat="false" ht="15" hidden="false" customHeight="false" outlineLevel="0" collapsed="false">
      <c r="A3573" s="0" t="n">
        <v>3569</v>
      </c>
      <c r="B3573" s="0" t="n">
        <v>5</v>
      </c>
      <c r="C3573" s="19" t="n">
        <v>0.5132</v>
      </c>
      <c r="D3573" s="19" t="n">
        <v>1</v>
      </c>
      <c r="E3573" s="20" t="n">
        <f aca="false">Parametres!$B$5*C3573</f>
        <v>153.96</v>
      </c>
      <c r="F3573" s="20" t="n">
        <f aca="false">Parametres!$B$6*D3573</f>
        <v>200</v>
      </c>
      <c r="G3573" s="20" t="n">
        <f aca="false">E3573+F3573</f>
        <v>353.96</v>
      </c>
      <c r="H3573" s="20" t="n">
        <f aca="false">IF(G3573&lt;Parametres!$B$8*Parametres!$B$7,0,MIN(G3573,Parametres!$B$7))</f>
        <v>250</v>
      </c>
      <c r="I3573" s="20" t="n">
        <f aca="false">G3573-H3573</f>
        <v>103.96</v>
      </c>
      <c r="J3573" s="21" t="n">
        <f aca="false">H3573*1000/Parametres!$B$9</f>
        <v>4239.44378497541</v>
      </c>
    </row>
    <row r="3574" customFormat="false" ht="15" hidden="false" customHeight="false" outlineLevel="0" collapsed="false">
      <c r="A3574" s="0" t="n">
        <v>3570</v>
      </c>
      <c r="B3574" s="0" t="n">
        <v>5</v>
      </c>
      <c r="C3574" s="19" t="n">
        <v>0.3037</v>
      </c>
      <c r="D3574" s="19" t="n">
        <v>1</v>
      </c>
      <c r="E3574" s="20" t="n">
        <f aca="false">Parametres!$B$5*C3574</f>
        <v>91.11</v>
      </c>
      <c r="F3574" s="20" t="n">
        <f aca="false">Parametres!$B$6*D3574</f>
        <v>200</v>
      </c>
      <c r="G3574" s="20" t="n">
        <f aca="false">E3574+F3574</f>
        <v>291.11</v>
      </c>
      <c r="H3574" s="20" t="n">
        <f aca="false">IF(G3574&lt;Parametres!$B$8*Parametres!$B$7,0,MIN(G3574,Parametres!$B$7))</f>
        <v>250</v>
      </c>
      <c r="I3574" s="20" t="n">
        <f aca="false">G3574-H3574</f>
        <v>41.11</v>
      </c>
      <c r="J3574" s="21" t="n">
        <f aca="false">H3574*1000/Parametres!$B$9</f>
        <v>4239.44378497541</v>
      </c>
    </row>
    <row r="3575" customFormat="false" ht="15" hidden="false" customHeight="false" outlineLevel="0" collapsed="false">
      <c r="A3575" s="0" t="n">
        <v>3571</v>
      </c>
      <c r="B3575" s="0" t="n">
        <v>5</v>
      </c>
      <c r="C3575" s="19" t="n">
        <v>0.0553</v>
      </c>
      <c r="D3575" s="19" t="n">
        <v>1</v>
      </c>
      <c r="E3575" s="20" t="n">
        <f aca="false">Parametres!$B$5*C3575</f>
        <v>16.59</v>
      </c>
      <c r="F3575" s="20" t="n">
        <f aca="false">Parametres!$B$6*D3575</f>
        <v>200</v>
      </c>
      <c r="G3575" s="20" t="n">
        <f aca="false">E3575+F3575</f>
        <v>216.59</v>
      </c>
      <c r="H3575" s="20" t="n">
        <f aca="false">IF(G3575&lt;Parametres!$B$8*Parametres!$B$7,0,MIN(G3575,Parametres!$B$7))</f>
        <v>216.59</v>
      </c>
      <c r="I3575" s="20" t="n">
        <f aca="false">G3575-H3575</f>
        <v>0</v>
      </c>
      <c r="J3575" s="21" t="n">
        <f aca="false">H3575*1000/Parametres!$B$9</f>
        <v>3672.8845175513</v>
      </c>
    </row>
    <row r="3576" customFormat="false" ht="15" hidden="false" customHeight="false" outlineLevel="0" collapsed="false">
      <c r="A3576" s="0" t="n">
        <v>3572</v>
      </c>
      <c r="B3576" s="0" t="n">
        <v>5</v>
      </c>
      <c r="C3576" s="19" t="n">
        <v>0</v>
      </c>
      <c r="D3576" s="19" t="n">
        <v>0.6753</v>
      </c>
      <c r="E3576" s="20" t="n">
        <f aca="false">Parametres!$B$5*C3576</f>
        <v>0</v>
      </c>
      <c r="F3576" s="20" t="n">
        <f aca="false">Parametres!$B$6*D3576</f>
        <v>135.06</v>
      </c>
      <c r="G3576" s="20" t="n">
        <f aca="false">E3576+F3576</f>
        <v>135.06</v>
      </c>
      <c r="H3576" s="20" t="n">
        <f aca="false">IF(G3576&lt;Parametres!$B$8*Parametres!$B$7,0,MIN(G3576,Parametres!$B$7))</f>
        <v>135.06</v>
      </c>
      <c r="I3576" s="20" t="n">
        <f aca="false">G3576-H3576</f>
        <v>0</v>
      </c>
      <c r="J3576" s="21" t="n">
        <f aca="false">H3576*1000/Parametres!$B$9</f>
        <v>2290.31711039512</v>
      </c>
    </row>
    <row r="3577" customFormat="false" ht="15" hidden="false" customHeight="false" outlineLevel="0" collapsed="false">
      <c r="A3577" s="0" t="n">
        <v>3573</v>
      </c>
      <c r="B3577" s="0" t="n">
        <v>5</v>
      </c>
      <c r="C3577" s="19" t="n">
        <v>0</v>
      </c>
      <c r="D3577" s="19" t="n">
        <v>0.6278</v>
      </c>
      <c r="E3577" s="20" t="n">
        <f aca="false">Parametres!$B$5*C3577</f>
        <v>0</v>
      </c>
      <c r="F3577" s="20" t="n">
        <f aca="false">Parametres!$B$6*D3577</f>
        <v>125.56</v>
      </c>
      <c r="G3577" s="20" t="n">
        <f aca="false">E3577+F3577</f>
        <v>125.56</v>
      </c>
      <c r="H3577" s="20" t="n">
        <f aca="false">IF(G3577&lt;Parametres!$B$8*Parametres!$B$7,0,MIN(G3577,Parametres!$B$7))</f>
        <v>125.56</v>
      </c>
      <c r="I3577" s="20" t="n">
        <f aca="false">G3577-H3577</f>
        <v>0</v>
      </c>
      <c r="J3577" s="21" t="n">
        <f aca="false">H3577*1000/Parametres!$B$9</f>
        <v>2129.21824656605</v>
      </c>
    </row>
    <row r="3578" customFormat="false" ht="15" hidden="false" customHeight="false" outlineLevel="0" collapsed="false">
      <c r="A3578" s="0" t="n">
        <v>3574</v>
      </c>
      <c r="B3578" s="0" t="n">
        <v>5</v>
      </c>
      <c r="C3578" s="19" t="n">
        <v>0</v>
      </c>
      <c r="D3578" s="19" t="n">
        <v>0.4404</v>
      </c>
      <c r="E3578" s="20" t="n">
        <f aca="false">Parametres!$B$5*C3578</f>
        <v>0</v>
      </c>
      <c r="F3578" s="20" t="n">
        <f aca="false">Parametres!$B$6*D3578</f>
        <v>88.08</v>
      </c>
      <c r="G3578" s="20" t="n">
        <f aca="false">E3578+F3578</f>
        <v>88.08</v>
      </c>
      <c r="H3578" s="20" t="n">
        <f aca="false">IF(G3578&lt;Parametres!$B$8*Parametres!$B$7,0,MIN(G3578,Parametres!$B$7))</f>
        <v>88.08</v>
      </c>
      <c r="I3578" s="20" t="n">
        <f aca="false">G3578-H3578</f>
        <v>0</v>
      </c>
      <c r="J3578" s="21" t="n">
        <f aca="false">H3578*1000/Parametres!$B$9</f>
        <v>1493.64083432254</v>
      </c>
    </row>
    <row r="3579" customFormat="false" ht="15" hidden="false" customHeight="false" outlineLevel="0" collapsed="false">
      <c r="A3579" s="0" t="n">
        <v>3575</v>
      </c>
      <c r="B3579" s="0" t="n">
        <v>5</v>
      </c>
      <c r="C3579" s="19" t="n">
        <v>0</v>
      </c>
      <c r="D3579" s="19" t="n">
        <v>0.3464</v>
      </c>
      <c r="E3579" s="20" t="n">
        <f aca="false">Parametres!$B$5*C3579</f>
        <v>0</v>
      </c>
      <c r="F3579" s="20" t="n">
        <f aca="false">Parametres!$B$6*D3579</f>
        <v>69.28</v>
      </c>
      <c r="G3579" s="20" t="n">
        <f aca="false">E3579+F3579</f>
        <v>69.28</v>
      </c>
      <c r="H3579" s="20" t="n">
        <f aca="false">IF(G3579&lt;Parametres!$B$8*Parametres!$B$7,0,MIN(G3579,Parametres!$B$7))</f>
        <v>69.28</v>
      </c>
      <c r="I3579" s="20" t="n">
        <f aca="false">G3579-H3579</f>
        <v>0</v>
      </c>
      <c r="J3579" s="21" t="n">
        <f aca="false">H3579*1000/Parametres!$B$9</f>
        <v>1174.83466169239</v>
      </c>
    </row>
    <row r="3580" customFormat="false" ht="15" hidden="false" customHeight="false" outlineLevel="0" collapsed="false">
      <c r="A3580" s="0" t="n">
        <v>3576</v>
      </c>
      <c r="B3580" s="0" t="n">
        <v>5</v>
      </c>
      <c r="C3580" s="19" t="n">
        <v>0</v>
      </c>
      <c r="D3580" s="19" t="n">
        <v>0.2629</v>
      </c>
      <c r="E3580" s="20" t="n">
        <f aca="false">Parametres!$B$5*C3580</f>
        <v>0</v>
      </c>
      <c r="F3580" s="20" t="n">
        <f aca="false">Parametres!$B$6*D3580</f>
        <v>52.58</v>
      </c>
      <c r="G3580" s="20" t="n">
        <f aca="false">E3580+F3580</f>
        <v>52.58</v>
      </c>
      <c r="H3580" s="20" t="n">
        <f aca="false">IF(G3580&lt;Parametres!$B$8*Parametres!$B$7,0,MIN(G3580,Parametres!$B$7))</f>
        <v>52.58</v>
      </c>
      <c r="I3580" s="20" t="n">
        <f aca="false">G3580-H3580</f>
        <v>0</v>
      </c>
      <c r="J3580" s="21" t="n">
        <f aca="false">H3580*1000/Parametres!$B$9</f>
        <v>891.639816856029</v>
      </c>
    </row>
    <row r="3581" customFormat="false" ht="15" hidden="false" customHeight="false" outlineLevel="0" collapsed="false">
      <c r="A3581" s="0" t="n">
        <v>3577</v>
      </c>
      <c r="B3581" s="0" t="n">
        <v>5</v>
      </c>
      <c r="C3581" s="19" t="n">
        <v>0</v>
      </c>
      <c r="D3581" s="19" t="n">
        <v>0.1534</v>
      </c>
      <c r="E3581" s="20" t="n">
        <f aca="false">Parametres!$B$5*C3581</f>
        <v>0</v>
      </c>
      <c r="F3581" s="20" t="n">
        <f aca="false">Parametres!$B$6*D3581</f>
        <v>30.68</v>
      </c>
      <c r="G3581" s="20" t="n">
        <f aca="false">E3581+F3581</f>
        <v>30.68</v>
      </c>
      <c r="H3581" s="20" t="n">
        <f aca="false">IF(G3581&lt;Parametres!$B$8*Parametres!$B$7,0,MIN(G3581,Parametres!$B$7))</f>
        <v>30.68</v>
      </c>
      <c r="I3581" s="20" t="n">
        <f aca="false">G3581-H3581</f>
        <v>0</v>
      </c>
      <c r="J3581" s="21" t="n">
        <f aca="false">H3581*1000/Parametres!$B$9</f>
        <v>520.264541292183</v>
      </c>
    </row>
    <row r="3582" customFormat="false" ht="15" hidden="false" customHeight="false" outlineLevel="0" collapsed="false">
      <c r="A3582" s="0" t="n">
        <v>3578</v>
      </c>
      <c r="B3582" s="0" t="n">
        <v>5</v>
      </c>
      <c r="C3582" s="19" t="n">
        <v>0</v>
      </c>
      <c r="D3582" s="19" t="n">
        <v>0.1716</v>
      </c>
      <c r="E3582" s="20" t="n">
        <f aca="false">Parametres!$B$5*C3582</f>
        <v>0</v>
      </c>
      <c r="F3582" s="20" t="n">
        <f aca="false">Parametres!$B$6*D3582</f>
        <v>34.32</v>
      </c>
      <c r="G3582" s="20" t="n">
        <f aca="false">E3582+F3582</f>
        <v>34.32</v>
      </c>
      <c r="H3582" s="20" t="n">
        <f aca="false">IF(G3582&lt;Parametres!$B$8*Parametres!$B$7,0,MIN(G3582,Parametres!$B$7))</f>
        <v>34.32</v>
      </c>
      <c r="I3582" s="20" t="n">
        <f aca="false">G3582-H3582</f>
        <v>0</v>
      </c>
      <c r="J3582" s="21" t="n">
        <f aca="false">H3582*1000/Parametres!$B$9</f>
        <v>581.990842801425</v>
      </c>
    </row>
    <row r="3583" customFormat="false" ht="15" hidden="false" customHeight="false" outlineLevel="0" collapsed="false">
      <c r="A3583" s="0" t="n">
        <v>3579</v>
      </c>
      <c r="B3583" s="0" t="n">
        <v>5</v>
      </c>
      <c r="C3583" s="19" t="n">
        <v>0</v>
      </c>
      <c r="D3583" s="19" t="n">
        <v>0.2403</v>
      </c>
      <c r="E3583" s="20" t="n">
        <f aca="false">Parametres!$B$5*C3583</f>
        <v>0</v>
      </c>
      <c r="F3583" s="20" t="n">
        <f aca="false">Parametres!$B$6*D3583</f>
        <v>48.06</v>
      </c>
      <c r="G3583" s="20" t="n">
        <f aca="false">E3583+F3583</f>
        <v>48.06</v>
      </c>
      <c r="H3583" s="20" t="n">
        <f aca="false">IF(G3583&lt;Parametres!$B$8*Parametres!$B$7,0,MIN(G3583,Parametres!$B$7))</f>
        <v>48.06</v>
      </c>
      <c r="I3583" s="20" t="n">
        <f aca="false">G3583-H3583</f>
        <v>0</v>
      </c>
      <c r="J3583" s="21" t="n">
        <f aca="false">H3583*1000/Parametres!$B$9</f>
        <v>814.990673223673</v>
      </c>
    </row>
    <row r="3584" customFormat="false" ht="15" hidden="false" customHeight="false" outlineLevel="0" collapsed="false">
      <c r="A3584" s="0" t="n">
        <v>3580</v>
      </c>
      <c r="B3584" s="0" t="n">
        <v>5</v>
      </c>
      <c r="C3584" s="19" t="n">
        <v>0</v>
      </c>
      <c r="D3584" s="19" t="n">
        <v>0.2729</v>
      </c>
      <c r="E3584" s="20" t="n">
        <f aca="false">Parametres!$B$5*C3584</f>
        <v>0</v>
      </c>
      <c r="F3584" s="20" t="n">
        <f aca="false">Parametres!$B$6*D3584</f>
        <v>54.58</v>
      </c>
      <c r="G3584" s="20" t="n">
        <f aca="false">E3584+F3584</f>
        <v>54.58</v>
      </c>
      <c r="H3584" s="20" t="n">
        <f aca="false">IF(G3584&lt;Parametres!$B$8*Parametres!$B$7,0,MIN(G3584,Parametres!$B$7))</f>
        <v>54.58</v>
      </c>
      <c r="I3584" s="20" t="n">
        <f aca="false">G3584-H3584</f>
        <v>0</v>
      </c>
      <c r="J3584" s="21" t="n">
        <f aca="false">H3584*1000/Parametres!$B$9</f>
        <v>925.555367135832</v>
      </c>
    </row>
    <row r="3585" customFormat="false" ht="15" hidden="false" customHeight="false" outlineLevel="0" collapsed="false">
      <c r="A3585" s="0" t="n">
        <v>3581</v>
      </c>
      <c r="B3585" s="0" t="n">
        <v>5</v>
      </c>
      <c r="C3585" s="19" t="n">
        <v>0</v>
      </c>
      <c r="D3585" s="19" t="n">
        <v>0.202</v>
      </c>
      <c r="E3585" s="20" t="n">
        <f aca="false">Parametres!$B$5*C3585</f>
        <v>0</v>
      </c>
      <c r="F3585" s="20" t="n">
        <f aca="false">Parametres!$B$6*D3585</f>
        <v>40.4</v>
      </c>
      <c r="G3585" s="20" t="n">
        <f aca="false">E3585+F3585</f>
        <v>40.4</v>
      </c>
      <c r="H3585" s="20" t="n">
        <f aca="false">IF(G3585&lt;Parametres!$B$8*Parametres!$B$7,0,MIN(G3585,Parametres!$B$7))</f>
        <v>40.4</v>
      </c>
      <c r="I3585" s="20" t="n">
        <f aca="false">G3585-H3585</f>
        <v>0</v>
      </c>
      <c r="J3585" s="21" t="n">
        <f aca="false">H3585*1000/Parametres!$B$9</f>
        <v>685.094115652027</v>
      </c>
    </row>
    <row r="3586" customFormat="false" ht="15" hidden="false" customHeight="false" outlineLevel="0" collapsed="false">
      <c r="A3586" s="0" t="n">
        <v>3582</v>
      </c>
      <c r="B3586" s="0" t="n">
        <v>5</v>
      </c>
      <c r="C3586" s="19" t="n">
        <v>0.0486</v>
      </c>
      <c r="D3586" s="19" t="n">
        <v>0.2177</v>
      </c>
      <c r="E3586" s="20" t="n">
        <f aca="false">Parametres!$B$5*C3586</f>
        <v>14.58</v>
      </c>
      <c r="F3586" s="20" t="n">
        <f aca="false">Parametres!$B$6*D3586</f>
        <v>43.54</v>
      </c>
      <c r="G3586" s="20" t="n">
        <f aca="false">E3586+F3586</f>
        <v>58.12</v>
      </c>
      <c r="H3586" s="20" t="n">
        <f aca="false">IF(G3586&lt;Parametres!$B$8*Parametres!$B$7,0,MIN(G3586,Parametres!$B$7))</f>
        <v>58.12</v>
      </c>
      <c r="I3586" s="20" t="n">
        <f aca="false">G3586-H3586</f>
        <v>0</v>
      </c>
      <c r="J3586" s="21" t="n">
        <f aca="false">H3586*1000/Parametres!$B$9</f>
        <v>985.585891131084</v>
      </c>
    </row>
    <row r="3587" customFormat="false" ht="15" hidden="false" customHeight="false" outlineLevel="0" collapsed="false">
      <c r="A3587" s="0" t="n">
        <v>3583</v>
      </c>
      <c r="B3587" s="0" t="n">
        <v>5</v>
      </c>
      <c r="C3587" s="19" t="n">
        <v>0.2388</v>
      </c>
      <c r="D3587" s="19" t="n">
        <v>0.2991</v>
      </c>
      <c r="E3587" s="20" t="n">
        <f aca="false">Parametres!$B$5*C3587</f>
        <v>71.64</v>
      </c>
      <c r="F3587" s="20" t="n">
        <f aca="false">Parametres!$B$6*D3587</f>
        <v>59.82</v>
      </c>
      <c r="G3587" s="20" t="n">
        <f aca="false">E3587+F3587</f>
        <v>131.46</v>
      </c>
      <c r="H3587" s="20" t="n">
        <f aca="false">IF(G3587&lt;Parametres!$B$8*Parametres!$B$7,0,MIN(G3587,Parametres!$B$7))</f>
        <v>131.46</v>
      </c>
      <c r="I3587" s="20" t="n">
        <f aca="false">G3587-H3587</f>
        <v>0</v>
      </c>
      <c r="J3587" s="21" t="n">
        <f aca="false">H3587*1000/Parametres!$B$9</f>
        <v>2229.26911989147</v>
      </c>
    </row>
    <row r="3588" customFormat="false" ht="15" hidden="false" customHeight="false" outlineLevel="0" collapsed="false">
      <c r="A3588" s="0" t="n">
        <v>3584</v>
      </c>
      <c r="B3588" s="0" t="n">
        <v>5</v>
      </c>
      <c r="C3588" s="19" t="n">
        <v>0.4395</v>
      </c>
      <c r="D3588" s="19" t="n">
        <v>0.31</v>
      </c>
      <c r="E3588" s="20" t="n">
        <f aca="false">Parametres!$B$5*C3588</f>
        <v>131.85</v>
      </c>
      <c r="F3588" s="20" t="n">
        <f aca="false">Parametres!$B$6*D3588</f>
        <v>62</v>
      </c>
      <c r="G3588" s="20" t="n">
        <f aca="false">E3588+F3588</f>
        <v>193.85</v>
      </c>
      <c r="H3588" s="20" t="n">
        <f aca="false">IF(G3588&lt;Parametres!$B$8*Parametres!$B$7,0,MIN(G3588,Parametres!$B$7))</f>
        <v>193.85</v>
      </c>
      <c r="I3588" s="20" t="n">
        <f aca="false">G3588-H3588</f>
        <v>0</v>
      </c>
      <c r="J3588" s="21" t="n">
        <f aca="false">H3588*1000/Parametres!$B$9</f>
        <v>3287.26471086993</v>
      </c>
    </row>
    <row r="3589" customFormat="false" ht="15" hidden="false" customHeight="false" outlineLevel="0" collapsed="false">
      <c r="A3589" s="0" t="n">
        <v>3585</v>
      </c>
      <c r="B3589" s="0" t="n">
        <v>5</v>
      </c>
      <c r="C3589" s="19" t="n">
        <v>0.6522</v>
      </c>
      <c r="D3589" s="19" t="n">
        <v>0.4413</v>
      </c>
      <c r="E3589" s="20" t="n">
        <f aca="false">Parametres!$B$5*C3589</f>
        <v>195.66</v>
      </c>
      <c r="F3589" s="20" t="n">
        <f aca="false">Parametres!$B$6*D3589</f>
        <v>88.26</v>
      </c>
      <c r="G3589" s="20" t="n">
        <f aca="false">E3589+F3589</f>
        <v>283.92</v>
      </c>
      <c r="H3589" s="20" t="n">
        <f aca="false">IF(G3589&lt;Parametres!$B$8*Parametres!$B$7,0,MIN(G3589,Parametres!$B$7))</f>
        <v>250</v>
      </c>
      <c r="I3589" s="20" t="n">
        <f aca="false">G3589-H3589</f>
        <v>33.92</v>
      </c>
      <c r="J3589" s="21" t="n">
        <f aca="false">H3589*1000/Parametres!$B$9</f>
        <v>4239.44378497541</v>
      </c>
    </row>
    <row r="3590" customFormat="false" ht="15" hidden="false" customHeight="false" outlineLevel="0" collapsed="false">
      <c r="A3590" s="0" t="n">
        <v>3586</v>
      </c>
      <c r="B3590" s="0" t="n">
        <v>5</v>
      </c>
      <c r="C3590" s="19" t="n">
        <v>0.8291</v>
      </c>
      <c r="D3590" s="19" t="n">
        <v>0.2907</v>
      </c>
      <c r="E3590" s="20" t="n">
        <f aca="false">Parametres!$B$5*C3590</f>
        <v>248.73</v>
      </c>
      <c r="F3590" s="20" t="n">
        <f aca="false">Parametres!$B$6*D3590</f>
        <v>58.14</v>
      </c>
      <c r="G3590" s="20" t="n">
        <f aca="false">E3590+F3590</f>
        <v>306.87</v>
      </c>
      <c r="H3590" s="20" t="n">
        <f aca="false">IF(G3590&lt;Parametres!$B$8*Parametres!$B$7,0,MIN(G3590,Parametres!$B$7))</f>
        <v>250</v>
      </c>
      <c r="I3590" s="20" t="n">
        <f aca="false">G3590-H3590</f>
        <v>56.87</v>
      </c>
      <c r="J3590" s="21" t="n">
        <f aca="false">H3590*1000/Parametres!$B$9</f>
        <v>4239.44378497541</v>
      </c>
    </row>
    <row r="3591" customFormat="false" ht="15" hidden="false" customHeight="false" outlineLevel="0" collapsed="false">
      <c r="A3591" s="0" t="n">
        <v>3587</v>
      </c>
      <c r="B3591" s="0" t="n">
        <v>5</v>
      </c>
      <c r="C3591" s="19" t="n">
        <v>0.9501</v>
      </c>
      <c r="D3591" s="19" t="n">
        <v>0.3024</v>
      </c>
      <c r="E3591" s="20" t="n">
        <f aca="false">Parametres!$B$5*C3591</f>
        <v>285.03</v>
      </c>
      <c r="F3591" s="20" t="n">
        <f aca="false">Parametres!$B$6*D3591</f>
        <v>60.48</v>
      </c>
      <c r="G3591" s="20" t="n">
        <f aca="false">E3591+F3591</f>
        <v>345.51</v>
      </c>
      <c r="H3591" s="20" t="n">
        <f aca="false">IF(G3591&lt;Parametres!$B$8*Parametres!$B$7,0,MIN(G3591,Parametres!$B$7))</f>
        <v>250</v>
      </c>
      <c r="I3591" s="20" t="n">
        <f aca="false">G3591-H3591</f>
        <v>95.51</v>
      </c>
      <c r="J3591" s="21" t="n">
        <f aca="false">H3591*1000/Parametres!$B$9</f>
        <v>4239.44378497541</v>
      </c>
    </row>
    <row r="3592" customFormat="false" ht="15" hidden="false" customHeight="false" outlineLevel="0" collapsed="false">
      <c r="A3592" s="0" t="n">
        <v>3588</v>
      </c>
      <c r="B3592" s="0" t="n">
        <v>5</v>
      </c>
      <c r="C3592" s="19" t="n">
        <v>1</v>
      </c>
      <c r="D3592" s="19" t="n">
        <v>0.5838</v>
      </c>
      <c r="E3592" s="20" t="n">
        <f aca="false">Parametres!$B$5*C3592</f>
        <v>300</v>
      </c>
      <c r="F3592" s="20" t="n">
        <f aca="false">Parametres!$B$6*D3592</f>
        <v>116.76</v>
      </c>
      <c r="G3592" s="20" t="n">
        <f aca="false">E3592+F3592</f>
        <v>416.76</v>
      </c>
      <c r="H3592" s="20" t="n">
        <f aca="false">IF(G3592&lt;Parametres!$B$8*Parametres!$B$7,0,MIN(G3592,Parametres!$B$7))</f>
        <v>250</v>
      </c>
      <c r="I3592" s="20" t="n">
        <f aca="false">G3592-H3592</f>
        <v>166.76</v>
      </c>
      <c r="J3592" s="21" t="n">
        <f aca="false">H3592*1000/Parametres!$B$9</f>
        <v>4239.44378497541</v>
      </c>
    </row>
    <row r="3593" customFormat="false" ht="15" hidden="false" customHeight="false" outlineLevel="0" collapsed="false">
      <c r="A3593" s="0" t="n">
        <v>3589</v>
      </c>
      <c r="B3593" s="0" t="n">
        <v>5</v>
      </c>
      <c r="C3593" s="19" t="n">
        <v>1</v>
      </c>
      <c r="D3593" s="19" t="n">
        <v>0.8942</v>
      </c>
      <c r="E3593" s="20" t="n">
        <f aca="false">Parametres!$B$5*C3593</f>
        <v>300</v>
      </c>
      <c r="F3593" s="20" t="n">
        <f aca="false">Parametres!$B$6*D3593</f>
        <v>178.84</v>
      </c>
      <c r="G3593" s="20" t="n">
        <f aca="false">E3593+F3593</f>
        <v>478.84</v>
      </c>
      <c r="H3593" s="20" t="n">
        <f aca="false">IF(G3593&lt;Parametres!$B$8*Parametres!$B$7,0,MIN(G3593,Parametres!$B$7))</f>
        <v>250</v>
      </c>
      <c r="I3593" s="20" t="n">
        <f aca="false">G3593-H3593</f>
        <v>228.84</v>
      </c>
      <c r="J3593" s="21" t="n">
        <f aca="false">H3593*1000/Parametres!$B$9</f>
        <v>4239.44378497541</v>
      </c>
    </row>
    <row r="3594" customFormat="false" ht="15" hidden="false" customHeight="false" outlineLevel="0" collapsed="false">
      <c r="A3594" s="0" t="n">
        <v>3590</v>
      </c>
      <c r="B3594" s="0" t="n">
        <v>5</v>
      </c>
      <c r="C3594" s="19" t="n">
        <v>1</v>
      </c>
      <c r="D3594" s="19" t="n">
        <v>0.9234</v>
      </c>
      <c r="E3594" s="20" t="n">
        <f aca="false">Parametres!$B$5*C3594</f>
        <v>300</v>
      </c>
      <c r="F3594" s="20" t="n">
        <f aca="false">Parametres!$B$6*D3594</f>
        <v>184.68</v>
      </c>
      <c r="G3594" s="20" t="n">
        <f aca="false">E3594+F3594</f>
        <v>484.68</v>
      </c>
      <c r="H3594" s="20" t="n">
        <f aca="false">IF(G3594&lt;Parametres!$B$8*Parametres!$B$7,0,MIN(G3594,Parametres!$B$7))</f>
        <v>250</v>
      </c>
      <c r="I3594" s="20" t="n">
        <f aca="false">G3594-H3594</f>
        <v>234.68</v>
      </c>
      <c r="J3594" s="21" t="n">
        <f aca="false">H3594*1000/Parametres!$B$9</f>
        <v>4239.44378497541</v>
      </c>
    </row>
    <row r="3595" customFormat="false" ht="15" hidden="false" customHeight="false" outlineLevel="0" collapsed="false">
      <c r="A3595" s="0" t="n">
        <v>3591</v>
      </c>
      <c r="B3595" s="0" t="n">
        <v>5</v>
      </c>
      <c r="C3595" s="19" t="n">
        <v>0.8762</v>
      </c>
      <c r="D3595" s="19" t="n">
        <v>1</v>
      </c>
      <c r="E3595" s="20" t="n">
        <f aca="false">Parametres!$B$5*C3595</f>
        <v>262.86</v>
      </c>
      <c r="F3595" s="20" t="n">
        <f aca="false">Parametres!$B$6*D3595</f>
        <v>200</v>
      </c>
      <c r="G3595" s="20" t="n">
        <f aca="false">E3595+F3595</f>
        <v>462.86</v>
      </c>
      <c r="H3595" s="20" t="n">
        <f aca="false">IF(G3595&lt;Parametres!$B$8*Parametres!$B$7,0,MIN(G3595,Parametres!$B$7))</f>
        <v>250</v>
      </c>
      <c r="I3595" s="20" t="n">
        <f aca="false">G3595-H3595</f>
        <v>212.86</v>
      </c>
      <c r="J3595" s="21" t="n">
        <f aca="false">H3595*1000/Parametres!$B$9</f>
        <v>4239.44378497541</v>
      </c>
    </row>
    <row r="3596" customFormat="false" ht="15" hidden="false" customHeight="false" outlineLevel="0" collapsed="false">
      <c r="A3596" s="0" t="n">
        <v>3592</v>
      </c>
      <c r="B3596" s="0" t="n">
        <v>5</v>
      </c>
      <c r="C3596" s="19" t="n">
        <v>0.6488</v>
      </c>
      <c r="D3596" s="19" t="n">
        <v>1</v>
      </c>
      <c r="E3596" s="20" t="n">
        <f aca="false">Parametres!$B$5*C3596</f>
        <v>194.64</v>
      </c>
      <c r="F3596" s="20" t="n">
        <f aca="false">Parametres!$B$6*D3596</f>
        <v>200</v>
      </c>
      <c r="G3596" s="20" t="n">
        <f aca="false">E3596+F3596</f>
        <v>394.64</v>
      </c>
      <c r="H3596" s="20" t="n">
        <f aca="false">IF(G3596&lt;Parametres!$B$8*Parametres!$B$7,0,MIN(G3596,Parametres!$B$7))</f>
        <v>250</v>
      </c>
      <c r="I3596" s="20" t="n">
        <f aca="false">G3596-H3596</f>
        <v>144.64</v>
      </c>
      <c r="J3596" s="21" t="n">
        <f aca="false">H3596*1000/Parametres!$B$9</f>
        <v>4239.44378497541</v>
      </c>
    </row>
    <row r="3597" customFormat="false" ht="15" hidden="false" customHeight="false" outlineLevel="0" collapsed="false">
      <c r="A3597" s="0" t="n">
        <v>3593</v>
      </c>
      <c r="B3597" s="0" t="n">
        <v>5</v>
      </c>
      <c r="C3597" s="19" t="n">
        <v>0.4799</v>
      </c>
      <c r="D3597" s="19" t="n">
        <v>1</v>
      </c>
      <c r="E3597" s="20" t="n">
        <f aca="false">Parametres!$B$5*C3597</f>
        <v>143.97</v>
      </c>
      <c r="F3597" s="20" t="n">
        <f aca="false">Parametres!$B$6*D3597</f>
        <v>200</v>
      </c>
      <c r="G3597" s="20" t="n">
        <f aca="false">E3597+F3597</f>
        <v>343.97</v>
      </c>
      <c r="H3597" s="20" t="n">
        <f aca="false">IF(G3597&lt;Parametres!$B$8*Parametres!$B$7,0,MIN(G3597,Parametres!$B$7))</f>
        <v>250</v>
      </c>
      <c r="I3597" s="20" t="n">
        <f aca="false">G3597-H3597</f>
        <v>93.97</v>
      </c>
      <c r="J3597" s="21" t="n">
        <f aca="false">H3597*1000/Parametres!$B$9</f>
        <v>4239.44378497541</v>
      </c>
    </row>
    <row r="3598" customFormat="false" ht="15" hidden="false" customHeight="false" outlineLevel="0" collapsed="false">
      <c r="A3598" s="0" t="n">
        <v>3594</v>
      </c>
      <c r="B3598" s="0" t="n">
        <v>5</v>
      </c>
      <c r="C3598" s="19" t="n">
        <v>0.258</v>
      </c>
      <c r="D3598" s="19" t="n">
        <v>1</v>
      </c>
      <c r="E3598" s="20" t="n">
        <f aca="false">Parametres!$B$5*C3598</f>
        <v>77.4</v>
      </c>
      <c r="F3598" s="20" t="n">
        <f aca="false">Parametres!$B$6*D3598</f>
        <v>200</v>
      </c>
      <c r="G3598" s="20" t="n">
        <f aca="false">E3598+F3598</f>
        <v>277.4</v>
      </c>
      <c r="H3598" s="20" t="n">
        <f aca="false">IF(G3598&lt;Parametres!$B$8*Parametres!$B$7,0,MIN(G3598,Parametres!$B$7))</f>
        <v>250</v>
      </c>
      <c r="I3598" s="20" t="n">
        <f aca="false">G3598-H3598</f>
        <v>27.4</v>
      </c>
      <c r="J3598" s="21" t="n">
        <f aca="false">H3598*1000/Parametres!$B$9</f>
        <v>4239.44378497541</v>
      </c>
    </row>
    <row r="3599" customFormat="false" ht="15" hidden="false" customHeight="false" outlineLevel="0" collapsed="false">
      <c r="A3599" s="0" t="n">
        <v>3595</v>
      </c>
      <c r="B3599" s="0" t="n">
        <v>5</v>
      </c>
      <c r="C3599" s="19" t="n">
        <v>0.0461</v>
      </c>
      <c r="D3599" s="19" t="n">
        <v>1</v>
      </c>
      <c r="E3599" s="20" t="n">
        <f aca="false">Parametres!$B$5*C3599</f>
        <v>13.83</v>
      </c>
      <c r="F3599" s="20" t="n">
        <f aca="false">Parametres!$B$6*D3599</f>
        <v>200</v>
      </c>
      <c r="G3599" s="20" t="n">
        <f aca="false">E3599+F3599</f>
        <v>213.83</v>
      </c>
      <c r="H3599" s="20" t="n">
        <f aca="false">IF(G3599&lt;Parametres!$B$8*Parametres!$B$7,0,MIN(G3599,Parametres!$B$7))</f>
        <v>213.83</v>
      </c>
      <c r="I3599" s="20" t="n">
        <f aca="false">G3599-H3599</f>
        <v>0</v>
      </c>
      <c r="J3599" s="21" t="n">
        <f aca="false">H3599*1000/Parametres!$B$9</f>
        <v>3626.08105816517</v>
      </c>
    </row>
    <row r="3600" customFormat="false" ht="15" hidden="false" customHeight="false" outlineLevel="0" collapsed="false">
      <c r="A3600" s="0" t="n">
        <v>3596</v>
      </c>
      <c r="B3600" s="0" t="n">
        <v>5</v>
      </c>
      <c r="C3600" s="19" t="n">
        <v>0</v>
      </c>
      <c r="D3600" s="19" t="n">
        <v>1</v>
      </c>
      <c r="E3600" s="20" t="n">
        <f aca="false">Parametres!$B$5*C3600</f>
        <v>0</v>
      </c>
      <c r="F3600" s="20" t="n">
        <f aca="false">Parametres!$B$6*D3600</f>
        <v>200</v>
      </c>
      <c r="G3600" s="20" t="n">
        <f aca="false">E3600+F3600</f>
        <v>200</v>
      </c>
      <c r="H3600" s="20" t="n">
        <f aca="false">IF(G3600&lt;Parametres!$B$8*Parametres!$B$7,0,MIN(G3600,Parametres!$B$7))</f>
        <v>200</v>
      </c>
      <c r="I3600" s="20" t="n">
        <f aca="false">G3600-H3600</f>
        <v>0</v>
      </c>
      <c r="J3600" s="21" t="n">
        <f aca="false">H3600*1000/Parametres!$B$9</f>
        <v>3391.55502798033</v>
      </c>
    </row>
    <row r="3601" customFormat="false" ht="15" hidden="false" customHeight="false" outlineLevel="0" collapsed="false">
      <c r="A3601" s="0" t="n">
        <v>3597</v>
      </c>
      <c r="B3601" s="0" t="n">
        <v>5</v>
      </c>
      <c r="C3601" s="19" t="n">
        <v>0</v>
      </c>
      <c r="D3601" s="19" t="n">
        <v>1</v>
      </c>
      <c r="E3601" s="20" t="n">
        <f aca="false">Parametres!$B$5*C3601</f>
        <v>0</v>
      </c>
      <c r="F3601" s="20" t="n">
        <f aca="false">Parametres!$B$6*D3601</f>
        <v>200</v>
      </c>
      <c r="G3601" s="20" t="n">
        <f aca="false">E3601+F3601</f>
        <v>200</v>
      </c>
      <c r="H3601" s="20" t="n">
        <f aca="false">IF(G3601&lt;Parametres!$B$8*Parametres!$B$7,0,MIN(G3601,Parametres!$B$7))</f>
        <v>200</v>
      </c>
      <c r="I3601" s="20" t="n">
        <f aca="false">G3601-H3601</f>
        <v>0</v>
      </c>
      <c r="J3601" s="21" t="n">
        <f aca="false">H3601*1000/Parametres!$B$9</f>
        <v>3391.55502798033</v>
      </c>
    </row>
    <row r="3602" customFormat="false" ht="15" hidden="false" customHeight="false" outlineLevel="0" collapsed="false">
      <c r="A3602" s="0" t="n">
        <v>3598</v>
      </c>
      <c r="B3602" s="0" t="n">
        <v>5</v>
      </c>
      <c r="C3602" s="19" t="n">
        <v>0</v>
      </c>
      <c r="D3602" s="19" t="n">
        <v>0.7664</v>
      </c>
      <c r="E3602" s="20" t="n">
        <f aca="false">Parametres!$B$5*C3602</f>
        <v>0</v>
      </c>
      <c r="F3602" s="20" t="n">
        <f aca="false">Parametres!$B$6*D3602</f>
        <v>153.28</v>
      </c>
      <c r="G3602" s="20" t="n">
        <f aca="false">E3602+F3602</f>
        <v>153.28</v>
      </c>
      <c r="H3602" s="20" t="n">
        <f aca="false">IF(G3602&lt;Parametres!$B$8*Parametres!$B$7,0,MIN(G3602,Parametres!$B$7))</f>
        <v>153.28</v>
      </c>
      <c r="I3602" s="20" t="n">
        <f aca="false">G3602-H3602</f>
        <v>0</v>
      </c>
      <c r="J3602" s="21" t="n">
        <f aca="false">H3602*1000/Parametres!$B$9</f>
        <v>2599.28777344412</v>
      </c>
    </row>
    <row r="3603" customFormat="false" ht="15" hidden="false" customHeight="false" outlineLevel="0" collapsed="false">
      <c r="A3603" s="0" t="n">
        <v>3599</v>
      </c>
      <c r="B3603" s="0" t="n">
        <v>5</v>
      </c>
      <c r="C3603" s="19" t="n">
        <v>0</v>
      </c>
      <c r="D3603" s="19" t="n">
        <v>0.8339</v>
      </c>
      <c r="E3603" s="20" t="n">
        <f aca="false">Parametres!$B$5*C3603</f>
        <v>0</v>
      </c>
      <c r="F3603" s="20" t="n">
        <f aca="false">Parametres!$B$6*D3603</f>
        <v>166.78</v>
      </c>
      <c r="G3603" s="20" t="n">
        <f aca="false">E3603+F3603</f>
        <v>166.78</v>
      </c>
      <c r="H3603" s="20" t="n">
        <f aca="false">IF(G3603&lt;Parametres!$B$8*Parametres!$B$7,0,MIN(G3603,Parametres!$B$7))</f>
        <v>166.78</v>
      </c>
      <c r="I3603" s="20" t="n">
        <f aca="false">G3603-H3603</f>
        <v>0</v>
      </c>
      <c r="J3603" s="21" t="n">
        <f aca="false">H3603*1000/Parametres!$B$9</f>
        <v>2828.2177378328</v>
      </c>
    </row>
    <row r="3604" customFormat="false" ht="15" hidden="false" customHeight="false" outlineLevel="0" collapsed="false">
      <c r="A3604" s="0" t="n">
        <v>3600</v>
      </c>
      <c r="B3604" s="0" t="n">
        <v>5</v>
      </c>
      <c r="C3604" s="19" t="n">
        <v>0</v>
      </c>
      <c r="D3604" s="19" t="n">
        <v>1</v>
      </c>
      <c r="E3604" s="20" t="n">
        <f aca="false">Parametres!$B$5*C3604</f>
        <v>0</v>
      </c>
      <c r="F3604" s="20" t="n">
        <f aca="false">Parametres!$B$6*D3604</f>
        <v>200</v>
      </c>
      <c r="G3604" s="20" t="n">
        <f aca="false">E3604+F3604</f>
        <v>200</v>
      </c>
      <c r="H3604" s="20" t="n">
        <f aca="false">IF(G3604&lt;Parametres!$B$8*Parametres!$B$7,0,MIN(G3604,Parametres!$B$7))</f>
        <v>200</v>
      </c>
      <c r="I3604" s="20" t="n">
        <f aca="false">G3604-H3604</f>
        <v>0</v>
      </c>
      <c r="J3604" s="21" t="n">
        <f aca="false">H3604*1000/Parametres!$B$9</f>
        <v>3391.55502798033</v>
      </c>
    </row>
    <row r="3605" customFormat="false" ht="15" hidden="false" customHeight="false" outlineLevel="0" collapsed="false">
      <c r="A3605" s="0" t="n">
        <v>3601</v>
      </c>
      <c r="B3605" s="0" t="n">
        <v>5</v>
      </c>
      <c r="C3605" s="19" t="n">
        <v>0</v>
      </c>
      <c r="D3605" s="19" t="n">
        <v>1</v>
      </c>
      <c r="E3605" s="20" t="n">
        <f aca="false">Parametres!$B$5*C3605</f>
        <v>0</v>
      </c>
      <c r="F3605" s="20" t="n">
        <f aca="false">Parametres!$B$6*D3605</f>
        <v>200</v>
      </c>
      <c r="G3605" s="20" t="n">
        <f aca="false">E3605+F3605</f>
        <v>200</v>
      </c>
      <c r="H3605" s="20" t="n">
        <f aca="false">IF(G3605&lt;Parametres!$B$8*Parametres!$B$7,0,MIN(G3605,Parametres!$B$7))</f>
        <v>200</v>
      </c>
      <c r="I3605" s="20" t="n">
        <f aca="false">G3605-H3605</f>
        <v>0</v>
      </c>
      <c r="J3605" s="21" t="n">
        <f aca="false">H3605*1000/Parametres!$B$9</f>
        <v>3391.55502798033</v>
      </c>
    </row>
    <row r="3606" customFormat="false" ht="15" hidden="false" customHeight="false" outlineLevel="0" collapsed="false">
      <c r="A3606" s="0" t="n">
        <v>3602</v>
      </c>
      <c r="B3606" s="0" t="n">
        <v>5</v>
      </c>
      <c r="C3606" s="19" t="n">
        <v>0</v>
      </c>
      <c r="D3606" s="19" t="n">
        <v>0.9165</v>
      </c>
      <c r="E3606" s="20" t="n">
        <f aca="false">Parametres!$B$5*C3606</f>
        <v>0</v>
      </c>
      <c r="F3606" s="20" t="n">
        <f aca="false">Parametres!$B$6*D3606</f>
        <v>183.3</v>
      </c>
      <c r="G3606" s="20" t="n">
        <f aca="false">E3606+F3606</f>
        <v>183.3</v>
      </c>
      <c r="H3606" s="20" t="n">
        <f aca="false">IF(G3606&lt;Parametres!$B$8*Parametres!$B$7,0,MIN(G3606,Parametres!$B$7))</f>
        <v>183.3</v>
      </c>
      <c r="I3606" s="20" t="n">
        <f aca="false">G3606-H3606</f>
        <v>0</v>
      </c>
      <c r="J3606" s="21" t="n">
        <f aca="false">H3606*1000/Parametres!$B$9</f>
        <v>3108.36018314397</v>
      </c>
    </row>
    <row r="3607" customFormat="false" ht="15" hidden="false" customHeight="false" outlineLevel="0" collapsed="false">
      <c r="A3607" s="0" t="n">
        <v>3603</v>
      </c>
      <c r="B3607" s="0" t="n">
        <v>5</v>
      </c>
      <c r="C3607" s="19" t="n">
        <v>0</v>
      </c>
      <c r="D3607" s="19" t="n">
        <v>0.9545</v>
      </c>
      <c r="E3607" s="20" t="n">
        <f aca="false">Parametres!$B$5*C3607</f>
        <v>0</v>
      </c>
      <c r="F3607" s="20" t="n">
        <f aca="false">Parametres!$B$6*D3607</f>
        <v>190.9</v>
      </c>
      <c r="G3607" s="20" t="n">
        <f aca="false">E3607+F3607</f>
        <v>190.9</v>
      </c>
      <c r="H3607" s="20" t="n">
        <f aca="false">IF(G3607&lt;Parametres!$B$8*Parametres!$B$7,0,MIN(G3607,Parametres!$B$7))</f>
        <v>190.9</v>
      </c>
      <c r="I3607" s="20" t="n">
        <f aca="false">G3607-H3607</f>
        <v>0</v>
      </c>
      <c r="J3607" s="21" t="n">
        <f aca="false">H3607*1000/Parametres!$B$9</f>
        <v>3237.23927420722</v>
      </c>
    </row>
    <row r="3608" customFormat="false" ht="15" hidden="false" customHeight="false" outlineLevel="0" collapsed="false">
      <c r="A3608" s="0" t="n">
        <v>3604</v>
      </c>
      <c r="B3608" s="0" t="n">
        <v>5</v>
      </c>
      <c r="C3608" s="19" t="n">
        <v>0</v>
      </c>
      <c r="D3608" s="19" t="n">
        <v>0.576</v>
      </c>
      <c r="E3608" s="20" t="n">
        <f aca="false">Parametres!$B$5*C3608</f>
        <v>0</v>
      </c>
      <c r="F3608" s="20" t="n">
        <f aca="false">Parametres!$B$6*D3608</f>
        <v>115.2</v>
      </c>
      <c r="G3608" s="20" t="n">
        <f aca="false">E3608+F3608</f>
        <v>115.2</v>
      </c>
      <c r="H3608" s="20" t="n">
        <f aca="false">IF(G3608&lt;Parametres!$B$8*Parametres!$B$7,0,MIN(G3608,Parametres!$B$7))</f>
        <v>115.2</v>
      </c>
      <c r="I3608" s="20" t="n">
        <f aca="false">G3608-H3608</f>
        <v>0</v>
      </c>
      <c r="J3608" s="21" t="n">
        <f aca="false">H3608*1000/Parametres!$B$9</f>
        <v>1953.53569611667</v>
      </c>
    </row>
    <row r="3609" customFormat="false" ht="15" hidden="false" customHeight="false" outlineLevel="0" collapsed="false">
      <c r="A3609" s="0" t="n">
        <v>3605</v>
      </c>
      <c r="B3609" s="0" t="n">
        <v>5</v>
      </c>
      <c r="C3609" s="19" t="n">
        <v>0</v>
      </c>
      <c r="D3609" s="19" t="n">
        <v>0.5946</v>
      </c>
      <c r="E3609" s="20" t="n">
        <f aca="false">Parametres!$B$5*C3609</f>
        <v>0</v>
      </c>
      <c r="F3609" s="20" t="n">
        <f aca="false">Parametres!$B$6*D3609</f>
        <v>118.92</v>
      </c>
      <c r="G3609" s="20" t="n">
        <f aca="false">E3609+F3609</f>
        <v>118.92</v>
      </c>
      <c r="H3609" s="20" t="n">
        <f aca="false">IF(G3609&lt;Parametres!$B$8*Parametres!$B$7,0,MIN(G3609,Parametres!$B$7))</f>
        <v>118.92</v>
      </c>
      <c r="I3609" s="20" t="n">
        <f aca="false">G3609-H3609</f>
        <v>0</v>
      </c>
      <c r="J3609" s="21" t="n">
        <f aca="false">H3609*1000/Parametres!$B$9</f>
        <v>2016.6186196371</v>
      </c>
    </row>
    <row r="3610" customFormat="false" ht="15" hidden="false" customHeight="false" outlineLevel="0" collapsed="false">
      <c r="A3610" s="0" t="n">
        <v>3606</v>
      </c>
      <c r="B3610" s="0" t="n">
        <v>5</v>
      </c>
      <c r="C3610" s="19" t="n">
        <v>0.0566</v>
      </c>
      <c r="D3610" s="19" t="n">
        <v>0.8125</v>
      </c>
      <c r="E3610" s="20" t="n">
        <f aca="false">Parametres!$B$5*C3610</f>
        <v>16.98</v>
      </c>
      <c r="F3610" s="20" t="n">
        <f aca="false">Parametres!$B$6*D3610</f>
        <v>162.5</v>
      </c>
      <c r="G3610" s="20" t="n">
        <f aca="false">E3610+F3610</f>
        <v>179.48</v>
      </c>
      <c r="H3610" s="20" t="n">
        <f aca="false">IF(G3610&lt;Parametres!$B$8*Parametres!$B$7,0,MIN(G3610,Parametres!$B$7))</f>
        <v>179.48</v>
      </c>
      <c r="I3610" s="20" t="n">
        <f aca="false">G3610-H3610</f>
        <v>0</v>
      </c>
      <c r="J3610" s="21" t="n">
        <f aca="false">H3610*1000/Parametres!$B$9</f>
        <v>3043.58148210955</v>
      </c>
    </row>
    <row r="3611" customFormat="false" ht="15" hidden="false" customHeight="false" outlineLevel="0" collapsed="false">
      <c r="A3611" s="0" t="n">
        <v>3607</v>
      </c>
      <c r="B3611" s="0" t="n">
        <v>5</v>
      </c>
      <c r="C3611" s="19" t="n">
        <v>0.3078</v>
      </c>
      <c r="D3611" s="19" t="n">
        <v>1</v>
      </c>
      <c r="E3611" s="20" t="n">
        <f aca="false">Parametres!$B$5*C3611</f>
        <v>92.34</v>
      </c>
      <c r="F3611" s="20" t="n">
        <f aca="false">Parametres!$B$6*D3611</f>
        <v>200</v>
      </c>
      <c r="G3611" s="20" t="n">
        <f aca="false">E3611+F3611</f>
        <v>292.34</v>
      </c>
      <c r="H3611" s="20" t="n">
        <f aca="false">IF(G3611&lt;Parametres!$B$8*Parametres!$B$7,0,MIN(G3611,Parametres!$B$7))</f>
        <v>250</v>
      </c>
      <c r="I3611" s="20" t="n">
        <f aca="false">G3611-H3611</f>
        <v>42.34</v>
      </c>
      <c r="J3611" s="21" t="n">
        <f aca="false">H3611*1000/Parametres!$B$9</f>
        <v>4239.44378497541</v>
      </c>
    </row>
    <row r="3612" customFormat="false" ht="15" hidden="false" customHeight="false" outlineLevel="0" collapsed="false">
      <c r="A3612" s="0" t="n">
        <v>3608</v>
      </c>
      <c r="B3612" s="0" t="n">
        <v>5</v>
      </c>
      <c r="C3612" s="19" t="n">
        <v>0.5517</v>
      </c>
      <c r="D3612" s="19" t="n">
        <v>1</v>
      </c>
      <c r="E3612" s="20" t="n">
        <f aca="false">Parametres!$B$5*C3612</f>
        <v>165.51</v>
      </c>
      <c r="F3612" s="20" t="n">
        <f aca="false">Parametres!$B$6*D3612</f>
        <v>200</v>
      </c>
      <c r="G3612" s="20" t="n">
        <f aca="false">E3612+F3612</f>
        <v>365.51</v>
      </c>
      <c r="H3612" s="20" t="n">
        <f aca="false">IF(G3612&lt;Parametres!$B$8*Parametres!$B$7,0,MIN(G3612,Parametres!$B$7))</f>
        <v>250</v>
      </c>
      <c r="I3612" s="20" t="n">
        <f aca="false">G3612-H3612</f>
        <v>115.51</v>
      </c>
      <c r="J3612" s="21" t="n">
        <f aca="false">H3612*1000/Parametres!$B$9</f>
        <v>4239.44378497541</v>
      </c>
    </row>
    <row r="3613" customFormat="false" ht="15" hidden="false" customHeight="false" outlineLevel="0" collapsed="false">
      <c r="A3613" s="0" t="n">
        <v>3609</v>
      </c>
      <c r="B3613" s="0" t="n">
        <v>5</v>
      </c>
      <c r="C3613" s="19" t="n">
        <v>0.922</v>
      </c>
      <c r="D3613" s="19" t="n">
        <v>1</v>
      </c>
      <c r="E3613" s="20" t="n">
        <f aca="false">Parametres!$B$5*C3613</f>
        <v>276.6</v>
      </c>
      <c r="F3613" s="20" t="n">
        <f aca="false">Parametres!$B$6*D3613</f>
        <v>200</v>
      </c>
      <c r="G3613" s="20" t="n">
        <f aca="false">E3613+F3613</f>
        <v>476.6</v>
      </c>
      <c r="H3613" s="20" t="n">
        <f aca="false">IF(G3613&lt;Parametres!$B$8*Parametres!$B$7,0,MIN(G3613,Parametres!$B$7))</f>
        <v>250</v>
      </c>
      <c r="I3613" s="20" t="n">
        <f aca="false">G3613-H3613</f>
        <v>226.6</v>
      </c>
      <c r="J3613" s="21" t="n">
        <f aca="false">H3613*1000/Parametres!$B$9</f>
        <v>4239.44378497541</v>
      </c>
    </row>
    <row r="3614" customFormat="false" ht="15" hidden="false" customHeight="false" outlineLevel="0" collapsed="false">
      <c r="A3614" s="0" t="n">
        <v>3610</v>
      </c>
      <c r="B3614" s="0" t="n">
        <v>5</v>
      </c>
      <c r="C3614" s="19" t="n">
        <v>1</v>
      </c>
      <c r="D3614" s="19" t="n">
        <v>1</v>
      </c>
      <c r="E3614" s="20" t="n">
        <f aca="false">Parametres!$B$5*C3614</f>
        <v>300</v>
      </c>
      <c r="F3614" s="20" t="n">
        <f aca="false">Parametres!$B$6*D3614</f>
        <v>200</v>
      </c>
      <c r="G3614" s="20" t="n">
        <f aca="false">E3614+F3614</f>
        <v>500</v>
      </c>
      <c r="H3614" s="20" t="n">
        <f aca="false">IF(G3614&lt;Parametres!$B$8*Parametres!$B$7,0,MIN(G3614,Parametres!$B$7))</f>
        <v>250</v>
      </c>
      <c r="I3614" s="20" t="n">
        <f aca="false">G3614-H3614</f>
        <v>250</v>
      </c>
      <c r="J3614" s="21" t="n">
        <f aca="false">H3614*1000/Parametres!$B$9</f>
        <v>4239.44378497541</v>
      </c>
    </row>
    <row r="3615" customFormat="false" ht="15" hidden="false" customHeight="false" outlineLevel="0" collapsed="false">
      <c r="A3615" s="0" t="n">
        <v>3611</v>
      </c>
      <c r="B3615" s="0" t="n">
        <v>5</v>
      </c>
      <c r="C3615" s="19" t="n">
        <v>1</v>
      </c>
      <c r="D3615" s="19" t="n">
        <v>1</v>
      </c>
      <c r="E3615" s="20" t="n">
        <f aca="false">Parametres!$B$5*C3615</f>
        <v>300</v>
      </c>
      <c r="F3615" s="20" t="n">
        <f aca="false">Parametres!$B$6*D3615</f>
        <v>200</v>
      </c>
      <c r="G3615" s="20" t="n">
        <f aca="false">E3615+F3615</f>
        <v>500</v>
      </c>
      <c r="H3615" s="20" t="n">
        <f aca="false">IF(G3615&lt;Parametres!$B$8*Parametres!$B$7,0,MIN(G3615,Parametres!$B$7))</f>
        <v>250</v>
      </c>
      <c r="I3615" s="20" t="n">
        <f aca="false">G3615-H3615</f>
        <v>250</v>
      </c>
      <c r="J3615" s="21" t="n">
        <f aca="false">H3615*1000/Parametres!$B$9</f>
        <v>4239.44378497541</v>
      </c>
    </row>
    <row r="3616" customFormat="false" ht="15" hidden="false" customHeight="false" outlineLevel="0" collapsed="false">
      <c r="A3616" s="0" t="n">
        <v>3612</v>
      </c>
      <c r="B3616" s="0" t="n">
        <v>5</v>
      </c>
      <c r="C3616" s="19" t="n">
        <v>1</v>
      </c>
      <c r="D3616" s="19" t="n">
        <v>1</v>
      </c>
      <c r="E3616" s="20" t="n">
        <f aca="false">Parametres!$B$5*C3616</f>
        <v>300</v>
      </c>
      <c r="F3616" s="20" t="n">
        <f aca="false">Parametres!$B$6*D3616</f>
        <v>200</v>
      </c>
      <c r="G3616" s="20" t="n">
        <f aca="false">E3616+F3616</f>
        <v>500</v>
      </c>
      <c r="H3616" s="20" t="n">
        <f aca="false">IF(G3616&lt;Parametres!$B$8*Parametres!$B$7,0,MIN(G3616,Parametres!$B$7))</f>
        <v>250</v>
      </c>
      <c r="I3616" s="20" t="n">
        <f aca="false">G3616-H3616</f>
        <v>250</v>
      </c>
      <c r="J3616" s="21" t="n">
        <f aca="false">H3616*1000/Parametres!$B$9</f>
        <v>4239.44378497541</v>
      </c>
    </row>
    <row r="3617" customFormat="false" ht="15" hidden="false" customHeight="false" outlineLevel="0" collapsed="false">
      <c r="A3617" s="0" t="n">
        <v>3613</v>
      </c>
      <c r="B3617" s="0" t="n">
        <v>5</v>
      </c>
      <c r="C3617" s="19" t="n">
        <v>1</v>
      </c>
      <c r="D3617" s="19" t="n">
        <v>1</v>
      </c>
      <c r="E3617" s="20" t="n">
        <f aca="false">Parametres!$B$5*C3617</f>
        <v>300</v>
      </c>
      <c r="F3617" s="20" t="n">
        <f aca="false">Parametres!$B$6*D3617</f>
        <v>200</v>
      </c>
      <c r="G3617" s="20" t="n">
        <f aca="false">E3617+F3617</f>
        <v>500</v>
      </c>
      <c r="H3617" s="20" t="n">
        <f aca="false">IF(G3617&lt;Parametres!$B$8*Parametres!$B$7,0,MIN(G3617,Parametres!$B$7))</f>
        <v>250</v>
      </c>
      <c r="I3617" s="20" t="n">
        <f aca="false">G3617-H3617</f>
        <v>250</v>
      </c>
      <c r="J3617" s="21" t="n">
        <f aca="false">H3617*1000/Parametres!$B$9</f>
        <v>4239.44378497541</v>
      </c>
    </row>
    <row r="3618" customFormat="false" ht="15" hidden="false" customHeight="false" outlineLevel="0" collapsed="false">
      <c r="A3618" s="0" t="n">
        <v>3614</v>
      </c>
      <c r="B3618" s="0" t="n">
        <v>5</v>
      </c>
      <c r="C3618" s="19" t="n">
        <v>1</v>
      </c>
      <c r="D3618" s="19" t="n">
        <v>1</v>
      </c>
      <c r="E3618" s="20" t="n">
        <f aca="false">Parametres!$B$5*C3618</f>
        <v>300</v>
      </c>
      <c r="F3618" s="20" t="n">
        <f aca="false">Parametres!$B$6*D3618</f>
        <v>200</v>
      </c>
      <c r="G3618" s="20" t="n">
        <f aca="false">E3618+F3618</f>
        <v>500</v>
      </c>
      <c r="H3618" s="20" t="n">
        <f aca="false">IF(G3618&lt;Parametres!$B$8*Parametres!$B$7,0,MIN(G3618,Parametres!$B$7))</f>
        <v>250</v>
      </c>
      <c r="I3618" s="20" t="n">
        <f aca="false">G3618-H3618</f>
        <v>250</v>
      </c>
      <c r="J3618" s="21" t="n">
        <f aca="false">H3618*1000/Parametres!$B$9</f>
        <v>4239.44378497541</v>
      </c>
    </row>
    <row r="3619" customFormat="false" ht="15" hidden="false" customHeight="false" outlineLevel="0" collapsed="false">
      <c r="A3619" s="0" t="n">
        <v>3615</v>
      </c>
      <c r="B3619" s="0" t="n">
        <v>5</v>
      </c>
      <c r="C3619" s="19" t="n">
        <v>1</v>
      </c>
      <c r="D3619" s="19" t="n">
        <v>1</v>
      </c>
      <c r="E3619" s="20" t="n">
        <f aca="false">Parametres!$B$5*C3619</f>
        <v>300</v>
      </c>
      <c r="F3619" s="20" t="n">
        <f aca="false">Parametres!$B$6*D3619</f>
        <v>200</v>
      </c>
      <c r="G3619" s="20" t="n">
        <f aca="false">E3619+F3619</f>
        <v>500</v>
      </c>
      <c r="H3619" s="20" t="n">
        <f aca="false">IF(G3619&lt;Parametres!$B$8*Parametres!$B$7,0,MIN(G3619,Parametres!$B$7))</f>
        <v>250</v>
      </c>
      <c r="I3619" s="20" t="n">
        <f aca="false">G3619-H3619</f>
        <v>250</v>
      </c>
      <c r="J3619" s="21" t="n">
        <f aca="false">H3619*1000/Parametres!$B$9</f>
        <v>4239.44378497541</v>
      </c>
    </row>
    <row r="3620" customFormat="false" ht="15" hidden="false" customHeight="false" outlineLevel="0" collapsed="false">
      <c r="A3620" s="0" t="n">
        <v>3616</v>
      </c>
      <c r="B3620" s="0" t="n">
        <v>5</v>
      </c>
      <c r="C3620" s="19" t="n">
        <v>0.9047</v>
      </c>
      <c r="D3620" s="19" t="n">
        <v>1</v>
      </c>
      <c r="E3620" s="20" t="n">
        <f aca="false">Parametres!$B$5*C3620</f>
        <v>271.41</v>
      </c>
      <c r="F3620" s="20" t="n">
        <f aca="false">Parametres!$B$6*D3620</f>
        <v>200</v>
      </c>
      <c r="G3620" s="20" t="n">
        <f aca="false">E3620+F3620</f>
        <v>471.41</v>
      </c>
      <c r="H3620" s="20" t="n">
        <f aca="false">IF(G3620&lt;Parametres!$B$8*Parametres!$B$7,0,MIN(G3620,Parametres!$B$7))</f>
        <v>250</v>
      </c>
      <c r="I3620" s="20" t="n">
        <f aca="false">G3620-H3620</f>
        <v>221.41</v>
      </c>
      <c r="J3620" s="21" t="n">
        <f aca="false">H3620*1000/Parametres!$B$9</f>
        <v>4239.44378497541</v>
      </c>
    </row>
    <row r="3621" customFormat="false" ht="15" hidden="false" customHeight="false" outlineLevel="0" collapsed="false">
      <c r="A3621" s="0" t="n">
        <v>3617</v>
      </c>
      <c r="B3621" s="0" t="n">
        <v>5</v>
      </c>
      <c r="C3621" s="19" t="n">
        <v>0.6203</v>
      </c>
      <c r="D3621" s="19" t="n">
        <v>1</v>
      </c>
      <c r="E3621" s="20" t="n">
        <f aca="false">Parametres!$B$5*C3621</f>
        <v>186.09</v>
      </c>
      <c r="F3621" s="20" t="n">
        <f aca="false">Parametres!$B$6*D3621</f>
        <v>200</v>
      </c>
      <c r="G3621" s="20" t="n">
        <f aca="false">E3621+F3621</f>
        <v>386.09</v>
      </c>
      <c r="H3621" s="20" t="n">
        <f aca="false">IF(G3621&lt;Parametres!$B$8*Parametres!$B$7,0,MIN(G3621,Parametres!$B$7))</f>
        <v>250</v>
      </c>
      <c r="I3621" s="20" t="n">
        <f aca="false">G3621-H3621</f>
        <v>136.09</v>
      </c>
      <c r="J3621" s="21" t="n">
        <f aca="false">H3621*1000/Parametres!$B$9</f>
        <v>4239.44378497541</v>
      </c>
    </row>
    <row r="3622" customFormat="false" ht="15" hidden="false" customHeight="false" outlineLevel="0" collapsed="false">
      <c r="A3622" s="0" t="n">
        <v>3618</v>
      </c>
      <c r="B3622" s="0" t="n">
        <v>5</v>
      </c>
      <c r="C3622" s="19" t="n">
        <v>0.3334</v>
      </c>
      <c r="D3622" s="19" t="n">
        <v>1</v>
      </c>
      <c r="E3622" s="20" t="n">
        <f aca="false">Parametres!$B$5*C3622</f>
        <v>100.02</v>
      </c>
      <c r="F3622" s="20" t="n">
        <f aca="false">Parametres!$B$6*D3622</f>
        <v>200</v>
      </c>
      <c r="G3622" s="20" t="n">
        <f aca="false">E3622+F3622</f>
        <v>300.02</v>
      </c>
      <c r="H3622" s="20" t="n">
        <f aca="false">IF(G3622&lt;Parametres!$B$8*Parametres!$B$7,0,MIN(G3622,Parametres!$B$7))</f>
        <v>250</v>
      </c>
      <c r="I3622" s="20" t="n">
        <f aca="false">G3622-H3622</f>
        <v>50.02</v>
      </c>
      <c r="J3622" s="21" t="n">
        <f aca="false">H3622*1000/Parametres!$B$9</f>
        <v>4239.44378497541</v>
      </c>
    </row>
    <row r="3623" customFormat="false" ht="15" hidden="false" customHeight="false" outlineLevel="0" collapsed="false">
      <c r="A3623" s="0" t="n">
        <v>3619</v>
      </c>
      <c r="B3623" s="0" t="n">
        <v>5</v>
      </c>
      <c r="C3623" s="19" t="n">
        <v>0.0575</v>
      </c>
      <c r="D3623" s="19" t="n">
        <v>1</v>
      </c>
      <c r="E3623" s="20" t="n">
        <f aca="false">Parametres!$B$5*C3623</f>
        <v>17.25</v>
      </c>
      <c r="F3623" s="20" t="n">
        <f aca="false">Parametres!$B$6*D3623</f>
        <v>200</v>
      </c>
      <c r="G3623" s="20" t="n">
        <f aca="false">E3623+F3623</f>
        <v>217.25</v>
      </c>
      <c r="H3623" s="20" t="n">
        <f aca="false">IF(G3623&lt;Parametres!$B$8*Parametres!$B$7,0,MIN(G3623,Parametres!$B$7))</f>
        <v>217.25</v>
      </c>
      <c r="I3623" s="20" t="n">
        <f aca="false">G3623-H3623</f>
        <v>0</v>
      </c>
      <c r="J3623" s="21" t="n">
        <f aca="false">H3623*1000/Parametres!$B$9</f>
        <v>3684.07664914363</v>
      </c>
    </row>
    <row r="3624" customFormat="false" ht="15" hidden="false" customHeight="false" outlineLevel="0" collapsed="false">
      <c r="A3624" s="0" t="n">
        <v>3620</v>
      </c>
      <c r="B3624" s="0" t="n">
        <v>5</v>
      </c>
      <c r="C3624" s="19" t="n">
        <v>0</v>
      </c>
      <c r="D3624" s="19" t="n">
        <v>1</v>
      </c>
      <c r="E3624" s="20" t="n">
        <f aca="false">Parametres!$B$5*C3624</f>
        <v>0</v>
      </c>
      <c r="F3624" s="20" t="n">
        <f aca="false">Parametres!$B$6*D3624</f>
        <v>200</v>
      </c>
      <c r="G3624" s="20" t="n">
        <f aca="false">E3624+F3624</f>
        <v>200</v>
      </c>
      <c r="H3624" s="20" t="n">
        <f aca="false">IF(G3624&lt;Parametres!$B$8*Parametres!$B$7,0,MIN(G3624,Parametres!$B$7))</f>
        <v>200</v>
      </c>
      <c r="I3624" s="20" t="n">
        <f aca="false">G3624-H3624</f>
        <v>0</v>
      </c>
      <c r="J3624" s="21" t="n">
        <f aca="false">H3624*1000/Parametres!$B$9</f>
        <v>3391.55502798033</v>
      </c>
    </row>
    <row r="3625" customFormat="false" ht="15" hidden="false" customHeight="false" outlineLevel="0" collapsed="false">
      <c r="A3625" s="0" t="n">
        <v>3621</v>
      </c>
      <c r="B3625" s="0" t="n">
        <v>5</v>
      </c>
      <c r="C3625" s="19" t="n">
        <v>0</v>
      </c>
      <c r="D3625" s="19" t="n">
        <v>1</v>
      </c>
      <c r="E3625" s="20" t="n">
        <f aca="false">Parametres!$B$5*C3625</f>
        <v>0</v>
      </c>
      <c r="F3625" s="20" t="n">
        <f aca="false">Parametres!$B$6*D3625</f>
        <v>200</v>
      </c>
      <c r="G3625" s="20" t="n">
        <f aca="false">E3625+F3625</f>
        <v>200</v>
      </c>
      <c r="H3625" s="20" t="n">
        <f aca="false">IF(G3625&lt;Parametres!$B$8*Parametres!$B$7,0,MIN(G3625,Parametres!$B$7))</f>
        <v>200</v>
      </c>
      <c r="I3625" s="20" t="n">
        <f aca="false">G3625-H3625</f>
        <v>0</v>
      </c>
      <c r="J3625" s="21" t="n">
        <f aca="false">H3625*1000/Parametres!$B$9</f>
        <v>3391.55502798033</v>
      </c>
    </row>
    <row r="3626" customFormat="false" ht="15" hidden="false" customHeight="false" outlineLevel="0" collapsed="false">
      <c r="A3626" s="0" t="n">
        <v>3622</v>
      </c>
      <c r="B3626" s="0" t="n">
        <v>5</v>
      </c>
      <c r="C3626" s="19" t="n">
        <v>0</v>
      </c>
      <c r="D3626" s="19" t="n">
        <v>1</v>
      </c>
      <c r="E3626" s="20" t="n">
        <f aca="false">Parametres!$B$5*C3626</f>
        <v>0</v>
      </c>
      <c r="F3626" s="20" t="n">
        <f aca="false">Parametres!$B$6*D3626</f>
        <v>200</v>
      </c>
      <c r="G3626" s="20" t="n">
        <f aca="false">E3626+F3626</f>
        <v>200</v>
      </c>
      <c r="H3626" s="20" t="n">
        <f aca="false">IF(G3626&lt;Parametres!$B$8*Parametres!$B$7,0,MIN(G3626,Parametres!$B$7))</f>
        <v>200</v>
      </c>
      <c r="I3626" s="20" t="n">
        <f aca="false">G3626-H3626</f>
        <v>0</v>
      </c>
      <c r="J3626" s="21" t="n">
        <f aca="false">H3626*1000/Parametres!$B$9</f>
        <v>3391.55502798033</v>
      </c>
    </row>
    <row r="3627" customFormat="false" ht="15" hidden="false" customHeight="false" outlineLevel="0" collapsed="false">
      <c r="A3627" s="0" t="n">
        <v>3623</v>
      </c>
      <c r="B3627" s="0" t="n">
        <v>5</v>
      </c>
      <c r="C3627" s="19" t="n">
        <v>0</v>
      </c>
      <c r="D3627" s="19" t="n">
        <v>1</v>
      </c>
      <c r="E3627" s="20" t="n">
        <f aca="false">Parametres!$B$5*C3627</f>
        <v>0</v>
      </c>
      <c r="F3627" s="20" t="n">
        <f aca="false">Parametres!$B$6*D3627</f>
        <v>200</v>
      </c>
      <c r="G3627" s="20" t="n">
        <f aca="false">E3627+F3627</f>
        <v>200</v>
      </c>
      <c r="H3627" s="20" t="n">
        <f aca="false">IF(G3627&lt;Parametres!$B$8*Parametres!$B$7,0,MIN(G3627,Parametres!$B$7))</f>
        <v>200</v>
      </c>
      <c r="I3627" s="20" t="n">
        <f aca="false">G3627-H3627</f>
        <v>0</v>
      </c>
      <c r="J3627" s="21" t="n">
        <f aca="false">H3627*1000/Parametres!$B$9</f>
        <v>3391.55502798033</v>
      </c>
    </row>
    <row r="3628" customFormat="false" ht="15" hidden="false" customHeight="false" outlineLevel="0" collapsed="false">
      <c r="A3628" s="0" t="n">
        <v>3624</v>
      </c>
      <c r="B3628" s="0" t="n">
        <v>5</v>
      </c>
      <c r="C3628" s="19" t="n">
        <v>0</v>
      </c>
      <c r="D3628" s="19" t="n">
        <v>1</v>
      </c>
      <c r="E3628" s="20" t="n">
        <f aca="false">Parametres!$B$5*C3628</f>
        <v>0</v>
      </c>
      <c r="F3628" s="20" t="n">
        <f aca="false">Parametres!$B$6*D3628</f>
        <v>200</v>
      </c>
      <c r="G3628" s="20" t="n">
        <f aca="false">E3628+F3628</f>
        <v>200</v>
      </c>
      <c r="H3628" s="20" t="n">
        <f aca="false">IF(G3628&lt;Parametres!$B$8*Parametres!$B$7,0,MIN(G3628,Parametres!$B$7))</f>
        <v>200</v>
      </c>
      <c r="I3628" s="20" t="n">
        <f aca="false">G3628-H3628</f>
        <v>0</v>
      </c>
      <c r="J3628" s="21" t="n">
        <f aca="false">H3628*1000/Parametres!$B$9</f>
        <v>3391.55502798033</v>
      </c>
    </row>
    <row r="3629" customFormat="false" ht="15" hidden="false" customHeight="false" outlineLevel="0" collapsed="false">
      <c r="A3629" s="0" t="n">
        <v>3625</v>
      </c>
      <c r="B3629" s="0" t="n">
        <v>6</v>
      </c>
      <c r="C3629" s="19" t="n">
        <v>0</v>
      </c>
      <c r="D3629" s="19" t="n">
        <v>1</v>
      </c>
      <c r="E3629" s="20" t="n">
        <f aca="false">Parametres!$B$5*C3629</f>
        <v>0</v>
      </c>
      <c r="F3629" s="20" t="n">
        <f aca="false">Parametres!$B$6*D3629</f>
        <v>200</v>
      </c>
      <c r="G3629" s="20" t="n">
        <f aca="false">E3629+F3629</f>
        <v>200</v>
      </c>
      <c r="H3629" s="20" t="n">
        <f aca="false">IF(G3629&lt;Parametres!$B$8*Parametres!$B$7,0,MIN(G3629,Parametres!$B$7))</f>
        <v>200</v>
      </c>
      <c r="I3629" s="20" t="n">
        <f aca="false">G3629-H3629</f>
        <v>0</v>
      </c>
      <c r="J3629" s="21" t="n">
        <f aca="false">H3629*1000/Parametres!$B$9</f>
        <v>3391.55502798033</v>
      </c>
    </row>
    <row r="3630" customFormat="false" ht="15" hidden="false" customHeight="false" outlineLevel="0" collapsed="false">
      <c r="A3630" s="0" t="n">
        <v>3626</v>
      </c>
      <c r="B3630" s="0" t="n">
        <v>6</v>
      </c>
      <c r="C3630" s="19" t="n">
        <v>0</v>
      </c>
      <c r="D3630" s="19" t="n">
        <v>1</v>
      </c>
      <c r="E3630" s="20" t="n">
        <f aca="false">Parametres!$B$5*C3630</f>
        <v>0</v>
      </c>
      <c r="F3630" s="20" t="n">
        <f aca="false">Parametres!$B$6*D3630</f>
        <v>200</v>
      </c>
      <c r="G3630" s="20" t="n">
        <f aca="false">E3630+F3630</f>
        <v>200</v>
      </c>
      <c r="H3630" s="20" t="n">
        <f aca="false">IF(G3630&lt;Parametres!$B$8*Parametres!$B$7,0,MIN(G3630,Parametres!$B$7))</f>
        <v>200</v>
      </c>
      <c r="I3630" s="20" t="n">
        <f aca="false">G3630-H3630</f>
        <v>0</v>
      </c>
      <c r="J3630" s="21" t="n">
        <f aca="false">H3630*1000/Parametres!$B$9</f>
        <v>3391.55502798033</v>
      </c>
    </row>
    <row r="3631" customFormat="false" ht="15" hidden="false" customHeight="false" outlineLevel="0" collapsed="false">
      <c r="A3631" s="0" t="n">
        <v>3627</v>
      </c>
      <c r="B3631" s="0" t="n">
        <v>6</v>
      </c>
      <c r="C3631" s="19" t="n">
        <v>0</v>
      </c>
      <c r="D3631" s="19" t="n">
        <v>1</v>
      </c>
      <c r="E3631" s="20" t="n">
        <f aca="false">Parametres!$B$5*C3631</f>
        <v>0</v>
      </c>
      <c r="F3631" s="20" t="n">
        <f aca="false">Parametres!$B$6*D3631</f>
        <v>200</v>
      </c>
      <c r="G3631" s="20" t="n">
        <f aca="false">E3631+F3631</f>
        <v>200</v>
      </c>
      <c r="H3631" s="20" t="n">
        <f aca="false">IF(G3631&lt;Parametres!$B$8*Parametres!$B$7,0,MIN(G3631,Parametres!$B$7))</f>
        <v>200</v>
      </c>
      <c r="I3631" s="20" t="n">
        <f aca="false">G3631-H3631</f>
        <v>0</v>
      </c>
      <c r="J3631" s="21" t="n">
        <f aca="false">H3631*1000/Parametres!$B$9</f>
        <v>3391.55502798033</v>
      </c>
    </row>
    <row r="3632" customFormat="false" ht="15" hidden="false" customHeight="false" outlineLevel="0" collapsed="false">
      <c r="A3632" s="0" t="n">
        <v>3628</v>
      </c>
      <c r="B3632" s="0" t="n">
        <v>6</v>
      </c>
      <c r="C3632" s="19" t="n">
        <v>0</v>
      </c>
      <c r="D3632" s="19" t="n">
        <v>1</v>
      </c>
      <c r="E3632" s="20" t="n">
        <f aca="false">Parametres!$B$5*C3632</f>
        <v>0</v>
      </c>
      <c r="F3632" s="20" t="n">
        <f aca="false">Parametres!$B$6*D3632</f>
        <v>200</v>
      </c>
      <c r="G3632" s="20" t="n">
        <f aca="false">E3632+F3632</f>
        <v>200</v>
      </c>
      <c r="H3632" s="20" t="n">
        <f aca="false">IF(G3632&lt;Parametres!$B$8*Parametres!$B$7,0,MIN(G3632,Parametres!$B$7))</f>
        <v>200</v>
      </c>
      <c r="I3632" s="20" t="n">
        <f aca="false">G3632-H3632</f>
        <v>0</v>
      </c>
      <c r="J3632" s="21" t="n">
        <f aca="false">H3632*1000/Parametres!$B$9</f>
        <v>3391.55502798033</v>
      </c>
    </row>
    <row r="3633" customFormat="false" ht="15" hidden="false" customHeight="false" outlineLevel="0" collapsed="false">
      <c r="A3633" s="0" t="n">
        <v>3629</v>
      </c>
      <c r="B3633" s="0" t="n">
        <v>6</v>
      </c>
      <c r="C3633" s="19" t="n">
        <v>0</v>
      </c>
      <c r="D3633" s="19" t="n">
        <v>1</v>
      </c>
      <c r="E3633" s="20" t="n">
        <f aca="false">Parametres!$B$5*C3633</f>
        <v>0</v>
      </c>
      <c r="F3633" s="20" t="n">
        <f aca="false">Parametres!$B$6*D3633</f>
        <v>200</v>
      </c>
      <c r="G3633" s="20" t="n">
        <f aca="false">E3633+F3633</f>
        <v>200</v>
      </c>
      <c r="H3633" s="20" t="n">
        <f aca="false">IF(G3633&lt;Parametres!$B$8*Parametres!$B$7,0,MIN(G3633,Parametres!$B$7))</f>
        <v>200</v>
      </c>
      <c r="I3633" s="20" t="n">
        <f aca="false">G3633-H3633</f>
        <v>0</v>
      </c>
      <c r="J3633" s="21" t="n">
        <f aca="false">H3633*1000/Parametres!$B$9</f>
        <v>3391.55502798033</v>
      </c>
    </row>
    <row r="3634" customFormat="false" ht="15" hidden="false" customHeight="false" outlineLevel="0" collapsed="false">
      <c r="A3634" s="0" t="n">
        <v>3630</v>
      </c>
      <c r="B3634" s="0" t="n">
        <v>6</v>
      </c>
      <c r="C3634" s="19" t="n">
        <v>0.0513</v>
      </c>
      <c r="D3634" s="19" t="n">
        <v>1</v>
      </c>
      <c r="E3634" s="20" t="n">
        <f aca="false">Parametres!$B$5*C3634</f>
        <v>15.39</v>
      </c>
      <c r="F3634" s="20" t="n">
        <f aca="false">Parametres!$B$6*D3634</f>
        <v>200</v>
      </c>
      <c r="G3634" s="20" t="n">
        <f aca="false">E3634+F3634</f>
        <v>215.39</v>
      </c>
      <c r="H3634" s="20" t="n">
        <f aca="false">IF(G3634&lt;Parametres!$B$8*Parametres!$B$7,0,MIN(G3634,Parametres!$B$7))</f>
        <v>215.39</v>
      </c>
      <c r="I3634" s="20" t="n">
        <f aca="false">G3634-H3634</f>
        <v>0</v>
      </c>
      <c r="J3634" s="21" t="n">
        <f aca="false">H3634*1000/Parametres!$B$9</f>
        <v>3652.53518738342</v>
      </c>
    </row>
    <row r="3635" customFormat="false" ht="15" hidden="false" customHeight="false" outlineLevel="0" collapsed="false">
      <c r="A3635" s="0" t="n">
        <v>3631</v>
      </c>
      <c r="B3635" s="0" t="n">
        <v>6</v>
      </c>
      <c r="C3635" s="19" t="n">
        <v>0.2555</v>
      </c>
      <c r="D3635" s="19" t="n">
        <v>1</v>
      </c>
      <c r="E3635" s="20" t="n">
        <f aca="false">Parametres!$B$5*C3635</f>
        <v>76.65</v>
      </c>
      <c r="F3635" s="20" t="n">
        <f aca="false">Parametres!$B$6*D3635</f>
        <v>200</v>
      </c>
      <c r="G3635" s="20" t="n">
        <f aca="false">E3635+F3635</f>
        <v>276.65</v>
      </c>
      <c r="H3635" s="20" t="n">
        <f aca="false">IF(G3635&lt;Parametres!$B$8*Parametres!$B$7,0,MIN(G3635,Parametres!$B$7))</f>
        <v>250</v>
      </c>
      <c r="I3635" s="20" t="n">
        <f aca="false">G3635-H3635</f>
        <v>26.65</v>
      </c>
      <c r="J3635" s="21" t="n">
        <f aca="false">H3635*1000/Parametres!$B$9</f>
        <v>4239.44378497541</v>
      </c>
    </row>
    <row r="3636" customFormat="false" ht="15" hidden="false" customHeight="false" outlineLevel="0" collapsed="false">
      <c r="A3636" s="0" t="n">
        <v>3632</v>
      </c>
      <c r="B3636" s="0" t="n">
        <v>6</v>
      </c>
      <c r="C3636" s="19" t="n">
        <v>0.4955</v>
      </c>
      <c r="D3636" s="19" t="n">
        <v>1</v>
      </c>
      <c r="E3636" s="20" t="n">
        <f aca="false">Parametres!$B$5*C3636</f>
        <v>148.65</v>
      </c>
      <c r="F3636" s="20" t="n">
        <f aca="false">Parametres!$B$6*D3636</f>
        <v>200</v>
      </c>
      <c r="G3636" s="20" t="n">
        <f aca="false">E3636+F3636</f>
        <v>348.65</v>
      </c>
      <c r="H3636" s="20" t="n">
        <f aca="false">IF(G3636&lt;Parametres!$B$8*Parametres!$B$7,0,MIN(G3636,Parametres!$B$7))</f>
        <v>250</v>
      </c>
      <c r="I3636" s="20" t="n">
        <f aca="false">G3636-H3636</f>
        <v>98.65</v>
      </c>
      <c r="J3636" s="21" t="n">
        <f aca="false">H3636*1000/Parametres!$B$9</f>
        <v>4239.44378497541</v>
      </c>
    </row>
    <row r="3637" customFormat="false" ht="15" hidden="false" customHeight="false" outlineLevel="0" collapsed="false">
      <c r="A3637" s="0" t="n">
        <v>3633</v>
      </c>
      <c r="B3637" s="0" t="n">
        <v>6</v>
      </c>
      <c r="C3637" s="19" t="n">
        <v>0.7749</v>
      </c>
      <c r="D3637" s="19" t="n">
        <v>1</v>
      </c>
      <c r="E3637" s="20" t="n">
        <f aca="false">Parametres!$B$5*C3637</f>
        <v>232.47</v>
      </c>
      <c r="F3637" s="20" t="n">
        <f aca="false">Parametres!$B$6*D3637</f>
        <v>200</v>
      </c>
      <c r="G3637" s="20" t="n">
        <f aca="false">E3637+F3637</f>
        <v>432.47</v>
      </c>
      <c r="H3637" s="20" t="n">
        <f aca="false">IF(G3637&lt;Parametres!$B$8*Parametres!$B$7,0,MIN(G3637,Parametres!$B$7))</f>
        <v>250</v>
      </c>
      <c r="I3637" s="20" t="n">
        <f aca="false">G3637-H3637</f>
        <v>182.47</v>
      </c>
      <c r="J3637" s="21" t="n">
        <f aca="false">H3637*1000/Parametres!$B$9</f>
        <v>4239.44378497541</v>
      </c>
    </row>
    <row r="3638" customFormat="false" ht="15" hidden="false" customHeight="false" outlineLevel="0" collapsed="false">
      <c r="A3638" s="0" t="n">
        <v>3634</v>
      </c>
      <c r="B3638" s="0" t="n">
        <v>6</v>
      </c>
      <c r="C3638" s="19" t="n">
        <v>0.8947</v>
      </c>
      <c r="D3638" s="19" t="n">
        <v>1</v>
      </c>
      <c r="E3638" s="20" t="n">
        <f aca="false">Parametres!$B$5*C3638</f>
        <v>268.41</v>
      </c>
      <c r="F3638" s="20" t="n">
        <f aca="false">Parametres!$B$6*D3638</f>
        <v>200</v>
      </c>
      <c r="G3638" s="20" t="n">
        <f aca="false">E3638+F3638</f>
        <v>468.41</v>
      </c>
      <c r="H3638" s="20" t="n">
        <f aca="false">IF(G3638&lt;Parametres!$B$8*Parametres!$B$7,0,MIN(G3638,Parametres!$B$7))</f>
        <v>250</v>
      </c>
      <c r="I3638" s="20" t="n">
        <f aca="false">G3638-H3638</f>
        <v>218.41</v>
      </c>
      <c r="J3638" s="21" t="n">
        <f aca="false">H3638*1000/Parametres!$B$9</f>
        <v>4239.44378497541</v>
      </c>
    </row>
    <row r="3639" customFormat="false" ht="15" hidden="false" customHeight="false" outlineLevel="0" collapsed="false">
      <c r="A3639" s="0" t="n">
        <v>3635</v>
      </c>
      <c r="B3639" s="0" t="n">
        <v>6</v>
      </c>
      <c r="C3639" s="19" t="n">
        <v>0.9898</v>
      </c>
      <c r="D3639" s="19" t="n">
        <v>1</v>
      </c>
      <c r="E3639" s="20" t="n">
        <f aca="false">Parametres!$B$5*C3639</f>
        <v>296.94</v>
      </c>
      <c r="F3639" s="20" t="n">
        <f aca="false">Parametres!$B$6*D3639</f>
        <v>200</v>
      </c>
      <c r="G3639" s="20" t="n">
        <f aca="false">E3639+F3639</f>
        <v>496.94</v>
      </c>
      <c r="H3639" s="20" t="n">
        <f aca="false">IF(G3639&lt;Parametres!$B$8*Parametres!$B$7,0,MIN(G3639,Parametres!$B$7))</f>
        <v>250</v>
      </c>
      <c r="I3639" s="20" t="n">
        <f aca="false">G3639-H3639</f>
        <v>246.94</v>
      </c>
      <c r="J3639" s="21" t="n">
        <f aca="false">H3639*1000/Parametres!$B$9</f>
        <v>4239.44378497541</v>
      </c>
    </row>
    <row r="3640" customFormat="false" ht="15" hidden="false" customHeight="false" outlineLevel="0" collapsed="false">
      <c r="A3640" s="0" t="n">
        <v>3636</v>
      </c>
      <c r="B3640" s="0" t="n">
        <v>6</v>
      </c>
      <c r="C3640" s="19" t="n">
        <v>1</v>
      </c>
      <c r="D3640" s="19" t="n">
        <v>1</v>
      </c>
      <c r="E3640" s="20" t="n">
        <f aca="false">Parametres!$B$5*C3640</f>
        <v>300</v>
      </c>
      <c r="F3640" s="20" t="n">
        <f aca="false">Parametres!$B$6*D3640</f>
        <v>200</v>
      </c>
      <c r="G3640" s="20" t="n">
        <f aca="false">E3640+F3640</f>
        <v>500</v>
      </c>
      <c r="H3640" s="20" t="n">
        <f aca="false">IF(G3640&lt;Parametres!$B$8*Parametres!$B$7,0,MIN(G3640,Parametres!$B$7))</f>
        <v>250</v>
      </c>
      <c r="I3640" s="20" t="n">
        <f aca="false">G3640-H3640</f>
        <v>250</v>
      </c>
      <c r="J3640" s="21" t="n">
        <f aca="false">H3640*1000/Parametres!$B$9</f>
        <v>4239.44378497541</v>
      </c>
    </row>
    <row r="3641" customFormat="false" ht="15" hidden="false" customHeight="false" outlineLevel="0" collapsed="false">
      <c r="A3641" s="0" t="n">
        <v>3637</v>
      </c>
      <c r="B3641" s="0" t="n">
        <v>6</v>
      </c>
      <c r="C3641" s="19" t="n">
        <v>1</v>
      </c>
      <c r="D3641" s="19" t="n">
        <v>1</v>
      </c>
      <c r="E3641" s="20" t="n">
        <f aca="false">Parametres!$B$5*C3641</f>
        <v>300</v>
      </c>
      <c r="F3641" s="20" t="n">
        <f aca="false">Parametres!$B$6*D3641</f>
        <v>200</v>
      </c>
      <c r="G3641" s="20" t="n">
        <f aca="false">E3641+F3641</f>
        <v>500</v>
      </c>
      <c r="H3641" s="20" t="n">
        <f aca="false">IF(G3641&lt;Parametres!$B$8*Parametres!$B$7,0,MIN(G3641,Parametres!$B$7))</f>
        <v>250</v>
      </c>
      <c r="I3641" s="20" t="n">
        <f aca="false">G3641-H3641</f>
        <v>250</v>
      </c>
      <c r="J3641" s="21" t="n">
        <f aca="false">H3641*1000/Parametres!$B$9</f>
        <v>4239.44378497541</v>
      </c>
    </row>
    <row r="3642" customFormat="false" ht="15" hidden="false" customHeight="false" outlineLevel="0" collapsed="false">
      <c r="A3642" s="0" t="n">
        <v>3638</v>
      </c>
      <c r="B3642" s="0" t="n">
        <v>6</v>
      </c>
      <c r="C3642" s="19" t="n">
        <v>1</v>
      </c>
      <c r="D3642" s="19" t="n">
        <v>1</v>
      </c>
      <c r="E3642" s="20" t="n">
        <f aca="false">Parametres!$B$5*C3642</f>
        <v>300</v>
      </c>
      <c r="F3642" s="20" t="n">
        <f aca="false">Parametres!$B$6*D3642</f>
        <v>200</v>
      </c>
      <c r="G3642" s="20" t="n">
        <f aca="false">E3642+F3642</f>
        <v>500</v>
      </c>
      <c r="H3642" s="20" t="n">
        <f aca="false">IF(G3642&lt;Parametres!$B$8*Parametres!$B$7,0,MIN(G3642,Parametres!$B$7))</f>
        <v>250</v>
      </c>
      <c r="I3642" s="20" t="n">
        <f aca="false">G3642-H3642</f>
        <v>250</v>
      </c>
      <c r="J3642" s="21" t="n">
        <f aca="false">H3642*1000/Parametres!$B$9</f>
        <v>4239.44378497541</v>
      </c>
    </row>
    <row r="3643" customFormat="false" ht="15" hidden="false" customHeight="false" outlineLevel="0" collapsed="false">
      <c r="A3643" s="0" t="n">
        <v>3639</v>
      </c>
      <c r="B3643" s="0" t="n">
        <v>6</v>
      </c>
      <c r="C3643" s="19" t="n">
        <v>0.9727</v>
      </c>
      <c r="D3643" s="19" t="n">
        <v>1</v>
      </c>
      <c r="E3643" s="20" t="n">
        <f aca="false">Parametres!$B$5*C3643</f>
        <v>291.81</v>
      </c>
      <c r="F3643" s="20" t="n">
        <f aca="false">Parametres!$B$6*D3643</f>
        <v>200</v>
      </c>
      <c r="G3643" s="20" t="n">
        <f aca="false">E3643+F3643</f>
        <v>491.81</v>
      </c>
      <c r="H3643" s="20" t="n">
        <f aca="false">IF(G3643&lt;Parametres!$B$8*Parametres!$B$7,0,MIN(G3643,Parametres!$B$7))</f>
        <v>250</v>
      </c>
      <c r="I3643" s="20" t="n">
        <f aca="false">G3643-H3643</f>
        <v>241.81</v>
      </c>
      <c r="J3643" s="21" t="n">
        <f aca="false">H3643*1000/Parametres!$B$9</f>
        <v>4239.44378497541</v>
      </c>
    </row>
    <row r="3644" customFormat="false" ht="15" hidden="false" customHeight="false" outlineLevel="0" collapsed="false">
      <c r="A3644" s="0" t="n">
        <v>3640</v>
      </c>
      <c r="B3644" s="0" t="n">
        <v>6</v>
      </c>
      <c r="C3644" s="19" t="n">
        <v>0.7624</v>
      </c>
      <c r="D3644" s="19" t="n">
        <v>1</v>
      </c>
      <c r="E3644" s="20" t="n">
        <f aca="false">Parametres!$B$5*C3644</f>
        <v>228.72</v>
      </c>
      <c r="F3644" s="20" t="n">
        <f aca="false">Parametres!$B$6*D3644</f>
        <v>200</v>
      </c>
      <c r="G3644" s="20" t="n">
        <f aca="false">E3644+F3644</f>
        <v>428.72</v>
      </c>
      <c r="H3644" s="20" t="n">
        <f aca="false">IF(G3644&lt;Parametres!$B$8*Parametres!$B$7,0,MIN(G3644,Parametres!$B$7))</f>
        <v>250</v>
      </c>
      <c r="I3644" s="20" t="n">
        <f aca="false">G3644-H3644</f>
        <v>178.72</v>
      </c>
      <c r="J3644" s="21" t="n">
        <f aca="false">H3644*1000/Parametres!$B$9</f>
        <v>4239.44378497541</v>
      </c>
    </row>
    <row r="3645" customFormat="false" ht="15" hidden="false" customHeight="false" outlineLevel="0" collapsed="false">
      <c r="A3645" s="0" t="n">
        <v>3641</v>
      </c>
      <c r="B3645" s="0" t="n">
        <v>6</v>
      </c>
      <c r="C3645" s="19" t="n">
        <v>0.4709</v>
      </c>
      <c r="D3645" s="19" t="n">
        <v>1</v>
      </c>
      <c r="E3645" s="20" t="n">
        <f aca="false">Parametres!$B$5*C3645</f>
        <v>141.27</v>
      </c>
      <c r="F3645" s="20" t="n">
        <f aca="false">Parametres!$B$6*D3645</f>
        <v>200</v>
      </c>
      <c r="G3645" s="20" t="n">
        <f aca="false">E3645+F3645</f>
        <v>341.27</v>
      </c>
      <c r="H3645" s="20" t="n">
        <f aca="false">IF(G3645&lt;Parametres!$B$8*Parametres!$B$7,0,MIN(G3645,Parametres!$B$7))</f>
        <v>250</v>
      </c>
      <c r="I3645" s="20" t="n">
        <f aca="false">G3645-H3645</f>
        <v>91.27</v>
      </c>
      <c r="J3645" s="21" t="n">
        <f aca="false">H3645*1000/Parametres!$B$9</f>
        <v>4239.44378497541</v>
      </c>
    </row>
    <row r="3646" customFormat="false" ht="15" hidden="false" customHeight="false" outlineLevel="0" collapsed="false">
      <c r="A3646" s="0" t="n">
        <v>3642</v>
      </c>
      <c r="B3646" s="0" t="n">
        <v>6</v>
      </c>
      <c r="C3646" s="19" t="n">
        <v>0.2655</v>
      </c>
      <c r="D3646" s="19" t="n">
        <v>1</v>
      </c>
      <c r="E3646" s="20" t="n">
        <f aca="false">Parametres!$B$5*C3646</f>
        <v>79.65</v>
      </c>
      <c r="F3646" s="20" t="n">
        <f aca="false">Parametres!$B$6*D3646</f>
        <v>200</v>
      </c>
      <c r="G3646" s="20" t="n">
        <f aca="false">E3646+F3646</f>
        <v>279.65</v>
      </c>
      <c r="H3646" s="20" t="n">
        <f aca="false">IF(G3646&lt;Parametres!$B$8*Parametres!$B$7,0,MIN(G3646,Parametres!$B$7))</f>
        <v>250</v>
      </c>
      <c r="I3646" s="20" t="n">
        <f aca="false">G3646-H3646</f>
        <v>29.65</v>
      </c>
      <c r="J3646" s="21" t="n">
        <f aca="false">H3646*1000/Parametres!$B$9</f>
        <v>4239.44378497541</v>
      </c>
    </row>
    <row r="3647" customFormat="false" ht="15" hidden="false" customHeight="false" outlineLevel="0" collapsed="false">
      <c r="A3647" s="0" t="n">
        <v>3643</v>
      </c>
      <c r="B3647" s="0" t="n">
        <v>6</v>
      </c>
      <c r="C3647" s="19" t="n">
        <v>0.0519</v>
      </c>
      <c r="D3647" s="19" t="n">
        <v>1</v>
      </c>
      <c r="E3647" s="20" t="n">
        <f aca="false">Parametres!$B$5*C3647</f>
        <v>15.57</v>
      </c>
      <c r="F3647" s="20" t="n">
        <f aca="false">Parametres!$B$6*D3647</f>
        <v>200</v>
      </c>
      <c r="G3647" s="20" t="n">
        <f aca="false">E3647+F3647</f>
        <v>215.57</v>
      </c>
      <c r="H3647" s="20" t="n">
        <f aca="false">IF(G3647&lt;Parametres!$B$8*Parametres!$B$7,0,MIN(G3647,Parametres!$B$7))</f>
        <v>215.57</v>
      </c>
      <c r="I3647" s="20" t="n">
        <f aca="false">G3647-H3647</f>
        <v>0</v>
      </c>
      <c r="J3647" s="21" t="n">
        <f aca="false">H3647*1000/Parametres!$B$9</f>
        <v>3655.5875869086</v>
      </c>
    </row>
    <row r="3648" customFormat="false" ht="15" hidden="false" customHeight="false" outlineLevel="0" collapsed="false">
      <c r="A3648" s="0" t="n">
        <v>3644</v>
      </c>
      <c r="B3648" s="0" t="n">
        <v>6</v>
      </c>
      <c r="C3648" s="19" t="n">
        <v>0</v>
      </c>
      <c r="D3648" s="19" t="n">
        <v>1</v>
      </c>
      <c r="E3648" s="20" t="n">
        <f aca="false">Parametres!$B$5*C3648</f>
        <v>0</v>
      </c>
      <c r="F3648" s="20" t="n">
        <f aca="false">Parametres!$B$6*D3648</f>
        <v>200</v>
      </c>
      <c r="G3648" s="20" t="n">
        <f aca="false">E3648+F3648</f>
        <v>200</v>
      </c>
      <c r="H3648" s="20" t="n">
        <f aca="false">IF(G3648&lt;Parametres!$B$8*Parametres!$B$7,0,MIN(G3648,Parametres!$B$7))</f>
        <v>200</v>
      </c>
      <c r="I3648" s="20" t="n">
        <f aca="false">G3648-H3648</f>
        <v>0</v>
      </c>
      <c r="J3648" s="21" t="n">
        <f aca="false">H3648*1000/Parametres!$B$9</f>
        <v>3391.55502798033</v>
      </c>
    </row>
    <row r="3649" customFormat="false" ht="15" hidden="false" customHeight="false" outlineLevel="0" collapsed="false">
      <c r="A3649" s="0" t="n">
        <v>3645</v>
      </c>
      <c r="B3649" s="0" t="n">
        <v>6</v>
      </c>
      <c r="C3649" s="19" t="n">
        <v>0</v>
      </c>
      <c r="D3649" s="19" t="n">
        <v>1</v>
      </c>
      <c r="E3649" s="20" t="n">
        <f aca="false">Parametres!$B$5*C3649</f>
        <v>0</v>
      </c>
      <c r="F3649" s="20" t="n">
        <f aca="false">Parametres!$B$6*D3649</f>
        <v>200</v>
      </c>
      <c r="G3649" s="20" t="n">
        <f aca="false">E3649+F3649</f>
        <v>200</v>
      </c>
      <c r="H3649" s="20" t="n">
        <f aca="false">IF(G3649&lt;Parametres!$B$8*Parametres!$B$7,0,MIN(G3649,Parametres!$B$7))</f>
        <v>200</v>
      </c>
      <c r="I3649" s="20" t="n">
        <f aca="false">G3649-H3649</f>
        <v>0</v>
      </c>
      <c r="J3649" s="21" t="n">
        <f aca="false">H3649*1000/Parametres!$B$9</f>
        <v>3391.55502798033</v>
      </c>
    </row>
    <row r="3650" customFormat="false" ht="15" hidden="false" customHeight="false" outlineLevel="0" collapsed="false">
      <c r="A3650" s="0" t="n">
        <v>3646</v>
      </c>
      <c r="B3650" s="0" t="n">
        <v>6</v>
      </c>
      <c r="C3650" s="19" t="n">
        <v>0</v>
      </c>
      <c r="D3650" s="19" t="n">
        <v>1</v>
      </c>
      <c r="E3650" s="20" t="n">
        <f aca="false">Parametres!$B$5*C3650</f>
        <v>0</v>
      </c>
      <c r="F3650" s="20" t="n">
        <f aca="false">Parametres!$B$6*D3650</f>
        <v>200</v>
      </c>
      <c r="G3650" s="20" t="n">
        <f aca="false">E3650+F3650</f>
        <v>200</v>
      </c>
      <c r="H3650" s="20" t="n">
        <f aca="false">IF(G3650&lt;Parametres!$B$8*Parametres!$B$7,0,MIN(G3650,Parametres!$B$7))</f>
        <v>200</v>
      </c>
      <c r="I3650" s="20" t="n">
        <f aca="false">G3650-H3650</f>
        <v>0</v>
      </c>
      <c r="J3650" s="21" t="n">
        <f aca="false">H3650*1000/Parametres!$B$9</f>
        <v>3391.55502798033</v>
      </c>
    </row>
    <row r="3651" customFormat="false" ht="15" hidden="false" customHeight="false" outlineLevel="0" collapsed="false">
      <c r="A3651" s="0" t="n">
        <v>3647</v>
      </c>
      <c r="B3651" s="0" t="n">
        <v>6</v>
      </c>
      <c r="C3651" s="19" t="n">
        <v>0</v>
      </c>
      <c r="D3651" s="19" t="n">
        <v>1</v>
      </c>
      <c r="E3651" s="20" t="n">
        <f aca="false">Parametres!$B$5*C3651</f>
        <v>0</v>
      </c>
      <c r="F3651" s="20" t="n">
        <f aca="false">Parametres!$B$6*D3651</f>
        <v>200</v>
      </c>
      <c r="G3651" s="20" t="n">
        <f aca="false">E3651+F3651</f>
        <v>200</v>
      </c>
      <c r="H3651" s="20" t="n">
        <f aca="false">IF(G3651&lt;Parametres!$B$8*Parametres!$B$7,0,MIN(G3651,Parametres!$B$7))</f>
        <v>200</v>
      </c>
      <c r="I3651" s="20" t="n">
        <f aca="false">G3651-H3651</f>
        <v>0</v>
      </c>
      <c r="J3651" s="21" t="n">
        <f aca="false">H3651*1000/Parametres!$B$9</f>
        <v>3391.55502798033</v>
      </c>
    </row>
    <row r="3652" customFormat="false" ht="15" hidden="false" customHeight="false" outlineLevel="0" collapsed="false">
      <c r="A3652" s="0" t="n">
        <v>3648</v>
      </c>
      <c r="B3652" s="0" t="n">
        <v>6</v>
      </c>
      <c r="C3652" s="19" t="n">
        <v>0</v>
      </c>
      <c r="D3652" s="19" t="n">
        <v>1</v>
      </c>
      <c r="E3652" s="20" t="n">
        <f aca="false">Parametres!$B$5*C3652</f>
        <v>0</v>
      </c>
      <c r="F3652" s="20" t="n">
        <f aca="false">Parametres!$B$6*D3652</f>
        <v>200</v>
      </c>
      <c r="G3652" s="20" t="n">
        <f aca="false">E3652+F3652</f>
        <v>200</v>
      </c>
      <c r="H3652" s="20" t="n">
        <f aca="false">IF(G3652&lt;Parametres!$B$8*Parametres!$B$7,0,MIN(G3652,Parametres!$B$7))</f>
        <v>200</v>
      </c>
      <c r="I3652" s="20" t="n">
        <f aca="false">G3652-H3652</f>
        <v>0</v>
      </c>
      <c r="J3652" s="21" t="n">
        <f aca="false">H3652*1000/Parametres!$B$9</f>
        <v>3391.55502798033</v>
      </c>
    </row>
    <row r="3653" customFormat="false" ht="15" hidden="false" customHeight="false" outlineLevel="0" collapsed="false">
      <c r="A3653" s="0" t="n">
        <v>3649</v>
      </c>
      <c r="B3653" s="0" t="n">
        <v>6</v>
      </c>
      <c r="C3653" s="19" t="n">
        <v>0</v>
      </c>
      <c r="D3653" s="19" t="n">
        <v>1</v>
      </c>
      <c r="E3653" s="20" t="n">
        <f aca="false">Parametres!$B$5*C3653</f>
        <v>0</v>
      </c>
      <c r="F3653" s="20" t="n">
        <f aca="false">Parametres!$B$6*D3653</f>
        <v>200</v>
      </c>
      <c r="G3653" s="20" t="n">
        <f aca="false">E3653+F3653</f>
        <v>200</v>
      </c>
      <c r="H3653" s="20" t="n">
        <f aca="false">IF(G3653&lt;Parametres!$B$8*Parametres!$B$7,0,MIN(G3653,Parametres!$B$7))</f>
        <v>200</v>
      </c>
      <c r="I3653" s="20" t="n">
        <f aca="false">G3653-H3653</f>
        <v>0</v>
      </c>
      <c r="J3653" s="21" t="n">
        <f aca="false">H3653*1000/Parametres!$B$9</f>
        <v>3391.55502798033</v>
      </c>
    </row>
    <row r="3654" customFormat="false" ht="15" hidden="false" customHeight="false" outlineLevel="0" collapsed="false">
      <c r="A3654" s="0" t="n">
        <v>3650</v>
      </c>
      <c r="B3654" s="0" t="n">
        <v>6</v>
      </c>
      <c r="C3654" s="19" t="n">
        <v>0</v>
      </c>
      <c r="D3654" s="19" t="n">
        <v>0.6993</v>
      </c>
      <c r="E3654" s="20" t="n">
        <f aca="false">Parametres!$B$5*C3654</f>
        <v>0</v>
      </c>
      <c r="F3654" s="20" t="n">
        <f aca="false">Parametres!$B$6*D3654</f>
        <v>139.86</v>
      </c>
      <c r="G3654" s="20" t="n">
        <f aca="false">E3654+F3654</f>
        <v>139.86</v>
      </c>
      <c r="H3654" s="20" t="n">
        <f aca="false">IF(G3654&lt;Parametres!$B$8*Parametres!$B$7,0,MIN(G3654,Parametres!$B$7))</f>
        <v>139.86</v>
      </c>
      <c r="I3654" s="20" t="n">
        <f aca="false">G3654-H3654</f>
        <v>0</v>
      </c>
      <c r="J3654" s="21" t="n">
        <f aca="false">H3654*1000/Parametres!$B$9</f>
        <v>2371.71443106664</v>
      </c>
    </row>
    <row r="3655" customFormat="false" ht="15" hidden="false" customHeight="false" outlineLevel="0" collapsed="false">
      <c r="A3655" s="0" t="n">
        <v>3651</v>
      </c>
      <c r="B3655" s="0" t="n">
        <v>6</v>
      </c>
      <c r="C3655" s="19" t="n">
        <v>0</v>
      </c>
      <c r="D3655" s="19" t="n">
        <v>0.5143</v>
      </c>
      <c r="E3655" s="20" t="n">
        <f aca="false">Parametres!$B$5*C3655</f>
        <v>0</v>
      </c>
      <c r="F3655" s="20" t="n">
        <f aca="false">Parametres!$B$6*D3655</f>
        <v>102.86</v>
      </c>
      <c r="G3655" s="20" t="n">
        <f aca="false">E3655+F3655</f>
        <v>102.86</v>
      </c>
      <c r="H3655" s="20" t="n">
        <f aca="false">IF(G3655&lt;Parametres!$B$8*Parametres!$B$7,0,MIN(G3655,Parametres!$B$7))</f>
        <v>102.86</v>
      </c>
      <c r="I3655" s="20" t="n">
        <f aca="false">G3655-H3655</f>
        <v>0</v>
      </c>
      <c r="J3655" s="21" t="n">
        <f aca="false">H3655*1000/Parametres!$B$9</f>
        <v>1744.27675089028</v>
      </c>
    </row>
    <row r="3656" customFormat="false" ht="15" hidden="false" customHeight="false" outlineLevel="0" collapsed="false">
      <c r="A3656" s="0" t="n">
        <v>3652</v>
      </c>
      <c r="B3656" s="0" t="n">
        <v>6</v>
      </c>
      <c r="C3656" s="19" t="n">
        <v>0</v>
      </c>
      <c r="D3656" s="19" t="n">
        <v>0.4027</v>
      </c>
      <c r="E3656" s="20" t="n">
        <f aca="false">Parametres!$B$5*C3656</f>
        <v>0</v>
      </c>
      <c r="F3656" s="20" t="n">
        <f aca="false">Parametres!$B$6*D3656</f>
        <v>80.54</v>
      </c>
      <c r="G3656" s="20" t="n">
        <f aca="false">E3656+F3656</f>
        <v>80.54</v>
      </c>
      <c r="H3656" s="20" t="n">
        <f aca="false">IF(G3656&lt;Parametres!$B$8*Parametres!$B$7,0,MIN(G3656,Parametres!$B$7))</f>
        <v>80.54</v>
      </c>
      <c r="I3656" s="20" t="n">
        <f aca="false">G3656-H3656</f>
        <v>0</v>
      </c>
      <c r="J3656" s="21" t="n">
        <f aca="false">H3656*1000/Parametres!$B$9</f>
        <v>1365.77920976768</v>
      </c>
    </row>
    <row r="3657" customFormat="false" ht="15" hidden="false" customHeight="false" outlineLevel="0" collapsed="false">
      <c r="A3657" s="0" t="n">
        <v>3653</v>
      </c>
      <c r="B3657" s="0" t="n">
        <v>6</v>
      </c>
      <c r="C3657" s="19" t="n">
        <v>0</v>
      </c>
      <c r="D3657" s="19" t="n">
        <v>0.4103</v>
      </c>
      <c r="E3657" s="20" t="n">
        <f aca="false">Parametres!$B$5*C3657</f>
        <v>0</v>
      </c>
      <c r="F3657" s="20" t="n">
        <f aca="false">Parametres!$B$6*D3657</f>
        <v>82.06</v>
      </c>
      <c r="G3657" s="20" t="n">
        <f aca="false">E3657+F3657</f>
        <v>82.06</v>
      </c>
      <c r="H3657" s="20" t="n">
        <f aca="false">IF(G3657&lt;Parametres!$B$8*Parametres!$B$7,0,MIN(G3657,Parametres!$B$7))</f>
        <v>82.06</v>
      </c>
      <c r="I3657" s="20" t="n">
        <f aca="false">G3657-H3657</f>
        <v>0</v>
      </c>
      <c r="J3657" s="21" t="n">
        <f aca="false">H3657*1000/Parametres!$B$9</f>
        <v>1391.55502798033</v>
      </c>
    </row>
    <row r="3658" customFormat="false" ht="15" hidden="false" customHeight="false" outlineLevel="0" collapsed="false">
      <c r="A3658" s="0" t="n">
        <v>3654</v>
      </c>
      <c r="B3658" s="0" t="n">
        <v>6</v>
      </c>
      <c r="C3658" s="19" t="n">
        <v>0.0529</v>
      </c>
      <c r="D3658" s="19" t="n">
        <v>0.4546</v>
      </c>
      <c r="E3658" s="20" t="n">
        <f aca="false">Parametres!$B$5*C3658</f>
        <v>15.87</v>
      </c>
      <c r="F3658" s="20" t="n">
        <f aca="false">Parametres!$B$6*D3658</f>
        <v>90.92</v>
      </c>
      <c r="G3658" s="20" t="n">
        <f aca="false">E3658+F3658</f>
        <v>106.79</v>
      </c>
      <c r="H3658" s="20" t="n">
        <f aca="false">IF(G3658&lt;Parametres!$B$8*Parametres!$B$7,0,MIN(G3658,Parametres!$B$7))</f>
        <v>106.79</v>
      </c>
      <c r="I3658" s="20" t="n">
        <f aca="false">G3658-H3658</f>
        <v>0</v>
      </c>
      <c r="J3658" s="21" t="n">
        <f aca="false">H3658*1000/Parametres!$B$9</f>
        <v>1810.9208071901</v>
      </c>
    </row>
    <row r="3659" customFormat="false" ht="15" hidden="false" customHeight="false" outlineLevel="0" collapsed="false">
      <c r="A3659" s="0" t="n">
        <v>3655</v>
      </c>
      <c r="B3659" s="0" t="n">
        <v>6</v>
      </c>
      <c r="C3659" s="19" t="n">
        <v>0.2522</v>
      </c>
      <c r="D3659" s="19" t="n">
        <v>0.2872</v>
      </c>
      <c r="E3659" s="20" t="n">
        <f aca="false">Parametres!$B$5*C3659</f>
        <v>75.66</v>
      </c>
      <c r="F3659" s="20" t="n">
        <f aca="false">Parametres!$B$6*D3659</f>
        <v>57.44</v>
      </c>
      <c r="G3659" s="20" t="n">
        <f aca="false">E3659+F3659</f>
        <v>133.1</v>
      </c>
      <c r="H3659" s="20" t="n">
        <f aca="false">IF(G3659&lt;Parametres!$B$8*Parametres!$B$7,0,MIN(G3659,Parametres!$B$7))</f>
        <v>133.1</v>
      </c>
      <c r="I3659" s="20" t="n">
        <f aca="false">G3659-H3659</f>
        <v>0</v>
      </c>
      <c r="J3659" s="21" t="n">
        <f aca="false">H3659*1000/Parametres!$B$9</f>
        <v>2257.07987112091</v>
      </c>
    </row>
    <row r="3660" customFormat="false" ht="15" hidden="false" customHeight="false" outlineLevel="0" collapsed="false">
      <c r="A3660" s="0" t="n">
        <v>3656</v>
      </c>
      <c r="B3660" s="0" t="n">
        <v>6</v>
      </c>
      <c r="C3660" s="19" t="n">
        <v>0.4695</v>
      </c>
      <c r="D3660" s="19" t="n">
        <v>0.3545</v>
      </c>
      <c r="E3660" s="20" t="n">
        <f aca="false">Parametres!$B$5*C3660</f>
        <v>140.85</v>
      </c>
      <c r="F3660" s="20" t="n">
        <f aca="false">Parametres!$B$6*D3660</f>
        <v>70.9</v>
      </c>
      <c r="G3660" s="20" t="n">
        <f aca="false">E3660+F3660</f>
        <v>211.75</v>
      </c>
      <c r="H3660" s="20" t="n">
        <f aca="false">IF(G3660&lt;Parametres!$B$8*Parametres!$B$7,0,MIN(G3660,Parametres!$B$7))</f>
        <v>211.75</v>
      </c>
      <c r="I3660" s="20" t="n">
        <f aca="false">G3660-H3660</f>
        <v>0</v>
      </c>
      <c r="J3660" s="21" t="n">
        <f aca="false">H3660*1000/Parametres!$B$9</f>
        <v>3590.80888587417</v>
      </c>
    </row>
    <row r="3661" customFormat="false" ht="15" hidden="false" customHeight="false" outlineLevel="0" collapsed="false">
      <c r="A3661" s="0" t="n">
        <v>3657</v>
      </c>
      <c r="B3661" s="0" t="n">
        <v>6</v>
      </c>
      <c r="C3661" s="19" t="n">
        <v>0.7026</v>
      </c>
      <c r="D3661" s="19" t="n">
        <v>0.426</v>
      </c>
      <c r="E3661" s="20" t="n">
        <f aca="false">Parametres!$B$5*C3661</f>
        <v>210.78</v>
      </c>
      <c r="F3661" s="20" t="n">
        <f aca="false">Parametres!$B$6*D3661</f>
        <v>85.2</v>
      </c>
      <c r="G3661" s="20" t="n">
        <f aca="false">E3661+F3661</f>
        <v>295.98</v>
      </c>
      <c r="H3661" s="20" t="n">
        <f aca="false">IF(G3661&lt;Parametres!$B$8*Parametres!$B$7,0,MIN(G3661,Parametres!$B$7))</f>
        <v>250</v>
      </c>
      <c r="I3661" s="20" t="n">
        <f aca="false">G3661-H3661</f>
        <v>45.98</v>
      </c>
      <c r="J3661" s="21" t="n">
        <f aca="false">H3661*1000/Parametres!$B$9</f>
        <v>4239.44378497541</v>
      </c>
    </row>
    <row r="3662" customFormat="false" ht="15" hidden="false" customHeight="false" outlineLevel="0" collapsed="false">
      <c r="A3662" s="0" t="n">
        <v>3658</v>
      </c>
      <c r="B3662" s="0" t="n">
        <v>6</v>
      </c>
      <c r="C3662" s="19" t="n">
        <v>0.8384</v>
      </c>
      <c r="D3662" s="19" t="n">
        <v>0.5318</v>
      </c>
      <c r="E3662" s="20" t="n">
        <f aca="false">Parametres!$B$5*C3662</f>
        <v>251.52</v>
      </c>
      <c r="F3662" s="20" t="n">
        <f aca="false">Parametres!$B$6*D3662</f>
        <v>106.36</v>
      </c>
      <c r="G3662" s="20" t="n">
        <f aca="false">E3662+F3662</f>
        <v>357.88</v>
      </c>
      <c r="H3662" s="20" t="n">
        <f aca="false">IF(G3662&lt;Parametres!$B$8*Parametres!$B$7,0,MIN(G3662,Parametres!$B$7))</f>
        <v>250</v>
      </c>
      <c r="I3662" s="20" t="n">
        <f aca="false">G3662-H3662</f>
        <v>107.88</v>
      </c>
      <c r="J3662" s="21" t="n">
        <f aca="false">H3662*1000/Parametres!$B$9</f>
        <v>4239.44378497541</v>
      </c>
    </row>
    <row r="3663" customFormat="false" ht="15" hidden="false" customHeight="false" outlineLevel="0" collapsed="false">
      <c r="A3663" s="0" t="n">
        <v>3659</v>
      </c>
      <c r="B3663" s="0" t="n">
        <v>6</v>
      </c>
      <c r="C3663" s="19" t="n">
        <v>1</v>
      </c>
      <c r="D3663" s="19" t="n">
        <v>0.4426</v>
      </c>
      <c r="E3663" s="20" t="n">
        <f aca="false">Parametres!$B$5*C3663</f>
        <v>300</v>
      </c>
      <c r="F3663" s="20" t="n">
        <f aca="false">Parametres!$B$6*D3663</f>
        <v>88.52</v>
      </c>
      <c r="G3663" s="20" t="n">
        <f aca="false">E3663+F3663</f>
        <v>388.52</v>
      </c>
      <c r="H3663" s="20" t="n">
        <f aca="false">IF(G3663&lt;Parametres!$B$8*Parametres!$B$7,0,MIN(G3663,Parametres!$B$7))</f>
        <v>250</v>
      </c>
      <c r="I3663" s="20" t="n">
        <f aca="false">G3663-H3663</f>
        <v>138.52</v>
      </c>
      <c r="J3663" s="21" t="n">
        <f aca="false">H3663*1000/Parametres!$B$9</f>
        <v>4239.44378497541</v>
      </c>
    </row>
    <row r="3664" customFormat="false" ht="15" hidden="false" customHeight="false" outlineLevel="0" collapsed="false">
      <c r="A3664" s="0" t="n">
        <v>3660</v>
      </c>
      <c r="B3664" s="0" t="n">
        <v>6</v>
      </c>
      <c r="C3664" s="19" t="n">
        <v>1</v>
      </c>
      <c r="D3664" s="19" t="n">
        <v>0.4886</v>
      </c>
      <c r="E3664" s="20" t="n">
        <f aca="false">Parametres!$B$5*C3664</f>
        <v>300</v>
      </c>
      <c r="F3664" s="20" t="n">
        <f aca="false">Parametres!$B$6*D3664</f>
        <v>97.72</v>
      </c>
      <c r="G3664" s="20" t="n">
        <f aca="false">E3664+F3664</f>
        <v>397.72</v>
      </c>
      <c r="H3664" s="20" t="n">
        <f aca="false">IF(G3664&lt;Parametres!$B$8*Parametres!$B$7,0,MIN(G3664,Parametres!$B$7))</f>
        <v>250</v>
      </c>
      <c r="I3664" s="20" t="n">
        <f aca="false">G3664-H3664</f>
        <v>147.72</v>
      </c>
      <c r="J3664" s="21" t="n">
        <f aca="false">H3664*1000/Parametres!$B$9</f>
        <v>4239.44378497541</v>
      </c>
    </row>
    <row r="3665" customFormat="false" ht="15" hidden="false" customHeight="false" outlineLevel="0" collapsed="false">
      <c r="A3665" s="0" t="n">
        <v>3661</v>
      </c>
      <c r="B3665" s="0" t="n">
        <v>6</v>
      </c>
      <c r="C3665" s="19" t="n">
        <v>1</v>
      </c>
      <c r="D3665" s="19" t="n">
        <v>0.844</v>
      </c>
      <c r="E3665" s="20" t="n">
        <f aca="false">Parametres!$B$5*C3665</f>
        <v>300</v>
      </c>
      <c r="F3665" s="20" t="n">
        <f aca="false">Parametres!$B$6*D3665</f>
        <v>168.8</v>
      </c>
      <c r="G3665" s="20" t="n">
        <f aca="false">E3665+F3665</f>
        <v>468.8</v>
      </c>
      <c r="H3665" s="20" t="n">
        <f aca="false">IF(G3665&lt;Parametres!$B$8*Parametres!$B$7,0,MIN(G3665,Parametres!$B$7))</f>
        <v>250</v>
      </c>
      <c r="I3665" s="20" t="n">
        <f aca="false">G3665-H3665</f>
        <v>218.8</v>
      </c>
      <c r="J3665" s="21" t="n">
        <f aca="false">H3665*1000/Parametres!$B$9</f>
        <v>4239.44378497541</v>
      </c>
    </row>
    <row r="3666" customFormat="false" ht="15" hidden="false" customHeight="false" outlineLevel="0" collapsed="false">
      <c r="A3666" s="0" t="n">
        <v>3662</v>
      </c>
      <c r="B3666" s="0" t="n">
        <v>6</v>
      </c>
      <c r="C3666" s="19" t="n">
        <v>1</v>
      </c>
      <c r="D3666" s="19" t="n">
        <v>1</v>
      </c>
      <c r="E3666" s="20" t="n">
        <f aca="false">Parametres!$B$5*C3666</f>
        <v>300</v>
      </c>
      <c r="F3666" s="20" t="n">
        <f aca="false">Parametres!$B$6*D3666</f>
        <v>200</v>
      </c>
      <c r="G3666" s="20" t="n">
        <f aca="false">E3666+F3666</f>
        <v>500</v>
      </c>
      <c r="H3666" s="20" t="n">
        <f aca="false">IF(G3666&lt;Parametres!$B$8*Parametres!$B$7,0,MIN(G3666,Parametres!$B$7))</f>
        <v>250</v>
      </c>
      <c r="I3666" s="20" t="n">
        <f aca="false">G3666-H3666</f>
        <v>250</v>
      </c>
      <c r="J3666" s="21" t="n">
        <f aca="false">H3666*1000/Parametres!$B$9</f>
        <v>4239.44378497541</v>
      </c>
    </row>
    <row r="3667" customFormat="false" ht="15" hidden="false" customHeight="false" outlineLevel="0" collapsed="false">
      <c r="A3667" s="0" t="n">
        <v>3663</v>
      </c>
      <c r="B3667" s="0" t="n">
        <v>6</v>
      </c>
      <c r="C3667" s="19" t="n">
        <v>0.8459</v>
      </c>
      <c r="D3667" s="19" t="n">
        <v>1</v>
      </c>
      <c r="E3667" s="20" t="n">
        <f aca="false">Parametres!$B$5*C3667</f>
        <v>253.77</v>
      </c>
      <c r="F3667" s="20" t="n">
        <f aca="false">Parametres!$B$6*D3667</f>
        <v>200</v>
      </c>
      <c r="G3667" s="20" t="n">
        <f aca="false">E3667+F3667</f>
        <v>453.77</v>
      </c>
      <c r="H3667" s="20" t="n">
        <f aca="false">IF(G3667&lt;Parametres!$B$8*Parametres!$B$7,0,MIN(G3667,Parametres!$B$7))</f>
        <v>250</v>
      </c>
      <c r="I3667" s="20" t="n">
        <f aca="false">G3667-H3667</f>
        <v>203.77</v>
      </c>
      <c r="J3667" s="21" t="n">
        <f aca="false">H3667*1000/Parametres!$B$9</f>
        <v>4239.44378497541</v>
      </c>
    </row>
    <row r="3668" customFormat="false" ht="15" hidden="false" customHeight="false" outlineLevel="0" collapsed="false">
      <c r="A3668" s="0" t="n">
        <v>3664</v>
      </c>
      <c r="B3668" s="0" t="n">
        <v>6</v>
      </c>
      <c r="C3668" s="19" t="n">
        <v>0.7244</v>
      </c>
      <c r="D3668" s="19" t="n">
        <v>1</v>
      </c>
      <c r="E3668" s="20" t="n">
        <f aca="false">Parametres!$B$5*C3668</f>
        <v>217.32</v>
      </c>
      <c r="F3668" s="20" t="n">
        <f aca="false">Parametres!$B$6*D3668</f>
        <v>200</v>
      </c>
      <c r="G3668" s="20" t="n">
        <f aca="false">E3668+F3668</f>
        <v>417.32</v>
      </c>
      <c r="H3668" s="20" t="n">
        <f aca="false">IF(G3668&lt;Parametres!$B$8*Parametres!$B$7,0,MIN(G3668,Parametres!$B$7))</f>
        <v>250</v>
      </c>
      <c r="I3668" s="20" t="n">
        <f aca="false">G3668-H3668</f>
        <v>167.32</v>
      </c>
      <c r="J3668" s="21" t="n">
        <f aca="false">H3668*1000/Parametres!$B$9</f>
        <v>4239.44378497541</v>
      </c>
    </row>
    <row r="3669" customFormat="false" ht="15" hidden="false" customHeight="false" outlineLevel="0" collapsed="false">
      <c r="A3669" s="0" t="n">
        <v>3665</v>
      </c>
      <c r="B3669" s="0" t="n">
        <v>6</v>
      </c>
      <c r="C3669" s="19" t="n">
        <v>0.4941</v>
      </c>
      <c r="D3669" s="19" t="n">
        <v>1</v>
      </c>
      <c r="E3669" s="20" t="n">
        <f aca="false">Parametres!$B$5*C3669</f>
        <v>148.23</v>
      </c>
      <c r="F3669" s="20" t="n">
        <f aca="false">Parametres!$B$6*D3669</f>
        <v>200</v>
      </c>
      <c r="G3669" s="20" t="n">
        <f aca="false">E3669+F3669</f>
        <v>348.23</v>
      </c>
      <c r="H3669" s="20" t="n">
        <f aca="false">IF(G3669&lt;Parametres!$B$8*Parametres!$B$7,0,MIN(G3669,Parametres!$B$7))</f>
        <v>250</v>
      </c>
      <c r="I3669" s="20" t="n">
        <f aca="false">G3669-H3669</f>
        <v>98.23</v>
      </c>
      <c r="J3669" s="21" t="n">
        <f aca="false">H3669*1000/Parametres!$B$9</f>
        <v>4239.44378497541</v>
      </c>
    </row>
    <row r="3670" customFormat="false" ht="15" hidden="false" customHeight="false" outlineLevel="0" collapsed="false">
      <c r="A3670" s="0" t="n">
        <v>3666</v>
      </c>
      <c r="B3670" s="0" t="n">
        <v>6</v>
      </c>
      <c r="C3670" s="19" t="n">
        <v>0.2365</v>
      </c>
      <c r="D3670" s="19" t="n">
        <v>1</v>
      </c>
      <c r="E3670" s="20" t="n">
        <f aca="false">Parametres!$B$5*C3670</f>
        <v>70.95</v>
      </c>
      <c r="F3670" s="20" t="n">
        <f aca="false">Parametres!$B$6*D3670</f>
        <v>200</v>
      </c>
      <c r="G3670" s="20" t="n">
        <f aca="false">E3670+F3670</f>
        <v>270.95</v>
      </c>
      <c r="H3670" s="20" t="n">
        <f aca="false">IF(G3670&lt;Parametres!$B$8*Parametres!$B$7,0,MIN(G3670,Parametres!$B$7))</f>
        <v>250</v>
      </c>
      <c r="I3670" s="20" t="n">
        <f aca="false">G3670-H3670</f>
        <v>20.95</v>
      </c>
      <c r="J3670" s="21" t="n">
        <f aca="false">H3670*1000/Parametres!$B$9</f>
        <v>4239.44378497541</v>
      </c>
    </row>
    <row r="3671" customFormat="false" ht="15" hidden="false" customHeight="false" outlineLevel="0" collapsed="false">
      <c r="A3671" s="0" t="n">
        <v>3667</v>
      </c>
      <c r="B3671" s="0" t="n">
        <v>6</v>
      </c>
      <c r="C3671" s="19" t="n">
        <v>0.0519</v>
      </c>
      <c r="D3671" s="19" t="n">
        <v>1</v>
      </c>
      <c r="E3671" s="20" t="n">
        <f aca="false">Parametres!$B$5*C3671</f>
        <v>15.57</v>
      </c>
      <c r="F3671" s="20" t="n">
        <f aca="false">Parametres!$B$6*D3671</f>
        <v>200</v>
      </c>
      <c r="G3671" s="20" t="n">
        <f aca="false">E3671+F3671</f>
        <v>215.57</v>
      </c>
      <c r="H3671" s="20" t="n">
        <f aca="false">IF(G3671&lt;Parametres!$B$8*Parametres!$B$7,0,MIN(G3671,Parametres!$B$7))</f>
        <v>215.57</v>
      </c>
      <c r="I3671" s="20" t="n">
        <f aca="false">G3671-H3671</f>
        <v>0</v>
      </c>
      <c r="J3671" s="21" t="n">
        <f aca="false">H3671*1000/Parametres!$B$9</f>
        <v>3655.5875869086</v>
      </c>
    </row>
    <row r="3672" customFormat="false" ht="15" hidden="false" customHeight="false" outlineLevel="0" collapsed="false">
      <c r="A3672" s="0" t="n">
        <v>3668</v>
      </c>
      <c r="B3672" s="0" t="n">
        <v>6</v>
      </c>
      <c r="C3672" s="19" t="n">
        <v>0</v>
      </c>
      <c r="D3672" s="19" t="n">
        <v>1</v>
      </c>
      <c r="E3672" s="20" t="n">
        <f aca="false">Parametres!$B$5*C3672</f>
        <v>0</v>
      </c>
      <c r="F3672" s="20" t="n">
        <f aca="false">Parametres!$B$6*D3672</f>
        <v>200</v>
      </c>
      <c r="G3672" s="20" t="n">
        <f aca="false">E3672+F3672</f>
        <v>200</v>
      </c>
      <c r="H3672" s="20" t="n">
        <f aca="false">IF(G3672&lt;Parametres!$B$8*Parametres!$B$7,0,MIN(G3672,Parametres!$B$7))</f>
        <v>200</v>
      </c>
      <c r="I3672" s="20" t="n">
        <f aca="false">G3672-H3672</f>
        <v>0</v>
      </c>
      <c r="J3672" s="21" t="n">
        <f aca="false">H3672*1000/Parametres!$B$9</f>
        <v>3391.55502798033</v>
      </c>
    </row>
    <row r="3673" customFormat="false" ht="15" hidden="false" customHeight="false" outlineLevel="0" collapsed="false">
      <c r="A3673" s="0" t="n">
        <v>3669</v>
      </c>
      <c r="B3673" s="0" t="n">
        <v>6</v>
      </c>
      <c r="C3673" s="19" t="n">
        <v>0</v>
      </c>
      <c r="D3673" s="19" t="n">
        <v>1</v>
      </c>
      <c r="E3673" s="20" t="n">
        <f aca="false">Parametres!$B$5*C3673</f>
        <v>0</v>
      </c>
      <c r="F3673" s="20" t="n">
        <f aca="false">Parametres!$B$6*D3673</f>
        <v>200</v>
      </c>
      <c r="G3673" s="20" t="n">
        <f aca="false">E3673+F3673</f>
        <v>200</v>
      </c>
      <c r="H3673" s="20" t="n">
        <f aca="false">IF(G3673&lt;Parametres!$B$8*Parametres!$B$7,0,MIN(G3673,Parametres!$B$7))</f>
        <v>200</v>
      </c>
      <c r="I3673" s="20" t="n">
        <f aca="false">G3673-H3673</f>
        <v>0</v>
      </c>
      <c r="J3673" s="21" t="n">
        <f aca="false">H3673*1000/Parametres!$B$9</f>
        <v>3391.55502798033</v>
      </c>
    </row>
    <row r="3674" customFormat="false" ht="15" hidden="false" customHeight="false" outlineLevel="0" collapsed="false">
      <c r="A3674" s="0" t="n">
        <v>3670</v>
      </c>
      <c r="B3674" s="0" t="n">
        <v>6</v>
      </c>
      <c r="C3674" s="19" t="n">
        <v>0</v>
      </c>
      <c r="D3674" s="19" t="n">
        <v>1</v>
      </c>
      <c r="E3674" s="20" t="n">
        <f aca="false">Parametres!$B$5*C3674</f>
        <v>0</v>
      </c>
      <c r="F3674" s="20" t="n">
        <f aca="false">Parametres!$B$6*D3674</f>
        <v>200</v>
      </c>
      <c r="G3674" s="20" t="n">
        <f aca="false">E3674+F3674</f>
        <v>200</v>
      </c>
      <c r="H3674" s="20" t="n">
        <f aca="false">IF(G3674&lt;Parametres!$B$8*Parametres!$B$7,0,MIN(G3674,Parametres!$B$7))</f>
        <v>200</v>
      </c>
      <c r="I3674" s="20" t="n">
        <f aca="false">G3674-H3674</f>
        <v>0</v>
      </c>
      <c r="J3674" s="21" t="n">
        <f aca="false">H3674*1000/Parametres!$B$9</f>
        <v>3391.55502798033</v>
      </c>
    </row>
    <row r="3675" customFormat="false" ht="15" hidden="false" customHeight="false" outlineLevel="0" collapsed="false">
      <c r="A3675" s="0" t="n">
        <v>3671</v>
      </c>
      <c r="B3675" s="0" t="n">
        <v>6</v>
      </c>
      <c r="C3675" s="19" t="n">
        <v>0</v>
      </c>
      <c r="D3675" s="19" t="n">
        <v>1</v>
      </c>
      <c r="E3675" s="20" t="n">
        <f aca="false">Parametres!$B$5*C3675</f>
        <v>0</v>
      </c>
      <c r="F3675" s="20" t="n">
        <f aca="false">Parametres!$B$6*D3675</f>
        <v>200</v>
      </c>
      <c r="G3675" s="20" t="n">
        <f aca="false">E3675+F3675</f>
        <v>200</v>
      </c>
      <c r="H3675" s="20" t="n">
        <f aca="false">IF(G3675&lt;Parametres!$B$8*Parametres!$B$7,0,MIN(G3675,Parametres!$B$7))</f>
        <v>200</v>
      </c>
      <c r="I3675" s="20" t="n">
        <f aca="false">G3675-H3675</f>
        <v>0</v>
      </c>
      <c r="J3675" s="21" t="n">
        <f aca="false">H3675*1000/Parametres!$B$9</f>
        <v>3391.55502798033</v>
      </c>
    </row>
    <row r="3676" customFormat="false" ht="15" hidden="false" customHeight="false" outlineLevel="0" collapsed="false">
      <c r="A3676" s="0" t="n">
        <v>3672</v>
      </c>
      <c r="B3676" s="0" t="n">
        <v>6</v>
      </c>
      <c r="C3676" s="19" t="n">
        <v>0</v>
      </c>
      <c r="D3676" s="19" t="n">
        <v>1</v>
      </c>
      <c r="E3676" s="20" t="n">
        <f aca="false">Parametres!$B$5*C3676</f>
        <v>0</v>
      </c>
      <c r="F3676" s="20" t="n">
        <f aca="false">Parametres!$B$6*D3676</f>
        <v>200</v>
      </c>
      <c r="G3676" s="20" t="n">
        <f aca="false">E3676+F3676</f>
        <v>200</v>
      </c>
      <c r="H3676" s="20" t="n">
        <f aca="false">IF(G3676&lt;Parametres!$B$8*Parametres!$B$7,0,MIN(G3676,Parametres!$B$7))</f>
        <v>200</v>
      </c>
      <c r="I3676" s="20" t="n">
        <f aca="false">G3676-H3676</f>
        <v>0</v>
      </c>
      <c r="J3676" s="21" t="n">
        <f aca="false">H3676*1000/Parametres!$B$9</f>
        <v>3391.55502798033</v>
      </c>
    </row>
    <row r="3677" customFormat="false" ht="15" hidden="false" customHeight="false" outlineLevel="0" collapsed="false">
      <c r="A3677" s="0" t="n">
        <v>3673</v>
      </c>
      <c r="B3677" s="0" t="n">
        <v>6</v>
      </c>
      <c r="C3677" s="19" t="n">
        <v>0</v>
      </c>
      <c r="D3677" s="19" t="n">
        <v>1</v>
      </c>
      <c r="E3677" s="20" t="n">
        <f aca="false">Parametres!$B$5*C3677</f>
        <v>0</v>
      </c>
      <c r="F3677" s="20" t="n">
        <f aca="false">Parametres!$B$6*D3677</f>
        <v>200</v>
      </c>
      <c r="G3677" s="20" t="n">
        <f aca="false">E3677+F3677</f>
        <v>200</v>
      </c>
      <c r="H3677" s="20" t="n">
        <f aca="false">IF(G3677&lt;Parametres!$B$8*Parametres!$B$7,0,MIN(G3677,Parametres!$B$7))</f>
        <v>200</v>
      </c>
      <c r="I3677" s="20" t="n">
        <f aca="false">G3677-H3677</f>
        <v>0</v>
      </c>
      <c r="J3677" s="21" t="n">
        <f aca="false">H3677*1000/Parametres!$B$9</f>
        <v>3391.55502798033</v>
      </c>
    </row>
    <row r="3678" customFormat="false" ht="15" hidden="false" customHeight="false" outlineLevel="0" collapsed="false">
      <c r="A3678" s="0" t="n">
        <v>3674</v>
      </c>
      <c r="B3678" s="0" t="n">
        <v>6</v>
      </c>
      <c r="C3678" s="19" t="n">
        <v>0</v>
      </c>
      <c r="D3678" s="19" t="n">
        <v>1</v>
      </c>
      <c r="E3678" s="20" t="n">
        <f aca="false">Parametres!$B$5*C3678</f>
        <v>0</v>
      </c>
      <c r="F3678" s="20" t="n">
        <f aca="false">Parametres!$B$6*D3678</f>
        <v>200</v>
      </c>
      <c r="G3678" s="20" t="n">
        <f aca="false">E3678+F3678</f>
        <v>200</v>
      </c>
      <c r="H3678" s="20" t="n">
        <f aca="false">IF(G3678&lt;Parametres!$B$8*Parametres!$B$7,0,MIN(G3678,Parametres!$B$7))</f>
        <v>200</v>
      </c>
      <c r="I3678" s="20" t="n">
        <f aca="false">G3678-H3678</f>
        <v>0</v>
      </c>
      <c r="J3678" s="21" t="n">
        <f aca="false">H3678*1000/Parametres!$B$9</f>
        <v>3391.55502798033</v>
      </c>
    </row>
    <row r="3679" customFormat="false" ht="15" hidden="false" customHeight="false" outlineLevel="0" collapsed="false">
      <c r="A3679" s="0" t="n">
        <v>3675</v>
      </c>
      <c r="B3679" s="0" t="n">
        <v>6</v>
      </c>
      <c r="C3679" s="19" t="n">
        <v>0</v>
      </c>
      <c r="D3679" s="19" t="n">
        <v>1</v>
      </c>
      <c r="E3679" s="20" t="n">
        <f aca="false">Parametres!$B$5*C3679</f>
        <v>0</v>
      </c>
      <c r="F3679" s="20" t="n">
        <f aca="false">Parametres!$B$6*D3679</f>
        <v>200</v>
      </c>
      <c r="G3679" s="20" t="n">
        <f aca="false">E3679+F3679</f>
        <v>200</v>
      </c>
      <c r="H3679" s="20" t="n">
        <f aca="false">IF(G3679&lt;Parametres!$B$8*Parametres!$B$7,0,MIN(G3679,Parametres!$B$7))</f>
        <v>200</v>
      </c>
      <c r="I3679" s="20" t="n">
        <f aca="false">G3679-H3679</f>
        <v>0</v>
      </c>
      <c r="J3679" s="21" t="n">
        <f aca="false">H3679*1000/Parametres!$B$9</f>
        <v>3391.55502798033</v>
      </c>
    </row>
    <row r="3680" customFormat="false" ht="15" hidden="false" customHeight="false" outlineLevel="0" collapsed="false">
      <c r="A3680" s="0" t="n">
        <v>3676</v>
      </c>
      <c r="B3680" s="0" t="n">
        <v>6</v>
      </c>
      <c r="C3680" s="19" t="n">
        <v>0</v>
      </c>
      <c r="D3680" s="19" t="n">
        <v>1</v>
      </c>
      <c r="E3680" s="20" t="n">
        <f aca="false">Parametres!$B$5*C3680</f>
        <v>0</v>
      </c>
      <c r="F3680" s="20" t="n">
        <f aca="false">Parametres!$B$6*D3680</f>
        <v>200</v>
      </c>
      <c r="G3680" s="20" t="n">
        <f aca="false">E3680+F3680</f>
        <v>200</v>
      </c>
      <c r="H3680" s="20" t="n">
        <f aca="false">IF(G3680&lt;Parametres!$B$8*Parametres!$B$7,0,MIN(G3680,Parametres!$B$7))</f>
        <v>200</v>
      </c>
      <c r="I3680" s="20" t="n">
        <f aca="false">G3680-H3680</f>
        <v>0</v>
      </c>
      <c r="J3680" s="21" t="n">
        <f aca="false">H3680*1000/Parametres!$B$9</f>
        <v>3391.55502798033</v>
      </c>
    </row>
    <row r="3681" customFormat="false" ht="15" hidden="false" customHeight="false" outlineLevel="0" collapsed="false">
      <c r="A3681" s="0" t="n">
        <v>3677</v>
      </c>
      <c r="B3681" s="0" t="n">
        <v>6</v>
      </c>
      <c r="C3681" s="19" t="n">
        <v>0</v>
      </c>
      <c r="D3681" s="19" t="n">
        <v>1</v>
      </c>
      <c r="E3681" s="20" t="n">
        <f aca="false">Parametres!$B$5*C3681</f>
        <v>0</v>
      </c>
      <c r="F3681" s="20" t="n">
        <f aca="false">Parametres!$B$6*D3681</f>
        <v>200</v>
      </c>
      <c r="G3681" s="20" t="n">
        <f aca="false">E3681+F3681</f>
        <v>200</v>
      </c>
      <c r="H3681" s="20" t="n">
        <f aca="false">IF(G3681&lt;Parametres!$B$8*Parametres!$B$7,0,MIN(G3681,Parametres!$B$7))</f>
        <v>200</v>
      </c>
      <c r="I3681" s="20" t="n">
        <f aca="false">G3681-H3681</f>
        <v>0</v>
      </c>
      <c r="J3681" s="21" t="n">
        <f aca="false">H3681*1000/Parametres!$B$9</f>
        <v>3391.55502798033</v>
      </c>
    </row>
    <row r="3682" customFormat="false" ht="15" hidden="false" customHeight="false" outlineLevel="0" collapsed="false">
      <c r="A3682" s="0" t="n">
        <v>3678</v>
      </c>
      <c r="B3682" s="0" t="n">
        <v>6</v>
      </c>
      <c r="C3682" s="19" t="n">
        <v>0.0498</v>
      </c>
      <c r="D3682" s="19" t="n">
        <v>1</v>
      </c>
      <c r="E3682" s="20" t="n">
        <f aca="false">Parametres!$B$5*C3682</f>
        <v>14.94</v>
      </c>
      <c r="F3682" s="20" t="n">
        <f aca="false">Parametres!$B$6*D3682</f>
        <v>200</v>
      </c>
      <c r="G3682" s="20" t="n">
        <f aca="false">E3682+F3682</f>
        <v>214.94</v>
      </c>
      <c r="H3682" s="20" t="n">
        <f aca="false">IF(G3682&lt;Parametres!$B$8*Parametres!$B$7,0,MIN(G3682,Parametres!$B$7))</f>
        <v>214.94</v>
      </c>
      <c r="I3682" s="20" t="n">
        <f aca="false">G3682-H3682</f>
        <v>0</v>
      </c>
      <c r="J3682" s="21" t="n">
        <f aca="false">H3682*1000/Parametres!$B$9</f>
        <v>3644.90418857046</v>
      </c>
    </row>
    <row r="3683" customFormat="false" ht="15" hidden="false" customHeight="false" outlineLevel="0" collapsed="false">
      <c r="A3683" s="0" t="n">
        <v>3679</v>
      </c>
      <c r="B3683" s="0" t="n">
        <v>6</v>
      </c>
      <c r="C3683" s="19" t="n">
        <v>0.2513</v>
      </c>
      <c r="D3683" s="19" t="n">
        <v>0.7993</v>
      </c>
      <c r="E3683" s="20" t="n">
        <f aca="false">Parametres!$B$5*C3683</f>
        <v>75.39</v>
      </c>
      <c r="F3683" s="20" t="n">
        <f aca="false">Parametres!$B$6*D3683</f>
        <v>159.86</v>
      </c>
      <c r="G3683" s="20" t="n">
        <f aca="false">E3683+F3683</f>
        <v>235.25</v>
      </c>
      <c r="H3683" s="20" t="n">
        <f aca="false">IF(G3683&lt;Parametres!$B$8*Parametres!$B$7,0,MIN(G3683,Parametres!$B$7))</f>
        <v>235.25</v>
      </c>
      <c r="I3683" s="20" t="n">
        <f aca="false">G3683-H3683</f>
        <v>0</v>
      </c>
      <c r="J3683" s="21" t="n">
        <f aca="false">H3683*1000/Parametres!$B$9</f>
        <v>3989.31660166186</v>
      </c>
    </row>
    <row r="3684" customFormat="false" ht="15" hidden="false" customHeight="false" outlineLevel="0" collapsed="false">
      <c r="A3684" s="0" t="n">
        <v>3680</v>
      </c>
      <c r="B3684" s="0" t="n">
        <v>6</v>
      </c>
      <c r="C3684" s="19" t="n">
        <v>0.4544</v>
      </c>
      <c r="D3684" s="19" t="n">
        <v>1</v>
      </c>
      <c r="E3684" s="20" t="n">
        <f aca="false">Parametres!$B$5*C3684</f>
        <v>136.32</v>
      </c>
      <c r="F3684" s="20" t="n">
        <f aca="false">Parametres!$B$6*D3684</f>
        <v>200</v>
      </c>
      <c r="G3684" s="20" t="n">
        <f aca="false">E3684+F3684</f>
        <v>336.32</v>
      </c>
      <c r="H3684" s="20" t="n">
        <f aca="false">IF(G3684&lt;Parametres!$B$8*Parametres!$B$7,0,MIN(G3684,Parametres!$B$7))</f>
        <v>250</v>
      </c>
      <c r="I3684" s="20" t="n">
        <f aca="false">G3684-H3684</f>
        <v>86.3200000000001</v>
      </c>
      <c r="J3684" s="21" t="n">
        <f aca="false">H3684*1000/Parametres!$B$9</f>
        <v>4239.44378497541</v>
      </c>
    </row>
    <row r="3685" customFormat="false" ht="15" hidden="false" customHeight="false" outlineLevel="0" collapsed="false">
      <c r="A3685" s="0" t="n">
        <v>3681</v>
      </c>
      <c r="B3685" s="0" t="n">
        <v>6</v>
      </c>
      <c r="C3685" s="19" t="n">
        <v>0.6951</v>
      </c>
      <c r="D3685" s="19" t="n">
        <v>1</v>
      </c>
      <c r="E3685" s="20" t="n">
        <f aca="false">Parametres!$B$5*C3685</f>
        <v>208.53</v>
      </c>
      <c r="F3685" s="20" t="n">
        <f aca="false">Parametres!$B$6*D3685</f>
        <v>200</v>
      </c>
      <c r="G3685" s="20" t="n">
        <f aca="false">E3685+F3685</f>
        <v>408.53</v>
      </c>
      <c r="H3685" s="20" t="n">
        <f aca="false">IF(G3685&lt;Parametres!$B$8*Parametres!$B$7,0,MIN(G3685,Parametres!$B$7))</f>
        <v>250</v>
      </c>
      <c r="I3685" s="20" t="n">
        <f aca="false">G3685-H3685</f>
        <v>158.53</v>
      </c>
      <c r="J3685" s="21" t="n">
        <f aca="false">H3685*1000/Parametres!$B$9</f>
        <v>4239.44378497541</v>
      </c>
    </row>
    <row r="3686" customFormat="false" ht="15" hidden="false" customHeight="false" outlineLevel="0" collapsed="false">
      <c r="A3686" s="0" t="n">
        <v>3682</v>
      </c>
      <c r="B3686" s="0" t="n">
        <v>6</v>
      </c>
      <c r="C3686" s="19" t="n">
        <v>0.8474</v>
      </c>
      <c r="D3686" s="19" t="n">
        <v>1</v>
      </c>
      <c r="E3686" s="20" t="n">
        <f aca="false">Parametres!$B$5*C3686</f>
        <v>254.22</v>
      </c>
      <c r="F3686" s="20" t="n">
        <f aca="false">Parametres!$B$6*D3686</f>
        <v>200</v>
      </c>
      <c r="G3686" s="20" t="n">
        <f aca="false">E3686+F3686</f>
        <v>454.22</v>
      </c>
      <c r="H3686" s="20" t="n">
        <f aca="false">IF(G3686&lt;Parametres!$B$8*Parametres!$B$7,0,MIN(G3686,Parametres!$B$7))</f>
        <v>250</v>
      </c>
      <c r="I3686" s="20" t="n">
        <f aca="false">G3686-H3686</f>
        <v>204.22</v>
      </c>
      <c r="J3686" s="21" t="n">
        <f aca="false">H3686*1000/Parametres!$B$9</f>
        <v>4239.44378497541</v>
      </c>
    </row>
    <row r="3687" customFormat="false" ht="15" hidden="false" customHeight="false" outlineLevel="0" collapsed="false">
      <c r="A3687" s="0" t="n">
        <v>3683</v>
      </c>
      <c r="B3687" s="0" t="n">
        <v>6</v>
      </c>
      <c r="C3687" s="19" t="n">
        <v>1</v>
      </c>
      <c r="D3687" s="19" t="n">
        <v>0.9187</v>
      </c>
      <c r="E3687" s="20" t="n">
        <f aca="false">Parametres!$B$5*C3687</f>
        <v>300</v>
      </c>
      <c r="F3687" s="20" t="n">
        <f aca="false">Parametres!$B$6*D3687</f>
        <v>183.74</v>
      </c>
      <c r="G3687" s="20" t="n">
        <f aca="false">E3687+F3687</f>
        <v>483.74</v>
      </c>
      <c r="H3687" s="20" t="n">
        <f aca="false">IF(G3687&lt;Parametres!$B$8*Parametres!$B$7,0,MIN(G3687,Parametres!$B$7))</f>
        <v>250</v>
      </c>
      <c r="I3687" s="20" t="n">
        <f aca="false">G3687-H3687</f>
        <v>233.74</v>
      </c>
      <c r="J3687" s="21" t="n">
        <f aca="false">H3687*1000/Parametres!$B$9</f>
        <v>4239.44378497541</v>
      </c>
    </row>
    <row r="3688" customFormat="false" ht="15" hidden="false" customHeight="false" outlineLevel="0" collapsed="false">
      <c r="A3688" s="0" t="n">
        <v>3684</v>
      </c>
      <c r="B3688" s="0" t="n">
        <v>6</v>
      </c>
      <c r="C3688" s="19" t="n">
        <v>1</v>
      </c>
      <c r="D3688" s="19" t="n">
        <v>0.9611</v>
      </c>
      <c r="E3688" s="20" t="n">
        <f aca="false">Parametres!$B$5*C3688</f>
        <v>300</v>
      </c>
      <c r="F3688" s="20" t="n">
        <f aca="false">Parametres!$B$6*D3688</f>
        <v>192.22</v>
      </c>
      <c r="G3688" s="20" t="n">
        <f aca="false">E3688+F3688</f>
        <v>492.22</v>
      </c>
      <c r="H3688" s="20" t="n">
        <f aca="false">IF(G3688&lt;Parametres!$B$8*Parametres!$B$7,0,MIN(G3688,Parametres!$B$7))</f>
        <v>250</v>
      </c>
      <c r="I3688" s="20" t="n">
        <f aca="false">G3688-H3688</f>
        <v>242.22</v>
      </c>
      <c r="J3688" s="21" t="n">
        <f aca="false">H3688*1000/Parametres!$B$9</f>
        <v>4239.44378497541</v>
      </c>
    </row>
    <row r="3689" customFormat="false" ht="15" hidden="false" customHeight="false" outlineLevel="0" collapsed="false">
      <c r="A3689" s="0" t="n">
        <v>3685</v>
      </c>
      <c r="B3689" s="0" t="n">
        <v>6</v>
      </c>
      <c r="C3689" s="19" t="n">
        <v>1</v>
      </c>
      <c r="D3689" s="19" t="n">
        <v>1</v>
      </c>
      <c r="E3689" s="20" t="n">
        <f aca="false">Parametres!$B$5*C3689</f>
        <v>300</v>
      </c>
      <c r="F3689" s="20" t="n">
        <f aca="false">Parametres!$B$6*D3689</f>
        <v>200</v>
      </c>
      <c r="G3689" s="20" t="n">
        <f aca="false">E3689+F3689</f>
        <v>500</v>
      </c>
      <c r="H3689" s="20" t="n">
        <f aca="false">IF(G3689&lt;Parametres!$B$8*Parametres!$B$7,0,MIN(G3689,Parametres!$B$7))</f>
        <v>250</v>
      </c>
      <c r="I3689" s="20" t="n">
        <f aca="false">G3689-H3689</f>
        <v>250</v>
      </c>
      <c r="J3689" s="21" t="n">
        <f aca="false">H3689*1000/Parametres!$B$9</f>
        <v>4239.44378497541</v>
      </c>
    </row>
    <row r="3690" customFormat="false" ht="15" hidden="false" customHeight="false" outlineLevel="0" collapsed="false">
      <c r="A3690" s="0" t="n">
        <v>3686</v>
      </c>
      <c r="B3690" s="0" t="n">
        <v>6</v>
      </c>
      <c r="C3690" s="19" t="n">
        <v>1</v>
      </c>
      <c r="D3690" s="19" t="n">
        <v>1</v>
      </c>
      <c r="E3690" s="20" t="n">
        <f aca="false">Parametres!$B$5*C3690</f>
        <v>300</v>
      </c>
      <c r="F3690" s="20" t="n">
        <f aca="false">Parametres!$B$6*D3690</f>
        <v>200</v>
      </c>
      <c r="G3690" s="20" t="n">
        <f aca="false">E3690+F3690</f>
        <v>500</v>
      </c>
      <c r="H3690" s="20" t="n">
        <f aca="false">IF(G3690&lt;Parametres!$B$8*Parametres!$B$7,0,MIN(G3690,Parametres!$B$7))</f>
        <v>250</v>
      </c>
      <c r="I3690" s="20" t="n">
        <f aca="false">G3690-H3690</f>
        <v>250</v>
      </c>
      <c r="J3690" s="21" t="n">
        <f aca="false">H3690*1000/Parametres!$B$9</f>
        <v>4239.44378497541</v>
      </c>
    </row>
    <row r="3691" customFormat="false" ht="15" hidden="false" customHeight="false" outlineLevel="0" collapsed="false">
      <c r="A3691" s="0" t="n">
        <v>3687</v>
      </c>
      <c r="B3691" s="0" t="n">
        <v>6</v>
      </c>
      <c r="C3691" s="19" t="n">
        <v>0.8984</v>
      </c>
      <c r="D3691" s="19" t="n">
        <v>1</v>
      </c>
      <c r="E3691" s="20" t="n">
        <f aca="false">Parametres!$B$5*C3691</f>
        <v>269.52</v>
      </c>
      <c r="F3691" s="20" t="n">
        <f aca="false">Parametres!$B$6*D3691</f>
        <v>200</v>
      </c>
      <c r="G3691" s="20" t="n">
        <f aca="false">E3691+F3691</f>
        <v>469.52</v>
      </c>
      <c r="H3691" s="20" t="n">
        <f aca="false">IF(G3691&lt;Parametres!$B$8*Parametres!$B$7,0,MIN(G3691,Parametres!$B$7))</f>
        <v>250</v>
      </c>
      <c r="I3691" s="20" t="n">
        <f aca="false">G3691-H3691</f>
        <v>219.52</v>
      </c>
      <c r="J3691" s="21" t="n">
        <f aca="false">H3691*1000/Parametres!$B$9</f>
        <v>4239.44378497541</v>
      </c>
    </row>
    <row r="3692" customFormat="false" ht="15" hidden="false" customHeight="false" outlineLevel="0" collapsed="false">
      <c r="A3692" s="0" t="n">
        <v>3688</v>
      </c>
      <c r="B3692" s="0" t="n">
        <v>6</v>
      </c>
      <c r="C3692" s="19" t="n">
        <v>0.6852</v>
      </c>
      <c r="D3692" s="19" t="n">
        <v>1</v>
      </c>
      <c r="E3692" s="20" t="n">
        <f aca="false">Parametres!$B$5*C3692</f>
        <v>205.56</v>
      </c>
      <c r="F3692" s="20" t="n">
        <f aca="false">Parametres!$B$6*D3692</f>
        <v>200</v>
      </c>
      <c r="G3692" s="20" t="n">
        <f aca="false">E3692+F3692</f>
        <v>405.56</v>
      </c>
      <c r="H3692" s="20" t="n">
        <f aca="false">IF(G3692&lt;Parametres!$B$8*Parametres!$B$7,0,MIN(G3692,Parametres!$B$7))</f>
        <v>250</v>
      </c>
      <c r="I3692" s="20" t="n">
        <f aca="false">G3692-H3692</f>
        <v>155.56</v>
      </c>
      <c r="J3692" s="21" t="n">
        <f aca="false">H3692*1000/Parametres!$B$9</f>
        <v>4239.44378497541</v>
      </c>
    </row>
    <row r="3693" customFormat="false" ht="15" hidden="false" customHeight="false" outlineLevel="0" collapsed="false">
      <c r="A3693" s="0" t="n">
        <v>3689</v>
      </c>
      <c r="B3693" s="0" t="n">
        <v>6</v>
      </c>
      <c r="C3693" s="19" t="n">
        <v>0.4772</v>
      </c>
      <c r="D3693" s="19" t="n">
        <v>1</v>
      </c>
      <c r="E3693" s="20" t="n">
        <f aca="false">Parametres!$B$5*C3693</f>
        <v>143.16</v>
      </c>
      <c r="F3693" s="20" t="n">
        <f aca="false">Parametres!$B$6*D3693</f>
        <v>200</v>
      </c>
      <c r="G3693" s="20" t="n">
        <f aca="false">E3693+F3693</f>
        <v>343.16</v>
      </c>
      <c r="H3693" s="20" t="n">
        <f aca="false">IF(G3693&lt;Parametres!$B$8*Parametres!$B$7,0,MIN(G3693,Parametres!$B$7))</f>
        <v>250</v>
      </c>
      <c r="I3693" s="20" t="n">
        <f aca="false">G3693-H3693</f>
        <v>93.16</v>
      </c>
      <c r="J3693" s="21" t="n">
        <f aca="false">H3693*1000/Parametres!$B$9</f>
        <v>4239.44378497541</v>
      </c>
    </row>
    <row r="3694" customFormat="false" ht="15" hidden="false" customHeight="false" outlineLevel="0" collapsed="false">
      <c r="A3694" s="0" t="n">
        <v>3690</v>
      </c>
      <c r="B3694" s="0" t="n">
        <v>6</v>
      </c>
      <c r="C3694" s="19" t="n">
        <v>0.2654</v>
      </c>
      <c r="D3694" s="19" t="n">
        <v>1</v>
      </c>
      <c r="E3694" s="20" t="n">
        <f aca="false">Parametres!$B$5*C3694</f>
        <v>79.62</v>
      </c>
      <c r="F3694" s="20" t="n">
        <f aca="false">Parametres!$B$6*D3694</f>
        <v>200</v>
      </c>
      <c r="G3694" s="20" t="n">
        <f aca="false">E3694+F3694</f>
        <v>279.62</v>
      </c>
      <c r="H3694" s="20" t="n">
        <f aca="false">IF(G3694&lt;Parametres!$B$8*Parametres!$B$7,0,MIN(G3694,Parametres!$B$7))</f>
        <v>250</v>
      </c>
      <c r="I3694" s="20" t="n">
        <f aca="false">G3694-H3694</f>
        <v>29.62</v>
      </c>
      <c r="J3694" s="21" t="n">
        <f aca="false">H3694*1000/Parametres!$B$9</f>
        <v>4239.44378497541</v>
      </c>
    </row>
    <row r="3695" customFormat="false" ht="15" hidden="false" customHeight="false" outlineLevel="0" collapsed="false">
      <c r="A3695" s="0" t="n">
        <v>3691</v>
      </c>
      <c r="B3695" s="0" t="n">
        <v>6</v>
      </c>
      <c r="C3695" s="19" t="n">
        <v>0.0515</v>
      </c>
      <c r="D3695" s="19" t="n">
        <v>1</v>
      </c>
      <c r="E3695" s="20" t="n">
        <f aca="false">Parametres!$B$5*C3695</f>
        <v>15.45</v>
      </c>
      <c r="F3695" s="20" t="n">
        <f aca="false">Parametres!$B$6*D3695</f>
        <v>200</v>
      </c>
      <c r="G3695" s="20" t="n">
        <f aca="false">E3695+F3695</f>
        <v>215.45</v>
      </c>
      <c r="H3695" s="20" t="n">
        <f aca="false">IF(G3695&lt;Parametres!$B$8*Parametres!$B$7,0,MIN(G3695,Parametres!$B$7))</f>
        <v>215.45</v>
      </c>
      <c r="I3695" s="20" t="n">
        <f aca="false">G3695-H3695</f>
        <v>0</v>
      </c>
      <c r="J3695" s="21" t="n">
        <f aca="false">H3695*1000/Parametres!$B$9</f>
        <v>3653.55265389181</v>
      </c>
    </row>
    <row r="3696" customFormat="false" ht="15" hidden="false" customHeight="false" outlineLevel="0" collapsed="false">
      <c r="A3696" s="0" t="n">
        <v>3692</v>
      </c>
      <c r="B3696" s="0" t="n">
        <v>6</v>
      </c>
      <c r="C3696" s="19" t="n">
        <v>0</v>
      </c>
      <c r="D3696" s="19" t="n">
        <v>1</v>
      </c>
      <c r="E3696" s="20" t="n">
        <f aca="false">Parametres!$B$5*C3696</f>
        <v>0</v>
      </c>
      <c r="F3696" s="20" t="n">
        <f aca="false">Parametres!$B$6*D3696</f>
        <v>200</v>
      </c>
      <c r="G3696" s="20" t="n">
        <f aca="false">E3696+F3696</f>
        <v>200</v>
      </c>
      <c r="H3696" s="20" t="n">
        <f aca="false">IF(G3696&lt;Parametres!$B$8*Parametres!$B$7,0,MIN(G3696,Parametres!$B$7))</f>
        <v>200</v>
      </c>
      <c r="I3696" s="20" t="n">
        <f aca="false">G3696-H3696</f>
        <v>0</v>
      </c>
      <c r="J3696" s="21" t="n">
        <f aca="false">H3696*1000/Parametres!$B$9</f>
        <v>3391.55502798033</v>
      </c>
    </row>
    <row r="3697" customFormat="false" ht="15" hidden="false" customHeight="false" outlineLevel="0" collapsed="false">
      <c r="A3697" s="0" t="n">
        <v>3693</v>
      </c>
      <c r="B3697" s="0" t="n">
        <v>6</v>
      </c>
      <c r="C3697" s="19" t="n">
        <v>0</v>
      </c>
      <c r="D3697" s="19" t="n">
        <v>1</v>
      </c>
      <c r="E3697" s="20" t="n">
        <f aca="false">Parametres!$B$5*C3697</f>
        <v>0</v>
      </c>
      <c r="F3697" s="20" t="n">
        <f aca="false">Parametres!$B$6*D3697</f>
        <v>200</v>
      </c>
      <c r="G3697" s="20" t="n">
        <f aca="false">E3697+F3697</f>
        <v>200</v>
      </c>
      <c r="H3697" s="20" t="n">
        <f aca="false">IF(G3697&lt;Parametres!$B$8*Parametres!$B$7,0,MIN(G3697,Parametres!$B$7))</f>
        <v>200</v>
      </c>
      <c r="I3697" s="20" t="n">
        <f aca="false">G3697-H3697</f>
        <v>0</v>
      </c>
      <c r="J3697" s="21" t="n">
        <f aca="false">H3697*1000/Parametres!$B$9</f>
        <v>3391.55502798033</v>
      </c>
    </row>
    <row r="3698" customFormat="false" ht="15" hidden="false" customHeight="false" outlineLevel="0" collapsed="false">
      <c r="A3698" s="0" t="n">
        <v>3694</v>
      </c>
      <c r="B3698" s="0" t="n">
        <v>6</v>
      </c>
      <c r="C3698" s="19" t="n">
        <v>0</v>
      </c>
      <c r="D3698" s="19" t="n">
        <v>1</v>
      </c>
      <c r="E3698" s="20" t="n">
        <f aca="false">Parametres!$B$5*C3698</f>
        <v>0</v>
      </c>
      <c r="F3698" s="20" t="n">
        <f aca="false">Parametres!$B$6*D3698</f>
        <v>200</v>
      </c>
      <c r="G3698" s="20" t="n">
        <f aca="false">E3698+F3698</f>
        <v>200</v>
      </c>
      <c r="H3698" s="20" t="n">
        <f aca="false">IF(G3698&lt;Parametres!$B$8*Parametres!$B$7,0,MIN(G3698,Parametres!$B$7))</f>
        <v>200</v>
      </c>
      <c r="I3698" s="20" t="n">
        <f aca="false">G3698-H3698</f>
        <v>0</v>
      </c>
      <c r="J3698" s="21" t="n">
        <f aca="false">H3698*1000/Parametres!$B$9</f>
        <v>3391.55502798033</v>
      </c>
    </row>
    <row r="3699" customFormat="false" ht="15" hidden="false" customHeight="false" outlineLevel="0" collapsed="false">
      <c r="A3699" s="0" t="n">
        <v>3695</v>
      </c>
      <c r="B3699" s="0" t="n">
        <v>6</v>
      </c>
      <c r="C3699" s="19" t="n">
        <v>0</v>
      </c>
      <c r="D3699" s="19" t="n">
        <v>0.6839</v>
      </c>
      <c r="E3699" s="20" t="n">
        <f aca="false">Parametres!$B$5*C3699</f>
        <v>0</v>
      </c>
      <c r="F3699" s="20" t="n">
        <f aca="false">Parametres!$B$6*D3699</f>
        <v>136.78</v>
      </c>
      <c r="G3699" s="20" t="n">
        <f aca="false">E3699+F3699</f>
        <v>136.78</v>
      </c>
      <c r="H3699" s="20" t="n">
        <f aca="false">IF(G3699&lt;Parametres!$B$8*Parametres!$B$7,0,MIN(G3699,Parametres!$B$7))</f>
        <v>136.78</v>
      </c>
      <c r="I3699" s="20" t="n">
        <f aca="false">G3699-H3699</f>
        <v>0</v>
      </c>
      <c r="J3699" s="21" t="n">
        <f aca="false">H3699*1000/Parametres!$B$9</f>
        <v>2319.48448363575</v>
      </c>
    </row>
    <row r="3700" customFormat="false" ht="15" hidden="false" customHeight="false" outlineLevel="0" collapsed="false">
      <c r="A3700" s="0" t="n">
        <v>3696</v>
      </c>
      <c r="B3700" s="0" t="n">
        <v>6</v>
      </c>
      <c r="C3700" s="19" t="n">
        <v>0</v>
      </c>
      <c r="D3700" s="19" t="n">
        <v>1</v>
      </c>
      <c r="E3700" s="20" t="n">
        <f aca="false">Parametres!$B$5*C3700</f>
        <v>0</v>
      </c>
      <c r="F3700" s="20" t="n">
        <f aca="false">Parametres!$B$6*D3700</f>
        <v>200</v>
      </c>
      <c r="G3700" s="20" t="n">
        <f aca="false">E3700+F3700</f>
        <v>200</v>
      </c>
      <c r="H3700" s="20" t="n">
        <f aca="false">IF(G3700&lt;Parametres!$B$8*Parametres!$B$7,0,MIN(G3700,Parametres!$B$7))</f>
        <v>200</v>
      </c>
      <c r="I3700" s="20" t="n">
        <f aca="false">G3700-H3700</f>
        <v>0</v>
      </c>
      <c r="J3700" s="21" t="n">
        <f aca="false">H3700*1000/Parametres!$B$9</f>
        <v>3391.55502798033</v>
      </c>
    </row>
    <row r="3701" customFormat="false" ht="15" hidden="false" customHeight="false" outlineLevel="0" collapsed="false">
      <c r="A3701" s="0" t="n">
        <v>3697</v>
      </c>
      <c r="B3701" s="0" t="n">
        <v>6</v>
      </c>
      <c r="C3701" s="19" t="n">
        <v>0</v>
      </c>
      <c r="D3701" s="19" t="n">
        <v>1</v>
      </c>
      <c r="E3701" s="20" t="n">
        <f aca="false">Parametres!$B$5*C3701</f>
        <v>0</v>
      </c>
      <c r="F3701" s="20" t="n">
        <f aca="false">Parametres!$B$6*D3701</f>
        <v>200</v>
      </c>
      <c r="G3701" s="20" t="n">
        <f aca="false">E3701+F3701</f>
        <v>200</v>
      </c>
      <c r="H3701" s="20" t="n">
        <f aca="false">IF(G3701&lt;Parametres!$B$8*Parametres!$B$7,0,MIN(G3701,Parametres!$B$7))</f>
        <v>200</v>
      </c>
      <c r="I3701" s="20" t="n">
        <f aca="false">G3701-H3701</f>
        <v>0</v>
      </c>
      <c r="J3701" s="21" t="n">
        <f aca="false">H3701*1000/Parametres!$B$9</f>
        <v>3391.55502798033</v>
      </c>
    </row>
    <row r="3702" customFormat="false" ht="15" hidden="false" customHeight="false" outlineLevel="0" collapsed="false">
      <c r="A3702" s="0" t="n">
        <v>3698</v>
      </c>
      <c r="B3702" s="0" t="n">
        <v>6</v>
      </c>
      <c r="C3702" s="19" t="n">
        <v>0</v>
      </c>
      <c r="D3702" s="19" t="n">
        <v>0.7932</v>
      </c>
      <c r="E3702" s="20" t="n">
        <f aca="false">Parametres!$B$5*C3702</f>
        <v>0</v>
      </c>
      <c r="F3702" s="20" t="n">
        <f aca="false">Parametres!$B$6*D3702</f>
        <v>158.64</v>
      </c>
      <c r="G3702" s="20" t="n">
        <f aca="false">E3702+F3702</f>
        <v>158.64</v>
      </c>
      <c r="H3702" s="20" t="n">
        <f aca="false">IF(G3702&lt;Parametres!$B$8*Parametres!$B$7,0,MIN(G3702,Parametres!$B$7))</f>
        <v>158.64</v>
      </c>
      <c r="I3702" s="20" t="n">
        <f aca="false">G3702-H3702</f>
        <v>0</v>
      </c>
      <c r="J3702" s="21" t="n">
        <f aca="false">H3702*1000/Parametres!$B$9</f>
        <v>2690.181448194</v>
      </c>
    </row>
    <row r="3703" customFormat="false" ht="15" hidden="false" customHeight="false" outlineLevel="0" collapsed="false">
      <c r="A3703" s="0" t="n">
        <v>3699</v>
      </c>
      <c r="B3703" s="0" t="n">
        <v>6</v>
      </c>
      <c r="C3703" s="19" t="n">
        <v>0</v>
      </c>
      <c r="D3703" s="19" t="n">
        <v>0.8191</v>
      </c>
      <c r="E3703" s="20" t="n">
        <f aca="false">Parametres!$B$5*C3703</f>
        <v>0</v>
      </c>
      <c r="F3703" s="20" t="n">
        <f aca="false">Parametres!$B$6*D3703</f>
        <v>163.82</v>
      </c>
      <c r="G3703" s="20" t="n">
        <f aca="false">E3703+F3703</f>
        <v>163.82</v>
      </c>
      <c r="H3703" s="20" t="n">
        <f aca="false">IF(G3703&lt;Parametres!$B$8*Parametres!$B$7,0,MIN(G3703,Parametres!$B$7))</f>
        <v>163.82</v>
      </c>
      <c r="I3703" s="20" t="n">
        <f aca="false">G3703-H3703</f>
        <v>0</v>
      </c>
      <c r="J3703" s="21" t="n">
        <f aca="false">H3703*1000/Parametres!$B$9</f>
        <v>2778.02272341869</v>
      </c>
    </row>
    <row r="3704" customFormat="false" ht="15" hidden="false" customHeight="false" outlineLevel="0" collapsed="false">
      <c r="A3704" s="0" t="n">
        <v>3700</v>
      </c>
      <c r="B3704" s="0" t="n">
        <v>6</v>
      </c>
      <c r="C3704" s="19" t="n">
        <v>0</v>
      </c>
      <c r="D3704" s="19" t="n">
        <v>0.6093</v>
      </c>
      <c r="E3704" s="20" t="n">
        <f aca="false">Parametres!$B$5*C3704</f>
        <v>0</v>
      </c>
      <c r="F3704" s="20" t="n">
        <f aca="false">Parametres!$B$6*D3704</f>
        <v>121.86</v>
      </c>
      <c r="G3704" s="20" t="n">
        <f aca="false">E3704+F3704</f>
        <v>121.86</v>
      </c>
      <c r="H3704" s="20" t="n">
        <f aca="false">IF(G3704&lt;Parametres!$B$8*Parametres!$B$7,0,MIN(G3704,Parametres!$B$7))</f>
        <v>121.86</v>
      </c>
      <c r="I3704" s="20" t="n">
        <f aca="false">G3704-H3704</f>
        <v>0</v>
      </c>
      <c r="J3704" s="21" t="n">
        <f aca="false">H3704*1000/Parametres!$B$9</f>
        <v>2066.47447854841</v>
      </c>
    </row>
    <row r="3705" customFormat="false" ht="15" hidden="false" customHeight="false" outlineLevel="0" collapsed="false">
      <c r="A3705" s="0" t="n">
        <v>3701</v>
      </c>
      <c r="B3705" s="0" t="n">
        <v>6</v>
      </c>
      <c r="C3705" s="19" t="n">
        <v>0</v>
      </c>
      <c r="D3705" s="19" t="n">
        <v>0.5433</v>
      </c>
      <c r="E3705" s="20" t="n">
        <f aca="false">Parametres!$B$5*C3705</f>
        <v>0</v>
      </c>
      <c r="F3705" s="20" t="n">
        <f aca="false">Parametres!$B$6*D3705</f>
        <v>108.66</v>
      </c>
      <c r="G3705" s="20" t="n">
        <f aca="false">E3705+F3705</f>
        <v>108.66</v>
      </c>
      <c r="H3705" s="20" t="n">
        <f aca="false">IF(G3705&lt;Parametres!$B$8*Parametres!$B$7,0,MIN(G3705,Parametres!$B$7))</f>
        <v>108.66</v>
      </c>
      <c r="I3705" s="20" t="n">
        <f aca="false">G3705-H3705</f>
        <v>0</v>
      </c>
      <c r="J3705" s="21" t="n">
        <f aca="false">H3705*1000/Parametres!$B$9</f>
        <v>1842.63184670171</v>
      </c>
    </row>
    <row r="3706" customFormat="false" ht="15" hidden="false" customHeight="false" outlineLevel="0" collapsed="false">
      <c r="A3706" s="0" t="n">
        <v>3702</v>
      </c>
      <c r="B3706" s="0" t="n">
        <v>6</v>
      </c>
      <c r="C3706" s="19" t="n">
        <v>0.0578</v>
      </c>
      <c r="D3706" s="19" t="n">
        <v>0.8648</v>
      </c>
      <c r="E3706" s="20" t="n">
        <f aca="false">Parametres!$B$5*C3706</f>
        <v>17.34</v>
      </c>
      <c r="F3706" s="20" t="n">
        <f aca="false">Parametres!$B$6*D3706</f>
        <v>172.96</v>
      </c>
      <c r="G3706" s="20" t="n">
        <f aca="false">E3706+F3706</f>
        <v>190.3</v>
      </c>
      <c r="H3706" s="20" t="n">
        <f aca="false">IF(G3706&lt;Parametres!$B$8*Parametres!$B$7,0,MIN(G3706,Parametres!$B$7))</f>
        <v>190.3</v>
      </c>
      <c r="I3706" s="20" t="n">
        <f aca="false">G3706-H3706</f>
        <v>0</v>
      </c>
      <c r="J3706" s="21" t="n">
        <f aca="false">H3706*1000/Parametres!$B$9</f>
        <v>3227.06460912328</v>
      </c>
    </row>
    <row r="3707" customFormat="false" ht="15" hidden="false" customHeight="false" outlineLevel="0" collapsed="false">
      <c r="A3707" s="0" t="n">
        <v>3703</v>
      </c>
      <c r="B3707" s="0" t="n">
        <v>6</v>
      </c>
      <c r="C3707" s="19" t="n">
        <v>0.2818</v>
      </c>
      <c r="D3707" s="19" t="n">
        <v>1</v>
      </c>
      <c r="E3707" s="20" t="n">
        <f aca="false">Parametres!$B$5*C3707</f>
        <v>84.54</v>
      </c>
      <c r="F3707" s="20" t="n">
        <f aca="false">Parametres!$B$6*D3707</f>
        <v>200</v>
      </c>
      <c r="G3707" s="20" t="n">
        <f aca="false">E3707+F3707</f>
        <v>284.54</v>
      </c>
      <c r="H3707" s="20" t="n">
        <f aca="false">IF(G3707&lt;Parametres!$B$8*Parametres!$B$7,0,MIN(G3707,Parametres!$B$7))</f>
        <v>250</v>
      </c>
      <c r="I3707" s="20" t="n">
        <f aca="false">G3707-H3707</f>
        <v>34.54</v>
      </c>
      <c r="J3707" s="21" t="n">
        <f aca="false">H3707*1000/Parametres!$B$9</f>
        <v>4239.44378497541</v>
      </c>
    </row>
    <row r="3708" customFormat="false" ht="15" hidden="false" customHeight="false" outlineLevel="0" collapsed="false">
      <c r="A3708" s="0" t="n">
        <v>3704</v>
      </c>
      <c r="B3708" s="0" t="n">
        <v>6</v>
      </c>
      <c r="C3708" s="19" t="n">
        <v>0.5187</v>
      </c>
      <c r="D3708" s="19" t="n">
        <v>0.9789</v>
      </c>
      <c r="E3708" s="20" t="n">
        <f aca="false">Parametres!$B$5*C3708</f>
        <v>155.61</v>
      </c>
      <c r="F3708" s="20" t="n">
        <f aca="false">Parametres!$B$6*D3708</f>
        <v>195.78</v>
      </c>
      <c r="G3708" s="20" t="n">
        <f aca="false">E3708+F3708</f>
        <v>351.39</v>
      </c>
      <c r="H3708" s="20" t="n">
        <f aca="false">IF(G3708&lt;Parametres!$B$8*Parametres!$B$7,0,MIN(G3708,Parametres!$B$7))</f>
        <v>250</v>
      </c>
      <c r="I3708" s="20" t="n">
        <f aca="false">G3708-H3708</f>
        <v>101.39</v>
      </c>
      <c r="J3708" s="21" t="n">
        <f aca="false">H3708*1000/Parametres!$B$9</f>
        <v>4239.44378497541</v>
      </c>
    </row>
    <row r="3709" customFormat="false" ht="15" hidden="false" customHeight="false" outlineLevel="0" collapsed="false">
      <c r="A3709" s="0" t="n">
        <v>3705</v>
      </c>
      <c r="B3709" s="0" t="n">
        <v>6</v>
      </c>
      <c r="C3709" s="19" t="n">
        <v>0.7634</v>
      </c>
      <c r="D3709" s="19" t="n">
        <v>0.7747</v>
      </c>
      <c r="E3709" s="20" t="n">
        <f aca="false">Parametres!$B$5*C3709</f>
        <v>229.02</v>
      </c>
      <c r="F3709" s="20" t="n">
        <f aca="false">Parametres!$B$6*D3709</f>
        <v>154.94</v>
      </c>
      <c r="G3709" s="20" t="n">
        <f aca="false">E3709+F3709</f>
        <v>383.96</v>
      </c>
      <c r="H3709" s="20" t="n">
        <f aca="false">IF(G3709&lt;Parametres!$B$8*Parametres!$B$7,0,MIN(G3709,Parametres!$B$7))</f>
        <v>250</v>
      </c>
      <c r="I3709" s="20" t="n">
        <f aca="false">G3709-H3709</f>
        <v>133.96</v>
      </c>
      <c r="J3709" s="21" t="n">
        <f aca="false">H3709*1000/Parametres!$B$9</f>
        <v>4239.44378497541</v>
      </c>
    </row>
    <row r="3710" customFormat="false" ht="15" hidden="false" customHeight="false" outlineLevel="0" collapsed="false">
      <c r="A3710" s="0" t="n">
        <v>3706</v>
      </c>
      <c r="B3710" s="0" t="n">
        <v>6</v>
      </c>
      <c r="C3710" s="19" t="n">
        <v>1</v>
      </c>
      <c r="D3710" s="19" t="n">
        <v>0.7377</v>
      </c>
      <c r="E3710" s="20" t="n">
        <f aca="false">Parametres!$B$5*C3710</f>
        <v>300</v>
      </c>
      <c r="F3710" s="20" t="n">
        <f aca="false">Parametres!$B$6*D3710</f>
        <v>147.54</v>
      </c>
      <c r="G3710" s="20" t="n">
        <f aca="false">E3710+F3710</f>
        <v>447.54</v>
      </c>
      <c r="H3710" s="20" t="n">
        <f aca="false">IF(G3710&lt;Parametres!$B$8*Parametres!$B$7,0,MIN(G3710,Parametres!$B$7))</f>
        <v>250</v>
      </c>
      <c r="I3710" s="20" t="n">
        <f aca="false">G3710-H3710</f>
        <v>197.54</v>
      </c>
      <c r="J3710" s="21" t="n">
        <f aca="false">H3710*1000/Parametres!$B$9</f>
        <v>4239.44378497541</v>
      </c>
    </row>
    <row r="3711" customFormat="false" ht="15" hidden="false" customHeight="false" outlineLevel="0" collapsed="false">
      <c r="A3711" s="0" t="n">
        <v>3707</v>
      </c>
      <c r="B3711" s="0" t="n">
        <v>6</v>
      </c>
      <c r="C3711" s="19" t="n">
        <v>1</v>
      </c>
      <c r="D3711" s="19" t="n">
        <v>1</v>
      </c>
      <c r="E3711" s="20" t="n">
        <f aca="false">Parametres!$B$5*C3711</f>
        <v>300</v>
      </c>
      <c r="F3711" s="20" t="n">
        <f aca="false">Parametres!$B$6*D3711</f>
        <v>200</v>
      </c>
      <c r="G3711" s="20" t="n">
        <f aca="false">E3711+F3711</f>
        <v>500</v>
      </c>
      <c r="H3711" s="20" t="n">
        <f aca="false">IF(G3711&lt;Parametres!$B$8*Parametres!$B$7,0,MIN(G3711,Parametres!$B$7))</f>
        <v>250</v>
      </c>
      <c r="I3711" s="20" t="n">
        <f aca="false">G3711-H3711</f>
        <v>250</v>
      </c>
      <c r="J3711" s="21" t="n">
        <f aca="false">H3711*1000/Parametres!$B$9</f>
        <v>4239.44378497541</v>
      </c>
    </row>
    <row r="3712" customFormat="false" ht="15" hidden="false" customHeight="false" outlineLevel="0" collapsed="false">
      <c r="A3712" s="0" t="n">
        <v>3708</v>
      </c>
      <c r="B3712" s="0" t="n">
        <v>6</v>
      </c>
      <c r="C3712" s="19" t="n">
        <v>1</v>
      </c>
      <c r="D3712" s="19" t="n">
        <v>1</v>
      </c>
      <c r="E3712" s="20" t="n">
        <f aca="false">Parametres!$B$5*C3712</f>
        <v>300</v>
      </c>
      <c r="F3712" s="20" t="n">
        <f aca="false">Parametres!$B$6*D3712</f>
        <v>200</v>
      </c>
      <c r="G3712" s="20" t="n">
        <f aca="false">E3712+F3712</f>
        <v>500</v>
      </c>
      <c r="H3712" s="20" t="n">
        <f aca="false">IF(G3712&lt;Parametres!$B$8*Parametres!$B$7,0,MIN(G3712,Parametres!$B$7))</f>
        <v>250</v>
      </c>
      <c r="I3712" s="20" t="n">
        <f aca="false">G3712-H3712</f>
        <v>250</v>
      </c>
      <c r="J3712" s="21" t="n">
        <f aca="false">H3712*1000/Parametres!$B$9</f>
        <v>4239.44378497541</v>
      </c>
    </row>
    <row r="3713" customFormat="false" ht="15" hidden="false" customHeight="false" outlineLevel="0" collapsed="false">
      <c r="A3713" s="0" t="n">
        <v>3709</v>
      </c>
      <c r="B3713" s="0" t="n">
        <v>6</v>
      </c>
      <c r="C3713" s="19" t="n">
        <v>1</v>
      </c>
      <c r="D3713" s="19" t="n">
        <v>1</v>
      </c>
      <c r="E3713" s="20" t="n">
        <f aca="false">Parametres!$B$5*C3713</f>
        <v>300</v>
      </c>
      <c r="F3713" s="20" t="n">
        <f aca="false">Parametres!$B$6*D3713</f>
        <v>200</v>
      </c>
      <c r="G3713" s="20" t="n">
        <f aca="false">E3713+F3713</f>
        <v>500</v>
      </c>
      <c r="H3713" s="20" t="n">
        <f aca="false">IF(G3713&lt;Parametres!$B$8*Parametres!$B$7,0,MIN(G3713,Parametres!$B$7))</f>
        <v>250</v>
      </c>
      <c r="I3713" s="20" t="n">
        <f aca="false">G3713-H3713</f>
        <v>250</v>
      </c>
      <c r="J3713" s="21" t="n">
        <f aca="false">H3713*1000/Parametres!$B$9</f>
        <v>4239.44378497541</v>
      </c>
    </row>
    <row r="3714" customFormat="false" ht="15" hidden="false" customHeight="false" outlineLevel="0" collapsed="false">
      <c r="A3714" s="0" t="n">
        <v>3710</v>
      </c>
      <c r="B3714" s="0" t="n">
        <v>6</v>
      </c>
      <c r="C3714" s="19" t="n">
        <v>1</v>
      </c>
      <c r="D3714" s="19" t="n">
        <v>1</v>
      </c>
      <c r="E3714" s="20" t="n">
        <f aca="false">Parametres!$B$5*C3714</f>
        <v>300</v>
      </c>
      <c r="F3714" s="20" t="n">
        <f aca="false">Parametres!$B$6*D3714</f>
        <v>200</v>
      </c>
      <c r="G3714" s="20" t="n">
        <f aca="false">E3714+F3714</f>
        <v>500</v>
      </c>
      <c r="H3714" s="20" t="n">
        <f aca="false">IF(G3714&lt;Parametres!$B$8*Parametres!$B$7,0,MIN(G3714,Parametres!$B$7))</f>
        <v>250</v>
      </c>
      <c r="I3714" s="20" t="n">
        <f aca="false">G3714-H3714</f>
        <v>250</v>
      </c>
      <c r="J3714" s="21" t="n">
        <f aca="false">H3714*1000/Parametres!$B$9</f>
        <v>4239.44378497541</v>
      </c>
    </row>
    <row r="3715" customFormat="false" ht="15" hidden="false" customHeight="false" outlineLevel="0" collapsed="false">
      <c r="A3715" s="0" t="n">
        <v>3711</v>
      </c>
      <c r="B3715" s="0" t="n">
        <v>6</v>
      </c>
      <c r="C3715" s="19" t="n">
        <v>0.9152</v>
      </c>
      <c r="D3715" s="19" t="n">
        <v>1</v>
      </c>
      <c r="E3715" s="20" t="n">
        <f aca="false">Parametres!$B$5*C3715</f>
        <v>274.56</v>
      </c>
      <c r="F3715" s="20" t="n">
        <f aca="false">Parametres!$B$6*D3715</f>
        <v>200</v>
      </c>
      <c r="G3715" s="20" t="n">
        <f aca="false">E3715+F3715</f>
        <v>474.56</v>
      </c>
      <c r="H3715" s="20" t="n">
        <f aca="false">IF(G3715&lt;Parametres!$B$8*Parametres!$B$7,0,MIN(G3715,Parametres!$B$7))</f>
        <v>250</v>
      </c>
      <c r="I3715" s="20" t="n">
        <f aca="false">G3715-H3715</f>
        <v>224.56</v>
      </c>
      <c r="J3715" s="21" t="n">
        <f aca="false">H3715*1000/Parametres!$B$9</f>
        <v>4239.44378497541</v>
      </c>
    </row>
    <row r="3716" customFormat="false" ht="15" hidden="false" customHeight="false" outlineLevel="0" collapsed="false">
      <c r="A3716" s="0" t="n">
        <v>3712</v>
      </c>
      <c r="B3716" s="0" t="n">
        <v>6</v>
      </c>
      <c r="C3716" s="19" t="n">
        <v>0.7974</v>
      </c>
      <c r="D3716" s="19" t="n">
        <v>1</v>
      </c>
      <c r="E3716" s="20" t="n">
        <f aca="false">Parametres!$B$5*C3716</f>
        <v>239.22</v>
      </c>
      <c r="F3716" s="20" t="n">
        <f aca="false">Parametres!$B$6*D3716</f>
        <v>200</v>
      </c>
      <c r="G3716" s="20" t="n">
        <f aca="false">E3716+F3716</f>
        <v>439.22</v>
      </c>
      <c r="H3716" s="20" t="n">
        <f aca="false">IF(G3716&lt;Parametres!$B$8*Parametres!$B$7,0,MIN(G3716,Parametres!$B$7))</f>
        <v>250</v>
      </c>
      <c r="I3716" s="20" t="n">
        <f aca="false">G3716-H3716</f>
        <v>189.22</v>
      </c>
      <c r="J3716" s="21" t="n">
        <f aca="false">H3716*1000/Parametres!$B$9</f>
        <v>4239.44378497541</v>
      </c>
    </row>
    <row r="3717" customFormat="false" ht="15" hidden="false" customHeight="false" outlineLevel="0" collapsed="false">
      <c r="A3717" s="0" t="n">
        <v>3713</v>
      </c>
      <c r="B3717" s="0" t="n">
        <v>6</v>
      </c>
      <c r="C3717" s="19" t="n">
        <v>0.5224</v>
      </c>
      <c r="D3717" s="19" t="n">
        <v>1</v>
      </c>
      <c r="E3717" s="20" t="n">
        <f aca="false">Parametres!$B$5*C3717</f>
        <v>156.72</v>
      </c>
      <c r="F3717" s="20" t="n">
        <f aca="false">Parametres!$B$6*D3717</f>
        <v>200</v>
      </c>
      <c r="G3717" s="20" t="n">
        <f aca="false">E3717+F3717</f>
        <v>356.72</v>
      </c>
      <c r="H3717" s="20" t="n">
        <f aca="false">IF(G3717&lt;Parametres!$B$8*Parametres!$B$7,0,MIN(G3717,Parametres!$B$7))</f>
        <v>250</v>
      </c>
      <c r="I3717" s="20" t="n">
        <f aca="false">G3717-H3717</f>
        <v>106.72</v>
      </c>
      <c r="J3717" s="21" t="n">
        <f aca="false">H3717*1000/Parametres!$B$9</f>
        <v>4239.44378497541</v>
      </c>
    </row>
    <row r="3718" customFormat="false" ht="15" hidden="false" customHeight="false" outlineLevel="0" collapsed="false">
      <c r="A3718" s="0" t="n">
        <v>3714</v>
      </c>
      <c r="B3718" s="0" t="n">
        <v>6</v>
      </c>
      <c r="C3718" s="19" t="n">
        <v>0.2917</v>
      </c>
      <c r="D3718" s="19" t="n">
        <v>1</v>
      </c>
      <c r="E3718" s="20" t="n">
        <f aca="false">Parametres!$B$5*C3718</f>
        <v>87.51</v>
      </c>
      <c r="F3718" s="20" t="n">
        <f aca="false">Parametres!$B$6*D3718</f>
        <v>200</v>
      </c>
      <c r="G3718" s="20" t="n">
        <f aca="false">E3718+F3718</f>
        <v>287.51</v>
      </c>
      <c r="H3718" s="20" t="n">
        <f aca="false">IF(G3718&lt;Parametres!$B$8*Parametres!$B$7,0,MIN(G3718,Parametres!$B$7))</f>
        <v>250</v>
      </c>
      <c r="I3718" s="20" t="n">
        <f aca="false">G3718-H3718</f>
        <v>37.51</v>
      </c>
      <c r="J3718" s="21" t="n">
        <f aca="false">H3718*1000/Parametres!$B$9</f>
        <v>4239.44378497541</v>
      </c>
    </row>
    <row r="3719" customFormat="false" ht="15" hidden="false" customHeight="false" outlineLevel="0" collapsed="false">
      <c r="A3719" s="0" t="n">
        <v>3715</v>
      </c>
      <c r="B3719" s="0" t="n">
        <v>6</v>
      </c>
      <c r="C3719" s="19" t="n">
        <v>0.0558</v>
      </c>
      <c r="D3719" s="19" t="n">
        <v>0.9966</v>
      </c>
      <c r="E3719" s="20" t="n">
        <f aca="false">Parametres!$B$5*C3719</f>
        <v>16.74</v>
      </c>
      <c r="F3719" s="20" t="n">
        <f aca="false">Parametres!$B$6*D3719</f>
        <v>199.32</v>
      </c>
      <c r="G3719" s="20" t="n">
        <f aca="false">E3719+F3719</f>
        <v>216.06</v>
      </c>
      <c r="H3719" s="20" t="n">
        <f aca="false">IF(G3719&lt;Parametres!$B$8*Parametres!$B$7,0,MIN(G3719,Parametres!$B$7))</f>
        <v>216.06</v>
      </c>
      <c r="I3719" s="20" t="n">
        <f aca="false">G3719-H3719</f>
        <v>0</v>
      </c>
      <c r="J3719" s="21" t="n">
        <f aca="false">H3719*1000/Parametres!$B$9</f>
        <v>3663.89689672715</v>
      </c>
    </row>
    <row r="3720" customFormat="false" ht="15" hidden="false" customHeight="false" outlineLevel="0" collapsed="false">
      <c r="A3720" s="0" t="n">
        <v>3716</v>
      </c>
      <c r="B3720" s="0" t="n">
        <v>6</v>
      </c>
      <c r="C3720" s="19" t="n">
        <v>0</v>
      </c>
      <c r="D3720" s="19" t="n">
        <v>0.6219</v>
      </c>
      <c r="E3720" s="20" t="n">
        <f aca="false">Parametres!$B$5*C3720</f>
        <v>0</v>
      </c>
      <c r="F3720" s="20" t="n">
        <f aca="false">Parametres!$B$6*D3720</f>
        <v>124.38</v>
      </c>
      <c r="G3720" s="20" t="n">
        <f aca="false">E3720+F3720</f>
        <v>124.38</v>
      </c>
      <c r="H3720" s="20" t="n">
        <f aca="false">IF(G3720&lt;Parametres!$B$8*Parametres!$B$7,0,MIN(G3720,Parametres!$B$7))</f>
        <v>124.38</v>
      </c>
      <c r="I3720" s="20" t="n">
        <f aca="false">G3720-H3720</f>
        <v>0</v>
      </c>
      <c r="J3720" s="21" t="n">
        <f aca="false">H3720*1000/Parametres!$B$9</f>
        <v>2109.20807190097</v>
      </c>
    </row>
    <row r="3721" customFormat="false" ht="15" hidden="false" customHeight="false" outlineLevel="0" collapsed="false">
      <c r="A3721" s="0" t="n">
        <v>3717</v>
      </c>
      <c r="B3721" s="0" t="n">
        <v>6</v>
      </c>
      <c r="C3721" s="19" t="n">
        <v>0</v>
      </c>
      <c r="D3721" s="19" t="n">
        <v>0.4141</v>
      </c>
      <c r="E3721" s="20" t="n">
        <f aca="false">Parametres!$B$5*C3721</f>
        <v>0</v>
      </c>
      <c r="F3721" s="20" t="n">
        <f aca="false">Parametres!$B$6*D3721</f>
        <v>82.82</v>
      </c>
      <c r="G3721" s="20" t="n">
        <f aca="false">E3721+F3721</f>
        <v>82.82</v>
      </c>
      <c r="H3721" s="20" t="n">
        <f aca="false">IF(G3721&lt;Parametres!$B$8*Parametres!$B$7,0,MIN(G3721,Parametres!$B$7))</f>
        <v>82.82</v>
      </c>
      <c r="I3721" s="20" t="n">
        <f aca="false">G3721-H3721</f>
        <v>0</v>
      </c>
      <c r="J3721" s="21" t="n">
        <f aca="false">H3721*1000/Parametres!$B$9</f>
        <v>1404.44293708665</v>
      </c>
    </row>
    <row r="3722" customFormat="false" ht="15" hidden="false" customHeight="false" outlineLevel="0" collapsed="false">
      <c r="A3722" s="0" t="n">
        <v>3718</v>
      </c>
      <c r="B3722" s="0" t="n">
        <v>6</v>
      </c>
      <c r="C3722" s="19" t="n">
        <v>0</v>
      </c>
      <c r="D3722" s="19" t="n">
        <v>0.2083</v>
      </c>
      <c r="E3722" s="20" t="n">
        <f aca="false">Parametres!$B$5*C3722</f>
        <v>0</v>
      </c>
      <c r="F3722" s="20" t="n">
        <f aca="false">Parametres!$B$6*D3722</f>
        <v>41.66</v>
      </c>
      <c r="G3722" s="20" t="n">
        <f aca="false">E3722+F3722</f>
        <v>41.66</v>
      </c>
      <c r="H3722" s="20" t="n">
        <f aca="false">IF(G3722&lt;Parametres!$B$8*Parametres!$B$7,0,MIN(G3722,Parametres!$B$7))</f>
        <v>41.66</v>
      </c>
      <c r="I3722" s="20" t="n">
        <f aca="false">G3722-H3722</f>
        <v>0</v>
      </c>
      <c r="J3722" s="21" t="n">
        <f aca="false">H3722*1000/Parametres!$B$9</f>
        <v>706.460912328303</v>
      </c>
    </row>
    <row r="3723" customFormat="false" ht="15" hidden="false" customHeight="false" outlineLevel="0" collapsed="false">
      <c r="A3723" s="0" t="n">
        <v>3719</v>
      </c>
      <c r="B3723" s="0" t="n">
        <v>6</v>
      </c>
      <c r="C3723" s="19" t="n">
        <v>0</v>
      </c>
      <c r="D3723" s="19" t="n">
        <v>0.1337</v>
      </c>
      <c r="E3723" s="20" t="n">
        <f aca="false">Parametres!$B$5*C3723</f>
        <v>0</v>
      </c>
      <c r="F3723" s="20" t="n">
        <f aca="false">Parametres!$B$6*D3723</f>
        <v>26.74</v>
      </c>
      <c r="G3723" s="20" t="n">
        <f aca="false">E3723+F3723</f>
        <v>26.74</v>
      </c>
      <c r="H3723" s="20" t="n">
        <f aca="false">IF(G3723&lt;Parametres!$B$8*Parametres!$B$7,0,MIN(G3723,Parametres!$B$7))</f>
        <v>26.74</v>
      </c>
      <c r="I3723" s="20" t="n">
        <f aca="false">G3723-H3723</f>
        <v>0</v>
      </c>
      <c r="J3723" s="21" t="n">
        <f aca="false">H3723*1000/Parametres!$B$9</f>
        <v>453.45090724097</v>
      </c>
    </row>
    <row r="3724" customFormat="false" ht="15" hidden="false" customHeight="false" outlineLevel="0" collapsed="false">
      <c r="A3724" s="0" t="n">
        <v>3720</v>
      </c>
      <c r="B3724" s="0" t="n">
        <v>6</v>
      </c>
      <c r="C3724" s="19" t="n">
        <v>0</v>
      </c>
      <c r="D3724" s="19" t="n">
        <v>0.1621</v>
      </c>
      <c r="E3724" s="20" t="n">
        <f aca="false">Parametres!$B$5*C3724</f>
        <v>0</v>
      </c>
      <c r="F3724" s="20" t="n">
        <f aca="false">Parametres!$B$6*D3724</f>
        <v>32.42</v>
      </c>
      <c r="G3724" s="20" t="n">
        <f aca="false">E3724+F3724</f>
        <v>32.42</v>
      </c>
      <c r="H3724" s="20" t="n">
        <f aca="false">IF(G3724&lt;Parametres!$B$8*Parametres!$B$7,0,MIN(G3724,Parametres!$B$7))</f>
        <v>32.42</v>
      </c>
      <c r="I3724" s="20" t="n">
        <f aca="false">G3724-H3724</f>
        <v>0</v>
      </c>
      <c r="J3724" s="21" t="n">
        <f aca="false">H3724*1000/Parametres!$B$9</f>
        <v>549.771070035611</v>
      </c>
    </row>
    <row r="3725" customFormat="false" ht="15" hidden="false" customHeight="false" outlineLevel="0" collapsed="false">
      <c r="A3725" s="0" t="n">
        <v>3721</v>
      </c>
      <c r="B3725" s="0" t="n">
        <v>6</v>
      </c>
      <c r="C3725" s="19" t="n">
        <v>0</v>
      </c>
      <c r="D3725" s="19" t="n">
        <v>0.2333</v>
      </c>
      <c r="E3725" s="20" t="n">
        <f aca="false">Parametres!$B$5*C3725</f>
        <v>0</v>
      </c>
      <c r="F3725" s="20" t="n">
        <f aca="false">Parametres!$B$6*D3725</f>
        <v>46.66</v>
      </c>
      <c r="G3725" s="20" t="n">
        <f aca="false">E3725+F3725</f>
        <v>46.66</v>
      </c>
      <c r="H3725" s="20" t="n">
        <f aca="false">IF(G3725&lt;Parametres!$B$8*Parametres!$B$7,0,MIN(G3725,Parametres!$B$7))</f>
        <v>46.66</v>
      </c>
      <c r="I3725" s="20" t="n">
        <f aca="false">G3725-H3725</f>
        <v>0</v>
      </c>
      <c r="J3725" s="21" t="n">
        <f aca="false">H3725*1000/Parametres!$B$9</f>
        <v>791.249788027811</v>
      </c>
    </row>
    <row r="3726" customFormat="false" ht="15" hidden="false" customHeight="false" outlineLevel="0" collapsed="false">
      <c r="A3726" s="0" t="n">
        <v>3722</v>
      </c>
      <c r="B3726" s="0" t="n">
        <v>6</v>
      </c>
      <c r="C3726" s="19" t="n">
        <v>0</v>
      </c>
      <c r="D3726" s="19" t="n">
        <v>0.2158</v>
      </c>
      <c r="E3726" s="20" t="n">
        <f aca="false">Parametres!$B$5*C3726</f>
        <v>0</v>
      </c>
      <c r="F3726" s="20" t="n">
        <f aca="false">Parametres!$B$6*D3726</f>
        <v>43.16</v>
      </c>
      <c r="G3726" s="20" t="n">
        <f aca="false">E3726+F3726</f>
        <v>43.16</v>
      </c>
      <c r="H3726" s="20" t="n">
        <f aca="false">IF(G3726&lt;Parametres!$B$8*Parametres!$B$7,0,MIN(G3726,Parametres!$B$7))</f>
        <v>43.16</v>
      </c>
      <c r="I3726" s="20" t="n">
        <f aca="false">G3726-H3726</f>
        <v>0</v>
      </c>
      <c r="J3726" s="21" t="n">
        <f aca="false">H3726*1000/Parametres!$B$9</f>
        <v>731.897575038155</v>
      </c>
    </row>
    <row r="3727" customFormat="false" ht="15" hidden="false" customHeight="false" outlineLevel="0" collapsed="false">
      <c r="A3727" s="0" t="n">
        <v>3723</v>
      </c>
      <c r="B3727" s="0" t="n">
        <v>6</v>
      </c>
      <c r="C3727" s="19" t="n">
        <v>0</v>
      </c>
      <c r="D3727" s="19" t="n">
        <v>0.2622</v>
      </c>
      <c r="E3727" s="20" t="n">
        <f aca="false">Parametres!$B$5*C3727</f>
        <v>0</v>
      </c>
      <c r="F3727" s="20" t="n">
        <f aca="false">Parametres!$B$6*D3727</f>
        <v>52.44</v>
      </c>
      <c r="G3727" s="20" t="n">
        <f aca="false">E3727+F3727</f>
        <v>52.44</v>
      </c>
      <c r="H3727" s="20" t="n">
        <f aca="false">IF(G3727&lt;Parametres!$B$8*Parametres!$B$7,0,MIN(G3727,Parametres!$B$7))</f>
        <v>52.44</v>
      </c>
      <c r="I3727" s="20" t="n">
        <f aca="false">G3727-H3727</f>
        <v>0</v>
      </c>
      <c r="J3727" s="21" t="n">
        <f aca="false">H3727*1000/Parametres!$B$9</f>
        <v>889.265728336442</v>
      </c>
    </row>
    <row r="3728" customFormat="false" ht="15" hidden="false" customHeight="false" outlineLevel="0" collapsed="false">
      <c r="A3728" s="0" t="n">
        <v>3724</v>
      </c>
      <c r="B3728" s="0" t="n">
        <v>6</v>
      </c>
      <c r="C3728" s="19" t="n">
        <v>0</v>
      </c>
      <c r="D3728" s="19" t="n">
        <v>0.1379</v>
      </c>
      <c r="E3728" s="20" t="n">
        <f aca="false">Parametres!$B$5*C3728</f>
        <v>0</v>
      </c>
      <c r="F3728" s="20" t="n">
        <f aca="false">Parametres!$B$6*D3728</f>
        <v>27.58</v>
      </c>
      <c r="G3728" s="20" t="n">
        <f aca="false">E3728+F3728</f>
        <v>27.58</v>
      </c>
      <c r="H3728" s="20" t="n">
        <f aca="false">IF(G3728&lt;Parametres!$B$8*Parametres!$B$7,0,MIN(G3728,Parametres!$B$7))</f>
        <v>27.58</v>
      </c>
      <c r="I3728" s="20" t="n">
        <f aca="false">G3728-H3728</f>
        <v>0</v>
      </c>
      <c r="J3728" s="21" t="n">
        <f aca="false">H3728*1000/Parametres!$B$9</f>
        <v>467.695438358487</v>
      </c>
    </row>
    <row r="3729" customFormat="false" ht="15" hidden="false" customHeight="false" outlineLevel="0" collapsed="false">
      <c r="A3729" s="0" t="n">
        <v>3725</v>
      </c>
      <c r="B3729" s="0" t="n">
        <v>6</v>
      </c>
      <c r="C3729" s="19" t="n">
        <v>0</v>
      </c>
      <c r="D3729" s="19" t="n">
        <v>0.252</v>
      </c>
      <c r="E3729" s="20" t="n">
        <f aca="false">Parametres!$B$5*C3729</f>
        <v>0</v>
      </c>
      <c r="F3729" s="20" t="n">
        <f aca="false">Parametres!$B$6*D3729</f>
        <v>50.4</v>
      </c>
      <c r="G3729" s="20" t="n">
        <f aca="false">E3729+F3729</f>
        <v>50.4</v>
      </c>
      <c r="H3729" s="20" t="n">
        <f aca="false">IF(G3729&lt;Parametres!$B$8*Parametres!$B$7,0,MIN(G3729,Parametres!$B$7))</f>
        <v>50.4</v>
      </c>
      <c r="I3729" s="20" t="n">
        <f aca="false">G3729-H3729</f>
        <v>0</v>
      </c>
      <c r="J3729" s="21" t="n">
        <f aca="false">H3729*1000/Parametres!$B$9</f>
        <v>854.671867051043</v>
      </c>
    </row>
    <row r="3730" customFormat="false" ht="15" hidden="false" customHeight="false" outlineLevel="0" collapsed="false">
      <c r="A3730" s="0" t="n">
        <v>3726</v>
      </c>
      <c r="B3730" s="0" t="n">
        <v>6</v>
      </c>
      <c r="C3730" s="19" t="n">
        <v>0.0689</v>
      </c>
      <c r="D3730" s="19" t="n">
        <v>0.5691</v>
      </c>
      <c r="E3730" s="20" t="n">
        <f aca="false">Parametres!$B$5*C3730</f>
        <v>20.67</v>
      </c>
      <c r="F3730" s="20" t="n">
        <f aca="false">Parametres!$B$6*D3730</f>
        <v>113.82</v>
      </c>
      <c r="G3730" s="20" t="n">
        <f aca="false">E3730+F3730</f>
        <v>134.49</v>
      </c>
      <c r="H3730" s="20" t="n">
        <f aca="false">IF(G3730&lt;Parametres!$B$8*Parametres!$B$7,0,MIN(G3730,Parametres!$B$7))</f>
        <v>134.49</v>
      </c>
      <c r="I3730" s="20" t="n">
        <f aca="false">G3730-H3730</f>
        <v>0</v>
      </c>
      <c r="J3730" s="21" t="n">
        <f aca="false">H3730*1000/Parametres!$B$9</f>
        <v>2280.65117856537</v>
      </c>
    </row>
    <row r="3731" customFormat="false" ht="15" hidden="false" customHeight="false" outlineLevel="0" collapsed="false">
      <c r="A3731" s="0" t="n">
        <v>3727</v>
      </c>
      <c r="B3731" s="0" t="n">
        <v>6</v>
      </c>
      <c r="C3731" s="19" t="n">
        <v>0.3537</v>
      </c>
      <c r="D3731" s="19" t="n">
        <v>0.5664</v>
      </c>
      <c r="E3731" s="20" t="n">
        <f aca="false">Parametres!$B$5*C3731</f>
        <v>106.11</v>
      </c>
      <c r="F3731" s="20" t="n">
        <f aca="false">Parametres!$B$6*D3731</f>
        <v>113.28</v>
      </c>
      <c r="G3731" s="20" t="n">
        <f aca="false">E3731+F3731</f>
        <v>219.39</v>
      </c>
      <c r="H3731" s="20" t="n">
        <f aca="false">IF(G3731&lt;Parametres!$B$8*Parametres!$B$7,0,MIN(G3731,Parametres!$B$7))</f>
        <v>219.39</v>
      </c>
      <c r="I3731" s="20" t="n">
        <f aca="false">G3731-H3731</f>
        <v>0</v>
      </c>
      <c r="J3731" s="21" t="n">
        <f aca="false">H3731*1000/Parametres!$B$9</f>
        <v>3720.36628794302</v>
      </c>
    </row>
    <row r="3732" customFormat="false" ht="15" hidden="false" customHeight="false" outlineLevel="0" collapsed="false">
      <c r="A3732" s="0" t="n">
        <v>3728</v>
      </c>
      <c r="B3732" s="0" t="n">
        <v>6</v>
      </c>
      <c r="C3732" s="19" t="n">
        <v>0.6032</v>
      </c>
      <c r="D3732" s="19" t="n">
        <v>0.727</v>
      </c>
      <c r="E3732" s="20" t="n">
        <f aca="false">Parametres!$B$5*C3732</f>
        <v>180.96</v>
      </c>
      <c r="F3732" s="20" t="n">
        <f aca="false">Parametres!$B$6*D3732</f>
        <v>145.4</v>
      </c>
      <c r="G3732" s="20" t="n">
        <f aca="false">E3732+F3732</f>
        <v>326.36</v>
      </c>
      <c r="H3732" s="20" t="n">
        <f aca="false">IF(G3732&lt;Parametres!$B$8*Parametres!$B$7,0,MIN(G3732,Parametres!$B$7))</f>
        <v>250</v>
      </c>
      <c r="I3732" s="20" t="n">
        <f aca="false">G3732-H3732</f>
        <v>76.36</v>
      </c>
      <c r="J3732" s="21" t="n">
        <f aca="false">H3732*1000/Parametres!$B$9</f>
        <v>4239.44378497541</v>
      </c>
    </row>
    <row r="3733" customFormat="false" ht="15" hidden="false" customHeight="false" outlineLevel="0" collapsed="false">
      <c r="A3733" s="0" t="n">
        <v>3729</v>
      </c>
      <c r="B3733" s="0" t="n">
        <v>6</v>
      </c>
      <c r="C3733" s="19" t="n">
        <v>0.9448</v>
      </c>
      <c r="D3733" s="19" t="n">
        <v>0.8865</v>
      </c>
      <c r="E3733" s="20" t="n">
        <f aca="false">Parametres!$B$5*C3733</f>
        <v>283.44</v>
      </c>
      <c r="F3733" s="20" t="n">
        <f aca="false">Parametres!$B$6*D3733</f>
        <v>177.3</v>
      </c>
      <c r="G3733" s="20" t="n">
        <f aca="false">E3733+F3733</f>
        <v>460.74</v>
      </c>
      <c r="H3733" s="20" t="n">
        <f aca="false">IF(G3733&lt;Parametres!$B$8*Parametres!$B$7,0,MIN(G3733,Parametres!$B$7))</f>
        <v>250</v>
      </c>
      <c r="I3733" s="20" t="n">
        <f aca="false">G3733-H3733</f>
        <v>210.74</v>
      </c>
      <c r="J3733" s="21" t="n">
        <f aca="false">H3733*1000/Parametres!$B$9</f>
        <v>4239.44378497541</v>
      </c>
    </row>
    <row r="3734" customFormat="false" ht="15" hidden="false" customHeight="false" outlineLevel="0" collapsed="false">
      <c r="A3734" s="0" t="n">
        <v>3730</v>
      </c>
      <c r="B3734" s="0" t="n">
        <v>6</v>
      </c>
      <c r="C3734" s="19" t="n">
        <v>1</v>
      </c>
      <c r="D3734" s="19" t="n">
        <v>0.495</v>
      </c>
      <c r="E3734" s="20" t="n">
        <f aca="false">Parametres!$B$5*C3734</f>
        <v>300</v>
      </c>
      <c r="F3734" s="20" t="n">
        <f aca="false">Parametres!$B$6*D3734</f>
        <v>99</v>
      </c>
      <c r="G3734" s="20" t="n">
        <f aca="false">E3734+F3734</f>
        <v>399</v>
      </c>
      <c r="H3734" s="20" t="n">
        <f aca="false">IF(G3734&lt;Parametres!$B$8*Parametres!$B$7,0,MIN(G3734,Parametres!$B$7))</f>
        <v>250</v>
      </c>
      <c r="I3734" s="20" t="n">
        <f aca="false">G3734-H3734</f>
        <v>149</v>
      </c>
      <c r="J3734" s="21" t="n">
        <f aca="false">H3734*1000/Parametres!$B$9</f>
        <v>4239.44378497541</v>
      </c>
    </row>
    <row r="3735" customFormat="false" ht="15" hidden="false" customHeight="false" outlineLevel="0" collapsed="false">
      <c r="A3735" s="0" t="n">
        <v>3731</v>
      </c>
      <c r="B3735" s="0" t="n">
        <v>6</v>
      </c>
      <c r="C3735" s="19" t="n">
        <v>1</v>
      </c>
      <c r="D3735" s="19" t="n">
        <v>0.7841</v>
      </c>
      <c r="E3735" s="20" t="n">
        <f aca="false">Parametres!$B$5*C3735</f>
        <v>300</v>
      </c>
      <c r="F3735" s="20" t="n">
        <f aca="false">Parametres!$B$6*D3735</f>
        <v>156.82</v>
      </c>
      <c r="G3735" s="20" t="n">
        <f aca="false">E3735+F3735</f>
        <v>456.82</v>
      </c>
      <c r="H3735" s="20" t="n">
        <f aca="false">IF(G3735&lt;Parametres!$B$8*Parametres!$B$7,0,MIN(G3735,Parametres!$B$7))</f>
        <v>250</v>
      </c>
      <c r="I3735" s="20" t="n">
        <f aca="false">G3735-H3735</f>
        <v>206.82</v>
      </c>
      <c r="J3735" s="21" t="n">
        <f aca="false">H3735*1000/Parametres!$B$9</f>
        <v>4239.44378497541</v>
      </c>
    </row>
    <row r="3736" customFormat="false" ht="15" hidden="false" customHeight="false" outlineLevel="0" collapsed="false">
      <c r="A3736" s="0" t="n">
        <v>3732</v>
      </c>
      <c r="B3736" s="0" t="n">
        <v>6</v>
      </c>
      <c r="C3736" s="19" t="n">
        <v>1</v>
      </c>
      <c r="D3736" s="19" t="n">
        <v>1</v>
      </c>
      <c r="E3736" s="20" t="n">
        <f aca="false">Parametres!$B$5*C3736</f>
        <v>300</v>
      </c>
      <c r="F3736" s="20" t="n">
        <f aca="false">Parametres!$B$6*D3736</f>
        <v>200</v>
      </c>
      <c r="G3736" s="20" t="n">
        <f aca="false">E3736+F3736</f>
        <v>500</v>
      </c>
      <c r="H3736" s="20" t="n">
        <f aca="false">IF(G3736&lt;Parametres!$B$8*Parametres!$B$7,0,MIN(G3736,Parametres!$B$7))</f>
        <v>250</v>
      </c>
      <c r="I3736" s="20" t="n">
        <f aca="false">G3736-H3736</f>
        <v>250</v>
      </c>
      <c r="J3736" s="21" t="n">
        <f aca="false">H3736*1000/Parametres!$B$9</f>
        <v>4239.44378497541</v>
      </c>
    </row>
    <row r="3737" customFormat="false" ht="15" hidden="false" customHeight="false" outlineLevel="0" collapsed="false">
      <c r="A3737" s="0" t="n">
        <v>3733</v>
      </c>
      <c r="B3737" s="0" t="n">
        <v>6</v>
      </c>
      <c r="C3737" s="19" t="n">
        <v>1</v>
      </c>
      <c r="D3737" s="19" t="n">
        <v>0.6649</v>
      </c>
      <c r="E3737" s="20" t="n">
        <f aca="false">Parametres!$B$5*C3737</f>
        <v>300</v>
      </c>
      <c r="F3737" s="20" t="n">
        <f aca="false">Parametres!$B$6*D3737</f>
        <v>132.98</v>
      </c>
      <c r="G3737" s="20" t="n">
        <f aca="false">E3737+F3737</f>
        <v>432.98</v>
      </c>
      <c r="H3737" s="20" t="n">
        <f aca="false">IF(G3737&lt;Parametres!$B$8*Parametres!$B$7,0,MIN(G3737,Parametres!$B$7))</f>
        <v>250</v>
      </c>
      <c r="I3737" s="20" t="n">
        <f aca="false">G3737-H3737</f>
        <v>182.98</v>
      </c>
      <c r="J3737" s="21" t="n">
        <f aca="false">H3737*1000/Parametres!$B$9</f>
        <v>4239.44378497541</v>
      </c>
    </row>
    <row r="3738" customFormat="false" ht="15" hidden="false" customHeight="false" outlineLevel="0" collapsed="false">
      <c r="A3738" s="0" t="n">
        <v>3734</v>
      </c>
      <c r="B3738" s="0" t="n">
        <v>6</v>
      </c>
      <c r="C3738" s="19" t="n">
        <v>1</v>
      </c>
      <c r="D3738" s="19" t="n">
        <v>0.6274</v>
      </c>
      <c r="E3738" s="20" t="n">
        <f aca="false">Parametres!$B$5*C3738</f>
        <v>300</v>
      </c>
      <c r="F3738" s="20" t="n">
        <f aca="false">Parametres!$B$6*D3738</f>
        <v>125.48</v>
      </c>
      <c r="G3738" s="20" t="n">
        <f aca="false">E3738+F3738</f>
        <v>425.48</v>
      </c>
      <c r="H3738" s="20" t="n">
        <f aca="false">IF(G3738&lt;Parametres!$B$8*Parametres!$B$7,0,MIN(G3738,Parametres!$B$7))</f>
        <v>250</v>
      </c>
      <c r="I3738" s="20" t="n">
        <f aca="false">G3738-H3738</f>
        <v>175.48</v>
      </c>
      <c r="J3738" s="21" t="n">
        <f aca="false">H3738*1000/Parametres!$B$9</f>
        <v>4239.44378497541</v>
      </c>
    </row>
    <row r="3739" customFormat="false" ht="15" hidden="false" customHeight="false" outlineLevel="0" collapsed="false">
      <c r="A3739" s="0" t="n">
        <v>3735</v>
      </c>
      <c r="B3739" s="0" t="n">
        <v>6</v>
      </c>
      <c r="C3739" s="19" t="n">
        <v>1</v>
      </c>
      <c r="D3739" s="19" t="n">
        <v>0.9884</v>
      </c>
      <c r="E3739" s="20" t="n">
        <f aca="false">Parametres!$B$5*C3739</f>
        <v>300</v>
      </c>
      <c r="F3739" s="20" t="n">
        <f aca="false">Parametres!$B$6*D3739</f>
        <v>197.68</v>
      </c>
      <c r="G3739" s="20" t="n">
        <f aca="false">E3739+F3739</f>
        <v>497.68</v>
      </c>
      <c r="H3739" s="20" t="n">
        <f aca="false">IF(G3739&lt;Parametres!$B$8*Parametres!$B$7,0,MIN(G3739,Parametres!$B$7))</f>
        <v>250</v>
      </c>
      <c r="I3739" s="20" t="n">
        <f aca="false">G3739-H3739</f>
        <v>247.68</v>
      </c>
      <c r="J3739" s="21" t="n">
        <f aca="false">H3739*1000/Parametres!$B$9</f>
        <v>4239.44378497541</v>
      </c>
    </row>
    <row r="3740" customFormat="false" ht="15" hidden="false" customHeight="false" outlineLevel="0" collapsed="false">
      <c r="A3740" s="0" t="n">
        <v>3736</v>
      </c>
      <c r="B3740" s="0" t="n">
        <v>6</v>
      </c>
      <c r="C3740" s="19" t="n">
        <v>0.9481</v>
      </c>
      <c r="D3740" s="19" t="n">
        <v>1</v>
      </c>
      <c r="E3740" s="20" t="n">
        <f aca="false">Parametres!$B$5*C3740</f>
        <v>284.43</v>
      </c>
      <c r="F3740" s="20" t="n">
        <f aca="false">Parametres!$B$6*D3740</f>
        <v>200</v>
      </c>
      <c r="G3740" s="20" t="n">
        <f aca="false">E3740+F3740</f>
        <v>484.43</v>
      </c>
      <c r="H3740" s="20" t="n">
        <f aca="false">IF(G3740&lt;Parametres!$B$8*Parametres!$B$7,0,MIN(G3740,Parametres!$B$7))</f>
        <v>250</v>
      </c>
      <c r="I3740" s="20" t="n">
        <f aca="false">G3740-H3740</f>
        <v>234.43</v>
      </c>
      <c r="J3740" s="21" t="n">
        <f aca="false">H3740*1000/Parametres!$B$9</f>
        <v>4239.44378497541</v>
      </c>
    </row>
    <row r="3741" customFormat="false" ht="15" hidden="false" customHeight="false" outlineLevel="0" collapsed="false">
      <c r="A3741" s="0" t="n">
        <v>3737</v>
      </c>
      <c r="B3741" s="0" t="n">
        <v>6</v>
      </c>
      <c r="C3741" s="19" t="n">
        <v>0.6452</v>
      </c>
      <c r="D3741" s="19" t="n">
        <v>0.7844</v>
      </c>
      <c r="E3741" s="20" t="n">
        <f aca="false">Parametres!$B$5*C3741</f>
        <v>193.56</v>
      </c>
      <c r="F3741" s="20" t="n">
        <f aca="false">Parametres!$B$6*D3741</f>
        <v>156.88</v>
      </c>
      <c r="G3741" s="20" t="n">
        <f aca="false">E3741+F3741</f>
        <v>350.44</v>
      </c>
      <c r="H3741" s="20" t="n">
        <f aca="false">IF(G3741&lt;Parametres!$B$8*Parametres!$B$7,0,MIN(G3741,Parametres!$B$7))</f>
        <v>250</v>
      </c>
      <c r="I3741" s="20" t="n">
        <f aca="false">G3741-H3741</f>
        <v>100.44</v>
      </c>
      <c r="J3741" s="21" t="n">
        <f aca="false">H3741*1000/Parametres!$B$9</f>
        <v>4239.44378497541</v>
      </c>
    </row>
    <row r="3742" customFormat="false" ht="15" hidden="false" customHeight="false" outlineLevel="0" collapsed="false">
      <c r="A3742" s="0" t="n">
        <v>3738</v>
      </c>
      <c r="B3742" s="0" t="n">
        <v>6</v>
      </c>
      <c r="C3742" s="19" t="n">
        <v>0.3517</v>
      </c>
      <c r="D3742" s="19" t="n">
        <v>0.6271</v>
      </c>
      <c r="E3742" s="20" t="n">
        <f aca="false">Parametres!$B$5*C3742</f>
        <v>105.51</v>
      </c>
      <c r="F3742" s="20" t="n">
        <f aca="false">Parametres!$B$6*D3742</f>
        <v>125.42</v>
      </c>
      <c r="G3742" s="20" t="n">
        <f aca="false">E3742+F3742</f>
        <v>230.93</v>
      </c>
      <c r="H3742" s="20" t="n">
        <f aca="false">IF(G3742&lt;Parametres!$B$8*Parametres!$B$7,0,MIN(G3742,Parametres!$B$7))</f>
        <v>230.93</v>
      </c>
      <c r="I3742" s="20" t="n">
        <f aca="false">G3742-H3742</f>
        <v>0</v>
      </c>
      <c r="J3742" s="21" t="n">
        <f aca="false">H3742*1000/Parametres!$B$9</f>
        <v>3916.05901305749</v>
      </c>
    </row>
    <row r="3743" customFormat="false" ht="15" hidden="false" customHeight="false" outlineLevel="0" collapsed="false">
      <c r="A3743" s="0" t="n">
        <v>3739</v>
      </c>
      <c r="B3743" s="0" t="n">
        <v>6</v>
      </c>
      <c r="C3743" s="19" t="n">
        <v>0.0653</v>
      </c>
      <c r="D3743" s="19" t="n">
        <v>0.4607</v>
      </c>
      <c r="E3743" s="20" t="n">
        <f aca="false">Parametres!$B$5*C3743</f>
        <v>19.59</v>
      </c>
      <c r="F3743" s="20" t="n">
        <f aca="false">Parametres!$B$6*D3743</f>
        <v>92.14</v>
      </c>
      <c r="G3743" s="20" t="n">
        <f aca="false">E3743+F3743</f>
        <v>111.73</v>
      </c>
      <c r="H3743" s="20" t="n">
        <f aca="false">IF(G3743&lt;Parametres!$B$8*Parametres!$B$7,0,MIN(G3743,Parametres!$B$7))</f>
        <v>111.73</v>
      </c>
      <c r="I3743" s="20" t="n">
        <f aca="false">G3743-H3743</f>
        <v>0</v>
      </c>
      <c r="J3743" s="21" t="n">
        <f aca="false">H3743*1000/Parametres!$B$9</f>
        <v>1894.69221638121</v>
      </c>
    </row>
    <row r="3744" customFormat="false" ht="15" hidden="false" customHeight="false" outlineLevel="0" collapsed="false">
      <c r="A3744" s="0" t="n">
        <v>3740</v>
      </c>
      <c r="B3744" s="0" t="n">
        <v>6</v>
      </c>
      <c r="C3744" s="19" t="n">
        <v>0</v>
      </c>
      <c r="D3744" s="19" t="n">
        <v>0.4531</v>
      </c>
      <c r="E3744" s="20" t="n">
        <f aca="false">Parametres!$B$5*C3744</f>
        <v>0</v>
      </c>
      <c r="F3744" s="20" t="n">
        <f aca="false">Parametres!$B$6*D3744</f>
        <v>90.62</v>
      </c>
      <c r="G3744" s="20" t="n">
        <f aca="false">E3744+F3744</f>
        <v>90.62</v>
      </c>
      <c r="H3744" s="20" t="n">
        <f aca="false">IF(G3744&lt;Parametres!$B$8*Parametres!$B$7,0,MIN(G3744,Parametres!$B$7))</f>
        <v>90.62</v>
      </c>
      <c r="I3744" s="20" t="n">
        <f aca="false">G3744-H3744</f>
        <v>0</v>
      </c>
      <c r="J3744" s="21" t="n">
        <f aca="false">H3744*1000/Parametres!$B$9</f>
        <v>1536.71358317789</v>
      </c>
    </row>
    <row r="3745" customFormat="false" ht="15" hidden="false" customHeight="false" outlineLevel="0" collapsed="false">
      <c r="A3745" s="0" t="n">
        <v>3741</v>
      </c>
      <c r="B3745" s="0" t="n">
        <v>6</v>
      </c>
      <c r="C3745" s="19" t="n">
        <v>0</v>
      </c>
      <c r="D3745" s="19" t="n">
        <v>0.3076</v>
      </c>
      <c r="E3745" s="20" t="n">
        <f aca="false">Parametres!$B$5*C3745</f>
        <v>0</v>
      </c>
      <c r="F3745" s="20" t="n">
        <f aca="false">Parametres!$B$6*D3745</f>
        <v>61.52</v>
      </c>
      <c r="G3745" s="20" t="n">
        <f aca="false">E3745+F3745</f>
        <v>61.52</v>
      </c>
      <c r="H3745" s="20" t="n">
        <f aca="false">IF(G3745&lt;Parametres!$B$8*Parametres!$B$7,0,MIN(G3745,Parametres!$B$7))</f>
        <v>61.52</v>
      </c>
      <c r="I3745" s="20" t="n">
        <f aca="false">G3745-H3745</f>
        <v>0</v>
      </c>
      <c r="J3745" s="21" t="n">
        <f aca="false">H3745*1000/Parametres!$B$9</f>
        <v>1043.24232660675</v>
      </c>
    </row>
    <row r="3746" customFormat="false" ht="15" hidden="false" customHeight="false" outlineLevel="0" collapsed="false">
      <c r="A3746" s="0" t="n">
        <v>3742</v>
      </c>
      <c r="B3746" s="0" t="n">
        <v>6</v>
      </c>
      <c r="C3746" s="19" t="n">
        <v>0</v>
      </c>
      <c r="D3746" s="19" t="n">
        <v>0.2777</v>
      </c>
      <c r="E3746" s="20" t="n">
        <f aca="false">Parametres!$B$5*C3746</f>
        <v>0</v>
      </c>
      <c r="F3746" s="20" t="n">
        <f aca="false">Parametres!$B$6*D3746</f>
        <v>55.54</v>
      </c>
      <c r="G3746" s="20" t="n">
        <f aca="false">E3746+F3746</f>
        <v>55.54</v>
      </c>
      <c r="H3746" s="20" t="n">
        <f aca="false">IF(G3746&lt;Parametres!$B$8*Parametres!$B$7,0,MIN(G3746,Parametres!$B$7))</f>
        <v>55.54</v>
      </c>
      <c r="I3746" s="20" t="n">
        <f aca="false">G3746-H3746</f>
        <v>0</v>
      </c>
      <c r="J3746" s="21" t="n">
        <f aca="false">H3746*1000/Parametres!$B$9</f>
        <v>941.834831270137</v>
      </c>
    </row>
    <row r="3747" customFormat="false" ht="15" hidden="false" customHeight="false" outlineLevel="0" collapsed="false">
      <c r="A3747" s="0" t="n">
        <v>3743</v>
      </c>
      <c r="B3747" s="0" t="n">
        <v>6</v>
      </c>
      <c r="C3747" s="19" t="n">
        <v>0</v>
      </c>
      <c r="D3747" s="19" t="n">
        <v>0.2244</v>
      </c>
      <c r="E3747" s="20" t="n">
        <f aca="false">Parametres!$B$5*C3747</f>
        <v>0</v>
      </c>
      <c r="F3747" s="20" t="n">
        <f aca="false">Parametres!$B$6*D3747</f>
        <v>44.88</v>
      </c>
      <c r="G3747" s="20" t="n">
        <f aca="false">E3747+F3747</f>
        <v>44.88</v>
      </c>
      <c r="H3747" s="20" t="n">
        <f aca="false">IF(G3747&lt;Parametres!$B$8*Parametres!$B$7,0,MIN(G3747,Parametres!$B$7))</f>
        <v>44.88</v>
      </c>
      <c r="I3747" s="20" t="n">
        <f aca="false">G3747-H3747</f>
        <v>0</v>
      </c>
      <c r="J3747" s="21" t="n">
        <f aca="false">H3747*1000/Parametres!$B$9</f>
        <v>761.064948278786</v>
      </c>
    </row>
    <row r="3748" customFormat="false" ht="15" hidden="false" customHeight="false" outlineLevel="0" collapsed="false">
      <c r="A3748" s="0" t="n">
        <v>3744</v>
      </c>
      <c r="B3748" s="0" t="n">
        <v>6</v>
      </c>
      <c r="C3748" s="19" t="n">
        <v>0</v>
      </c>
      <c r="D3748" s="19" t="n">
        <v>0.0941</v>
      </c>
      <c r="E3748" s="20" t="n">
        <f aca="false">Parametres!$B$5*C3748</f>
        <v>0</v>
      </c>
      <c r="F3748" s="20" t="n">
        <f aca="false">Parametres!$B$6*D3748</f>
        <v>18.82</v>
      </c>
      <c r="G3748" s="20" t="n">
        <f aca="false">E3748+F3748</f>
        <v>18.82</v>
      </c>
      <c r="H3748" s="20" t="n">
        <f aca="false">IF(G3748&lt;Parametres!$B$8*Parametres!$B$7,0,MIN(G3748,Parametres!$B$7))</f>
        <v>0</v>
      </c>
      <c r="I3748" s="20" t="n">
        <f aca="false">G3748-H3748</f>
        <v>18.82</v>
      </c>
      <c r="J3748" s="21" t="n">
        <f aca="false">H3748*1000/Parametres!$B$9</f>
        <v>0</v>
      </c>
    </row>
    <row r="3749" customFormat="false" ht="15" hidden="false" customHeight="false" outlineLevel="0" collapsed="false">
      <c r="A3749" s="0" t="n">
        <v>3745</v>
      </c>
      <c r="B3749" s="0" t="n">
        <v>6</v>
      </c>
      <c r="C3749" s="19" t="n">
        <v>0</v>
      </c>
      <c r="D3749" s="19" t="n">
        <v>0.1017</v>
      </c>
      <c r="E3749" s="20" t="n">
        <f aca="false">Parametres!$B$5*C3749</f>
        <v>0</v>
      </c>
      <c r="F3749" s="20" t="n">
        <f aca="false">Parametres!$B$6*D3749</f>
        <v>20.34</v>
      </c>
      <c r="G3749" s="20" t="n">
        <f aca="false">E3749+F3749</f>
        <v>20.34</v>
      </c>
      <c r="H3749" s="20" t="n">
        <f aca="false">IF(G3749&lt;Parametres!$B$8*Parametres!$B$7,0,MIN(G3749,Parametres!$B$7))</f>
        <v>0</v>
      </c>
      <c r="I3749" s="20" t="n">
        <f aca="false">G3749-H3749</f>
        <v>20.34</v>
      </c>
      <c r="J3749" s="21" t="n">
        <f aca="false">H3749*1000/Parametres!$B$9</f>
        <v>0</v>
      </c>
    </row>
    <row r="3750" customFormat="false" ht="15" hidden="false" customHeight="false" outlineLevel="0" collapsed="false">
      <c r="A3750" s="0" t="n">
        <v>3746</v>
      </c>
      <c r="B3750" s="0" t="n">
        <v>6</v>
      </c>
      <c r="C3750" s="19" t="n">
        <v>0</v>
      </c>
      <c r="D3750" s="19" t="n">
        <v>0.1023</v>
      </c>
      <c r="E3750" s="20" t="n">
        <f aca="false">Parametres!$B$5*C3750</f>
        <v>0</v>
      </c>
      <c r="F3750" s="20" t="n">
        <f aca="false">Parametres!$B$6*D3750</f>
        <v>20.46</v>
      </c>
      <c r="G3750" s="20" t="n">
        <f aca="false">E3750+F3750</f>
        <v>20.46</v>
      </c>
      <c r="H3750" s="20" t="n">
        <f aca="false">IF(G3750&lt;Parametres!$B$8*Parametres!$B$7,0,MIN(G3750,Parametres!$B$7))</f>
        <v>0</v>
      </c>
      <c r="I3750" s="20" t="n">
        <f aca="false">G3750-H3750</f>
        <v>20.46</v>
      </c>
      <c r="J3750" s="21" t="n">
        <f aca="false">H3750*1000/Parametres!$B$9</f>
        <v>0</v>
      </c>
    </row>
    <row r="3751" customFormat="false" ht="15" hidden="false" customHeight="false" outlineLevel="0" collapsed="false">
      <c r="A3751" s="0" t="n">
        <v>3747</v>
      </c>
      <c r="B3751" s="0" t="n">
        <v>6</v>
      </c>
      <c r="C3751" s="19" t="n">
        <v>0</v>
      </c>
      <c r="D3751" s="19" t="n">
        <v>0.0639</v>
      </c>
      <c r="E3751" s="20" t="n">
        <f aca="false">Parametres!$B$5*C3751</f>
        <v>0</v>
      </c>
      <c r="F3751" s="20" t="n">
        <f aca="false">Parametres!$B$6*D3751</f>
        <v>12.78</v>
      </c>
      <c r="G3751" s="20" t="n">
        <f aca="false">E3751+F3751</f>
        <v>12.78</v>
      </c>
      <c r="H3751" s="20" t="n">
        <f aca="false">IF(G3751&lt;Parametres!$B$8*Parametres!$B$7,0,MIN(G3751,Parametres!$B$7))</f>
        <v>0</v>
      </c>
      <c r="I3751" s="20" t="n">
        <f aca="false">G3751-H3751</f>
        <v>12.78</v>
      </c>
      <c r="J3751" s="21" t="n">
        <f aca="false">H3751*1000/Parametres!$B$9</f>
        <v>0</v>
      </c>
    </row>
    <row r="3752" customFormat="false" ht="15" hidden="false" customHeight="false" outlineLevel="0" collapsed="false">
      <c r="A3752" s="0" t="n">
        <v>3748</v>
      </c>
      <c r="B3752" s="0" t="n">
        <v>6</v>
      </c>
      <c r="C3752" s="19" t="n">
        <v>0</v>
      </c>
      <c r="D3752" s="19" t="n">
        <v>0.09</v>
      </c>
      <c r="E3752" s="20" t="n">
        <f aca="false">Parametres!$B$5*C3752</f>
        <v>0</v>
      </c>
      <c r="F3752" s="20" t="n">
        <f aca="false">Parametres!$B$6*D3752</f>
        <v>18</v>
      </c>
      <c r="G3752" s="20" t="n">
        <f aca="false">E3752+F3752</f>
        <v>18</v>
      </c>
      <c r="H3752" s="20" t="n">
        <f aca="false">IF(G3752&lt;Parametres!$B$8*Parametres!$B$7,0,MIN(G3752,Parametres!$B$7))</f>
        <v>0</v>
      </c>
      <c r="I3752" s="20" t="n">
        <f aca="false">G3752-H3752</f>
        <v>18</v>
      </c>
      <c r="J3752" s="21" t="n">
        <f aca="false">H3752*1000/Parametres!$B$9</f>
        <v>0</v>
      </c>
    </row>
    <row r="3753" customFormat="false" ht="15" hidden="false" customHeight="false" outlineLevel="0" collapsed="false">
      <c r="A3753" s="0" t="n">
        <v>3749</v>
      </c>
      <c r="B3753" s="0" t="n">
        <v>6</v>
      </c>
      <c r="C3753" s="19" t="n">
        <v>0</v>
      </c>
      <c r="D3753" s="19" t="n">
        <v>0.2471</v>
      </c>
      <c r="E3753" s="20" t="n">
        <f aca="false">Parametres!$B$5*C3753</f>
        <v>0</v>
      </c>
      <c r="F3753" s="20" t="n">
        <f aca="false">Parametres!$B$6*D3753</f>
        <v>49.42</v>
      </c>
      <c r="G3753" s="20" t="n">
        <f aca="false">E3753+F3753</f>
        <v>49.42</v>
      </c>
      <c r="H3753" s="20" t="n">
        <f aca="false">IF(G3753&lt;Parametres!$B$8*Parametres!$B$7,0,MIN(G3753,Parametres!$B$7))</f>
        <v>49.42</v>
      </c>
      <c r="I3753" s="20" t="n">
        <f aca="false">G3753-H3753</f>
        <v>0</v>
      </c>
      <c r="J3753" s="21" t="n">
        <f aca="false">H3753*1000/Parametres!$B$9</f>
        <v>838.053247413939</v>
      </c>
    </row>
    <row r="3754" customFormat="false" ht="15" hidden="false" customHeight="false" outlineLevel="0" collapsed="false">
      <c r="A3754" s="0" t="n">
        <v>3750</v>
      </c>
      <c r="B3754" s="0" t="n">
        <v>6</v>
      </c>
      <c r="C3754" s="19" t="n">
        <v>0.0519</v>
      </c>
      <c r="D3754" s="19" t="n">
        <v>0.127</v>
      </c>
      <c r="E3754" s="20" t="n">
        <f aca="false">Parametres!$B$5*C3754</f>
        <v>15.57</v>
      </c>
      <c r="F3754" s="20" t="n">
        <f aca="false">Parametres!$B$6*D3754</f>
        <v>25.4</v>
      </c>
      <c r="G3754" s="20" t="n">
        <f aca="false">E3754+F3754</f>
        <v>40.97</v>
      </c>
      <c r="H3754" s="20" t="n">
        <f aca="false">IF(G3754&lt;Parametres!$B$8*Parametres!$B$7,0,MIN(G3754,Parametres!$B$7))</f>
        <v>40.97</v>
      </c>
      <c r="I3754" s="20" t="n">
        <f aca="false">G3754-H3754</f>
        <v>0</v>
      </c>
      <c r="J3754" s="21" t="n">
        <f aca="false">H3754*1000/Parametres!$B$9</f>
        <v>694.76004748177</v>
      </c>
    </row>
    <row r="3755" customFormat="false" ht="15" hidden="false" customHeight="false" outlineLevel="0" collapsed="false">
      <c r="A3755" s="0" t="n">
        <v>3751</v>
      </c>
      <c r="B3755" s="0" t="n">
        <v>6</v>
      </c>
      <c r="C3755" s="19" t="n">
        <v>0.2546</v>
      </c>
      <c r="D3755" s="19" t="n">
        <v>0.1505</v>
      </c>
      <c r="E3755" s="20" t="n">
        <f aca="false">Parametres!$B$5*C3755</f>
        <v>76.38</v>
      </c>
      <c r="F3755" s="20" t="n">
        <f aca="false">Parametres!$B$6*D3755</f>
        <v>30.1</v>
      </c>
      <c r="G3755" s="20" t="n">
        <f aca="false">E3755+F3755</f>
        <v>106.48</v>
      </c>
      <c r="H3755" s="20" t="n">
        <f aca="false">IF(G3755&lt;Parametres!$B$8*Parametres!$B$7,0,MIN(G3755,Parametres!$B$7))</f>
        <v>106.48</v>
      </c>
      <c r="I3755" s="20" t="n">
        <f aca="false">G3755-H3755</f>
        <v>0</v>
      </c>
      <c r="J3755" s="21" t="n">
        <f aca="false">H3755*1000/Parametres!$B$9</f>
        <v>1805.66389689673</v>
      </c>
    </row>
    <row r="3756" customFormat="false" ht="15" hidden="false" customHeight="false" outlineLevel="0" collapsed="false">
      <c r="A3756" s="0" t="n">
        <v>3752</v>
      </c>
      <c r="B3756" s="0" t="n">
        <v>6</v>
      </c>
      <c r="C3756" s="19" t="n">
        <v>0.4601</v>
      </c>
      <c r="D3756" s="19" t="n">
        <v>0.2384</v>
      </c>
      <c r="E3756" s="20" t="n">
        <f aca="false">Parametres!$B$5*C3756</f>
        <v>138.03</v>
      </c>
      <c r="F3756" s="20" t="n">
        <f aca="false">Parametres!$B$6*D3756</f>
        <v>47.68</v>
      </c>
      <c r="G3756" s="20" t="n">
        <f aca="false">E3756+F3756</f>
        <v>185.71</v>
      </c>
      <c r="H3756" s="20" t="n">
        <f aca="false">IF(G3756&lt;Parametres!$B$8*Parametres!$B$7,0,MIN(G3756,Parametres!$B$7))</f>
        <v>185.71</v>
      </c>
      <c r="I3756" s="20" t="n">
        <f aca="false">G3756-H3756</f>
        <v>0</v>
      </c>
      <c r="J3756" s="21" t="n">
        <f aca="false">H3756*1000/Parametres!$B$9</f>
        <v>3149.22842123113</v>
      </c>
    </row>
    <row r="3757" customFormat="false" ht="15" hidden="false" customHeight="false" outlineLevel="0" collapsed="false">
      <c r="A3757" s="0" t="n">
        <v>3753</v>
      </c>
      <c r="B3757" s="0" t="n">
        <v>6</v>
      </c>
      <c r="C3757" s="19" t="n">
        <v>0.6584</v>
      </c>
      <c r="D3757" s="19" t="n">
        <v>0.2717</v>
      </c>
      <c r="E3757" s="20" t="n">
        <f aca="false">Parametres!$B$5*C3757</f>
        <v>197.52</v>
      </c>
      <c r="F3757" s="20" t="n">
        <f aca="false">Parametres!$B$6*D3757</f>
        <v>54.34</v>
      </c>
      <c r="G3757" s="20" t="n">
        <f aca="false">E3757+F3757</f>
        <v>251.86</v>
      </c>
      <c r="H3757" s="20" t="n">
        <f aca="false">IF(G3757&lt;Parametres!$B$8*Parametres!$B$7,0,MIN(G3757,Parametres!$B$7))</f>
        <v>250</v>
      </c>
      <c r="I3757" s="20" t="n">
        <f aca="false">G3757-H3757</f>
        <v>1.85999999999999</v>
      </c>
      <c r="J3757" s="21" t="n">
        <f aca="false">H3757*1000/Parametres!$B$9</f>
        <v>4239.44378497541</v>
      </c>
    </row>
    <row r="3758" customFormat="false" ht="15" hidden="false" customHeight="false" outlineLevel="0" collapsed="false">
      <c r="A3758" s="0" t="n">
        <v>3754</v>
      </c>
      <c r="B3758" s="0" t="n">
        <v>6</v>
      </c>
      <c r="C3758" s="19" t="n">
        <v>0.8371</v>
      </c>
      <c r="D3758" s="19" t="n">
        <v>0.2449</v>
      </c>
      <c r="E3758" s="20" t="n">
        <f aca="false">Parametres!$B$5*C3758</f>
        <v>251.13</v>
      </c>
      <c r="F3758" s="20" t="n">
        <f aca="false">Parametres!$B$6*D3758</f>
        <v>48.98</v>
      </c>
      <c r="G3758" s="20" t="n">
        <f aca="false">E3758+F3758</f>
        <v>300.11</v>
      </c>
      <c r="H3758" s="20" t="n">
        <f aca="false">IF(G3758&lt;Parametres!$B$8*Parametres!$B$7,0,MIN(G3758,Parametres!$B$7))</f>
        <v>250</v>
      </c>
      <c r="I3758" s="20" t="n">
        <f aca="false">G3758-H3758</f>
        <v>50.11</v>
      </c>
      <c r="J3758" s="21" t="n">
        <f aca="false">H3758*1000/Parametres!$B$9</f>
        <v>4239.44378497541</v>
      </c>
    </row>
    <row r="3759" customFormat="false" ht="15" hidden="false" customHeight="false" outlineLevel="0" collapsed="false">
      <c r="A3759" s="0" t="n">
        <v>3755</v>
      </c>
      <c r="B3759" s="0" t="n">
        <v>6</v>
      </c>
      <c r="C3759" s="19" t="n">
        <v>0.95</v>
      </c>
      <c r="D3759" s="19" t="n">
        <v>0.638</v>
      </c>
      <c r="E3759" s="20" t="n">
        <f aca="false">Parametres!$B$5*C3759</f>
        <v>285</v>
      </c>
      <c r="F3759" s="20" t="n">
        <f aca="false">Parametres!$B$6*D3759</f>
        <v>127.6</v>
      </c>
      <c r="G3759" s="20" t="n">
        <f aca="false">E3759+F3759</f>
        <v>412.6</v>
      </c>
      <c r="H3759" s="20" t="n">
        <f aca="false">IF(G3759&lt;Parametres!$B$8*Parametres!$B$7,0,MIN(G3759,Parametres!$B$7))</f>
        <v>250</v>
      </c>
      <c r="I3759" s="20" t="n">
        <f aca="false">G3759-H3759</f>
        <v>162.6</v>
      </c>
      <c r="J3759" s="21" t="n">
        <f aca="false">H3759*1000/Parametres!$B$9</f>
        <v>4239.44378497541</v>
      </c>
    </row>
    <row r="3760" customFormat="false" ht="15" hidden="false" customHeight="false" outlineLevel="0" collapsed="false">
      <c r="A3760" s="0" t="n">
        <v>3756</v>
      </c>
      <c r="B3760" s="0" t="n">
        <v>6</v>
      </c>
      <c r="C3760" s="19" t="n">
        <v>1</v>
      </c>
      <c r="D3760" s="19" t="n">
        <v>0.6037</v>
      </c>
      <c r="E3760" s="20" t="n">
        <f aca="false">Parametres!$B$5*C3760</f>
        <v>300</v>
      </c>
      <c r="F3760" s="20" t="n">
        <f aca="false">Parametres!$B$6*D3760</f>
        <v>120.74</v>
      </c>
      <c r="G3760" s="20" t="n">
        <f aca="false">E3760+F3760</f>
        <v>420.74</v>
      </c>
      <c r="H3760" s="20" t="n">
        <f aca="false">IF(G3760&lt;Parametres!$B$8*Parametres!$B$7,0,MIN(G3760,Parametres!$B$7))</f>
        <v>250</v>
      </c>
      <c r="I3760" s="20" t="n">
        <f aca="false">G3760-H3760</f>
        <v>170.74</v>
      </c>
      <c r="J3760" s="21" t="n">
        <f aca="false">H3760*1000/Parametres!$B$9</f>
        <v>4239.44378497541</v>
      </c>
    </row>
    <row r="3761" customFormat="false" ht="15" hidden="false" customHeight="false" outlineLevel="0" collapsed="false">
      <c r="A3761" s="0" t="n">
        <v>3757</v>
      </c>
      <c r="B3761" s="0" t="n">
        <v>6</v>
      </c>
      <c r="C3761" s="19" t="n">
        <v>1</v>
      </c>
      <c r="D3761" s="19" t="n">
        <v>0.6412</v>
      </c>
      <c r="E3761" s="20" t="n">
        <f aca="false">Parametres!$B$5*C3761</f>
        <v>300</v>
      </c>
      <c r="F3761" s="20" t="n">
        <f aca="false">Parametres!$B$6*D3761</f>
        <v>128.24</v>
      </c>
      <c r="G3761" s="20" t="n">
        <f aca="false">E3761+F3761</f>
        <v>428.24</v>
      </c>
      <c r="H3761" s="20" t="n">
        <f aca="false">IF(G3761&lt;Parametres!$B$8*Parametres!$B$7,0,MIN(G3761,Parametres!$B$7))</f>
        <v>250</v>
      </c>
      <c r="I3761" s="20" t="n">
        <f aca="false">G3761-H3761</f>
        <v>178.24</v>
      </c>
      <c r="J3761" s="21" t="n">
        <f aca="false">H3761*1000/Parametres!$B$9</f>
        <v>4239.44378497541</v>
      </c>
    </row>
    <row r="3762" customFormat="false" ht="15" hidden="false" customHeight="false" outlineLevel="0" collapsed="false">
      <c r="A3762" s="0" t="n">
        <v>3758</v>
      </c>
      <c r="B3762" s="0" t="n">
        <v>6</v>
      </c>
      <c r="C3762" s="19" t="n">
        <v>1</v>
      </c>
      <c r="D3762" s="19" t="n">
        <v>0.5544</v>
      </c>
      <c r="E3762" s="20" t="n">
        <f aca="false">Parametres!$B$5*C3762</f>
        <v>300</v>
      </c>
      <c r="F3762" s="20" t="n">
        <f aca="false">Parametres!$B$6*D3762</f>
        <v>110.88</v>
      </c>
      <c r="G3762" s="20" t="n">
        <f aca="false">E3762+F3762</f>
        <v>410.88</v>
      </c>
      <c r="H3762" s="20" t="n">
        <f aca="false">IF(G3762&lt;Parametres!$B$8*Parametres!$B$7,0,MIN(G3762,Parametres!$B$7))</f>
        <v>250</v>
      </c>
      <c r="I3762" s="20" t="n">
        <f aca="false">G3762-H3762</f>
        <v>160.88</v>
      </c>
      <c r="J3762" s="21" t="n">
        <f aca="false">H3762*1000/Parametres!$B$9</f>
        <v>4239.44378497541</v>
      </c>
    </row>
    <row r="3763" customFormat="false" ht="15" hidden="false" customHeight="false" outlineLevel="0" collapsed="false">
      <c r="A3763" s="0" t="n">
        <v>3759</v>
      </c>
      <c r="B3763" s="0" t="n">
        <v>6</v>
      </c>
      <c r="C3763" s="19" t="n">
        <v>0.7921</v>
      </c>
      <c r="D3763" s="19" t="n">
        <v>0.9022</v>
      </c>
      <c r="E3763" s="20" t="n">
        <f aca="false">Parametres!$B$5*C3763</f>
        <v>237.63</v>
      </c>
      <c r="F3763" s="20" t="n">
        <f aca="false">Parametres!$B$6*D3763</f>
        <v>180.44</v>
      </c>
      <c r="G3763" s="20" t="n">
        <f aca="false">E3763+F3763</f>
        <v>418.07</v>
      </c>
      <c r="H3763" s="20" t="n">
        <f aca="false">IF(G3763&lt;Parametres!$B$8*Parametres!$B$7,0,MIN(G3763,Parametres!$B$7))</f>
        <v>250</v>
      </c>
      <c r="I3763" s="20" t="n">
        <f aca="false">G3763-H3763</f>
        <v>168.07</v>
      </c>
      <c r="J3763" s="21" t="n">
        <f aca="false">H3763*1000/Parametres!$B$9</f>
        <v>4239.44378497541</v>
      </c>
    </row>
    <row r="3764" customFormat="false" ht="15" hidden="false" customHeight="false" outlineLevel="0" collapsed="false">
      <c r="A3764" s="0" t="n">
        <v>3760</v>
      </c>
      <c r="B3764" s="0" t="n">
        <v>6</v>
      </c>
      <c r="C3764" s="19" t="n">
        <v>0.6354</v>
      </c>
      <c r="D3764" s="19" t="n">
        <v>0.431</v>
      </c>
      <c r="E3764" s="20" t="n">
        <f aca="false">Parametres!$B$5*C3764</f>
        <v>190.62</v>
      </c>
      <c r="F3764" s="20" t="n">
        <f aca="false">Parametres!$B$6*D3764</f>
        <v>86.2</v>
      </c>
      <c r="G3764" s="20" t="n">
        <f aca="false">E3764+F3764</f>
        <v>276.82</v>
      </c>
      <c r="H3764" s="20" t="n">
        <f aca="false">IF(G3764&lt;Parametres!$B$8*Parametres!$B$7,0,MIN(G3764,Parametres!$B$7))</f>
        <v>250</v>
      </c>
      <c r="I3764" s="20" t="n">
        <f aca="false">G3764-H3764</f>
        <v>26.82</v>
      </c>
      <c r="J3764" s="21" t="n">
        <f aca="false">H3764*1000/Parametres!$B$9</f>
        <v>4239.44378497541</v>
      </c>
    </row>
    <row r="3765" customFormat="false" ht="15" hidden="false" customHeight="false" outlineLevel="0" collapsed="false">
      <c r="A3765" s="0" t="n">
        <v>3761</v>
      </c>
      <c r="B3765" s="0" t="n">
        <v>6</v>
      </c>
      <c r="C3765" s="19" t="n">
        <v>0.4651</v>
      </c>
      <c r="D3765" s="19" t="n">
        <v>0.3011</v>
      </c>
      <c r="E3765" s="20" t="n">
        <f aca="false">Parametres!$B$5*C3765</f>
        <v>139.53</v>
      </c>
      <c r="F3765" s="20" t="n">
        <f aca="false">Parametres!$B$6*D3765</f>
        <v>60.22</v>
      </c>
      <c r="G3765" s="20" t="n">
        <f aca="false">E3765+F3765</f>
        <v>199.75</v>
      </c>
      <c r="H3765" s="20" t="n">
        <f aca="false">IF(G3765&lt;Parametres!$B$8*Parametres!$B$7,0,MIN(G3765,Parametres!$B$7))</f>
        <v>199.75</v>
      </c>
      <c r="I3765" s="20" t="n">
        <f aca="false">G3765-H3765</f>
        <v>0</v>
      </c>
      <c r="J3765" s="21" t="n">
        <f aca="false">H3765*1000/Parametres!$B$9</f>
        <v>3387.31558419535</v>
      </c>
    </row>
    <row r="3766" customFormat="false" ht="15" hidden="false" customHeight="false" outlineLevel="0" collapsed="false">
      <c r="A3766" s="0" t="n">
        <v>3762</v>
      </c>
      <c r="B3766" s="0" t="n">
        <v>6</v>
      </c>
      <c r="C3766" s="19" t="n">
        <v>0.2506</v>
      </c>
      <c r="D3766" s="19" t="n">
        <v>0.2424</v>
      </c>
      <c r="E3766" s="20" t="n">
        <f aca="false">Parametres!$B$5*C3766</f>
        <v>75.18</v>
      </c>
      <c r="F3766" s="20" t="n">
        <f aca="false">Parametres!$B$6*D3766</f>
        <v>48.48</v>
      </c>
      <c r="G3766" s="20" t="n">
        <f aca="false">E3766+F3766</f>
        <v>123.66</v>
      </c>
      <c r="H3766" s="20" t="n">
        <f aca="false">IF(G3766&lt;Parametres!$B$8*Parametres!$B$7,0,MIN(G3766,Parametres!$B$7))</f>
        <v>123.66</v>
      </c>
      <c r="I3766" s="20" t="n">
        <f aca="false">G3766-H3766</f>
        <v>0</v>
      </c>
      <c r="J3766" s="21" t="n">
        <f aca="false">H3766*1000/Parametres!$B$9</f>
        <v>2096.99847380024</v>
      </c>
    </row>
    <row r="3767" customFormat="false" ht="15" hidden="false" customHeight="false" outlineLevel="0" collapsed="false">
      <c r="A3767" s="0" t="n">
        <v>3763</v>
      </c>
      <c r="B3767" s="0" t="n">
        <v>6</v>
      </c>
      <c r="C3767" s="19" t="n">
        <v>0.0523</v>
      </c>
      <c r="D3767" s="19" t="n">
        <v>0.2685</v>
      </c>
      <c r="E3767" s="20" t="n">
        <f aca="false">Parametres!$B$5*C3767</f>
        <v>15.69</v>
      </c>
      <c r="F3767" s="20" t="n">
        <f aca="false">Parametres!$B$6*D3767</f>
        <v>53.7</v>
      </c>
      <c r="G3767" s="20" t="n">
        <f aca="false">E3767+F3767</f>
        <v>69.39</v>
      </c>
      <c r="H3767" s="20" t="n">
        <f aca="false">IF(G3767&lt;Parametres!$B$8*Parametres!$B$7,0,MIN(G3767,Parametres!$B$7))</f>
        <v>69.39</v>
      </c>
      <c r="I3767" s="20" t="n">
        <f aca="false">G3767-H3767</f>
        <v>0</v>
      </c>
      <c r="J3767" s="21" t="n">
        <f aca="false">H3767*1000/Parametres!$B$9</f>
        <v>1176.70001695778</v>
      </c>
    </row>
    <row r="3768" customFormat="false" ht="15" hidden="false" customHeight="false" outlineLevel="0" collapsed="false">
      <c r="A3768" s="0" t="n">
        <v>3764</v>
      </c>
      <c r="B3768" s="0" t="n">
        <v>6</v>
      </c>
      <c r="C3768" s="19" t="n">
        <v>0</v>
      </c>
      <c r="D3768" s="19" t="n">
        <v>0.2907</v>
      </c>
      <c r="E3768" s="20" t="n">
        <f aca="false">Parametres!$B$5*C3768</f>
        <v>0</v>
      </c>
      <c r="F3768" s="20" t="n">
        <f aca="false">Parametres!$B$6*D3768</f>
        <v>58.14</v>
      </c>
      <c r="G3768" s="20" t="n">
        <f aca="false">E3768+F3768</f>
        <v>58.14</v>
      </c>
      <c r="H3768" s="20" t="n">
        <f aca="false">IF(G3768&lt;Parametres!$B$8*Parametres!$B$7,0,MIN(G3768,Parametres!$B$7))</f>
        <v>58.14</v>
      </c>
      <c r="I3768" s="20" t="n">
        <f aca="false">G3768-H3768</f>
        <v>0</v>
      </c>
      <c r="J3768" s="21" t="n">
        <f aca="false">H3768*1000/Parametres!$B$9</f>
        <v>985.925046633882</v>
      </c>
    </row>
    <row r="3769" customFormat="false" ht="15" hidden="false" customHeight="false" outlineLevel="0" collapsed="false">
      <c r="A3769" s="0" t="n">
        <v>3765</v>
      </c>
      <c r="B3769" s="0" t="n">
        <v>6</v>
      </c>
      <c r="C3769" s="19" t="n">
        <v>0</v>
      </c>
      <c r="D3769" s="19" t="n">
        <v>0.3963</v>
      </c>
      <c r="E3769" s="20" t="n">
        <f aca="false">Parametres!$B$5*C3769</f>
        <v>0</v>
      </c>
      <c r="F3769" s="20" t="n">
        <f aca="false">Parametres!$B$6*D3769</f>
        <v>79.26</v>
      </c>
      <c r="G3769" s="20" t="n">
        <f aca="false">E3769+F3769</f>
        <v>79.26</v>
      </c>
      <c r="H3769" s="20" t="n">
        <f aca="false">IF(G3769&lt;Parametres!$B$8*Parametres!$B$7,0,MIN(G3769,Parametres!$B$7))</f>
        <v>79.26</v>
      </c>
      <c r="I3769" s="20" t="n">
        <f aca="false">G3769-H3769</f>
        <v>0</v>
      </c>
      <c r="J3769" s="21" t="n">
        <f aca="false">H3769*1000/Parametres!$B$9</f>
        <v>1344.0732575886</v>
      </c>
    </row>
    <row r="3770" customFormat="false" ht="15" hidden="false" customHeight="false" outlineLevel="0" collapsed="false">
      <c r="A3770" s="0" t="n">
        <v>3766</v>
      </c>
      <c r="B3770" s="0" t="n">
        <v>6</v>
      </c>
      <c r="C3770" s="19" t="n">
        <v>0</v>
      </c>
      <c r="D3770" s="19" t="n">
        <v>0.3332</v>
      </c>
      <c r="E3770" s="20" t="n">
        <f aca="false">Parametres!$B$5*C3770</f>
        <v>0</v>
      </c>
      <c r="F3770" s="20" t="n">
        <f aca="false">Parametres!$B$6*D3770</f>
        <v>66.64</v>
      </c>
      <c r="G3770" s="20" t="n">
        <f aca="false">E3770+F3770</f>
        <v>66.64</v>
      </c>
      <c r="H3770" s="20" t="n">
        <f aca="false">IF(G3770&lt;Parametres!$B$8*Parametres!$B$7,0,MIN(G3770,Parametres!$B$7))</f>
        <v>66.64</v>
      </c>
      <c r="I3770" s="20" t="n">
        <f aca="false">G3770-H3770</f>
        <v>0</v>
      </c>
      <c r="J3770" s="21" t="n">
        <f aca="false">H3770*1000/Parametres!$B$9</f>
        <v>1130.06613532305</v>
      </c>
    </row>
    <row r="3771" customFormat="false" ht="15" hidden="false" customHeight="false" outlineLevel="0" collapsed="false">
      <c r="A3771" s="0" t="n">
        <v>3767</v>
      </c>
      <c r="B3771" s="0" t="n">
        <v>6</v>
      </c>
      <c r="C3771" s="19" t="n">
        <v>0</v>
      </c>
      <c r="D3771" s="19" t="n">
        <v>0.2118</v>
      </c>
      <c r="E3771" s="20" t="n">
        <f aca="false">Parametres!$B$5*C3771</f>
        <v>0</v>
      </c>
      <c r="F3771" s="20" t="n">
        <f aca="false">Parametres!$B$6*D3771</f>
        <v>42.36</v>
      </c>
      <c r="G3771" s="20" t="n">
        <f aca="false">E3771+F3771</f>
        <v>42.36</v>
      </c>
      <c r="H3771" s="20" t="n">
        <f aca="false">IF(G3771&lt;Parametres!$B$8*Parametres!$B$7,0,MIN(G3771,Parametres!$B$7))</f>
        <v>42.36</v>
      </c>
      <c r="I3771" s="20" t="n">
        <f aca="false">G3771-H3771</f>
        <v>0</v>
      </c>
      <c r="J3771" s="21" t="n">
        <f aca="false">H3771*1000/Parametres!$B$9</f>
        <v>718.331354926234</v>
      </c>
    </row>
    <row r="3772" customFormat="false" ht="15" hidden="false" customHeight="false" outlineLevel="0" collapsed="false">
      <c r="A3772" s="0" t="n">
        <v>3768</v>
      </c>
      <c r="B3772" s="0" t="n">
        <v>6</v>
      </c>
      <c r="C3772" s="19" t="n">
        <v>0</v>
      </c>
      <c r="D3772" s="19" t="n">
        <v>0.1779</v>
      </c>
      <c r="E3772" s="20" t="n">
        <f aca="false">Parametres!$B$5*C3772</f>
        <v>0</v>
      </c>
      <c r="F3772" s="20" t="n">
        <f aca="false">Parametres!$B$6*D3772</f>
        <v>35.58</v>
      </c>
      <c r="G3772" s="20" t="n">
        <f aca="false">E3772+F3772</f>
        <v>35.58</v>
      </c>
      <c r="H3772" s="20" t="n">
        <f aca="false">IF(G3772&lt;Parametres!$B$8*Parametres!$B$7,0,MIN(G3772,Parametres!$B$7))</f>
        <v>35.58</v>
      </c>
      <c r="I3772" s="20" t="n">
        <f aca="false">G3772-H3772</f>
        <v>0</v>
      </c>
      <c r="J3772" s="21" t="n">
        <f aca="false">H3772*1000/Parametres!$B$9</f>
        <v>603.357639477701</v>
      </c>
    </row>
    <row r="3773" customFormat="false" ht="15" hidden="false" customHeight="false" outlineLevel="0" collapsed="false">
      <c r="A3773" s="0" t="n">
        <v>3769</v>
      </c>
      <c r="B3773" s="0" t="n">
        <v>6</v>
      </c>
      <c r="C3773" s="19" t="n">
        <v>0</v>
      </c>
      <c r="D3773" s="19" t="n">
        <v>0.1011</v>
      </c>
      <c r="E3773" s="20" t="n">
        <f aca="false">Parametres!$B$5*C3773</f>
        <v>0</v>
      </c>
      <c r="F3773" s="20" t="n">
        <f aca="false">Parametres!$B$6*D3773</f>
        <v>20.22</v>
      </c>
      <c r="G3773" s="20" t="n">
        <f aca="false">E3773+F3773</f>
        <v>20.22</v>
      </c>
      <c r="H3773" s="20" t="n">
        <f aca="false">IF(G3773&lt;Parametres!$B$8*Parametres!$B$7,0,MIN(G3773,Parametres!$B$7))</f>
        <v>0</v>
      </c>
      <c r="I3773" s="20" t="n">
        <f aca="false">G3773-H3773</f>
        <v>20.22</v>
      </c>
      <c r="J3773" s="21" t="n">
        <f aca="false">H3773*1000/Parametres!$B$9</f>
        <v>0</v>
      </c>
    </row>
    <row r="3774" customFormat="false" ht="15" hidden="false" customHeight="false" outlineLevel="0" collapsed="false">
      <c r="A3774" s="0" t="n">
        <v>3770</v>
      </c>
      <c r="B3774" s="0" t="n">
        <v>6</v>
      </c>
      <c r="C3774" s="19" t="n">
        <v>0</v>
      </c>
      <c r="D3774" s="19" t="n">
        <v>0.0663</v>
      </c>
      <c r="E3774" s="20" t="n">
        <f aca="false">Parametres!$B$5*C3774</f>
        <v>0</v>
      </c>
      <c r="F3774" s="20" t="n">
        <f aca="false">Parametres!$B$6*D3774</f>
        <v>13.26</v>
      </c>
      <c r="G3774" s="20" t="n">
        <f aca="false">E3774+F3774</f>
        <v>13.26</v>
      </c>
      <c r="H3774" s="20" t="n">
        <f aca="false">IF(G3774&lt;Parametres!$B$8*Parametres!$B$7,0,MIN(G3774,Parametres!$B$7))</f>
        <v>0</v>
      </c>
      <c r="I3774" s="20" t="n">
        <f aca="false">G3774-H3774</f>
        <v>13.26</v>
      </c>
      <c r="J3774" s="21" t="n">
        <f aca="false">H3774*1000/Parametres!$B$9</f>
        <v>0</v>
      </c>
    </row>
    <row r="3775" customFormat="false" ht="15" hidden="false" customHeight="false" outlineLevel="0" collapsed="false">
      <c r="A3775" s="0" t="n">
        <v>3771</v>
      </c>
      <c r="B3775" s="0" t="n">
        <v>6</v>
      </c>
      <c r="C3775" s="19" t="n">
        <v>0</v>
      </c>
      <c r="D3775" s="19" t="n">
        <v>0.045</v>
      </c>
      <c r="E3775" s="20" t="n">
        <f aca="false">Parametres!$B$5*C3775</f>
        <v>0</v>
      </c>
      <c r="F3775" s="20" t="n">
        <f aca="false">Parametres!$B$6*D3775</f>
        <v>9</v>
      </c>
      <c r="G3775" s="20" t="n">
        <f aca="false">E3775+F3775</f>
        <v>9</v>
      </c>
      <c r="H3775" s="20" t="n">
        <f aca="false">IF(G3775&lt;Parametres!$B$8*Parametres!$B$7,0,MIN(G3775,Parametres!$B$7))</f>
        <v>0</v>
      </c>
      <c r="I3775" s="20" t="n">
        <f aca="false">G3775-H3775</f>
        <v>9</v>
      </c>
      <c r="J3775" s="21" t="n">
        <f aca="false">H3775*1000/Parametres!$B$9</f>
        <v>0</v>
      </c>
    </row>
    <row r="3776" customFormat="false" ht="15" hidden="false" customHeight="false" outlineLevel="0" collapsed="false">
      <c r="A3776" s="0" t="n">
        <v>3772</v>
      </c>
      <c r="B3776" s="0" t="n">
        <v>6</v>
      </c>
      <c r="C3776" s="19" t="n">
        <v>0</v>
      </c>
      <c r="D3776" s="19" t="n">
        <v>0.0513</v>
      </c>
      <c r="E3776" s="20" t="n">
        <f aca="false">Parametres!$B$5*C3776</f>
        <v>0</v>
      </c>
      <c r="F3776" s="20" t="n">
        <f aca="false">Parametres!$B$6*D3776</f>
        <v>10.26</v>
      </c>
      <c r="G3776" s="20" t="n">
        <f aca="false">E3776+F3776</f>
        <v>10.26</v>
      </c>
      <c r="H3776" s="20" t="n">
        <f aca="false">IF(G3776&lt;Parametres!$B$8*Parametres!$B$7,0,MIN(G3776,Parametres!$B$7))</f>
        <v>0</v>
      </c>
      <c r="I3776" s="20" t="n">
        <f aca="false">G3776-H3776</f>
        <v>10.26</v>
      </c>
      <c r="J3776" s="21" t="n">
        <f aca="false">H3776*1000/Parametres!$B$9</f>
        <v>0</v>
      </c>
    </row>
    <row r="3777" customFormat="false" ht="15" hidden="false" customHeight="false" outlineLevel="0" collapsed="false">
      <c r="A3777" s="0" t="n">
        <v>3773</v>
      </c>
      <c r="B3777" s="0" t="n">
        <v>6</v>
      </c>
      <c r="C3777" s="19" t="n">
        <v>0</v>
      </c>
      <c r="D3777" s="19" t="n">
        <v>0.0812</v>
      </c>
      <c r="E3777" s="20" t="n">
        <f aca="false">Parametres!$B$5*C3777</f>
        <v>0</v>
      </c>
      <c r="F3777" s="20" t="n">
        <f aca="false">Parametres!$B$6*D3777</f>
        <v>16.24</v>
      </c>
      <c r="G3777" s="20" t="n">
        <f aca="false">E3777+F3777</f>
        <v>16.24</v>
      </c>
      <c r="H3777" s="20" t="n">
        <f aca="false">IF(G3777&lt;Parametres!$B$8*Parametres!$B$7,0,MIN(G3777,Parametres!$B$7))</f>
        <v>0</v>
      </c>
      <c r="I3777" s="20" t="n">
        <f aca="false">G3777-H3777</f>
        <v>16.24</v>
      </c>
      <c r="J3777" s="21" t="n">
        <f aca="false">H3777*1000/Parametres!$B$9</f>
        <v>0</v>
      </c>
    </row>
    <row r="3778" customFormat="false" ht="15" hidden="false" customHeight="false" outlineLevel="0" collapsed="false">
      <c r="A3778" s="0" t="n">
        <v>3774</v>
      </c>
      <c r="B3778" s="0" t="n">
        <v>6</v>
      </c>
      <c r="C3778" s="19" t="n">
        <v>0.0604</v>
      </c>
      <c r="D3778" s="19" t="n">
        <v>0.0449</v>
      </c>
      <c r="E3778" s="20" t="n">
        <f aca="false">Parametres!$B$5*C3778</f>
        <v>18.12</v>
      </c>
      <c r="F3778" s="20" t="n">
        <f aca="false">Parametres!$B$6*D3778</f>
        <v>8.98</v>
      </c>
      <c r="G3778" s="20" t="n">
        <f aca="false">E3778+F3778</f>
        <v>27.1</v>
      </c>
      <c r="H3778" s="20" t="n">
        <f aca="false">IF(G3778&lt;Parametres!$B$8*Parametres!$B$7,0,MIN(G3778,Parametres!$B$7))</f>
        <v>27.1</v>
      </c>
      <c r="I3778" s="20" t="n">
        <f aca="false">G3778-H3778</f>
        <v>0</v>
      </c>
      <c r="J3778" s="21" t="n">
        <f aca="false">H3778*1000/Parametres!$B$9</f>
        <v>459.555706291335</v>
      </c>
    </row>
    <row r="3779" customFormat="false" ht="15" hidden="false" customHeight="false" outlineLevel="0" collapsed="false">
      <c r="A3779" s="0" t="n">
        <v>3775</v>
      </c>
      <c r="B3779" s="0" t="n">
        <v>6</v>
      </c>
      <c r="C3779" s="19" t="n">
        <v>0.2969</v>
      </c>
      <c r="D3779" s="19" t="n">
        <v>0.0339</v>
      </c>
      <c r="E3779" s="20" t="n">
        <f aca="false">Parametres!$B$5*C3779</f>
        <v>89.07</v>
      </c>
      <c r="F3779" s="20" t="n">
        <f aca="false">Parametres!$B$6*D3779</f>
        <v>6.78</v>
      </c>
      <c r="G3779" s="20" t="n">
        <f aca="false">E3779+F3779</f>
        <v>95.85</v>
      </c>
      <c r="H3779" s="20" t="n">
        <f aca="false">IF(G3779&lt;Parametres!$B$8*Parametres!$B$7,0,MIN(G3779,Parametres!$B$7))</f>
        <v>95.85</v>
      </c>
      <c r="I3779" s="20" t="n">
        <f aca="false">G3779-H3779</f>
        <v>0</v>
      </c>
      <c r="J3779" s="21" t="n">
        <f aca="false">H3779*1000/Parametres!$B$9</f>
        <v>1625.40274715957</v>
      </c>
    </row>
    <row r="3780" customFormat="false" ht="15" hidden="false" customHeight="false" outlineLevel="0" collapsed="false">
      <c r="A3780" s="0" t="n">
        <v>3776</v>
      </c>
      <c r="B3780" s="0" t="n">
        <v>6</v>
      </c>
      <c r="C3780" s="19" t="n">
        <v>0.5514</v>
      </c>
      <c r="D3780" s="19" t="n">
        <v>0.0389</v>
      </c>
      <c r="E3780" s="20" t="n">
        <f aca="false">Parametres!$B$5*C3780</f>
        <v>165.42</v>
      </c>
      <c r="F3780" s="20" t="n">
        <f aca="false">Parametres!$B$6*D3780</f>
        <v>7.78</v>
      </c>
      <c r="G3780" s="20" t="n">
        <f aca="false">E3780+F3780</f>
        <v>173.2</v>
      </c>
      <c r="H3780" s="20" t="n">
        <f aca="false">IF(G3780&lt;Parametres!$B$8*Parametres!$B$7,0,MIN(G3780,Parametres!$B$7))</f>
        <v>173.2</v>
      </c>
      <c r="I3780" s="20" t="n">
        <f aca="false">G3780-H3780</f>
        <v>0</v>
      </c>
      <c r="J3780" s="21" t="n">
        <f aca="false">H3780*1000/Parametres!$B$9</f>
        <v>2937.08665423097</v>
      </c>
    </row>
    <row r="3781" customFormat="false" ht="15" hidden="false" customHeight="false" outlineLevel="0" collapsed="false">
      <c r="A3781" s="0" t="n">
        <v>3777</v>
      </c>
      <c r="B3781" s="0" t="n">
        <v>6</v>
      </c>
      <c r="C3781" s="19" t="n">
        <v>0.8461</v>
      </c>
      <c r="D3781" s="19" t="n">
        <v>0.0472</v>
      </c>
      <c r="E3781" s="20" t="n">
        <f aca="false">Parametres!$B$5*C3781</f>
        <v>253.83</v>
      </c>
      <c r="F3781" s="20" t="n">
        <f aca="false">Parametres!$B$6*D3781</f>
        <v>9.44</v>
      </c>
      <c r="G3781" s="20" t="n">
        <f aca="false">E3781+F3781</f>
        <v>263.27</v>
      </c>
      <c r="H3781" s="20" t="n">
        <f aca="false">IF(G3781&lt;Parametres!$B$8*Parametres!$B$7,0,MIN(G3781,Parametres!$B$7))</f>
        <v>250</v>
      </c>
      <c r="I3781" s="20" t="n">
        <f aca="false">G3781-H3781</f>
        <v>13.27</v>
      </c>
      <c r="J3781" s="21" t="n">
        <f aca="false">H3781*1000/Parametres!$B$9</f>
        <v>4239.44378497541</v>
      </c>
    </row>
    <row r="3782" customFormat="false" ht="15" hidden="false" customHeight="false" outlineLevel="0" collapsed="false">
      <c r="A3782" s="0" t="n">
        <v>3778</v>
      </c>
      <c r="B3782" s="0" t="n">
        <v>6</v>
      </c>
      <c r="C3782" s="19" t="n">
        <v>0.9671</v>
      </c>
      <c r="D3782" s="19" t="n">
        <v>0.0491</v>
      </c>
      <c r="E3782" s="20" t="n">
        <f aca="false">Parametres!$B$5*C3782</f>
        <v>290.13</v>
      </c>
      <c r="F3782" s="20" t="n">
        <f aca="false">Parametres!$B$6*D3782</f>
        <v>9.82</v>
      </c>
      <c r="G3782" s="20" t="n">
        <f aca="false">E3782+F3782</f>
        <v>299.95</v>
      </c>
      <c r="H3782" s="20" t="n">
        <f aca="false">IF(G3782&lt;Parametres!$B$8*Parametres!$B$7,0,MIN(G3782,Parametres!$B$7))</f>
        <v>250</v>
      </c>
      <c r="I3782" s="20" t="n">
        <f aca="false">G3782-H3782</f>
        <v>49.95</v>
      </c>
      <c r="J3782" s="21" t="n">
        <f aca="false">H3782*1000/Parametres!$B$9</f>
        <v>4239.44378497541</v>
      </c>
    </row>
    <row r="3783" customFormat="false" ht="15" hidden="false" customHeight="false" outlineLevel="0" collapsed="false">
      <c r="A3783" s="0" t="n">
        <v>3779</v>
      </c>
      <c r="B3783" s="0" t="n">
        <v>6</v>
      </c>
      <c r="C3783" s="19" t="n">
        <v>1</v>
      </c>
      <c r="D3783" s="19" t="n">
        <v>0.0847</v>
      </c>
      <c r="E3783" s="20" t="n">
        <f aca="false">Parametres!$B$5*C3783</f>
        <v>300</v>
      </c>
      <c r="F3783" s="20" t="n">
        <f aca="false">Parametres!$B$6*D3783</f>
        <v>16.94</v>
      </c>
      <c r="G3783" s="20" t="n">
        <f aca="false">E3783+F3783</f>
        <v>316.94</v>
      </c>
      <c r="H3783" s="20" t="n">
        <f aca="false">IF(G3783&lt;Parametres!$B$8*Parametres!$B$7,0,MIN(G3783,Parametres!$B$7))</f>
        <v>250</v>
      </c>
      <c r="I3783" s="20" t="n">
        <f aca="false">G3783-H3783</f>
        <v>66.94</v>
      </c>
      <c r="J3783" s="21" t="n">
        <f aca="false">H3783*1000/Parametres!$B$9</f>
        <v>4239.44378497541</v>
      </c>
    </row>
    <row r="3784" customFormat="false" ht="15" hidden="false" customHeight="false" outlineLevel="0" collapsed="false">
      <c r="A3784" s="0" t="n">
        <v>3780</v>
      </c>
      <c r="B3784" s="0" t="n">
        <v>6</v>
      </c>
      <c r="C3784" s="19" t="n">
        <v>1</v>
      </c>
      <c r="D3784" s="19" t="n">
        <v>0.0897</v>
      </c>
      <c r="E3784" s="20" t="n">
        <f aca="false">Parametres!$B$5*C3784</f>
        <v>300</v>
      </c>
      <c r="F3784" s="20" t="n">
        <f aca="false">Parametres!$B$6*D3784</f>
        <v>17.94</v>
      </c>
      <c r="G3784" s="20" t="n">
        <f aca="false">E3784+F3784</f>
        <v>317.94</v>
      </c>
      <c r="H3784" s="20" t="n">
        <f aca="false">IF(G3784&lt;Parametres!$B$8*Parametres!$B$7,0,MIN(G3784,Parametres!$B$7))</f>
        <v>250</v>
      </c>
      <c r="I3784" s="20" t="n">
        <f aca="false">G3784-H3784</f>
        <v>67.94</v>
      </c>
      <c r="J3784" s="21" t="n">
        <f aca="false">H3784*1000/Parametres!$B$9</f>
        <v>4239.44378497541</v>
      </c>
    </row>
    <row r="3785" customFormat="false" ht="15" hidden="false" customHeight="false" outlineLevel="0" collapsed="false">
      <c r="A3785" s="0" t="n">
        <v>3781</v>
      </c>
      <c r="B3785" s="0" t="n">
        <v>6</v>
      </c>
      <c r="C3785" s="19" t="n">
        <v>1</v>
      </c>
      <c r="D3785" s="19" t="n">
        <v>0.0351</v>
      </c>
      <c r="E3785" s="20" t="n">
        <f aca="false">Parametres!$B$5*C3785</f>
        <v>300</v>
      </c>
      <c r="F3785" s="20" t="n">
        <f aca="false">Parametres!$B$6*D3785</f>
        <v>7.02</v>
      </c>
      <c r="G3785" s="20" t="n">
        <f aca="false">E3785+F3785</f>
        <v>307.02</v>
      </c>
      <c r="H3785" s="20" t="n">
        <f aca="false">IF(G3785&lt;Parametres!$B$8*Parametres!$B$7,0,MIN(G3785,Parametres!$B$7))</f>
        <v>250</v>
      </c>
      <c r="I3785" s="20" t="n">
        <f aca="false">G3785-H3785</f>
        <v>57.02</v>
      </c>
      <c r="J3785" s="21" t="n">
        <f aca="false">H3785*1000/Parametres!$B$9</f>
        <v>4239.44378497541</v>
      </c>
    </row>
    <row r="3786" customFormat="false" ht="15" hidden="false" customHeight="false" outlineLevel="0" collapsed="false">
      <c r="A3786" s="0" t="n">
        <v>3782</v>
      </c>
      <c r="B3786" s="0" t="n">
        <v>6</v>
      </c>
      <c r="C3786" s="19" t="n">
        <v>1</v>
      </c>
      <c r="D3786" s="19" t="n">
        <v>0.0971</v>
      </c>
      <c r="E3786" s="20" t="n">
        <f aca="false">Parametres!$B$5*C3786</f>
        <v>300</v>
      </c>
      <c r="F3786" s="20" t="n">
        <f aca="false">Parametres!$B$6*D3786</f>
        <v>19.42</v>
      </c>
      <c r="G3786" s="20" t="n">
        <f aca="false">E3786+F3786</f>
        <v>319.42</v>
      </c>
      <c r="H3786" s="20" t="n">
        <f aca="false">IF(G3786&lt;Parametres!$B$8*Parametres!$B$7,0,MIN(G3786,Parametres!$B$7))</f>
        <v>250</v>
      </c>
      <c r="I3786" s="20" t="n">
        <f aca="false">G3786-H3786</f>
        <v>69.42</v>
      </c>
      <c r="J3786" s="21" t="n">
        <f aca="false">H3786*1000/Parametres!$B$9</f>
        <v>4239.44378497541</v>
      </c>
    </row>
    <row r="3787" customFormat="false" ht="15" hidden="false" customHeight="false" outlineLevel="0" collapsed="false">
      <c r="A3787" s="0" t="n">
        <v>3783</v>
      </c>
      <c r="B3787" s="0" t="n">
        <v>6</v>
      </c>
      <c r="C3787" s="19" t="n">
        <v>1</v>
      </c>
      <c r="D3787" s="19" t="n">
        <v>0.0503</v>
      </c>
      <c r="E3787" s="20" t="n">
        <f aca="false">Parametres!$B$5*C3787</f>
        <v>300</v>
      </c>
      <c r="F3787" s="20" t="n">
        <f aca="false">Parametres!$B$6*D3787</f>
        <v>10.06</v>
      </c>
      <c r="G3787" s="20" t="n">
        <f aca="false">E3787+F3787</f>
        <v>310.06</v>
      </c>
      <c r="H3787" s="20" t="n">
        <f aca="false">IF(G3787&lt;Parametres!$B$8*Parametres!$B$7,0,MIN(G3787,Parametres!$B$7))</f>
        <v>250</v>
      </c>
      <c r="I3787" s="20" t="n">
        <f aca="false">G3787-H3787</f>
        <v>60.06</v>
      </c>
      <c r="J3787" s="21" t="n">
        <f aca="false">H3787*1000/Parametres!$B$9</f>
        <v>4239.44378497541</v>
      </c>
    </row>
    <row r="3788" customFormat="false" ht="15" hidden="false" customHeight="false" outlineLevel="0" collapsed="false">
      <c r="A3788" s="0" t="n">
        <v>3784</v>
      </c>
      <c r="B3788" s="0" t="n">
        <v>6</v>
      </c>
      <c r="C3788" s="19" t="n">
        <v>0.8325</v>
      </c>
      <c r="D3788" s="19" t="n">
        <v>0.1462</v>
      </c>
      <c r="E3788" s="20" t="n">
        <f aca="false">Parametres!$B$5*C3788</f>
        <v>249.75</v>
      </c>
      <c r="F3788" s="20" t="n">
        <f aca="false">Parametres!$B$6*D3788</f>
        <v>29.24</v>
      </c>
      <c r="G3788" s="20" t="n">
        <f aca="false">E3788+F3788</f>
        <v>278.99</v>
      </c>
      <c r="H3788" s="20" t="n">
        <f aca="false">IF(G3788&lt;Parametres!$B$8*Parametres!$B$7,0,MIN(G3788,Parametres!$B$7))</f>
        <v>250</v>
      </c>
      <c r="I3788" s="20" t="n">
        <f aca="false">G3788-H3788</f>
        <v>28.99</v>
      </c>
      <c r="J3788" s="21" t="n">
        <f aca="false">H3788*1000/Parametres!$B$9</f>
        <v>4239.44378497541</v>
      </c>
    </row>
    <row r="3789" customFormat="false" ht="15" hidden="false" customHeight="false" outlineLevel="0" collapsed="false">
      <c r="A3789" s="0" t="n">
        <v>3785</v>
      </c>
      <c r="B3789" s="0" t="n">
        <v>6</v>
      </c>
      <c r="C3789" s="19" t="n">
        <v>0.5607</v>
      </c>
      <c r="D3789" s="19" t="n">
        <v>0.1734</v>
      </c>
      <c r="E3789" s="20" t="n">
        <f aca="false">Parametres!$B$5*C3789</f>
        <v>168.21</v>
      </c>
      <c r="F3789" s="20" t="n">
        <f aca="false">Parametres!$B$6*D3789</f>
        <v>34.68</v>
      </c>
      <c r="G3789" s="20" t="n">
        <f aca="false">E3789+F3789</f>
        <v>202.89</v>
      </c>
      <c r="H3789" s="20" t="n">
        <f aca="false">IF(G3789&lt;Parametres!$B$8*Parametres!$B$7,0,MIN(G3789,Parametres!$B$7))</f>
        <v>202.89</v>
      </c>
      <c r="I3789" s="20" t="n">
        <f aca="false">G3789-H3789</f>
        <v>0</v>
      </c>
      <c r="J3789" s="21" t="n">
        <f aca="false">H3789*1000/Parametres!$B$9</f>
        <v>3440.56299813464</v>
      </c>
    </row>
    <row r="3790" customFormat="false" ht="15" hidden="false" customHeight="false" outlineLevel="0" collapsed="false">
      <c r="A3790" s="0" t="n">
        <v>3786</v>
      </c>
      <c r="B3790" s="0" t="n">
        <v>6</v>
      </c>
      <c r="C3790" s="19" t="n">
        <v>0.3319</v>
      </c>
      <c r="D3790" s="19" t="n">
        <v>0.2031</v>
      </c>
      <c r="E3790" s="20" t="n">
        <f aca="false">Parametres!$B$5*C3790</f>
        <v>99.57</v>
      </c>
      <c r="F3790" s="20" t="n">
        <f aca="false">Parametres!$B$6*D3790</f>
        <v>40.62</v>
      </c>
      <c r="G3790" s="20" t="n">
        <f aca="false">E3790+F3790</f>
        <v>140.19</v>
      </c>
      <c r="H3790" s="20" t="n">
        <f aca="false">IF(G3790&lt;Parametres!$B$8*Parametres!$B$7,0,MIN(G3790,Parametres!$B$7))</f>
        <v>140.19</v>
      </c>
      <c r="I3790" s="20" t="n">
        <f aca="false">G3790-H3790</f>
        <v>0</v>
      </c>
      <c r="J3790" s="21" t="n">
        <f aca="false">H3790*1000/Parametres!$B$9</f>
        <v>2377.31049686281</v>
      </c>
    </row>
    <row r="3791" customFormat="false" ht="15" hidden="false" customHeight="false" outlineLevel="0" collapsed="false">
      <c r="A3791" s="0" t="n">
        <v>3787</v>
      </c>
      <c r="B3791" s="0" t="n">
        <v>6</v>
      </c>
      <c r="C3791" s="19" t="n">
        <v>0.0639</v>
      </c>
      <c r="D3791" s="19" t="n">
        <v>0.0895</v>
      </c>
      <c r="E3791" s="20" t="n">
        <f aca="false">Parametres!$B$5*C3791</f>
        <v>19.17</v>
      </c>
      <c r="F3791" s="20" t="n">
        <f aca="false">Parametres!$B$6*D3791</f>
        <v>17.9</v>
      </c>
      <c r="G3791" s="20" t="n">
        <f aca="false">E3791+F3791</f>
        <v>37.07</v>
      </c>
      <c r="H3791" s="20" t="n">
        <f aca="false">IF(G3791&lt;Parametres!$B$8*Parametres!$B$7,0,MIN(G3791,Parametres!$B$7))</f>
        <v>37.07</v>
      </c>
      <c r="I3791" s="20" t="n">
        <f aca="false">G3791-H3791</f>
        <v>0</v>
      </c>
      <c r="J3791" s="21" t="n">
        <f aca="false">H3791*1000/Parametres!$B$9</f>
        <v>628.624724436154</v>
      </c>
    </row>
    <row r="3792" customFormat="false" ht="15" hidden="false" customHeight="false" outlineLevel="0" collapsed="false">
      <c r="A3792" s="0" t="n">
        <v>3788</v>
      </c>
      <c r="B3792" s="0" t="n">
        <v>6</v>
      </c>
      <c r="C3792" s="19" t="n">
        <v>0</v>
      </c>
      <c r="D3792" s="19" t="n">
        <v>0.0983</v>
      </c>
      <c r="E3792" s="20" t="n">
        <f aca="false">Parametres!$B$5*C3792</f>
        <v>0</v>
      </c>
      <c r="F3792" s="20" t="n">
        <f aca="false">Parametres!$B$6*D3792</f>
        <v>19.66</v>
      </c>
      <c r="G3792" s="20" t="n">
        <f aca="false">E3792+F3792</f>
        <v>19.66</v>
      </c>
      <c r="H3792" s="20" t="n">
        <f aca="false">IF(G3792&lt;Parametres!$B$8*Parametres!$B$7,0,MIN(G3792,Parametres!$B$7))</f>
        <v>0</v>
      </c>
      <c r="I3792" s="20" t="n">
        <f aca="false">G3792-H3792</f>
        <v>19.66</v>
      </c>
      <c r="J3792" s="21" t="n">
        <f aca="false">H3792*1000/Parametres!$B$9</f>
        <v>0</v>
      </c>
    </row>
    <row r="3793" customFormat="false" ht="15" hidden="false" customHeight="false" outlineLevel="0" collapsed="false">
      <c r="A3793" s="0" t="n">
        <v>3789</v>
      </c>
      <c r="B3793" s="0" t="n">
        <v>6</v>
      </c>
      <c r="C3793" s="19" t="n">
        <v>0</v>
      </c>
      <c r="D3793" s="19" t="n">
        <v>0.0793</v>
      </c>
      <c r="E3793" s="20" t="n">
        <f aca="false">Parametres!$B$5*C3793</f>
        <v>0</v>
      </c>
      <c r="F3793" s="20" t="n">
        <f aca="false">Parametres!$B$6*D3793</f>
        <v>15.86</v>
      </c>
      <c r="G3793" s="20" t="n">
        <f aca="false">E3793+F3793</f>
        <v>15.86</v>
      </c>
      <c r="H3793" s="20" t="n">
        <f aca="false">IF(G3793&lt;Parametres!$B$8*Parametres!$B$7,0,MIN(G3793,Parametres!$B$7))</f>
        <v>0</v>
      </c>
      <c r="I3793" s="20" t="n">
        <f aca="false">G3793-H3793</f>
        <v>15.86</v>
      </c>
      <c r="J3793" s="21" t="n">
        <f aca="false">H3793*1000/Parametres!$B$9</f>
        <v>0</v>
      </c>
    </row>
    <row r="3794" customFormat="false" ht="15" hidden="false" customHeight="false" outlineLevel="0" collapsed="false">
      <c r="A3794" s="0" t="n">
        <v>3790</v>
      </c>
      <c r="B3794" s="0" t="n">
        <v>6</v>
      </c>
      <c r="C3794" s="19" t="n">
        <v>0</v>
      </c>
      <c r="D3794" s="19" t="n">
        <v>0.0409</v>
      </c>
      <c r="E3794" s="20" t="n">
        <f aca="false">Parametres!$B$5*C3794</f>
        <v>0</v>
      </c>
      <c r="F3794" s="20" t="n">
        <f aca="false">Parametres!$B$6*D3794</f>
        <v>8.18</v>
      </c>
      <c r="G3794" s="20" t="n">
        <f aca="false">E3794+F3794</f>
        <v>8.18</v>
      </c>
      <c r="H3794" s="20" t="n">
        <f aca="false">IF(G3794&lt;Parametres!$B$8*Parametres!$B$7,0,MIN(G3794,Parametres!$B$7))</f>
        <v>0</v>
      </c>
      <c r="I3794" s="20" t="n">
        <f aca="false">G3794-H3794</f>
        <v>8.18</v>
      </c>
      <c r="J3794" s="21" t="n">
        <f aca="false">H3794*1000/Parametres!$B$9</f>
        <v>0</v>
      </c>
    </row>
    <row r="3795" customFormat="false" ht="15" hidden="false" customHeight="false" outlineLevel="0" collapsed="false">
      <c r="A3795" s="0" t="n">
        <v>3791</v>
      </c>
      <c r="B3795" s="0" t="n">
        <v>6</v>
      </c>
      <c r="C3795" s="19" t="n">
        <v>0</v>
      </c>
      <c r="D3795" s="19" t="n">
        <v>0.0513</v>
      </c>
      <c r="E3795" s="20" t="n">
        <f aca="false">Parametres!$B$5*C3795</f>
        <v>0</v>
      </c>
      <c r="F3795" s="20" t="n">
        <f aca="false">Parametres!$B$6*D3795</f>
        <v>10.26</v>
      </c>
      <c r="G3795" s="20" t="n">
        <f aca="false">E3795+F3795</f>
        <v>10.26</v>
      </c>
      <c r="H3795" s="20" t="n">
        <f aca="false">IF(G3795&lt;Parametres!$B$8*Parametres!$B$7,0,MIN(G3795,Parametres!$B$7))</f>
        <v>0</v>
      </c>
      <c r="I3795" s="20" t="n">
        <f aca="false">G3795-H3795</f>
        <v>10.26</v>
      </c>
      <c r="J3795" s="21" t="n">
        <f aca="false">H3795*1000/Parametres!$B$9</f>
        <v>0</v>
      </c>
    </row>
    <row r="3796" customFormat="false" ht="15" hidden="false" customHeight="false" outlineLevel="0" collapsed="false">
      <c r="A3796" s="0" t="n">
        <v>3792</v>
      </c>
      <c r="B3796" s="0" t="n">
        <v>6</v>
      </c>
      <c r="C3796" s="19" t="n">
        <v>0</v>
      </c>
      <c r="D3796" s="19" t="n">
        <v>0.07</v>
      </c>
      <c r="E3796" s="20" t="n">
        <f aca="false">Parametres!$B$5*C3796</f>
        <v>0</v>
      </c>
      <c r="F3796" s="20" t="n">
        <f aca="false">Parametres!$B$6*D3796</f>
        <v>14</v>
      </c>
      <c r="G3796" s="20" t="n">
        <f aca="false">E3796+F3796</f>
        <v>14</v>
      </c>
      <c r="H3796" s="20" t="n">
        <f aca="false">IF(G3796&lt;Parametres!$B$8*Parametres!$B$7,0,MIN(G3796,Parametres!$B$7))</f>
        <v>0</v>
      </c>
      <c r="I3796" s="20" t="n">
        <f aca="false">G3796-H3796</f>
        <v>14</v>
      </c>
      <c r="J3796" s="21" t="n">
        <f aca="false">H3796*1000/Parametres!$B$9</f>
        <v>0</v>
      </c>
    </row>
    <row r="3797" customFormat="false" ht="15" hidden="false" customHeight="false" outlineLevel="0" collapsed="false">
      <c r="A3797" s="0" t="n">
        <v>3793</v>
      </c>
      <c r="B3797" s="0" t="n">
        <v>6</v>
      </c>
      <c r="C3797" s="19" t="n">
        <v>0</v>
      </c>
      <c r="D3797" s="19" t="n">
        <v>0.116</v>
      </c>
      <c r="E3797" s="20" t="n">
        <f aca="false">Parametres!$B$5*C3797</f>
        <v>0</v>
      </c>
      <c r="F3797" s="20" t="n">
        <f aca="false">Parametres!$B$6*D3797</f>
        <v>23.2</v>
      </c>
      <c r="G3797" s="20" t="n">
        <f aca="false">E3797+F3797</f>
        <v>23.2</v>
      </c>
      <c r="H3797" s="20" t="n">
        <f aca="false">IF(G3797&lt;Parametres!$B$8*Parametres!$B$7,0,MIN(G3797,Parametres!$B$7))</f>
        <v>0</v>
      </c>
      <c r="I3797" s="20" t="n">
        <f aca="false">G3797-H3797</f>
        <v>23.2</v>
      </c>
      <c r="J3797" s="21" t="n">
        <f aca="false">H3797*1000/Parametres!$B$9</f>
        <v>0</v>
      </c>
    </row>
    <row r="3798" customFormat="false" ht="15" hidden="false" customHeight="false" outlineLevel="0" collapsed="false">
      <c r="A3798" s="0" t="n">
        <v>3794</v>
      </c>
      <c r="B3798" s="0" t="n">
        <v>6</v>
      </c>
      <c r="C3798" s="19" t="n">
        <v>0</v>
      </c>
      <c r="D3798" s="19" t="n">
        <v>0.0519</v>
      </c>
      <c r="E3798" s="20" t="n">
        <f aca="false">Parametres!$B$5*C3798</f>
        <v>0</v>
      </c>
      <c r="F3798" s="20" t="n">
        <f aca="false">Parametres!$B$6*D3798</f>
        <v>10.38</v>
      </c>
      <c r="G3798" s="20" t="n">
        <f aca="false">E3798+F3798</f>
        <v>10.38</v>
      </c>
      <c r="H3798" s="20" t="n">
        <f aca="false">IF(G3798&lt;Parametres!$B$8*Parametres!$B$7,0,MIN(G3798,Parametres!$B$7))</f>
        <v>0</v>
      </c>
      <c r="I3798" s="20" t="n">
        <f aca="false">G3798-H3798</f>
        <v>10.38</v>
      </c>
      <c r="J3798" s="21" t="n">
        <f aca="false">H3798*1000/Parametres!$B$9</f>
        <v>0</v>
      </c>
    </row>
    <row r="3799" customFormat="false" ht="15" hidden="false" customHeight="false" outlineLevel="0" collapsed="false">
      <c r="A3799" s="0" t="n">
        <v>3795</v>
      </c>
      <c r="B3799" s="0" t="n">
        <v>6</v>
      </c>
      <c r="C3799" s="19" t="n">
        <v>0</v>
      </c>
      <c r="D3799" s="19" t="n">
        <v>0.0281</v>
      </c>
      <c r="E3799" s="20" t="n">
        <f aca="false">Parametres!$B$5*C3799</f>
        <v>0</v>
      </c>
      <c r="F3799" s="20" t="n">
        <f aca="false">Parametres!$B$6*D3799</f>
        <v>5.62</v>
      </c>
      <c r="G3799" s="20" t="n">
        <f aca="false">E3799+F3799</f>
        <v>5.62</v>
      </c>
      <c r="H3799" s="20" t="n">
        <f aca="false">IF(G3799&lt;Parametres!$B$8*Parametres!$B$7,0,MIN(G3799,Parametres!$B$7))</f>
        <v>0</v>
      </c>
      <c r="I3799" s="20" t="n">
        <f aca="false">G3799-H3799</f>
        <v>5.62</v>
      </c>
      <c r="J3799" s="21" t="n">
        <f aca="false">H3799*1000/Parametres!$B$9</f>
        <v>0</v>
      </c>
    </row>
    <row r="3800" customFormat="false" ht="15" hidden="false" customHeight="false" outlineLevel="0" collapsed="false">
      <c r="A3800" s="0" t="n">
        <v>3796</v>
      </c>
      <c r="B3800" s="0" t="n">
        <v>6</v>
      </c>
      <c r="C3800" s="19" t="n">
        <v>0</v>
      </c>
      <c r="D3800" s="19" t="n">
        <v>0.064</v>
      </c>
      <c r="E3800" s="20" t="n">
        <f aca="false">Parametres!$B$5*C3800</f>
        <v>0</v>
      </c>
      <c r="F3800" s="20" t="n">
        <f aca="false">Parametres!$B$6*D3800</f>
        <v>12.8</v>
      </c>
      <c r="G3800" s="20" t="n">
        <f aca="false">E3800+F3800</f>
        <v>12.8</v>
      </c>
      <c r="H3800" s="20" t="n">
        <f aca="false">IF(G3800&lt;Parametres!$B$8*Parametres!$B$7,0,MIN(G3800,Parametres!$B$7))</f>
        <v>0</v>
      </c>
      <c r="I3800" s="20" t="n">
        <f aca="false">G3800-H3800</f>
        <v>12.8</v>
      </c>
      <c r="J3800" s="21" t="n">
        <f aca="false">H3800*1000/Parametres!$B$9</f>
        <v>0</v>
      </c>
    </row>
    <row r="3801" customFormat="false" ht="15" hidden="false" customHeight="false" outlineLevel="0" collapsed="false">
      <c r="A3801" s="0" t="n">
        <v>3797</v>
      </c>
      <c r="B3801" s="0" t="n">
        <v>6</v>
      </c>
      <c r="C3801" s="19" t="n">
        <v>0</v>
      </c>
      <c r="D3801" s="19" t="n">
        <v>0.0842</v>
      </c>
      <c r="E3801" s="20" t="n">
        <f aca="false">Parametres!$B$5*C3801</f>
        <v>0</v>
      </c>
      <c r="F3801" s="20" t="n">
        <f aca="false">Parametres!$B$6*D3801</f>
        <v>16.84</v>
      </c>
      <c r="G3801" s="20" t="n">
        <f aca="false">E3801+F3801</f>
        <v>16.84</v>
      </c>
      <c r="H3801" s="20" t="n">
        <f aca="false">IF(G3801&lt;Parametres!$B$8*Parametres!$B$7,0,MIN(G3801,Parametres!$B$7))</f>
        <v>0</v>
      </c>
      <c r="I3801" s="20" t="n">
        <f aca="false">G3801-H3801</f>
        <v>16.84</v>
      </c>
      <c r="J3801" s="21" t="n">
        <f aca="false">H3801*1000/Parametres!$B$9</f>
        <v>0</v>
      </c>
    </row>
    <row r="3802" customFormat="false" ht="15" hidden="false" customHeight="false" outlineLevel="0" collapsed="false">
      <c r="A3802" s="0" t="n">
        <v>3798</v>
      </c>
      <c r="B3802" s="0" t="n">
        <v>6</v>
      </c>
      <c r="C3802" s="19" t="n">
        <v>0.0469</v>
      </c>
      <c r="D3802" s="19" t="n">
        <v>0.1298</v>
      </c>
      <c r="E3802" s="20" t="n">
        <f aca="false">Parametres!$B$5*C3802</f>
        <v>14.07</v>
      </c>
      <c r="F3802" s="20" t="n">
        <f aca="false">Parametres!$B$6*D3802</f>
        <v>25.96</v>
      </c>
      <c r="G3802" s="20" t="n">
        <f aca="false">E3802+F3802</f>
        <v>40.03</v>
      </c>
      <c r="H3802" s="20" t="n">
        <f aca="false">IF(G3802&lt;Parametres!$B$8*Parametres!$B$7,0,MIN(G3802,Parametres!$B$7))</f>
        <v>40.03</v>
      </c>
      <c r="I3802" s="20" t="n">
        <f aca="false">G3802-H3802</f>
        <v>0</v>
      </c>
      <c r="J3802" s="21" t="n">
        <f aca="false">H3802*1000/Parametres!$B$9</f>
        <v>678.819738850263</v>
      </c>
    </row>
    <row r="3803" customFormat="false" ht="15" hidden="false" customHeight="false" outlineLevel="0" collapsed="false">
      <c r="A3803" s="0" t="n">
        <v>3799</v>
      </c>
      <c r="B3803" s="0" t="n">
        <v>6</v>
      </c>
      <c r="C3803" s="19" t="n">
        <v>0.2158</v>
      </c>
      <c r="D3803" s="19" t="n">
        <v>0.1087</v>
      </c>
      <c r="E3803" s="20" t="n">
        <f aca="false">Parametres!$B$5*C3803</f>
        <v>64.74</v>
      </c>
      <c r="F3803" s="20" t="n">
        <f aca="false">Parametres!$B$6*D3803</f>
        <v>21.74</v>
      </c>
      <c r="G3803" s="20" t="n">
        <f aca="false">E3803+F3803</f>
        <v>86.48</v>
      </c>
      <c r="H3803" s="20" t="n">
        <f aca="false">IF(G3803&lt;Parametres!$B$8*Parametres!$B$7,0,MIN(G3803,Parametres!$B$7))</f>
        <v>86.48</v>
      </c>
      <c r="I3803" s="20" t="n">
        <f aca="false">G3803-H3803</f>
        <v>0</v>
      </c>
      <c r="J3803" s="21" t="n">
        <f aca="false">H3803*1000/Parametres!$B$9</f>
        <v>1466.50839409869</v>
      </c>
    </row>
    <row r="3804" customFormat="false" ht="15" hidden="false" customHeight="false" outlineLevel="0" collapsed="false">
      <c r="A3804" s="0" t="n">
        <v>3800</v>
      </c>
      <c r="B3804" s="0" t="n">
        <v>6</v>
      </c>
      <c r="C3804" s="19" t="n">
        <v>0.3987</v>
      </c>
      <c r="D3804" s="19" t="n">
        <v>0.1442</v>
      </c>
      <c r="E3804" s="20" t="n">
        <f aca="false">Parametres!$B$5*C3804</f>
        <v>119.61</v>
      </c>
      <c r="F3804" s="20" t="n">
        <f aca="false">Parametres!$B$6*D3804</f>
        <v>28.84</v>
      </c>
      <c r="G3804" s="20" t="n">
        <f aca="false">E3804+F3804</f>
        <v>148.45</v>
      </c>
      <c r="H3804" s="20" t="n">
        <f aca="false">IF(G3804&lt;Parametres!$B$8*Parametres!$B$7,0,MIN(G3804,Parametres!$B$7))</f>
        <v>148.45</v>
      </c>
      <c r="I3804" s="20" t="n">
        <f aca="false">G3804-H3804</f>
        <v>0</v>
      </c>
      <c r="J3804" s="21" t="n">
        <f aca="false">H3804*1000/Parametres!$B$9</f>
        <v>2517.3817195184</v>
      </c>
    </row>
    <row r="3805" customFormat="false" ht="15" hidden="false" customHeight="false" outlineLevel="0" collapsed="false">
      <c r="A3805" s="0" t="n">
        <v>3801</v>
      </c>
      <c r="B3805" s="0" t="n">
        <v>6</v>
      </c>
      <c r="C3805" s="19" t="n">
        <v>0.6089</v>
      </c>
      <c r="D3805" s="19" t="n">
        <v>0.2356</v>
      </c>
      <c r="E3805" s="20" t="n">
        <f aca="false">Parametres!$B$5*C3805</f>
        <v>182.67</v>
      </c>
      <c r="F3805" s="20" t="n">
        <f aca="false">Parametres!$B$6*D3805</f>
        <v>47.12</v>
      </c>
      <c r="G3805" s="20" t="n">
        <f aca="false">E3805+F3805</f>
        <v>229.79</v>
      </c>
      <c r="H3805" s="20" t="n">
        <f aca="false">IF(G3805&lt;Parametres!$B$8*Parametres!$B$7,0,MIN(G3805,Parametres!$B$7))</f>
        <v>229.79</v>
      </c>
      <c r="I3805" s="20" t="n">
        <f aca="false">G3805-H3805</f>
        <v>0</v>
      </c>
      <c r="J3805" s="21" t="n">
        <f aca="false">H3805*1000/Parametres!$B$9</f>
        <v>3896.727149398</v>
      </c>
    </row>
    <row r="3806" customFormat="false" ht="15" hidden="false" customHeight="false" outlineLevel="0" collapsed="false">
      <c r="A3806" s="0" t="n">
        <v>3802</v>
      </c>
      <c r="B3806" s="0" t="n">
        <v>6</v>
      </c>
      <c r="C3806" s="19" t="n">
        <v>0.6905</v>
      </c>
      <c r="D3806" s="19" t="n">
        <v>0.1593</v>
      </c>
      <c r="E3806" s="20" t="n">
        <f aca="false">Parametres!$B$5*C3806</f>
        <v>207.15</v>
      </c>
      <c r="F3806" s="20" t="n">
        <f aca="false">Parametres!$B$6*D3806</f>
        <v>31.86</v>
      </c>
      <c r="G3806" s="20" t="n">
        <f aca="false">E3806+F3806</f>
        <v>239.01</v>
      </c>
      <c r="H3806" s="20" t="n">
        <f aca="false">IF(G3806&lt;Parametres!$B$8*Parametres!$B$7,0,MIN(G3806,Parametres!$B$7))</f>
        <v>239.01</v>
      </c>
      <c r="I3806" s="20" t="n">
        <f aca="false">G3806-H3806</f>
        <v>0</v>
      </c>
      <c r="J3806" s="21" t="n">
        <f aca="false">H3806*1000/Parametres!$B$9</f>
        <v>4053.07783618789</v>
      </c>
    </row>
    <row r="3807" customFormat="false" ht="15" hidden="false" customHeight="false" outlineLevel="0" collapsed="false">
      <c r="A3807" s="0" t="n">
        <v>3803</v>
      </c>
      <c r="B3807" s="0" t="n">
        <v>6</v>
      </c>
      <c r="C3807" s="19" t="n">
        <v>0.876</v>
      </c>
      <c r="D3807" s="19" t="n">
        <v>0.1355</v>
      </c>
      <c r="E3807" s="20" t="n">
        <f aca="false">Parametres!$B$5*C3807</f>
        <v>262.8</v>
      </c>
      <c r="F3807" s="20" t="n">
        <f aca="false">Parametres!$B$6*D3807</f>
        <v>27.1</v>
      </c>
      <c r="G3807" s="20" t="n">
        <f aca="false">E3807+F3807</f>
        <v>289.9</v>
      </c>
      <c r="H3807" s="20" t="n">
        <f aca="false">IF(G3807&lt;Parametres!$B$8*Parametres!$B$7,0,MIN(G3807,Parametres!$B$7))</f>
        <v>250</v>
      </c>
      <c r="I3807" s="20" t="n">
        <f aca="false">G3807-H3807</f>
        <v>39.9</v>
      </c>
      <c r="J3807" s="21" t="n">
        <f aca="false">H3807*1000/Parametres!$B$9</f>
        <v>4239.44378497541</v>
      </c>
    </row>
    <row r="3808" customFormat="false" ht="15" hidden="false" customHeight="false" outlineLevel="0" collapsed="false">
      <c r="A3808" s="0" t="n">
        <v>3804</v>
      </c>
      <c r="B3808" s="0" t="n">
        <v>6</v>
      </c>
      <c r="C3808" s="19" t="n">
        <v>0.897</v>
      </c>
      <c r="D3808" s="19" t="n">
        <v>0.1804</v>
      </c>
      <c r="E3808" s="20" t="n">
        <f aca="false">Parametres!$B$5*C3808</f>
        <v>269.1</v>
      </c>
      <c r="F3808" s="20" t="n">
        <f aca="false">Parametres!$B$6*D3808</f>
        <v>36.08</v>
      </c>
      <c r="G3808" s="20" t="n">
        <f aca="false">E3808+F3808</f>
        <v>305.18</v>
      </c>
      <c r="H3808" s="20" t="n">
        <f aca="false">IF(G3808&lt;Parametres!$B$8*Parametres!$B$7,0,MIN(G3808,Parametres!$B$7))</f>
        <v>250</v>
      </c>
      <c r="I3808" s="20" t="n">
        <f aca="false">G3808-H3808</f>
        <v>55.18</v>
      </c>
      <c r="J3808" s="21" t="n">
        <f aca="false">H3808*1000/Parametres!$B$9</f>
        <v>4239.44378497541</v>
      </c>
    </row>
    <row r="3809" customFormat="false" ht="15" hidden="false" customHeight="false" outlineLevel="0" collapsed="false">
      <c r="A3809" s="0" t="n">
        <v>3805</v>
      </c>
      <c r="B3809" s="0" t="n">
        <v>6</v>
      </c>
      <c r="C3809" s="19" t="n">
        <v>0.8242</v>
      </c>
      <c r="D3809" s="19" t="n">
        <v>0.3759</v>
      </c>
      <c r="E3809" s="20" t="n">
        <f aca="false">Parametres!$B$5*C3809</f>
        <v>247.26</v>
      </c>
      <c r="F3809" s="20" t="n">
        <f aca="false">Parametres!$B$6*D3809</f>
        <v>75.18</v>
      </c>
      <c r="G3809" s="20" t="n">
        <f aca="false">E3809+F3809</f>
        <v>322.44</v>
      </c>
      <c r="H3809" s="20" t="n">
        <f aca="false">IF(G3809&lt;Parametres!$B$8*Parametres!$B$7,0,MIN(G3809,Parametres!$B$7))</f>
        <v>250</v>
      </c>
      <c r="I3809" s="20" t="n">
        <f aca="false">G3809-H3809</f>
        <v>72.4400000000001</v>
      </c>
      <c r="J3809" s="21" t="n">
        <f aca="false">H3809*1000/Parametres!$B$9</f>
        <v>4239.44378497541</v>
      </c>
    </row>
    <row r="3810" customFormat="false" ht="15" hidden="false" customHeight="false" outlineLevel="0" collapsed="false">
      <c r="A3810" s="0" t="n">
        <v>3806</v>
      </c>
      <c r="B3810" s="0" t="n">
        <v>6</v>
      </c>
      <c r="C3810" s="19" t="n">
        <v>0.8264</v>
      </c>
      <c r="D3810" s="19" t="n">
        <v>0.3526</v>
      </c>
      <c r="E3810" s="20" t="n">
        <f aca="false">Parametres!$B$5*C3810</f>
        <v>247.92</v>
      </c>
      <c r="F3810" s="20" t="n">
        <f aca="false">Parametres!$B$6*D3810</f>
        <v>70.52</v>
      </c>
      <c r="G3810" s="20" t="n">
        <f aca="false">E3810+F3810</f>
        <v>318.44</v>
      </c>
      <c r="H3810" s="20" t="n">
        <f aca="false">IF(G3810&lt;Parametres!$B$8*Parametres!$B$7,0,MIN(G3810,Parametres!$B$7))</f>
        <v>250</v>
      </c>
      <c r="I3810" s="20" t="n">
        <f aca="false">G3810-H3810</f>
        <v>68.4400000000001</v>
      </c>
      <c r="J3810" s="21" t="n">
        <f aca="false">H3810*1000/Parametres!$B$9</f>
        <v>4239.44378497541</v>
      </c>
    </row>
    <row r="3811" customFormat="false" ht="15" hidden="false" customHeight="false" outlineLevel="0" collapsed="false">
      <c r="A3811" s="0" t="n">
        <v>3807</v>
      </c>
      <c r="B3811" s="0" t="n">
        <v>6</v>
      </c>
      <c r="C3811" s="19" t="n">
        <v>0.675</v>
      </c>
      <c r="D3811" s="19" t="n">
        <v>0.4985</v>
      </c>
      <c r="E3811" s="20" t="n">
        <f aca="false">Parametres!$B$5*C3811</f>
        <v>202.5</v>
      </c>
      <c r="F3811" s="20" t="n">
        <f aca="false">Parametres!$B$6*D3811</f>
        <v>99.7</v>
      </c>
      <c r="G3811" s="20" t="n">
        <f aca="false">E3811+F3811</f>
        <v>302.2</v>
      </c>
      <c r="H3811" s="20" t="n">
        <f aca="false">IF(G3811&lt;Parametres!$B$8*Parametres!$B$7,0,MIN(G3811,Parametres!$B$7))</f>
        <v>250</v>
      </c>
      <c r="I3811" s="20" t="n">
        <f aca="false">G3811-H3811</f>
        <v>52.2</v>
      </c>
      <c r="J3811" s="21" t="n">
        <f aca="false">H3811*1000/Parametres!$B$9</f>
        <v>4239.44378497541</v>
      </c>
    </row>
    <row r="3812" customFormat="false" ht="15" hidden="false" customHeight="false" outlineLevel="0" collapsed="false">
      <c r="A3812" s="0" t="n">
        <v>3808</v>
      </c>
      <c r="B3812" s="0" t="n">
        <v>6</v>
      </c>
      <c r="C3812" s="19" t="n">
        <v>0.5654</v>
      </c>
      <c r="D3812" s="19" t="n">
        <v>0.3776</v>
      </c>
      <c r="E3812" s="20" t="n">
        <f aca="false">Parametres!$B$5*C3812</f>
        <v>169.62</v>
      </c>
      <c r="F3812" s="20" t="n">
        <f aca="false">Parametres!$B$6*D3812</f>
        <v>75.52</v>
      </c>
      <c r="G3812" s="20" t="n">
        <f aca="false">E3812+F3812</f>
        <v>245.14</v>
      </c>
      <c r="H3812" s="20" t="n">
        <f aca="false">IF(G3812&lt;Parametres!$B$8*Parametres!$B$7,0,MIN(G3812,Parametres!$B$7))</f>
        <v>245.14</v>
      </c>
      <c r="I3812" s="20" t="n">
        <f aca="false">G3812-H3812</f>
        <v>0</v>
      </c>
      <c r="J3812" s="21" t="n">
        <f aca="false">H3812*1000/Parametres!$B$9</f>
        <v>4157.02899779549</v>
      </c>
    </row>
    <row r="3813" customFormat="false" ht="15" hidden="false" customHeight="false" outlineLevel="0" collapsed="false">
      <c r="A3813" s="0" t="n">
        <v>3809</v>
      </c>
      <c r="B3813" s="0" t="n">
        <v>6</v>
      </c>
      <c r="C3813" s="19" t="n">
        <v>0.3625</v>
      </c>
      <c r="D3813" s="19" t="n">
        <v>0.2313</v>
      </c>
      <c r="E3813" s="20" t="n">
        <f aca="false">Parametres!$B$5*C3813</f>
        <v>108.75</v>
      </c>
      <c r="F3813" s="20" t="n">
        <f aca="false">Parametres!$B$6*D3813</f>
        <v>46.26</v>
      </c>
      <c r="G3813" s="20" t="n">
        <f aca="false">E3813+F3813</f>
        <v>155.01</v>
      </c>
      <c r="H3813" s="20" t="n">
        <f aca="false">IF(G3813&lt;Parametres!$B$8*Parametres!$B$7,0,MIN(G3813,Parametres!$B$7))</f>
        <v>155.01</v>
      </c>
      <c r="I3813" s="20" t="n">
        <f aca="false">G3813-H3813</f>
        <v>0</v>
      </c>
      <c r="J3813" s="21" t="n">
        <f aca="false">H3813*1000/Parametres!$B$9</f>
        <v>2628.62472443615</v>
      </c>
    </row>
    <row r="3814" customFormat="false" ht="15" hidden="false" customHeight="false" outlineLevel="0" collapsed="false">
      <c r="A3814" s="0" t="n">
        <v>3810</v>
      </c>
      <c r="B3814" s="0" t="n">
        <v>6</v>
      </c>
      <c r="C3814" s="19" t="n">
        <v>0.2186</v>
      </c>
      <c r="D3814" s="19" t="n">
        <v>0.3072</v>
      </c>
      <c r="E3814" s="20" t="n">
        <f aca="false">Parametres!$B$5*C3814</f>
        <v>65.58</v>
      </c>
      <c r="F3814" s="20" t="n">
        <f aca="false">Parametres!$B$6*D3814</f>
        <v>61.44</v>
      </c>
      <c r="G3814" s="20" t="n">
        <f aca="false">E3814+F3814</f>
        <v>127.02</v>
      </c>
      <c r="H3814" s="20" t="n">
        <f aca="false">IF(G3814&lt;Parametres!$B$8*Parametres!$B$7,0,MIN(G3814,Parametres!$B$7))</f>
        <v>127.02</v>
      </c>
      <c r="I3814" s="20" t="n">
        <f aca="false">G3814-H3814</f>
        <v>0</v>
      </c>
      <c r="J3814" s="21" t="n">
        <f aca="false">H3814*1000/Parametres!$B$9</f>
        <v>2153.97659827031</v>
      </c>
    </row>
    <row r="3815" customFormat="false" ht="15" hidden="false" customHeight="false" outlineLevel="0" collapsed="false">
      <c r="A3815" s="0" t="n">
        <v>3811</v>
      </c>
      <c r="B3815" s="0" t="n">
        <v>6</v>
      </c>
      <c r="C3815" s="19" t="n">
        <v>0.044</v>
      </c>
      <c r="D3815" s="19" t="n">
        <v>0.1862</v>
      </c>
      <c r="E3815" s="20" t="n">
        <f aca="false">Parametres!$B$5*C3815</f>
        <v>13.2</v>
      </c>
      <c r="F3815" s="20" t="n">
        <f aca="false">Parametres!$B$6*D3815</f>
        <v>37.24</v>
      </c>
      <c r="G3815" s="20" t="n">
        <f aca="false">E3815+F3815</f>
        <v>50.44</v>
      </c>
      <c r="H3815" s="20" t="n">
        <f aca="false">IF(G3815&lt;Parametres!$B$8*Parametres!$B$7,0,MIN(G3815,Parametres!$B$7))</f>
        <v>50.44</v>
      </c>
      <c r="I3815" s="20" t="n">
        <f aca="false">G3815-H3815</f>
        <v>0</v>
      </c>
      <c r="J3815" s="21" t="n">
        <f aca="false">H3815*1000/Parametres!$B$9</f>
        <v>855.350178056639</v>
      </c>
    </row>
    <row r="3816" customFormat="false" ht="15" hidden="false" customHeight="false" outlineLevel="0" collapsed="false">
      <c r="A3816" s="0" t="n">
        <v>3812</v>
      </c>
      <c r="B3816" s="0" t="n">
        <v>6</v>
      </c>
      <c r="C3816" s="19" t="n">
        <v>0</v>
      </c>
      <c r="D3816" s="19" t="n">
        <v>0.1791</v>
      </c>
      <c r="E3816" s="20" t="n">
        <f aca="false">Parametres!$B$5*C3816</f>
        <v>0</v>
      </c>
      <c r="F3816" s="20" t="n">
        <f aca="false">Parametres!$B$6*D3816</f>
        <v>35.82</v>
      </c>
      <c r="G3816" s="20" t="n">
        <f aca="false">E3816+F3816</f>
        <v>35.82</v>
      </c>
      <c r="H3816" s="20" t="n">
        <f aca="false">IF(G3816&lt;Parametres!$B$8*Parametres!$B$7,0,MIN(G3816,Parametres!$B$7))</f>
        <v>35.82</v>
      </c>
      <c r="I3816" s="20" t="n">
        <f aca="false">G3816-H3816</f>
        <v>0</v>
      </c>
      <c r="J3816" s="21" t="n">
        <f aca="false">H3816*1000/Parametres!$B$9</f>
        <v>607.427505511277</v>
      </c>
    </row>
    <row r="3817" customFormat="false" ht="15" hidden="false" customHeight="false" outlineLevel="0" collapsed="false">
      <c r="A3817" s="0" t="n">
        <v>3813</v>
      </c>
      <c r="B3817" s="0" t="n">
        <v>6</v>
      </c>
      <c r="C3817" s="19" t="n">
        <v>0</v>
      </c>
      <c r="D3817" s="19" t="n">
        <v>0.1238</v>
      </c>
      <c r="E3817" s="20" t="n">
        <f aca="false">Parametres!$B$5*C3817</f>
        <v>0</v>
      </c>
      <c r="F3817" s="20" t="n">
        <f aca="false">Parametres!$B$6*D3817</f>
        <v>24.76</v>
      </c>
      <c r="G3817" s="20" t="n">
        <f aca="false">E3817+F3817</f>
        <v>24.76</v>
      </c>
      <c r="H3817" s="20" t="n">
        <f aca="false">IF(G3817&lt;Parametres!$B$8*Parametres!$B$7,0,MIN(G3817,Parametres!$B$7))</f>
        <v>0</v>
      </c>
      <c r="I3817" s="20" t="n">
        <f aca="false">G3817-H3817</f>
        <v>24.76</v>
      </c>
      <c r="J3817" s="21" t="n">
        <f aca="false">H3817*1000/Parametres!$B$9</f>
        <v>0</v>
      </c>
    </row>
    <row r="3818" customFormat="false" ht="15" hidden="false" customHeight="false" outlineLevel="0" collapsed="false">
      <c r="A3818" s="0" t="n">
        <v>3814</v>
      </c>
      <c r="B3818" s="0" t="n">
        <v>6</v>
      </c>
      <c r="C3818" s="19" t="n">
        <v>0</v>
      </c>
      <c r="D3818" s="19" t="n">
        <v>0.1446</v>
      </c>
      <c r="E3818" s="20" t="n">
        <f aca="false">Parametres!$B$5*C3818</f>
        <v>0</v>
      </c>
      <c r="F3818" s="20" t="n">
        <f aca="false">Parametres!$B$6*D3818</f>
        <v>28.92</v>
      </c>
      <c r="G3818" s="20" t="n">
        <f aca="false">E3818+F3818</f>
        <v>28.92</v>
      </c>
      <c r="H3818" s="20" t="n">
        <f aca="false">IF(G3818&lt;Parametres!$B$8*Parametres!$B$7,0,MIN(G3818,Parametres!$B$7))</f>
        <v>28.92</v>
      </c>
      <c r="I3818" s="20" t="n">
        <f aca="false">G3818-H3818</f>
        <v>0</v>
      </c>
      <c r="J3818" s="21" t="n">
        <f aca="false">H3818*1000/Parametres!$B$9</f>
        <v>490.418857045956</v>
      </c>
    </row>
    <row r="3819" customFormat="false" ht="15" hidden="false" customHeight="false" outlineLevel="0" collapsed="false">
      <c r="A3819" s="0" t="n">
        <v>3815</v>
      </c>
      <c r="B3819" s="0" t="n">
        <v>6</v>
      </c>
      <c r="C3819" s="19" t="n">
        <v>0</v>
      </c>
      <c r="D3819" s="19" t="n">
        <v>0.0638</v>
      </c>
      <c r="E3819" s="20" t="n">
        <f aca="false">Parametres!$B$5*C3819</f>
        <v>0</v>
      </c>
      <c r="F3819" s="20" t="n">
        <f aca="false">Parametres!$B$6*D3819</f>
        <v>12.76</v>
      </c>
      <c r="G3819" s="20" t="n">
        <f aca="false">E3819+F3819</f>
        <v>12.76</v>
      </c>
      <c r="H3819" s="20" t="n">
        <f aca="false">IF(G3819&lt;Parametres!$B$8*Parametres!$B$7,0,MIN(G3819,Parametres!$B$7))</f>
        <v>0</v>
      </c>
      <c r="I3819" s="20" t="n">
        <f aca="false">G3819-H3819</f>
        <v>12.76</v>
      </c>
      <c r="J3819" s="21" t="n">
        <f aca="false">H3819*1000/Parametres!$B$9</f>
        <v>0</v>
      </c>
    </row>
    <row r="3820" customFormat="false" ht="15" hidden="false" customHeight="false" outlineLevel="0" collapsed="false">
      <c r="A3820" s="0" t="n">
        <v>3816</v>
      </c>
      <c r="B3820" s="0" t="n">
        <v>6</v>
      </c>
      <c r="C3820" s="19" t="n">
        <v>0</v>
      </c>
      <c r="D3820" s="19" t="n">
        <v>0.0212</v>
      </c>
      <c r="E3820" s="20" t="n">
        <f aca="false">Parametres!$B$5*C3820</f>
        <v>0</v>
      </c>
      <c r="F3820" s="20" t="n">
        <f aca="false">Parametres!$B$6*D3820</f>
        <v>4.24</v>
      </c>
      <c r="G3820" s="20" t="n">
        <f aca="false">E3820+F3820</f>
        <v>4.24</v>
      </c>
      <c r="H3820" s="20" t="n">
        <f aca="false">IF(G3820&lt;Parametres!$B$8*Parametres!$B$7,0,MIN(G3820,Parametres!$B$7))</f>
        <v>0</v>
      </c>
      <c r="I3820" s="20" t="n">
        <f aca="false">G3820-H3820</f>
        <v>4.24</v>
      </c>
      <c r="J3820" s="21" t="n">
        <f aca="false">H3820*1000/Parametres!$B$9</f>
        <v>0</v>
      </c>
    </row>
    <row r="3821" customFormat="false" ht="15" hidden="false" customHeight="false" outlineLevel="0" collapsed="false">
      <c r="A3821" s="0" t="n">
        <v>3817</v>
      </c>
      <c r="B3821" s="0" t="n">
        <v>6</v>
      </c>
      <c r="C3821" s="19" t="n">
        <v>0</v>
      </c>
      <c r="D3821" s="19" t="n">
        <v>0.0048</v>
      </c>
      <c r="E3821" s="20" t="n">
        <f aca="false">Parametres!$B$5*C3821</f>
        <v>0</v>
      </c>
      <c r="F3821" s="20" t="n">
        <f aca="false">Parametres!$B$6*D3821</f>
        <v>0.96</v>
      </c>
      <c r="G3821" s="20" t="n">
        <f aca="false">E3821+F3821</f>
        <v>0.96</v>
      </c>
      <c r="H3821" s="20" t="n">
        <f aca="false">IF(G3821&lt;Parametres!$B$8*Parametres!$B$7,0,MIN(G3821,Parametres!$B$7))</f>
        <v>0</v>
      </c>
      <c r="I3821" s="20" t="n">
        <f aca="false">G3821-H3821</f>
        <v>0.96</v>
      </c>
      <c r="J3821" s="21" t="n">
        <f aca="false">H3821*1000/Parametres!$B$9</f>
        <v>0</v>
      </c>
    </row>
    <row r="3822" customFormat="false" ht="15" hidden="false" customHeight="false" outlineLevel="0" collapsed="false">
      <c r="A3822" s="0" t="n">
        <v>3818</v>
      </c>
      <c r="B3822" s="0" t="n">
        <v>6</v>
      </c>
      <c r="C3822" s="19" t="n">
        <v>0</v>
      </c>
      <c r="D3822" s="19" t="n">
        <v>0.0034</v>
      </c>
      <c r="E3822" s="20" t="n">
        <f aca="false">Parametres!$B$5*C3822</f>
        <v>0</v>
      </c>
      <c r="F3822" s="20" t="n">
        <f aca="false">Parametres!$B$6*D3822</f>
        <v>0.68</v>
      </c>
      <c r="G3822" s="20" t="n">
        <f aca="false">E3822+F3822</f>
        <v>0.68</v>
      </c>
      <c r="H3822" s="20" t="n">
        <f aca="false">IF(G3822&lt;Parametres!$B$8*Parametres!$B$7,0,MIN(G3822,Parametres!$B$7))</f>
        <v>0</v>
      </c>
      <c r="I3822" s="20" t="n">
        <f aca="false">G3822-H3822</f>
        <v>0.68</v>
      </c>
      <c r="J3822" s="21" t="n">
        <f aca="false">H3822*1000/Parametres!$B$9</f>
        <v>0</v>
      </c>
    </row>
    <row r="3823" customFormat="false" ht="15" hidden="false" customHeight="false" outlineLevel="0" collapsed="false">
      <c r="A3823" s="0" t="n">
        <v>3819</v>
      </c>
      <c r="B3823" s="0" t="n">
        <v>6</v>
      </c>
      <c r="C3823" s="19" t="n">
        <v>0</v>
      </c>
      <c r="D3823" s="19" t="n">
        <v>0.0119</v>
      </c>
      <c r="E3823" s="20" t="n">
        <f aca="false">Parametres!$B$5*C3823</f>
        <v>0</v>
      </c>
      <c r="F3823" s="20" t="n">
        <f aca="false">Parametres!$B$6*D3823</f>
        <v>2.38</v>
      </c>
      <c r="G3823" s="20" t="n">
        <f aca="false">E3823+F3823</f>
        <v>2.38</v>
      </c>
      <c r="H3823" s="20" t="n">
        <f aca="false">IF(G3823&lt;Parametres!$B$8*Parametres!$B$7,0,MIN(G3823,Parametres!$B$7))</f>
        <v>0</v>
      </c>
      <c r="I3823" s="20" t="n">
        <f aca="false">G3823-H3823</f>
        <v>2.38</v>
      </c>
      <c r="J3823" s="21" t="n">
        <f aca="false">H3823*1000/Parametres!$B$9</f>
        <v>0</v>
      </c>
    </row>
    <row r="3824" customFormat="false" ht="15" hidden="false" customHeight="false" outlineLevel="0" collapsed="false">
      <c r="A3824" s="0" t="n">
        <v>3820</v>
      </c>
      <c r="B3824" s="0" t="n">
        <v>6</v>
      </c>
      <c r="C3824" s="19" t="n">
        <v>0</v>
      </c>
      <c r="D3824" s="19" t="n">
        <v>0.0225</v>
      </c>
      <c r="E3824" s="20" t="n">
        <f aca="false">Parametres!$B$5*C3824</f>
        <v>0</v>
      </c>
      <c r="F3824" s="20" t="n">
        <f aca="false">Parametres!$B$6*D3824</f>
        <v>4.5</v>
      </c>
      <c r="G3824" s="20" t="n">
        <f aca="false">E3824+F3824</f>
        <v>4.5</v>
      </c>
      <c r="H3824" s="20" t="n">
        <f aca="false">IF(G3824&lt;Parametres!$B$8*Parametres!$B$7,0,MIN(G3824,Parametres!$B$7))</f>
        <v>0</v>
      </c>
      <c r="I3824" s="20" t="n">
        <f aca="false">G3824-H3824</f>
        <v>4.5</v>
      </c>
      <c r="J3824" s="21" t="n">
        <f aca="false">H3824*1000/Parametres!$B$9</f>
        <v>0</v>
      </c>
    </row>
    <row r="3825" customFormat="false" ht="15" hidden="false" customHeight="false" outlineLevel="0" collapsed="false">
      <c r="A3825" s="0" t="n">
        <v>3821</v>
      </c>
      <c r="B3825" s="0" t="n">
        <v>6</v>
      </c>
      <c r="C3825" s="19" t="n">
        <v>0</v>
      </c>
      <c r="D3825" s="19" t="n">
        <v>0.0264</v>
      </c>
      <c r="E3825" s="20" t="n">
        <f aca="false">Parametres!$B$5*C3825</f>
        <v>0</v>
      </c>
      <c r="F3825" s="20" t="n">
        <f aca="false">Parametres!$B$6*D3825</f>
        <v>5.28</v>
      </c>
      <c r="G3825" s="20" t="n">
        <f aca="false">E3825+F3825</f>
        <v>5.28</v>
      </c>
      <c r="H3825" s="20" t="n">
        <f aca="false">IF(G3825&lt;Parametres!$B$8*Parametres!$B$7,0,MIN(G3825,Parametres!$B$7))</f>
        <v>0</v>
      </c>
      <c r="I3825" s="20" t="n">
        <f aca="false">G3825-H3825</f>
        <v>5.28</v>
      </c>
      <c r="J3825" s="21" t="n">
        <f aca="false">H3825*1000/Parametres!$B$9</f>
        <v>0</v>
      </c>
    </row>
    <row r="3826" customFormat="false" ht="15" hidden="false" customHeight="false" outlineLevel="0" collapsed="false">
      <c r="A3826" s="0" t="n">
        <v>3822</v>
      </c>
      <c r="B3826" s="0" t="n">
        <v>6</v>
      </c>
      <c r="C3826" s="19" t="n">
        <v>0.064</v>
      </c>
      <c r="D3826" s="19" t="n">
        <v>0.0257</v>
      </c>
      <c r="E3826" s="20" t="n">
        <f aca="false">Parametres!$B$5*C3826</f>
        <v>19.2</v>
      </c>
      <c r="F3826" s="20" t="n">
        <f aca="false">Parametres!$B$6*D3826</f>
        <v>5.14</v>
      </c>
      <c r="G3826" s="20" t="n">
        <f aca="false">E3826+F3826</f>
        <v>24.34</v>
      </c>
      <c r="H3826" s="20" t="n">
        <f aca="false">IF(G3826&lt;Parametres!$B$8*Parametres!$B$7,0,MIN(G3826,Parametres!$B$7))</f>
        <v>0</v>
      </c>
      <c r="I3826" s="20" t="n">
        <f aca="false">G3826-H3826</f>
        <v>24.34</v>
      </c>
      <c r="J3826" s="21" t="n">
        <f aca="false">H3826*1000/Parametres!$B$9</f>
        <v>0</v>
      </c>
    </row>
    <row r="3827" customFormat="false" ht="15" hidden="false" customHeight="false" outlineLevel="0" collapsed="false">
      <c r="A3827" s="0" t="n">
        <v>3823</v>
      </c>
      <c r="B3827" s="0" t="n">
        <v>6</v>
      </c>
      <c r="C3827" s="19" t="n">
        <v>0.2972</v>
      </c>
      <c r="D3827" s="19" t="n">
        <v>0.0624</v>
      </c>
      <c r="E3827" s="20" t="n">
        <f aca="false">Parametres!$B$5*C3827</f>
        <v>89.16</v>
      </c>
      <c r="F3827" s="20" t="n">
        <f aca="false">Parametres!$B$6*D3827</f>
        <v>12.48</v>
      </c>
      <c r="G3827" s="20" t="n">
        <f aca="false">E3827+F3827</f>
        <v>101.64</v>
      </c>
      <c r="H3827" s="20" t="n">
        <f aca="false">IF(G3827&lt;Parametres!$B$8*Parametres!$B$7,0,MIN(G3827,Parametres!$B$7))</f>
        <v>101.64</v>
      </c>
      <c r="I3827" s="20" t="n">
        <f aca="false">G3827-H3827</f>
        <v>0</v>
      </c>
      <c r="J3827" s="21" t="n">
        <f aca="false">H3827*1000/Parametres!$B$9</f>
        <v>1723.5882652196</v>
      </c>
    </row>
    <row r="3828" customFormat="false" ht="15" hidden="false" customHeight="false" outlineLevel="0" collapsed="false">
      <c r="A3828" s="0" t="n">
        <v>3824</v>
      </c>
      <c r="B3828" s="0" t="n">
        <v>6</v>
      </c>
      <c r="C3828" s="19" t="n">
        <v>0.5507</v>
      </c>
      <c r="D3828" s="19" t="n">
        <v>0.0678</v>
      </c>
      <c r="E3828" s="20" t="n">
        <f aca="false">Parametres!$B$5*C3828</f>
        <v>165.21</v>
      </c>
      <c r="F3828" s="20" t="n">
        <f aca="false">Parametres!$B$6*D3828</f>
        <v>13.56</v>
      </c>
      <c r="G3828" s="20" t="n">
        <f aca="false">E3828+F3828</f>
        <v>178.77</v>
      </c>
      <c r="H3828" s="20" t="n">
        <f aca="false">IF(G3828&lt;Parametres!$B$8*Parametres!$B$7,0,MIN(G3828,Parametres!$B$7))</f>
        <v>178.77</v>
      </c>
      <c r="I3828" s="20" t="n">
        <f aca="false">G3828-H3828</f>
        <v>0</v>
      </c>
      <c r="J3828" s="21" t="n">
        <f aca="false">H3828*1000/Parametres!$B$9</f>
        <v>3031.54146176022</v>
      </c>
    </row>
    <row r="3829" customFormat="false" ht="15" hidden="false" customHeight="false" outlineLevel="0" collapsed="false">
      <c r="A3829" s="0" t="n">
        <v>3825</v>
      </c>
      <c r="B3829" s="0" t="n">
        <v>6</v>
      </c>
      <c r="C3829" s="19" t="n">
        <v>0.7752</v>
      </c>
      <c r="D3829" s="19" t="n">
        <v>0.1362</v>
      </c>
      <c r="E3829" s="20" t="n">
        <f aca="false">Parametres!$B$5*C3829</f>
        <v>232.56</v>
      </c>
      <c r="F3829" s="20" t="n">
        <f aca="false">Parametres!$B$6*D3829</f>
        <v>27.24</v>
      </c>
      <c r="G3829" s="20" t="n">
        <f aca="false">E3829+F3829</f>
        <v>259.8</v>
      </c>
      <c r="H3829" s="20" t="n">
        <f aca="false">IF(G3829&lt;Parametres!$B$8*Parametres!$B$7,0,MIN(G3829,Parametres!$B$7))</f>
        <v>250</v>
      </c>
      <c r="I3829" s="20" t="n">
        <f aca="false">G3829-H3829</f>
        <v>9.80000000000001</v>
      </c>
      <c r="J3829" s="21" t="n">
        <f aca="false">H3829*1000/Parametres!$B$9</f>
        <v>4239.44378497541</v>
      </c>
    </row>
    <row r="3830" customFormat="false" ht="15" hidden="false" customHeight="false" outlineLevel="0" collapsed="false">
      <c r="A3830" s="0" t="n">
        <v>3826</v>
      </c>
      <c r="B3830" s="0" t="n">
        <v>6</v>
      </c>
      <c r="C3830" s="19" t="n">
        <v>1</v>
      </c>
      <c r="D3830" s="19" t="n">
        <v>0.2862</v>
      </c>
      <c r="E3830" s="20" t="n">
        <f aca="false">Parametres!$B$5*C3830</f>
        <v>300</v>
      </c>
      <c r="F3830" s="20" t="n">
        <f aca="false">Parametres!$B$6*D3830</f>
        <v>57.24</v>
      </c>
      <c r="G3830" s="20" t="n">
        <f aca="false">E3830+F3830</f>
        <v>357.24</v>
      </c>
      <c r="H3830" s="20" t="n">
        <f aca="false">IF(G3830&lt;Parametres!$B$8*Parametres!$B$7,0,MIN(G3830,Parametres!$B$7))</f>
        <v>250</v>
      </c>
      <c r="I3830" s="20" t="n">
        <f aca="false">G3830-H3830</f>
        <v>107.24</v>
      </c>
      <c r="J3830" s="21" t="n">
        <f aca="false">H3830*1000/Parametres!$B$9</f>
        <v>4239.44378497541</v>
      </c>
    </row>
    <row r="3831" customFormat="false" ht="15" hidden="false" customHeight="false" outlineLevel="0" collapsed="false">
      <c r="A3831" s="0" t="n">
        <v>3827</v>
      </c>
      <c r="B3831" s="0" t="n">
        <v>6</v>
      </c>
      <c r="C3831" s="19" t="n">
        <v>1</v>
      </c>
      <c r="D3831" s="19" t="n">
        <v>0.4272</v>
      </c>
      <c r="E3831" s="20" t="n">
        <f aca="false">Parametres!$B$5*C3831</f>
        <v>300</v>
      </c>
      <c r="F3831" s="20" t="n">
        <f aca="false">Parametres!$B$6*D3831</f>
        <v>85.44</v>
      </c>
      <c r="G3831" s="20" t="n">
        <f aca="false">E3831+F3831</f>
        <v>385.44</v>
      </c>
      <c r="H3831" s="20" t="n">
        <f aca="false">IF(G3831&lt;Parametres!$B$8*Parametres!$B$7,0,MIN(G3831,Parametres!$B$7))</f>
        <v>250</v>
      </c>
      <c r="I3831" s="20" t="n">
        <f aca="false">G3831-H3831</f>
        <v>135.44</v>
      </c>
      <c r="J3831" s="21" t="n">
        <f aca="false">H3831*1000/Parametres!$B$9</f>
        <v>4239.44378497541</v>
      </c>
    </row>
    <row r="3832" customFormat="false" ht="15" hidden="false" customHeight="false" outlineLevel="0" collapsed="false">
      <c r="A3832" s="0" t="n">
        <v>3828</v>
      </c>
      <c r="B3832" s="0" t="n">
        <v>6</v>
      </c>
      <c r="C3832" s="19" t="n">
        <v>1</v>
      </c>
      <c r="D3832" s="19" t="n">
        <v>0.5596</v>
      </c>
      <c r="E3832" s="20" t="n">
        <f aca="false">Parametres!$B$5*C3832</f>
        <v>300</v>
      </c>
      <c r="F3832" s="20" t="n">
        <f aca="false">Parametres!$B$6*D3832</f>
        <v>111.92</v>
      </c>
      <c r="G3832" s="20" t="n">
        <f aca="false">E3832+F3832</f>
        <v>411.92</v>
      </c>
      <c r="H3832" s="20" t="n">
        <f aca="false">IF(G3832&lt;Parametres!$B$8*Parametres!$B$7,0,MIN(G3832,Parametres!$B$7))</f>
        <v>250</v>
      </c>
      <c r="I3832" s="20" t="n">
        <f aca="false">G3832-H3832</f>
        <v>161.92</v>
      </c>
      <c r="J3832" s="21" t="n">
        <f aca="false">H3832*1000/Parametres!$B$9</f>
        <v>4239.44378497541</v>
      </c>
    </row>
    <row r="3833" customFormat="false" ht="15" hidden="false" customHeight="false" outlineLevel="0" collapsed="false">
      <c r="A3833" s="0" t="n">
        <v>3829</v>
      </c>
      <c r="B3833" s="0" t="n">
        <v>6</v>
      </c>
      <c r="C3833" s="19" t="n">
        <v>1</v>
      </c>
      <c r="D3833" s="19" t="n">
        <v>0.714</v>
      </c>
      <c r="E3833" s="20" t="n">
        <f aca="false">Parametres!$B$5*C3833</f>
        <v>300</v>
      </c>
      <c r="F3833" s="20" t="n">
        <f aca="false">Parametres!$B$6*D3833</f>
        <v>142.8</v>
      </c>
      <c r="G3833" s="20" t="n">
        <f aca="false">E3833+F3833</f>
        <v>442.8</v>
      </c>
      <c r="H3833" s="20" t="n">
        <f aca="false">IF(G3833&lt;Parametres!$B$8*Parametres!$B$7,0,MIN(G3833,Parametres!$B$7))</f>
        <v>250</v>
      </c>
      <c r="I3833" s="20" t="n">
        <f aca="false">G3833-H3833</f>
        <v>192.8</v>
      </c>
      <c r="J3833" s="21" t="n">
        <f aca="false">H3833*1000/Parametres!$B$9</f>
        <v>4239.44378497541</v>
      </c>
    </row>
    <row r="3834" customFormat="false" ht="15" hidden="false" customHeight="false" outlineLevel="0" collapsed="false">
      <c r="A3834" s="0" t="n">
        <v>3830</v>
      </c>
      <c r="B3834" s="0" t="n">
        <v>6</v>
      </c>
      <c r="C3834" s="19" t="n">
        <v>1</v>
      </c>
      <c r="D3834" s="19" t="n">
        <v>0.7594</v>
      </c>
      <c r="E3834" s="20" t="n">
        <f aca="false">Parametres!$B$5*C3834</f>
        <v>300</v>
      </c>
      <c r="F3834" s="20" t="n">
        <f aca="false">Parametres!$B$6*D3834</f>
        <v>151.88</v>
      </c>
      <c r="G3834" s="20" t="n">
        <f aca="false">E3834+F3834</f>
        <v>451.88</v>
      </c>
      <c r="H3834" s="20" t="n">
        <f aca="false">IF(G3834&lt;Parametres!$B$8*Parametres!$B$7,0,MIN(G3834,Parametres!$B$7))</f>
        <v>250</v>
      </c>
      <c r="I3834" s="20" t="n">
        <f aca="false">G3834-H3834</f>
        <v>201.88</v>
      </c>
      <c r="J3834" s="21" t="n">
        <f aca="false">H3834*1000/Parametres!$B$9</f>
        <v>4239.44378497541</v>
      </c>
    </row>
    <row r="3835" customFormat="false" ht="15" hidden="false" customHeight="false" outlineLevel="0" collapsed="false">
      <c r="A3835" s="0" t="n">
        <v>3831</v>
      </c>
      <c r="B3835" s="0" t="n">
        <v>6</v>
      </c>
      <c r="C3835" s="19" t="n">
        <v>1</v>
      </c>
      <c r="D3835" s="19" t="n">
        <v>0.8887</v>
      </c>
      <c r="E3835" s="20" t="n">
        <f aca="false">Parametres!$B$5*C3835</f>
        <v>300</v>
      </c>
      <c r="F3835" s="20" t="n">
        <f aca="false">Parametres!$B$6*D3835</f>
        <v>177.74</v>
      </c>
      <c r="G3835" s="20" t="n">
        <f aca="false">E3835+F3835</f>
        <v>477.74</v>
      </c>
      <c r="H3835" s="20" t="n">
        <f aca="false">IF(G3835&lt;Parametres!$B$8*Parametres!$B$7,0,MIN(G3835,Parametres!$B$7))</f>
        <v>250</v>
      </c>
      <c r="I3835" s="20" t="n">
        <f aca="false">G3835-H3835</f>
        <v>227.74</v>
      </c>
      <c r="J3835" s="21" t="n">
        <f aca="false">H3835*1000/Parametres!$B$9</f>
        <v>4239.44378497541</v>
      </c>
    </row>
    <row r="3836" customFormat="false" ht="15" hidden="false" customHeight="false" outlineLevel="0" collapsed="false">
      <c r="A3836" s="0" t="n">
        <v>3832</v>
      </c>
      <c r="B3836" s="0" t="n">
        <v>6</v>
      </c>
      <c r="C3836" s="19" t="n">
        <v>0.8144</v>
      </c>
      <c r="D3836" s="19" t="n">
        <v>0.6862</v>
      </c>
      <c r="E3836" s="20" t="n">
        <f aca="false">Parametres!$B$5*C3836</f>
        <v>244.32</v>
      </c>
      <c r="F3836" s="20" t="n">
        <f aca="false">Parametres!$B$6*D3836</f>
        <v>137.24</v>
      </c>
      <c r="G3836" s="20" t="n">
        <f aca="false">E3836+F3836</f>
        <v>381.56</v>
      </c>
      <c r="H3836" s="20" t="n">
        <f aca="false">IF(G3836&lt;Parametres!$B$8*Parametres!$B$7,0,MIN(G3836,Parametres!$B$7))</f>
        <v>250</v>
      </c>
      <c r="I3836" s="20" t="n">
        <f aca="false">G3836-H3836</f>
        <v>131.56</v>
      </c>
      <c r="J3836" s="21" t="n">
        <f aca="false">H3836*1000/Parametres!$B$9</f>
        <v>4239.44378497541</v>
      </c>
    </row>
    <row r="3837" customFormat="false" ht="15" hidden="false" customHeight="false" outlineLevel="0" collapsed="false">
      <c r="A3837" s="0" t="n">
        <v>3833</v>
      </c>
      <c r="B3837" s="0" t="n">
        <v>6</v>
      </c>
      <c r="C3837" s="19" t="n">
        <v>0.5787</v>
      </c>
      <c r="D3837" s="19" t="n">
        <v>0.5115</v>
      </c>
      <c r="E3837" s="20" t="n">
        <f aca="false">Parametres!$B$5*C3837</f>
        <v>173.61</v>
      </c>
      <c r="F3837" s="20" t="n">
        <f aca="false">Parametres!$B$6*D3837</f>
        <v>102.3</v>
      </c>
      <c r="G3837" s="20" t="n">
        <f aca="false">E3837+F3837</f>
        <v>275.91</v>
      </c>
      <c r="H3837" s="20" t="n">
        <f aca="false">IF(G3837&lt;Parametres!$B$8*Parametres!$B$7,0,MIN(G3837,Parametres!$B$7))</f>
        <v>250</v>
      </c>
      <c r="I3837" s="20" t="n">
        <f aca="false">G3837-H3837</f>
        <v>25.91</v>
      </c>
      <c r="J3837" s="21" t="n">
        <f aca="false">H3837*1000/Parametres!$B$9</f>
        <v>4239.44378497541</v>
      </c>
    </row>
    <row r="3838" customFormat="false" ht="15" hidden="false" customHeight="false" outlineLevel="0" collapsed="false">
      <c r="A3838" s="0" t="n">
        <v>3834</v>
      </c>
      <c r="B3838" s="0" t="n">
        <v>6</v>
      </c>
      <c r="C3838" s="19" t="n">
        <v>0.2907</v>
      </c>
      <c r="D3838" s="19" t="n">
        <v>0.8737</v>
      </c>
      <c r="E3838" s="20" t="n">
        <f aca="false">Parametres!$B$5*C3838</f>
        <v>87.21</v>
      </c>
      <c r="F3838" s="20" t="n">
        <f aca="false">Parametres!$B$6*D3838</f>
        <v>174.74</v>
      </c>
      <c r="G3838" s="20" t="n">
        <f aca="false">E3838+F3838</f>
        <v>261.95</v>
      </c>
      <c r="H3838" s="20" t="n">
        <f aca="false">IF(G3838&lt;Parametres!$B$8*Parametres!$B$7,0,MIN(G3838,Parametres!$B$7))</f>
        <v>250</v>
      </c>
      <c r="I3838" s="20" t="n">
        <f aca="false">G3838-H3838</f>
        <v>11.95</v>
      </c>
      <c r="J3838" s="21" t="n">
        <f aca="false">H3838*1000/Parametres!$B$9</f>
        <v>4239.44378497541</v>
      </c>
    </row>
    <row r="3839" customFormat="false" ht="15" hidden="false" customHeight="false" outlineLevel="0" collapsed="false">
      <c r="A3839" s="0" t="n">
        <v>3835</v>
      </c>
      <c r="B3839" s="0" t="n">
        <v>6</v>
      </c>
      <c r="C3839" s="19" t="n">
        <v>0.0646</v>
      </c>
      <c r="D3839" s="19" t="n">
        <v>0.7974</v>
      </c>
      <c r="E3839" s="20" t="n">
        <f aca="false">Parametres!$B$5*C3839</f>
        <v>19.38</v>
      </c>
      <c r="F3839" s="20" t="n">
        <f aca="false">Parametres!$B$6*D3839</f>
        <v>159.48</v>
      </c>
      <c r="G3839" s="20" t="n">
        <f aca="false">E3839+F3839</f>
        <v>178.86</v>
      </c>
      <c r="H3839" s="20" t="n">
        <f aca="false">IF(G3839&lt;Parametres!$B$8*Parametres!$B$7,0,MIN(G3839,Parametres!$B$7))</f>
        <v>178.86</v>
      </c>
      <c r="I3839" s="20" t="n">
        <f aca="false">G3839-H3839</f>
        <v>0</v>
      </c>
      <c r="J3839" s="21" t="n">
        <f aca="false">H3839*1000/Parametres!$B$9</f>
        <v>3033.06766152281</v>
      </c>
    </row>
    <row r="3840" customFormat="false" ht="15" hidden="false" customHeight="false" outlineLevel="0" collapsed="false">
      <c r="A3840" s="0" t="n">
        <v>3836</v>
      </c>
      <c r="B3840" s="0" t="n">
        <v>6</v>
      </c>
      <c r="C3840" s="19" t="n">
        <v>0</v>
      </c>
      <c r="D3840" s="19" t="n">
        <v>0.399</v>
      </c>
      <c r="E3840" s="20" t="n">
        <f aca="false">Parametres!$B$5*C3840</f>
        <v>0</v>
      </c>
      <c r="F3840" s="20" t="n">
        <f aca="false">Parametres!$B$6*D3840</f>
        <v>79.8</v>
      </c>
      <c r="G3840" s="20" t="n">
        <f aca="false">E3840+F3840</f>
        <v>79.8</v>
      </c>
      <c r="H3840" s="20" t="n">
        <f aca="false">IF(G3840&lt;Parametres!$B$8*Parametres!$B$7,0,MIN(G3840,Parametres!$B$7))</f>
        <v>79.8</v>
      </c>
      <c r="I3840" s="20" t="n">
        <f aca="false">G3840-H3840</f>
        <v>0</v>
      </c>
      <c r="J3840" s="21" t="n">
        <f aca="false">H3840*1000/Parametres!$B$9</f>
        <v>1353.23045616415</v>
      </c>
    </row>
    <row r="3841" customFormat="false" ht="15" hidden="false" customHeight="false" outlineLevel="0" collapsed="false">
      <c r="A3841" s="0" t="n">
        <v>3837</v>
      </c>
      <c r="B3841" s="0" t="n">
        <v>6</v>
      </c>
      <c r="C3841" s="19" t="n">
        <v>0</v>
      </c>
      <c r="D3841" s="19" t="n">
        <v>0.5975</v>
      </c>
      <c r="E3841" s="20" t="n">
        <f aca="false">Parametres!$B$5*C3841</f>
        <v>0</v>
      </c>
      <c r="F3841" s="20" t="n">
        <f aca="false">Parametres!$B$6*D3841</f>
        <v>119.5</v>
      </c>
      <c r="G3841" s="20" t="n">
        <f aca="false">E3841+F3841</f>
        <v>119.5</v>
      </c>
      <c r="H3841" s="20" t="n">
        <f aca="false">IF(G3841&lt;Parametres!$B$8*Parametres!$B$7,0,MIN(G3841,Parametres!$B$7))</f>
        <v>119.5</v>
      </c>
      <c r="I3841" s="20" t="n">
        <f aca="false">G3841-H3841</f>
        <v>0</v>
      </c>
      <c r="J3841" s="21" t="n">
        <f aca="false">H3841*1000/Parametres!$B$9</f>
        <v>2026.45412921825</v>
      </c>
    </row>
    <row r="3842" customFormat="false" ht="15" hidden="false" customHeight="false" outlineLevel="0" collapsed="false">
      <c r="A3842" s="0" t="n">
        <v>3838</v>
      </c>
      <c r="B3842" s="0" t="n">
        <v>6</v>
      </c>
      <c r="C3842" s="19" t="n">
        <v>0</v>
      </c>
      <c r="D3842" s="19" t="n">
        <v>0.8295</v>
      </c>
      <c r="E3842" s="20" t="n">
        <f aca="false">Parametres!$B$5*C3842</f>
        <v>0</v>
      </c>
      <c r="F3842" s="20" t="n">
        <f aca="false">Parametres!$B$6*D3842</f>
        <v>165.9</v>
      </c>
      <c r="G3842" s="20" t="n">
        <f aca="false">E3842+F3842</f>
        <v>165.9</v>
      </c>
      <c r="H3842" s="20" t="n">
        <f aca="false">IF(G3842&lt;Parametres!$B$8*Parametres!$B$7,0,MIN(G3842,Parametres!$B$7))</f>
        <v>165.9</v>
      </c>
      <c r="I3842" s="20" t="n">
        <f aca="false">G3842-H3842</f>
        <v>0</v>
      </c>
      <c r="J3842" s="21" t="n">
        <f aca="false">H3842*1000/Parametres!$B$9</f>
        <v>2813.29489570968</v>
      </c>
    </row>
    <row r="3843" customFormat="false" ht="15" hidden="false" customHeight="false" outlineLevel="0" collapsed="false">
      <c r="A3843" s="0" t="n">
        <v>3839</v>
      </c>
      <c r="B3843" s="0" t="n">
        <v>6</v>
      </c>
      <c r="C3843" s="19" t="n">
        <v>0</v>
      </c>
      <c r="D3843" s="19" t="n">
        <v>0.8323</v>
      </c>
      <c r="E3843" s="20" t="n">
        <f aca="false">Parametres!$B$5*C3843</f>
        <v>0</v>
      </c>
      <c r="F3843" s="20" t="n">
        <f aca="false">Parametres!$B$6*D3843</f>
        <v>166.46</v>
      </c>
      <c r="G3843" s="20" t="n">
        <f aca="false">E3843+F3843</f>
        <v>166.46</v>
      </c>
      <c r="H3843" s="20" t="n">
        <f aca="false">IF(G3843&lt;Parametres!$B$8*Parametres!$B$7,0,MIN(G3843,Parametres!$B$7))</f>
        <v>166.46</v>
      </c>
      <c r="I3843" s="20" t="n">
        <f aca="false">G3843-H3843</f>
        <v>0</v>
      </c>
      <c r="J3843" s="21" t="n">
        <f aca="false">H3843*1000/Parametres!$B$9</f>
        <v>2822.79124978803</v>
      </c>
    </row>
    <row r="3844" customFormat="false" ht="15" hidden="false" customHeight="false" outlineLevel="0" collapsed="false">
      <c r="A3844" s="0" t="n">
        <v>3840</v>
      </c>
      <c r="B3844" s="0" t="n">
        <v>6</v>
      </c>
      <c r="C3844" s="19" t="n">
        <v>0</v>
      </c>
      <c r="D3844" s="19" t="n">
        <v>0.4818</v>
      </c>
      <c r="E3844" s="20" t="n">
        <f aca="false">Parametres!$B$5*C3844</f>
        <v>0</v>
      </c>
      <c r="F3844" s="20" t="n">
        <f aca="false">Parametres!$B$6*D3844</f>
        <v>96.36</v>
      </c>
      <c r="G3844" s="20" t="n">
        <f aca="false">E3844+F3844</f>
        <v>96.36</v>
      </c>
      <c r="H3844" s="20" t="n">
        <f aca="false">IF(G3844&lt;Parametres!$B$8*Parametres!$B$7,0,MIN(G3844,Parametres!$B$7))</f>
        <v>96.36</v>
      </c>
      <c r="I3844" s="20" t="n">
        <f aca="false">G3844-H3844</f>
        <v>0</v>
      </c>
      <c r="J3844" s="21" t="n">
        <f aca="false">H3844*1000/Parametres!$B$9</f>
        <v>1634.05121248092</v>
      </c>
    </row>
    <row r="3845" customFormat="false" ht="15" hidden="false" customHeight="false" outlineLevel="0" collapsed="false">
      <c r="A3845" s="0" t="n">
        <v>3841</v>
      </c>
      <c r="B3845" s="0" t="n">
        <v>6</v>
      </c>
      <c r="C3845" s="19" t="n">
        <v>0</v>
      </c>
      <c r="D3845" s="19" t="n">
        <v>0.7863</v>
      </c>
      <c r="E3845" s="20" t="n">
        <f aca="false">Parametres!$B$5*C3845</f>
        <v>0</v>
      </c>
      <c r="F3845" s="20" t="n">
        <f aca="false">Parametres!$B$6*D3845</f>
        <v>157.26</v>
      </c>
      <c r="G3845" s="20" t="n">
        <f aca="false">E3845+F3845</f>
        <v>157.26</v>
      </c>
      <c r="H3845" s="20" t="n">
        <f aca="false">IF(G3845&lt;Parametres!$B$8*Parametres!$B$7,0,MIN(G3845,Parametres!$B$7))</f>
        <v>157.26</v>
      </c>
      <c r="I3845" s="20" t="n">
        <f aca="false">G3845-H3845</f>
        <v>0</v>
      </c>
      <c r="J3845" s="21" t="n">
        <f aca="false">H3845*1000/Parametres!$B$9</f>
        <v>2666.77971850093</v>
      </c>
    </row>
    <row r="3846" customFormat="false" ht="15" hidden="false" customHeight="false" outlineLevel="0" collapsed="false">
      <c r="A3846" s="0" t="n">
        <v>3842</v>
      </c>
      <c r="B3846" s="0" t="n">
        <v>6</v>
      </c>
      <c r="C3846" s="19" t="n">
        <v>0</v>
      </c>
      <c r="D3846" s="19" t="n">
        <v>0.9473</v>
      </c>
      <c r="E3846" s="20" t="n">
        <f aca="false">Parametres!$B$5*C3846</f>
        <v>0</v>
      </c>
      <c r="F3846" s="20" t="n">
        <f aca="false">Parametres!$B$6*D3846</f>
        <v>189.46</v>
      </c>
      <c r="G3846" s="20" t="n">
        <f aca="false">E3846+F3846</f>
        <v>189.46</v>
      </c>
      <c r="H3846" s="20" t="n">
        <f aca="false">IF(G3846&lt;Parametres!$B$8*Parametres!$B$7,0,MIN(G3846,Parametres!$B$7))</f>
        <v>189.46</v>
      </c>
      <c r="I3846" s="20" t="n">
        <f aca="false">G3846-H3846</f>
        <v>0</v>
      </c>
      <c r="J3846" s="21" t="n">
        <f aca="false">H3846*1000/Parametres!$B$9</f>
        <v>3212.82007800577</v>
      </c>
    </row>
    <row r="3847" customFormat="false" ht="15" hidden="false" customHeight="false" outlineLevel="0" collapsed="false">
      <c r="A3847" s="0" t="n">
        <v>3843</v>
      </c>
      <c r="B3847" s="0" t="n">
        <v>6</v>
      </c>
      <c r="C3847" s="19" t="n">
        <v>0</v>
      </c>
      <c r="D3847" s="19" t="n">
        <v>1</v>
      </c>
      <c r="E3847" s="20" t="n">
        <f aca="false">Parametres!$B$5*C3847</f>
        <v>0</v>
      </c>
      <c r="F3847" s="20" t="n">
        <f aca="false">Parametres!$B$6*D3847</f>
        <v>200</v>
      </c>
      <c r="G3847" s="20" t="n">
        <f aca="false">E3847+F3847</f>
        <v>200</v>
      </c>
      <c r="H3847" s="20" t="n">
        <f aca="false">IF(G3847&lt;Parametres!$B$8*Parametres!$B$7,0,MIN(G3847,Parametres!$B$7))</f>
        <v>200</v>
      </c>
      <c r="I3847" s="20" t="n">
        <f aca="false">G3847-H3847</f>
        <v>0</v>
      </c>
      <c r="J3847" s="21" t="n">
        <f aca="false">H3847*1000/Parametres!$B$9</f>
        <v>3391.55502798033</v>
      </c>
    </row>
    <row r="3848" customFormat="false" ht="15" hidden="false" customHeight="false" outlineLevel="0" collapsed="false">
      <c r="A3848" s="0" t="n">
        <v>3844</v>
      </c>
      <c r="B3848" s="0" t="n">
        <v>6</v>
      </c>
      <c r="C3848" s="19" t="n">
        <v>0</v>
      </c>
      <c r="D3848" s="19" t="n">
        <v>1</v>
      </c>
      <c r="E3848" s="20" t="n">
        <f aca="false">Parametres!$B$5*C3848</f>
        <v>0</v>
      </c>
      <c r="F3848" s="20" t="n">
        <f aca="false">Parametres!$B$6*D3848</f>
        <v>200</v>
      </c>
      <c r="G3848" s="20" t="n">
        <f aca="false">E3848+F3848</f>
        <v>200</v>
      </c>
      <c r="H3848" s="20" t="n">
        <f aca="false">IF(G3848&lt;Parametres!$B$8*Parametres!$B$7,0,MIN(G3848,Parametres!$B$7))</f>
        <v>200</v>
      </c>
      <c r="I3848" s="20" t="n">
        <f aca="false">G3848-H3848</f>
        <v>0</v>
      </c>
      <c r="J3848" s="21" t="n">
        <f aca="false">H3848*1000/Parametres!$B$9</f>
        <v>3391.55502798033</v>
      </c>
    </row>
    <row r="3849" customFormat="false" ht="15" hidden="false" customHeight="false" outlineLevel="0" collapsed="false">
      <c r="A3849" s="0" t="n">
        <v>3845</v>
      </c>
      <c r="B3849" s="0" t="n">
        <v>6</v>
      </c>
      <c r="C3849" s="19" t="n">
        <v>0</v>
      </c>
      <c r="D3849" s="19" t="n">
        <v>1</v>
      </c>
      <c r="E3849" s="20" t="n">
        <f aca="false">Parametres!$B$5*C3849</f>
        <v>0</v>
      </c>
      <c r="F3849" s="20" t="n">
        <f aca="false">Parametres!$B$6*D3849</f>
        <v>200</v>
      </c>
      <c r="G3849" s="20" t="n">
        <f aca="false">E3849+F3849</f>
        <v>200</v>
      </c>
      <c r="H3849" s="20" t="n">
        <f aca="false">IF(G3849&lt;Parametres!$B$8*Parametres!$B$7,0,MIN(G3849,Parametres!$B$7))</f>
        <v>200</v>
      </c>
      <c r="I3849" s="20" t="n">
        <f aca="false">G3849-H3849</f>
        <v>0</v>
      </c>
      <c r="J3849" s="21" t="n">
        <f aca="false">H3849*1000/Parametres!$B$9</f>
        <v>3391.55502798033</v>
      </c>
    </row>
    <row r="3850" customFormat="false" ht="15" hidden="false" customHeight="false" outlineLevel="0" collapsed="false">
      <c r="A3850" s="0" t="n">
        <v>3846</v>
      </c>
      <c r="B3850" s="0" t="n">
        <v>6</v>
      </c>
      <c r="C3850" s="19" t="n">
        <v>0.0771</v>
      </c>
      <c r="D3850" s="19" t="n">
        <v>1</v>
      </c>
      <c r="E3850" s="20" t="n">
        <f aca="false">Parametres!$B$5*C3850</f>
        <v>23.13</v>
      </c>
      <c r="F3850" s="20" t="n">
        <f aca="false">Parametres!$B$6*D3850</f>
        <v>200</v>
      </c>
      <c r="G3850" s="20" t="n">
        <f aca="false">E3850+F3850</f>
        <v>223.13</v>
      </c>
      <c r="H3850" s="20" t="n">
        <f aca="false">IF(G3850&lt;Parametres!$B$8*Parametres!$B$7,0,MIN(G3850,Parametres!$B$7))</f>
        <v>223.13</v>
      </c>
      <c r="I3850" s="20" t="n">
        <f aca="false">G3850-H3850</f>
        <v>0</v>
      </c>
      <c r="J3850" s="21" t="n">
        <f aca="false">H3850*1000/Parametres!$B$9</f>
        <v>3783.78836696625</v>
      </c>
    </row>
    <row r="3851" customFormat="false" ht="15" hidden="false" customHeight="false" outlineLevel="0" collapsed="false">
      <c r="A3851" s="0" t="n">
        <v>3847</v>
      </c>
      <c r="B3851" s="0" t="n">
        <v>6</v>
      </c>
      <c r="C3851" s="19" t="n">
        <v>0.3487</v>
      </c>
      <c r="D3851" s="19" t="n">
        <v>0.9943</v>
      </c>
      <c r="E3851" s="20" t="n">
        <f aca="false">Parametres!$B$5*C3851</f>
        <v>104.61</v>
      </c>
      <c r="F3851" s="20" t="n">
        <f aca="false">Parametres!$B$6*D3851</f>
        <v>198.86</v>
      </c>
      <c r="G3851" s="20" t="n">
        <f aca="false">E3851+F3851</f>
        <v>303.47</v>
      </c>
      <c r="H3851" s="20" t="n">
        <f aca="false">IF(G3851&lt;Parametres!$B$8*Parametres!$B$7,0,MIN(G3851,Parametres!$B$7))</f>
        <v>250</v>
      </c>
      <c r="I3851" s="20" t="n">
        <f aca="false">G3851-H3851</f>
        <v>53.47</v>
      </c>
      <c r="J3851" s="21" t="n">
        <f aca="false">H3851*1000/Parametres!$B$9</f>
        <v>4239.44378497541</v>
      </c>
    </row>
    <row r="3852" customFormat="false" ht="15" hidden="false" customHeight="false" outlineLevel="0" collapsed="false">
      <c r="A3852" s="0" t="n">
        <v>3848</v>
      </c>
      <c r="B3852" s="0" t="n">
        <v>6</v>
      </c>
      <c r="C3852" s="19" t="n">
        <v>0.6328</v>
      </c>
      <c r="D3852" s="19" t="n">
        <v>0.7644</v>
      </c>
      <c r="E3852" s="20" t="n">
        <f aca="false">Parametres!$B$5*C3852</f>
        <v>189.84</v>
      </c>
      <c r="F3852" s="20" t="n">
        <f aca="false">Parametres!$B$6*D3852</f>
        <v>152.88</v>
      </c>
      <c r="G3852" s="20" t="n">
        <f aca="false">E3852+F3852</f>
        <v>342.72</v>
      </c>
      <c r="H3852" s="20" t="n">
        <f aca="false">IF(G3852&lt;Parametres!$B$8*Parametres!$B$7,0,MIN(G3852,Parametres!$B$7))</f>
        <v>250</v>
      </c>
      <c r="I3852" s="20" t="n">
        <f aca="false">G3852-H3852</f>
        <v>92.72</v>
      </c>
      <c r="J3852" s="21" t="n">
        <f aca="false">H3852*1000/Parametres!$B$9</f>
        <v>4239.44378497541</v>
      </c>
    </row>
    <row r="3853" customFormat="false" ht="15" hidden="false" customHeight="false" outlineLevel="0" collapsed="false">
      <c r="A3853" s="0" t="n">
        <v>3849</v>
      </c>
      <c r="B3853" s="0" t="n">
        <v>6</v>
      </c>
      <c r="C3853" s="19" t="n">
        <v>0.9204</v>
      </c>
      <c r="D3853" s="19" t="n">
        <v>0.6622</v>
      </c>
      <c r="E3853" s="20" t="n">
        <f aca="false">Parametres!$B$5*C3853</f>
        <v>276.12</v>
      </c>
      <c r="F3853" s="20" t="n">
        <f aca="false">Parametres!$B$6*D3853</f>
        <v>132.44</v>
      </c>
      <c r="G3853" s="20" t="n">
        <f aca="false">E3853+F3853</f>
        <v>408.56</v>
      </c>
      <c r="H3853" s="20" t="n">
        <f aca="false">IF(G3853&lt;Parametres!$B$8*Parametres!$B$7,0,MIN(G3853,Parametres!$B$7))</f>
        <v>250</v>
      </c>
      <c r="I3853" s="20" t="n">
        <f aca="false">G3853-H3853</f>
        <v>158.56</v>
      </c>
      <c r="J3853" s="21" t="n">
        <f aca="false">H3853*1000/Parametres!$B$9</f>
        <v>4239.44378497541</v>
      </c>
    </row>
    <row r="3854" customFormat="false" ht="15" hidden="false" customHeight="false" outlineLevel="0" collapsed="false">
      <c r="A3854" s="0" t="n">
        <v>3850</v>
      </c>
      <c r="B3854" s="0" t="n">
        <v>6</v>
      </c>
      <c r="C3854" s="19" t="n">
        <v>1</v>
      </c>
      <c r="D3854" s="19" t="n">
        <v>0.6301</v>
      </c>
      <c r="E3854" s="20" t="n">
        <f aca="false">Parametres!$B$5*C3854</f>
        <v>300</v>
      </c>
      <c r="F3854" s="20" t="n">
        <f aca="false">Parametres!$B$6*D3854</f>
        <v>126.02</v>
      </c>
      <c r="G3854" s="20" t="n">
        <f aca="false">E3854+F3854</f>
        <v>426.02</v>
      </c>
      <c r="H3854" s="20" t="n">
        <f aca="false">IF(G3854&lt;Parametres!$B$8*Parametres!$B$7,0,MIN(G3854,Parametres!$B$7))</f>
        <v>250</v>
      </c>
      <c r="I3854" s="20" t="n">
        <f aca="false">G3854-H3854</f>
        <v>176.02</v>
      </c>
      <c r="J3854" s="21" t="n">
        <f aca="false">H3854*1000/Parametres!$B$9</f>
        <v>4239.44378497541</v>
      </c>
    </row>
    <row r="3855" customFormat="false" ht="15" hidden="false" customHeight="false" outlineLevel="0" collapsed="false">
      <c r="A3855" s="0" t="n">
        <v>3851</v>
      </c>
      <c r="B3855" s="0" t="n">
        <v>6</v>
      </c>
      <c r="C3855" s="19" t="n">
        <v>1</v>
      </c>
      <c r="D3855" s="19" t="n">
        <v>0.718</v>
      </c>
      <c r="E3855" s="20" t="n">
        <f aca="false">Parametres!$B$5*C3855</f>
        <v>300</v>
      </c>
      <c r="F3855" s="20" t="n">
        <f aca="false">Parametres!$B$6*D3855</f>
        <v>143.6</v>
      </c>
      <c r="G3855" s="20" t="n">
        <f aca="false">E3855+F3855</f>
        <v>443.6</v>
      </c>
      <c r="H3855" s="20" t="n">
        <f aca="false">IF(G3855&lt;Parametres!$B$8*Parametres!$B$7,0,MIN(G3855,Parametres!$B$7))</f>
        <v>250</v>
      </c>
      <c r="I3855" s="20" t="n">
        <f aca="false">G3855-H3855</f>
        <v>193.6</v>
      </c>
      <c r="J3855" s="21" t="n">
        <f aca="false">H3855*1000/Parametres!$B$9</f>
        <v>4239.44378497541</v>
      </c>
    </row>
    <row r="3856" customFormat="false" ht="15" hidden="false" customHeight="false" outlineLevel="0" collapsed="false">
      <c r="A3856" s="0" t="n">
        <v>3852</v>
      </c>
      <c r="B3856" s="0" t="n">
        <v>6</v>
      </c>
      <c r="C3856" s="19" t="n">
        <v>1</v>
      </c>
      <c r="D3856" s="19" t="n">
        <v>1</v>
      </c>
      <c r="E3856" s="20" t="n">
        <f aca="false">Parametres!$B$5*C3856</f>
        <v>300</v>
      </c>
      <c r="F3856" s="20" t="n">
        <f aca="false">Parametres!$B$6*D3856</f>
        <v>200</v>
      </c>
      <c r="G3856" s="20" t="n">
        <f aca="false">E3856+F3856</f>
        <v>500</v>
      </c>
      <c r="H3856" s="20" t="n">
        <f aca="false">IF(G3856&lt;Parametres!$B$8*Parametres!$B$7,0,MIN(G3856,Parametres!$B$7))</f>
        <v>250</v>
      </c>
      <c r="I3856" s="20" t="n">
        <f aca="false">G3856-H3856</f>
        <v>250</v>
      </c>
      <c r="J3856" s="21" t="n">
        <f aca="false">H3856*1000/Parametres!$B$9</f>
        <v>4239.44378497541</v>
      </c>
    </row>
    <row r="3857" customFormat="false" ht="15" hidden="false" customHeight="false" outlineLevel="0" collapsed="false">
      <c r="A3857" s="0" t="n">
        <v>3853</v>
      </c>
      <c r="B3857" s="0" t="n">
        <v>6</v>
      </c>
      <c r="C3857" s="19" t="n">
        <v>1</v>
      </c>
      <c r="D3857" s="19" t="n">
        <v>1</v>
      </c>
      <c r="E3857" s="20" t="n">
        <f aca="false">Parametres!$B$5*C3857</f>
        <v>300</v>
      </c>
      <c r="F3857" s="20" t="n">
        <f aca="false">Parametres!$B$6*D3857</f>
        <v>200</v>
      </c>
      <c r="G3857" s="20" t="n">
        <f aca="false">E3857+F3857</f>
        <v>500</v>
      </c>
      <c r="H3857" s="20" t="n">
        <f aca="false">IF(G3857&lt;Parametres!$B$8*Parametres!$B$7,0,MIN(G3857,Parametres!$B$7))</f>
        <v>250</v>
      </c>
      <c r="I3857" s="20" t="n">
        <f aca="false">G3857-H3857</f>
        <v>250</v>
      </c>
      <c r="J3857" s="21" t="n">
        <f aca="false">H3857*1000/Parametres!$B$9</f>
        <v>4239.44378497541</v>
      </c>
    </row>
    <row r="3858" customFormat="false" ht="15" hidden="false" customHeight="false" outlineLevel="0" collapsed="false">
      <c r="A3858" s="0" t="n">
        <v>3854</v>
      </c>
      <c r="B3858" s="0" t="n">
        <v>6</v>
      </c>
      <c r="C3858" s="19" t="n">
        <v>1</v>
      </c>
      <c r="D3858" s="19" t="n">
        <v>0.8766</v>
      </c>
      <c r="E3858" s="20" t="n">
        <f aca="false">Parametres!$B$5*C3858</f>
        <v>300</v>
      </c>
      <c r="F3858" s="20" t="n">
        <f aca="false">Parametres!$B$6*D3858</f>
        <v>175.32</v>
      </c>
      <c r="G3858" s="20" t="n">
        <f aca="false">E3858+F3858</f>
        <v>475.32</v>
      </c>
      <c r="H3858" s="20" t="n">
        <f aca="false">IF(G3858&lt;Parametres!$B$8*Parametres!$B$7,0,MIN(G3858,Parametres!$B$7))</f>
        <v>250</v>
      </c>
      <c r="I3858" s="20" t="n">
        <f aca="false">G3858-H3858</f>
        <v>225.32</v>
      </c>
      <c r="J3858" s="21" t="n">
        <f aca="false">H3858*1000/Parametres!$B$9</f>
        <v>4239.44378497541</v>
      </c>
    </row>
    <row r="3859" customFormat="false" ht="15" hidden="false" customHeight="false" outlineLevel="0" collapsed="false">
      <c r="A3859" s="0" t="n">
        <v>3855</v>
      </c>
      <c r="B3859" s="0" t="n">
        <v>6</v>
      </c>
      <c r="C3859" s="19" t="n">
        <v>1</v>
      </c>
      <c r="D3859" s="19" t="n">
        <v>1</v>
      </c>
      <c r="E3859" s="20" t="n">
        <f aca="false">Parametres!$B$5*C3859</f>
        <v>300</v>
      </c>
      <c r="F3859" s="20" t="n">
        <f aca="false">Parametres!$B$6*D3859</f>
        <v>200</v>
      </c>
      <c r="G3859" s="20" t="n">
        <f aca="false">E3859+F3859</f>
        <v>500</v>
      </c>
      <c r="H3859" s="20" t="n">
        <f aca="false">IF(G3859&lt;Parametres!$B$8*Parametres!$B$7,0,MIN(G3859,Parametres!$B$7))</f>
        <v>250</v>
      </c>
      <c r="I3859" s="20" t="n">
        <f aca="false">G3859-H3859</f>
        <v>250</v>
      </c>
      <c r="J3859" s="21" t="n">
        <f aca="false">H3859*1000/Parametres!$B$9</f>
        <v>4239.44378497541</v>
      </c>
    </row>
    <row r="3860" customFormat="false" ht="15" hidden="false" customHeight="false" outlineLevel="0" collapsed="false">
      <c r="A3860" s="0" t="n">
        <v>3856</v>
      </c>
      <c r="B3860" s="0" t="n">
        <v>6</v>
      </c>
      <c r="C3860" s="19" t="n">
        <v>0.9772</v>
      </c>
      <c r="D3860" s="19" t="n">
        <v>0.8196</v>
      </c>
      <c r="E3860" s="20" t="n">
        <f aca="false">Parametres!$B$5*C3860</f>
        <v>293.16</v>
      </c>
      <c r="F3860" s="20" t="n">
        <f aca="false">Parametres!$B$6*D3860</f>
        <v>163.92</v>
      </c>
      <c r="G3860" s="20" t="n">
        <f aca="false">E3860+F3860</f>
        <v>457.08</v>
      </c>
      <c r="H3860" s="20" t="n">
        <f aca="false">IF(G3860&lt;Parametres!$B$8*Parametres!$B$7,0,MIN(G3860,Parametres!$B$7))</f>
        <v>250</v>
      </c>
      <c r="I3860" s="20" t="n">
        <f aca="false">G3860-H3860</f>
        <v>207.08</v>
      </c>
      <c r="J3860" s="21" t="n">
        <f aca="false">H3860*1000/Parametres!$B$9</f>
        <v>4239.44378497541</v>
      </c>
    </row>
    <row r="3861" customFormat="false" ht="15" hidden="false" customHeight="false" outlineLevel="0" collapsed="false">
      <c r="A3861" s="0" t="n">
        <v>3857</v>
      </c>
      <c r="B3861" s="0" t="n">
        <v>6</v>
      </c>
      <c r="C3861" s="19" t="n">
        <v>0.6374</v>
      </c>
      <c r="D3861" s="19" t="n">
        <v>0.9655</v>
      </c>
      <c r="E3861" s="20" t="n">
        <f aca="false">Parametres!$B$5*C3861</f>
        <v>191.22</v>
      </c>
      <c r="F3861" s="20" t="n">
        <f aca="false">Parametres!$B$6*D3861</f>
        <v>193.1</v>
      </c>
      <c r="G3861" s="20" t="n">
        <f aca="false">E3861+F3861</f>
        <v>384.32</v>
      </c>
      <c r="H3861" s="20" t="n">
        <f aca="false">IF(G3861&lt;Parametres!$B$8*Parametres!$B$7,0,MIN(G3861,Parametres!$B$7))</f>
        <v>250</v>
      </c>
      <c r="I3861" s="20" t="n">
        <f aca="false">G3861-H3861</f>
        <v>134.32</v>
      </c>
      <c r="J3861" s="21" t="n">
        <f aca="false">H3861*1000/Parametres!$B$9</f>
        <v>4239.44378497541</v>
      </c>
    </row>
    <row r="3862" customFormat="false" ht="15" hidden="false" customHeight="false" outlineLevel="0" collapsed="false">
      <c r="A3862" s="0" t="n">
        <v>3858</v>
      </c>
      <c r="B3862" s="0" t="n">
        <v>6</v>
      </c>
      <c r="C3862" s="19" t="n">
        <v>0.3518</v>
      </c>
      <c r="D3862" s="19" t="n">
        <v>0.8826</v>
      </c>
      <c r="E3862" s="20" t="n">
        <f aca="false">Parametres!$B$5*C3862</f>
        <v>105.54</v>
      </c>
      <c r="F3862" s="20" t="n">
        <f aca="false">Parametres!$B$6*D3862</f>
        <v>176.52</v>
      </c>
      <c r="G3862" s="20" t="n">
        <f aca="false">E3862+F3862</f>
        <v>282.06</v>
      </c>
      <c r="H3862" s="20" t="n">
        <f aca="false">IF(G3862&lt;Parametres!$B$8*Parametres!$B$7,0,MIN(G3862,Parametres!$B$7))</f>
        <v>250</v>
      </c>
      <c r="I3862" s="20" t="n">
        <f aca="false">G3862-H3862</f>
        <v>32.06</v>
      </c>
      <c r="J3862" s="21" t="n">
        <f aca="false">H3862*1000/Parametres!$B$9</f>
        <v>4239.44378497541</v>
      </c>
    </row>
    <row r="3863" customFormat="false" ht="15" hidden="false" customHeight="false" outlineLevel="0" collapsed="false">
      <c r="A3863" s="0" t="n">
        <v>3859</v>
      </c>
      <c r="B3863" s="0" t="n">
        <v>6</v>
      </c>
      <c r="C3863" s="19" t="n">
        <v>0.0768</v>
      </c>
      <c r="D3863" s="19" t="n">
        <v>0.8539</v>
      </c>
      <c r="E3863" s="20" t="n">
        <f aca="false">Parametres!$B$5*C3863</f>
        <v>23.04</v>
      </c>
      <c r="F3863" s="20" t="n">
        <f aca="false">Parametres!$B$6*D3863</f>
        <v>170.78</v>
      </c>
      <c r="G3863" s="20" t="n">
        <f aca="false">E3863+F3863</f>
        <v>193.82</v>
      </c>
      <c r="H3863" s="20" t="n">
        <f aca="false">IF(G3863&lt;Parametres!$B$8*Parametres!$B$7,0,MIN(G3863,Parametres!$B$7))</f>
        <v>193.82</v>
      </c>
      <c r="I3863" s="20" t="n">
        <f aca="false">G3863-H3863</f>
        <v>0</v>
      </c>
      <c r="J3863" s="21" t="n">
        <f aca="false">H3863*1000/Parametres!$B$9</f>
        <v>3286.75597761574</v>
      </c>
    </row>
    <row r="3864" customFormat="false" ht="15" hidden="false" customHeight="false" outlineLevel="0" collapsed="false">
      <c r="A3864" s="0" t="n">
        <v>3860</v>
      </c>
      <c r="B3864" s="0" t="n">
        <v>6</v>
      </c>
      <c r="C3864" s="19" t="n">
        <v>0</v>
      </c>
      <c r="D3864" s="19" t="n">
        <v>0.6695</v>
      </c>
      <c r="E3864" s="20" t="n">
        <f aca="false">Parametres!$B$5*C3864</f>
        <v>0</v>
      </c>
      <c r="F3864" s="20" t="n">
        <f aca="false">Parametres!$B$6*D3864</f>
        <v>133.9</v>
      </c>
      <c r="G3864" s="20" t="n">
        <f aca="false">E3864+F3864</f>
        <v>133.9</v>
      </c>
      <c r="H3864" s="20" t="n">
        <f aca="false">IF(G3864&lt;Parametres!$B$8*Parametres!$B$7,0,MIN(G3864,Parametres!$B$7))</f>
        <v>133.9</v>
      </c>
      <c r="I3864" s="20" t="n">
        <f aca="false">G3864-H3864</f>
        <v>0</v>
      </c>
      <c r="J3864" s="21" t="n">
        <f aca="false">H3864*1000/Parametres!$B$9</f>
        <v>2270.64609123283</v>
      </c>
    </row>
    <row r="3865" customFormat="false" ht="15" hidden="false" customHeight="false" outlineLevel="0" collapsed="false">
      <c r="A3865" s="0" t="n">
        <v>3861</v>
      </c>
      <c r="B3865" s="0" t="n">
        <v>6</v>
      </c>
      <c r="C3865" s="19" t="n">
        <v>0</v>
      </c>
      <c r="D3865" s="19" t="n">
        <v>0.4092</v>
      </c>
      <c r="E3865" s="20" t="n">
        <f aca="false">Parametres!$B$5*C3865</f>
        <v>0</v>
      </c>
      <c r="F3865" s="20" t="n">
        <f aca="false">Parametres!$B$6*D3865</f>
        <v>81.84</v>
      </c>
      <c r="G3865" s="20" t="n">
        <f aca="false">E3865+F3865</f>
        <v>81.84</v>
      </c>
      <c r="H3865" s="20" t="n">
        <f aca="false">IF(G3865&lt;Parametres!$B$8*Parametres!$B$7,0,MIN(G3865,Parametres!$B$7))</f>
        <v>81.84</v>
      </c>
      <c r="I3865" s="20" t="n">
        <f aca="false">G3865-H3865</f>
        <v>0</v>
      </c>
      <c r="J3865" s="21" t="n">
        <f aca="false">H3865*1000/Parametres!$B$9</f>
        <v>1387.82431744955</v>
      </c>
    </row>
    <row r="3866" customFormat="false" ht="15" hidden="false" customHeight="false" outlineLevel="0" collapsed="false">
      <c r="A3866" s="0" t="n">
        <v>3862</v>
      </c>
      <c r="B3866" s="0" t="n">
        <v>6</v>
      </c>
      <c r="C3866" s="19" t="n">
        <v>0</v>
      </c>
      <c r="D3866" s="19" t="n">
        <v>0.6481</v>
      </c>
      <c r="E3866" s="20" t="n">
        <f aca="false">Parametres!$B$5*C3866</f>
        <v>0</v>
      </c>
      <c r="F3866" s="20" t="n">
        <f aca="false">Parametres!$B$6*D3866</f>
        <v>129.62</v>
      </c>
      <c r="G3866" s="20" t="n">
        <f aca="false">E3866+F3866</f>
        <v>129.62</v>
      </c>
      <c r="H3866" s="20" t="n">
        <f aca="false">IF(G3866&lt;Parametres!$B$8*Parametres!$B$7,0,MIN(G3866,Parametres!$B$7))</f>
        <v>129.62</v>
      </c>
      <c r="I3866" s="20" t="n">
        <f aca="false">G3866-H3866</f>
        <v>0</v>
      </c>
      <c r="J3866" s="21" t="n">
        <f aca="false">H3866*1000/Parametres!$B$9</f>
        <v>2198.06681363405</v>
      </c>
    </row>
    <row r="3867" customFormat="false" ht="15" hidden="false" customHeight="false" outlineLevel="0" collapsed="false">
      <c r="A3867" s="0" t="n">
        <v>3863</v>
      </c>
      <c r="B3867" s="0" t="n">
        <v>6</v>
      </c>
      <c r="C3867" s="19" t="n">
        <v>0</v>
      </c>
      <c r="D3867" s="19" t="n">
        <v>0.2205</v>
      </c>
      <c r="E3867" s="20" t="n">
        <f aca="false">Parametres!$B$5*C3867</f>
        <v>0</v>
      </c>
      <c r="F3867" s="20" t="n">
        <f aca="false">Parametres!$B$6*D3867</f>
        <v>44.1</v>
      </c>
      <c r="G3867" s="20" t="n">
        <f aca="false">E3867+F3867</f>
        <v>44.1</v>
      </c>
      <c r="H3867" s="20" t="n">
        <f aca="false">IF(G3867&lt;Parametres!$B$8*Parametres!$B$7,0,MIN(G3867,Parametres!$B$7))</f>
        <v>44.1</v>
      </c>
      <c r="I3867" s="20" t="n">
        <f aca="false">G3867-H3867</f>
        <v>0</v>
      </c>
      <c r="J3867" s="21" t="n">
        <f aca="false">H3867*1000/Parametres!$B$9</f>
        <v>747.837883669663</v>
      </c>
    </row>
    <row r="3868" customFormat="false" ht="15" hidden="false" customHeight="false" outlineLevel="0" collapsed="false">
      <c r="A3868" s="0" t="n">
        <v>3864</v>
      </c>
      <c r="B3868" s="0" t="n">
        <v>6</v>
      </c>
      <c r="C3868" s="19" t="n">
        <v>0</v>
      </c>
      <c r="D3868" s="19" t="n">
        <v>0.1256</v>
      </c>
      <c r="E3868" s="20" t="n">
        <f aca="false">Parametres!$B$5*C3868</f>
        <v>0</v>
      </c>
      <c r="F3868" s="20" t="n">
        <f aca="false">Parametres!$B$6*D3868</f>
        <v>25.12</v>
      </c>
      <c r="G3868" s="20" t="n">
        <f aca="false">E3868+F3868</f>
        <v>25.12</v>
      </c>
      <c r="H3868" s="20" t="n">
        <f aca="false">IF(G3868&lt;Parametres!$B$8*Parametres!$B$7,0,MIN(G3868,Parametres!$B$7))</f>
        <v>25.12</v>
      </c>
      <c r="I3868" s="20" t="n">
        <f aca="false">G3868-H3868</f>
        <v>0</v>
      </c>
      <c r="J3868" s="21" t="n">
        <f aca="false">H3868*1000/Parametres!$B$9</f>
        <v>425.979311514329</v>
      </c>
    </row>
    <row r="3869" customFormat="false" ht="15" hidden="false" customHeight="false" outlineLevel="0" collapsed="false">
      <c r="A3869" s="0" t="n">
        <v>3865</v>
      </c>
      <c r="B3869" s="0" t="n">
        <v>6</v>
      </c>
      <c r="C3869" s="19" t="n">
        <v>0</v>
      </c>
      <c r="D3869" s="19" t="n">
        <v>0.2004</v>
      </c>
      <c r="E3869" s="20" t="n">
        <f aca="false">Parametres!$B$5*C3869</f>
        <v>0</v>
      </c>
      <c r="F3869" s="20" t="n">
        <f aca="false">Parametres!$B$6*D3869</f>
        <v>40.08</v>
      </c>
      <c r="G3869" s="20" t="n">
        <f aca="false">E3869+F3869</f>
        <v>40.08</v>
      </c>
      <c r="H3869" s="20" t="n">
        <f aca="false">IF(G3869&lt;Parametres!$B$8*Parametres!$B$7,0,MIN(G3869,Parametres!$B$7))</f>
        <v>40.08</v>
      </c>
      <c r="I3869" s="20" t="n">
        <f aca="false">G3869-H3869</f>
        <v>0</v>
      </c>
      <c r="J3869" s="21" t="n">
        <f aca="false">H3869*1000/Parametres!$B$9</f>
        <v>679.667627607258</v>
      </c>
    </row>
    <row r="3870" customFormat="false" ht="15" hidden="false" customHeight="false" outlineLevel="0" collapsed="false">
      <c r="A3870" s="0" t="n">
        <v>3866</v>
      </c>
      <c r="B3870" s="0" t="n">
        <v>6</v>
      </c>
      <c r="C3870" s="19" t="n">
        <v>0</v>
      </c>
      <c r="D3870" s="19" t="n">
        <v>0.1747</v>
      </c>
      <c r="E3870" s="20" t="n">
        <f aca="false">Parametres!$B$5*C3870</f>
        <v>0</v>
      </c>
      <c r="F3870" s="20" t="n">
        <f aca="false">Parametres!$B$6*D3870</f>
        <v>34.94</v>
      </c>
      <c r="G3870" s="20" t="n">
        <f aca="false">E3870+F3870</f>
        <v>34.94</v>
      </c>
      <c r="H3870" s="20" t="n">
        <f aca="false">IF(G3870&lt;Parametres!$B$8*Parametres!$B$7,0,MIN(G3870,Parametres!$B$7))</f>
        <v>34.94</v>
      </c>
      <c r="I3870" s="20" t="n">
        <f aca="false">G3870-H3870</f>
        <v>0</v>
      </c>
      <c r="J3870" s="21" t="n">
        <f aca="false">H3870*1000/Parametres!$B$9</f>
        <v>592.504663388164</v>
      </c>
    </row>
    <row r="3871" customFormat="false" ht="15" hidden="false" customHeight="false" outlineLevel="0" collapsed="false">
      <c r="A3871" s="0" t="n">
        <v>3867</v>
      </c>
      <c r="B3871" s="0" t="n">
        <v>6</v>
      </c>
      <c r="C3871" s="19" t="n">
        <v>0</v>
      </c>
      <c r="D3871" s="19" t="n">
        <v>0.1582</v>
      </c>
      <c r="E3871" s="20" t="n">
        <f aca="false">Parametres!$B$5*C3871</f>
        <v>0</v>
      </c>
      <c r="F3871" s="20" t="n">
        <f aca="false">Parametres!$B$6*D3871</f>
        <v>31.64</v>
      </c>
      <c r="G3871" s="20" t="n">
        <f aca="false">E3871+F3871</f>
        <v>31.64</v>
      </c>
      <c r="H3871" s="20" t="n">
        <f aca="false">IF(G3871&lt;Parametres!$B$8*Parametres!$B$7,0,MIN(G3871,Parametres!$B$7))</f>
        <v>31.64</v>
      </c>
      <c r="I3871" s="20" t="n">
        <f aca="false">G3871-H3871</f>
        <v>0</v>
      </c>
      <c r="J3871" s="21" t="n">
        <f aca="false">H3871*1000/Parametres!$B$9</f>
        <v>536.544005426488</v>
      </c>
    </row>
    <row r="3872" customFormat="false" ht="15" hidden="false" customHeight="false" outlineLevel="0" collapsed="false">
      <c r="A3872" s="0" t="n">
        <v>3868</v>
      </c>
      <c r="B3872" s="0" t="n">
        <v>6</v>
      </c>
      <c r="C3872" s="19" t="n">
        <v>0</v>
      </c>
      <c r="D3872" s="19" t="n">
        <v>0.0986</v>
      </c>
      <c r="E3872" s="20" t="n">
        <f aca="false">Parametres!$B$5*C3872</f>
        <v>0</v>
      </c>
      <c r="F3872" s="20" t="n">
        <f aca="false">Parametres!$B$6*D3872</f>
        <v>19.72</v>
      </c>
      <c r="G3872" s="20" t="n">
        <f aca="false">E3872+F3872</f>
        <v>19.72</v>
      </c>
      <c r="H3872" s="20" t="n">
        <f aca="false">IF(G3872&lt;Parametres!$B$8*Parametres!$B$7,0,MIN(G3872,Parametres!$B$7))</f>
        <v>0</v>
      </c>
      <c r="I3872" s="20" t="n">
        <f aca="false">G3872-H3872</f>
        <v>19.72</v>
      </c>
      <c r="J3872" s="21" t="n">
        <f aca="false">H3872*1000/Parametres!$B$9</f>
        <v>0</v>
      </c>
    </row>
    <row r="3873" customFormat="false" ht="15" hidden="false" customHeight="false" outlineLevel="0" collapsed="false">
      <c r="A3873" s="0" t="n">
        <v>3869</v>
      </c>
      <c r="B3873" s="0" t="n">
        <v>6</v>
      </c>
      <c r="C3873" s="19" t="n">
        <v>0</v>
      </c>
      <c r="D3873" s="19" t="n">
        <v>0.0523</v>
      </c>
      <c r="E3873" s="20" t="n">
        <f aca="false">Parametres!$B$5*C3873</f>
        <v>0</v>
      </c>
      <c r="F3873" s="20" t="n">
        <f aca="false">Parametres!$B$6*D3873</f>
        <v>10.46</v>
      </c>
      <c r="G3873" s="20" t="n">
        <f aca="false">E3873+F3873</f>
        <v>10.46</v>
      </c>
      <c r="H3873" s="20" t="n">
        <f aca="false">IF(G3873&lt;Parametres!$B$8*Parametres!$B$7,0,MIN(G3873,Parametres!$B$7))</f>
        <v>0</v>
      </c>
      <c r="I3873" s="20" t="n">
        <f aca="false">G3873-H3873</f>
        <v>10.46</v>
      </c>
      <c r="J3873" s="21" t="n">
        <f aca="false">H3873*1000/Parametres!$B$9</f>
        <v>0</v>
      </c>
    </row>
    <row r="3874" customFormat="false" ht="15" hidden="false" customHeight="false" outlineLevel="0" collapsed="false">
      <c r="A3874" s="0" t="n">
        <v>3870</v>
      </c>
      <c r="B3874" s="0" t="n">
        <v>6</v>
      </c>
      <c r="C3874" s="19" t="n">
        <v>0.0648</v>
      </c>
      <c r="D3874" s="19" t="n">
        <v>0.0754</v>
      </c>
      <c r="E3874" s="20" t="n">
        <f aca="false">Parametres!$B$5*C3874</f>
        <v>19.44</v>
      </c>
      <c r="F3874" s="20" t="n">
        <f aca="false">Parametres!$B$6*D3874</f>
        <v>15.08</v>
      </c>
      <c r="G3874" s="20" t="n">
        <f aca="false">E3874+F3874</f>
        <v>34.52</v>
      </c>
      <c r="H3874" s="20" t="n">
        <f aca="false">IF(G3874&lt;Parametres!$B$8*Parametres!$B$7,0,MIN(G3874,Parametres!$B$7))</f>
        <v>34.52</v>
      </c>
      <c r="I3874" s="20" t="n">
        <f aca="false">G3874-H3874</f>
        <v>0</v>
      </c>
      <c r="J3874" s="21" t="n">
        <f aca="false">H3874*1000/Parametres!$B$9</f>
        <v>585.382397829405</v>
      </c>
    </row>
    <row r="3875" customFormat="false" ht="15" hidden="false" customHeight="false" outlineLevel="0" collapsed="false">
      <c r="A3875" s="0" t="n">
        <v>3871</v>
      </c>
      <c r="B3875" s="0" t="n">
        <v>6</v>
      </c>
      <c r="C3875" s="19" t="n">
        <v>0.2903</v>
      </c>
      <c r="D3875" s="19" t="n">
        <v>0.0743</v>
      </c>
      <c r="E3875" s="20" t="n">
        <f aca="false">Parametres!$B$5*C3875</f>
        <v>87.09</v>
      </c>
      <c r="F3875" s="20" t="n">
        <f aca="false">Parametres!$B$6*D3875</f>
        <v>14.86</v>
      </c>
      <c r="G3875" s="20" t="n">
        <f aca="false">E3875+F3875</f>
        <v>101.95</v>
      </c>
      <c r="H3875" s="20" t="n">
        <f aca="false">IF(G3875&lt;Parametres!$B$8*Parametres!$B$7,0,MIN(G3875,Parametres!$B$7))</f>
        <v>101.95</v>
      </c>
      <c r="I3875" s="20" t="n">
        <f aca="false">G3875-H3875</f>
        <v>0</v>
      </c>
      <c r="J3875" s="21" t="n">
        <f aca="false">H3875*1000/Parametres!$B$9</f>
        <v>1728.84517551297</v>
      </c>
    </row>
    <row r="3876" customFormat="false" ht="15" hidden="false" customHeight="false" outlineLevel="0" collapsed="false">
      <c r="A3876" s="0" t="n">
        <v>3872</v>
      </c>
      <c r="B3876" s="0" t="n">
        <v>6</v>
      </c>
      <c r="C3876" s="19" t="n">
        <v>0.5227</v>
      </c>
      <c r="D3876" s="19" t="n">
        <v>0.0995</v>
      </c>
      <c r="E3876" s="20" t="n">
        <f aca="false">Parametres!$B$5*C3876</f>
        <v>156.81</v>
      </c>
      <c r="F3876" s="20" t="n">
        <f aca="false">Parametres!$B$6*D3876</f>
        <v>19.9</v>
      </c>
      <c r="G3876" s="20" t="n">
        <f aca="false">E3876+F3876</f>
        <v>176.71</v>
      </c>
      <c r="H3876" s="20" t="n">
        <f aca="false">IF(G3876&lt;Parametres!$B$8*Parametres!$B$7,0,MIN(G3876,Parametres!$B$7))</f>
        <v>176.71</v>
      </c>
      <c r="I3876" s="20" t="n">
        <f aca="false">G3876-H3876</f>
        <v>0</v>
      </c>
      <c r="J3876" s="21" t="n">
        <f aca="false">H3876*1000/Parametres!$B$9</f>
        <v>2996.60844497202</v>
      </c>
    </row>
    <row r="3877" customFormat="false" ht="15" hidden="false" customHeight="false" outlineLevel="0" collapsed="false">
      <c r="A3877" s="0" t="n">
        <v>3873</v>
      </c>
      <c r="B3877" s="0" t="n">
        <v>6</v>
      </c>
      <c r="C3877" s="19" t="n">
        <v>0.7585</v>
      </c>
      <c r="D3877" s="19" t="n">
        <v>0.1643</v>
      </c>
      <c r="E3877" s="20" t="n">
        <f aca="false">Parametres!$B$5*C3877</f>
        <v>227.55</v>
      </c>
      <c r="F3877" s="20" t="n">
        <f aca="false">Parametres!$B$6*D3877</f>
        <v>32.86</v>
      </c>
      <c r="G3877" s="20" t="n">
        <f aca="false">E3877+F3877</f>
        <v>260.41</v>
      </c>
      <c r="H3877" s="20" t="n">
        <f aca="false">IF(G3877&lt;Parametres!$B$8*Parametres!$B$7,0,MIN(G3877,Parametres!$B$7))</f>
        <v>250</v>
      </c>
      <c r="I3877" s="20" t="n">
        <f aca="false">G3877-H3877</f>
        <v>10.41</v>
      </c>
      <c r="J3877" s="21" t="n">
        <f aca="false">H3877*1000/Parametres!$B$9</f>
        <v>4239.44378497541</v>
      </c>
    </row>
    <row r="3878" customFormat="false" ht="15" hidden="false" customHeight="false" outlineLevel="0" collapsed="false">
      <c r="A3878" s="0" t="n">
        <v>3874</v>
      </c>
      <c r="B3878" s="0" t="n">
        <v>6</v>
      </c>
      <c r="C3878" s="19" t="n">
        <v>0.9844</v>
      </c>
      <c r="D3878" s="19" t="n">
        <v>0.0808</v>
      </c>
      <c r="E3878" s="20" t="n">
        <f aca="false">Parametres!$B$5*C3878</f>
        <v>295.32</v>
      </c>
      <c r="F3878" s="20" t="n">
        <f aca="false">Parametres!$B$6*D3878</f>
        <v>16.16</v>
      </c>
      <c r="G3878" s="20" t="n">
        <f aca="false">E3878+F3878</f>
        <v>311.48</v>
      </c>
      <c r="H3878" s="20" t="n">
        <f aca="false">IF(G3878&lt;Parametres!$B$8*Parametres!$B$7,0,MIN(G3878,Parametres!$B$7))</f>
        <v>250</v>
      </c>
      <c r="I3878" s="20" t="n">
        <f aca="false">G3878-H3878</f>
        <v>61.48</v>
      </c>
      <c r="J3878" s="21" t="n">
        <f aca="false">H3878*1000/Parametres!$B$9</f>
        <v>4239.44378497541</v>
      </c>
    </row>
    <row r="3879" customFormat="false" ht="15" hidden="false" customHeight="false" outlineLevel="0" collapsed="false">
      <c r="A3879" s="0" t="n">
        <v>3875</v>
      </c>
      <c r="B3879" s="0" t="n">
        <v>6</v>
      </c>
      <c r="C3879" s="19" t="n">
        <v>1</v>
      </c>
      <c r="D3879" s="19" t="n">
        <v>0.0525</v>
      </c>
      <c r="E3879" s="20" t="n">
        <f aca="false">Parametres!$B$5*C3879</f>
        <v>300</v>
      </c>
      <c r="F3879" s="20" t="n">
        <f aca="false">Parametres!$B$6*D3879</f>
        <v>10.5</v>
      </c>
      <c r="G3879" s="20" t="n">
        <f aca="false">E3879+F3879</f>
        <v>310.5</v>
      </c>
      <c r="H3879" s="20" t="n">
        <f aca="false">IF(G3879&lt;Parametres!$B$8*Parametres!$B$7,0,MIN(G3879,Parametres!$B$7))</f>
        <v>250</v>
      </c>
      <c r="I3879" s="20" t="n">
        <f aca="false">G3879-H3879</f>
        <v>60.5</v>
      </c>
      <c r="J3879" s="21" t="n">
        <f aca="false">H3879*1000/Parametres!$B$9</f>
        <v>4239.44378497541</v>
      </c>
    </row>
    <row r="3880" customFormat="false" ht="15" hidden="false" customHeight="false" outlineLevel="0" collapsed="false">
      <c r="A3880" s="0" t="n">
        <v>3876</v>
      </c>
      <c r="B3880" s="0" t="n">
        <v>6</v>
      </c>
      <c r="C3880" s="19" t="n">
        <v>1</v>
      </c>
      <c r="D3880" s="19" t="n">
        <v>0.0412</v>
      </c>
      <c r="E3880" s="20" t="n">
        <f aca="false">Parametres!$B$5*C3880</f>
        <v>300</v>
      </c>
      <c r="F3880" s="20" t="n">
        <f aca="false">Parametres!$B$6*D3880</f>
        <v>8.24</v>
      </c>
      <c r="G3880" s="20" t="n">
        <f aca="false">E3880+F3880</f>
        <v>308.24</v>
      </c>
      <c r="H3880" s="20" t="n">
        <f aca="false">IF(G3880&lt;Parametres!$B$8*Parametres!$B$7,0,MIN(G3880,Parametres!$B$7))</f>
        <v>250</v>
      </c>
      <c r="I3880" s="20" t="n">
        <f aca="false">G3880-H3880</f>
        <v>58.24</v>
      </c>
      <c r="J3880" s="21" t="n">
        <f aca="false">H3880*1000/Parametres!$B$9</f>
        <v>4239.44378497541</v>
      </c>
    </row>
    <row r="3881" customFormat="false" ht="15" hidden="false" customHeight="false" outlineLevel="0" collapsed="false">
      <c r="A3881" s="0" t="n">
        <v>3877</v>
      </c>
      <c r="B3881" s="0" t="n">
        <v>6</v>
      </c>
      <c r="C3881" s="19" t="n">
        <v>1</v>
      </c>
      <c r="D3881" s="19" t="n">
        <v>0.0575</v>
      </c>
      <c r="E3881" s="20" t="n">
        <f aca="false">Parametres!$B$5*C3881</f>
        <v>300</v>
      </c>
      <c r="F3881" s="20" t="n">
        <f aca="false">Parametres!$B$6*D3881</f>
        <v>11.5</v>
      </c>
      <c r="G3881" s="20" t="n">
        <f aca="false">E3881+F3881</f>
        <v>311.5</v>
      </c>
      <c r="H3881" s="20" t="n">
        <f aca="false">IF(G3881&lt;Parametres!$B$8*Parametres!$B$7,0,MIN(G3881,Parametres!$B$7))</f>
        <v>250</v>
      </c>
      <c r="I3881" s="20" t="n">
        <f aca="false">G3881-H3881</f>
        <v>61.5</v>
      </c>
      <c r="J3881" s="21" t="n">
        <f aca="false">H3881*1000/Parametres!$B$9</f>
        <v>4239.44378497541</v>
      </c>
    </row>
    <row r="3882" customFormat="false" ht="15" hidden="false" customHeight="false" outlineLevel="0" collapsed="false">
      <c r="A3882" s="0" t="n">
        <v>3878</v>
      </c>
      <c r="B3882" s="0" t="n">
        <v>6</v>
      </c>
      <c r="C3882" s="19" t="n">
        <v>1</v>
      </c>
      <c r="D3882" s="19" t="n">
        <v>0.1007</v>
      </c>
      <c r="E3882" s="20" t="n">
        <f aca="false">Parametres!$B$5*C3882</f>
        <v>300</v>
      </c>
      <c r="F3882" s="20" t="n">
        <f aca="false">Parametres!$B$6*D3882</f>
        <v>20.14</v>
      </c>
      <c r="G3882" s="20" t="n">
        <f aca="false">E3882+F3882</f>
        <v>320.14</v>
      </c>
      <c r="H3882" s="20" t="n">
        <f aca="false">IF(G3882&lt;Parametres!$B$8*Parametres!$B$7,0,MIN(G3882,Parametres!$B$7))</f>
        <v>250</v>
      </c>
      <c r="I3882" s="20" t="n">
        <f aca="false">G3882-H3882</f>
        <v>70.14</v>
      </c>
      <c r="J3882" s="21" t="n">
        <f aca="false">H3882*1000/Parametres!$B$9</f>
        <v>4239.44378497541</v>
      </c>
    </row>
    <row r="3883" customFormat="false" ht="15" hidden="false" customHeight="false" outlineLevel="0" collapsed="false">
      <c r="A3883" s="0" t="n">
        <v>3879</v>
      </c>
      <c r="B3883" s="0" t="n">
        <v>6</v>
      </c>
      <c r="C3883" s="19" t="n">
        <v>0.9756</v>
      </c>
      <c r="D3883" s="19" t="n">
        <v>0.0601</v>
      </c>
      <c r="E3883" s="20" t="n">
        <f aca="false">Parametres!$B$5*C3883</f>
        <v>292.68</v>
      </c>
      <c r="F3883" s="20" t="n">
        <f aca="false">Parametres!$B$6*D3883</f>
        <v>12.02</v>
      </c>
      <c r="G3883" s="20" t="n">
        <f aca="false">E3883+F3883</f>
        <v>304.7</v>
      </c>
      <c r="H3883" s="20" t="n">
        <f aca="false">IF(G3883&lt;Parametres!$B$8*Parametres!$B$7,0,MIN(G3883,Parametres!$B$7))</f>
        <v>250</v>
      </c>
      <c r="I3883" s="20" t="n">
        <f aca="false">G3883-H3883</f>
        <v>54.7</v>
      </c>
      <c r="J3883" s="21" t="n">
        <f aca="false">H3883*1000/Parametres!$B$9</f>
        <v>4239.44378497541</v>
      </c>
    </row>
    <row r="3884" customFormat="false" ht="15" hidden="false" customHeight="false" outlineLevel="0" collapsed="false">
      <c r="A3884" s="0" t="n">
        <v>3880</v>
      </c>
      <c r="B3884" s="0" t="n">
        <v>6</v>
      </c>
      <c r="C3884" s="19" t="n">
        <v>0.7458</v>
      </c>
      <c r="D3884" s="19" t="n">
        <v>0.0568</v>
      </c>
      <c r="E3884" s="20" t="n">
        <f aca="false">Parametres!$B$5*C3884</f>
        <v>223.74</v>
      </c>
      <c r="F3884" s="20" t="n">
        <f aca="false">Parametres!$B$6*D3884</f>
        <v>11.36</v>
      </c>
      <c r="G3884" s="20" t="n">
        <f aca="false">E3884+F3884</f>
        <v>235.1</v>
      </c>
      <c r="H3884" s="20" t="n">
        <f aca="false">IF(G3884&lt;Parametres!$B$8*Parametres!$B$7,0,MIN(G3884,Parametres!$B$7))</f>
        <v>235.1</v>
      </c>
      <c r="I3884" s="20" t="n">
        <f aca="false">G3884-H3884</f>
        <v>0</v>
      </c>
      <c r="J3884" s="21" t="n">
        <f aca="false">H3884*1000/Parametres!$B$9</f>
        <v>3986.77293539088</v>
      </c>
    </row>
    <row r="3885" customFormat="false" ht="15" hidden="false" customHeight="false" outlineLevel="0" collapsed="false">
      <c r="A3885" s="0" t="n">
        <v>3881</v>
      </c>
      <c r="B3885" s="0" t="n">
        <v>6</v>
      </c>
      <c r="C3885" s="19" t="n">
        <v>0.5205</v>
      </c>
      <c r="D3885" s="19" t="n">
        <v>0.0554</v>
      </c>
      <c r="E3885" s="20" t="n">
        <f aca="false">Parametres!$B$5*C3885</f>
        <v>156.15</v>
      </c>
      <c r="F3885" s="20" t="n">
        <f aca="false">Parametres!$B$6*D3885</f>
        <v>11.08</v>
      </c>
      <c r="G3885" s="20" t="n">
        <f aca="false">E3885+F3885</f>
        <v>167.23</v>
      </c>
      <c r="H3885" s="20" t="n">
        <f aca="false">IF(G3885&lt;Parametres!$B$8*Parametres!$B$7,0,MIN(G3885,Parametres!$B$7))</f>
        <v>167.23</v>
      </c>
      <c r="I3885" s="20" t="n">
        <f aca="false">G3885-H3885</f>
        <v>0</v>
      </c>
      <c r="J3885" s="21" t="n">
        <f aca="false">H3885*1000/Parametres!$B$9</f>
        <v>2835.84873664575</v>
      </c>
    </row>
    <row r="3886" customFormat="false" ht="15" hidden="false" customHeight="false" outlineLevel="0" collapsed="false">
      <c r="A3886" s="0" t="n">
        <v>3882</v>
      </c>
      <c r="B3886" s="0" t="n">
        <v>6</v>
      </c>
      <c r="C3886" s="19" t="n">
        <v>0.3128</v>
      </c>
      <c r="D3886" s="19" t="n">
        <v>0.0517</v>
      </c>
      <c r="E3886" s="20" t="n">
        <f aca="false">Parametres!$B$5*C3886</f>
        <v>93.84</v>
      </c>
      <c r="F3886" s="20" t="n">
        <f aca="false">Parametres!$B$6*D3886</f>
        <v>10.34</v>
      </c>
      <c r="G3886" s="20" t="n">
        <f aca="false">E3886+F3886</f>
        <v>104.18</v>
      </c>
      <c r="H3886" s="20" t="n">
        <f aca="false">IF(G3886&lt;Parametres!$B$8*Parametres!$B$7,0,MIN(G3886,Parametres!$B$7))</f>
        <v>104.18</v>
      </c>
      <c r="I3886" s="20" t="n">
        <f aca="false">G3886-H3886</f>
        <v>0</v>
      </c>
      <c r="J3886" s="21" t="n">
        <f aca="false">H3886*1000/Parametres!$B$9</f>
        <v>1766.66101407495</v>
      </c>
    </row>
    <row r="3887" customFormat="false" ht="15" hidden="false" customHeight="false" outlineLevel="0" collapsed="false">
      <c r="A3887" s="0" t="n">
        <v>3883</v>
      </c>
      <c r="B3887" s="0" t="n">
        <v>6</v>
      </c>
      <c r="C3887" s="19" t="n">
        <v>0.0602</v>
      </c>
      <c r="D3887" s="19" t="n">
        <v>0.1275</v>
      </c>
      <c r="E3887" s="20" t="n">
        <f aca="false">Parametres!$B$5*C3887</f>
        <v>18.06</v>
      </c>
      <c r="F3887" s="20" t="n">
        <f aca="false">Parametres!$B$6*D3887</f>
        <v>25.5</v>
      </c>
      <c r="G3887" s="20" t="n">
        <f aca="false">E3887+F3887</f>
        <v>43.56</v>
      </c>
      <c r="H3887" s="20" t="n">
        <f aca="false">IF(G3887&lt;Parametres!$B$8*Parametres!$B$7,0,MIN(G3887,Parametres!$B$7))</f>
        <v>43.56</v>
      </c>
      <c r="I3887" s="20" t="n">
        <f aca="false">G3887-H3887</f>
        <v>0</v>
      </c>
      <c r="J3887" s="21" t="n">
        <f aca="false">H3887*1000/Parametres!$B$9</f>
        <v>738.680685094116</v>
      </c>
    </row>
    <row r="3888" customFormat="false" ht="15" hidden="false" customHeight="false" outlineLevel="0" collapsed="false">
      <c r="A3888" s="0" t="n">
        <v>3884</v>
      </c>
      <c r="B3888" s="0" t="n">
        <v>6</v>
      </c>
      <c r="C3888" s="19" t="n">
        <v>0</v>
      </c>
      <c r="D3888" s="19" t="n">
        <v>0.0773</v>
      </c>
      <c r="E3888" s="20" t="n">
        <f aca="false">Parametres!$B$5*C3888</f>
        <v>0</v>
      </c>
      <c r="F3888" s="20" t="n">
        <f aca="false">Parametres!$B$6*D3888</f>
        <v>15.46</v>
      </c>
      <c r="G3888" s="20" t="n">
        <f aca="false">E3888+F3888</f>
        <v>15.46</v>
      </c>
      <c r="H3888" s="20" t="n">
        <f aca="false">IF(G3888&lt;Parametres!$B$8*Parametres!$B$7,0,MIN(G3888,Parametres!$B$7))</f>
        <v>0</v>
      </c>
      <c r="I3888" s="20" t="n">
        <f aca="false">G3888-H3888</f>
        <v>15.46</v>
      </c>
      <c r="J3888" s="21" t="n">
        <f aca="false">H3888*1000/Parametres!$B$9</f>
        <v>0</v>
      </c>
    </row>
    <row r="3889" customFormat="false" ht="15" hidden="false" customHeight="false" outlineLevel="0" collapsed="false">
      <c r="A3889" s="0" t="n">
        <v>3885</v>
      </c>
      <c r="B3889" s="0" t="n">
        <v>6</v>
      </c>
      <c r="C3889" s="19" t="n">
        <v>0</v>
      </c>
      <c r="D3889" s="19" t="n">
        <v>0.0765</v>
      </c>
      <c r="E3889" s="20" t="n">
        <f aca="false">Parametres!$B$5*C3889</f>
        <v>0</v>
      </c>
      <c r="F3889" s="20" t="n">
        <f aca="false">Parametres!$B$6*D3889</f>
        <v>15.3</v>
      </c>
      <c r="G3889" s="20" t="n">
        <f aca="false">E3889+F3889</f>
        <v>15.3</v>
      </c>
      <c r="H3889" s="20" t="n">
        <f aca="false">IF(G3889&lt;Parametres!$B$8*Parametres!$B$7,0,MIN(G3889,Parametres!$B$7))</f>
        <v>0</v>
      </c>
      <c r="I3889" s="20" t="n">
        <f aca="false">G3889-H3889</f>
        <v>15.3</v>
      </c>
      <c r="J3889" s="21" t="n">
        <f aca="false">H3889*1000/Parametres!$B$9</f>
        <v>0</v>
      </c>
    </row>
    <row r="3890" customFormat="false" ht="15" hidden="false" customHeight="false" outlineLevel="0" collapsed="false">
      <c r="A3890" s="0" t="n">
        <v>3886</v>
      </c>
      <c r="B3890" s="0" t="n">
        <v>6</v>
      </c>
      <c r="C3890" s="19" t="n">
        <v>0</v>
      </c>
      <c r="D3890" s="19" t="n">
        <v>0.0117</v>
      </c>
      <c r="E3890" s="20" t="n">
        <f aca="false">Parametres!$B$5*C3890</f>
        <v>0</v>
      </c>
      <c r="F3890" s="20" t="n">
        <f aca="false">Parametres!$B$6*D3890</f>
        <v>2.34</v>
      </c>
      <c r="G3890" s="20" t="n">
        <f aca="false">E3890+F3890</f>
        <v>2.34</v>
      </c>
      <c r="H3890" s="20" t="n">
        <f aca="false">IF(G3890&lt;Parametres!$B$8*Parametres!$B$7,0,MIN(G3890,Parametres!$B$7))</f>
        <v>0</v>
      </c>
      <c r="I3890" s="20" t="n">
        <f aca="false">G3890-H3890</f>
        <v>2.34</v>
      </c>
      <c r="J3890" s="21" t="n">
        <f aca="false">H3890*1000/Parametres!$B$9</f>
        <v>0</v>
      </c>
    </row>
    <row r="3891" customFormat="false" ht="15" hidden="false" customHeight="false" outlineLevel="0" collapsed="false">
      <c r="A3891" s="0" t="n">
        <v>3887</v>
      </c>
      <c r="B3891" s="0" t="n">
        <v>6</v>
      </c>
      <c r="C3891" s="19" t="n">
        <v>0</v>
      </c>
      <c r="D3891" s="19" t="n">
        <v>0.0088</v>
      </c>
      <c r="E3891" s="20" t="n">
        <f aca="false">Parametres!$B$5*C3891</f>
        <v>0</v>
      </c>
      <c r="F3891" s="20" t="n">
        <f aca="false">Parametres!$B$6*D3891</f>
        <v>1.76</v>
      </c>
      <c r="G3891" s="20" t="n">
        <f aca="false">E3891+F3891</f>
        <v>1.76</v>
      </c>
      <c r="H3891" s="20" t="n">
        <f aca="false">IF(G3891&lt;Parametres!$B$8*Parametres!$B$7,0,MIN(G3891,Parametres!$B$7))</f>
        <v>0</v>
      </c>
      <c r="I3891" s="20" t="n">
        <f aca="false">G3891-H3891</f>
        <v>1.76</v>
      </c>
      <c r="J3891" s="21" t="n">
        <f aca="false">H3891*1000/Parametres!$B$9</f>
        <v>0</v>
      </c>
    </row>
    <row r="3892" customFormat="false" ht="15" hidden="false" customHeight="false" outlineLevel="0" collapsed="false">
      <c r="A3892" s="0" t="n">
        <v>3888</v>
      </c>
      <c r="B3892" s="0" t="n">
        <v>6</v>
      </c>
      <c r="C3892" s="19" t="n">
        <v>0</v>
      </c>
      <c r="D3892" s="19" t="n">
        <v>0.0082</v>
      </c>
      <c r="E3892" s="20" t="n">
        <f aca="false">Parametres!$B$5*C3892</f>
        <v>0</v>
      </c>
      <c r="F3892" s="20" t="n">
        <f aca="false">Parametres!$B$6*D3892</f>
        <v>1.64</v>
      </c>
      <c r="G3892" s="20" t="n">
        <f aca="false">E3892+F3892</f>
        <v>1.64</v>
      </c>
      <c r="H3892" s="20" t="n">
        <f aca="false">IF(G3892&lt;Parametres!$B$8*Parametres!$B$7,0,MIN(G3892,Parametres!$B$7))</f>
        <v>0</v>
      </c>
      <c r="I3892" s="20" t="n">
        <f aca="false">G3892-H3892</f>
        <v>1.64</v>
      </c>
      <c r="J3892" s="21" t="n">
        <f aca="false">H3892*1000/Parametres!$B$9</f>
        <v>0</v>
      </c>
    </row>
    <row r="3893" customFormat="false" ht="15" hidden="false" customHeight="false" outlineLevel="0" collapsed="false">
      <c r="A3893" s="0" t="n">
        <v>3889</v>
      </c>
      <c r="B3893" s="0" t="n">
        <v>6</v>
      </c>
      <c r="C3893" s="19" t="n">
        <v>0</v>
      </c>
      <c r="D3893" s="19" t="n">
        <v>0.0134</v>
      </c>
      <c r="E3893" s="20" t="n">
        <f aca="false">Parametres!$B$5*C3893</f>
        <v>0</v>
      </c>
      <c r="F3893" s="20" t="n">
        <f aca="false">Parametres!$B$6*D3893</f>
        <v>2.68</v>
      </c>
      <c r="G3893" s="20" t="n">
        <f aca="false">E3893+F3893</f>
        <v>2.68</v>
      </c>
      <c r="H3893" s="20" t="n">
        <f aca="false">IF(G3893&lt;Parametres!$B$8*Parametres!$B$7,0,MIN(G3893,Parametres!$B$7))</f>
        <v>0</v>
      </c>
      <c r="I3893" s="20" t="n">
        <f aca="false">G3893-H3893</f>
        <v>2.68</v>
      </c>
      <c r="J3893" s="21" t="n">
        <f aca="false">H3893*1000/Parametres!$B$9</f>
        <v>0</v>
      </c>
    </row>
    <row r="3894" customFormat="false" ht="15" hidden="false" customHeight="false" outlineLevel="0" collapsed="false">
      <c r="A3894" s="0" t="n">
        <v>3890</v>
      </c>
      <c r="B3894" s="0" t="n">
        <v>6</v>
      </c>
      <c r="C3894" s="19" t="n">
        <v>0</v>
      </c>
      <c r="D3894" s="19" t="n">
        <v>0.007</v>
      </c>
      <c r="E3894" s="20" t="n">
        <f aca="false">Parametres!$B$5*C3894</f>
        <v>0</v>
      </c>
      <c r="F3894" s="20" t="n">
        <f aca="false">Parametres!$B$6*D3894</f>
        <v>1.4</v>
      </c>
      <c r="G3894" s="20" t="n">
        <f aca="false">E3894+F3894</f>
        <v>1.4</v>
      </c>
      <c r="H3894" s="20" t="n">
        <f aca="false">IF(G3894&lt;Parametres!$B$8*Parametres!$B$7,0,MIN(G3894,Parametres!$B$7))</f>
        <v>0</v>
      </c>
      <c r="I3894" s="20" t="n">
        <f aca="false">G3894-H3894</f>
        <v>1.4</v>
      </c>
      <c r="J3894" s="21" t="n">
        <f aca="false">H3894*1000/Parametres!$B$9</f>
        <v>0</v>
      </c>
    </row>
    <row r="3895" customFormat="false" ht="15" hidden="false" customHeight="false" outlineLevel="0" collapsed="false">
      <c r="A3895" s="0" t="n">
        <v>3891</v>
      </c>
      <c r="B3895" s="0" t="n">
        <v>6</v>
      </c>
      <c r="C3895" s="19" t="n">
        <v>0</v>
      </c>
      <c r="D3895" s="19" t="n">
        <v>0.0033</v>
      </c>
      <c r="E3895" s="20" t="n">
        <f aca="false">Parametres!$B$5*C3895</f>
        <v>0</v>
      </c>
      <c r="F3895" s="20" t="n">
        <f aca="false">Parametres!$B$6*D3895</f>
        <v>0.66</v>
      </c>
      <c r="G3895" s="20" t="n">
        <f aca="false">E3895+F3895</f>
        <v>0.66</v>
      </c>
      <c r="H3895" s="20" t="n">
        <f aca="false">IF(G3895&lt;Parametres!$B$8*Parametres!$B$7,0,MIN(G3895,Parametres!$B$7))</f>
        <v>0</v>
      </c>
      <c r="I3895" s="20" t="n">
        <f aca="false">G3895-H3895</f>
        <v>0.66</v>
      </c>
      <c r="J3895" s="21" t="n">
        <f aca="false">H3895*1000/Parametres!$B$9</f>
        <v>0</v>
      </c>
    </row>
    <row r="3896" customFormat="false" ht="15" hidden="false" customHeight="false" outlineLevel="0" collapsed="false">
      <c r="A3896" s="0" t="n">
        <v>3892</v>
      </c>
      <c r="B3896" s="0" t="n">
        <v>6</v>
      </c>
      <c r="C3896" s="19" t="n">
        <v>0</v>
      </c>
      <c r="D3896" s="19" t="n">
        <v>0.0004</v>
      </c>
      <c r="E3896" s="20" t="n">
        <f aca="false">Parametres!$B$5*C3896</f>
        <v>0</v>
      </c>
      <c r="F3896" s="20" t="n">
        <f aca="false">Parametres!$B$6*D3896</f>
        <v>0.08</v>
      </c>
      <c r="G3896" s="20" t="n">
        <f aca="false">E3896+F3896</f>
        <v>0.08</v>
      </c>
      <c r="H3896" s="20" t="n">
        <f aca="false">IF(G3896&lt;Parametres!$B$8*Parametres!$B$7,0,MIN(G3896,Parametres!$B$7))</f>
        <v>0</v>
      </c>
      <c r="I3896" s="20" t="n">
        <f aca="false">G3896-H3896</f>
        <v>0.08</v>
      </c>
      <c r="J3896" s="21" t="n">
        <f aca="false">H3896*1000/Parametres!$B$9</f>
        <v>0</v>
      </c>
    </row>
    <row r="3897" customFormat="false" ht="15" hidden="false" customHeight="false" outlineLevel="0" collapsed="false">
      <c r="A3897" s="0" t="n">
        <v>3893</v>
      </c>
      <c r="B3897" s="0" t="n">
        <v>6</v>
      </c>
      <c r="C3897" s="19" t="n">
        <v>0</v>
      </c>
      <c r="D3897" s="19" t="n">
        <v>0.0001</v>
      </c>
      <c r="E3897" s="20" t="n">
        <f aca="false">Parametres!$B$5*C3897</f>
        <v>0</v>
      </c>
      <c r="F3897" s="20" t="n">
        <f aca="false">Parametres!$B$6*D3897</f>
        <v>0.02</v>
      </c>
      <c r="G3897" s="20" t="n">
        <f aca="false">E3897+F3897</f>
        <v>0.02</v>
      </c>
      <c r="H3897" s="20" t="n">
        <f aca="false">IF(G3897&lt;Parametres!$B$8*Parametres!$B$7,0,MIN(G3897,Parametres!$B$7))</f>
        <v>0</v>
      </c>
      <c r="I3897" s="20" t="n">
        <f aca="false">G3897-H3897</f>
        <v>0.02</v>
      </c>
      <c r="J3897" s="21" t="n">
        <f aca="false">H3897*1000/Parametres!$B$9</f>
        <v>0</v>
      </c>
    </row>
    <row r="3898" customFormat="false" ht="15" hidden="false" customHeight="false" outlineLevel="0" collapsed="false">
      <c r="A3898" s="0" t="n">
        <v>3894</v>
      </c>
      <c r="B3898" s="0" t="n">
        <v>6</v>
      </c>
      <c r="C3898" s="19" t="n">
        <v>0.0599</v>
      </c>
      <c r="D3898" s="19" t="n">
        <v>0.0078</v>
      </c>
      <c r="E3898" s="20" t="n">
        <f aca="false">Parametres!$B$5*C3898</f>
        <v>17.97</v>
      </c>
      <c r="F3898" s="20" t="n">
        <f aca="false">Parametres!$B$6*D3898</f>
        <v>1.56</v>
      </c>
      <c r="G3898" s="20" t="n">
        <f aca="false">E3898+F3898</f>
        <v>19.53</v>
      </c>
      <c r="H3898" s="20" t="n">
        <f aca="false">IF(G3898&lt;Parametres!$B$8*Parametres!$B$7,0,MIN(G3898,Parametres!$B$7))</f>
        <v>0</v>
      </c>
      <c r="I3898" s="20" t="n">
        <f aca="false">G3898-H3898</f>
        <v>19.53</v>
      </c>
      <c r="J3898" s="21" t="n">
        <f aca="false">H3898*1000/Parametres!$B$9</f>
        <v>0</v>
      </c>
    </row>
    <row r="3899" customFormat="false" ht="15" hidden="false" customHeight="false" outlineLevel="0" collapsed="false">
      <c r="A3899" s="0" t="n">
        <v>3895</v>
      </c>
      <c r="B3899" s="0" t="n">
        <v>6</v>
      </c>
      <c r="C3899" s="19" t="n">
        <v>0.2833</v>
      </c>
      <c r="D3899" s="19" t="n">
        <v>0.001</v>
      </c>
      <c r="E3899" s="20" t="n">
        <f aca="false">Parametres!$B$5*C3899</f>
        <v>84.99</v>
      </c>
      <c r="F3899" s="20" t="n">
        <f aca="false">Parametres!$B$6*D3899</f>
        <v>0.2</v>
      </c>
      <c r="G3899" s="20" t="n">
        <f aca="false">E3899+F3899</f>
        <v>85.19</v>
      </c>
      <c r="H3899" s="20" t="n">
        <f aca="false">IF(G3899&lt;Parametres!$B$8*Parametres!$B$7,0,MIN(G3899,Parametres!$B$7))</f>
        <v>85.19</v>
      </c>
      <c r="I3899" s="20" t="n">
        <f aca="false">G3899-H3899</f>
        <v>0</v>
      </c>
      <c r="J3899" s="21" t="n">
        <f aca="false">H3899*1000/Parametres!$B$9</f>
        <v>1444.63286416822</v>
      </c>
    </row>
    <row r="3900" customFormat="false" ht="15" hidden="false" customHeight="false" outlineLevel="0" collapsed="false">
      <c r="A3900" s="0" t="n">
        <v>3896</v>
      </c>
      <c r="B3900" s="0" t="n">
        <v>6</v>
      </c>
      <c r="C3900" s="19" t="n">
        <v>0.4979</v>
      </c>
      <c r="D3900" s="19" t="n">
        <v>0</v>
      </c>
      <c r="E3900" s="20" t="n">
        <f aca="false">Parametres!$B$5*C3900</f>
        <v>149.37</v>
      </c>
      <c r="F3900" s="20" t="n">
        <f aca="false">Parametres!$B$6*D3900</f>
        <v>0</v>
      </c>
      <c r="G3900" s="20" t="n">
        <f aca="false">E3900+F3900</f>
        <v>149.37</v>
      </c>
      <c r="H3900" s="20" t="n">
        <f aca="false">IF(G3900&lt;Parametres!$B$8*Parametres!$B$7,0,MIN(G3900,Parametres!$B$7))</f>
        <v>149.37</v>
      </c>
      <c r="I3900" s="20" t="n">
        <f aca="false">G3900-H3900</f>
        <v>0</v>
      </c>
      <c r="J3900" s="21" t="n">
        <f aca="false">H3900*1000/Parametres!$B$9</f>
        <v>2532.98287264711</v>
      </c>
    </row>
    <row r="3901" customFormat="false" ht="15" hidden="false" customHeight="false" outlineLevel="0" collapsed="false">
      <c r="A3901" s="0" t="n">
        <v>3897</v>
      </c>
      <c r="B3901" s="0" t="n">
        <v>6</v>
      </c>
      <c r="C3901" s="19" t="n">
        <v>0.7201</v>
      </c>
      <c r="D3901" s="19" t="n">
        <v>0.0001</v>
      </c>
      <c r="E3901" s="20" t="n">
        <f aca="false">Parametres!$B$5*C3901</f>
        <v>216.03</v>
      </c>
      <c r="F3901" s="20" t="n">
        <f aca="false">Parametres!$B$6*D3901</f>
        <v>0.02</v>
      </c>
      <c r="G3901" s="20" t="n">
        <f aca="false">E3901+F3901</f>
        <v>216.05</v>
      </c>
      <c r="H3901" s="20" t="n">
        <f aca="false">IF(G3901&lt;Parametres!$B$8*Parametres!$B$7,0,MIN(G3901,Parametres!$B$7))</f>
        <v>216.05</v>
      </c>
      <c r="I3901" s="20" t="n">
        <f aca="false">G3901-H3901</f>
        <v>0</v>
      </c>
      <c r="J3901" s="21" t="n">
        <f aca="false">H3901*1000/Parametres!$B$9</f>
        <v>3663.72731897575</v>
      </c>
    </row>
    <row r="3902" customFormat="false" ht="15" hidden="false" customHeight="false" outlineLevel="0" collapsed="false">
      <c r="A3902" s="0" t="n">
        <v>3898</v>
      </c>
      <c r="B3902" s="0" t="n">
        <v>6</v>
      </c>
      <c r="C3902" s="19" t="n">
        <v>0.8967</v>
      </c>
      <c r="D3902" s="19" t="n">
        <v>0</v>
      </c>
      <c r="E3902" s="20" t="n">
        <f aca="false">Parametres!$B$5*C3902</f>
        <v>269.01</v>
      </c>
      <c r="F3902" s="20" t="n">
        <f aca="false">Parametres!$B$6*D3902</f>
        <v>0</v>
      </c>
      <c r="G3902" s="20" t="n">
        <f aca="false">E3902+F3902</f>
        <v>269.01</v>
      </c>
      <c r="H3902" s="20" t="n">
        <f aca="false">IF(G3902&lt;Parametres!$B$8*Parametres!$B$7,0,MIN(G3902,Parametres!$B$7))</f>
        <v>250</v>
      </c>
      <c r="I3902" s="20" t="n">
        <f aca="false">G3902-H3902</f>
        <v>19.01</v>
      </c>
      <c r="J3902" s="21" t="n">
        <f aca="false">H3902*1000/Parametres!$B$9</f>
        <v>4239.44378497541</v>
      </c>
    </row>
    <row r="3903" customFormat="false" ht="15" hidden="false" customHeight="false" outlineLevel="0" collapsed="false">
      <c r="A3903" s="0" t="n">
        <v>3899</v>
      </c>
      <c r="B3903" s="0" t="n">
        <v>6</v>
      </c>
      <c r="C3903" s="19" t="n">
        <v>1</v>
      </c>
      <c r="D3903" s="19" t="n">
        <v>0.0008</v>
      </c>
      <c r="E3903" s="20" t="n">
        <f aca="false">Parametres!$B$5*C3903</f>
        <v>300</v>
      </c>
      <c r="F3903" s="20" t="n">
        <f aca="false">Parametres!$B$6*D3903</f>
        <v>0.16</v>
      </c>
      <c r="G3903" s="20" t="n">
        <f aca="false">E3903+F3903</f>
        <v>300.16</v>
      </c>
      <c r="H3903" s="20" t="n">
        <f aca="false">IF(G3903&lt;Parametres!$B$8*Parametres!$B$7,0,MIN(G3903,Parametres!$B$7))</f>
        <v>250</v>
      </c>
      <c r="I3903" s="20" t="n">
        <f aca="false">G3903-H3903</f>
        <v>50.16</v>
      </c>
      <c r="J3903" s="21" t="n">
        <f aca="false">H3903*1000/Parametres!$B$9</f>
        <v>4239.44378497541</v>
      </c>
    </row>
    <row r="3904" customFormat="false" ht="15" hidden="false" customHeight="false" outlineLevel="0" collapsed="false">
      <c r="A3904" s="0" t="n">
        <v>3900</v>
      </c>
      <c r="B3904" s="0" t="n">
        <v>6</v>
      </c>
      <c r="C3904" s="19" t="n">
        <v>1</v>
      </c>
      <c r="D3904" s="19" t="n">
        <v>0</v>
      </c>
      <c r="E3904" s="20" t="n">
        <f aca="false">Parametres!$B$5*C3904</f>
        <v>300</v>
      </c>
      <c r="F3904" s="20" t="n">
        <f aca="false">Parametres!$B$6*D3904</f>
        <v>0</v>
      </c>
      <c r="G3904" s="20" t="n">
        <f aca="false">E3904+F3904</f>
        <v>300</v>
      </c>
      <c r="H3904" s="20" t="n">
        <f aca="false">IF(G3904&lt;Parametres!$B$8*Parametres!$B$7,0,MIN(G3904,Parametres!$B$7))</f>
        <v>250</v>
      </c>
      <c r="I3904" s="20" t="n">
        <f aca="false">G3904-H3904</f>
        <v>50</v>
      </c>
      <c r="J3904" s="21" t="n">
        <f aca="false">H3904*1000/Parametres!$B$9</f>
        <v>4239.44378497541</v>
      </c>
    </row>
    <row r="3905" customFormat="false" ht="15" hidden="false" customHeight="false" outlineLevel="0" collapsed="false">
      <c r="A3905" s="0" t="n">
        <v>3901</v>
      </c>
      <c r="B3905" s="0" t="n">
        <v>6</v>
      </c>
      <c r="C3905" s="19" t="n">
        <v>1</v>
      </c>
      <c r="D3905" s="19" t="n">
        <v>0.0027</v>
      </c>
      <c r="E3905" s="20" t="n">
        <f aca="false">Parametres!$B$5*C3905</f>
        <v>300</v>
      </c>
      <c r="F3905" s="20" t="n">
        <f aca="false">Parametres!$B$6*D3905</f>
        <v>0.54</v>
      </c>
      <c r="G3905" s="20" t="n">
        <f aca="false">E3905+F3905</f>
        <v>300.54</v>
      </c>
      <c r="H3905" s="20" t="n">
        <f aca="false">IF(G3905&lt;Parametres!$B$8*Parametres!$B$7,0,MIN(G3905,Parametres!$B$7))</f>
        <v>250</v>
      </c>
      <c r="I3905" s="20" t="n">
        <f aca="false">G3905-H3905</f>
        <v>50.54</v>
      </c>
      <c r="J3905" s="21" t="n">
        <f aca="false">H3905*1000/Parametres!$B$9</f>
        <v>4239.44378497541</v>
      </c>
    </row>
    <row r="3906" customFormat="false" ht="15" hidden="false" customHeight="false" outlineLevel="0" collapsed="false">
      <c r="A3906" s="0" t="n">
        <v>3902</v>
      </c>
      <c r="B3906" s="0" t="n">
        <v>6</v>
      </c>
      <c r="C3906" s="19" t="n">
        <v>1</v>
      </c>
      <c r="D3906" s="19" t="n">
        <v>0.002</v>
      </c>
      <c r="E3906" s="20" t="n">
        <f aca="false">Parametres!$B$5*C3906</f>
        <v>300</v>
      </c>
      <c r="F3906" s="20" t="n">
        <f aca="false">Parametres!$B$6*D3906</f>
        <v>0.4</v>
      </c>
      <c r="G3906" s="20" t="n">
        <f aca="false">E3906+F3906</f>
        <v>300.4</v>
      </c>
      <c r="H3906" s="20" t="n">
        <f aca="false">IF(G3906&lt;Parametres!$B$8*Parametres!$B$7,0,MIN(G3906,Parametres!$B$7))</f>
        <v>250</v>
      </c>
      <c r="I3906" s="20" t="n">
        <f aca="false">G3906-H3906</f>
        <v>50.4</v>
      </c>
      <c r="J3906" s="21" t="n">
        <f aca="false">H3906*1000/Parametres!$B$9</f>
        <v>4239.44378497541</v>
      </c>
    </row>
    <row r="3907" customFormat="false" ht="15" hidden="false" customHeight="false" outlineLevel="0" collapsed="false">
      <c r="A3907" s="0" t="n">
        <v>3903</v>
      </c>
      <c r="B3907" s="0" t="n">
        <v>6</v>
      </c>
      <c r="C3907" s="19" t="n">
        <v>0.8871</v>
      </c>
      <c r="D3907" s="19" t="n">
        <v>0</v>
      </c>
      <c r="E3907" s="20" t="n">
        <f aca="false">Parametres!$B$5*C3907</f>
        <v>266.13</v>
      </c>
      <c r="F3907" s="20" t="n">
        <f aca="false">Parametres!$B$6*D3907</f>
        <v>0</v>
      </c>
      <c r="G3907" s="20" t="n">
        <f aca="false">E3907+F3907</f>
        <v>266.13</v>
      </c>
      <c r="H3907" s="20" t="n">
        <f aca="false">IF(G3907&lt;Parametres!$B$8*Parametres!$B$7,0,MIN(G3907,Parametres!$B$7))</f>
        <v>250</v>
      </c>
      <c r="I3907" s="20" t="n">
        <f aca="false">G3907-H3907</f>
        <v>16.13</v>
      </c>
      <c r="J3907" s="21" t="n">
        <f aca="false">H3907*1000/Parametres!$B$9</f>
        <v>4239.44378497541</v>
      </c>
    </row>
    <row r="3908" customFormat="false" ht="15" hidden="false" customHeight="false" outlineLevel="0" collapsed="false">
      <c r="A3908" s="0" t="n">
        <v>3904</v>
      </c>
      <c r="B3908" s="0" t="n">
        <v>6</v>
      </c>
      <c r="C3908" s="19" t="n">
        <v>0.7224</v>
      </c>
      <c r="D3908" s="19" t="n">
        <v>0</v>
      </c>
      <c r="E3908" s="20" t="n">
        <f aca="false">Parametres!$B$5*C3908</f>
        <v>216.72</v>
      </c>
      <c r="F3908" s="20" t="n">
        <f aca="false">Parametres!$B$6*D3908</f>
        <v>0</v>
      </c>
      <c r="G3908" s="20" t="n">
        <f aca="false">E3908+F3908</f>
        <v>216.72</v>
      </c>
      <c r="H3908" s="20" t="n">
        <f aca="false">IF(G3908&lt;Parametres!$B$8*Parametres!$B$7,0,MIN(G3908,Parametres!$B$7))</f>
        <v>216.72</v>
      </c>
      <c r="I3908" s="20" t="n">
        <f aca="false">G3908-H3908</f>
        <v>0</v>
      </c>
      <c r="J3908" s="21" t="n">
        <f aca="false">H3908*1000/Parametres!$B$9</f>
        <v>3675.08902831948</v>
      </c>
    </row>
    <row r="3909" customFormat="false" ht="15" hidden="false" customHeight="false" outlineLevel="0" collapsed="false">
      <c r="A3909" s="0" t="n">
        <v>3905</v>
      </c>
      <c r="B3909" s="0" t="n">
        <v>6</v>
      </c>
      <c r="C3909" s="19" t="n">
        <v>0.5019</v>
      </c>
      <c r="D3909" s="19" t="n">
        <v>0</v>
      </c>
      <c r="E3909" s="20" t="n">
        <f aca="false">Parametres!$B$5*C3909</f>
        <v>150.57</v>
      </c>
      <c r="F3909" s="20" t="n">
        <f aca="false">Parametres!$B$6*D3909</f>
        <v>0</v>
      </c>
      <c r="G3909" s="20" t="n">
        <f aca="false">E3909+F3909</f>
        <v>150.57</v>
      </c>
      <c r="H3909" s="20" t="n">
        <f aca="false">IF(G3909&lt;Parametres!$B$8*Parametres!$B$7,0,MIN(G3909,Parametres!$B$7))</f>
        <v>150.57</v>
      </c>
      <c r="I3909" s="20" t="n">
        <f aca="false">G3909-H3909</f>
        <v>0</v>
      </c>
      <c r="J3909" s="21" t="n">
        <f aca="false">H3909*1000/Parametres!$B$9</f>
        <v>2553.33220281499</v>
      </c>
    </row>
    <row r="3910" customFormat="false" ht="15" hidden="false" customHeight="false" outlineLevel="0" collapsed="false">
      <c r="A3910" s="0" t="n">
        <v>3906</v>
      </c>
      <c r="B3910" s="0" t="n">
        <v>6</v>
      </c>
      <c r="C3910" s="19" t="n">
        <v>0.2729</v>
      </c>
      <c r="D3910" s="19" t="n">
        <v>0</v>
      </c>
      <c r="E3910" s="20" t="n">
        <f aca="false">Parametres!$B$5*C3910</f>
        <v>81.87</v>
      </c>
      <c r="F3910" s="20" t="n">
        <f aca="false">Parametres!$B$6*D3910</f>
        <v>0</v>
      </c>
      <c r="G3910" s="20" t="n">
        <f aca="false">E3910+F3910</f>
        <v>81.87</v>
      </c>
      <c r="H3910" s="20" t="n">
        <f aca="false">IF(G3910&lt;Parametres!$B$8*Parametres!$B$7,0,MIN(G3910,Parametres!$B$7))</f>
        <v>81.87</v>
      </c>
      <c r="I3910" s="20" t="n">
        <f aca="false">G3910-H3910</f>
        <v>0</v>
      </c>
      <c r="J3910" s="21" t="n">
        <f aca="false">H3910*1000/Parametres!$B$9</f>
        <v>1388.33305070375</v>
      </c>
    </row>
    <row r="3911" customFormat="false" ht="15" hidden="false" customHeight="false" outlineLevel="0" collapsed="false">
      <c r="A3911" s="0" t="n">
        <v>3907</v>
      </c>
      <c r="B3911" s="0" t="n">
        <v>6</v>
      </c>
      <c r="C3911" s="19" t="n">
        <v>0.0627</v>
      </c>
      <c r="D3911" s="19" t="n">
        <v>0</v>
      </c>
      <c r="E3911" s="20" t="n">
        <f aca="false">Parametres!$B$5*C3911</f>
        <v>18.81</v>
      </c>
      <c r="F3911" s="20" t="n">
        <f aca="false">Parametres!$B$6*D3911</f>
        <v>0</v>
      </c>
      <c r="G3911" s="20" t="n">
        <f aca="false">E3911+F3911</f>
        <v>18.81</v>
      </c>
      <c r="H3911" s="20" t="n">
        <f aca="false">IF(G3911&lt;Parametres!$B$8*Parametres!$B$7,0,MIN(G3911,Parametres!$B$7))</f>
        <v>0</v>
      </c>
      <c r="I3911" s="20" t="n">
        <f aca="false">G3911-H3911</f>
        <v>18.81</v>
      </c>
      <c r="J3911" s="21" t="n">
        <f aca="false">H3911*1000/Parametres!$B$9</f>
        <v>0</v>
      </c>
    </row>
    <row r="3912" customFormat="false" ht="15" hidden="false" customHeight="false" outlineLevel="0" collapsed="false">
      <c r="A3912" s="0" t="n">
        <v>3908</v>
      </c>
      <c r="B3912" s="0" t="n">
        <v>6</v>
      </c>
      <c r="C3912" s="19" t="n">
        <v>0</v>
      </c>
      <c r="D3912" s="19" t="n">
        <v>0</v>
      </c>
      <c r="E3912" s="20" t="n">
        <f aca="false">Parametres!$B$5*C3912</f>
        <v>0</v>
      </c>
      <c r="F3912" s="20" t="n">
        <f aca="false">Parametres!$B$6*D3912</f>
        <v>0</v>
      </c>
      <c r="G3912" s="20" t="n">
        <f aca="false">E3912+F3912</f>
        <v>0</v>
      </c>
      <c r="H3912" s="20" t="n">
        <f aca="false">IF(G3912&lt;Parametres!$B$8*Parametres!$B$7,0,MIN(G3912,Parametres!$B$7))</f>
        <v>0</v>
      </c>
      <c r="I3912" s="20" t="n">
        <f aca="false">G3912-H3912</f>
        <v>0</v>
      </c>
      <c r="J3912" s="21" t="n">
        <f aca="false">H3912*1000/Parametres!$B$9</f>
        <v>0</v>
      </c>
    </row>
    <row r="3913" customFormat="false" ht="15" hidden="false" customHeight="false" outlineLevel="0" collapsed="false">
      <c r="A3913" s="0" t="n">
        <v>3909</v>
      </c>
      <c r="B3913" s="0" t="n">
        <v>6</v>
      </c>
      <c r="C3913" s="19" t="n">
        <v>0</v>
      </c>
      <c r="D3913" s="19" t="n">
        <v>0</v>
      </c>
      <c r="E3913" s="20" t="n">
        <f aca="false">Parametres!$B$5*C3913</f>
        <v>0</v>
      </c>
      <c r="F3913" s="20" t="n">
        <f aca="false">Parametres!$B$6*D3913</f>
        <v>0</v>
      </c>
      <c r="G3913" s="20" t="n">
        <f aca="false">E3913+F3913</f>
        <v>0</v>
      </c>
      <c r="H3913" s="20" t="n">
        <f aca="false">IF(G3913&lt;Parametres!$B$8*Parametres!$B$7,0,MIN(G3913,Parametres!$B$7))</f>
        <v>0</v>
      </c>
      <c r="I3913" s="20" t="n">
        <f aca="false">G3913-H3913</f>
        <v>0</v>
      </c>
      <c r="J3913" s="21" t="n">
        <f aca="false">H3913*1000/Parametres!$B$9</f>
        <v>0</v>
      </c>
    </row>
    <row r="3914" customFormat="false" ht="15" hidden="false" customHeight="false" outlineLevel="0" collapsed="false">
      <c r="A3914" s="0" t="n">
        <v>3910</v>
      </c>
      <c r="B3914" s="0" t="n">
        <v>6</v>
      </c>
      <c r="C3914" s="19" t="n">
        <v>0</v>
      </c>
      <c r="D3914" s="19" t="n">
        <v>0</v>
      </c>
      <c r="E3914" s="20" t="n">
        <f aca="false">Parametres!$B$5*C3914</f>
        <v>0</v>
      </c>
      <c r="F3914" s="20" t="n">
        <f aca="false">Parametres!$B$6*D3914</f>
        <v>0</v>
      </c>
      <c r="G3914" s="20" t="n">
        <f aca="false">E3914+F3914</f>
        <v>0</v>
      </c>
      <c r="H3914" s="20" t="n">
        <f aca="false">IF(G3914&lt;Parametres!$B$8*Parametres!$B$7,0,MIN(G3914,Parametres!$B$7))</f>
        <v>0</v>
      </c>
      <c r="I3914" s="20" t="n">
        <f aca="false">G3914-H3914</f>
        <v>0</v>
      </c>
      <c r="J3914" s="21" t="n">
        <f aca="false">H3914*1000/Parametres!$B$9</f>
        <v>0</v>
      </c>
    </row>
    <row r="3915" customFormat="false" ht="15" hidden="false" customHeight="false" outlineLevel="0" collapsed="false">
      <c r="A3915" s="0" t="n">
        <v>3911</v>
      </c>
      <c r="B3915" s="0" t="n">
        <v>6</v>
      </c>
      <c r="C3915" s="19" t="n">
        <v>0</v>
      </c>
      <c r="D3915" s="19" t="n">
        <v>0</v>
      </c>
      <c r="E3915" s="20" t="n">
        <f aca="false">Parametres!$B$5*C3915</f>
        <v>0</v>
      </c>
      <c r="F3915" s="20" t="n">
        <f aca="false">Parametres!$B$6*D3915</f>
        <v>0</v>
      </c>
      <c r="G3915" s="20" t="n">
        <f aca="false">E3915+F3915</f>
        <v>0</v>
      </c>
      <c r="H3915" s="20" t="n">
        <f aca="false">IF(G3915&lt;Parametres!$B$8*Parametres!$B$7,0,MIN(G3915,Parametres!$B$7))</f>
        <v>0</v>
      </c>
      <c r="I3915" s="20" t="n">
        <f aca="false">G3915-H3915</f>
        <v>0</v>
      </c>
      <c r="J3915" s="21" t="n">
        <f aca="false">H3915*1000/Parametres!$B$9</f>
        <v>0</v>
      </c>
    </row>
    <row r="3916" customFormat="false" ht="15" hidden="false" customHeight="false" outlineLevel="0" collapsed="false">
      <c r="A3916" s="0" t="n">
        <v>3912</v>
      </c>
      <c r="B3916" s="0" t="n">
        <v>6</v>
      </c>
      <c r="C3916" s="19" t="n">
        <v>0</v>
      </c>
      <c r="D3916" s="19" t="n">
        <v>0</v>
      </c>
      <c r="E3916" s="20" t="n">
        <f aca="false">Parametres!$B$5*C3916</f>
        <v>0</v>
      </c>
      <c r="F3916" s="20" t="n">
        <f aca="false">Parametres!$B$6*D3916</f>
        <v>0</v>
      </c>
      <c r="G3916" s="20" t="n">
        <f aca="false">E3916+F3916</f>
        <v>0</v>
      </c>
      <c r="H3916" s="20" t="n">
        <f aca="false">IF(G3916&lt;Parametres!$B$8*Parametres!$B$7,0,MIN(G3916,Parametres!$B$7))</f>
        <v>0</v>
      </c>
      <c r="I3916" s="20" t="n">
        <f aca="false">G3916-H3916</f>
        <v>0</v>
      </c>
      <c r="J3916" s="21" t="n">
        <f aca="false">H3916*1000/Parametres!$B$9</f>
        <v>0</v>
      </c>
    </row>
    <row r="3917" customFormat="false" ht="15" hidden="false" customHeight="false" outlineLevel="0" collapsed="false">
      <c r="A3917" s="0" t="n">
        <v>3913</v>
      </c>
      <c r="B3917" s="0" t="n">
        <v>6</v>
      </c>
      <c r="C3917" s="19" t="n">
        <v>0</v>
      </c>
      <c r="D3917" s="19" t="n">
        <v>0.0018</v>
      </c>
      <c r="E3917" s="20" t="n">
        <f aca="false">Parametres!$B$5*C3917</f>
        <v>0</v>
      </c>
      <c r="F3917" s="20" t="n">
        <f aca="false">Parametres!$B$6*D3917</f>
        <v>0.36</v>
      </c>
      <c r="G3917" s="20" t="n">
        <f aca="false">E3917+F3917</f>
        <v>0.36</v>
      </c>
      <c r="H3917" s="20" t="n">
        <f aca="false">IF(G3917&lt;Parametres!$B$8*Parametres!$B$7,0,MIN(G3917,Parametres!$B$7))</f>
        <v>0</v>
      </c>
      <c r="I3917" s="20" t="n">
        <f aca="false">G3917-H3917</f>
        <v>0.36</v>
      </c>
      <c r="J3917" s="21" t="n">
        <f aca="false">H3917*1000/Parametres!$B$9</f>
        <v>0</v>
      </c>
    </row>
    <row r="3918" customFormat="false" ht="15" hidden="false" customHeight="false" outlineLevel="0" collapsed="false">
      <c r="A3918" s="0" t="n">
        <v>3914</v>
      </c>
      <c r="B3918" s="0" t="n">
        <v>6</v>
      </c>
      <c r="C3918" s="19" t="n">
        <v>0</v>
      </c>
      <c r="D3918" s="19" t="n">
        <v>0.0003</v>
      </c>
      <c r="E3918" s="20" t="n">
        <f aca="false">Parametres!$B$5*C3918</f>
        <v>0</v>
      </c>
      <c r="F3918" s="20" t="n">
        <f aca="false">Parametres!$B$6*D3918</f>
        <v>0.06</v>
      </c>
      <c r="G3918" s="20" t="n">
        <f aca="false">E3918+F3918</f>
        <v>0.06</v>
      </c>
      <c r="H3918" s="20" t="n">
        <f aca="false">IF(G3918&lt;Parametres!$B$8*Parametres!$B$7,0,MIN(G3918,Parametres!$B$7))</f>
        <v>0</v>
      </c>
      <c r="I3918" s="20" t="n">
        <f aca="false">G3918-H3918</f>
        <v>0.06</v>
      </c>
      <c r="J3918" s="21" t="n">
        <f aca="false">H3918*1000/Parametres!$B$9</f>
        <v>0</v>
      </c>
    </row>
    <row r="3919" customFormat="false" ht="15" hidden="false" customHeight="false" outlineLevel="0" collapsed="false">
      <c r="A3919" s="0" t="n">
        <v>3915</v>
      </c>
      <c r="B3919" s="0" t="n">
        <v>6</v>
      </c>
      <c r="C3919" s="19" t="n">
        <v>0</v>
      </c>
      <c r="D3919" s="19" t="n">
        <v>0.0013</v>
      </c>
      <c r="E3919" s="20" t="n">
        <f aca="false">Parametres!$B$5*C3919</f>
        <v>0</v>
      </c>
      <c r="F3919" s="20" t="n">
        <f aca="false">Parametres!$B$6*D3919</f>
        <v>0.26</v>
      </c>
      <c r="G3919" s="20" t="n">
        <f aca="false">E3919+F3919</f>
        <v>0.26</v>
      </c>
      <c r="H3919" s="20" t="n">
        <f aca="false">IF(G3919&lt;Parametres!$B$8*Parametres!$B$7,0,MIN(G3919,Parametres!$B$7))</f>
        <v>0</v>
      </c>
      <c r="I3919" s="20" t="n">
        <f aca="false">G3919-H3919</f>
        <v>0.26</v>
      </c>
      <c r="J3919" s="21" t="n">
        <f aca="false">H3919*1000/Parametres!$B$9</f>
        <v>0</v>
      </c>
    </row>
    <row r="3920" customFormat="false" ht="15" hidden="false" customHeight="false" outlineLevel="0" collapsed="false">
      <c r="A3920" s="0" t="n">
        <v>3916</v>
      </c>
      <c r="B3920" s="0" t="n">
        <v>6</v>
      </c>
      <c r="C3920" s="19" t="n">
        <v>0</v>
      </c>
      <c r="D3920" s="19" t="n">
        <v>0.0082</v>
      </c>
      <c r="E3920" s="20" t="n">
        <f aca="false">Parametres!$B$5*C3920</f>
        <v>0</v>
      </c>
      <c r="F3920" s="20" t="n">
        <f aca="false">Parametres!$B$6*D3920</f>
        <v>1.64</v>
      </c>
      <c r="G3920" s="20" t="n">
        <f aca="false">E3920+F3920</f>
        <v>1.64</v>
      </c>
      <c r="H3920" s="20" t="n">
        <f aca="false">IF(G3920&lt;Parametres!$B$8*Parametres!$B$7,0,MIN(G3920,Parametres!$B$7))</f>
        <v>0</v>
      </c>
      <c r="I3920" s="20" t="n">
        <f aca="false">G3920-H3920</f>
        <v>1.64</v>
      </c>
      <c r="J3920" s="21" t="n">
        <f aca="false">H3920*1000/Parametres!$B$9</f>
        <v>0</v>
      </c>
    </row>
    <row r="3921" customFormat="false" ht="15" hidden="false" customHeight="false" outlineLevel="0" collapsed="false">
      <c r="A3921" s="0" t="n">
        <v>3917</v>
      </c>
      <c r="B3921" s="0" t="n">
        <v>6</v>
      </c>
      <c r="C3921" s="19" t="n">
        <v>0</v>
      </c>
      <c r="D3921" s="19" t="n">
        <v>0.003</v>
      </c>
      <c r="E3921" s="20" t="n">
        <f aca="false">Parametres!$B$5*C3921</f>
        <v>0</v>
      </c>
      <c r="F3921" s="20" t="n">
        <f aca="false">Parametres!$B$6*D3921</f>
        <v>0.6</v>
      </c>
      <c r="G3921" s="20" t="n">
        <f aca="false">E3921+F3921</f>
        <v>0.6</v>
      </c>
      <c r="H3921" s="20" t="n">
        <f aca="false">IF(G3921&lt;Parametres!$B$8*Parametres!$B$7,0,MIN(G3921,Parametres!$B$7))</f>
        <v>0</v>
      </c>
      <c r="I3921" s="20" t="n">
        <f aca="false">G3921-H3921</f>
        <v>0.6</v>
      </c>
      <c r="J3921" s="21" t="n">
        <f aca="false">H3921*1000/Parametres!$B$9</f>
        <v>0</v>
      </c>
    </row>
    <row r="3922" customFormat="false" ht="15" hidden="false" customHeight="false" outlineLevel="0" collapsed="false">
      <c r="A3922" s="0" t="n">
        <v>3918</v>
      </c>
      <c r="B3922" s="0" t="n">
        <v>6</v>
      </c>
      <c r="C3922" s="19" t="n">
        <v>0.068</v>
      </c>
      <c r="D3922" s="19" t="n">
        <v>0.0066</v>
      </c>
      <c r="E3922" s="20" t="n">
        <f aca="false">Parametres!$B$5*C3922</f>
        <v>20.4</v>
      </c>
      <c r="F3922" s="20" t="n">
        <f aca="false">Parametres!$B$6*D3922</f>
        <v>1.32</v>
      </c>
      <c r="G3922" s="20" t="n">
        <f aca="false">E3922+F3922</f>
        <v>21.72</v>
      </c>
      <c r="H3922" s="20" t="n">
        <f aca="false">IF(G3922&lt;Parametres!$B$8*Parametres!$B$7,0,MIN(G3922,Parametres!$B$7))</f>
        <v>0</v>
      </c>
      <c r="I3922" s="20" t="n">
        <f aca="false">G3922-H3922</f>
        <v>21.72</v>
      </c>
      <c r="J3922" s="21" t="n">
        <f aca="false">H3922*1000/Parametres!$B$9</f>
        <v>0</v>
      </c>
    </row>
    <row r="3923" customFormat="false" ht="15" hidden="false" customHeight="false" outlineLevel="0" collapsed="false">
      <c r="A3923" s="0" t="n">
        <v>3919</v>
      </c>
      <c r="B3923" s="0" t="n">
        <v>6</v>
      </c>
      <c r="C3923" s="19" t="n">
        <v>0.3203</v>
      </c>
      <c r="D3923" s="19" t="n">
        <v>0.0046</v>
      </c>
      <c r="E3923" s="20" t="n">
        <f aca="false">Parametres!$B$5*C3923</f>
        <v>96.09</v>
      </c>
      <c r="F3923" s="20" t="n">
        <f aca="false">Parametres!$B$6*D3923</f>
        <v>0.92</v>
      </c>
      <c r="G3923" s="20" t="n">
        <f aca="false">E3923+F3923</f>
        <v>97.01</v>
      </c>
      <c r="H3923" s="20" t="n">
        <f aca="false">IF(G3923&lt;Parametres!$B$8*Parametres!$B$7,0,MIN(G3923,Parametres!$B$7))</f>
        <v>97.01</v>
      </c>
      <c r="I3923" s="20" t="n">
        <f aca="false">G3923-H3923</f>
        <v>0</v>
      </c>
      <c r="J3923" s="21" t="n">
        <f aca="false">H3923*1000/Parametres!$B$9</f>
        <v>1645.07376632186</v>
      </c>
    </row>
    <row r="3924" customFormat="false" ht="15" hidden="false" customHeight="false" outlineLevel="0" collapsed="false">
      <c r="A3924" s="0" t="n">
        <v>3920</v>
      </c>
      <c r="B3924" s="0" t="n">
        <v>6</v>
      </c>
      <c r="C3924" s="19" t="n">
        <v>0.5377</v>
      </c>
      <c r="D3924" s="19" t="n">
        <v>0.0212</v>
      </c>
      <c r="E3924" s="20" t="n">
        <f aca="false">Parametres!$B$5*C3924</f>
        <v>161.31</v>
      </c>
      <c r="F3924" s="20" t="n">
        <f aca="false">Parametres!$B$6*D3924</f>
        <v>4.24</v>
      </c>
      <c r="G3924" s="20" t="n">
        <f aca="false">E3924+F3924</f>
        <v>165.55</v>
      </c>
      <c r="H3924" s="20" t="n">
        <f aca="false">IF(G3924&lt;Parametres!$B$8*Parametres!$B$7,0,MIN(G3924,Parametres!$B$7))</f>
        <v>165.55</v>
      </c>
      <c r="I3924" s="20" t="n">
        <f aca="false">G3924-H3924</f>
        <v>0</v>
      </c>
      <c r="J3924" s="21" t="n">
        <f aca="false">H3924*1000/Parametres!$B$9</f>
        <v>2807.35967441072</v>
      </c>
    </row>
    <row r="3925" customFormat="false" ht="15" hidden="false" customHeight="false" outlineLevel="0" collapsed="false">
      <c r="A3925" s="0" t="n">
        <v>3921</v>
      </c>
      <c r="B3925" s="0" t="n">
        <v>6</v>
      </c>
      <c r="C3925" s="19" t="n">
        <v>0.855</v>
      </c>
      <c r="D3925" s="19" t="n">
        <v>0.0675</v>
      </c>
      <c r="E3925" s="20" t="n">
        <f aca="false">Parametres!$B$5*C3925</f>
        <v>256.5</v>
      </c>
      <c r="F3925" s="20" t="n">
        <f aca="false">Parametres!$B$6*D3925</f>
        <v>13.5</v>
      </c>
      <c r="G3925" s="20" t="n">
        <f aca="false">E3925+F3925</f>
        <v>270</v>
      </c>
      <c r="H3925" s="20" t="n">
        <f aca="false">IF(G3925&lt;Parametres!$B$8*Parametres!$B$7,0,MIN(G3925,Parametres!$B$7))</f>
        <v>250</v>
      </c>
      <c r="I3925" s="20" t="n">
        <f aca="false">G3925-H3925</f>
        <v>20</v>
      </c>
      <c r="J3925" s="21" t="n">
        <f aca="false">H3925*1000/Parametres!$B$9</f>
        <v>4239.44378497541</v>
      </c>
    </row>
    <row r="3926" customFormat="false" ht="15" hidden="false" customHeight="false" outlineLevel="0" collapsed="false">
      <c r="A3926" s="0" t="n">
        <v>3922</v>
      </c>
      <c r="B3926" s="0" t="n">
        <v>6</v>
      </c>
      <c r="C3926" s="19" t="n">
        <v>1</v>
      </c>
      <c r="D3926" s="19" t="n">
        <v>0.1086</v>
      </c>
      <c r="E3926" s="20" t="n">
        <f aca="false">Parametres!$B$5*C3926</f>
        <v>300</v>
      </c>
      <c r="F3926" s="20" t="n">
        <f aca="false">Parametres!$B$6*D3926</f>
        <v>21.72</v>
      </c>
      <c r="G3926" s="20" t="n">
        <f aca="false">E3926+F3926</f>
        <v>321.72</v>
      </c>
      <c r="H3926" s="20" t="n">
        <f aca="false">IF(G3926&lt;Parametres!$B$8*Parametres!$B$7,0,MIN(G3926,Parametres!$B$7))</f>
        <v>250</v>
      </c>
      <c r="I3926" s="20" t="n">
        <f aca="false">G3926-H3926</f>
        <v>71.72</v>
      </c>
      <c r="J3926" s="21" t="n">
        <f aca="false">H3926*1000/Parametres!$B$9</f>
        <v>4239.44378497541</v>
      </c>
    </row>
    <row r="3927" customFormat="false" ht="15" hidden="false" customHeight="false" outlineLevel="0" collapsed="false">
      <c r="A3927" s="0" t="n">
        <v>3923</v>
      </c>
      <c r="B3927" s="0" t="n">
        <v>6</v>
      </c>
      <c r="C3927" s="19" t="n">
        <v>1</v>
      </c>
      <c r="D3927" s="19" t="n">
        <v>0.1397</v>
      </c>
      <c r="E3927" s="20" t="n">
        <f aca="false">Parametres!$B$5*C3927</f>
        <v>300</v>
      </c>
      <c r="F3927" s="20" t="n">
        <f aca="false">Parametres!$B$6*D3927</f>
        <v>27.94</v>
      </c>
      <c r="G3927" s="20" t="n">
        <f aca="false">E3927+F3927</f>
        <v>327.94</v>
      </c>
      <c r="H3927" s="20" t="n">
        <f aca="false">IF(G3927&lt;Parametres!$B$8*Parametres!$B$7,0,MIN(G3927,Parametres!$B$7))</f>
        <v>250</v>
      </c>
      <c r="I3927" s="20" t="n">
        <f aca="false">G3927-H3927</f>
        <v>77.94</v>
      </c>
      <c r="J3927" s="21" t="n">
        <f aca="false">H3927*1000/Parametres!$B$9</f>
        <v>4239.44378497541</v>
      </c>
    </row>
    <row r="3928" customFormat="false" ht="15" hidden="false" customHeight="false" outlineLevel="0" collapsed="false">
      <c r="A3928" s="0" t="n">
        <v>3924</v>
      </c>
      <c r="B3928" s="0" t="n">
        <v>6</v>
      </c>
      <c r="C3928" s="19" t="n">
        <v>1</v>
      </c>
      <c r="D3928" s="19" t="n">
        <v>0.0864</v>
      </c>
      <c r="E3928" s="20" t="n">
        <f aca="false">Parametres!$B$5*C3928</f>
        <v>300</v>
      </c>
      <c r="F3928" s="20" t="n">
        <f aca="false">Parametres!$B$6*D3928</f>
        <v>17.28</v>
      </c>
      <c r="G3928" s="20" t="n">
        <f aca="false">E3928+F3928</f>
        <v>317.28</v>
      </c>
      <c r="H3928" s="20" t="n">
        <f aca="false">IF(G3928&lt;Parametres!$B$8*Parametres!$B$7,0,MIN(G3928,Parametres!$B$7))</f>
        <v>250</v>
      </c>
      <c r="I3928" s="20" t="n">
        <f aca="false">G3928-H3928</f>
        <v>67.28</v>
      </c>
      <c r="J3928" s="21" t="n">
        <f aca="false">H3928*1000/Parametres!$B$9</f>
        <v>4239.44378497541</v>
      </c>
    </row>
    <row r="3929" customFormat="false" ht="15" hidden="false" customHeight="false" outlineLevel="0" collapsed="false">
      <c r="A3929" s="0" t="n">
        <v>3925</v>
      </c>
      <c r="B3929" s="0" t="n">
        <v>6</v>
      </c>
      <c r="C3929" s="19" t="n">
        <v>1</v>
      </c>
      <c r="D3929" s="19" t="n">
        <v>0.3291</v>
      </c>
      <c r="E3929" s="20" t="n">
        <f aca="false">Parametres!$B$5*C3929</f>
        <v>300</v>
      </c>
      <c r="F3929" s="20" t="n">
        <f aca="false">Parametres!$B$6*D3929</f>
        <v>65.82</v>
      </c>
      <c r="G3929" s="20" t="n">
        <f aca="false">E3929+F3929</f>
        <v>365.82</v>
      </c>
      <c r="H3929" s="20" t="n">
        <f aca="false">IF(G3929&lt;Parametres!$B$8*Parametres!$B$7,0,MIN(G3929,Parametres!$B$7))</f>
        <v>250</v>
      </c>
      <c r="I3929" s="20" t="n">
        <f aca="false">G3929-H3929</f>
        <v>115.82</v>
      </c>
      <c r="J3929" s="21" t="n">
        <f aca="false">H3929*1000/Parametres!$B$9</f>
        <v>4239.44378497541</v>
      </c>
    </row>
    <row r="3930" customFormat="false" ht="15" hidden="false" customHeight="false" outlineLevel="0" collapsed="false">
      <c r="A3930" s="0" t="n">
        <v>3926</v>
      </c>
      <c r="B3930" s="0" t="n">
        <v>6</v>
      </c>
      <c r="C3930" s="19" t="n">
        <v>1</v>
      </c>
      <c r="D3930" s="19" t="n">
        <v>0.6486</v>
      </c>
      <c r="E3930" s="20" t="n">
        <f aca="false">Parametres!$B$5*C3930</f>
        <v>300</v>
      </c>
      <c r="F3930" s="20" t="n">
        <f aca="false">Parametres!$B$6*D3930</f>
        <v>129.72</v>
      </c>
      <c r="G3930" s="20" t="n">
        <f aca="false">E3930+F3930</f>
        <v>429.72</v>
      </c>
      <c r="H3930" s="20" t="n">
        <f aca="false">IF(G3930&lt;Parametres!$B$8*Parametres!$B$7,0,MIN(G3930,Parametres!$B$7))</f>
        <v>250</v>
      </c>
      <c r="I3930" s="20" t="n">
        <f aca="false">G3930-H3930</f>
        <v>179.72</v>
      </c>
      <c r="J3930" s="21" t="n">
        <f aca="false">H3930*1000/Parametres!$B$9</f>
        <v>4239.44378497541</v>
      </c>
    </row>
    <row r="3931" customFormat="false" ht="15" hidden="false" customHeight="false" outlineLevel="0" collapsed="false">
      <c r="A3931" s="0" t="n">
        <v>3927</v>
      </c>
      <c r="B3931" s="0" t="n">
        <v>6</v>
      </c>
      <c r="C3931" s="19" t="n">
        <v>0.9619</v>
      </c>
      <c r="D3931" s="19" t="n">
        <v>0.8854</v>
      </c>
      <c r="E3931" s="20" t="n">
        <f aca="false">Parametres!$B$5*C3931</f>
        <v>288.57</v>
      </c>
      <c r="F3931" s="20" t="n">
        <f aca="false">Parametres!$B$6*D3931</f>
        <v>177.08</v>
      </c>
      <c r="G3931" s="20" t="n">
        <f aca="false">E3931+F3931</f>
        <v>465.65</v>
      </c>
      <c r="H3931" s="20" t="n">
        <f aca="false">IF(G3931&lt;Parametres!$B$8*Parametres!$B$7,0,MIN(G3931,Parametres!$B$7))</f>
        <v>250</v>
      </c>
      <c r="I3931" s="20" t="n">
        <f aca="false">G3931-H3931</f>
        <v>215.65</v>
      </c>
      <c r="J3931" s="21" t="n">
        <f aca="false">H3931*1000/Parametres!$B$9</f>
        <v>4239.44378497541</v>
      </c>
    </row>
    <row r="3932" customFormat="false" ht="15" hidden="false" customHeight="false" outlineLevel="0" collapsed="false">
      <c r="A3932" s="0" t="n">
        <v>3928</v>
      </c>
      <c r="B3932" s="0" t="n">
        <v>6</v>
      </c>
      <c r="C3932" s="19" t="n">
        <v>0.8075</v>
      </c>
      <c r="D3932" s="19" t="n">
        <v>1</v>
      </c>
      <c r="E3932" s="20" t="n">
        <f aca="false">Parametres!$B$5*C3932</f>
        <v>242.25</v>
      </c>
      <c r="F3932" s="20" t="n">
        <f aca="false">Parametres!$B$6*D3932</f>
        <v>200</v>
      </c>
      <c r="G3932" s="20" t="n">
        <f aca="false">E3932+F3932</f>
        <v>442.25</v>
      </c>
      <c r="H3932" s="20" t="n">
        <f aca="false">IF(G3932&lt;Parametres!$B$8*Parametres!$B$7,0,MIN(G3932,Parametres!$B$7))</f>
        <v>250</v>
      </c>
      <c r="I3932" s="20" t="n">
        <f aca="false">G3932-H3932</f>
        <v>192.25</v>
      </c>
      <c r="J3932" s="21" t="n">
        <f aca="false">H3932*1000/Parametres!$B$9</f>
        <v>4239.44378497541</v>
      </c>
    </row>
    <row r="3933" customFormat="false" ht="15" hidden="false" customHeight="false" outlineLevel="0" collapsed="false">
      <c r="A3933" s="0" t="n">
        <v>3929</v>
      </c>
      <c r="B3933" s="0" t="n">
        <v>6</v>
      </c>
      <c r="C3933" s="19" t="n">
        <v>0.5567</v>
      </c>
      <c r="D3933" s="19" t="n">
        <v>1</v>
      </c>
      <c r="E3933" s="20" t="n">
        <f aca="false">Parametres!$B$5*C3933</f>
        <v>167.01</v>
      </c>
      <c r="F3933" s="20" t="n">
        <f aca="false">Parametres!$B$6*D3933</f>
        <v>200</v>
      </c>
      <c r="G3933" s="20" t="n">
        <f aca="false">E3933+F3933</f>
        <v>367.01</v>
      </c>
      <c r="H3933" s="20" t="n">
        <f aca="false">IF(G3933&lt;Parametres!$B$8*Parametres!$B$7,0,MIN(G3933,Parametres!$B$7))</f>
        <v>250</v>
      </c>
      <c r="I3933" s="20" t="n">
        <f aca="false">G3933-H3933</f>
        <v>117.01</v>
      </c>
      <c r="J3933" s="21" t="n">
        <f aca="false">H3933*1000/Parametres!$B$9</f>
        <v>4239.44378497541</v>
      </c>
    </row>
    <row r="3934" customFormat="false" ht="15" hidden="false" customHeight="false" outlineLevel="0" collapsed="false">
      <c r="A3934" s="0" t="n">
        <v>3930</v>
      </c>
      <c r="B3934" s="0" t="n">
        <v>6</v>
      </c>
      <c r="C3934" s="19" t="n">
        <v>0.3121</v>
      </c>
      <c r="D3934" s="19" t="n">
        <v>1</v>
      </c>
      <c r="E3934" s="20" t="n">
        <f aca="false">Parametres!$B$5*C3934</f>
        <v>93.63</v>
      </c>
      <c r="F3934" s="20" t="n">
        <f aca="false">Parametres!$B$6*D3934</f>
        <v>200</v>
      </c>
      <c r="G3934" s="20" t="n">
        <f aca="false">E3934+F3934</f>
        <v>293.63</v>
      </c>
      <c r="H3934" s="20" t="n">
        <f aca="false">IF(G3934&lt;Parametres!$B$8*Parametres!$B$7,0,MIN(G3934,Parametres!$B$7))</f>
        <v>250</v>
      </c>
      <c r="I3934" s="20" t="n">
        <f aca="false">G3934-H3934</f>
        <v>43.63</v>
      </c>
      <c r="J3934" s="21" t="n">
        <f aca="false">H3934*1000/Parametres!$B$9</f>
        <v>4239.44378497541</v>
      </c>
    </row>
    <row r="3935" customFormat="false" ht="15" hidden="false" customHeight="false" outlineLevel="0" collapsed="false">
      <c r="A3935" s="0" t="n">
        <v>3931</v>
      </c>
      <c r="B3935" s="0" t="n">
        <v>6</v>
      </c>
      <c r="C3935" s="19" t="n">
        <v>0.0678</v>
      </c>
      <c r="D3935" s="19" t="n">
        <v>1</v>
      </c>
      <c r="E3935" s="20" t="n">
        <f aca="false">Parametres!$B$5*C3935</f>
        <v>20.34</v>
      </c>
      <c r="F3935" s="20" t="n">
        <f aca="false">Parametres!$B$6*D3935</f>
        <v>200</v>
      </c>
      <c r="G3935" s="20" t="n">
        <f aca="false">E3935+F3935</f>
        <v>220.34</v>
      </c>
      <c r="H3935" s="20" t="n">
        <f aca="false">IF(G3935&lt;Parametres!$B$8*Parametres!$B$7,0,MIN(G3935,Parametres!$B$7))</f>
        <v>220.34</v>
      </c>
      <c r="I3935" s="20" t="n">
        <f aca="false">G3935-H3935</f>
        <v>0</v>
      </c>
      <c r="J3935" s="21" t="n">
        <f aca="false">H3935*1000/Parametres!$B$9</f>
        <v>3736.47617432593</v>
      </c>
    </row>
    <row r="3936" customFormat="false" ht="15" hidden="false" customHeight="false" outlineLevel="0" collapsed="false">
      <c r="A3936" s="0" t="n">
        <v>3932</v>
      </c>
      <c r="B3936" s="0" t="n">
        <v>6</v>
      </c>
      <c r="C3936" s="19" t="n">
        <v>0</v>
      </c>
      <c r="D3936" s="19" t="n">
        <v>0.8783</v>
      </c>
      <c r="E3936" s="20" t="n">
        <f aca="false">Parametres!$B$5*C3936</f>
        <v>0</v>
      </c>
      <c r="F3936" s="20" t="n">
        <f aca="false">Parametres!$B$6*D3936</f>
        <v>175.66</v>
      </c>
      <c r="G3936" s="20" t="n">
        <f aca="false">E3936+F3936</f>
        <v>175.66</v>
      </c>
      <c r="H3936" s="20" t="n">
        <f aca="false">IF(G3936&lt;Parametres!$B$8*Parametres!$B$7,0,MIN(G3936,Parametres!$B$7))</f>
        <v>175.66</v>
      </c>
      <c r="I3936" s="20" t="n">
        <f aca="false">G3936-H3936</f>
        <v>0</v>
      </c>
      <c r="J3936" s="21" t="n">
        <f aca="false">H3936*1000/Parametres!$B$9</f>
        <v>2978.80278107512</v>
      </c>
    </row>
    <row r="3937" customFormat="false" ht="15" hidden="false" customHeight="false" outlineLevel="0" collapsed="false">
      <c r="A3937" s="0" t="n">
        <v>3933</v>
      </c>
      <c r="B3937" s="0" t="n">
        <v>6</v>
      </c>
      <c r="C3937" s="19" t="n">
        <v>0</v>
      </c>
      <c r="D3937" s="19" t="n">
        <v>0.6631</v>
      </c>
      <c r="E3937" s="20" t="n">
        <f aca="false">Parametres!$B$5*C3937</f>
        <v>0</v>
      </c>
      <c r="F3937" s="20" t="n">
        <f aca="false">Parametres!$B$6*D3937</f>
        <v>132.62</v>
      </c>
      <c r="G3937" s="20" t="n">
        <f aca="false">E3937+F3937</f>
        <v>132.62</v>
      </c>
      <c r="H3937" s="20" t="n">
        <f aca="false">IF(G3937&lt;Parametres!$B$8*Parametres!$B$7,0,MIN(G3937,Parametres!$B$7))</f>
        <v>132.62</v>
      </c>
      <c r="I3937" s="20" t="n">
        <f aca="false">G3937-H3937</f>
        <v>0</v>
      </c>
      <c r="J3937" s="21" t="n">
        <f aca="false">H3937*1000/Parametres!$B$9</f>
        <v>2248.94013905376</v>
      </c>
    </row>
    <row r="3938" customFormat="false" ht="15" hidden="false" customHeight="false" outlineLevel="0" collapsed="false">
      <c r="A3938" s="0" t="n">
        <v>3934</v>
      </c>
      <c r="B3938" s="0" t="n">
        <v>6</v>
      </c>
      <c r="C3938" s="19" t="n">
        <v>0</v>
      </c>
      <c r="D3938" s="19" t="n">
        <v>0.7571</v>
      </c>
      <c r="E3938" s="20" t="n">
        <f aca="false">Parametres!$B$5*C3938</f>
        <v>0</v>
      </c>
      <c r="F3938" s="20" t="n">
        <f aca="false">Parametres!$B$6*D3938</f>
        <v>151.42</v>
      </c>
      <c r="G3938" s="20" t="n">
        <f aca="false">E3938+F3938</f>
        <v>151.42</v>
      </c>
      <c r="H3938" s="20" t="n">
        <f aca="false">IF(G3938&lt;Parametres!$B$8*Parametres!$B$7,0,MIN(G3938,Parametres!$B$7))</f>
        <v>151.42</v>
      </c>
      <c r="I3938" s="20" t="n">
        <f aca="false">G3938-H3938</f>
        <v>0</v>
      </c>
      <c r="J3938" s="21" t="n">
        <f aca="false">H3938*1000/Parametres!$B$9</f>
        <v>2567.74631168391</v>
      </c>
    </row>
    <row r="3939" customFormat="false" ht="15" hidden="false" customHeight="false" outlineLevel="0" collapsed="false">
      <c r="A3939" s="0" t="n">
        <v>3935</v>
      </c>
      <c r="B3939" s="0" t="n">
        <v>6</v>
      </c>
      <c r="C3939" s="19" t="n">
        <v>0</v>
      </c>
      <c r="D3939" s="19" t="n">
        <v>0.378</v>
      </c>
      <c r="E3939" s="20" t="n">
        <f aca="false">Parametres!$B$5*C3939</f>
        <v>0</v>
      </c>
      <c r="F3939" s="20" t="n">
        <f aca="false">Parametres!$B$6*D3939</f>
        <v>75.6</v>
      </c>
      <c r="G3939" s="20" t="n">
        <f aca="false">E3939+F3939</f>
        <v>75.6</v>
      </c>
      <c r="H3939" s="20" t="n">
        <f aca="false">IF(G3939&lt;Parametres!$B$8*Parametres!$B$7,0,MIN(G3939,Parametres!$B$7))</f>
        <v>75.6</v>
      </c>
      <c r="I3939" s="20" t="n">
        <f aca="false">G3939-H3939</f>
        <v>0</v>
      </c>
      <c r="J3939" s="21" t="n">
        <f aca="false">H3939*1000/Parametres!$B$9</f>
        <v>1282.00780057656</v>
      </c>
    </row>
    <row r="3940" customFormat="false" ht="15" hidden="false" customHeight="false" outlineLevel="0" collapsed="false">
      <c r="A3940" s="0" t="n">
        <v>3936</v>
      </c>
      <c r="B3940" s="0" t="n">
        <v>6</v>
      </c>
      <c r="C3940" s="19" t="n">
        <v>0</v>
      </c>
      <c r="D3940" s="19" t="n">
        <v>0.332</v>
      </c>
      <c r="E3940" s="20" t="n">
        <f aca="false">Parametres!$B$5*C3940</f>
        <v>0</v>
      </c>
      <c r="F3940" s="20" t="n">
        <f aca="false">Parametres!$B$6*D3940</f>
        <v>66.4</v>
      </c>
      <c r="G3940" s="20" t="n">
        <f aca="false">E3940+F3940</f>
        <v>66.4</v>
      </c>
      <c r="H3940" s="20" t="n">
        <f aca="false">IF(G3940&lt;Parametres!$B$8*Parametres!$B$7,0,MIN(G3940,Parametres!$B$7))</f>
        <v>66.4</v>
      </c>
      <c r="I3940" s="20" t="n">
        <f aca="false">G3940-H3940</f>
        <v>0</v>
      </c>
      <c r="J3940" s="21" t="n">
        <f aca="false">H3940*1000/Parametres!$B$9</f>
        <v>1125.99626928947</v>
      </c>
    </row>
    <row r="3941" customFormat="false" ht="15" hidden="false" customHeight="false" outlineLevel="0" collapsed="false">
      <c r="A3941" s="0" t="n">
        <v>3937</v>
      </c>
      <c r="B3941" s="0" t="n">
        <v>6</v>
      </c>
      <c r="C3941" s="19" t="n">
        <v>0</v>
      </c>
      <c r="D3941" s="19" t="n">
        <v>0.2579</v>
      </c>
      <c r="E3941" s="20" t="n">
        <f aca="false">Parametres!$B$5*C3941</f>
        <v>0</v>
      </c>
      <c r="F3941" s="20" t="n">
        <f aca="false">Parametres!$B$6*D3941</f>
        <v>51.58</v>
      </c>
      <c r="G3941" s="20" t="n">
        <f aca="false">E3941+F3941</f>
        <v>51.58</v>
      </c>
      <c r="H3941" s="20" t="n">
        <f aca="false">IF(G3941&lt;Parametres!$B$8*Parametres!$B$7,0,MIN(G3941,Parametres!$B$7))</f>
        <v>51.58</v>
      </c>
      <c r="I3941" s="20" t="n">
        <f aca="false">G3941-H3941</f>
        <v>0</v>
      </c>
      <c r="J3941" s="21" t="n">
        <f aca="false">H3941*1000/Parametres!$B$9</f>
        <v>874.682041716127</v>
      </c>
    </row>
    <row r="3942" customFormat="false" ht="15" hidden="false" customHeight="false" outlineLevel="0" collapsed="false">
      <c r="A3942" s="0" t="n">
        <v>3938</v>
      </c>
      <c r="B3942" s="0" t="n">
        <v>6</v>
      </c>
      <c r="C3942" s="19" t="n">
        <v>0</v>
      </c>
      <c r="D3942" s="19" t="n">
        <v>0.1365</v>
      </c>
      <c r="E3942" s="20" t="n">
        <f aca="false">Parametres!$B$5*C3942</f>
        <v>0</v>
      </c>
      <c r="F3942" s="20" t="n">
        <f aca="false">Parametres!$B$6*D3942</f>
        <v>27.3</v>
      </c>
      <c r="G3942" s="20" t="n">
        <f aca="false">E3942+F3942</f>
        <v>27.3</v>
      </c>
      <c r="H3942" s="20" t="n">
        <f aca="false">IF(G3942&lt;Parametres!$B$8*Parametres!$B$7,0,MIN(G3942,Parametres!$B$7))</f>
        <v>27.3</v>
      </c>
      <c r="I3942" s="20" t="n">
        <f aca="false">G3942-H3942</f>
        <v>0</v>
      </c>
      <c r="J3942" s="21" t="n">
        <f aca="false">H3942*1000/Parametres!$B$9</f>
        <v>462.947261319315</v>
      </c>
    </row>
    <row r="3943" customFormat="false" ht="15" hidden="false" customHeight="false" outlineLevel="0" collapsed="false">
      <c r="A3943" s="0" t="n">
        <v>3939</v>
      </c>
      <c r="B3943" s="0" t="n">
        <v>6</v>
      </c>
      <c r="C3943" s="19" t="n">
        <v>0</v>
      </c>
      <c r="D3943" s="19" t="n">
        <v>0.0661</v>
      </c>
      <c r="E3943" s="20" t="n">
        <f aca="false">Parametres!$B$5*C3943</f>
        <v>0</v>
      </c>
      <c r="F3943" s="20" t="n">
        <f aca="false">Parametres!$B$6*D3943</f>
        <v>13.22</v>
      </c>
      <c r="G3943" s="20" t="n">
        <f aca="false">E3943+F3943</f>
        <v>13.22</v>
      </c>
      <c r="H3943" s="20" t="n">
        <f aca="false">IF(G3943&lt;Parametres!$B$8*Parametres!$B$7,0,MIN(G3943,Parametres!$B$7))</f>
        <v>0</v>
      </c>
      <c r="I3943" s="20" t="n">
        <f aca="false">G3943-H3943</f>
        <v>13.22</v>
      </c>
      <c r="J3943" s="21" t="n">
        <f aca="false">H3943*1000/Parametres!$B$9</f>
        <v>0</v>
      </c>
    </row>
    <row r="3944" customFormat="false" ht="15" hidden="false" customHeight="false" outlineLevel="0" collapsed="false">
      <c r="A3944" s="0" t="n">
        <v>3940</v>
      </c>
      <c r="B3944" s="0" t="n">
        <v>6</v>
      </c>
      <c r="C3944" s="19" t="n">
        <v>0</v>
      </c>
      <c r="D3944" s="19" t="n">
        <v>0.0552</v>
      </c>
      <c r="E3944" s="20" t="n">
        <f aca="false">Parametres!$B$5*C3944</f>
        <v>0</v>
      </c>
      <c r="F3944" s="20" t="n">
        <f aca="false">Parametres!$B$6*D3944</f>
        <v>11.04</v>
      </c>
      <c r="G3944" s="20" t="n">
        <f aca="false">E3944+F3944</f>
        <v>11.04</v>
      </c>
      <c r="H3944" s="20" t="n">
        <f aca="false">IF(G3944&lt;Parametres!$B$8*Parametres!$B$7,0,MIN(G3944,Parametres!$B$7))</f>
        <v>0</v>
      </c>
      <c r="I3944" s="20" t="n">
        <f aca="false">G3944-H3944</f>
        <v>11.04</v>
      </c>
      <c r="J3944" s="21" t="n">
        <f aca="false">H3944*1000/Parametres!$B$9</f>
        <v>0</v>
      </c>
    </row>
    <row r="3945" customFormat="false" ht="15" hidden="false" customHeight="false" outlineLevel="0" collapsed="false">
      <c r="A3945" s="0" t="n">
        <v>3941</v>
      </c>
      <c r="B3945" s="0" t="n">
        <v>6</v>
      </c>
      <c r="C3945" s="19" t="n">
        <v>0</v>
      </c>
      <c r="D3945" s="19" t="n">
        <v>0.0461</v>
      </c>
      <c r="E3945" s="20" t="n">
        <f aca="false">Parametres!$B$5*C3945</f>
        <v>0</v>
      </c>
      <c r="F3945" s="20" t="n">
        <f aca="false">Parametres!$B$6*D3945</f>
        <v>9.22</v>
      </c>
      <c r="G3945" s="20" t="n">
        <f aca="false">E3945+F3945</f>
        <v>9.22</v>
      </c>
      <c r="H3945" s="20" t="n">
        <f aca="false">IF(G3945&lt;Parametres!$B$8*Parametres!$B$7,0,MIN(G3945,Parametres!$B$7))</f>
        <v>0</v>
      </c>
      <c r="I3945" s="20" t="n">
        <f aca="false">G3945-H3945</f>
        <v>9.22</v>
      </c>
      <c r="J3945" s="21" t="n">
        <f aca="false">H3945*1000/Parametres!$B$9</f>
        <v>0</v>
      </c>
    </row>
    <row r="3946" customFormat="false" ht="15" hidden="false" customHeight="false" outlineLevel="0" collapsed="false">
      <c r="A3946" s="0" t="n">
        <v>3942</v>
      </c>
      <c r="B3946" s="0" t="n">
        <v>6</v>
      </c>
      <c r="C3946" s="19" t="n">
        <v>0.0727</v>
      </c>
      <c r="D3946" s="19" t="n">
        <v>0.0534</v>
      </c>
      <c r="E3946" s="20" t="n">
        <f aca="false">Parametres!$B$5*C3946</f>
        <v>21.81</v>
      </c>
      <c r="F3946" s="20" t="n">
        <f aca="false">Parametres!$B$6*D3946</f>
        <v>10.68</v>
      </c>
      <c r="G3946" s="20" t="n">
        <f aca="false">E3946+F3946</f>
        <v>32.49</v>
      </c>
      <c r="H3946" s="20" t="n">
        <f aca="false">IF(G3946&lt;Parametres!$B$8*Parametres!$B$7,0,MIN(G3946,Parametres!$B$7))</f>
        <v>32.49</v>
      </c>
      <c r="I3946" s="20" t="n">
        <f aca="false">G3946-H3946</f>
        <v>0</v>
      </c>
      <c r="J3946" s="21" t="n">
        <f aca="false">H3946*1000/Parametres!$B$9</f>
        <v>550.958114295404</v>
      </c>
    </row>
    <row r="3947" customFormat="false" ht="15" hidden="false" customHeight="false" outlineLevel="0" collapsed="false">
      <c r="A3947" s="0" t="n">
        <v>3943</v>
      </c>
      <c r="B3947" s="0" t="n">
        <v>6</v>
      </c>
      <c r="C3947" s="19" t="n">
        <v>0.3138</v>
      </c>
      <c r="D3947" s="19" t="n">
        <v>0.0219</v>
      </c>
      <c r="E3947" s="20" t="n">
        <f aca="false">Parametres!$B$5*C3947</f>
        <v>94.14</v>
      </c>
      <c r="F3947" s="20" t="n">
        <f aca="false">Parametres!$B$6*D3947</f>
        <v>4.38</v>
      </c>
      <c r="G3947" s="20" t="n">
        <f aca="false">E3947+F3947</f>
        <v>98.52</v>
      </c>
      <c r="H3947" s="20" t="n">
        <f aca="false">IF(G3947&lt;Parametres!$B$8*Parametres!$B$7,0,MIN(G3947,Parametres!$B$7))</f>
        <v>98.52</v>
      </c>
      <c r="I3947" s="20" t="n">
        <f aca="false">G3947-H3947</f>
        <v>0</v>
      </c>
      <c r="J3947" s="21" t="n">
        <f aca="false">H3947*1000/Parametres!$B$9</f>
        <v>1670.68000678311</v>
      </c>
    </row>
    <row r="3948" customFormat="false" ht="15" hidden="false" customHeight="false" outlineLevel="0" collapsed="false">
      <c r="A3948" s="0" t="n">
        <v>3944</v>
      </c>
      <c r="B3948" s="0" t="n">
        <v>6</v>
      </c>
      <c r="C3948" s="19" t="n">
        <v>0.6365</v>
      </c>
      <c r="D3948" s="19" t="n">
        <v>0.0279</v>
      </c>
      <c r="E3948" s="20" t="n">
        <f aca="false">Parametres!$B$5*C3948</f>
        <v>190.95</v>
      </c>
      <c r="F3948" s="20" t="n">
        <f aca="false">Parametres!$B$6*D3948</f>
        <v>5.58</v>
      </c>
      <c r="G3948" s="20" t="n">
        <f aca="false">E3948+F3948</f>
        <v>196.53</v>
      </c>
      <c r="H3948" s="20" t="n">
        <f aca="false">IF(G3948&lt;Parametres!$B$8*Parametres!$B$7,0,MIN(G3948,Parametres!$B$7))</f>
        <v>196.53</v>
      </c>
      <c r="I3948" s="20" t="n">
        <f aca="false">G3948-H3948</f>
        <v>0</v>
      </c>
      <c r="J3948" s="21" t="n">
        <f aca="false">H3948*1000/Parametres!$B$9</f>
        <v>3332.71154824487</v>
      </c>
    </row>
    <row r="3949" customFormat="false" ht="15" hidden="false" customHeight="false" outlineLevel="0" collapsed="false">
      <c r="A3949" s="0" t="n">
        <v>3945</v>
      </c>
      <c r="B3949" s="0" t="n">
        <v>6</v>
      </c>
      <c r="C3949" s="19" t="n">
        <v>0.9058</v>
      </c>
      <c r="D3949" s="19" t="n">
        <v>0.0127</v>
      </c>
      <c r="E3949" s="20" t="n">
        <f aca="false">Parametres!$B$5*C3949</f>
        <v>271.74</v>
      </c>
      <c r="F3949" s="20" t="n">
        <f aca="false">Parametres!$B$6*D3949</f>
        <v>2.54</v>
      </c>
      <c r="G3949" s="20" t="n">
        <f aca="false">E3949+F3949</f>
        <v>274.28</v>
      </c>
      <c r="H3949" s="20" t="n">
        <f aca="false">IF(G3949&lt;Parametres!$B$8*Parametres!$B$7,0,MIN(G3949,Parametres!$B$7))</f>
        <v>250</v>
      </c>
      <c r="I3949" s="20" t="n">
        <f aca="false">G3949-H3949</f>
        <v>24.28</v>
      </c>
      <c r="J3949" s="21" t="n">
        <f aca="false">H3949*1000/Parametres!$B$9</f>
        <v>4239.44378497541</v>
      </c>
    </row>
    <row r="3950" customFormat="false" ht="15" hidden="false" customHeight="false" outlineLevel="0" collapsed="false">
      <c r="A3950" s="0" t="n">
        <v>3946</v>
      </c>
      <c r="B3950" s="0" t="n">
        <v>6</v>
      </c>
      <c r="C3950" s="19" t="n">
        <v>1</v>
      </c>
      <c r="D3950" s="19" t="n">
        <v>0.0079</v>
      </c>
      <c r="E3950" s="20" t="n">
        <f aca="false">Parametres!$B$5*C3950</f>
        <v>300</v>
      </c>
      <c r="F3950" s="20" t="n">
        <f aca="false">Parametres!$B$6*D3950</f>
        <v>1.58</v>
      </c>
      <c r="G3950" s="20" t="n">
        <f aca="false">E3950+F3950</f>
        <v>301.58</v>
      </c>
      <c r="H3950" s="20" t="n">
        <f aca="false">IF(G3950&lt;Parametres!$B$8*Parametres!$B$7,0,MIN(G3950,Parametres!$B$7))</f>
        <v>250</v>
      </c>
      <c r="I3950" s="20" t="n">
        <f aca="false">G3950-H3950</f>
        <v>51.58</v>
      </c>
      <c r="J3950" s="21" t="n">
        <f aca="false">H3950*1000/Parametres!$B$9</f>
        <v>4239.44378497541</v>
      </c>
    </row>
    <row r="3951" customFormat="false" ht="15" hidden="false" customHeight="false" outlineLevel="0" collapsed="false">
      <c r="A3951" s="0" t="n">
        <v>3947</v>
      </c>
      <c r="B3951" s="0" t="n">
        <v>6</v>
      </c>
      <c r="C3951" s="19" t="n">
        <v>1</v>
      </c>
      <c r="D3951" s="19" t="n">
        <v>0.0253</v>
      </c>
      <c r="E3951" s="20" t="n">
        <f aca="false">Parametres!$B$5*C3951</f>
        <v>300</v>
      </c>
      <c r="F3951" s="20" t="n">
        <f aca="false">Parametres!$B$6*D3951</f>
        <v>5.06</v>
      </c>
      <c r="G3951" s="20" t="n">
        <f aca="false">E3951+F3951</f>
        <v>305.06</v>
      </c>
      <c r="H3951" s="20" t="n">
        <f aca="false">IF(G3951&lt;Parametres!$B$8*Parametres!$B$7,0,MIN(G3951,Parametres!$B$7))</f>
        <v>250</v>
      </c>
      <c r="I3951" s="20" t="n">
        <f aca="false">G3951-H3951</f>
        <v>55.06</v>
      </c>
      <c r="J3951" s="21" t="n">
        <f aca="false">H3951*1000/Parametres!$B$9</f>
        <v>4239.44378497541</v>
      </c>
    </row>
    <row r="3952" customFormat="false" ht="15" hidden="false" customHeight="false" outlineLevel="0" collapsed="false">
      <c r="A3952" s="0" t="n">
        <v>3948</v>
      </c>
      <c r="B3952" s="0" t="n">
        <v>6</v>
      </c>
      <c r="C3952" s="19" t="n">
        <v>1</v>
      </c>
      <c r="D3952" s="19" t="n">
        <v>0.0189</v>
      </c>
      <c r="E3952" s="20" t="n">
        <f aca="false">Parametres!$B$5*C3952</f>
        <v>300</v>
      </c>
      <c r="F3952" s="20" t="n">
        <f aca="false">Parametres!$B$6*D3952</f>
        <v>3.78</v>
      </c>
      <c r="G3952" s="20" t="n">
        <f aca="false">E3952+F3952</f>
        <v>303.78</v>
      </c>
      <c r="H3952" s="20" t="n">
        <f aca="false">IF(G3952&lt;Parametres!$B$8*Parametres!$B$7,0,MIN(G3952,Parametres!$B$7))</f>
        <v>250</v>
      </c>
      <c r="I3952" s="20" t="n">
        <f aca="false">G3952-H3952</f>
        <v>53.78</v>
      </c>
      <c r="J3952" s="21" t="n">
        <f aca="false">H3952*1000/Parametres!$B$9</f>
        <v>4239.44378497541</v>
      </c>
    </row>
    <row r="3953" customFormat="false" ht="15" hidden="false" customHeight="false" outlineLevel="0" collapsed="false">
      <c r="A3953" s="0" t="n">
        <v>3949</v>
      </c>
      <c r="B3953" s="0" t="n">
        <v>6</v>
      </c>
      <c r="C3953" s="19" t="n">
        <v>1</v>
      </c>
      <c r="D3953" s="19" t="n">
        <v>0.0159</v>
      </c>
      <c r="E3953" s="20" t="n">
        <f aca="false">Parametres!$B$5*C3953</f>
        <v>300</v>
      </c>
      <c r="F3953" s="20" t="n">
        <f aca="false">Parametres!$B$6*D3953</f>
        <v>3.18</v>
      </c>
      <c r="G3953" s="20" t="n">
        <f aca="false">E3953+F3953</f>
        <v>303.18</v>
      </c>
      <c r="H3953" s="20" t="n">
        <f aca="false">IF(G3953&lt;Parametres!$B$8*Parametres!$B$7,0,MIN(G3953,Parametres!$B$7))</f>
        <v>250</v>
      </c>
      <c r="I3953" s="20" t="n">
        <f aca="false">G3953-H3953</f>
        <v>53.18</v>
      </c>
      <c r="J3953" s="21" t="n">
        <f aca="false">H3953*1000/Parametres!$B$9</f>
        <v>4239.44378497541</v>
      </c>
    </row>
    <row r="3954" customFormat="false" ht="15" hidden="false" customHeight="false" outlineLevel="0" collapsed="false">
      <c r="A3954" s="0" t="n">
        <v>3950</v>
      </c>
      <c r="B3954" s="0" t="n">
        <v>6</v>
      </c>
      <c r="C3954" s="19" t="n">
        <v>1</v>
      </c>
      <c r="D3954" s="19" t="n">
        <v>0.0093</v>
      </c>
      <c r="E3954" s="20" t="n">
        <f aca="false">Parametres!$B$5*C3954</f>
        <v>300</v>
      </c>
      <c r="F3954" s="20" t="n">
        <f aca="false">Parametres!$B$6*D3954</f>
        <v>1.86</v>
      </c>
      <c r="G3954" s="20" t="n">
        <f aca="false">E3954+F3954</f>
        <v>301.86</v>
      </c>
      <c r="H3954" s="20" t="n">
        <f aca="false">IF(G3954&lt;Parametres!$B$8*Parametres!$B$7,0,MIN(G3954,Parametres!$B$7))</f>
        <v>250</v>
      </c>
      <c r="I3954" s="20" t="n">
        <f aca="false">G3954-H3954</f>
        <v>51.86</v>
      </c>
      <c r="J3954" s="21" t="n">
        <f aca="false">H3954*1000/Parametres!$B$9</f>
        <v>4239.44378497541</v>
      </c>
    </row>
    <row r="3955" customFormat="false" ht="15" hidden="false" customHeight="false" outlineLevel="0" collapsed="false">
      <c r="A3955" s="0" t="n">
        <v>3951</v>
      </c>
      <c r="B3955" s="0" t="n">
        <v>6</v>
      </c>
      <c r="C3955" s="19" t="n">
        <v>1</v>
      </c>
      <c r="D3955" s="19" t="n">
        <v>0.0116</v>
      </c>
      <c r="E3955" s="20" t="n">
        <f aca="false">Parametres!$B$5*C3955</f>
        <v>300</v>
      </c>
      <c r="F3955" s="20" t="n">
        <f aca="false">Parametres!$B$6*D3955</f>
        <v>2.32</v>
      </c>
      <c r="G3955" s="20" t="n">
        <f aca="false">E3955+F3955</f>
        <v>302.32</v>
      </c>
      <c r="H3955" s="20" t="n">
        <f aca="false">IF(G3955&lt;Parametres!$B$8*Parametres!$B$7,0,MIN(G3955,Parametres!$B$7))</f>
        <v>250</v>
      </c>
      <c r="I3955" s="20" t="n">
        <f aca="false">G3955-H3955</f>
        <v>52.32</v>
      </c>
      <c r="J3955" s="21" t="n">
        <f aca="false">H3955*1000/Parametres!$B$9</f>
        <v>4239.44378497541</v>
      </c>
    </row>
    <row r="3956" customFormat="false" ht="15" hidden="false" customHeight="false" outlineLevel="0" collapsed="false">
      <c r="A3956" s="0" t="n">
        <v>3952</v>
      </c>
      <c r="B3956" s="0" t="n">
        <v>6</v>
      </c>
      <c r="C3956" s="19" t="n">
        <v>0.8909</v>
      </c>
      <c r="D3956" s="19" t="n">
        <v>0.0285</v>
      </c>
      <c r="E3956" s="20" t="n">
        <f aca="false">Parametres!$B$5*C3956</f>
        <v>267.27</v>
      </c>
      <c r="F3956" s="20" t="n">
        <f aca="false">Parametres!$B$6*D3956</f>
        <v>5.7</v>
      </c>
      <c r="G3956" s="20" t="n">
        <f aca="false">E3956+F3956</f>
        <v>272.97</v>
      </c>
      <c r="H3956" s="20" t="n">
        <f aca="false">IF(G3956&lt;Parametres!$B$8*Parametres!$B$7,0,MIN(G3956,Parametres!$B$7))</f>
        <v>250</v>
      </c>
      <c r="I3956" s="20" t="n">
        <f aca="false">G3956-H3956</f>
        <v>22.97</v>
      </c>
      <c r="J3956" s="21" t="n">
        <f aca="false">H3956*1000/Parametres!$B$9</f>
        <v>4239.44378497541</v>
      </c>
    </row>
    <row r="3957" customFormat="false" ht="15" hidden="false" customHeight="false" outlineLevel="0" collapsed="false">
      <c r="A3957" s="0" t="n">
        <v>3953</v>
      </c>
      <c r="B3957" s="0" t="n">
        <v>6</v>
      </c>
      <c r="C3957" s="19" t="n">
        <v>0.614</v>
      </c>
      <c r="D3957" s="19" t="n">
        <v>0.0234</v>
      </c>
      <c r="E3957" s="20" t="n">
        <f aca="false">Parametres!$B$5*C3957</f>
        <v>184.2</v>
      </c>
      <c r="F3957" s="20" t="n">
        <f aca="false">Parametres!$B$6*D3957</f>
        <v>4.68</v>
      </c>
      <c r="G3957" s="20" t="n">
        <f aca="false">E3957+F3957</f>
        <v>188.88</v>
      </c>
      <c r="H3957" s="20" t="n">
        <f aca="false">IF(G3957&lt;Parametres!$B$8*Parametres!$B$7,0,MIN(G3957,Parametres!$B$7))</f>
        <v>188.88</v>
      </c>
      <c r="I3957" s="20" t="n">
        <f aca="false">G3957-H3957</f>
        <v>0</v>
      </c>
      <c r="J3957" s="21" t="n">
        <f aca="false">H3957*1000/Parametres!$B$9</f>
        <v>3202.98456842462</v>
      </c>
    </row>
    <row r="3958" customFormat="false" ht="15" hidden="false" customHeight="false" outlineLevel="0" collapsed="false">
      <c r="A3958" s="0" t="n">
        <v>3954</v>
      </c>
      <c r="B3958" s="0" t="n">
        <v>6</v>
      </c>
      <c r="C3958" s="19" t="n">
        <v>0.3175</v>
      </c>
      <c r="D3958" s="19" t="n">
        <v>0.041</v>
      </c>
      <c r="E3958" s="20" t="n">
        <f aca="false">Parametres!$B$5*C3958</f>
        <v>95.25</v>
      </c>
      <c r="F3958" s="20" t="n">
        <f aca="false">Parametres!$B$6*D3958</f>
        <v>8.2</v>
      </c>
      <c r="G3958" s="20" t="n">
        <f aca="false">E3958+F3958</f>
        <v>103.45</v>
      </c>
      <c r="H3958" s="20" t="n">
        <f aca="false">IF(G3958&lt;Parametres!$B$8*Parametres!$B$7,0,MIN(G3958,Parametres!$B$7))</f>
        <v>103.45</v>
      </c>
      <c r="I3958" s="20" t="n">
        <f aca="false">G3958-H3958</f>
        <v>0</v>
      </c>
      <c r="J3958" s="21" t="n">
        <f aca="false">H3958*1000/Parametres!$B$9</f>
        <v>1754.28183822283</v>
      </c>
    </row>
    <row r="3959" customFormat="false" ht="15" hidden="false" customHeight="false" outlineLevel="0" collapsed="false">
      <c r="A3959" s="0" t="n">
        <v>3955</v>
      </c>
      <c r="B3959" s="0" t="n">
        <v>6</v>
      </c>
      <c r="C3959" s="19" t="n">
        <v>0.0762</v>
      </c>
      <c r="D3959" s="19" t="n">
        <v>0.0138</v>
      </c>
      <c r="E3959" s="20" t="n">
        <f aca="false">Parametres!$B$5*C3959</f>
        <v>22.86</v>
      </c>
      <c r="F3959" s="20" t="n">
        <f aca="false">Parametres!$B$6*D3959</f>
        <v>2.76</v>
      </c>
      <c r="G3959" s="20" t="n">
        <f aca="false">E3959+F3959</f>
        <v>25.62</v>
      </c>
      <c r="H3959" s="20" t="n">
        <f aca="false">IF(G3959&lt;Parametres!$B$8*Parametres!$B$7,0,MIN(G3959,Parametres!$B$7))</f>
        <v>25.62</v>
      </c>
      <c r="I3959" s="20" t="n">
        <f aca="false">G3959-H3959</f>
        <v>0</v>
      </c>
      <c r="J3959" s="21" t="n">
        <f aca="false">H3959*1000/Parametres!$B$9</f>
        <v>434.45819908428</v>
      </c>
    </row>
    <row r="3960" customFormat="false" ht="15" hidden="false" customHeight="false" outlineLevel="0" collapsed="false">
      <c r="A3960" s="0" t="n">
        <v>3956</v>
      </c>
      <c r="B3960" s="0" t="n">
        <v>6</v>
      </c>
      <c r="C3960" s="19" t="n">
        <v>0</v>
      </c>
      <c r="D3960" s="19" t="n">
        <v>0.0202</v>
      </c>
      <c r="E3960" s="20" t="n">
        <f aca="false">Parametres!$B$5*C3960</f>
        <v>0</v>
      </c>
      <c r="F3960" s="20" t="n">
        <f aca="false">Parametres!$B$6*D3960</f>
        <v>4.04</v>
      </c>
      <c r="G3960" s="20" t="n">
        <f aca="false">E3960+F3960</f>
        <v>4.04</v>
      </c>
      <c r="H3960" s="20" t="n">
        <f aca="false">IF(G3960&lt;Parametres!$B$8*Parametres!$B$7,0,MIN(G3960,Parametres!$B$7))</f>
        <v>0</v>
      </c>
      <c r="I3960" s="20" t="n">
        <f aca="false">G3960-H3960</f>
        <v>4.04</v>
      </c>
      <c r="J3960" s="21" t="n">
        <f aca="false">H3960*1000/Parametres!$B$9</f>
        <v>0</v>
      </c>
    </row>
    <row r="3961" customFormat="false" ht="15" hidden="false" customHeight="false" outlineLevel="0" collapsed="false">
      <c r="A3961" s="0" t="n">
        <v>3957</v>
      </c>
      <c r="B3961" s="0" t="n">
        <v>6</v>
      </c>
      <c r="C3961" s="19" t="n">
        <v>0</v>
      </c>
      <c r="D3961" s="19" t="n">
        <v>0.0168</v>
      </c>
      <c r="E3961" s="20" t="n">
        <f aca="false">Parametres!$B$5*C3961</f>
        <v>0</v>
      </c>
      <c r="F3961" s="20" t="n">
        <f aca="false">Parametres!$B$6*D3961</f>
        <v>3.36</v>
      </c>
      <c r="G3961" s="20" t="n">
        <f aca="false">E3961+F3961</f>
        <v>3.36</v>
      </c>
      <c r="H3961" s="20" t="n">
        <f aca="false">IF(G3961&lt;Parametres!$B$8*Parametres!$B$7,0,MIN(G3961,Parametres!$B$7))</f>
        <v>0</v>
      </c>
      <c r="I3961" s="20" t="n">
        <f aca="false">G3961-H3961</f>
        <v>3.36</v>
      </c>
      <c r="J3961" s="21" t="n">
        <f aca="false">H3961*1000/Parametres!$B$9</f>
        <v>0</v>
      </c>
    </row>
    <row r="3962" customFormat="false" ht="15" hidden="false" customHeight="false" outlineLevel="0" collapsed="false">
      <c r="A3962" s="0" t="n">
        <v>3958</v>
      </c>
      <c r="B3962" s="0" t="n">
        <v>6</v>
      </c>
      <c r="C3962" s="19" t="n">
        <v>0</v>
      </c>
      <c r="D3962" s="19" t="n">
        <v>0.016</v>
      </c>
      <c r="E3962" s="20" t="n">
        <f aca="false">Parametres!$B$5*C3962</f>
        <v>0</v>
      </c>
      <c r="F3962" s="20" t="n">
        <f aca="false">Parametres!$B$6*D3962</f>
        <v>3.2</v>
      </c>
      <c r="G3962" s="20" t="n">
        <f aca="false">E3962+F3962</f>
        <v>3.2</v>
      </c>
      <c r="H3962" s="20" t="n">
        <f aca="false">IF(G3962&lt;Parametres!$B$8*Parametres!$B$7,0,MIN(G3962,Parametres!$B$7))</f>
        <v>0</v>
      </c>
      <c r="I3962" s="20" t="n">
        <f aca="false">G3962-H3962</f>
        <v>3.2</v>
      </c>
      <c r="J3962" s="21" t="n">
        <f aca="false">H3962*1000/Parametres!$B$9</f>
        <v>0</v>
      </c>
    </row>
    <row r="3963" customFormat="false" ht="15" hidden="false" customHeight="false" outlineLevel="0" collapsed="false">
      <c r="A3963" s="0" t="n">
        <v>3959</v>
      </c>
      <c r="B3963" s="0" t="n">
        <v>6</v>
      </c>
      <c r="C3963" s="19" t="n">
        <v>0</v>
      </c>
      <c r="D3963" s="19" t="n">
        <v>0.0053</v>
      </c>
      <c r="E3963" s="20" t="n">
        <f aca="false">Parametres!$B$5*C3963</f>
        <v>0</v>
      </c>
      <c r="F3963" s="20" t="n">
        <f aca="false">Parametres!$B$6*D3963</f>
        <v>1.06</v>
      </c>
      <c r="G3963" s="20" t="n">
        <f aca="false">E3963+F3963</f>
        <v>1.06</v>
      </c>
      <c r="H3963" s="20" t="n">
        <f aca="false">IF(G3963&lt;Parametres!$B$8*Parametres!$B$7,0,MIN(G3963,Parametres!$B$7))</f>
        <v>0</v>
      </c>
      <c r="I3963" s="20" t="n">
        <f aca="false">G3963-H3963</f>
        <v>1.06</v>
      </c>
      <c r="J3963" s="21" t="n">
        <f aca="false">H3963*1000/Parametres!$B$9</f>
        <v>0</v>
      </c>
    </row>
    <row r="3964" customFormat="false" ht="15" hidden="false" customHeight="false" outlineLevel="0" collapsed="false">
      <c r="A3964" s="0" t="n">
        <v>3960</v>
      </c>
      <c r="B3964" s="0" t="n">
        <v>6</v>
      </c>
      <c r="C3964" s="19" t="n">
        <v>0</v>
      </c>
      <c r="D3964" s="19" t="n">
        <v>0.002</v>
      </c>
      <c r="E3964" s="20" t="n">
        <f aca="false">Parametres!$B$5*C3964</f>
        <v>0</v>
      </c>
      <c r="F3964" s="20" t="n">
        <f aca="false">Parametres!$B$6*D3964</f>
        <v>0.4</v>
      </c>
      <c r="G3964" s="20" t="n">
        <f aca="false">E3964+F3964</f>
        <v>0.4</v>
      </c>
      <c r="H3964" s="20" t="n">
        <f aca="false">IF(G3964&lt;Parametres!$B$8*Parametres!$B$7,0,MIN(G3964,Parametres!$B$7))</f>
        <v>0</v>
      </c>
      <c r="I3964" s="20" t="n">
        <f aca="false">G3964-H3964</f>
        <v>0.4</v>
      </c>
      <c r="J3964" s="21" t="n">
        <f aca="false">H3964*1000/Parametres!$B$9</f>
        <v>0</v>
      </c>
    </row>
    <row r="3965" customFormat="false" ht="15" hidden="false" customHeight="false" outlineLevel="0" collapsed="false">
      <c r="A3965" s="0" t="n">
        <v>3961</v>
      </c>
      <c r="B3965" s="0" t="n">
        <v>6</v>
      </c>
      <c r="C3965" s="19" t="n">
        <v>0</v>
      </c>
      <c r="D3965" s="19" t="n">
        <v>0.0026</v>
      </c>
      <c r="E3965" s="20" t="n">
        <f aca="false">Parametres!$B$5*C3965</f>
        <v>0</v>
      </c>
      <c r="F3965" s="20" t="n">
        <f aca="false">Parametres!$B$6*D3965</f>
        <v>0.52</v>
      </c>
      <c r="G3965" s="20" t="n">
        <f aca="false">E3965+F3965</f>
        <v>0.52</v>
      </c>
      <c r="H3965" s="20" t="n">
        <f aca="false">IF(G3965&lt;Parametres!$B$8*Parametres!$B$7,0,MIN(G3965,Parametres!$B$7))</f>
        <v>0</v>
      </c>
      <c r="I3965" s="20" t="n">
        <f aca="false">G3965-H3965</f>
        <v>0.52</v>
      </c>
      <c r="J3965" s="21" t="n">
        <f aca="false">H3965*1000/Parametres!$B$9</f>
        <v>0</v>
      </c>
    </row>
    <row r="3966" customFormat="false" ht="15" hidden="false" customHeight="false" outlineLevel="0" collapsed="false">
      <c r="A3966" s="0" t="n">
        <v>3962</v>
      </c>
      <c r="B3966" s="0" t="n">
        <v>6</v>
      </c>
      <c r="C3966" s="19" t="n">
        <v>0</v>
      </c>
      <c r="D3966" s="19" t="n">
        <v>0.0002</v>
      </c>
      <c r="E3966" s="20" t="n">
        <f aca="false">Parametres!$B$5*C3966</f>
        <v>0</v>
      </c>
      <c r="F3966" s="20" t="n">
        <f aca="false">Parametres!$B$6*D3966</f>
        <v>0.04</v>
      </c>
      <c r="G3966" s="20" t="n">
        <f aca="false">E3966+F3966</f>
        <v>0.04</v>
      </c>
      <c r="H3966" s="20" t="n">
        <f aca="false">IF(G3966&lt;Parametres!$B$8*Parametres!$B$7,0,MIN(G3966,Parametres!$B$7))</f>
        <v>0</v>
      </c>
      <c r="I3966" s="20" t="n">
        <f aca="false">G3966-H3966</f>
        <v>0.04</v>
      </c>
      <c r="J3966" s="21" t="n">
        <f aca="false">H3966*1000/Parametres!$B$9</f>
        <v>0</v>
      </c>
    </row>
    <row r="3967" customFormat="false" ht="15" hidden="false" customHeight="false" outlineLevel="0" collapsed="false">
      <c r="A3967" s="0" t="n">
        <v>3963</v>
      </c>
      <c r="B3967" s="0" t="n">
        <v>6</v>
      </c>
      <c r="C3967" s="19" t="n">
        <v>0</v>
      </c>
      <c r="D3967" s="19" t="n">
        <v>0.0011</v>
      </c>
      <c r="E3967" s="20" t="n">
        <f aca="false">Parametres!$B$5*C3967</f>
        <v>0</v>
      </c>
      <c r="F3967" s="20" t="n">
        <f aca="false">Parametres!$B$6*D3967</f>
        <v>0.22</v>
      </c>
      <c r="G3967" s="20" t="n">
        <f aca="false">E3967+F3967</f>
        <v>0.22</v>
      </c>
      <c r="H3967" s="20" t="n">
        <f aca="false">IF(G3967&lt;Parametres!$B$8*Parametres!$B$7,0,MIN(G3967,Parametres!$B$7))</f>
        <v>0</v>
      </c>
      <c r="I3967" s="20" t="n">
        <f aca="false">G3967-H3967</f>
        <v>0.22</v>
      </c>
      <c r="J3967" s="21" t="n">
        <f aca="false">H3967*1000/Parametres!$B$9</f>
        <v>0</v>
      </c>
    </row>
    <row r="3968" customFormat="false" ht="15" hidden="false" customHeight="false" outlineLevel="0" collapsed="false">
      <c r="A3968" s="0" t="n">
        <v>3964</v>
      </c>
      <c r="B3968" s="0" t="n">
        <v>6</v>
      </c>
      <c r="C3968" s="19" t="n">
        <v>0</v>
      </c>
      <c r="D3968" s="19" t="n">
        <v>0.0005</v>
      </c>
      <c r="E3968" s="20" t="n">
        <f aca="false">Parametres!$B$5*C3968</f>
        <v>0</v>
      </c>
      <c r="F3968" s="20" t="n">
        <f aca="false">Parametres!$B$6*D3968</f>
        <v>0.1</v>
      </c>
      <c r="G3968" s="20" t="n">
        <f aca="false">E3968+F3968</f>
        <v>0.1</v>
      </c>
      <c r="H3968" s="20" t="n">
        <f aca="false">IF(G3968&lt;Parametres!$B$8*Parametres!$B$7,0,MIN(G3968,Parametres!$B$7))</f>
        <v>0</v>
      </c>
      <c r="I3968" s="20" t="n">
        <f aca="false">G3968-H3968</f>
        <v>0.1</v>
      </c>
      <c r="J3968" s="21" t="n">
        <f aca="false">H3968*1000/Parametres!$B$9</f>
        <v>0</v>
      </c>
    </row>
    <row r="3969" customFormat="false" ht="15" hidden="false" customHeight="false" outlineLevel="0" collapsed="false">
      <c r="A3969" s="0" t="n">
        <v>3965</v>
      </c>
      <c r="B3969" s="0" t="n">
        <v>6</v>
      </c>
      <c r="C3969" s="19" t="n">
        <v>0</v>
      </c>
      <c r="D3969" s="19" t="n">
        <v>0.0013</v>
      </c>
      <c r="E3969" s="20" t="n">
        <f aca="false">Parametres!$B$5*C3969</f>
        <v>0</v>
      </c>
      <c r="F3969" s="20" t="n">
        <f aca="false">Parametres!$B$6*D3969</f>
        <v>0.26</v>
      </c>
      <c r="G3969" s="20" t="n">
        <f aca="false">E3969+F3969</f>
        <v>0.26</v>
      </c>
      <c r="H3969" s="20" t="n">
        <f aca="false">IF(G3969&lt;Parametres!$B$8*Parametres!$B$7,0,MIN(G3969,Parametres!$B$7))</f>
        <v>0</v>
      </c>
      <c r="I3969" s="20" t="n">
        <f aca="false">G3969-H3969</f>
        <v>0.26</v>
      </c>
      <c r="J3969" s="21" t="n">
        <f aca="false">H3969*1000/Parametres!$B$9</f>
        <v>0</v>
      </c>
    </row>
    <row r="3970" customFormat="false" ht="15" hidden="false" customHeight="false" outlineLevel="0" collapsed="false">
      <c r="A3970" s="0" t="n">
        <v>3966</v>
      </c>
      <c r="B3970" s="0" t="n">
        <v>6</v>
      </c>
      <c r="C3970" s="19" t="n">
        <v>0.0766</v>
      </c>
      <c r="D3970" s="19" t="n">
        <v>0.0001</v>
      </c>
      <c r="E3970" s="20" t="n">
        <f aca="false">Parametres!$B$5*C3970</f>
        <v>22.98</v>
      </c>
      <c r="F3970" s="20" t="n">
        <f aca="false">Parametres!$B$6*D3970</f>
        <v>0.02</v>
      </c>
      <c r="G3970" s="20" t="n">
        <f aca="false">E3970+F3970</f>
        <v>23</v>
      </c>
      <c r="H3970" s="20" t="n">
        <f aca="false">IF(G3970&lt;Parametres!$B$8*Parametres!$B$7,0,MIN(G3970,Parametres!$B$7))</f>
        <v>0</v>
      </c>
      <c r="I3970" s="20" t="n">
        <f aca="false">G3970-H3970</f>
        <v>23</v>
      </c>
      <c r="J3970" s="21" t="n">
        <f aca="false">H3970*1000/Parametres!$B$9</f>
        <v>0</v>
      </c>
    </row>
    <row r="3971" customFormat="false" ht="15" hidden="false" customHeight="false" outlineLevel="0" collapsed="false">
      <c r="A3971" s="0" t="n">
        <v>3967</v>
      </c>
      <c r="B3971" s="0" t="n">
        <v>6</v>
      </c>
      <c r="C3971" s="19" t="n">
        <v>0.3297</v>
      </c>
      <c r="D3971" s="19" t="n">
        <v>0</v>
      </c>
      <c r="E3971" s="20" t="n">
        <f aca="false">Parametres!$B$5*C3971</f>
        <v>98.91</v>
      </c>
      <c r="F3971" s="20" t="n">
        <f aca="false">Parametres!$B$6*D3971</f>
        <v>0</v>
      </c>
      <c r="G3971" s="20" t="n">
        <f aca="false">E3971+F3971</f>
        <v>98.91</v>
      </c>
      <c r="H3971" s="20" t="n">
        <f aca="false">IF(G3971&lt;Parametres!$B$8*Parametres!$B$7,0,MIN(G3971,Parametres!$B$7))</f>
        <v>98.91</v>
      </c>
      <c r="I3971" s="20" t="n">
        <f aca="false">G3971-H3971</f>
        <v>0</v>
      </c>
      <c r="J3971" s="21" t="n">
        <f aca="false">H3971*1000/Parametres!$B$9</f>
        <v>1677.29353908767</v>
      </c>
    </row>
    <row r="3972" customFormat="false" ht="15" hidden="false" customHeight="false" outlineLevel="0" collapsed="false">
      <c r="A3972" s="0" t="n">
        <v>3968</v>
      </c>
      <c r="B3972" s="0" t="n">
        <v>6</v>
      </c>
      <c r="C3972" s="19" t="n">
        <v>0.6294</v>
      </c>
      <c r="D3972" s="19" t="n">
        <v>0</v>
      </c>
      <c r="E3972" s="20" t="n">
        <f aca="false">Parametres!$B$5*C3972</f>
        <v>188.82</v>
      </c>
      <c r="F3972" s="20" t="n">
        <f aca="false">Parametres!$B$6*D3972</f>
        <v>0</v>
      </c>
      <c r="G3972" s="20" t="n">
        <f aca="false">E3972+F3972</f>
        <v>188.82</v>
      </c>
      <c r="H3972" s="20" t="n">
        <f aca="false">IF(G3972&lt;Parametres!$B$8*Parametres!$B$7,0,MIN(G3972,Parametres!$B$7))</f>
        <v>188.82</v>
      </c>
      <c r="I3972" s="20" t="n">
        <f aca="false">G3972-H3972</f>
        <v>0</v>
      </c>
      <c r="J3972" s="21" t="n">
        <f aca="false">H3972*1000/Parametres!$B$9</f>
        <v>3201.96710191623</v>
      </c>
    </row>
    <row r="3973" customFormat="false" ht="15" hidden="false" customHeight="false" outlineLevel="0" collapsed="false">
      <c r="A3973" s="0" t="n">
        <v>3969</v>
      </c>
      <c r="B3973" s="0" t="n">
        <v>6</v>
      </c>
      <c r="C3973" s="19" t="n">
        <v>0.9582</v>
      </c>
      <c r="D3973" s="19" t="n">
        <v>0.0005</v>
      </c>
      <c r="E3973" s="20" t="n">
        <f aca="false">Parametres!$B$5*C3973</f>
        <v>287.46</v>
      </c>
      <c r="F3973" s="20" t="n">
        <f aca="false">Parametres!$B$6*D3973</f>
        <v>0.1</v>
      </c>
      <c r="G3973" s="20" t="n">
        <f aca="false">E3973+F3973</f>
        <v>287.56</v>
      </c>
      <c r="H3973" s="20" t="n">
        <f aca="false">IF(G3973&lt;Parametres!$B$8*Parametres!$B$7,0,MIN(G3973,Parametres!$B$7))</f>
        <v>250</v>
      </c>
      <c r="I3973" s="20" t="n">
        <f aca="false">G3973-H3973</f>
        <v>37.5600000000001</v>
      </c>
      <c r="J3973" s="21" t="n">
        <f aca="false">H3973*1000/Parametres!$B$9</f>
        <v>4239.44378497541</v>
      </c>
    </row>
    <row r="3974" customFormat="false" ht="15" hidden="false" customHeight="false" outlineLevel="0" collapsed="false">
      <c r="A3974" s="0" t="n">
        <v>3970</v>
      </c>
      <c r="B3974" s="0" t="n">
        <v>6</v>
      </c>
      <c r="C3974" s="19" t="n">
        <v>1</v>
      </c>
      <c r="D3974" s="19" t="n">
        <v>0.0009</v>
      </c>
      <c r="E3974" s="20" t="n">
        <f aca="false">Parametres!$B$5*C3974</f>
        <v>300</v>
      </c>
      <c r="F3974" s="20" t="n">
        <f aca="false">Parametres!$B$6*D3974</f>
        <v>0.18</v>
      </c>
      <c r="G3974" s="20" t="n">
        <f aca="false">E3974+F3974</f>
        <v>300.18</v>
      </c>
      <c r="H3974" s="20" t="n">
        <f aca="false">IF(G3974&lt;Parametres!$B$8*Parametres!$B$7,0,MIN(G3974,Parametres!$B$7))</f>
        <v>250</v>
      </c>
      <c r="I3974" s="20" t="n">
        <f aca="false">G3974-H3974</f>
        <v>50.18</v>
      </c>
      <c r="J3974" s="21" t="n">
        <f aca="false">H3974*1000/Parametres!$B$9</f>
        <v>4239.44378497541</v>
      </c>
    </row>
    <row r="3975" customFormat="false" ht="15" hidden="false" customHeight="false" outlineLevel="0" collapsed="false">
      <c r="A3975" s="0" t="n">
        <v>3971</v>
      </c>
      <c r="B3975" s="0" t="n">
        <v>6</v>
      </c>
      <c r="C3975" s="19" t="n">
        <v>1</v>
      </c>
      <c r="D3975" s="19" t="n">
        <v>0.004</v>
      </c>
      <c r="E3975" s="20" t="n">
        <f aca="false">Parametres!$B$5*C3975</f>
        <v>300</v>
      </c>
      <c r="F3975" s="20" t="n">
        <f aca="false">Parametres!$B$6*D3975</f>
        <v>0.8</v>
      </c>
      <c r="G3975" s="20" t="n">
        <f aca="false">E3975+F3975</f>
        <v>300.8</v>
      </c>
      <c r="H3975" s="20" t="n">
        <f aca="false">IF(G3975&lt;Parametres!$B$8*Parametres!$B$7,0,MIN(G3975,Parametres!$B$7))</f>
        <v>250</v>
      </c>
      <c r="I3975" s="20" t="n">
        <f aca="false">G3975-H3975</f>
        <v>50.8</v>
      </c>
      <c r="J3975" s="21" t="n">
        <f aca="false">H3975*1000/Parametres!$B$9</f>
        <v>4239.44378497541</v>
      </c>
    </row>
    <row r="3976" customFormat="false" ht="15" hidden="false" customHeight="false" outlineLevel="0" collapsed="false">
      <c r="A3976" s="0" t="n">
        <v>3972</v>
      </c>
      <c r="B3976" s="0" t="n">
        <v>6</v>
      </c>
      <c r="C3976" s="19" t="n">
        <v>1</v>
      </c>
      <c r="D3976" s="19" t="n">
        <v>0.0058</v>
      </c>
      <c r="E3976" s="20" t="n">
        <f aca="false">Parametres!$B$5*C3976</f>
        <v>300</v>
      </c>
      <c r="F3976" s="20" t="n">
        <f aca="false">Parametres!$B$6*D3976</f>
        <v>1.16</v>
      </c>
      <c r="G3976" s="20" t="n">
        <f aca="false">E3976+F3976</f>
        <v>301.16</v>
      </c>
      <c r="H3976" s="20" t="n">
        <f aca="false">IF(G3976&lt;Parametres!$B$8*Parametres!$B$7,0,MIN(G3976,Parametres!$B$7))</f>
        <v>250</v>
      </c>
      <c r="I3976" s="20" t="n">
        <f aca="false">G3976-H3976</f>
        <v>51.16</v>
      </c>
      <c r="J3976" s="21" t="n">
        <f aca="false">H3976*1000/Parametres!$B$9</f>
        <v>4239.44378497541</v>
      </c>
    </row>
    <row r="3977" customFormat="false" ht="15" hidden="false" customHeight="false" outlineLevel="0" collapsed="false">
      <c r="A3977" s="0" t="n">
        <v>3973</v>
      </c>
      <c r="B3977" s="0" t="n">
        <v>6</v>
      </c>
      <c r="C3977" s="19" t="n">
        <v>1</v>
      </c>
      <c r="D3977" s="19" t="n">
        <v>0.0156</v>
      </c>
      <c r="E3977" s="20" t="n">
        <f aca="false">Parametres!$B$5*C3977</f>
        <v>300</v>
      </c>
      <c r="F3977" s="20" t="n">
        <f aca="false">Parametres!$B$6*D3977</f>
        <v>3.12</v>
      </c>
      <c r="G3977" s="20" t="n">
        <f aca="false">E3977+F3977</f>
        <v>303.12</v>
      </c>
      <c r="H3977" s="20" t="n">
        <f aca="false">IF(G3977&lt;Parametres!$B$8*Parametres!$B$7,0,MIN(G3977,Parametres!$B$7))</f>
        <v>250</v>
      </c>
      <c r="I3977" s="20" t="n">
        <f aca="false">G3977-H3977</f>
        <v>53.12</v>
      </c>
      <c r="J3977" s="21" t="n">
        <f aca="false">H3977*1000/Parametres!$B$9</f>
        <v>4239.44378497541</v>
      </c>
    </row>
    <row r="3978" customFormat="false" ht="15" hidden="false" customHeight="false" outlineLevel="0" collapsed="false">
      <c r="A3978" s="0" t="n">
        <v>3974</v>
      </c>
      <c r="B3978" s="0" t="n">
        <v>6</v>
      </c>
      <c r="C3978" s="19" t="n">
        <v>1</v>
      </c>
      <c r="D3978" s="19" t="n">
        <v>0.0223</v>
      </c>
      <c r="E3978" s="20" t="n">
        <f aca="false">Parametres!$B$5*C3978</f>
        <v>300</v>
      </c>
      <c r="F3978" s="20" t="n">
        <f aca="false">Parametres!$B$6*D3978</f>
        <v>4.46</v>
      </c>
      <c r="G3978" s="20" t="n">
        <f aca="false">E3978+F3978</f>
        <v>304.46</v>
      </c>
      <c r="H3978" s="20" t="n">
        <f aca="false">IF(G3978&lt;Parametres!$B$8*Parametres!$B$7,0,MIN(G3978,Parametres!$B$7))</f>
        <v>250</v>
      </c>
      <c r="I3978" s="20" t="n">
        <f aca="false">G3978-H3978</f>
        <v>54.46</v>
      </c>
      <c r="J3978" s="21" t="n">
        <f aca="false">H3978*1000/Parametres!$B$9</f>
        <v>4239.44378497541</v>
      </c>
    </row>
    <row r="3979" customFormat="false" ht="15" hidden="false" customHeight="false" outlineLevel="0" collapsed="false">
      <c r="A3979" s="0" t="n">
        <v>3975</v>
      </c>
      <c r="B3979" s="0" t="n">
        <v>6</v>
      </c>
      <c r="C3979" s="19" t="n">
        <v>1</v>
      </c>
      <c r="D3979" s="19" t="n">
        <v>0.0112</v>
      </c>
      <c r="E3979" s="20" t="n">
        <f aca="false">Parametres!$B$5*C3979</f>
        <v>300</v>
      </c>
      <c r="F3979" s="20" t="n">
        <f aca="false">Parametres!$B$6*D3979</f>
        <v>2.24</v>
      </c>
      <c r="G3979" s="20" t="n">
        <f aca="false">E3979+F3979</f>
        <v>302.24</v>
      </c>
      <c r="H3979" s="20" t="n">
        <f aca="false">IF(G3979&lt;Parametres!$B$8*Parametres!$B$7,0,MIN(G3979,Parametres!$B$7))</f>
        <v>250</v>
      </c>
      <c r="I3979" s="20" t="n">
        <f aca="false">G3979-H3979</f>
        <v>52.24</v>
      </c>
      <c r="J3979" s="21" t="n">
        <f aca="false">H3979*1000/Parametres!$B$9</f>
        <v>4239.44378497541</v>
      </c>
    </row>
    <row r="3980" customFormat="false" ht="15" hidden="false" customHeight="false" outlineLevel="0" collapsed="false">
      <c r="A3980" s="0" t="n">
        <v>3976</v>
      </c>
      <c r="B3980" s="0" t="n">
        <v>6</v>
      </c>
      <c r="C3980" s="19" t="n">
        <v>0.9112</v>
      </c>
      <c r="D3980" s="19" t="n">
        <v>0.0342</v>
      </c>
      <c r="E3980" s="20" t="n">
        <f aca="false">Parametres!$B$5*C3980</f>
        <v>273.36</v>
      </c>
      <c r="F3980" s="20" t="n">
        <f aca="false">Parametres!$B$6*D3980</f>
        <v>6.84</v>
      </c>
      <c r="G3980" s="20" t="n">
        <f aca="false">E3980+F3980</f>
        <v>280.2</v>
      </c>
      <c r="H3980" s="20" t="n">
        <f aca="false">IF(G3980&lt;Parametres!$B$8*Parametres!$B$7,0,MIN(G3980,Parametres!$B$7))</f>
        <v>250</v>
      </c>
      <c r="I3980" s="20" t="n">
        <f aca="false">G3980-H3980</f>
        <v>30.2</v>
      </c>
      <c r="J3980" s="21" t="n">
        <f aca="false">H3980*1000/Parametres!$B$9</f>
        <v>4239.44378497541</v>
      </c>
    </row>
    <row r="3981" customFormat="false" ht="15" hidden="false" customHeight="false" outlineLevel="0" collapsed="false">
      <c r="A3981" s="0" t="n">
        <v>3977</v>
      </c>
      <c r="B3981" s="0" t="n">
        <v>6</v>
      </c>
      <c r="C3981" s="19" t="n">
        <v>0.6111</v>
      </c>
      <c r="D3981" s="19" t="n">
        <v>0.0168</v>
      </c>
      <c r="E3981" s="20" t="n">
        <f aca="false">Parametres!$B$5*C3981</f>
        <v>183.33</v>
      </c>
      <c r="F3981" s="20" t="n">
        <f aca="false">Parametres!$B$6*D3981</f>
        <v>3.36</v>
      </c>
      <c r="G3981" s="20" t="n">
        <f aca="false">E3981+F3981</f>
        <v>186.69</v>
      </c>
      <c r="H3981" s="20" t="n">
        <f aca="false">IF(G3981&lt;Parametres!$B$8*Parametres!$B$7,0,MIN(G3981,Parametres!$B$7))</f>
        <v>186.69</v>
      </c>
      <c r="I3981" s="20" t="n">
        <f aca="false">G3981-H3981</f>
        <v>0</v>
      </c>
      <c r="J3981" s="21" t="n">
        <f aca="false">H3981*1000/Parametres!$B$9</f>
        <v>3165.84704086824</v>
      </c>
    </row>
    <row r="3982" customFormat="false" ht="15" hidden="false" customHeight="false" outlineLevel="0" collapsed="false">
      <c r="A3982" s="0" t="n">
        <v>3978</v>
      </c>
      <c r="B3982" s="0" t="n">
        <v>6</v>
      </c>
      <c r="C3982" s="19" t="n">
        <v>0.3251</v>
      </c>
      <c r="D3982" s="19" t="n">
        <v>0.0909</v>
      </c>
      <c r="E3982" s="20" t="n">
        <f aca="false">Parametres!$B$5*C3982</f>
        <v>97.53</v>
      </c>
      <c r="F3982" s="20" t="n">
        <f aca="false">Parametres!$B$6*D3982</f>
        <v>18.18</v>
      </c>
      <c r="G3982" s="20" t="n">
        <f aca="false">E3982+F3982</f>
        <v>115.71</v>
      </c>
      <c r="H3982" s="20" t="n">
        <f aca="false">IF(G3982&lt;Parametres!$B$8*Parametres!$B$7,0,MIN(G3982,Parametres!$B$7))</f>
        <v>115.71</v>
      </c>
      <c r="I3982" s="20" t="n">
        <f aca="false">G3982-H3982</f>
        <v>0</v>
      </c>
      <c r="J3982" s="21" t="n">
        <f aca="false">H3982*1000/Parametres!$B$9</f>
        <v>1962.18416143802</v>
      </c>
    </row>
    <row r="3983" customFormat="false" ht="15" hidden="false" customHeight="false" outlineLevel="0" collapsed="false">
      <c r="A3983" s="0" t="n">
        <v>3979</v>
      </c>
      <c r="B3983" s="0" t="n">
        <v>6</v>
      </c>
      <c r="C3983" s="19" t="n">
        <v>0.0748</v>
      </c>
      <c r="D3983" s="19" t="n">
        <v>0.0813</v>
      </c>
      <c r="E3983" s="20" t="n">
        <f aca="false">Parametres!$B$5*C3983</f>
        <v>22.44</v>
      </c>
      <c r="F3983" s="20" t="n">
        <f aca="false">Parametres!$B$6*D3983</f>
        <v>16.26</v>
      </c>
      <c r="G3983" s="20" t="n">
        <f aca="false">E3983+F3983</f>
        <v>38.7</v>
      </c>
      <c r="H3983" s="20" t="n">
        <f aca="false">IF(G3983&lt;Parametres!$B$8*Parametres!$B$7,0,MIN(G3983,Parametres!$B$7))</f>
        <v>38.7</v>
      </c>
      <c r="I3983" s="20" t="n">
        <f aca="false">G3983-H3983</f>
        <v>0</v>
      </c>
      <c r="J3983" s="21" t="n">
        <f aca="false">H3983*1000/Parametres!$B$9</f>
        <v>656.265897914194</v>
      </c>
    </row>
    <row r="3984" customFormat="false" ht="15" hidden="false" customHeight="false" outlineLevel="0" collapsed="false">
      <c r="A3984" s="0" t="n">
        <v>3980</v>
      </c>
      <c r="B3984" s="0" t="n">
        <v>6</v>
      </c>
      <c r="C3984" s="19" t="n">
        <v>0</v>
      </c>
      <c r="D3984" s="19" t="n">
        <v>0.0417</v>
      </c>
      <c r="E3984" s="20" t="n">
        <f aca="false">Parametres!$B$5*C3984</f>
        <v>0</v>
      </c>
      <c r="F3984" s="20" t="n">
        <f aca="false">Parametres!$B$6*D3984</f>
        <v>8.34</v>
      </c>
      <c r="G3984" s="20" t="n">
        <f aca="false">E3984+F3984</f>
        <v>8.34</v>
      </c>
      <c r="H3984" s="20" t="n">
        <f aca="false">IF(G3984&lt;Parametres!$B$8*Parametres!$B$7,0,MIN(G3984,Parametres!$B$7))</f>
        <v>0</v>
      </c>
      <c r="I3984" s="20" t="n">
        <f aca="false">G3984-H3984</f>
        <v>8.34</v>
      </c>
      <c r="J3984" s="21" t="n">
        <f aca="false">H3984*1000/Parametres!$B$9</f>
        <v>0</v>
      </c>
    </row>
    <row r="3985" customFormat="false" ht="15" hidden="false" customHeight="false" outlineLevel="0" collapsed="false">
      <c r="A3985" s="0" t="n">
        <v>3981</v>
      </c>
      <c r="B3985" s="0" t="n">
        <v>6</v>
      </c>
      <c r="C3985" s="19" t="n">
        <v>0</v>
      </c>
      <c r="D3985" s="19" t="n">
        <v>0.0327</v>
      </c>
      <c r="E3985" s="20" t="n">
        <f aca="false">Parametres!$B$5*C3985</f>
        <v>0</v>
      </c>
      <c r="F3985" s="20" t="n">
        <f aca="false">Parametres!$B$6*D3985</f>
        <v>6.54</v>
      </c>
      <c r="G3985" s="20" t="n">
        <f aca="false">E3985+F3985</f>
        <v>6.54</v>
      </c>
      <c r="H3985" s="20" t="n">
        <f aca="false">IF(G3985&lt;Parametres!$B$8*Parametres!$B$7,0,MIN(G3985,Parametres!$B$7))</f>
        <v>0</v>
      </c>
      <c r="I3985" s="20" t="n">
        <f aca="false">G3985-H3985</f>
        <v>6.54</v>
      </c>
      <c r="J3985" s="21" t="n">
        <f aca="false">H3985*1000/Parametres!$B$9</f>
        <v>0</v>
      </c>
    </row>
    <row r="3986" customFormat="false" ht="15" hidden="false" customHeight="false" outlineLevel="0" collapsed="false">
      <c r="A3986" s="0" t="n">
        <v>3982</v>
      </c>
      <c r="B3986" s="0" t="n">
        <v>6</v>
      </c>
      <c r="C3986" s="19" t="n">
        <v>0</v>
      </c>
      <c r="D3986" s="19" t="n">
        <v>0.0305</v>
      </c>
      <c r="E3986" s="20" t="n">
        <f aca="false">Parametres!$B$5*C3986</f>
        <v>0</v>
      </c>
      <c r="F3986" s="20" t="n">
        <f aca="false">Parametres!$B$6*D3986</f>
        <v>6.1</v>
      </c>
      <c r="G3986" s="20" t="n">
        <f aca="false">E3986+F3986</f>
        <v>6.1</v>
      </c>
      <c r="H3986" s="20" t="n">
        <f aca="false">IF(G3986&lt;Parametres!$B$8*Parametres!$B$7,0,MIN(G3986,Parametres!$B$7))</f>
        <v>0</v>
      </c>
      <c r="I3986" s="20" t="n">
        <f aca="false">G3986-H3986</f>
        <v>6.1</v>
      </c>
      <c r="J3986" s="21" t="n">
        <f aca="false">H3986*1000/Parametres!$B$9</f>
        <v>0</v>
      </c>
    </row>
    <row r="3987" customFormat="false" ht="15" hidden="false" customHeight="false" outlineLevel="0" collapsed="false">
      <c r="A3987" s="0" t="n">
        <v>3983</v>
      </c>
      <c r="B3987" s="0" t="n">
        <v>6</v>
      </c>
      <c r="C3987" s="19" t="n">
        <v>0</v>
      </c>
      <c r="D3987" s="19" t="n">
        <v>0.0295</v>
      </c>
      <c r="E3987" s="20" t="n">
        <f aca="false">Parametres!$B$5*C3987</f>
        <v>0</v>
      </c>
      <c r="F3987" s="20" t="n">
        <f aca="false">Parametres!$B$6*D3987</f>
        <v>5.9</v>
      </c>
      <c r="G3987" s="20" t="n">
        <f aca="false">E3987+F3987</f>
        <v>5.9</v>
      </c>
      <c r="H3987" s="20" t="n">
        <f aca="false">IF(G3987&lt;Parametres!$B$8*Parametres!$B$7,0,MIN(G3987,Parametres!$B$7))</f>
        <v>0</v>
      </c>
      <c r="I3987" s="20" t="n">
        <f aca="false">G3987-H3987</f>
        <v>5.9</v>
      </c>
      <c r="J3987" s="21" t="n">
        <f aca="false">H3987*1000/Parametres!$B$9</f>
        <v>0</v>
      </c>
    </row>
    <row r="3988" customFormat="false" ht="15" hidden="false" customHeight="false" outlineLevel="0" collapsed="false">
      <c r="A3988" s="0" t="n">
        <v>3984</v>
      </c>
      <c r="B3988" s="0" t="n">
        <v>6</v>
      </c>
      <c r="C3988" s="19" t="n">
        <v>0</v>
      </c>
      <c r="D3988" s="19" t="n">
        <v>0.0381</v>
      </c>
      <c r="E3988" s="20" t="n">
        <f aca="false">Parametres!$B$5*C3988</f>
        <v>0</v>
      </c>
      <c r="F3988" s="20" t="n">
        <f aca="false">Parametres!$B$6*D3988</f>
        <v>7.62</v>
      </c>
      <c r="G3988" s="20" t="n">
        <f aca="false">E3988+F3988</f>
        <v>7.62</v>
      </c>
      <c r="H3988" s="20" t="n">
        <f aca="false">IF(G3988&lt;Parametres!$B$8*Parametres!$B$7,0,MIN(G3988,Parametres!$B$7))</f>
        <v>0</v>
      </c>
      <c r="I3988" s="20" t="n">
        <f aca="false">G3988-H3988</f>
        <v>7.62</v>
      </c>
      <c r="J3988" s="21" t="n">
        <f aca="false">H3988*1000/Parametres!$B$9</f>
        <v>0</v>
      </c>
    </row>
    <row r="3989" customFormat="false" ht="15" hidden="false" customHeight="false" outlineLevel="0" collapsed="false">
      <c r="A3989" s="0" t="n">
        <v>3985</v>
      </c>
      <c r="B3989" s="0" t="n">
        <v>6</v>
      </c>
      <c r="C3989" s="19" t="n">
        <v>0</v>
      </c>
      <c r="D3989" s="19" t="n">
        <v>0.0214</v>
      </c>
      <c r="E3989" s="20" t="n">
        <f aca="false">Parametres!$B$5*C3989</f>
        <v>0</v>
      </c>
      <c r="F3989" s="20" t="n">
        <f aca="false">Parametres!$B$6*D3989</f>
        <v>4.28</v>
      </c>
      <c r="G3989" s="20" t="n">
        <f aca="false">E3989+F3989</f>
        <v>4.28</v>
      </c>
      <c r="H3989" s="20" t="n">
        <f aca="false">IF(G3989&lt;Parametres!$B$8*Parametres!$B$7,0,MIN(G3989,Parametres!$B$7))</f>
        <v>0</v>
      </c>
      <c r="I3989" s="20" t="n">
        <f aca="false">G3989-H3989</f>
        <v>4.28</v>
      </c>
      <c r="J3989" s="21" t="n">
        <f aca="false">H3989*1000/Parametres!$B$9</f>
        <v>0</v>
      </c>
    </row>
    <row r="3990" customFormat="false" ht="15" hidden="false" customHeight="false" outlineLevel="0" collapsed="false">
      <c r="A3990" s="0" t="n">
        <v>3986</v>
      </c>
      <c r="B3990" s="0" t="n">
        <v>6</v>
      </c>
      <c r="C3990" s="19" t="n">
        <v>0</v>
      </c>
      <c r="D3990" s="19" t="n">
        <v>0.0022</v>
      </c>
      <c r="E3990" s="20" t="n">
        <f aca="false">Parametres!$B$5*C3990</f>
        <v>0</v>
      </c>
      <c r="F3990" s="20" t="n">
        <f aca="false">Parametres!$B$6*D3990</f>
        <v>0.44</v>
      </c>
      <c r="G3990" s="20" t="n">
        <f aca="false">E3990+F3990</f>
        <v>0.44</v>
      </c>
      <c r="H3990" s="20" t="n">
        <f aca="false">IF(G3990&lt;Parametres!$B$8*Parametres!$B$7,0,MIN(G3990,Parametres!$B$7))</f>
        <v>0</v>
      </c>
      <c r="I3990" s="20" t="n">
        <f aca="false">G3990-H3990</f>
        <v>0.44</v>
      </c>
      <c r="J3990" s="21" t="n">
        <f aca="false">H3990*1000/Parametres!$B$9</f>
        <v>0</v>
      </c>
    </row>
    <row r="3991" customFormat="false" ht="15" hidden="false" customHeight="false" outlineLevel="0" collapsed="false">
      <c r="A3991" s="0" t="n">
        <v>3987</v>
      </c>
      <c r="B3991" s="0" t="n">
        <v>6</v>
      </c>
      <c r="C3991" s="19" t="n">
        <v>0</v>
      </c>
      <c r="D3991" s="19" t="n">
        <v>0.0004</v>
      </c>
      <c r="E3991" s="20" t="n">
        <f aca="false">Parametres!$B$5*C3991</f>
        <v>0</v>
      </c>
      <c r="F3991" s="20" t="n">
        <f aca="false">Parametres!$B$6*D3991</f>
        <v>0.08</v>
      </c>
      <c r="G3991" s="20" t="n">
        <f aca="false">E3991+F3991</f>
        <v>0.08</v>
      </c>
      <c r="H3991" s="20" t="n">
        <f aca="false">IF(G3991&lt;Parametres!$B$8*Parametres!$B$7,0,MIN(G3991,Parametres!$B$7))</f>
        <v>0</v>
      </c>
      <c r="I3991" s="20" t="n">
        <f aca="false">G3991-H3991</f>
        <v>0.08</v>
      </c>
      <c r="J3991" s="21" t="n">
        <f aca="false">H3991*1000/Parametres!$B$9</f>
        <v>0</v>
      </c>
    </row>
    <row r="3992" customFormat="false" ht="15" hidden="false" customHeight="false" outlineLevel="0" collapsed="false">
      <c r="A3992" s="0" t="n">
        <v>3988</v>
      </c>
      <c r="B3992" s="0" t="n">
        <v>6</v>
      </c>
      <c r="C3992" s="19" t="n">
        <v>0</v>
      </c>
      <c r="D3992" s="19" t="n">
        <v>0.0011</v>
      </c>
      <c r="E3992" s="20" t="n">
        <f aca="false">Parametres!$B$5*C3992</f>
        <v>0</v>
      </c>
      <c r="F3992" s="20" t="n">
        <f aca="false">Parametres!$B$6*D3992</f>
        <v>0.22</v>
      </c>
      <c r="G3992" s="20" t="n">
        <f aca="false">E3992+F3992</f>
        <v>0.22</v>
      </c>
      <c r="H3992" s="20" t="n">
        <f aca="false">IF(G3992&lt;Parametres!$B$8*Parametres!$B$7,0,MIN(G3992,Parametres!$B$7))</f>
        <v>0</v>
      </c>
      <c r="I3992" s="20" t="n">
        <f aca="false">G3992-H3992</f>
        <v>0.22</v>
      </c>
      <c r="J3992" s="21" t="n">
        <f aca="false">H3992*1000/Parametres!$B$9</f>
        <v>0</v>
      </c>
    </row>
    <row r="3993" customFormat="false" ht="15" hidden="false" customHeight="false" outlineLevel="0" collapsed="false">
      <c r="A3993" s="0" t="n">
        <v>3989</v>
      </c>
      <c r="B3993" s="0" t="n">
        <v>6</v>
      </c>
      <c r="C3993" s="19" t="n">
        <v>0</v>
      </c>
      <c r="D3993" s="19" t="n">
        <v>0.0054</v>
      </c>
      <c r="E3993" s="20" t="n">
        <f aca="false">Parametres!$B$5*C3993</f>
        <v>0</v>
      </c>
      <c r="F3993" s="20" t="n">
        <f aca="false">Parametres!$B$6*D3993</f>
        <v>1.08</v>
      </c>
      <c r="G3993" s="20" t="n">
        <f aca="false">E3993+F3993</f>
        <v>1.08</v>
      </c>
      <c r="H3993" s="20" t="n">
        <f aca="false">IF(G3993&lt;Parametres!$B$8*Parametres!$B$7,0,MIN(G3993,Parametres!$B$7))</f>
        <v>0</v>
      </c>
      <c r="I3993" s="20" t="n">
        <f aca="false">G3993-H3993</f>
        <v>1.08</v>
      </c>
      <c r="J3993" s="21" t="n">
        <f aca="false">H3993*1000/Parametres!$B$9</f>
        <v>0</v>
      </c>
    </row>
    <row r="3994" customFormat="false" ht="15" hidden="false" customHeight="false" outlineLevel="0" collapsed="false">
      <c r="A3994" s="0" t="n">
        <v>3990</v>
      </c>
      <c r="B3994" s="0" t="n">
        <v>6</v>
      </c>
      <c r="C3994" s="19" t="n">
        <v>0.0729</v>
      </c>
      <c r="D3994" s="19" t="n">
        <v>0.0003</v>
      </c>
      <c r="E3994" s="20" t="n">
        <f aca="false">Parametres!$B$5*C3994</f>
        <v>21.87</v>
      </c>
      <c r="F3994" s="20" t="n">
        <f aca="false">Parametres!$B$6*D3994</f>
        <v>0.06</v>
      </c>
      <c r="G3994" s="20" t="n">
        <f aca="false">E3994+F3994</f>
        <v>21.93</v>
      </c>
      <c r="H3994" s="20" t="n">
        <f aca="false">IF(G3994&lt;Parametres!$B$8*Parametres!$B$7,0,MIN(G3994,Parametres!$B$7))</f>
        <v>0</v>
      </c>
      <c r="I3994" s="20" t="n">
        <f aca="false">G3994-H3994</f>
        <v>21.93</v>
      </c>
      <c r="J3994" s="21" t="n">
        <f aca="false">H3994*1000/Parametres!$B$9</f>
        <v>0</v>
      </c>
    </row>
    <row r="3995" customFormat="false" ht="15" hidden="false" customHeight="false" outlineLevel="0" collapsed="false">
      <c r="A3995" s="0" t="n">
        <v>3991</v>
      </c>
      <c r="B3995" s="0" t="n">
        <v>6</v>
      </c>
      <c r="C3995" s="19" t="n">
        <v>0.3537</v>
      </c>
      <c r="D3995" s="19" t="n">
        <v>0.0005</v>
      </c>
      <c r="E3995" s="20" t="n">
        <f aca="false">Parametres!$B$5*C3995</f>
        <v>106.11</v>
      </c>
      <c r="F3995" s="20" t="n">
        <f aca="false">Parametres!$B$6*D3995</f>
        <v>0.1</v>
      </c>
      <c r="G3995" s="20" t="n">
        <f aca="false">E3995+F3995</f>
        <v>106.21</v>
      </c>
      <c r="H3995" s="20" t="n">
        <f aca="false">IF(G3995&lt;Parametres!$B$8*Parametres!$B$7,0,MIN(G3995,Parametres!$B$7))</f>
        <v>106.21</v>
      </c>
      <c r="I3995" s="20" t="n">
        <f aca="false">G3995-H3995</f>
        <v>0</v>
      </c>
      <c r="J3995" s="21" t="n">
        <f aca="false">H3995*1000/Parametres!$B$9</f>
        <v>1801.08529760895</v>
      </c>
    </row>
    <row r="3996" customFormat="false" ht="15" hidden="false" customHeight="false" outlineLevel="0" collapsed="false">
      <c r="A3996" s="0" t="n">
        <v>3992</v>
      </c>
      <c r="B3996" s="0" t="n">
        <v>6</v>
      </c>
      <c r="C3996" s="19" t="n">
        <v>0.6145</v>
      </c>
      <c r="D3996" s="19" t="n">
        <v>0.0047</v>
      </c>
      <c r="E3996" s="20" t="n">
        <f aca="false">Parametres!$B$5*C3996</f>
        <v>184.35</v>
      </c>
      <c r="F3996" s="20" t="n">
        <f aca="false">Parametres!$B$6*D3996</f>
        <v>0.94</v>
      </c>
      <c r="G3996" s="20" t="n">
        <f aca="false">E3996+F3996</f>
        <v>185.29</v>
      </c>
      <c r="H3996" s="20" t="n">
        <f aca="false">IF(G3996&lt;Parametres!$B$8*Parametres!$B$7,0,MIN(G3996,Parametres!$B$7))</f>
        <v>185.29</v>
      </c>
      <c r="I3996" s="20" t="n">
        <f aca="false">G3996-H3996</f>
        <v>0</v>
      </c>
      <c r="J3996" s="21" t="n">
        <f aca="false">H3996*1000/Parametres!$B$9</f>
        <v>3142.10615567238</v>
      </c>
    </row>
    <row r="3997" customFormat="false" ht="15" hidden="false" customHeight="false" outlineLevel="0" collapsed="false">
      <c r="A3997" s="0" t="n">
        <v>3993</v>
      </c>
      <c r="B3997" s="0" t="n">
        <v>6</v>
      </c>
      <c r="C3997" s="19" t="n">
        <v>0.8977</v>
      </c>
      <c r="D3997" s="19" t="n">
        <v>0.0009</v>
      </c>
      <c r="E3997" s="20" t="n">
        <f aca="false">Parametres!$B$5*C3997</f>
        <v>269.31</v>
      </c>
      <c r="F3997" s="20" t="n">
        <f aca="false">Parametres!$B$6*D3997</f>
        <v>0.18</v>
      </c>
      <c r="G3997" s="20" t="n">
        <f aca="false">E3997+F3997</f>
        <v>269.49</v>
      </c>
      <c r="H3997" s="20" t="n">
        <f aca="false">IF(G3997&lt;Parametres!$B$8*Parametres!$B$7,0,MIN(G3997,Parametres!$B$7))</f>
        <v>250</v>
      </c>
      <c r="I3997" s="20" t="n">
        <f aca="false">G3997-H3997</f>
        <v>19.49</v>
      </c>
      <c r="J3997" s="21" t="n">
        <f aca="false">H3997*1000/Parametres!$B$9</f>
        <v>4239.44378497541</v>
      </c>
    </row>
    <row r="3998" customFormat="false" ht="15" hidden="false" customHeight="false" outlineLevel="0" collapsed="false">
      <c r="A3998" s="0" t="n">
        <v>3994</v>
      </c>
      <c r="B3998" s="0" t="n">
        <v>6</v>
      </c>
      <c r="C3998" s="19" t="n">
        <v>1</v>
      </c>
      <c r="D3998" s="19" t="n">
        <v>0.0127</v>
      </c>
      <c r="E3998" s="20" t="n">
        <f aca="false">Parametres!$B$5*C3998</f>
        <v>300</v>
      </c>
      <c r="F3998" s="20" t="n">
        <f aca="false">Parametres!$B$6*D3998</f>
        <v>2.54</v>
      </c>
      <c r="G3998" s="20" t="n">
        <f aca="false">E3998+F3998</f>
        <v>302.54</v>
      </c>
      <c r="H3998" s="20" t="n">
        <f aca="false">IF(G3998&lt;Parametres!$B$8*Parametres!$B$7,0,MIN(G3998,Parametres!$B$7))</f>
        <v>250</v>
      </c>
      <c r="I3998" s="20" t="n">
        <f aca="false">G3998-H3998</f>
        <v>52.54</v>
      </c>
      <c r="J3998" s="21" t="n">
        <f aca="false">H3998*1000/Parametres!$B$9</f>
        <v>4239.44378497541</v>
      </c>
    </row>
    <row r="3999" customFormat="false" ht="15" hidden="false" customHeight="false" outlineLevel="0" collapsed="false">
      <c r="A3999" s="0" t="n">
        <v>3995</v>
      </c>
      <c r="B3999" s="0" t="n">
        <v>6</v>
      </c>
      <c r="C3999" s="19" t="n">
        <v>1</v>
      </c>
      <c r="D3999" s="19" t="n">
        <v>0.0083</v>
      </c>
      <c r="E3999" s="20" t="n">
        <f aca="false">Parametres!$B$5*C3999</f>
        <v>300</v>
      </c>
      <c r="F3999" s="20" t="n">
        <f aca="false">Parametres!$B$6*D3999</f>
        <v>1.66</v>
      </c>
      <c r="G3999" s="20" t="n">
        <f aca="false">E3999+F3999</f>
        <v>301.66</v>
      </c>
      <c r="H3999" s="20" t="n">
        <f aca="false">IF(G3999&lt;Parametres!$B$8*Parametres!$B$7,0,MIN(G3999,Parametres!$B$7))</f>
        <v>250</v>
      </c>
      <c r="I3999" s="20" t="n">
        <f aca="false">G3999-H3999</f>
        <v>51.66</v>
      </c>
      <c r="J3999" s="21" t="n">
        <f aca="false">H3999*1000/Parametres!$B$9</f>
        <v>4239.44378497541</v>
      </c>
    </row>
    <row r="4000" customFormat="false" ht="15" hidden="false" customHeight="false" outlineLevel="0" collapsed="false">
      <c r="A4000" s="0" t="n">
        <v>3996</v>
      </c>
      <c r="B4000" s="0" t="n">
        <v>6</v>
      </c>
      <c r="C4000" s="19" t="n">
        <v>1</v>
      </c>
      <c r="D4000" s="19" t="n">
        <v>0.0105</v>
      </c>
      <c r="E4000" s="20" t="n">
        <f aca="false">Parametres!$B$5*C4000</f>
        <v>300</v>
      </c>
      <c r="F4000" s="20" t="n">
        <f aca="false">Parametres!$B$6*D4000</f>
        <v>2.1</v>
      </c>
      <c r="G4000" s="20" t="n">
        <f aca="false">E4000+F4000</f>
        <v>302.1</v>
      </c>
      <c r="H4000" s="20" t="n">
        <f aca="false">IF(G4000&lt;Parametres!$B$8*Parametres!$B$7,0,MIN(G4000,Parametres!$B$7))</f>
        <v>250</v>
      </c>
      <c r="I4000" s="20" t="n">
        <f aca="false">G4000-H4000</f>
        <v>52.1</v>
      </c>
      <c r="J4000" s="21" t="n">
        <f aca="false">H4000*1000/Parametres!$B$9</f>
        <v>4239.44378497541</v>
      </c>
    </row>
    <row r="4001" customFormat="false" ht="15" hidden="false" customHeight="false" outlineLevel="0" collapsed="false">
      <c r="A4001" s="0" t="n">
        <v>3997</v>
      </c>
      <c r="B4001" s="0" t="n">
        <v>6</v>
      </c>
      <c r="C4001" s="19" t="n">
        <v>1</v>
      </c>
      <c r="D4001" s="19" t="n">
        <v>0.0087</v>
      </c>
      <c r="E4001" s="20" t="n">
        <f aca="false">Parametres!$B$5*C4001</f>
        <v>300</v>
      </c>
      <c r="F4001" s="20" t="n">
        <f aca="false">Parametres!$B$6*D4001</f>
        <v>1.74</v>
      </c>
      <c r="G4001" s="20" t="n">
        <f aca="false">E4001+F4001</f>
        <v>301.74</v>
      </c>
      <c r="H4001" s="20" t="n">
        <f aca="false">IF(G4001&lt;Parametres!$B$8*Parametres!$B$7,0,MIN(G4001,Parametres!$B$7))</f>
        <v>250</v>
      </c>
      <c r="I4001" s="20" t="n">
        <f aca="false">G4001-H4001</f>
        <v>51.74</v>
      </c>
      <c r="J4001" s="21" t="n">
        <f aca="false">H4001*1000/Parametres!$B$9</f>
        <v>4239.44378497541</v>
      </c>
    </row>
    <row r="4002" customFormat="false" ht="15" hidden="false" customHeight="false" outlineLevel="0" collapsed="false">
      <c r="A4002" s="0" t="n">
        <v>3998</v>
      </c>
      <c r="B4002" s="0" t="n">
        <v>6</v>
      </c>
      <c r="C4002" s="19" t="n">
        <v>1</v>
      </c>
      <c r="D4002" s="19" t="n">
        <v>0.0498</v>
      </c>
      <c r="E4002" s="20" t="n">
        <f aca="false">Parametres!$B$5*C4002</f>
        <v>300</v>
      </c>
      <c r="F4002" s="20" t="n">
        <f aca="false">Parametres!$B$6*D4002</f>
        <v>9.96</v>
      </c>
      <c r="G4002" s="20" t="n">
        <f aca="false">E4002+F4002</f>
        <v>309.96</v>
      </c>
      <c r="H4002" s="20" t="n">
        <f aca="false">IF(G4002&lt;Parametres!$B$8*Parametres!$B$7,0,MIN(G4002,Parametres!$B$7))</f>
        <v>250</v>
      </c>
      <c r="I4002" s="20" t="n">
        <f aca="false">G4002-H4002</f>
        <v>59.96</v>
      </c>
      <c r="J4002" s="21" t="n">
        <f aca="false">H4002*1000/Parametres!$B$9</f>
        <v>4239.44378497541</v>
      </c>
    </row>
    <row r="4003" customFormat="false" ht="15" hidden="false" customHeight="false" outlineLevel="0" collapsed="false">
      <c r="A4003" s="0" t="n">
        <v>3999</v>
      </c>
      <c r="B4003" s="0" t="n">
        <v>6</v>
      </c>
      <c r="C4003" s="19" t="n">
        <v>1</v>
      </c>
      <c r="D4003" s="19" t="n">
        <v>0.1011</v>
      </c>
      <c r="E4003" s="20" t="n">
        <f aca="false">Parametres!$B$5*C4003</f>
        <v>300</v>
      </c>
      <c r="F4003" s="20" t="n">
        <f aca="false">Parametres!$B$6*D4003</f>
        <v>20.22</v>
      </c>
      <c r="G4003" s="20" t="n">
        <f aca="false">E4003+F4003</f>
        <v>320.22</v>
      </c>
      <c r="H4003" s="20" t="n">
        <f aca="false">IF(G4003&lt;Parametres!$B$8*Parametres!$B$7,0,MIN(G4003,Parametres!$B$7))</f>
        <v>250</v>
      </c>
      <c r="I4003" s="20" t="n">
        <f aca="false">G4003-H4003</f>
        <v>70.22</v>
      </c>
      <c r="J4003" s="21" t="n">
        <f aca="false">H4003*1000/Parametres!$B$9</f>
        <v>4239.44378497541</v>
      </c>
    </row>
    <row r="4004" customFormat="false" ht="15" hidden="false" customHeight="false" outlineLevel="0" collapsed="false">
      <c r="A4004" s="0" t="n">
        <v>4000</v>
      </c>
      <c r="B4004" s="0" t="n">
        <v>6</v>
      </c>
      <c r="C4004" s="19" t="n">
        <v>0.9352</v>
      </c>
      <c r="D4004" s="19" t="n">
        <v>0.1199</v>
      </c>
      <c r="E4004" s="20" t="n">
        <f aca="false">Parametres!$B$5*C4004</f>
        <v>280.56</v>
      </c>
      <c r="F4004" s="20" t="n">
        <f aca="false">Parametres!$B$6*D4004</f>
        <v>23.98</v>
      </c>
      <c r="G4004" s="20" t="n">
        <f aca="false">E4004+F4004</f>
        <v>304.54</v>
      </c>
      <c r="H4004" s="20" t="n">
        <f aca="false">IF(G4004&lt;Parametres!$B$8*Parametres!$B$7,0,MIN(G4004,Parametres!$B$7))</f>
        <v>250</v>
      </c>
      <c r="I4004" s="20" t="n">
        <f aca="false">G4004-H4004</f>
        <v>54.54</v>
      </c>
      <c r="J4004" s="21" t="n">
        <f aca="false">H4004*1000/Parametres!$B$9</f>
        <v>4239.44378497541</v>
      </c>
    </row>
    <row r="4005" customFormat="false" ht="15" hidden="false" customHeight="false" outlineLevel="0" collapsed="false">
      <c r="A4005" s="0" t="n">
        <v>4001</v>
      </c>
      <c r="B4005" s="0" t="n">
        <v>6</v>
      </c>
      <c r="C4005" s="19" t="n">
        <v>0.5993</v>
      </c>
      <c r="D4005" s="19" t="n">
        <v>0.1038</v>
      </c>
      <c r="E4005" s="20" t="n">
        <f aca="false">Parametres!$B$5*C4005</f>
        <v>179.79</v>
      </c>
      <c r="F4005" s="20" t="n">
        <f aca="false">Parametres!$B$6*D4005</f>
        <v>20.76</v>
      </c>
      <c r="G4005" s="20" t="n">
        <f aca="false">E4005+F4005</f>
        <v>200.55</v>
      </c>
      <c r="H4005" s="20" t="n">
        <f aca="false">IF(G4005&lt;Parametres!$B$8*Parametres!$B$7,0,MIN(G4005,Parametres!$B$7))</f>
        <v>200.55</v>
      </c>
      <c r="I4005" s="20" t="n">
        <f aca="false">G4005-H4005</f>
        <v>0</v>
      </c>
      <c r="J4005" s="21" t="n">
        <f aca="false">H4005*1000/Parametres!$B$9</f>
        <v>3400.88180430728</v>
      </c>
    </row>
    <row r="4006" customFormat="false" ht="15" hidden="false" customHeight="false" outlineLevel="0" collapsed="false">
      <c r="A4006" s="0" t="n">
        <v>4002</v>
      </c>
      <c r="B4006" s="0" t="n">
        <v>6</v>
      </c>
      <c r="C4006" s="19" t="n">
        <v>0.3379</v>
      </c>
      <c r="D4006" s="19" t="n">
        <v>0.0353</v>
      </c>
      <c r="E4006" s="20" t="n">
        <f aca="false">Parametres!$B$5*C4006</f>
        <v>101.37</v>
      </c>
      <c r="F4006" s="20" t="n">
        <f aca="false">Parametres!$B$6*D4006</f>
        <v>7.06</v>
      </c>
      <c r="G4006" s="20" t="n">
        <f aca="false">E4006+F4006</f>
        <v>108.43</v>
      </c>
      <c r="H4006" s="20" t="n">
        <f aca="false">IF(G4006&lt;Parametres!$B$8*Parametres!$B$7,0,MIN(G4006,Parametres!$B$7))</f>
        <v>108.43</v>
      </c>
      <c r="I4006" s="20" t="n">
        <f aca="false">G4006-H4006</f>
        <v>0</v>
      </c>
      <c r="J4006" s="21" t="n">
        <f aca="false">H4006*1000/Parametres!$B$9</f>
        <v>1838.73155841954</v>
      </c>
    </row>
    <row r="4007" customFormat="false" ht="15" hidden="false" customHeight="false" outlineLevel="0" collapsed="false">
      <c r="A4007" s="0" t="n">
        <v>4003</v>
      </c>
      <c r="B4007" s="0" t="n">
        <v>6</v>
      </c>
      <c r="C4007" s="19" t="n">
        <v>0.0698</v>
      </c>
      <c r="D4007" s="19" t="n">
        <v>0.0283</v>
      </c>
      <c r="E4007" s="20" t="n">
        <f aca="false">Parametres!$B$5*C4007</f>
        <v>20.94</v>
      </c>
      <c r="F4007" s="20" t="n">
        <f aca="false">Parametres!$B$6*D4007</f>
        <v>5.66</v>
      </c>
      <c r="G4007" s="20" t="n">
        <f aca="false">E4007+F4007</f>
        <v>26.6</v>
      </c>
      <c r="H4007" s="20" t="n">
        <f aca="false">IF(G4007&lt;Parametres!$B$8*Parametres!$B$7,0,MIN(G4007,Parametres!$B$7))</f>
        <v>26.6</v>
      </c>
      <c r="I4007" s="20" t="n">
        <f aca="false">G4007-H4007</f>
        <v>0</v>
      </c>
      <c r="J4007" s="21" t="n">
        <f aca="false">H4007*1000/Parametres!$B$9</f>
        <v>451.076818721384</v>
      </c>
    </row>
    <row r="4008" customFormat="false" ht="15" hidden="false" customHeight="false" outlineLevel="0" collapsed="false">
      <c r="A4008" s="0" t="n">
        <v>4004</v>
      </c>
      <c r="B4008" s="0" t="n">
        <v>6</v>
      </c>
      <c r="C4008" s="19" t="n">
        <v>0</v>
      </c>
      <c r="D4008" s="19" t="n">
        <v>0.0164</v>
      </c>
      <c r="E4008" s="20" t="n">
        <f aca="false">Parametres!$B$5*C4008</f>
        <v>0</v>
      </c>
      <c r="F4008" s="20" t="n">
        <f aca="false">Parametres!$B$6*D4008</f>
        <v>3.28</v>
      </c>
      <c r="G4008" s="20" t="n">
        <f aca="false">E4008+F4008</f>
        <v>3.28</v>
      </c>
      <c r="H4008" s="20" t="n">
        <f aca="false">IF(G4008&lt;Parametres!$B$8*Parametres!$B$7,0,MIN(G4008,Parametres!$B$7))</f>
        <v>0</v>
      </c>
      <c r="I4008" s="20" t="n">
        <f aca="false">G4008-H4008</f>
        <v>3.28</v>
      </c>
      <c r="J4008" s="21" t="n">
        <f aca="false">H4008*1000/Parametres!$B$9</f>
        <v>0</v>
      </c>
    </row>
    <row r="4009" customFormat="false" ht="15" hidden="false" customHeight="false" outlineLevel="0" collapsed="false">
      <c r="A4009" s="0" t="n">
        <v>4005</v>
      </c>
      <c r="B4009" s="0" t="n">
        <v>6</v>
      </c>
      <c r="C4009" s="19" t="n">
        <v>0</v>
      </c>
      <c r="D4009" s="19" t="n">
        <v>0.0137</v>
      </c>
      <c r="E4009" s="20" t="n">
        <f aca="false">Parametres!$B$5*C4009</f>
        <v>0</v>
      </c>
      <c r="F4009" s="20" t="n">
        <f aca="false">Parametres!$B$6*D4009</f>
        <v>2.74</v>
      </c>
      <c r="G4009" s="20" t="n">
        <f aca="false">E4009+F4009</f>
        <v>2.74</v>
      </c>
      <c r="H4009" s="20" t="n">
        <f aca="false">IF(G4009&lt;Parametres!$B$8*Parametres!$B$7,0,MIN(G4009,Parametres!$B$7))</f>
        <v>0</v>
      </c>
      <c r="I4009" s="20" t="n">
        <f aca="false">G4009-H4009</f>
        <v>2.74</v>
      </c>
      <c r="J4009" s="21" t="n">
        <f aca="false">H4009*1000/Parametres!$B$9</f>
        <v>0</v>
      </c>
    </row>
    <row r="4010" customFormat="false" ht="15" hidden="false" customHeight="false" outlineLevel="0" collapsed="false">
      <c r="A4010" s="0" t="n">
        <v>4006</v>
      </c>
      <c r="B4010" s="0" t="n">
        <v>6</v>
      </c>
      <c r="C4010" s="19" t="n">
        <v>0</v>
      </c>
      <c r="D4010" s="19" t="n">
        <v>0.001</v>
      </c>
      <c r="E4010" s="20" t="n">
        <f aca="false">Parametres!$B$5*C4010</f>
        <v>0</v>
      </c>
      <c r="F4010" s="20" t="n">
        <f aca="false">Parametres!$B$6*D4010</f>
        <v>0.2</v>
      </c>
      <c r="G4010" s="20" t="n">
        <f aca="false">E4010+F4010</f>
        <v>0.2</v>
      </c>
      <c r="H4010" s="20" t="n">
        <f aca="false">IF(G4010&lt;Parametres!$B$8*Parametres!$B$7,0,MIN(G4010,Parametres!$B$7))</f>
        <v>0</v>
      </c>
      <c r="I4010" s="20" t="n">
        <f aca="false">G4010-H4010</f>
        <v>0.2</v>
      </c>
      <c r="J4010" s="21" t="n">
        <f aca="false">H4010*1000/Parametres!$B$9</f>
        <v>0</v>
      </c>
    </row>
    <row r="4011" customFormat="false" ht="15" hidden="false" customHeight="false" outlineLevel="0" collapsed="false">
      <c r="A4011" s="0" t="n">
        <v>4007</v>
      </c>
      <c r="B4011" s="0" t="n">
        <v>6</v>
      </c>
      <c r="C4011" s="19" t="n">
        <v>0</v>
      </c>
      <c r="D4011" s="19" t="n">
        <v>0.0057</v>
      </c>
      <c r="E4011" s="20" t="n">
        <f aca="false">Parametres!$B$5*C4011</f>
        <v>0</v>
      </c>
      <c r="F4011" s="20" t="n">
        <f aca="false">Parametres!$B$6*D4011</f>
        <v>1.14</v>
      </c>
      <c r="G4011" s="20" t="n">
        <f aca="false">E4011+F4011</f>
        <v>1.14</v>
      </c>
      <c r="H4011" s="20" t="n">
        <f aca="false">IF(G4011&lt;Parametres!$B$8*Parametres!$B$7,0,MIN(G4011,Parametres!$B$7))</f>
        <v>0</v>
      </c>
      <c r="I4011" s="20" t="n">
        <f aca="false">G4011-H4011</f>
        <v>1.14</v>
      </c>
      <c r="J4011" s="21" t="n">
        <f aca="false">H4011*1000/Parametres!$B$9</f>
        <v>0</v>
      </c>
    </row>
    <row r="4012" customFormat="false" ht="15" hidden="false" customHeight="false" outlineLevel="0" collapsed="false">
      <c r="A4012" s="0" t="n">
        <v>4008</v>
      </c>
      <c r="B4012" s="0" t="n">
        <v>6</v>
      </c>
      <c r="C4012" s="19" t="n">
        <v>0</v>
      </c>
      <c r="D4012" s="19" t="n">
        <v>0.0126</v>
      </c>
      <c r="E4012" s="20" t="n">
        <f aca="false">Parametres!$B$5*C4012</f>
        <v>0</v>
      </c>
      <c r="F4012" s="20" t="n">
        <f aca="false">Parametres!$B$6*D4012</f>
        <v>2.52</v>
      </c>
      <c r="G4012" s="20" t="n">
        <f aca="false">E4012+F4012</f>
        <v>2.52</v>
      </c>
      <c r="H4012" s="20" t="n">
        <f aca="false">IF(G4012&lt;Parametres!$B$8*Parametres!$B$7,0,MIN(G4012,Parametres!$B$7))</f>
        <v>0</v>
      </c>
      <c r="I4012" s="20" t="n">
        <f aca="false">G4012-H4012</f>
        <v>2.52</v>
      </c>
      <c r="J4012" s="21" t="n">
        <f aca="false">H4012*1000/Parametres!$B$9</f>
        <v>0</v>
      </c>
    </row>
    <row r="4013" customFormat="false" ht="15" hidden="false" customHeight="false" outlineLevel="0" collapsed="false">
      <c r="A4013" s="0" t="n">
        <v>4009</v>
      </c>
      <c r="B4013" s="0" t="n">
        <v>6</v>
      </c>
      <c r="C4013" s="19" t="n">
        <v>0</v>
      </c>
      <c r="D4013" s="19" t="n">
        <v>0.039</v>
      </c>
      <c r="E4013" s="20" t="n">
        <f aca="false">Parametres!$B$5*C4013</f>
        <v>0</v>
      </c>
      <c r="F4013" s="20" t="n">
        <f aca="false">Parametres!$B$6*D4013</f>
        <v>7.8</v>
      </c>
      <c r="G4013" s="20" t="n">
        <f aca="false">E4013+F4013</f>
        <v>7.8</v>
      </c>
      <c r="H4013" s="20" t="n">
        <f aca="false">IF(G4013&lt;Parametres!$B$8*Parametres!$B$7,0,MIN(G4013,Parametres!$B$7))</f>
        <v>0</v>
      </c>
      <c r="I4013" s="20" t="n">
        <f aca="false">G4013-H4013</f>
        <v>7.8</v>
      </c>
      <c r="J4013" s="21" t="n">
        <f aca="false">H4013*1000/Parametres!$B$9</f>
        <v>0</v>
      </c>
    </row>
    <row r="4014" customFormat="false" ht="15" hidden="false" customHeight="false" outlineLevel="0" collapsed="false">
      <c r="A4014" s="0" t="n">
        <v>4010</v>
      </c>
      <c r="B4014" s="0" t="n">
        <v>6</v>
      </c>
      <c r="C4014" s="19" t="n">
        <v>0</v>
      </c>
      <c r="D4014" s="19" t="n">
        <v>0.0228</v>
      </c>
      <c r="E4014" s="20" t="n">
        <f aca="false">Parametres!$B$5*C4014</f>
        <v>0</v>
      </c>
      <c r="F4014" s="20" t="n">
        <f aca="false">Parametres!$B$6*D4014</f>
        <v>4.56</v>
      </c>
      <c r="G4014" s="20" t="n">
        <f aca="false">E4014+F4014</f>
        <v>4.56</v>
      </c>
      <c r="H4014" s="20" t="n">
        <f aca="false">IF(G4014&lt;Parametres!$B$8*Parametres!$B$7,0,MIN(G4014,Parametres!$B$7))</f>
        <v>0</v>
      </c>
      <c r="I4014" s="20" t="n">
        <f aca="false">G4014-H4014</f>
        <v>4.56</v>
      </c>
      <c r="J4014" s="21" t="n">
        <f aca="false">H4014*1000/Parametres!$B$9</f>
        <v>0</v>
      </c>
    </row>
    <row r="4015" customFormat="false" ht="15" hidden="false" customHeight="false" outlineLevel="0" collapsed="false">
      <c r="A4015" s="0" t="n">
        <v>4011</v>
      </c>
      <c r="B4015" s="0" t="n">
        <v>6</v>
      </c>
      <c r="C4015" s="19" t="n">
        <v>0</v>
      </c>
      <c r="D4015" s="19" t="n">
        <v>0.0205</v>
      </c>
      <c r="E4015" s="20" t="n">
        <f aca="false">Parametres!$B$5*C4015</f>
        <v>0</v>
      </c>
      <c r="F4015" s="20" t="n">
        <f aca="false">Parametres!$B$6*D4015</f>
        <v>4.1</v>
      </c>
      <c r="G4015" s="20" t="n">
        <f aca="false">E4015+F4015</f>
        <v>4.1</v>
      </c>
      <c r="H4015" s="20" t="n">
        <f aca="false">IF(G4015&lt;Parametres!$B$8*Parametres!$B$7,0,MIN(G4015,Parametres!$B$7))</f>
        <v>0</v>
      </c>
      <c r="I4015" s="20" t="n">
        <f aca="false">G4015-H4015</f>
        <v>4.1</v>
      </c>
      <c r="J4015" s="21" t="n">
        <f aca="false">H4015*1000/Parametres!$B$9</f>
        <v>0</v>
      </c>
    </row>
    <row r="4016" customFormat="false" ht="15" hidden="false" customHeight="false" outlineLevel="0" collapsed="false">
      <c r="A4016" s="0" t="n">
        <v>4012</v>
      </c>
      <c r="B4016" s="0" t="n">
        <v>6</v>
      </c>
      <c r="C4016" s="19" t="n">
        <v>0</v>
      </c>
      <c r="D4016" s="19" t="n">
        <v>0.0067</v>
      </c>
      <c r="E4016" s="20" t="n">
        <f aca="false">Parametres!$B$5*C4016</f>
        <v>0</v>
      </c>
      <c r="F4016" s="20" t="n">
        <f aca="false">Parametres!$B$6*D4016</f>
        <v>1.34</v>
      </c>
      <c r="G4016" s="20" t="n">
        <f aca="false">E4016+F4016</f>
        <v>1.34</v>
      </c>
      <c r="H4016" s="20" t="n">
        <f aca="false">IF(G4016&lt;Parametres!$B$8*Parametres!$B$7,0,MIN(G4016,Parametres!$B$7))</f>
        <v>0</v>
      </c>
      <c r="I4016" s="20" t="n">
        <f aca="false">G4016-H4016</f>
        <v>1.34</v>
      </c>
      <c r="J4016" s="21" t="n">
        <f aca="false">H4016*1000/Parametres!$B$9</f>
        <v>0</v>
      </c>
    </row>
    <row r="4017" customFormat="false" ht="15" hidden="false" customHeight="false" outlineLevel="0" collapsed="false">
      <c r="A4017" s="0" t="n">
        <v>4013</v>
      </c>
      <c r="B4017" s="0" t="n">
        <v>6</v>
      </c>
      <c r="C4017" s="19" t="n">
        <v>0</v>
      </c>
      <c r="D4017" s="19" t="n">
        <v>0.0159</v>
      </c>
      <c r="E4017" s="20" t="n">
        <f aca="false">Parametres!$B$5*C4017</f>
        <v>0</v>
      </c>
      <c r="F4017" s="20" t="n">
        <f aca="false">Parametres!$B$6*D4017</f>
        <v>3.18</v>
      </c>
      <c r="G4017" s="20" t="n">
        <f aca="false">E4017+F4017</f>
        <v>3.18</v>
      </c>
      <c r="H4017" s="20" t="n">
        <f aca="false">IF(G4017&lt;Parametres!$B$8*Parametres!$B$7,0,MIN(G4017,Parametres!$B$7))</f>
        <v>0</v>
      </c>
      <c r="I4017" s="20" t="n">
        <f aca="false">G4017-H4017</f>
        <v>3.18</v>
      </c>
      <c r="J4017" s="21" t="n">
        <f aca="false">H4017*1000/Parametres!$B$9</f>
        <v>0</v>
      </c>
    </row>
    <row r="4018" customFormat="false" ht="15" hidden="false" customHeight="false" outlineLevel="0" collapsed="false">
      <c r="A4018" s="0" t="n">
        <v>4014</v>
      </c>
      <c r="B4018" s="0" t="n">
        <v>6</v>
      </c>
      <c r="C4018" s="19" t="n">
        <v>0.0723</v>
      </c>
      <c r="D4018" s="19" t="n">
        <v>0.0146</v>
      </c>
      <c r="E4018" s="20" t="n">
        <f aca="false">Parametres!$B$5*C4018</f>
        <v>21.69</v>
      </c>
      <c r="F4018" s="20" t="n">
        <f aca="false">Parametres!$B$6*D4018</f>
        <v>2.92</v>
      </c>
      <c r="G4018" s="20" t="n">
        <f aca="false">E4018+F4018</f>
        <v>24.61</v>
      </c>
      <c r="H4018" s="20" t="n">
        <f aca="false">IF(G4018&lt;Parametres!$B$8*Parametres!$B$7,0,MIN(G4018,Parametres!$B$7))</f>
        <v>0</v>
      </c>
      <c r="I4018" s="20" t="n">
        <f aca="false">G4018-H4018</f>
        <v>24.61</v>
      </c>
      <c r="J4018" s="21" t="n">
        <f aca="false">H4018*1000/Parametres!$B$9</f>
        <v>0</v>
      </c>
    </row>
    <row r="4019" customFormat="false" ht="15" hidden="false" customHeight="false" outlineLevel="0" collapsed="false">
      <c r="A4019" s="0" t="n">
        <v>4015</v>
      </c>
      <c r="B4019" s="0" t="n">
        <v>6</v>
      </c>
      <c r="C4019" s="19" t="n">
        <v>0.3284</v>
      </c>
      <c r="D4019" s="19" t="n">
        <v>0.0547</v>
      </c>
      <c r="E4019" s="20" t="n">
        <f aca="false">Parametres!$B$5*C4019</f>
        <v>98.52</v>
      </c>
      <c r="F4019" s="20" t="n">
        <f aca="false">Parametres!$B$6*D4019</f>
        <v>10.94</v>
      </c>
      <c r="G4019" s="20" t="n">
        <f aca="false">E4019+F4019</f>
        <v>109.46</v>
      </c>
      <c r="H4019" s="20" t="n">
        <f aca="false">IF(G4019&lt;Parametres!$B$8*Parametres!$B$7,0,MIN(G4019,Parametres!$B$7))</f>
        <v>109.46</v>
      </c>
      <c r="I4019" s="20" t="n">
        <f aca="false">G4019-H4019</f>
        <v>0</v>
      </c>
      <c r="J4019" s="21" t="n">
        <f aca="false">H4019*1000/Parametres!$B$9</f>
        <v>1856.19806681363</v>
      </c>
    </row>
    <row r="4020" customFormat="false" ht="15" hidden="false" customHeight="false" outlineLevel="0" collapsed="false">
      <c r="A4020" s="0" t="n">
        <v>4016</v>
      </c>
      <c r="B4020" s="0" t="n">
        <v>6</v>
      </c>
      <c r="C4020" s="19" t="n">
        <v>0.5965</v>
      </c>
      <c r="D4020" s="19" t="n">
        <v>0.0952</v>
      </c>
      <c r="E4020" s="20" t="n">
        <f aca="false">Parametres!$B$5*C4020</f>
        <v>178.95</v>
      </c>
      <c r="F4020" s="20" t="n">
        <f aca="false">Parametres!$B$6*D4020</f>
        <v>19.04</v>
      </c>
      <c r="G4020" s="20" t="n">
        <f aca="false">E4020+F4020</f>
        <v>197.99</v>
      </c>
      <c r="H4020" s="20" t="n">
        <f aca="false">IF(G4020&lt;Parametres!$B$8*Parametres!$B$7,0,MIN(G4020,Parametres!$B$7))</f>
        <v>197.99</v>
      </c>
      <c r="I4020" s="20" t="n">
        <f aca="false">G4020-H4020</f>
        <v>0</v>
      </c>
      <c r="J4020" s="21" t="n">
        <f aca="false">H4020*1000/Parametres!$B$9</f>
        <v>3357.46989994913</v>
      </c>
    </row>
    <row r="4021" customFormat="false" ht="15" hidden="false" customHeight="false" outlineLevel="0" collapsed="false">
      <c r="A4021" s="0" t="n">
        <v>4017</v>
      </c>
      <c r="B4021" s="0" t="n">
        <v>6</v>
      </c>
      <c r="C4021" s="19" t="n">
        <v>0.8068</v>
      </c>
      <c r="D4021" s="19" t="n">
        <v>0.1626</v>
      </c>
      <c r="E4021" s="20" t="n">
        <f aca="false">Parametres!$B$5*C4021</f>
        <v>242.04</v>
      </c>
      <c r="F4021" s="20" t="n">
        <f aca="false">Parametres!$B$6*D4021</f>
        <v>32.52</v>
      </c>
      <c r="G4021" s="20" t="n">
        <f aca="false">E4021+F4021</f>
        <v>274.56</v>
      </c>
      <c r="H4021" s="20" t="n">
        <f aca="false">IF(G4021&lt;Parametres!$B$8*Parametres!$B$7,0,MIN(G4021,Parametres!$B$7))</f>
        <v>250</v>
      </c>
      <c r="I4021" s="20" t="n">
        <f aca="false">G4021-H4021</f>
        <v>24.56</v>
      </c>
      <c r="J4021" s="21" t="n">
        <f aca="false">H4021*1000/Parametres!$B$9</f>
        <v>4239.44378497541</v>
      </c>
    </row>
    <row r="4022" customFormat="false" ht="15" hidden="false" customHeight="false" outlineLevel="0" collapsed="false">
      <c r="A4022" s="0" t="n">
        <v>4018</v>
      </c>
      <c r="B4022" s="0" t="n">
        <v>6</v>
      </c>
      <c r="C4022" s="19" t="n">
        <v>1</v>
      </c>
      <c r="D4022" s="19" t="n">
        <v>0.2428</v>
      </c>
      <c r="E4022" s="20" t="n">
        <f aca="false">Parametres!$B$5*C4022</f>
        <v>300</v>
      </c>
      <c r="F4022" s="20" t="n">
        <f aca="false">Parametres!$B$6*D4022</f>
        <v>48.56</v>
      </c>
      <c r="G4022" s="20" t="n">
        <f aca="false">E4022+F4022</f>
        <v>348.56</v>
      </c>
      <c r="H4022" s="20" t="n">
        <f aca="false">IF(G4022&lt;Parametres!$B$8*Parametres!$B$7,0,MIN(G4022,Parametres!$B$7))</f>
        <v>250</v>
      </c>
      <c r="I4022" s="20" t="n">
        <f aca="false">G4022-H4022</f>
        <v>98.56</v>
      </c>
      <c r="J4022" s="21" t="n">
        <f aca="false">H4022*1000/Parametres!$B$9</f>
        <v>4239.44378497541</v>
      </c>
    </row>
    <row r="4023" customFormat="false" ht="15" hidden="false" customHeight="false" outlineLevel="0" collapsed="false">
      <c r="A4023" s="0" t="n">
        <v>4019</v>
      </c>
      <c r="B4023" s="0" t="n">
        <v>6</v>
      </c>
      <c r="C4023" s="19" t="n">
        <v>1</v>
      </c>
      <c r="D4023" s="19" t="n">
        <v>0.1453</v>
      </c>
      <c r="E4023" s="20" t="n">
        <f aca="false">Parametres!$B$5*C4023</f>
        <v>300</v>
      </c>
      <c r="F4023" s="20" t="n">
        <f aca="false">Parametres!$B$6*D4023</f>
        <v>29.06</v>
      </c>
      <c r="G4023" s="20" t="n">
        <f aca="false">E4023+F4023</f>
        <v>329.06</v>
      </c>
      <c r="H4023" s="20" t="n">
        <f aca="false">IF(G4023&lt;Parametres!$B$8*Parametres!$B$7,0,MIN(G4023,Parametres!$B$7))</f>
        <v>250</v>
      </c>
      <c r="I4023" s="20" t="n">
        <f aca="false">G4023-H4023</f>
        <v>79.06</v>
      </c>
      <c r="J4023" s="21" t="n">
        <f aca="false">H4023*1000/Parametres!$B$9</f>
        <v>4239.44378497541</v>
      </c>
    </row>
    <row r="4024" customFormat="false" ht="15" hidden="false" customHeight="false" outlineLevel="0" collapsed="false">
      <c r="A4024" s="0" t="n">
        <v>4020</v>
      </c>
      <c r="B4024" s="0" t="n">
        <v>6</v>
      </c>
      <c r="C4024" s="19" t="n">
        <v>1</v>
      </c>
      <c r="D4024" s="19" t="n">
        <v>0.2416</v>
      </c>
      <c r="E4024" s="20" t="n">
        <f aca="false">Parametres!$B$5*C4024</f>
        <v>300</v>
      </c>
      <c r="F4024" s="20" t="n">
        <f aca="false">Parametres!$B$6*D4024</f>
        <v>48.32</v>
      </c>
      <c r="G4024" s="20" t="n">
        <f aca="false">E4024+F4024</f>
        <v>348.32</v>
      </c>
      <c r="H4024" s="20" t="n">
        <f aca="false">IF(G4024&lt;Parametres!$B$8*Parametres!$B$7,0,MIN(G4024,Parametres!$B$7))</f>
        <v>250</v>
      </c>
      <c r="I4024" s="20" t="n">
        <f aca="false">G4024-H4024</f>
        <v>98.32</v>
      </c>
      <c r="J4024" s="21" t="n">
        <f aca="false">H4024*1000/Parametres!$B$9</f>
        <v>4239.44378497541</v>
      </c>
    </row>
    <row r="4025" customFormat="false" ht="15" hidden="false" customHeight="false" outlineLevel="0" collapsed="false">
      <c r="A4025" s="0" t="n">
        <v>4021</v>
      </c>
      <c r="B4025" s="0" t="n">
        <v>6</v>
      </c>
      <c r="C4025" s="19" t="n">
        <v>1</v>
      </c>
      <c r="D4025" s="19" t="n">
        <v>0.1291</v>
      </c>
      <c r="E4025" s="20" t="n">
        <f aca="false">Parametres!$B$5*C4025</f>
        <v>300</v>
      </c>
      <c r="F4025" s="20" t="n">
        <f aca="false">Parametres!$B$6*D4025</f>
        <v>25.82</v>
      </c>
      <c r="G4025" s="20" t="n">
        <f aca="false">E4025+F4025</f>
        <v>325.82</v>
      </c>
      <c r="H4025" s="20" t="n">
        <f aca="false">IF(G4025&lt;Parametres!$B$8*Parametres!$B$7,0,MIN(G4025,Parametres!$B$7))</f>
        <v>250</v>
      </c>
      <c r="I4025" s="20" t="n">
        <f aca="false">G4025-H4025</f>
        <v>75.82</v>
      </c>
      <c r="J4025" s="21" t="n">
        <f aca="false">H4025*1000/Parametres!$B$9</f>
        <v>4239.44378497541</v>
      </c>
    </row>
    <row r="4026" customFormat="false" ht="15" hidden="false" customHeight="false" outlineLevel="0" collapsed="false">
      <c r="A4026" s="0" t="n">
        <v>4022</v>
      </c>
      <c r="B4026" s="0" t="n">
        <v>6</v>
      </c>
      <c r="C4026" s="19" t="n">
        <v>1</v>
      </c>
      <c r="D4026" s="19" t="n">
        <v>0.1741</v>
      </c>
      <c r="E4026" s="20" t="n">
        <f aca="false">Parametres!$B$5*C4026</f>
        <v>300</v>
      </c>
      <c r="F4026" s="20" t="n">
        <f aca="false">Parametres!$B$6*D4026</f>
        <v>34.82</v>
      </c>
      <c r="G4026" s="20" t="n">
        <f aca="false">E4026+F4026</f>
        <v>334.82</v>
      </c>
      <c r="H4026" s="20" t="n">
        <f aca="false">IF(G4026&lt;Parametres!$B$8*Parametres!$B$7,0,MIN(G4026,Parametres!$B$7))</f>
        <v>250</v>
      </c>
      <c r="I4026" s="20" t="n">
        <f aca="false">G4026-H4026</f>
        <v>84.82</v>
      </c>
      <c r="J4026" s="21" t="n">
        <f aca="false">H4026*1000/Parametres!$B$9</f>
        <v>4239.44378497541</v>
      </c>
    </row>
    <row r="4027" customFormat="false" ht="15" hidden="false" customHeight="false" outlineLevel="0" collapsed="false">
      <c r="A4027" s="0" t="n">
        <v>4023</v>
      </c>
      <c r="B4027" s="0" t="n">
        <v>6</v>
      </c>
      <c r="C4027" s="19" t="n">
        <v>1</v>
      </c>
      <c r="D4027" s="19" t="n">
        <v>0.2569</v>
      </c>
      <c r="E4027" s="20" t="n">
        <f aca="false">Parametres!$B$5*C4027</f>
        <v>300</v>
      </c>
      <c r="F4027" s="20" t="n">
        <f aca="false">Parametres!$B$6*D4027</f>
        <v>51.38</v>
      </c>
      <c r="G4027" s="20" t="n">
        <f aca="false">E4027+F4027</f>
        <v>351.38</v>
      </c>
      <c r="H4027" s="20" t="n">
        <f aca="false">IF(G4027&lt;Parametres!$B$8*Parametres!$B$7,0,MIN(G4027,Parametres!$B$7))</f>
        <v>250</v>
      </c>
      <c r="I4027" s="20" t="n">
        <f aca="false">G4027-H4027</f>
        <v>101.38</v>
      </c>
      <c r="J4027" s="21" t="n">
        <f aca="false">H4027*1000/Parametres!$B$9</f>
        <v>4239.44378497541</v>
      </c>
    </row>
    <row r="4028" customFormat="false" ht="15" hidden="false" customHeight="false" outlineLevel="0" collapsed="false">
      <c r="A4028" s="0" t="n">
        <v>4024</v>
      </c>
      <c r="B4028" s="0" t="n">
        <v>6</v>
      </c>
      <c r="C4028" s="19" t="n">
        <v>0.8371</v>
      </c>
      <c r="D4028" s="19" t="n">
        <v>0.1577</v>
      </c>
      <c r="E4028" s="20" t="n">
        <f aca="false">Parametres!$B$5*C4028</f>
        <v>251.13</v>
      </c>
      <c r="F4028" s="20" t="n">
        <f aca="false">Parametres!$B$6*D4028</f>
        <v>31.54</v>
      </c>
      <c r="G4028" s="20" t="n">
        <f aca="false">E4028+F4028</f>
        <v>282.67</v>
      </c>
      <c r="H4028" s="20" t="n">
        <f aca="false">IF(G4028&lt;Parametres!$B$8*Parametres!$B$7,0,MIN(G4028,Parametres!$B$7))</f>
        <v>250</v>
      </c>
      <c r="I4028" s="20" t="n">
        <f aca="false">G4028-H4028</f>
        <v>32.67</v>
      </c>
      <c r="J4028" s="21" t="n">
        <f aca="false">H4028*1000/Parametres!$B$9</f>
        <v>4239.44378497541</v>
      </c>
    </row>
    <row r="4029" customFormat="false" ht="15" hidden="false" customHeight="false" outlineLevel="0" collapsed="false">
      <c r="A4029" s="0" t="n">
        <v>4025</v>
      </c>
      <c r="B4029" s="0" t="n">
        <v>6</v>
      </c>
      <c r="C4029" s="19" t="n">
        <v>0.5896</v>
      </c>
      <c r="D4029" s="19" t="n">
        <v>0.1183</v>
      </c>
      <c r="E4029" s="20" t="n">
        <f aca="false">Parametres!$B$5*C4029</f>
        <v>176.88</v>
      </c>
      <c r="F4029" s="20" t="n">
        <f aca="false">Parametres!$B$6*D4029</f>
        <v>23.66</v>
      </c>
      <c r="G4029" s="20" t="n">
        <f aca="false">E4029+F4029</f>
        <v>200.54</v>
      </c>
      <c r="H4029" s="20" t="n">
        <f aca="false">IF(G4029&lt;Parametres!$B$8*Parametres!$B$7,0,MIN(G4029,Parametres!$B$7))</f>
        <v>200.54</v>
      </c>
      <c r="I4029" s="20" t="n">
        <f aca="false">G4029-H4029</f>
        <v>0</v>
      </c>
      <c r="J4029" s="21" t="n">
        <f aca="false">H4029*1000/Parametres!$B$9</f>
        <v>3400.71222655588</v>
      </c>
    </row>
    <row r="4030" customFormat="false" ht="15" hidden="false" customHeight="false" outlineLevel="0" collapsed="false">
      <c r="A4030" s="0" t="n">
        <v>4026</v>
      </c>
      <c r="B4030" s="0" t="n">
        <v>6</v>
      </c>
      <c r="C4030" s="19" t="n">
        <v>0.2958</v>
      </c>
      <c r="D4030" s="19" t="n">
        <v>0.1095</v>
      </c>
      <c r="E4030" s="20" t="n">
        <f aca="false">Parametres!$B$5*C4030</f>
        <v>88.74</v>
      </c>
      <c r="F4030" s="20" t="n">
        <f aca="false">Parametres!$B$6*D4030</f>
        <v>21.9</v>
      </c>
      <c r="G4030" s="20" t="n">
        <f aca="false">E4030+F4030</f>
        <v>110.64</v>
      </c>
      <c r="H4030" s="20" t="n">
        <f aca="false">IF(G4030&lt;Parametres!$B$8*Parametres!$B$7,0,MIN(G4030,Parametres!$B$7))</f>
        <v>110.64</v>
      </c>
      <c r="I4030" s="20" t="n">
        <f aca="false">G4030-H4030</f>
        <v>0</v>
      </c>
      <c r="J4030" s="21" t="n">
        <f aca="false">H4030*1000/Parametres!$B$9</f>
        <v>1876.20824147872</v>
      </c>
    </row>
    <row r="4031" customFormat="false" ht="15" hidden="false" customHeight="false" outlineLevel="0" collapsed="false">
      <c r="A4031" s="0" t="n">
        <v>4027</v>
      </c>
      <c r="B4031" s="0" t="n">
        <v>6</v>
      </c>
      <c r="C4031" s="19" t="n">
        <v>0.073</v>
      </c>
      <c r="D4031" s="19" t="n">
        <v>0.1254</v>
      </c>
      <c r="E4031" s="20" t="n">
        <f aca="false">Parametres!$B$5*C4031</f>
        <v>21.9</v>
      </c>
      <c r="F4031" s="20" t="n">
        <f aca="false">Parametres!$B$6*D4031</f>
        <v>25.08</v>
      </c>
      <c r="G4031" s="20" t="n">
        <f aca="false">E4031+F4031</f>
        <v>46.98</v>
      </c>
      <c r="H4031" s="20" t="n">
        <f aca="false">IF(G4031&lt;Parametres!$B$8*Parametres!$B$7,0,MIN(G4031,Parametres!$B$7))</f>
        <v>46.98</v>
      </c>
      <c r="I4031" s="20" t="n">
        <f aca="false">G4031-H4031</f>
        <v>0</v>
      </c>
      <c r="J4031" s="21" t="n">
        <f aca="false">H4031*1000/Parametres!$B$9</f>
        <v>796.676276072579</v>
      </c>
    </row>
    <row r="4032" customFormat="false" ht="15" hidden="false" customHeight="false" outlineLevel="0" collapsed="false">
      <c r="A4032" s="0" t="n">
        <v>4028</v>
      </c>
      <c r="B4032" s="0" t="n">
        <v>6</v>
      </c>
      <c r="C4032" s="19" t="n">
        <v>0</v>
      </c>
      <c r="D4032" s="19" t="n">
        <v>0.1395</v>
      </c>
      <c r="E4032" s="20" t="n">
        <f aca="false">Parametres!$B$5*C4032</f>
        <v>0</v>
      </c>
      <c r="F4032" s="20" t="n">
        <f aca="false">Parametres!$B$6*D4032</f>
        <v>27.9</v>
      </c>
      <c r="G4032" s="20" t="n">
        <f aca="false">E4032+F4032</f>
        <v>27.9</v>
      </c>
      <c r="H4032" s="20" t="n">
        <f aca="false">IF(G4032&lt;Parametres!$B$8*Parametres!$B$7,0,MIN(G4032,Parametres!$B$7))</f>
        <v>27.9</v>
      </c>
      <c r="I4032" s="20" t="n">
        <f aca="false">G4032-H4032</f>
        <v>0</v>
      </c>
      <c r="J4032" s="21" t="n">
        <f aca="false">H4032*1000/Parametres!$B$9</f>
        <v>473.121926403256</v>
      </c>
    </row>
    <row r="4033" customFormat="false" ht="15" hidden="false" customHeight="false" outlineLevel="0" collapsed="false">
      <c r="A4033" s="0" t="n">
        <v>4029</v>
      </c>
      <c r="B4033" s="0" t="n">
        <v>6</v>
      </c>
      <c r="C4033" s="19" t="n">
        <v>0</v>
      </c>
      <c r="D4033" s="19" t="n">
        <v>0.1308</v>
      </c>
      <c r="E4033" s="20" t="n">
        <f aca="false">Parametres!$B$5*C4033</f>
        <v>0</v>
      </c>
      <c r="F4033" s="20" t="n">
        <f aca="false">Parametres!$B$6*D4033</f>
        <v>26.16</v>
      </c>
      <c r="G4033" s="20" t="n">
        <f aca="false">E4033+F4033</f>
        <v>26.16</v>
      </c>
      <c r="H4033" s="20" t="n">
        <f aca="false">IF(G4033&lt;Parametres!$B$8*Parametres!$B$7,0,MIN(G4033,Parametres!$B$7))</f>
        <v>26.16</v>
      </c>
      <c r="I4033" s="20" t="n">
        <f aca="false">G4033-H4033</f>
        <v>0</v>
      </c>
      <c r="J4033" s="21" t="n">
        <f aca="false">H4033*1000/Parametres!$B$9</f>
        <v>443.615397659827</v>
      </c>
    </row>
    <row r="4034" customFormat="false" ht="15" hidden="false" customHeight="false" outlineLevel="0" collapsed="false">
      <c r="A4034" s="0" t="n">
        <v>4030</v>
      </c>
      <c r="B4034" s="0" t="n">
        <v>6</v>
      </c>
      <c r="C4034" s="19" t="n">
        <v>0</v>
      </c>
      <c r="D4034" s="19" t="n">
        <v>0.0716</v>
      </c>
      <c r="E4034" s="20" t="n">
        <f aca="false">Parametres!$B$5*C4034</f>
        <v>0</v>
      </c>
      <c r="F4034" s="20" t="n">
        <f aca="false">Parametres!$B$6*D4034</f>
        <v>14.32</v>
      </c>
      <c r="G4034" s="20" t="n">
        <f aca="false">E4034+F4034</f>
        <v>14.32</v>
      </c>
      <c r="H4034" s="20" t="n">
        <f aca="false">IF(G4034&lt;Parametres!$B$8*Parametres!$B$7,0,MIN(G4034,Parametres!$B$7))</f>
        <v>0</v>
      </c>
      <c r="I4034" s="20" t="n">
        <f aca="false">G4034-H4034</f>
        <v>14.32</v>
      </c>
      <c r="J4034" s="21" t="n">
        <f aca="false">H4034*1000/Parametres!$B$9</f>
        <v>0</v>
      </c>
    </row>
    <row r="4035" customFormat="false" ht="15" hidden="false" customHeight="false" outlineLevel="0" collapsed="false">
      <c r="A4035" s="0" t="n">
        <v>4031</v>
      </c>
      <c r="B4035" s="0" t="n">
        <v>6</v>
      </c>
      <c r="C4035" s="19" t="n">
        <v>0</v>
      </c>
      <c r="D4035" s="19" t="n">
        <v>0.0747</v>
      </c>
      <c r="E4035" s="20" t="n">
        <f aca="false">Parametres!$B$5*C4035</f>
        <v>0</v>
      </c>
      <c r="F4035" s="20" t="n">
        <f aca="false">Parametres!$B$6*D4035</f>
        <v>14.94</v>
      </c>
      <c r="G4035" s="20" t="n">
        <f aca="false">E4035+F4035</f>
        <v>14.94</v>
      </c>
      <c r="H4035" s="20" t="n">
        <f aca="false">IF(G4035&lt;Parametres!$B$8*Parametres!$B$7,0,MIN(G4035,Parametres!$B$7))</f>
        <v>0</v>
      </c>
      <c r="I4035" s="20" t="n">
        <f aca="false">G4035-H4035</f>
        <v>14.94</v>
      </c>
      <c r="J4035" s="21" t="n">
        <f aca="false">H4035*1000/Parametres!$B$9</f>
        <v>0</v>
      </c>
    </row>
    <row r="4036" customFormat="false" ht="15" hidden="false" customHeight="false" outlineLevel="0" collapsed="false">
      <c r="A4036" s="0" t="n">
        <v>4032</v>
      </c>
      <c r="B4036" s="0" t="n">
        <v>6</v>
      </c>
      <c r="C4036" s="19" t="n">
        <v>0</v>
      </c>
      <c r="D4036" s="19" t="n">
        <v>0.2296</v>
      </c>
      <c r="E4036" s="20" t="n">
        <f aca="false">Parametres!$B$5*C4036</f>
        <v>0</v>
      </c>
      <c r="F4036" s="20" t="n">
        <f aca="false">Parametres!$B$6*D4036</f>
        <v>45.92</v>
      </c>
      <c r="G4036" s="20" t="n">
        <f aca="false">E4036+F4036</f>
        <v>45.92</v>
      </c>
      <c r="H4036" s="20" t="n">
        <f aca="false">IF(G4036&lt;Parametres!$B$8*Parametres!$B$7,0,MIN(G4036,Parametres!$B$7))</f>
        <v>45.92</v>
      </c>
      <c r="I4036" s="20" t="n">
        <f aca="false">G4036-H4036</f>
        <v>0</v>
      </c>
      <c r="J4036" s="21" t="n">
        <f aca="false">H4036*1000/Parametres!$B$9</f>
        <v>778.701034424284</v>
      </c>
    </row>
    <row r="4037" customFormat="false" ht="15" hidden="false" customHeight="false" outlineLevel="0" collapsed="false">
      <c r="A4037" s="0" t="n">
        <v>4033</v>
      </c>
      <c r="B4037" s="0" t="n">
        <v>6</v>
      </c>
      <c r="C4037" s="19" t="n">
        <v>0</v>
      </c>
      <c r="D4037" s="19" t="n">
        <v>0.1558</v>
      </c>
      <c r="E4037" s="20" t="n">
        <f aca="false">Parametres!$B$5*C4037</f>
        <v>0</v>
      </c>
      <c r="F4037" s="20" t="n">
        <f aca="false">Parametres!$B$6*D4037</f>
        <v>31.16</v>
      </c>
      <c r="G4037" s="20" t="n">
        <f aca="false">E4037+F4037</f>
        <v>31.16</v>
      </c>
      <c r="H4037" s="20" t="n">
        <f aca="false">IF(G4037&lt;Parametres!$B$8*Parametres!$B$7,0,MIN(G4037,Parametres!$B$7))</f>
        <v>31.16</v>
      </c>
      <c r="I4037" s="20" t="n">
        <f aca="false">G4037-H4037</f>
        <v>0</v>
      </c>
      <c r="J4037" s="21" t="n">
        <f aca="false">H4037*1000/Parametres!$B$9</f>
        <v>528.404273359335</v>
      </c>
    </row>
    <row r="4038" customFormat="false" ht="15" hidden="false" customHeight="false" outlineLevel="0" collapsed="false">
      <c r="A4038" s="0" t="n">
        <v>4034</v>
      </c>
      <c r="B4038" s="0" t="n">
        <v>6</v>
      </c>
      <c r="C4038" s="19" t="n">
        <v>0</v>
      </c>
      <c r="D4038" s="19" t="n">
        <v>0.2761</v>
      </c>
      <c r="E4038" s="20" t="n">
        <f aca="false">Parametres!$B$5*C4038</f>
        <v>0</v>
      </c>
      <c r="F4038" s="20" t="n">
        <f aca="false">Parametres!$B$6*D4038</f>
        <v>55.22</v>
      </c>
      <c r="G4038" s="20" t="n">
        <f aca="false">E4038+F4038</f>
        <v>55.22</v>
      </c>
      <c r="H4038" s="20" t="n">
        <f aca="false">IF(G4038&lt;Parametres!$B$8*Parametres!$B$7,0,MIN(G4038,Parametres!$B$7))</f>
        <v>55.22</v>
      </c>
      <c r="I4038" s="20" t="n">
        <f aca="false">G4038-H4038</f>
        <v>0</v>
      </c>
      <c r="J4038" s="21" t="n">
        <f aca="false">H4038*1000/Parametres!$B$9</f>
        <v>936.408343225369</v>
      </c>
    </row>
    <row r="4039" customFormat="false" ht="15" hidden="false" customHeight="false" outlineLevel="0" collapsed="false">
      <c r="A4039" s="0" t="n">
        <v>4035</v>
      </c>
      <c r="B4039" s="0" t="n">
        <v>6</v>
      </c>
      <c r="C4039" s="19" t="n">
        <v>0</v>
      </c>
      <c r="D4039" s="19" t="n">
        <v>0.1513</v>
      </c>
      <c r="E4039" s="20" t="n">
        <f aca="false">Parametres!$B$5*C4039</f>
        <v>0</v>
      </c>
      <c r="F4039" s="20" t="n">
        <f aca="false">Parametres!$B$6*D4039</f>
        <v>30.26</v>
      </c>
      <c r="G4039" s="20" t="n">
        <f aca="false">E4039+F4039</f>
        <v>30.26</v>
      </c>
      <c r="H4039" s="20" t="n">
        <f aca="false">IF(G4039&lt;Parametres!$B$8*Parametres!$B$7,0,MIN(G4039,Parametres!$B$7))</f>
        <v>30.26</v>
      </c>
      <c r="I4039" s="20" t="n">
        <f aca="false">G4039-H4039</f>
        <v>0</v>
      </c>
      <c r="J4039" s="21" t="n">
        <f aca="false">H4039*1000/Parametres!$B$9</f>
        <v>513.142275733424</v>
      </c>
    </row>
    <row r="4040" customFormat="false" ht="15" hidden="false" customHeight="false" outlineLevel="0" collapsed="false">
      <c r="A4040" s="0" t="n">
        <v>4036</v>
      </c>
      <c r="B4040" s="0" t="n">
        <v>6</v>
      </c>
      <c r="C4040" s="19" t="n">
        <v>0</v>
      </c>
      <c r="D4040" s="19" t="n">
        <v>0.1054</v>
      </c>
      <c r="E4040" s="20" t="n">
        <f aca="false">Parametres!$B$5*C4040</f>
        <v>0</v>
      </c>
      <c r="F4040" s="20" t="n">
        <f aca="false">Parametres!$B$6*D4040</f>
        <v>21.08</v>
      </c>
      <c r="G4040" s="20" t="n">
        <f aca="false">E4040+F4040</f>
        <v>21.08</v>
      </c>
      <c r="H4040" s="20" t="n">
        <f aca="false">IF(G4040&lt;Parametres!$B$8*Parametres!$B$7,0,MIN(G4040,Parametres!$B$7))</f>
        <v>0</v>
      </c>
      <c r="I4040" s="20" t="n">
        <f aca="false">G4040-H4040</f>
        <v>21.08</v>
      </c>
      <c r="J4040" s="21" t="n">
        <f aca="false">H4040*1000/Parametres!$B$9</f>
        <v>0</v>
      </c>
    </row>
    <row r="4041" customFormat="false" ht="15" hidden="false" customHeight="false" outlineLevel="0" collapsed="false">
      <c r="A4041" s="0" t="n">
        <v>4037</v>
      </c>
      <c r="B4041" s="0" t="n">
        <v>6</v>
      </c>
      <c r="C4041" s="19" t="n">
        <v>0</v>
      </c>
      <c r="D4041" s="19" t="n">
        <v>0.1923</v>
      </c>
      <c r="E4041" s="20" t="n">
        <f aca="false">Parametres!$B$5*C4041</f>
        <v>0</v>
      </c>
      <c r="F4041" s="20" t="n">
        <f aca="false">Parametres!$B$6*D4041</f>
        <v>38.46</v>
      </c>
      <c r="G4041" s="20" t="n">
        <f aca="false">E4041+F4041</f>
        <v>38.46</v>
      </c>
      <c r="H4041" s="20" t="n">
        <f aca="false">IF(G4041&lt;Parametres!$B$8*Parametres!$B$7,0,MIN(G4041,Parametres!$B$7))</f>
        <v>38.46</v>
      </c>
      <c r="I4041" s="20" t="n">
        <f aca="false">G4041-H4041</f>
        <v>0</v>
      </c>
      <c r="J4041" s="21" t="n">
        <f aca="false">H4041*1000/Parametres!$B$9</f>
        <v>652.196031880617</v>
      </c>
    </row>
    <row r="4042" customFormat="false" ht="15" hidden="false" customHeight="false" outlineLevel="0" collapsed="false">
      <c r="A4042" s="0" t="n">
        <v>4038</v>
      </c>
      <c r="B4042" s="0" t="n">
        <v>6</v>
      </c>
      <c r="C4042" s="19" t="n">
        <v>0.0611</v>
      </c>
      <c r="D4042" s="19" t="n">
        <v>0.278</v>
      </c>
      <c r="E4042" s="20" t="n">
        <f aca="false">Parametres!$B$5*C4042</f>
        <v>18.33</v>
      </c>
      <c r="F4042" s="20" t="n">
        <f aca="false">Parametres!$B$6*D4042</f>
        <v>55.6</v>
      </c>
      <c r="G4042" s="20" t="n">
        <f aca="false">E4042+F4042</f>
        <v>73.93</v>
      </c>
      <c r="H4042" s="20" t="n">
        <f aca="false">IF(G4042&lt;Parametres!$B$8*Parametres!$B$7,0,MIN(G4042,Parametres!$B$7))</f>
        <v>73.93</v>
      </c>
      <c r="I4042" s="20" t="n">
        <f aca="false">G4042-H4042</f>
        <v>0</v>
      </c>
      <c r="J4042" s="21" t="n">
        <f aca="false">H4042*1000/Parametres!$B$9</f>
        <v>1253.68831609293</v>
      </c>
    </row>
    <row r="4043" customFormat="false" ht="15" hidden="false" customHeight="false" outlineLevel="0" collapsed="false">
      <c r="A4043" s="0" t="n">
        <v>4039</v>
      </c>
      <c r="B4043" s="0" t="n">
        <v>6</v>
      </c>
      <c r="C4043" s="19" t="n">
        <v>0.2701</v>
      </c>
      <c r="D4043" s="19" t="n">
        <v>0.5215</v>
      </c>
      <c r="E4043" s="20" t="n">
        <f aca="false">Parametres!$B$5*C4043</f>
        <v>81.03</v>
      </c>
      <c r="F4043" s="20" t="n">
        <f aca="false">Parametres!$B$6*D4043</f>
        <v>104.3</v>
      </c>
      <c r="G4043" s="20" t="n">
        <f aca="false">E4043+F4043</f>
        <v>185.33</v>
      </c>
      <c r="H4043" s="20" t="n">
        <f aca="false">IF(G4043&lt;Parametres!$B$8*Parametres!$B$7,0,MIN(G4043,Parametres!$B$7))</f>
        <v>185.33</v>
      </c>
      <c r="I4043" s="20" t="n">
        <f aca="false">G4043-H4043</f>
        <v>0</v>
      </c>
      <c r="J4043" s="21" t="n">
        <f aca="false">H4043*1000/Parametres!$B$9</f>
        <v>3142.78446667797</v>
      </c>
    </row>
    <row r="4044" customFormat="false" ht="15" hidden="false" customHeight="false" outlineLevel="0" collapsed="false">
      <c r="A4044" s="0" t="n">
        <v>4040</v>
      </c>
      <c r="B4044" s="0" t="n">
        <v>6</v>
      </c>
      <c r="C4044" s="19" t="n">
        <v>0.5311</v>
      </c>
      <c r="D4044" s="19" t="n">
        <v>0.6838</v>
      </c>
      <c r="E4044" s="20" t="n">
        <f aca="false">Parametres!$B$5*C4044</f>
        <v>159.33</v>
      </c>
      <c r="F4044" s="20" t="n">
        <f aca="false">Parametres!$B$6*D4044</f>
        <v>136.76</v>
      </c>
      <c r="G4044" s="20" t="n">
        <f aca="false">E4044+F4044</f>
        <v>296.09</v>
      </c>
      <c r="H4044" s="20" t="n">
        <f aca="false">IF(G4044&lt;Parametres!$B$8*Parametres!$B$7,0,MIN(G4044,Parametres!$B$7))</f>
        <v>250</v>
      </c>
      <c r="I4044" s="20" t="n">
        <f aca="false">G4044-H4044</f>
        <v>46.09</v>
      </c>
      <c r="J4044" s="21" t="n">
        <f aca="false">H4044*1000/Parametres!$B$9</f>
        <v>4239.44378497541</v>
      </c>
    </row>
    <row r="4045" customFormat="false" ht="15" hidden="false" customHeight="false" outlineLevel="0" collapsed="false">
      <c r="A4045" s="0" t="n">
        <v>4041</v>
      </c>
      <c r="B4045" s="0" t="n">
        <v>6</v>
      </c>
      <c r="C4045" s="19" t="n">
        <v>0.7266</v>
      </c>
      <c r="D4045" s="19" t="n">
        <v>0.6229</v>
      </c>
      <c r="E4045" s="20" t="n">
        <f aca="false">Parametres!$B$5*C4045</f>
        <v>217.98</v>
      </c>
      <c r="F4045" s="20" t="n">
        <f aca="false">Parametres!$B$6*D4045</f>
        <v>124.58</v>
      </c>
      <c r="G4045" s="20" t="n">
        <f aca="false">E4045+F4045</f>
        <v>342.56</v>
      </c>
      <c r="H4045" s="20" t="n">
        <f aca="false">IF(G4045&lt;Parametres!$B$8*Parametres!$B$7,0,MIN(G4045,Parametres!$B$7))</f>
        <v>250</v>
      </c>
      <c r="I4045" s="20" t="n">
        <f aca="false">G4045-H4045</f>
        <v>92.56</v>
      </c>
      <c r="J4045" s="21" t="n">
        <f aca="false">H4045*1000/Parametres!$B$9</f>
        <v>4239.44378497541</v>
      </c>
    </row>
    <row r="4046" customFormat="false" ht="15" hidden="false" customHeight="false" outlineLevel="0" collapsed="false">
      <c r="A4046" s="0" t="n">
        <v>4042</v>
      </c>
      <c r="B4046" s="0" t="n">
        <v>6</v>
      </c>
      <c r="C4046" s="19" t="n">
        <v>0.9415</v>
      </c>
      <c r="D4046" s="19" t="n">
        <v>0.717</v>
      </c>
      <c r="E4046" s="20" t="n">
        <f aca="false">Parametres!$B$5*C4046</f>
        <v>282.45</v>
      </c>
      <c r="F4046" s="20" t="n">
        <f aca="false">Parametres!$B$6*D4046</f>
        <v>143.4</v>
      </c>
      <c r="G4046" s="20" t="n">
        <f aca="false">E4046+F4046</f>
        <v>425.85</v>
      </c>
      <c r="H4046" s="20" t="n">
        <f aca="false">IF(G4046&lt;Parametres!$B$8*Parametres!$B$7,0,MIN(G4046,Parametres!$B$7))</f>
        <v>250</v>
      </c>
      <c r="I4046" s="20" t="n">
        <f aca="false">G4046-H4046</f>
        <v>175.85</v>
      </c>
      <c r="J4046" s="21" t="n">
        <f aca="false">H4046*1000/Parametres!$B$9</f>
        <v>4239.44378497541</v>
      </c>
    </row>
    <row r="4047" customFormat="false" ht="15" hidden="false" customHeight="false" outlineLevel="0" collapsed="false">
      <c r="A4047" s="0" t="n">
        <v>4043</v>
      </c>
      <c r="B4047" s="0" t="n">
        <v>6</v>
      </c>
      <c r="C4047" s="19" t="n">
        <v>1</v>
      </c>
      <c r="D4047" s="19" t="n">
        <v>0.7004</v>
      </c>
      <c r="E4047" s="20" t="n">
        <f aca="false">Parametres!$B$5*C4047</f>
        <v>300</v>
      </c>
      <c r="F4047" s="20" t="n">
        <f aca="false">Parametres!$B$6*D4047</f>
        <v>140.08</v>
      </c>
      <c r="G4047" s="20" t="n">
        <f aca="false">E4047+F4047</f>
        <v>440.08</v>
      </c>
      <c r="H4047" s="20" t="n">
        <f aca="false">IF(G4047&lt;Parametres!$B$8*Parametres!$B$7,0,MIN(G4047,Parametres!$B$7))</f>
        <v>250</v>
      </c>
      <c r="I4047" s="20" t="n">
        <f aca="false">G4047-H4047</f>
        <v>190.08</v>
      </c>
      <c r="J4047" s="21" t="n">
        <f aca="false">H4047*1000/Parametres!$B$9</f>
        <v>4239.44378497541</v>
      </c>
    </row>
    <row r="4048" customFormat="false" ht="15" hidden="false" customHeight="false" outlineLevel="0" collapsed="false">
      <c r="A4048" s="0" t="n">
        <v>4044</v>
      </c>
      <c r="B4048" s="0" t="n">
        <v>6</v>
      </c>
      <c r="C4048" s="19" t="n">
        <v>1</v>
      </c>
      <c r="D4048" s="19" t="n">
        <v>1</v>
      </c>
      <c r="E4048" s="20" t="n">
        <f aca="false">Parametres!$B$5*C4048</f>
        <v>300</v>
      </c>
      <c r="F4048" s="20" t="n">
        <f aca="false">Parametres!$B$6*D4048</f>
        <v>200</v>
      </c>
      <c r="G4048" s="20" t="n">
        <f aca="false">E4048+F4048</f>
        <v>500</v>
      </c>
      <c r="H4048" s="20" t="n">
        <f aca="false">IF(G4048&lt;Parametres!$B$8*Parametres!$B$7,0,MIN(G4048,Parametres!$B$7))</f>
        <v>250</v>
      </c>
      <c r="I4048" s="20" t="n">
        <f aca="false">G4048-H4048</f>
        <v>250</v>
      </c>
      <c r="J4048" s="21" t="n">
        <f aca="false">H4048*1000/Parametres!$B$9</f>
        <v>4239.44378497541</v>
      </c>
    </row>
    <row r="4049" customFormat="false" ht="15" hidden="false" customHeight="false" outlineLevel="0" collapsed="false">
      <c r="A4049" s="0" t="n">
        <v>4045</v>
      </c>
      <c r="B4049" s="0" t="n">
        <v>6</v>
      </c>
      <c r="C4049" s="19" t="n">
        <v>1</v>
      </c>
      <c r="D4049" s="19" t="n">
        <v>1</v>
      </c>
      <c r="E4049" s="20" t="n">
        <f aca="false">Parametres!$B$5*C4049</f>
        <v>300</v>
      </c>
      <c r="F4049" s="20" t="n">
        <f aca="false">Parametres!$B$6*D4049</f>
        <v>200</v>
      </c>
      <c r="G4049" s="20" t="n">
        <f aca="false">E4049+F4049</f>
        <v>500</v>
      </c>
      <c r="H4049" s="20" t="n">
        <f aca="false">IF(G4049&lt;Parametres!$B$8*Parametres!$B$7,0,MIN(G4049,Parametres!$B$7))</f>
        <v>250</v>
      </c>
      <c r="I4049" s="20" t="n">
        <f aca="false">G4049-H4049</f>
        <v>250</v>
      </c>
      <c r="J4049" s="21" t="n">
        <f aca="false">H4049*1000/Parametres!$B$9</f>
        <v>4239.44378497541</v>
      </c>
    </row>
    <row r="4050" customFormat="false" ht="15" hidden="false" customHeight="false" outlineLevel="0" collapsed="false">
      <c r="A4050" s="0" t="n">
        <v>4046</v>
      </c>
      <c r="B4050" s="0" t="n">
        <v>6</v>
      </c>
      <c r="C4050" s="19" t="n">
        <v>1</v>
      </c>
      <c r="D4050" s="19" t="n">
        <v>1</v>
      </c>
      <c r="E4050" s="20" t="n">
        <f aca="false">Parametres!$B$5*C4050</f>
        <v>300</v>
      </c>
      <c r="F4050" s="20" t="n">
        <f aca="false">Parametres!$B$6*D4050</f>
        <v>200</v>
      </c>
      <c r="G4050" s="20" t="n">
        <f aca="false">E4050+F4050</f>
        <v>500</v>
      </c>
      <c r="H4050" s="20" t="n">
        <f aca="false">IF(G4050&lt;Parametres!$B$8*Parametres!$B$7,0,MIN(G4050,Parametres!$B$7))</f>
        <v>250</v>
      </c>
      <c r="I4050" s="20" t="n">
        <f aca="false">G4050-H4050</f>
        <v>250</v>
      </c>
      <c r="J4050" s="21" t="n">
        <f aca="false">H4050*1000/Parametres!$B$9</f>
        <v>4239.44378497541</v>
      </c>
    </row>
    <row r="4051" customFormat="false" ht="15" hidden="false" customHeight="false" outlineLevel="0" collapsed="false">
      <c r="A4051" s="0" t="n">
        <v>4047</v>
      </c>
      <c r="B4051" s="0" t="n">
        <v>6</v>
      </c>
      <c r="C4051" s="19" t="n">
        <v>0.924</v>
      </c>
      <c r="D4051" s="19" t="n">
        <v>1</v>
      </c>
      <c r="E4051" s="20" t="n">
        <f aca="false">Parametres!$B$5*C4051</f>
        <v>277.2</v>
      </c>
      <c r="F4051" s="20" t="n">
        <f aca="false">Parametres!$B$6*D4051</f>
        <v>200</v>
      </c>
      <c r="G4051" s="20" t="n">
        <f aca="false">E4051+F4051</f>
        <v>477.2</v>
      </c>
      <c r="H4051" s="20" t="n">
        <f aca="false">IF(G4051&lt;Parametres!$B$8*Parametres!$B$7,0,MIN(G4051,Parametres!$B$7))</f>
        <v>250</v>
      </c>
      <c r="I4051" s="20" t="n">
        <f aca="false">G4051-H4051</f>
        <v>227.2</v>
      </c>
      <c r="J4051" s="21" t="n">
        <f aca="false">H4051*1000/Parametres!$B$9</f>
        <v>4239.44378497541</v>
      </c>
    </row>
    <row r="4052" customFormat="false" ht="15" hidden="false" customHeight="false" outlineLevel="0" collapsed="false">
      <c r="A4052" s="0" t="n">
        <v>4048</v>
      </c>
      <c r="B4052" s="0" t="n">
        <v>6</v>
      </c>
      <c r="C4052" s="19" t="n">
        <v>0.7855</v>
      </c>
      <c r="D4052" s="19" t="n">
        <v>1</v>
      </c>
      <c r="E4052" s="20" t="n">
        <f aca="false">Parametres!$B$5*C4052</f>
        <v>235.65</v>
      </c>
      <c r="F4052" s="20" t="n">
        <f aca="false">Parametres!$B$6*D4052</f>
        <v>200</v>
      </c>
      <c r="G4052" s="20" t="n">
        <f aca="false">E4052+F4052</f>
        <v>435.65</v>
      </c>
      <c r="H4052" s="20" t="n">
        <f aca="false">IF(G4052&lt;Parametres!$B$8*Parametres!$B$7,0,MIN(G4052,Parametres!$B$7))</f>
        <v>250</v>
      </c>
      <c r="I4052" s="20" t="n">
        <f aca="false">G4052-H4052</f>
        <v>185.65</v>
      </c>
      <c r="J4052" s="21" t="n">
        <f aca="false">H4052*1000/Parametres!$B$9</f>
        <v>4239.44378497541</v>
      </c>
    </row>
    <row r="4053" customFormat="false" ht="15" hidden="false" customHeight="false" outlineLevel="0" collapsed="false">
      <c r="A4053" s="0" t="n">
        <v>4049</v>
      </c>
      <c r="B4053" s="0" t="n">
        <v>6</v>
      </c>
      <c r="C4053" s="19" t="n">
        <v>0.5253</v>
      </c>
      <c r="D4053" s="19" t="n">
        <v>1</v>
      </c>
      <c r="E4053" s="20" t="n">
        <f aca="false">Parametres!$B$5*C4053</f>
        <v>157.59</v>
      </c>
      <c r="F4053" s="20" t="n">
        <f aca="false">Parametres!$B$6*D4053</f>
        <v>200</v>
      </c>
      <c r="G4053" s="20" t="n">
        <f aca="false">E4053+F4053</f>
        <v>357.59</v>
      </c>
      <c r="H4053" s="20" t="n">
        <f aca="false">IF(G4053&lt;Parametres!$B$8*Parametres!$B$7,0,MIN(G4053,Parametres!$B$7))</f>
        <v>250</v>
      </c>
      <c r="I4053" s="20" t="n">
        <f aca="false">G4053-H4053</f>
        <v>107.59</v>
      </c>
      <c r="J4053" s="21" t="n">
        <f aca="false">H4053*1000/Parametres!$B$9</f>
        <v>4239.44378497541</v>
      </c>
    </row>
    <row r="4054" customFormat="false" ht="15" hidden="false" customHeight="false" outlineLevel="0" collapsed="false">
      <c r="A4054" s="0" t="n">
        <v>4050</v>
      </c>
      <c r="B4054" s="0" t="n">
        <v>6</v>
      </c>
      <c r="C4054" s="19" t="n">
        <v>0.2656</v>
      </c>
      <c r="D4054" s="19" t="n">
        <v>1</v>
      </c>
      <c r="E4054" s="20" t="n">
        <f aca="false">Parametres!$B$5*C4054</f>
        <v>79.68</v>
      </c>
      <c r="F4054" s="20" t="n">
        <f aca="false">Parametres!$B$6*D4054</f>
        <v>200</v>
      </c>
      <c r="G4054" s="20" t="n">
        <f aca="false">E4054+F4054</f>
        <v>279.68</v>
      </c>
      <c r="H4054" s="20" t="n">
        <f aca="false">IF(G4054&lt;Parametres!$B$8*Parametres!$B$7,0,MIN(G4054,Parametres!$B$7))</f>
        <v>250</v>
      </c>
      <c r="I4054" s="20" t="n">
        <f aca="false">G4054-H4054</f>
        <v>29.68</v>
      </c>
      <c r="J4054" s="21" t="n">
        <f aca="false">H4054*1000/Parametres!$B$9</f>
        <v>4239.44378497541</v>
      </c>
    </row>
    <row r="4055" customFormat="false" ht="15" hidden="false" customHeight="false" outlineLevel="0" collapsed="false">
      <c r="A4055" s="0" t="n">
        <v>4051</v>
      </c>
      <c r="B4055" s="0" t="n">
        <v>6</v>
      </c>
      <c r="C4055" s="19" t="n">
        <v>0.0636</v>
      </c>
      <c r="D4055" s="19" t="n">
        <v>1</v>
      </c>
      <c r="E4055" s="20" t="n">
        <f aca="false">Parametres!$B$5*C4055</f>
        <v>19.08</v>
      </c>
      <c r="F4055" s="20" t="n">
        <f aca="false">Parametres!$B$6*D4055</f>
        <v>200</v>
      </c>
      <c r="G4055" s="20" t="n">
        <f aca="false">E4055+F4055</f>
        <v>219.08</v>
      </c>
      <c r="H4055" s="20" t="n">
        <f aca="false">IF(G4055&lt;Parametres!$B$8*Parametres!$B$7,0,MIN(G4055,Parametres!$B$7))</f>
        <v>219.08</v>
      </c>
      <c r="I4055" s="20" t="n">
        <f aca="false">G4055-H4055</f>
        <v>0</v>
      </c>
      <c r="J4055" s="21" t="n">
        <f aca="false">H4055*1000/Parametres!$B$9</f>
        <v>3715.10937764965</v>
      </c>
    </row>
    <row r="4056" customFormat="false" ht="15" hidden="false" customHeight="false" outlineLevel="0" collapsed="false">
      <c r="A4056" s="0" t="n">
        <v>4052</v>
      </c>
      <c r="B4056" s="0" t="n">
        <v>6</v>
      </c>
      <c r="C4056" s="19" t="n">
        <v>0</v>
      </c>
      <c r="D4056" s="19" t="n">
        <v>1</v>
      </c>
      <c r="E4056" s="20" t="n">
        <f aca="false">Parametres!$B$5*C4056</f>
        <v>0</v>
      </c>
      <c r="F4056" s="20" t="n">
        <f aca="false">Parametres!$B$6*D4056</f>
        <v>200</v>
      </c>
      <c r="G4056" s="20" t="n">
        <f aca="false">E4056+F4056</f>
        <v>200</v>
      </c>
      <c r="H4056" s="20" t="n">
        <f aca="false">IF(G4056&lt;Parametres!$B$8*Parametres!$B$7,0,MIN(G4056,Parametres!$B$7))</f>
        <v>200</v>
      </c>
      <c r="I4056" s="20" t="n">
        <f aca="false">G4056-H4056</f>
        <v>0</v>
      </c>
      <c r="J4056" s="21" t="n">
        <f aca="false">H4056*1000/Parametres!$B$9</f>
        <v>3391.55502798033</v>
      </c>
    </row>
    <row r="4057" customFormat="false" ht="15" hidden="false" customHeight="false" outlineLevel="0" collapsed="false">
      <c r="A4057" s="0" t="n">
        <v>4053</v>
      </c>
      <c r="B4057" s="0" t="n">
        <v>6</v>
      </c>
      <c r="C4057" s="19" t="n">
        <v>0</v>
      </c>
      <c r="D4057" s="19" t="n">
        <v>1</v>
      </c>
      <c r="E4057" s="20" t="n">
        <f aca="false">Parametres!$B$5*C4057</f>
        <v>0</v>
      </c>
      <c r="F4057" s="20" t="n">
        <f aca="false">Parametres!$B$6*D4057</f>
        <v>200</v>
      </c>
      <c r="G4057" s="20" t="n">
        <f aca="false">E4057+F4057</f>
        <v>200</v>
      </c>
      <c r="H4057" s="20" t="n">
        <f aca="false">IF(G4057&lt;Parametres!$B$8*Parametres!$B$7,0,MIN(G4057,Parametres!$B$7))</f>
        <v>200</v>
      </c>
      <c r="I4057" s="20" t="n">
        <f aca="false">G4057-H4057</f>
        <v>0</v>
      </c>
      <c r="J4057" s="21" t="n">
        <f aca="false">H4057*1000/Parametres!$B$9</f>
        <v>3391.55502798033</v>
      </c>
    </row>
    <row r="4058" customFormat="false" ht="15" hidden="false" customHeight="false" outlineLevel="0" collapsed="false">
      <c r="A4058" s="0" t="n">
        <v>4054</v>
      </c>
      <c r="B4058" s="0" t="n">
        <v>6</v>
      </c>
      <c r="C4058" s="19" t="n">
        <v>0</v>
      </c>
      <c r="D4058" s="19" t="n">
        <v>1</v>
      </c>
      <c r="E4058" s="20" t="n">
        <f aca="false">Parametres!$B$5*C4058</f>
        <v>0</v>
      </c>
      <c r="F4058" s="20" t="n">
        <f aca="false">Parametres!$B$6*D4058</f>
        <v>200</v>
      </c>
      <c r="G4058" s="20" t="n">
        <f aca="false">E4058+F4058</f>
        <v>200</v>
      </c>
      <c r="H4058" s="20" t="n">
        <f aca="false">IF(G4058&lt;Parametres!$B$8*Parametres!$B$7,0,MIN(G4058,Parametres!$B$7))</f>
        <v>200</v>
      </c>
      <c r="I4058" s="20" t="n">
        <f aca="false">G4058-H4058</f>
        <v>0</v>
      </c>
      <c r="J4058" s="21" t="n">
        <f aca="false">H4058*1000/Parametres!$B$9</f>
        <v>3391.55502798033</v>
      </c>
    </row>
    <row r="4059" customFormat="false" ht="15" hidden="false" customHeight="false" outlineLevel="0" collapsed="false">
      <c r="A4059" s="0" t="n">
        <v>4055</v>
      </c>
      <c r="B4059" s="0" t="n">
        <v>6</v>
      </c>
      <c r="C4059" s="19" t="n">
        <v>0</v>
      </c>
      <c r="D4059" s="19" t="n">
        <v>1</v>
      </c>
      <c r="E4059" s="20" t="n">
        <f aca="false">Parametres!$B$5*C4059</f>
        <v>0</v>
      </c>
      <c r="F4059" s="20" t="n">
        <f aca="false">Parametres!$B$6*D4059</f>
        <v>200</v>
      </c>
      <c r="G4059" s="20" t="n">
        <f aca="false">E4059+F4059</f>
        <v>200</v>
      </c>
      <c r="H4059" s="20" t="n">
        <f aca="false">IF(G4059&lt;Parametres!$B$8*Parametres!$B$7,0,MIN(G4059,Parametres!$B$7))</f>
        <v>200</v>
      </c>
      <c r="I4059" s="20" t="n">
        <f aca="false">G4059-H4059</f>
        <v>0</v>
      </c>
      <c r="J4059" s="21" t="n">
        <f aca="false">H4059*1000/Parametres!$B$9</f>
        <v>3391.55502798033</v>
      </c>
    </row>
    <row r="4060" customFormat="false" ht="15" hidden="false" customHeight="false" outlineLevel="0" collapsed="false">
      <c r="A4060" s="0" t="n">
        <v>4056</v>
      </c>
      <c r="B4060" s="0" t="n">
        <v>6</v>
      </c>
      <c r="C4060" s="19" t="n">
        <v>0</v>
      </c>
      <c r="D4060" s="19" t="n">
        <v>0.9476</v>
      </c>
      <c r="E4060" s="20" t="n">
        <f aca="false">Parametres!$B$5*C4060</f>
        <v>0</v>
      </c>
      <c r="F4060" s="20" t="n">
        <f aca="false">Parametres!$B$6*D4060</f>
        <v>189.52</v>
      </c>
      <c r="G4060" s="20" t="n">
        <f aca="false">E4060+F4060</f>
        <v>189.52</v>
      </c>
      <c r="H4060" s="20" t="n">
        <f aca="false">IF(G4060&lt;Parametres!$B$8*Parametres!$B$7,0,MIN(G4060,Parametres!$B$7))</f>
        <v>189.52</v>
      </c>
      <c r="I4060" s="20" t="n">
        <f aca="false">G4060-H4060</f>
        <v>0</v>
      </c>
      <c r="J4060" s="21" t="n">
        <f aca="false">H4060*1000/Parametres!$B$9</f>
        <v>3213.83754451416</v>
      </c>
    </row>
    <row r="4061" customFormat="false" ht="15" hidden="false" customHeight="false" outlineLevel="0" collapsed="false">
      <c r="A4061" s="0" t="n">
        <v>4057</v>
      </c>
      <c r="B4061" s="0" t="n">
        <v>6</v>
      </c>
      <c r="C4061" s="19" t="n">
        <v>0</v>
      </c>
      <c r="D4061" s="19" t="n">
        <v>0.5331</v>
      </c>
      <c r="E4061" s="20" t="n">
        <f aca="false">Parametres!$B$5*C4061</f>
        <v>0</v>
      </c>
      <c r="F4061" s="20" t="n">
        <f aca="false">Parametres!$B$6*D4061</f>
        <v>106.62</v>
      </c>
      <c r="G4061" s="20" t="n">
        <f aca="false">E4061+F4061</f>
        <v>106.62</v>
      </c>
      <c r="H4061" s="20" t="n">
        <f aca="false">IF(G4061&lt;Parametres!$B$8*Parametres!$B$7,0,MIN(G4061,Parametres!$B$7))</f>
        <v>106.62</v>
      </c>
      <c r="I4061" s="20" t="n">
        <f aca="false">G4061-H4061</f>
        <v>0</v>
      </c>
      <c r="J4061" s="21" t="n">
        <f aca="false">H4061*1000/Parametres!$B$9</f>
        <v>1808.03798541631</v>
      </c>
    </row>
    <row r="4062" customFormat="false" ht="15" hidden="false" customHeight="false" outlineLevel="0" collapsed="false">
      <c r="A4062" s="0" t="n">
        <v>4058</v>
      </c>
      <c r="B4062" s="0" t="n">
        <v>6</v>
      </c>
      <c r="C4062" s="19" t="n">
        <v>0</v>
      </c>
      <c r="D4062" s="19" t="n">
        <v>0.4433</v>
      </c>
      <c r="E4062" s="20" t="n">
        <f aca="false">Parametres!$B$5*C4062</f>
        <v>0</v>
      </c>
      <c r="F4062" s="20" t="n">
        <f aca="false">Parametres!$B$6*D4062</f>
        <v>88.66</v>
      </c>
      <c r="G4062" s="20" t="n">
        <f aca="false">E4062+F4062</f>
        <v>88.66</v>
      </c>
      <c r="H4062" s="20" t="n">
        <f aca="false">IF(G4062&lt;Parametres!$B$8*Parametres!$B$7,0,MIN(G4062,Parametres!$B$7))</f>
        <v>88.66</v>
      </c>
      <c r="I4062" s="20" t="n">
        <f aca="false">G4062-H4062</f>
        <v>0</v>
      </c>
      <c r="J4062" s="21" t="n">
        <f aca="false">H4062*1000/Parametres!$B$9</f>
        <v>1503.47634390368</v>
      </c>
    </row>
    <row r="4063" customFormat="false" ht="15" hidden="false" customHeight="false" outlineLevel="0" collapsed="false">
      <c r="A4063" s="0" t="n">
        <v>4059</v>
      </c>
      <c r="B4063" s="0" t="n">
        <v>6</v>
      </c>
      <c r="C4063" s="19" t="n">
        <v>0</v>
      </c>
      <c r="D4063" s="19" t="n">
        <v>0.5911</v>
      </c>
      <c r="E4063" s="20" t="n">
        <f aca="false">Parametres!$B$5*C4063</f>
        <v>0</v>
      </c>
      <c r="F4063" s="20" t="n">
        <f aca="false">Parametres!$B$6*D4063</f>
        <v>118.22</v>
      </c>
      <c r="G4063" s="20" t="n">
        <f aca="false">E4063+F4063</f>
        <v>118.22</v>
      </c>
      <c r="H4063" s="20" t="n">
        <f aca="false">IF(G4063&lt;Parametres!$B$8*Parametres!$B$7,0,MIN(G4063,Parametres!$B$7))</f>
        <v>118.22</v>
      </c>
      <c r="I4063" s="20" t="n">
        <f aca="false">G4063-H4063</f>
        <v>0</v>
      </c>
      <c r="J4063" s="21" t="n">
        <f aca="false">H4063*1000/Parametres!$B$9</f>
        <v>2004.74817703917</v>
      </c>
    </row>
    <row r="4064" customFormat="false" ht="15" hidden="false" customHeight="false" outlineLevel="0" collapsed="false">
      <c r="A4064" s="0" t="n">
        <v>4060</v>
      </c>
      <c r="B4064" s="0" t="n">
        <v>6</v>
      </c>
      <c r="C4064" s="19" t="n">
        <v>0</v>
      </c>
      <c r="D4064" s="19" t="n">
        <v>0.5528</v>
      </c>
      <c r="E4064" s="20" t="n">
        <f aca="false">Parametres!$B$5*C4064</f>
        <v>0</v>
      </c>
      <c r="F4064" s="20" t="n">
        <f aca="false">Parametres!$B$6*D4064</f>
        <v>110.56</v>
      </c>
      <c r="G4064" s="20" t="n">
        <f aca="false">E4064+F4064</f>
        <v>110.56</v>
      </c>
      <c r="H4064" s="20" t="n">
        <f aca="false">IF(G4064&lt;Parametres!$B$8*Parametres!$B$7,0,MIN(G4064,Parametres!$B$7))</f>
        <v>110.56</v>
      </c>
      <c r="I4064" s="20" t="n">
        <f aca="false">G4064-H4064</f>
        <v>0</v>
      </c>
      <c r="J4064" s="21" t="n">
        <f aca="false">H4064*1000/Parametres!$B$9</f>
        <v>1874.85161946753</v>
      </c>
    </row>
    <row r="4065" customFormat="false" ht="15" hidden="false" customHeight="false" outlineLevel="0" collapsed="false">
      <c r="A4065" s="0" t="n">
        <v>4061</v>
      </c>
      <c r="B4065" s="0" t="n">
        <v>6</v>
      </c>
      <c r="C4065" s="19" t="n">
        <v>0</v>
      </c>
      <c r="D4065" s="19" t="n">
        <v>0.3223</v>
      </c>
      <c r="E4065" s="20" t="n">
        <f aca="false">Parametres!$B$5*C4065</f>
        <v>0</v>
      </c>
      <c r="F4065" s="20" t="n">
        <f aca="false">Parametres!$B$6*D4065</f>
        <v>64.46</v>
      </c>
      <c r="G4065" s="20" t="n">
        <f aca="false">E4065+F4065</f>
        <v>64.46</v>
      </c>
      <c r="H4065" s="20" t="n">
        <f aca="false">IF(G4065&lt;Parametres!$B$8*Parametres!$B$7,0,MIN(G4065,Parametres!$B$7))</f>
        <v>64.46</v>
      </c>
      <c r="I4065" s="20" t="n">
        <f aca="false">G4065-H4065</f>
        <v>0</v>
      </c>
      <c r="J4065" s="21" t="n">
        <f aca="false">H4065*1000/Parametres!$B$9</f>
        <v>1093.09818551806</v>
      </c>
    </row>
    <row r="4066" customFormat="false" ht="15" hidden="false" customHeight="false" outlineLevel="0" collapsed="false">
      <c r="A4066" s="0" t="n">
        <v>4062</v>
      </c>
      <c r="B4066" s="0" t="n">
        <v>6</v>
      </c>
      <c r="C4066" s="19" t="n">
        <v>0.0657</v>
      </c>
      <c r="D4066" s="19" t="n">
        <v>0.342</v>
      </c>
      <c r="E4066" s="20" t="n">
        <f aca="false">Parametres!$B$5*C4066</f>
        <v>19.71</v>
      </c>
      <c r="F4066" s="20" t="n">
        <f aca="false">Parametres!$B$6*D4066</f>
        <v>68.4</v>
      </c>
      <c r="G4066" s="20" t="n">
        <f aca="false">E4066+F4066</f>
        <v>88.11</v>
      </c>
      <c r="H4066" s="20" t="n">
        <f aca="false">IF(G4066&lt;Parametres!$B$8*Parametres!$B$7,0,MIN(G4066,Parametres!$B$7))</f>
        <v>88.11</v>
      </c>
      <c r="I4066" s="20" t="n">
        <f aca="false">G4066-H4066</f>
        <v>0</v>
      </c>
      <c r="J4066" s="21" t="n">
        <f aca="false">H4066*1000/Parametres!$B$9</f>
        <v>1494.14956757673</v>
      </c>
    </row>
    <row r="4067" customFormat="false" ht="15" hidden="false" customHeight="false" outlineLevel="0" collapsed="false">
      <c r="A4067" s="0" t="n">
        <v>4063</v>
      </c>
      <c r="B4067" s="0" t="n">
        <v>6</v>
      </c>
      <c r="C4067" s="19" t="n">
        <v>0.295</v>
      </c>
      <c r="D4067" s="19" t="n">
        <v>0.3288</v>
      </c>
      <c r="E4067" s="20" t="n">
        <f aca="false">Parametres!$B$5*C4067</f>
        <v>88.5</v>
      </c>
      <c r="F4067" s="20" t="n">
        <f aca="false">Parametres!$B$6*D4067</f>
        <v>65.76</v>
      </c>
      <c r="G4067" s="20" t="n">
        <f aca="false">E4067+F4067</f>
        <v>154.26</v>
      </c>
      <c r="H4067" s="20" t="n">
        <f aca="false">IF(G4067&lt;Parametres!$B$8*Parametres!$B$7,0,MIN(G4067,Parametres!$B$7))</f>
        <v>154.26</v>
      </c>
      <c r="I4067" s="20" t="n">
        <f aca="false">G4067-H4067</f>
        <v>0</v>
      </c>
      <c r="J4067" s="21" t="n">
        <f aca="false">H4067*1000/Parametres!$B$9</f>
        <v>2615.90639308123</v>
      </c>
    </row>
    <row r="4068" customFormat="false" ht="15" hidden="false" customHeight="false" outlineLevel="0" collapsed="false">
      <c r="A4068" s="0" t="n">
        <v>4064</v>
      </c>
      <c r="B4068" s="0" t="n">
        <v>6</v>
      </c>
      <c r="C4068" s="19" t="n">
        <v>0.5881</v>
      </c>
      <c r="D4068" s="19" t="n">
        <v>0.4424</v>
      </c>
      <c r="E4068" s="20" t="n">
        <f aca="false">Parametres!$B$5*C4068</f>
        <v>176.43</v>
      </c>
      <c r="F4068" s="20" t="n">
        <f aca="false">Parametres!$B$6*D4068</f>
        <v>88.48</v>
      </c>
      <c r="G4068" s="20" t="n">
        <f aca="false">E4068+F4068</f>
        <v>264.91</v>
      </c>
      <c r="H4068" s="20" t="n">
        <f aca="false">IF(G4068&lt;Parametres!$B$8*Parametres!$B$7,0,MIN(G4068,Parametres!$B$7))</f>
        <v>250</v>
      </c>
      <c r="I4068" s="20" t="n">
        <f aca="false">G4068-H4068</f>
        <v>14.91</v>
      </c>
      <c r="J4068" s="21" t="n">
        <f aca="false">H4068*1000/Parametres!$B$9</f>
        <v>4239.44378497541</v>
      </c>
    </row>
    <row r="4069" customFormat="false" ht="15" hidden="false" customHeight="false" outlineLevel="0" collapsed="false">
      <c r="A4069" s="0" t="n">
        <v>4065</v>
      </c>
      <c r="B4069" s="0" t="n">
        <v>6</v>
      </c>
      <c r="C4069" s="19" t="n">
        <v>0.7518</v>
      </c>
      <c r="D4069" s="19" t="n">
        <v>0.6484</v>
      </c>
      <c r="E4069" s="20" t="n">
        <f aca="false">Parametres!$B$5*C4069</f>
        <v>225.54</v>
      </c>
      <c r="F4069" s="20" t="n">
        <f aca="false">Parametres!$B$6*D4069</f>
        <v>129.68</v>
      </c>
      <c r="G4069" s="20" t="n">
        <f aca="false">E4069+F4069</f>
        <v>355.22</v>
      </c>
      <c r="H4069" s="20" t="n">
        <f aca="false">IF(G4069&lt;Parametres!$B$8*Parametres!$B$7,0,MIN(G4069,Parametres!$B$7))</f>
        <v>250</v>
      </c>
      <c r="I4069" s="20" t="n">
        <f aca="false">G4069-H4069</f>
        <v>105.22</v>
      </c>
      <c r="J4069" s="21" t="n">
        <f aca="false">H4069*1000/Parametres!$B$9</f>
        <v>4239.44378497541</v>
      </c>
    </row>
    <row r="4070" customFormat="false" ht="15" hidden="false" customHeight="false" outlineLevel="0" collapsed="false">
      <c r="A4070" s="0" t="n">
        <v>4066</v>
      </c>
      <c r="B4070" s="0" t="n">
        <v>6</v>
      </c>
      <c r="C4070" s="19" t="n">
        <v>0.9502</v>
      </c>
      <c r="D4070" s="19" t="n">
        <v>0.7941</v>
      </c>
      <c r="E4070" s="20" t="n">
        <f aca="false">Parametres!$B$5*C4070</f>
        <v>285.06</v>
      </c>
      <c r="F4070" s="20" t="n">
        <f aca="false">Parametres!$B$6*D4070</f>
        <v>158.82</v>
      </c>
      <c r="G4070" s="20" t="n">
        <f aca="false">E4070+F4070</f>
        <v>443.88</v>
      </c>
      <c r="H4070" s="20" t="n">
        <f aca="false">IF(G4070&lt;Parametres!$B$8*Parametres!$B$7,0,MIN(G4070,Parametres!$B$7))</f>
        <v>250</v>
      </c>
      <c r="I4070" s="20" t="n">
        <f aca="false">G4070-H4070</f>
        <v>193.88</v>
      </c>
      <c r="J4070" s="21" t="n">
        <f aca="false">H4070*1000/Parametres!$B$9</f>
        <v>4239.44378497541</v>
      </c>
    </row>
    <row r="4071" customFormat="false" ht="15" hidden="false" customHeight="false" outlineLevel="0" collapsed="false">
      <c r="A4071" s="0" t="n">
        <v>4067</v>
      </c>
      <c r="B4071" s="0" t="n">
        <v>6</v>
      </c>
      <c r="C4071" s="19" t="n">
        <v>1</v>
      </c>
      <c r="D4071" s="19" t="n">
        <v>0.7274</v>
      </c>
      <c r="E4071" s="20" t="n">
        <f aca="false">Parametres!$B$5*C4071</f>
        <v>300</v>
      </c>
      <c r="F4071" s="20" t="n">
        <f aca="false">Parametres!$B$6*D4071</f>
        <v>145.48</v>
      </c>
      <c r="G4071" s="20" t="n">
        <f aca="false">E4071+F4071</f>
        <v>445.48</v>
      </c>
      <c r="H4071" s="20" t="n">
        <f aca="false">IF(G4071&lt;Parametres!$B$8*Parametres!$B$7,0,MIN(G4071,Parametres!$B$7))</f>
        <v>250</v>
      </c>
      <c r="I4071" s="20" t="n">
        <f aca="false">G4071-H4071</f>
        <v>195.48</v>
      </c>
      <c r="J4071" s="21" t="n">
        <f aca="false">H4071*1000/Parametres!$B$9</f>
        <v>4239.44378497541</v>
      </c>
    </row>
    <row r="4072" customFormat="false" ht="15" hidden="false" customHeight="false" outlineLevel="0" collapsed="false">
      <c r="A4072" s="0" t="n">
        <v>4068</v>
      </c>
      <c r="B4072" s="0" t="n">
        <v>6</v>
      </c>
      <c r="C4072" s="19" t="n">
        <v>1</v>
      </c>
      <c r="D4072" s="19" t="n">
        <v>0.5756</v>
      </c>
      <c r="E4072" s="20" t="n">
        <f aca="false">Parametres!$B$5*C4072</f>
        <v>300</v>
      </c>
      <c r="F4072" s="20" t="n">
        <f aca="false">Parametres!$B$6*D4072</f>
        <v>115.12</v>
      </c>
      <c r="G4072" s="20" t="n">
        <f aca="false">E4072+F4072</f>
        <v>415.12</v>
      </c>
      <c r="H4072" s="20" t="n">
        <f aca="false">IF(G4072&lt;Parametres!$B$8*Parametres!$B$7,0,MIN(G4072,Parametres!$B$7))</f>
        <v>250</v>
      </c>
      <c r="I4072" s="20" t="n">
        <f aca="false">G4072-H4072</f>
        <v>165.12</v>
      </c>
      <c r="J4072" s="21" t="n">
        <f aca="false">H4072*1000/Parametres!$B$9</f>
        <v>4239.44378497541</v>
      </c>
    </row>
    <row r="4073" customFormat="false" ht="15" hidden="false" customHeight="false" outlineLevel="0" collapsed="false">
      <c r="A4073" s="0" t="n">
        <v>4069</v>
      </c>
      <c r="B4073" s="0" t="n">
        <v>6</v>
      </c>
      <c r="C4073" s="19" t="n">
        <v>1</v>
      </c>
      <c r="D4073" s="19" t="n">
        <v>0.5665</v>
      </c>
      <c r="E4073" s="20" t="n">
        <f aca="false">Parametres!$B$5*C4073</f>
        <v>300</v>
      </c>
      <c r="F4073" s="20" t="n">
        <f aca="false">Parametres!$B$6*D4073</f>
        <v>113.3</v>
      </c>
      <c r="G4073" s="20" t="n">
        <f aca="false">E4073+F4073</f>
        <v>413.3</v>
      </c>
      <c r="H4073" s="20" t="n">
        <f aca="false">IF(G4073&lt;Parametres!$B$8*Parametres!$B$7,0,MIN(G4073,Parametres!$B$7))</f>
        <v>250</v>
      </c>
      <c r="I4073" s="20" t="n">
        <f aca="false">G4073-H4073</f>
        <v>163.3</v>
      </c>
      <c r="J4073" s="21" t="n">
        <f aca="false">H4073*1000/Parametres!$B$9</f>
        <v>4239.44378497541</v>
      </c>
    </row>
    <row r="4074" customFormat="false" ht="15" hidden="false" customHeight="false" outlineLevel="0" collapsed="false">
      <c r="A4074" s="0" t="n">
        <v>4070</v>
      </c>
      <c r="B4074" s="0" t="n">
        <v>6</v>
      </c>
      <c r="C4074" s="19" t="n">
        <v>1</v>
      </c>
      <c r="D4074" s="19" t="n">
        <v>0.606</v>
      </c>
      <c r="E4074" s="20" t="n">
        <f aca="false">Parametres!$B$5*C4074</f>
        <v>300</v>
      </c>
      <c r="F4074" s="20" t="n">
        <f aca="false">Parametres!$B$6*D4074</f>
        <v>121.2</v>
      </c>
      <c r="G4074" s="20" t="n">
        <f aca="false">E4074+F4074</f>
        <v>421.2</v>
      </c>
      <c r="H4074" s="20" t="n">
        <f aca="false">IF(G4074&lt;Parametres!$B$8*Parametres!$B$7,0,MIN(G4074,Parametres!$B$7))</f>
        <v>250</v>
      </c>
      <c r="I4074" s="20" t="n">
        <f aca="false">G4074-H4074</f>
        <v>171.2</v>
      </c>
      <c r="J4074" s="21" t="n">
        <f aca="false">H4074*1000/Parametres!$B$9</f>
        <v>4239.44378497541</v>
      </c>
    </row>
    <row r="4075" customFormat="false" ht="15" hidden="false" customHeight="false" outlineLevel="0" collapsed="false">
      <c r="A4075" s="0" t="n">
        <v>4071</v>
      </c>
      <c r="B4075" s="0" t="n">
        <v>6</v>
      </c>
      <c r="C4075" s="19" t="n">
        <v>0.9299</v>
      </c>
      <c r="D4075" s="19" t="n">
        <v>0.7385</v>
      </c>
      <c r="E4075" s="20" t="n">
        <f aca="false">Parametres!$B$5*C4075</f>
        <v>278.97</v>
      </c>
      <c r="F4075" s="20" t="n">
        <f aca="false">Parametres!$B$6*D4075</f>
        <v>147.7</v>
      </c>
      <c r="G4075" s="20" t="n">
        <f aca="false">E4075+F4075</f>
        <v>426.67</v>
      </c>
      <c r="H4075" s="20" t="n">
        <f aca="false">IF(G4075&lt;Parametres!$B$8*Parametres!$B$7,0,MIN(G4075,Parametres!$B$7))</f>
        <v>250</v>
      </c>
      <c r="I4075" s="20" t="n">
        <f aca="false">G4075-H4075</f>
        <v>176.67</v>
      </c>
      <c r="J4075" s="21" t="n">
        <f aca="false">H4075*1000/Parametres!$B$9</f>
        <v>4239.44378497541</v>
      </c>
    </row>
    <row r="4076" customFormat="false" ht="15" hidden="false" customHeight="false" outlineLevel="0" collapsed="false">
      <c r="A4076" s="0" t="n">
        <v>4072</v>
      </c>
      <c r="B4076" s="0" t="n">
        <v>6</v>
      </c>
      <c r="C4076" s="19" t="n">
        <v>0.8451</v>
      </c>
      <c r="D4076" s="19" t="n">
        <v>0.654</v>
      </c>
      <c r="E4076" s="20" t="n">
        <f aca="false">Parametres!$B$5*C4076</f>
        <v>253.53</v>
      </c>
      <c r="F4076" s="20" t="n">
        <f aca="false">Parametres!$B$6*D4076</f>
        <v>130.8</v>
      </c>
      <c r="G4076" s="20" t="n">
        <f aca="false">E4076+F4076</f>
        <v>384.33</v>
      </c>
      <c r="H4076" s="20" t="n">
        <f aca="false">IF(G4076&lt;Parametres!$B$8*Parametres!$B$7,0,MIN(G4076,Parametres!$B$7))</f>
        <v>250</v>
      </c>
      <c r="I4076" s="20" t="n">
        <f aca="false">G4076-H4076</f>
        <v>134.33</v>
      </c>
      <c r="J4076" s="21" t="n">
        <f aca="false">H4076*1000/Parametres!$B$9</f>
        <v>4239.44378497541</v>
      </c>
    </row>
    <row r="4077" customFormat="false" ht="15" hidden="false" customHeight="false" outlineLevel="0" collapsed="false">
      <c r="A4077" s="0" t="n">
        <v>4073</v>
      </c>
      <c r="B4077" s="0" t="n">
        <v>6</v>
      </c>
      <c r="C4077" s="19" t="n">
        <v>0.5442</v>
      </c>
      <c r="D4077" s="19" t="n">
        <v>0.5232</v>
      </c>
      <c r="E4077" s="20" t="n">
        <f aca="false">Parametres!$B$5*C4077</f>
        <v>163.26</v>
      </c>
      <c r="F4077" s="20" t="n">
        <f aca="false">Parametres!$B$6*D4077</f>
        <v>104.64</v>
      </c>
      <c r="G4077" s="20" t="n">
        <f aca="false">E4077+F4077</f>
        <v>267.9</v>
      </c>
      <c r="H4077" s="20" t="n">
        <f aca="false">IF(G4077&lt;Parametres!$B$8*Parametres!$B$7,0,MIN(G4077,Parametres!$B$7))</f>
        <v>250</v>
      </c>
      <c r="I4077" s="20" t="n">
        <f aca="false">G4077-H4077</f>
        <v>17.9</v>
      </c>
      <c r="J4077" s="21" t="n">
        <f aca="false">H4077*1000/Parametres!$B$9</f>
        <v>4239.44378497541</v>
      </c>
    </row>
    <row r="4078" customFormat="false" ht="15" hidden="false" customHeight="false" outlineLevel="0" collapsed="false">
      <c r="A4078" s="0" t="n">
        <v>4074</v>
      </c>
      <c r="B4078" s="0" t="n">
        <v>6</v>
      </c>
      <c r="C4078" s="19" t="n">
        <v>0.3014</v>
      </c>
      <c r="D4078" s="19" t="n">
        <v>0.6201</v>
      </c>
      <c r="E4078" s="20" t="n">
        <f aca="false">Parametres!$B$5*C4078</f>
        <v>90.42</v>
      </c>
      <c r="F4078" s="20" t="n">
        <f aca="false">Parametres!$B$6*D4078</f>
        <v>124.02</v>
      </c>
      <c r="G4078" s="20" t="n">
        <f aca="false">E4078+F4078</f>
        <v>214.44</v>
      </c>
      <c r="H4078" s="20" t="n">
        <f aca="false">IF(G4078&lt;Parametres!$B$8*Parametres!$B$7,0,MIN(G4078,Parametres!$B$7))</f>
        <v>214.44</v>
      </c>
      <c r="I4078" s="20" t="n">
        <f aca="false">G4078-H4078</f>
        <v>0</v>
      </c>
      <c r="J4078" s="21" t="n">
        <f aca="false">H4078*1000/Parametres!$B$9</f>
        <v>3636.42530100051</v>
      </c>
    </row>
    <row r="4079" customFormat="false" ht="15" hidden="false" customHeight="false" outlineLevel="0" collapsed="false">
      <c r="A4079" s="0" t="n">
        <v>4075</v>
      </c>
      <c r="B4079" s="0" t="n">
        <v>6</v>
      </c>
      <c r="C4079" s="19" t="n">
        <v>0.0752</v>
      </c>
      <c r="D4079" s="19" t="n">
        <v>0.7907</v>
      </c>
      <c r="E4079" s="20" t="n">
        <f aca="false">Parametres!$B$5*C4079</f>
        <v>22.56</v>
      </c>
      <c r="F4079" s="20" t="n">
        <f aca="false">Parametres!$B$6*D4079</f>
        <v>158.14</v>
      </c>
      <c r="G4079" s="20" t="n">
        <f aca="false">E4079+F4079</f>
        <v>180.7</v>
      </c>
      <c r="H4079" s="20" t="n">
        <f aca="false">IF(G4079&lt;Parametres!$B$8*Parametres!$B$7,0,MIN(G4079,Parametres!$B$7))</f>
        <v>180.7</v>
      </c>
      <c r="I4079" s="20" t="n">
        <f aca="false">G4079-H4079</f>
        <v>0</v>
      </c>
      <c r="J4079" s="21" t="n">
        <f aca="false">H4079*1000/Parametres!$B$9</f>
        <v>3064.26996778023</v>
      </c>
    </row>
    <row r="4080" customFormat="false" ht="15" hidden="false" customHeight="false" outlineLevel="0" collapsed="false">
      <c r="A4080" s="0" t="n">
        <v>4076</v>
      </c>
      <c r="B4080" s="0" t="n">
        <v>6</v>
      </c>
      <c r="C4080" s="19" t="n">
        <v>0</v>
      </c>
      <c r="D4080" s="19" t="n">
        <v>0.8051</v>
      </c>
      <c r="E4080" s="20" t="n">
        <f aca="false">Parametres!$B$5*C4080</f>
        <v>0</v>
      </c>
      <c r="F4080" s="20" t="n">
        <f aca="false">Parametres!$B$6*D4080</f>
        <v>161.02</v>
      </c>
      <c r="G4080" s="20" t="n">
        <f aca="false">E4080+F4080</f>
        <v>161.02</v>
      </c>
      <c r="H4080" s="20" t="n">
        <f aca="false">IF(G4080&lt;Parametres!$B$8*Parametres!$B$7,0,MIN(G4080,Parametres!$B$7))</f>
        <v>161.02</v>
      </c>
      <c r="I4080" s="20" t="n">
        <f aca="false">G4080-H4080</f>
        <v>0</v>
      </c>
      <c r="J4080" s="21" t="n">
        <f aca="false">H4080*1000/Parametres!$B$9</f>
        <v>2730.54095302696</v>
      </c>
    </row>
    <row r="4081" customFormat="false" ht="15" hidden="false" customHeight="false" outlineLevel="0" collapsed="false">
      <c r="A4081" s="0" t="n">
        <v>4077</v>
      </c>
      <c r="B4081" s="0" t="n">
        <v>6</v>
      </c>
      <c r="C4081" s="19" t="n">
        <v>0</v>
      </c>
      <c r="D4081" s="19" t="n">
        <v>0.5052</v>
      </c>
      <c r="E4081" s="20" t="n">
        <f aca="false">Parametres!$B$5*C4081</f>
        <v>0</v>
      </c>
      <c r="F4081" s="20" t="n">
        <f aca="false">Parametres!$B$6*D4081</f>
        <v>101.04</v>
      </c>
      <c r="G4081" s="20" t="n">
        <f aca="false">E4081+F4081</f>
        <v>101.04</v>
      </c>
      <c r="H4081" s="20" t="n">
        <f aca="false">IF(G4081&lt;Parametres!$B$8*Parametres!$B$7,0,MIN(G4081,Parametres!$B$7))</f>
        <v>101.04</v>
      </c>
      <c r="I4081" s="20" t="n">
        <f aca="false">G4081-H4081</f>
        <v>0</v>
      </c>
      <c r="J4081" s="21" t="n">
        <f aca="false">H4081*1000/Parametres!$B$9</f>
        <v>1713.41360013566</v>
      </c>
    </row>
    <row r="4082" customFormat="false" ht="15" hidden="false" customHeight="false" outlineLevel="0" collapsed="false">
      <c r="A4082" s="0" t="n">
        <v>4078</v>
      </c>
      <c r="B4082" s="0" t="n">
        <v>6</v>
      </c>
      <c r="C4082" s="19" t="n">
        <v>0</v>
      </c>
      <c r="D4082" s="19" t="n">
        <v>0.398</v>
      </c>
      <c r="E4082" s="20" t="n">
        <f aca="false">Parametres!$B$5*C4082</f>
        <v>0</v>
      </c>
      <c r="F4082" s="20" t="n">
        <f aca="false">Parametres!$B$6*D4082</f>
        <v>79.6</v>
      </c>
      <c r="G4082" s="20" t="n">
        <f aca="false">E4082+F4082</f>
        <v>79.6</v>
      </c>
      <c r="H4082" s="20" t="n">
        <f aca="false">IF(G4082&lt;Parametres!$B$8*Parametres!$B$7,0,MIN(G4082,Parametres!$B$7))</f>
        <v>79.6</v>
      </c>
      <c r="I4082" s="20" t="n">
        <f aca="false">G4082-H4082</f>
        <v>0</v>
      </c>
      <c r="J4082" s="21" t="n">
        <f aca="false">H4082*1000/Parametres!$B$9</f>
        <v>1349.83890113617</v>
      </c>
    </row>
    <row r="4083" customFormat="false" ht="15" hidden="false" customHeight="false" outlineLevel="0" collapsed="false">
      <c r="A4083" s="0" t="n">
        <v>4079</v>
      </c>
      <c r="B4083" s="0" t="n">
        <v>6</v>
      </c>
      <c r="C4083" s="19" t="n">
        <v>0</v>
      </c>
      <c r="D4083" s="19" t="n">
        <v>0.7512</v>
      </c>
      <c r="E4083" s="20" t="n">
        <f aca="false">Parametres!$B$5*C4083</f>
        <v>0</v>
      </c>
      <c r="F4083" s="20" t="n">
        <f aca="false">Parametres!$B$6*D4083</f>
        <v>150.24</v>
      </c>
      <c r="G4083" s="20" t="n">
        <f aca="false">E4083+F4083</f>
        <v>150.24</v>
      </c>
      <c r="H4083" s="20" t="n">
        <f aca="false">IF(G4083&lt;Parametres!$B$8*Parametres!$B$7,0,MIN(G4083,Parametres!$B$7))</f>
        <v>150.24</v>
      </c>
      <c r="I4083" s="20" t="n">
        <f aca="false">G4083-H4083</f>
        <v>0</v>
      </c>
      <c r="J4083" s="21" t="n">
        <f aca="false">H4083*1000/Parametres!$B$9</f>
        <v>2547.73613701882</v>
      </c>
    </row>
    <row r="4084" customFormat="false" ht="15" hidden="false" customHeight="false" outlineLevel="0" collapsed="false">
      <c r="A4084" s="0" t="n">
        <v>4080</v>
      </c>
      <c r="B4084" s="0" t="n">
        <v>6</v>
      </c>
      <c r="C4084" s="19" t="n">
        <v>0</v>
      </c>
      <c r="D4084" s="19" t="n">
        <v>0.4521</v>
      </c>
      <c r="E4084" s="20" t="n">
        <f aca="false">Parametres!$B$5*C4084</f>
        <v>0</v>
      </c>
      <c r="F4084" s="20" t="n">
        <f aca="false">Parametres!$B$6*D4084</f>
        <v>90.42</v>
      </c>
      <c r="G4084" s="20" t="n">
        <f aca="false">E4084+F4084</f>
        <v>90.42</v>
      </c>
      <c r="H4084" s="20" t="n">
        <f aca="false">IF(G4084&lt;Parametres!$B$8*Parametres!$B$7,0,MIN(G4084,Parametres!$B$7))</f>
        <v>90.42</v>
      </c>
      <c r="I4084" s="20" t="n">
        <f aca="false">G4084-H4084</f>
        <v>0</v>
      </c>
      <c r="J4084" s="21" t="n">
        <f aca="false">H4084*1000/Parametres!$B$9</f>
        <v>1533.32202814991</v>
      </c>
    </row>
    <row r="4085" customFormat="false" ht="15" hidden="false" customHeight="false" outlineLevel="0" collapsed="false">
      <c r="A4085" s="0" t="n">
        <v>4081</v>
      </c>
      <c r="B4085" s="0" t="n">
        <v>6</v>
      </c>
      <c r="C4085" s="19" t="n">
        <v>0</v>
      </c>
      <c r="D4085" s="19" t="n">
        <v>0.3453</v>
      </c>
      <c r="E4085" s="20" t="n">
        <f aca="false">Parametres!$B$5*C4085</f>
        <v>0</v>
      </c>
      <c r="F4085" s="20" t="n">
        <f aca="false">Parametres!$B$6*D4085</f>
        <v>69.06</v>
      </c>
      <c r="G4085" s="20" t="n">
        <f aca="false">E4085+F4085</f>
        <v>69.06</v>
      </c>
      <c r="H4085" s="20" t="n">
        <f aca="false">IF(G4085&lt;Parametres!$B$8*Parametres!$B$7,0,MIN(G4085,Parametres!$B$7))</f>
        <v>69.06</v>
      </c>
      <c r="I4085" s="20" t="n">
        <f aca="false">G4085-H4085</f>
        <v>0</v>
      </c>
      <c r="J4085" s="21" t="n">
        <f aca="false">H4085*1000/Parametres!$B$9</f>
        <v>1171.10395116161</v>
      </c>
    </row>
    <row r="4086" customFormat="false" ht="15" hidden="false" customHeight="false" outlineLevel="0" collapsed="false">
      <c r="A4086" s="0" t="n">
        <v>4082</v>
      </c>
      <c r="B4086" s="0" t="n">
        <v>6</v>
      </c>
      <c r="C4086" s="19" t="n">
        <v>0</v>
      </c>
      <c r="D4086" s="19" t="n">
        <v>0.427</v>
      </c>
      <c r="E4086" s="20" t="n">
        <f aca="false">Parametres!$B$5*C4086</f>
        <v>0</v>
      </c>
      <c r="F4086" s="20" t="n">
        <f aca="false">Parametres!$B$6*D4086</f>
        <v>85.4</v>
      </c>
      <c r="G4086" s="20" t="n">
        <f aca="false">E4086+F4086</f>
        <v>85.4</v>
      </c>
      <c r="H4086" s="20" t="n">
        <f aca="false">IF(G4086&lt;Parametres!$B$8*Parametres!$B$7,0,MIN(G4086,Parametres!$B$7))</f>
        <v>85.4</v>
      </c>
      <c r="I4086" s="20" t="n">
        <f aca="false">G4086-H4086</f>
        <v>0</v>
      </c>
      <c r="J4086" s="21" t="n">
        <f aca="false">H4086*1000/Parametres!$B$9</f>
        <v>1448.1939969476</v>
      </c>
    </row>
    <row r="4087" customFormat="false" ht="15" hidden="false" customHeight="false" outlineLevel="0" collapsed="false">
      <c r="A4087" s="0" t="n">
        <v>4083</v>
      </c>
      <c r="B4087" s="0" t="n">
        <v>6</v>
      </c>
      <c r="C4087" s="19" t="n">
        <v>0</v>
      </c>
      <c r="D4087" s="19" t="n">
        <v>0.2701</v>
      </c>
      <c r="E4087" s="20" t="n">
        <f aca="false">Parametres!$B$5*C4087</f>
        <v>0</v>
      </c>
      <c r="F4087" s="20" t="n">
        <f aca="false">Parametres!$B$6*D4087</f>
        <v>54.02</v>
      </c>
      <c r="G4087" s="20" t="n">
        <f aca="false">E4087+F4087</f>
        <v>54.02</v>
      </c>
      <c r="H4087" s="20" t="n">
        <f aca="false">IF(G4087&lt;Parametres!$B$8*Parametres!$B$7,0,MIN(G4087,Parametres!$B$7))</f>
        <v>54.02</v>
      </c>
      <c r="I4087" s="20" t="n">
        <f aca="false">G4087-H4087</f>
        <v>0</v>
      </c>
      <c r="J4087" s="21" t="n">
        <f aca="false">H4087*1000/Parametres!$B$9</f>
        <v>916.059013057487</v>
      </c>
    </row>
    <row r="4088" customFormat="false" ht="15" hidden="false" customHeight="false" outlineLevel="0" collapsed="false">
      <c r="A4088" s="0" t="n">
        <v>4084</v>
      </c>
      <c r="B4088" s="0" t="n">
        <v>6</v>
      </c>
      <c r="C4088" s="19" t="n">
        <v>0</v>
      </c>
      <c r="D4088" s="19" t="n">
        <v>0.2233</v>
      </c>
      <c r="E4088" s="20" t="n">
        <f aca="false">Parametres!$B$5*C4088</f>
        <v>0</v>
      </c>
      <c r="F4088" s="20" t="n">
        <f aca="false">Parametres!$B$6*D4088</f>
        <v>44.66</v>
      </c>
      <c r="G4088" s="20" t="n">
        <f aca="false">E4088+F4088</f>
        <v>44.66</v>
      </c>
      <c r="H4088" s="20" t="n">
        <f aca="false">IF(G4088&lt;Parametres!$B$8*Parametres!$B$7,0,MIN(G4088,Parametres!$B$7))</f>
        <v>44.66</v>
      </c>
      <c r="I4088" s="20" t="n">
        <f aca="false">G4088-H4088</f>
        <v>0</v>
      </c>
      <c r="J4088" s="21" t="n">
        <f aca="false">H4088*1000/Parametres!$B$9</f>
        <v>757.334237748008</v>
      </c>
    </row>
    <row r="4089" customFormat="false" ht="15" hidden="false" customHeight="false" outlineLevel="0" collapsed="false">
      <c r="A4089" s="0" t="n">
        <v>4085</v>
      </c>
      <c r="B4089" s="0" t="n">
        <v>6</v>
      </c>
      <c r="C4089" s="19" t="n">
        <v>0</v>
      </c>
      <c r="D4089" s="19" t="n">
        <v>0.3564</v>
      </c>
      <c r="E4089" s="20" t="n">
        <f aca="false">Parametres!$B$5*C4089</f>
        <v>0</v>
      </c>
      <c r="F4089" s="20" t="n">
        <f aca="false">Parametres!$B$6*D4089</f>
        <v>71.28</v>
      </c>
      <c r="G4089" s="20" t="n">
        <f aca="false">E4089+F4089</f>
        <v>71.28</v>
      </c>
      <c r="H4089" s="20" t="n">
        <f aca="false">IF(G4089&lt;Parametres!$B$8*Parametres!$B$7,0,MIN(G4089,Parametres!$B$7))</f>
        <v>71.28</v>
      </c>
      <c r="I4089" s="20" t="n">
        <f aca="false">G4089-H4089</f>
        <v>0</v>
      </c>
      <c r="J4089" s="21" t="n">
        <f aca="false">H4089*1000/Parametres!$B$9</f>
        <v>1208.75021197219</v>
      </c>
    </row>
    <row r="4090" customFormat="false" ht="15" hidden="false" customHeight="false" outlineLevel="0" collapsed="false">
      <c r="A4090" s="0" t="n">
        <v>4086</v>
      </c>
      <c r="B4090" s="0" t="n">
        <v>6</v>
      </c>
      <c r="C4090" s="19" t="n">
        <v>0.0701</v>
      </c>
      <c r="D4090" s="19" t="n">
        <v>0.5039</v>
      </c>
      <c r="E4090" s="20" t="n">
        <f aca="false">Parametres!$B$5*C4090</f>
        <v>21.03</v>
      </c>
      <c r="F4090" s="20" t="n">
        <f aca="false">Parametres!$B$6*D4090</f>
        <v>100.78</v>
      </c>
      <c r="G4090" s="20" t="n">
        <f aca="false">E4090+F4090</f>
        <v>121.81</v>
      </c>
      <c r="H4090" s="20" t="n">
        <f aca="false">IF(G4090&lt;Parametres!$B$8*Parametres!$B$7,0,MIN(G4090,Parametres!$B$7))</f>
        <v>121.81</v>
      </c>
      <c r="I4090" s="20" t="n">
        <f aca="false">G4090-H4090</f>
        <v>0</v>
      </c>
      <c r="J4090" s="21" t="n">
        <f aca="false">H4090*1000/Parametres!$B$9</f>
        <v>2065.62658979142</v>
      </c>
    </row>
    <row r="4091" customFormat="false" ht="15" hidden="false" customHeight="false" outlineLevel="0" collapsed="false">
      <c r="A4091" s="0" t="n">
        <v>4087</v>
      </c>
      <c r="B4091" s="0" t="n">
        <v>6</v>
      </c>
      <c r="C4091" s="19" t="n">
        <v>0.3081</v>
      </c>
      <c r="D4091" s="19" t="n">
        <v>0.2785</v>
      </c>
      <c r="E4091" s="20" t="n">
        <f aca="false">Parametres!$B$5*C4091</f>
        <v>92.43</v>
      </c>
      <c r="F4091" s="20" t="n">
        <f aca="false">Parametres!$B$6*D4091</f>
        <v>55.7</v>
      </c>
      <c r="G4091" s="20" t="n">
        <f aca="false">E4091+F4091</f>
        <v>148.13</v>
      </c>
      <c r="H4091" s="20" t="n">
        <f aca="false">IF(G4091&lt;Parametres!$B$8*Parametres!$B$7,0,MIN(G4091,Parametres!$B$7))</f>
        <v>148.13</v>
      </c>
      <c r="I4091" s="20" t="n">
        <f aca="false">G4091-H4091</f>
        <v>0</v>
      </c>
      <c r="J4091" s="21" t="n">
        <f aca="false">H4091*1000/Parametres!$B$9</f>
        <v>2511.95523147363</v>
      </c>
    </row>
    <row r="4092" customFormat="false" ht="15" hidden="false" customHeight="false" outlineLevel="0" collapsed="false">
      <c r="A4092" s="0" t="n">
        <v>4088</v>
      </c>
      <c r="B4092" s="0" t="n">
        <v>6</v>
      </c>
      <c r="C4092" s="19" t="n">
        <v>0.538</v>
      </c>
      <c r="D4092" s="19" t="n">
        <v>0.3819</v>
      </c>
      <c r="E4092" s="20" t="n">
        <f aca="false">Parametres!$B$5*C4092</f>
        <v>161.4</v>
      </c>
      <c r="F4092" s="20" t="n">
        <f aca="false">Parametres!$B$6*D4092</f>
        <v>76.38</v>
      </c>
      <c r="G4092" s="20" t="n">
        <f aca="false">E4092+F4092</f>
        <v>237.78</v>
      </c>
      <c r="H4092" s="20" t="n">
        <f aca="false">IF(G4092&lt;Parametres!$B$8*Parametres!$B$7,0,MIN(G4092,Parametres!$B$7))</f>
        <v>237.78</v>
      </c>
      <c r="I4092" s="20" t="n">
        <f aca="false">G4092-H4092</f>
        <v>0</v>
      </c>
      <c r="J4092" s="21" t="n">
        <f aca="false">H4092*1000/Parametres!$B$9</f>
        <v>4032.21977276581</v>
      </c>
    </row>
    <row r="4093" customFormat="false" ht="15" hidden="false" customHeight="false" outlineLevel="0" collapsed="false">
      <c r="A4093" s="0" t="n">
        <v>4089</v>
      </c>
      <c r="B4093" s="0" t="n">
        <v>6</v>
      </c>
      <c r="C4093" s="19" t="n">
        <v>0.7574</v>
      </c>
      <c r="D4093" s="19" t="n">
        <v>0.3795</v>
      </c>
      <c r="E4093" s="20" t="n">
        <f aca="false">Parametres!$B$5*C4093</f>
        <v>227.22</v>
      </c>
      <c r="F4093" s="20" t="n">
        <f aca="false">Parametres!$B$6*D4093</f>
        <v>75.9</v>
      </c>
      <c r="G4093" s="20" t="n">
        <f aca="false">E4093+F4093</f>
        <v>303.12</v>
      </c>
      <c r="H4093" s="20" t="n">
        <f aca="false">IF(G4093&lt;Parametres!$B$8*Parametres!$B$7,0,MIN(G4093,Parametres!$B$7))</f>
        <v>250</v>
      </c>
      <c r="I4093" s="20" t="n">
        <f aca="false">G4093-H4093</f>
        <v>53.12</v>
      </c>
      <c r="J4093" s="21" t="n">
        <f aca="false">H4093*1000/Parametres!$B$9</f>
        <v>4239.44378497541</v>
      </c>
    </row>
    <row r="4094" customFormat="false" ht="15" hidden="false" customHeight="false" outlineLevel="0" collapsed="false">
      <c r="A4094" s="0" t="n">
        <v>4090</v>
      </c>
      <c r="B4094" s="0" t="n">
        <v>6</v>
      </c>
      <c r="C4094" s="19" t="n">
        <v>1</v>
      </c>
      <c r="D4094" s="19" t="n">
        <v>0.2505</v>
      </c>
      <c r="E4094" s="20" t="n">
        <f aca="false">Parametres!$B$5*C4094</f>
        <v>300</v>
      </c>
      <c r="F4094" s="20" t="n">
        <f aca="false">Parametres!$B$6*D4094</f>
        <v>50.1</v>
      </c>
      <c r="G4094" s="20" t="n">
        <f aca="false">E4094+F4094</f>
        <v>350.1</v>
      </c>
      <c r="H4094" s="20" t="n">
        <f aca="false">IF(G4094&lt;Parametres!$B$8*Parametres!$B$7,0,MIN(G4094,Parametres!$B$7))</f>
        <v>250</v>
      </c>
      <c r="I4094" s="20" t="n">
        <f aca="false">G4094-H4094</f>
        <v>100.1</v>
      </c>
      <c r="J4094" s="21" t="n">
        <f aca="false">H4094*1000/Parametres!$B$9</f>
        <v>4239.44378497541</v>
      </c>
    </row>
    <row r="4095" customFormat="false" ht="15" hidden="false" customHeight="false" outlineLevel="0" collapsed="false">
      <c r="A4095" s="0" t="n">
        <v>4091</v>
      </c>
      <c r="B4095" s="0" t="n">
        <v>6</v>
      </c>
      <c r="C4095" s="19" t="n">
        <v>1</v>
      </c>
      <c r="D4095" s="19" t="n">
        <v>0.4397</v>
      </c>
      <c r="E4095" s="20" t="n">
        <f aca="false">Parametres!$B$5*C4095</f>
        <v>300</v>
      </c>
      <c r="F4095" s="20" t="n">
        <f aca="false">Parametres!$B$6*D4095</f>
        <v>87.94</v>
      </c>
      <c r="G4095" s="20" t="n">
        <f aca="false">E4095+F4095</f>
        <v>387.94</v>
      </c>
      <c r="H4095" s="20" t="n">
        <f aca="false">IF(G4095&lt;Parametres!$B$8*Parametres!$B$7,0,MIN(G4095,Parametres!$B$7))</f>
        <v>250</v>
      </c>
      <c r="I4095" s="20" t="n">
        <f aca="false">G4095-H4095</f>
        <v>137.94</v>
      </c>
      <c r="J4095" s="21" t="n">
        <f aca="false">H4095*1000/Parametres!$B$9</f>
        <v>4239.44378497541</v>
      </c>
    </row>
    <row r="4096" customFormat="false" ht="15" hidden="false" customHeight="false" outlineLevel="0" collapsed="false">
      <c r="A4096" s="0" t="n">
        <v>4092</v>
      </c>
      <c r="B4096" s="0" t="n">
        <v>6</v>
      </c>
      <c r="C4096" s="19" t="n">
        <v>1</v>
      </c>
      <c r="D4096" s="19" t="n">
        <v>0.4107</v>
      </c>
      <c r="E4096" s="20" t="n">
        <f aca="false">Parametres!$B$5*C4096</f>
        <v>300</v>
      </c>
      <c r="F4096" s="20" t="n">
        <f aca="false">Parametres!$B$6*D4096</f>
        <v>82.14</v>
      </c>
      <c r="G4096" s="20" t="n">
        <f aca="false">E4096+F4096</f>
        <v>382.14</v>
      </c>
      <c r="H4096" s="20" t="n">
        <f aca="false">IF(G4096&lt;Parametres!$B$8*Parametres!$B$7,0,MIN(G4096,Parametres!$B$7))</f>
        <v>250</v>
      </c>
      <c r="I4096" s="20" t="n">
        <f aca="false">G4096-H4096</f>
        <v>132.14</v>
      </c>
      <c r="J4096" s="21" t="n">
        <f aca="false">H4096*1000/Parametres!$B$9</f>
        <v>4239.44378497541</v>
      </c>
    </row>
    <row r="4097" customFormat="false" ht="15" hidden="false" customHeight="false" outlineLevel="0" collapsed="false">
      <c r="A4097" s="0" t="n">
        <v>4093</v>
      </c>
      <c r="B4097" s="0" t="n">
        <v>6</v>
      </c>
      <c r="C4097" s="19" t="n">
        <v>1</v>
      </c>
      <c r="D4097" s="19" t="n">
        <v>0.4555</v>
      </c>
      <c r="E4097" s="20" t="n">
        <f aca="false">Parametres!$B$5*C4097</f>
        <v>300</v>
      </c>
      <c r="F4097" s="20" t="n">
        <f aca="false">Parametres!$B$6*D4097</f>
        <v>91.1</v>
      </c>
      <c r="G4097" s="20" t="n">
        <f aca="false">E4097+F4097</f>
        <v>391.1</v>
      </c>
      <c r="H4097" s="20" t="n">
        <f aca="false">IF(G4097&lt;Parametres!$B$8*Parametres!$B$7,0,MIN(G4097,Parametres!$B$7))</f>
        <v>250</v>
      </c>
      <c r="I4097" s="20" t="n">
        <f aca="false">G4097-H4097</f>
        <v>141.1</v>
      </c>
      <c r="J4097" s="21" t="n">
        <f aca="false">H4097*1000/Parametres!$B$9</f>
        <v>4239.44378497541</v>
      </c>
    </row>
    <row r="4098" customFormat="false" ht="15" hidden="false" customHeight="false" outlineLevel="0" collapsed="false">
      <c r="A4098" s="0" t="n">
        <v>4094</v>
      </c>
      <c r="B4098" s="0" t="n">
        <v>6</v>
      </c>
      <c r="C4098" s="19" t="n">
        <v>1</v>
      </c>
      <c r="D4098" s="19" t="n">
        <v>0.3589</v>
      </c>
      <c r="E4098" s="20" t="n">
        <f aca="false">Parametres!$B$5*C4098</f>
        <v>300</v>
      </c>
      <c r="F4098" s="20" t="n">
        <f aca="false">Parametres!$B$6*D4098</f>
        <v>71.78</v>
      </c>
      <c r="G4098" s="20" t="n">
        <f aca="false">E4098+F4098</f>
        <v>371.78</v>
      </c>
      <c r="H4098" s="20" t="n">
        <f aca="false">IF(G4098&lt;Parametres!$B$8*Parametres!$B$7,0,MIN(G4098,Parametres!$B$7))</f>
        <v>250</v>
      </c>
      <c r="I4098" s="20" t="n">
        <f aca="false">G4098-H4098</f>
        <v>121.78</v>
      </c>
      <c r="J4098" s="21" t="n">
        <f aca="false">H4098*1000/Parametres!$B$9</f>
        <v>4239.44378497541</v>
      </c>
    </row>
    <row r="4099" customFormat="false" ht="15" hidden="false" customHeight="false" outlineLevel="0" collapsed="false">
      <c r="A4099" s="0" t="n">
        <v>4095</v>
      </c>
      <c r="B4099" s="0" t="n">
        <v>6</v>
      </c>
      <c r="C4099" s="19" t="n">
        <v>0.9568</v>
      </c>
      <c r="D4099" s="19" t="n">
        <v>0.5321</v>
      </c>
      <c r="E4099" s="20" t="n">
        <f aca="false">Parametres!$B$5*C4099</f>
        <v>287.04</v>
      </c>
      <c r="F4099" s="20" t="n">
        <f aca="false">Parametres!$B$6*D4099</f>
        <v>106.42</v>
      </c>
      <c r="G4099" s="20" t="n">
        <f aca="false">E4099+F4099</f>
        <v>393.46</v>
      </c>
      <c r="H4099" s="20" t="n">
        <f aca="false">IF(G4099&lt;Parametres!$B$8*Parametres!$B$7,0,MIN(G4099,Parametres!$B$7))</f>
        <v>250</v>
      </c>
      <c r="I4099" s="20" t="n">
        <f aca="false">G4099-H4099</f>
        <v>143.46</v>
      </c>
      <c r="J4099" s="21" t="n">
        <f aca="false">H4099*1000/Parametres!$B$9</f>
        <v>4239.44378497541</v>
      </c>
    </row>
    <row r="4100" customFormat="false" ht="15" hidden="false" customHeight="false" outlineLevel="0" collapsed="false">
      <c r="A4100" s="0" t="n">
        <v>4096</v>
      </c>
      <c r="B4100" s="0" t="n">
        <v>6</v>
      </c>
      <c r="C4100" s="19" t="n">
        <v>0.7868</v>
      </c>
      <c r="D4100" s="19" t="n">
        <v>0.7727</v>
      </c>
      <c r="E4100" s="20" t="n">
        <f aca="false">Parametres!$B$5*C4100</f>
        <v>236.04</v>
      </c>
      <c r="F4100" s="20" t="n">
        <f aca="false">Parametres!$B$6*D4100</f>
        <v>154.54</v>
      </c>
      <c r="G4100" s="20" t="n">
        <f aca="false">E4100+F4100</f>
        <v>390.58</v>
      </c>
      <c r="H4100" s="20" t="n">
        <f aca="false">IF(G4100&lt;Parametres!$B$8*Parametres!$B$7,0,MIN(G4100,Parametres!$B$7))</f>
        <v>250</v>
      </c>
      <c r="I4100" s="20" t="n">
        <f aca="false">G4100-H4100</f>
        <v>140.58</v>
      </c>
      <c r="J4100" s="21" t="n">
        <f aca="false">H4100*1000/Parametres!$B$9</f>
        <v>4239.44378497541</v>
      </c>
    </row>
    <row r="4101" customFormat="false" ht="15" hidden="false" customHeight="false" outlineLevel="0" collapsed="false">
      <c r="A4101" s="0" t="n">
        <v>4097</v>
      </c>
      <c r="B4101" s="0" t="n">
        <v>6</v>
      </c>
      <c r="C4101" s="19" t="n">
        <v>0.5367</v>
      </c>
      <c r="D4101" s="19" t="n">
        <v>1</v>
      </c>
      <c r="E4101" s="20" t="n">
        <f aca="false">Parametres!$B$5*C4101</f>
        <v>161.01</v>
      </c>
      <c r="F4101" s="20" t="n">
        <f aca="false">Parametres!$B$6*D4101</f>
        <v>200</v>
      </c>
      <c r="G4101" s="20" t="n">
        <f aca="false">E4101+F4101</f>
        <v>361.01</v>
      </c>
      <c r="H4101" s="20" t="n">
        <f aca="false">IF(G4101&lt;Parametres!$B$8*Parametres!$B$7,0,MIN(G4101,Parametres!$B$7))</f>
        <v>250</v>
      </c>
      <c r="I4101" s="20" t="n">
        <f aca="false">G4101-H4101</f>
        <v>111.01</v>
      </c>
      <c r="J4101" s="21" t="n">
        <f aca="false">H4101*1000/Parametres!$B$9</f>
        <v>4239.44378497541</v>
      </c>
    </row>
    <row r="4102" customFormat="false" ht="15" hidden="false" customHeight="false" outlineLevel="0" collapsed="false">
      <c r="A4102" s="0" t="n">
        <v>4098</v>
      </c>
      <c r="B4102" s="0" t="n">
        <v>6</v>
      </c>
      <c r="C4102" s="19" t="n">
        <v>0.2798</v>
      </c>
      <c r="D4102" s="19" t="n">
        <v>1</v>
      </c>
      <c r="E4102" s="20" t="n">
        <f aca="false">Parametres!$B$5*C4102</f>
        <v>83.94</v>
      </c>
      <c r="F4102" s="20" t="n">
        <f aca="false">Parametres!$B$6*D4102</f>
        <v>200</v>
      </c>
      <c r="G4102" s="20" t="n">
        <f aca="false">E4102+F4102</f>
        <v>283.94</v>
      </c>
      <c r="H4102" s="20" t="n">
        <f aca="false">IF(G4102&lt;Parametres!$B$8*Parametres!$B$7,0,MIN(G4102,Parametres!$B$7))</f>
        <v>250</v>
      </c>
      <c r="I4102" s="20" t="n">
        <f aca="false">G4102-H4102</f>
        <v>33.94</v>
      </c>
      <c r="J4102" s="21" t="n">
        <f aca="false">H4102*1000/Parametres!$B$9</f>
        <v>4239.44378497541</v>
      </c>
    </row>
    <row r="4103" customFormat="false" ht="15" hidden="false" customHeight="false" outlineLevel="0" collapsed="false">
      <c r="A4103" s="0" t="n">
        <v>4099</v>
      </c>
      <c r="B4103" s="0" t="n">
        <v>6</v>
      </c>
      <c r="C4103" s="19" t="n">
        <v>0.0705</v>
      </c>
      <c r="D4103" s="19" t="n">
        <v>1</v>
      </c>
      <c r="E4103" s="20" t="n">
        <f aca="false">Parametres!$B$5*C4103</f>
        <v>21.15</v>
      </c>
      <c r="F4103" s="20" t="n">
        <f aca="false">Parametres!$B$6*D4103</f>
        <v>200</v>
      </c>
      <c r="G4103" s="20" t="n">
        <f aca="false">E4103+F4103</f>
        <v>221.15</v>
      </c>
      <c r="H4103" s="20" t="n">
        <f aca="false">IF(G4103&lt;Parametres!$B$8*Parametres!$B$7,0,MIN(G4103,Parametres!$B$7))</f>
        <v>221.15</v>
      </c>
      <c r="I4103" s="20" t="n">
        <f aca="false">G4103-H4103</f>
        <v>0</v>
      </c>
      <c r="J4103" s="21" t="n">
        <f aca="false">H4103*1000/Parametres!$B$9</f>
        <v>3750.21197218925</v>
      </c>
    </row>
    <row r="4104" customFormat="false" ht="15" hidden="false" customHeight="false" outlineLevel="0" collapsed="false">
      <c r="A4104" s="0" t="n">
        <v>4100</v>
      </c>
      <c r="B4104" s="0" t="n">
        <v>6</v>
      </c>
      <c r="C4104" s="19" t="n">
        <v>0</v>
      </c>
      <c r="D4104" s="19" t="n">
        <v>1</v>
      </c>
      <c r="E4104" s="20" t="n">
        <f aca="false">Parametres!$B$5*C4104</f>
        <v>0</v>
      </c>
      <c r="F4104" s="20" t="n">
        <f aca="false">Parametres!$B$6*D4104</f>
        <v>200</v>
      </c>
      <c r="G4104" s="20" t="n">
        <f aca="false">E4104+F4104</f>
        <v>200</v>
      </c>
      <c r="H4104" s="20" t="n">
        <f aca="false">IF(G4104&lt;Parametres!$B$8*Parametres!$B$7,0,MIN(G4104,Parametres!$B$7))</f>
        <v>200</v>
      </c>
      <c r="I4104" s="20" t="n">
        <f aca="false">G4104-H4104</f>
        <v>0</v>
      </c>
      <c r="J4104" s="21" t="n">
        <f aca="false">H4104*1000/Parametres!$B$9</f>
        <v>3391.55502798033</v>
      </c>
    </row>
    <row r="4105" customFormat="false" ht="15" hidden="false" customHeight="false" outlineLevel="0" collapsed="false">
      <c r="A4105" s="0" t="n">
        <v>4101</v>
      </c>
      <c r="B4105" s="0" t="n">
        <v>6</v>
      </c>
      <c r="C4105" s="19" t="n">
        <v>0</v>
      </c>
      <c r="D4105" s="19" t="n">
        <v>1</v>
      </c>
      <c r="E4105" s="20" t="n">
        <f aca="false">Parametres!$B$5*C4105</f>
        <v>0</v>
      </c>
      <c r="F4105" s="20" t="n">
        <f aca="false">Parametres!$B$6*D4105</f>
        <v>200</v>
      </c>
      <c r="G4105" s="20" t="n">
        <f aca="false">E4105+F4105</f>
        <v>200</v>
      </c>
      <c r="H4105" s="20" t="n">
        <f aca="false">IF(G4105&lt;Parametres!$B$8*Parametres!$B$7,0,MIN(G4105,Parametres!$B$7))</f>
        <v>200</v>
      </c>
      <c r="I4105" s="20" t="n">
        <f aca="false">G4105-H4105</f>
        <v>0</v>
      </c>
      <c r="J4105" s="21" t="n">
        <f aca="false">H4105*1000/Parametres!$B$9</f>
        <v>3391.55502798033</v>
      </c>
    </row>
    <row r="4106" customFormat="false" ht="15" hidden="false" customHeight="false" outlineLevel="0" collapsed="false">
      <c r="A4106" s="0" t="n">
        <v>4102</v>
      </c>
      <c r="B4106" s="0" t="n">
        <v>6</v>
      </c>
      <c r="C4106" s="19" t="n">
        <v>0</v>
      </c>
      <c r="D4106" s="19" t="n">
        <v>1</v>
      </c>
      <c r="E4106" s="20" t="n">
        <f aca="false">Parametres!$B$5*C4106</f>
        <v>0</v>
      </c>
      <c r="F4106" s="20" t="n">
        <f aca="false">Parametres!$B$6*D4106</f>
        <v>200</v>
      </c>
      <c r="G4106" s="20" t="n">
        <f aca="false">E4106+F4106</f>
        <v>200</v>
      </c>
      <c r="H4106" s="20" t="n">
        <f aca="false">IF(G4106&lt;Parametres!$B$8*Parametres!$B$7,0,MIN(G4106,Parametres!$B$7))</f>
        <v>200</v>
      </c>
      <c r="I4106" s="20" t="n">
        <f aca="false">G4106-H4106</f>
        <v>0</v>
      </c>
      <c r="J4106" s="21" t="n">
        <f aca="false">H4106*1000/Parametres!$B$9</f>
        <v>3391.55502798033</v>
      </c>
    </row>
    <row r="4107" customFormat="false" ht="15" hidden="false" customHeight="false" outlineLevel="0" collapsed="false">
      <c r="A4107" s="0" t="n">
        <v>4103</v>
      </c>
      <c r="B4107" s="0" t="n">
        <v>6</v>
      </c>
      <c r="C4107" s="19" t="n">
        <v>0</v>
      </c>
      <c r="D4107" s="19" t="n">
        <v>1</v>
      </c>
      <c r="E4107" s="20" t="n">
        <f aca="false">Parametres!$B$5*C4107</f>
        <v>0</v>
      </c>
      <c r="F4107" s="20" t="n">
        <f aca="false">Parametres!$B$6*D4107</f>
        <v>200</v>
      </c>
      <c r="G4107" s="20" t="n">
        <f aca="false">E4107+F4107</f>
        <v>200</v>
      </c>
      <c r="H4107" s="20" t="n">
        <f aca="false">IF(G4107&lt;Parametres!$B$8*Parametres!$B$7,0,MIN(G4107,Parametres!$B$7))</f>
        <v>200</v>
      </c>
      <c r="I4107" s="20" t="n">
        <f aca="false">G4107-H4107</f>
        <v>0</v>
      </c>
      <c r="J4107" s="21" t="n">
        <f aca="false">H4107*1000/Parametres!$B$9</f>
        <v>3391.55502798033</v>
      </c>
    </row>
    <row r="4108" customFormat="false" ht="15" hidden="false" customHeight="false" outlineLevel="0" collapsed="false">
      <c r="A4108" s="0" t="n">
        <v>4104</v>
      </c>
      <c r="B4108" s="0" t="n">
        <v>6</v>
      </c>
      <c r="C4108" s="19" t="n">
        <v>0</v>
      </c>
      <c r="D4108" s="19" t="n">
        <v>0.9817</v>
      </c>
      <c r="E4108" s="20" t="n">
        <f aca="false">Parametres!$B$5*C4108</f>
        <v>0</v>
      </c>
      <c r="F4108" s="20" t="n">
        <f aca="false">Parametres!$B$6*D4108</f>
        <v>196.34</v>
      </c>
      <c r="G4108" s="20" t="n">
        <f aca="false">E4108+F4108</f>
        <v>196.34</v>
      </c>
      <c r="H4108" s="20" t="n">
        <f aca="false">IF(G4108&lt;Parametres!$B$8*Parametres!$B$7,0,MIN(G4108,Parametres!$B$7))</f>
        <v>196.34</v>
      </c>
      <c r="I4108" s="20" t="n">
        <f aca="false">G4108-H4108</f>
        <v>0</v>
      </c>
      <c r="J4108" s="21" t="n">
        <f aca="false">H4108*1000/Parametres!$B$9</f>
        <v>3329.48957096829</v>
      </c>
    </row>
    <row r="4109" customFormat="false" ht="15" hidden="false" customHeight="false" outlineLevel="0" collapsed="false">
      <c r="A4109" s="0" t="n">
        <v>4105</v>
      </c>
      <c r="B4109" s="0" t="n">
        <v>6</v>
      </c>
      <c r="C4109" s="19" t="n">
        <v>0</v>
      </c>
      <c r="D4109" s="19" t="n">
        <v>1</v>
      </c>
      <c r="E4109" s="20" t="n">
        <f aca="false">Parametres!$B$5*C4109</f>
        <v>0</v>
      </c>
      <c r="F4109" s="20" t="n">
        <f aca="false">Parametres!$B$6*D4109</f>
        <v>200</v>
      </c>
      <c r="G4109" s="20" t="n">
        <f aca="false">E4109+F4109</f>
        <v>200</v>
      </c>
      <c r="H4109" s="20" t="n">
        <f aca="false">IF(G4109&lt;Parametres!$B$8*Parametres!$B$7,0,MIN(G4109,Parametres!$B$7))</f>
        <v>200</v>
      </c>
      <c r="I4109" s="20" t="n">
        <f aca="false">G4109-H4109</f>
        <v>0</v>
      </c>
      <c r="J4109" s="21" t="n">
        <f aca="false">H4109*1000/Parametres!$B$9</f>
        <v>3391.55502798033</v>
      </c>
    </row>
    <row r="4110" customFormat="false" ht="15" hidden="false" customHeight="false" outlineLevel="0" collapsed="false">
      <c r="A4110" s="0" t="n">
        <v>4106</v>
      </c>
      <c r="B4110" s="0" t="n">
        <v>6</v>
      </c>
      <c r="C4110" s="19" t="n">
        <v>0</v>
      </c>
      <c r="D4110" s="19" t="n">
        <v>1</v>
      </c>
      <c r="E4110" s="20" t="n">
        <f aca="false">Parametres!$B$5*C4110</f>
        <v>0</v>
      </c>
      <c r="F4110" s="20" t="n">
        <f aca="false">Parametres!$B$6*D4110</f>
        <v>200</v>
      </c>
      <c r="G4110" s="20" t="n">
        <f aca="false">E4110+F4110</f>
        <v>200</v>
      </c>
      <c r="H4110" s="20" t="n">
        <f aca="false">IF(G4110&lt;Parametres!$B$8*Parametres!$B$7,0,MIN(G4110,Parametres!$B$7))</f>
        <v>200</v>
      </c>
      <c r="I4110" s="20" t="n">
        <f aca="false">G4110-H4110</f>
        <v>0</v>
      </c>
      <c r="J4110" s="21" t="n">
        <f aca="false">H4110*1000/Parametres!$B$9</f>
        <v>3391.55502798033</v>
      </c>
    </row>
    <row r="4111" customFormat="false" ht="15" hidden="false" customHeight="false" outlineLevel="0" collapsed="false">
      <c r="A4111" s="0" t="n">
        <v>4107</v>
      </c>
      <c r="B4111" s="0" t="n">
        <v>6</v>
      </c>
      <c r="C4111" s="19" t="n">
        <v>0</v>
      </c>
      <c r="D4111" s="19" t="n">
        <v>1</v>
      </c>
      <c r="E4111" s="20" t="n">
        <f aca="false">Parametres!$B$5*C4111</f>
        <v>0</v>
      </c>
      <c r="F4111" s="20" t="n">
        <f aca="false">Parametres!$B$6*D4111</f>
        <v>200</v>
      </c>
      <c r="G4111" s="20" t="n">
        <f aca="false">E4111+F4111</f>
        <v>200</v>
      </c>
      <c r="H4111" s="20" t="n">
        <f aca="false">IF(G4111&lt;Parametres!$B$8*Parametres!$B$7,0,MIN(G4111,Parametres!$B$7))</f>
        <v>200</v>
      </c>
      <c r="I4111" s="20" t="n">
        <f aca="false">G4111-H4111</f>
        <v>0</v>
      </c>
      <c r="J4111" s="21" t="n">
        <f aca="false">H4111*1000/Parametres!$B$9</f>
        <v>3391.55502798033</v>
      </c>
    </row>
    <row r="4112" customFormat="false" ht="15" hidden="false" customHeight="false" outlineLevel="0" collapsed="false">
      <c r="A4112" s="0" t="n">
        <v>4108</v>
      </c>
      <c r="B4112" s="0" t="n">
        <v>6</v>
      </c>
      <c r="C4112" s="19" t="n">
        <v>0</v>
      </c>
      <c r="D4112" s="19" t="n">
        <v>1</v>
      </c>
      <c r="E4112" s="20" t="n">
        <f aca="false">Parametres!$B$5*C4112</f>
        <v>0</v>
      </c>
      <c r="F4112" s="20" t="n">
        <f aca="false">Parametres!$B$6*D4112</f>
        <v>200</v>
      </c>
      <c r="G4112" s="20" t="n">
        <f aca="false">E4112+F4112</f>
        <v>200</v>
      </c>
      <c r="H4112" s="20" t="n">
        <f aca="false">IF(G4112&lt;Parametres!$B$8*Parametres!$B$7,0,MIN(G4112,Parametres!$B$7))</f>
        <v>200</v>
      </c>
      <c r="I4112" s="20" t="n">
        <f aca="false">G4112-H4112</f>
        <v>0</v>
      </c>
      <c r="J4112" s="21" t="n">
        <f aca="false">H4112*1000/Parametres!$B$9</f>
        <v>3391.55502798033</v>
      </c>
    </row>
    <row r="4113" customFormat="false" ht="15" hidden="false" customHeight="false" outlineLevel="0" collapsed="false">
      <c r="A4113" s="0" t="n">
        <v>4109</v>
      </c>
      <c r="B4113" s="0" t="n">
        <v>6</v>
      </c>
      <c r="C4113" s="19" t="n">
        <v>0</v>
      </c>
      <c r="D4113" s="19" t="n">
        <v>1</v>
      </c>
      <c r="E4113" s="20" t="n">
        <f aca="false">Parametres!$B$5*C4113</f>
        <v>0</v>
      </c>
      <c r="F4113" s="20" t="n">
        <f aca="false">Parametres!$B$6*D4113</f>
        <v>200</v>
      </c>
      <c r="G4113" s="20" t="n">
        <f aca="false">E4113+F4113</f>
        <v>200</v>
      </c>
      <c r="H4113" s="20" t="n">
        <f aca="false">IF(G4113&lt;Parametres!$B$8*Parametres!$B$7,0,MIN(G4113,Parametres!$B$7))</f>
        <v>200</v>
      </c>
      <c r="I4113" s="20" t="n">
        <f aca="false">G4113-H4113</f>
        <v>0</v>
      </c>
      <c r="J4113" s="21" t="n">
        <f aca="false">H4113*1000/Parametres!$B$9</f>
        <v>3391.55502798033</v>
      </c>
    </row>
    <row r="4114" customFormat="false" ht="15" hidden="false" customHeight="false" outlineLevel="0" collapsed="false">
      <c r="A4114" s="0" t="n">
        <v>4110</v>
      </c>
      <c r="B4114" s="0" t="n">
        <v>6</v>
      </c>
      <c r="C4114" s="19" t="n">
        <v>0.0714</v>
      </c>
      <c r="D4114" s="19" t="n">
        <v>1</v>
      </c>
      <c r="E4114" s="20" t="n">
        <f aca="false">Parametres!$B$5*C4114</f>
        <v>21.42</v>
      </c>
      <c r="F4114" s="20" t="n">
        <f aca="false">Parametres!$B$6*D4114</f>
        <v>200</v>
      </c>
      <c r="G4114" s="20" t="n">
        <f aca="false">E4114+F4114</f>
        <v>221.42</v>
      </c>
      <c r="H4114" s="20" t="n">
        <f aca="false">IF(G4114&lt;Parametres!$B$8*Parametres!$B$7,0,MIN(G4114,Parametres!$B$7))</f>
        <v>221.42</v>
      </c>
      <c r="I4114" s="20" t="n">
        <f aca="false">G4114-H4114</f>
        <v>0</v>
      </c>
      <c r="J4114" s="21" t="n">
        <f aca="false">H4114*1000/Parametres!$B$9</f>
        <v>3754.79057147702</v>
      </c>
    </row>
    <row r="4115" customFormat="false" ht="15" hidden="false" customHeight="false" outlineLevel="0" collapsed="false">
      <c r="A4115" s="0" t="n">
        <v>4111</v>
      </c>
      <c r="B4115" s="0" t="n">
        <v>6</v>
      </c>
      <c r="C4115" s="19" t="n">
        <v>0.3237</v>
      </c>
      <c r="D4115" s="19" t="n">
        <v>1</v>
      </c>
      <c r="E4115" s="20" t="n">
        <f aca="false">Parametres!$B$5*C4115</f>
        <v>97.11</v>
      </c>
      <c r="F4115" s="20" t="n">
        <f aca="false">Parametres!$B$6*D4115</f>
        <v>200</v>
      </c>
      <c r="G4115" s="20" t="n">
        <f aca="false">E4115+F4115</f>
        <v>297.11</v>
      </c>
      <c r="H4115" s="20" t="n">
        <f aca="false">IF(G4115&lt;Parametres!$B$8*Parametres!$B$7,0,MIN(G4115,Parametres!$B$7))</f>
        <v>250</v>
      </c>
      <c r="I4115" s="20" t="n">
        <f aca="false">G4115-H4115</f>
        <v>47.11</v>
      </c>
      <c r="J4115" s="21" t="n">
        <f aca="false">H4115*1000/Parametres!$B$9</f>
        <v>4239.44378497541</v>
      </c>
    </row>
    <row r="4116" customFormat="false" ht="15" hidden="false" customHeight="false" outlineLevel="0" collapsed="false">
      <c r="A4116" s="0" t="n">
        <v>4112</v>
      </c>
      <c r="B4116" s="0" t="n">
        <v>6</v>
      </c>
      <c r="C4116" s="19" t="n">
        <v>0.596</v>
      </c>
      <c r="D4116" s="19" t="n">
        <v>1</v>
      </c>
      <c r="E4116" s="20" t="n">
        <f aca="false">Parametres!$B$5*C4116</f>
        <v>178.8</v>
      </c>
      <c r="F4116" s="20" t="n">
        <f aca="false">Parametres!$B$6*D4116</f>
        <v>200</v>
      </c>
      <c r="G4116" s="20" t="n">
        <f aca="false">E4116+F4116</f>
        <v>378.8</v>
      </c>
      <c r="H4116" s="20" t="n">
        <f aca="false">IF(G4116&lt;Parametres!$B$8*Parametres!$B$7,0,MIN(G4116,Parametres!$B$7))</f>
        <v>250</v>
      </c>
      <c r="I4116" s="20" t="n">
        <f aca="false">G4116-H4116</f>
        <v>128.8</v>
      </c>
      <c r="J4116" s="21" t="n">
        <f aca="false">H4116*1000/Parametres!$B$9</f>
        <v>4239.44378497541</v>
      </c>
    </row>
    <row r="4117" customFormat="false" ht="15" hidden="false" customHeight="false" outlineLevel="0" collapsed="false">
      <c r="A4117" s="0" t="n">
        <v>4113</v>
      </c>
      <c r="B4117" s="0" t="n">
        <v>6</v>
      </c>
      <c r="C4117" s="19" t="n">
        <v>0.7532</v>
      </c>
      <c r="D4117" s="19" t="n">
        <v>1</v>
      </c>
      <c r="E4117" s="20" t="n">
        <f aca="false">Parametres!$B$5*C4117</f>
        <v>225.96</v>
      </c>
      <c r="F4117" s="20" t="n">
        <f aca="false">Parametres!$B$6*D4117</f>
        <v>200</v>
      </c>
      <c r="G4117" s="20" t="n">
        <f aca="false">E4117+F4117</f>
        <v>425.96</v>
      </c>
      <c r="H4117" s="20" t="n">
        <f aca="false">IF(G4117&lt;Parametres!$B$8*Parametres!$B$7,0,MIN(G4117,Parametres!$B$7))</f>
        <v>250</v>
      </c>
      <c r="I4117" s="20" t="n">
        <f aca="false">G4117-H4117</f>
        <v>175.96</v>
      </c>
      <c r="J4117" s="21" t="n">
        <f aca="false">H4117*1000/Parametres!$B$9</f>
        <v>4239.44378497541</v>
      </c>
    </row>
    <row r="4118" customFormat="false" ht="15" hidden="false" customHeight="false" outlineLevel="0" collapsed="false">
      <c r="A4118" s="0" t="n">
        <v>4114</v>
      </c>
      <c r="B4118" s="0" t="n">
        <v>6</v>
      </c>
      <c r="C4118" s="19" t="n">
        <v>1</v>
      </c>
      <c r="D4118" s="19" t="n">
        <v>1</v>
      </c>
      <c r="E4118" s="20" t="n">
        <f aca="false">Parametres!$B$5*C4118</f>
        <v>300</v>
      </c>
      <c r="F4118" s="20" t="n">
        <f aca="false">Parametres!$B$6*D4118</f>
        <v>200</v>
      </c>
      <c r="G4118" s="20" t="n">
        <f aca="false">E4118+F4118</f>
        <v>500</v>
      </c>
      <c r="H4118" s="20" t="n">
        <f aca="false">IF(G4118&lt;Parametres!$B$8*Parametres!$B$7,0,MIN(G4118,Parametres!$B$7))</f>
        <v>250</v>
      </c>
      <c r="I4118" s="20" t="n">
        <f aca="false">G4118-H4118</f>
        <v>250</v>
      </c>
      <c r="J4118" s="21" t="n">
        <f aca="false">H4118*1000/Parametres!$B$9</f>
        <v>4239.44378497541</v>
      </c>
    </row>
    <row r="4119" customFormat="false" ht="15" hidden="false" customHeight="false" outlineLevel="0" collapsed="false">
      <c r="A4119" s="0" t="n">
        <v>4115</v>
      </c>
      <c r="B4119" s="0" t="n">
        <v>6</v>
      </c>
      <c r="C4119" s="19" t="n">
        <v>1</v>
      </c>
      <c r="D4119" s="19" t="n">
        <v>1</v>
      </c>
      <c r="E4119" s="20" t="n">
        <f aca="false">Parametres!$B$5*C4119</f>
        <v>300</v>
      </c>
      <c r="F4119" s="20" t="n">
        <f aca="false">Parametres!$B$6*D4119</f>
        <v>200</v>
      </c>
      <c r="G4119" s="20" t="n">
        <f aca="false">E4119+F4119</f>
        <v>500</v>
      </c>
      <c r="H4119" s="20" t="n">
        <f aca="false">IF(G4119&lt;Parametres!$B$8*Parametres!$B$7,0,MIN(G4119,Parametres!$B$7))</f>
        <v>250</v>
      </c>
      <c r="I4119" s="20" t="n">
        <f aca="false">G4119-H4119</f>
        <v>250</v>
      </c>
      <c r="J4119" s="21" t="n">
        <f aca="false">H4119*1000/Parametres!$B$9</f>
        <v>4239.44378497541</v>
      </c>
    </row>
    <row r="4120" customFormat="false" ht="15" hidden="false" customHeight="false" outlineLevel="0" collapsed="false">
      <c r="A4120" s="0" t="n">
        <v>4116</v>
      </c>
      <c r="B4120" s="0" t="n">
        <v>6</v>
      </c>
      <c r="C4120" s="19" t="n">
        <v>1</v>
      </c>
      <c r="D4120" s="19" t="n">
        <v>1</v>
      </c>
      <c r="E4120" s="20" t="n">
        <f aca="false">Parametres!$B$5*C4120</f>
        <v>300</v>
      </c>
      <c r="F4120" s="20" t="n">
        <f aca="false">Parametres!$B$6*D4120</f>
        <v>200</v>
      </c>
      <c r="G4120" s="20" t="n">
        <f aca="false">E4120+F4120</f>
        <v>500</v>
      </c>
      <c r="H4120" s="20" t="n">
        <f aca="false">IF(G4120&lt;Parametres!$B$8*Parametres!$B$7,0,MIN(G4120,Parametres!$B$7))</f>
        <v>250</v>
      </c>
      <c r="I4120" s="20" t="n">
        <f aca="false">G4120-H4120</f>
        <v>250</v>
      </c>
      <c r="J4120" s="21" t="n">
        <f aca="false">H4120*1000/Parametres!$B$9</f>
        <v>4239.44378497541</v>
      </c>
    </row>
    <row r="4121" customFormat="false" ht="15" hidden="false" customHeight="false" outlineLevel="0" collapsed="false">
      <c r="A4121" s="0" t="n">
        <v>4117</v>
      </c>
      <c r="B4121" s="0" t="n">
        <v>6</v>
      </c>
      <c r="C4121" s="19" t="n">
        <v>1</v>
      </c>
      <c r="D4121" s="19" t="n">
        <v>1</v>
      </c>
      <c r="E4121" s="20" t="n">
        <f aca="false">Parametres!$B$5*C4121</f>
        <v>300</v>
      </c>
      <c r="F4121" s="20" t="n">
        <f aca="false">Parametres!$B$6*D4121</f>
        <v>200</v>
      </c>
      <c r="G4121" s="20" t="n">
        <f aca="false">E4121+F4121</f>
        <v>500</v>
      </c>
      <c r="H4121" s="20" t="n">
        <f aca="false">IF(G4121&lt;Parametres!$B$8*Parametres!$B$7,0,MIN(G4121,Parametres!$B$7))</f>
        <v>250</v>
      </c>
      <c r="I4121" s="20" t="n">
        <f aca="false">G4121-H4121</f>
        <v>250</v>
      </c>
      <c r="J4121" s="21" t="n">
        <f aca="false">H4121*1000/Parametres!$B$9</f>
        <v>4239.44378497541</v>
      </c>
    </row>
    <row r="4122" customFormat="false" ht="15" hidden="false" customHeight="false" outlineLevel="0" collapsed="false">
      <c r="A4122" s="0" t="n">
        <v>4118</v>
      </c>
      <c r="B4122" s="0" t="n">
        <v>6</v>
      </c>
      <c r="C4122" s="19" t="n">
        <v>1</v>
      </c>
      <c r="D4122" s="19" t="n">
        <v>1</v>
      </c>
      <c r="E4122" s="20" t="n">
        <f aca="false">Parametres!$B$5*C4122</f>
        <v>300</v>
      </c>
      <c r="F4122" s="20" t="n">
        <f aca="false">Parametres!$B$6*D4122</f>
        <v>200</v>
      </c>
      <c r="G4122" s="20" t="n">
        <f aca="false">E4122+F4122</f>
        <v>500</v>
      </c>
      <c r="H4122" s="20" t="n">
        <f aca="false">IF(G4122&lt;Parametres!$B$8*Parametres!$B$7,0,MIN(G4122,Parametres!$B$7))</f>
        <v>250</v>
      </c>
      <c r="I4122" s="20" t="n">
        <f aca="false">G4122-H4122</f>
        <v>250</v>
      </c>
      <c r="J4122" s="21" t="n">
        <f aca="false">H4122*1000/Parametres!$B$9</f>
        <v>4239.44378497541</v>
      </c>
    </row>
    <row r="4123" customFormat="false" ht="15" hidden="false" customHeight="false" outlineLevel="0" collapsed="false">
      <c r="A4123" s="0" t="n">
        <v>4119</v>
      </c>
      <c r="B4123" s="0" t="n">
        <v>6</v>
      </c>
      <c r="C4123" s="19" t="n">
        <v>1</v>
      </c>
      <c r="D4123" s="19" t="n">
        <v>1</v>
      </c>
      <c r="E4123" s="20" t="n">
        <f aca="false">Parametres!$B$5*C4123</f>
        <v>300</v>
      </c>
      <c r="F4123" s="20" t="n">
        <f aca="false">Parametres!$B$6*D4123</f>
        <v>200</v>
      </c>
      <c r="G4123" s="20" t="n">
        <f aca="false">E4123+F4123</f>
        <v>500</v>
      </c>
      <c r="H4123" s="20" t="n">
        <f aca="false">IF(G4123&lt;Parametres!$B$8*Parametres!$B$7,0,MIN(G4123,Parametres!$B$7))</f>
        <v>250</v>
      </c>
      <c r="I4123" s="20" t="n">
        <f aca="false">G4123-H4123</f>
        <v>250</v>
      </c>
      <c r="J4123" s="21" t="n">
        <f aca="false">H4123*1000/Parametres!$B$9</f>
        <v>4239.44378497541</v>
      </c>
    </row>
    <row r="4124" customFormat="false" ht="15" hidden="false" customHeight="false" outlineLevel="0" collapsed="false">
      <c r="A4124" s="0" t="n">
        <v>4120</v>
      </c>
      <c r="B4124" s="0" t="n">
        <v>6</v>
      </c>
      <c r="C4124" s="19" t="n">
        <v>0.7592</v>
      </c>
      <c r="D4124" s="19" t="n">
        <v>1</v>
      </c>
      <c r="E4124" s="20" t="n">
        <f aca="false">Parametres!$B$5*C4124</f>
        <v>227.76</v>
      </c>
      <c r="F4124" s="20" t="n">
        <f aca="false">Parametres!$B$6*D4124</f>
        <v>200</v>
      </c>
      <c r="G4124" s="20" t="n">
        <f aca="false">E4124+F4124</f>
        <v>427.76</v>
      </c>
      <c r="H4124" s="20" t="n">
        <f aca="false">IF(G4124&lt;Parametres!$B$8*Parametres!$B$7,0,MIN(G4124,Parametres!$B$7))</f>
        <v>250</v>
      </c>
      <c r="I4124" s="20" t="n">
        <f aca="false">G4124-H4124</f>
        <v>177.76</v>
      </c>
      <c r="J4124" s="21" t="n">
        <f aca="false">H4124*1000/Parametres!$B$9</f>
        <v>4239.44378497541</v>
      </c>
    </row>
    <row r="4125" customFormat="false" ht="15" hidden="false" customHeight="false" outlineLevel="0" collapsed="false">
      <c r="A4125" s="0" t="n">
        <v>4121</v>
      </c>
      <c r="B4125" s="0" t="n">
        <v>6</v>
      </c>
      <c r="C4125" s="19" t="n">
        <v>0.5883</v>
      </c>
      <c r="D4125" s="19" t="n">
        <v>1</v>
      </c>
      <c r="E4125" s="20" t="n">
        <f aca="false">Parametres!$B$5*C4125</f>
        <v>176.49</v>
      </c>
      <c r="F4125" s="20" t="n">
        <f aca="false">Parametres!$B$6*D4125</f>
        <v>200</v>
      </c>
      <c r="G4125" s="20" t="n">
        <f aca="false">E4125+F4125</f>
        <v>376.49</v>
      </c>
      <c r="H4125" s="20" t="n">
        <f aca="false">IF(G4125&lt;Parametres!$B$8*Parametres!$B$7,0,MIN(G4125,Parametres!$B$7))</f>
        <v>250</v>
      </c>
      <c r="I4125" s="20" t="n">
        <f aca="false">G4125-H4125</f>
        <v>126.49</v>
      </c>
      <c r="J4125" s="21" t="n">
        <f aca="false">H4125*1000/Parametres!$B$9</f>
        <v>4239.44378497541</v>
      </c>
    </row>
    <row r="4126" customFormat="false" ht="15" hidden="false" customHeight="false" outlineLevel="0" collapsed="false">
      <c r="A4126" s="0" t="n">
        <v>4122</v>
      </c>
      <c r="B4126" s="0" t="n">
        <v>6</v>
      </c>
      <c r="C4126" s="19" t="n">
        <v>0.3033</v>
      </c>
      <c r="D4126" s="19" t="n">
        <v>1</v>
      </c>
      <c r="E4126" s="20" t="n">
        <f aca="false">Parametres!$B$5*C4126</f>
        <v>90.99</v>
      </c>
      <c r="F4126" s="20" t="n">
        <f aca="false">Parametres!$B$6*D4126</f>
        <v>200</v>
      </c>
      <c r="G4126" s="20" t="n">
        <f aca="false">E4126+F4126</f>
        <v>290.99</v>
      </c>
      <c r="H4126" s="20" t="n">
        <f aca="false">IF(G4126&lt;Parametres!$B$8*Parametres!$B$7,0,MIN(G4126,Parametres!$B$7))</f>
        <v>250</v>
      </c>
      <c r="I4126" s="20" t="n">
        <f aca="false">G4126-H4126</f>
        <v>40.99</v>
      </c>
      <c r="J4126" s="21" t="n">
        <f aca="false">H4126*1000/Parametres!$B$9</f>
        <v>4239.44378497541</v>
      </c>
    </row>
    <row r="4127" customFormat="false" ht="15" hidden="false" customHeight="false" outlineLevel="0" collapsed="false">
      <c r="A4127" s="0" t="n">
        <v>4123</v>
      </c>
      <c r="B4127" s="0" t="n">
        <v>6</v>
      </c>
      <c r="C4127" s="19" t="n">
        <v>0.0716</v>
      </c>
      <c r="D4127" s="19" t="n">
        <v>1</v>
      </c>
      <c r="E4127" s="20" t="n">
        <f aca="false">Parametres!$B$5*C4127</f>
        <v>21.48</v>
      </c>
      <c r="F4127" s="20" t="n">
        <f aca="false">Parametres!$B$6*D4127</f>
        <v>200</v>
      </c>
      <c r="G4127" s="20" t="n">
        <f aca="false">E4127+F4127</f>
        <v>221.48</v>
      </c>
      <c r="H4127" s="20" t="n">
        <f aca="false">IF(G4127&lt;Parametres!$B$8*Parametres!$B$7,0,MIN(G4127,Parametres!$B$7))</f>
        <v>221.48</v>
      </c>
      <c r="I4127" s="20" t="n">
        <f aca="false">G4127-H4127</f>
        <v>0</v>
      </c>
      <c r="J4127" s="21" t="n">
        <f aca="false">H4127*1000/Parametres!$B$9</f>
        <v>3755.80803798542</v>
      </c>
    </row>
    <row r="4128" customFormat="false" ht="15" hidden="false" customHeight="false" outlineLevel="0" collapsed="false">
      <c r="A4128" s="0" t="n">
        <v>4124</v>
      </c>
      <c r="B4128" s="0" t="n">
        <v>6</v>
      </c>
      <c r="C4128" s="19" t="n">
        <v>0</v>
      </c>
      <c r="D4128" s="19" t="n">
        <v>1</v>
      </c>
      <c r="E4128" s="20" t="n">
        <f aca="false">Parametres!$B$5*C4128</f>
        <v>0</v>
      </c>
      <c r="F4128" s="20" t="n">
        <f aca="false">Parametres!$B$6*D4128</f>
        <v>200</v>
      </c>
      <c r="G4128" s="20" t="n">
        <f aca="false">E4128+F4128</f>
        <v>200</v>
      </c>
      <c r="H4128" s="20" t="n">
        <f aca="false">IF(G4128&lt;Parametres!$B$8*Parametres!$B$7,0,MIN(G4128,Parametres!$B$7))</f>
        <v>200</v>
      </c>
      <c r="I4128" s="20" t="n">
        <f aca="false">G4128-H4128</f>
        <v>0</v>
      </c>
      <c r="J4128" s="21" t="n">
        <f aca="false">H4128*1000/Parametres!$B$9</f>
        <v>3391.55502798033</v>
      </c>
    </row>
    <row r="4129" customFormat="false" ht="15" hidden="false" customHeight="false" outlineLevel="0" collapsed="false">
      <c r="A4129" s="0" t="n">
        <v>4125</v>
      </c>
      <c r="B4129" s="0" t="n">
        <v>6</v>
      </c>
      <c r="C4129" s="19" t="n">
        <v>0</v>
      </c>
      <c r="D4129" s="19" t="n">
        <v>1</v>
      </c>
      <c r="E4129" s="20" t="n">
        <f aca="false">Parametres!$B$5*C4129</f>
        <v>0</v>
      </c>
      <c r="F4129" s="20" t="n">
        <f aca="false">Parametres!$B$6*D4129</f>
        <v>200</v>
      </c>
      <c r="G4129" s="20" t="n">
        <f aca="false">E4129+F4129</f>
        <v>200</v>
      </c>
      <c r="H4129" s="20" t="n">
        <f aca="false">IF(G4129&lt;Parametres!$B$8*Parametres!$B$7,0,MIN(G4129,Parametres!$B$7))</f>
        <v>200</v>
      </c>
      <c r="I4129" s="20" t="n">
        <f aca="false">G4129-H4129</f>
        <v>0</v>
      </c>
      <c r="J4129" s="21" t="n">
        <f aca="false">H4129*1000/Parametres!$B$9</f>
        <v>3391.55502798033</v>
      </c>
    </row>
    <row r="4130" customFormat="false" ht="15" hidden="false" customHeight="false" outlineLevel="0" collapsed="false">
      <c r="A4130" s="0" t="n">
        <v>4126</v>
      </c>
      <c r="B4130" s="0" t="n">
        <v>6</v>
      </c>
      <c r="C4130" s="19" t="n">
        <v>0</v>
      </c>
      <c r="D4130" s="19" t="n">
        <v>1</v>
      </c>
      <c r="E4130" s="20" t="n">
        <f aca="false">Parametres!$B$5*C4130</f>
        <v>0</v>
      </c>
      <c r="F4130" s="20" t="n">
        <f aca="false">Parametres!$B$6*D4130</f>
        <v>200</v>
      </c>
      <c r="G4130" s="20" t="n">
        <f aca="false">E4130+F4130</f>
        <v>200</v>
      </c>
      <c r="H4130" s="20" t="n">
        <f aca="false">IF(G4130&lt;Parametres!$B$8*Parametres!$B$7,0,MIN(G4130,Parametres!$B$7))</f>
        <v>200</v>
      </c>
      <c r="I4130" s="20" t="n">
        <f aca="false">G4130-H4130</f>
        <v>0</v>
      </c>
      <c r="J4130" s="21" t="n">
        <f aca="false">H4130*1000/Parametres!$B$9</f>
        <v>3391.55502798033</v>
      </c>
    </row>
    <row r="4131" customFormat="false" ht="15" hidden="false" customHeight="false" outlineLevel="0" collapsed="false">
      <c r="A4131" s="0" t="n">
        <v>4127</v>
      </c>
      <c r="B4131" s="0" t="n">
        <v>6</v>
      </c>
      <c r="C4131" s="19" t="n">
        <v>0</v>
      </c>
      <c r="D4131" s="19" t="n">
        <v>1</v>
      </c>
      <c r="E4131" s="20" t="n">
        <f aca="false">Parametres!$B$5*C4131</f>
        <v>0</v>
      </c>
      <c r="F4131" s="20" t="n">
        <f aca="false">Parametres!$B$6*D4131</f>
        <v>200</v>
      </c>
      <c r="G4131" s="20" t="n">
        <f aca="false">E4131+F4131</f>
        <v>200</v>
      </c>
      <c r="H4131" s="20" t="n">
        <f aca="false">IF(G4131&lt;Parametres!$B$8*Parametres!$B$7,0,MIN(G4131,Parametres!$B$7))</f>
        <v>200</v>
      </c>
      <c r="I4131" s="20" t="n">
        <f aca="false">G4131-H4131</f>
        <v>0</v>
      </c>
      <c r="J4131" s="21" t="n">
        <f aca="false">H4131*1000/Parametres!$B$9</f>
        <v>3391.55502798033</v>
      </c>
    </row>
    <row r="4132" customFormat="false" ht="15" hidden="false" customHeight="false" outlineLevel="0" collapsed="false">
      <c r="A4132" s="0" t="n">
        <v>4128</v>
      </c>
      <c r="B4132" s="0" t="n">
        <v>6</v>
      </c>
      <c r="C4132" s="19" t="n">
        <v>0</v>
      </c>
      <c r="D4132" s="19" t="n">
        <v>1</v>
      </c>
      <c r="E4132" s="20" t="n">
        <f aca="false">Parametres!$B$5*C4132</f>
        <v>0</v>
      </c>
      <c r="F4132" s="20" t="n">
        <f aca="false">Parametres!$B$6*D4132</f>
        <v>200</v>
      </c>
      <c r="G4132" s="20" t="n">
        <f aca="false">E4132+F4132</f>
        <v>200</v>
      </c>
      <c r="H4132" s="20" t="n">
        <f aca="false">IF(G4132&lt;Parametres!$B$8*Parametres!$B$7,0,MIN(G4132,Parametres!$B$7))</f>
        <v>200</v>
      </c>
      <c r="I4132" s="20" t="n">
        <f aca="false">G4132-H4132</f>
        <v>0</v>
      </c>
      <c r="J4132" s="21" t="n">
        <f aca="false">H4132*1000/Parametres!$B$9</f>
        <v>3391.55502798033</v>
      </c>
    </row>
    <row r="4133" customFormat="false" ht="15" hidden="false" customHeight="false" outlineLevel="0" collapsed="false">
      <c r="A4133" s="0" t="n">
        <v>4129</v>
      </c>
      <c r="B4133" s="0" t="n">
        <v>6</v>
      </c>
      <c r="C4133" s="19" t="n">
        <v>0</v>
      </c>
      <c r="D4133" s="19" t="n">
        <v>1</v>
      </c>
      <c r="E4133" s="20" t="n">
        <f aca="false">Parametres!$B$5*C4133</f>
        <v>0</v>
      </c>
      <c r="F4133" s="20" t="n">
        <f aca="false">Parametres!$B$6*D4133</f>
        <v>200</v>
      </c>
      <c r="G4133" s="20" t="n">
        <f aca="false">E4133+F4133</f>
        <v>200</v>
      </c>
      <c r="H4133" s="20" t="n">
        <f aca="false">IF(G4133&lt;Parametres!$B$8*Parametres!$B$7,0,MIN(G4133,Parametres!$B$7))</f>
        <v>200</v>
      </c>
      <c r="I4133" s="20" t="n">
        <f aca="false">G4133-H4133</f>
        <v>0</v>
      </c>
      <c r="J4133" s="21" t="n">
        <f aca="false">H4133*1000/Parametres!$B$9</f>
        <v>3391.55502798033</v>
      </c>
    </row>
    <row r="4134" customFormat="false" ht="15" hidden="false" customHeight="false" outlineLevel="0" collapsed="false">
      <c r="A4134" s="0" t="n">
        <v>4130</v>
      </c>
      <c r="B4134" s="0" t="n">
        <v>6</v>
      </c>
      <c r="C4134" s="19" t="n">
        <v>0</v>
      </c>
      <c r="D4134" s="19" t="n">
        <v>1</v>
      </c>
      <c r="E4134" s="20" t="n">
        <f aca="false">Parametres!$B$5*C4134</f>
        <v>0</v>
      </c>
      <c r="F4134" s="20" t="n">
        <f aca="false">Parametres!$B$6*D4134</f>
        <v>200</v>
      </c>
      <c r="G4134" s="20" t="n">
        <f aca="false">E4134+F4134</f>
        <v>200</v>
      </c>
      <c r="H4134" s="20" t="n">
        <f aca="false">IF(G4134&lt;Parametres!$B$8*Parametres!$B$7,0,MIN(G4134,Parametres!$B$7))</f>
        <v>200</v>
      </c>
      <c r="I4134" s="20" t="n">
        <f aca="false">G4134-H4134</f>
        <v>0</v>
      </c>
      <c r="J4134" s="21" t="n">
        <f aca="false">H4134*1000/Parametres!$B$9</f>
        <v>3391.55502798033</v>
      </c>
    </row>
    <row r="4135" customFormat="false" ht="15" hidden="false" customHeight="false" outlineLevel="0" collapsed="false">
      <c r="A4135" s="0" t="n">
        <v>4131</v>
      </c>
      <c r="B4135" s="0" t="n">
        <v>6</v>
      </c>
      <c r="C4135" s="19" t="n">
        <v>0</v>
      </c>
      <c r="D4135" s="19" t="n">
        <v>1</v>
      </c>
      <c r="E4135" s="20" t="n">
        <f aca="false">Parametres!$B$5*C4135</f>
        <v>0</v>
      </c>
      <c r="F4135" s="20" t="n">
        <f aca="false">Parametres!$B$6*D4135</f>
        <v>200</v>
      </c>
      <c r="G4135" s="20" t="n">
        <f aca="false">E4135+F4135</f>
        <v>200</v>
      </c>
      <c r="H4135" s="20" t="n">
        <f aca="false">IF(G4135&lt;Parametres!$B$8*Parametres!$B$7,0,MIN(G4135,Parametres!$B$7))</f>
        <v>200</v>
      </c>
      <c r="I4135" s="20" t="n">
        <f aca="false">G4135-H4135</f>
        <v>0</v>
      </c>
      <c r="J4135" s="21" t="n">
        <f aca="false">H4135*1000/Parametres!$B$9</f>
        <v>3391.55502798033</v>
      </c>
    </row>
    <row r="4136" customFormat="false" ht="15" hidden="false" customHeight="false" outlineLevel="0" collapsed="false">
      <c r="A4136" s="0" t="n">
        <v>4132</v>
      </c>
      <c r="B4136" s="0" t="n">
        <v>6</v>
      </c>
      <c r="C4136" s="19" t="n">
        <v>0</v>
      </c>
      <c r="D4136" s="19" t="n">
        <v>1</v>
      </c>
      <c r="E4136" s="20" t="n">
        <f aca="false">Parametres!$B$5*C4136</f>
        <v>0</v>
      </c>
      <c r="F4136" s="20" t="n">
        <f aca="false">Parametres!$B$6*D4136</f>
        <v>200</v>
      </c>
      <c r="G4136" s="20" t="n">
        <f aca="false">E4136+F4136</f>
        <v>200</v>
      </c>
      <c r="H4136" s="20" t="n">
        <f aca="false">IF(G4136&lt;Parametres!$B$8*Parametres!$B$7,0,MIN(G4136,Parametres!$B$7))</f>
        <v>200</v>
      </c>
      <c r="I4136" s="20" t="n">
        <f aca="false">G4136-H4136</f>
        <v>0</v>
      </c>
      <c r="J4136" s="21" t="n">
        <f aca="false">H4136*1000/Parametres!$B$9</f>
        <v>3391.55502798033</v>
      </c>
    </row>
    <row r="4137" customFormat="false" ht="15" hidden="false" customHeight="false" outlineLevel="0" collapsed="false">
      <c r="A4137" s="0" t="n">
        <v>4133</v>
      </c>
      <c r="B4137" s="0" t="n">
        <v>6</v>
      </c>
      <c r="C4137" s="19" t="n">
        <v>0</v>
      </c>
      <c r="D4137" s="19" t="n">
        <v>1</v>
      </c>
      <c r="E4137" s="20" t="n">
        <f aca="false">Parametres!$B$5*C4137</f>
        <v>0</v>
      </c>
      <c r="F4137" s="20" t="n">
        <f aca="false">Parametres!$B$6*D4137</f>
        <v>200</v>
      </c>
      <c r="G4137" s="20" t="n">
        <f aca="false">E4137+F4137</f>
        <v>200</v>
      </c>
      <c r="H4137" s="20" t="n">
        <f aca="false">IF(G4137&lt;Parametres!$B$8*Parametres!$B$7,0,MIN(G4137,Parametres!$B$7))</f>
        <v>200</v>
      </c>
      <c r="I4137" s="20" t="n">
        <f aca="false">G4137-H4137</f>
        <v>0</v>
      </c>
      <c r="J4137" s="21" t="n">
        <f aca="false">H4137*1000/Parametres!$B$9</f>
        <v>3391.55502798033</v>
      </c>
    </row>
    <row r="4138" customFormat="false" ht="15" hidden="false" customHeight="false" outlineLevel="0" collapsed="false">
      <c r="A4138" s="0" t="n">
        <v>4134</v>
      </c>
      <c r="B4138" s="0" t="n">
        <v>6</v>
      </c>
      <c r="C4138" s="19" t="n">
        <v>0.0755</v>
      </c>
      <c r="D4138" s="19" t="n">
        <v>1</v>
      </c>
      <c r="E4138" s="20" t="n">
        <f aca="false">Parametres!$B$5*C4138</f>
        <v>22.65</v>
      </c>
      <c r="F4138" s="20" t="n">
        <f aca="false">Parametres!$B$6*D4138</f>
        <v>200</v>
      </c>
      <c r="G4138" s="20" t="n">
        <f aca="false">E4138+F4138</f>
        <v>222.65</v>
      </c>
      <c r="H4138" s="20" t="n">
        <f aca="false">IF(G4138&lt;Parametres!$B$8*Parametres!$B$7,0,MIN(G4138,Parametres!$B$7))</f>
        <v>222.65</v>
      </c>
      <c r="I4138" s="20" t="n">
        <f aca="false">G4138-H4138</f>
        <v>0</v>
      </c>
      <c r="J4138" s="21" t="n">
        <f aca="false">H4138*1000/Parametres!$B$9</f>
        <v>3775.6486348991</v>
      </c>
    </row>
    <row r="4139" customFormat="false" ht="15" hidden="false" customHeight="false" outlineLevel="0" collapsed="false">
      <c r="A4139" s="0" t="n">
        <v>4135</v>
      </c>
      <c r="B4139" s="0" t="n">
        <v>6</v>
      </c>
      <c r="C4139" s="19" t="n">
        <v>0.3126</v>
      </c>
      <c r="D4139" s="19" t="n">
        <v>1</v>
      </c>
      <c r="E4139" s="20" t="n">
        <f aca="false">Parametres!$B$5*C4139</f>
        <v>93.78</v>
      </c>
      <c r="F4139" s="20" t="n">
        <f aca="false">Parametres!$B$6*D4139</f>
        <v>200</v>
      </c>
      <c r="G4139" s="20" t="n">
        <f aca="false">E4139+F4139</f>
        <v>293.78</v>
      </c>
      <c r="H4139" s="20" t="n">
        <f aca="false">IF(G4139&lt;Parametres!$B$8*Parametres!$B$7,0,MIN(G4139,Parametres!$B$7))</f>
        <v>250</v>
      </c>
      <c r="I4139" s="20" t="n">
        <f aca="false">G4139-H4139</f>
        <v>43.78</v>
      </c>
      <c r="J4139" s="21" t="n">
        <f aca="false">H4139*1000/Parametres!$B$9</f>
        <v>4239.44378497541</v>
      </c>
    </row>
    <row r="4140" customFormat="false" ht="15" hidden="false" customHeight="false" outlineLevel="0" collapsed="false">
      <c r="A4140" s="0" t="n">
        <v>4136</v>
      </c>
      <c r="B4140" s="0" t="n">
        <v>6</v>
      </c>
      <c r="C4140" s="19" t="n">
        <v>0.5727</v>
      </c>
      <c r="D4140" s="19" t="n">
        <v>1</v>
      </c>
      <c r="E4140" s="20" t="n">
        <f aca="false">Parametres!$B$5*C4140</f>
        <v>171.81</v>
      </c>
      <c r="F4140" s="20" t="n">
        <f aca="false">Parametres!$B$6*D4140</f>
        <v>200</v>
      </c>
      <c r="G4140" s="20" t="n">
        <f aca="false">E4140+F4140</f>
        <v>371.81</v>
      </c>
      <c r="H4140" s="20" t="n">
        <f aca="false">IF(G4140&lt;Parametres!$B$8*Parametres!$B$7,0,MIN(G4140,Parametres!$B$7))</f>
        <v>250</v>
      </c>
      <c r="I4140" s="20" t="n">
        <f aca="false">G4140-H4140</f>
        <v>121.81</v>
      </c>
      <c r="J4140" s="21" t="n">
        <f aca="false">H4140*1000/Parametres!$B$9</f>
        <v>4239.44378497541</v>
      </c>
    </row>
    <row r="4141" customFormat="false" ht="15" hidden="false" customHeight="false" outlineLevel="0" collapsed="false">
      <c r="A4141" s="0" t="n">
        <v>4137</v>
      </c>
      <c r="B4141" s="0" t="n">
        <v>6</v>
      </c>
      <c r="C4141" s="19" t="n">
        <v>0.7913</v>
      </c>
      <c r="D4141" s="19" t="n">
        <v>1</v>
      </c>
      <c r="E4141" s="20" t="n">
        <f aca="false">Parametres!$B$5*C4141</f>
        <v>237.39</v>
      </c>
      <c r="F4141" s="20" t="n">
        <f aca="false">Parametres!$B$6*D4141</f>
        <v>200</v>
      </c>
      <c r="G4141" s="20" t="n">
        <f aca="false">E4141+F4141</f>
        <v>437.39</v>
      </c>
      <c r="H4141" s="20" t="n">
        <f aca="false">IF(G4141&lt;Parametres!$B$8*Parametres!$B$7,0,MIN(G4141,Parametres!$B$7))</f>
        <v>250</v>
      </c>
      <c r="I4141" s="20" t="n">
        <f aca="false">G4141-H4141</f>
        <v>187.39</v>
      </c>
      <c r="J4141" s="21" t="n">
        <f aca="false">H4141*1000/Parametres!$B$9</f>
        <v>4239.44378497541</v>
      </c>
    </row>
    <row r="4142" customFormat="false" ht="15" hidden="false" customHeight="false" outlineLevel="0" collapsed="false">
      <c r="A4142" s="0" t="n">
        <v>4138</v>
      </c>
      <c r="B4142" s="0" t="n">
        <v>6</v>
      </c>
      <c r="C4142" s="19" t="n">
        <v>0.9726</v>
      </c>
      <c r="D4142" s="19" t="n">
        <v>1</v>
      </c>
      <c r="E4142" s="20" t="n">
        <f aca="false">Parametres!$B$5*C4142</f>
        <v>291.78</v>
      </c>
      <c r="F4142" s="20" t="n">
        <f aca="false">Parametres!$B$6*D4142</f>
        <v>200</v>
      </c>
      <c r="G4142" s="20" t="n">
        <f aca="false">E4142+F4142</f>
        <v>491.78</v>
      </c>
      <c r="H4142" s="20" t="n">
        <f aca="false">IF(G4142&lt;Parametres!$B$8*Parametres!$B$7,0,MIN(G4142,Parametres!$B$7))</f>
        <v>250</v>
      </c>
      <c r="I4142" s="20" t="n">
        <f aca="false">G4142-H4142</f>
        <v>241.78</v>
      </c>
      <c r="J4142" s="21" t="n">
        <f aca="false">H4142*1000/Parametres!$B$9</f>
        <v>4239.44378497541</v>
      </c>
    </row>
    <row r="4143" customFormat="false" ht="15" hidden="false" customHeight="false" outlineLevel="0" collapsed="false">
      <c r="A4143" s="0" t="n">
        <v>4139</v>
      </c>
      <c r="B4143" s="0" t="n">
        <v>6</v>
      </c>
      <c r="C4143" s="19" t="n">
        <v>1</v>
      </c>
      <c r="D4143" s="19" t="n">
        <v>1</v>
      </c>
      <c r="E4143" s="20" t="n">
        <f aca="false">Parametres!$B$5*C4143</f>
        <v>300</v>
      </c>
      <c r="F4143" s="20" t="n">
        <f aca="false">Parametres!$B$6*D4143</f>
        <v>200</v>
      </c>
      <c r="G4143" s="20" t="n">
        <f aca="false">E4143+F4143</f>
        <v>500</v>
      </c>
      <c r="H4143" s="20" t="n">
        <f aca="false">IF(G4143&lt;Parametres!$B$8*Parametres!$B$7,0,MIN(G4143,Parametres!$B$7))</f>
        <v>250</v>
      </c>
      <c r="I4143" s="20" t="n">
        <f aca="false">G4143-H4143</f>
        <v>250</v>
      </c>
      <c r="J4143" s="21" t="n">
        <f aca="false">H4143*1000/Parametres!$B$9</f>
        <v>4239.44378497541</v>
      </c>
    </row>
    <row r="4144" customFormat="false" ht="15" hidden="false" customHeight="false" outlineLevel="0" collapsed="false">
      <c r="A4144" s="0" t="n">
        <v>4140</v>
      </c>
      <c r="B4144" s="0" t="n">
        <v>6</v>
      </c>
      <c r="C4144" s="19" t="n">
        <v>1</v>
      </c>
      <c r="D4144" s="19" t="n">
        <v>1</v>
      </c>
      <c r="E4144" s="20" t="n">
        <f aca="false">Parametres!$B$5*C4144</f>
        <v>300</v>
      </c>
      <c r="F4144" s="20" t="n">
        <f aca="false">Parametres!$B$6*D4144</f>
        <v>200</v>
      </c>
      <c r="G4144" s="20" t="n">
        <f aca="false">E4144+F4144</f>
        <v>500</v>
      </c>
      <c r="H4144" s="20" t="n">
        <f aca="false">IF(G4144&lt;Parametres!$B$8*Parametres!$B$7,0,MIN(G4144,Parametres!$B$7))</f>
        <v>250</v>
      </c>
      <c r="I4144" s="20" t="n">
        <f aca="false">G4144-H4144</f>
        <v>250</v>
      </c>
      <c r="J4144" s="21" t="n">
        <f aca="false">H4144*1000/Parametres!$B$9</f>
        <v>4239.44378497541</v>
      </c>
    </row>
    <row r="4145" customFormat="false" ht="15" hidden="false" customHeight="false" outlineLevel="0" collapsed="false">
      <c r="A4145" s="0" t="n">
        <v>4141</v>
      </c>
      <c r="B4145" s="0" t="n">
        <v>6</v>
      </c>
      <c r="C4145" s="19" t="n">
        <v>1</v>
      </c>
      <c r="D4145" s="19" t="n">
        <v>1</v>
      </c>
      <c r="E4145" s="20" t="n">
        <f aca="false">Parametres!$B$5*C4145</f>
        <v>300</v>
      </c>
      <c r="F4145" s="20" t="n">
        <f aca="false">Parametres!$B$6*D4145</f>
        <v>200</v>
      </c>
      <c r="G4145" s="20" t="n">
        <f aca="false">E4145+F4145</f>
        <v>500</v>
      </c>
      <c r="H4145" s="20" t="n">
        <f aca="false">IF(G4145&lt;Parametres!$B$8*Parametres!$B$7,0,MIN(G4145,Parametres!$B$7))</f>
        <v>250</v>
      </c>
      <c r="I4145" s="20" t="n">
        <f aca="false">G4145-H4145</f>
        <v>250</v>
      </c>
      <c r="J4145" s="21" t="n">
        <f aca="false">H4145*1000/Parametres!$B$9</f>
        <v>4239.44378497541</v>
      </c>
    </row>
    <row r="4146" customFormat="false" ht="15" hidden="false" customHeight="false" outlineLevel="0" collapsed="false">
      <c r="A4146" s="0" t="n">
        <v>4142</v>
      </c>
      <c r="B4146" s="0" t="n">
        <v>6</v>
      </c>
      <c r="C4146" s="19" t="n">
        <v>1</v>
      </c>
      <c r="D4146" s="19" t="n">
        <v>1</v>
      </c>
      <c r="E4146" s="20" t="n">
        <f aca="false">Parametres!$B$5*C4146</f>
        <v>300</v>
      </c>
      <c r="F4146" s="20" t="n">
        <f aca="false">Parametres!$B$6*D4146</f>
        <v>200</v>
      </c>
      <c r="G4146" s="20" t="n">
        <f aca="false">E4146+F4146</f>
        <v>500</v>
      </c>
      <c r="H4146" s="20" t="n">
        <f aca="false">IF(G4146&lt;Parametres!$B$8*Parametres!$B$7,0,MIN(G4146,Parametres!$B$7))</f>
        <v>250</v>
      </c>
      <c r="I4146" s="20" t="n">
        <f aca="false">G4146-H4146</f>
        <v>250</v>
      </c>
      <c r="J4146" s="21" t="n">
        <f aca="false">H4146*1000/Parametres!$B$9</f>
        <v>4239.44378497541</v>
      </c>
    </row>
    <row r="4147" customFormat="false" ht="15" hidden="false" customHeight="false" outlineLevel="0" collapsed="false">
      <c r="A4147" s="0" t="n">
        <v>4143</v>
      </c>
      <c r="B4147" s="0" t="n">
        <v>6</v>
      </c>
      <c r="C4147" s="19" t="n">
        <v>0.9971</v>
      </c>
      <c r="D4147" s="19" t="n">
        <v>1</v>
      </c>
      <c r="E4147" s="20" t="n">
        <f aca="false">Parametres!$B$5*C4147</f>
        <v>299.13</v>
      </c>
      <c r="F4147" s="20" t="n">
        <f aca="false">Parametres!$B$6*D4147</f>
        <v>200</v>
      </c>
      <c r="G4147" s="20" t="n">
        <f aca="false">E4147+F4147</f>
        <v>499.13</v>
      </c>
      <c r="H4147" s="20" t="n">
        <f aca="false">IF(G4147&lt;Parametres!$B$8*Parametres!$B$7,0,MIN(G4147,Parametres!$B$7))</f>
        <v>250</v>
      </c>
      <c r="I4147" s="20" t="n">
        <f aca="false">G4147-H4147</f>
        <v>249.13</v>
      </c>
      <c r="J4147" s="21" t="n">
        <f aca="false">H4147*1000/Parametres!$B$9</f>
        <v>4239.44378497541</v>
      </c>
    </row>
    <row r="4148" customFormat="false" ht="15" hidden="false" customHeight="false" outlineLevel="0" collapsed="false">
      <c r="A4148" s="0" t="n">
        <v>4144</v>
      </c>
      <c r="B4148" s="0" t="n">
        <v>6</v>
      </c>
      <c r="C4148" s="19" t="n">
        <v>0.8039</v>
      </c>
      <c r="D4148" s="19" t="n">
        <v>1</v>
      </c>
      <c r="E4148" s="20" t="n">
        <f aca="false">Parametres!$B$5*C4148</f>
        <v>241.17</v>
      </c>
      <c r="F4148" s="20" t="n">
        <f aca="false">Parametres!$B$6*D4148</f>
        <v>200</v>
      </c>
      <c r="G4148" s="20" t="n">
        <f aca="false">E4148+F4148</f>
        <v>441.17</v>
      </c>
      <c r="H4148" s="20" t="n">
        <f aca="false">IF(G4148&lt;Parametres!$B$8*Parametres!$B$7,0,MIN(G4148,Parametres!$B$7))</f>
        <v>250</v>
      </c>
      <c r="I4148" s="20" t="n">
        <f aca="false">G4148-H4148</f>
        <v>191.17</v>
      </c>
      <c r="J4148" s="21" t="n">
        <f aca="false">H4148*1000/Parametres!$B$9</f>
        <v>4239.44378497541</v>
      </c>
    </row>
    <row r="4149" customFormat="false" ht="15" hidden="false" customHeight="false" outlineLevel="0" collapsed="false">
      <c r="A4149" s="0" t="n">
        <v>4145</v>
      </c>
      <c r="B4149" s="0" t="n">
        <v>6</v>
      </c>
      <c r="C4149" s="19" t="n">
        <v>0.549</v>
      </c>
      <c r="D4149" s="19" t="n">
        <v>1</v>
      </c>
      <c r="E4149" s="20" t="n">
        <f aca="false">Parametres!$B$5*C4149</f>
        <v>164.7</v>
      </c>
      <c r="F4149" s="20" t="n">
        <f aca="false">Parametres!$B$6*D4149</f>
        <v>200</v>
      </c>
      <c r="G4149" s="20" t="n">
        <f aca="false">E4149+F4149</f>
        <v>364.7</v>
      </c>
      <c r="H4149" s="20" t="n">
        <f aca="false">IF(G4149&lt;Parametres!$B$8*Parametres!$B$7,0,MIN(G4149,Parametres!$B$7))</f>
        <v>250</v>
      </c>
      <c r="I4149" s="20" t="n">
        <f aca="false">G4149-H4149</f>
        <v>114.7</v>
      </c>
      <c r="J4149" s="21" t="n">
        <f aca="false">H4149*1000/Parametres!$B$9</f>
        <v>4239.44378497541</v>
      </c>
    </row>
    <row r="4150" customFormat="false" ht="15" hidden="false" customHeight="false" outlineLevel="0" collapsed="false">
      <c r="A4150" s="0" t="n">
        <v>4146</v>
      </c>
      <c r="B4150" s="0" t="n">
        <v>6</v>
      </c>
      <c r="C4150" s="19" t="n">
        <v>0.2922</v>
      </c>
      <c r="D4150" s="19" t="n">
        <v>1</v>
      </c>
      <c r="E4150" s="20" t="n">
        <f aca="false">Parametres!$B$5*C4150</f>
        <v>87.66</v>
      </c>
      <c r="F4150" s="20" t="n">
        <f aca="false">Parametres!$B$6*D4150</f>
        <v>200</v>
      </c>
      <c r="G4150" s="20" t="n">
        <f aca="false">E4150+F4150</f>
        <v>287.66</v>
      </c>
      <c r="H4150" s="20" t="n">
        <f aca="false">IF(G4150&lt;Parametres!$B$8*Parametres!$B$7,0,MIN(G4150,Parametres!$B$7))</f>
        <v>250</v>
      </c>
      <c r="I4150" s="20" t="n">
        <f aca="false">G4150-H4150</f>
        <v>37.66</v>
      </c>
      <c r="J4150" s="21" t="n">
        <f aca="false">H4150*1000/Parametres!$B$9</f>
        <v>4239.44378497541</v>
      </c>
    </row>
    <row r="4151" customFormat="false" ht="15" hidden="false" customHeight="false" outlineLevel="0" collapsed="false">
      <c r="A4151" s="0" t="n">
        <v>4147</v>
      </c>
      <c r="B4151" s="0" t="n">
        <v>6</v>
      </c>
      <c r="C4151" s="19" t="n">
        <v>0.0671</v>
      </c>
      <c r="D4151" s="19" t="n">
        <v>1</v>
      </c>
      <c r="E4151" s="20" t="n">
        <f aca="false">Parametres!$B$5*C4151</f>
        <v>20.13</v>
      </c>
      <c r="F4151" s="20" t="n">
        <f aca="false">Parametres!$B$6*D4151</f>
        <v>200</v>
      </c>
      <c r="G4151" s="20" t="n">
        <f aca="false">E4151+F4151</f>
        <v>220.13</v>
      </c>
      <c r="H4151" s="20" t="n">
        <f aca="false">IF(G4151&lt;Parametres!$B$8*Parametres!$B$7,0,MIN(G4151,Parametres!$B$7))</f>
        <v>220.13</v>
      </c>
      <c r="I4151" s="20" t="n">
        <f aca="false">G4151-H4151</f>
        <v>0</v>
      </c>
      <c r="J4151" s="21" t="n">
        <f aca="false">H4151*1000/Parametres!$B$9</f>
        <v>3732.91504154655</v>
      </c>
    </row>
    <row r="4152" customFormat="false" ht="15" hidden="false" customHeight="false" outlineLevel="0" collapsed="false">
      <c r="A4152" s="0" t="n">
        <v>4148</v>
      </c>
      <c r="B4152" s="0" t="n">
        <v>6</v>
      </c>
      <c r="C4152" s="19" t="n">
        <v>0</v>
      </c>
      <c r="D4152" s="19" t="n">
        <v>1</v>
      </c>
      <c r="E4152" s="20" t="n">
        <f aca="false">Parametres!$B$5*C4152</f>
        <v>0</v>
      </c>
      <c r="F4152" s="20" t="n">
        <f aca="false">Parametres!$B$6*D4152</f>
        <v>200</v>
      </c>
      <c r="G4152" s="20" t="n">
        <f aca="false">E4152+F4152</f>
        <v>200</v>
      </c>
      <c r="H4152" s="20" t="n">
        <f aca="false">IF(G4152&lt;Parametres!$B$8*Parametres!$B$7,0,MIN(G4152,Parametres!$B$7))</f>
        <v>200</v>
      </c>
      <c r="I4152" s="20" t="n">
        <f aca="false">G4152-H4152</f>
        <v>0</v>
      </c>
      <c r="J4152" s="21" t="n">
        <f aca="false">H4152*1000/Parametres!$B$9</f>
        <v>3391.55502798033</v>
      </c>
    </row>
    <row r="4153" customFormat="false" ht="15" hidden="false" customHeight="false" outlineLevel="0" collapsed="false">
      <c r="A4153" s="0" t="n">
        <v>4149</v>
      </c>
      <c r="B4153" s="0" t="n">
        <v>6</v>
      </c>
      <c r="C4153" s="19" t="n">
        <v>0</v>
      </c>
      <c r="D4153" s="19" t="n">
        <v>1</v>
      </c>
      <c r="E4153" s="20" t="n">
        <f aca="false">Parametres!$B$5*C4153</f>
        <v>0</v>
      </c>
      <c r="F4153" s="20" t="n">
        <f aca="false">Parametres!$B$6*D4153</f>
        <v>200</v>
      </c>
      <c r="G4153" s="20" t="n">
        <f aca="false">E4153+F4153</f>
        <v>200</v>
      </c>
      <c r="H4153" s="20" t="n">
        <f aca="false">IF(G4153&lt;Parametres!$B$8*Parametres!$B$7,0,MIN(G4153,Parametres!$B$7))</f>
        <v>200</v>
      </c>
      <c r="I4153" s="20" t="n">
        <f aca="false">G4153-H4153</f>
        <v>0</v>
      </c>
      <c r="J4153" s="21" t="n">
        <f aca="false">H4153*1000/Parametres!$B$9</f>
        <v>3391.55502798033</v>
      </c>
    </row>
    <row r="4154" customFormat="false" ht="15" hidden="false" customHeight="false" outlineLevel="0" collapsed="false">
      <c r="A4154" s="0" t="n">
        <v>4150</v>
      </c>
      <c r="B4154" s="0" t="n">
        <v>6</v>
      </c>
      <c r="C4154" s="19" t="n">
        <v>0</v>
      </c>
      <c r="D4154" s="19" t="n">
        <v>1</v>
      </c>
      <c r="E4154" s="20" t="n">
        <f aca="false">Parametres!$B$5*C4154</f>
        <v>0</v>
      </c>
      <c r="F4154" s="20" t="n">
        <f aca="false">Parametres!$B$6*D4154</f>
        <v>200</v>
      </c>
      <c r="G4154" s="20" t="n">
        <f aca="false">E4154+F4154</f>
        <v>200</v>
      </c>
      <c r="H4154" s="20" t="n">
        <f aca="false">IF(G4154&lt;Parametres!$B$8*Parametres!$B$7,0,MIN(G4154,Parametres!$B$7))</f>
        <v>200</v>
      </c>
      <c r="I4154" s="20" t="n">
        <f aca="false">G4154-H4154</f>
        <v>0</v>
      </c>
      <c r="J4154" s="21" t="n">
        <f aca="false">H4154*1000/Parametres!$B$9</f>
        <v>3391.55502798033</v>
      </c>
    </row>
    <row r="4155" customFormat="false" ht="15" hidden="false" customHeight="false" outlineLevel="0" collapsed="false">
      <c r="A4155" s="0" t="n">
        <v>4151</v>
      </c>
      <c r="B4155" s="0" t="n">
        <v>6</v>
      </c>
      <c r="C4155" s="19" t="n">
        <v>0</v>
      </c>
      <c r="D4155" s="19" t="n">
        <v>1</v>
      </c>
      <c r="E4155" s="20" t="n">
        <f aca="false">Parametres!$B$5*C4155</f>
        <v>0</v>
      </c>
      <c r="F4155" s="20" t="n">
        <f aca="false">Parametres!$B$6*D4155</f>
        <v>200</v>
      </c>
      <c r="G4155" s="20" t="n">
        <f aca="false">E4155+F4155</f>
        <v>200</v>
      </c>
      <c r="H4155" s="20" t="n">
        <f aca="false">IF(G4155&lt;Parametres!$B$8*Parametres!$B$7,0,MIN(G4155,Parametres!$B$7))</f>
        <v>200</v>
      </c>
      <c r="I4155" s="20" t="n">
        <f aca="false">G4155-H4155</f>
        <v>0</v>
      </c>
      <c r="J4155" s="21" t="n">
        <f aca="false">H4155*1000/Parametres!$B$9</f>
        <v>3391.55502798033</v>
      </c>
    </row>
    <row r="4156" customFormat="false" ht="15" hidden="false" customHeight="false" outlineLevel="0" collapsed="false">
      <c r="A4156" s="0" t="n">
        <v>4152</v>
      </c>
      <c r="B4156" s="0" t="n">
        <v>6</v>
      </c>
      <c r="C4156" s="19" t="n">
        <v>0</v>
      </c>
      <c r="D4156" s="19" t="n">
        <v>1</v>
      </c>
      <c r="E4156" s="20" t="n">
        <f aca="false">Parametres!$B$5*C4156</f>
        <v>0</v>
      </c>
      <c r="F4156" s="20" t="n">
        <f aca="false">Parametres!$B$6*D4156</f>
        <v>200</v>
      </c>
      <c r="G4156" s="20" t="n">
        <f aca="false">E4156+F4156</f>
        <v>200</v>
      </c>
      <c r="H4156" s="20" t="n">
        <f aca="false">IF(G4156&lt;Parametres!$B$8*Parametres!$B$7,0,MIN(G4156,Parametres!$B$7))</f>
        <v>200</v>
      </c>
      <c r="I4156" s="20" t="n">
        <f aca="false">G4156-H4156</f>
        <v>0</v>
      </c>
      <c r="J4156" s="21" t="n">
        <f aca="false">H4156*1000/Parametres!$B$9</f>
        <v>3391.55502798033</v>
      </c>
    </row>
    <row r="4157" customFormat="false" ht="15" hidden="false" customHeight="false" outlineLevel="0" collapsed="false">
      <c r="A4157" s="0" t="n">
        <v>4153</v>
      </c>
      <c r="B4157" s="0" t="n">
        <v>6</v>
      </c>
      <c r="C4157" s="19" t="n">
        <v>0</v>
      </c>
      <c r="D4157" s="19" t="n">
        <v>1</v>
      </c>
      <c r="E4157" s="20" t="n">
        <f aca="false">Parametres!$B$5*C4157</f>
        <v>0</v>
      </c>
      <c r="F4157" s="20" t="n">
        <f aca="false">Parametres!$B$6*D4157</f>
        <v>200</v>
      </c>
      <c r="G4157" s="20" t="n">
        <f aca="false">E4157+F4157</f>
        <v>200</v>
      </c>
      <c r="H4157" s="20" t="n">
        <f aca="false">IF(G4157&lt;Parametres!$B$8*Parametres!$B$7,0,MIN(G4157,Parametres!$B$7))</f>
        <v>200</v>
      </c>
      <c r="I4157" s="20" t="n">
        <f aca="false">G4157-H4157</f>
        <v>0</v>
      </c>
      <c r="J4157" s="21" t="n">
        <f aca="false">H4157*1000/Parametres!$B$9</f>
        <v>3391.55502798033</v>
      </c>
    </row>
    <row r="4158" customFormat="false" ht="15" hidden="false" customHeight="false" outlineLevel="0" collapsed="false">
      <c r="A4158" s="0" t="n">
        <v>4154</v>
      </c>
      <c r="B4158" s="0" t="n">
        <v>6</v>
      </c>
      <c r="C4158" s="19" t="n">
        <v>0</v>
      </c>
      <c r="D4158" s="19" t="n">
        <v>1</v>
      </c>
      <c r="E4158" s="20" t="n">
        <f aca="false">Parametres!$B$5*C4158</f>
        <v>0</v>
      </c>
      <c r="F4158" s="20" t="n">
        <f aca="false">Parametres!$B$6*D4158</f>
        <v>200</v>
      </c>
      <c r="G4158" s="20" t="n">
        <f aca="false">E4158+F4158</f>
        <v>200</v>
      </c>
      <c r="H4158" s="20" t="n">
        <f aca="false">IF(G4158&lt;Parametres!$B$8*Parametres!$B$7,0,MIN(G4158,Parametres!$B$7))</f>
        <v>200</v>
      </c>
      <c r="I4158" s="20" t="n">
        <f aca="false">G4158-H4158</f>
        <v>0</v>
      </c>
      <c r="J4158" s="21" t="n">
        <f aca="false">H4158*1000/Parametres!$B$9</f>
        <v>3391.55502798033</v>
      </c>
    </row>
    <row r="4159" customFormat="false" ht="15" hidden="false" customHeight="false" outlineLevel="0" collapsed="false">
      <c r="A4159" s="0" t="n">
        <v>4155</v>
      </c>
      <c r="B4159" s="0" t="n">
        <v>6</v>
      </c>
      <c r="C4159" s="19" t="n">
        <v>0</v>
      </c>
      <c r="D4159" s="19" t="n">
        <v>1</v>
      </c>
      <c r="E4159" s="20" t="n">
        <f aca="false">Parametres!$B$5*C4159</f>
        <v>0</v>
      </c>
      <c r="F4159" s="20" t="n">
        <f aca="false">Parametres!$B$6*D4159</f>
        <v>200</v>
      </c>
      <c r="G4159" s="20" t="n">
        <f aca="false">E4159+F4159</f>
        <v>200</v>
      </c>
      <c r="H4159" s="20" t="n">
        <f aca="false">IF(G4159&lt;Parametres!$B$8*Parametres!$B$7,0,MIN(G4159,Parametres!$B$7))</f>
        <v>200</v>
      </c>
      <c r="I4159" s="20" t="n">
        <f aca="false">G4159-H4159</f>
        <v>0</v>
      </c>
      <c r="J4159" s="21" t="n">
        <f aca="false">H4159*1000/Parametres!$B$9</f>
        <v>3391.55502798033</v>
      </c>
    </row>
    <row r="4160" customFormat="false" ht="15" hidden="false" customHeight="false" outlineLevel="0" collapsed="false">
      <c r="A4160" s="0" t="n">
        <v>4156</v>
      </c>
      <c r="B4160" s="0" t="n">
        <v>6</v>
      </c>
      <c r="C4160" s="19" t="n">
        <v>0</v>
      </c>
      <c r="D4160" s="19" t="n">
        <v>1</v>
      </c>
      <c r="E4160" s="20" t="n">
        <f aca="false">Parametres!$B$5*C4160</f>
        <v>0</v>
      </c>
      <c r="F4160" s="20" t="n">
        <f aca="false">Parametres!$B$6*D4160</f>
        <v>200</v>
      </c>
      <c r="G4160" s="20" t="n">
        <f aca="false">E4160+F4160</f>
        <v>200</v>
      </c>
      <c r="H4160" s="20" t="n">
        <f aca="false">IF(G4160&lt;Parametres!$B$8*Parametres!$B$7,0,MIN(G4160,Parametres!$B$7))</f>
        <v>200</v>
      </c>
      <c r="I4160" s="20" t="n">
        <f aca="false">G4160-H4160</f>
        <v>0</v>
      </c>
      <c r="J4160" s="21" t="n">
        <f aca="false">H4160*1000/Parametres!$B$9</f>
        <v>3391.55502798033</v>
      </c>
    </row>
    <row r="4161" customFormat="false" ht="15" hidden="false" customHeight="false" outlineLevel="0" collapsed="false">
      <c r="A4161" s="0" t="n">
        <v>4157</v>
      </c>
      <c r="B4161" s="0" t="n">
        <v>6</v>
      </c>
      <c r="C4161" s="19" t="n">
        <v>0</v>
      </c>
      <c r="D4161" s="19" t="n">
        <v>1</v>
      </c>
      <c r="E4161" s="20" t="n">
        <f aca="false">Parametres!$B$5*C4161</f>
        <v>0</v>
      </c>
      <c r="F4161" s="20" t="n">
        <f aca="false">Parametres!$B$6*D4161</f>
        <v>200</v>
      </c>
      <c r="G4161" s="20" t="n">
        <f aca="false">E4161+F4161</f>
        <v>200</v>
      </c>
      <c r="H4161" s="20" t="n">
        <f aca="false">IF(G4161&lt;Parametres!$B$8*Parametres!$B$7,0,MIN(G4161,Parametres!$B$7))</f>
        <v>200</v>
      </c>
      <c r="I4161" s="20" t="n">
        <f aca="false">G4161-H4161</f>
        <v>0</v>
      </c>
      <c r="J4161" s="21" t="n">
        <f aca="false">H4161*1000/Parametres!$B$9</f>
        <v>3391.55502798033</v>
      </c>
    </row>
    <row r="4162" customFormat="false" ht="15" hidden="false" customHeight="false" outlineLevel="0" collapsed="false">
      <c r="A4162" s="0" t="n">
        <v>4158</v>
      </c>
      <c r="B4162" s="0" t="n">
        <v>6</v>
      </c>
      <c r="C4162" s="19" t="n">
        <v>0.0721</v>
      </c>
      <c r="D4162" s="19" t="n">
        <v>1</v>
      </c>
      <c r="E4162" s="20" t="n">
        <f aca="false">Parametres!$B$5*C4162</f>
        <v>21.63</v>
      </c>
      <c r="F4162" s="20" t="n">
        <f aca="false">Parametres!$B$6*D4162</f>
        <v>200</v>
      </c>
      <c r="G4162" s="20" t="n">
        <f aca="false">E4162+F4162</f>
        <v>221.63</v>
      </c>
      <c r="H4162" s="20" t="n">
        <f aca="false">IF(G4162&lt;Parametres!$B$8*Parametres!$B$7,0,MIN(G4162,Parametres!$B$7))</f>
        <v>221.63</v>
      </c>
      <c r="I4162" s="20" t="n">
        <f aca="false">G4162-H4162</f>
        <v>0</v>
      </c>
      <c r="J4162" s="21" t="n">
        <f aca="false">H4162*1000/Parametres!$B$9</f>
        <v>3758.3517042564</v>
      </c>
    </row>
    <row r="4163" customFormat="false" ht="15" hidden="false" customHeight="false" outlineLevel="0" collapsed="false">
      <c r="A4163" s="0" t="n">
        <v>4159</v>
      </c>
      <c r="B4163" s="0" t="n">
        <v>6</v>
      </c>
      <c r="C4163" s="19" t="n">
        <v>0.3255</v>
      </c>
      <c r="D4163" s="19" t="n">
        <v>1</v>
      </c>
      <c r="E4163" s="20" t="n">
        <f aca="false">Parametres!$B$5*C4163</f>
        <v>97.65</v>
      </c>
      <c r="F4163" s="20" t="n">
        <f aca="false">Parametres!$B$6*D4163</f>
        <v>200</v>
      </c>
      <c r="G4163" s="20" t="n">
        <f aca="false">E4163+F4163</f>
        <v>297.65</v>
      </c>
      <c r="H4163" s="20" t="n">
        <f aca="false">IF(G4163&lt;Parametres!$B$8*Parametres!$B$7,0,MIN(G4163,Parametres!$B$7))</f>
        <v>250</v>
      </c>
      <c r="I4163" s="20" t="n">
        <f aca="false">G4163-H4163</f>
        <v>47.65</v>
      </c>
      <c r="J4163" s="21" t="n">
        <f aca="false">H4163*1000/Parametres!$B$9</f>
        <v>4239.44378497541</v>
      </c>
    </row>
    <row r="4164" customFormat="false" ht="15" hidden="false" customHeight="false" outlineLevel="0" collapsed="false">
      <c r="A4164" s="0" t="n">
        <v>4160</v>
      </c>
      <c r="B4164" s="0" t="n">
        <v>6</v>
      </c>
      <c r="C4164" s="19" t="n">
        <v>0.5736</v>
      </c>
      <c r="D4164" s="19" t="n">
        <v>1</v>
      </c>
      <c r="E4164" s="20" t="n">
        <f aca="false">Parametres!$B$5*C4164</f>
        <v>172.08</v>
      </c>
      <c r="F4164" s="20" t="n">
        <f aca="false">Parametres!$B$6*D4164</f>
        <v>200</v>
      </c>
      <c r="G4164" s="20" t="n">
        <f aca="false">E4164+F4164</f>
        <v>372.08</v>
      </c>
      <c r="H4164" s="20" t="n">
        <f aca="false">IF(G4164&lt;Parametres!$B$8*Parametres!$B$7,0,MIN(G4164,Parametres!$B$7))</f>
        <v>250</v>
      </c>
      <c r="I4164" s="20" t="n">
        <f aca="false">G4164-H4164</f>
        <v>122.08</v>
      </c>
      <c r="J4164" s="21" t="n">
        <f aca="false">H4164*1000/Parametres!$B$9</f>
        <v>4239.44378497541</v>
      </c>
    </row>
    <row r="4165" customFormat="false" ht="15" hidden="false" customHeight="false" outlineLevel="0" collapsed="false">
      <c r="A4165" s="0" t="n">
        <v>4161</v>
      </c>
      <c r="B4165" s="0" t="n">
        <v>6</v>
      </c>
      <c r="C4165" s="19" t="n">
        <v>0.8657</v>
      </c>
      <c r="D4165" s="19" t="n">
        <v>1</v>
      </c>
      <c r="E4165" s="20" t="n">
        <f aca="false">Parametres!$B$5*C4165</f>
        <v>259.71</v>
      </c>
      <c r="F4165" s="20" t="n">
        <f aca="false">Parametres!$B$6*D4165</f>
        <v>200</v>
      </c>
      <c r="G4165" s="20" t="n">
        <f aca="false">E4165+F4165</f>
        <v>459.71</v>
      </c>
      <c r="H4165" s="20" t="n">
        <f aca="false">IF(G4165&lt;Parametres!$B$8*Parametres!$B$7,0,MIN(G4165,Parametres!$B$7))</f>
        <v>250</v>
      </c>
      <c r="I4165" s="20" t="n">
        <f aca="false">G4165-H4165</f>
        <v>209.71</v>
      </c>
      <c r="J4165" s="21" t="n">
        <f aca="false">H4165*1000/Parametres!$B$9</f>
        <v>4239.44378497541</v>
      </c>
    </row>
    <row r="4166" customFormat="false" ht="15" hidden="false" customHeight="false" outlineLevel="0" collapsed="false">
      <c r="A4166" s="0" t="n">
        <v>4162</v>
      </c>
      <c r="B4166" s="0" t="n">
        <v>6</v>
      </c>
      <c r="C4166" s="19" t="n">
        <v>1</v>
      </c>
      <c r="D4166" s="19" t="n">
        <v>1</v>
      </c>
      <c r="E4166" s="20" t="n">
        <f aca="false">Parametres!$B$5*C4166</f>
        <v>300</v>
      </c>
      <c r="F4166" s="20" t="n">
        <f aca="false">Parametres!$B$6*D4166</f>
        <v>200</v>
      </c>
      <c r="G4166" s="20" t="n">
        <f aca="false">E4166+F4166</f>
        <v>500</v>
      </c>
      <c r="H4166" s="20" t="n">
        <f aca="false">IF(G4166&lt;Parametres!$B$8*Parametres!$B$7,0,MIN(G4166,Parametres!$B$7))</f>
        <v>250</v>
      </c>
      <c r="I4166" s="20" t="n">
        <f aca="false">G4166-H4166</f>
        <v>250</v>
      </c>
      <c r="J4166" s="21" t="n">
        <f aca="false">H4166*1000/Parametres!$B$9</f>
        <v>4239.44378497541</v>
      </c>
    </row>
    <row r="4167" customFormat="false" ht="15" hidden="false" customHeight="false" outlineLevel="0" collapsed="false">
      <c r="A4167" s="0" t="n">
        <v>4163</v>
      </c>
      <c r="B4167" s="0" t="n">
        <v>6</v>
      </c>
      <c r="C4167" s="19" t="n">
        <v>1</v>
      </c>
      <c r="D4167" s="19" t="n">
        <v>1</v>
      </c>
      <c r="E4167" s="20" t="n">
        <f aca="false">Parametres!$B$5*C4167</f>
        <v>300</v>
      </c>
      <c r="F4167" s="20" t="n">
        <f aca="false">Parametres!$B$6*D4167</f>
        <v>200</v>
      </c>
      <c r="G4167" s="20" t="n">
        <f aca="false">E4167+F4167</f>
        <v>500</v>
      </c>
      <c r="H4167" s="20" t="n">
        <f aca="false">IF(G4167&lt;Parametres!$B$8*Parametres!$B$7,0,MIN(G4167,Parametres!$B$7))</f>
        <v>250</v>
      </c>
      <c r="I4167" s="20" t="n">
        <f aca="false">G4167-H4167</f>
        <v>250</v>
      </c>
      <c r="J4167" s="21" t="n">
        <f aca="false">H4167*1000/Parametres!$B$9</f>
        <v>4239.44378497541</v>
      </c>
    </row>
    <row r="4168" customFormat="false" ht="15" hidden="false" customHeight="false" outlineLevel="0" collapsed="false">
      <c r="A4168" s="0" t="n">
        <v>4164</v>
      </c>
      <c r="B4168" s="0" t="n">
        <v>6</v>
      </c>
      <c r="C4168" s="19" t="n">
        <v>1</v>
      </c>
      <c r="D4168" s="19" t="n">
        <v>1</v>
      </c>
      <c r="E4168" s="20" t="n">
        <f aca="false">Parametres!$B$5*C4168</f>
        <v>300</v>
      </c>
      <c r="F4168" s="20" t="n">
        <f aca="false">Parametres!$B$6*D4168</f>
        <v>200</v>
      </c>
      <c r="G4168" s="20" t="n">
        <f aca="false">E4168+F4168</f>
        <v>500</v>
      </c>
      <c r="H4168" s="20" t="n">
        <f aca="false">IF(G4168&lt;Parametres!$B$8*Parametres!$B$7,0,MIN(G4168,Parametres!$B$7))</f>
        <v>250</v>
      </c>
      <c r="I4168" s="20" t="n">
        <f aca="false">G4168-H4168</f>
        <v>250</v>
      </c>
      <c r="J4168" s="21" t="n">
        <f aca="false">H4168*1000/Parametres!$B$9</f>
        <v>4239.44378497541</v>
      </c>
    </row>
    <row r="4169" customFormat="false" ht="15" hidden="false" customHeight="false" outlineLevel="0" collapsed="false">
      <c r="A4169" s="0" t="n">
        <v>4165</v>
      </c>
      <c r="B4169" s="0" t="n">
        <v>6</v>
      </c>
      <c r="C4169" s="19" t="n">
        <v>1</v>
      </c>
      <c r="D4169" s="19" t="n">
        <v>1</v>
      </c>
      <c r="E4169" s="20" t="n">
        <f aca="false">Parametres!$B$5*C4169</f>
        <v>300</v>
      </c>
      <c r="F4169" s="20" t="n">
        <f aca="false">Parametres!$B$6*D4169</f>
        <v>200</v>
      </c>
      <c r="G4169" s="20" t="n">
        <f aca="false">E4169+F4169</f>
        <v>500</v>
      </c>
      <c r="H4169" s="20" t="n">
        <f aca="false">IF(G4169&lt;Parametres!$B$8*Parametres!$B$7,0,MIN(G4169,Parametres!$B$7))</f>
        <v>250</v>
      </c>
      <c r="I4169" s="20" t="n">
        <f aca="false">G4169-H4169</f>
        <v>250</v>
      </c>
      <c r="J4169" s="21" t="n">
        <f aca="false">H4169*1000/Parametres!$B$9</f>
        <v>4239.44378497541</v>
      </c>
    </row>
    <row r="4170" customFormat="false" ht="15" hidden="false" customHeight="false" outlineLevel="0" collapsed="false">
      <c r="A4170" s="0" t="n">
        <v>4166</v>
      </c>
      <c r="B4170" s="0" t="n">
        <v>6</v>
      </c>
      <c r="C4170" s="19" t="n">
        <v>1</v>
      </c>
      <c r="D4170" s="19" t="n">
        <v>1</v>
      </c>
      <c r="E4170" s="20" t="n">
        <f aca="false">Parametres!$B$5*C4170</f>
        <v>300</v>
      </c>
      <c r="F4170" s="20" t="n">
        <f aca="false">Parametres!$B$6*D4170</f>
        <v>200</v>
      </c>
      <c r="G4170" s="20" t="n">
        <f aca="false">E4170+F4170</f>
        <v>500</v>
      </c>
      <c r="H4170" s="20" t="n">
        <f aca="false">IF(G4170&lt;Parametres!$B$8*Parametres!$B$7,0,MIN(G4170,Parametres!$B$7))</f>
        <v>250</v>
      </c>
      <c r="I4170" s="20" t="n">
        <f aca="false">G4170-H4170</f>
        <v>250</v>
      </c>
      <c r="J4170" s="21" t="n">
        <f aca="false">H4170*1000/Parametres!$B$9</f>
        <v>4239.44378497541</v>
      </c>
    </row>
    <row r="4171" customFormat="false" ht="15" hidden="false" customHeight="false" outlineLevel="0" collapsed="false">
      <c r="A4171" s="0" t="n">
        <v>4167</v>
      </c>
      <c r="B4171" s="0" t="n">
        <v>6</v>
      </c>
      <c r="C4171" s="19" t="n">
        <v>0.9971</v>
      </c>
      <c r="D4171" s="19" t="n">
        <v>1</v>
      </c>
      <c r="E4171" s="20" t="n">
        <f aca="false">Parametres!$B$5*C4171</f>
        <v>299.13</v>
      </c>
      <c r="F4171" s="20" t="n">
        <f aca="false">Parametres!$B$6*D4171</f>
        <v>200</v>
      </c>
      <c r="G4171" s="20" t="n">
        <f aca="false">E4171+F4171</f>
        <v>499.13</v>
      </c>
      <c r="H4171" s="20" t="n">
        <f aca="false">IF(G4171&lt;Parametres!$B$8*Parametres!$B$7,0,MIN(G4171,Parametres!$B$7))</f>
        <v>250</v>
      </c>
      <c r="I4171" s="20" t="n">
        <f aca="false">G4171-H4171</f>
        <v>249.13</v>
      </c>
      <c r="J4171" s="21" t="n">
        <f aca="false">H4171*1000/Parametres!$B$9</f>
        <v>4239.44378497541</v>
      </c>
    </row>
    <row r="4172" customFormat="false" ht="15" hidden="false" customHeight="false" outlineLevel="0" collapsed="false">
      <c r="A4172" s="0" t="n">
        <v>4168</v>
      </c>
      <c r="B4172" s="0" t="n">
        <v>6</v>
      </c>
      <c r="C4172" s="19" t="n">
        <v>0.762</v>
      </c>
      <c r="D4172" s="19" t="n">
        <v>1</v>
      </c>
      <c r="E4172" s="20" t="n">
        <f aca="false">Parametres!$B$5*C4172</f>
        <v>228.6</v>
      </c>
      <c r="F4172" s="20" t="n">
        <f aca="false">Parametres!$B$6*D4172</f>
        <v>200</v>
      </c>
      <c r="G4172" s="20" t="n">
        <f aca="false">E4172+F4172</f>
        <v>428.6</v>
      </c>
      <c r="H4172" s="20" t="n">
        <f aca="false">IF(G4172&lt;Parametres!$B$8*Parametres!$B$7,0,MIN(G4172,Parametres!$B$7))</f>
        <v>250</v>
      </c>
      <c r="I4172" s="20" t="n">
        <f aca="false">G4172-H4172</f>
        <v>178.6</v>
      </c>
      <c r="J4172" s="21" t="n">
        <f aca="false">H4172*1000/Parametres!$B$9</f>
        <v>4239.44378497541</v>
      </c>
    </row>
    <row r="4173" customFormat="false" ht="15" hidden="false" customHeight="false" outlineLevel="0" collapsed="false">
      <c r="A4173" s="0" t="n">
        <v>4169</v>
      </c>
      <c r="B4173" s="0" t="n">
        <v>6</v>
      </c>
      <c r="C4173" s="19" t="n">
        <v>0.5924</v>
      </c>
      <c r="D4173" s="19" t="n">
        <v>1</v>
      </c>
      <c r="E4173" s="20" t="n">
        <f aca="false">Parametres!$B$5*C4173</f>
        <v>177.72</v>
      </c>
      <c r="F4173" s="20" t="n">
        <f aca="false">Parametres!$B$6*D4173</f>
        <v>200</v>
      </c>
      <c r="G4173" s="20" t="n">
        <f aca="false">E4173+F4173</f>
        <v>377.72</v>
      </c>
      <c r="H4173" s="20" t="n">
        <f aca="false">IF(G4173&lt;Parametres!$B$8*Parametres!$B$7,0,MIN(G4173,Parametres!$B$7))</f>
        <v>250</v>
      </c>
      <c r="I4173" s="20" t="n">
        <f aca="false">G4173-H4173</f>
        <v>127.72</v>
      </c>
      <c r="J4173" s="21" t="n">
        <f aca="false">H4173*1000/Parametres!$B$9</f>
        <v>4239.44378497541</v>
      </c>
    </row>
    <row r="4174" customFormat="false" ht="15" hidden="false" customHeight="false" outlineLevel="0" collapsed="false">
      <c r="A4174" s="0" t="n">
        <v>4170</v>
      </c>
      <c r="B4174" s="0" t="n">
        <v>6</v>
      </c>
      <c r="C4174" s="19" t="n">
        <v>0.3105</v>
      </c>
      <c r="D4174" s="19" t="n">
        <v>1</v>
      </c>
      <c r="E4174" s="20" t="n">
        <f aca="false">Parametres!$B$5*C4174</f>
        <v>93.15</v>
      </c>
      <c r="F4174" s="20" t="n">
        <f aca="false">Parametres!$B$6*D4174</f>
        <v>200</v>
      </c>
      <c r="G4174" s="20" t="n">
        <f aca="false">E4174+F4174</f>
        <v>293.15</v>
      </c>
      <c r="H4174" s="20" t="n">
        <f aca="false">IF(G4174&lt;Parametres!$B$8*Parametres!$B$7,0,MIN(G4174,Parametres!$B$7))</f>
        <v>250</v>
      </c>
      <c r="I4174" s="20" t="n">
        <f aca="false">G4174-H4174</f>
        <v>43.15</v>
      </c>
      <c r="J4174" s="21" t="n">
        <f aca="false">H4174*1000/Parametres!$B$9</f>
        <v>4239.44378497541</v>
      </c>
    </row>
    <row r="4175" customFormat="false" ht="15" hidden="false" customHeight="false" outlineLevel="0" collapsed="false">
      <c r="A4175" s="0" t="n">
        <v>4171</v>
      </c>
      <c r="B4175" s="0" t="n">
        <v>6</v>
      </c>
      <c r="C4175" s="19" t="n">
        <v>0.0712</v>
      </c>
      <c r="D4175" s="19" t="n">
        <v>1</v>
      </c>
      <c r="E4175" s="20" t="n">
        <f aca="false">Parametres!$B$5*C4175</f>
        <v>21.36</v>
      </c>
      <c r="F4175" s="20" t="n">
        <f aca="false">Parametres!$B$6*D4175</f>
        <v>200</v>
      </c>
      <c r="G4175" s="20" t="n">
        <f aca="false">E4175+F4175</f>
        <v>221.36</v>
      </c>
      <c r="H4175" s="20" t="n">
        <f aca="false">IF(G4175&lt;Parametres!$B$8*Parametres!$B$7,0,MIN(G4175,Parametres!$B$7))</f>
        <v>221.36</v>
      </c>
      <c r="I4175" s="20" t="n">
        <f aca="false">G4175-H4175</f>
        <v>0</v>
      </c>
      <c r="J4175" s="21" t="n">
        <f aca="false">H4175*1000/Parametres!$B$9</f>
        <v>3753.77310496863</v>
      </c>
    </row>
    <row r="4176" customFormat="false" ht="15" hidden="false" customHeight="false" outlineLevel="0" collapsed="false">
      <c r="A4176" s="0" t="n">
        <v>4172</v>
      </c>
      <c r="B4176" s="0" t="n">
        <v>6</v>
      </c>
      <c r="C4176" s="19" t="n">
        <v>0</v>
      </c>
      <c r="D4176" s="19" t="n">
        <v>1</v>
      </c>
      <c r="E4176" s="20" t="n">
        <f aca="false">Parametres!$B$5*C4176</f>
        <v>0</v>
      </c>
      <c r="F4176" s="20" t="n">
        <f aca="false">Parametres!$B$6*D4176</f>
        <v>200</v>
      </c>
      <c r="G4176" s="20" t="n">
        <f aca="false">E4176+F4176</f>
        <v>200</v>
      </c>
      <c r="H4176" s="20" t="n">
        <f aca="false">IF(G4176&lt;Parametres!$B$8*Parametres!$B$7,0,MIN(G4176,Parametres!$B$7))</f>
        <v>200</v>
      </c>
      <c r="I4176" s="20" t="n">
        <f aca="false">G4176-H4176</f>
        <v>0</v>
      </c>
      <c r="J4176" s="21" t="n">
        <f aca="false">H4176*1000/Parametres!$B$9</f>
        <v>3391.55502798033</v>
      </c>
    </row>
    <row r="4177" customFormat="false" ht="15" hidden="false" customHeight="false" outlineLevel="0" collapsed="false">
      <c r="A4177" s="0" t="n">
        <v>4173</v>
      </c>
      <c r="B4177" s="0" t="n">
        <v>6</v>
      </c>
      <c r="C4177" s="19" t="n">
        <v>0</v>
      </c>
      <c r="D4177" s="19" t="n">
        <v>1</v>
      </c>
      <c r="E4177" s="20" t="n">
        <f aca="false">Parametres!$B$5*C4177</f>
        <v>0</v>
      </c>
      <c r="F4177" s="20" t="n">
        <f aca="false">Parametres!$B$6*D4177</f>
        <v>200</v>
      </c>
      <c r="G4177" s="20" t="n">
        <f aca="false">E4177+F4177</f>
        <v>200</v>
      </c>
      <c r="H4177" s="20" t="n">
        <f aca="false">IF(G4177&lt;Parametres!$B$8*Parametres!$B$7,0,MIN(G4177,Parametres!$B$7))</f>
        <v>200</v>
      </c>
      <c r="I4177" s="20" t="n">
        <f aca="false">G4177-H4177</f>
        <v>0</v>
      </c>
      <c r="J4177" s="21" t="n">
        <f aca="false">H4177*1000/Parametres!$B$9</f>
        <v>3391.55502798033</v>
      </c>
    </row>
    <row r="4178" customFormat="false" ht="15" hidden="false" customHeight="false" outlineLevel="0" collapsed="false">
      <c r="A4178" s="0" t="n">
        <v>4174</v>
      </c>
      <c r="B4178" s="0" t="n">
        <v>6</v>
      </c>
      <c r="C4178" s="19" t="n">
        <v>0</v>
      </c>
      <c r="D4178" s="19" t="n">
        <v>1</v>
      </c>
      <c r="E4178" s="20" t="n">
        <f aca="false">Parametres!$B$5*C4178</f>
        <v>0</v>
      </c>
      <c r="F4178" s="20" t="n">
        <f aca="false">Parametres!$B$6*D4178</f>
        <v>200</v>
      </c>
      <c r="G4178" s="20" t="n">
        <f aca="false">E4178+F4178</f>
        <v>200</v>
      </c>
      <c r="H4178" s="20" t="n">
        <f aca="false">IF(G4178&lt;Parametres!$B$8*Parametres!$B$7,0,MIN(G4178,Parametres!$B$7))</f>
        <v>200</v>
      </c>
      <c r="I4178" s="20" t="n">
        <f aca="false">G4178-H4178</f>
        <v>0</v>
      </c>
      <c r="J4178" s="21" t="n">
        <f aca="false">H4178*1000/Parametres!$B$9</f>
        <v>3391.55502798033</v>
      </c>
    </row>
    <row r="4179" customFormat="false" ht="15" hidden="false" customHeight="false" outlineLevel="0" collapsed="false">
      <c r="A4179" s="0" t="n">
        <v>4175</v>
      </c>
      <c r="B4179" s="0" t="n">
        <v>6</v>
      </c>
      <c r="C4179" s="19" t="n">
        <v>0</v>
      </c>
      <c r="D4179" s="19" t="n">
        <v>1</v>
      </c>
      <c r="E4179" s="20" t="n">
        <f aca="false">Parametres!$B$5*C4179</f>
        <v>0</v>
      </c>
      <c r="F4179" s="20" t="n">
        <f aca="false">Parametres!$B$6*D4179</f>
        <v>200</v>
      </c>
      <c r="G4179" s="20" t="n">
        <f aca="false">E4179+F4179</f>
        <v>200</v>
      </c>
      <c r="H4179" s="20" t="n">
        <f aca="false">IF(G4179&lt;Parametres!$B$8*Parametres!$B$7,0,MIN(G4179,Parametres!$B$7))</f>
        <v>200</v>
      </c>
      <c r="I4179" s="20" t="n">
        <f aca="false">G4179-H4179</f>
        <v>0</v>
      </c>
      <c r="J4179" s="21" t="n">
        <f aca="false">H4179*1000/Parametres!$B$9</f>
        <v>3391.55502798033</v>
      </c>
    </row>
    <row r="4180" customFormat="false" ht="15" hidden="false" customHeight="false" outlineLevel="0" collapsed="false">
      <c r="A4180" s="0" t="n">
        <v>4176</v>
      </c>
      <c r="B4180" s="0" t="n">
        <v>6</v>
      </c>
      <c r="C4180" s="19" t="n">
        <v>0</v>
      </c>
      <c r="D4180" s="19" t="n">
        <v>1</v>
      </c>
      <c r="E4180" s="20" t="n">
        <f aca="false">Parametres!$B$5*C4180</f>
        <v>0</v>
      </c>
      <c r="F4180" s="20" t="n">
        <f aca="false">Parametres!$B$6*D4180</f>
        <v>200</v>
      </c>
      <c r="G4180" s="20" t="n">
        <f aca="false">E4180+F4180</f>
        <v>200</v>
      </c>
      <c r="H4180" s="20" t="n">
        <f aca="false">IF(G4180&lt;Parametres!$B$8*Parametres!$B$7,0,MIN(G4180,Parametres!$B$7))</f>
        <v>200</v>
      </c>
      <c r="I4180" s="20" t="n">
        <f aca="false">G4180-H4180</f>
        <v>0</v>
      </c>
      <c r="J4180" s="21" t="n">
        <f aca="false">H4180*1000/Parametres!$B$9</f>
        <v>3391.55502798033</v>
      </c>
    </row>
    <row r="4181" customFormat="false" ht="15" hidden="false" customHeight="false" outlineLevel="0" collapsed="false">
      <c r="A4181" s="0" t="n">
        <v>4177</v>
      </c>
      <c r="B4181" s="0" t="n">
        <v>6</v>
      </c>
      <c r="C4181" s="19" t="n">
        <v>0</v>
      </c>
      <c r="D4181" s="19" t="n">
        <v>1</v>
      </c>
      <c r="E4181" s="20" t="n">
        <f aca="false">Parametres!$B$5*C4181</f>
        <v>0</v>
      </c>
      <c r="F4181" s="20" t="n">
        <f aca="false">Parametres!$B$6*D4181</f>
        <v>200</v>
      </c>
      <c r="G4181" s="20" t="n">
        <f aca="false">E4181+F4181</f>
        <v>200</v>
      </c>
      <c r="H4181" s="20" t="n">
        <f aca="false">IF(G4181&lt;Parametres!$B$8*Parametres!$B$7,0,MIN(G4181,Parametres!$B$7))</f>
        <v>200</v>
      </c>
      <c r="I4181" s="20" t="n">
        <f aca="false">G4181-H4181</f>
        <v>0</v>
      </c>
      <c r="J4181" s="21" t="n">
        <f aca="false">H4181*1000/Parametres!$B$9</f>
        <v>3391.55502798033</v>
      </c>
    </row>
    <row r="4182" customFormat="false" ht="15" hidden="false" customHeight="false" outlineLevel="0" collapsed="false">
      <c r="A4182" s="0" t="n">
        <v>4178</v>
      </c>
      <c r="B4182" s="0" t="n">
        <v>6</v>
      </c>
      <c r="C4182" s="19" t="n">
        <v>0</v>
      </c>
      <c r="D4182" s="19" t="n">
        <v>1</v>
      </c>
      <c r="E4182" s="20" t="n">
        <f aca="false">Parametres!$B$5*C4182</f>
        <v>0</v>
      </c>
      <c r="F4182" s="20" t="n">
        <f aca="false">Parametres!$B$6*D4182</f>
        <v>200</v>
      </c>
      <c r="G4182" s="20" t="n">
        <f aca="false">E4182+F4182</f>
        <v>200</v>
      </c>
      <c r="H4182" s="20" t="n">
        <f aca="false">IF(G4182&lt;Parametres!$B$8*Parametres!$B$7,0,MIN(G4182,Parametres!$B$7))</f>
        <v>200</v>
      </c>
      <c r="I4182" s="20" t="n">
        <f aca="false">G4182-H4182</f>
        <v>0</v>
      </c>
      <c r="J4182" s="21" t="n">
        <f aca="false">H4182*1000/Parametres!$B$9</f>
        <v>3391.55502798033</v>
      </c>
    </row>
    <row r="4183" customFormat="false" ht="15" hidden="false" customHeight="false" outlineLevel="0" collapsed="false">
      <c r="A4183" s="0" t="n">
        <v>4179</v>
      </c>
      <c r="B4183" s="0" t="n">
        <v>6</v>
      </c>
      <c r="C4183" s="19" t="n">
        <v>0</v>
      </c>
      <c r="D4183" s="19" t="n">
        <v>1</v>
      </c>
      <c r="E4183" s="20" t="n">
        <f aca="false">Parametres!$B$5*C4183</f>
        <v>0</v>
      </c>
      <c r="F4183" s="20" t="n">
        <f aca="false">Parametres!$B$6*D4183</f>
        <v>200</v>
      </c>
      <c r="G4183" s="20" t="n">
        <f aca="false">E4183+F4183</f>
        <v>200</v>
      </c>
      <c r="H4183" s="20" t="n">
        <f aca="false">IF(G4183&lt;Parametres!$B$8*Parametres!$B$7,0,MIN(G4183,Parametres!$B$7))</f>
        <v>200</v>
      </c>
      <c r="I4183" s="20" t="n">
        <f aca="false">G4183-H4183</f>
        <v>0</v>
      </c>
      <c r="J4183" s="21" t="n">
        <f aca="false">H4183*1000/Parametres!$B$9</f>
        <v>3391.55502798033</v>
      </c>
    </row>
    <row r="4184" customFormat="false" ht="15" hidden="false" customHeight="false" outlineLevel="0" collapsed="false">
      <c r="A4184" s="0" t="n">
        <v>4180</v>
      </c>
      <c r="B4184" s="0" t="n">
        <v>6</v>
      </c>
      <c r="C4184" s="19" t="n">
        <v>0</v>
      </c>
      <c r="D4184" s="19" t="n">
        <v>1</v>
      </c>
      <c r="E4184" s="20" t="n">
        <f aca="false">Parametres!$B$5*C4184</f>
        <v>0</v>
      </c>
      <c r="F4184" s="20" t="n">
        <f aca="false">Parametres!$B$6*D4184</f>
        <v>200</v>
      </c>
      <c r="G4184" s="20" t="n">
        <f aca="false">E4184+F4184</f>
        <v>200</v>
      </c>
      <c r="H4184" s="20" t="n">
        <f aca="false">IF(G4184&lt;Parametres!$B$8*Parametres!$B$7,0,MIN(G4184,Parametres!$B$7))</f>
        <v>200</v>
      </c>
      <c r="I4184" s="20" t="n">
        <f aca="false">G4184-H4184</f>
        <v>0</v>
      </c>
      <c r="J4184" s="21" t="n">
        <f aca="false">H4184*1000/Parametres!$B$9</f>
        <v>3391.55502798033</v>
      </c>
    </row>
    <row r="4185" customFormat="false" ht="15" hidden="false" customHeight="false" outlineLevel="0" collapsed="false">
      <c r="A4185" s="0" t="n">
        <v>4181</v>
      </c>
      <c r="B4185" s="0" t="n">
        <v>6</v>
      </c>
      <c r="C4185" s="19" t="n">
        <v>0</v>
      </c>
      <c r="D4185" s="19" t="n">
        <v>1</v>
      </c>
      <c r="E4185" s="20" t="n">
        <f aca="false">Parametres!$B$5*C4185</f>
        <v>0</v>
      </c>
      <c r="F4185" s="20" t="n">
        <f aca="false">Parametres!$B$6*D4185</f>
        <v>200</v>
      </c>
      <c r="G4185" s="20" t="n">
        <f aca="false">E4185+F4185</f>
        <v>200</v>
      </c>
      <c r="H4185" s="20" t="n">
        <f aca="false">IF(G4185&lt;Parametres!$B$8*Parametres!$B$7,0,MIN(G4185,Parametres!$B$7))</f>
        <v>200</v>
      </c>
      <c r="I4185" s="20" t="n">
        <f aca="false">G4185-H4185</f>
        <v>0</v>
      </c>
      <c r="J4185" s="21" t="n">
        <f aca="false">H4185*1000/Parametres!$B$9</f>
        <v>3391.55502798033</v>
      </c>
    </row>
    <row r="4186" customFormat="false" ht="15" hidden="false" customHeight="false" outlineLevel="0" collapsed="false">
      <c r="A4186" s="0" t="n">
        <v>4182</v>
      </c>
      <c r="B4186" s="0" t="n">
        <v>6</v>
      </c>
      <c r="C4186" s="19" t="n">
        <v>0.0528</v>
      </c>
      <c r="D4186" s="19" t="n">
        <v>1</v>
      </c>
      <c r="E4186" s="20" t="n">
        <f aca="false">Parametres!$B$5*C4186</f>
        <v>15.84</v>
      </c>
      <c r="F4186" s="20" t="n">
        <f aca="false">Parametres!$B$6*D4186</f>
        <v>200</v>
      </c>
      <c r="G4186" s="20" t="n">
        <f aca="false">E4186+F4186</f>
        <v>215.84</v>
      </c>
      <c r="H4186" s="20" t="n">
        <f aca="false">IF(G4186&lt;Parametres!$B$8*Parametres!$B$7,0,MIN(G4186,Parametres!$B$7))</f>
        <v>215.84</v>
      </c>
      <c r="I4186" s="20" t="n">
        <f aca="false">G4186-H4186</f>
        <v>0</v>
      </c>
      <c r="J4186" s="21" t="n">
        <f aca="false">H4186*1000/Parametres!$B$9</f>
        <v>3660.16618619637</v>
      </c>
    </row>
    <row r="4187" customFormat="false" ht="15" hidden="false" customHeight="false" outlineLevel="0" collapsed="false">
      <c r="A4187" s="0" t="n">
        <v>4183</v>
      </c>
      <c r="B4187" s="0" t="n">
        <v>6</v>
      </c>
      <c r="C4187" s="19" t="n">
        <v>0.2594</v>
      </c>
      <c r="D4187" s="19" t="n">
        <v>1</v>
      </c>
      <c r="E4187" s="20" t="n">
        <f aca="false">Parametres!$B$5*C4187</f>
        <v>77.82</v>
      </c>
      <c r="F4187" s="20" t="n">
        <f aca="false">Parametres!$B$6*D4187</f>
        <v>200</v>
      </c>
      <c r="G4187" s="20" t="n">
        <f aca="false">E4187+F4187</f>
        <v>277.82</v>
      </c>
      <c r="H4187" s="20" t="n">
        <f aca="false">IF(G4187&lt;Parametres!$B$8*Parametres!$B$7,0,MIN(G4187,Parametres!$B$7))</f>
        <v>250</v>
      </c>
      <c r="I4187" s="20" t="n">
        <f aca="false">G4187-H4187</f>
        <v>27.82</v>
      </c>
      <c r="J4187" s="21" t="n">
        <f aca="false">H4187*1000/Parametres!$B$9</f>
        <v>4239.44378497541</v>
      </c>
    </row>
    <row r="4188" customFormat="false" ht="15" hidden="false" customHeight="false" outlineLevel="0" collapsed="false">
      <c r="A4188" s="0" t="n">
        <v>4184</v>
      </c>
      <c r="B4188" s="0" t="n">
        <v>6</v>
      </c>
      <c r="C4188" s="19" t="n">
        <v>0.4495</v>
      </c>
      <c r="D4188" s="19" t="n">
        <v>1</v>
      </c>
      <c r="E4188" s="20" t="n">
        <f aca="false">Parametres!$B$5*C4188</f>
        <v>134.85</v>
      </c>
      <c r="F4188" s="20" t="n">
        <f aca="false">Parametres!$B$6*D4188</f>
        <v>200</v>
      </c>
      <c r="G4188" s="20" t="n">
        <f aca="false">E4188+F4188</f>
        <v>334.85</v>
      </c>
      <c r="H4188" s="20" t="n">
        <f aca="false">IF(G4188&lt;Parametres!$B$8*Parametres!$B$7,0,MIN(G4188,Parametres!$B$7))</f>
        <v>250</v>
      </c>
      <c r="I4188" s="20" t="n">
        <f aca="false">G4188-H4188</f>
        <v>84.85</v>
      </c>
      <c r="J4188" s="21" t="n">
        <f aca="false">H4188*1000/Parametres!$B$9</f>
        <v>4239.44378497541</v>
      </c>
    </row>
    <row r="4189" customFormat="false" ht="15" hidden="false" customHeight="false" outlineLevel="0" collapsed="false">
      <c r="A4189" s="0" t="n">
        <v>4185</v>
      </c>
      <c r="B4189" s="0" t="n">
        <v>6</v>
      </c>
      <c r="C4189" s="19" t="n">
        <v>0.6444</v>
      </c>
      <c r="D4189" s="19" t="n">
        <v>1</v>
      </c>
      <c r="E4189" s="20" t="n">
        <f aca="false">Parametres!$B$5*C4189</f>
        <v>193.32</v>
      </c>
      <c r="F4189" s="20" t="n">
        <f aca="false">Parametres!$B$6*D4189</f>
        <v>200</v>
      </c>
      <c r="G4189" s="20" t="n">
        <f aca="false">E4189+F4189</f>
        <v>393.32</v>
      </c>
      <c r="H4189" s="20" t="n">
        <f aca="false">IF(G4189&lt;Parametres!$B$8*Parametres!$B$7,0,MIN(G4189,Parametres!$B$7))</f>
        <v>250</v>
      </c>
      <c r="I4189" s="20" t="n">
        <f aca="false">G4189-H4189</f>
        <v>143.32</v>
      </c>
      <c r="J4189" s="21" t="n">
        <f aca="false">H4189*1000/Parametres!$B$9</f>
        <v>4239.44378497541</v>
      </c>
    </row>
    <row r="4190" customFormat="false" ht="15" hidden="false" customHeight="false" outlineLevel="0" collapsed="false">
      <c r="A4190" s="0" t="n">
        <v>4186</v>
      </c>
      <c r="B4190" s="0" t="n">
        <v>6</v>
      </c>
      <c r="C4190" s="19" t="n">
        <v>0.8423</v>
      </c>
      <c r="D4190" s="19" t="n">
        <v>1</v>
      </c>
      <c r="E4190" s="20" t="n">
        <f aca="false">Parametres!$B$5*C4190</f>
        <v>252.69</v>
      </c>
      <c r="F4190" s="20" t="n">
        <f aca="false">Parametres!$B$6*D4190</f>
        <v>200</v>
      </c>
      <c r="G4190" s="20" t="n">
        <f aca="false">E4190+F4190</f>
        <v>452.69</v>
      </c>
      <c r="H4190" s="20" t="n">
        <f aca="false">IF(G4190&lt;Parametres!$B$8*Parametres!$B$7,0,MIN(G4190,Parametres!$B$7))</f>
        <v>250</v>
      </c>
      <c r="I4190" s="20" t="n">
        <f aca="false">G4190-H4190</f>
        <v>202.69</v>
      </c>
      <c r="J4190" s="21" t="n">
        <f aca="false">H4190*1000/Parametres!$B$9</f>
        <v>4239.44378497541</v>
      </c>
    </row>
    <row r="4191" customFormat="false" ht="15" hidden="false" customHeight="false" outlineLevel="0" collapsed="false">
      <c r="A4191" s="0" t="n">
        <v>4187</v>
      </c>
      <c r="B4191" s="0" t="n">
        <v>6</v>
      </c>
      <c r="C4191" s="19" t="n">
        <v>0.9135</v>
      </c>
      <c r="D4191" s="19" t="n">
        <v>1</v>
      </c>
      <c r="E4191" s="20" t="n">
        <f aca="false">Parametres!$B$5*C4191</f>
        <v>274.05</v>
      </c>
      <c r="F4191" s="20" t="n">
        <f aca="false">Parametres!$B$6*D4191</f>
        <v>200</v>
      </c>
      <c r="G4191" s="20" t="n">
        <f aca="false">E4191+F4191</f>
        <v>474.05</v>
      </c>
      <c r="H4191" s="20" t="n">
        <f aca="false">IF(G4191&lt;Parametres!$B$8*Parametres!$B$7,0,MIN(G4191,Parametres!$B$7))</f>
        <v>250</v>
      </c>
      <c r="I4191" s="20" t="n">
        <f aca="false">G4191-H4191</f>
        <v>224.05</v>
      </c>
      <c r="J4191" s="21" t="n">
        <f aca="false">H4191*1000/Parametres!$B$9</f>
        <v>4239.44378497541</v>
      </c>
    </row>
    <row r="4192" customFormat="false" ht="15" hidden="false" customHeight="false" outlineLevel="0" collapsed="false">
      <c r="A4192" s="0" t="n">
        <v>4188</v>
      </c>
      <c r="B4192" s="0" t="n">
        <v>6</v>
      </c>
      <c r="C4192" s="19" t="n">
        <v>0.9407</v>
      </c>
      <c r="D4192" s="19" t="n">
        <v>1</v>
      </c>
      <c r="E4192" s="20" t="n">
        <f aca="false">Parametres!$B$5*C4192</f>
        <v>282.21</v>
      </c>
      <c r="F4192" s="20" t="n">
        <f aca="false">Parametres!$B$6*D4192</f>
        <v>200</v>
      </c>
      <c r="G4192" s="20" t="n">
        <f aca="false">E4192+F4192</f>
        <v>482.21</v>
      </c>
      <c r="H4192" s="20" t="n">
        <f aca="false">IF(G4192&lt;Parametres!$B$8*Parametres!$B$7,0,MIN(G4192,Parametres!$B$7))</f>
        <v>250</v>
      </c>
      <c r="I4192" s="20" t="n">
        <f aca="false">G4192-H4192</f>
        <v>232.21</v>
      </c>
      <c r="J4192" s="21" t="n">
        <f aca="false">H4192*1000/Parametres!$B$9</f>
        <v>4239.44378497541</v>
      </c>
    </row>
    <row r="4193" customFormat="false" ht="15" hidden="false" customHeight="false" outlineLevel="0" collapsed="false">
      <c r="A4193" s="0" t="n">
        <v>4189</v>
      </c>
      <c r="B4193" s="0" t="n">
        <v>6</v>
      </c>
      <c r="C4193" s="19" t="n">
        <v>0.8919</v>
      </c>
      <c r="D4193" s="19" t="n">
        <v>1</v>
      </c>
      <c r="E4193" s="20" t="n">
        <f aca="false">Parametres!$B$5*C4193</f>
        <v>267.57</v>
      </c>
      <c r="F4193" s="20" t="n">
        <f aca="false">Parametres!$B$6*D4193</f>
        <v>200</v>
      </c>
      <c r="G4193" s="20" t="n">
        <f aca="false">E4193+F4193</f>
        <v>467.57</v>
      </c>
      <c r="H4193" s="20" t="n">
        <f aca="false">IF(G4193&lt;Parametres!$B$8*Parametres!$B$7,0,MIN(G4193,Parametres!$B$7))</f>
        <v>250</v>
      </c>
      <c r="I4193" s="20" t="n">
        <f aca="false">G4193-H4193</f>
        <v>217.57</v>
      </c>
      <c r="J4193" s="21" t="n">
        <f aca="false">H4193*1000/Parametres!$B$9</f>
        <v>4239.44378497541</v>
      </c>
    </row>
    <row r="4194" customFormat="false" ht="15" hidden="false" customHeight="false" outlineLevel="0" collapsed="false">
      <c r="A4194" s="0" t="n">
        <v>4190</v>
      </c>
      <c r="B4194" s="0" t="n">
        <v>6</v>
      </c>
      <c r="C4194" s="19" t="n">
        <v>0.9285</v>
      </c>
      <c r="D4194" s="19" t="n">
        <v>1</v>
      </c>
      <c r="E4194" s="20" t="n">
        <f aca="false">Parametres!$B$5*C4194</f>
        <v>278.55</v>
      </c>
      <c r="F4194" s="20" t="n">
        <f aca="false">Parametres!$B$6*D4194</f>
        <v>200</v>
      </c>
      <c r="G4194" s="20" t="n">
        <f aca="false">E4194+F4194</f>
        <v>478.55</v>
      </c>
      <c r="H4194" s="20" t="n">
        <f aca="false">IF(G4194&lt;Parametres!$B$8*Parametres!$B$7,0,MIN(G4194,Parametres!$B$7))</f>
        <v>250</v>
      </c>
      <c r="I4194" s="20" t="n">
        <f aca="false">G4194-H4194</f>
        <v>228.55</v>
      </c>
      <c r="J4194" s="21" t="n">
        <f aca="false">H4194*1000/Parametres!$B$9</f>
        <v>4239.44378497541</v>
      </c>
    </row>
    <row r="4195" customFormat="false" ht="15" hidden="false" customHeight="false" outlineLevel="0" collapsed="false">
      <c r="A4195" s="0" t="n">
        <v>4191</v>
      </c>
      <c r="B4195" s="0" t="n">
        <v>6</v>
      </c>
      <c r="C4195" s="19" t="n">
        <v>0.7464</v>
      </c>
      <c r="D4195" s="19" t="n">
        <v>1</v>
      </c>
      <c r="E4195" s="20" t="n">
        <f aca="false">Parametres!$B$5*C4195</f>
        <v>223.92</v>
      </c>
      <c r="F4195" s="20" t="n">
        <f aca="false">Parametres!$B$6*D4195</f>
        <v>200</v>
      </c>
      <c r="G4195" s="20" t="n">
        <f aca="false">E4195+F4195</f>
        <v>423.92</v>
      </c>
      <c r="H4195" s="20" t="n">
        <f aca="false">IF(G4195&lt;Parametres!$B$8*Parametres!$B$7,0,MIN(G4195,Parametres!$B$7))</f>
        <v>250</v>
      </c>
      <c r="I4195" s="20" t="n">
        <f aca="false">G4195-H4195</f>
        <v>173.92</v>
      </c>
      <c r="J4195" s="21" t="n">
        <f aca="false">H4195*1000/Parametres!$B$9</f>
        <v>4239.44378497541</v>
      </c>
    </row>
    <row r="4196" customFormat="false" ht="15" hidden="false" customHeight="false" outlineLevel="0" collapsed="false">
      <c r="A4196" s="0" t="n">
        <v>4192</v>
      </c>
      <c r="B4196" s="0" t="n">
        <v>6</v>
      </c>
      <c r="C4196" s="19" t="n">
        <v>0.6387</v>
      </c>
      <c r="D4196" s="19" t="n">
        <v>1</v>
      </c>
      <c r="E4196" s="20" t="n">
        <f aca="false">Parametres!$B$5*C4196</f>
        <v>191.61</v>
      </c>
      <c r="F4196" s="20" t="n">
        <f aca="false">Parametres!$B$6*D4196</f>
        <v>200</v>
      </c>
      <c r="G4196" s="20" t="n">
        <f aca="false">E4196+F4196</f>
        <v>391.61</v>
      </c>
      <c r="H4196" s="20" t="n">
        <f aca="false">IF(G4196&lt;Parametres!$B$8*Parametres!$B$7,0,MIN(G4196,Parametres!$B$7))</f>
        <v>250</v>
      </c>
      <c r="I4196" s="20" t="n">
        <f aca="false">G4196-H4196</f>
        <v>141.61</v>
      </c>
      <c r="J4196" s="21" t="n">
        <f aca="false">H4196*1000/Parametres!$B$9</f>
        <v>4239.44378497541</v>
      </c>
    </row>
    <row r="4197" customFormat="false" ht="15" hidden="false" customHeight="false" outlineLevel="0" collapsed="false">
      <c r="A4197" s="0" t="n">
        <v>4193</v>
      </c>
      <c r="B4197" s="0" t="n">
        <v>6</v>
      </c>
      <c r="C4197" s="19" t="n">
        <v>0.3993</v>
      </c>
      <c r="D4197" s="19" t="n">
        <v>1</v>
      </c>
      <c r="E4197" s="20" t="n">
        <f aca="false">Parametres!$B$5*C4197</f>
        <v>119.79</v>
      </c>
      <c r="F4197" s="20" t="n">
        <f aca="false">Parametres!$B$6*D4197</f>
        <v>200</v>
      </c>
      <c r="G4197" s="20" t="n">
        <f aca="false">E4197+F4197</f>
        <v>319.79</v>
      </c>
      <c r="H4197" s="20" t="n">
        <f aca="false">IF(G4197&lt;Parametres!$B$8*Parametres!$B$7,0,MIN(G4197,Parametres!$B$7))</f>
        <v>250</v>
      </c>
      <c r="I4197" s="20" t="n">
        <f aca="false">G4197-H4197</f>
        <v>69.79</v>
      </c>
      <c r="J4197" s="21" t="n">
        <f aca="false">H4197*1000/Parametres!$B$9</f>
        <v>4239.44378497541</v>
      </c>
    </row>
    <row r="4198" customFormat="false" ht="15" hidden="false" customHeight="false" outlineLevel="0" collapsed="false">
      <c r="A4198" s="0" t="n">
        <v>4194</v>
      </c>
      <c r="B4198" s="0" t="n">
        <v>6</v>
      </c>
      <c r="C4198" s="19" t="n">
        <v>0.2313</v>
      </c>
      <c r="D4198" s="19" t="n">
        <v>1</v>
      </c>
      <c r="E4198" s="20" t="n">
        <f aca="false">Parametres!$B$5*C4198</f>
        <v>69.39</v>
      </c>
      <c r="F4198" s="20" t="n">
        <f aca="false">Parametres!$B$6*D4198</f>
        <v>200</v>
      </c>
      <c r="G4198" s="20" t="n">
        <f aca="false">E4198+F4198</f>
        <v>269.39</v>
      </c>
      <c r="H4198" s="20" t="n">
        <f aca="false">IF(G4198&lt;Parametres!$B$8*Parametres!$B$7,0,MIN(G4198,Parametres!$B$7))</f>
        <v>250</v>
      </c>
      <c r="I4198" s="20" t="n">
        <f aca="false">G4198-H4198</f>
        <v>19.39</v>
      </c>
      <c r="J4198" s="21" t="n">
        <f aca="false">H4198*1000/Parametres!$B$9</f>
        <v>4239.44378497541</v>
      </c>
    </row>
    <row r="4199" customFormat="false" ht="15" hidden="false" customHeight="false" outlineLevel="0" collapsed="false">
      <c r="A4199" s="0" t="n">
        <v>4195</v>
      </c>
      <c r="B4199" s="0" t="n">
        <v>6</v>
      </c>
      <c r="C4199" s="19" t="n">
        <v>0.0538</v>
      </c>
      <c r="D4199" s="19" t="n">
        <v>1</v>
      </c>
      <c r="E4199" s="20" t="n">
        <f aca="false">Parametres!$B$5*C4199</f>
        <v>16.14</v>
      </c>
      <c r="F4199" s="20" t="n">
        <f aca="false">Parametres!$B$6*D4199</f>
        <v>200</v>
      </c>
      <c r="G4199" s="20" t="n">
        <f aca="false">E4199+F4199</f>
        <v>216.14</v>
      </c>
      <c r="H4199" s="20" t="n">
        <f aca="false">IF(G4199&lt;Parametres!$B$8*Parametres!$B$7,0,MIN(G4199,Parametres!$B$7))</f>
        <v>216.14</v>
      </c>
      <c r="I4199" s="20" t="n">
        <f aca="false">G4199-H4199</f>
        <v>0</v>
      </c>
      <c r="J4199" s="21" t="n">
        <f aca="false">H4199*1000/Parametres!$B$9</f>
        <v>3665.25351873834</v>
      </c>
    </row>
    <row r="4200" customFormat="false" ht="15" hidden="false" customHeight="false" outlineLevel="0" collapsed="false">
      <c r="A4200" s="0" t="n">
        <v>4196</v>
      </c>
      <c r="B4200" s="0" t="n">
        <v>6</v>
      </c>
      <c r="C4200" s="19" t="n">
        <v>0</v>
      </c>
      <c r="D4200" s="19" t="n">
        <v>1</v>
      </c>
      <c r="E4200" s="20" t="n">
        <f aca="false">Parametres!$B$5*C4200</f>
        <v>0</v>
      </c>
      <c r="F4200" s="20" t="n">
        <f aca="false">Parametres!$B$6*D4200</f>
        <v>200</v>
      </c>
      <c r="G4200" s="20" t="n">
        <f aca="false">E4200+F4200</f>
        <v>200</v>
      </c>
      <c r="H4200" s="20" t="n">
        <f aca="false">IF(G4200&lt;Parametres!$B$8*Parametres!$B$7,0,MIN(G4200,Parametres!$B$7))</f>
        <v>200</v>
      </c>
      <c r="I4200" s="20" t="n">
        <f aca="false">G4200-H4200</f>
        <v>0</v>
      </c>
      <c r="J4200" s="21" t="n">
        <f aca="false">H4200*1000/Parametres!$B$9</f>
        <v>3391.55502798033</v>
      </c>
    </row>
    <row r="4201" customFormat="false" ht="15" hidden="false" customHeight="false" outlineLevel="0" collapsed="false">
      <c r="A4201" s="0" t="n">
        <v>4197</v>
      </c>
      <c r="B4201" s="0" t="n">
        <v>6</v>
      </c>
      <c r="C4201" s="19" t="n">
        <v>0</v>
      </c>
      <c r="D4201" s="19" t="n">
        <v>1</v>
      </c>
      <c r="E4201" s="20" t="n">
        <f aca="false">Parametres!$B$5*C4201</f>
        <v>0</v>
      </c>
      <c r="F4201" s="20" t="n">
        <f aca="false">Parametres!$B$6*D4201</f>
        <v>200</v>
      </c>
      <c r="G4201" s="20" t="n">
        <f aca="false">E4201+F4201</f>
        <v>200</v>
      </c>
      <c r="H4201" s="20" t="n">
        <f aca="false">IF(G4201&lt;Parametres!$B$8*Parametres!$B$7,0,MIN(G4201,Parametres!$B$7))</f>
        <v>200</v>
      </c>
      <c r="I4201" s="20" t="n">
        <f aca="false">G4201-H4201</f>
        <v>0</v>
      </c>
      <c r="J4201" s="21" t="n">
        <f aca="false">H4201*1000/Parametres!$B$9</f>
        <v>3391.55502798033</v>
      </c>
    </row>
    <row r="4202" customFormat="false" ht="15" hidden="false" customHeight="false" outlineLevel="0" collapsed="false">
      <c r="A4202" s="0" t="n">
        <v>4198</v>
      </c>
      <c r="B4202" s="0" t="n">
        <v>6</v>
      </c>
      <c r="C4202" s="19" t="n">
        <v>0</v>
      </c>
      <c r="D4202" s="19" t="n">
        <v>1</v>
      </c>
      <c r="E4202" s="20" t="n">
        <f aca="false">Parametres!$B$5*C4202</f>
        <v>0</v>
      </c>
      <c r="F4202" s="20" t="n">
        <f aca="false">Parametres!$B$6*D4202</f>
        <v>200</v>
      </c>
      <c r="G4202" s="20" t="n">
        <f aca="false">E4202+F4202</f>
        <v>200</v>
      </c>
      <c r="H4202" s="20" t="n">
        <f aca="false">IF(G4202&lt;Parametres!$B$8*Parametres!$B$7,0,MIN(G4202,Parametres!$B$7))</f>
        <v>200</v>
      </c>
      <c r="I4202" s="20" t="n">
        <f aca="false">G4202-H4202</f>
        <v>0</v>
      </c>
      <c r="J4202" s="21" t="n">
        <f aca="false">H4202*1000/Parametres!$B$9</f>
        <v>3391.55502798033</v>
      </c>
    </row>
    <row r="4203" customFormat="false" ht="15" hidden="false" customHeight="false" outlineLevel="0" collapsed="false">
      <c r="A4203" s="0" t="n">
        <v>4199</v>
      </c>
      <c r="B4203" s="0" t="n">
        <v>6</v>
      </c>
      <c r="C4203" s="19" t="n">
        <v>0</v>
      </c>
      <c r="D4203" s="19" t="n">
        <v>1</v>
      </c>
      <c r="E4203" s="20" t="n">
        <f aca="false">Parametres!$B$5*C4203</f>
        <v>0</v>
      </c>
      <c r="F4203" s="20" t="n">
        <f aca="false">Parametres!$B$6*D4203</f>
        <v>200</v>
      </c>
      <c r="G4203" s="20" t="n">
        <f aca="false">E4203+F4203</f>
        <v>200</v>
      </c>
      <c r="H4203" s="20" t="n">
        <f aca="false">IF(G4203&lt;Parametres!$B$8*Parametres!$B$7,0,MIN(G4203,Parametres!$B$7))</f>
        <v>200</v>
      </c>
      <c r="I4203" s="20" t="n">
        <f aca="false">G4203-H4203</f>
        <v>0</v>
      </c>
      <c r="J4203" s="21" t="n">
        <f aca="false">H4203*1000/Parametres!$B$9</f>
        <v>3391.55502798033</v>
      </c>
    </row>
    <row r="4204" customFormat="false" ht="15" hidden="false" customHeight="false" outlineLevel="0" collapsed="false">
      <c r="A4204" s="0" t="n">
        <v>4200</v>
      </c>
      <c r="B4204" s="0" t="n">
        <v>6</v>
      </c>
      <c r="C4204" s="19" t="n">
        <v>0</v>
      </c>
      <c r="D4204" s="19" t="n">
        <v>1</v>
      </c>
      <c r="E4204" s="20" t="n">
        <f aca="false">Parametres!$B$5*C4204</f>
        <v>0</v>
      </c>
      <c r="F4204" s="20" t="n">
        <f aca="false">Parametres!$B$6*D4204</f>
        <v>200</v>
      </c>
      <c r="G4204" s="20" t="n">
        <f aca="false">E4204+F4204</f>
        <v>200</v>
      </c>
      <c r="H4204" s="20" t="n">
        <f aca="false">IF(G4204&lt;Parametres!$B$8*Parametres!$B$7,0,MIN(G4204,Parametres!$B$7))</f>
        <v>200</v>
      </c>
      <c r="I4204" s="20" t="n">
        <f aca="false">G4204-H4204</f>
        <v>0</v>
      </c>
      <c r="J4204" s="21" t="n">
        <f aca="false">H4204*1000/Parametres!$B$9</f>
        <v>3391.55502798033</v>
      </c>
    </row>
    <row r="4205" customFormat="false" ht="15" hidden="false" customHeight="false" outlineLevel="0" collapsed="false">
      <c r="A4205" s="0" t="n">
        <v>4201</v>
      </c>
      <c r="B4205" s="0" t="n">
        <v>6</v>
      </c>
      <c r="C4205" s="19" t="n">
        <v>0</v>
      </c>
      <c r="D4205" s="19" t="n">
        <v>1</v>
      </c>
      <c r="E4205" s="20" t="n">
        <f aca="false">Parametres!$B$5*C4205</f>
        <v>0</v>
      </c>
      <c r="F4205" s="20" t="n">
        <f aca="false">Parametres!$B$6*D4205</f>
        <v>200</v>
      </c>
      <c r="G4205" s="20" t="n">
        <f aca="false">E4205+F4205</f>
        <v>200</v>
      </c>
      <c r="H4205" s="20" t="n">
        <f aca="false">IF(G4205&lt;Parametres!$B$8*Parametres!$B$7,0,MIN(G4205,Parametres!$B$7))</f>
        <v>200</v>
      </c>
      <c r="I4205" s="20" t="n">
        <f aca="false">G4205-H4205</f>
        <v>0</v>
      </c>
      <c r="J4205" s="21" t="n">
        <f aca="false">H4205*1000/Parametres!$B$9</f>
        <v>3391.55502798033</v>
      </c>
    </row>
    <row r="4206" customFormat="false" ht="15" hidden="false" customHeight="false" outlineLevel="0" collapsed="false">
      <c r="A4206" s="0" t="n">
        <v>4202</v>
      </c>
      <c r="B4206" s="0" t="n">
        <v>6</v>
      </c>
      <c r="C4206" s="19" t="n">
        <v>0</v>
      </c>
      <c r="D4206" s="19" t="n">
        <v>1</v>
      </c>
      <c r="E4206" s="20" t="n">
        <f aca="false">Parametres!$B$5*C4206</f>
        <v>0</v>
      </c>
      <c r="F4206" s="20" t="n">
        <f aca="false">Parametres!$B$6*D4206</f>
        <v>200</v>
      </c>
      <c r="G4206" s="20" t="n">
        <f aca="false">E4206+F4206</f>
        <v>200</v>
      </c>
      <c r="H4206" s="20" t="n">
        <f aca="false">IF(G4206&lt;Parametres!$B$8*Parametres!$B$7,0,MIN(G4206,Parametres!$B$7))</f>
        <v>200</v>
      </c>
      <c r="I4206" s="20" t="n">
        <f aca="false">G4206-H4206</f>
        <v>0</v>
      </c>
      <c r="J4206" s="21" t="n">
        <f aca="false">H4206*1000/Parametres!$B$9</f>
        <v>3391.55502798033</v>
      </c>
    </row>
    <row r="4207" customFormat="false" ht="15" hidden="false" customHeight="false" outlineLevel="0" collapsed="false">
      <c r="A4207" s="0" t="n">
        <v>4203</v>
      </c>
      <c r="B4207" s="0" t="n">
        <v>6</v>
      </c>
      <c r="C4207" s="19" t="n">
        <v>0</v>
      </c>
      <c r="D4207" s="19" t="n">
        <v>1</v>
      </c>
      <c r="E4207" s="20" t="n">
        <f aca="false">Parametres!$B$5*C4207</f>
        <v>0</v>
      </c>
      <c r="F4207" s="20" t="n">
        <f aca="false">Parametres!$B$6*D4207</f>
        <v>200</v>
      </c>
      <c r="G4207" s="20" t="n">
        <f aca="false">E4207+F4207</f>
        <v>200</v>
      </c>
      <c r="H4207" s="20" t="n">
        <f aca="false">IF(G4207&lt;Parametres!$B$8*Parametres!$B$7,0,MIN(G4207,Parametres!$B$7))</f>
        <v>200</v>
      </c>
      <c r="I4207" s="20" t="n">
        <f aca="false">G4207-H4207</f>
        <v>0</v>
      </c>
      <c r="J4207" s="21" t="n">
        <f aca="false">H4207*1000/Parametres!$B$9</f>
        <v>3391.55502798033</v>
      </c>
    </row>
    <row r="4208" customFormat="false" ht="15" hidden="false" customHeight="false" outlineLevel="0" collapsed="false">
      <c r="A4208" s="0" t="n">
        <v>4204</v>
      </c>
      <c r="B4208" s="0" t="n">
        <v>6</v>
      </c>
      <c r="C4208" s="19" t="n">
        <v>0</v>
      </c>
      <c r="D4208" s="19" t="n">
        <v>1</v>
      </c>
      <c r="E4208" s="20" t="n">
        <f aca="false">Parametres!$B$5*C4208</f>
        <v>0</v>
      </c>
      <c r="F4208" s="20" t="n">
        <f aca="false">Parametres!$B$6*D4208</f>
        <v>200</v>
      </c>
      <c r="G4208" s="20" t="n">
        <f aca="false">E4208+F4208</f>
        <v>200</v>
      </c>
      <c r="H4208" s="20" t="n">
        <f aca="false">IF(G4208&lt;Parametres!$B$8*Parametres!$B$7,0,MIN(G4208,Parametres!$B$7))</f>
        <v>200</v>
      </c>
      <c r="I4208" s="20" t="n">
        <f aca="false">G4208-H4208</f>
        <v>0</v>
      </c>
      <c r="J4208" s="21" t="n">
        <f aca="false">H4208*1000/Parametres!$B$9</f>
        <v>3391.55502798033</v>
      </c>
    </row>
    <row r="4209" customFormat="false" ht="15" hidden="false" customHeight="false" outlineLevel="0" collapsed="false">
      <c r="A4209" s="0" t="n">
        <v>4205</v>
      </c>
      <c r="B4209" s="0" t="n">
        <v>6</v>
      </c>
      <c r="C4209" s="19" t="n">
        <v>0</v>
      </c>
      <c r="D4209" s="19" t="n">
        <v>1</v>
      </c>
      <c r="E4209" s="20" t="n">
        <f aca="false">Parametres!$B$5*C4209</f>
        <v>0</v>
      </c>
      <c r="F4209" s="20" t="n">
        <f aca="false">Parametres!$B$6*D4209</f>
        <v>200</v>
      </c>
      <c r="G4209" s="20" t="n">
        <f aca="false">E4209+F4209</f>
        <v>200</v>
      </c>
      <c r="H4209" s="20" t="n">
        <f aca="false">IF(G4209&lt;Parametres!$B$8*Parametres!$B$7,0,MIN(G4209,Parametres!$B$7))</f>
        <v>200</v>
      </c>
      <c r="I4209" s="20" t="n">
        <f aca="false">G4209-H4209</f>
        <v>0</v>
      </c>
      <c r="J4209" s="21" t="n">
        <f aca="false">H4209*1000/Parametres!$B$9</f>
        <v>3391.55502798033</v>
      </c>
    </row>
    <row r="4210" customFormat="false" ht="15" hidden="false" customHeight="false" outlineLevel="0" collapsed="false">
      <c r="A4210" s="0" t="n">
        <v>4206</v>
      </c>
      <c r="B4210" s="0" t="n">
        <v>6</v>
      </c>
      <c r="C4210" s="19" t="n">
        <v>0.0762</v>
      </c>
      <c r="D4210" s="19" t="n">
        <v>1</v>
      </c>
      <c r="E4210" s="20" t="n">
        <f aca="false">Parametres!$B$5*C4210</f>
        <v>22.86</v>
      </c>
      <c r="F4210" s="20" t="n">
        <f aca="false">Parametres!$B$6*D4210</f>
        <v>200</v>
      </c>
      <c r="G4210" s="20" t="n">
        <f aca="false">E4210+F4210</f>
        <v>222.86</v>
      </c>
      <c r="H4210" s="20" t="n">
        <f aca="false">IF(G4210&lt;Parametres!$B$8*Parametres!$B$7,0,MIN(G4210,Parametres!$B$7))</f>
        <v>222.86</v>
      </c>
      <c r="I4210" s="20" t="n">
        <f aca="false">G4210-H4210</f>
        <v>0</v>
      </c>
      <c r="J4210" s="21" t="n">
        <f aca="false">H4210*1000/Parametres!$B$9</f>
        <v>3779.20976767848</v>
      </c>
    </row>
    <row r="4211" customFormat="false" ht="15" hidden="false" customHeight="false" outlineLevel="0" collapsed="false">
      <c r="A4211" s="0" t="n">
        <v>4207</v>
      </c>
      <c r="B4211" s="0" t="n">
        <v>6</v>
      </c>
      <c r="C4211" s="19" t="n">
        <v>0.3442</v>
      </c>
      <c r="D4211" s="19" t="n">
        <v>1</v>
      </c>
      <c r="E4211" s="20" t="n">
        <f aca="false">Parametres!$B$5*C4211</f>
        <v>103.26</v>
      </c>
      <c r="F4211" s="20" t="n">
        <f aca="false">Parametres!$B$6*D4211</f>
        <v>200</v>
      </c>
      <c r="G4211" s="20" t="n">
        <f aca="false">E4211+F4211</f>
        <v>303.26</v>
      </c>
      <c r="H4211" s="20" t="n">
        <f aca="false">IF(G4211&lt;Parametres!$B$8*Parametres!$B$7,0,MIN(G4211,Parametres!$B$7))</f>
        <v>250</v>
      </c>
      <c r="I4211" s="20" t="n">
        <f aca="false">G4211-H4211</f>
        <v>53.26</v>
      </c>
      <c r="J4211" s="21" t="n">
        <f aca="false">H4211*1000/Parametres!$B$9</f>
        <v>4239.44378497541</v>
      </c>
    </row>
    <row r="4212" customFormat="false" ht="15" hidden="false" customHeight="false" outlineLevel="0" collapsed="false">
      <c r="A4212" s="0" t="n">
        <v>4208</v>
      </c>
      <c r="B4212" s="0" t="n">
        <v>6</v>
      </c>
      <c r="C4212" s="19" t="n">
        <v>0.6427</v>
      </c>
      <c r="D4212" s="19" t="n">
        <v>1</v>
      </c>
      <c r="E4212" s="20" t="n">
        <f aca="false">Parametres!$B$5*C4212</f>
        <v>192.81</v>
      </c>
      <c r="F4212" s="20" t="n">
        <f aca="false">Parametres!$B$6*D4212</f>
        <v>200</v>
      </c>
      <c r="G4212" s="20" t="n">
        <f aca="false">E4212+F4212</f>
        <v>392.81</v>
      </c>
      <c r="H4212" s="20" t="n">
        <f aca="false">IF(G4212&lt;Parametres!$B$8*Parametres!$B$7,0,MIN(G4212,Parametres!$B$7))</f>
        <v>250</v>
      </c>
      <c r="I4212" s="20" t="n">
        <f aca="false">G4212-H4212</f>
        <v>142.81</v>
      </c>
      <c r="J4212" s="21" t="n">
        <f aca="false">H4212*1000/Parametres!$B$9</f>
        <v>4239.44378497541</v>
      </c>
    </row>
    <row r="4213" customFormat="false" ht="15" hidden="false" customHeight="false" outlineLevel="0" collapsed="false">
      <c r="A4213" s="0" t="n">
        <v>4209</v>
      </c>
      <c r="B4213" s="0" t="n">
        <v>6</v>
      </c>
      <c r="C4213" s="19" t="n">
        <v>0.9067</v>
      </c>
      <c r="D4213" s="19" t="n">
        <v>1</v>
      </c>
      <c r="E4213" s="20" t="n">
        <f aca="false">Parametres!$B$5*C4213</f>
        <v>272.01</v>
      </c>
      <c r="F4213" s="20" t="n">
        <f aca="false">Parametres!$B$6*D4213</f>
        <v>200</v>
      </c>
      <c r="G4213" s="20" t="n">
        <f aca="false">E4213+F4213</f>
        <v>472.01</v>
      </c>
      <c r="H4213" s="20" t="n">
        <f aca="false">IF(G4213&lt;Parametres!$B$8*Parametres!$B$7,0,MIN(G4213,Parametres!$B$7))</f>
        <v>250</v>
      </c>
      <c r="I4213" s="20" t="n">
        <f aca="false">G4213-H4213</f>
        <v>222.01</v>
      </c>
      <c r="J4213" s="21" t="n">
        <f aca="false">H4213*1000/Parametres!$B$9</f>
        <v>4239.44378497541</v>
      </c>
    </row>
    <row r="4214" customFormat="false" ht="15" hidden="false" customHeight="false" outlineLevel="0" collapsed="false">
      <c r="A4214" s="0" t="n">
        <v>4210</v>
      </c>
      <c r="B4214" s="0" t="n">
        <v>6</v>
      </c>
      <c r="C4214" s="19" t="n">
        <v>1</v>
      </c>
      <c r="D4214" s="19" t="n">
        <v>1</v>
      </c>
      <c r="E4214" s="20" t="n">
        <f aca="false">Parametres!$B$5*C4214</f>
        <v>300</v>
      </c>
      <c r="F4214" s="20" t="n">
        <f aca="false">Parametres!$B$6*D4214</f>
        <v>200</v>
      </c>
      <c r="G4214" s="20" t="n">
        <f aca="false">E4214+F4214</f>
        <v>500</v>
      </c>
      <c r="H4214" s="20" t="n">
        <f aca="false">IF(G4214&lt;Parametres!$B$8*Parametres!$B$7,0,MIN(G4214,Parametres!$B$7))</f>
        <v>250</v>
      </c>
      <c r="I4214" s="20" t="n">
        <f aca="false">G4214-H4214</f>
        <v>250</v>
      </c>
      <c r="J4214" s="21" t="n">
        <f aca="false">H4214*1000/Parametres!$B$9</f>
        <v>4239.44378497541</v>
      </c>
    </row>
    <row r="4215" customFormat="false" ht="15" hidden="false" customHeight="false" outlineLevel="0" collapsed="false">
      <c r="A4215" s="0" t="n">
        <v>4211</v>
      </c>
      <c r="B4215" s="0" t="n">
        <v>6</v>
      </c>
      <c r="C4215" s="19" t="n">
        <v>1</v>
      </c>
      <c r="D4215" s="19" t="n">
        <v>1</v>
      </c>
      <c r="E4215" s="20" t="n">
        <f aca="false">Parametres!$B$5*C4215</f>
        <v>300</v>
      </c>
      <c r="F4215" s="20" t="n">
        <f aca="false">Parametres!$B$6*D4215</f>
        <v>200</v>
      </c>
      <c r="G4215" s="20" t="n">
        <f aca="false">E4215+F4215</f>
        <v>500</v>
      </c>
      <c r="H4215" s="20" t="n">
        <f aca="false">IF(G4215&lt;Parametres!$B$8*Parametres!$B$7,0,MIN(G4215,Parametres!$B$7))</f>
        <v>250</v>
      </c>
      <c r="I4215" s="20" t="n">
        <f aca="false">G4215-H4215</f>
        <v>250</v>
      </c>
      <c r="J4215" s="21" t="n">
        <f aca="false">H4215*1000/Parametres!$B$9</f>
        <v>4239.44378497541</v>
      </c>
    </row>
    <row r="4216" customFormat="false" ht="15" hidden="false" customHeight="false" outlineLevel="0" collapsed="false">
      <c r="A4216" s="0" t="n">
        <v>4212</v>
      </c>
      <c r="B4216" s="0" t="n">
        <v>6</v>
      </c>
      <c r="C4216" s="19" t="n">
        <v>1</v>
      </c>
      <c r="D4216" s="19" t="n">
        <v>1</v>
      </c>
      <c r="E4216" s="20" t="n">
        <f aca="false">Parametres!$B$5*C4216</f>
        <v>300</v>
      </c>
      <c r="F4216" s="20" t="n">
        <f aca="false">Parametres!$B$6*D4216</f>
        <v>200</v>
      </c>
      <c r="G4216" s="20" t="n">
        <f aca="false">E4216+F4216</f>
        <v>500</v>
      </c>
      <c r="H4216" s="20" t="n">
        <f aca="false">IF(G4216&lt;Parametres!$B$8*Parametres!$B$7,0,MIN(G4216,Parametres!$B$7))</f>
        <v>250</v>
      </c>
      <c r="I4216" s="20" t="n">
        <f aca="false">G4216-H4216</f>
        <v>250</v>
      </c>
      <c r="J4216" s="21" t="n">
        <f aca="false">H4216*1000/Parametres!$B$9</f>
        <v>4239.44378497541</v>
      </c>
    </row>
    <row r="4217" customFormat="false" ht="15" hidden="false" customHeight="false" outlineLevel="0" collapsed="false">
      <c r="A4217" s="0" t="n">
        <v>4213</v>
      </c>
      <c r="B4217" s="0" t="n">
        <v>6</v>
      </c>
      <c r="C4217" s="19" t="n">
        <v>1</v>
      </c>
      <c r="D4217" s="19" t="n">
        <v>1</v>
      </c>
      <c r="E4217" s="20" t="n">
        <f aca="false">Parametres!$B$5*C4217</f>
        <v>300</v>
      </c>
      <c r="F4217" s="20" t="n">
        <f aca="false">Parametres!$B$6*D4217</f>
        <v>200</v>
      </c>
      <c r="G4217" s="20" t="n">
        <f aca="false">E4217+F4217</f>
        <v>500</v>
      </c>
      <c r="H4217" s="20" t="n">
        <f aca="false">IF(G4217&lt;Parametres!$B$8*Parametres!$B$7,0,MIN(G4217,Parametres!$B$7))</f>
        <v>250</v>
      </c>
      <c r="I4217" s="20" t="n">
        <f aca="false">G4217-H4217</f>
        <v>250</v>
      </c>
      <c r="J4217" s="21" t="n">
        <f aca="false">H4217*1000/Parametres!$B$9</f>
        <v>4239.44378497541</v>
      </c>
    </row>
    <row r="4218" customFormat="false" ht="15" hidden="false" customHeight="false" outlineLevel="0" collapsed="false">
      <c r="A4218" s="0" t="n">
        <v>4214</v>
      </c>
      <c r="B4218" s="0" t="n">
        <v>6</v>
      </c>
      <c r="C4218" s="19" t="n">
        <v>1</v>
      </c>
      <c r="D4218" s="19" t="n">
        <v>1</v>
      </c>
      <c r="E4218" s="20" t="n">
        <f aca="false">Parametres!$B$5*C4218</f>
        <v>300</v>
      </c>
      <c r="F4218" s="20" t="n">
        <f aca="false">Parametres!$B$6*D4218</f>
        <v>200</v>
      </c>
      <c r="G4218" s="20" t="n">
        <f aca="false">E4218+F4218</f>
        <v>500</v>
      </c>
      <c r="H4218" s="20" t="n">
        <f aca="false">IF(G4218&lt;Parametres!$B$8*Parametres!$B$7,0,MIN(G4218,Parametres!$B$7))</f>
        <v>250</v>
      </c>
      <c r="I4218" s="20" t="n">
        <f aca="false">G4218-H4218</f>
        <v>250</v>
      </c>
      <c r="J4218" s="21" t="n">
        <f aca="false">H4218*1000/Parametres!$B$9</f>
        <v>4239.44378497541</v>
      </c>
    </row>
    <row r="4219" customFormat="false" ht="15" hidden="false" customHeight="false" outlineLevel="0" collapsed="false">
      <c r="A4219" s="0" t="n">
        <v>4215</v>
      </c>
      <c r="B4219" s="0" t="n">
        <v>6</v>
      </c>
      <c r="C4219" s="19" t="n">
        <v>1</v>
      </c>
      <c r="D4219" s="19" t="n">
        <v>1</v>
      </c>
      <c r="E4219" s="20" t="n">
        <f aca="false">Parametres!$B$5*C4219</f>
        <v>300</v>
      </c>
      <c r="F4219" s="20" t="n">
        <f aca="false">Parametres!$B$6*D4219</f>
        <v>200</v>
      </c>
      <c r="G4219" s="20" t="n">
        <f aca="false">E4219+F4219</f>
        <v>500</v>
      </c>
      <c r="H4219" s="20" t="n">
        <f aca="false">IF(G4219&lt;Parametres!$B$8*Parametres!$B$7,0,MIN(G4219,Parametres!$B$7))</f>
        <v>250</v>
      </c>
      <c r="I4219" s="20" t="n">
        <f aca="false">G4219-H4219</f>
        <v>250</v>
      </c>
      <c r="J4219" s="21" t="n">
        <f aca="false">H4219*1000/Parametres!$B$9</f>
        <v>4239.44378497541</v>
      </c>
    </row>
    <row r="4220" customFormat="false" ht="15" hidden="false" customHeight="false" outlineLevel="0" collapsed="false">
      <c r="A4220" s="0" t="n">
        <v>4216</v>
      </c>
      <c r="B4220" s="0" t="n">
        <v>6</v>
      </c>
      <c r="C4220" s="19" t="n">
        <v>0.8985</v>
      </c>
      <c r="D4220" s="19" t="n">
        <v>1</v>
      </c>
      <c r="E4220" s="20" t="n">
        <f aca="false">Parametres!$B$5*C4220</f>
        <v>269.55</v>
      </c>
      <c r="F4220" s="20" t="n">
        <f aca="false">Parametres!$B$6*D4220</f>
        <v>200</v>
      </c>
      <c r="G4220" s="20" t="n">
        <f aca="false">E4220+F4220</f>
        <v>469.55</v>
      </c>
      <c r="H4220" s="20" t="n">
        <f aca="false">IF(G4220&lt;Parametres!$B$8*Parametres!$B$7,0,MIN(G4220,Parametres!$B$7))</f>
        <v>250</v>
      </c>
      <c r="I4220" s="20" t="n">
        <f aca="false">G4220-H4220</f>
        <v>219.55</v>
      </c>
      <c r="J4220" s="21" t="n">
        <f aca="false">H4220*1000/Parametres!$B$9</f>
        <v>4239.44378497541</v>
      </c>
    </row>
    <row r="4221" customFormat="false" ht="15" hidden="false" customHeight="false" outlineLevel="0" collapsed="false">
      <c r="A4221" s="0" t="n">
        <v>4217</v>
      </c>
      <c r="B4221" s="0" t="n">
        <v>6</v>
      </c>
      <c r="C4221" s="19" t="n">
        <v>0.6436</v>
      </c>
      <c r="D4221" s="19" t="n">
        <v>1</v>
      </c>
      <c r="E4221" s="20" t="n">
        <f aca="false">Parametres!$B$5*C4221</f>
        <v>193.08</v>
      </c>
      <c r="F4221" s="20" t="n">
        <f aca="false">Parametres!$B$6*D4221</f>
        <v>200</v>
      </c>
      <c r="G4221" s="20" t="n">
        <f aca="false">E4221+F4221</f>
        <v>393.08</v>
      </c>
      <c r="H4221" s="20" t="n">
        <f aca="false">IF(G4221&lt;Parametres!$B$8*Parametres!$B$7,0,MIN(G4221,Parametres!$B$7))</f>
        <v>250</v>
      </c>
      <c r="I4221" s="20" t="n">
        <f aca="false">G4221-H4221</f>
        <v>143.08</v>
      </c>
      <c r="J4221" s="21" t="n">
        <f aca="false">H4221*1000/Parametres!$B$9</f>
        <v>4239.44378497541</v>
      </c>
    </row>
    <row r="4222" customFormat="false" ht="15" hidden="false" customHeight="false" outlineLevel="0" collapsed="false">
      <c r="A4222" s="0" t="n">
        <v>4218</v>
      </c>
      <c r="B4222" s="0" t="n">
        <v>6</v>
      </c>
      <c r="C4222" s="19" t="n">
        <v>0.3456</v>
      </c>
      <c r="D4222" s="19" t="n">
        <v>1</v>
      </c>
      <c r="E4222" s="20" t="n">
        <f aca="false">Parametres!$B$5*C4222</f>
        <v>103.68</v>
      </c>
      <c r="F4222" s="20" t="n">
        <f aca="false">Parametres!$B$6*D4222</f>
        <v>200</v>
      </c>
      <c r="G4222" s="20" t="n">
        <f aca="false">E4222+F4222</f>
        <v>303.68</v>
      </c>
      <c r="H4222" s="20" t="n">
        <f aca="false">IF(G4222&lt;Parametres!$B$8*Parametres!$B$7,0,MIN(G4222,Parametres!$B$7))</f>
        <v>250</v>
      </c>
      <c r="I4222" s="20" t="n">
        <f aca="false">G4222-H4222</f>
        <v>53.68</v>
      </c>
      <c r="J4222" s="21" t="n">
        <f aca="false">H4222*1000/Parametres!$B$9</f>
        <v>4239.44378497541</v>
      </c>
    </row>
    <row r="4223" customFormat="false" ht="15" hidden="false" customHeight="false" outlineLevel="0" collapsed="false">
      <c r="A4223" s="0" t="n">
        <v>4219</v>
      </c>
      <c r="B4223" s="0" t="n">
        <v>6</v>
      </c>
      <c r="C4223" s="19" t="n">
        <v>0.0805</v>
      </c>
      <c r="D4223" s="19" t="n">
        <v>1</v>
      </c>
      <c r="E4223" s="20" t="n">
        <f aca="false">Parametres!$B$5*C4223</f>
        <v>24.15</v>
      </c>
      <c r="F4223" s="20" t="n">
        <f aca="false">Parametres!$B$6*D4223</f>
        <v>200</v>
      </c>
      <c r="G4223" s="20" t="n">
        <f aca="false">E4223+F4223</f>
        <v>224.15</v>
      </c>
      <c r="H4223" s="20" t="n">
        <f aca="false">IF(G4223&lt;Parametres!$B$8*Parametres!$B$7,0,MIN(G4223,Parametres!$B$7))</f>
        <v>224.15</v>
      </c>
      <c r="I4223" s="20" t="n">
        <f aca="false">G4223-H4223</f>
        <v>0</v>
      </c>
      <c r="J4223" s="21" t="n">
        <f aca="false">H4223*1000/Parametres!$B$9</f>
        <v>3801.08529760895</v>
      </c>
    </row>
    <row r="4224" customFormat="false" ht="15" hidden="false" customHeight="false" outlineLevel="0" collapsed="false">
      <c r="A4224" s="0" t="n">
        <v>4220</v>
      </c>
      <c r="B4224" s="0" t="n">
        <v>6</v>
      </c>
      <c r="C4224" s="19" t="n">
        <v>0</v>
      </c>
      <c r="D4224" s="19" t="n">
        <v>1</v>
      </c>
      <c r="E4224" s="20" t="n">
        <f aca="false">Parametres!$B$5*C4224</f>
        <v>0</v>
      </c>
      <c r="F4224" s="20" t="n">
        <f aca="false">Parametres!$B$6*D4224</f>
        <v>200</v>
      </c>
      <c r="G4224" s="20" t="n">
        <f aca="false">E4224+F4224</f>
        <v>200</v>
      </c>
      <c r="H4224" s="20" t="n">
        <f aca="false">IF(G4224&lt;Parametres!$B$8*Parametres!$B$7,0,MIN(G4224,Parametres!$B$7))</f>
        <v>200</v>
      </c>
      <c r="I4224" s="20" t="n">
        <f aca="false">G4224-H4224</f>
        <v>0</v>
      </c>
      <c r="J4224" s="21" t="n">
        <f aca="false">H4224*1000/Parametres!$B$9</f>
        <v>3391.55502798033</v>
      </c>
    </row>
    <row r="4225" customFormat="false" ht="15" hidden="false" customHeight="false" outlineLevel="0" collapsed="false">
      <c r="A4225" s="0" t="n">
        <v>4221</v>
      </c>
      <c r="B4225" s="0" t="n">
        <v>6</v>
      </c>
      <c r="C4225" s="19" t="n">
        <v>0</v>
      </c>
      <c r="D4225" s="19" t="n">
        <v>1</v>
      </c>
      <c r="E4225" s="20" t="n">
        <f aca="false">Parametres!$B$5*C4225</f>
        <v>0</v>
      </c>
      <c r="F4225" s="20" t="n">
        <f aca="false">Parametres!$B$6*D4225</f>
        <v>200</v>
      </c>
      <c r="G4225" s="20" t="n">
        <f aca="false">E4225+F4225</f>
        <v>200</v>
      </c>
      <c r="H4225" s="20" t="n">
        <f aca="false">IF(G4225&lt;Parametres!$B$8*Parametres!$B$7,0,MIN(G4225,Parametres!$B$7))</f>
        <v>200</v>
      </c>
      <c r="I4225" s="20" t="n">
        <f aca="false">G4225-H4225</f>
        <v>0</v>
      </c>
      <c r="J4225" s="21" t="n">
        <f aca="false">H4225*1000/Parametres!$B$9</f>
        <v>3391.55502798033</v>
      </c>
    </row>
    <row r="4226" customFormat="false" ht="15" hidden="false" customHeight="false" outlineLevel="0" collapsed="false">
      <c r="A4226" s="0" t="n">
        <v>4222</v>
      </c>
      <c r="B4226" s="0" t="n">
        <v>6</v>
      </c>
      <c r="C4226" s="19" t="n">
        <v>0</v>
      </c>
      <c r="D4226" s="19" t="n">
        <v>1</v>
      </c>
      <c r="E4226" s="20" t="n">
        <f aca="false">Parametres!$B$5*C4226</f>
        <v>0</v>
      </c>
      <c r="F4226" s="20" t="n">
        <f aca="false">Parametres!$B$6*D4226</f>
        <v>200</v>
      </c>
      <c r="G4226" s="20" t="n">
        <f aca="false">E4226+F4226</f>
        <v>200</v>
      </c>
      <c r="H4226" s="20" t="n">
        <f aca="false">IF(G4226&lt;Parametres!$B$8*Parametres!$B$7,0,MIN(G4226,Parametres!$B$7))</f>
        <v>200</v>
      </c>
      <c r="I4226" s="20" t="n">
        <f aca="false">G4226-H4226</f>
        <v>0</v>
      </c>
      <c r="J4226" s="21" t="n">
        <f aca="false">H4226*1000/Parametres!$B$9</f>
        <v>3391.55502798033</v>
      </c>
    </row>
    <row r="4227" customFormat="false" ht="15" hidden="false" customHeight="false" outlineLevel="0" collapsed="false">
      <c r="A4227" s="0" t="n">
        <v>4223</v>
      </c>
      <c r="B4227" s="0" t="n">
        <v>6</v>
      </c>
      <c r="C4227" s="19" t="n">
        <v>0</v>
      </c>
      <c r="D4227" s="19" t="n">
        <v>1</v>
      </c>
      <c r="E4227" s="20" t="n">
        <f aca="false">Parametres!$B$5*C4227</f>
        <v>0</v>
      </c>
      <c r="F4227" s="20" t="n">
        <f aca="false">Parametres!$B$6*D4227</f>
        <v>200</v>
      </c>
      <c r="G4227" s="20" t="n">
        <f aca="false">E4227+F4227</f>
        <v>200</v>
      </c>
      <c r="H4227" s="20" t="n">
        <f aca="false">IF(G4227&lt;Parametres!$B$8*Parametres!$B$7,0,MIN(G4227,Parametres!$B$7))</f>
        <v>200</v>
      </c>
      <c r="I4227" s="20" t="n">
        <f aca="false">G4227-H4227</f>
        <v>0</v>
      </c>
      <c r="J4227" s="21" t="n">
        <f aca="false">H4227*1000/Parametres!$B$9</f>
        <v>3391.55502798033</v>
      </c>
    </row>
    <row r="4228" customFormat="false" ht="15" hidden="false" customHeight="false" outlineLevel="0" collapsed="false">
      <c r="A4228" s="0" t="n">
        <v>4224</v>
      </c>
      <c r="B4228" s="0" t="n">
        <v>6</v>
      </c>
      <c r="C4228" s="19" t="n">
        <v>0</v>
      </c>
      <c r="D4228" s="19" t="n">
        <v>1</v>
      </c>
      <c r="E4228" s="20" t="n">
        <f aca="false">Parametres!$B$5*C4228</f>
        <v>0</v>
      </c>
      <c r="F4228" s="20" t="n">
        <f aca="false">Parametres!$B$6*D4228</f>
        <v>200</v>
      </c>
      <c r="G4228" s="20" t="n">
        <f aca="false">E4228+F4228</f>
        <v>200</v>
      </c>
      <c r="H4228" s="20" t="n">
        <f aca="false">IF(G4228&lt;Parametres!$B$8*Parametres!$B$7,0,MIN(G4228,Parametres!$B$7))</f>
        <v>200</v>
      </c>
      <c r="I4228" s="20" t="n">
        <f aca="false">G4228-H4228</f>
        <v>0</v>
      </c>
      <c r="J4228" s="21" t="n">
        <f aca="false">H4228*1000/Parametres!$B$9</f>
        <v>3391.55502798033</v>
      </c>
    </row>
    <row r="4229" customFormat="false" ht="15" hidden="false" customHeight="false" outlineLevel="0" collapsed="false">
      <c r="A4229" s="0" t="n">
        <v>4225</v>
      </c>
      <c r="B4229" s="0" t="n">
        <v>6</v>
      </c>
      <c r="C4229" s="19" t="n">
        <v>0</v>
      </c>
      <c r="D4229" s="19" t="n">
        <v>1</v>
      </c>
      <c r="E4229" s="20" t="n">
        <f aca="false">Parametres!$B$5*C4229</f>
        <v>0</v>
      </c>
      <c r="F4229" s="20" t="n">
        <f aca="false">Parametres!$B$6*D4229</f>
        <v>200</v>
      </c>
      <c r="G4229" s="20" t="n">
        <f aca="false">E4229+F4229</f>
        <v>200</v>
      </c>
      <c r="H4229" s="20" t="n">
        <f aca="false">IF(G4229&lt;Parametres!$B$8*Parametres!$B$7,0,MIN(G4229,Parametres!$B$7))</f>
        <v>200</v>
      </c>
      <c r="I4229" s="20" t="n">
        <f aca="false">G4229-H4229</f>
        <v>0</v>
      </c>
      <c r="J4229" s="21" t="n">
        <f aca="false">H4229*1000/Parametres!$B$9</f>
        <v>3391.55502798033</v>
      </c>
    </row>
    <row r="4230" customFormat="false" ht="15" hidden="false" customHeight="false" outlineLevel="0" collapsed="false">
      <c r="A4230" s="0" t="n">
        <v>4226</v>
      </c>
      <c r="B4230" s="0" t="n">
        <v>6</v>
      </c>
      <c r="C4230" s="19" t="n">
        <v>0</v>
      </c>
      <c r="D4230" s="19" t="n">
        <v>1</v>
      </c>
      <c r="E4230" s="20" t="n">
        <f aca="false">Parametres!$B$5*C4230</f>
        <v>0</v>
      </c>
      <c r="F4230" s="20" t="n">
        <f aca="false">Parametres!$B$6*D4230</f>
        <v>200</v>
      </c>
      <c r="G4230" s="20" t="n">
        <f aca="false">E4230+F4230</f>
        <v>200</v>
      </c>
      <c r="H4230" s="20" t="n">
        <f aca="false">IF(G4230&lt;Parametres!$B$8*Parametres!$B$7,0,MIN(G4230,Parametres!$B$7))</f>
        <v>200</v>
      </c>
      <c r="I4230" s="20" t="n">
        <f aca="false">G4230-H4230</f>
        <v>0</v>
      </c>
      <c r="J4230" s="21" t="n">
        <f aca="false">H4230*1000/Parametres!$B$9</f>
        <v>3391.55502798033</v>
      </c>
    </row>
    <row r="4231" customFormat="false" ht="15" hidden="false" customHeight="false" outlineLevel="0" collapsed="false">
      <c r="A4231" s="0" t="n">
        <v>4227</v>
      </c>
      <c r="B4231" s="0" t="n">
        <v>6</v>
      </c>
      <c r="C4231" s="19" t="n">
        <v>0</v>
      </c>
      <c r="D4231" s="19" t="n">
        <v>1</v>
      </c>
      <c r="E4231" s="20" t="n">
        <f aca="false">Parametres!$B$5*C4231</f>
        <v>0</v>
      </c>
      <c r="F4231" s="20" t="n">
        <f aca="false">Parametres!$B$6*D4231</f>
        <v>200</v>
      </c>
      <c r="G4231" s="20" t="n">
        <f aca="false">E4231+F4231</f>
        <v>200</v>
      </c>
      <c r="H4231" s="20" t="n">
        <f aca="false">IF(G4231&lt;Parametres!$B$8*Parametres!$B$7,0,MIN(G4231,Parametres!$B$7))</f>
        <v>200</v>
      </c>
      <c r="I4231" s="20" t="n">
        <f aca="false">G4231-H4231</f>
        <v>0</v>
      </c>
      <c r="J4231" s="21" t="n">
        <f aca="false">H4231*1000/Parametres!$B$9</f>
        <v>3391.55502798033</v>
      </c>
    </row>
    <row r="4232" customFormat="false" ht="15" hidden="false" customHeight="false" outlineLevel="0" collapsed="false">
      <c r="A4232" s="0" t="n">
        <v>4228</v>
      </c>
      <c r="B4232" s="0" t="n">
        <v>6</v>
      </c>
      <c r="C4232" s="19" t="n">
        <v>0</v>
      </c>
      <c r="D4232" s="19" t="n">
        <v>1</v>
      </c>
      <c r="E4232" s="20" t="n">
        <f aca="false">Parametres!$B$5*C4232</f>
        <v>0</v>
      </c>
      <c r="F4232" s="20" t="n">
        <f aca="false">Parametres!$B$6*D4232</f>
        <v>200</v>
      </c>
      <c r="G4232" s="20" t="n">
        <f aca="false">E4232+F4232</f>
        <v>200</v>
      </c>
      <c r="H4232" s="20" t="n">
        <f aca="false">IF(G4232&lt;Parametres!$B$8*Parametres!$B$7,0,MIN(G4232,Parametres!$B$7))</f>
        <v>200</v>
      </c>
      <c r="I4232" s="20" t="n">
        <f aca="false">G4232-H4232</f>
        <v>0</v>
      </c>
      <c r="J4232" s="21" t="n">
        <f aca="false">H4232*1000/Parametres!$B$9</f>
        <v>3391.55502798033</v>
      </c>
    </row>
    <row r="4233" customFormat="false" ht="15" hidden="false" customHeight="false" outlineLevel="0" collapsed="false">
      <c r="A4233" s="0" t="n">
        <v>4229</v>
      </c>
      <c r="B4233" s="0" t="n">
        <v>6</v>
      </c>
      <c r="C4233" s="19" t="n">
        <v>0</v>
      </c>
      <c r="D4233" s="19" t="n">
        <v>1</v>
      </c>
      <c r="E4233" s="20" t="n">
        <f aca="false">Parametres!$B$5*C4233</f>
        <v>0</v>
      </c>
      <c r="F4233" s="20" t="n">
        <f aca="false">Parametres!$B$6*D4233</f>
        <v>200</v>
      </c>
      <c r="G4233" s="20" t="n">
        <f aca="false">E4233+F4233</f>
        <v>200</v>
      </c>
      <c r="H4233" s="20" t="n">
        <f aca="false">IF(G4233&lt;Parametres!$B$8*Parametres!$B$7,0,MIN(G4233,Parametres!$B$7))</f>
        <v>200</v>
      </c>
      <c r="I4233" s="20" t="n">
        <f aca="false">G4233-H4233</f>
        <v>0</v>
      </c>
      <c r="J4233" s="21" t="n">
        <f aca="false">H4233*1000/Parametres!$B$9</f>
        <v>3391.55502798033</v>
      </c>
    </row>
    <row r="4234" customFormat="false" ht="15" hidden="false" customHeight="false" outlineLevel="0" collapsed="false">
      <c r="A4234" s="0" t="n">
        <v>4230</v>
      </c>
      <c r="B4234" s="0" t="n">
        <v>6</v>
      </c>
      <c r="C4234" s="19" t="n">
        <v>0.0605</v>
      </c>
      <c r="D4234" s="19" t="n">
        <v>1</v>
      </c>
      <c r="E4234" s="20" t="n">
        <f aca="false">Parametres!$B$5*C4234</f>
        <v>18.15</v>
      </c>
      <c r="F4234" s="20" t="n">
        <f aca="false">Parametres!$B$6*D4234</f>
        <v>200</v>
      </c>
      <c r="G4234" s="20" t="n">
        <f aca="false">E4234+F4234</f>
        <v>218.15</v>
      </c>
      <c r="H4234" s="20" t="n">
        <f aca="false">IF(G4234&lt;Parametres!$B$8*Parametres!$B$7,0,MIN(G4234,Parametres!$B$7))</f>
        <v>218.15</v>
      </c>
      <c r="I4234" s="20" t="n">
        <f aca="false">G4234-H4234</f>
        <v>0</v>
      </c>
      <c r="J4234" s="21" t="n">
        <f aca="false">H4234*1000/Parametres!$B$9</f>
        <v>3699.33864676954</v>
      </c>
    </row>
    <row r="4235" customFormat="false" ht="15" hidden="false" customHeight="false" outlineLevel="0" collapsed="false">
      <c r="A4235" s="0" t="n">
        <v>4231</v>
      </c>
      <c r="B4235" s="0" t="n">
        <v>6</v>
      </c>
      <c r="C4235" s="19" t="n">
        <v>0.2664</v>
      </c>
      <c r="D4235" s="19" t="n">
        <v>1</v>
      </c>
      <c r="E4235" s="20" t="n">
        <f aca="false">Parametres!$B$5*C4235</f>
        <v>79.92</v>
      </c>
      <c r="F4235" s="20" t="n">
        <f aca="false">Parametres!$B$6*D4235</f>
        <v>200</v>
      </c>
      <c r="G4235" s="20" t="n">
        <f aca="false">E4235+F4235</f>
        <v>279.92</v>
      </c>
      <c r="H4235" s="20" t="n">
        <f aca="false">IF(G4235&lt;Parametres!$B$8*Parametres!$B$7,0,MIN(G4235,Parametres!$B$7))</f>
        <v>250</v>
      </c>
      <c r="I4235" s="20" t="n">
        <f aca="false">G4235-H4235</f>
        <v>29.92</v>
      </c>
      <c r="J4235" s="21" t="n">
        <f aca="false">H4235*1000/Parametres!$B$9</f>
        <v>4239.44378497541</v>
      </c>
    </row>
    <row r="4236" customFormat="false" ht="15" hidden="false" customHeight="false" outlineLevel="0" collapsed="false">
      <c r="A4236" s="0" t="n">
        <v>4232</v>
      </c>
      <c r="B4236" s="0" t="n">
        <v>6</v>
      </c>
      <c r="C4236" s="19" t="n">
        <v>0.4904</v>
      </c>
      <c r="D4236" s="19" t="n">
        <v>1</v>
      </c>
      <c r="E4236" s="20" t="n">
        <f aca="false">Parametres!$B$5*C4236</f>
        <v>147.12</v>
      </c>
      <c r="F4236" s="20" t="n">
        <f aca="false">Parametres!$B$6*D4236</f>
        <v>200</v>
      </c>
      <c r="G4236" s="20" t="n">
        <f aca="false">E4236+F4236</f>
        <v>347.12</v>
      </c>
      <c r="H4236" s="20" t="n">
        <f aca="false">IF(G4236&lt;Parametres!$B$8*Parametres!$B$7,0,MIN(G4236,Parametres!$B$7))</f>
        <v>250</v>
      </c>
      <c r="I4236" s="20" t="n">
        <f aca="false">G4236-H4236</f>
        <v>97.12</v>
      </c>
      <c r="J4236" s="21" t="n">
        <f aca="false">H4236*1000/Parametres!$B$9</f>
        <v>4239.44378497541</v>
      </c>
    </row>
    <row r="4237" customFormat="false" ht="15" hidden="false" customHeight="false" outlineLevel="0" collapsed="false">
      <c r="A4237" s="0" t="n">
        <v>4233</v>
      </c>
      <c r="B4237" s="0" t="n">
        <v>6</v>
      </c>
      <c r="C4237" s="19" t="n">
        <v>0.7637</v>
      </c>
      <c r="D4237" s="19" t="n">
        <v>1</v>
      </c>
      <c r="E4237" s="20" t="n">
        <f aca="false">Parametres!$B$5*C4237</f>
        <v>229.11</v>
      </c>
      <c r="F4237" s="20" t="n">
        <f aca="false">Parametres!$B$6*D4237</f>
        <v>200</v>
      </c>
      <c r="G4237" s="20" t="n">
        <f aca="false">E4237+F4237</f>
        <v>429.11</v>
      </c>
      <c r="H4237" s="20" t="n">
        <f aca="false">IF(G4237&lt;Parametres!$B$8*Parametres!$B$7,0,MIN(G4237,Parametres!$B$7))</f>
        <v>250</v>
      </c>
      <c r="I4237" s="20" t="n">
        <f aca="false">G4237-H4237</f>
        <v>179.11</v>
      </c>
      <c r="J4237" s="21" t="n">
        <f aca="false">H4237*1000/Parametres!$B$9</f>
        <v>4239.44378497541</v>
      </c>
    </row>
    <row r="4238" customFormat="false" ht="15" hidden="false" customHeight="false" outlineLevel="0" collapsed="false">
      <c r="A4238" s="0" t="n">
        <v>4234</v>
      </c>
      <c r="B4238" s="0" t="n">
        <v>6</v>
      </c>
      <c r="C4238" s="19" t="n">
        <v>0.9044</v>
      </c>
      <c r="D4238" s="19" t="n">
        <v>1</v>
      </c>
      <c r="E4238" s="20" t="n">
        <f aca="false">Parametres!$B$5*C4238</f>
        <v>271.32</v>
      </c>
      <c r="F4238" s="20" t="n">
        <f aca="false">Parametres!$B$6*D4238</f>
        <v>200</v>
      </c>
      <c r="G4238" s="20" t="n">
        <f aca="false">E4238+F4238</f>
        <v>471.32</v>
      </c>
      <c r="H4238" s="20" t="n">
        <f aca="false">IF(G4238&lt;Parametres!$B$8*Parametres!$B$7,0,MIN(G4238,Parametres!$B$7))</f>
        <v>250</v>
      </c>
      <c r="I4238" s="20" t="n">
        <f aca="false">G4238-H4238</f>
        <v>221.32</v>
      </c>
      <c r="J4238" s="21" t="n">
        <f aca="false">H4238*1000/Parametres!$B$9</f>
        <v>4239.44378497541</v>
      </c>
    </row>
    <row r="4239" customFormat="false" ht="15" hidden="false" customHeight="false" outlineLevel="0" collapsed="false">
      <c r="A4239" s="0" t="n">
        <v>4235</v>
      </c>
      <c r="B4239" s="0" t="n">
        <v>6</v>
      </c>
      <c r="C4239" s="19" t="n">
        <v>1</v>
      </c>
      <c r="D4239" s="19" t="n">
        <v>1</v>
      </c>
      <c r="E4239" s="20" t="n">
        <f aca="false">Parametres!$B$5*C4239</f>
        <v>300</v>
      </c>
      <c r="F4239" s="20" t="n">
        <f aca="false">Parametres!$B$6*D4239</f>
        <v>200</v>
      </c>
      <c r="G4239" s="20" t="n">
        <f aca="false">E4239+F4239</f>
        <v>500</v>
      </c>
      <c r="H4239" s="20" t="n">
        <f aca="false">IF(G4239&lt;Parametres!$B$8*Parametres!$B$7,0,MIN(G4239,Parametres!$B$7))</f>
        <v>250</v>
      </c>
      <c r="I4239" s="20" t="n">
        <f aca="false">G4239-H4239</f>
        <v>250</v>
      </c>
      <c r="J4239" s="21" t="n">
        <f aca="false">H4239*1000/Parametres!$B$9</f>
        <v>4239.44378497541</v>
      </c>
    </row>
    <row r="4240" customFormat="false" ht="15" hidden="false" customHeight="false" outlineLevel="0" collapsed="false">
      <c r="A4240" s="0" t="n">
        <v>4236</v>
      </c>
      <c r="B4240" s="0" t="n">
        <v>6</v>
      </c>
      <c r="C4240" s="19" t="n">
        <v>1</v>
      </c>
      <c r="D4240" s="19" t="n">
        <v>1</v>
      </c>
      <c r="E4240" s="20" t="n">
        <f aca="false">Parametres!$B$5*C4240</f>
        <v>300</v>
      </c>
      <c r="F4240" s="20" t="n">
        <f aca="false">Parametres!$B$6*D4240</f>
        <v>200</v>
      </c>
      <c r="G4240" s="20" t="n">
        <f aca="false">E4240+F4240</f>
        <v>500</v>
      </c>
      <c r="H4240" s="20" t="n">
        <f aca="false">IF(G4240&lt;Parametres!$B$8*Parametres!$B$7,0,MIN(G4240,Parametres!$B$7))</f>
        <v>250</v>
      </c>
      <c r="I4240" s="20" t="n">
        <f aca="false">G4240-H4240</f>
        <v>250</v>
      </c>
      <c r="J4240" s="21" t="n">
        <f aca="false">H4240*1000/Parametres!$B$9</f>
        <v>4239.44378497541</v>
      </c>
    </row>
    <row r="4241" customFormat="false" ht="15" hidden="false" customHeight="false" outlineLevel="0" collapsed="false">
      <c r="A4241" s="0" t="n">
        <v>4237</v>
      </c>
      <c r="B4241" s="0" t="n">
        <v>6</v>
      </c>
      <c r="C4241" s="19" t="n">
        <v>1</v>
      </c>
      <c r="D4241" s="19" t="n">
        <v>1</v>
      </c>
      <c r="E4241" s="20" t="n">
        <f aca="false">Parametres!$B$5*C4241</f>
        <v>300</v>
      </c>
      <c r="F4241" s="20" t="n">
        <f aca="false">Parametres!$B$6*D4241</f>
        <v>200</v>
      </c>
      <c r="G4241" s="20" t="n">
        <f aca="false">E4241+F4241</f>
        <v>500</v>
      </c>
      <c r="H4241" s="20" t="n">
        <f aca="false">IF(G4241&lt;Parametres!$B$8*Parametres!$B$7,0,MIN(G4241,Parametres!$B$7))</f>
        <v>250</v>
      </c>
      <c r="I4241" s="20" t="n">
        <f aca="false">G4241-H4241</f>
        <v>250</v>
      </c>
      <c r="J4241" s="21" t="n">
        <f aca="false">H4241*1000/Parametres!$B$9</f>
        <v>4239.44378497541</v>
      </c>
    </row>
    <row r="4242" customFormat="false" ht="15" hidden="false" customHeight="false" outlineLevel="0" collapsed="false">
      <c r="A4242" s="0" t="n">
        <v>4238</v>
      </c>
      <c r="B4242" s="0" t="n">
        <v>6</v>
      </c>
      <c r="C4242" s="19" t="n">
        <v>1</v>
      </c>
      <c r="D4242" s="19" t="n">
        <v>1</v>
      </c>
      <c r="E4242" s="20" t="n">
        <f aca="false">Parametres!$B$5*C4242</f>
        <v>300</v>
      </c>
      <c r="F4242" s="20" t="n">
        <f aca="false">Parametres!$B$6*D4242</f>
        <v>200</v>
      </c>
      <c r="G4242" s="20" t="n">
        <f aca="false">E4242+F4242</f>
        <v>500</v>
      </c>
      <c r="H4242" s="20" t="n">
        <f aca="false">IF(G4242&lt;Parametres!$B$8*Parametres!$B$7,0,MIN(G4242,Parametres!$B$7))</f>
        <v>250</v>
      </c>
      <c r="I4242" s="20" t="n">
        <f aca="false">G4242-H4242</f>
        <v>250</v>
      </c>
      <c r="J4242" s="21" t="n">
        <f aca="false">H4242*1000/Parametres!$B$9</f>
        <v>4239.44378497541</v>
      </c>
    </row>
    <row r="4243" customFormat="false" ht="15" hidden="false" customHeight="false" outlineLevel="0" collapsed="false">
      <c r="A4243" s="0" t="n">
        <v>4239</v>
      </c>
      <c r="B4243" s="0" t="n">
        <v>6</v>
      </c>
      <c r="C4243" s="19" t="n">
        <v>0.9045</v>
      </c>
      <c r="D4243" s="19" t="n">
        <v>1</v>
      </c>
      <c r="E4243" s="20" t="n">
        <f aca="false">Parametres!$B$5*C4243</f>
        <v>271.35</v>
      </c>
      <c r="F4243" s="20" t="n">
        <f aca="false">Parametres!$B$6*D4243</f>
        <v>200</v>
      </c>
      <c r="G4243" s="20" t="n">
        <f aca="false">E4243+F4243</f>
        <v>471.35</v>
      </c>
      <c r="H4243" s="20" t="n">
        <f aca="false">IF(G4243&lt;Parametres!$B$8*Parametres!$B$7,0,MIN(G4243,Parametres!$B$7))</f>
        <v>250</v>
      </c>
      <c r="I4243" s="20" t="n">
        <f aca="false">G4243-H4243</f>
        <v>221.35</v>
      </c>
      <c r="J4243" s="21" t="n">
        <f aca="false">H4243*1000/Parametres!$B$9</f>
        <v>4239.44378497541</v>
      </c>
    </row>
    <row r="4244" customFormat="false" ht="15" hidden="false" customHeight="false" outlineLevel="0" collapsed="false">
      <c r="A4244" s="0" t="n">
        <v>4240</v>
      </c>
      <c r="B4244" s="0" t="n">
        <v>6</v>
      </c>
      <c r="C4244" s="19" t="n">
        <v>0.6917</v>
      </c>
      <c r="D4244" s="19" t="n">
        <v>1</v>
      </c>
      <c r="E4244" s="20" t="n">
        <f aca="false">Parametres!$B$5*C4244</f>
        <v>207.51</v>
      </c>
      <c r="F4244" s="20" t="n">
        <f aca="false">Parametres!$B$6*D4244</f>
        <v>200</v>
      </c>
      <c r="G4244" s="20" t="n">
        <f aca="false">E4244+F4244</f>
        <v>407.51</v>
      </c>
      <c r="H4244" s="20" t="n">
        <f aca="false">IF(G4244&lt;Parametres!$B$8*Parametres!$B$7,0,MIN(G4244,Parametres!$B$7))</f>
        <v>250</v>
      </c>
      <c r="I4244" s="20" t="n">
        <f aca="false">G4244-H4244</f>
        <v>157.51</v>
      </c>
      <c r="J4244" s="21" t="n">
        <f aca="false">H4244*1000/Parametres!$B$9</f>
        <v>4239.44378497541</v>
      </c>
    </row>
    <row r="4245" customFormat="false" ht="15" hidden="false" customHeight="false" outlineLevel="0" collapsed="false">
      <c r="A4245" s="0" t="n">
        <v>4241</v>
      </c>
      <c r="B4245" s="0" t="n">
        <v>6</v>
      </c>
      <c r="C4245" s="19" t="n">
        <v>0.5246</v>
      </c>
      <c r="D4245" s="19" t="n">
        <v>1</v>
      </c>
      <c r="E4245" s="20" t="n">
        <f aca="false">Parametres!$B$5*C4245</f>
        <v>157.38</v>
      </c>
      <c r="F4245" s="20" t="n">
        <f aca="false">Parametres!$B$6*D4245</f>
        <v>200</v>
      </c>
      <c r="G4245" s="20" t="n">
        <f aca="false">E4245+F4245</f>
        <v>357.38</v>
      </c>
      <c r="H4245" s="20" t="n">
        <f aca="false">IF(G4245&lt;Parametres!$B$8*Parametres!$B$7,0,MIN(G4245,Parametres!$B$7))</f>
        <v>250</v>
      </c>
      <c r="I4245" s="20" t="n">
        <f aca="false">G4245-H4245</f>
        <v>107.38</v>
      </c>
      <c r="J4245" s="21" t="n">
        <f aca="false">H4245*1000/Parametres!$B$9</f>
        <v>4239.44378497541</v>
      </c>
    </row>
    <row r="4246" customFormat="false" ht="15" hidden="false" customHeight="false" outlineLevel="0" collapsed="false">
      <c r="A4246" s="0" t="n">
        <v>4242</v>
      </c>
      <c r="B4246" s="0" t="n">
        <v>6</v>
      </c>
      <c r="C4246" s="19" t="n">
        <v>0.3009</v>
      </c>
      <c r="D4246" s="19" t="n">
        <v>1</v>
      </c>
      <c r="E4246" s="20" t="n">
        <f aca="false">Parametres!$B$5*C4246</f>
        <v>90.27</v>
      </c>
      <c r="F4246" s="20" t="n">
        <f aca="false">Parametres!$B$6*D4246</f>
        <v>200</v>
      </c>
      <c r="G4246" s="20" t="n">
        <f aca="false">E4246+F4246</f>
        <v>290.27</v>
      </c>
      <c r="H4246" s="20" t="n">
        <f aca="false">IF(G4246&lt;Parametres!$B$8*Parametres!$B$7,0,MIN(G4246,Parametres!$B$7))</f>
        <v>250</v>
      </c>
      <c r="I4246" s="20" t="n">
        <f aca="false">G4246-H4246</f>
        <v>40.27</v>
      </c>
      <c r="J4246" s="21" t="n">
        <f aca="false">H4246*1000/Parametres!$B$9</f>
        <v>4239.44378497541</v>
      </c>
    </row>
    <row r="4247" customFormat="false" ht="15" hidden="false" customHeight="false" outlineLevel="0" collapsed="false">
      <c r="A4247" s="0" t="n">
        <v>4243</v>
      </c>
      <c r="B4247" s="0" t="n">
        <v>6</v>
      </c>
      <c r="C4247" s="19" t="n">
        <v>0.0631</v>
      </c>
      <c r="D4247" s="19" t="n">
        <v>1</v>
      </c>
      <c r="E4247" s="20" t="n">
        <f aca="false">Parametres!$B$5*C4247</f>
        <v>18.93</v>
      </c>
      <c r="F4247" s="20" t="n">
        <f aca="false">Parametres!$B$6*D4247</f>
        <v>200</v>
      </c>
      <c r="G4247" s="20" t="n">
        <f aca="false">E4247+F4247</f>
        <v>218.93</v>
      </c>
      <c r="H4247" s="20" t="n">
        <f aca="false">IF(G4247&lt;Parametres!$B$8*Parametres!$B$7,0,MIN(G4247,Parametres!$B$7))</f>
        <v>218.93</v>
      </c>
      <c r="I4247" s="20" t="n">
        <f aca="false">G4247-H4247</f>
        <v>0</v>
      </c>
      <c r="J4247" s="21" t="n">
        <f aca="false">H4247*1000/Parametres!$B$9</f>
        <v>3712.56571137867</v>
      </c>
    </row>
    <row r="4248" customFormat="false" ht="15" hidden="false" customHeight="false" outlineLevel="0" collapsed="false">
      <c r="A4248" s="0" t="n">
        <v>4244</v>
      </c>
      <c r="B4248" s="0" t="n">
        <v>6</v>
      </c>
      <c r="C4248" s="19" t="n">
        <v>0</v>
      </c>
      <c r="D4248" s="19" t="n">
        <v>1</v>
      </c>
      <c r="E4248" s="20" t="n">
        <f aca="false">Parametres!$B$5*C4248</f>
        <v>0</v>
      </c>
      <c r="F4248" s="20" t="n">
        <f aca="false">Parametres!$B$6*D4248</f>
        <v>200</v>
      </c>
      <c r="G4248" s="20" t="n">
        <f aca="false">E4248+F4248</f>
        <v>200</v>
      </c>
      <c r="H4248" s="20" t="n">
        <f aca="false">IF(G4248&lt;Parametres!$B$8*Parametres!$B$7,0,MIN(G4248,Parametres!$B$7))</f>
        <v>200</v>
      </c>
      <c r="I4248" s="20" t="n">
        <f aca="false">G4248-H4248</f>
        <v>0</v>
      </c>
      <c r="J4248" s="21" t="n">
        <f aca="false">H4248*1000/Parametres!$B$9</f>
        <v>3391.55502798033</v>
      </c>
    </row>
    <row r="4249" customFormat="false" ht="15" hidden="false" customHeight="false" outlineLevel="0" collapsed="false">
      <c r="A4249" s="0" t="n">
        <v>4245</v>
      </c>
      <c r="B4249" s="0" t="n">
        <v>6</v>
      </c>
      <c r="C4249" s="19" t="n">
        <v>0</v>
      </c>
      <c r="D4249" s="19" t="n">
        <v>1</v>
      </c>
      <c r="E4249" s="20" t="n">
        <f aca="false">Parametres!$B$5*C4249</f>
        <v>0</v>
      </c>
      <c r="F4249" s="20" t="n">
        <f aca="false">Parametres!$B$6*D4249</f>
        <v>200</v>
      </c>
      <c r="G4249" s="20" t="n">
        <f aca="false">E4249+F4249</f>
        <v>200</v>
      </c>
      <c r="H4249" s="20" t="n">
        <f aca="false">IF(G4249&lt;Parametres!$B$8*Parametres!$B$7,0,MIN(G4249,Parametres!$B$7))</f>
        <v>200</v>
      </c>
      <c r="I4249" s="20" t="n">
        <f aca="false">G4249-H4249</f>
        <v>0</v>
      </c>
      <c r="J4249" s="21" t="n">
        <f aca="false">H4249*1000/Parametres!$B$9</f>
        <v>3391.55502798033</v>
      </c>
    </row>
    <row r="4250" customFormat="false" ht="15" hidden="false" customHeight="false" outlineLevel="0" collapsed="false">
      <c r="A4250" s="0" t="n">
        <v>4246</v>
      </c>
      <c r="B4250" s="0" t="n">
        <v>6</v>
      </c>
      <c r="C4250" s="19" t="n">
        <v>0</v>
      </c>
      <c r="D4250" s="19" t="n">
        <v>1</v>
      </c>
      <c r="E4250" s="20" t="n">
        <f aca="false">Parametres!$B$5*C4250</f>
        <v>0</v>
      </c>
      <c r="F4250" s="20" t="n">
        <f aca="false">Parametres!$B$6*D4250</f>
        <v>200</v>
      </c>
      <c r="G4250" s="20" t="n">
        <f aca="false">E4250+F4250</f>
        <v>200</v>
      </c>
      <c r="H4250" s="20" t="n">
        <f aca="false">IF(G4250&lt;Parametres!$B$8*Parametres!$B$7,0,MIN(G4250,Parametres!$B$7))</f>
        <v>200</v>
      </c>
      <c r="I4250" s="20" t="n">
        <f aca="false">G4250-H4250</f>
        <v>0</v>
      </c>
      <c r="J4250" s="21" t="n">
        <f aca="false">H4250*1000/Parametres!$B$9</f>
        <v>3391.55502798033</v>
      </c>
    </row>
    <row r="4251" customFormat="false" ht="15" hidden="false" customHeight="false" outlineLevel="0" collapsed="false">
      <c r="A4251" s="0" t="n">
        <v>4247</v>
      </c>
      <c r="B4251" s="0" t="n">
        <v>6</v>
      </c>
      <c r="C4251" s="19" t="n">
        <v>0</v>
      </c>
      <c r="D4251" s="19" t="n">
        <v>1</v>
      </c>
      <c r="E4251" s="20" t="n">
        <f aca="false">Parametres!$B$5*C4251</f>
        <v>0</v>
      </c>
      <c r="F4251" s="20" t="n">
        <f aca="false">Parametres!$B$6*D4251</f>
        <v>200</v>
      </c>
      <c r="G4251" s="20" t="n">
        <f aca="false">E4251+F4251</f>
        <v>200</v>
      </c>
      <c r="H4251" s="20" t="n">
        <f aca="false">IF(G4251&lt;Parametres!$B$8*Parametres!$B$7,0,MIN(G4251,Parametres!$B$7))</f>
        <v>200</v>
      </c>
      <c r="I4251" s="20" t="n">
        <f aca="false">G4251-H4251</f>
        <v>0</v>
      </c>
      <c r="J4251" s="21" t="n">
        <f aca="false">H4251*1000/Parametres!$B$9</f>
        <v>3391.55502798033</v>
      </c>
    </row>
    <row r="4252" customFormat="false" ht="15" hidden="false" customHeight="false" outlineLevel="0" collapsed="false">
      <c r="A4252" s="0" t="n">
        <v>4248</v>
      </c>
      <c r="B4252" s="0" t="n">
        <v>6</v>
      </c>
      <c r="C4252" s="19" t="n">
        <v>0</v>
      </c>
      <c r="D4252" s="19" t="n">
        <v>1</v>
      </c>
      <c r="E4252" s="20" t="n">
        <f aca="false">Parametres!$B$5*C4252</f>
        <v>0</v>
      </c>
      <c r="F4252" s="20" t="n">
        <f aca="false">Parametres!$B$6*D4252</f>
        <v>200</v>
      </c>
      <c r="G4252" s="20" t="n">
        <f aca="false">E4252+F4252</f>
        <v>200</v>
      </c>
      <c r="H4252" s="20" t="n">
        <f aca="false">IF(G4252&lt;Parametres!$B$8*Parametres!$B$7,0,MIN(G4252,Parametres!$B$7))</f>
        <v>200</v>
      </c>
      <c r="I4252" s="20" t="n">
        <f aca="false">G4252-H4252</f>
        <v>0</v>
      </c>
      <c r="J4252" s="21" t="n">
        <f aca="false">H4252*1000/Parametres!$B$9</f>
        <v>3391.55502798033</v>
      </c>
    </row>
    <row r="4253" customFormat="false" ht="15" hidden="false" customHeight="false" outlineLevel="0" collapsed="false">
      <c r="A4253" s="0" t="n">
        <v>4249</v>
      </c>
      <c r="B4253" s="0" t="n">
        <v>6</v>
      </c>
      <c r="C4253" s="19" t="n">
        <v>0</v>
      </c>
      <c r="D4253" s="19" t="n">
        <v>1</v>
      </c>
      <c r="E4253" s="20" t="n">
        <f aca="false">Parametres!$B$5*C4253</f>
        <v>0</v>
      </c>
      <c r="F4253" s="20" t="n">
        <f aca="false">Parametres!$B$6*D4253</f>
        <v>200</v>
      </c>
      <c r="G4253" s="20" t="n">
        <f aca="false">E4253+F4253</f>
        <v>200</v>
      </c>
      <c r="H4253" s="20" t="n">
        <f aca="false">IF(G4253&lt;Parametres!$B$8*Parametres!$B$7,0,MIN(G4253,Parametres!$B$7))</f>
        <v>200</v>
      </c>
      <c r="I4253" s="20" t="n">
        <f aca="false">G4253-H4253</f>
        <v>0</v>
      </c>
      <c r="J4253" s="21" t="n">
        <f aca="false">H4253*1000/Parametres!$B$9</f>
        <v>3391.55502798033</v>
      </c>
    </row>
    <row r="4254" customFormat="false" ht="15" hidden="false" customHeight="false" outlineLevel="0" collapsed="false">
      <c r="A4254" s="0" t="n">
        <v>4250</v>
      </c>
      <c r="B4254" s="0" t="n">
        <v>6</v>
      </c>
      <c r="C4254" s="19" t="n">
        <v>0</v>
      </c>
      <c r="D4254" s="19" t="n">
        <v>1</v>
      </c>
      <c r="E4254" s="20" t="n">
        <f aca="false">Parametres!$B$5*C4254</f>
        <v>0</v>
      </c>
      <c r="F4254" s="20" t="n">
        <f aca="false">Parametres!$B$6*D4254</f>
        <v>200</v>
      </c>
      <c r="G4254" s="20" t="n">
        <f aca="false">E4254+F4254</f>
        <v>200</v>
      </c>
      <c r="H4254" s="20" t="n">
        <f aca="false">IF(G4254&lt;Parametres!$B$8*Parametres!$B$7,0,MIN(G4254,Parametres!$B$7))</f>
        <v>200</v>
      </c>
      <c r="I4254" s="20" t="n">
        <f aca="false">G4254-H4254</f>
        <v>0</v>
      </c>
      <c r="J4254" s="21" t="n">
        <f aca="false">H4254*1000/Parametres!$B$9</f>
        <v>3391.55502798033</v>
      </c>
    </row>
    <row r="4255" customFormat="false" ht="15" hidden="false" customHeight="false" outlineLevel="0" collapsed="false">
      <c r="A4255" s="0" t="n">
        <v>4251</v>
      </c>
      <c r="B4255" s="0" t="n">
        <v>6</v>
      </c>
      <c r="C4255" s="19" t="n">
        <v>0</v>
      </c>
      <c r="D4255" s="19" t="n">
        <v>1</v>
      </c>
      <c r="E4255" s="20" t="n">
        <f aca="false">Parametres!$B$5*C4255</f>
        <v>0</v>
      </c>
      <c r="F4255" s="20" t="n">
        <f aca="false">Parametres!$B$6*D4255</f>
        <v>200</v>
      </c>
      <c r="G4255" s="20" t="n">
        <f aca="false">E4255+F4255</f>
        <v>200</v>
      </c>
      <c r="H4255" s="20" t="n">
        <f aca="false">IF(G4255&lt;Parametres!$B$8*Parametres!$B$7,0,MIN(G4255,Parametres!$B$7))</f>
        <v>200</v>
      </c>
      <c r="I4255" s="20" t="n">
        <f aca="false">G4255-H4255</f>
        <v>0</v>
      </c>
      <c r="J4255" s="21" t="n">
        <f aca="false">H4255*1000/Parametres!$B$9</f>
        <v>3391.55502798033</v>
      </c>
    </row>
    <row r="4256" customFormat="false" ht="15" hidden="false" customHeight="false" outlineLevel="0" collapsed="false">
      <c r="A4256" s="0" t="n">
        <v>4252</v>
      </c>
      <c r="B4256" s="0" t="n">
        <v>6</v>
      </c>
      <c r="C4256" s="19" t="n">
        <v>0</v>
      </c>
      <c r="D4256" s="19" t="n">
        <v>1</v>
      </c>
      <c r="E4256" s="20" t="n">
        <f aca="false">Parametres!$B$5*C4256</f>
        <v>0</v>
      </c>
      <c r="F4256" s="20" t="n">
        <f aca="false">Parametres!$B$6*D4256</f>
        <v>200</v>
      </c>
      <c r="G4256" s="20" t="n">
        <f aca="false">E4256+F4256</f>
        <v>200</v>
      </c>
      <c r="H4256" s="20" t="n">
        <f aca="false">IF(G4256&lt;Parametres!$B$8*Parametres!$B$7,0,MIN(G4256,Parametres!$B$7))</f>
        <v>200</v>
      </c>
      <c r="I4256" s="20" t="n">
        <f aca="false">G4256-H4256</f>
        <v>0</v>
      </c>
      <c r="J4256" s="21" t="n">
        <f aca="false">H4256*1000/Parametres!$B$9</f>
        <v>3391.55502798033</v>
      </c>
    </row>
    <row r="4257" customFormat="false" ht="15" hidden="false" customHeight="false" outlineLevel="0" collapsed="false">
      <c r="A4257" s="0" t="n">
        <v>4253</v>
      </c>
      <c r="B4257" s="0" t="n">
        <v>6</v>
      </c>
      <c r="C4257" s="19" t="n">
        <v>0</v>
      </c>
      <c r="D4257" s="19" t="n">
        <v>1</v>
      </c>
      <c r="E4257" s="20" t="n">
        <f aca="false">Parametres!$B$5*C4257</f>
        <v>0</v>
      </c>
      <c r="F4257" s="20" t="n">
        <f aca="false">Parametres!$B$6*D4257</f>
        <v>200</v>
      </c>
      <c r="G4257" s="20" t="n">
        <f aca="false">E4257+F4257</f>
        <v>200</v>
      </c>
      <c r="H4257" s="20" t="n">
        <f aca="false">IF(G4257&lt;Parametres!$B$8*Parametres!$B$7,0,MIN(G4257,Parametres!$B$7))</f>
        <v>200</v>
      </c>
      <c r="I4257" s="20" t="n">
        <f aca="false">G4257-H4257</f>
        <v>0</v>
      </c>
      <c r="J4257" s="21" t="n">
        <f aca="false">H4257*1000/Parametres!$B$9</f>
        <v>3391.55502798033</v>
      </c>
    </row>
    <row r="4258" customFormat="false" ht="15" hidden="false" customHeight="false" outlineLevel="0" collapsed="false">
      <c r="A4258" s="0" t="n">
        <v>4254</v>
      </c>
      <c r="B4258" s="0" t="n">
        <v>6</v>
      </c>
      <c r="C4258" s="19" t="n">
        <v>0.0585</v>
      </c>
      <c r="D4258" s="19" t="n">
        <v>1</v>
      </c>
      <c r="E4258" s="20" t="n">
        <f aca="false">Parametres!$B$5*C4258</f>
        <v>17.55</v>
      </c>
      <c r="F4258" s="20" t="n">
        <f aca="false">Parametres!$B$6*D4258</f>
        <v>200</v>
      </c>
      <c r="G4258" s="20" t="n">
        <f aca="false">E4258+F4258</f>
        <v>217.55</v>
      </c>
      <c r="H4258" s="20" t="n">
        <f aca="false">IF(G4258&lt;Parametres!$B$8*Parametres!$B$7,0,MIN(G4258,Parametres!$B$7))</f>
        <v>217.55</v>
      </c>
      <c r="I4258" s="20" t="n">
        <f aca="false">G4258-H4258</f>
        <v>0</v>
      </c>
      <c r="J4258" s="21" t="n">
        <f aca="false">H4258*1000/Parametres!$B$9</f>
        <v>3689.1639816856</v>
      </c>
    </row>
    <row r="4259" customFormat="false" ht="15" hidden="false" customHeight="false" outlineLevel="0" collapsed="false">
      <c r="A4259" s="0" t="n">
        <v>4255</v>
      </c>
      <c r="B4259" s="0" t="n">
        <v>6</v>
      </c>
      <c r="C4259" s="19" t="n">
        <v>0.2521</v>
      </c>
      <c r="D4259" s="19" t="n">
        <v>1</v>
      </c>
      <c r="E4259" s="20" t="n">
        <f aca="false">Parametres!$B$5*C4259</f>
        <v>75.63</v>
      </c>
      <c r="F4259" s="20" t="n">
        <f aca="false">Parametres!$B$6*D4259</f>
        <v>200</v>
      </c>
      <c r="G4259" s="20" t="n">
        <f aca="false">E4259+F4259</f>
        <v>275.63</v>
      </c>
      <c r="H4259" s="20" t="n">
        <f aca="false">IF(G4259&lt;Parametres!$B$8*Parametres!$B$7,0,MIN(G4259,Parametres!$B$7))</f>
        <v>250</v>
      </c>
      <c r="I4259" s="20" t="n">
        <f aca="false">G4259-H4259</f>
        <v>25.63</v>
      </c>
      <c r="J4259" s="21" t="n">
        <f aca="false">H4259*1000/Parametres!$B$9</f>
        <v>4239.44378497541</v>
      </c>
    </row>
    <row r="4260" customFormat="false" ht="15" hidden="false" customHeight="false" outlineLevel="0" collapsed="false">
      <c r="A4260" s="0" t="n">
        <v>4256</v>
      </c>
      <c r="B4260" s="0" t="n">
        <v>6</v>
      </c>
      <c r="C4260" s="19" t="n">
        <v>0.4588</v>
      </c>
      <c r="D4260" s="19" t="n">
        <v>1</v>
      </c>
      <c r="E4260" s="20" t="n">
        <f aca="false">Parametres!$B$5*C4260</f>
        <v>137.64</v>
      </c>
      <c r="F4260" s="20" t="n">
        <f aca="false">Parametres!$B$6*D4260</f>
        <v>200</v>
      </c>
      <c r="G4260" s="20" t="n">
        <f aca="false">E4260+F4260</f>
        <v>337.64</v>
      </c>
      <c r="H4260" s="20" t="n">
        <f aca="false">IF(G4260&lt;Parametres!$B$8*Parametres!$B$7,0,MIN(G4260,Parametres!$B$7))</f>
        <v>250</v>
      </c>
      <c r="I4260" s="20" t="n">
        <f aca="false">G4260-H4260</f>
        <v>87.64</v>
      </c>
      <c r="J4260" s="21" t="n">
        <f aca="false">H4260*1000/Parametres!$B$9</f>
        <v>4239.44378497541</v>
      </c>
    </row>
    <row r="4261" customFormat="false" ht="15" hidden="false" customHeight="false" outlineLevel="0" collapsed="false">
      <c r="A4261" s="0" t="n">
        <v>4257</v>
      </c>
      <c r="B4261" s="0" t="n">
        <v>6</v>
      </c>
      <c r="C4261" s="19" t="n">
        <v>0.6889</v>
      </c>
      <c r="D4261" s="19" t="n">
        <v>1</v>
      </c>
      <c r="E4261" s="20" t="n">
        <f aca="false">Parametres!$B$5*C4261</f>
        <v>206.67</v>
      </c>
      <c r="F4261" s="20" t="n">
        <f aca="false">Parametres!$B$6*D4261</f>
        <v>200</v>
      </c>
      <c r="G4261" s="20" t="n">
        <f aca="false">E4261+F4261</f>
        <v>406.67</v>
      </c>
      <c r="H4261" s="20" t="n">
        <f aca="false">IF(G4261&lt;Parametres!$B$8*Parametres!$B$7,0,MIN(G4261,Parametres!$B$7))</f>
        <v>250</v>
      </c>
      <c r="I4261" s="20" t="n">
        <f aca="false">G4261-H4261</f>
        <v>156.67</v>
      </c>
      <c r="J4261" s="21" t="n">
        <f aca="false">H4261*1000/Parametres!$B$9</f>
        <v>4239.44378497541</v>
      </c>
    </row>
    <row r="4262" customFormat="false" ht="15" hidden="false" customHeight="false" outlineLevel="0" collapsed="false">
      <c r="A4262" s="0" t="n">
        <v>4258</v>
      </c>
      <c r="B4262" s="0" t="n">
        <v>6</v>
      </c>
      <c r="C4262" s="19" t="n">
        <v>0.903</v>
      </c>
      <c r="D4262" s="19" t="n">
        <v>1</v>
      </c>
      <c r="E4262" s="20" t="n">
        <f aca="false">Parametres!$B$5*C4262</f>
        <v>270.9</v>
      </c>
      <c r="F4262" s="20" t="n">
        <f aca="false">Parametres!$B$6*D4262</f>
        <v>200</v>
      </c>
      <c r="G4262" s="20" t="n">
        <f aca="false">E4262+F4262</f>
        <v>470.9</v>
      </c>
      <c r="H4262" s="20" t="n">
        <f aca="false">IF(G4262&lt;Parametres!$B$8*Parametres!$B$7,0,MIN(G4262,Parametres!$B$7))</f>
        <v>250</v>
      </c>
      <c r="I4262" s="20" t="n">
        <f aca="false">G4262-H4262</f>
        <v>220.9</v>
      </c>
      <c r="J4262" s="21" t="n">
        <f aca="false">H4262*1000/Parametres!$B$9</f>
        <v>4239.44378497541</v>
      </c>
    </row>
    <row r="4263" customFormat="false" ht="15" hidden="false" customHeight="false" outlineLevel="0" collapsed="false">
      <c r="A4263" s="0" t="n">
        <v>4259</v>
      </c>
      <c r="B4263" s="0" t="n">
        <v>6</v>
      </c>
      <c r="C4263" s="19" t="n">
        <v>0.9934</v>
      </c>
      <c r="D4263" s="19" t="n">
        <v>1</v>
      </c>
      <c r="E4263" s="20" t="n">
        <f aca="false">Parametres!$B$5*C4263</f>
        <v>298.02</v>
      </c>
      <c r="F4263" s="20" t="n">
        <f aca="false">Parametres!$B$6*D4263</f>
        <v>200</v>
      </c>
      <c r="G4263" s="20" t="n">
        <f aca="false">E4263+F4263</f>
        <v>498.02</v>
      </c>
      <c r="H4263" s="20" t="n">
        <f aca="false">IF(G4263&lt;Parametres!$B$8*Parametres!$B$7,0,MIN(G4263,Parametres!$B$7))</f>
        <v>250</v>
      </c>
      <c r="I4263" s="20" t="n">
        <f aca="false">G4263-H4263</f>
        <v>248.02</v>
      </c>
      <c r="J4263" s="21" t="n">
        <f aca="false">H4263*1000/Parametres!$B$9</f>
        <v>4239.44378497541</v>
      </c>
    </row>
    <row r="4264" customFormat="false" ht="15" hidden="false" customHeight="false" outlineLevel="0" collapsed="false">
      <c r="A4264" s="0" t="n">
        <v>4260</v>
      </c>
      <c r="B4264" s="0" t="n">
        <v>6</v>
      </c>
      <c r="C4264" s="19" t="n">
        <v>1</v>
      </c>
      <c r="D4264" s="19" t="n">
        <v>1</v>
      </c>
      <c r="E4264" s="20" t="n">
        <f aca="false">Parametres!$B$5*C4264</f>
        <v>300</v>
      </c>
      <c r="F4264" s="20" t="n">
        <f aca="false">Parametres!$B$6*D4264</f>
        <v>200</v>
      </c>
      <c r="G4264" s="20" t="n">
        <f aca="false">E4264+F4264</f>
        <v>500</v>
      </c>
      <c r="H4264" s="20" t="n">
        <f aca="false">IF(G4264&lt;Parametres!$B$8*Parametres!$B$7,0,MIN(G4264,Parametres!$B$7))</f>
        <v>250</v>
      </c>
      <c r="I4264" s="20" t="n">
        <f aca="false">G4264-H4264</f>
        <v>250</v>
      </c>
      <c r="J4264" s="21" t="n">
        <f aca="false">H4264*1000/Parametres!$B$9</f>
        <v>4239.44378497541</v>
      </c>
    </row>
    <row r="4265" customFormat="false" ht="15" hidden="false" customHeight="false" outlineLevel="0" collapsed="false">
      <c r="A4265" s="0" t="n">
        <v>4261</v>
      </c>
      <c r="B4265" s="0" t="n">
        <v>6</v>
      </c>
      <c r="C4265" s="19" t="n">
        <v>1</v>
      </c>
      <c r="D4265" s="19" t="n">
        <v>1</v>
      </c>
      <c r="E4265" s="20" t="n">
        <f aca="false">Parametres!$B$5*C4265</f>
        <v>300</v>
      </c>
      <c r="F4265" s="20" t="n">
        <f aca="false">Parametres!$B$6*D4265</f>
        <v>200</v>
      </c>
      <c r="G4265" s="20" t="n">
        <f aca="false">E4265+F4265</f>
        <v>500</v>
      </c>
      <c r="H4265" s="20" t="n">
        <f aca="false">IF(G4265&lt;Parametres!$B$8*Parametres!$B$7,0,MIN(G4265,Parametres!$B$7))</f>
        <v>250</v>
      </c>
      <c r="I4265" s="20" t="n">
        <f aca="false">G4265-H4265</f>
        <v>250</v>
      </c>
      <c r="J4265" s="21" t="n">
        <f aca="false">H4265*1000/Parametres!$B$9</f>
        <v>4239.44378497541</v>
      </c>
    </row>
    <row r="4266" customFormat="false" ht="15" hidden="false" customHeight="false" outlineLevel="0" collapsed="false">
      <c r="A4266" s="0" t="n">
        <v>4262</v>
      </c>
      <c r="B4266" s="0" t="n">
        <v>6</v>
      </c>
      <c r="C4266" s="19" t="n">
        <v>0.9855</v>
      </c>
      <c r="D4266" s="19" t="n">
        <v>1</v>
      </c>
      <c r="E4266" s="20" t="n">
        <f aca="false">Parametres!$B$5*C4266</f>
        <v>295.65</v>
      </c>
      <c r="F4266" s="20" t="n">
        <f aca="false">Parametres!$B$6*D4266</f>
        <v>200</v>
      </c>
      <c r="G4266" s="20" t="n">
        <f aca="false">E4266+F4266</f>
        <v>495.65</v>
      </c>
      <c r="H4266" s="20" t="n">
        <f aca="false">IF(G4266&lt;Parametres!$B$8*Parametres!$B$7,0,MIN(G4266,Parametres!$B$7))</f>
        <v>250</v>
      </c>
      <c r="I4266" s="20" t="n">
        <f aca="false">G4266-H4266</f>
        <v>245.65</v>
      </c>
      <c r="J4266" s="21" t="n">
        <f aca="false">H4266*1000/Parametres!$B$9</f>
        <v>4239.44378497541</v>
      </c>
    </row>
    <row r="4267" customFormat="false" ht="15" hidden="false" customHeight="false" outlineLevel="0" collapsed="false">
      <c r="A4267" s="0" t="n">
        <v>4263</v>
      </c>
      <c r="B4267" s="0" t="n">
        <v>6</v>
      </c>
      <c r="C4267" s="19" t="n">
        <v>0.8781</v>
      </c>
      <c r="D4267" s="19" t="n">
        <v>1</v>
      </c>
      <c r="E4267" s="20" t="n">
        <f aca="false">Parametres!$B$5*C4267</f>
        <v>263.43</v>
      </c>
      <c r="F4267" s="20" t="n">
        <f aca="false">Parametres!$B$6*D4267</f>
        <v>200</v>
      </c>
      <c r="G4267" s="20" t="n">
        <f aca="false">E4267+F4267</f>
        <v>463.43</v>
      </c>
      <c r="H4267" s="20" t="n">
        <f aca="false">IF(G4267&lt;Parametres!$B$8*Parametres!$B$7,0,MIN(G4267,Parametres!$B$7))</f>
        <v>250</v>
      </c>
      <c r="I4267" s="20" t="n">
        <f aca="false">G4267-H4267</f>
        <v>213.43</v>
      </c>
      <c r="J4267" s="21" t="n">
        <f aca="false">H4267*1000/Parametres!$B$9</f>
        <v>4239.44378497541</v>
      </c>
    </row>
    <row r="4268" customFormat="false" ht="15" hidden="false" customHeight="false" outlineLevel="0" collapsed="false">
      <c r="A4268" s="0" t="n">
        <v>4264</v>
      </c>
      <c r="B4268" s="0" t="n">
        <v>6</v>
      </c>
      <c r="C4268" s="19" t="n">
        <v>0.6615</v>
      </c>
      <c r="D4268" s="19" t="n">
        <v>1</v>
      </c>
      <c r="E4268" s="20" t="n">
        <f aca="false">Parametres!$B$5*C4268</f>
        <v>198.45</v>
      </c>
      <c r="F4268" s="20" t="n">
        <f aca="false">Parametres!$B$6*D4268</f>
        <v>200</v>
      </c>
      <c r="G4268" s="20" t="n">
        <f aca="false">E4268+F4268</f>
        <v>398.45</v>
      </c>
      <c r="H4268" s="20" t="n">
        <f aca="false">IF(G4268&lt;Parametres!$B$8*Parametres!$B$7,0,MIN(G4268,Parametres!$B$7))</f>
        <v>250</v>
      </c>
      <c r="I4268" s="20" t="n">
        <f aca="false">G4268-H4268</f>
        <v>148.45</v>
      </c>
      <c r="J4268" s="21" t="n">
        <f aca="false">H4268*1000/Parametres!$B$9</f>
        <v>4239.44378497541</v>
      </c>
    </row>
    <row r="4269" customFormat="false" ht="15" hidden="false" customHeight="false" outlineLevel="0" collapsed="false">
      <c r="A4269" s="0" t="n">
        <v>4265</v>
      </c>
      <c r="B4269" s="0" t="n">
        <v>6</v>
      </c>
      <c r="C4269" s="19" t="n">
        <v>0.4739</v>
      </c>
      <c r="D4269" s="19" t="n">
        <v>1</v>
      </c>
      <c r="E4269" s="20" t="n">
        <f aca="false">Parametres!$B$5*C4269</f>
        <v>142.17</v>
      </c>
      <c r="F4269" s="20" t="n">
        <f aca="false">Parametres!$B$6*D4269</f>
        <v>200</v>
      </c>
      <c r="G4269" s="20" t="n">
        <f aca="false">E4269+F4269</f>
        <v>342.17</v>
      </c>
      <c r="H4269" s="20" t="n">
        <f aca="false">IF(G4269&lt;Parametres!$B$8*Parametres!$B$7,0,MIN(G4269,Parametres!$B$7))</f>
        <v>250</v>
      </c>
      <c r="I4269" s="20" t="n">
        <f aca="false">G4269-H4269</f>
        <v>92.17</v>
      </c>
      <c r="J4269" s="21" t="n">
        <f aca="false">H4269*1000/Parametres!$B$9</f>
        <v>4239.44378497541</v>
      </c>
    </row>
    <row r="4270" customFormat="false" ht="15" hidden="false" customHeight="false" outlineLevel="0" collapsed="false">
      <c r="A4270" s="0" t="n">
        <v>4266</v>
      </c>
      <c r="B4270" s="0" t="n">
        <v>6</v>
      </c>
      <c r="C4270" s="19" t="n">
        <v>0.2729</v>
      </c>
      <c r="D4270" s="19" t="n">
        <v>1</v>
      </c>
      <c r="E4270" s="20" t="n">
        <f aca="false">Parametres!$B$5*C4270</f>
        <v>81.87</v>
      </c>
      <c r="F4270" s="20" t="n">
        <f aca="false">Parametres!$B$6*D4270</f>
        <v>200</v>
      </c>
      <c r="G4270" s="20" t="n">
        <f aca="false">E4270+F4270</f>
        <v>281.87</v>
      </c>
      <c r="H4270" s="20" t="n">
        <f aca="false">IF(G4270&lt;Parametres!$B$8*Parametres!$B$7,0,MIN(G4270,Parametres!$B$7))</f>
        <v>250</v>
      </c>
      <c r="I4270" s="20" t="n">
        <f aca="false">G4270-H4270</f>
        <v>31.87</v>
      </c>
      <c r="J4270" s="21" t="n">
        <f aca="false">H4270*1000/Parametres!$B$9</f>
        <v>4239.44378497541</v>
      </c>
    </row>
    <row r="4271" customFormat="false" ht="15" hidden="false" customHeight="false" outlineLevel="0" collapsed="false">
      <c r="A4271" s="0" t="n">
        <v>4267</v>
      </c>
      <c r="B4271" s="0" t="n">
        <v>6</v>
      </c>
      <c r="C4271" s="19" t="n">
        <v>0.0582</v>
      </c>
      <c r="D4271" s="19" t="n">
        <v>1</v>
      </c>
      <c r="E4271" s="20" t="n">
        <f aca="false">Parametres!$B$5*C4271</f>
        <v>17.46</v>
      </c>
      <c r="F4271" s="20" t="n">
        <f aca="false">Parametres!$B$6*D4271</f>
        <v>200</v>
      </c>
      <c r="G4271" s="20" t="n">
        <f aca="false">E4271+F4271</f>
        <v>217.46</v>
      </c>
      <c r="H4271" s="20" t="n">
        <f aca="false">IF(G4271&lt;Parametres!$B$8*Parametres!$B$7,0,MIN(G4271,Parametres!$B$7))</f>
        <v>217.46</v>
      </c>
      <c r="I4271" s="20" t="n">
        <f aca="false">G4271-H4271</f>
        <v>0</v>
      </c>
      <c r="J4271" s="21" t="n">
        <f aca="false">H4271*1000/Parametres!$B$9</f>
        <v>3687.63778192301</v>
      </c>
    </row>
    <row r="4272" customFormat="false" ht="15" hidden="false" customHeight="false" outlineLevel="0" collapsed="false">
      <c r="A4272" s="0" t="n">
        <v>4268</v>
      </c>
      <c r="B4272" s="0" t="n">
        <v>6</v>
      </c>
      <c r="C4272" s="19" t="n">
        <v>0</v>
      </c>
      <c r="D4272" s="19" t="n">
        <v>1</v>
      </c>
      <c r="E4272" s="20" t="n">
        <f aca="false">Parametres!$B$5*C4272</f>
        <v>0</v>
      </c>
      <c r="F4272" s="20" t="n">
        <f aca="false">Parametres!$B$6*D4272</f>
        <v>200</v>
      </c>
      <c r="G4272" s="20" t="n">
        <f aca="false">E4272+F4272</f>
        <v>200</v>
      </c>
      <c r="H4272" s="20" t="n">
        <f aca="false">IF(G4272&lt;Parametres!$B$8*Parametres!$B$7,0,MIN(G4272,Parametres!$B$7))</f>
        <v>200</v>
      </c>
      <c r="I4272" s="20" t="n">
        <f aca="false">G4272-H4272</f>
        <v>0</v>
      </c>
      <c r="J4272" s="21" t="n">
        <f aca="false">H4272*1000/Parametres!$B$9</f>
        <v>3391.55502798033</v>
      </c>
    </row>
    <row r="4273" customFormat="false" ht="15" hidden="false" customHeight="false" outlineLevel="0" collapsed="false">
      <c r="A4273" s="0" t="n">
        <v>4269</v>
      </c>
      <c r="B4273" s="0" t="n">
        <v>6</v>
      </c>
      <c r="C4273" s="19" t="n">
        <v>0</v>
      </c>
      <c r="D4273" s="19" t="n">
        <v>1</v>
      </c>
      <c r="E4273" s="20" t="n">
        <f aca="false">Parametres!$B$5*C4273</f>
        <v>0</v>
      </c>
      <c r="F4273" s="20" t="n">
        <f aca="false">Parametres!$B$6*D4273</f>
        <v>200</v>
      </c>
      <c r="G4273" s="20" t="n">
        <f aca="false">E4273+F4273</f>
        <v>200</v>
      </c>
      <c r="H4273" s="20" t="n">
        <f aca="false">IF(G4273&lt;Parametres!$B$8*Parametres!$B$7,0,MIN(G4273,Parametres!$B$7))</f>
        <v>200</v>
      </c>
      <c r="I4273" s="20" t="n">
        <f aca="false">G4273-H4273</f>
        <v>0</v>
      </c>
      <c r="J4273" s="21" t="n">
        <f aca="false">H4273*1000/Parametres!$B$9</f>
        <v>3391.55502798033</v>
      </c>
    </row>
    <row r="4274" customFormat="false" ht="15" hidden="false" customHeight="false" outlineLevel="0" collapsed="false">
      <c r="A4274" s="0" t="n">
        <v>4270</v>
      </c>
      <c r="B4274" s="0" t="n">
        <v>6</v>
      </c>
      <c r="C4274" s="19" t="n">
        <v>0</v>
      </c>
      <c r="D4274" s="19" t="n">
        <v>1</v>
      </c>
      <c r="E4274" s="20" t="n">
        <f aca="false">Parametres!$B$5*C4274</f>
        <v>0</v>
      </c>
      <c r="F4274" s="20" t="n">
        <f aca="false">Parametres!$B$6*D4274</f>
        <v>200</v>
      </c>
      <c r="G4274" s="20" t="n">
        <f aca="false">E4274+F4274</f>
        <v>200</v>
      </c>
      <c r="H4274" s="20" t="n">
        <f aca="false">IF(G4274&lt;Parametres!$B$8*Parametres!$B$7,0,MIN(G4274,Parametres!$B$7))</f>
        <v>200</v>
      </c>
      <c r="I4274" s="20" t="n">
        <f aca="false">G4274-H4274</f>
        <v>0</v>
      </c>
      <c r="J4274" s="21" t="n">
        <f aca="false">H4274*1000/Parametres!$B$9</f>
        <v>3391.55502798033</v>
      </c>
    </row>
    <row r="4275" customFormat="false" ht="15" hidden="false" customHeight="false" outlineLevel="0" collapsed="false">
      <c r="A4275" s="0" t="n">
        <v>4271</v>
      </c>
      <c r="B4275" s="0" t="n">
        <v>6</v>
      </c>
      <c r="C4275" s="19" t="n">
        <v>0</v>
      </c>
      <c r="D4275" s="19" t="n">
        <v>1</v>
      </c>
      <c r="E4275" s="20" t="n">
        <f aca="false">Parametres!$B$5*C4275</f>
        <v>0</v>
      </c>
      <c r="F4275" s="20" t="n">
        <f aca="false">Parametres!$B$6*D4275</f>
        <v>200</v>
      </c>
      <c r="G4275" s="20" t="n">
        <f aca="false">E4275+F4275</f>
        <v>200</v>
      </c>
      <c r="H4275" s="20" t="n">
        <f aca="false">IF(G4275&lt;Parametres!$B$8*Parametres!$B$7,0,MIN(G4275,Parametres!$B$7))</f>
        <v>200</v>
      </c>
      <c r="I4275" s="20" t="n">
        <f aca="false">G4275-H4275</f>
        <v>0</v>
      </c>
      <c r="J4275" s="21" t="n">
        <f aca="false">H4275*1000/Parametres!$B$9</f>
        <v>3391.55502798033</v>
      </c>
    </row>
    <row r="4276" customFormat="false" ht="15" hidden="false" customHeight="false" outlineLevel="0" collapsed="false">
      <c r="A4276" s="0" t="n">
        <v>4272</v>
      </c>
      <c r="B4276" s="0" t="n">
        <v>6</v>
      </c>
      <c r="C4276" s="19" t="n">
        <v>0</v>
      </c>
      <c r="D4276" s="19" t="n">
        <v>1</v>
      </c>
      <c r="E4276" s="20" t="n">
        <f aca="false">Parametres!$B$5*C4276</f>
        <v>0</v>
      </c>
      <c r="F4276" s="20" t="n">
        <f aca="false">Parametres!$B$6*D4276</f>
        <v>200</v>
      </c>
      <c r="G4276" s="20" t="n">
        <f aca="false">E4276+F4276</f>
        <v>200</v>
      </c>
      <c r="H4276" s="20" t="n">
        <f aca="false">IF(G4276&lt;Parametres!$B$8*Parametres!$B$7,0,MIN(G4276,Parametres!$B$7))</f>
        <v>200</v>
      </c>
      <c r="I4276" s="20" t="n">
        <f aca="false">G4276-H4276</f>
        <v>0</v>
      </c>
      <c r="J4276" s="21" t="n">
        <f aca="false">H4276*1000/Parametres!$B$9</f>
        <v>3391.55502798033</v>
      </c>
    </row>
    <row r="4277" customFormat="false" ht="15" hidden="false" customHeight="false" outlineLevel="0" collapsed="false">
      <c r="A4277" s="0" t="n">
        <v>4273</v>
      </c>
      <c r="B4277" s="0" t="n">
        <v>6</v>
      </c>
      <c r="C4277" s="19" t="n">
        <v>0</v>
      </c>
      <c r="D4277" s="19" t="n">
        <v>1</v>
      </c>
      <c r="E4277" s="20" t="n">
        <f aca="false">Parametres!$B$5*C4277</f>
        <v>0</v>
      </c>
      <c r="F4277" s="20" t="n">
        <f aca="false">Parametres!$B$6*D4277</f>
        <v>200</v>
      </c>
      <c r="G4277" s="20" t="n">
        <f aca="false">E4277+F4277</f>
        <v>200</v>
      </c>
      <c r="H4277" s="20" t="n">
        <f aca="false">IF(G4277&lt;Parametres!$B$8*Parametres!$B$7,0,MIN(G4277,Parametres!$B$7))</f>
        <v>200</v>
      </c>
      <c r="I4277" s="20" t="n">
        <f aca="false">G4277-H4277</f>
        <v>0</v>
      </c>
      <c r="J4277" s="21" t="n">
        <f aca="false">H4277*1000/Parametres!$B$9</f>
        <v>3391.55502798033</v>
      </c>
    </row>
    <row r="4278" customFormat="false" ht="15" hidden="false" customHeight="false" outlineLevel="0" collapsed="false">
      <c r="A4278" s="0" t="n">
        <v>4274</v>
      </c>
      <c r="B4278" s="0" t="n">
        <v>6</v>
      </c>
      <c r="C4278" s="19" t="n">
        <v>0</v>
      </c>
      <c r="D4278" s="19" t="n">
        <v>1</v>
      </c>
      <c r="E4278" s="20" t="n">
        <f aca="false">Parametres!$B$5*C4278</f>
        <v>0</v>
      </c>
      <c r="F4278" s="20" t="n">
        <f aca="false">Parametres!$B$6*D4278</f>
        <v>200</v>
      </c>
      <c r="G4278" s="20" t="n">
        <f aca="false">E4278+F4278</f>
        <v>200</v>
      </c>
      <c r="H4278" s="20" t="n">
        <f aca="false">IF(G4278&lt;Parametres!$B$8*Parametres!$B$7,0,MIN(G4278,Parametres!$B$7))</f>
        <v>200</v>
      </c>
      <c r="I4278" s="20" t="n">
        <f aca="false">G4278-H4278</f>
        <v>0</v>
      </c>
      <c r="J4278" s="21" t="n">
        <f aca="false">H4278*1000/Parametres!$B$9</f>
        <v>3391.55502798033</v>
      </c>
    </row>
    <row r="4279" customFormat="false" ht="15" hidden="false" customHeight="false" outlineLevel="0" collapsed="false">
      <c r="A4279" s="0" t="n">
        <v>4275</v>
      </c>
      <c r="B4279" s="0" t="n">
        <v>6</v>
      </c>
      <c r="C4279" s="19" t="n">
        <v>0</v>
      </c>
      <c r="D4279" s="19" t="n">
        <v>1</v>
      </c>
      <c r="E4279" s="20" t="n">
        <f aca="false">Parametres!$B$5*C4279</f>
        <v>0</v>
      </c>
      <c r="F4279" s="20" t="n">
        <f aca="false">Parametres!$B$6*D4279</f>
        <v>200</v>
      </c>
      <c r="G4279" s="20" t="n">
        <f aca="false">E4279+F4279</f>
        <v>200</v>
      </c>
      <c r="H4279" s="20" t="n">
        <f aca="false">IF(G4279&lt;Parametres!$B$8*Parametres!$B$7,0,MIN(G4279,Parametres!$B$7))</f>
        <v>200</v>
      </c>
      <c r="I4279" s="20" t="n">
        <f aca="false">G4279-H4279</f>
        <v>0</v>
      </c>
      <c r="J4279" s="21" t="n">
        <f aca="false">H4279*1000/Parametres!$B$9</f>
        <v>3391.55502798033</v>
      </c>
    </row>
    <row r="4280" customFormat="false" ht="15" hidden="false" customHeight="false" outlineLevel="0" collapsed="false">
      <c r="A4280" s="0" t="n">
        <v>4276</v>
      </c>
      <c r="B4280" s="0" t="n">
        <v>6</v>
      </c>
      <c r="C4280" s="19" t="n">
        <v>0</v>
      </c>
      <c r="D4280" s="19" t="n">
        <v>1</v>
      </c>
      <c r="E4280" s="20" t="n">
        <f aca="false">Parametres!$B$5*C4280</f>
        <v>0</v>
      </c>
      <c r="F4280" s="20" t="n">
        <f aca="false">Parametres!$B$6*D4280</f>
        <v>200</v>
      </c>
      <c r="G4280" s="20" t="n">
        <f aca="false">E4280+F4280</f>
        <v>200</v>
      </c>
      <c r="H4280" s="20" t="n">
        <f aca="false">IF(G4280&lt;Parametres!$B$8*Parametres!$B$7,0,MIN(G4280,Parametres!$B$7))</f>
        <v>200</v>
      </c>
      <c r="I4280" s="20" t="n">
        <f aca="false">G4280-H4280</f>
        <v>0</v>
      </c>
      <c r="J4280" s="21" t="n">
        <f aca="false">H4280*1000/Parametres!$B$9</f>
        <v>3391.55502798033</v>
      </c>
    </row>
    <row r="4281" customFormat="false" ht="15" hidden="false" customHeight="false" outlineLevel="0" collapsed="false">
      <c r="A4281" s="0" t="n">
        <v>4277</v>
      </c>
      <c r="B4281" s="0" t="n">
        <v>6</v>
      </c>
      <c r="C4281" s="19" t="n">
        <v>0</v>
      </c>
      <c r="D4281" s="19" t="n">
        <v>1</v>
      </c>
      <c r="E4281" s="20" t="n">
        <f aca="false">Parametres!$B$5*C4281</f>
        <v>0</v>
      </c>
      <c r="F4281" s="20" t="n">
        <f aca="false">Parametres!$B$6*D4281</f>
        <v>200</v>
      </c>
      <c r="G4281" s="20" t="n">
        <f aca="false">E4281+F4281</f>
        <v>200</v>
      </c>
      <c r="H4281" s="20" t="n">
        <f aca="false">IF(G4281&lt;Parametres!$B$8*Parametres!$B$7,0,MIN(G4281,Parametres!$B$7))</f>
        <v>200</v>
      </c>
      <c r="I4281" s="20" t="n">
        <f aca="false">G4281-H4281</f>
        <v>0</v>
      </c>
      <c r="J4281" s="21" t="n">
        <f aca="false">H4281*1000/Parametres!$B$9</f>
        <v>3391.55502798033</v>
      </c>
    </row>
    <row r="4282" customFormat="false" ht="15" hidden="false" customHeight="false" outlineLevel="0" collapsed="false">
      <c r="A4282" s="0" t="n">
        <v>4278</v>
      </c>
      <c r="B4282" s="0" t="n">
        <v>6</v>
      </c>
      <c r="C4282" s="19" t="n">
        <v>0.0744</v>
      </c>
      <c r="D4282" s="19" t="n">
        <v>0.7602</v>
      </c>
      <c r="E4282" s="20" t="n">
        <f aca="false">Parametres!$B$5*C4282</f>
        <v>22.32</v>
      </c>
      <c r="F4282" s="20" t="n">
        <f aca="false">Parametres!$B$6*D4282</f>
        <v>152.04</v>
      </c>
      <c r="G4282" s="20" t="n">
        <f aca="false">E4282+F4282</f>
        <v>174.36</v>
      </c>
      <c r="H4282" s="20" t="n">
        <f aca="false">IF(G4282&lt;Parametres!$B$8*Parametres!$B$7,0,MIN(G4282,Parametres!$B$7))</f>
        <v>174.36</v>
      </c>
      <c r="I4282" s="20" t="n">
        <f aca="false">G4282-H4282</f>
        <v>0</v>
      </c>
      <c r="J4282" s="21" t="n">
        <f aca="false">H4282*1000/Parametres!$B$9</f>
        <v>2956.75767339325</v>
      </c>
    </row>
    <row r="4283" customFormat="false" ht="15" hidden="false" customHeight="false" outlineLevel="0" collapsed="false">
      <c r="A4283" s="0" t="n">
        <v>4279</v>
      </c>
      <c r="B4283" s="0" t="n">
        <v>6</v>
      </c>
      <c r="C4283" s="19" t="n">
        <v>0.3088</v>
      </c>
      <c r="D4283" s="19" t="n">
        <v>0.7775</v>
      </c>
      <c r="E4283" s="20" t="n">
        <f aca="false">Parametres!$B$5*C4283</f>
        <v>92.64</v>
      </c>
      <c r="F4283" s="20" t="n">
        <f aca="false">Parametres!$B$6*D4283</f>
        <v>155.5</v>
      </c>
      <c r="G4283" s="20" t="n">
        <f aca="false">E4283+F4283</f>
        <v>248.14</v>
      </c>
      <c r="H4283" s="20" t="n">
        <f aca="false">IF(G4283&lt;Parametres!$B$8*Parametres!$B$7,0,MIN(G4283,Parametres!$B$7))</f>
        <v>248.14</v>
      </c>
      <c r="I4283" s="20" t="n">
        <f aca="false">G4283-H4283</f>
        <v>0</v>
      </c>
      <c r="J4283" s="21" t="n">
        <f aca="false">H4283*1000/Parametres!$B$9</f>
        <v>4207.90232321519</v>
      </c>
    </row>
    <row r="4284" customFormat="false" ht="15" hidden="false" customHeight="false" outlineLevel="0" collapsed="false">
      <c r="A4284" s="0" t="n">
        <v>4280</v>
      </c>
      <c r="B4284" s="0" t="n">
        <v>6</v>
      </c>
      <c r="C4284" s="19" t="n">
        <v>0.5876</v>
      </c>
      <c r="D4284" s="19" t="n">
        <v>0.6929</v>
      </c>
      <c r="E4284" s="20" t="n">
        <f aca="false">Parametres!$B$5*C4284</f>
        <v>176.28</v>
      </c>
      <c r="F4284" s="20" t="n">
        <f aca="false">Parametres!$B$6*D4284</f>
        <v>138.58</v>
      </c>
      <c r="G4284" s="20" t="n">
        <f aca="false">E4284+F4284</f>
        <v>314.86</v>
      </c>
      <c r="H4284" s="20" t="n">
        <f aca="false">IF(G4284&lt;Parametres!$B$8*Parametres!$B$7,0,MIN(G4284,Parametres!$B$7))</f>
        <v>250</v>
      </c>
      <c r="I4284" s="20" t="n">
        <f aca="false">G4284-H4284</f>
        <v>64.86</v>
      </c>
      <c r="J4284" s="21" t="n">
        <f aca="false">H4284*1000/Parametres!$B$9</f>
        <v>4239.44378497541</v>
      </c>
    </row>
    <row r="4285" customFormat="false" ht="15" hidden="false" customHeight="false" outlineLevel="0" collapsed="false">
      <c r="A4285" s="0" t="n">
        <v>4281</v>
      </c>
      <c r="B4285" s="0" t="n">
        <v>6</v>
      </c>
      <c r="C4285" s="19" t="n">
        <v>0.9041</v>
      </c>
      <c r="D4285" s="19" t="n">
        <v>0.8825</v>
      </c>
      <c r="E4285" s="20" t="n">
        <f aca="false">Parametres!$B$5*C4285</f>
        <v>271.23</v>
      </c>
      <c r="F4285" s="20" t="n">
        <f aca="false">Parametres!$B$6*D4285</f>
        <v>176.5</v>
      </c>
      <c r="G4285" s="20" t="n">
        <f aca="false">E4285+F4285</f>
        <v>447.73</v>
      </c>
      <c r="H4285" s="20" t="n">
        <f aca="false">IF(G4285&lt;Parametres!$B$8*Parametres!$B$7,0,MIN(G4285,Parametres!$B$7))</f>
        <v>250</v>
      </c>
      <c r="I4285" s="20" t="n">
        <f aca="false">G4285-H4285</f>
        <v>197.73</v>
      </c>
      <c r="J4285" s="21" t="n">
        <f aca="false">H4285*1000/Parametres!$B$9</f>
        <v>4239.44378497541</v>
      </c>
    </row>
    <row r="4286" customFormat="false" ht="15" hidden="false" customHeight="false" outlineLevel="0" collapsed="false">
      <c r="A4286" s="0" t="n">
        <v>4282</v>
      </c>
      <c r="B4286" s="0" t="n">
        <v>6</v>
      </c>
      <c r="C4286" s="19" t="n">
        <v>1</v>
      </c>
      <c r="D4286" s="19" t="n">
        <v>1</v>
      </c>
      <c r="E4286" s="20" t="n">
        <f aca="false">Parametres!$B$5*C4286</f>
        <v>300</v>
      </c>
      <c r="F4286" s="20" t="n">
        <f aca="false">Parametres!$B$6*D4286</f>
        <v>200</v>
      </c>
      <c r="G4286" s="20" t="n">
        <f aca="false">E4286+F4286</f>
        <v>500</v>
      </c>
      <c r="H4286" s="20" t="n">
        <f aca="false">IF(G4286&lt;Parametres!$B$8*Parametres!$B$7,0,MIN(G4286,Parametres!$B$7))</f>
        <v>250</v>
      </c>
      <c r="I4286" s="20" t="n">
        <f aca="false">G4286-H4286</f>
        <v>250</v>
      </c>
      <c r="J4286" s="21" t="n">
        <f aca="false">H4286*1000/Parametres!$B$9</f>
        <v>4239.44378497541</v>
      </c>
    </row>
    <row r="4287" customFormat="false" ht="15" hidden="false" customHeight="false" outlineLevel="0" collapsed="false">
      <c r="A4287" s="0" t="n">
        <v>4283</v>
      </c>
      <c r="B4287" s="0" t="n">
        <v>6</v>
      </c>
      <c r="C4287" s="19" t="n">
        <v>1</v>
      </c>
      <c r="D4287" s="19" t="n">
        <v>0.8567</v>
      </c>
      <c r="E4287" s="20" t="n">
        <f aca="false">Parametres!$B$5*C4287</f>
        <v>300</v>
      </c>
      <c r="F4287" s="20" t="n">
        <f aca="false">Parametres!$B$6*D4287</f>
        <v>171.34</v>
      </c>
      <c r="G4287" s="20" t="n">
        <f aca="false">E4287+F4287</f>
        <v>471.34</v>
      </c>
      <c r="H4287" s="20" t="n">
        <f aca="false">IF(G4287&lt;Parametres!$B$8*Parametres!$B$7,0,MIN(G4287,Parametres!$B$7))</f>
        <v>250</v>
      </c>
      <c r="I4287" s="20" t="n">
        <f aca="false">G4287-H4287</f>
        <v>221.34</v>
      </c>
      <c r="J4287" s="21" t="n">
        <f aca="false">H4287*1000/Parametres!$B$9</f>
        <v>4239.44378497541</v>
      </c>
    </row>
    <row r="4288" customFormat="false" ht="15" hidden="false" customHeight="false" outlineLevel="0" collapsed="false">
      <c r="A4288" s="0" t="n">
        <v>4284</v>
      </c>
      <c r="B4288" s="0" t="n">
        <v>6</v>
      </c>
      <c r="C4288" s="19" t="n">
        <v>1</v>
      </c>
      <c r="D4288" s="19" t="n">
        <v>1</v>
      </c>
      <c r="E4288" s="20" t="n">
        <f aca="false">Parametres!$B$5*C4288</f>
        <v>300</v>
      </c>
      <c r="F4288" s="20" t="n">
        <f aca="false">Parametres!$B$6*D4288</f>
        <v>200</v>
      </c>
      <c r="G4288" s="20" t="n">
        <f aca="false">E4288+F4288</f>
        <v>500</v>
      </c>
      <c r="H4288" s="20" t="n">
        <f aca="false">IF(G4288&lt;Parametres!$B$8*Parametres!$B$7,0,MIN(G4288,Parametres!$B$7))</f>
        <v>250</v>
      </c>
      <c r="I4288" s="20" t="n">
        <f aca="false">G4288-H4288</f>
        <v>250</v>
      </c>
      <c r="J4288" s="21" t="n">
        <f aca="false">H4288*1000/Parametres!$B$9</f>
        <v>4239.44378497541</v>
      </c>
    </row>
    <row r="4289" customFormat="false" ht="15" hidden="false" customHeight="false" outlineLevel="0" collapsed="false">
      <c r="A4289" s="0" t="n">
        <v>4285</v>
      </c>
      <c r="B4289" s="0" t="n">
        <v>6</v>
      </c>
      <c r="C4289" s="19" t="n">
        <v>1</v>
      </c>
      <c r="D4289" s="19" t="n">
        <v>1</v>
      </c>
      <c r="E4289" s="20" t="n">
        <f aca="false">Parametres!$B$5*C4289</f>
        <v>300</v>
      </c>
      <c r="F4289" s="20" t="n">
        <f aca="false">Parametres!$B$6*D4289</f>
        <v>200</v>
      </c>
      <c r="G4289" s="20" t="n">
        <f aca="false">E4289+F4289</f>
        <v>500</v>
      </c>
      <c r="H4289" s="20" t="n">
        <f aca="false">IF(G4289&lt;Parametres!$B$8*Parametres!$B$7,0,MIN(G4289,Parametres!$B$7))</f>
        <v>250</v>
      </c>
      <c r="I4289" s="20" t="n">
        <f aca="false">G4289-H4289</f>
        <v>250</v>
      </c>
      <c r="J4289" s="21" t="n">
        <f aca="false">H4289*1000/Parametres!$B$9</f>
        <v>4239.44378497541</v>
      </c>
    </row>
    <row r="4290" customFormat="false" ht="15" hidden="false" customHeight="false" outlineLevel="0" collapsed="false">
      <c r="A4290" s="0" t="n">
        <v>4286</v>
      </c>
      <c r="B4290" s="0" t="n">
        <v>6</v>
      </c>
      <c r="C4290" s="19" t="n">
        <v>1</v>
      </c>
      <c r="D4290" s="19" t="n">
        <v>1</v>
      </c>
      <c r="E4290" s="20" t="n">
        <f aca="false">Parametres!$B$5*C4290</f>
        <v>300</v>
      </c>
      <c r="F4290" s="20" t="n">
        <f aca="false">Parametres!$B$6*D4290</f>
        <v>200</v>
      </c>
      <c r="G4290" s="20" t="n">
        <f aca="false">E4290+F4290</f>
        <v>500</v>
      </c>
      <c r="H4290" s="20" t="n">
        <f aca="false">IF(G4290&lt;Parametres!$B$8*Parametres!$B$7,0,MIN(G4290,Parametres!$B$7))</f>
        <v>250</v>
      </c>
      <c r="I4290" s="20" t="n">
        <f aca="false">G4290-H4290</f>
        <v>250</v>
      </c>
      <c r="J4290" s="21" t="n">
        <f aca="false">H4290*1000/Parametres!$B$9</f>
        <v>4239.44378497541</v>
      </c>
    </row>
    <row r="4291" customFormat="false" ht="15" hidden="false" customHeight="false" outlineLevel="0" collapsed="false">
      <c r="A4291" s="0" t="n">
        <v>4287</v>
      </c>
      <c r="B4291" s="0" t="n">
        <v>6</v>
      </c>
      <c r="C4291" s="19" t="n">
        <v>1</v>
      </c>
      <c r="D4291" s="19" t="n">
        <v>0.8042</v>
      </c>
      <c r="E4291" s="20" t="n">
        <f aca="false">Parametres!$B$5*C4291</f>
        <v>300</v>
      </c>
      <c r="F4291" s="20" t="n">
        <f aca="false">Parametres!$B$6*D4291</f>
        <v>160.84</v>
      </c>
      <c r="G4291" s="20" t="n">
        <f aca="false">E4291+F4291</f>
        <v>460.84</v>
      </c>
      <c r="H4291" s="20" t="n">
        <f aca="false">IF(G4291&lt;Parametres!$B$8*Parametres!$B$7,0,MIN(G4291,Parametres!$B$7))</f>
        <v>250</v>
      </c>
      <c r="I4291" s="20" t="n">
        <f aca="false">G4291-H4291</f>
        <v>210.84</v>
      </c>
      <c r="J4291" s="21" t="n">
        <f aca="false">H4291*1000/Parametres!$B$9</f>
        <v>4239.44378497541</v>
      </c>
    </row>
    <row r="4292" customFormat="false" ht="15" hidden="false" customHeight="false" outlineLevel="0" collapsed="false">
      <c r="A4292" s="0" t="n">
        <v>4288</v>
      </c>
      <c r="B4292" s="0" t="n">
        <v>6</v>
      </c>
      <c r="C4292" s="19" t="n">
        <v>0.9068</v>
      </c>
      <c r="D4292" s="19" t="n">
        <v>1</v>
      </c>
      <c r="E4292" s="20" t="n">
        <f aca="false">Parametres!$B$5*C4292</f>
        <v>272.04</v>
      </c>
      <c r="F4292" s="20" t="n">
        <f aca="false">Parametres!$B$6*D4292</f>
        <v>200</v>
      </c>
      <c r="G4292" s="20" t="n">
        <f aca="false">E4292+F4292</f>
        <v>472.04</v>
      </c>
      <c r="H4292" s="20" t="n">
        <f aca="false">IF(G4292&lt;Parametres!$B$8*Parametres!$B$7,0,MIN(G4292,Parametres!$B$7))</f>
        <v>250</v>
      </c>
      <c r="I4292" s="20" t="n">
        <f aca="false">G4292-H4292</f>
        <v>222.04</v>
      </c>
      <c r="J4292" s="21" t="n">
        <f aca="false">H4292*1000/Parametres!$B$9</f>
        <v>4239.44378497541</v>
      </c>
    </row>
    <row r="4293" customFormat="false" ht="15" hidden="false" customHeight="false" outlineLevel="0" collapsed="false">
      <c r="A4293" s="0" t="n">
        <v>4289</v>
      </c>
      <c r="B4293" s="0" t="n">
        <v>6</v>
      </c>
      <c r="C4293" s="19" t="n">
        <v>0.5519</v>
      </c>
      <c r="D4293" s="19" t="n">
        <v>1</v>
      </c>
      <c r="E4293" s="20" t="n">
        <f aca="false">Parametres!$B$5*C4293</f>
        <v>165.57</v>
      </c>
      <c r="F4293" s="20" t="n">
        <f aca="false">Parametres!$B$6*D4293</f>
        <v>200</v>
      </c>
      <c r="G4293" s="20" t="n">
        <f aca="false">E4293+F4293</f>
        <v>365.57</v>
      </c>
      <c r="H4293" s="20" t="n">
        <f aca="false">IF(G4293&lt;Parametres!$B$8*Parametres!$B$7,0,MIN(G4293,Parametres!$B$7))</f>
        <v>250</v>
      </c>
      <c r="I4293" s="20" t="n">
        <f aca="false">G4293-H4293</f>
        <v>115.57</v>
      </c>
      <c r="J4293" s="21" t="n">
        <f aca="false">H4293*1000/Parametres!$B$9</f>
        <v>4239.44378497541</v>
      </c>
    </row>
    <row r="4294" customFormat="false" ht="15" hidden="false" customHeight="false" outlineLevel="0" collapsed="false">
      <c r="A4294" s="0" t="n">
        <v>4290</v>
      </c>
      <c r="B4294" s="0" t="n">
        <v>6</v>
      </c>
      <c r="C4294" s="19" t="n">
        <v>0.3365</v>
      </c>
      <c r="D4294" s="19" t="n">
        <v>1</v>
      </c>
      <c r="E4294" s="20" t="n">
        <f aca="false">Parametres!$B$5*C4294</f>
        <v>100.95</v>
      </c>
      <c r="F4294" s="20" t="n">
        <f aca="false">Parametres!$B$6*D4294</f>
        <v>200</v>
      </c>
      <c r="G4294" s="20" t="n">
        <f aca="false">E4294+F4294</f>
        <v>300.95</v>
      </c>
      <c r="H4294" s="20" t="n">
        <f aca="false">IF(G4294&lt;Parametres!$B$8*Parametres!$B$7,0,MIN(G4294,Parametres!$B$7))</f>
        <v>250</v>
      </c>
      <c r="I4294" s="20" t="n">
        <f aca="false">G4294-H4294</f>
        <v>50.95</v>
      </c>
      <c r="J4294" s="21" t="n">
        <f aca="false">H4294*1000/Parametres!$B$9</f>
        <v>4239.44378497541</v>
      </c>
    </row>
    <row r="4295" customFormat="false" ht="15" hidden="false" customHeight="false" outlineLevel="0" collapsed="false">
      <c r="A4295" s="0" t="n">
        <v>4291</v>
      </c>
      <c r="B4295" s="0" t="n">
        <v>6</v>
      </c>
      <c r="C4295" s="19" t="n">
        <v>0.0704</v>
      </c>
      <c r="D4295" s="19" t="n">
        <v>0.611</v>
      </c>
      <c r="E4295" s="20" t="n">
        <f aca="false">Parametres!$B$5*C4295</f>
        <v>21.12</v>
      </c>
      <c r="F4295" s="20" t="n">
        <f aca="false">Parametres!$B$6*D4295</f>
        <v>122.2</v>
      </c>
      <c r="G4295" s="20" t="n">
        <f aca="false">E4295+F4295</f>
        <v>143.32</v>
      </c>
      <c r="H4295" s="20" t="n">
        <f aca="false">IF(G4295&lt;Parametres!$B$8*Parametres!$B$7,0,MIN(G4295,Parametres!$B$7))</f>
        <v>143.32</v>
      </c>
      <c r="I4295" s="20" t="n">
        <f aca="false">G4295-H4295</f>
        <v>0</v>
      </c>
      <c r="J4295" s="21" t="n">
        <f aca="false">H4295*1000/Parametres!$B$9</f>
        <v>2430.3883330507</v>
      </c>
    </row>
    <row r="4296" customFormat="false" ht="15" hidden="false" customHeight="false" outlineLevel="0" collapsed="false">
      <c r="A4296" s="0" t="n">
        <v>4292</v>
      </c>
      <c r="B4296" s="0" t="n">
        <v>6</v>
      </c>
      <c r="C4296" s="19" t="n">
        <v>0</v>
      </c>
      <c r="D4296" s="19" t="n">
        <v>0.738</v>
      </c>
      <c r="E4296" s="20" t="n">
        <f aca="false">Parametres!$B$5*C4296</f>
        <v>0</v>
      </c>
      <c r="F4296" s="20" t="n">
        <f aca="false">Parametres!$B$6*D4296</f>
        <v>147.6</v>
      </c>
      <c r="G4296" s="20" t="n">
        <f aca="false">E4296+F4296</f>
        <v>147.6</v>
      </c>
      <c r="H4296" s="20" t="n">
        <f aca="false">IF(G4296&lt;Parametres!$B$8*Parametres!$B$7,0,MIN(G4296,Parametres!$B$7))</f>
        <v>147.6</v>
      </c>
      <c r="I4296" s="20" t="n">
        <f aca="false">G4296-H4296</f>
        <v>0</v>
      </c>
      <c r="J4296" s="21" t="n">
        <f aca="false">H4296*1000/Parametres!$B$9</f>
        <v>2502.96761064948</v>
      </c>
    </row>
    <row r="4297" customFormat="false" ht="15" hidden="false" customHeight="false" outlineLevel="0" collapsed="false">
      <c r="A4297" s="0" t="n">
        <v>4293</v>
      </c>
      <c r="B4297" s="0" t="n">
        <v>6</v>
      </c>
      <c r="C4297" s="19" t="n">
        <v>0</v>
      </c>
      <c r="D4297" s="19" t="n">
        <v>1</v>
      </c>
      <c r="E4297" s="20" t="n">
        <f aca="false">Parametres!$B$5*C4297</f>
        <v>0</v>
      </c>
      <c r="F4297" s="20" t="n">
        <f aca="false">Parametres!$B$6*D4297</f>
        <v>200</v>
      </c>
      <c r="G4297" s="20" t="n">
        <f aca="false">E4297+F4297</f>
        <v>200</v>
      </c>
      <c r="H4297" s="20" t="n">
        <f aca="false">IF(G4297&lt;Parametres!$B$8*Parametres!$B$7,0,MIN(G4297,Parametres!$B$7))</f>
        <v>200</v>
      </c>
      <c r="I4297" s="20" t="n">
        <f aca="false">G4297-H4297</f>
        <v>0</v>
      </c>
      <c r="J4297" s="21" t="n">
        <f aca="false">H4297*1000/Parametres!$B$9</f>
        <v>3391.55502798033</v>
      </c>
    </row>
    <row r="4298" customFormat="false" ht="15" hidden="false" customHeight="false" outlineLevel="0" collapsed="false">
      <c r="A4298" s="0" t="n">
        <v>4294</v>
      </c>
      <c r="B4298" s="0" t="n">
        <v>6</v>
      </c>
      <c r="C4298" s="19" t="n">
        <v>0</v>
      </c>
      <c r="D4298" s="19" t="n">
        <v>0.7831</v>
      </c>
      <c r="E4298" s="20" t="n">
        <f aca="false">Parametres!$B$5*C4298</f>
        <v>0</v>
      </c>
      <c r="F4298" s="20" t="n">
        <f aca="false">Parametres!$B$6*D4298</f>
        <v>156.62</v>
      </c>
      <c r="G4298" s="20" t="n">
        <f aca="false">E4298+F4298</f>
        <v>156.62</v>
      </c>
      <c r="H4298" s="20" t="n">
        <f aca="false">IF(G4298&lt;Parametres!$B$8*Parametres!$B$7,0,MIN(G4298,Parametres!$B$7))</f>
        <v>156.62</v>
      </c>
      <c r="I4298" s="20" t="n">
        <f aca="false">G4298-H4298</f>
        <v>0</v>
      </c>
      <c r="J4298" s="21" t="n">
        <f aca="false">H4298*1000/Parametres!$B$9</f>
        <v>2655.9267424114</v>
      </c>
    </row>
    <row r="4299" customFormat="false" ht="15" hidden="false" customHeight="false" outlineLevel="0" collapsed="false">
      <c r="A4299" s="0" t="n">
        <v>4295</v>
      </c>
      <c r="B4299" s="0" t="n">
        <v>6</v>
      </c>
      <c r="C4299" s="19" t="n">
        <v>0</v>
      </c>
      <c r="D4299" s="19" t="n">
        <v>0.7906</v>
      </c>
      <c r="E4299" s="20" t="n">
        <f aca="false">Parametres!$B$5*C4299</f>
        <v>0</v>
      </c>
      <c r="F4299" s="20" t="n">
        <f aca="false">Parametres!$B$6*D4299</f>
        <v>158.12</v>
      </c>
      <c r="G4299" s="20" t="n">
        <f aca="false">E4299+F4299</f>
        <v>158.12</v>
      </c>
      <c r="H4299" s="20" t="n">
        <f aca="false">IF(G4299&lt;Parametres!$B$8*Parametres!$B$7,0,MIN(G4299,Parametres!$B$7))</f>
        <v>158.12</v>
      </c>
      <c r="I4299" s="20" t="n">
        <f aca="false">G4299-H4299</f>
        <v>0</v>
      </c>
      <c r="J4299" s="21" t="n">
        <f aca="false">H4299*1000/Parametres!$B$9</f>
        <v>2681.36340512125</v>
      </c>
    </row>
    <row r="4300" customFormat="false" ht="15" hidden="false" customHeight="false" outlineLevel="0" collapsed="false">
      <c r="A4300" s="0" t="n">
        <v>4296</v>
      </c>
      <c r="B4300" s="0" t="n">
        <v>6</v>
      </c>
      <c r="C4300" s="19" t="n">
        <v>0</v>
      </c>
      <c r="D4300" s="19" t="n">
        <v>0.8977</v>
      </c>
      <c r="E4300" s="20" t="n">
        <f aca="false">Parametres!$B$5*C4300</f>
        <v>0</v>
      </c>
      <c r="F4300" s="20" t="n">
        <f aca="false">Parametres!$B$6*D4300</f>
        <v>179.54</v>
      </c>
      <c r="G4300" s="20" t="n">
        <f aca="false">E4300+F4300</f>
        <v>179.54</v>
      </c>
      <c r="H4300" s="20" t="n">
        <f aca="false">IF(G4300&lt;Parametres!$B$8*Parametres!$B$7,0,MIN(G4300,Parametres!$B$7))</f>
        <v>179.54</v>
      </c>
      <c r="I4300" s="20" t="n">
        <f aca="false">G4300-H4300</f>
        <v>0</v>
      </c>
      <c r="J4300" s="21" t="n">
        <f aca="false">H4300*1000/Parametres!$B$9</f>
        <v>3044.59894861794</v>
      </c>
    </row>
    <row r="4301" customFormat="false" ht="15" hidden="false" customHeight="false" outlineLevel="0" collapsed="false">
      <c r="A4301" s="0" t="n">
        <v>4297</v>
      </c>
      <c r="B4301" s="0" t="n">
        <v>6</v>
      </c>
      <c r="C4301" s="19" t="n">
        <v>0</v>
      </c>
      <c r="D4301" s="19" t="n">
        <v>0.7905</v>
      </c>
      <c r="E4301" s="20" t="n">
        <f aca="false">Parametres!$B$5*C4301</f>
        <v>0</v>
      </c>
      <c r="F4301" s="20" t="n">
        <f aca="false">Parametres!$B$6*D4301</f>
        <v>158.1</v>
      </c>
      <c r="G4301" s="20" t="n">
        <f aca="false">E4301+F4301</f>
        <v>158.1</v>
      </c>
      <c r="H4301" s="20" t="n">
        <f aca="false">IF(G4301&lt;Parametres!$B$8*Parametres!$B$7,0,MIN(G4301,Parametres!$B$7))</f>
        <v>158.1</v>
      </c>
      <c r="I4301" s="20" t="n">
        <f aca="false">G4301-H4301</f>
        <v>0</v>
      </c>
      <c r="J4301" s="21" t="n">
        <f aca="false">H4301*1000/Parametres!$B$9</f>
        <v>2681.02424961845</v>
      </c>
    </row>
    <row r="4302" customFormat="false" ht="15" hidden="false" customHeight="false" outlineLevel="0" collapsed="false">
      <c r="A4302" s="0" t="n">
        <v>4298</v>
      </c>
      <c r="B4302" s="0" t="n">
        <v>6</v>
      </c>
      <c r="C4302" s="19" t="n">
        <v>0</v>
      </c>
      <c r="D4302" s="19" t="n">
        <v>0.4809</v>
      </c>
      <c r="E4302" s="20" t="n">
        <f aca="false">Parametres!$B$5*C4302</f>
        <v>0</v>
      </c>
      <c r="F4302" s="20" t="n">
        <f aca="false">Parametres!$B$6*D4302</f>
        <v>96.18</v>
      </c>
      <c r="G4302" s="20" t="n">
        <f aca="false">E4302+F4302</f>
        <v>96.18</v>
      </c>
      <c r="H4302" s="20" t="n">
        <f aca="false">IF(G4302&lt;Parametres!$B$8*Parametres!$B$7,0,MIN(G4302,Parametres!$B$7))</f>
        <v>96.18</v>
      </c>
      <c r="I4302" s="20" t="n">
        <f aca="false">G4302-H4302</f>
        <v>0</v>
      </c>
      <c r="J4302" s="21" t="n">
        <f aca="false">H4302*1000/Parametres!$B$9</f>
        <v>1630.99881295574</v>
      </c>
    </row>
    <row r="4303" customFormat="false" ht="15" hidden="false" customHeight="false" outlineLevel="0" collapsed="false">
      <c r="A4303" s="0" t="n">
        <v>4299</v>
      </c>
      <c r="B4303" s="0" t="n">
        <v>6</v>
      </c>
      <c r="C4303" s="19" t="n">
        <v>0</v>
      </c>
      <c r="D4303" s="19" t="n">
        <v>0.4049</v>
      </c>
      <c r="E4303" s="20" t="n">
        <f aca="false">Parametres!$B$5*C4303</f>
        <v>0</v>
      </c>
      <c r="F4303" s="20" t="n">
        <f aca="false">Parametres!$B$6*D4303</f>
        <v>80.98</v>
      </c>
      <c r="G4303" s="20" t="n">
        <f aca="false">E4303+F4303</f>
        <v>80.98</v>
      </c>
      <c r="H4303" s="20" t="n">
        <f aca="false">IF(G4303&lt;Parametres!$B$8*Parametres!$B$7,0,MIN(G4303,Parametres!$B$7))</f>
        <v>80.98</v>
      </c>
      <c r="I4303" s="20" t="n">
        <f aca="false">G4303-H4303</f>
        <v>0</v>
      </c>
      <c r="J4303" s="21" t="n">
        <f aca="false">H4303*1000/Parametres!$B$9</f>
        <v>1373.24063082924</v>
      </c>
    </row>
    <row r="4304" customFormat="false" ht="15" hidden="false" customHeight="false" outlineLevel="0" collapsed="false">
      <c r="A4304" s="0" t="n">
        <v>4300</v>
      </c>
      <c r="B4304" s="0" t="n">
        <v>6</v>
      </c>
      <c r="C4304" s="19" t="n">
        <v>0</v>
      </c>
      <c r="D4304" s="19" t="n">
        <v>0.2995</v>
      </c>
      <c r="E4304" s="20" t="n">
        <f aca="false">Parametres!$B$5*C4304</f>
        <v>0</v>
      </c>
      <c r="F4304" s="20" t="n">
        <f aca="false">Parametres!$B$6*D4304</f>
        <v>59.9</v>
      </c>
      <c r="G4304" s="20" t="n">
        <f aca="false">E4304+F4304</f>
        <v>59.9</v>
      </c>
      <c r="H4304" s="20" t="n">
        <f aca="false">IF(G4304&lt;Parametres!$B$8*Parametres!$B$7,0,MIN(G4304,Parametres!$B$7))</f>
        <v>59.9</v>
      </c>
      <c r="I4304" s="20" t="n">
        <f aca="false">G4304-H4304</f>
        <v>0</v>
      </c>
      <c r="J4304" s="21" t="n">
        <f aca="false">H4304*1000/Parametres!$B$9</f>
        <v>1015.77073088011</v>
      </c>
    </row>
    <row r="4305" customFormat="false" ht="15" hidden="false" customHeight="false" outlineLevel="0" collapsed="false">
      <c r="A4305" s="0" t="n">
        <v>4301</v>
      </c>
      <c r="B4305" s="0" t="n">
        <v>6</v>
      </c>
      <c r="C4305" s="19" t="n">
        <v>0</v>
      </c>
      <c r="D4305" s="19" t="n">
        <v>0.3536</v>
      </c>
      <c r="E4305" s="20" t="n">
        <f aca="false">Parametres!$B$5*C4305</f>
        <v>0</v>
      </c>
      <c r="F4305" s="20" t="n">
        <f aca="false">Parametres!$B$6*D4305</f>
        <v>70.72</v>
      </c>
      <c r="G4305" s="20" t="n">
        <f aca="false">E4305+F4305</f>
        <v>70.72</v>
      </c>
      <c r="H4305" s="20" t="n">
        <f aca="false">IF(G4305&lt;Parametres!$B$8*Parametres!$B$7,0,MIN(G4305,Parametres!$B$7))</f>
        <v>70.72</v>
      </c>
      <c r="I4305" s="20" t="n">
        <f aca="false">G4305-H4305</f>
        <v>0</v>
      </c>
      <c r="J4305" s="21" t="n">
        <f aca="false">H4305*1000/Parametres!$B$9</f>
        <v>1199.25385789384</v>
      </c>
    </row>
    <row r="4306" customFormat="false" ht="15" hidden="false" customHeight="false" outlineLevel="0" collapsed="false">
      <c r="A4306" s="0" t="n">
        <v>4302</v>
      </c>
      <c r="B4306" s="0" t="n">
        <v>6</v>
      </c>
      <c r="C4306" s="19" t="n">
        <v>0.0784</v>
      </c>
      <c r="D4306" s="19" t="n">
        <v>0.1821</v>
      </c>
      <c r="E4306" s="20" t="n">
        <f aca="false">Parametres!$B$5*C4306</f>
        <v>23.52</v>
      </c>
      <c r="F4306" s="20" t="n">
        <f aca="false">Parametres!$B$6*D4306</f>
        <v>36.42</v>
      </c>
      <c r="G4306" s="20" t="n">
        <f aca="false">E4306+F4306</f>
        <v>59.94</v>
      </c>
      <c r="H4306" s="20" t="n">
        <f aca="false">IF(G4306&lt;Parametres!$B$8*Parametres!$B$7,0,MIN(G4306,Parametres!$B$7))</f>
        <v>59.94</v>
      </c>
      <c r="I4306" s="20" t="n">
        <f aca="false">G4306-H4306</f>
        <v>0</v>
      </c>
      <c r="J4306" s="21" t="n">
        <f aca="false">H4306*1000/Parametres!$B$9</f>
        <v>1016.4490418857</v>
      </c>
    </row>
    <row r="4307" customFormat="false" ht="15" hidden="false" customHeight="false" outlineLevel="0" collapsed="false">
      <c r="A4307" s="0" t="n">
        <v>4303</v>
      </c>
      <c r="B4307" s="0" t="n">
        <v>6</v>
      </c>
      <c r="C4307" s="19" t="n">
        <v>0.3164</v>
      </c>
      <c r="D4307" s="19" t="n">
        <v>0.2386</v>
      </c>
      <c r="E4307" s="20" t="n">
        <f aca="false">Parametres!$B$5*C4307</f>
        <v>94.92</v>
      </c>
      <c r="F4307" s="20" t="n">
        <f aca="false">Parametres!$B$6*D4307</f>
        <v>47.72</v>
      </c>
      <c r="G4307" s="20" t="n">
        <f aca="false">E4307+F4307</f>
        <v>142.64</v>
      </c>
      <c r="H4307" s="20" t="n">
        <f aca="false">IF(G4307&lt;Parametres!$B$8*Parametres!$B$7,0,MIN(G4307,Parametres!$B$7))</f>
        <v>142.64</v>
      </c>
      <c r="I4307" s="20" t="n">
        <f aca="false">G4307-H4307</f>
        <v>0</v>
      </c>
      <c r="J4307" s="21" t="n">
        <f aca="false">H4307*1000/Parametres!$B$9</f>
        <v>2418.85704595557</v>
      </c>
    </row>
    <row r="4308" customFormat="false" ht="15" hidden="false" customHeight="false" outlineLevel="0" collapsed="false">
      <c r="A4308" s="0" t="n">
        <v>4304</v>
      </c>
      <c r="B4308" s="0" t="n">
        <v>6</v>
      </c>
      <c r="C4308" s="19" t="n">
        <v>0.6317</v>
      </c>
      <c r="D4308" s="19" t="n">
        <v>0.2682</v>
      </c>
      <c r="E4308" s="20" t="n">
        <f aca="false">Parametres!$B$5*C4308</f>
        <v>189.51</v>
      </c>
      <c r="F4308" s="20" t="n">
        <f aca="false">Parametres!$B$6*D4308</f>
        <v>53.64</v>
      </c>
      <c r="G4308" s="20" t="n">
        <f aca="false">E4308+F4308</f>
        <v>243.15</v>
      </c>
      <c r="H4308" s="20" t="n">
        <f aca="false">IF(G4308&lt;Parametres!$B$8*Parametres!$B$7,0,MIN(G4308,Parametres!$B$7))</f>
        <v>243.15</v>
      </c>
      <c r="I4308" s="20" t="n">
        <f aca="false">G4308-H4308</f>
        <v>0</v>
      </c>
      <c r="J4308" s="21" t="n">
        <f aca="false">H4308*1000/Parametres!$B$9</f>
        <v>4123.28302526709</v>
      </c>
    </row>
    <row r="4309" customFormat="false" ht="15" hidden="false" customHeight="false" outlineLevel="0" collapsed="false">
      <c r="A4309" s="0" t="n">
        <v>4305</v>
      </c>
      <c r="B4309" s="0" t="n">
        <v>6</v>
      </c>
      <c r="C4309" s="19" t="n">
        <v>0.9153</v>
      </c>
      <c r="D4309" s="19" t="n">
        <v>0.1566</v>
      </c>
      <c r="E4309" s="20" t="n">
        <f aca="false">Parametres!$B$5*C4309</f>
        <v>274.59</v>
      </c>
      <c r="F4309" s="20" t="n">
        <f aca="false">Parametres!$B$6*D4309</f>
        <v>31.32</v>
      </c>
      <c r="G4309" s="20" t="n">
        <f aca="false">E4309+F4309</f>
        <v>305.91</v>
      </c>
      <c r="H4309" s="20" t="n">
        <f aca="false">IF(G4309&lt;Parametres!$B$8*Parametres!$B$7,0,MIN(G4309,Parametres!$B$7))</f>
        <v>250</v>
      </c>
      <c r="I4309" s="20" t="n">
        <f aca="false">G4309-H4309</f>
        <v>55.91</v>
      </c>
      <c r="J4309" s="21" t="n">
        <f aca="false">H4309*1000/Parametres!$B$9</f>
        <v>4239.44378497541</v>
      </c>
    </row>
    <row r="4310" customFormat="false" ht="15" hidden="false" customHeight="false" outlineLevel="0" collapsed="false">
      <c r="A4310" s="0" t="n">
        <v>4306</v>
      </c>
      <c r="B4310" s="0" t="n">
        <v>6</v>
      </c>
      <c r="C4310" s="19" t="n">
        <v>1</v>
      </c>
      <c r="D4310" s="19" t="n">
        <v>0.1125</v>
      </c>
      <c r="E4310" s="20" t="n">
        <f aca="false">Parametres!$B$5*C4310</f>
        <v>300</v>
      </c>
      <c r="F4310" s="20" t="n">
        <f aca="false">Parametres!$B$6*D4310</f>
        <v>22.5</v>
      </c>
      <c r="G4310" s="20" t="n">
        <f aca="false">E4310+F4310</f>
        <v>322.5</v>
      </c>
      <c r="H4310" s="20" t="n">
        <f aca="false">IF(G4310&lt;Parametres!$B$8*Parametres!$B$7,0,MIN(G4310,Parametres!$B$7))</f>
        <v>250</v>
      </c>
      <c r="I4310" s="20" t="n">
        <f aca="false">G4310-H4310</f>
        <v>72.5</v>
      </c>
      <c r="J4310" s="21" t="n">
        <f aca="false">H4310*1000/Parametres!$B$9</f>
        <v>4239.44378497541</v>
      </c>
    </row>
    <row r="4311" customFormat="false" ht="15" hidden="false" customHeight="false" outlineLevel="0" collapsed="false">
      <c r="A4311" s="0" t="n">
        <v>4307</v>
      </c>
      <c r="B4311" s="0" t="n">
        <v>6</v>
      </c>
      <c r="C4311" s="19" t="n">
        <v>1</v>
      </c>
      <c r="D4311" s="19" t="n">
        <v>0.1722</v>
      </c>
      <c r="E4311" s="20" t="n">
        <f aca="false">Parametres!$B$5*C4311</f>
        <v>300</v>
      </c>
      <c r="F4311" s="20" t="n">
        <f aca="false">Parametres!$B$6*D4311</f>
        <v>34.44</v>
      </c>
      <c r="G4311" s="20" t="n">
        <f aca="false">E4311+F4311</f>
        <v>334.44</v>
      </c>
      <c r="H4311" s="20" t="n">
        <f aca="false">IF(G4311&lt;Parametres!$B$8*Parametres!$B$7,0,MIN(G4311,Parametres!$B$7))</f>
        <v>250</v>
      </c>
      <c r="I4311" s="20" t="n">
        <f aca="false">G4311-H4311</f>
        <v>84.44</v>
      </c>
      <c r="J4311" s="21" t="n">
        <f aca="false">H4311*1000/Parametres!$B$9</f>
        <v>4239.44378497541</v>
      </c>
    </row>
    <row r="4312" customFormat="false" ht="15" hidden="false" customHeight="false" outlineLevel="0" collapsed="false">
      <c r="A4312" s="0" t="n">
        <v>4308</v>
      </c>
      <c r="B4312" s="0" t="n">
        <v>6</v>
      </c>
      <c r="C4312" s="19" t="n">
        <v>1</v>
      </c>
      <c r="D4312" s="19" t="n">
        <v>0.3436</v>
      </c>
      <c r="E4312" s="20" t="n">
        <f aca="false">Parametres!$B$5*C4312</f>
        <v>300</v>
      </c>
      <c r="F4312" s="20" t="n">
        <f aca="false">Parametres!$B$6*D4312</f>
        <v>68.72</v>
      </c>
      <c r="G4312" s="20" t="n">
        <f aca="false">E4312+F4312</f>
        <v>368.72</v>
      </c>
      <c r="H4312" s="20" t="n">
        <f aca="false">IF(G4312&lt;Parametres!$B$8*Parametres!$B$7,0,MIN(G4312,Parametres!$B$7))</f>
        <v>250</v>
      </c>
      <c r="I4312" s="20" t="n">
        <f aca="false">G4312-H4312</f>
        <v>118.72</v>
      </c>
      <c r="J4312" s="21" t="n">
        <f aca="false">H4312*1000/Parametres!$B$9</f>
        <v>4239.44378497541</v>
      </c>
    </row>
    <row r="4313" customFormat="false" ht="15" hidden="false" customHeight="false" outlineLevel="0" collapsed="false">
      <c r="A4313" s="0" t="n">
        <v>4309</v>
      </c>
      <c r="B4313" s="0" t="n">
        <v>6</v>
      </c>
      <c r="C4313" s="19" t="n">
        <v>1</v>
      </c>
      <c r="D4313" s="19" t="n">
        <v>0.5331</v>
      </c>
      <c r="E4313" s="20" t="n">
        <f aca="false">Parametres!$B$5*C4313</f>
        <v>300</v>
      </c>
      <c r="F4313" s="20" t="n">
        <f aca="false">Parametres!$B$6*D4313</f>
        <v>106.62</v>
      </c>
      <c r="G4313" s="20" t="n">
        <f aca="false">E4313+F4313</f>
        <v>406.62</v>
      </c>
      <c r="H4313" s="20" t="n">
        <f aca="false">IF(G4313&lt;Parametres!$B$8*Parametres!$B$7,0,MIN(G4313,Parametres!$B$7))</f>
        <v>250</v>
      </c>
      <c r="I4313" s="20" t="n">
        <f aca="false">G4313-H4313</f>
        <v>156.62</v>
      </c>
      <c r="J4313" s="21" t="n">
        <f aca="false">H4313*1000/Parametres!$B$9</f>
        <v>4239.44378497541</v>
      </c>
    </row>
    <row r="4314" customFormat="false" ht="15" hidden="false" customHeight="false" outlineLevel="0" collapsed="false">
      <c r="A4314" s="0" t="n">
        <v>4310</v>
      </c>
      <c r="B4314" s="0" t="n">
        <v>6</v>
      </c>
      <c r="C4314" s="19" t="n">
        <v>1</v>
      </c>
      <c r="D4314" s="19" t="n">
        <v>1</v>
      </c>
      <c r="E4314" s="20" t="n">
        <f aca="false">Parametres!$B$5*C4314</f>
        <v>300</v>
      </c>
      <c r="F4314" s="20" t="n">
        <f aca="false">Parametres!$B$6*D4314</f>
        <v>200</v>
      </c>
      <c r="G4314" s="20" t="n">
        <f aca="false">E4314+F4314</f>
        <v>500</v>
      </c>
      <c r="H4314" s="20" t="n">
        <f aca="false">IF(G4314&lt;Parametres!$B$8*Parametres!$B$7,0,MIN(G4314,Parametres!$B$7))</f>
        <v>250</v>
      </c>
      <c r="I4314" s="20" t="n">
        <f aca="false">G4314-H4314</f>
        <v>250</v>
      </c>
      <c r="J4314" s="21" t="n">
        <f aca="false">H4314*1000/Parametres!$B$9</f>
        <v>4239.44378497541</v>
      </c>
    </row>
    <row r="4315" customFormat="false" ht="15" hidden="false" customHeight="false" outlineLevel="0" collapsed="false">
      <c r="A4315" s="0" t="n">
        <v>4311</v>
      </c>
      <c r="B4315" s="0" t="n">
        <v>6</v>
      </c>
      <c r="C4315" s="19" t="n">
        <v>1</v>
      </c>
      <c r="D4315" s="19" t="n">
        <v>1</v>
      </c>
      <c r="E4315" s="20" t="n">
        <f aca="false">Parametres!$B$5*C4315</f>
        <v>300</v>
      </c>
      <c r="F4315" s="20" t="n">
        <f aca="false">Parametres!$B$6*D4315</f>
        <v>200</v>
      </c>
      <c r="G4315" s="20" t="n">
        <f aca="false">E4315+F4315</f>
        <v>500</v>
      </c>
      <c r="H4315" s="20" t="n">
        <f aca="false">IF(G4315&lt;Parametres!$B$8*Parametres!$B$7,0,MIN(G4315,Parametres!$B$7))</f>
        <v>250</v>
      </c>
      <c r="I4315" s="20" t="n">
        <f aca="false">G4315-H4315</f>
        <v>250</v>
      </c>
      <c r="J4315" s="21" t="n">
        <f aca="false">H4315*1000/Parametres!$B$9</f>
        <v>4239.44378497541</v>
      </c>
    </row>
    <row r="4316" customFormat="false" ht="15" hidden="false" customHeight="false" outlineLevel="0" collapsed="false">
      <c r="A4316" s="0" t="n">
        <v>4312</v>
      </c>
      <c r="B4316" s="0" t="n">
        <v>6</v>
      </c>
      <c r="C4316" s="19" t="n">
        <v>0.9194</v>
      </c>
      <c r="D4316" s="19" t="n">
        <v>1</v>
      </c>
      <c r="E4316" s="20" t="n">
        <f aca="false">Parametres!$B$5*C4316</f>
        <v>275.82</v>
      </c>
      <c r="F4316" s="20" t="n">
        <f aca="false">Parametres!$B$6*D4316</f>
        <v>200</v>
      </c>
      <c r="G4316" s="20" t="n">
        <f aca="false">E4316+F4316</f>
        <v>475.82</v>
      </c>
      <c r="H4316" s="20" t="n">
        <f aca="false">IF(G4316&lt;Parametres!$B$8*Parametres!$B$7,0,MIN(G4316,Parametres!$B$7))</f>
        <v>250</v>
      </c>
      <c r="I4316" s="20" t="n">
        <f aca="false">G4316-H4316</f>
        <v>225.82</v>
      </c>
      <c r="J4316" s="21" t="n">
        <f aca="false">H4316*1000/Parametres!$B$9</f>
        <v>4239.44378497541</v>
      </c>
    </row>
    <row r="4317" customFormat="false" ht="15" hidden="false" customHeight="false" outlineLevel="0" collapsed="false">
      <c r="A4317" s="0" t="n">
        <v>4313</v>
      </c>
      <c r="B4317" s="0" t="n">
        <v>6</v>
      </c>
      <c r="C4317" s="19" t="n">
        <v>0.6039</v>
      </c>
      <c r="D4317" s="19" t="n">
        <v>1</v>
      </c>
      <c r="E4317" s="20" t="n">
        <f aca="false">Parametres!$B$5*C4317</f>
        <v>181.17</v>
      </c>
      <c r="F4317" s="20" t="n">
        <f aca="false">Parametres!$B$6*D4317</f>
        <v>200</v>
      </c>
      <c r="G4317" s="20" t="n">
        <f aca="false">E4317+F4317</f>
        <v>381.17</v>
      </c>
      <c r="H4317" s="20" t="n">
        <f aca="false">IF(G4317&lt;Parametres!$B$8*Parametres!$B$7,0,MIN(G4317,Parametres!$B$7))</f>
        <v>250</v>
      </c>
      <c r="I4317" s="20" t="n">
        <f aca="false">G4317-H4317</f>
        <v>131.17</v>
      </c>
      <c r="J4317" s="21" t="n">
        <f aca="false">H4317*1000/Parametres!$B$9</f>
        <v>4239.44378497541</v>
      </c>
    </row>
    <row r="4318" customFormat="false" ht="15" hidden="false" customHeight="false" outlineLevel="0" collapsed="false">
      <c r="A4318" s="0" t="n">
        <v>4314</v>
      </c>
      <c r="B4318" s="0" t="n">
        <v>6</v>
      </c>
      <c r="C4318" s="19" t="n">
        <v>0.3418</v>
      </c>
      <c r="D4318" s="19" t="n">
        <v>0.9075</v>
      </c>
      <c r="E4318" s="20" t="n">
        <f aca="false">Parametres!$B$5*C4318</f>
        <v>102.54</v>
      </c>
      <c r="F4318" s="20" t="n">
        <f aca="false">Parametres!$B$6*D4318</f>
        <v>181.5</v>
      </c>
      <c r="G4318" s="20" t="n">
        <f aca="false">E4318+F4318</f>
        <v>284.04</v>
      </c>
      <c r="H4318" s="20" t="n">
        <f aca="false">IF(G4318&lt;Parametres!$B$8*Parametres!$B$7,0,MIN(G4318,Parametres!$B$7))</f>
        <v>250</v>
      </c>
      <c r="I4318" s="20" t="n">
        <f aca="false">G4318-H4318</f>
        <v>34.04</v>
      </c>
      <c r="J4318" s="21" t="n">
        <f aca="false">H4318*1000/Parametres!$B$9</f>
        <v>4239.44378497541</v>
      </c>
    </row>
    <row r="4319" customFormat="false" ht="15" hidden="false" customHeight="false" outlineLevel="0" collapsed="false">
      <c r="A4319" s="0" t="n">
        <v>4315</v>
      </c>
      <c r="B4319" s="0" t="n">
        <v>6</v>
      </c>
      <c r="C4319" s="19" t="n">
        <v>0.0738</v>
      </c>
      <c r="D4319" s="19" t="n">
        <v>0.3565</v>
      </c>
      <c r="E4319" s="20" t="n">
        <f aca="false">Parametres!$B$5*C4319</f>
        <v>22.14</v>
      </c>
      <c r="F4319" s="20" t="n">
        <f aca="false">Parametres!$B$6*D4319</f>
        <v>71.3</v>
      </c>
      <c r="G4319" s="20" t="n">
        <f aca="false">E4319+F4319</f>
        <v>93.44</v>
      </c>
      <c r="H4319" s="20" t="n">
        <f aca="false">IF(G4319&lt;Parametres!$B$8*Parametres!$B$7,0,MIN(G4319,Parametres!$B$7))</f>
        <v>93.44</v>
      </c>
      <c r="I4319" s="20" t="n">
        <f aca="false">G4319-H4319</f>
        <v>0</v>
      </c>
      <c r="J4319" s="21" t="n">
        <f aca="false">H4319*1000/Parametres!$B$9</f>
        <v>1584.53450907241</v>
      </c>
    </row>
    <row r="4320" customFormat="false" ht="15" hidden="false" customHeight="false" outlineLevel="0" collapsed="false">
      <c r="A4320" s="0" t="n">
        <v>4316</v>
      </c>
      <c r="B4320" s="0" t="n">
        <v>6</v>
      </c>
      <c r="C4320" s="19" t="n">
        <v>0</v>
      </c>
      <c r="D4320" s="19" t="n">
        <v>0.4978</v>
      </c>
      <c r="E4320" s="20" t="n">
        <f aca="false">Parametres!$B$5*C4320</f>
        <v>0</v>
      </c>
      <c r="F4320" s="20" t="n">
        <f aca="false">Parametres!$B$6*D4320</f>
        <v>99.56</v>
      </c>
      <c r="G4320" s="20" t="n">
        <f aca="false">E4320+F4320</f>
        <v>99.56</v>
      </c>
      <c r="H4320" s="20" t="n">
        <f aca="false">IF(G4320&lt;Parametres!$B$8*Parametres!$B$7,0,MIN(G4320,Parametres!$B$7))</f>
        <v>99.56</v>
      </c>
      <c r="I4320" s="20" t="n">
        <f aca="false">G4320-H4320</f>
        <v>0</v>
      </c>
      <c r="J4320" s="21" t="n">
        <f aca="false">H4320*1000/Parametres!$B$9</f>
        <v>1688.31609292861</v>
      </c>
    </row>
    <row r="4321" customFormat="false" ht="15" hidden="false" customHeight="false" outlineLevel="0" collapsed="false">
      <c r="A4321" s="0" t="n">
        <v>4317</v>
      </c>
      <c r="B4321" s="0" t="n">
        <v>6</v>
      </c>
      <c r="C4321" s="19" t="n">
        <v>0</v>
      </c>
      <c r="D4321" s="19" t="n">
        <v>0.3029</v>
      </c>
      <c r="E4321" s="20" t="n">
        <f aca="false">Parametres!$B$5*C4321</f>
        <v>0</v>
      </c>
      <c r="F4321" s="20" t="n">
        <f aca="false">Parametres!$B$6*D4321</f>
        <v>60.58</v>
      </c>
      <c r="G4321" s="20" t="n">
        <f aca="false">E4321+F4321</f>
        <v>60.58</v>
      </c>
      <c r="H4321" s="20" t="n">
        <f aca="false">IF(G4321&lt;Parametres!$B$8*Parametres!$B$7,0,MIN(G4321,Parametres!$B$7))</f>
        <v>60.58</v>
      </c>
      <c r="I4321" s="20" t="n">
        <f aca="false">G4321-H4321</f>
        <v>0</v>
      </c>
      <c r="J4321" s="21" t="n">
        <f aca="false">H4321*1000/Parametres!$B$9</f>
        <v>1027.30201797524</v>
      </c>
    </row>
    <row r="4322" customFormat="false" ht="15" hidden="false" customHeight="false" outlineLevel="0" collapsed="false">
      <c r="A4322" s="0" t="n">
        <v>4318</v>
      </c>
      <c r="B4322" s="0" t="n">
        <v>6</v>
      </c>
      <c r="C4322" s="19" t="n">
        <v>0</v>
      </c>
      <c r="D4322" s="19" t="n">
        <v>0.1763</v>
      </c>
      <c r="E4322" s="20" t="n">
        <f aca="false">Parametres!$B$5*C4322</f>
        <v>0</v>
      </c>
      <c r="F4322" s="20" t="n">
        <f aca="false">Parametres!$B$6*D4322</f>
        <v>35.26</v>
      </c>
      <c r="G4322" s="20" t="n">
        <f aca="false">E4322+F4322</f>
        <v>35.26</v>
      </c>
      <c r="H4322" s="20" t="n">
        <f aca="false">IF(G4322&lt;Parametres!$B$8*Parametres!$B$7,0,MIN(G4322,Parametres!$B$7))</f>
        <v>35.26</v>
      </c>
      <c r="I4322" s="20" t="n">
        <f aca="false">G4322-H4322</f>
        <v>0</v>
      </c>
      <c r="J4322" s="21" t="n">
        <f aca="false">H4322*1000/Parametres!$B$9</f>
        <v>597.931151432932</v>
      </c>
    </row>
    <row r="4323" customFormat="false" ht="15" hidden="false" customHeight="false" outlineLevel="0" collapsed="false">
      <c r="A4323" s="0" t="n">
        <v>4319</v>
      </c>
      <c r="B4323" s="0" t="n">
        <v>6</v>
      </c>
      <c r="C4323" s="19" t="n">
        <v>0</v>
      </c>
      <c r="D4323" s="19" t="n">
        <v>0.3332</v>
      </c>
      <c r="E4323" s="20" t="n">
        <f aca="false">Parametres!$B$5*C4323</f>
        <v>0</v>
      </c>
      <c r="F4323" s="20" t="n">
        <f aca="false">Parametres!$B$6*D4323</f>
        <v>66.64</v>
      </c>
      <c r="G4323" s="20" t="n">
        <f aca="false">E4323+F4323</f>
        <v>66.64</v>
      </c>
      <c r="H4323" s="20" t="n">
        <f aca="false">IF(G4323&lt;Parametres!$B$8*Parametres!$B$7,0,MIN(G4323,Parametres!$B$7))</f>
        <v>66.64</v>
      </c>
      <c r="I4323" s="20" t="n">
        <f aca="false">G4323-H4323</f>
        <v>0</v>
      </c>
      <c r="J4323" s="21" t="n">
        <f aca="false">H4323*1000/Parametres!$B$9</f>
        <v>1130.06613532305</v>
      </c>
    </row>
    <row r="4324" customFormat="false" ht="15" hidden="false" customHeight="false" outlineLevel="0" collapsed="false">
      <c r="A4324" s="0" t="n">
        <v>4320</v>
      </c>
      <c r="B4324" s="0" t="n">
        <v>6</v>
      </c>
      <c r="C4324" s="19" t="n">
        <v>0</v>
      </c>
      <c r="D4324" s="19" t="n">
        <v>0.22</v>
      </c>
      <c r="E4324" s="20" t="n">
        <f aca="false">Parametres!$B$5*C4324</f>
        <v>0</v>
      </c>
      <c r="F4324" s="20" t="n">
        <f aca="false">Parametres!$B$6*D4324</f>
        <v>44</v>
      </c>
      <c r="G4324" s="20" t="n">
        <f aca="false">E4324+F4324</f>
        <v>44</v>
      </c>
      <c r="H4324" s="20" t="n">
        <f aca="false">IF(G4324&lt;Parametres!$B$8*Parametres!$B$7,0,MIN(G4324,Parametres!$B$7))</f>
        <v>44</v>
      </c>
      <c r="I4324" s="20" t="n">
        <f aca="false">G4324-H4324</f>
        <v>0</v>
      </c>
      <c r="J4324" s="21" t="n">
        <f aca="false">H4324*1000/Parametres!$B$9</f>
        <v>746.142106155672</v>
      </c>
    </row>
    <row r="4325" customFormat="false" ht="15" hidden="false" customHeight="false" outlineLevel="0" collapsed="false">
      <c r="A4325" s="0" t="n">
        <v>4321</v>
      </c>
      <c r="B4325" s="0" t="n">
        <v>6</v>
      </c>
      <c r="C4325" s="19" t="n">
        <v>0</v>
      </c>
      <c r="D4325" s="19" t="n">
        <v>0.1289</v>
      </c>
      <c r="E4325" s="20" t="n">
        <f aca="false">Parametres!$B$5*C4325</f>
        <v>0</v>
      </c>
      <c r="F4325" s="20" t="n">
        <f aca="false">Parametres!$B$6*D4325</f>
        <v>25.78</v>
      </c>
      <c r="G4325" s="20" t="n">
        <f aca="false">E4325+F4325</f>
        <v>25.78</v>
      </c>
      <c r="H4325" s="20" t="n">
        <f aca="false">IF(G4325&lt;Parametres!$B$8*Parametres!$B$7,0,MIN(G4325,Parametres!$B$7))</f>
        <v>25.78</v>
      </c>
      <c r="I4325" s="20" t="n">
        <f aca="false">G4325-H4325</f>
        <v>0</v>
      </c>
      <c r="J4325" s="21" t="n">
        <f aca="false">H4325*1000/Parametres!$B$9</f>
        <v>437.171443106664</v>
      </c>
    </row>
    <row r="4326" customFormat="false" ht="15" hidden="false" customHeight="false" outlineLevel="0" collapsed="false">
      <c r="A4326" s="0" t="n">
        <v>4322</v>
      </c>
      <c r="B4326" s="0" t="n">
        <v>6</v>
      </c>
      <c r="C4326" s="19" t="n">
        <v>0</v>
      </c>
      <c r="D4326" s="19" t="n">
        <v>0.1671</v>
      </c>
      <c r="E4326" s="20" t="n">
        <f aca="false">Parametres!$B$5*C4326</f>
        <v>0</v>
      </c>
      <c r="F4326" s="20" t="n">
        <f aca="false">Parametres!$B$6*D4326</f>
        <v>33.42</v>
      </c>
      <c r="G4326" s="20" t="n">
        <f aca="false">E4326+F4326</f>
        <v>33.42</v>
      </c>
      <c r="H4326" s="20" t="n">
        <f aca="false">IF(G4326&lt;Parametres!$B$8*Parametres!$B$7,0,MIN(G4326,Parametres!$B$7))</f>
        <v>33.42</v>
      </c>
      <c r="I4326" s="20" t="n">
        <f aca="false">G4326-H4326</f>
        <v>0</v>
      </c>
      <c r="J4326" s="21" t="n">
        <f aca="false">H4326*1000/Parametres!$B$9</f>
        <v>566.728845175513</v>
      </c>
    </row>
    <row r="4327" customFormat="false" ht="15" hidden="false" customHeight="false" outlineLevel="0" collapsed="false">
      <c r="A4327" s="0" t="n">
        <v>4323</v>
      </c>
      <c r="B4327" s="0" t="n">
        <v>6</v>
      </c>
      <c r="C4327" s="19" t="n">
        <v>0</v>
      </c>
      <c r="D4327" s="19" t="n">
        <v>0.3173</v>
      </c>
      <c r="E4327" s="20" t="n">
        <f aca="false">Parametres!$B$5*C4327</f>
        <v>0</v>
      </c>
      <c r="F4327" s="20" t="n">
        <f aca="false">Parametres!$B$6*D4327</f>
        <v>63.46</v>
      </c>
      <c r="G4327" s="20" t="n">
        <f aca="false">E4327+F4327</f>
        <v>63.46</v>
      </c>
      <c r="H4327" s="20" t="n">
        <f aca="false">IF(G4327&lt;Parametres!$B$8*Parametres!$B$7,0,MIN(G4327,Parametres!$B$7))</f>
        <v>63.46</v>
      </c>
      <c r="I4327" s="20" t="n">
        <f aca="false">G4327-H4327</f>
        <v>0</v>
      </c>
      <c r="J4327" s="21" t="n">
        <f aca="false">H4327*1000/Parametres!$B$9</f>
        <v>1076.14041037816</v>
      </c>
    </row>
    <row r="4328" customFormat="false" ht="15" hidden="false" customHeight="false" outlineLevel="0" collapsed="false">
      <c r="A4328" s="0" t="n">
        <v>4324</v>
      </c>
      <c r="B4328" s="0" t="n">
        <v>6</v>
      </c>
      <c r="C4328" s="19" t="n">
        <v>0</v>
      </c>
      <c r="D4328" s="19" t="n">
        <v>0.1362</v>
      </c>
      <c r="E4328" s="20" t="n">
        <f aca="false">Parametres!$B$5*C4328</f>
        <v>0</v>
      </c>
      <c r="F4328" s="20" t="n">
        <f aca="false">Parametres!$B$6*D4328</f>
        <v>27.24</v>
      </c>
      <c r="G4328" s="20" t="n">
        <f aca="false">E4328+F4328</f>
        <v>27.24</v>
      </c>
      <c r="H4328" s="20" t="n">
        <f aca="false">IF(G4328&lt;Parametres!$B$8*Parametres!$B$7,0,MIN(G4328,Parametres!$B$7))</f>
        <v>27.24</v>
      </c>
      <c r="I4328" s="20" t="n">
        <f aca="false">G4328-H4328</f>
        <v>0</v>
      </c>
      <c r="J4328" s="21" t="n">
        <f aca="false">H4328*1000/Parametres!$B$9</f>
        <v>461.929794810921</v>
      </c>
    </row>
    <row r="4329" customFormat="false" ht="15" hidden="false" customHeight="false" outlineLevel="0" collapsed="false">
      <c r="A4329" s="0" t="n">
        <v>4325</v>
      </c>
      <c r="B4329" s="0" t="n">
        <v>6</v>
      </c>
      <c r="C4329" s="19" t="n">
        <v>0</v>
      </c>
      <c r="D4329" s="19" t="n">
        <v>0.0774</v>
      </c>
      <c r="E4329" s="20" t="n">
        <f aca="false">Parametres!$B$5*C4329</f>
        <v>0</v>
      </c>
      <c r="F4329" s="20" t="n">
        <f aca="false">Parametres!$B$6*D4329</f>
        <v>15.48</v>
      </c>
      <c r="G4329" s="20" t="n">
        <f aca="false">E4329+F4329</f>
        <v>15.48</v>
      </c>
      <c r="H4329" s="20" t="n">
        <f aca="false">IF(G4329&lt;Parametres!$B$8*Parametres!$B$7,0,MIN(G4329,Parametres!$B$7))</f>
        <v>0</v>
      </c>
      <c r="I4329" s="20" t="n">
        <f aca="false">G4329-H4329</f>
        <v>15.48</v>
      </c>
      <c r="J4329" s="21" t="n">
        <f aca="false">H4329*1000/Parametres!$B$9</f>
        <v>0</v>
      </c>
    </row>
    <row r="4330" customFormat="false" ht="15" hidden="false" customHeight="false" outlineLevel="0" collapsed="false">
      <c r="A4330" s="0" t="n">
        <v>4326</v>
      </c>
      <c r="B4330" s="0" t="n">
        <v>6</v>
      </c>
      <c r="C4330" s="19" t="n">
        <v>0.0714</v>
      </c>
      <c r="D4330" s="19" t="n">
        <v>0.0564</v>
      </c>
      <c r="E4330" s="20" t="n">
        <f aca="false">Parametres!$B$5*C4330</f>
        <v>21.42</v>
      </c>
      <c r="F4330" s="20" t="n">
        <f aca="false">Parametres!$B$6*D4330</f>
        <v>11.28</v>
      </c>
      <c r="G4330" s="20" t="n">
        <f aca="false">E4330+F4330</f>
        <v>32.7</v>
      </c>
      <c r="H4330" s="20" t="n">
        <f aca="false">IF(G4330&lt;Parametres!$B$8*Parametres!$B$7,0,MIN(G4330,Parametres!$B$7))</f>
        <v>32.7</v>
      </c>
      <c r="I4330" s="20" t="n">
        <f aca="false">G4330-H4330</f>
        <v>0</v>
      </c>
      <c r="J4330" s="21" t="n">
        <f aca="false">H4330*1000/Parametres!$B$9</f>
        <v>554.519247074784</v>
      </c>
    </row>
    <row r="4331" customFormat="false" ht="15" hidden="false" customHeight="false" outlineLevel="0" collapsed="false">
      <c r="A4331" s="0" t="n">
        <v>4327</v>
      </c>
      <c r="B4331" s="0" t="n">
        <v>6</v>
      </c>
      <c r="C4331" s="19" t="n">
        <v>0.3141</v>
      </c>
      <c r="D4331" s="19" t="n">
        <v>0.0936</v>
      </c>
      <c r="E4331" s="20" t="n">
        <f aca="false">Parametres!$B$5*C4331</f>
        <v>94.23</v>
      </c>
      <c r="F4331" s="20" t="n">
        <f aca="false">Parametres!$B$6*D4331</f>
        <v>18.72</v>
      </c>
      <c r="G4331" s="20" t="n">
        <f aca="false">E4331+F4331</f>
        <v>112.95</v>
      </c>
      <c r="H4331" s="20" t="n">
        <f aca="false">IF(G4331&lt;Parametres!$B$8*Parametres!$B$7,0,MIN(G4331,Parametres!$B$7))</f>
        <v>112.95</v>
      </c>
      <c r="I4331" s="20" t="n">
        <f aca="false">G4331-H4331</f>
        <v>0</v>
      </c>
      <c r="J4331" s="21" t="n">
        <f aca="false">H4331*1000/Parametres!$B$9</f>
        <v>1915.38070205189</v>
      </c>
    </row>
    <row r="4332" customFormat="false" ht="15" hidden="false" customHeight="false" outlineLevel="0" collapsed="false">
      <c r="A4332" s="0" t="n">
        <v>4328</v>
      </c>
      <c r="B4332" s="0" t="n">
        <v>6</v>
      </c>
      <c r="C4332" s="19" t="n">
        <v>0.5867</v>
      </c>
      <c r="D4332" s="19" t="n">
        <v>0.1182</v>
      </c>
      <c r="E4332" s="20" t="n">
        <f aca="false">Parametres!$B$5*C4332</f>
        <v>176.01</v>
      </c>
      <c r="F4332" s="20" t="n">
        <f aca="false">Parametres!$B$6*D4332</f>
        <v>23.64</v>
      </c>
      <c r="G4332" s="20" t="n">
        <f aca="false">E4332+F4332</f>
        <v>199.65</v>
      </c>
      <c r="H4332" s="20" t="n">
        <f aca="false">IF(G4332&lt;Parametres!$B$8*Parametres!$B$7,0,MIN(G4332,Parametres!$B$7))</f>
        <v>199.65</v>
      </c>
      <c r="I4332" s="20" t="n">
        <f aca="false">G4332-H4332</f>
        <v>0</v>
      </c>
      <c r="J4332" s="21" t="n">
        <f aca="false">H4332*1000/Parametres!$B$9</f>
        <v>3385.61980668136</v>
      </c>
    </row>
    <row r="4333" customFormat="false" ht="15" hidden="false" customHeight="false" outlineLevel="0" collapsed="false">
      <c r="A4333" s="0" t="n">
        <v>4329</v>
      </c>
      <c r="B4333" s="0" t="n">
        <v>6</v>
      </c>
      <c r="C4333" s="19" t="n">
        <v>0.8987</v>
      </c>
      <c r="D4333" s="19" t="n">
        <v>0.2243</v>
      </c>
      <c r="E4333" s="20" t="n">
        <f aca="false">Parametres!$B$5*C4333</f>
        <v>269.61</v>
      </c>
      <c r="F4333" s="20" t="n">
        <f aca="false">Parametres!$B$6*D4333</f>
        <v>44.86</v>
      </c>
      <c r="G4333" s="20" t="n">
        <f aca="false">E4333+F4333</f>
        <v>314.47</v>
      </c>
      <c r="H4333" s="20" t="n">
        <f aca="false">IF(G4333&lt;Parametres!$B$8*Parametres!$B$7,0,MIN(G4333,Parametres!$B$7))</f>
        <v>250</v>
      </c>
      <c r="I4333" s="20" t="n">
        <f aca="false">G4333-H4333</f>
        <v>64.47</v>
      </c>
      <c r="J4333" s="21" t="n">
        <f aca="false">H4333*1000/Parametres!$B$9</f>
        <v>4239.44378497541</v>
      </c>
    </row>
    <row r="4334" customFormat="false" ht="15" hidden="false" customHeight="false" outlineLevel="0" collapsed="false">
      <c r="A4334" s="0" t="n">
        <v>4330</v>
      </c>
      <c r="B4334" s="0" t="n">
        <v>6</v>
      </c>
      <c r="C4334" s="19" t="n">
        <v>1</v>
      </c>
      <c r="D4334" s="19" t="n">
        <v>0.1331</v>
      </c>
      <c r="E4334" s="20" t="n">
        <f aca="false">Parametres!$B$5*C4334</f>
        <v>300</v>
      </c>
      <c r="F4334" s="20" t="n">
        <f aca="false">Parametres!$B$6*D4334</f>
        <v>26.62</v>
      </c>
      <c r="G4334" s="20" t="n">
        <f aca="false">E4334+F4334</f>
        <v>326.62</v>
      </c>
      <c r="H4334" s="20" t="n">
        <f aca="false">IF(G4334&lt;Parametres!$B$8*Parametres!$B$7,0,MIN(G4334,Parametres!$B$7))</f>
        <v>250</v>
      </c>
      <c r="I4334" s="20" t="n">
        <f aca="false">G4334-H4334</f>
        <v>76.62</v>
      </c>
      <c r="J4334" s="21" t="n">
        <f aca="false">H4334*1000/Parametres!$B$9</f>
        <v>4239.44378497541</v>
      </c>
    </row>
    <row r="4335" customFormat="false" ht="15" hidden="false" customHeight="false" outlineLevel="0" collapsed="false">
      <c r="A4335" s="0" t="n">
        <v>4331</v>
      </c>
      <c r="B4335" s="0" t="n">
        <v>6</v>
      </c>
      <c r="C4335" s="19" t="n">
        <v>1</v>
      </c>
      <c r="D4335" s="19" t="n">
        <v>0.1472</v>
      </c>
      <c r="E4335" s="20" t="n">
        <f aca="false">Parametres!$B$5*C4335</f>
        <v>300</v>
      </c>
      <c r="F4335" s="20" t="n">
        <f aca="false">Parametres!$B$6*D4335</f>
        <v>29.44</v>
      </c>
      <c r="G4335" s="20" t="n">
        <f aca="false">E4335+F4335</f>
        <v>329.44</v>
      </c>
      <c r="H4335" s="20" t="n">
        <f aca="false">IF(G4335&lt;Parametres!$B$8*Parametres!$B$7,0,MIN(G4335,Parametres!$B$7))</f>
        <v>250</v>
      </c>
      <c r="I4335" s="20" t="n">
        <f aca="false">G4335-H4335</f>
        <v>79.44</v>
      </c>
      <c r="J4335" s="21" t="n">
        <f aca="false">H4335*1000/Parametres!$B$9</f>
        <v>4239.44378497541</v>
      </c>
    </row>
    <row r="4336" customFormat="false" ht="15" hidden="false" customHeight="false" outlineLevel="0" collapsed="false">
      <c r="A4336" s="0" t="n">
        <v>4332</v>
      </c>
      <c r="B4336" s="0" t="n">
        <v>6</v>
      </c>
      <c r="C4336" s="19" t="n">
        <v>1</v>
      </c>
      <c r="D4336" s="19" t="n">
        <v>0.3248</v>
      </c>
      <c r="E4336" s="20" t="n">
        <f aca="false">Parametres!$B$5*C4336</f>
        <v>300</v>
      </c>
      <c r="F4336" s="20" t="n">
        <f aca="false">Parametres!$B$6*D4336</f>
        <v>64.96</v>
      </c>
      <c r="G4336" s="20" t="n">
        <f aca="false">E4336+F4336</f>
        <v>364.96</v>
      </c>
      <c r="H4336" s="20" t="n">
        <f aca="false">IF(G4336&lt;Parametres!$B$8*Parametres!$B$7,0,MIN(G4336,Parametres!$B$7))</f>
        <v>250</v>
      </c>
      <c r="I4336" s="20" t="n">
        <f aca="false">G4336-H4336</f>
        <v>114.96</v>
      </c>
      <c r="J4336" s="21" t="n">
        <f aca="false">H4336*1000/Parametres!$B$9</f>
        <v>4239.44378497541</v>
      </c>
    </row>
    <row r="4337" customFormat="false" ht="15" hidden="false" customHeight="false" outlineLevel="0" collapsed="false">
      <c r="A4337" s="0" t="n">
        <v>4333</v>
      </c>
      <c r="B4337" s="0" t="n">
        <v>6</v>
      </c>
      <c r="C4337" s="19" t="n">
        <v>1</v>
      </c>
      <c r="D4337" s="19" t="n">
        <v>0.1622</v>
      </c>
      <c r="E4337" s="20" t="n">
        <f aca="false">Parametres!$B$5*C4337</f>
        <v>300</v>
      </c>
      <c r="F4337" s="20" t="n">
        <f aca="false">Parametres!$B$6*D4337</f>
        <v>32.44</v>
      </c>
      <c r="G4337" s="20" t="n">
        <f aca="false">E4337+F4337</f>
        <v>332.44</v>
      </c>
      <c r="H4337" s="20" t="n">
        <f aca="false">IF(G4337&lt;Parametres!$B$8*Parametres!$B$7,0,MIN(G4337,Parametres!$B$7))</f>
        <v>250</v>
      </c>
      <c r="I4337" s="20" t="n">
        <f aca="false">G4337-H4337</f>
        <v>82.44</v>
      </c>
      <c r="J4337" s="21" t="n">
        <f aca="false">H4337*1000/Parametres!$B$9</f>
        <v>4239.44378497541</v>
      </c>
    </row>
    <row r="4338" customFormat="false" ht="15" hidden="false" customHeight="false" outlineLevel="0" collapsed="false">
      <c r="A4338" s="0" t="n">
        <v>4334</v>
      </c>
      <c r="B4338" s="0" t="n">
        <v>6</v>
      </c>
      <c r="C4338" s="19" t="n">
        <v>1</v>
      </c>
      <c r="D4338" s="19" t="n">
        <v>0.2976</v>
      </c>
      <c r="E4338" s="20" t="n">
        <f aca="false">Parametres!$B$5*C4338</f>
        <v>300</v>
      </c>
      <c r="F4338" s="20" t="n">
        <f aca="false">Parametres!$B$6*D4338</f>
        <v>59.52</v>
      </c>
      <c r="G4338" s="20" t="n">
        <f aca="false">E4338+F4338</f>
        <v>359.52</v>
      </c>
      <c r="H4338" s="20" t="n">
        <f aca="false">IF(G4338&lt;Parametres!$B$8*Parametres!$B$7,0,MIN(G4338,Parametres!$B$7))</f>
        <v>250</v>
      </c>
      <c r="I4338" s="20" t="n">
        <f aca="false">G4338-H4338</f>
        <v>109.52</v>
      </c>
      <c r="J4338" s="21" t="n">
        <f aca="false">H4338*1000/Parametres!$B$9</f>
        <v>4239.44378497541</v>
      </c>
    </row>
    <row r="4339" customFormat="false" ht="15" hidden="false" customHeight="false" outlineLevel="0" collapsed="false">
      <c r="A4339" s="0" t="n">
        <v>4335</v>
      </c>
      <c r="B4339" s="0" t="n">
        <v>6</v>
      </c>
      <c r="C4339" s="19" t="n">
        <v>1</v>
      </c>
      <c r="D4339" s="19" t="n">
        <v>0.2217</v>
      </c>
      <c r="E4339" s="20" t="n">
        <f aca="false">Parametres!$B$5*C4339</f>
        <v>300</v>
      </c>
      <c r="F4339" s="20" t="n">
        <f aca="false">Parametres!$B$6*D4339</f>
        <v>44.34</v>
      </c>
      <c r="G4339" s="20" t="n">
        <f aca="false">E4339+F4339</f>
        <v>344.34</v>
      </c>
      <c r="H4339" s="20" t="n">
        <f aca="false">IF(G4339&lt;Parametres!$B$8*Parametres!$B$7,0,MIN(G4339,Parametres!$B$7))</f>
        <v>250</v>
      </c>
      <c r="I4339" s="20" t="n">
        <f aca="false">G4339-H4339</f>
        <v>94.34</v>
      </c>
      <c r="J4339" s="21" t="n">
        <f aca="false">H4339*1000/Parametres!$B$9</f>
        <v>4239.44378497541</v>
      </c>
    </row>
    <row r="4340" customFormat="false" ht="15" hidden="false" customHeight="false" outlineLevel="0" collapsed="false">
      <c r="A4340" s="0" t="n">
        <v>4336</v>
      </c>
      <c r="B4340" s="0" t="n">
        <v>6</v>
      </c>
      <c r="C4340" s="19" t="n">
        <v>0.9445</v>
      </c>
      <c r="D4340" s="19" t="n">
        <v>0.2656</v>
      </c>
      <c r="E4340" s="20" t="n">
        <f aca="false">Parametres!$B$5*C4340</f>
        <v>283.35</v>
      </c>
      <c r="F4340" s="20" t="n">
        <f aca="false">Parametres!$B$6*D4340</f>
        <v>53.12</v>
      </c>
      <c r="G4340" s="20" t="n">
        <f aca="false">E4340+F4340</f>
        <v>336.47</v>
      </c>
      <c r="H4340" s="20" t="n">
        <f aca="false">IF(G4340&lt;Parametres!$B$8*Parametres!$B$7,0,MIN(G4340,Parametres!$B$7))</f>
        <v>250</v>
      </c>
      <c r="I4340" s="20" t="n">
        <f aca="false">G4340-H4340</f>
        <v>86.47</v>
      </c>
      <c r="J4340" s="21" t="n">
        <f aca="false">H4340*1000/Parametres!$B$9</f>
        <v>4239.44378497541</v>
      </c>
    </row>
    <row r="4341" customFormat="false" ht="15" hidden="false" customHeight="false" outlineLevel="0" collapsed="false">
      <c r="A4341" s="0" t="n">
        <v>4337</v>
      </c>
      <c r="B4341" s="0" t="n">
        <v>6</v>
      </c>
      <c r="C4341" s="19" t="n">
        <v>0.6066</v>
      </c>
      <c r="D4341" s="19" t="n">
        <v>0.1637</v>
      </c>
      <c r="E4341" s="20" t="n">
        <f aca="false">Parametres!$B$5*C4341</f>
        <v>181.98</v>
      </c>
      <c r="F4341" s="20" t="n">
        <f aca="false">Parametres!$B$6*D4341</f>
        <v>32.74</v>
      </c>
      <c r="G4341" s="20" t="n">
        <f aca="false">E4341+F4341</f>
        <v>214.72</v>
      </c>
      <c r="H4341" s="20" t="n">
        <f aca="false">IF(G4341&lt;Parametres!$B$8*Parametres!$B$7,0,MIN(G4341,Parametres!$B$7))</f>
        <v>214.72</v>
      </c>
      <c r="I4341" s="20" t="n">
        <f aca="false">G4341-H4341</f>
        <v>0</v>
      </c>
      <c r="J4341" s="21" t="n">
        <f aca="false">H4341*1000/Parametres!$B$9</f>
        <v>3641.17347803968</v>
      </c>
    </row>
    <row r="4342" customFormat="false" ht="15" hidden="false" customHeight="false" outlineLevel="0" collapsed="false">
      <c r="A4342" s="0" t="n">
        <v>4338</v>
      </c>
      <c r="B4342" s="0" t="n">
        <v>6</v>
      </c>
      <c r="C4342" s="19" t="n">
        <v>0.3031</v>
      </c>
      <c r="D4342" s="19" t="n">
        <v>0.2208</v>
      </c>
      <c r="E4342" s="20" t="n">
        <f aca="false">Parametres!$B$5*C4342</f>
        <v>90.93</v>
      </c>
      <c r="F4342" s="20" t="n">
        <f aca="false">Parametres!$B$6*D4342</f>
        <v>44.16</v>
      </c>
      <c r="G4342" s="20" t="n">
        <f aca="false">E4342+F4342</f>
        <v>135.09</v>
      </c>
      <c r="H4342" s="20" t="n">
        <f aca="false">IF(G4342&lt;Parametres!$B$8*Parametres!$B$7,0,MIN(G4342,Parametres!$B$7))</f>
        <v>135.09</v>
      </c>
      <c r="I4342" s="20" t="n">
        <f aca="false">G4342-H4342</f>
        <v>0</v>
      </c>
      <c r="J4342" s="21" t="n">
        <f aca="false">H4342*1000/Parametres!$B$9</f>
        <v>2290.82584364931</v>
      </c>
    </row>
    <row r="4343" customFormat="false" ht="15" hidden="false" customHeight="false" outlineLevel="0" collapsed="false">
      <c r="A4343" s="0" t="n">
        <v>4339</v>
      </c>
      <c r="B4343" s="0" t="n">
        <v>6</v>
      </c>
      <c r="C4343" s="19" t="n">
        <v>0.0771</v>
      </c>
      <c r="D4343" s="19" t="n">
        <v>0.3</v>
      </c>
      <c r="E4343" s="20" t="n">
        <f aca="false">Parametres!$B$5*C4343</f>
        <v>23.13</v>
      </c>
      <c r="F4343" s="20" t="n">
        <f aca="false">Parametres!$B$6*D4343</f>
        <v>60</v>
      </c>
      <c r="G4343" s="20" t="n">
        <f aca="false">E4343+F4343</f>
        <v>83.13</v>
      </c>
      <c r="H4343" s="20" t="n">
        <f aca="false">IF(G4343&lt;Parametres!$B$8*Parametres!$B$7,0,MIN(G4343,Parametres!$B$7))</f>
        <v>83.13</v>
      </c>
      <c r="I4343" s="20" t="n">
        <f aca="false">G4343-H4343</f>
        <v>0</v>
      </c>
      <c r="J4343" s="21" t="n">
        <f aca="false">H4343*1000/Parametres!$B$9</f>
        <v>1409.69984738002</v>
      </c>
    </row>
    <row r="4344" customFormat="false" ht="15" hidden="false" customHeight="false" outlineLevel="0" collapsed="false">
      <c r="A4344" s="0" t="n">
        <v>4340</v>
      </c>
      <c r="B4344" s="0" t="n">
        <v>6</v>
      </c>
      <c r="C4344" s="19" t="n">
        <v>0</v>
      </c>
      <c r="D4344" s="19" t="n">
        <v>0.2591</v>
      </c>
      <c r="E4344" s="20" t="n">
        <f aca="false">Parametres!$B$5*C4344</f>
        <v>0</v>
      </c>
      <c r="F4344" s="20" t="n">
        <f aca="false">Parametres!$B$6*D4344</f>
        <v>51.82</v>
      </c>
      <c r="G4344" s="20" t="n">
        <f aca="false">E4344+F4344</f>
        <v>51.82</v>
      </c>
      <c r="H4344" s="20" t="n">
        <f aca="false">IF(G4344&lt;Parametres!$B$8*Parametres!$B$7,0,MIN(G4344,Parametres!$B$7))</f>
        <v>51.82</v>
      </c>
      <c r="I4344" s="20" t="n">
        <f aca="false">G4344-H4344</f>
        <v>0</v>
      </c>
      <c r="J4344" s="21" t="n">
        <f aca="false">H4344*1000/Parametres!$B$9</f>
        <v>878.751907749703</v>
      </c>
    </row>
    <row r="4345" customFormat="false" ht="15" hidden="false" customHeight="false" outlineLevel="0" collapsed="false">
      <c r="A4345" s="0" t="n">
        <v>4341</v>
      </c>
      <c r="B4345" s="0" t="n">
        <v>6</v>
      </c>
      <c r="C4345" s="19" t="n">
        <v>0</v>
      </c>
      <c r="D4345" s="19" t="n">
        <v>0.4587</v>
      </c>
      <c r="E4345" s="20" t="n">
        <f aca="false">Parametres!$B$5*C4345</f>
        <v>0</v>
      </c>
      <c r="F4345" s="20" t="n">
        <f aca="false">Parametres!$B$6*D4345</f>
        <v>91.74</v>
      </c>
      <c r="G4345" s="20" t="n">
        <f aca="false">E4345+F4345</f>
        <v>91.74</v>
      </c>
      <c r="H4345" s="20" t="n">
        <f aca="false">IF(G4345&lt;Parametres!$B$8*Parametres!$B$7,0,MIN(G4345,Parametres!$B$7))</f>
        <v>91.74</v>
      </c>
      <c r="I4345" s="20" t="n">
        <f aca="false">G4345-H4345</f>
        <v>0</v>
      </c>
      <c r="J4345" s="21" t="n">
        <f aca="false">H4345*1000/Parametres!$B$9</f>
        <v>1555.70629133458</v>
      </c>
    </row>
    <row r="4346" customFormat="false" ht="15" hidden="false" customHeight="false" outlineLevel="0" collapsed="false">
      <c r="A4346" s="0" t="n">
        <v>4342</v>
      </c>
      <c r="B4346" s="0" t="n">
        <v>6</v>
      </c>
      <c r="C4346" s="19" t="n">
        <v>0</v>
      </c>
      <c r="D4346" s="19" t="n">
        <v>0.2694</v>
      </c>
      <c r="E4346" s="20" t="n">
        <f aca="false">Parametres!$B$5*C4346</f>
        <v>0</v>
      </c>
      <c r="F4346" s="20" t="n">
        <f aca="false">Parametres!$B$6*D4346</f>
        <v>53.88</v>
      </c>
      <c r="G4346" s="20" t="n">
        <f aca="false">E4346+F4346</f>
        <v>53.88</v>
      </c>
      <c r="H4346" s="20" t="n">
        <f aca="false">IF(G4346&lt;Parametres!$B$8*Parametres!$B$7,0,MIN(G4346,Parametres!$B$7))</f>
        <v>53.88</v>
      </c>
      <c r="I4346" s="20" t="n">
        <f aca="false">G4346-H4346</f>
        <v>0</v>
      </c>
      <c r="J4346" s="21" t="n">
        <f aca="false">H4346*1000/Parametres!$B$9</f>
        <v>913.684924537901</v>
      </c>
    </row>
    <row r="4347" customFormat="false" ht="15" hidden="false" customHeight="false" outlineLevel="0" collapsed="false">
      <c r="A4347" s="0" t="n">
        <v>4343</v>
      </c>
      <c r="B4347" s="0" t="n">
        <v>6</v>
      </c>
      <c r="C4347" s="19" t="n">
        <v>0</v>
      </c>
      <c r="D4347" s="19" t="n">
        <v>0.3489</v>
      </c>
      <c r="E4347" s="20" t="n">
        <f aca="false">Parametres!$B$5*C4347</f>
        <v>0</v>
      </c>
      <c r="F4347" s="20" t="n">
        <f aca="false">Parametres!$B$6*D4347</f>
        <v>69.78</v>
      </c>
      <c r="G4347" s="20" t="n">
        <f aca="false">E4347+F4347</f>
        <v>69.78</v>
      </c>
      <c r="H4347" s="20" t="n">
        <f aca="false">IF(G4347&lt;Parametres!$B$8*Parametres!$B$7,0,MIN(G4347,Parametres!$B$7))</f>
        <v>69.78</v>
      </c>
      <c r="I4347" s="20" t="n">
        <f aca="false">G4347-H4347</f>
        <v>0</v>
      </c>
      <c r="J4347" s="21" t="n">
        <f aca="false">H4347*1000/Parametres!$B$9</f>
        <v>1183.31354926234</v>
      </c>
    </row>
    <row r="4348" customFormat="false" ht="15" hidden="false" customHeight="false" outlineLevel="0" collapsed="false">
      <c r="A4348" s="0" t="n">
        <v>4344</v>
      </c>
      <c r="B4348" s="0" t="n">
        <v>6</v>
      </c>
      <c r="C4348" s="19" t="n">
        <v>0</v>
      </c>
      <c r="D4348" s="19" t="n">
        <v>0.1856</v>
      </c>
      <c r="E4348" s="20" t="n">
        <f aca="false">Parametres!$B$5*C4348</f>
        <v>0</v>
      </c>
      <c r="F4348" s="20" t="n">
        <f aca="false">Parametres!$B$6*D4348</f>
        <v>37.12</v>
      </c>
      <c r="G4348" s="20" t="n">
        <f aca="false">E4348+F4348</f>
        <v>37.12</v>
      </c>
      <c r="H4348" s="20" t="n">
        <f aca="false">IF(G4348&lt;Parametres!$B$8*Parametres!$B$7,0,MIN(G4348,Parametres!$B$7))</f>
        <v>37.12</v>
      </c>
      <c r="I4348" s="20" t="n">
        <f aca="false">G4348-H4348</f>
        <v>0</v>
      </c>
      <c r="J4348" s="21" t="n">
        <f aca="false">H4348*1000/Parametres!$B$9</f>
        <v>629.472613193149</v>
      </c>
    </row>
    <row r="4349" customFormat="false" ht="15" hidden="false" customHeight="false" outlineLevel="0" collapsed="false">
      <c r="A4349" s="0" t="n">
        <v>4345</v>
      </c>
      <c r="B4349" s="0" t="n">
        <v>7</v>
      </c>
      <c r="C4349" s="19" t="n">
        <v>0</v>
      </c>
      <c r="D4349" s="19" t="n">
        <v>0.2432</v>
      </c>
      <c r="E4349" s="20" t="n">
        <f aca="false">Parametres!$B$5*C4349</f>
        <v>0</v>
      </c>
      <c r="F4349" s="20" t="n">
        <f aca="false">Parametres!$B$6*D4349</f>
        <v>48.64</v>
      </c>
      <c r="G4349" s="20" t="n">
        <f aca="false">E4349+F4349</f>
        <v>48.64</v>
      </c>
      <c r="H4349" s="20" t="n">
        <f aca="false">IF(G4349&lt;Parametres!$B$8*Parametres!$B$7,0,MIN(G4349,Parametres!$B$7))</f>
        <v>48.64</v>
      </c>
      <c r="I4349" s="20" t="n">
        <f aca="false">G4349-H4349</f>
        <v>0</v>
      </c>
      <c r="J4349" s="21" t="n">
        <f aca="false">H4349*1000/Parametres!$B$9</f>
        <v>824.826182804816</v>
      </c>
    </row>
    <row r="4350" customFormat="false" ht="15" hidden="false" customHeight="false" outlineLevel="0" collapsed="false">
      <c r="A4350" s="0" t="n">
        <v>4346</v>
      </c>
      <c r="B4350" s="0" t="n">
        <v>7</v>
      </c>
      <c r="C4350" s="19" t="n">
        <v>0</v>
      </c>
      <c r="D4350" s="19" t="n">
        <v>0.2982</v>
      </c>
      <c r="E4350" s="20" t="n">
        <f aca="false">Parametres!$B$5*C4350</f>
        <v>0</v>
      </c>
      <c r="F4350" s="20" t="n">
        <f aca="false">Parametres!$B$6*D4350</f>
        <v>59.64</v>
      </c>
      <c r="G4350" s="20" t="n">
        <f aca="false">E4350+F4350</f>
        <v>59.64</v>
      </c>
      <c r="H4350" s="20" t="n">
        <f aca="false">IF(G4350&lt;Parametres!$B$8*Parametres!$B$7,0,MIN(G4350,Parametres!$B$7))</f>
        <v>59.64</v>
      </c>
      <c r="I4350" s="20" t="n">
        <f aca="false">G4350-H4350</f>
        <v>0</v>
      </c>
      <c r="J4350" s="21" t="n">
        <f aca="false">H4350*1000/Parametres!$B$9</f>
        <v>1011.36170934373</v>
      </c>
    </row>
    <row r="4351" customFormat="false" ht="15" hidden="false" customHeight="false" outlineLevel="0" collapsed="false">
      <c r="A4351" s="0" t="n">
        <v>4347</v>
      </c>
      <c r="B4351" s="0" t="n">
        <v>7</v>
      </c>
      <c r="C4351" s="19" t="n">
        <v>0</v>
      </c>
      <c r="D4351" s="19" t="n">
        <v>0.2006</v>
      </c>
      <c r="E4351" s="20" t="n">
        <f aca="false">Parametres!$B$5*C4351</f>
        <v>0</v>
      </c>
      <c r="F4351" s="20" t="n">
        <f aca="false">Parametres!$B$6*D4351</f>
        <v>40.12</v>
      </c>
      <c r="G4351" s="20" t="n">
        <f aca="false">E4351+F4351</f>
        <v>40.12</v>
      </c>
      <c r="H4351" s="20" t="n">
        <f aca="false">IF(G4351&lt;Parametres!$B$8*Parametres!$B$7,0,MIN(G4351,Parametres!$B$7))</f>
        <v>40.12</v>
      </c>
      <c r="I4351" s="20" t="n">
        <f aca="false">G4351-H4351</f>
        <v>0</v>
      </c>
      <c r="J4351" s="21" t="n">
        <f aca="false">H4351*1000/Parametres!$B$9</f>
        <v>680.345938612854</v>
      </c>
    </row>
    <row r="4352" customFormat="false" ht="15" hidden="false" customHeight="false" outlineLevel="0" collapsed="false">
      <c r="A4352" s="0" t="n">
        <v>4348</v>
      </c>
      <c r="B4352" s="0" t="n">
        <v>7</v>
      </c>
      <c r="C4352" s="19" t="n">
        <v>0</v>
      </c>
      <c r="D4352" s="19" t="n">
        <v>0.3453</v>
      </c>
      <c r="E4352" s="20" t="n">
        <f aca="false">Parametres!$B$5*C4352</f>
        <v>0</v>
      </c>
      <c r="F4352" s="20" t="n">
        <f aca="false">Parametres!$B$6*D4352</f>
        <v>69.06</v>
      </c>
      <c r="G4352" s="20" t="n">
        <f aca="false">E4352+F4352</f>
        <v>69.06</v>
      </c>
      <c r="H4352" s="20" t="n">
        <f aca="false">IF(G4352&lt;Parametres!$B$8*Parametres!$B$7,0,MIN(G4352,Parametres!$B$7))</f>
        <v>69.06</v>
      </c>
      <c r="I4352" s="20" t="n">
        <f aca="false">G4352-H4352</f>
        <v>0</v>
      </c>
      <c r="J4352" s="21" t="n">
        <f aca="false">H4352*1000/Parametres!$B$9</f>
        <v>1171.10395116161</v>
      </c>
    </row>
    <row r="4353" customFormat="false" ht="15" hidden="false" customHeight="false" outlineLevel="0" collapsed="false">
      <c r="A4353" s="0" t="n">
        <v>4349</v>
      </c>
      <c r="B4353" s="0" t="n">
        <v>7</v>
      </c>
      <c r="C4353" s="19" t="n">
        <v>0</v>
      </c>
      <c r="D4353" s="19" t="n">
        <v>0.3285</v>
      </c>
      <c r="E4353" s="20" t="n">
        <f aca="false">Parametres!$B$5*C4353</f>
        <v>0</v>
      </c>
      <c r="F4353" s="20" t="n">
        <f aca="false">Parametres!$B$6*D4353</f>
        <v>65.7</v>
      </c>
      <c r="G4353" s="20" t="n">
        <f aca="false">E4353+F4353</f>
        <v>65.7</v>
      </c>
      <c r="H4353" s="20" t="n">
        <f aca="false">IF(G4353&lt;Parametres!$B$8*Parametres!$B$7,0,MIN(G4353,Parametres!$B$7))</f>
        <v>65.7</v>
      </c>
      <c r="I4353" s="20" t="n">
        <f aca="false">G4353-H4353</f>
        <v>0</v>
      </c>
      <c r="J4353" s="21" t="n">
        <f aca="false">H4353*1000/Parametres!$B$9</f>
        <v>1114.12582669154</v>
      </c>
    </row>
    <row r="4354" customFormat="false" ht="15" hidden="false" customHeight="false" outlineLevel="0" collapsed="false">
      <c r="A4354" s="0" t="n">
        <v>4350</v>
      </c>
      <c r="B4354" s="0" t="n">
        <v>7</v>
      </c>
      <c r="C4354" s="19" t="n">
        <v>0.0639</v>
      </c>
      <c r="D4354" s="19" t="n">
        <v>0.194</v>
      </c>
      <c r="E4354" s="20" t="n">
        <f aca="false">Parametres!$B$5*C4354</f>
        <v>19.17</v>
      </c>
      <c r="F4354" s="20" t="n">
        <f aca="false">Parametres!$B$6*D4354</f>
        <v>38.8</v>
      </c>
      <c r="G4354" s="20" t="n">
        <f aca="false">E4354+F4354</f>
        <v>57.97</v>
      </c>
      <c r="H4354" s="20" t="n">
        <f aca="false">IF(G4354&lt;Parametres!$B$8*Parametres!$B$7,0,MIN(G4354,Parametres!$B$7))</f>
        <v>57.97</v>
      </c>
      <c r="I4354" s="20" t="n">
        <f aca="false">G4354-H4354</f>
        <v>0</v>
      </c>
      <c r="J4354" s="21" t="n">
        <f aca="false">H4354*1000/Parametres!$B$9</f>
        <v>983.042224860098</v>
      </c>
    </row>
    <row r="4355" customFormat="false" ht="15" hidden="false" customHeight="false" outlineLevel="0" collapsed="false">
      <c r="A4355" s="0" t="n">
        <v>4351</v>
      </c>
      <c r="B4355" s="0" t="n">
        <v>7</v>
      </c>
      <c r="C4355" s="19" t="n">
        <v>0.2977</v>
      </c>
      <c r="D4355" s="19" t="n">
        <v>0.1794</v>
      </c>
      <c r="E4355" s="20" t="n">
        <f aca="false">Parametres!$B$5*C4355</f>
        <v>89.31</v>
      </c>
      <c r="F4355" s="20" t="n">
        <f aca="false">Parametres!$B$6*D4355</f>
        <v>35.88</v>
      </c>
      <c r="G4355" s="20" t="n">
        <f aca="false">E4355+F4355</f>
        <v>125.19</v>
      </c>
      <c r="H4355" s="20" t="n">
        <f aca="false">IF(G4355&lt;Parametres!$B$8*Parametres!$B$7,0,MIN(G4355,Parametres!$B$7))</f>
        <v>125.19</v>
      </c>
      <c r="I4355" s="20" t="n">
        <f aca="false">G4355-H4355</f>
        <v>0</v>
      </c>
      <c r="J4355" s="21" t="n">
        <f aca="false">H4355*1000/Parametres!$B$9</f>
        <v>2122.94386976429</v>
      </c>
    </row>
    <row r="4356" customFormat="false" ht="15" hidden="false" customHeight="false" outlineLevel="0" collapsed="false">
      <c r="A4356" s="0" t="n">
        <v>4352</v>
      </c>
      <c r="B4356" s="0" t="n">
        <v>7</v>
      </c>
      <c r="C4356" s="19" t="n">
        <v>0.572</v>
      </c>
      <c r="D4356" s="19" t="n">
        <v>0.2856</v>
      </c>
      <c r="E4356" s="20" t="n">
        <f aca="false">Parametres!$B$5*C4356</f>
        <v>171.6</v>
      </c>
      <c r="F4356" s="20" t="n">
        <f aca="false">Parametres!$B$6*D4356</f>
        <v>57.12</v>
      </c>
      <c r="G4356" s="20" t="n">
        <f aca="false">E4356+F4356</f>
        <v>228.72</v>
      </c>
      <c r="H4356" s="20" t="n">
        <f aca="false">IF(G4356&lt;Parametres!$B$8*Parametres!$B$7,0,MIN(G4356,Parametres!$B$7))</f>
        <v>228.72</v>
      </c>
      <c r="I4356" s="20" t="n">
        <f aca="false">G4356-H4356</f>
        <v>0</v>
      </c>
      <c r="J4356" s="21" t="n">
        <f aca="false">H4356*1000/Parametres!$B$9</f>
        <v>3878.5823299983</v>
      </c>
    </row>
    <row r="4357" customFormat="false" ht="15" hidden="false" customHeight="false" outlineLevel="0" collapsed="false">
      <c r="A4357" s="0" t="n">
        <v>4353</v>
      </c>
      <c r="B4357" s="0" t="n">
        <v>7</v>
      </c>
      <c r="C4357" s="19" t="n">
        <v>0.7926</v>
      </c>
      <c r="D4357" s="19" t="n">
        <v>0.3253</v>
      </c>
      <c r="E4357" s="20" t="n">
        <f aca="false">Parametres!$B$5*C4357</f>
        <v>237.78</v>
      </c>
      <c r="F4357" s="20" t="n">
        <f aca="false">Parametres!$B$6*D4357</f>
        <v>65.06</v>
      </c>
      <c r="G4357" s="20" t="n">
        <f aca="false">E4357+F4357</f>
        <v>302.84</v>
      </c>
      <c r="H4357" s="20" t="n">
        <f aca="false">IF(G4357&lt;Parametres!$B$8*Parametres!$B$7,0,MIN(G4357,Parametres!$B$7))</f>
        <v>250</v>
      </c>
      <c r="I4357" s="20" t="n">
        <f aca="false">G4357-H4357</f>
        <v>52.84</v>
      </c>
      <c r="J4357" s="21" t="n">
        <f aca="false">H4357*1000/Parametres!$B$9</f>
        <v>4239.44378497541</v>
      </c>
    </row>
    <row r="4358" customFormat="false" ht="15" hidden="false" customHeight="false" outlineLevel="0" collapsed="false">
      <c r="A4358" s="0" t="n">
        <v>4354</v>
      </c>
      <c r="B4358" s="0" t="n">
        <v>7</v>
      </c>
      <c r="C4358" s="19" t="n">
        <v>1</v>
      </c>
      <c r="D4358" s="19" t="n">
        <v>0.5143</v>
      </c>
      <c r="E4358" s="20" t="n">
        <f aca="false">Parametres!$B$5*C4358</f>
        <v>300</v>
      </c>
      <c r="F4358" s="20" t="n">
        <f aca="false">Parametres!$B$6*D4358</f>
        <v>102.86</v>
      </c>
      <c r="G4358" s="20" t="n">
        <f aca="false">E4358+F4358</f>
        <v>402.86</v>
      </c>
      <c r="H4358" s="20" t="n">
        <f aca="false">IF(G4358&lt;Parametres!$B$8*Parametres!$B$7,0,MIN(G4358,Parametres!$B$7))</f>
        <v>250</v>
      </c>
      <c r="I4358" s="20" t="n">
        <f aca="false">G4358-H4358</f>
        <v>152.86</v>
      </c>
      <c r="J4358" s="21" t="n">
        <f aca="false">H4358*1000/Parametres!$B$9</f>
        <v>4239.44378497541</v>
      </c>
    </row>
    <row r="4359" customFormat="false" ht="15" hidden="false" customHeight="false" outlineLevel="0" collapsed="false">
      <c r="A4359" s="0" t="n">
        <v>4355</v>
      </c>
      <c r="B4359" s="0" t="n">
        <v>7</v>
      </c>
      <c r="C4359" s="19" t="n">
        <v>1</v>
      </c>
      <c r="D4359" s="19" t="n">
        <v>0.9172</v>
      </c>
      <c r="E4359" s="20" t="n">
        <f aca="false">Parametres!$B$5*C4359</f>
        <v>300</v>
      </c>
      <c r="F4359" s="20" t="n">
        <f aca="false">Parametres!$B$6*D4359</f>
        <v>183.44</v>
      </c>
      <c r="G4359" s="20" t="n">
        <f aca="false">E4359+F4359</f>
        <v>483.44</v>
      </c>
      <c r="H4359" s="20" t="n">
        <f aca="false">IF(G4359&lt;Parametres!$B$8*Parametres!$B$7,0,MIN(G4359,Parametres!$B$7))</f>
        <v>250</v>
      </c>
      <c r="I4359" s="20" t="n">
        <f aca="false">G4359-H4359</f>
        <v>233.44</v>
      </c>
      <c r="J4359" s="21" t="n">
        <f aca="false">H4359*1000/Parametres!$B$9</f>
        <v>4239.44378497541</v>
      </c>
    </row>
    <row r="4360" customFormat="false" ht="15" hidden="false" customHeight="false" outlineLevel="0" collapsed="false">
      <c r="A4360" s="0" t="n">
        <v>4356</v>
      </c>
      <c r="B4360" s="0" t="n">
        <v>7</v>
      </c>
      <c r="C4360" s="19" t="n">
        <v>1</v>
      </c>
      <c r="D4360" s="19" t="n">
        <v>1</v>
      </c>
      <c r="E4360" s="20" t="n">
        <f aca="false">Parametres!$B$5*C4360</f>
        <v>300</v>
      </c>
      <c r="F4360" s="20" t="n">
        <f aca="false">Parametres!$B$6*D4360</f>
        <v>200</v>
      </c>
      <c r="G4360" s="20" t="n">
        <f aca="false">E4360+F4360</f>
        <v>500</v>
      </c>
      <c r="H4360" s="20" t="n">
        <f aca="false">IF(G4360&lt;Parametres!$B$8*Parametres!$B$7,0,MIN(G4360,Parametres!$B$7))</f>
        <v>250</v>
      </c>
      <c r="I4360" s="20" t="n">
        <f aca="false">G4360-H4360</f>
        <v>250</v>
      </c>
      <c r="J4360" s="21" t="n">
        <f aca="false">H4360*1000/Parametres!$B$9</f>
        <v>4239.44378497541</v>
      </c>
    </row>
    <row r="4361" customFormat="false" ht="15" hidden="false" customHeight="false" outlineLevel="0" collapsed="false">
      <c r="A4361" s="0" t="n">
        <v>4357</v>
      </c>
      <c r="B4361" s="0" t="n">
        <v>7</v>
      </c>
      <c r="C4361" s="19" t="n">
        <v>1</v>
      </c>
      <c r="D4361" s="19" t="n">
        <v>1</v>
      </c>
      <c r="E4361" s="20" t="n">
        <f aca="false">Parametres!$B$5*C4361</f>
        <v>300</v>
      </c>
      <c r="F4361" s="20" t="n">
        <f aca="false">Parametres!$B$6*D4361</f>
        <v>200</v>
      </c>
      <c r="G4361" s="20" t="n">
        <f aca="false">E4361+F4361</f>
        <v>500</v>
      </c>
      <c r="H4361" s="20" t="n">
        <f aca="false">IF(G4361&lt;Parametres!$B$8*Parametres!$B$7,0,MIN(G4361,Parametres!$B$7))</f>
        <v>250</v>
      </c>
      <c r="I4361" s="20" t="n">
        <f aca="false">G4361-H4361</f>
        <v>250</v>
      </c>
      <c r="J4361" s="21" t="n">
        <f aca="false">H4361*1000/Parametres!$B$9</f>
        <v>4239.44378497541</v>
      </c>
    </row>
    <row r="4362" customFormat="false" ht="15" hidden="false" customHeight="false" outlineLevel="0" collapsed="false">
      <c r="A4362" s="0" t="n">
        <v>4358</v>
      </c>
      <c r="B4362" s="0" t="n">
        <v>7</v>
      </c>
      <c r="C4362" s="19" t="n">
        <v>1</v>
      </c>
      <c r="D4362" s="19" t="n">
        <v>1</v>
      </c>
      <c r="E4362" s="20" t="n">
        <f aca="false">Parametres!$B$5*C4362</f>
        <v>300</v>
      </c>
      <c r="F4362" s="20" t="n">
        <f aca="false">Parametres!$B$6*D4362</f>
        <v>200</v>
      </c>
      <c r="G4362" s="20" t="n">
        <f aca="false">E4362+F4362</f>
        <v>500</v>
      </c>
      <c r="H4362" s="20" t="n">
        <f aca="false">IF(G4362&lt;Parametres!$B$8*Parametres!$B$7,0,MIN(G4362,Parametres!$B$7))</f>
        <v>250</v>
      </c>
      <c r="I4362" s="20" t="n">
        <f aca="false">G4362-H4362</f>
        <v>250</v>
      </c>
      <c r="J4362" s="21" t="n">
        <f aca="false">H4362*1000/Parametres!$B$9</f>
        <v>4239.44378497541</v>
      </c>
    </row>
    <row r="4363" customFormat="false" ht="15" hidden="false" customHeight="false" outlineLevel="0" collapsed="false">
      <c r="A4363" s="0" t="n">
        <v>4359</v>
      </c>
      <c r="B4363" s="0" t="n">
        <v>7</v>
      </c>
      <c r="C4363" s="19" t="n">
        <v>0.9775</v>
      </c>
      <c r="D4363" s="19" t="n">
        <v>1</v>
      </c>
      <c r="E4363" s="20" t="n">
        <f aca="false">Parametres!$B$5*C4363</f>
        <v>293.25</v>
      </c>
      <c r="F4363" s="20" t="n">
        <f aca="false">Parametres!$B$6*D4363</f>
        <v>200</v>
      </c>
      <c r="G4363" s="20" t="n">
        <f aca="false">E4363+F4363</f>
        <v>493.25</v>
      </c>
      <c r="H4363" s="20" t="n">
        <f aca="false">IF(G4363&lt;Parametres!$B$8*Parametres!$B$7,0,MIN(G4363,Parametres!$B$7))</f>
        <v>250</v>
      </c>
      <c r="I4363" s="20" t="n">
        <f aca="false">G4363-H4363</f>
        <v>243.25</v>
      </c>
      <c r="J4363" s="21" t="n">
        <f aca="false">H4363*1000/Parametres!$B$9</f>
        <v>4239.44378497541</v>
      </c>
    </row>
    <row r="4364" customFormat="false" ht="15" hidden="false" customHeight="false" outlineLevel="0" collapsed="false">
      <c r="A4364" s="0" t="n">
        <v>4360</v>
      </c>
      <c r="B4364" s="0" t="n">
        <v>7</v>
      </c>
      <c r="C4364" s="19" t="n">
        <v>0.8089</v>
      </c>
      <c r="D4364" s="19" t="n">
        <v>1</v>
      </c>
      <c r="E4364" s="20" t="n">
        <f aca="false">Parametres!$B$5*C4364</f>
        <v>242.67</v>
      </c>
      <c r="F4364" s="20" t="n">
        <f aca="false">Parametres!$B$6*D4364</f>
        <v>200</v>
      </c>
      <c r="G4364" s="20" t="n">
        <f aca="false">E4364+F4364</f>
        <v>442.67</v>
      </c>
      <c r="H4364" s="20" t="n">
        <f aca="false">IF(G4364&lt;Parametres!$B$8*Parametres!$B$7,0,MIN(G4364,Parametres!$B$7))</f>
        <v>250</v>
      </c>
      <c r="I4364" s="20" t="n">
        <f aca="false">G4364-H4364</f>
        <v>192.67</v>
      </c>
      <c r="J4364" s="21" t="n">
        <f aca="false">H4364*1000/Parametres!$B$9</f>
        <v>4239.44378497541</v>
      </c>
    </row>
    <row r="4365" customFormat="false" ht="15" hidden="false" customHeight="false" outlineLevel="0" collapsed="false">
      <c r="A4365" s="0" t="n">
        <v>4361</v>
      </c>
      <c r="B4365" s="0" t="n">
        <v>7</v>
      </c>
      <c r="C4365" s="19" t="n">
        <v>0.6072</v>
      </c>
      <c r="D4365" s="19" t="n">
        <v>1</v>
      </c>
      <c r="E4365" s="20" t="n">
        <f aca="false">Parametres!$B$5*C4365</f>
        <v>182.16</v>
      </c>
      <c r="F4365" s="20" t="n">
        <f aca="false">Parametres!$B$6*D4365</f>
        <v>200</v>
      </c>
      <c r="G4365" s="20" t="n">
        <f aca="false">E4365+F4365</f>
        <v>382.16</v>
      </c>
      <c r="H4365" s="20" t="n">
        <f aca="false">IF(G4365&lt;Parametres!$B$8*Parametres!$B$7,0,MIN(G4365,Parametres!$B$7))</f>
        <v>250</v>
      </c>
      <c r="I4365" s="20" t="n">
        <f aca="false">G4365-H4365</f>
        <v>132.16</v>
      </c>
      <c r="J4365" s="21" t="n">
        <f aca="false">H4365*1000/Parametres!$B$9</f>
        <v>4239.44378497541</v>
      </c>
    </row>
    <row r="4366" customFormat="false" ht="15" hidden="false" customHeight="false" outlineLevel="0" collapsed="false">
      <c r="A4366" s="0" t="n">
        <v>4362</v>
      </c>
      <c r="B4366" s="0" t="n">
        <v>7</v>
      </c>
      <c r="C4366" s="19" t="n">
        <v>0.3048</v>
      </c>
      <c r="D4366" s="19" t="n">
        <v>1</v>
      </c>
      <c r="E4366" s="20" t="n">
        <f aca="false">Parametres!$B$5*C4366</f>
        <v>91.44</v>
      </c>
      <c r="F4366" s="20" t="n">
        <f aca="false">Parametres!$B$6*D4366</f>
        <v>200</v>
      </c>
      <c r="G4366" s="20" t="n">
        <f aca="false">E4366+F4366</f>
        <v>291.44</v>
      </c>
      <c r="H4366" s="20" t="n">
        <f aca="false">IF(G4366&lt;Parametres!$B$8*Parametres!$B$7,0,MIN(G4366,Parametres!$B$7))</f>
        <v>250</v>
      </c>
      <c r="I4366" s="20" t="n">
        <f aca="false">G4366-H4366</f>
        <v>41.44</v>
      </c>
      <c r="J4366" s="21" t="n">
        <f aca="false">H4366*1000/Parametres!$B$9</f>
        <v>4239.44378497541</v>
      </c>
    </row>
    <row r="4367" customFormat="false" ht="15" hidden="false" customHeight="false" outlineLevel="0" collapsed="false">
      <c r="A4367" s="0" t="n">
        <v>4363</v>
      </c>
      <c r="B4367" s="0" t="n">
        <v>7</v>
      </c>
      <c r="C4367" s="19" t="n">
        <v>0.0734</v>
      </c>
      <c r="D4367" s="19" t="n">
        <v>1</v>
      </c>
      <c r="E4367" s="20" t="n">
        <f aca="false">Parametres!$B$5*C4367</f>
        <v>22.02</v>
      </c>
      <c r="F4367" s="20" t="n">
        <f aca="false">Parametres!$B$6*D4367</f>
        <v>200</v>
      </c>
      <c r="G4367" s="20" t="n">
        <f aca="false">E4367+F4367</f>
        <v>222.02</v>
      </c>
      <c r="H4367" s="20" t="n">
        <f aca="false">IF(G4367&lt;Parametres!$B$8*Parametres!$B$7,0,MIN(G4367,Parametres!$B$7))</f>
        <v>222.02</v>
      </c>
      <c r="I4367" s="20" t="n">
        <f aca="false">G4367-H4367</f>
        <v>0</v>
      </c>
      <c r="J4367" s="21" t="n">
        <f aca="false">H4367*1000/Parametres!$B$9</f>
        <v>3764.96523656096</v>
      </c>
    </row>
    <row r="4368" customFormat="false" ht="15" hidden="false" customHeight="false" outlineLevel="0" collapsed="false">
      <c r="A4368" s="0" t="n">
        <v>4364</v>
      </c>
      <c r="B4368" s="0" t="n">
        <v>7</v>
      </c>
      <c r="C4368" s="19" t="n">
        <v>0</v>
      </c>
      <c r="D4368" s="19" t="n">
        <v>1</v>
      </c>
      <c r="E4368" s="20" t="n">
        <f aca="false">Parametres!$B$5*C4368</f>
        <v>0</v>
      </c>
      <c r="F4368" s="20" t="n">
        <f aca="false">Parametres!$B$6*D4368</f>
        <v>200</v>
      </c>
      <c r="G4368" s="20" t="n">
        <f aca="false">E4368+F4368</f>
        <v>200</v>
      </c>
      <c r="H4368" s="20" t="n">
        <f aca="false">IF(G4368&lt;Parametres!$B$8*Parametres!$B$7,0,MIN(G4368,Parametres!$B$7))</f>
        <v>200</v>
      </c>
      <c r="I4368" s="20" t="n">
        <f aca="false">G4368-H4368</f>
        <v>0</v>
      </c>
      <c r="J4368" s="21" t="n">
        <f aca="false">H4368*1000/Parametres!$B$9</f>
        <v>3391.55502798033</v>
      </c>
    </row>
    <row r="4369" customFormat="false" ht="15" hidden="false" customHeight="false" outlineLevel="0" collapsed="false">
      <c r="A4369" s="0" t="n">
        <v>4365</v>
      </c>
      <c r="B4369" s="0" t="n">
        <v>7</v>
      </c>
      <c r="C4369" s="19" t="n">
        <v>0</v>
      </c>
      <c r="D4369" s="19" t="n">
        <v>1</v>
      </c>
      <c r="E4369" s="20" t="n">
        <f aca="false">Parametres!$B$5*C4369</f>
        <v>0</v>
      </c>
      <c r="F4369" s="20" t="n">
        <f aca="false">Parametres!$B$6*D4369</f>
        <v>200</v>
      </c>
      <c r="G4369" s="20" t="n">
        <f aca="false">E4369+F4369</f>
        <v>200</v>
      </c>
      <c r="H4369" s="20" t="n">
        <f aca="false">IF(G4369&lt;Parametres!$B$8*Parametres!$B$7,0,MIN(G4369,Parametres!$B$7))</f>
        <v>200</v>
      </c>
      <c r="I4369" s="20" t="n">
        <f aca="false">G4369-H4369</f>
        <v>0</v>
      </c>
      <c r="J4369" s="21" t="n">
        <f aca="false">H4369*1000/Parametres!$B$9</f>
        <v>3391.55502798033</v>
      </c>
    </row>
    <row r="4370" customFormat="false" ht="15" hidden="false" customHeight="false" outlineLevel="0" collapsed="false">
      <c r="A4370" s="0" t="n">
        <v>4366</v>
      </c>
      <c r="B4370" s="0" t="n">
        <v>7</v>
      </c>
      <c r="C4370" s="19" t="n">
        <v>0</v>
      </c>
      <c r="D4370" s="19" t="n">
        <v>1</v>
      </c>
      <c r="E4370" s="20" t="n">
        <f aca="false">Parametres!$B$5*C4370</f>
        <v>0</v>
      </c>
      <c r="F4370" s="20" t="n">
        <f aca="false">Parametres!$B$6*D4370</f>
        <v>200</v>
      </c>
      <c r="G4370" s="20" t="n">
        <f aca="false">E4370+F4370</f>
        <v>200</v>
      </c>
      <c r="H4370" s="20" t="n">
        <f aca="false">IF(G4370&lt;Parametres!$B$8*Parametres!$B$7,0,MIN(G4370,Parametres!$B$7))</f>
        <v>200</v>
      </c>
      <c r="I4370" s="20" t="n">
        <f aca="false">G4370-H4370</f>
        <v>0</v>
      </c>
      <c r="J4370" s="21" t="n">
        <f aca="false">H4370*1000/Parametres!$B$9</f>
        <v>3391.55502798033</v>
      </c>
    </row>
    <row r="4371" customFormat="false" ht="15" hidden="false" customHeight="false" outlineLevel="0" collapsed="false">
      <c r="A4371" s="0" t="n">
        <v>4367</v>
      </c>
      <c r="B4371" s="0" t="n">
        <v>7</v>
      </c>
      <c r="C4371" s="19" t="n">
        <v>0</v>
      </c>
      <c r="D4371" s="19" t="n">
        <v>1</v>
      </c>
      <c r="E4371" s="20" t="n">
        <f aca="false">Parametres!$B$5*C4371</f>
        <v>0</v>
      </c>
      <c r="F4371" s="20" t="n">
        <f aca="false">Parametres!$B$6*D4371</f>
        <v>200</v>
      </c>
      <c r="G4371" s="20" t="n">
        <f aca="false">E4371+F4371</f>
        <v>200</v>
      </c>
      <c r="H4371" s="20" t="n">
        <f aca="false">IF(G4371&lt;Parametres!$B$8*Parametres!$B$7,0,MIN(G4371,Parametres!$B$7))</f>
        <v>200</v>
      </c>
      <c r="I4371" s="20" t="n">
        <f aca="false">G4371-H4371</f>
        <v>0</v>
      </c>
      <c r="J4371" s="21" t="n">
        <f aca="false">H4371*1000/Parametres!$B$9</f>
        <v>3391.55502798033</v>
      </c>
    </row>
    <row r="4372" customFormat="false" ht="15" hidden="false" customHeight="false" outlineLevel="0" collapsed="false">
      <c r="A4372" s="0" t="n">
        <v>4368</v>
      </c>
      <c r="B4372" s="0" t="n">
        <v>7</v>
      </c>
      <c r="C4372" s="19" t="n">
        <v>0</v>
      </c>
      <c r="D4372" s="19" t="n">
        <v>1</v>
      </c>
      <c r="E4372" s="20" t="n">
        <f aca="false">Parametres!$B$5*C4372</f>
        <v>0</v>
      </c>
      <c r="F4372" s="20" t="n">
        <f aca="false">Parametres!$B$6*D4372</f>
        <v>200</v>
      </c>
      <c r="G4372" s="20" t="n">
        <f aca="false">E4372+F4372</f>
        <v>200</v>
      </c>
      <c r="H4372" s="20" t="n">
        <f aca="false">IF(G4372&lt;Parametres!$B$8*Parametres!$B$7,0,MIN(G4372,Parametres!$B$7))</f>
        <v>200</v>
      </c>
      <c r="I4372" s="20" t="n">
        <f aca="false">G4372-H4372</f>
        <v>0</v>
      </c>
      <c r="J4372" s="21" t="n">
        <f aca="false">H4372*1000/Parametres!$B$9</f>
        <v>3391.55502798033</v>
      </c>
    </row>
    <row r="4373" customFormat="false" ht="15" hidden="false" customHeight="false" outlineLevel="0" collapsed="false">
      <c r="A4373" s="0" t="n">
        <v>4369</v>
      </c>
      <c r="B4373" s="0" t="n">
        <v>7</v>
      </c>
      <c r="C4373" s="19" t="n">
        <v>0</v>
      </c>
      <c r="D4373" s="19" t="n">
        <v>1</v>
      </c>
      <c r="E4373" s="20" t="n">
        <f aca="false">Parametres!$B$5*C4373</f>
        <v>0</v>
      </c>
      <c r="F4373" s="20" t="n">
        <f aca="false">Parametres!$B$6*D4373</f>
        <v>200</v>
      </c>
      <c r="G4373" s="20" t="n">
        <f aca="false">E4373+F4373</f>
        <v>200</v>
      </c>
      <c r="H4373" s="20" t="n">
        <f aca="false">IF(G4373&lt;Parametres!$B$8*Parametres!$B$7,0,MIN(G4373,Parametres!$B$7))</f>
        <v>200</v>
      </c>
      <c r="I4373" s="20" t="n">
        <f aca="false">G4373-H4373</f>
        <v>0</v>
      </c>
      <c r="J4373" s="21" t="n">
        <f aca="false">H4373*1000/Parametres!$B$9</f>
        <v>3391.55502798033</v>
      </c>
    </row>
    <row r="4374" customFormat="false" ht="15" hidden="false" customHeight="false" outlineLevel="0" collapsed="false">
      <c r="A4374" s="0" t="n">
        <v>4370</v>
      </c>
      <c r="B4374" s="0" t="n">
        <v>7</v>
      </c>
      <c r="C4374" s="19" t="n">
        <v>0</v>
      </c>
      <c r="D4374" s="19" t="n">
        <v>1</v>
      </c>
      <c r="E4374" s="20" t="n">
        <f aca="false">Parametres!$B$5*C4374</f>
        <v>0</v>
      </c>
      <c r="F4374" s="20" t="n">
        <f aca="false">Parametres!$B$6*D4374</f>
        <v>200</v>
      </c>
      <c r="G4374" s="20" t="n">
        <f aca="false">E4374+F4374</f>
        <v>200</v>
      </c>
      <c r="H4374" s="20" t="n">
        <f aca="false">IF(G4374&lt;Parametres!$B$8*Parametres!$B$7,0,MIN(G4374,Parametres!$B$7))</f>
        <v>200</v>
      </c>
      <c r="I4374" s="20" t="n">
        <f aca="false">G4374-H4374</f>
        <v>0</v>
      </c>
      <c r="J4374" s="21" t="n">
        <f aca="false">H4374*1000/Parametres!$B$9</f>
        <v>3391.55502798033</v>
      </c>
    </row>
    <row r="4375" customFormat="false" ht="15" hidden="false" customHeight="false" outlineLevel="0" collapsed="false">
      <c r="A4375" s="0" t="n">
        <v>4371</v>
      </c>
      <c r="B4375" s="0" t="n">
        <v>7</v>
      </c>
      <c r="C4375" s="19" t="n">
        <v>0</v>
      </c>
      <c r="D4375" s="19" t="n">
        <v>1</v>
      </c>
      <c r="E4375" s="20" t="n">
        <f aca="false">Parametres!$B$5*C4375</f>
        <v>0</v>
      </c>
      <c r="F4375" s="20" t="n">
        <f aca="false">Parametres!$B$6*D4375</f>
        <v>200</v>
      </c>
      <c r="G4375" s="20" t="n">
        <f aca="false">E4375+F4375</f>
        <v>200</v>
      </c>
      <c r="H4375" s="20" t="n">
        <f aca="false">IF(G4375&lt;Parametres!$B$8*Parametres!$B$7,0,MIN(G4375,Parametres!$B$7))</f>
        <v>200</v>
      </c>
      <c r="I4375" s="20" t="n">
        <f aca="false">G4375-H4375</f>
        <v>0</v>
      </c>
      <c r="J4375" s="21" t="n">
        <f aca="false">H4375*1000/Parametres!$B$9</f>
        <v>3391.55502798033</v>
      </c>
    </row>
    <row r="4376" customFormat="false" ht="15" hidden="false" customHeight="false" outlineLevel="0" collapsed="false">
      <c r="A4376" s="0" t="n">
        <v>4372</v>
      </c>
      <c r="B4376" s="0" t="n">
        <v>7</v>
      </c>
      <c r="C4376" s="19" t="n">
        <v>0</v>
      </c>
      <c r="D4376" s="19" t="n">
        <v>1</v>
      </c>
      <c r="E4376" s="20" t="n">
        <f aca="false">Parametres!$B$5*C4376</f>
        <v>0</v>
      </c>
      <c r="F4376" s="20" t="n">
        <f aca="false">Parametres!$B$6*D4376</f>
        <v>200</v>
      </c>
      <c r="G4376" s="20" t="n">
        <f aca="false">E4376+F4376</f>
        <v>200</v>
      </c>
      <c r="H4376" s="20" t="n">
        <f aca="false">IF(G4376&lt;Parametres!$B$8*Parametres!$B$7,0,MIN(G4376,Parametres!$B$7))</f>
        <v>200</v>
      </c>
      <c r="I4376" s="20" t="n">
        <f aca="false">G4376-H4376</f>
        <v>0</v>
      </c>
      <c r="J4376" s="21" t="n">
        <f aca="false">H4376*1000/Parametres!$B$9</f>
        <v>3391.55502798033</v>
      </c>
    </row>
    <row r="4377" customFormat="false" ht="15" hidden="false" customHeight="false" outlineLevel="0" collapsed="false">
      <c r="A4377" s="0" t="n">
        <v>4373</v>
      </c>
      <c r="B4377" s="0" t="n">
        <v>7</v>
      </c>
      <c r="C4377" s="19" t="n">
        <v>0</v>
      </c>
      <c r="D4377" s="19" t="n">
        <v>1</v>
      </c>
      <c r="E4377" s="20" t="n">
        <f aca="false">Parametres!$B$5*C4377</f>
        <v>0</v>
      </c>
      <c r="F4377" s="20" t="n">
        <f aca="false">Parametres!$B$6*D4377</f>
        <v>200</v>
      </c>
      <c r="G4377" s="20" t="n">
        <f aca="false">E4377+F4377</f>
        <v>200</v>
      </c>
      <c r="H4377" s="20" t="n">
        <f aca="false">IF(G4377&lt;Parametres!$B$8*Parametres!$B$7,0,MIN(G4377,Parametres!$B$7))</f>
        <v>200</v>
      </c>
      <c r="I4377" s="20" t="n">
        <f aca="false">G4377-H4377</f>
        <v>0</v>
      </c>
      <c r="J4377" s="21" t="n">
        <f aca="false">H4377*1000/Parametres!$B$9</f>
        <v>3391.55502798033</v>
      </c>
    </row>
    <row r="4378" customFormat="false" ht="15" hidden="false" customHeight="false" outlineLevel="0" collapsed="false">
      <c r="A4378" s="0" t="n">
        <v>4374</v>
      </c>
      <c r="B4378" s="0" t="n">
        <v>7</v>
      </c>
      <c r="C4378" s="19" t="n">
        <v>0.0596</v>
      </c>
      <c r="D4378" s="19" t="n">
        <v>1</v>
      </c>
      <c r="E4378" s="20" t="n">
        <f aca="false">Parametres!$B$5*C4378</f>
        <v>17.88</v>
      </c>
      <c r="F4378" s="20" t="n">
        <f aca="false">Parametres!$B$6*D4378</f>
        <v>200</v>
      </c>
      <c r="G4378" s="20" t="n">
        <f aca="false">E4378+F4378</f>
        <v>217.88</v>
      </c>
      <c r="H4378" s="20" t="n">
        <f aca="false">IF(G4378&lt;Parametres!$B$8*Parametres!$B$7,0,MIN(G4378,Parametres!$B$7))</f>
        <v>217.88</v>
      </c>
      <c r="I4378" s="20" t="n">
        <f aca="false">G4378-H4378</f>
        <v>0</v>
      </c>
      <c r="J4378" s="21" t="n">
        <f aca="false">H4378*1000/Parametres!$B$9</f>
        <v>3694.76004748177</v>
      </c>
    </row>
    <row r="4379" customFormat="false" ht="15" hidden="false" customHeight="false" outlineLevel="0" collapsed="false">
      <c r="A4379" s="0" t="n">
        <v>4375</v>
      </c>
      <c r="B4379" s="0" t="n">
        <v>7</v>
      </c>
      <c r="C4379" s="19" t="n">
        <v>0.2651</v>
      </c>
      <c r="D4379" s="19" t="n">
        <v>1</v>
      </c>
      <c r="E4379" s="20" t="n">
        <f aca="false">Parametres!$B$5*C4379</f>
        <v>79.53</v>
      </c>
      <c r="F4379" s="20" t="n">
        <f aca="false">Parametres!$B$6*D4379</f>
        <v>200</v>
      </c>
      <c r="G4379" s="20" t="n">
        <f aca="false">E4379+F4379</f>
        <v>279.53</v>
      </c>
      <c r="H4379" s="20" t="n">
        <f aca="false">IF(G4379&lt;Parametres!$B$8*Parametres!$B$7,0,MIN(G4379,Parametres!$B$7))</f>
        <v>250</v>
      </c>
      <c r="I4379" s="20" t="n">
        <f aca="false">G4379-H4379</f>
        <v>29.53</v>
      </c>
      <c r="J4379" s="21" t="n">
        <f aca="false">H4379*1000/Parametres!$B$9</f>
        <v>4239.44378497541</v>
      </c>
    </row>
    <row r="4380" customFormat="false" ht="15" hidden="false" customHeight="false" outlineLevel="0" collapsed="false">
      <c r="A4380" s="0" t="n">
        <v>4376</v>
      </c>
      <c r="B4380" s="0" t="n">
        <v>7</v>
      </c>
      <c r="C4380" s="19" t="n">
        <v>0.4835</v>
      </c>
      <c r="D4380" s="19" t="n">
        <v>0.8604</v>
      </c>
      <c r="E4380" s="20" t="n">
        <f aca="false">Parametres!$B$5*C4380</f>
        <v>145.05</v>
      </c>
      <c r="F4380" s="20" t="n">
        <f aca="false">Parametres!$B$6*D4380</f>
        <v>172.08</v>
      </c>
      <c r="G4380" s="20" t="n">
        <f aca="false">E4380+F4380</f>
        <v>317.13</v>
      </c>
      <c r="H4380" s="20" t="n">
        <f aca="false">IF(G4380&lt;Parametres!$B$8*Parametres!$B$7,0,MIN(G4380,Parametres!$B$7))</f>
        <v>250</v>
      </c>
      <c r="I4380" s="20" t="n">
        <f aca="false">G4380-H4380</f>
        <v>67.13</v>
      </c>
      <c r="J4380" s="21" t="n">
        <f aca="false">H4380*1000/Parametres!$B$9</f>
        <v>4239.44378497541</v>
      </c>
    </row>
    <row r="4381" customFormat="false" ht="15" hidden="false" customHeight="false" outlineLevel="0" collapsed="false">
      <c r="A4381" s="0" t="n">
        <v>4377</v>
      </c>
      <c r="B4381" s="0" t="n">
        <v>7</v>
      </c>
      <c r="C4381" s="19" t="n">
        <v>0.6886</v>
      </c>
      <c r="D4381" s="19" t="n">
        <v>1</v>
      </c>
      <c r="E4381" s="20" t="n">
        <f aca="false">Parametres!$B$5*C4381</f>
        <v>206.58</v>
      </c>
      <c r="F4381" s="20" t="n">
        <f aca="false">Parametres!$B$6*D4381</f>
        <v>200</v>
      </c>
      <c r="G4381" s="20" t="n">
        <f aca="false">E4381+F4381</f>
        <v>406.58</v>
      </c>
      <c r="H4381" s="20" t="n">
        <f aca="false">IF(G4381&lt;Parametres!$B$8*Parametres!$B$7,0,MIN(G4381,Parametres!$B$7))</f>
        <v>250</v>
      </c>
      <c r="I4381" s="20" t="n">
        <f aca="false">G4381-H4381</f>
        <v>156.58</v>
      </c>
      <c r="J4381" s="21" t="n">
        <f aca="false">H4381*1000/Parametres!$B$9</f>
        <v>4239.44378497541</v>
      </c>
    </row>
    <row r="4382" customFormat="false" ht="15" hidden="false" customHeight="false" outlineLevel="0" collapsed="false">
      <c r="A4382" s="0" t="n">
        <v>4378</v>
      </c>
      <c r="B4382" s="0" t="n">
        <v>7</v>
      </c>
      <c r="C4382" s="19" t="n">
        <v>0.8994</v>
      </c>
      <c r="D4382" s="19" t="n">
        <v>1</v>
      </c>
      <c r="E4382" s="20" t="n">
        <f aca="false">Parametres!$B$5*C4382</f>
        <v>269.82</v>
      </c>
      <c r="F4382" s="20" t="n">
        <f aca="false">Parametres!$B$6*D4382</f>
        <v>200</v>
      </c>
      <c r="G4382" s="20" t="n">
        <f aca="false">E4382+F4382</f>
        <v>469.82</v>
      </c>
      <c r="H4382" s="20" t="n">
        <f aca="false">IF(G4382&lt;Parametres!$B$8*Parametres!$B$7,0,MIN(G4382,Parametres!$B$7))</f>
        <v>250</v>
      </c>
      <c r="I4382" s="20" t="n">
        <f aca="false">G4382-H4382</f>
        <v>219.82</v>
      </c>
      <c r="J4382" s="21" t="n">
        <f aca="false">H4382*1000/Parametres!$B$9</f>
        <v>4239.44378497541</v>
      </c>
    </row>
    <row r="4383" customFormat="false" ht="15" hidden="false" customHeight="false" outlineLevel="0" collapsed="false">
      <c r="A4383" s="0" t="n">
        <v>4379</v>
      </c>
      <c r="B4383" s="0" t="n">
        <v>7</v>
      </c>
      <c r="C4383" s="19" t="n">
        <v>1</v>
      </c>
      <c r="D4383" s="19" t="n">
        <v>1</v>
      </c>
      <c r="E4383" s="20" t="n">
        <f aca="false">Parametres!$B$5*C4383</f>
        <v>300</v>
      </c>
      <c r="F4383" s="20" t="n">
        <f aca="false">Parametres!$B$6*D4383</f>
        <v>200</v>
      </c>
      <c r="G4383" s="20" t="n">
        <f aca="false">E4383+F4383</f>
        <v>500</v>
      </c>
      <c r="H4383" s="20" t="n">
        <f aca="false">IF(G4383&lt;Parametres!$B$8*Parametres!$B$7,0,MIN(G4383,Parametres!$B$7))</f>
        <v>250</v>
      </c>
      <c r="I4383" s="20" t="n">
        <f aca="false">G4383-H4383</f>
        <v>250</v>
      </c>
      <c r="J4383" s="21" t="n">
        <f aca="false">H4383*1000/Parametres!$B$9</f>
        <v>4239.44378497541</v>
      </c>
    </row>
    <row r="4384" customFormat="false" ht="15" hidden="false" customHeight="false" outlineLevel="0" collapsed="false">
      <c r="A4384" s="0" t="n">
        <v>4380</v>
      </c>
      <c r="B4384" s="0" t="n">
        <v>7</v>
      </c>
      <c r="C4384" s="19" t="n">
        <v>1</v>
      </c>
      <c r="D4384" s="19" t="n">
        <v>1</v>
      </c>
      <c r="E4384" s="20" t="n">
        <f aca="false">Parametres!$B$5*C4384</f>
        <v>300</v>
      </c>
      <c r="F4384" s="20" t="n">
        <f aca="false">Parametres!$B$6*D4384</f>
        <v>200</v>
      </c>
      <c r="G4384" s="20" t="n">
        <f aca="false">E4384+F4384</f>
        <v>500</v>
      </c>
      <c r="H4384" s="20" t="n">
        <f aca="false">IF(G4384&lt;Parametres!$B$8*Parametres!$B$7,0,MIN(G4384,Parametres!$B$7))</f>
        <v>250</v>
      </c>
      <c r="I4384" s="20" t="n">
        <f aca="false">G4384-H4384</f>
        <v>250</v>
      </c>
      <c r="J4384" s="21" t="n">
        <f aca="false">H4384*1000/Parametres!$B$9</f>
        <v>4239.44378497541</v>
      </c>
    </row>
    <row r="4385" customFormat="false" ht="15" hidden="false" customHeight="false" outlineLevel="0" collapsed="false">
      <c r="A4385" s="0" t="n">
        <v>4381</v>
      </c>
      <c r="B4385" s="0" t="n">
        <v>7</v>
      </c>
      <c r="C4385" s="19" t="n">
        <v>1</v>
      </c>
      <c r="D4385" s="19" t="n">
        <v>1</v>
      </c>
      <c r="E4385" s="20" t="n">
        <f aca="false">Parametres!$B$5*C4385</f>
        <v>300</v>
      </c>
      <c r="F4385" s="20" t="n">
        <f aca="false">Parametres!$B$6*D4385</f>
        <v>200</v>
      </c>
      <c r="G4385" s="20" t="n">
        <f aca="false">E4385+F4385</f>
        <v>500</v>
      </c>
      <c r="H4385" s="20" t="n">
        <f aca="false">IF(G4385&lt;Parametres!$B$8*Parametres!$B$7,0,MIN(G4385,Parametres!$B$7))</f>
        <v>250</v>
      </c>
      <c r="I4385" s="20" t="n">
        <f aca="false">G4385-H4385</f>
        <v>250</v>
      </c>
      <c r="J4385" s="21" t="n">
        <f aca="false">H4385*1000/Parametres!$B$9</f>
        <v>4239.44378497541</v>
      </c>
    </row>
    <row r="4386" customFormat="false" ht="15" hidden="false" customHeight="false" outlineLevel="0" collapsed="false">
      <c r="A4386" s="0" t="n">
        <v>4382</v>
      </c>
      <c r="B4386" s="0" t="n">
        <v>7</v>
      </c>
      <c r="C4386" s="19" t="n">
        <v>1</v>
      </c>
      <c r="D4386" s="19" t="n">
        <v>1</v>
      </c>
      <c r="E4386" s="20" t="n">
        <f aca="false">Parametres!$B$5*C4386</f>
        <v>300</v>
      </c>
      <c r="F4386" s="20" t="n">
        <f aca="false">Parametres!$B$6*D4386</f>
        <v>200</v>
      </c>
      <c r="G4386" s="20" t="n">
        <f aca="false">E4386+F4386</f>
        <v>500</v>
      </c>
      <c r="H4386" s="20" t="n">
        <f aca="false">IF(G4386&lt;Parametres!$B$8*Parametres!$B$7,0,MIN(G4386,Parametres!$B$7))</f>
        <v>250</v>
      </c>
      <c r="I4386" s="20" t="n">
        <f aca="false">G4386-H4386</f>
        <v>250</v>
      </c>
      <c r="J4386" s="21" t="n">
        <f aca="false">H4386*1000/Parametres!$B$9</f>
        <v>4239.44378497541</v>
      </c>
    </row>
    <row r="4387" customFormat="false" ht="15" hidden="false" customHeight="false" outlineLevel="0" collapsed="false">
      <c r="A4387" s="0" t="n">
        <v>4383</v>
      </c>
      <c r="B4387" s="0" t="n">
        <v>7</v>
      </c>
      <c r="C4387" s="19" t="n">
        <v>0.8418</v>
      </c>
      <c r="D4387" s="19" t="n">
        <v>1</v>
      </c>
      <c r="E4387" s="20" t="n">
        <f aca="false">Parametres!$B$5*C4387</f>
        <v>252.54</v>
      </c>
      <c r="F4387" s="20" t="n">
        <f aca="false">Parametres!$B$6*D4387</f>
        <v>200</v>
      </c>
      <c r="G4387" s="20" t="n">
        <f aca="false">E4387+F4387</f>
        <v>452.54</v>
      </c>
      <c r="H4387" s="20" t="n">
        <f aca="false">IF(G4387&lt;Parametres!$B$8*Parametres!$B$7,0,MIN(G4387,Parametres!$B$7))</f>
        <v>250</v>
      </c>
      <c r="I4387" s="20" t="n">
        <f aca="false">G4387-H4387</f>
        <v>202.54</v>
      </c>
      <c r="J4387" s="21" t="n">
        <f aca="false">H4387*1000/Parametres!$B$9</f>
        <v>4239.44378497541</v>
      </c>
    </row>
    <row r="4388" customFormat="false" ht="15" hidden="false" customHeight="false" outlineLevel="0" collapsed="false">
      <c r="A4388" s="0" t="n">
        <v>4384</v>
      </c>
      <c r="B4388" s="0" t="n">
        <v>7</v>
      </c>
      <c r="C4388" s="19" t="n">
        <v>0.6759</v>
      </c>
      <c r="D4388" s="19" t="n">
        <v>1</v>
      </c>
      <c r="E4388" s="20" t="n">
        <f aca="false">Parametres!$B$5*C4388</f>
        <v>202.77</v>
      </c>
      <c r="F4388" s="20" t="n">
        <f aca="false">Parametres!$B$6*D4388</f>
        <v>200</v>
      </c>
      <c r="G4388" s="20" t="n">
        <f aca="false">E4388+F4388</f>
        <v>402.77</v>
      </c>
      <c r="H4388" s="20" t="n">
        <f aca="false">IF(G4388&lt;Parametres!$B$8*Parametres!$B$7,0,MIN(G4388,Parametres!$B$7))</f>
        <v>250</v>
      </c>
      <c r="I4388" s="20" t="n">
        <f aca="false">G4388-H4388</f>
        <v>152.77</v>
      </c>
      <c r="J4388" s="21" t="n">
        <f aca="false">H4388*1000/Parametres!$B$9</f>
        <v>4239.44378497541</v>
      </c>
    </row>
    <row r="4389" customFormat="false" ht="15" hidden="false" customHeight="false" outlineLevel="0" collapsed="false">
      <c r="A4389" s="0" t="n">
        <v>4385</v>
      </c>
      <c r="B4389" s="0" t="n">
        <v>7</v>
      </c>
      <c r="C4389" s="19" t="n">
        <v>0.4734</v>
      </c>
      <c r="D4389" s="19" t="n">
        <v>0.6823</v>
      </c>
      <c r="E4389" s="20" t="n">
        <f aca="false">Parametres!$B$5*C4389</f>
        <v>142.02</v>
      </c>
      <c r="F4389" s="20" t="n">
        <f aca="false">Parametres!$B$6*D4389</f>
        <v>136.46</v>
      </c>
      <c r="G4389" s="20" t="n">
        <f aca="false">E4389+F4389</f>
        <v>278.48</v>
      </c>
      <c r="H4389" s="20" t="n">
        <f aca="false">IF(G4389&lt;Parametres!$B$8*Parametres!$B$7,0,MIN(G4389,Parametres!$B$7))</f>
        <v>250</v>
      </c>
      <c r="I4389" s="20" t="n">
        <f aca="false">G4389-H4389</f>
        <v>28.48</v>
      </c>
      <c r="J4389" s="21" t="n">
        <f aca="false">H4389*1000/Parametres!$B$9</f>
        <v>4239.44378497541</v>
      </c>
    </row>
    <row r="4390" customFormat="false" ht="15" hidden="false" customHeight="false" outlineLevel="0" collapsed="false">
      <c r="A4390" s="0" t="n">
        <v>4386</v>
      </c>
      <c r="B4390" s="0" t="n">
        <v>7</v>
      </c>
      <c r="C4390" s="19" t="n">
        <v>0.2472</v>
      </c>
      <c r="D4390" s="19" t="n">
        <v>1</v>
      </c>
      <c r="E4390" s="20" t="n">
        <f aca="false">Parametres!$B$5*C4390</f>
        <v>74.16</v>
      </c>
      <c r="F4390" s="20" t="n">
        <f aca="false">Parametres!$B$6*D4390</f>
        <v>200</v>
      </c>
      <c r="G4390" s="20" t="n">
        <f aca="false">E4390+F4390</f>
        <v>274.16</v>
      </c>
      <c r="H4390" s="20" t="n">
        <f aca="false">IF(G4390&lt;Parametres!$B$8*Parametres!$B$7,0,MIN(G4390,Parametres!$B$7))</f>
        <v>250</v>
      </c>
      <c r="I4390" s="20" t="n">
        <f aca="false">G4390-H4390</f>
        <v>24.16</v>
      </c>
      <c r="J4390" s="21" t="n">
        <f aca="false">H4390*1000/Parametres!$B$9</f>
        <v>4239.44378497541</v>
      </c>
    </row>
    <row r="4391" customFormat="false" ht="15" hidden="false" customHeight="false" outlineLevel="0" collapsed="false">
      <c r="A4391" s="0" t="n">
        <v>4387</v>
      </c>
      <c r="B4391" s="0" t="n">
        <v>7</v>
      </c>
      <c r="C4391" s="19" t="n">
        <v>0.0612</v>
      </c>
      <c r="D4391" s="19" t="n">
        <v>0.9057</v>
      </c>
      <c r="E4391" s="20" t="n">
        <f aca="false">Parametres!$B$5*C4391</f>
        <v>18.36</v>
      </c>
      <c r="F4391" s="20" t="n">
        <f aca="false">Parametres!$B$6*D4391</f>
        <v>181.14</v>
      </c>
      <c r="G4391" s="20" t="n">
        <f aca="false">E4391+F4391</f>
        <v>199.5</v>
      </c>
      <c r="H4391" s="20" t="n">
        <f aca="false">IF(G4391&lt;Parametres!$B$8*Parametres!$B$7,0,MIN(G4391,Parametres!$B$7))</f>
        <v>199.5</v>
      </c>
      <c r="I4391" s="20" t="n">
        <f aca="false">G4391-H4391</f>
        <v>0</v>
      </c>
      <c r="J4391" s="21" t="n">
        <f aca="false">H4391*1000/Parametres!$B$9</f>
        <v>3383.07614041038</v>
      </c>
    </row>
    <row r="4392" customFormat="false" ht="15" hidden="false" customHeight="false" outlineLevel="0" collapsed="false">
      <c r="A4392" s="0" t="n">
        <v>4388</v>
      </c>
      <c r="B4392" s="0" t="n">
        <v>7</v>
      </c>
      <c r="C4392" s="19" t="n">
        <v>0</v>
      </c>
      <c r="D4392" s="19" t="n">
        <v>0.5089</v>
      </c>
      <c r="E4392" s="20" t="n">
        <f aca="false">Parametres!$B$5*C4392</f>
        <v>0</v>
      </c>
      <c r="F4392" s="20" t="n">
        <f aca="false">Parametres!$B$6*D4392</f>
        <v>101.78</v>
      </c>
      <c r="G4392" s="20" t="n">
        <f aca="false">E4392+F4392</f>
        <v>101.78</v>
      </c>
      <c r="H4392" s="20" t="n">
        <f aca="false">IF(G4392&lt;Parametres!$B$8*Parametres!$B$7,0,MIN(G4392,Parametres!$B$7))</f>
        <v>101.78</v>
      </c>
      <c r="I4392" s="20" t="n">
        <f aca="false">G4392-H4392</f>
        <v>0</v>
      </c>
      <c r="J4392" s="21" t="n">
        <f aca="false">H4392*1000/Parametres!$B$9</f>
        <v>1725.96235373919</v>
      </c>
    </row>
    <row r="4393" customFormat="false" ht="15" hidden="false" customHeight="false" outlineLevel="0" collapsed="false">
      <c r="A4393" s="0" t="n">
        <v>4389</v>
      </c>
      <c r="B4393" s="0" t="n">
        <v>7</v>
      </c>
      <c r="C4393" s="19" t="n">
        <v>0</v>
      </c>
      <c r="D4393" s="19" t="n">
        <v>0.2597</v>
      </c>
      <c r="E4393" s="20" t="n">
        <f aca="false">Parametres!$B$5*C4393</f>
        <v>0</v>
      </c>
      <c r="F4393" s="20" t="n">
        <f aca="false">Parametres!$B$6*D4393</f>
        <v>51.94</v>
      </c>
      <c r="G4393" s="20" t="n">
        <f aca="false">E4393+F4393</f>
        <v>51.94</v>
      </c>
      <c r="H4393" s="20" t="n">
        <f aca="false">IF(G4393&lt;Parametres!$B$8*Parametres!$B$7,0,MIN(G4393,Parametres!$B$7))</f>
        <v>51.94</v>
      </c>
      <c r="I4393" s="20" t="n">
        <f aca="false">G4393-H4393</f>
        <v>0</v>
      </c>
      <c r="J4393" s="21" t="n">
        <f aca="false">H4393*1000/Parametres!$B$9</f>
        <v>880.786840766491</v>
      </c>
    </row>
    <row r="4394" customFormat="false" ht="15" hidden="false" customHeight="false" outlineLevel="0" collapsed="false">
      <c r="A4394" s="0" t="n">
        <v>4390</v>
      </c>
      <c r="B4394" s="0" t="n">
        <v>7</v>
      </c>
      <c r="C4394" s="19" t="n">
        <v>0</v>
      </c>
      <c r="D4394" s="19" t="n">
        <v>0.5017</v>
      </c>
      <c r="E4394" s="20" t="n">
        <f aca="false">Parametres!$B$5*C4394</f>
        <v>0</v>
      </c>
      <c r="F4394" s="20" t="n">
        <f aca="false">Parametres!$B$6*D4394</f>
        <v>100.34</v>
      </c>
      <c r="G4394" s="20" t="n">
        <f aca="false">E4394+F4394</f>
        <v>100.34</v>
      </c>
      <c r="H4394" s="20" t="n">
        <f aca="false">IF(G4394&lt;Parametres!$B$8*Parametres!$B$7,0,MIN(G4394,Parametres!$B$7))</f>
        <v>100.34</v>
      </c>
      <c r="I4394" s="20" t="n">
        <f aca="false">G4394-H4394</f>
        <v>0</v>
      </c>
      <c r="J4394" s="21" t="n">
        <f aca="false">H4394*1000/Parametres!$B$9</f>
        <v>1701.54315753773</v>
      </c>
    </row>
    <row r="4395" customFormat="false" ht="15" hidden="false" customHeight="false" outlineLevel="0" collapsed="false">
      <c r="A4395" s="0" t="n">
        <v>4391</v>
      </c>
      <c r="B4395" s="0" t="n">
        <v>7</v>
      </c>
      <c r="C4395" s="19" t="n">
        <v>0</v>
      </c>
      <c r="D4395" s="19" t="n">
        <v>0.6216</v>
      </c>
      <c r="E4395" s="20" t="n">
        <f aca="false">Parametres!$B$5*C4395</f>
        <v>0</v>
      </c>
      <c r="F4395" s="20" t="n">
        <f aca="false">Parametres!$B$6*D4395</f>
        <v>124.32</v>
      </c>
      <c r="G4395" s="20" t="n">
        <f aca="false">E4395+F4395</f>
        <v>124.32</v>
      </c>
      <c r="H4395" s="20" t="n">
        <f aca="false">IF(G4395&lt;Parametres!$B$8*Parametres!$B$7,0,MIN(G4395,Parametres!$B$7))</f>
        <v>124.32</v>
      </c>
      <c r="I4395" s="20" t="n">
        <f aca="false">G4395-H4395</f>
        <v>0</v>
      </c>
      <c r="J4395" s="21" t="n">
        <f aca="false">H4395*1000/Parametres!$B$9</f>
        <v>2108.19060539257</v>
      </c>
    </row>
    <row r="4396" customFormat="false" ht="15" hidden="false" customHeight="false" outlineLevel="0" collapsed="false">
      <c r="A4396" s="0" t="n">
        <v>4392</v>
      </c>
      <c r="B4396" s="0" t="n">
        <v>7</v>
      </c>
      <c r="C4396" s="19" t="n">
        <v>0</v>
      </c>
      <c r="D4396" s="19" t="n">
        <v>0.6497</v>
      </c>
      <c r="E4396" s="20" t="n">
        <f aca="false">Parametres!$B$5*C4396</f>
        <v>0</v>
      </c>
      <c r="F4396" s="20" t="n">
        <f aca="false">Parametres!$B$6*D4396</f>
        <v>129.94</v>
      </c>
      <c r="G4396" s="20" t="n">
        <f aca="false">E4396+F4396</f>
        <v>129.94</v>
      </c>
      <c r="H4396" s="20" t="n">
        <f aca="false">IF(G4396&lt;Parametres!$B$8*Parametres!$B$7,0,MIN(G4396,Parametres!$B$7))</f>
        <v>129.94</v>
      </c>
      <c r="I4396" s="20" t="n">
        <f aca="false">G4396-H4396</f>
        <v>0</v>
      </c>
      <c r="J4396" s="21" t="n">
        <f aca="false">H4396*1000/Parametres!$B$9</f>
        <v>2203.49330167882</v>
      </c>
    </row>
    <row r="4397" customFormat="false" ht="15" hidden="false" customHeight="false" outlineLevel="0" collapsed="false">
      <c r="A4397" s="0" t="n">
        <v>4393</v>
      </c>
      <c r="B4397" s="0" t="n">
        <v>7</v>
      </c>
      <c r="C4397" s="19" t="n">
        <v>0</v>
      </c>
      <c r="D4397" s="19" t="n">
        <v>0.4276</v>
      </c>
      <c r="E4397" s="20" t="n">
        <f aca="false">Parametres!$B$5*C4397</f>
        <v>0</v>
      </c>
      <c r="F4397" s="20" t="n">
        <f aca="false">Parametres!$B$6*D4397</f>
        <v>85.52</v>
      </c>
      <c r="G4397" s="20" t="n">
        <f aca="false">E4397+F4397</f>
        <v>85.52</v>
      </c>
      <c r="H4397" s="20" t="n">
        <f aca="false">IF(G4397&lt;Parametres!$B$8*Parametres!$B$7,0,MIN(G4397,Parametres!$B$7))</f>
        <v>85.52</v>
      </c>
      <c r="I4397" s="20" t="n">
        <f aca="false">G4397-H4397</f>
        <v>0</v>
      </c>
      <c r="J4397" s="21" t="n">
        <f aca="false">H4397*1000/Parametres!$B$9</f>
        <v>1450.22892996439</v>
      </c>
    </row>
    <row r="4398" customFormat="false" ht="15" hidden="false" customHeight="false" outlineLevel="0" collapsed="false">
      <c r="A4398" s="0" t="n">
        <v>4394</v>
      </c>
      <c r="B4398" s="0" t="n">
        <v>7</v>
      </c>
      <c r="C4398" s="19" t="n">
        <v>0</v>
      </c>
      <c r="D4398" s="19" t="n">
        <v>0.4338</v>
      </c>
      <c r="E4398" s="20" t="n">
        <f aca="false">Parametres!$B$5*C4398</f>
        <v>0</v>
      </c>
      <c r="F4398" s="20" t="n">
        <f aca="false">Parametres!$B$6*D4398</f>
        <v>86.76</v>
      </c>
      <c r="G4398" s="20" t="n">
        <f aca="false">E4398+F4398</f>
        <v>86.76</v>
      </c>
      <c r="H4398" s="20" t="n">
        <f aca="false">IF(G4398&lt;Parametres!$B$8*Parametres!$B$7,0,MIN(G4398,Parametres!$B$7))</f>
        <v>86.76</v>
      </c>
      <c r="I4398" s="20" t="n">
        <f aca="false">G4398-H4398</f>
        <v>0</v>
      </c>
      <c r="J4398" s="21" t="n">
        <f aca="false">H4398*1000/Parametres!$B$9</f>
        <v>1471.25657113787</v>
      </c>
    </row>
    <row r="4399" customFormat="false" ht="15" hidden="false" customHeight="false" outlineLevel="0" collapsed="false">
      <c r="A4399" s="0" t="n">
        <v>4395</v>
      </c>
      <c r="B4399" s="0" t="n">
        <v>7</v>
      </c>
      <c r="C4399" s="19" t="n">
        <v>0</v>
      </c>
      <c r="D4399" s="19" t="n">
        <v>0.4037</v>
      </c>
      <c r="E4399" s="20" t="n">
        <f aca="false">Parametres!$B$5*C4399</f>
        <v>0</v>
      </c>
      <c r="F4399" s="20" t="n">
        <f aca="false">Parametres!$B$6*D4399</f>
        <v>80.74</v>
      </c>
      <c r="G4399" s="20" t="n">
        <f aca="false">E4399+F4399</f>
        <v>80.74</v>
      </c>
      <c r="H4399" s="20" t="n">
        <f aca="false">IF(G4399&lt;Parametres!$B$8*Parametres!$B$7,0,MIN(G4399,Parametres!$B$7))</f>
        <v>80.74</v>
      </c>
      <c r="I4399" s="20" t="n">
        <f aca="false">G4399-H4399</f>
        <v>0</v>
      </c>
      <c r="J4399" s="21" t="n">
        <f aca="false">H4399*1000/Parametres!$B$9</f>
        <v>1369.17076479566</v>
      </c>
    </row>
    <row r="4400" customFormat="false" ht="15" hidden="false" customHeight="false" outlineLevel="0" collapsed="false">
      <c r="A4400" s="0" t="n">
        <v>4396</v>
      </c>
      <c r="B4400" s="0" t="n">
        <v>7</v>
      </c>
      <c r="C4400" s="19" t="n">
        <v>0</v>
      </c>
      <c r="D4400" s="19" t="n">
        <v>0.4854</v>
      </c>
      <c r="E4400" s="20" t="n">
        <f aca="false">Parametres!$B$5*C4400</f>
        <v>0</v>
      </c>
      <c r="F4400" s="20" t="n">
        <f aca="false">Parametres!$B$6*D4400</f>
        <v>97.08</v>
      </c>
      <c r="G4400" s="20" t="n">
        <f aca="false">E4400+F4400</f>
        <v>97.08</v>
      </c>
      <c r="H4400" s="20" t="n">
        <f aca="false">IF(G4400&lt;Parametres!$B$8*Parametres!$B$7,0,MIN(G4400,Parametres!$B$7))</f>
        <v>97.08</v>
      </c>
      <c r="I4400" s="20" t="n">
        <f aca="false">G4400-H4400</f>
        <v>0</v>
      </c>
      <c r="J4400" s="21" t="n">
        <f aca="false">H4400*1000/Parametres!$B$9</f>
        <v>1646.26081058165</v>
      </c>
    </row>
    <row r="4401" customFormat="false" ht="15" hidden="false" customHeight="false" outlineLevel="0" collapsed="false">
      <c r="A4401" s="0" t="n">
        <v>4397</v>
      </c>
      <c r="B4401" s="0" t="n">
        <v>7</v>
      </c>
      <c r="C4401" s="19" t="n">
        <v>0</v>
      </c>
      <c r="D4401" s="19" t="n">
        <v>0.2818</v>
      </c>
      <c r="E4401" s="20" t="n">
        <f aca="false">Parametres!$B$5*C4401</f>
        <v>0</v>
      </c>
      <c r="F4401" s="20" t="n">
        <f aca="false">Parametres!$B$6*D4401</f>
        <v>56.36</v>
      </c>
      <c r="G4401" s="20" t="n">
        <f aca="false">E4401+F4401</f>
        <v>56.36</v>
      </c>
      <c r="H4401" s="20" t="n">
        <f aca="false">IF(G4401&lt;Parametres!$B$8*Parametres!$B$7,0,MIN(G4401,Parametres!$B$7))</f>
        <v>56.36</v>
      </c>
      <c r="I4401" s="20" t="n">
        <f aca="false">G4401-H4401</f>
        <v>0</v>
      </c>
      <c r="J4401" s="21" t="n">
        <f aca="false">H4401*1000/Parametres!$B$9</f>
        <v>955.740206884857</v>
      </c>
    </row>
    <row r="4402" customFormat="false" ht="15" hidden="false" customHeight="false" outlineLevel="0" collapsed="false">
      <c r="A4402" s="0" t="n">
        <v>4398</v>
      </c>
      <c r="B4402" s="0" t="n">
        <v>7</v>
      </c>
      <c r="C4402" s="19" t="n">
        <v>0.0748</v>
      </c>
      <c r="D4402" s="19" t="n">
        <v>0.3738</v>
      </c>
      <c r="E4402" s="20" t="n">
        <f aca="false">Parametres!$B$5*C4402</f>
        <v>22.44</v>
      </c>
      <c r="F4402" s="20" t="n">
        <f aca="false">Parametres!$B$6*D4402</f>
        <v>74.76</v>
      </c>
      <c r="G4402" s="20" t="n">
        <f aca="false">E4402+F4402</f>
        <v>97.2</v>
      </c>
      <c r="H4402" s="20" t="n">
        <f aca="false">IF(G4402&lt;Parametres!$B$8*Parametres!$B$7,0,MIN(G4402,Parametres!$B$7))</f>
        <v>97.2</v>
      </c>
      <c r="I4402" s="20" t="n">
        <f aca="false">G4402-H4402</f>
        <v>0</v>
      </c>
      <c r="J4402" s="21" t="n">
        <f aca="false">H4402*1000/Parametres!$B$9</f>
        <v>1648.29574359844</v>
      </c>
    </row>
    <row r="4403" customFormat="false" ht="15" hidden="false" customHeight="false" outlineLevel="0" collapsed="false">
      <c r="A4403" s="0" t="n">
        <v>4399</v>
      </c>
      <c r="B4403" s="0" t="n">
        <v>7</v>
      </c>
      <c r="C4403" s="19" t="n">
        <v>0.36</v>
      </c>
      <c r="D4403" s="19" t="n">
        <v>0.5478</v>
      </c>
      <c r="E4403" s="20" t="n">
        <f aca="false">Parametres!$B$5*C4403</f>
        <v>108</v>
      </c>
      <c r="F4403" s="20" t="n">
        <f aca="false">Parametres!$B$6*D4403</f>
        <v>109.56</v>
      </c>
      <c r="G4403" s="20" t="n">
        <f aca="false">E4403+F4403</f>
        <v>217.56</v>
      </c>
      <c r="H4403" s="20" t="n">
        <f aca="false">IF(G4403&lt;Parametres!$B$8*Parametres!$B$7,0,MIN(G4403,Parametres!$B$7))</f>
        <v>217.56</v>
      </c>
      <c r="I4403" s="20" t="n">
        <f aca="false">G4403-H4403</f>
        <v>0</v>
      </c>
      <c r="J4403" s="21" t="n">
        <f aca="false">H4403*1000/Parametres!$B$9</f>
        <v>3689.333559437</v>
      </c>
    </row>
    <row r="4404" customFormat="false" ht="15" hidden="false" customHeight="false" outlineLevel="0" collapsed="false">
      <c r="A4404" s="0" t="n">
        <v>4400</v>
      </c>
      <c r="B4404" s="0" t="n">
        <v>7</v>
      </c>
      <c r="C4404" s="19" t="n">
        <v>0.6793</v>
      </c>
      <c r="D4404" s="19" t="n">
        <v>0.4398</v>
      </c>
      <c r="E4404" s="20" t="n">
        <f aca="false">Parametres!$B$5*C4404</f>
        <v>203.79</v>
      </c>
      <c r="F4404" s="20" t="n">
        <f aca="false">Parametres!$B$6*D4404</f>
        <v>87.96</v>
      </c>
      <c r="G4404" s="20" t="n">
        <f aca="false">E4404+F4404</f>
        <v>291.75</v>
      </c>
      <c r="H4404" s="20" t="n">
        <f aca="false">IF(G4404&lt;Parametres!$B$8*Parametres!$B$7,0,MIN(G4404,Parametres!$B$7))</f>
        <v>250</v>
      </c>
      <c r="I4404" s="20" t="n">
        <f aca="false">G4404-H4404</f>
        <v>41.75</v>
      </c>
      <c r="J4404" s="21" t="n">
        <f aca="false">H4404*1000/Parametres!$B$9</f>
        <v>4239.44378497541</v>
      </c>
    </row>
    <row r="4405" customFormat="false" ht="15" hidden="false" customHeight="false" outlineLevel="0" collapsed="false">
      <c r="A4405" s="0" t="n">
        <v>4401</v>
      </c>
      <c r="B4405" s="0" t="n">
        <v>7</v>
      </c>
      <c r="C4405" s="19" t="n">
        <v>0.885</v>
      </c>
      <c r="D4405" s="19" t="n">
        <v>0.3502</v>
      </c>
      <c r="E4405" s="20" t="n">
        <f aca="false">Parametres!$B$5*C4405</f>
        <v>265.5</v>
      </c>
      <c r="F4405" s="20" t="n">
        <f aca="false">Parametres!$B$6*D4405</f>
        <v>70.04</v>
      </c>
      <c r="G4405" s="20" t="n">
        <f aca="false">E4405+F4405</f>
        <v>335.54</v>
      </c>
      <c r="H4405" s="20" t="n">
        <f aca="false">IF(G4405&lt;Parametres!$B$8*Parametres!$B$7,0,MIN(G4405,Parametres!$B$7))</f>
        <v>250</v>
      </c>
      <c r="I4405" s="20" t="n">
        <f aca="false">G4405-H4405</f>
        <v>85.54</v>
      </c>
      <c r="J4405" s="21" t="n">
        <f aca="false">H4405*1000/Parametres!$B$9</f>
        <v>4239.44378497541</v>
      </c>
    </row>
    <row r="4406" customFormat="false" ht="15" hidden="false" customHeight="false" outlineLevel="0" collapsed="false">
      <c r="A4406" s="0" t="n">
        <v>4402</v>
      </c>
      <c r="B4406" s="0" t="n">
        <v>7</v>
      </c>
      <c r="C4406" s="19" t="n">
        <v>1</v>
      </c>
      <c r="D4406" s="19" t="n">
        <v>0.3817</v>
      </c>
      <c r="E4406" s="20" t="n">
        <f aca="false">Parametres!$B$5*C4406</f>
        <v>300</v>
      </c>
      <c r="F4406" s="20" t="n">
        <f aca="false">Parametres!$B$6*D4406</f>
        <v>76.34</v>
      </c>
      <c r="G4406" s="20" t="n">
        <f aca="false">E4406+F4406</f>
        <v>376.34</v>
      </c>
      <c r="H4406" s="20" t="n">
        <f aca="false">IF(G4406&lt;Parametres!$B$8*Parametres!$B$7,0,MIN(G4406,Parametres!$B$7))</f>
        <v>250</v>
      </c>
      <c r="I4406" s="20" t="n">
        <f aca="false">G4406-H4406</f>
        <v>126.34</v>
      </c>
      <c r="J4406" s="21" t="n">
        <f aca="false">H4406*1000/Parametres!$B$9</f>
        <v>4239.44378497541</v>
      </c>
    </row>
    <row r="4407" customFormat="false" ht="15" hidden="false" customHeight="false" outlineLevel="0" collapsed="false">
      <c r="A4407" s="0" t="n">
        <v>4403</v>
      </c>
      <c r="B4407" s="0" t="n">
        <v>7</v>
      </c>
      <c r="C4407" s="19" t="n">
        <v>1</v>
      </c>
      <c r="D4407" s="19" t="n">
        <v>0.2569</v>
      </c>
      <c r="E4407" s="20" t="n">
        <f aca="false">Parametres!$B$5*C4407</f>
        <v>300</v>
      </c>
      <c r="F4407" s="20" t="n">
        <f aca="false">Parametres!$B$6*D4407</f>
        <v>51.38</v>
      </c>
      <c r="G4407" s="20" t="n">
        <f aca="false">E4407+F4407</f>
        <v>351.38</v>
      </c>
      <c r="H4407" s="20" t="n">
        <f aca="false">IF(G4407&lt;Parametres!$B$8*Parametres!$B$7,0,MIN(G4407,Parametres!$B$7))</f>
        <v>250</v>
      </c>
      <c r="I4407" s="20" t="n">
        <f aca="false">G4407-H4407</f>
        <v>101.38</v>
      </c>
      <c r="J4407" s="21" t="n">
        <f aca="false">H4407*1000/Parametres!$B$9</f>
        <v>4239.44378497541</v>
      </c>
    </row>
    <row r="4408" customFormat="false" ht="15" hidden="false" customHeight="false" outlineLevel="0" collapsed="false">
      <c r="A4408" s="0" t="n">
        <v>4404</v>
      </c>
      <c r="B4408" s="0" t="n">
        <v>7</v>
      </c>
      <c r="C4408" s="19" t="n">
        <v>1</v>
      </c>
      <c r="D4408" s="19" t="n">
        <v>0.2627</v>
      </c>
      <c r="E4408" s="20" t="n">
        <f aca="false">Parametres!$B$5*C4408</f>
        <v>300</v>
      </c>
      <c r="F4408" s="20" t="n">
        <f aca="false">Parametres!$B$6*D4408</f>
        <v>52.54</v>
      </c>
      <c r="G4408" s="20" t="n">
        <f aca="false">E4408+F4408</f>
        <v>352.54</v>
      </c>
      <c r="H4408" s="20" t="n">
        <f aca="false">IF(G4408&lt;Parametres!$B$8*Parametres!$B$7,0,MIN(G4408,Parametres!$B$7))</f>
        <v>250</v>
      </c>
      <c r="I4408" s="20" t="n">
        <f aca="false">G4408-H4408</f>
        <v>102.54</v>
      </c>
      <c r="J4408" s="21" t="n">
        <f aca="false">H4408*1000/Parametres!$B$9</f>
        <v>4239.44378497541</v>
      </c>
    </row>
    <row r="4409" customFormat="false" ht="15" hidden="false" customHeight="false" outlineLevel="0" collapsed="false">
      <c r="A4409" s="0" t="n">
        <v>4405</v>
      </c>
      <c r="B4409" s="0" t="n">
        <v>7</v>
      </c>
      <c r="C4409" s="19" t="n">
        <v>1</v>
      </c>
      <c r="D4409" s="19" t="n">
        <v>0.2643</v>
      </c>
      <c r="E4409" s="20" t="n">
        <f aca="false">Parametres!$B$5*C4409</f>
        <v>300</v>
      </c>
      <c r="F4409" s="20" t="n">
        <f aca="false">Parametres!$B$6*D4409</f>
        <v>52.86</v>
      </c>
      <c r="G4409" s="20" t="n">
        <f aca="false">E4409+F4409</f>
        <v>352.86</v>
      </c>
      <c r="H4409" s="20" t="n">
        <f aca="false">IF(G4409&lt;Parametres!$B$8*Parametres!$B$7,0,MIN(G4409,Parametres!$B$7))</f>
        <v>250</v>
      </c>
      <c r="I4409" s="20" t="n">
        <f aca="false">G4409-H4409</f>
        <v>102.86</v>
      </c>
      <c r="J4409" s="21" t="n">
        <f aca="false">H4409*1000/Parametres!$B$9</f>
        <v>4239.44378497541</v>
      </c>
    </row>
    <row r="4410" customFormat="false" ht="15" hidden="false" customHeight="false" outlineLevel="0" collapsed="false">
      <c r="A4410" s="0" t="n">
        <v>4406</v>
      </c>
      <c r="B4410" s="0" t="n">
        <v>7</v>
      </c>
      <c r="C4410" s="19" t="n">
        <v>1</v>
      </c>
      <c r="D4410" s="19" t="n">
        <v>0.5139</v>
      </c>
      <c r="E4410" s="20" t="n">
        <f aca="false">Parametres!$B$5*C4410</f>
        <v>300</v>
      </c>
      <c r="F4410" s="20" t="n">
        <f aca="false">Parametres!$B$6*D4410</f>
        <v>102.78</v>
      </c>
      <c r="G4410" s="20" t="n">
        <f aca="false">E4410+F4410</f>
        <v>402.78</v>
      </c>
      <c r="H4410" s="20" t="n">
        <f aca="false">IF(G4410&lt;Parametres!$B$8*Parametres!$B$7,0,MIN(G4410,Parametres!$B$7))</f>
        <v>250</v>
      </c>
      <c r="I4410" s="20" t="n">
        <f aca="false">G4410-H4410</f>
        <v>152.78</v>
      </c>
      <c r="J4410" s="21" t="n">
        <f aca="false">H4410*1000/Parametres!$B$9</f>
        <v>4239.44378497541</v>
      </c>
    </row>
    <row r="4411" customFormat="false" ht="15" hidden="false" customHeight="false" outlineLevel="0" collapsed="false">
      <c r="A4411" s="0" t="n">
        <v>4407</v>
      </c>
      <c r="B4411" s="0" t="n">
        <v>7</v>
      </c>
      <c r="C4411" s="19" t="n">
        <v>1</v>
      </c>
      <c r="D4411" s="19" t="n">
        <v>0.3735</v>
      </c>
      <c r="E4411" s="20" t="n">
        <f aca="false">Parametres!$B$5*C4411</f>
        <v>300</v>
      </c>
      <c r="F4411" s="20" t="n">
        <f aca="false">Parametres!$B$6*D4411</f>
        <v>74.7</v>
      </c>
      <c r="G4411" s="20" t="n">
        <f aca="false">E4411+F4411</f>
        <v>374.7</v>
      </c>
      <c r="H4411" s="20" t="n">
        <f aca="false">IF(G4411&lt;Parametres!$B$8*Parametres!$B$7,0,MIN(G4411,Parametres!$B$7))</f>
        <v>250</v>
      </c>
      <c r="I4411" s="20" t="n">
        <f aca="false">G4411-H4411</f>
        <v>124.7</v>
      </c>
      <c r="J4411" s="21" t="n">
        <f aca="false">H4411*1000/Parametres!$B$9</f>
        <v>4239.44378497541</v>
      </c>
    </row>
    <row r="4412" customFormat="false" ht="15" hidden="false" customHeight="false" outlineLevel="0" collapsed="false">
      <c r="A4412" s="0" t="n">
        <v>4408</v>
      </c>
      <c r="B4412" s="0" t="n">
        <v>7</v>
      </c>
      <c r="C4412" s="19" t="n">
        <v>0.9225</v>
      </c>
      <c r="D4412" s="19" t="n">
        <v>0.3447</v>
      </c>
      <c r="E4412" s="20" t="n">
        <f aca="false">Parametres!$B$5*C4412</f>
        <v>276.75</v>
      </c>
      <c r="F4412" s="20" t="n">
        <f aca="false">Parametres!$B$6*D4412</f>
        <v>68.94</v>
      </c>
      <c r="G4412" s="20" t="n">
        <f aca="false">E4412+F4412</f>
        <v>345.69</v>
      </c>
      <c r="H4412" s="20" t="n">
        <f aca="false">IF(G4412&lt;Parametres!$B$8*Parametres!$B$7,0,MIN(G4412,Parametres!$B$7))</f>
        <v>250</v>
      </c>
      <c r="I4412" s="20" t="n">
        <f aca="false">G4412-H4412</f>
        <v>95.69</v>
      </c>
      <c r="J4412" s="21" t="n">
        <f aca="false">H4412*1000/Parametres!$B$9</f>
        <v>4239.44378497541</v>
      </c>
    </row>
    <row r="4413" customFormat="false" ht="15" hidden="false" customHeight="false" outlineLevel="0" collapsed="false">
      <c r="A4413" s="0" t="n">
        <v>4409</v>
      </c>
      <c r="B4413" s="0" t="n">
        <v>7</v>
      </c>
      <c r="C4413" s="19" t="n">
        <v>0.6387</v>
      </c>
      <c r="D4413" s="19" t="n">
        <v>0.5932</v>
      </c>
      <c r="E4413" s="20" t="n">
        <f aca="false">Parametres!$B$5*C4413</f>
        <v>191.61</v>
      </c>
      <c r="F4413" s="20" t="n">
        <f aca="false">Parametres!$B$6*D4413</f>
        <v>118.64</v>
      </c>
      <c r="G4413" s="20" t="n">
        <f aca="false">E4413+F4413</f>
        <v>310.25</v>
      </c>
      <c r="H4413" s="20" t="n">
        <f aca="false">IF(G4413&lt;Parametres!$B$8*Parametres!$B$7,0,MIN(G4413,Parametres!$B$7))</f>
        <v>250</v>
      </c>
      <c r="I4413" s="20" t="n">
        <f aca="false">G4413-H4413</f>
        <v>60.25</v>
      </c>
      <c r="J4413" s="21" t="n">
        <f aca="false">H4413*1000/Parametres!$B$9</f>
        <v>4239.44378497541</v>
      </c>
    </row>
    <row r="4414" customFormat="false" ht="15" hidden="false" customHeight="false" outlineLevel="0" collapsed="false">
      <c r="A4414" s="0" t="n">
        <v>4410</v>
      </c>
      <c r="B4414" s="0" t="n">
        <v>7</v>
      </c>
      <c r="C4414" s="19" t="n">
        <v>0.361</v>
      </c>
      <c r="D4414" s="19" t="n">
        <v>0.292</v>
      </c>
      <c r="E4414" s="20" t="n">
        <f aca="false">Parametres!$B$5*C4414</f>
        <v>108.3</v>
      </c>
      <c r="F4414" s="20" t="n">
        <f aca="false">Parametres!$B$6*D4414</f>
        <v>58.4</v>
      </c>
      <c r="G4414" s="20" t="n">
        <f aca="false">E4414+F4414</f>
        <v>166.7</v>
      </c>
      <c r="H4414" s="20" t="n">
        <f aca="false">IF(G4414&lt;Parametres!$B$8*Parametres!$B$7,0,MIN(G4414,Parametres!$B$7))</f>
        <v>166.7</v>
      </c>
      <c r="I4414" s="20" t="n">
        <f aca="false">G4414-H4414</f>
        <v>0</v>
      </c>
      <c r="J4414" s="21" t="n">
        <f aca="false">H4414*1000/Parametres!$B$9</f>
        <v>2826.8611158216</v>
      </c>
    </row>
    <row r="4415" customFormat="false" ht="15" hidden="false" customHeight="false" outlineLevel="0" collapsed="false">
      <c r="A4415" s="0" t="n">
        <v>4411</v>
      </c>
      <c r="B4415" s="0" t="n">
        <v>7</v>
      </c>
      <c r="C4415" s="19" t="n">
        <v>0.0735</v>
      </c>
      <c r="D4415" s="19" t="n">
        <v>0.4326</v>
      </c>
      <c r="E4415" s="20" t="n">
        <f aca="false">Parametres!$B$5*C4415</f>
        <v>22.05</v>
      </c>
      <c r="F4415" s="20" t="n">
        <f aca="false">Parametres!$B$6*D4415</f>
        <v>86.52</v>
      </c>
      <c r="G4415" s="20" t="n">
        <f aca="false">E4415+F4415</f>
        <v>108.57</v>
      </c>
      <c r="H4415" s="20" t="n">
        <f aca="false">IF(G4415&lt;Parametres!$B$8*Parametres!$B$7,0,MIN(G4415,Parametres!$B$7))</f>
        <v>108.57</v>
      </c>
      <c r="I4415" s="20" t="n">
        <f aca="false">G4415-H4415</f>
        <v>0</v>
      </c>
      <c r="J4415" s="21" t="n">
        <f aca="false">H4415*1000/Parametres!$B$9</f>
        <v>1841.10564693912</v>
      </c>
    </row>
    <row r="4416" customFormat="false" ht="15" hidden="false" customHeight="false" outlineLevel="0" collapsed="false">
      <c r="A4416" s="0" t="n">
        <v>4412</v>
      </c>
      <c r="B4416" s="0" t="n">
        <v>7</v>
      </c>
      <c r="C4416" s="19" t="n">
        <v>0</v>
      </c>
      <c r="D4416" s="19" t="n">
        <v>0.3328</v>
      </c>
      <c r="E4416" s="20" t="n">
        <f aca="false">Parametres!$B$5*C4416</f>
        <v>0</v>
      </c>
      <c r="F4416" s="20" t="n">
        <f aca="false">Parametres!$B$6*D4416</f>
        <v>66.56</v>
      </c>
      <c r="G4416" s="20" t="n">
        <f aca="false">E4416+F4416</f>
        <v>66.56</v>
      </c>
      <c r="H4416" s="20" t="n">
        <f aca="false">IF(G4416&lt;Parametres!$B$8*Parametres!$B$7,0,MIN(G4416,Parametres!$B$7))</f>
        <v>66.56</v>
      </c>
      <c r="I4416" s="20" t="n">
        <f aca="false">G4416-H4416</f>
        <v>0</v>
      </c>
      <c r="J4416" s="21" t="n">
        <f aca="false">H4416*1000/Parametres!$B$9</f>
        <v>1128.70951331185</v>
      </c>
    </row>
    <row r="4417" customFormat="false" ht="15" hidden="false" customHeight="false" outlineLevel="0" collapsed="false">
      <c r="A4417" s="0" t="n">
        <v>4413</v>
      </c>
      <c r="B4417" s="0" t="n">
        <v>7</v>
      </c>
      <c r="C4417" s="19" t="n">
        <v>0</v>
      </c>
      <c r="D4417" s="19" t="n">
        <v>0.3833</v>
      </c>
      <c r="E4417" s="20" t="n">
        <f aca="false">Parametres!$B$5*C4417</f>
        <v>0</v>
      </c>
      <c r="F4417" s="20" t="n">
        <f aca="false">Parametres!$B$6*D4417</f>
        <v>76.66</v>
      </c>
      <c r="G4417" s="20" t="n">
        <f aca="false">E4417+F4417</f>
        <v>76.66</v>
      </c>
      <c r="H4417" s="20" t="n">
        <f aca="false">IF(G4417&lt;Parametres!$B$8*Parametres!$B$7,0,MIN(G4417,Parametres!$B$7))</f>
        <v>76.66</v>
      </c>
      <c r="I4417" s="20" t="n">
        <f aca="false">G4417-H4417</f>
        <v>0</v>
      </c>
      <c r="J4417" s="21" t="n">
        <f aca="false">H4417*1000/Parametres!$B$9</f>
        <v>1299.98304222486</v>
      </c>
    </row>
    <row r="4418" customFormat="false" ht="15" hidden="false" customHeight="false" outlineLevel="0" collapsed="false">
      <c r="A4418" s="0" t="n">
        <v>4414</v>
      </c>
      <c r="B4418" s="0" t="n">
        <v>7</v>
      </c>
      <c r="C4418" s="19" t="n">
        <v>0</v>
      </c>
      <c r="D4418" s="19" t="n">
        <v>0.3383</v>
      </c>
      <c r="E4418" s="20" t="n">
        <f aca="false">Parametres!$B$5*C4418</f>
        <v>0</v>
      </c>
      <c r="F4418" s="20" t="n">
        <f aca="false">Parametres!$B$6*D4418</f>
        <v>67.66</v>
      </c>
      <c r="G4418" s="20" t="n">
        <f aca="false">E4418+F4418</f>
        <v>67.66</v>
      </c>
      <c r="H4418" s="20" t="n">
        <f aca="false">IF(G4418&lt;Parametres!$B$8*Parametres!$B$7,0,MIN(G4418,Parametres!$B$7))</f>
        <v>67.66</v>
      </c>
      <c r="I4418" s="20" t="n">
        <f aca="false">G4418-H4418</f>
        <v>0</v>
      </c>
      <c r="J4418" s="21" t="n">
        <f aca="false">H4418*1000/Parametres!$B$9</f>
        <v>1147.36306596575</v>
      </c>
    </row>
    <row r="4419" customFormat="false" ht="15" hidden="false" customHeight="false" outlineLevel="0" collapsed="false">
      <c r="A4419" s="0" t="n">
        <v>4415</v>
      </c>
      <c r="B4419" s="0" t="n">
        <v>7</v>
      </c>
      <c r="C4419" s="19" t="n">
        <v>0</v>
      </c>
      <c r="D4419" s="19" t="n">
        <v>0.3803</v>
      </c>
      <c r="E4419" s="20" t="n">
        <f aca="false">Parametres!$B$5*C4419</f>
        <v>0</v>
      </c>
      <c r="F4419" s="20" t="n">
        <f aca="false">Parametres!$B$6*D4419</f>
        <v>76.06</v>
      </c>
      <c r="G4419" s="20" t="n">
        <f aca="false">E4419+F4419</f>
        <v>76.06</v>
      </c>
      <c r="H4419" s="20" t="n">
        <f aca="false">IF(G4419&lt;Parametres!$B$8*Parametres!$B$7,0,MIN(G4419,Parametres!$B$7))</f>
        <v>76.06</v>
      </c>
      <c r="I4419" s="20" t="n">
        <f aca="false">G4419-H4419</f>
        <v>0</v>
      </c>
      <c r="J4419" s="21" t="n">
        <f aca="false">H4419*1000/Parametres!$B$9</f>
        <v>1289.80837714092</v>
      </c>
    </row>
    <row r="4420" customFormat="false" ht="15" hidden="false" customHeight="false" outlineLevel="0" collapsed="false">
      <c r="A4420" s="0" t="n">
        <v>4416</v>
      </c>
      <c r="B4420" s="0" t="n">
        <v>7</v>
      </c>
      <c r="C4420" s="19" t="n">
        <v>0</v>
      </c>
      <c r="D4420" s="19" t="n">
        <v>0.0675</v>
      </c>
      <c r="E4420" s="20" t="n">
        <f aca="false">Parametres!$B$5*C4420</f>
        <v>0</v>
      </c>
      <c r="F4420" s="20" t="n">
        <f aca="false">Parametres!$B$6*D4420</f>
        <v>13.5</v>
      </c>
      <c r="G4420" s="20" t="n">
        <f aca="false">E4420+F4420</f>
        <v>13.5</v>
      </c>
      <c r="H4420" s="20" t="n">
        <f aca="false">IF(G4420&lt;Parametres!$B$8*Parametres!$B$7,0,MIN(G4420,Parametres!$B$7))</f>
        <v>0</v>
      </c>
      <c r="I4420" s="20" t="n">
        <f aca="false">G4420-H4420</f>
        <v>13.5</v>
      </c>
      <c r="J4420" s="21" t="n">
        <f aca="false">H4420*1000/Parametres!$B$9</f>
        <v>0</v>
      </c>
    </row>
    <row r="4421" customFormat="false" ht="15" hidden="false" customHeight="false" outlineLevel="0" collapsed="false">
      <c r="A4421" s="0" t="n">
        <v>4417</v>
      </c>
      <c r="B4421" s="0" t="n">
        <v>7</v>
      </c>
      <c r="C4421" s="19" t="n">
        <v>0</v>
      </c>
      <c r="D4421" s="19" t="n">
        <v>0.0373</v>
      </c>
      <c r="E4421" s="20" t="n">
        <f aca="false">Parametres!$B$5*C4421</f>
        <v>0</v>
      </c>
      <c r="F4421" s="20" t="n">
        <f aca="false">Parametres!$B$6*D4421</f>
        <v>7.46</v>
      </c>
      <c r="G4421" s="20" t="n">
        <f aca="false">E4421+F4421</f>
        <v>7.46</v>
      </c>
      <c r="H4421" s="20" t="n">
        <f aca="false">IF(G4421&lt;Parametres!$B$8*Parametres!$B$7,0,MIN(G4421,Parametres!$B$7))</f>
        <v>0</v>
      </c>
      <c r="I4421" s="20" t="n">
        <f aca="false">G4421-H4421</f>
        <v>7.46</v>
      </c>
      <c r="J4421" s="21" t="n">
        <f aca="false">H4421*1000/Parametres!$B$9</f>
        <v>0</v>
      </c>
    </row>
    <row r="4422" customFormat="false" ht="15" hidden="false" customHeight="false" outlineLevel="0" collapsed="false">
      <c r="A4422" s="0" t="n">
        <v>4418</v>
      </c>
      <c r="B4422" s="0" t="n">
        <v>7</v>
      </c>
      <c r="C4422" s="19" t="n">
        <v>0</v>
      </c>
      <c r="D4422" s="19" t="n">
        <v>0.0048</v>
      </c>
      <c r="E4422" s="20" t="n">
        <f aca="false">Parametres!$B$5*C4422</f>
        <v>0</v>
      </c>
      <c r="F4422" s="20" t="n">
        <f aca="false">Parametres!$B$6*D4422</f>
        <v>0.96</v>
      </c>
      <c r="G4422" s="20" t="n">
        <f aca="false">E4422+F4422</f>
        <v>0.96</v>
      </c>
      <c r="H4422" s="20" t="n">
        <f aca="false">IF(G4422&lt;Parametres!$B$8*Parametres!$B$7,0,MIN(G4422,Parametres!$B$7))</f>
        <v>0</v>
      </c>
      <c r="I4422" s="20" t="n">
        <f aca="false">G4422-H4422</f>
        <v>0.96</v>
      </c>
      <c r="J4422" s="21" t="n">
        <f aca="false">H4422*1000/Parametres!$B$9</f>
        <v>0</v>
      </c>
    </row>
    <row r="4423" customFormat="false" ht="15" hidden="false" customHeight="false" outlineLevel="0" collapsed="false">
      <c r="A4423" s="0" t="n">
        <v>4419</v>
      </c>
      <c r="B4423" s="0" t="n">
        <v>7</v>
      </c>
      <c r="C4423" s="19" t="n">
        <v>0</v>
      </c>
      <c r="D4423" s="19" t="n">
        <v>0.0031</v>
      </c>
      <c r="E4423" s="20" t="n">
        <f aca="false">Parametres!$B$5*C4423</f>
        <v>0</v>
      </c>
      <c r="F4423" s="20" t="n">
        <f aca="false">Parametres!$B$6*D4423</f>
        <v>0.62</v>
      </c>
      <c r="G4423" s="20" t="n">
        <f aca="false">E4423+F4423</f>
        <v>0.62</v>
      </c>
      <c r="H4423" s="20" t="n">
        <f aca="false">IF(G4423&lt;Parametres!$B$8*Parametres!$B$7,0,MIN(G4423,Parametres!$B$7))</f>
        <v>0</v>
      </c>
      <c r="I4423" s="20" t="n">
        <f aca="false">G4423-H4423</f>
        <v>0.62</v>
      </c>
      <c r="J4423" s="21" t="n">
        <f aca="false">H4423*1000/Parametres!$B$9</f>
        <v>0</v>
      </c>
    </row>
    <row r="4424" customFormat="false" ht="15" hidden="false" customHeight="false" outlineLevel="0" collapsed="false">
      <c r="A4424" s="0" t="n">
        <v>4420</v>
      </c>
      <c r="B4424" s="0" t="n">
        <v>7</v>
      </c>
      <c r="C4424" s="19" t="n">
        <v>0</v>
      </c>
      <c r="D4424" s="19" t="n">
        <v>0.0011</v>
      </c>
      <c r="E4424" s="20" t="n">
        <f aca="false">Parametres!$B$5*C4424</f>
        <v>0</v>
      </c>
      <c r="F4424" s="20" t="n">
        <f aca="false">Parametres!$B$6*D4424</f>
        <v>0.22</v>
      </c>
      <c r="G4424" s="20" t="n">
        <f aca="false">E4424+F4424</f>
        <v>0.22</v>
      </c>
      <c r="H4424" s="20" t="n">
        <f aca="false">IF(G4424&lt;Parametres!$B$8*Parametres!$B$7,0,MIN(G4424,Parametres!$B$7))</f>
        <v>0</v>
      </c>
      <c r="I4424" s="20" t="n">
        <f aca="false">G4424-H4424</f>
        <v>0.22</v>
      </c>
      <c r="J4424" s="21" t="n">
        <f aca="false">H4424*1000/Parametres!$B$9</f>
        <v>0</v>
      </c>
    </row>
    <row r="4425" customFormat="false" ht="15" hidden="false" customHeight="false" outlineLevel="0" collapsed="false">
      <c r="A4425" s="0" t="n">
        <v>4421</v>
      </c>
      <c r="B4425" s="0" t="n">
        <v>7</v>
      </c>
      <c r="C4425" s="19" t="n">
        <v>0</v>
      </c>
      <c r="D4425" s="19" t="n">
        <v>0.0014</v>
      </c>
      <c r="E4425" s="20" t="n">
        <f aca="false">Parametres!$B$5*C4425</f>
        <v>0</v>
      </c>
      <c r="F4425" s="20" t="n">
        <f aca="false">Parametres!$B$6*D4425</f>
        <v>0.28</v>
      </c>
      <c r="G4425" s="20" t="n">
        <f aca="false">E4425+F4425</f>
        <v>0.28</v>
      </c>
      <c r="H4425" s="20" t="n">
        <f aca="false">IF(G4425&lt;Parametres!$B$8*Parametres!$B$7,0,MIN(G4425,Parametres!$B$7))</f>
        <v>0</v>
      </c>
      <c r="I4425" s="20" t="n">
        <f aca="false">G4425-H4425</f>
        <v>0.28</v>
      </c>
      <c r="J4425" s="21" t="n">
        <f aca="false">H4425*1000/Parametres!$B$9</f>
        <v>0</v>
      </c>
    </row>
    <row r="4426" customFormat="false" ht="15" hidden="false" customHeight="false" outlineLevel="0" collapsed="false">
      <c r="A4426" s="0" t="n">
        <v>4422</v>
      </c>
      <c r="B4426" s="0" t="n">
        <v>7</v>
      </c>
      <c r="C4426" s="19" t="n">
        <v>0.0697</v>
      </c>
      <c r="D4426" s="19" t="n">
        <v>0.0117</v>
      </c>
      <c r="E4426" s="20" t="n">
        <f aca="false">Parametres!$B$5*C4426</f>
        <v>20.91</v>
      </c>
      <c r="F4426" s="20" t="n">
        <f aca="false">Parametres!$B$6*D4426</f>
        <v>2.34</v>
      </c>
      <c r="G4426" s="20" t="n">
        <f aca="false">E4426+F4426</f>
        <v>23.25</v>
      </c>
      <c r="H4426" s="20" t="n">
        <f aca="false">IF(G4426&lt;Parametres!$B$8*Parametres!$B$7,0,MIN(G4426,Parametres!$B$7))</f>
        <v>0</v>
      </c>
      <c r="I4426" s="20" t="n">
        <f aca="false">G4426-H4426</f>
        <v>23.25</v>
      </c>
      <c r="J4426" s="21" t="n">
        <f aca="false">H4426*1000/Parametres!$B$9</f>
        <v>0</v>
      </c>
    </row>
    <row r="4427" customFormat="false" ht="15" hidden="false" customHeight="false" outlineLevel="0" collapsed="false">
      <c r="A4427" s="0" t="n">
        <v>4423</v>
      </c>
      <c r="B4427" s="0" t="n">
        <v>7</v>
      </c>
      <c r="C4427" s="19" t="n">
        <v>0.34</v>
      </c>
      <c r="D4427" s="19" t="n">
        <v>0.021</v>
      </c>
      <c r="E4427" s="20" t="n">
        <f aca="false">Parametres!$B$5*C4427</f>
        <v>102</v>
      </c>
      <c r="F4427" s="20" t="n">
        <f aca="false">Parametres!$B$6*D4427</f>
        <v>4.2</v>
      </c>
      <c r="G4427" s="20" t="n">
        <f aca="false">E4427+F4427</f>
        <v>106.2</v>
      </c>
      <c r="H4427" s="20" t="n">
        <f aca="false">IF(G4427&lt;Parametres!$B$8*Parametres!$B$7,0,MIN(G4427,Parametres!$B$7))</f>
        <v>106.2</v>
      </c>
      <c r="I4427" s="20" t="n">
        <f aca="false">G4427-H4427</f>
        <v>0</v>
      </c>
      <c r="J4427" s="21" t="n">
        <f aca="false">H4427*1000/Parametres!$B$9</f>
        <v>1800.91571985756</v>
      </c>
    </row>
    <row r="4428" customFormat="false" ht="15" hidden="false" customHeight="false" outlineLevel="0" collapsed="false">
      <c r="A4428" s="0" t="n">
        <v>4424</v>
      </c>
      <c r="B4428" s="0" t="n">
        <v>7</v>
      </c>
      <c r="C4428" s="19" t="n">
        <v>0.6306</v>
      </c>
      <c r="D4428" s="19" t="n">
        <v>0.0338</v>
      </c>
      <c r="E4428" s="20" t="n">
        <f aca="false">Parametres!$B$5*C4428</f>
        <v>189.18</v>
      </c>
      <c r="F4428" s="20" t="n">
        <f aca="false">Parametres!$B$6*D4428</f>
        <v>6.76</v>
      </c>
      <c r="G4428" s="20" t="n">
        <f aca="false">E4428+F4428</f>
        <v>195.94</v>
      </c>
      <c r="H4428" s="20" t="n">
        <f aca="false">IF(G4428&lt;Parametres!$B$8*Parametres!$B$7,0,MIN(G4428,Parametres!$B$7))</f>
        <v>195.94</v>
      </c>
      <c r="I4428" s="20" t="n">
        <f aca="false">G4428-H4428</f>
        <v>0</v>
      </c>
      <c r="J4428" s="21" t="n">
        <f aca="false">H4428*1000/Parametres!$B$9</f>
        <v>3322.70646091233</v>
      </c>
    </row>
    <row r="4429" customFormat="false" ht="15" hidden="false" customHeight="false" outlineLevel="0" collapsed="false">
      <c r="A4429" s="0" t="n">
        <v>4425</v>
      </c>
      <c r="B4429" s="0" t="n">
        <v>7</v>
      </c>
      <c r="C4429" s="19" t="n">
        <v>0.8926</v>
      </c>
      <c r="D4429" s="19" t="n">
        <v>0.0614</v>
      </c>
      <c r="E4429" s="20" t="n">
        <f aca="false">Parametres!$B$5*C4429</f>
        <v>267.78</v>
      </c>
      <c r="F4429" s="20" t="n">
        <f aca="false">Parametres!$B$6*D4429</f>
        <v>12.28</v>
      </c>
      <c r="G4429" s="20" t="n">
        <f aca="false">E4429+F4429</f>
        <v>280.06</v>
      </c>
      <c r="H4429" s="20" t="n">
        <f aca="false">IF(G4429&lt;Parametres!$B$8*Parametres!$B$7,0,MIN(G4429,Parametres!$B$7))</f>
        <v>250</v>
      </c>
      <c r="I4429" s="20" t="n">
        <f aca="false">G4429-H4429</f>
        <v>30.0599999999999</v>
      </c>
      <c r="J4429" s="21" t="n">
        <f aca="false">H4429*1000/Parametres!$B$9</f>
        <v>4239.44378497541</v>
      </c>
    </row>
    <row r="4430" customFormat="false" ht="15" hidden="false" customHeight="false" outlineLevel="0" collapsed="false">
      <c r="A4430" s="0" t="n">
        <v>4426</v>
      </c>
      <c r="B4430" s="0" t="n">
        <v>7</v>
      </c>
      <c r="C4430" s="19" t="n">
        <v>1</v>
      </c>
      <c r="D4430" s="19" t="n">
        <v>0.0648</v>
      </c>
      <c r="E4430" s="20" t="n">
        <f aca="false">Parametres!$B$5*C4430</f>
        <v>300</v>
      </c>
      <c r="F4430" s="20" t="n">
        <f aca="false">Parametres!$B$6*D4430</f>
        <v>12.96</v>
      </c>
      <c r="G4430" s="20" t="n">
        <f aca="false">E4430+F4430</f>
        <v>312.96</v>
      </c>
      <c r="H4430" s="20" t="n">
        <f aca="false">IF(G4430&lt;Parametres!$B$8*Parametres!$B$7,0,MIN(G4430,Parametres!$B$7))</f>
        <v>250</v>
      </c>
      <c r="I4430" s="20" t="n">
        <f aca="false">G4430-H4430</f>
        <v>62.96</v>
      </c>
      <c r="J4430" s="21" t="n">
        <f aca="false">H4430*1000/Parametres!$B$9</f>
        <v>4239.44378497541</v>
      </c>
    </row>
    <row r="4431" customFormat="false" ht="15" hidden="false" customHeight="false" outlineLevel="0" collapsed="false">
      <c r="A4431" s="0" t="n">
        <v>4427</v>
      </c>
      <c r="B4431" s="0" t="n">
        <v>7</v>
      </c>
      <c r="C4431" s="19" t="n">
        <v>1</v>
      </c>
      <c r="D4431" s="19" t="n">
        <v>0.1743</v>
      </c>
      <c r="E4431" s="20" t="n">
        <f aca="false">Parametres!$B$5*C4431</f>
        <v>300</v>
      </c>
      <c r="F4431" s="20" t="n">
        <f aca="false">Parametres!$B$6*D4431</f>
        <v>34.86</v>
      </c>
      <c r="G4431" s="20" t="n">
        <f aca="false">E4431+F4431</f>
        <v>334.86</v>
      </c>
      <c r="H4431" s="20" t="n">
        <f aca="false">IF(G4431&lt;Parametres!$B$8*Parametres!$B$7,0,MIN(G4431,Parametres!$B$7))</f>
        <v>250</v>
      </c>
      <c r="I4431" s="20" t="n">
        <f aca="false">G4431-H4431</f>
        <v>84.86</v>
      </c>
      <c r="J4431" s="21" t="n">
        <f aca="false">H4431*1000/Parametres!$B$9</f>
        <v>4239.44378497541</v>
      </c>
    </row>
    <row r="4432" customFormat="false" ht="15" hidden="false" customHeight="false" outlineLevel="0" collapsed="false">
      <c r="A4432" s="0" t="n">
        <v>4428</v>
      </c>
      <c r="B4432" s="0" t="n">
        <v>7</v>
      </c>
      <c r="C4432" s="19" t="n">
        <v>1</v>
      </c>
      <c r="D4432" s="19" t="n">
        <v>0.2751</v>
      </c>
      <c r="E4432" s="20" t="n">
        <f aca="false">Parametres!$B$5*C4432</f>
        <v>300</v>
      </c>
      <c r="F4432" s="20" t="n">
        <f aca="false">Parametres!$B$6*D4432</f>
        <v>55.02</v>
      </c>
      <c r="G4432" s="20" t="n">
        <f aca="false">E4432+F4432</f>
        <v>355.02</v>
      </c>
      <c r="H4432" s="20" t="n">
        <f aca="false">IF(G4432&lt;Parametres!$B$8*Parametres!$B$7,0,MIN(G4432,Parametres!$B$7))</f>
        <v>250</v>
      </c>
      <c r="I4432" s="20" t="n">
        <f aca="false">G4432-H4432</f>
        <v>105.02</v>
      </c>
      <c r="J4432" s="21" t="n">
        <f aca="false">H4432*1000/Parametres!$B$9</f>
        <v>4239.44378497541</v>
      </c>
    </row>
    <row r="4433" customFormat="false" ht="15" hidden="false" customHeight="false" outlineLevel="0" collapsed="false">
      <c r="A4433" s="0" t="n">
        <v>4429</v>
      </c>
      <c r="B4433" s="0" t="n">
        <v>7</v>
      </c>
      <c r="C4433" s="19" t="n">
        <v>1</v>
      </c>
      <c r="D4433" s="19" t="n">
        <v>0.3211</v>
      </c>
      <c r="E4433" s="20" t="n">
        <f aca="false">Parametres!$B$5*C4433</f>
        <v>300</v>
      </c>
      <c r="F4433" s="20" t="n">
        <f aca="false">Parametres!$B$6*D4433</f>
        <v>64.22</v>
      </c>
      <c r="G4433" s="20" t="n">
        <f aca="false">E4433+F4433</f>
        <v>364.22</v>
      </c>
      <c r="H4433" s="20" t="n">
        <f aca="false">IF(G4433&lt;Parametres!$B$8*Parametres!$B$7,0,MIN(G4433,Parametres!$B$7))</f>
        <v>250</v>
      </c>
      <c r="I4433" s="20" t="n">
        <f aca="false">G4433-H4433</f>
        <v>114.22</v>
      </c>
      <c r="J4433" s="21" t="n">
        <f aca="false">H4433*1000/Parametres!$B$9</f>
        <v>4239.44378497541</v>
      </c>
    </row>
    <row r="4434" customFormat="false" ht="15" hidden="false" customHeight="false" outlineLevel="0" collapsed="false">
      <c r="A4434" s="0" t="n">
        <v>4430</v>
      </c>
      <c r="B4434" s="0" t="n">
        <v>7</v>
      </c>
      <c r="C4434" s="19" t="n">
        <v>1</v>
      </c>
      <c r="D4434" s="19" t="n">
        <v>0.5782</v>
      </c>
      <c r="E4434" s="20" t="n">
        <f aca="false">Parametres!$B$5*C4434</f>
        <v>300</v>
      </c>
      <c r="F4434" s="20" t="n">
        <f aca="false">Parametres!$B$6*D4434</f>
        <v>115.64</v>
      </c>
      <c r="G4434" s="20" t="n">
        <f aca="false">E4434+F4434</f>
        <v>415.64</v>
      </c>
      <c r="H4434" s="20" t="n">
        <f aca="false">IF(G4434&lt;Parametres!$B$8*Parametres!$B$7,0,MIN(G4434,Parametres!$B$7))</f>
        <v>250</v>
      </c>
      <c r="I4434" s="20" t="n">
        <f aca="false">G4434-H4434</f>
        <v>165.64</v>
      </c>
      <c r="J4434" s="21" t="n">
        <f aca="false">H4434*1000/Parametres!$B$9</f>
        <v>4239.44378497541</v>
      </c>
    </row>
    <row r="4435" customFormat="false" ht="15" hidden="false" customHeight="false" outlineLevel="0" collapsed="false">
      <c r="A4435" s="0" t="n">
        <v>4431</v>
      </c>
      <c r="B4435" s="0" t="n">
        <v>7</v>
      </c>
      <c r="C4435" s="19" t="n">
        <v>1</v>
      </c>
      <c r="D4435" s="19" t="n">
        <v>0.5452</v>
      </c>
      <c r="E4435" s="20" t="n">
        <f aca="false">Parametres!$B$5*C4435</f>
        <v>300</v>
      </c>
      <c r="F4435" s="20" t="n">
        <f aca="false">Parametres!$B$6*D4435</f>
        <v>109.04</v>
      </c>
      <c r="G4435" s="20" t="n">
        <f aca="false">E4435+F4435</f>
        <v>409.04</v>
      </c>
      <c r="H4435" s="20" t="n">
        <f aca="false">IF(G4435&lt;Parametres!$B$8*Parametres!$B$7,0,MIN(G4435,Parametres!$B$7))</f>
        <v>250</v>
      </c>
      <c r="I4435" s="20" t="n">
        <f aca="false">G4435-H4435</f>
        <v>159.04</v>
      </c>
      <c r="J4435" s="21" t="n">
        <f aca="false">H4435*1000/Parametres!$B$9</f>
        <v>4239.44378497541</v>
      </c>
    </row>
    <row r="4436" customFormat="false" ht="15" hidden="false" customHeight="false" outlineLevel="0" collapsed="false">
      <c r="A4436" s="0" t="n">
        <v>4432</v>
      </c>
      <c r="B4436" s="0" t="n">
        <v>7</v>
      </c>
      <c r="C4436" s="19" t="n">
        <v>0.8629</v>
      </c>
      <c r="D4436" s="19" t="n">
        <v>0.4722</v>
      </c>
      <c r="E4436" s="20" t="n">
        <f aca="false">Parametres!$B$5*C4436</f>
        <v>258.87</v>
      </c>
      <c r="F4436" s="20" t="n">
        <f aca="false">Parametres!$B$6*D4436</f>
        <v>94.44</v>
      </c>
      <c r="G4436" s="20" t="n">
        <f aca="false">E4436+F4436</f>
        <v>353.31</v>
      </c>
      <c r="H4436" s="20" t="n">
        <f aca="false">IF(G4436&lt;Parametres!$B$8*Parametres!$B$7,0,MIN(G4436,Parametres!$B$7))</f>
        <v>250</v>
      </c>
      <c r="I4436" s="20" t="n">
        <f aca="false">G4436-H4436</f>
        <v>103.31</v>
      </c>
      <c r="J4436" s="21" t="n">
        <f aca="false">H4436*1000/Parametres!$B$9</f>
        <v>4239.44378497541</v>
      </c>
    </row>
    <row r="4437" customFormat="false" ht="15" hidden="false" customHeight="false" outlineLevel="0" collapsed="false">
      <c r="A4437" s="0" t="n">
        <v>4433</v>
      </c>
      <c r="B4437" s="0" t="n">
        <v>7</v>
      </c>
      <c r="C4437" s="19" t="n">
        <v>0.629</v>
      </c>
      <c r="D4437" s="19" t="n">
        <v>0.3384</v>
      </c>
      <c r="E4437" s="20" t="n">
        <f aca="false">Parametres!$B$5*C4437</f>
        <v>188.7</v>
      </c>
      <c r="F4437" s="20" t="n">
        <f aca="false">Parametres!$B$6*D4437</f>
        <v>67.68</v>
      </c>
      <c r="G4437" s="20" t="n">
        <f aca="false">E4437+F4437</f>
        <v>256.38</v>
      </c>
      <c r="H4437" s="20" t="n">
        <f aca="false">IF(G4437&lt;Parametres!$B$8*Parametres!$B$7,0,MIN(G4437,Parametres!$B$7))</f>
        <v>250</v>
      </c>
      <c r="I4437" s="20" t="n">
        <f aca="false">G4437-H4437</f>
        <v>6.38</v>
      </c>
      <c r="J4437" s="21" t="n">
        <f aca="false">H4437*1000/Parametres!$B$9</f>
        <v>4239.44378497541</v>
      </c>
    </row>
    <row r="4438" customFormat="false" ht="15" hidden="false" customHeight="false" outlineLevel="0" collapsed="false">
      <c r="A4438" s="0" t="n">
        <v>4434</v>
      </c>
      <c r="B4438" s="0" t="n">
        <v>7</v>
      </c>
      <c r="C4438" s="19" t="n">
        <v>0.3362</v>
      </c>
      <c r="D4438" s="19" t="n">
        <v>0.1758</v>
      </c>
      <c r="E4438" s="20" t="n">
        <f aca="false">Parametres!$B$5*C4438</f>
        <v>100.86</v>
      </c>
      <c r="F4438" s="20" t="n">
        <f aca="false">Parametres!$B$6*D4438</f>
        <v>35.16</v>
      </c>
      <c r="G4438" s="20" t="n">
        <f aca="false">E4438+F4438</f>
        <v>136.02</v>
      </c>
      <c r="H4438" s="20" t="n">
        <f aca="false">IF(G4438&lt;Parametres!$B$8*Parametres!$B$7,0,MIN(G4438,Parametres!$B$7))</f>
        <v>136.02</v>
      </c>
      <c r="I4438" s="20" t="n">
        <f aca="false">G4438-H4438</f>
        <v>0</v>
      </c>
      <c r="J4438" s="21" t="n">
        <f aca="false">H4438*1000/Parametres!$B$9</f>
        <v>2306.59657452942</v>
      </c>
    </row>
    <row r="4439" customFormat="false" ht="15" hidden="false" customHeight="false" outlineLevel="0" collapsed="false">
      <c r="A4439" s="0" t="n">
        <v>4435</v>
      </c>
      <c r="B4439" s="0" t="n">
        <v>7</v>
      </c>
      <c r="C4439" s="19" t="n">
        <v>0.0757</v>
      </c>
      <c r="D4439" s="19" t="n">
        <v>0.0885</v>
      </c>
      <c r="E4439" s="20" t="n">
        <f aca="false">Parametres!$B$5*C4439</f>
        <v>22.71</v>
      </c>
      <c r="F4439" s="20" t="n">
        <f aca="false">Parametres!$B$6*D4439</f>
        <v>17.7</v>
      </c>
      <c r="G4439" s="20" t="n">
        <f aca="false">E4439+F4439</f>
        <v>40.41</v>
      </c>
      <c r="H4439" s="20" t="n">
        <f aca="false">IF(G4439&lt;Parametres!$B$8*Parametres!$B$7,0,MIN(G4439,Parametres!$B$7))</f>
        <v>40.41</v>
      </c>
      <c r="I4439" s="20" t="n">
        <f aca="false">G4439-H4439</f>
        <v>0</v>
      </c>
      <c r="J4439" s="21" t="n">
        <f aca="false">H4439*1000/Parametres!$B$9</f>
        <v>685.263693403426</v>
      </c>
    </row>
    <row r="4440" customFormat="false" ht="15" hidden="false" customHeight="false" outlineLevel="0" collapsed="false">
      <c r="A4440" s="0" t="n">
        <v>4436</v>
      </c>
      <c r="B4440" s="0" t="n">
        <v>7</v>
      </c>
      <c r="C4440" s="19" t="n">
        <v>0</v>
      </c>
      <c r="D4440" s="19" t="n">
        <v>0.1601</v>
      </c>
      <c r="E4440" s="20" t="n">
        <f aca="false">Parametres!$B$5*C4440</f>
        <v>0</v>
      </c>
      <c r="F4440" s="20" t="n">
        <f aca="false">Parametres!$B$6*D4440</f>
        <v>32.02</v>
      </c>
      <c r="G4440" s="20" t="n">
        <f aca="false">E4440+F4440</f>
        <v>32.02</v>
      </c>
      <c r="H4440" s="20" t="n">
        <f aca="false">IF(G4440&lt;Parametres!$B$8*Parametres!$B$7,0,MIN(G4440,Parametres!$B$7))</f>
        <v>32.02</v>
      </c>
      <c r="I4440" s="20" t="n">
        <f aca="false">G4440-H4440</f>
        <v>0</v>
      </c>
      <c r="J4440" s="21" t="n">
        <f aca="false">H4440*1000/Parametres!$B$9</f>
        <v>542.987959979651</v>
      </c>
    </row>
    <row r="4441" customFormat="false" ht="15" hidden="false" customHeight="false" outlineLevel="0" collapsed="false">
      <c r="A4441" s="0" t="n">
        <v>4437</v>
      </c>
      <c r="B4441" s="0" t="n">
        <v>7</v>
      </c>
      <c r="C4441" s="19" t="n">
        <v>0</v>
      </c>
      <c r="D4441" s="19" t="n">
        <v>0.1169</v>
      </c>
      <c r="E4441" s="20" t="n">
        <f aca="false">Parametres!$B$5*C4441</f>
        <v>0</v>
      </c>
      <c r="F4441" s="20" t="n">
        <f aca="false">Parametres!$B$6*D4441</f>
        <v>23.38</v>
      </c>
      <c r="G4441" s="20" t="n">
        <f aca="false">E4441+F4441</f>
        <v>23.38</v>
      </c>
      <c r="H4441" s="20" t="n">
        <f aca="false">IF(G4441&lt;Parametres!$B$8*Parametres!$B$7,0,MIN(G4441,Parametres!$B$7))</f>
        <v>0</v>
      </c>
      <c r="I4441" s="20" t="n">
        <f aca="false">G4441-H4441</f>
        <v>23.38</v>
      </c>
      <c r="J4441" s="21" t="n">
        <f aca="false">H4441*1000/Parametres!$B$9</f>
        <v>0</v>
      </c>
    </row>
    <row r="4442" customFormat="false" ht="15" hidden="false" customHeight="false" outlineLevel="0" collapsed="false">
      <c r="A4442" s="0" t="n">
        <v>4438</v>
      </c>
      <c r="B4442" s="0" t="n">
        <v>7</v>
      </c>
      <c r="C4442" s="19" t="n">
        <v>0</v>
      </c>
      <c r="D4442" s="19" t="n">
        <v>0.1023</v>
      </c>
      <c r="E4442" s="20" t="n">
        <f aca="false">Parametres!$B$5*C4442</f>
        <v>0</v>
      </c>
      <c r="F4442" s="20" t="n">
        <f aca="false">Parametres!$B$6*D4442</f>
        <v>20.46</v>
      </c>
      <c r="G4442" s="20" t="n">
        <f aca="false">E4442+F4442</f>
        <v>20.46</v>
      </c>
      <c r="H4442" s="20" t="n">
        <f aca="false">IF(G4442&lt;Parametres!$B$8*Parametres!$B$7,0,MIN(G4442,Parametres!$B$7))</f>
        <v>0</v>
      </c>
      <c r="I4442" s="20" t="n">
        <f aca="false">G4442-H4442</f>
        <v>20.46</v>
      </c>
      <c r="J4442" s="21" t="n">
        <f aca="false">H4442*1000/Parametres!$B$9</f>
        <v>0</v>
      </c>
    </row>
    <row r="4443" customFormat="false" ht="15" hidden="false" customHeight="false" outlineLevel="0" collapsed="false">
      <c r="A4443" s="0" t="n">
        <v>4439</v>
      </c>
      <c r="B4443" s="0" t="n">
        <v>7</v>
      </c>
      <c r="C4443" s="19" t="n">
        <v>0</v>
      </c>
      <c r="D4443" s="19" t="n">
        <v>0.1319</v>
      </c>
      <c r="E4443" s="20" t="n">
        <f aca="false">Parametres!$B$5*C4443</f>
        <v>0</v>
      </c>
      <c r="F4443" s="20" t="n">
        <f aca="false">Parametres!$B$6*D4443</f>
        <v>26.38</v>
      </c>
      <c r="G4443" s="20" t="n">
        <f aca="false">E4443+F4443</f>
        <v>26.38</v>
      </c>
      <c r="H4443" s="20" t="n">
        <f aca="false">IF(G4443&lt;Parametres!$B$8*Parametres!$B$7,0,MIN(G4443,Parametres!$B$7))</f>
        <v>26.38</v>
      </c>
      <c r="I4443" s="20" t="n">
        <f aca="false">G4443-H4443</f>
        <v>0</v>
      </c>
      <c r="J4443" s="21" t="n">
        <f aca="false">H4443*1000/Parametres!$B$9</f>
        <v>447.346108190605</v>
      </c>
    </row>
    <row r="4444" customFormat="false" ht="15" hidden="false" customHeight="false" outlineLevel="0" collapsed="false">
      <c r="A4444" s="0" t="n">
        <v>4440</v>
      </c>
      <c r="B4444" s="0" t="n">
        <v>7</v>
      </c>
      <c r="C4444" s="19" t="n">
        <v>0</v>
      </c>
      <c r="D4444" s="19" t="n">
        <v>0.1059</v>
      </c>
      <c r="E4444" s="20" t="n">
        <f aca="false">Parametres!$B$5*C4444</f>
        <v>0</v>
      </c>
      <c r="F4444" s="20" t="n">
        <f aca="false">Parametres!$B$6*D4444</f>
        <v>21.18</v>
      </c>
      <c r="G4444" s="20" t="n">
        <f aca="false">E4444+F4444</f>
        <v>21.18</v>
      </c>
      <c r="H4444" s="20" t="n">
        <f aca="false">IF(G4444&lt;Parametres!$B$8*Parametres!$B$7,0,MIN(G4444,Parametres!$B$7))</f>
        <v>0</v>
      </c>
      <c r="I4444" s="20" t="n">
        <f aca="false">G4444-H4444</f>
        <v>21.18</v>
      </c>
      <c r="J4444" s="21" t="n">
        <f aca="false">H4444*1000/Parametres!$B$9</f>
        <v>0</v>
      </c>
    </row>
    <row r="4445" customFormat="false" ht="15" hidden="false" customHeight="false" outlineLevel="0" collapsed="false">
      <c r="A4445" s="0" t="n">
        <v>4441</v>
      </c>
      <c r="B4445" s="0" t="n">
        <v>7</v>
      </c>
      <c r="C4445" s="19" t="n">
        <v>0</v>
      </c>
      <c r="D4445" s="19" t="n">
        <v>0.0527</v>
      </c>
      <c r="E4445" s="20" t="n">
        <f aca="false">Parametres!$B$5*C4445</f>
        <v>0</v>
      </c>
      <c r="F4445" s="20" t="n">
        <f aca="false">Parametres!$B$6*D4445</f>
        <v>10.54</v>
      </c>
      <c r="G4445" s="20" t="n">
        <f aca="false">E4445+F4445</f>
        <v>10.54</v>
      </c>
      <c r="H4445" s="20" t="n">
        <f aca="false">IF(G4445&lt;Parametres!$B$8*Parametres!$B$7,0,MIN(G4445,Parametres!$B$7))</f>
        <v>0</v>
      </c>
      <c r="I4445" s="20" t="n">
        <f aca="false">G4445-H4445</f>
        <v>10.54</v>
      </c>
      <c r="J4445" s="21" t="n">
        <f aca="false">H4445*1000/Parametres!$B$9</f>
        <v>0</v>
      </c>
    </row>
    <row r="4446" customFormat="false" ht="15" hidden="false" customHeight="false" outlineLevel="0" collapsed="false">
      <c r="A4446" s="0" t="n">
        <v>4442</v>
      </c>
      <c r="B4446" s="0" t="n">
        <v>7</v>
      </c>
      <c r="C4446" s="19" t="n">
        <v>0</v>
      </c>
      <c r="D4446" s="19" t="n">
        <v>0.0263</v>
      </c>
      <c r="E4446" s="20" t="n">
        <f aca="false">Parametres!$B$5*C4446</f>
        <v>0</v>
      </c>
      <c r="F4446" s="20" t="n">
        <f aca="false">Parametres!$B$6*D4446</f>
        <v>5.26</v>
      </c>
      <c r="G4446" s="20" t="n">
        <f aca="false">E4446+F4446</f>
        <v>5.26</v>
      </c>
      <c r="H4446" s="20" t="n">
        <f aca="false">IF(G4446&lt;Parametres!$B$8*Parametres!$B$7,0,MIN(G4446,Parametres!$B$7))</f>
        <v>0</v>
      </c>
      <c r="I4446" s="20" t="n">
        <f aca="false">G4446-H4446</f>
        <v>5.26</v>
      </c>
      <c r="J4446" s="21" t="n">
        <f aca="false">H4446*1000/Parametres!$B$9</f>
        <v>0</v>
      </c>
    </row>
    <row r="4447" customFormat="false" ht="15" hidden="false" customHeight="false" outlineLevel="0" collapsed="false">
      <c r="A4447" s="0" t="n">
        <v>4443</v>
      </c>
      <c r="B4447" s="0" t="n">
        <v>7</v>
      </c>
      <c r="C4447" s="19" t="n">
        <v>0</v>
      </c>
      <c r="D4447" s="19" t="n">
        <v>0.017</v>
      </c>
      <c r="E4447" s="20" t="n">
        <f aca="false">Parametres!$B$5*C4447</f>
        <v>0</v>
      </c>
      <c r="F4447" s="20" t="n">
        <f aca="false">Parametres!$B$6*D4447</f>
        <v>3.4</v>
      </c>
      <c r="G4447" s="20" t="n">
        <f aca="false">E4447+F4447</f>
        <v>3.4</v>
      </c>
      <c r="H4447" s="20" t="n">
        <f aca="false">IF(G4447&lt;Parametres!$B$8*Parametres!$B$7,0,MIN(G4447,Parametres!$B$7))</f>
        <v>0</v>
      </c>
      <c r="I4447" s="20" t="n">
        <f aca="false">G4447-H4447</f>
        <v>3.4</v>
      </c>
      <c r="J4447" s="21" t="n">
        <f aca="false">H4447*1000/Parametres!$B$9</f>
        <v>0</v>
      </c>
    </row>
    <row r="4448" customFormat="false" ht="15" hidden="false" customHeight="false" outlineLevel="0" collapsed="false">
      <c r="A4448" s="0" t="n">
        <v>4444</v>
      </c>
      <c r="B4448" s="0" t="n">
        <v>7</v>
      </c>
      <c r="C4448" s="19" t="n">
        <v>0</v>
      </c>
      <c r="D4448" s="19" t="n">
        <v>0.0344</v>
      </c>
      <c r="E4448" s="20" t="n">
        <f aca="false">Parametres!$B$5*C4448</f>
        <v>0</v>
      </c>
      <c r="F4448" s="20" t="n">
        <f aca="false">Parametres!$B$6*D4448</f>
        <v>6.88</v>
      </c>
      <c r="G4448" s="20" t="n">
        <f aca="false">E4448+F4448</f>
        <v>6.88</v>
      </c>
      <c r="H4448" s="20" t="n">
        <f aca="false">IF(G4448&lt;Parametres!$B$8*Parametres!$B$7,0,MIN(G4448,Parametres!$B$7))</f>
        <v>0</v>
      </c>
      <c r="I4448" s="20" t="n">
        <f aca="false">G4448-H4448</f>
        <v>6.88</v>
      </c>
      <c r="J4448" s="21" t="n">
        <f aca="false">H4448*1000/Parametres!$B$9</f>
        <v>0</v>
      </c>
    </row>
    <row r="4449" customFormat="false" ht="15" hidden="false" customHeight="false" outlineLevel="0" collapsed="false">
      <c r="A4449" s="0" t="n">
        <v>4445</v>
      </c>
      <c r="B4449" s="0" t="n">
        <v>7</v>
      </c>
      <c r="C4449" s="19" t="n">
        <v>0</v>
      </c>
      <c r="D4449" s="19" t="n">
        <v>0.0239</v>
      </c>
      <c r="E4449" s="20" t="n">
        <f aca="false">Parametres!$B$5*C4449</f>
        <v>0</v>
      </c>
      <c r="F4449" s="20" t="n">
        <f aca="false">Parametres!$B$6*D4449</f>
        <v>4.78</v>
      </c>
      <c r="G4449" s="20" t="n">
        <f aca="false">E4449+F4449</f>
        <v>4.78</v>
      </c>
      <c r="H4449" s="20" t="n">
        <f aca="false">IF(G4449&lt;Parametres!$B$8*Parametres!$B$7,0,MIN(G4449,Parametres!$B$7))</f>
        <v>0</v>
      </c>
      <c r="I4449" s="20" t="n">
        <f aca="false">G4449-H4449</f>
        <v>4.78</v>
      </c>
      <c r="J4449" s="21" t="n">
        <f aca="false">H4449*1000/Parametres!$B$9</f>
        <v>0</v>
      </c>
    </row>
    <row r="4450" customFormat="false" ht="15" hidden="false" customHeight="false" outlineLevel="0" collapsed="false">
      <c r="A4450" s="0" t="n">
        <v>4446</v>
      </c>
      <c r="B4450" s="0" t="n">
        <v>7</v>
      </c>
      <c r="C4450" s="19" t="n">
        <v>0.0568</v>
      </c>
      <c r="D4450" s="19" t="n">
        <v>0.0165</v>
      </c>
      <c r="E4450" s="20" t="n">
        <f aca="false">Parametres!$B$5*C4450</f>
        <v>17.04</v>
      </c>
      <c r="F4450" s="20" t="n">
        <f aca="false">Parametres!$B$6*D4450</f>
        <v>3.3</v>
      </c>
      <c r="G4450" s="20" t="n">
        <f aca="false">E4450+F4450</f>
        <v>20.34</v>
      </c>
      <c r="H4450" s="20" t="n">
        <f aca="false">IF(G4450&lt;Parametres!$B$8*Parametres!$B$7,0,MIN(G4450,Parametres!$B$7))</f>
        <v>0</v>
      </c>
      <c r="I4450" s="20" t="n">
        <f aca="false">G4450-H4450</f>
        <v>20.34</v>
      </c>
      <c r="J4450" s="21" t="n">
        <f aca="false">H4450*1000/Parametres!$B$9</f>
        <v>0</v>
      </c>
    </row>
    <row r="4451" customFormat="false" ht="15" hidden="false" customHeight="false" outlineLevel="0" collapsed="false">
      <c r="A4451" s="0" t="n">
        <v>4447</v>
      </c>
      <c r="B4451" s="0" t="n">
        <v>7</v>
      </c>
      <c r="C4451" s="19" t="n">
        <v>0.2483</v>
      </c>
      <c r="D4451" s="19" t="n">
        <v>0.0279</v>
      </c>
      <c r="E4451" s="20" t="n">
        <f aca="false">Parametres!$B$5*C4451</f>
        <v>74.49</v>
      </c>
      <c r="F4451" s="20" t="n">
        <f aca="false">Parametres!$B$6*D4451</f>
        <v>5.58</v>
      </c>
      <c r="G4451" s="20" t="n">
        <f aca="false">E4451+F4451</f>
        <v>80.07</v>
      </c>
      <c r="H4451" s="20" t="n">
        <f aca="false">IF(G4451&lt;Parametres!$B$8*Parametres!$B$7,0,MIN(G4451,Parametres!$B$7))</f>
        <v>80.07</v>
      </c>
      <c r="I4451" s="20" t="n">
        <f aca="false">G4451-H4451</f>
        <v>0</v>
      </c>
      <c r="J4451" s="21" t="n">
        <f aca="false">H4451*1000/Parametres!$B$9</f>
        <v>1357.80905545192</v>
      </c>
    </row>
    <row r="4452" customFormat="false" ht="15" hidden="false" customHeight="false" outlineLevel="0" collapsed="false">
      <c r="A4452" s="0" t="n">
        <v>4448</v>
      </c>
      <c r="B4452" s="0" t="n">
        <v>7</v>
      </c>
      <c r="C4452" s="19" t="n">
        <v>0.4768</v>
      </c>
      <c r="D4452" s="19" t="n">
        <v>0.0335</v>
      </c>
      <c r="E4452" s="20" t="n">
        <f aca="false">Parametres!$B$5*C4452</f>
        <v>143.04</v>
      </c>
      <c r="F4452" s="20" t="n">
        <f aca="false">Parametres!$B$6*D4452</f>
        <v>6.7</v>
      </c>
      <c r="G4452" s="20" t="n">
        <f aca="false">E4452+F4452</f>
        <v>149.74</v>
      </c>
      <c r="H4452" s="20" t="n">
        <f aca="false">IF(G4452&lt;Parametres!$B$8*Parametres!$B$7,0,MIN(G4452,Parametres!$B$7))</f>
        <v>149.74</v>
      </c>
      <c r="I4452" s="20" t="n">
        <f aca="false">G4452-H4452</f>
        <v>0</v>
      </c>
      <c r="J4452" s="21" t="n">
        <f aca="false">H4452*1000/Parametres!$B$9</f>
        <v>2539.25724944887</v>
      </c>
    </row>
    <row r="4453" customFormat="false" ht="15" hidden="false" customHeight="false" outlineLevel="0" collapsed="false">
      <c r="A4453" s="0" t="n">
        <v>4449</v>
      </c>
      <c r="B4453" s="0" t="n">
        <v>7</v>
      </c>
      <c r="C4453" s="19" t="n">
        <v>0.6861</v>
      </c>
      <c r="D4453" s="19" t="n">
        <v>0.0422</v>
      </c>
      <c r="E4453" s="20" t="n">
        <f aca="false">Parametres!$B$5*C4453</f>
        <v>205.83</v>
      </c>
      <c r="F4453" s="20" t="n">
        <f aca="false">Parametres!$B$6*D4453</f>
        <v>8.44</v>
      </c>
      <c r="G4453" s="20" t="n">
        <f aca="false">E4453+F4453</f>
        <v>214.27</v>
      </c>
      <c r="H4453" s="20" t="n">
        <f aca="false">IF(G4453&lt;Parametres!$B$8*Parametres!$B$7,0,MIN(G4453,Parametres!$B$7))</f>
        <v>214.27</v>
      </c>
      <c r="I4453" s="20" t="n">
        <f aca="false">G4453-H4453</f>
        <v>0</v>
      </c>
      <c r="J4453" s="21" t="n">
        <f aca="false">H4453*1000/Parametres!$B$9</f>
        <v>3633.54247922673</v>
      </c>
    </row>
    <row r="4454" customFormat="false" ht="15" hidden="false" customHeight="false" outlineLevel="0" collapsed="false">
      <c r="A4454" s="0" t="n">
        <v>4450</v>
      </c>
      <c r="B4454" s="0" t="n">
        <v>7</v>
      </c>
      <c r="C4454" s="19" t="n">
        <v>0.8658</v>
      </c>
      <c r="D4454" s="19" t="n">
        <v>0.0595</v>
      </c>
      <c r="E4454" s="20" t="n">
        <f aca="false">Parametres!$B$5*C4454</f>
        <v>259.74</v>
      </c>
      <c r="F4454" s="20" t="n">
        <f aca="false">Parametres!$B$6*D4454</f>
        <v>11.9</v>
      </c>
      <c r="G4454" s="20" t="n">
        <f aca="false">E4454+F4454</f>
        <v>271.64</v>
      </c>
      <c r="H4454" s="20" t="n">
        <f aca="false">IF(G4454&lt;Parametres!$B$8*Parametres!$B$7,0,MIN(G4454,Parametres!$B$7))</f>
        <v>250</v>
      </c>
      <c r="I4454" s="20" t="n">
        <f aca="false">G4454-H4454</f>
        <v>21.64</v>
      </c>
      <c r="J4454" s="21" t="n">
        <f aca="false">H4454*1000/Parametres!$B$9</f>
        <v>4239.44378497541</v>
      </c>
    </row>
    <row r="4455" customFormat="false" ht="15" hidden="false" customHeight="false" outlineLevel="0" collapsed="false">
      <c r="A4455" s="0" t="n">
        <v>4451</v>
      </c>
      <c r="B4455" s="0" t="n">
        <v>7</v>
      </c>
      <c r="C4455" s="19" t="n">
        <v>0.9937</v>
      </c>
      <c r="D4455" s="19" t="n">
        <v>0.1768</v>
      </c>
      <c r="E4455" s="20" t="n">
        <f aca="false">Parametres!$B$5*C4455</f>
        <v>298.11</v>
      </c>
      <c r="F4455" s="20" t="n">
        <f aca="false">Parametres!$B$6*D4455</f>
        <v>35.36</v>
      </c>
      <c r="G4455" s="20" t="n">
        <f aca="false">E4455+F4455</f>
        <v>333.47</v>
      </c>
      <c r="H4455" s="20" t="n">
        <f aca="false">IF(G4455&lt;Parametres!$B$8*Parametres!$B$7,0,MIN(G4455,Parametres!$B$7))</f>
        <v>250</v>
      </c>
      <c r="I4455" s="20" t="n">
        <f aca="false">G4455-H4455</f>
        <v>83.47</v>
      </c>
      <c r="J4455" s="21" t="n">
        <f aca="false">H4455*1000/Parametres!$B$9</f>
        <v>4239.44378497541</v>
      </c>
    </row>
    <row r="4456" customFormat="false" ht="15" hidden="false" customHeight="false" outlineLevel="0" collapsed="false">
      <c r="A4456" s="0" t="n">
        <v>4452</v>
      </c>
      <c r="B4456" s="0" t="n">
        <v>7</v>
      </c>
      <c r="C4456" s="19" t="n">
        <v>1</v>
      </c>
      <c r="D4456" s="19" t="n">
        <v>0.1756</v>
      </c>
      <c r="E4456" s="20" t="n">
        <f aca="false">Parametres!$B$5*C4456</f>
        <v>300</v>
      </c>
      <c r="F4456" s="20" t="n">
        <f aca="false">Parametres!$B$6*D4456</f>
        <v>35.12</v>
      </c>
      <c r="G4456" s="20" t="n">
        <f aca="false">E4456+F4456</f>
        <v>335.12</v>
      </c>
      <c r="H4456" s="20" t="n">
        <f aca="false">IF(G4456&lt;Parametres!$B$8*Parametres!$B$7,0,MIN(G4456,Parametres!$B$7))</f>
        <v>250</v>
      </c>
      <c r="I4456" s="20" t="n">
        <f aca="false">G4456-H4456</f>
        <v>85.12</v>
      </c>
      <c r="J4456" s="21" t="n">
        <f aca="false">H4456*1000/Parametres!$B$9</f>
        <v>4239.44378497541</v>
      </c>
    </row>
    <row r="4457" customFormat="false" ht="15" hidden="false" customHeight="false" outlineLevel="0" collapsed="false">
      <c r="A4457" s="0" t="n">
        <v>4453</v>
      </c>
      <c r="B4457" s="0" t="n">
        <v>7</v>
      </c>
      <c r="C4457" s="19" t="n">
        <v>1</v>
      </c>
      <c r="D4457" s="19" t="n">
        <v>0.1613</v>
      </c>
      <c r="E4457" s="20" t="n">
        <f aca="false">Parametres!$B$5*C4457</f>
        <v>300</v>
      </c>
      <c r="F4457" s="20" t="n">
        <f aca="false">Parametres!$B$6*D4457</f>
        <v>32.26</v>
      </c>
      <c r="G4457" s="20" t="n">
        <f aca="false">E4457+F4457</f>
        <v>332.26</v>
      </c>
      <c r="H4457" s="20" t="n">
        <f aca="false">IF(G4457&lt;Parametres!$B$8*Parametres!$B$7,0,MIN(G4457,Parametres!$B$7))</f>
        <v>250</v>
      </c>
      <c r="I4457" s="20" t="n">
        <f aca="false">G4457-H4457</f>
        <v>82.26</v>
      </c>
      <c r="J4457" s="21" t="n">
        <f aca="false">H4457*1000/Parametres!$B$9</f>
        <v>4239.44378497541</v>
      </c>
    </row>
    <row r="4458" customFormat="false" ht="15" hidden="false" customHeight="false" outlineLevel="0" collapsed="false">
      <c r="A4458" s="0" t="n">
        <v>4454</v>
      </c>
      <c r="B4458" s="0" t="n">
        <v>7</v>
      </c>
      <c r="C4458" s="19" t="n">
        <v>0.9777</v>
      </c>
      <c r="D4458" s="19" t="n">
        <v>0.4042</v>
      </c>
      <c r="E4458" s="20" t="n">
        <f aca="false">Parametres!$B$5*C4458</f>
        <v>293.31</v>
      </c>
      <c r="F4458" s="20" t="n">
        <f aca="false">Parametres!$B$6*D4458</f>
        <v>80.84</v>
      </c>
      <c r="G4458" s="20" t="n">
        <f aca="false">E4458+F4458</f>
        <v>374.15</v>
      </c>
      <c r="H4458" s="20" t="n">
        <f aca="false">IF(G4458&lt;Parametres!$B$8*Parametres!$B$7,0,MIN(G4458,Parametres!$B$7))</f>
        <v>250</v>
      </c>
      <c r="I4458" s="20" t="n">
        <f aca="false">G4458-H4458</f>
        <v>124.15</v>
      </c>
      <c r="J4458" s="21" t="n">
        <f aca="false">H4458*1000/Parametres!$B$9</f>
        <v>4239.44378497541</v>
      </c>
    </row>
    <row r="4459" customFormat="false" ht="15" hidden="false" customHeight="false" outlineLevel="0" collapsed="false">
      <c r="A4459" s="0" t="n">
        <v>4455</v>
      </c>
      <c r="B4459" s="0" t="n">
        <v>7</v>
      </c>
      <c r="C4459" s="19" t="n">
        <v>0.8199</v>
      </c>
      <c r="D4459" s="19" t="n">
        <v>0.2987</v>
      </c>
      <c r="E4459" s="20" t="n">
        <f aca="false">Parametres!$B$5*C4459</f>
        <v>245.97</v>
      </c>
      <c r="F4459" s="20" t="n">
        <f aca="false">Parametres!$B$6*D4459</f>
        <v>59.74</v>
      </c>
      <c r="G4459" s="20" t="n">
        <f aca="false">E4459+F4459</f>
        <v>305.71</v>
      </c>
      <c r="H4459" s="20" t="n">
        <f aca="false">IF(G4459&lt;Parametres!$B$8*Parametres!$B$7,0,MIN(G4459,Parametres!$B$7))</f>
        <v>250</v>
      </c>
      <c r="I4459" s="20" t="n">
        <f aca="false">G4459-H4459</f>
        <v>55.71</v>
      </c>
      <c r="J4459" s="21" t="n">
        <f aca="false">H4459*1000/Parametres!$B$9</f>
        <v>4239.44378497541</v>
      </c>
    </row>
    <row r="4460" customFormat="false" ht="15" hidden="false" customHeight="false" outlineLevel="0" collapsed="false">
      <c r="A4460" s="0" t="n">
        <v>4456</v>
      </c>
      <c r="B4460" s="0" t="n">
        <v>7</v>
      </c>
      <c r="C4460" s="19" t="n">
        <v>0.6537</v>
      </c>
      <c r="D4460" s="19" t="n">
        <v>0.1369</v>
      </c>
      <c r="E4460" s="20" t="n">
        <f aca="false">Parametres!$B$5*C4460</f>
        <v>196.11</v>
      </c>
      <c r="F4460" s="20" t="n">
        <f aca="false">Parametres!$B$6*D4460</f>
        <v>27.38</v>
      </c>
      <c r="G4460" s="20" t="n">
        <f aca="false">E4460+F4460</f>
        <v>223.49</v>
      </c>
      <c r="H4460" s="20" t="n">
        <f aca="false">IF(G4460&lt;Parametres!$B$8*Parametres!$B$7,0,MIN(G4460,Parametres!$B$7))</f>
        <v>223.49</v>
      </c>
      <c r="I4460" s="20" t="n">
        <f aca="false">G4460-H4460</f>
        <v>0</v>
      </c>
      <c r="J4460" s="21" t="n">
        <f aca="false">H4460*1000/Parametres!$B$9</f>
        <v>3789.89316601662</v>
      </c>
    </row>
    <row r="4461" customFormat="false" ht="15" hidden="false" customHeight="false" outlineLevel="0" collapsed="false">
      <c r="A4461" s="0" t="n">
        <v>4457</v>
      </c>
      <c r="B4461" s="0" t="n">
        <v>7</v>
      </c>
      <c r="C4461" s="19" t="n">
        <v>0.4848</v>
      </c>
      <c r="D4461" s="19" t="n">
        <v>0.219</v>
      </c>
      <c r="E4461" s="20" t="n">
        <f aca="false">Parametres!$B$5*C4461</f>
        <v>145.44</v>
      </c>
      <c r="F4461" s="20" t="n">
        <f aca="false">Parametres!$B$6*D4461</f>
        <v>43.8</v>
      </c>
      <c r="G4461" s="20" t="n">
        <f aca="false">E4461+F4461</f>
        <v>189.24</v>
      </c>
      <c r="H4461" s="20" t="n">
        <f aca="false">IF(G4461&lt;Parametres!$B$8*Parametres!$B$7,0,MIN(G4461,Parametres!$B$7))</f>
        <v>189.24</v>
      </c>
      <c r="I4461" s="20" t="n">
        <f aca="false">G4461-H4461</f>
        <v>0</v>
      </c>
      <c r="J4461" s="21" t="n">
        <f aca="false">H4461*1000/Parametres!$B$9</f>
        <v>3209.08936747499</v>
      </c>
    </row>
    <row r="4462" customFormat="false" ht="15" hidden="false" customHeight="false" outlineLevel="0" collapsed="false">
      <c r="A4462" s="0" t="n">
        <v>4458</v>
      </c>
      <c r="B4462" s="0" t="n">
        <v>7</v>
      </c>
      <c r="C4462" s="19" t="n">
        <v>0.2509</v>
      </c>
      <c r="D4462" s="19" t="n">
        <v>0.1718</v>
      </c>
      <c r="E4462" s="20" t="n">
        <f aca="false">Parametres!$B$5*C4462</f>
        <v>75.27</v>
      </c>
      <c r="F4462" s="20" t="n">
        <f aca="false">Parametres!$B$6*D4462</f>
        <v>34.36</v>
      </c>
      <c r="G4462" s="20" t="n">
        <f aca="false">E4462+F4462</f>
        <v>109.63</v>
      </c>
      <c r="H4462" s="20" t="n">
        <f aca="false">IF(G4462&lt;Parametres!$B$8*Parametres!$B$7,0,MIN(G4462,Parametres!$B$7))</f>
        <v>109.63</v>
      </c>
      <c r="I4462" s="20" t="n">
        <f aca="false">G4462-H4462</f>
        <v>0</v>
      </c>
      <c r="J4462" s="21" t="n">
        <f aca="false">H4462*1000/Parametres!$B$9</f>
        <v>1859.08088858742</v>
      </c>
    </row>
    <row r="4463" customFormat="false" ht="15" hidden="false" customHeight="false" outlineLevel="0" collapsed="false">
      <c r="A4463" s="0" t="n">
        <v>4459</v>
      </c>
      <c r="B4463" s="0" t="n">
        <v>7</v>
      </c>
      <c r="C4463" s="19" t="n">
        <v>0.0553</v>
      </c>
      <c r="D4463" s="19" t="n">
        <v>0.1639</v>
      </c>
      <c r="E4463" s="20" t="n">
        <f aca="false">Parametres!$B$5*C4463</f>
        <v>16.59</v>
      </c>
      <c r="F4463" s="20" t="n">
        <f aca="false">Parametres!$B$6*D4463</f>
        <v>32.78</v>
      </c>
      <c r="G4463" s="20" t="n">
        <f aca="false">E4463+F4463</f>
        <v>49.37</v>
      </c>
      <c r="H4463" s="20" t="n">
        <f aca="false">IF(G4463&lt;Parametres!$B$8*Parametres!$B$7,0,MIN(G4463,Parametres!$B$7))</f>
        <v>49.37</v>
      </c>
      <c r="I4463" s="20" t="n">
        <f aca="false">G4463-H4463</f>
        <v>0</v>
      </c>
      <c r="J4463" s="21" t="n">
        <f aca="false">H4463*1000/Parametres!$B$9</f>
        <v>837.205358656944</v>
      </c>
    </row>
    <row r="4464" customFormat="false" ht="15" hidden="false" customHeight="false" outlineLevel="0" collapsed="false">
      <c r="A4464" s="0" t="n">
        <v>4460</v>
      </c>
      <c r="B4464" s="0" t="n">
        <v>7</v>
      </c>
      <c r="C4464" s="19" t="n">
        <v>0</v>
      </c>
      <c r="D4464" s="19" t="n">
        <v>0.1596</v>
      </c>
      <c r="E4464" s="20" t="n">
        <f aca="false">Parametres!$B$5*C4464</f>
        <v>0</v>
      </c>
      <c r="F4464" s="20" t="n">
        <f aca="false">Parametres!$B$6*D4464</f>
        <v>31.92</v>
      </c>
      <c r="G4464" s="20" t="n">
        <f aca="false">E4464+F4464</f>
        <v>31.92</v>
      </c>
      <c r="H4464" s="20" t="n">
        <f aca="false">IF(G4464&lt;Parametres!$B$8*Parametres!$B$7,0,MIN(G4464,Parametres!$B$7))</f>
        <v>31.92</v>
      </c>
      <c r="I4464" s="20" t="n">
        <f aca="false">G4464-H4464</f>
        <v>0</v>
      </c>
      <c r="J4464" s="21" t="n">
        <f aca="false">H4464*1000/Parametres!$B$9</f>
        <v>541.29218246566</v>
      </c>
    </row>
    <row r="4465" customFormat="false" ht="15" hidden="false" customHeight="false" outlineLevel="0" collapsed="false">
      <c r="A4465" s="0" t="n">
        <v>4461</v>
      </c>
      <c r="B4465" s="0" t="n">
        <v>7</v>
      </c>
      <c r="C4465" s="19" t="n">
        <v>0</v>
      </c>
      <c r="D4465" s="19" t="n">
        <v>0.0762</v>
      </c>
      <c r="E4465" s="20" t="n">
        <f aca="false">Parametres!$B$5*C4465</f>
        <v>0</v>
      </c>
      <c r="F4465" s="20" t="n">
        <f aca="false">Parametres!$B$6*D4465</f>
        <v>15.24</v>
      </c>
      <c r="G4465" s="20" t="n">
        <f aca="false">E4465+F4465</f>
        <v>15.24</v>
      </c>
      <c r="H4465" s="20" t="n">
        <f aca="false">IF(G4465&lt;Parametres!$B$8*Parametres!$B$7,0,MIN(G4465,Parametres!$B$7))</f>
        <v>0</v>
      </c>
      <c r="I4465" s="20" t="n">
        <f aca="false">G4465-H4465</f>
        <v>15.24</v>
      </c>
      <c r="J4465" s="21" t="n">
        <f aca="false">H4465*1000/Parametres!$B$9</f>
        <v>0</v>
      </c>
    </row>
    <row r="4466" customFormat="false" ht="15" hidden="false" customHeight="false" outlineLevel="0" collapsed="false">
      <c r="A4466" s="0" t="n">
        <v>4462</v>
      </c>
      <c r="B4466" s="0" t="n">
        <v>7</v>
      </c>
      <c r="C4466" s="19" t="n">
        <v>0</v>
      </c>
      <c r="D4466" s="19" t="n">
        <v>0.0904</v>
      </c>
      <c r="E4466" s="20" t="n">
        <f aca="false">Parametres!$B$5*C4466</f>
        <v>0</v>
      </c>
      <c r="F4466" s="20" t="n">
        <f aca="false">Parametres!$B$6*D4466</f>
        <v>18.08</v>
      </c>
      <c r="G4466" s="20" t="n">
        <f aca="false">E4466+F4466</f>
        <v>18.08</v>
      </c>
      <c r="H4466" s="20" t="n">
        <f aca="false">IF(G4466&lt;Parametres!$B$8*Parametres!$B$7,0,MIN(G4466,Parametres!$B$7))</f>
        <v>0</v>
      </c>
      <c r="I4466" s="20" t="n">
        <f aca="false">G4466-H4466</f>
        <v>18.08</v>
      </c>
      <c r="J4466" s="21" t="n">
        <f aca="false">H4466*1000/Parametres!$B$9</f>
        <v>0</v>
      </c>
    </row>
    <row r="4467" customFormat="false" ht="15" hidden="false" customHeight="false" outlineLevel="0" collapsed="false">
      <c r="A4467" s="0" t="n">
        <v>4463</v>
      </c>
      <c r="B4467" s="0" t="n">
        <v>7</v>
      </c>
      <c r="C4467" s="19" t="n">
        <v>0</v>
      </c>
      <c r="D4467" s="19" t="n">
        <v>0.0363</v>
      </c>
      <c r="E4467" s="20" t="n">
        <f aca="false">Parametres!$B$5*C4467</f>
        <v>0</v>
      </c>
      <c r="F4467" s="20" t="n">
        <f aca="false">Parametres!$B$6*D4467</f>
        <v>7.26</v>
      </c>
      <c r="G4467" s="20" t="n">
        <f aca="false">E4467+F4467</f>
        <v>7.26</v>
      </c>
      <c r="H4467" s="20" t="n">
        <f aca="false">IF(G4467&lt;Parametres!$B$8*Parametres!$B$7,0,MIN(G4467,Parametres!$B$7))</f>
        <v>0</v>
      </c>
      <c r="I4467" s="20" t="n">
        <f aca="false">G4467-H4467</f>
        <v>7.26</v>
      </c>
      <c r="J4467" s="21" t="n">
        <f aca="false">H4467*1000/Parametres!$B$9</f>
        <v>0</v>
      </c>
    </row>
    <row r="4468" customFormat="false" ht="15" hidden="false" customHeight="false" outlineLevel="0" collapsed="false">
      <c r="A4468" s="0" t="n">
        <v>4464</v>
      </c>
      <c r="B4468" s="0" t="n">
        <v>7</v>
      </c>
      <c r="C4468" s="19" t="n">
        <v>0</v>
      </c>
      <c r="D4468" s="19" t="n">
        <v>0.0545</v>
      </c>
      <c r="E4468" s="20" t="n">
        <f aca="false">Parametres!$B$5*C4468</f>
        <v>0</v>
      </c>
      <c r="F4468" s="20" t="n">
        <f aca="false">Parametres!$B$6*D4468</f>
        <v>10.9</v>
      </c>
      <c r="G4468" s="20" t="n">
        <f aca="false">E4468+F4468</f>
        <v>10.9</v>
      </c>
      <c r="H4468" s="20" t="n">
        <f aca="false">IF(G4468&lt;Parametres!$B$8*Parametres!$B$7,0,MIN(G4468,Parametres!$B$7))</f>
        <v>0</v>
      </c>
      <c r="I4468" s="20" t="n">
        <f aca="false">G4468-H4468</f>
        <v>10.9</v>
      </c>
      <c r="J4468" s="21" t="n">
        <f aca="false">H4468*1000/Parametres!$B$9</f>
        <v>0</v>
      </c>
    </row>
    <row r="4469" customFormat="false" ht="15" hidden="false" customHeight="false" outlineLevel="0" collapsed="false">
      <c r="A4469" s="0" t="n">
        <v>4465</v>
      </c>
      <c r="B4469" s="0" t="n">
        <v>7</v>
      </c>
      <c r="C4469" s="19" t="n">
        <v>0</v>
      </c>
      <c r="D4469" s="19" t="n">
        <v>0.0913</v>
      </c>
      <c r="E4469" s="20" t="n">
        <f aca="false">Parametres!$B$5*C4469</f>
        <v>0</v>
      </c>
      <c r="F4469" s="20" t="n">
        <f aca="false">Parametres!$B$6*D4469</f>
        <v>18.26</v>
      </c>
      <c r="G4469" s="20" t="n">
        <f aca="false">E4469+F4469</f>
        <v>18.26</v>
      </c>
      <c r="H4469" s="20" t="n">
        <f aca="false">IF(G4469&lt;Parametres!$B$8*Parametres!$B$7,0,MIN(G4469,Parametres!$B$7))</f>
        <v>0</v>
      </c>
      <c r="I4469" s="20" t="n">
        <f aca="false">G4469-H4469</f>
        <v>18.26</v>
      </c>
      <c r="J4469" s="21" t="n">
        <f aca="false">H4469*1000/Parametres!$B$9</f>
        <v>0</v>
      </c>
    </row>
    <row r="4470" customFormat="false" ht="15" hidden="false" customHeight="false" outlineLevel="0" collapsed="false">
      <c r="A4470" s="0" t="n">
        <v>4466</v>
      </c>
      <c r="B4470" s="0" t="n">
        <v>7</v>
      </c>
      <c r="C4470" s="19" t="n">
        <v>0</v>
      </c>
      <c r="D4470" s="19" t="n">
        <v>0.0538</v>
      </c>
      <c r="E4470" s="20" t="n">
        <f aca="false">Parametres!$B$5*C4470</f>
        <v>0</v>
      </c>
      <c r="F4470" s="20" t="n">
        <f aca="false">Parametres!$B$6*D4470</f>
        <v>10.76</v>
      </c>
      <c r="G4470" s="20" t="n">
        <f aca="false">E4470+F4470</f>
        <v>10.76</v>
      </c>
      <c r="H4470" s="20" t="n">
        <f aca="false">IF(G4470&lt;Parametres!$B$8*Parametres!$B$7,0,MIN(G4470,Parametres!$B$7))</f>
        <v>0</v>
      </c>
      <c r="I4470" s="20" t="n">
        <f aca="false">G4470-H4470</f>
        <v>10.76</v>
      </c>
      <c r="J4470" s="21" t="n">
        <f aca="false">H4470*1000/Parametres!$B$9</f>
        <v>0</v>
      </c>
    </row>
    <row r="4471" customFormat="false" ht="15" hidden="false" customHeight="false" outlineLevel="0" collapsed="false">
      <c r="A4471" s="0" t="n">
        <v>4467</v>
      </c>
      <c r="B4471" s="0" t="n">
        <v>7</v>
      </c>
      <c r="C4471" s="19" t="n">
        <v>0</v>
      </c>
      <c r="D4471" s="19" t="n">
        <v>0.0901</v>
      </c>
      <c r="E4471" s="20" t="n">
        <f aca="false">Parametres!$B$5*C4471</f>
        <v>0</v>
      </c>
      <c r="F4471" s="20" t="n">
        <f aca="false">Parametres!$B$6*D4471</f>
        <v>18.02</v>
      </c>
      <c r="G4471" s="20" t="n">
        <f aca="false">E4471+F4471</f>
        <v>18.02</v>
      </c>
      <c r="H4471" s="20" t="n">
        <f aca="false">IF(G4471&lt;Parametres!$B$8*Parametres!$B$7,0,MIN(G4471,Parametres!$B$7))</f>
        <v>0</v>
      </c>
      <c r="I4471" s="20" t="n">
        <f aca="false">G4471-H4471</f>
        <v>18.02</v>
      </c>
      <c r="J4471" s="21" t="n">
        <f aca="false">H4471*1000/Parametres!$B$9</f>
        <v>0</v>
      </c>
    </row>
    <row r="4472" customFormat="false" ht="15" hidden="false" customHeight="false" outlineLevel="0" collapsed="false">
      <c r="A4472" s="0" t="n">
        <v>4468</v>
      </c>
      <c r="B4472" s="0" t="n">
        <v>7</v>
      </c>
      <c r="C4472" s="19" t="n">
        <v>0</v>
      </c>
      <c r="D4472" s="19" t="n">
        <v>0.0927</v>
      </c>
      <c r="E4472" s="20" t="n">
        <f aca="false">Parametres!$B$5*C4472</f>
        <v>0</v>
      </c>
      <c r="F4472" s="20" t="n">
        <f aca="false">Parametres!$B$6*D4472</f>
        <v>18.54</v>
      </c>
      <c r="G4472" s="20" t="n">
        <f aca="false">E4472+F4472</f>
        <v>18.54</v>
      </c>
      <c r="H4472" s="20" t="n">
        <f aca="false">IF(G4472&lt;Parametres!$B$8*Parametres!$B$7,0,MIN(G4472,Parametres!$B$7))</f>
        <v>0</v>
      </c>
      <c r="I4472" s="20" t="n">
        <f aca="false">G4472-H4472</f>
        <v>18.54</v>
      </c>
      <c r="J4472" s="21" t="n">
        <f aca="false">H4472*1000/Parametres!$B$9</f>
        <v>0</v>
      </c>
    </row>
    <row r="4473" customFormat="false" ht="15" hidden="false" customHeight="false" outlineLevel="0" collapsed="false">
      <c r="A4473" s="0" t="n">
        <v>4469</v>
      </c>
      <c r="B4473" s="0" t="n">
        <v>7</v>
      </c>
      <c r="C4473" s="19" t="n">
        <v>0</v>
      </c>
      <c r="D4473" s="19" t="n">
        <v>0.2116</v>
      </c>
      <c r="E4473" s="20" t="n">
        <f aca="false">Parametres!$B$5*C4473</f>
        <v>0</v>
      </c>
      <c r="F4473" s="20" t="n">
        <f aca="false">Parametres!$B$6*D4473</f>
        <v>42.32</v>
      </c>
      <c r="G4473" s="20" t="n">
        <f aca="false">E4473+F4473</f>
        <v>42.32</v>
      </c>
      <c r="H4473" s="20" t="n">
        <f aca="false">IF(G4473&lt;Parametres!$B$8*Parametres!$B$7,0,MIN(G4473,Parametres!$B$7))</f>
        <v>42.32</v>
      </c>
      <c r="I4473" s="20" t="n">
        <f aca="false">G4473-H4473</f>
        <v>0</v>
      </c>
      <c r="J4473" s="21" t="n">
        <f aca="false">H4473*1000/Parametres!$B$9</f>
        <v>717.653043920638</v>
      </c>
    </row>
    <row r="4474" customFormat="false" ht="15" hidden="false" customHeight="false" outlineLevel="0" collapsed="false">
      <c r="A4474" s="0" t="n">
        <v>4470</v>
      </c>
      <c r="B4474" s="0" t="n">
        <v>7</v>
      </c>
      <c r="C4474" s="19" t="n">
        <v>0.0537</v>
      </c>
      <c r="D4474" s="19" t="n">
        <v>0.2171</v>
      </c>
      <c r="E4474" s="20" t="n">
        <f aca="false">Parametres!$B$5*C4474</f>
        <v>16.11</v>
      </c>
      <c r="F4474" s="20" t="n">
        <f aca="false">Parametres!$B$6*D4474</f>
        <v>43.42</v>
      </c>
      <c r="G4474" s="20" t="n">
        <f aca="false">E4474+F4474</f>
        <v>59.53</v>
      </c>
      <c r="H4474" s="20" t="n">
        <f aca="false">IF(G4474&lt;Parametres!$B$8*Parametres!$B$7,0,MIN(G4474,Parametres!$B$7))</f>
        <v>59.53</v>
      </c>
      <c r="I4474" s="20" t="n">
        <f aca="false">G4474-H4474</f>
        <v>0</v>
      </c>
      <c r="J4474" s="21" t="n">
        <f aca="false">H4474*1000/Parametres!$B$9</f>
        <v>1009.49635407834</v>
      </c>
    </row>
    <row r="4475" customFormat="false" ht="15" hidden="false" customHeight="false" outlineLevel="0" collapsed="false">
      <c r="A4475" s="0" t="n">
        <v>4471</v>
      </c>
      <c r="B4475" s="0" t="n">
        <v>7</v>
      </c>
      <c r="C4475" s="19" t="n">
        <v>0.2727</v>
      </c>
      <c r="D4475" s="19" t="n">
        <v>0.1016</v>
      </c>
      <c r="E4475" s="20" t="n">
        <f aca="false">Parametres!$B$5*C4475</f>
        <v>81.81</v>
      </c>
      <c r="F4475" s="20" t="n">
        <f aca="false">Parametres!$B$6*D4475</f>
        <v>20.32</v>
      </c>
      <c r="G4475" s="20" t="n">
        <f aca="false">E4475+F4475</f>
        <v>102.13</v>
      </c>
      <c r="H4475" s="20" t="n">
        <f aca="false">IF(G4475&lt;Parametres!$B$8*Parametres!$B$7,0,MIN(G4475,Parametres!$B$7))</f>
        <v>102.13</v>
      </c>
      <c r="I4475" s="20" t="n">
        <f aca="false">G4475-H4475</f>
        <v>0</v>
      </c>
      <c r="J4475" s="21" t="n">
        <f aca="false">H4475*1000/Parametres!$B$9</f>
        <v>1731.89757503816</v>
      </c>
    </row>
    <row r="4476" customFormat="false" ht="15" hidden="false" customHeight="false" outlineLevel="0" collapsed="false">
      <c r="A4476" s="0" t="n">
        <v>4472</v>
      </c>
      <c r="B4476" s="0" t="n">
        <v>7</v>
      </c>
      <c r="C4476" s="19" t="n">
        <v>0.5007</v>
      </c>
      <c r="D4476" s="19" t="n">
        <v>0.0404</v>
      </c>
      <c r="E4476" s="20" t="n">
        <f aca="false">Parametres!$B$5*C4476</f>
        <v>150.21</v>
      </c>
      <c r="F4476" s="20" t="n">
        <f aca="false">Parametres!$B$6*D4476</f>
        <v>8.08</v>
      </c>
      <c r="G4476" s="20" t="n">
        <f aca="false">E4476+F4476</f>
        <v>158.29</v>
      </c>
      <c r="H4476" s="20" t="n">
        <f aca="false">IF(G4476&lt;Parametres!$B$8*Parametres!$B$7,0,MIN(G4476,Parametres!$B$7))</f>
        <v>158.29</v>
      </c>
      <c r="I4476" s="20" t="n">
        <f aca="false">G4476-H4476</f>
        <v>0</v>
      </c>
      <c r="J4476" s="21" t="n">
        <f aca="false">H4476*1000/Parametres!$B$9</f>
        <v>2684.24622689503</v>
      </c>
    </row>
    <row r="4477" customFormat="false" ht="15" hidden="false" customHeight="false" outlineLevel="0" collapsed="false">
      <c r="A4477" s="0" t="n">
        <v>4473</v>
      </c>
      <c r="B4477" s="0" t="n">
        <v>7</v>
      </c>
      <c r="C4477" s="19" t="n">
        <v>0.718</v>
      </c>
      <c r="D4477" s="19" t="n">
        <v>0.0818</v>
      </c>
      <c r="E4477" s="20" t="n">
        <f aca="false">Parametres!$B$5*C4477</f>
        <v>215.4</v>
      </c>
      <c r="F4477" s="20" t="n">
        <f aca="false">Parametres!$B$6*D4477</f>
        <v>16.36</v>
      </c>
      <c r="G4477" s="20" t="n">
        <f aca="false">E4477+F4477</f>
        <v>231.76</v>
      </c>
      <c r="H4477" s="20" t="n">
        <f aca="false">IF(G4477&lt;Parametres!$B$8*Parametres!$B$7,0,MIN(G4477,Parametres!$B$7))</f>
        <v>231.76</v>
      </c>
      <c r="I4477" s="20" t="n">
        <f aca="false">G4477-H4477</f>
        <v>0</v>
      </c>
      <c r="J4477" s="21" t="n">
        <f aca="false">H4477*1000/Parametres!$B$9</f>
        <v>3930.13396642361</v>
      </c>
    </row>
    <row r="4478" customFormat="false" ht="15" hidden="false" customHeight="false" outlineLevel="0" collapsed="false">
      <c r="A4478" s="0" t="n">
        <v>4474</v>
      </c>
      <c r="B4478" s="0" t="n">
        <v>7</v>
      </c>
      <c r="C4478" s="19" t="n">
        <v>0.9276</v>
      </c>
      <c r="D4478" s="19" t="n">
        <v>0.0751</v>
      </c>
      <c r="E4478" s="20" t="n">
        <f aca="false">Parametres!$B$5*C4478</f>
        <v>278.28</v>
      </c>
      <c r="F4478" s="20" t="n">
        <f aca="false">Parametres!$B$6*D4478</f>
        <v>15.02</v>
      </c>
      <c r="G4478" s="20" t="n">
        <f aca="false">E4478+F4478</f>
        <v>293.3</v>
      </c>
      <c r="H4478" s="20" t="n">
        <f aca="false">IF(G4478&lt;Parametres!$B$8*Parametres!$B$7,0,MIN(G4478,Parametres!$B$7))</f>
        <v>250</v>
      </c>
      <c r="I4478" s="20" t="n">
        <f aca="false">G4478-H4478</f>
        <v>43.3</v>
      </c>
      <c r="J4478" s="21" t="n">
        <f aca="false">H4478*1000/Parametres!$B$9</f>
        <v>4239.44378497541</v>
      </c>
    </row>
    <row r="4479" customFormat="false" ht="15" hidden="false" customHeight="false" outlineLevel="0" collapsed="false">
      <c r="A4479" s="0" t="n">
        <v>4475</v>
      </c>
      <c r="B4479" s="0" t="n">
        <v>7</v>
      </c>
      <c r="C4479" s="19" t="n">
        <v>1</v>
      </c>
      <c r="D4479" s="19" t="n">
        <v>0.1113</v>
      </c>
      <c r="E4479" s="20" t="n">
        <f aca="false">Parametres!$B$5*C4479</f>
        <v>300</v>
      </c>
      <c r="F4479" s="20" t="n">
        <f aca="false">Parametres!$B$6*D4479</f>
        <v>22.26</v>
      </c>
      <c r="G4479" s="20" t="n">
        <f aca="false">E4479+F4479</f>
        <v>322.26</v>
      </c>
      <c r="H4479" s="20" t="n">
        <f aca="false">IF(G4479&lt;Parametres!$B$8*Parametres!$B$7,0,MIN(G4479,Parametres!$B$7))</f>
        <v>250</v>
      </c>
      <c r="I4479" s="20" t="n">
        <f aca="false">G4479-H4479</f>
        <v>72.26</v>
      </c>
      <c r="J4479" s="21" t="n">
        <f aca="false">H4479*1000/Parametres!$B$9</f>
        <v>4239.44378497541</v>
      </c>
    </row>
    <row r="4480" customFormat="false" ht="15" hidden="false" customHeight="false" outlineLevel="0" collapsed="false">
      <c r="A4480" s="0" t="n">
        <v>4476</v>
      </c>
      <c r="B4480" s="0" t="n">
        <v>7</v>
      </c>
      <c r="C4480" s="19" t="n">
        <v>1</v>
      </c>
      <c r="D4480" s="19" t="n">
        <v>0.0705</v>
      </c>
      <c r="E4480" s="20" t="n">
        <f aca="false">Parametres!$B$5*C4480</f>
        <v>300</v>
      </c>
      <c r="F4480" s="20" t="n">
        <f aca="false">Parametres!$B$6*D4480</f>
        <v>14.1</v>
      </c>
      <c r="G4480" s="20" t="n">
        <f aca="false">E4480+F4480</f>
        <v>314.1</v>
      </c>
      <c r="H4480" s="20" t="n">
        <f aca="false">IF(G4480&lt;Parametres!$B$8*Parametres!$B$7,0,MIN(G4480,Parametres!$B$7))</f>
        <v>250</v>
      </c>
      <c r="I4480" s="20" t="n">
        <f aca="false">G4480-H4480</f>
        <v>64.1</v>
      </c>
      <c r="J4480" s="21" t="n">
        <f aca="false">H4480*1000/Parametres!$B$9</f>
        <v>4239.44378497541</v>
      </c>
    </row>
    <row r="4481" customFormat="false" ht="15" hidden="false" customHeight="false" outlineLevel="0" collapsed="false">
      <c r="A4481" s="0" t="n">
        <v>4477</v>
      </c>
      <c r="B4481" s="0" t="n">
        <v>7</v>
      </c>
      <c r="C4481" s="19" t="n">
        <v>1</v>
      </c>
      <c r="D4481" s="19" t="n">
        <v>0.0585</v>
      </c>
      <c r="E4481" s="20" t="n">
        <f aca="false">Parametres!$B$5*C4481</f>
        <v>300</v>
      </c>
      <c r="F4481" s="20" t="n">
        <f aca="false">Parametres!$B$6*D4481</f>
        <v>11.7</v>
      </c>
      <c r="G4481" s="20" t="n">
        <f aca="false">E4481+F4481</f>
        <v>311.7</v>
      </c>
      <c r="H4481" s="20" t="n">
        <f aca="false">IF(G4481&lt;Parametres!$B$8*Parametres!$B$7,0,MIN(G4481,Parametres!$B$7))</f>
        <v>250</v>
      </c>
      <c r="I4481" s="20" t="n">
        <f aca="false">G4481-H4481</f>
        <v>61.7</v>
      </c>
      <c r="J4481" s="21" t="n">
        <f aca="false">H4481*1000/Parametres!$B$9</f>
        <v>4239.44378497541</v>
      </c>
    </row>
    <row r="4482" customFormat="false" ht="15" hidden="false" customHeight="false" outlineLevel="0" collapsed="false">
      <c r="A4482" s="0" t="n">
        <v>4478</v>
      </c>
      <c r="B4482" s="0" t="n">
        <v>7</v>
      </c>
      <c r="C4482" s="19" t="n">
        <v>1</v>
      </c>
      <c r="D4482" s="19" t="n">
        <v>0.0122</v>
      </c>
      <c r="E4482" s="20" t="n">
        <f aca="false">Parametres!$B$5*C4482</f>
        <v>300</v>
      </c>
      <c r="F4482" s="20" t="n">
        <f aca="false">Parametres!$B$6*D4482</f>
        <v>2.44</v>
      </c>
      <c r="G4482" s="20" t="n">
        <f aca="false">E4482+F4482</f>
        <v>302.44</v>
      </c>
      <c r="H4482" s="20" t="n">
        <f aca="false">IF(G4482&lt;Parametres!$B$8*Parametres!$B$7,0,MIN(G4482,Parametres!$B$7))</f>
        <v>250</v>
      </c>
      <c r="I4482" s="20" t="n">
        <f aca="false">G4482-H4482</f>
        <v>52.44</v>
      </c>
      <c r="J4482" s="21" t="n">
        <f aca="false">H4482*1000/Parametres!$B$9</f>
        <v>4239.44378497541</v>
      </c>
    </row>
    <row r="4483" customFormat="false" ht="15" hidden="false" customHeight="false" outlineLevel="0" collapsed="false">
      <c r="A4483" s="0" t="n">
        <v>4479</v>
      </c>
      <c r="B4483" s="0" t="n">
        <v>7</v>
      </c>
      <c r="C4483" s="19" t="n">
        <v>0.8756</v>
      </c>
      <c r="D4483" s="19" t="n">
        <v>0.021</v>
      </c>
      <c r="E4483" s="20" t="n">
        <f aca="false">Parametres!$B$5*C4483</f>
        <v>262.68</v>
      </c>
      <c r="F4483" s="20" t="n">
        <f aca="false">Parametres!$B$6*D4483</f>
        <v>4.2</v>
      </c>
      <c r="G4483" s="20" t="n">
        <f aca="false">E4483+F4483</f>
        <v>266.88</v>
      </c>
      <c r="H4483" s="20" t="n">
        <f aca="false">IF(G4483&lt;Parametres!$B$8*Parametres!$B$7,0,MIN(G4483,Parametres!$B$7))</f>
        <v>250</v>
      </c>
      <c r="I4483" s="20" t="n">
        <f aca="false">G4483-H4483</f>
        <v>16.88</v>
      </c>
      <c r="J4483" s="21" t="n">
        <f aca="false">H4483*1000/Parametres!$B$9</f>
        <v>4239.44378497541</v>
      </c>
    </row>
    <row r="4484" customFormat="false" ht="15" hidden="false" customHeight="false" outlineLevel="0" collapsed="false">
      <c r="A4484" s="0" t="n">
        <v>4480</v>
      </c>
      <c r="B4484" s="0" t="n">
        <v>7</v>
      </c>
      <c r="C4484" s="19" t="n">
        <v>0.7446</v>
      </c>
      <c r="D4484" s="19" t="n">
        <v>0.0437</v>
      </c>
      <c r="E4484" s="20" t="n">
        <f aca="false">Parametres!$B$5*C4484</f>
        <v>223.38</v>
      </c>
      <c r="F4484" s="20" t="n">
        <f aca="false">Parametres!$B$6*D4484</f>
        <v>8.74</v>
      </c>
      <c r="G4484" s="20" t="n">
        <f aca="false">E4484+F4484</f>
        <v>232.12</v>
      </c>
      <c r="H4484" s="20" t="n">
        <f aca="false">IF(G4484&lt;Parametres!$B$8*Parametres!$B$7,0,MIN(G4484,Parametres!$B$7))</f>
        <v>232.12</v>
      </c>
      <c r="I4484" s="20" t="n">
        <f aca="false">G4484-H4484</f>
        <v>0</v>
      </c>
      <c r="J4484" s="21" t="n">
        <f aca="false">H4484*1000/Parametres!$B$9</f>
        <v>3936.23876547397</v>
      </c>
    </row>
    <row r="4485" customFormat="false" ht="15" hidden="false" customHeight="false" outlineLevel="0" collapsed="false">
      <c r="A4485" s="0" t="n">
        <v>4481</v>
      </c>
      <c r="B4485" s="0" t="n">
        <v>7</v>
      </c>
      <c r="C4485" s="19" t="n">
        <v>0.512</v>
      </c>
      <c r="D4485" s="19" t="n">
        <v>0.0258</v>
      </c>
      <c r="E4485" s="20" t="n">
        <f aca="false">Parametres!$B$5*C4485</f>
        <v>153.6</v>
      </c>
      <c r="F4485" s="20" t="n">
        <f aca="false">Parametres!$B$6*D4485</f>
        <v>5.16</v>
      </c>
      <c r="G4485" s="20" t="n">
        <f aca="false">E4485+F4485</f>
        <v>158.76</v>
      </c>
      <c r="H4485" s="20" t="n">
        <f aca="false">IF(G4485&lt;Parametres!$B$8*Parametres!$B$7,0,MIN(G4485,Parametres!$B$7))</f>
        <v>158.76</v>
      </c>
      <c r="I4485" s="20" t="n">
        <f aca="false">G4485-H4485</f>
        <v>0</v>
      </c>
      <c r="J4485" s="21" t="n">
        <f aca="false">H4485*1000/Parametres!$B$9</f>
        <v>2692.21638121079</v>
      </c>
    </row>
    <row r="4486" customFormat="false" ht="15" hidden="false" customHeight="false" outlineLevel="0" collapsed="false">
      <c r="A4486" s="0" t="n">
        <v>4482</v>
      </c>
      <c r="B4486" s="0" t="n">
        <v>7</v>
      </c>
      <c r="C4486" s="19" t="n">
        <v>0.2574</v>
      </c>
      <c r="D4486" s="19" t="n">
        <v>0.0391</v>
      </c>
      <c r="E4486" s="20" t="n">
        <f aca="false">Parametres!$B$5*C4486</f>
        <v>77.22</v>
      </c>
      <c r="F4486" s="20" t="n">
        <f aca="false">Parametres!$B$6*D4486</f>
        <v>7.82</v>
      </c>
      <c r="G4486" s="20" t="n">
        <f aca="false">E4486+F4486</f>
        <v>85.04</v>
      </c>
      <c r="H4486" s="20" t="n">
        <f aca="false">IF(G4486&lt;Parametres!$B$8*Parametres!$B$7,0,MIN(G4486,Parametres!$B$7))</f>
        <v>85.04</v>
      </c>
      <c r="I4486" s="20" t="n">
        <f aca="false">G4486-H4486</f>
        <v>0</v>
      </c>
      <c r="J4486" s="21" t="n">
        <f aca="false">H4486*1000/Parametres!$B$9</f>
        <v>1442.08919789724</v>
      </c>
    </row>
    <row r="4487" customFormat="false" ht="15" hidden="false" customHeight="false" outlineLevel="0" collapsed="false">
      <c r="A4487" s="0" t="n">
        <v>4483</v>
      </c>
      <c r="B4487" s="0" t="n">
        <v>7</v>
      </c>
      <c r="C4487" s="19" t="n">
        <v>0.0569</v>
      </c>
      <c r="D4487" s="19" t="n">
        <v>0.0214</v>
      </c>
      <c r="E4487" s="20" t="n">
        <f aca="false">Parametres!$B$5*C4487</f>
        <v>17.07</v>
      </c>
      <c r="F4487" s="20" t="n">
        <f aca="false">Parametres!$B$6*D4487</f>
        <v>4.28</v>
      </c>
      <c r="G4487" s="20" t="n">
        <f aca="false">E4487+F4487</f>
        <v>21.35</v>
      </c>
      <c r="H4487" s="20" t="n">
        <f aca="false">IF(G4487&lt;Parametres!$B$8*Parametres!$B$7,0,MIN(G4487,Parametres!$B$7))</f>
        <v>0</v>
      </c>
      <c r="I4487" s="20" t="n">
        <f aca="false">G4487-H4487</f>
        <v>21.35</v>
      </c>
      <c r="J4487" s="21" t="n">
        <f aca="false">H4487*1000/Parametres!$B$9</f>
        <v>0</v>
      </c>
    </row>
    <row r="4488" customFormat="false" ht="15" hidden="false" customHeight="false" outlineLevel="0" collapsed="false">
      <c r="A4488" s="0" t="n">
        <v>4484</v>
      </c>
      <c r="B4488" s="0" t="n">
        <v>7</v>
      </c>
      <c r="C4488" s="19" t="n">
        <v>0</v>
      </c>
      <c r="D4488" s="19" t="n">
        <v>0.0271</v>
      </c>
      <c r="E4488" s="20" t="n">
        <f aca="false">Parametres!$B$5*C4488</f>
        <v>0</v>
      </c>
      <c r="F4488" s="20" t="n">
        <f aca="false">Parametres!$B$6*D4488</f>
        <v>5.42</v>
      </c>
      <c r="G4488" s="20" t="n">
        <f aca="false">E4488+F4488</f>
        <v>5.42</v>
      </c>
      <c r="H4488" s="20" t="n">
        <f aca="false">IF(G4488&lt;Parametres!$B$8*Parametres!$B$7,0,MIN(G4488,Parametres!$B$7))</f>
        <v>0</v>
      </c>
      <c r="I4488" s="20" t="n">
        <f aca="false">G4488-H4488</f>
        <v>5.42</v>
      </c>
      <c r="J4488" s="21" t="n">
        <f aca="false">H4488*1000/Parametres!$B$9</f>
        <v>0</v>
      </c>
    </row>
    <row r="4489" customFormat="false" ht="15" hidden="false" customHeight="false" outlineLevel="0" collapsed="false">
      <c r="A4489" s="0" t="n">
        <v>4485</v>
      </c>
      <c r="B4489" s="0" t="n">
        <v>7</v>
      </c>
      <c r="C4489" s="19" t="n">
        <v>0</v>
      </c>
      <c r="D4489" s="19" t="n">
        <v>0.0165</v>
      </c>
      <c r="E4489" s="20" t="n">
        <f aca="false">Parametres!$B$5*C4489</f>
        <v>0</v>
      </c>
      <c r="F4489" s="20" t="n">
        <f aca="false">Parametres!$B$6*D4489</f>
        <v>3.3</v>
      </c>
      <c r="G4489" s="20" t="n">
        <f aca="false">E4489+F4489</f>
        <v>3.3</v>
      </c>
      <c r="H4489" s="20" t="n">
        <f aca="false">IF(G4489&lt;Parametres!$B$8*Parametres!$B$7,0,MIN(G4489,Parametres!$B$7))</f>
        <v>0</v>
      </c>
      <c r="I4489" s="20" t="n">
        <f aca="false">G4489-H4489</f>
        <v>3.3</v>
      </c>
      <c r="J4489" s="21" t="n">
        <f aca="false">H4489*1000/Parametres!$B$9</f>
        <v>0</v>
      </c>
    </row>
    <row r="4490" customFormat="false" ht="15" hidden="false" customHeight="false" outlineLevel="0" collapsed="false">
      <c r="A4490" s="0" t="n">
        <v>4486</v>
      </c>
      <c r="B4490" s="0" t="n">
        <v>7</v>
      </c>
      <c r="C4490" s="19" t="n">
        <v>0</v>
      </c>
      <c r="D4490" s="19" t="n">
        <v>0.0058</v>
      </c>
      <c r="E4490" s="20" t="n">
        <f aca="false">Parametres!$B$5*C4490</f>
        <v>0</v>
      </c>
      <c r="F4490" s="20" t="n">
        <f aca="false">Parametres!$B$6*D4490</f>
        <v>1.16</v>
      </c>
      <c r="G4490" s="20" t="n">
        <f aca="false">E4490+F4490</f>
        <v>1.16</v>
      </c>
      <c r="H4490" s="20" t="n">
        <f aca="false">IF(G4490&lt;Parametres!$B$8*Parametres!$B$7,0,MIN(G4490,Parametres!$B$7))</f>
        <v>0</v>
      </c>
      <c r="I4490" s="20" t="n">
        <f aca="false">G4490-H4490</f>
        <v>1.16</v>
      </c>
      <c r="J4490" s="21" t="n">
        <f aca="false">H4490*1000/Parametres!$B$9</f>
        <v>0</v>
      </c>
    </row>
    <row r="4491" customFormat="false" ht="15" hidden="false" customHeight="false" outlineLevel="0" collapsed="false">
      <c r="A4491" s="0" t="n">
        <v>4487</v>
      </c>
      <c r="B4491" s="0" t="n">
        <v>7</v>
      </c>
      <c r="C4491" s="19" t="n">
        <v>0</v>
      </c>
      <c r="D4491" s="19" t="n">
        <v>0.008</v>
      </c>
      <c r="E4491" s="20" t="n">
        <f aca="false">Parametres!$B$5*C4491</f>
        <v>0</v>
      </c>
      <c r="F4491" s="20" t="n">
        <f aca="false">Parametres!$B$6*D4491</f>
        <v>1.6</v>
      </c>
      <c r="G4491" s="20" t="n">
        <f aca="false">E4491+F4491</f>
        <v>1.6</v>
      </c>
      <c r="H4491" s="20" t="n">
        <f aca="false">IF(G4491&lt;Parametres!$B$8*Parametres!$B$7,0,MIN(G4491,Parametres!$B$7))</f>
        <v>0</v>
      </c>
      <c r="I4491" s="20" t="n">
        <f aca="false">G4491-H4491</f>
        <v>1.6</v>
      </c>
      <c r="J4491" s="21" t="n">
        <f aca="false">H4491*1000/Parametres!$B$9</f>
        <v>0</v>
      </c>
    </row>
    <row r="4492" customFormat="false" ht="15" hidden="false" customHeight="false" outlineLevel="0" collapsed="false">
      <c r="A4492" s="0" t="n">
        <v>4488</v>
      </c>
      <c r="B4492" s="0" t="n">
        <v>7</v>
      </c>
      <c r="C4492" s="19" t="n">
        <v>0</v>
      </c>
      <c r="D4492" s="19" t="n">
        <v>0.0003</v>
      </c>
      <c r="E4492" s="20" t="n">
        <f aca="false">Parametres!$B$5*C4492</f>
        <v>0</v>
      </c>
      <c r="F4492" s="20" t="n">
        <f aca="false">Parametres!$B$6*D4492</f>
        <v>0.06</v>
      </c>
      <c r="G4492" s="20" t="n">
        <f aca="false">E4492+F4492</f>
        <v>0.06</v>
      </c>
      <c r="H4492" s="20" t="n">
        <f aca="false">IF(G4492&lt;Parametres!$B$8*Parametres!$B$7,0,MIN(G4492,Parametres!$B$7))</f>
        <v>0</v>
      </c>
      <c r="I4492" s="20" t="n">
        <f aca="false">G4492-H4492</f>
        <v>0.06</v>
      </c>
      <c r="J4492" s="21" t="n">
        <f aca="false">H4492*1000/Parametres!$B$9</f>
        <v>0</v>
      </c>
    </row>
    <row r="4493" customFormat="false" ht="15" hidden="false" customHeight="false" outlineLevel="0" collapsed="false">
      <c r="A4493" s="0" t="n">
        <v>4489</v>
      </c>
      <c r="B4493" s="0" t="n">
        <v>7</v>
      </c>
      <c r="C4493" s="19" t="n">
        <v>0</v>
      </c>
      <c r="D4493" s="19" t="n">
        <v>0.0053</v>
      </c>
      <c r="E4493" s="20" t="n">
        <f aca="false">Parametres!$B$5*C4493</f>
        <v>0</v>
      </c>
      <c r="F4493" s="20" t="n">
        <f aca="false">Parametres!$B$6*D4493</f>
        <v>1.06</v>
      </c>
      <c r="G4493" s="20" t="n">
        <f aca="false">E4493+F4493</f>
        <v>1.06</v>
      </c>
      <c r="H4493" s="20" t="n">
        <f aca="false">IF(G4493&lt;Parametres!$B$8*Parametres!$B$7,0,MIN(G4493,Parametres!$B$7))</f>
        <v>0</v>
      </c>
      <c r="I4493" s="20" t="n">
        <f aca="false">G4493-H4493</f>
        <v>1.06</v>
      </c>
      <c r="J4493" s="21" t="n">
        <f aca="false">H4493*1000/Parametres!$B$9</f>
        <v>0</v>
      </c>
    </row>
    <row r="4494" customFormat="false" ht="15" hidden="false" customHeight="false" outlineLevel="0" collapsed="false">
      <c r="A4494" s="0" t="n">
        <v>4490</v>
      </c>
      <c r="B4494" s="0" t="n">
        <v>7</v>
      </c>
      <c r="C4494" s="19" t="n">
        <v>0</v>
      </c>
      <c r="D4494" s="19" t="n">
        <v>0.0003</v>
      </c>
      <c r="E4494" s="20" t="n">
        <f aca="false">Parametres!$B$5*C4494</f>
        <v>0</v>
      </c>
      <c r="F4494" s="20" t="n">
        <f aca="false">Parametres!$B$6*D4494</f>
        <v>0.06</v>
      </c>
      <c r="G4494" s="20" t="n">
        <f aca="false">E4494+F4494</f>
        <v>0.06</v>
      </c>
      <c r="H4494" s="20" t="n">
        <f aca="false">IF(G4494&lt;Parametres!$B$8*Parametres!$B$7,0,MIN(G4494,Parametres!$B$7))</f>
        <v>0</v>
      </c>
      <c r="I4494" s="20" t="n">
        <f aca="false">G4494-H4494</f>
        <v>0.06</v>
      </c>
      <c r="J4494" s="21" t="n">
        <f aca="false">H4494*1000/Parametres!$B$9</f>
        <v>0</v>
      </c>
    </row>
    <row r="4495" customFormat="false" ht="15" hidden="false" customHeight="false" outlineLevel="0" collapsed="false">
      <c r="A4495" s="0" t="n">
        <v>4491</v>
      </c>
      <c r="B4495" s="0" t="n">
        <v>7</v>
      </c>
      <c r="C4495" s="19" t="n">
        <v>0</v>
      </c>
      <c r="D4495" s="19" t="n">
        <v>0</v>
      </c>
      <c r="E4495" s="20" t="n">
        <f aca="false">Parametres!$B$5*C4495</f>
        <v>0</v>
      </c>
      <c r="F4495" s="20" t="n">
        <f aca="false">Parametres!$B$6*D4495</f>
        <v>0</v>
      </c>
      <c r="G4495" s="20" t="n">
        <f aca="false">E4495+F4495</f>
        <v>0</v>
      </c>
      <c r="H4495" s="20" t="n">
        <f aca="false">IF(G4495&lt;Parametres!$B$8*Parametres!$B$7,0,MIN(G4495,Parametres!$B$7))</f>
        <v>0</v>
      </c>
      <c r="I4495" s="20" t="n">
        <f aca="false">G4495-H4495</f>
        <v>0</v>
      </c>
      <c r="J4495" s="21" t="n">
        <f aca="false">H4495*1000/Parametres!$B$9</f>
        <v>0</v>
      </c>
    </row>
    <row r="4496" customFormat="false" ht="15" hidden="false" customHeight="false" outlineLevel="0" collapsed="false">
      <c r="A4496" s="0" t="n">
        <v>4492</v>
      </c>
      <c r="B4496" s="0" t="n">
        <v>7</v>
      </c>
      <c r="C4496" s="19" t="n">
        <v>0</v>
      </c>
      <c r="D4496" s="19" t="n">
        <v>0</v>
      </c>
      <c r="E4496" s="20" t="n">
        <f aca="false">Parametres!$B$5*C4496</f>
        <v>0</v>
      </c>
      <c r="F4496" s="20" t="n">
        <f aca="false">Parametres!$B$6*D4496</f>
        <v>0</v>
      </c>
      <c r="G4496" s="20" t="n">
        <f aca="false">E4496+F4496</f>
        <v>0</v>
      </c>
      <c r="H4496" s="20" t="n">
        <f aca="false">IF(G4496&lt;Parametres!$B$8*Parametres!$B$7,0,MIN(G4496,Parametres!$B$7))</f>
        <v>0</v>
      </c>
      <c r="I4496" s="20" t="n">
        <f aca="false">G4496-H4496</f>
        <v>0</v>
      </c>
      <c r="J4496" s="21" t="n">
        <f aca="false">H4496*1000/Parametres!$B$9</f>
        <v>0</v>
      </c>
    </row>
    <row r="4497" customFormat="false" ht="15" hidden="false" customHeight="false" outlineLevel="0" collapsed="false">
      <c r="A4497" s="0" t="n">
        <v>4493</v>
      </c>
      <c r="B4497" s="0" t="n">
        <v>7</v>
      </c>
      <c r="C4497" s="19" t="n">
        <v>0</v>
      </c>
      <c r="D4497" s="19" t="n">
        <v>0</v>
      </c>
      <c r="E4497" s="20" t="n">
        <f aca="false">Parametres!$B$5*C4497</f>
        <v>0</v>
      </c>
      <c r="F4497" s="20" t="n">
        <f aca="false">Parametres!$B$6*D4497</f>
        <v>0</v>
      </c>
      <c r="G4497" s="20" t="n">
        <f aca="false">E4497+F4497</f>
        <v>0</v>
      </c>
      <c r="H4497" s="20" t="n">
        <f aca="false">IF(G4497&lt;Parametres!$B$8*Parametres!$B$7,0,MIN(G4497,Parametres!$B$7))</f>
        <v>0</v>
      </c>
      <c r="I4497" s="20" t="n">
        <f aca="false">G4497-H4497</f>
        <v>0</v>
      </c>
      <c r="J4497" s="21" t="n">
        <f aca="false">H4497*1000/Parametres!$B$9</f>
        <v>0</v>
      </c>
    </row>
    <row r="4498" customFormat="false" ht="15" hidden="false" customHeight="false" outlineLevel="0" collapsed="false">
      <c r="A4498" s="0" t="n">
        <v>4494</v>
      </c>
      <c r="B4498" s="0" t="n">
        <v>7</v>
      </c>
      <c r="C4498" s="19" t="n">
        <v>0.0659</v>
      </c>
      <c r="D4498" s="19" t="n">
        <v>0</v>
      </c>
      <c r="E4498" s="20" t="n">
        <f aca="false">Parametres!$B$5*C4498</f>
        <v>19.77</v>
      </c>
      <c r="F4498" s="20" t="n">
        <f aca="false">Parametres!$B$6*D4498</f>
        <v>0</v>
      </c>
      <c r="G4498" s="20" t="n">
        <f aca="false">E4498+F4498</f>
        <v>19.77</v>
      </c>
      <c r="H4498" s="20" t="n">
        <f aca="false">IF(G4498&lt;Parametres!$B$8*Parametres!$B$7,0,MIN(G4498,Parametres!$B$7))</f>
        <v>0</v>
      </c>
      <c r="I4498" s="20" t="n">
        <f aca="false">G4498-H4498</f>
        <v>19.77</v>
      </c>
      <c r="J4498" s="21" t="n">
        <f aca="false">H4498*1000/Parametres!$B$9</f>
        <v>0</v>
      </c>
    </row>
    <row r="4499" customFormat="false" ht="15" hidden="false" customHeight="false" outlineLevel="0" collapsed="false">
      <c r="A4499" s="0" t="n">
        <v>4495</v>
      </c>
      <c r="B4499" s="0" t="n">
        <v>7</v>
      </c>
      <c r="C4499" s="19" t="n">
        <v>0.3083</v>
      </c>
      <c r="D4499" s="19" t="n">
        <v>0</v>
      </c>
      <c r="E4499" s="20" t="n">
        <f aca="false">Parametres!$B$5*C4499</f>
        <v>92.49</v>
      </c>
      <c r="F4499" s="20" t="n">
        <f aca="false">Parametres!$B$6*D4499</f>
        <v>0</v>
      </c>
      <c r="G4499" s="20" t="n">
        <f aca="false">E4499+F4499</f>
        <v>92.49</v>
      </c>
      <c r="H4499" s="20" t="n">
        <f aca="false">IF(G4499&lt;Parametres!$B$8*Parametres!$B$7,0,MIN(G4499,Parametres!$B$7))</f>
        <v>92.49</v>
      </c>
      <c r="I4499" s="20" t="n">
        <f aca="false">G4499-H4499</f>
        <v>0</v>
      </c>
      <c r="J4499" s="21" t="n">
        <f aca="false">H4499*1000/Parametres!$B$9</f>
        <v>1568.4246226895</v>
      </c>
    </row>
    <row r="4500" customFormat="false" ht="15" hidden="false" customHeight="false" outlineLevel="0" collapsed="false">
      <c r="A4500" s="0" t="n">
        <v>4496</v>
      </c>
      <c r="B4500" s="0" t="n">
        <v>7</v>
      </c>
      <c r="C4500" s="19" t="n">
        <v>0.5489</v>
      </c>
      <c r="D4500" s="19" t="n">
        <v>0</v>
      </c>
      <c r="E4500" s="20" t="n">
        <f aca="false">Parametres!$B$5*C4500</f>
        <v>164.67</v>
      </c>
      <c r="F4500" s="20" t="n">
        <f aca="false">Parametres!$B$6*D4500</f>
        <v>0</v>
      </c>
      <c r="G4500" s="20" t="n">
        <f aca="false">E4500+F4500</f>
        <v>164.67</v>
      </c>
      <c r="H4500" s="20" t="n">
        <f aca="false">IF(G4500&lt;Parametres!$B$8*Parametres!$B$7,0,MIN(G4500,Parametres!$B$7))</f>
        <v>164.67</v>
      </c>
      <c r="I4500" s="20" t="n">
        <f aca="false">G4500-H4500</f>
        <v>0</v>
      </c>
      <c r="J4500" s="21" t="n">
        <f aca="false">H4500*1000/Parametres!$B$9</f>
        <v>2792.4368322876</v>
      </c>
    </row>
    <row r="4501" customFormat="false" ht="15" hidden="false" customHeight="false" outlineLevel="0" collapsed="false">
      <c r="A4501" s="0" t="n">
        <v>4497</v>
      </c>
      <c r="B4501" s="0" t="n">
        <v>7</v>
      </c>
      <c r="C4501" s="19" t="n">
        <v>0.7959</v>
      </c>
      <c r="D4501" s="19" t="n">
        <v>0.0003</v>
      </c>
      <c r="E4501" s="20" t="n">
        <f aca="false">Parametres!$B$5*C4501</f>
        <v>238.77</v>
      </c>
      <c r="F4501" s="20" t="n">
        <f aca="false">Parametres!$B$6*D4501</f>
        <v>0.06</v>
      </c>
      <c r="G4501" s="20" t="n">
        <f aca="false">E4501+F4501</f>
        <v>238.83</v>
      </c>
      <c r="H4501" s="20" t="n">
        <f aca="false">IF(G4501&lt;Parametres!$B$8*Parametres!$B$7,0,MIN(G4501,Parametres!$B$7))</f>
        <v>238.83</v>
      </c>
      <c r="I4501" s="20" t="n">
        <f aca="false">G4501-H4501</f>
        <v>0</v>
      </c>
      <c r="J4501" s="21" t="n">
        <f aca="false">H4501*1000/Parametres!$B$9</f>
        <v>4050.02543666271</v>
      </c>
    </row>
    <row r="4502" customFormat="false" ht="15" hidden="false" customHeight="false" outlineLevel="0" collapsed="false">
      <c r="A4502" s="0" t="n">
        <v>4498</v>
      </c>
      <c r="B4502" s="0" t="n">
        <v>7</v>
      </c>
      <c r="C4502" s="19" t="n">
        <v>1</v>
      </c>
      <c r="D4502" s="19" t="n">
        <v>0</v>
      </c>
      <c r="E4502" s="20" t="n">
        <f aca="false">Parametres!$B$5*C4502</f>
        <v>300</v>
      </c>
      <c r="F4502" s="20" t="n">
        <f aca="false">Parametres!$B$6*D4502</f>
        <v>0</v>
      </c>
      <c r="G4502" s="20" t="n">
        <f aca="false">E4502+F4502</f>
        <v>300</v>
      </c>
      <c r="H4502" s="20" t="n">
        <f aca="false">IF(G4502&lt;Parametres!$B$8*Parametres!$B$7,0,MIN(G4502,Parametres!$B$7))</f>
        <v>250</v>
      </c>
      <c r="I4502" s="20" t="n">
        <f aca="false">G4502-H4502</f>
        <v>50</v>
      </c>
      <c r="J4502" s="21" t="n">
        <f aca="false">H4502*1000/Parametres!$B$9</f>
        <v>4239.44378497541</v>
      </c>
    </row>
    <row r="4503" customFormat="false" ht="15" hidden="false" customHeight="false" outlineLevel="0" collapsed="false">
      <c r="A4503" s="0" t="n">
        <v>4499</v>
      </c>
      <c r="B4503" s="0" t="n">
        <v>7</v>
      </c>
      <c r="C4503" s="19" t="n">
        <v>1</v>
      </c>
      <c r="D4503" s="19" t="n">
        <v>0.0045</v>
      </c>
      <c r="E4503" s="20" t="n">
        <f aca="false">Parametres!$B$5*C4503</f>
        <v>300</v>
      </c>
      <c r="F4503" s="20" t="n">
        <f aca="false">Parametres!$B$6*D4503</f>
        <v>0.9</v>
      </c>
      <c r="G4503" s="20" t="n">
        <f aca="false">E4503+F4503</f>
        <v>300.9</v>
      </c>
      <c r="H4503" s="20" t="n">
        <f aca="false">IF(G4503&lt;Parametres!$B$8*Parametres!$B$7,0,MIN(G4503,Parametres!$B$7))</f>
        <v>250</v>
      </c>
      <c r="I4503" s="20" t="n">
        <f aca="false">G4503-H4503</f>
        <v>50.9</v>
      </c>
      <c r="J4503" s="21" t="n">
        <f aca="false">H4503*1000/Parametres!$B$9</f>
        <v>4239.44378497541</v>
      </c>
    </row>
    <row r="4504" customFormat="false" ht="15" hidden="false" customHeight="false" outlineLevel="0" collapsed="false">
      <c r="A4504" s="0" t="n">
        <v>4500</v>
      </c>
      <c r="B4504" s="0" t="n">
        <v>7</v>
      </c>
      <c r="C4504" s="19" t="n">
        <v>1</v>
      </c>
      <c r="D4504" s="19" t="n">
        <v>0.0036</v>
      </c>
      <c r="E4504" s="20" t="n">
        <f aca="false">Parametres!$B$5*C4504</f>
        <v>300</v>
      </c>
      <c r="F4504" s="20" t="n">
        <f aca="false">Parametres!$B$6*D4504</f>
        <v>0.72</v>
      </c>
      <c r="G4504" s="20" t="n">
        <f aca="false">E4504+F4504</f>
        <v>300.72</v>
      </c>
      <c r="H4504" s="20" t="n">
        <f aca="false">IF(G4504&lt;Parametres!$B$8*Parametres!$B$7,0,MIN(G4504,Parametres!$B$7))</f>
        <v>250</v>
      </c>
      <c r="I4504" s="20" t="n">
        <f aca="false">G4504-H4504</f>
        <v>50.72</v>
      </c>
      <c r="J4504" s="21" t="n">
        <f aca="false">H4504*1000/Parametres!$B$9</f>
        <v>4239.44378497541</v>
      </c>
    </row>
    <row r="4505" customFormat="false" ht="15" hidden="false" customHeight="false" outlineLevel="0" collapsed="false">
      <c r="A4505" s="0" t="n">
        <v>4501</v>
      </c>
      <c r="B4505" s="0" t="n">
        <v>7</v>
      </c>
      <c r="C4505" s="19" t="n">
        <v>1</v>
      </c>
      <c r="D4505" s="19" t="n">
        <v>0.0051</v>
      </c>
      <c r="E4505" s="20" t="n">
        <f aca="false">Parametres!$B$5*C4505</f>
        <v>300</v>
      </c>
      <c r="F4505" s="20" t="n">
        <f aca="false">Parametres!$B$6*D4505</f>
        <v>1.02</v>
      </c>
      <c r="G4505" s="20" t="n">
        <f aca="false">E4505+F4505</f>
        <v>301.02</v>
      </c>
      <c r="H4505" s="20" t="n">
        <f aca="false">IF(G4505&lt;Parametres!$B$8*Parametres!$B$7,0,MIN(G4505,Parametres!$B$7))</f>
        <v>250</v>
      </c>
      <c r="I4505" s="20" t="n">
        <f aca="false">G4505-H4505</f>
        <v>51.02</v>
      </c>
      <c r="J4505" s="21" t="n">
        <f aca="false">H4505*1000/Parametres!$B$9</f>
        <v>4239.44378497541</v>
      </c>
    </row>
    <row r="4506" customFormat="false" ht="15" hidden="false" customHeight="false" outlineLevel="0" collapsed="false">
      <c r="A4506" s="0" t="n">
        <v>4502</v>
      </c>
      <c r="B4506" s="0" t="n">
        <v>7</v>
      </c>
      <c r="C4506" s="19" t="n">
        <v>1</v>
      </c>
      <c r="D4506" s="19" t="n">
        <v>0.0028</v>
      </c>
      <c r="E4506" s="20" t="n">
        <f aca="false">Parametres!$B$5*C4506</f>
        <v>300</v>
      </c>
      <c r="F4506" s="20" t="n">
        <f aca="false">Parametres!$B$6*D4506</f>
        <v>0.56</v>
      </c>
      <c r="G4506" s="20" t="n">
        <f aca="false">E4506+F4506</f>
        <v>300.56</v>
      </c>
      <c r="H4506" s="20" t="n">
        <f aca="false">IF(G4506&lt;Parametres!$B$8*Parametres!$B$7,0,MIN(G4506,Parametres!$B$7))</f>
        <v>250</v>
      </c>
      <c r="I4506" s="20" t="n">
        <f aca="false">G4506-H4506</f>
        <v>50.56</v>
      </c>
      <c r="J4506" s="21" t="n">
        <f aca="false">H4506*1000/Parametres!$B$9</f>
        <v>4239.44378497541</v>
      </c>
    </row>
    <row r="4507" customFormat="false" ht="15" hidden="false" customHeight="false" outlineLevel="0" collapsed="false">
      <c r="A4507" s="0" t="n">
        <v>4503</v>
      </c>
      <c r="B4507" s="0" t="n">
        <v>7</v>
      </c>
      <c r="C4507" s="19" t="n">
        <v>1</v>
      </c>
      <c r="D4507" s="19" t="n">
        <v>0.0053</v>
      </c>
      <c r="E4507" s="20" t="n">
        <f aca="false">Parametres!$B$5*C4507</f>
        <v>300</v>
      </c>
      <c r="F4507" s="20" t="n">
        <f aca="false">Parametres!$B$6*D4507</f>
        <v>1.06</v>
      </c>
      <c r="G4507" s="20" t="n">
        <f aca="false">E4507+F4507</f>
        <v>301.06</v>
      </c>
      <c r="H4507" s="20" t="n">
        <f aca="false">IF(G4507&lt;Parametres!$B$8*Parametres!$B$7,0,MIN(G4507,Parametres!$B$7))</f>
        <v>250</v>
      </c>
      <c r="I4507" s="20" t="n">
        <f aca="false">G4507-H4507</f>
        <v>51.06</v>
      </c>
      <c r="J4507" s="21" t="n">
        <f aca="false">H4507*1000/Parametres!$B$9</f>
        <v>4239.44378497541</v>
      </c>
    </row>
    <row r="4508" customFormat="false" ht="15" hidden="false" customHeight="false" outlineLevel="0" collapsed="false">
      <c r="A4508" s="0" t="n">
        <v>4504</v>
      </c>
      <c r="B4508" s="0" t="n">
        <v>7</v>
      </c>
      <c r="C4508" s="19" t="n">
        <v>0.7933</v>
      </c>
      <c r="D4508" s="19" t="n">
        <v>0.0097</v>
      </c>
      <c r="E4508" s="20" t="n">
        <f aca="false">Parametres!$B$5*C4508</f>
        <v>237.99</v>
      </c>
      <c r="F4508" s="20" t="n">
        <f aca="false">Parametres!$B$6*D4508</f>
        <v>1.94</v>
      </c>
      <c r="G4508" s="20" t="n">
        <f aca="false">E4508+F4508</f>
        <v>239.93</v>
      </c>
      <c r="H4508" s="20" t="n">
        <f aca="false">IF(G4508&lt;Parametres!$B$8*Parametres!$B$7,0,MIN(G4508,Parametres!$B$7))</f>
        <v>239.93</v>
      </c>
      <c r="I4508" s="20" t="n">
        <f aca="false">G4508-H4508</f>
        <v>0</v>
      </c>
      <c r="J4508" s="21" t="n">
        <f aca="false">H4508*1000/Parametres!$B$9</f>
        <v>4068.6789893166</v>
      </c>
    </row>
    <row r="4509" customFormat="false" ht="15" hidden="false" customHeight="false" outlineLevel="0" collapsed="false">
      <c r="A4509" s="0" t="n">
        <v>4505</v>
      </c>
      <c r="B4509" s="0" t="n">
        <v>7</v>
      </c>
      <c r="C4509" s="19" t="n">
        <v>0.5445</v>
      </c>
      <c r="D4509" s="19" t="n">
        <v>0.0092</v>
      </c>
      <c r="E4509" s="20" t="n">
        <f aca="false">Parametres!$B$5*C4509</f>
        <v>163.35</v>
      </c>
      <c r="F4509" s="20" t="n">
        <f aca="false">Parametres!$B$6*D4509</f>
        <v>1.84</v>
      </c>
      <c r="G4509" s="20" t="n">
        <f aca="false">E4509+F4509</f>
        <v>165.19</v>
      </c>
      <c r="H4509" s="20" t="n">
        <f aca="false">IF(G4509&lt;Parametres!$B$8*Parametres!$B$7,0,MIN(G4509,Parametres!$B$7))</f>
        <v>165.19</v>
      </c>
      <c r="I4509" s="20" t="n">
        <f aca="false">G4509-H4509</f>
        <v>0</v>
      </c>
      <c r="J4509" s="21" t="n">
        <f aca="false">H4509*1000/Parametres!$B$9</f>
        <v>2801.25487536035</v>
      </c>
    </row>
    <row r="4510" customFormat="false" ht="15" hidden="false" customHeight="false" outlineLevel="0" collapsed="false">
      <c r="A4510" s="0" t="n">
        <v>4506</v>
      </c>
      <c r="B4510" s="0" t="n">
        <v>7</v>
      </c>
      <c r="C4510" s="19" t="n">
        <v>0.3127</v>
      </c>
      <c r="D4510" s="19" t="n">
        <v>0.013</v>
      </c>
      <c r="E4510" s="20" t="n">
        <f aca="false">Parametres!$B$5*C4510</f>
        <v>93.81</v>
      </c>
      <c r="F4510" s="20" t="n">
        <f aca="false">Parametres!$B$6*D4510</f>
        <v>2.6</v>
      </c>
      <c r="G4510" s="20" t="n">
        <f aca="false">E4510+F4510</f>
        <v>96.41</v>
      </c>
      <c r="H4510" s="20" t="n">
        <f aca="false">IF(G4510&lt;Parametres!$B$8*Parametres!$B$7,0,MIN(G4510,Parametres!$B$7))</f>
        <v>96.41</v>
      </c>
      <c r="I4510" s="20" t="n">
        <f aca="false">G4510-H4510</f>
        <v>0</v>
      </c>
      <c r="J4510" s="21" t="n">
        <f aca="false">H4510*1000/Parametres!$B$9</f>
        <v>1634.89910123792</v>
      </c>
    </row>
    <row r="4511" customFormat="false" ht="15" hidden="false" customHeight="false" outlineLevel="0" collapsed="false">
      <c r="A4511" s="0" t="n">
        <v>4507</v>
      </c>
      <c r="B4511" s="0" t="n">
        <v>7</v>
      </c>
      <c r="C4511" s="19" t="n">
        <v>0.0633</v>
      </c>
      <c r="D4511" s="19" t="n">
        <v>0.0144</v>
      </c>
      <c r="E4511" s="20" t="n">
        <f aca="false">Parametres!$B$5*C4511</f>
        <v>18.99</v>
      </c>
      <c r="F4511" s="20" t="n">
        <f aca="false">Parametres!$B$6*D4511</f>
        <v>2.88</v>
      </c>
      <c r="G4511" s="20" t="n">
        <f aca="false">E4511+F4511</f>
        <v>21.87</v>
      </c>
      <c r="H4511" s="20" t="n">
        <f aca="false">IF(G4511&lt;Parametres!$B$8*Parametres!$B$7,0,MIN(G4511,Parametres!$B$7))</f>
        <v>0</v>
      </c>
      <c r="I4511" s="20" t="n">
        <f aca="false">G4511-H4511</f>
        <v>21.87</v>
      </c>
      <c r="J4511" s="21" t="n">
        <f aca="false">H4511*1000/Parametres!$B$9</f>
        <v>0</v>
      </c>
    </row>
    <row r="4512" customFormat="false" ht="15" hidden="false" customHeight="false" outlineLevel="0" collapsed="false">
      <c r="A4512" s="0" t="n">
        <v>4508</v>
      </c>
      <c r="B4512" s="0" t="n">
        <v>7</v>
      </c>
      <c r="C4512" s="19" t="n">
        <v>0</v>
      </c>
      <c r="D4512" s="19" t="n">
        <v>0.0205</v>
      </c>
      <c r="E4512" s="20" t="n">
        <f aca="false">Parametres!$B$5*C4512</f>
        <v>0</v>
      </c>
      <c r="F4512" s="20" t="n">
        <f aca="false">Parametres!$B$6*D4512</f>
        <v>4.1</v>
      </c>
      <c r="G4512" s="20" t="n">
        <f aca="false">E4512+F4512</f>
        <v>4.1</v>
      </c>
      <c r="H4512" s="20" t="n">
        <f aca="false">IF(G4512&lt;Parametres!$B$8*Parametres!$B$7,0,MIN(G4512,Parametres!$B$7))</f>
        <v>0</v>
      </c>
      <c r="I4512" s="20" t="n">
        <f aca="false">G4512-H4512</f>
        <v>4.1</v>
      </c>
      <c r="J4512" s="21" t="n">
        <f aca="false">H4512*1000/Parametres!$B$9</f>
        <v>0</v>
      </c>
    </row>
    <row r="4513" customFormat="false" ht="15" hidden="false" customHeight="false" outlineLevel="0" collapsed="false">
      <c r="A4513" s="0" t="n">
        <v>4509</v>
      </c>
      <c r="B4513" s="0" t="n">
        <v>7</v>
      </c>
      <c r="C4513" s="19" t="n">
        <v>0</v>
      </c>
      <c r="D4513" s="19" t="n">
        <v>0.0047</v>
      </c>
      <c r="E4513" s="20" t="n">
        <f aca="false">Parametres!$B$5*C4513</f>
        <v>0</v>
      </c>
      <c r="F4513" s="20" t="n">
        <f aca="false">Parametres!$B$6*D4513</f>
        <v>0.94</v>
      </c>
      <c r="G4513" s="20" t="n">
        <f aca="false">E4513+F4513</f>
        <v>0.94</v>
      </c>
      <c r="H4513" s="20" t="n">
        <f aca="false">IF(G4513&lt;Parametres!$B$8*Parametres!$B$7,0,MIN(G4513,Parametres!$B$7))</f>
        <v>0</v>
      </c>
      <c r="I4513" s="20" t="n">
        <f aca="false">G4513-H4513</f>
        <v>0.94</v>
      </c>
      <c r="J4513" s="21" t="n">
        <f aca="false">H4513*1000/Parametres!$B$9</f>
        <v>0</v>
      </c>
    </row>
    <row r="4514" customFormat="false" ht="15" hidden="false" customHeight="false" outlineLevel="0" collapsed="false">
      <c r="A4514" s="0" t="n">
        <v>4510</v>
      </c>
      <c r="B4514" s="0" t="n">
        <v>7</v>
      </c>
      <c r="C4514" s="19" t="n">
        <v>0</v>
      </c>
      <c r="D4514" s="19" t="n">
        <v>0.0021</v>
      </c>
      <c r="E4514" s="20" t="n">
        <f aca="false">Parametres!$B$5*C4514</f>
        <v>0</v>
      </c>
      <c r="F4514" s="20" t="n">
        <f aca="false">Parametres!$B$6*D4514</f>
        <v>0.42</v>
      </c>
      <c r="G4514" s="20" t="n">
        <f aca="false">E4514+F4514</f>
        <v>0.42</v>
      </c>
      <c r="H4514" s="20" t="n">
        <f aca="false">IF(G4514&lt;Parametres!$B$8*Parametres!$B$7,0,MIN(G4514,Parametres!$B$7))</f>
        <v>0</v>
      </c>
      <c r="I4514" s="20" t="n">
        <f aca="false">G4514-H4514</f>
        <v>0.42</v>
      </c>
      <c r="J4514" s="21" t="n">
        <f aca="false">H4514*1000/Parametres!$B$9</f>
        <v>0</v>
      </c>
    </row>
    <row r="4515" customFormat="false" ht="15" hidden="false" customHeight="false" outlineLevel="0" collapsed="false">
      <c r="A4515" s="0" t="n">
        <v>4511</v>
      </c>
      <c r="B4515" s="0" t="n">
        <v>7</v>
      </c>
      <c r="C4515" s="19" t="n">
        <v>0</v>
      </c>
      <c r="D4515" s="19" t="n">
        <v>0.0001</v>
      </c>
      <c r="E4515" s="20" t="n">
        <f aca="false">Parametres!$B$5*C4515</f>
        <v>0</v>
      </c>
      <c r="F4515" s="20" t="n">
        <f aca="false">Parametres!$B$6*D4515</f>
        <v>0.02</v>
      </c>
      <c r="G4515" s="20" t="n">
        <f aca="false">E4515+F4515</f>
        <v>0.02</v>
      </c>
      <c r="H4515" s="20" t="n">
        <f aca="false">IF(G4515&lt;Parametres!$B$8*Parametres!$B$7,0,MIN(G4515,Parametres!$B$7))</f>
        <v>0</v>
      </c>
      <c r="I4515" s="20" t="n">
        <f aca="false">G4515-H4515</f>
        <v>0.02</v>
      </c>
      <c r="J4515" s="21" t="n">
        <f aca="false">H4515*1000/Parametres!$B$9</f>
        <v>0</v>
      </c>
    </row>
    <row r="4516" customFormat="false" ht="15" hidden="false" customHeight="false" outlineLevel="0" collapsed="false">
      <c r="A4516" s="0" t="n">
        <v>4512</v>
      </c>
      <c r="B4516" s="0" t="n">
        <v>7</v>
      </c>
      <c r="C4516" s="19" t="n">
        <v>0</v>
      </c>
      <c r="D4516" s="19" t="n">
        <v>0.0001</v>
      </c>
      <c r="E4516" s="20" t="n">
        <f aca="false">Parametres!$B$5*C4516</f>
        <v>0</v>
      </c>
      <c r="F4516" s="20" t="n">
        <f aca="false">Parametres!$B$6*D4516</f>
        <v>0.02</v>
      </c>
      <c r="G4516" s="20" t="n">
        <f aca="false">E4516+F4516</f>
        <v>0.02</v>
      </c>
      <c r="H4516" s="20" t="n">
        <f aca="false">IF(G4516&lt;Parametres!$B$8*Parametres!$B$7,0,MIN(G4516,Parametres!$B$7))</f>
        <v>0</v>
      </c>
      <c r="I4516" s="20" t="n">
        <f aca="false">G4516-H4516</f>
        <v>0.02</v>
      </c>
      <c r="J4516" s="21" t="n">
        <f aca="false">H4516*1000/Parametres!$B$9</f>
        <v>0</v>
      </c>
    </row>
    <row r="4517" customFormat="false" ht="15" hidden="false" customHeight="false" outlineLevel="0" collapsed="false">
      <c r="A4517" s="0" t="n">
        <v>4513</v>
      </c>
      <c r="B4517" s="0" t="n">
        <v>7</v>
      </c>
      <c r="C4517" s="19" t="n">
        <v>0</v>
      </c>
      <c r="D4517" s="19" t="n">
        <v>0</v>
      </c>
      <c r="E4517" s="20" t="n">
        <f aca="false">Parametres!$B$5*C4517</f>
        <v>0</v>
      </c>
      <c r="F4517" s="20" t="n">
        <f aca="false">Parametres!$B$6*D4517</f>
        <v>0</v>
      </c>
      <c r="G4517" s="20" t="n">
        <f aca="false">E4517+F4517</f>
        <v>0</v>
      </c>
      <c r="H4517" s="20" t="n">
        <f aca="false">IF(G4517&lt;Parametres!$B$8*Parametres!$B$7,0,MIN(G4517,Parametres!$B$7))</f>
        <v>0</v>
      </c>
      <c r="I4517" s="20" t="n">
        <f aca="false">G4517-H4517</f>
        <v>0</v>
      </c>
      <c r="J4517" s="21" t="n">
        <f aca="false">H4517*1000/Parametres!$B$9</f>
        <v>0</v>
      </c>
    </row>
    <row r="4518" customFormat="false" ht="15" hidden="false" customHeight="false" outlineLevel="0" collapsed="false">
      <c r="A4518" s="0" t="n">
        <v>4514</v>
      </c>
      <c r="B4518" s="0" t="n">
        <v>7</v>
      </c>
      <c r="C4518" s="19" t="n">
        <v>0</v>
      </c>
      <c r="D4518" s="19" t="n">
        <v>0</v>
      </c>
      <c r="E4518" s="20" t="n">
        <f aca="false">Parametres!$B$5*C4518</f>
        <v>0</v>
      </c>
      <c r="F4518" s="20" t="n">
        <f aca="false">Parametres!$B$6*D4518</f>
        <v>0</v>
      </c>
      <c r="G4518" s="20" t="n">
        <f aca="false">E4518+F4518</f>
        <v>0</v>
      </c>
      <c r="H4518" s="20" t="n">
        <f aca="false">IF(G4518&lt;Parametres!$B$8*Parametres!$B$7,0,MIN(G4518,Parametres!$B$7))</f>
        <v>0</v>
      </c>
      <c r="I4518" s="20" t="n">
        <f aca="false">G4518-H4518</f>
        <v>0</v>
      </c>
      <c r="J4518" s="21" t="n">
        <f aca="false">H4518*1000/Parametres!$B$9</f>
        <v>0</v>
      </c>
    </row>
    <row r="4519" customFormat="false" ht="15" hidden="false" customHeight="false" outlineLevel="0" collapsed="false">
      <c r="A4519" s="0" t="n">
        <v>4515</v>
      </c>
      <c r="B4519" s="0" t="n">
        <v>7</v>
      </c>
      <c r="C4519" s="19" t="n">
        <v>0</v>
      </c>
      <c r="D4519" s="19" t="n">
        <v>0</v>
      </c>
      <c r="E4519" s="20" t="n">
        <f aca="false">Parametres!$B$5*C4519</f>
        <v>0</v>
      </c>
      <c r="F4519" s="20" t="n">
        <f aca="false">Parametres!$B$6*D4519</f>
        <v>0</v>
      </c>
      <c r="G4519" s="20" t="n">
        <f aca="false">E4519+F4519</f>
        <v>0</v>
      </c>
      <c r="H4519" s="20" t="n">
        <f aca="false">IF(G4519&lt;Parametres!$B$8*Parametres!$B$7,0,MIN(G4519,Parametres!$B$7))</f>
        <v>0</v>
      </c>
      <c r="I4519" s="20" t="n">
        <f aca="false">G4519-H4519</f>
        <v>0</v>
      </c>
      <c r="J4519" s="21" t="n">
        <f aca="false">H4519*1000/Parametres!$B$9</f>
        <v>0</v>
      </c>
    </row>
    <row r="4520" customFormat="false" ht="15" hidden="false" customHeight="false" outlineLevel="0" collapsed="false">
      <c r="A4520" s="0" t="n">
        <v>4516</v>
      </c>
      <c r="B4520" s="0" t="n">
        <v>7</v>
      </c>
      <c r="C4520" s="19" t="n">
        <v>0</v>
      </c>
      <c r="D4520" s="19" t="n">
        <v>0.0004</v>
      </c>
      <c r="E4520" s="20" t="n">
        <f aca="false">Parametres!$B$5*C4520</f>
        <v>0</v>
      </c>
      <c r="F4520" s="20" t="n">
        <f aca="false">Parametres!$B$6*D4520</f>
        <v>0.08</v>
      </c>
      <c r="G4520" s="20" t="n">
        <f aca="false">E4520+F4520</f>
        <v>0.08</v>
      </c>
      <c r="H4520" s="20" t="n">
        <f aca="false">IF(G4520&lt;Parametres!$B$8*Parametres!$B$7,0,MIN(G4520,Parametres!$B$7))</f>
        <v>0</v>
      </c>
      <c r="I4520" s="20" t="n">
        <f aca="false">G4520-H4520</f>
        <v>0.08</v>
      </c>
      <c r="J4520" s="21" t="n">
        <f aca="false">H4520*1000/Parametres!$B$9</f>
        <v>0</v>
      </c>
    </row>
    <row r="4521" customFormat="false" ht="15" hidden="false" customHeight="false" outlineLevel="0" collapsed="false">
      <c r="A4521" s="0" t="n">
        <v>4517</v>
      </c>
      <c r="B4521" s="0" t="n">
        <v>7</v>
      </c>
      <c r="C4521" s="19" t="n">
        <v>0</v>
      </c>
      <c r="D4521" s="19" t="n">
        <v>0</v>
      </c>
      <c r="E4521" s="20" t="n">
        <f aca="false">Parametres!$B$5*C4521</f>
        <v>0</v>
      </c>
      <c r="F4521" s="20" t="n">
        <f aca="false">Parametres!$B$6*D4521</f>
        <v>0</v>
      </c>
      <c r="G4521" s="20" t="n">
        <f aca="false">E4521+F4521</f>
        <v>0</v>
      </c>
      <c r="H4521" s="20" t="n">
        <f aca="false">IF(G4521&lt;Parametres!$B$8*Parametres!$B$7,0,MIN(G4521,Parametres!$B$7))</f>
        <v>0</v>
      </c>
      <c r="I4521" s="20" t="n">
        <f aca="false">G4521-H4521</f>
        <v>0</v>
      </c>
      <c r="J4521" s="21" t="n">
        <f aca="false">H4521*1000/Parametres!$B$9</f>
        <v>0</v>
      </c>
    </row>
    <row r="4522" customFormat="false" ht="15" hidden="false" customHeight="false" outlineLevel="0" collapsed="false">
      <c r="A4522" s="0" t="n">
        <v>4518</v>
      </c>
      <c r="B4522" s="0" t="n">
        <v>7</v>
      </c>
      <c r="C4522" s="19" t="n">
        <v>0.045</v>
      </c>
      <c r="D4522" s="19" t="n">
        <v>0.0002</v>
      </c>
      <c r="E4522" s="20" t="n">
        <f aca="false">Parametres!$B$5*C4522</f>
        <v>13.5</v>
      </c>
      <c r="F4522" s="20" t="n">
        <f aca="false">Parametres!$B$6*D4522</f>
        <v>0.04</v>
      </c>
      <c r="G4522" s="20" t="n">
        <f aca="false">E4522+F4522</f>
        <v>13.54</v>
      </c>
      <c r="H4522" s="20" t="n">
        <f aca="false">IF(G4522&lt;Parametres!$B$8*Parametres!$B$7,0,MIN(G4522,Parametres!$B$7))</f>
        <v>0</v>
      </c>
      <c r="I4522" s="20" t="n">
        <f aca="false">G4522-H4522</f>
        <v>13.54</v>
      </c>
      <c r="J4522" s="21" t="n">
        <f aca="false">H4522*1000/Parametres!$B$9</f>
        <v>0</v>
      </c>
    </row>
    <row r="4523" customFormat="false" ht="15" hidden="false" customHeight="false" outlineLevel="0" collapsed="false">
      <c r="A4523" s="0" t="n">
        <v>4519</v>
      </c>
      <c r="B4523" s="0" t="n">
        <v>7</v>
      </c>
      <c r="C4523" s="19" t="n">
        <v>0.2237</v>
      </c>
      <c r="D4523" s="19" t="n">
        <v>0.0001</v>
      </c>
      <c r="E4523" s="20" t="n">
        <f aca="false">Parametres!$B$5*C4523</f>
        <v>67.11</v>
      </c>
      <c r="F4523" s="20" t="n">
        <f aca="false">Parametres!$B$6*D4523</f>
        <v>0.02</v>
      </c>
      <c r="G4523" s="20" t="n">
        <f aca="false">E4523+F4523</f>
        <v>67.13</v>
      </c>
      <c r="H4523" s="20" t="n">
        <f aca="false">IF(G4523&lt;Parametres!$B$8*Parametres!$B$7,0,MIN(G4523,Parametres!$B$7))</f>
        <v>67.13</v>
      </c>
      <c r="I4523" s="20" t="n">
        <f aca="false">G4523-H4523</f>
        <v>0</v>
      </c>
      <c r="J4523" s="21" t="n">
        <f aca="false">H4523*1000/Parametres!$B$9</f>
        <v>1138.3754451416</v>
      </c>
    </row>
    <row r="4524" customFormat="false" ht="15" hidden="false" customHeight="false" outlineLevel="0" collapsed="false">
      <c r="A4524" s="0" t="n">
        <v>4520</v>
      </c>
      <c r="B4524" s="0" t="n">
        <v>7</v>
      </c>
      <c r="C4524" s="19" t="n">
        <v>0.4312</v>
      </c>
      <c r="D4524" s="19" t="n">
        <v>0.0027</v>
      </c>
      <c r="E4524" s="20" t="n">
        <f aca="false">Parametres!$B$5*C4524</f>
        <v>129.36</v>
      </c>
      <c r="F4524" s="20" t="n">
        <f aca="false">Parametres!$B$6*D4524</f>
        <v>0.54</v>
      </c>
      <c r="G4524" s="20" t="n">
        <f aca="false">E4524+F4524</f>
        <v>129.9</v>
      </c>
      <c r="H4524" s="20" t="n">
        <f aca="false">IF(G4524&lt;Parametres!$B$8*Parametres!$B$7,0,MIN(G4524,Parametres!$B$7))</f>
        <v>129.9</v>
      </c>
      <c r="I4524" s="20" t="n">
        <f aca="false">G4524-H4524</f>
        <v>0</v>
      </c>
      <c r="J4524" s="21" t="n">
        <f aca="false">H4524*1000/Parametres!$B$9</f>
        <v>2202.81499067322</v>
      </c>
    </row>
    <row r="4525" customFormat="false" ht="15" hidden="false" customHeight="false" outlineLevel="0" collapsed="false">
      <c r="A4525" s="0" t="n">
        <v>4521</v>
      </c>
      <c r="B4525" s="0" t="n">
        <v>7</v>
      </c>
      <c r="C4525" s="19" t="n">
        <v>0.6277</v>
      </c>
      <c r="D4525" s="19" t="n">
        <v>0.0134</v>
      </c>
      <c r="E4525" s="20" t="n">
        <f aca="false">Parametres!$B$5*C4525</f>
        <v>188.31</v>
      </c>
      <c r="F4525" s="20" t="n">
        <f aca="false">Parametres!$B$6*D4525</f>
        <v>2.68</v>
      </c>
      <c r="G4525" s="20" t="n">
        <f aca="false">E4525+F4525</f>
        <v>190.99</v>
      </c>
      <c r="H4525" s="20" t="n">
        <f aca="false">IF(G4525&lt;Parametres!$B$8*Parametres!$B$7,0,MIN(G4525,Parametres!$B$7))</f>
        <v>190.99</v>
      </c>
      <c r="I4525" s="20" t="n">
        <f aca="false">G4525-H4525</f>
        <v>0</v>
      </c>
      <c r="J4525" s="21" t="n">
        <f aca="false">H4525*1000/Parametres!$B$9</f>
        <v>3238.76547396982</v>
      </c>
    </row>
    <row r="4526" customFormat="false" ht="15" hidden="false" customHeight="false" outlineLevel="0" collapsed="false">
      <c r="A4526" s="0" t="n">
        <v>4522</v>
      </c>
      <c r="B4526" s="0" t="n">
        <v>7</v>
      </c>
      <c r="C4526" s="19" t="n">
        <v>0.8408</v>
      </c>
      <c r="D4526" s="19" t="n">
        <v>0.0241</v>
      </c>
      <c r="E4526" s="20" t="n">
        <f aca="false">Parametres!$B$5*C4526</f>
        <v>252.24</v>
      </c>
      <c r="F4526" s="20" t="n">
        <f aca="false">Parametres!$B$6*D4526</f>
        <v>4.82</v>
      </c>
      <c r="G4526" s="20" t="n">
        <f aca="false">E4526+F4526</f>
        <v>257.06</v>
      </c>
      <c r="H4526" s="20" t="n">
        <f aca="false">IF(G4526&lt;Parametres!$B$8*Parametres!$B$7,0,MIN(G4526,Parametres!$B$7))</f>
        <v>250</v>
      </c>
      <c r="I4526" s="20" t="n">
        <f aca="false">G4526-H4526</f>
        <v>7.06</v>
      </c>
      <c r="J4526" s="21" t="n">
        <f aca="false">H4526*1000/Parametres!$B$9</f>
        <v>4239.44378497541</v>
      </c>
    </row>
    <row r="4527" customFormat="false" ht="15" hidden="false" customHeight="false" outlineLevel="0" collapsed="false">
      <c r="A4527" s="0" t="n">
        <v>4523</v>
      </c>
      <c r="B4527" s="0" t="n">
        <v>7</v>
      </c>
      <c r="C4527" s="19" t="n">
        <v>0.9339</v>
      </c>
      <c r="D4527" s="19" t="n">
        <v>0.0482</v>
      </c>
      <c r="E4527" s="20" t="n">
        <f aca="false">Parametres!$B$5*C4527</f>
        <v>280.17</v>
      </c>
      <c r="F4527" s="20" t="n">
        <f aca="false">Parametres!$B$6*D4527</f>
        <v>9.64</v>
      </c>
      <c r="G4527" s="20" t="n">
        <f aca="false">E4527+F4527</f>
        <v>289.81</v>
      </c>
      <c r="H4527" s="20" t="n">
        <f aca="false">IF(G4527&lt;Parametres!$B$8*Parametres!$B$7,0,MIN(G4527,Parametres!$B$7))</f>
        <v>250</v>
      </c>
      <c r="I4527" s="20" t="n">
        <f aca="false">G4527-H4527</f>
        <v>39.8099999999999</v>
      </c>
      <c r="J4527" s="21" t="n">
        <f aca="false">H4527*1000/Parametres!$B$9</f>
        <v>4239.44378497541</v>
      </c>
    </row>
    <row r="4528" customFormat="false" ht="15" hidden="false" customHeight="false" outlineLevel="0" collapsed="false">
      <c r="A4528" s="0" t="n">
        <v>4524</v>
      </c>
      <c r="B4528" s="0" t="n">
        <v>7</v>
      </c>
      <c r="C4528" s="19" t="n">
        <v>0.976</v>
      </c>
      <c r="D4528" s="19" t="n">
        <v>0.0324</v>
      </c>
      <c r="E4528" s="20" t="n">
        <f aca="false">Parametres!$B$5*C4528</f>
        <v>292.8</v>
      </c>
      <c r="F4528" s="20" t="n">
        <f aca="false">Parametres!$B$6*D4528</f>
        <v>6.48</v>
      </c>
      <c r="G4528" s="20" t="n">
        <f aca="false">E4528+F4528</f>
        <v>299.28</v>
      </c>
      <c r="H4528" s="20" t="n">
        <f aca="false">IF(G4528&lt;Parametres!$B$8*Parametres!$B$7,0,MIN(G4528,Parametres!$B$7))</f>
        <v>250</v>
      </c>
      <c r="I4528" s="20" t="n">
        <f aca="false">G4528-H4528</f>
        <v>49.28</v>
      </c>
      <c r="J4528" s="21" t="n">
        <f aca="false">H4528*1000/Parametres!$B$9</f>
        <v>4239.44378497541</v>
      </c>
    </row>
    <row r="4529" customFormat="false" ht="15" hidden="false" customHeight="false" outlineLevel="0" collapsed="false">
      <c r="A4529" s="0" t="n">
        <v>4525</v>
      </c>
      <c r="B4529" s="0" t="n">
        <v>7</v>
      </c>
      <c r="C4529" s="19" t="n">
        <v>0.9446</v>
      </c>
      <c r="D4529" s="19" t="n">
        <v>0.0174</v>
      </c>
      <c r="E4529" s="20" t="n">
        <f aca="false">Parametres!$B$5*C4529</f>
        <v>283.38</v>
      </c>
      <c r="F4529" s="20" t="n">
        <f aca="false">Parametres!$B$6*D4529</f>
        <v>3.48</v>
      </c>
      <c r="G4529" s="20" t="n">
        <f aca="false">E4529+F4529</f>
        <v>286.86</v>
      </c>
      <c r="H4529" s="20" t="n">
        <f aca="false">IF(G4529&lt;Parametres!$B$8*Parametres!$B$7,0,MIN(G4529,Parametres!$B$7))</f>
        <v>250</v>
      </c>
      <c r="I4529" s="20" t="n">
        <f aca="false">G4529-H4529</f>
        <v>36.86</v>
      </c>
      <c r="J4529" s="21" t="n">
        <f aca="false">H4529*1000/Parametres!$B$9</f>
        <v>4239.44378497541</v>
      </c>
    </row>
    <row r="4530" customFormat="false" ht="15" hidden="false" customHeight="false" outlineLevel="0" collapsed="false">
      <c r="A4530" s="0" t="n">
        <v>4526</v>
      </c>
      <c r="B4530" s="0" t="n">
        <v>7</v>
      </c>
      <c r="C4530" s="19" t="n">
        <v>0.9855</v>
      </c>
      <c r="D4530" s="19" t="n">
        <v>0.0387</v>
      </c>
      <c r="E4530" s="20" t="n">
        <f aca="false">Parametres!$B$5*C4530</f>
        <v>295.65</v>
      </c>
      <c r="F4530" s="20" t="n">
        <f aca="false">Parametres!$B$6*D4530</f>
        <v>7.74</v>
      </c>
      <c r="G4530" s="20" t="n">
        <f aca="false">E4530+F4530</f>
        <v>303.39</v>
      </c>
      <c r="H4530" s="20" t="n">
        <f aca="false">IF(G4530&lt;Parametres!$B$8*Parametres!$B$7,0,MIN(G4530,Parametres!$B$7))</f>
        <v>250</v>
      </c>
      <c r="I4530" s="20" t="n">
        <f aca="false">G4530-H4530</f>
        <v>53.39</v>
      </c>
      <c r="J4530" s="21" t="n">
        <f aca="false">H4530*1000/Parametres!$B$9</f>
        <v>4239.44378497541</v>
      </c>
    </row>
    <row r="4531" customFormat="false" ht="15" hidden="false" customHeight="false" outlineLevel="0" collapsed="false">
      <c r="A4531" s="0" t="n">
        <v>4527</v>
      </c>
      <c r="B4531" s="0" t="n">
        <v>7</v>
      </c>
      <c r="C4531" s="19" t="n">
        <v>0.8227</v>
      </c>
      <c r="D4531" s="19" t="n">
        <v>0.0445</v>
      </c>
      <c r="E4531" s="20" t="n">
        <f aca="false">Parametres!$B$5*C4531</f>
        <v>246.81</v>
      </c>
      <c r="F4531" s="20" t="n">
        <f aca="false">Parametres!$B$6*D4531</f>
        <v>8.9</v>
      </c>
      <c r="G4531" s="20" t="n">
        <f aca="false">E4531+F4531</f>
        <v>255.71</v>
      </c>
      <c r="H4531" s="20" t="n">
        <f aca="false">IF(G4531&lt;Parametres!$B$8*Parametres!$B$7,0,MIN(G4531,Parametres!$B$7))</f>
        <v>250</v>
      </c>
      <c r="I4531" s="20" t="n">
        <f aca="false">G4531-H4531</f>
        <v>5.71000000000001</v>
      </c>
      <c r="J4531" s="21" t="n">
        <f aca="false">H4531*1000/Parametres!$B$9</f>
        <v>4239.44378497541</v>
      </c>
    </row>
    <row r="4532" customFormat="false" ht="15" hidden="false" customHeight="false" outlineLevel="0" collapsed="false">
      <c r="A4532" s="0" t="n">
        <v>4528</v>
      </c>
      <c r="B4532" s="0" t="n">
        <v>7</v>
      </c>
      <c r="C4532" s="19" t="n">
        <v>0.6944</v>
      </c>
      <c r="D4532" s="19" t="n">
        <v>0.0137</v>
      </c>
      <c r="E4532" s="20" t="n">
        <f aca="false">Parametres!$B$5*C4532</f>
        <v>208.32</v>
      </c>
      <c r="F4532" s="20" t="n">
        <f aca="false">Parametres!$B$6*D4532</f>
        <v>2.74</v>
      </c>
      <c r="G4532" s="20" t="n">
        <f aca="false">E4532+F4532</f>
        <v>211.06</v>
      </c>
      <c r="H4532" s="20" t="n">
        <f aca="false">IF(G4532&lt;Parametres!$B$8*Parametres!$B$7,0,MIN(G4532,Parametres!$B$7))</f>
        <v>211.06</v>
      </c>
      <c r="I4532" s="20" t="n">
        <f aca="false">G4532-H4532</f>
        <v>0</v>
      </c>
      <c r="J4532" s="21" t="n">
        <f aca="false">H4532*1000/Parametres!$B$9</f>
        <v>3579.10802102764</v>
      </c>
    </row>
    <row r="4533" customFormat="false" ht="15" hidden="false" customHeight="false" outlineLevel="0" collapsed="false">
      <c r="A4533" s="0" t="n">
        <v>4529</v>
      </c>
      <c r="B4533" s="0" t="n">
        <v>7</v>
      </c>
      <c r="C4533" s="19" t="n">
        <v>0.4117</v>
      </c>
      <c r="D4533" s="19" t="n">
        <v>0.0126</v>
      </c>
      <c r="E4533" s="20" t="n">
        <f aca="false">Parametres!$B$5*C4533</f>
        <v>123.51</v>
      </c>
      <c r="F4533" s="20" t="n">
        <f aca="false">Parametres!$B$6*D4533</f>
        <v>2.52</v>
      </c>
      <c r="G4533" s="20" t="n">
        <f aca="false">E4533+F4533</f>
        <v>126.03</v>
      </c>
      <c r="H4533" s="20" t="n">
        <f aca="false">IF(G4533&lt;Parametres!$B$8*Parametres!$B$7,0,MIN(G4533,Parametres!$B$7))</f>
        <v>126.03</v>
      </c>
      <c r="I4533" s="20" t="n">
        <f aca="false">G4533-H4533</f>
        <v>0</v>
      </c>
      <c r="J4533" s="21" t="n">
        <f aca="false">H4533*1000/Parametres!$B$9</f>
        <v>2137.1884008818</v>
      </c>
    </row>
    <row r="4534" customFormat="false" ht="15" hidden="false" customHeight="false" outlineLevel="0" collapsed="false">
      <c r="A4534" s="0" t="n">
        <v>4530</v>
      </c>
      <c r="B4534" s="0" t="n">
        <v>7</v>
      </c>
      <c r="C4534" s="19" t="n">
        <v>0.2514</v>
      </c>
      <c r="D4534" s="19" t="n">
        <v>0.0027</v>
      </c>
      <c r="E4534" s="20" t="n">
        <f aca="false">Parametres!$B$5*C4534</f>
        <v>75.42</v>
      </c>
      <c r="F4534" s="20" t="n">
        <f aca="false">Parametres!$B$6*D4534</f>
        <v>0.54</v>
      </c>
      <c r="G4534" s="20" t="n">
        <f aca="false">E4534+F4534</f>
        <v>75.96</v>
      </c>
      <c r="H4534" s="20" t="n">
        <f aca="false">IF(G4534&lt;Parametres!$B$8*Parametres!$B$7,0,MIN(G4534,Parametres!$B$7))</f>
        <v>75.96</v>
      </c>
      <c r="I4534" s="20" t="n">
        <f aca="false">G4534-H4534</f>
        <v>0</v>
      </c>
      <c r="J4534" s="21" t="n">
        <f aca="false">H4534*1000/Parametres!$B$9</f>
        <v>1288.11259962693</v>
      </c>
    </row>
    <row r="4535" customFormat="false" ht="15" hidden="false" customHeight="false" outlineLevel="0" collapsed="false">
      <c r="A4535" s="0" t="n">
        <v>4531</v>
      </c>
      <c r="B4535" s="0" t="n">
        <v>7</v>
      </c>
      <c r="C4535" s="19" t="n">
        <v>0.0493</v>
      </c>
      <c r="D4535" s="19" t="n">
        <v>0.0001</v>
      </c>
      <c r="E4535" s="20" t="n">
        <f aca="false">Parametres!$B$5*C4535</f>
        <v>14.79</v>
      </c>
      <c r="F4535" s="20" t="n">
        <f aca="false">Parametres!$B$6*D4535</f>
        <v>0.02</v>
      </c>
      <c r="G4535" s="20" t="n">
        <f aca="false">E4535+F4535</f>
        <v>14.81</v>
      </c>
      <c r="H4535" s="20" t="n">
        <f aca="false">IF(G4535&lt;Parametres!$B$8*Parametres!$B$7,0,MIN(G4535,Parametres!$B$7))</f>
        <v>0</v>
      </c>
      <c r="I4535" s="20" t="n">
        <f aca="false">G4535-H4535</f>
        <v>14.81</v>
      </c>
      <c r="J4535" s="21" t="n">
        <f aca="false">H4535*1000/Parametres!$B$9</f>
        <v>0</v>
      </c>
    </row>
    <row r="4536" customFormat="false" ht="15" hidden="false" customHeight="false" outlineLevel="0" collapsed="false">
      <c r="A4536" s="0" t="n">
        <v>4532</v>
      </c>
      <c r="B4536" s="0" t="n">
        <v>7</v>
      </c>
      <c r="C4536" s="19" t="n">
        <v>0</v>
      </c>
      <c r="D4536" s="19" t="n">
        <v>0.0001</v>
      </c>
      <c r="E4536" s="20" t="n">
        <f aca="false">Parametres!$B$5*C4536</f>
        <v>0</v>
      </c>
      <c r="F4536" s="20" t="n">
        <f aca="false">Parametres!$B$6*D4536</f>
        <v>0.02</v>
      </c>
      <c r="G4536" s="20" t="n">
        <f aca="false">E4536+F4536</f>
        <v>0.02</v>
      </c>
      <c r="H4536" s="20" t="n">
        <f aca="false">IF(G4536&lt;Parametres!$B$8*Parametres!$B$7,0,MIN(G4536,Parametres!$B$7))</f>
        <v>0</v>
      </c>
      <c r="I4536" s="20" t="n">
        <f aca="false">G4536-H4536</f>
        <v>0.02</v>
      </c>
      <c r="J4536" s="21" t="n">
        <f aca="false">H4536*1000/Parametres!$B$9</f>
        <v>0</v>
      </c>
    </row>
    <row r="4537" customFormat="false" ht="15" hidden="false" customHeight="false" outlineLevel="0" collapsed="false">
      <c r="A4537" s="0" t="n">
        <v>4533</v>
      </c>
      <c r="B4537" s="0" t="n">
        <v>7</v>
      </c>
      <c r="C4537" s="19" t="n">
        <v>0</v>
      </c>
      <c r="D4537" s="19" t="n">
        <v>0.0001</v>
      </c>
      <c r="E4537" s="20" t="n">
        <f aca="false">Parametres!$B$5*C4537</f>
        <v>0</v>
      </c>
      <c r="F4537" s="20" t="n">
        <f aca="false">Parametres!$B$6*D4537</f>
        <v>0.02</v>
      </c>
      <c r="G4537" s="20" t="n">
        <f aca="false">E4537+F4537</f>
        <v>0.02</v>
      </c>
      <c r="H4537" s="20" t="n">
        <f aca="false">IF(G4537&lt;Parametres!$B$8*Parametres!$B$7,0,MIN(G4537,Parametres!$B$7))</f>
        <v>0</v>
      </c>
      <c r="I4537" s="20" t="n">
        <f aca="false">G4537-H4537</f>
        <v>0.02</v>
      </c>
      <c r="J4537" s="21" t="n">
        <f aca="false">H4537*1000/Parametres!$B$9</f>
        <v>0</v>
      </c>
    </row>
    <row r="4538" customFormat="false" ht="15" hidden="false" customHeight="false" outlineLevel="0" collapsed="false">
      <c r="A4538" s="0" t="n">
        <v>4534</v>
      </c>
      <c r="B4538" s="0" t="n">
        <v>7</v>
      </c>
      <c r="C4538" s="19" t="n">
        <v>0</v>
      </c>
      <c r="D4538" s="19" t="n">
        <v>0</v>
      </c>
      <c r="E4538" s="20" t="n">
        <f aca="false">Parametres!$B$5*C4538</f>
        <v>0</v>
      </c>
      <c r="F4538" s="20" t="n">
        <f aca="false">Parametres!$B$6*D4538</f>
        <v>0</v>
      </c>
      <c r="G4538" s="20" t="n">
        <f aca="false">E4538+F4538</f>
        <v>0</v>
      </c>
      <c r="H4538" s="20" t="n">
        <f aca="false">IF(G4538&lt;Parametres!$B$8*Parametres!$B$7,0,MIN(G4538,Parametres!$B$7))</f>
        <v>0</v>
      </c>
      <c r="I4538" s="20" t="n">
        <f aca="false">G4538-H4538</f>
        <v>0</v>
      </c>
      <c r="J4538" s="21" t="n">
        <f aca="false">H4538*1000/Parametres!$B$9</f>
        <v>0</v>
      </c>
    </row>
    <row r="4539" customFormat="false" ht="15" hidden="false" customHeight="false" outlineLevel="0" collapsed="false">
      <c r="A4539" s="0" t="n">
        <v>4535</v>
      </c>
      <c r="B4539" s="0" t="n">
        <v>7</v>
      </c>
      <c r="C4539" s="19" t="n">
        <v>0</v>
      </c>
      <c r="D4539" s="19" t="n">
        <v>0</v>
      </c>
      <c r="E4539" s="20" t="n">
        <f aca="false">Parametres!$B$5*C4539</f>
        <v>0</v>
      </c>
      <c r="F4539" s="20" t="n">
        <f aca="false">Parametres!$B$6*D4539</f>
        <v>0</v>
      </c>
      <c r="G4539" s="20" t="n">
        <f aca="false">E4539+F4539</f>
        <v>0</v>
      </c>
      <c r="H4539" s="20" t="n">
        <f aca="false">IF(G4539&lt;Parametres!$B$8*Parametres!$B$7,0,MIN(G4539,Parametres!$B$7))</f>
        <v>0</v>
      </c>
      <c r="I4539" s="20" t="n">
        <f aca="false">G4539-H4539</f>
        <v>0</v>
      </c>
      <c r="J4539" s="21" t="n">
        <f aca="false">H4539*1000/Parametres!$B$9</f>
        <v>0</v>
      </c>
    </row>
    <row r="4540" customFormat="false" ht="15" hidden="false" customHeight="false" outlineLevel="0" collapsed="false">
      <c r="A4540" s="0" t="n">
        <v>4536</v>
      </c>
      <c r="B4540" s="0" t="n">
        <v>7</v>
      </c>
      <c r="C4540" s="19" t="n">
        <v>0</v>
      </c>
      <c r="D4540" s="19" t="n">
        <v>0</v>
      </c>
      <c r="E4540" s="20" t="n">
        <f aca="false">Parametres!$B$5*C4540</f>
        <v>0</v>
      </c>
      <c r="F4540" s="20" t="n">
        <f aca="false">Parametres!$B$6*D4540</f>
        <v>0</v>
      </c>
      <c r="G4540" s="20" t="n">
        <f aca="false">E4540+F4540</f>
        <v>0</v>
      </c>
      <c r="H4540" s="20" t="n">
        <f aca="false">IF(G4540&lt;Parametres!$B$8*Parametres!$B$7,0,MIN(G4540,Parametres!$B$7))</f>
        <v>0</v>
      </c>
      <c r="I4540" s="20" t="n">
        <f aca="false">G4540-H4540</f>
        <v>0</v>
      </c>
      <c r="J4540" s="21" t="n">
        <f aca="false">H4540*1000/Parametres!$B$9</f>
        <v>0</v>
      </c>
    </row>
    <row r="4541" customFormat="false" ht="15" hidden="false" customHeight="false" outlineLevel="0" collapsed="false">
      <c r="A4541" s="0" t="n">
        <v>4537</v>
      </c>
      <c r="B4541" s="0" t="n">
        <v>7</v>
      </c>
      <c r="C4541" s="19" t="n">
        <v>0</v>
      </c>
      <c r="D4541" s="19" t="n">
        <v>0</v>
      </c>
      <c r="E4541" s="20" t="n">
        <f aca="false">Parametres!$B$5*C4541</f>
        <v>0</v>
      </c>
      <c r="F4541" s="20" t="n">
        <f aca="false">Parametres!$B$6*D4541</f>
        <v>0</v>
      </c>
      <c r="G4541" s="20" t="n">
        <f aca="false">E4541+F4541</f>
        <v>0</v>
      </c>
      <c r="H4541" s="20" t="n">
        <f aca="false">IF(G4541&lt;Parametres!$B$8*Parametres!$B$7,0,MIN(G4541,Parametres!$B$7))</f>
        <v>0</v>
      </c>
      <c r="I4541" s="20" t="n">
        <f aca="false">G4541-H4541</f>
        <v>0</v>
      </c>
      <c r="J4541" s="21" t="n">
        <f aca="false">H4541*1000/Parametres!$B$9</f>
        <v>0</v>
      </c>
    </row>
    <row r="4542" customFormat="false" ht="15" hidden="false" customHeight="false" outlineLevel="0" collapsed="false">
      <c r="A4542" s="0" t="n">
        <v>4538</v>
      </c>
      <c r="B4542" s="0" t="n">
        <v>7</v>
      </c>
      <c r="C4542" s="19" t="n">
        <v>0</v>
      </c>
      <c r="D4542" s="19" t="n">
        <v>0</v>
      </c>
      <c r="E4542" s="20" t="n">
        <f aca="false">Parametres!$B$5*C4542</f>
        <v>0</v>
      </c>
      <c r="F4542" s="20" t="n">
        <f aca="false">Parametres!$B$6*D4542</f>
        <v>0</v>
      </c>
      <c r="G4542" s="20" t="n">
        <f aca="false">E4542+F4542</f>
        <v>0</v>
      </c>
      <c r="H4542" s="20" t="n">
        <f aca="false">IF(G4542&lt;Parametres!$B$8*Parametres!$B$7,0,MIN(G4542,Parametres!$B$7))</f>
        <v>0</v>
      </c>
      <c r="I4542" s="20" t="n">
        <f aca="false">G4542-H4542</f>
        <v>0</v>
      </c>
      <c r="J4542" s="21" t="n">
        <f aca="false">H4542*1000/Parametres!$B$9</f>
        <v>0</v>
      </c>
    </row>
    <row r="4543" customFormat="false" ht="15" hidden="false" customHeight="false" outlineLevel="0" collapsed="false">
      <c r="A4543" s="0" t="n">
        <v>4539</v>
      </c>
      <c r="B4543" s="0" t="n">
        <v>7</v>
      </c>
      <c r="C4543" s="19" t="n">
        <v>0</v>
      </c>
      <c r="D4543" s="19" t="n">
        <v>0</v>
      </c>
      <c r="E4543" s="20" t="n">
        <f aca="false">Parametres!$B$5*C4543</f>
        <v>0</v>
      </c>
      <c r="F4543" s="20" t="n">
        <f aca="false">Parametres!$B$6*D4543</f>
        <v>0</v>
      </c>
      <c r="G4543" s="20" t="n">
        <f aca="false">E4543+F4543</f>
        <v>0</v>
      </c>
      <c r="H4543" s="20" t="n">
        <f aca="false">IF(G4543&lt;Parametres!$B$8*Parametres!$B$7,0,MIN(G4543,Parametres!$B$7))</f>
        <v>0</v>
      </c>
      <c r="I4543" s="20" t="n">
        <f aca="false">G4543-H4543</f>
        <v>0</v>
      </c>
      <c r="J4543" s="21" t="n">
        <f aca="false">H4543*1000/Parametres!$B$9</f>
        <v>0</v>
      </c>
    </row>
    <row r="4544" customFormat="false" ht="15" hidden="false" customHeight="false" outlineLevel="0" collapsed="false">
      <c r="A4544" s="0" t="n">
        <v>4540</v>
      </c>
      <c r="B4544" s="0" t="n">
        <v>7</v>
      </c>
      <c r="C4544" s="19" t="n">
        <v>0</v>
      </c>
      <c r="D4544" s="19" t="n">
        <v>0</v>
      </c>
      <c r="E4544" s="20" t="n">
        <f aca="false">Parametres!$B$5*C4544</f>
        <v>0</v>
      </c>
      <c r="F4544" s="20" t="n">
        <f aca="false">Parametres!$B$6*D4544</f>
        <v>0</v>
      </c>
      <c r="G4544" s="20" t="n">
        <f aca="false">E4544+F4544</f>
        <v>0</v>
      </c>
      <c r="H4544" s="20" t="n">
        <f aca="false">IF(G4544&lt;Parametres!$B$8*Parametres!$B$7,0,MIN(G4544,Parametres!$B$7))</f>
        <v>0</v>
      </c>
      <c r="I4544" s="20" t="n">
        <f aca="false">G4544-H4544</f>
        <v>0</v>
      </c>
      <c r="J4544" s="21" t="n">
        <f aca="false">H4544*1000/Parametres!$B$9</f>
        <v>0</v>
      </c>
    </row>
    <row r="4545" customFormat="false" ht="15" hidden="false" customHeight="false" outlineLevel="0" collapsed="false">
      <c r="A4545" s="0" t="n">
        <v>4541</v>
      </c>
      <c r="B4545" s="0" t="n">
        <v>7</v>
      </c>
      <c r="C4545" s="19" t="n">
        <v>0</v>
      </c>
      <c r="D4545" s="19" t="n">
        <v>0</v>
      </c>
      <c r="E4545" s="20" t="n">
        <f aca="false">Parametres!$B$5*C4545</f>
        <v>0</v>
      </c>
      <c r="F4545" s="20" t="n">
        <f aca="false">Parametres!$B$6*D4545</f>
        <v>0</v>
      </c>
      <c r="G4545" s="20" t="n">
        <f aca="false">E4545+F4545</f>
        <v>0</v>
      </c>
      <c r="H4545" s="20" t="n">
        <f aca="false">IF(G4545&lt;Parametres!$B$8*Parametres!$B$7,0,MIN(G4545,Parametres!$B$7))</f>
        <v>0</v>
      </c>
      <c r="I4545" s="20" t="n">
        <f aca="false">G4545-H4545</f>
        <v>0</v>
      </c>
      <c r="J4545" s="21" t="n">
        <f aca="false">H4545*1000/Parametres!$B$9</f>
        <v>0</v>
      </c>
    </row>
    <row r="4546" customFormat="false" ht="15" hidden="false" customHeight="false" outlineLevel="0" collapsed="false">
      <c r="A4546" s="0" t="n">
        <v>4542</v>
      </c>
      <c r="B4546" s="0" t="n">
        <v>7</v>
      </c>
      <c r="C4546" s="19" t="n">
        <v>0.0623</v>
      </c>
      <c r="D4546" s="19" t="n">
        <v>0</v>
      </c>
      <c r="E4546" s="20" t="n">
        <f aca="false">Parametres!$B$5*C4546</f>
        <v>18.69</v>
      </c>
      <c r="F4546" s="20" t="n">
        <f aca="false">Parametres!$B$6*D4546</f>
        <v>0</v>
      </c>
      <c r="G4546" s="20" t="n">
        <f aca="false">E4546+F4546</f>
        <v>18.69</v>
      </c>
      <c r="H4546" s="20" t="n">
        <f aca="false">IF(G4546&lt;Parametres!$B$8*Parametres!$B$7,0,MIN(G4546,Parametres!$B$7))</f>
        <v>0</v>
      </c>
      <c r="I4546" s="20" t="n">
        <f aca="false">G4546-H4546</f>
        <v>18.69</v>
      </c>
      <c r="J4546" s="21" t="n">
        <f aca="false">H4546*1000/Parametres!$B$9</f>
        <v>0</v>
      </c>
    </row>
    <row r="4547" customFormat="false" ht="15" hidden="false" customHeight="false" outlineLevel="0" collapsed="false">
      <c r="A4547" s="0" t="n">
        <v>4543</v>
      </c>
      <c r="B4547" s="0" t="n">
        <v>7</v>
      </c>
      <c r="C4547" s="19" t="n">
        <v>0.316</v>
      </c>
      <c r="D4547" s="19" t="n">
        <v>0</v>
      </c>
      <c r="E4547" s="20" t="n">
        <f aca="false">Parametres!$B$5*C4547</f>
        <v>94.8</v>
      </c>
      <c r="F4547" s="20" t="n">
        <f aca="false">Parametres!$B$6*D4547</f>
        <v>0</v>
      </c>
      <c r="G4547" s="20" t="n">
        <f aca="false">E4547+F4547</f>
        <v>94.8</v>
      </c>
      <c r="H4547" s="20" t="n">
        <f aca="false">IF(G4547&lt;Parametres!$B$8*Parametres!$B$7,0,MIN(G4547,Parametres!$B$7))</f>
        <v>94.8</v>
      </c>
      <c r="I4547" s="20" t="n">
        <f aca="false">G4547-H4547</f>
        <v>0</v>
      </c>
      <c r="J4547" s="21" t="n">
        <f aca="false">H4547*1000/Parametres!$B$9</f>
        <v>1607.59708326268</v>
      </c>
    </row>
    <row r="4548" customFormat="false" ht="15" hidden="false" customHeight="false" outlineLevel="0" collapsed="false">
      <c r="A4548" s="0" t="n">
        <v>4544</v>
      </c>
      <c r="B4548" s="0" t="n">
        <v>7</v>
      </c>
      <c r="C4548" s="19" t="n">
        <v>0.5498</v>
      </c>
      <c r="D4548" s="19" t="n">
        <v>0</v>
      </c>
      <c r="E4548" s="20" t="n">
        <f aca="false">Parametres!$B$5*C4548</f>
        <v>164.94</v>
      </c>
      <c r="F4548" s="20" t="n">
        <f aca="false">Parametres!$B$6*D4548</f>
        <v>0</v>
      </c>
      <c r="G4548" s="20" t="n">
        <f aca="false">E4548+F4548</f>
        <v>164.94</v>
      </c>
      <c r="H4548" s="20" t="n">
        <f aca="false">IF(G4548&lt;Parametres!$B$8*Parametres!$B$7,0,MIN(G4548,Parametres!$B$7))</f>
        <v>164.94</v>
      </c>
      <c r="I4548" s="20" t="n">
        <f aca="false">G4548-H4548</f>
        <v>0</v>
      </c>
      <c r="J4548" s="21" t="n">
        <f aca="false">H4548*1000/Parametres!$B$9</f>
        <v>2797.01543157538</v>
      </c>
    </row>
    <row r="4549" customFormat="false" ht="15" hidden="false" customHeight="false" outlineLevel="0" collapsed="false">
      <c r="A4549" s="0" t="n">
        <v>4545</v>
      </c>
      <c r="B4549" s="0" t="n">
        <v>7</v>
      </c>
      <c r="C4549" s="19" t="n">
        <v>0.7743</v>
      </c>
      <c r="D4549" s="19" t="n">
        <v>0</v>
      </c>
      <c r="E4549" s="20" t="n">
        <f aca="false">Parametres!$B$5*C4549</f>
        <v>232.29</v>
      </c>
      <c r="F4549" s="20" t="n">
        <f aca="false">Parametres!$B$6*D4549</f>
        <v>0</v>
      </c>
      <c r="G4549" s="20" t="n">
        <f aca="false">E4549+F4549</f>
        <v>232.29</v>
      </c>
      <c r="H4549" s="20" t="n">
        <f aca="false">IF(G4549&lt;Parametres!$B$8*Parametres!$B$7,0,MIN(G4549,Parametres!$B$7))</f>
        <v>232.29</v>
      </c>
      <c r="I4549" s="20" t="n">
        <f aca="false">G4549-H4549</f>
        <v>0</v>
      </c>
      <c r="J4549" s="21" t="n">
        <f aca="false">H4549*1000/Parametres!$B$9</f>
        <v>3939.12158724775</v>
      </c>
    </row>
    <row r="4550" customFormat="false" ht="15" hidden="false" customHeight="false" outlineLevel="0" collapsed="false">
      <c r="A4550" s="0" t="n">
        <v>4546</v>
      </c>
      <c r="B4550" s="0" t="n">
        <v>7</v>
      </c>
      <c r="C4550" s="19" t="n">
        <v>0.9736</v>
      </c>
      <c r="D4550" s="19" t="n">
        <v>0</v>
      </c>
      <c r="E4550" s="20" t="n">
        <f aca="false">Parametres!$B$5*C4550</f>
        <v>292.08</v>
      </c>
      <c r="F4550" s="20" t="n">
        <f aca="false">Parametres!$B$6*D4550</f>
        <v>0</v>
      </c>
      <c r="G4550" s="20" t="n">
        <f aca="false">E4550+F4550</f>
        <v>292.08</v>
      </c>
      <c r="H4550" s="20" t="n">
        <f aca="false">IF(G4550&lt;Parametres!$B$8*Parametres!$B$7,0,MIN(G4550,Parametres!$B$7))</f>
        <v>250</v>
      </c>
      <c r="I4550" s="20" t="n">
        <f aca="false">G4550-H4550</f>
        <v>42.08</v>
      </c>
      <c r="J4550" s="21" t="n">
        <f aca="false">H4550*1000/Parametres!$B$9</f>
        <v>4239.44378497541</v>
      </c>
    </row>
    <row r="4551" customFormat="false" ht="15" hidden="false" customHeight="false" outlineLevel="0" collapsed="false">
      <c r="A4551" s="0" t="n">
        <v>4547</v>
      </c>
      <c r="B4551" s="0" t="n">
        <v>7</v>
      </c>
      <c r="C4551" s="19" t="n">
        <v>1</v>
      </c>
      <c r="D4551" s="19" t="n">
        <v>0</v>
      </c>
      <c r="E4551" s="20" t="n">
        <f aca="false">Parametres!$B$5*C4551</f>
        <v>300</v>
      </c>
      <c r="F4551" s="20" t="n">
        <f aca="false">Parametres!$B$6*D4551</f>
        <v>0</v>
      </c>
      <c r="G4551" s="20" t="n">
        <f aca="false">E4551+F4551</f>
        <v>300</v>
      </c>
      <c r="H4551" s="20" t="n">
        <f aca="false">IF(G4551&lt;Parametres!$B$8*Parametres!$B$7,0,MIN(G4551,Parametres!$B$7))</f>
        <v>250</v>
      </c>
      <c r="I4551" s="20" t="n">
        <f aca="false">G4551-H4551</f>
        <v>50</v>
      </c>
      <c r="J4551" s="21" t="n">
        <f aca="false">H4551*1000/Parametres!$B$9</f>
        <v>4239.44378497541</v>
      </c>
    </row>
    <row r="4552" customFormat="false" ht="15" hidden="false" customHeight="false" outlineLevel="0" collapsed="false">
      <c r="A4552" s="0" t="n">
        <v>4548</v>
      </c>
      <c r="B4552" s="0" t="n">
        <v>7</v>
      </c>
      <c r="C4552" s="19" t="n">
        <v>1</v>
      </c>
      <c r="D4552" s="19" t="n">
        <v>0</v>
      </c>
      <c r="E4552" s="20" t="n">
        <f aca="false">Parametres!$B$5*C4552</f>
        <v>300</v>
      </c>
      <c r="F4552" s="20" t="n">
        <f aca="false">Parametres!$B$6*D4552</f>
        <v>0</v>
      </c>
      <c r="G4552" s="20" t="n">
        <f aca="false">E4552+F4552</f>
        <v>300</v>
      </c>
      <c r="H4552" s="20" t="n">
        <f aca="false">IF(G4552&lt;Parametres!$B$8*Parametres!$B$7,0,MIN(G4552,Parametres!$B$7))</f>
        <v>250</v>
      </c>
      <c r="I4552" s="20" t="n">
        <f aca="false">G4552-H4552</f>
        <v>50</v>
      </c>
      <c r="J4552" s="21" t="n">
        <f aca="false">H4552*1000/Parametres!$B$9</f>
        <v>4239.44378497541</v>
      </c>
    </row>
    <row r="4553" customFormat="false" ht="15" hidden="false" customHeight="false" outlineLevel="0" collapsed="false">
      <c r="A4553" s="0" t="n">
        <v>4549</v>
      </c>
      <c r="B4553" s="0" t="n">
        <v>7</v>
      </c>
      <c r="C4553" s="19" t="n">
        <v>1</v>
      </c>
      <c r="D4553" s="19" t="n">
        <v>0</v>
      </c>
      <c r="E4553" s="20" t="n">
        <f aca="false">Parametres!$B$5*C4553</f>
        <v>300</v>
      </c>
      <c r="F4553" s="20" t="n">
        <f aca="false">Parametres!$B$6*D4553</f>
        <v>0</v>
      </c>
      <c r="G4553" s="20" t="n">
        <f aca="false">E4553+F4553</f>
        <v>300</v>
      </c>
      <c r="H4553" s="20" t="n">
        <f aca="false">IF(G4553&lt;Parametres!$B$8*Parametres!$B$7,0,MIN(G4553,Parametres!$B$7))</f>
        <v>250</v>
      </c>
      <c r="I4553" s="20" t="n">
        <f aca="false">G4553-H4553</f>
        <v>50</v>
      </c>
      <c r="J4553" s="21" t="n">
        <f aca="false">H4553*1000/Parametres!$B$9</f>
        <v>4239.44378497541</v>
      </c>
    </row>
    <row r="4554" customFormat="false" ht="15" hidden="false" customHeight="false" outlineLevel="0" collapsed="false">
      <c r="A4554" s="0" t="n">
        <v>4550</v>
      </c>
      <c r="B4554" s="0" t="n">
        <v>7</v>
      </c>
      <c r="C4554" s="19" t="n">
        <v>1</v>
      </c>
      <c r="D4554" s="19" t="n">
        <v>0</v>
      </c>
      <c r="E4554" s="20" t="n">
        <f aca="false">Parametres!$B$5*C4554</f>
        <v>300</v>
      </c>
      <c r="F4554" s="20" t="n">
        <f aca="false">Parametres!$B$6*D4554</f>
        <v>0</v>
      </c>
      <c r="G4554" s="20" t="n">
        <f aca="false">E4554+F4554</f>
        <v>300</v>
      </c>
      <c r="H4554" s="20" t="n">
        <f aca="false">IF(G4554&lt;Parametres!$B$8*Parametres!$B$7,0,MIN(G4554,Parametres!$B$7))</f>
        <v>250</v>
      </c>
      <c r="I4554" s="20" t="n">
        <f aca="false">G4554-H4554</f>
        <v>50</v>
      </c>
      <c r="J4554" s="21" t="n">
        <f aca="false">H4554*1000/Parametres!$B$9</f>
        <v>4239.44378497541</v>
      </c>
    </row>
    <row r="4555" customFormat="false" ht="15" hidden="false" customHeight="false" outlineLevel="0" collapsed="false">
      <c r="A4555" s="0" t="n">
        <v>4551</v>
      </c>
      <c r="B4555" s="0" t="n">
        <v>7</v>
      </c>
      <c r="C4555" s="19" t="n">
        <v>1</v>
      </c>
      <c r="D4555" s="19" t="n">
        <v>0</v>
      </c>
      <c r="E4555" s="20" t="n">
        <f aca="false">Parametres!$B$5*C4555</f>
        <v>300</v>
      </c>
      <c r="F4555" s="20" t="n">
        <f aca="false">Parametres!$B$6*D4555</f>
        <v>0</v>
      </c>
      <c r="G4555" s="20" t="n">
        <f aca="false">E4555+F4555</f>
        <v>300</v>
      </c>
      <c r="H4555" s="20" t="n">
        <f aca="false">IF(G4555&lt;Parametres!$B$8*Parametres!$B$7,0,MIN(G4555,Parametres!$B$7))</f>
        <v>250</v>
      </c>
      <c r="I4555" s="20" t="n">
        <f aca="false">G4555-H4555</f>
        <v>50</v>
      </c>
      <c r="J4555" s="21" t="n">
        <f aca="false">H4555*1000/Parametres!$B$9</f>
        <v>4239.44378497541</v>
      </c>
    </row>
    <row r="4556" customFormat="false" ht="15" hidden="false" customHeight="false" outlineLevel="0" collapsed="false">
      <c r="A4556" s="0" t="n">
        <v>4552</v>
      </c>
      <c r="B4556" s="0" t="n">
        <v>7</v>
      </c>
      <c r="C4556" s="19" t="n">
        <v>0.8398</v>
      </c>
      <c r="D4556" s="19" t="n">
        <v>0</v>
      </c>
      <c r="E4556" s="20" t="n">
        <f aca="false">Parametres!$B$5*C4556</f>
        <v>251.94</v>
      </c>
      <c r="F4556" s="20" t="n">
        <f aca="false">Parametres!$B$6*D4556</f>
        <v>0</v>
      </c>
      <c r="G4556" s="20" t="n">
        <f aca="false">E4556+F4556</f>
        <v>251.94</v>
      </c>
      <c r="H4556" s="20" t="n">
        <f aca="false">IF(G4556&lt;Parametres!$B$8*Parametres!$B$7,0,MIN(G4556,Parametres!$B$7))</f>
        <v>250</v>
      </c>
      <c r="I4556" s="20" t="n">
        <f aca="false">G4556-H4556</f>
        <v>1.94</v>
      </c>
      <c r="J4556" s="21" t="n">
        <f aca="false">H4556*1000/Parametres!$B$9</f>
        <v>4239.44378497541</v>
      </c>
    </row>
    <row r="4557" customFormat="false" ht="15" hidden="false" customHeight="false" outlineLevel="0" collapsed="false">
      <c r="A4557" s="0" t="n">
        <v>4553</v>
      </c>
      <c r="B4557" s="0" t="n">
        <v>7</v>
      </c>
      <c r="C4557" s="19" t="n">
        <v>0.5962</v>
      </c>
      <c r="D4557" s="19" t="n">
        <v>0</v>
      </c>
      <c r="E4557" s="20" t="n">
        <f aca="false">Parametres!$B$5*C4557</f>
        <v>178.86</v>
      </c>
      <c r="F4557" s="20" t="n">
        <f aca="false">Parametres!$B$6*D4557</f>
        <v>0</v>
      </c>
      <c r="G4557" s="20" t="n">
        <f aca="false">E4557+F4557</f>
        <v>178.86</v>
      </c>
      <c r="H4557" s="20" t="n">
        <f aca="false">IF(G4557&lt;Parametres!$B$8*Parametres!$B$7,0,MIN(G4557,Parametres!$B$7))</f>
        <v>178.86</v>
      </c>
      <c r="I4557" s="20" t="n">
        <f aca="false">G4557-H4557</f>
        <v>0</v>
      </c>
      <c r="J4557" s="21" t="n">
        <f aca="false">H4557*1000/Parametres!$B$9</f>
        <v>3033.06766152281</v>
      </c>
    </row>
    <row r="4558" customFormat="false" ht="15" hidden="false" customHeight="false" outlineLevel="0" collapsed="false">
      <c r="A4558" s="0" t="n">
        <v>4554</v>
      </c>
      <c r="B4558" s="0" t="n">
        <v>7</v>
      </c>
      <c r="C4558" s="19" t="n">
        <v>0.3079</v>
      </c>
      <c r="D4558" s="19" t="n">
        <v>0</v>
      </c>
      <c r="E4558" s="20" t="n">
        <f aca="false">Parametres!$B$5*C4558</f>
        <v>92.37</v>
      </c>
      <c r="F4558" s="20" t="n">
        <f aca="false">Parametres!$B$6*D4558</f>
        <v>0</v>
      </c>
      <c r="G4558" s="20" t="n">
        <f aca="false">E4558+F4558</f>
        <v>92.37</v>
      </c>
      <c r="H4558" s="20" t="n">
        <f aca="false">IF(G4558&lt;Parametres!$B$8*Parametres!$B$7,0,MIN(G4558,Parametres!$B$7))</f>
        <v>92.37</v>
      </c>
      <c r="I4558" s="20" t="n">
        <f aca="false">G4558-H4558</f>
        <v>0</v>
      </c>
      <c r="J4558" s="21" t="n">
        <f aca="false">H4558*1000/Parametres!$B$9</f>
        <v>1566.38968967272</v>
      </c>
    </row>
    <row r="4559" customFormat="false" ht="15" hidden="false" customHeight="false" outlineLevel="0" collapsed="false">
      <c r="A4559" s="0" t="n">
        <v>4555</v>
      </c>
      <c r="B4559" s="0" t="n">
        <v>7</v>
      </c>
      <c r="C4559" s="19" t="n">
        <v>0.0645</v>
      </c>
      <c r="D4559" s="19" t="n">
        <v>0</v>
      </c>
      <c r="E4559" s="20" t="n">
        <f aca="false">Parametres!$B$5*C4559</f>
        <v>19.35</v>
      </c>
      <c r="F4559" s="20" t="n">
        <f aca="false">Parametres!$B$6*D4559</f>
        <v>0</v>
      </c>
      <c r="G4559" s="20" t="n">
        <f aca="false">E4559+F4559</f>
        <v>19.35</v>
      </c>
      <c r="H4559" s="20" t="n">
        <f aca="false">IF(G4559&lt;Parametres!$B$8*Parametres!$B$7,0,MIN(G4559,Parametres!$B$7))</f>
        <v>0</v>
      </c>
      <c r="I4559" s="20" t="n">
        <f aca="false">G4559-H4559</f>
        <v>19.35</v>
      </c>
      <c r="J4559" s="21" t="n">
        <f aca="false">H4559*1000/Parametres!$B$9</f>
        <v>0</v>
      </c>
    </row>
    <row r="4560" customFormat="false" ht="15" hidden="false" customHeight="false" outlineLevel="0" collapsed="false">
      <c r="A4560" s="0" t="n">
        <v>4556</v>
      </c>
      <c r="B4560" s="0" t="n">
        <v>7</v>
      </c>
      <c r="C4560" s="19" t="n">
        <v>0</v>
      </c>
      <c r="D4560" s="19" t="n">
        <v>0</v>
      </c>
      <c r="E4560" s="20" t="n">
        <f aca="false">Parametres!$B$5*C4560</f>
        <v>0</v>
      </c>
      <c r="F4560" s="20" t="n">
        <f aca="false">Parametres!$B$6*D4560</f>
        <v>0</v>
      </c>
      <c r="G4560" s="20" t="n">
        <f aca="false">E4560+F4560</f>
        <v>0</v>
      </c>
      <c r="H4560" s="20" t="n">
        <f aca="false">IF(G4560&lt;Parametres!$B$8*Parametres!$B$7,0,MIN(G4560,Parametres!$B$7))</f>
        <v>0</v>
      </c>
      <c r="I4560" s="20" t="n">
        <f aca="false">G4560-H4560</f>
        <v>0</v>
      </c>
      <c r="J4560" s="21" t="n">
        <f aca="false">H4560*1000/Parametres!$B$9</f>
        <v>0</v>
      </c>
    </row>
    <row r="4561" customFormat="false" ht="15" hidden="false" customHeight="false" outlineLevel="0" collapsed="false">
      <c r="A4561" s="0" t="n">
        <v>4557</v>
      </c>
      <c r="B4561" s="0" t="n">
        <v>7</v>
      </c>
      <c r="C4561" s="19" t="n">
        <v>0</v>
      </c>
      <c r="D4561" s="19" t="n">
        <v>0</v>
      </c>
      <c r="E4561" s="20" t="n">
        <f aca="false">Parametres!$B$5*C4561</f>
        <v>0</v>
      </c>
      <c r="F4561" s="20" t="n">
        <f aca="false">Parametres!$B$6*D4561</f>
        <v>0</v>
      </c>
      <c r="G4561" s="20" t="n">
        <f aca="false">E4561+F4561</f>
        <v>0</v>
      </c>
      <c r="H4561" s="20" t="n">
        <f aca="false">IF(G4561&lt;Parametres!$B$8*Parametres!$B$7,0,MIN(G4561,Parametres!$B$7))</f>
        <v>0</v>
      </c>
      <c r="I4561" s="20" t="n">
        <f aca="false">G4561-H4561</f>
        <v>0</v>
      </c>
      <c r="J4561" s="21" t="n">
        <f aca="false">H4561*1000/Parametres!$B$9</f>
        <v>0</v>
      </c>
    </row>
    <row r="4562" customFormat="false" ht="15" hidden="false" customHeight="false" outlineLevel="0" collapsed="false">
      <c r="A4562" s="0" t="n">
        <v>4558</v>
      </c>
      <c r="B4562" s="0" t="n">
        <v>7</v>
      </c>
      <c r="C4562" s="19" t="n">
        <v>0</v>
      </c>
      <c r="D4562" s="19" t="n">
        <v>0</v>
      </c>
      <c r="E4562" s="20" t="n">
        <f aca="false">Parametres!$B$5*C4562</f>
        <v>0</v>
      </c>
      <c r="F4562" s="20" t="n">
        <f aca="false">Parametres!$B$6*D4562</f>
        <v>0</v>
      </c>
      <c r="G4562" s="20" t="n">
        <f aca="false">E4562+F4562</f>
        <v>0</v>
      </c>
      <c r="H4562" s="20" t="n">
        <f aca="false">IF(G4562&lt;Parametres!$B$8*Parametres!$B$7,0,MIN(G4562,Parametres!$B$7))</f>
        <v>0</v>
      </c>
      <c r="I4562" s="20" t="n">
        <f aca="false">G4562-H4562</f>
        <v>0</v>
      </c>
      <c r="J4562" s="21" t="n">
        <f aca="false">H4562*1000/Parametres!$B$9</f>
        <v>0</v>
      </c>
    </row>
    <row r="4563" customFormat="false" ht="15" hidden="false" customHeight="false" outlineLevel="0" collapsed="false">
      <c r="A4563" s="0" t="n">
        <v>4559</v>
      </c>
      <c r="B4563" s="0" t="n">
        <v>7</v>
      </c>
      <c r="C4563" s="19" t="n">
        <v>0</v>
      </c>
      <c r="D4563" s="19" t="n">
        <v>0</v>
      </c>
      <c r="E4563" s="20" t="n">
        <f aca="false">Parametres!$B$5*C4563</f>
        <v>0</v>
      </c>
      <c r="F4563" s="20" t="n">
        <f aca="false">Parametres!$B$6*D4563</f>
        <v>0</v>
      </c>
      <c r="G4563" s="20" t="n">
        <f aca="false">E4563+F4563</f>
        <v>0</v>
      </c>
      <c r="H4563" s="20" t="n">
        <f aca="false">IF(G4563&lt;Parametres!$B$8*Parametres!$B$7,0,MIN(G4563,Parametres!$B$7))</f>
        <v>0</v>
      </c>
      <c r="I4563" s="20" t="n">
        <f aca="false">G4563-H4563</f>
        <v>0</v>
      </c>
      <c r="J4563" s="21" t="n">
        <f aca="false">H4563*1000/Parametres!$B$9</f>
        <v>0</v>
      </c>
    </row>
    <row r="4564" customFormat="false" ht="15" hidden="false" customHeight="false" outlineLevel="0" collapsed="false">
      <c r="A4564" s="0" t="n">
        <v>4560</v>
      </c>
      <c r="B4564" s="0" t="n">
        <v>7</v>
      </c>
      <c r="C4564" s="19" t="n">
        <v>0</v>
      </c>
      <c r="D4564" s="19" t="n">
        <v>0</v>
      </c>
      <c r="E4564" s="20" t="n">
        <f aca="false">Parametres!$B$5*C4564</f>
        <v>0</v>
      </c>
      <c r="F4564" s="20" t="n">
        <f aca="false">Parametres!$B$6*D4564</f>
        <v>0</v>
      </c>
      <c r="G4564" s="20" t="n">
        <f aca="false">E4564+F4564</f>
        <v>0</v>
      </c>
      <c r="H4564" s="20" t="n">
        <f aca="false">IF(G4564&lt;Parametres!$B$8*Parametres!$B$7,0,MIN(G4564,Parametres!$B$7))</f>
        <v>0</v>
      </c>
      <c r="I4564" s="20" t="n">
        <f aca="false">G4564-H4564</f>
        <v>0</v>
      </c>
      <c r="J4564" s="21" t="n">
        <f aca="false">H4564*1000/Parametres!$B$9</f>
        <v>0</v>
      </c>
    </row>
    <row r="4565" customFormat="false" ht="15" hidden="false" customHeight="false" outlineLevel="0" collapsed="false">
      <c r="A4565" s="0" t="n">
        <v>4561</v>
      </c>
      <c r="B4565" s="0" t="n">
        <v>7</v>
      </c>
      <c r="C4565" s="19" t="n">
        <v>0</v>
      </c>
      <c r="D4565" s="19" t="n">
        <v>0</v>
      </c>
      <c r="E4565" s="20" t="n">
        <f aca="false">Parametres!$B$5*C4565</f>
        <v>0</v>
      </c>
      <c r="F4565" s="20" t="n">
        <f aca="false">Parametres!$B$6*D4565</f>
        <v>0</v>
      </c>
      <c r="G4565" s="20" t="n">
        <f aca="false">E4565+F4565</f>
        <v>0</v>
      </c>
      <c r="H4565" s="20" t="n">
        <f aca="false">IF(G4565&lt;Parametres!$B$8*Parametres!$B$7,0,MIN(G4565,Parametres!$B$7))</f>
        <v>0</v>
      </c>
      <c r="I4565" s="20" t="n">
        <f aca="false">G4565-H4565</f>
        <v>0</v>
      </c>
      <c r="J4565" s="21" t="n">
        <f aca="false">H4565*1000/Parametres!$B$9</f>
        <v>0</v>
      </c>
    </row>
    <row r="4566" customFormat="false" ht="15" hidden="false" customHeight="false" outlineLevel="0" collapsed="false">
      <c r="A4566" s="0" t="n">
        <v>4562</v>
      </c>
      <c r="B4566" s="0" t="n">
        <v>7</v>
      </c>
      <c r="C4566" s="19" t="n">
        <v>0</v>
      </c>
      <c r="D4566" s="19" t="n">
        <v>0</v>
      </c>
      <c r="E4566" s="20" t="n">
        <f aca="false">Parametres!$B$5*C4566</f>
        <v>0</v>
      </c>
      <c r="F4566" s="20" t="n">
        <f aca="false">Parametres!$B$6*D4566</f>
        <v>0</v>
      </c>
      <c r="G4566" s="20" t="n">
        <f aca="false">E4566+F4566</f>
        <v>0</v>
      </c>
      <c r="H4566" s="20" t="n">
        <f aca="false">IF(G4566&lt;Parametres!$B$8*Parametres!$B$7,0,MIN(G4566,Parametres!$B$7))</f>
        <v>0</v>
      </c>
      <c r="I4566" s="20" t="n">
        <f aca="false">G4566-H4566</f>
        <v>0</v>
      </c>
      <c r="J4566" s="21" t="n">
        <f aca="false">H4566*1000/Parametres!$B$9</f>
        <v>0</v>
      </c>
    </row>
    <row r="4567" customFormat="false" ht="15" hidden="false" customHeight="false" outlineLevel="0" collapsed="false">
      <c r="A4567" s="0" t="n">
        <v>4563</v>
      </c>
      <c r="B4567" s="0" t="n">
        <v>7</v>
      </c>
      <c r="C4567" s="19" t="n">
        <v>0</v>
      </c>
      <c r="D4567" s="19" t="n">
        <v>0.0003</v>
      </c>
      <c r="E4567" s="20" t="n">
        <f aca="false">Parametres!$B$5*C4567</f>
        <v>0</v>
      </c>
      <c r="F4567" s="20" t="n">
        <f aca="false">Parametres!$B$6*D4567</f>
        <v>0.06</v>
      </c>
      <c r="G4567" s="20" t="n">
        <f aca="false">E4567+F4567</f>
        <v>0.06</v>
      </c>
      <c r="H4567" s="20" t="n">
        <f aca="false">IF(G4567&lt;Parametres!$B$8*Parametres!$B$7,0,MIN(G4567,Parametres!$B$7))</f>
        <v>0</v>
      </c>
      <c r="I4567" s="20" t="n">
        <f aca="false">G4567-H4567</f>
        <v>0.06</v>
      </c>
      <c r="J4567" s="21" t="n">
        <f aca="false">H4567*1000/Parametres!$B$9</f>
        <v>0</v>
      </c>
    </row>
    <row r="4568" customFormat="false" ht="15" hidden="false" customHeight="false" outlineLevel="0" collapsed="false">
      <c r="A4568" s="0" t="n">
        <v>4564</v>
      </c>
      <c r="B4568" s="0" t="n">
        <v>7</v>
      </c>
      <c r="C4568" s="19" t="n">
        <v>0</v>
      </c>
      <c r="D4568" s="19" t="n">
        <v>0.0003</v>
      </c>
      <c r="E4568" s="20" t="n">
        <f aca="false">Parametres!$B$5*C4568</f>
        <v>0</v>
      </c>
      <c r="F4568" s="20" t="n">
        <f aca="false">Parametres!$B$6*D4568</f>
        <v>0.06</v>
      </c>
      <c r="G4568" s="20" t="n">
        <f aca="false">E4568+F4568</f>
        <v>0.06</v>
      </c>
      <c r="H4568" s="20" t="n">
        <f aca="false">IF(G4568&lt;Parametres!$B$8*Parametres!$B$7,0,MIN(G4568,Parametres!$B$7))</f>
        <v>0</v>
      </c>
      <c r="I4568" s="20" t="n">
        <f aca="false">G4568-H4568</f>
        <v>0.06</v>
      </c>
      <c r="J4568" s="21" t="n">
        <f aca="false">H4568*1000/Parametres!$B$9</f>
        <v>0</v>
      </c>
    </row>
    <row r="4569" customFormat="false" ht="15" hidden="false" customHeight="false" outlineLevel="0" collapsed="false">
      <c r="A4569" s="0" t="n">
        <v>4565</v>
      </c>
      <c r="B4569" s="0" t="n">
        <v>7</v>
      </c>
      <c r="C4569" s="19" t="n">
        <v>0</v>
      </c>
      <c r="D4569" s="19" t="n">
        <v>0</v>
      </c>
      <c r="E4569" s="20" t="n">
        <f aca="false">Parametres!$B$5*C4569</f>
        <v>0</v>
      </c>
      <c r="F4569" s="20" t="n">
        <f aca="false">Parametres!$B$6*D4569</f>
        <v>0</v>
      </c>
      <c r="G4569" s="20" t="n">
        <f aca="false">E4569+F4569</f>
        <v>0</v>
      </c>
      <c r="H4569" s="20" t="n">
        <f aca="false">IF(G4569&lt;Parametres!$B$8*Parametres!$B$7,0,MIN(G4569,Parametres!$B$7))</f>
        <v>0</v>
      </c>
      <c r="I4569" s="20" t="n">
        <f aca="false">G4569-H4569</f>
        <v>0</v>
      </c>
      <c r="J4569" s="21" t="n">
        <f aca="false">H4569*1000/Parametres!$B$9</f>
        <v>0</v>
      </c>
    </row>
    <row r="4570" customFormat="false" ht="15" hidden="false" customHeight="false" outlineLevel="0" collapsed="false">
      <c r="A4570" s="0" t="n">
        <v>4566</v>
      </c>
      <c r="B4570" s="0" t="n">
        <v>7</v>
      </c>
      <c r="C4570" s="19" t="n">
        <v>0.0551</v>
      </c>
      <c r="D4570" s="19" t="n">
        <v>0</v>
      </c>
      <c r="E4570" s="20" t="n">
        <f aca="false">Parametres!$B$5*C4570</f>
        <v>16.53</v>
      </c>
      <c r="F4570" s="20" t="n">
        <f aca="false">Parametres!$B$6*D4570</f>
        <v>0</v>
      </c>
      <c r="G4570" s="20" t="n">
        <f aca="false">E4570+F4570</f>
        <v>16.53</v>
      </c>
      <c r="H4570" s="20" t="n">
        <f aca="false">IF(G4570&lt;Parametres!$B$8*Parametres!$B$7,0,MIN(G4570,Parametres!$B$7))</f>
        <v>0</v>
      </c>
      <c r="I4570" s="20" t="n">
        <f aca="false">G4570-H4570</f>
        <v>16.53</v>
      </c>
      <c r="J4570" s="21" t="n">
        <f aca="false">H4570*1000/Parametres!$B$9</f>
        <v>0</v>
      </c>
    </row>
    <row r="4571" customFormat="false" ht="15" hidden="false" customHeight="false" outlineLevel="0" collapsed="false">
      <c r="A4571" s="0" t="n">
        <v>4567</v>
      </c>
      <c r="B4571" s="0" t="n">
        <v>7</v>
      </c>
      <c r="C4571" s="19" t="n">
        <v>0.2843</v>
      </c>
      <c r="D4571" s="19" t="n">
        <v>0</v>
      </c>
      <c r="E4571" s="20" t="n">
        <f aca="false">Parametres!$B$5*C4571</f>
        <v>85.29</v>
      </c>
      <c r="F4571" s="20" t="n">
        <f aca="false">Parametres!$B$6*D4571</f>
        <v>0</v>
      </c>
      <c r="G4571" s="20" t="n">
        <f aca="false">E4571+F4571</f>
        <v>85.29</v>
      </c>
      <c r="H4571" s="20" t="n">
        <f aca="false">IF(G4571&lt;Parametres!$B$8*Parametres!$B$7,0,MIN(G4571,Parametres!$B$7))</f>
        <v>85.29</v>
      </c>
      <c r="I4571" s="20" t="n">
        <f aca="false">G4571-H4571</f>
        <v>0</v>
      </c>
      <c r="J4571" s="21" t="n">
        <f aca="false">H4571*1000/Parametres!$B$9</f>
        <v>1446.32864168221</v>
      </c>
    </row>
    <row r="4572" customFormat="false" ht="15" hidden="false" customHeight="false" outlineLevel="0" collapsed="false">
      <c r="A4572" s="0" t="n">
        <v>4568</v>
      </c>
      <c r="B4572" s="0" t="n">
        <v>7</v>
      </c>
      <c r="C4572" s="19" t="n">
        <v>0.4804</v>
      </c>
      <c r="D4572" s="19" t="n">
        <v>0</v>
      </c>
      <c r="E4572" s="20" t="n">
        <f aca="false">Parametres!$B$5*C4572</f>
        <v>144.12</v>
      </c>
      <c r="F4572" s="20" t="n">
        <f aca="false">Parametres!$B$6*D4572</f>
        <v>0</v>
      </c>
      <c r="G4572" s="20" t="n">
        <f aca="false">E4572+F4572</f>
        <v>144.12</v>
      </c>
      <c r="H4572" s="20" t="n">
        <f aca="false">IF(G4572&lt;Parametres!$B$8*Parametres!$B$7,0,MIN(G4572,Parametres!$B$7))</f>
        <v>144.12</v>
      </c>
      <c r="I4572" s="20" t="n">
        <f aca="false">G4572-H4572</f>
        <v>0</v>
      </c>
      <c r="J4572" s="21" t="n">
        <f aca="false">H4572*1000/Parametres!$B$9</f>
        <v>2443.95455316263</v>
      </c>
    </row>
    <row r="4573" customFormat="false" ht="15" hidden="false" customHeight="false" outlineLevel="0" collapsed="false">
      <c r="A4573" s="0" t="n">
        <v>4569</v>
      </c>
      <c r="B4573" s="0" t="n">
        <v>7</v>
      </c>
      <c r="C4573" s="19" t="n">
        <v>0.8187</v>
      </c>
      <c r="D4573" s="19" t="n">
        <v>0.0003</v>
      </c>
      <c r="E4573" s="20" t="n">
        <f aca="false">Parametres!$B$5*C4573</f>
        <v>245.61</v>
      </c>
      <c r="F4573" s="20" t="n">
        <f aca="false">Parametres!$B$6*D4573</f>
        <v>0.06</v>
      </c>
      <c r="G4573" s="20" t="n">
        <f aca="false">E4573+F4573</f>
        <v>245.67</v>
      </c>
      <c r="H4573" s="20" t="n">
        <f aca="false">IF(G4573&lt;Parametres!$B$8*Parametres!$B$7,0,MIN(G4573,Parametres!$B$7))</f>
        <v>245.67</v>
      </c>
      <c r="I4573" s="20" t="n">
        <f aca="false">G4573-H4573</f>
        <v>0</v>
      </c>
      <c r="J4573" s="21" t="n">
        <f aca="false">H4573*1000/Parametres!$B$9</f>
        <v>4166.01661861964</v>
      </c>
    </row>
    <row r="4574" customFormat="false" ht="15" hidden="false" customHeight="false" outlineLevel="0" collapsed="false">
      <c r="A4574" s="0" t="n">
        <v>4570</v>
      </c>
      <c r="B4574" s="0" t="n">
        <v>7</v>
      </c>
      <c r="C4574" s="19" t="n">
        <v>0.8433</v>
      </c>
      <c r="D4574" s="19" t="n">
        <v>0.0018</v>
      </c>
      <c r="E4574" s="20" t="n">
        <f aca="false">Parametres!$B$5*C4574</f>
        <v>252.99</v>
      </c>
      <c r="F4574" s="20" t="n">
        <f aca="false">Parametres!$B$6*D4574</f>
        <v>0.36</v>
      </c>
      <c r="G4574" s="20" t="n">
        <f aca="false">E4574+F4574</f>
        <v>253.35</v>
      </c>
      <c r="H4574" s="20" t="n">
        <f aca="false">IF(G4574&lt;Parametres!$B$8*Parametres!$B$7,0,MIN(G4574,Parametres!$B$7))</f>
        <v>250</v>
      </c>
      <c r="I4574" s="20" t="n">
        <f aca="false">G4574-H4574</f>
        <v>3.35000000000002</v>
      </c>
      <c r="J4574" s="21" t="n">
        <f aca="false">H4574*1000/Parametres!$B$9</f>
        <v>4239.44378497541</v>
      </c>
    </row>
    <row r="4575" customFormat="false" ht="15" hidden="false" customHeight="false" outlineLevel="0" collapsed="false">
      <c r="A4575" s="0" t="n">
        <v>4571</v>
      </c>
      <c r="B4575" s="0" t="n">
        <v>7</v>
      </c>
      <c r="C4575" s="19" t="n">
        <v>1</v>
      </c>
      <c r="D4575" s="19" t="n">
        <v>0.0006</v>
      </c>
      <c r="E4575" s="20" t="n">
        <f aca="false">Parametres!$B$5*C4575</f>
        <v>300</v>
      </c>
      <c r="F4575" s="20" t="n">
        <f aca="false">Parametres!$B$6*D4575</f>
        <v>0.12</v>
      </c>
      <c r="G4575" s="20" t="n">
        <f aca="false">E4575+F4575</f>
        <v>300.12</v>
      </c>
      <c r="H4575" s="20" t="n">
        <f aca="false">IF(G4575&lt;Parametres!$B$8*Parametres!$B$7,0,MIN(G4575,Parametres!$B$7))</f>
        <v>250</v>
      </c>
      <c r="I4575" s="20" t="n">
        <f aca="false">G4575-H4575</f>
        <v>50.12</v>
      </c>
      <c r="J4575" s="21" t="n">
        <f aca="false">H4575*1000/Parametres!$B$9</f>
        <v>4239.44378497541</v>
      </c>
    </row>
    <row r="4576" customFormat="false" ht="15" hidden="false" customHeight="false" outlineLevel="0" collapsed="false">
      <c r="A4576" s="0" t="n">
        <v>4572</v>
      </c>
      <c r="B4576" s="0" t="n">
        <v>7</v>
      </c>
      <c r="C4576" s="19" t="n">
        <v>1</v>
      </c>
      <c r="D4576" s="19" t="n">
        <v>0.0026</v>
      </c>
      <c r="E4576" s="20" t="n">
        <f aca="false">Parametres!$B$5*C4576</f>
        <v>300</v>
      </c>
      <c r="F4576" s="20" t="n">
        <f aca="false">Parametres!$B$6*D4576</f>
        <v>0.52</v>
      </c>
      <c r="G4576" s="20" t="n">
        <f aca="false">E4576+F4576</f>
        <v>300.52</v>
      </c>
      <c r="H4576" s="20" t="n">
        <f aca="false">IF(G4576&lt;Parametres!$B$8*Parametres!$B$7,0,MIN(G4576,Parametres!$B$7))</f>
        <v>250</v>
      </c>
      <c r="I4576" s="20" t="n">
        <f aca="false">G4576-H4576</f>
        <v>50.52</v>
      </c>
      <c r="J4576" s="21" t="n">
        <f aca="false">H4576*1000/Parametres!$B$9</f>
        <v>4239.44378497541</v>
      </c>
    </row>
    <row r="4577" customFormat="false" ht="15" hidden="false" customHeight="false" outlineLevel="0" collapsed="false">
      <c r="A4577" s="0" t="n">
        <v>4573</v>
      </c>
      <c r="B4577" s="0" t="n">
        <v>7</v>
      </c>
      <c r="C4577" s="19" t="n">
        <v>1</v>
      </c>
      <c r="D4577" s="19" t="n">
        <v>0.0044</v>
      </c>
      <c r="E4577" s="20" t="n">
        <f aca="false">Parametres!$B$5*C4577</f>
        <v>300</v>
      </c>
      <c r="F4577" s="20" t="n">
        <f aca="false">Parametres!$B$6*D4577</f>
        <v>0.88</v>
      </c>
      <c r="G4577" s="20" t="n">
        <f aca="false">E4577+F4577</f>
        <v>300.88</v>
      </c>
      <c r="H4577" s="20" t="n">
        <f aca="false">IF(G4577&lt;Parametres!$B$8*Parametres!$B$7,0,MIN(G4577,Parametres!$B$7))</f>
        <v>250</v>
      </c>
      <c r="I4577" s="20" t="n">
        <f aca="false">G4577-H4577</f>
        <v>50.88</v>
      </c>
      <c r="J4577" s="21" t="n">
        <f aca="false">H4577*1000/Parametres!$B$9</f>
        <v>4239.44378497541</v>
      </c>
    </row>
    <row r="4578" customFormat="false" ht="15" hidden="false" customHeight="false" outlineLevel="0" collapsed="false">
      <c r="A4578" s="0" t="n">
        <v>4574</v>
      </c>
      <c r="B4578" s="0" t="n">
        <v>7</v>
      </c>
      <c r="C4578" s="19" t="n">
        <v>1</v>
      </c>
      <c r="D4578" s="19" t="n">
        <v>0.0006</v>
      </c>
      <c r="E4578" s="20" t="n">
        <f aca="false">Parametres!$B$5*C4578</f>
        <v>300</v>
      </c>
      <c r="F4578" s="20" t="n">
        <f aca="false">Parametres!$B$6*D4578</f>
        <v>0.12</v>
      </c>
      <c r="G4578" s="20" t="n">
        <f aca="false">E4578+F4578</f>
        <v>300.12</v>
      </c>
      <c r="H4578" s="20" t="n">
        <f aca="false">IF(G4578&lt;Parametres!$B$8*Parametres!$B$7,0,MIN(G4578,Parametres!$B$7))</f>
        <v>250</v>
      </c>
      <c r="I4578" s="20" t="n">
        <f aca="false">G4578-H4578</f>
        <v>50.12</v>
      </c>
      <c r="J4578" s="21" t="n">
        <f aca="false">H4578*1000/Parametres!$B$9</f>
        <v>4239.44378497541</v>
      </c>
    </row>
    <row r="4579" customFormat="false" ht="15" hidden="false" customHeight="false" outlineLevel="0" collapsed="false">
      <c r="A4579" s="0" t="n">
        <v>4575</v>
      </c>
      <c r="B4579" s="0" t="n">
        <v>7</v>
      </c>
      <c r="C4579" s="19" t="n">
        <v>0.9741</v>
      </c>
      <c r="D4579" s="19" t="n">
        <v>0.005</v>
      </c>
      <c r="E4579" s="20" t="n">
        <f aca="false">Parametres!$B$5*C4579</f>
        <v>292.23</v>
      </c>
      <c r="F4579" s="20" t="n">
        <f aca="false">Parametres!$B$6*D4579</f>
        <v>1</v>
      </c>
      <c r="G4579" s="20" t="n">
        <f aca="false">E4579+F4579</f>
        <v>293.23</v>
      </c>
      <c r="H4579" s="20" t="n">
        <f aca="false">IF(G4579&lt;Parametres!$B$8*Parametres!$B$7,0,MIN(G4579,Parametres!$B$7))</f>
        <v>250</v>
      </c>
      <c r="I4579" s="20" t="n">
        <f aca="false">G4579-H4579</f>
        <v>43.23</v>
      </c>
      <c r="J4579" s="21" t="n">
        <f aca="false">H4579*1000/Parametres!$B$9</f>
        <v>4239.44378497541</v>
      </c>
    </row>
    <row r="4580" customFormat="false" ht="15" hidden="false" customHeight="false" outlineLevel="0" collapsed="false">
      <c r="A4580" s="0" t="n">
        <v>4576</v>
      </c>
      <c r="B4580" s="0" t="n">
        <v>7</v>
      </c>
      <c r="C4580" s="19" t="n">
        <v>0.7418</v>
      </c>
      <c r="D4580" s="19" t="n">
        <v>0.0013</v>
      </c>
      <c r="E4580" s="20" t="n">
        <f aca="false">Parametres!$B$5*C4580</f>
        <v>222.54</v>
      </c>
      <c r="F4580" s="20" t="n">
        <f aca="false">Parametres!$B$6*D4580</f>
        <v>0.26</v>
      </c>
      <c r="G4580" s="20" t="n">
        <f aca="false">E4580+F4580</f>
        <v>222.8</v>
      </c>
      <c r="H4580" s="20" t="n">
        <f aca="false">IF(G4580&lt;Parametres!$B$8*Parametres!$B$7,0,MIN(G4580,Parametres!$B$7))</f>
        <v>222.8</v>
      </c>
      <c r="I4580" s="20" t="n">
        <f aca="false">G4580-H4580</f>
        <v>0</v>
      </c>
      <c r="J4580" s="21" t="n">
        <f aca="false">H4580*1000/Parametres!$B$9</f>
        <v>3778.19230117009</v>
      </c>
    </row>
    <row r="4581" customFormat="false" ht="15" hidden="false" customHeight="false" outlineLevel="0" collapsed="false">
      <c r="A4581" s="0" t="n">
        <v>4577</v>
      </c>
      <c r="B4581" s="0" t="n">
        <v>7</v>
      </c>
      <c r="C4581" s="19" t="n">
        <v>0.4993</v>
      </c>
      <c r="D4581" s="19" t="n">
        <v>0.0034</v>
      </c>
      <c r="E4581" s="20" t="n">
        <f aca="false">Parametres!$B$5*C4581</f>
        <v>149.79</v>
      </c>
      <c r="F4581" s="20" t="n">
        <f aca="false">Parametres!$B$6*D4581</f>
        <v>0.68</v>
      </c>
      <c r="G4581" s="20" t="n">
        <f aca="false">E4581+F4581</f>
        <v>150.47</v>
      </c>
      <c r="H4581" s="20" t="n">
        <f aca="false">IF(G4581&lt;Parametres!$B$8*Parametres!$B$7,0,MIN(G4581,Parametres!$B$7))</f>
        <v>150.47</v>
      </c>
      <c r="I4581" s="20" t="n">
        <f aca="false">G4581-H4581</f>
        <v>0</v>
      </c>
      <c r="J4581" s="21" t="n">
        <f aca="false">H4581*1000/Parametres!$B$9</f>
        <v>2551.636425301</v>
      </c>
    </row>
    <row r="4582" customFormat="false" ht="15" hidden="false" customHeight="false" outlineLevel="0" collapsed="false">
      <c r="A4582" s="0" t="n">
        <v>4578</v>
      </c>
      <c r="B4582" s="0" t="n">
        <v>7</v>
      </c>
      <c r="C4582" s="19" t="n">
        <v>0.2786</v>
      </c>
      <c r="D4582" s="19" t="n">
        <v>0.007</v>
      </c>
      <c r="E4582" s="20" t="n">
        <f aca="false">Parametres!$B$5*C4582</f>
        <v>83.58</v>
      </c>
      <c r="F4582" s="20" t="n">
        <f aca="false">Parametres!$B$6*D4582</f>
        <v>1.4</v>
      </c>
      <c r="G4582" s="20" t="n">
        <f aca="false">E4582+F4582</f>
        <v>84.98</v>
      </c>
      <c r="H4582" s="20" t="n">
        <f aca="false">IF(G4582&lt;Parametres!$B$8*Parametres!$B$7,0,MIN(G4582,Parametres!$B$7))</f>
        <v>84.98</v>
      </c>
      <c r="I4582" s="20" t="n">
        <f aca="false">G4582-H4582</f>
        <v>0</v>
      </c>
      <c r="J4582" s="21" t="n">
        <f aca="false">H4582*1000/Parametres!$B$9</f>
        <v>1441.07173138884</v>
      </c>
    </row>
    <row r="4583" customFormat="false" ht="15" hidden="false" customHeight="false" outlineLevel="0" collapsed="false">
      <c r="A4583" s="0" t="n">
        <v>4579</v>
      </c>
      <c r="B4583" s="0" t="n">
        <v>7</v>
      </c>
      <c r="C4583" s="19" t="n">
        <v>0.0568</v>
      </c>
      <c r="D4583" s="19" t="n">
        <v>0.0026</v>
      </c>
      <c r="E4583" s="20" t="n">
        <f aca="false">Parametres!$B$5*C4583</f>
        <v>17.04</v>
      </c>
      <c r="F4583" s="20" t="n">
        <f aca="false">Parametres!$B$6*D4583</f>
        <v>0.52</v>
      </c>
      <c r="G4583" s="20" t="n">
        <f aca="false">E4583+F4583</f>
        <v>17.56</v>
      </c>
      <c r="H4583" s="20" t="n">
        <f aca="false">IF(G4583&lt;Parametres!$B$8*Parametres!$B$7,0,MIN(G4583,Parametres!$B$7))</f>
        <v>0</v>
      </c>
      <c r="I4583" s="20" t="n">
        <f aca="false">G4583-H4583</f>
        <v>17.56</v>
      </c>
      <c r="J4583" s="21" t="n">
        <f aca="false">H4583*1000/Parametres!$B$9</f>
        <v>0</v>
      </c>
    </row>
    <row r="4584" customFormat="false" ht="15" hidden="false" customHeight="false" outlineLevel="0" collapsed="false">
      <c r="A4584" s="0" t="n">
        <v>4580</v>
      </c>
      <c r="B4584" s="0" t="n">
        <v>7</v>
      </c>
      <c r="C4584" s="19" t="n">
        <v>0</v>
      </c>
      <c r="D4584" s="19" t="n">
        <v>0.0004</v>
      </c>
      <c r="E4584" s="20" t="n">
        <f aca="false">Parametres!$B$5*C4584</f>
        <v>0</v>
      </c>
      <c r="F4584" s="20" t="n">
        <f aca="false">Parametres!$B$6*D4584</f>
        <v>0.08</v>
      </c>
      <c r="G4584" s="20" t="n">
        <f aca="false">E4584+F4584</f>
        <v>0.08</v>
      </c>
      <c r="H4584" s="20" t="n">
        <f aca="false">IF(G4584&lt;Parametres!$B$8*Parametres!$B$7,0,MIN(G4584,Parametres!$B$7))</f>
        <v>0</v>
      </c>
      <c r="I4584" s="20" t="n">
        <f aca="false">G4584-H4584</f>
        <v>0.08</v>
      </c>
      <c r="J4584" s="21" t="n">
        <f aca="false">H4584*1000/Parametres!$B$9</f>
        <v>0</v>
      </c>
    </row>
    <row r="4585" customFormat="false" ht="15" hidden="false" customHeight="false" outlineLevel="0" collapsed="false">
      <c r="A4585" s="0" t="n">
        <v>4581</v>
      </c>
      <c r="B4585" s="0" t="n">
        <v>7</v>
      </c>
      <c r="C4585" s="19" t="n">
        <v>0</v>
      </c>
      <c r="D4585" s="19" t="n">
        <v>0.0011</v>
      </c>
      <c r="E4585" s="20" t="n">
        <f aca="false">Parametres!$B$5*C4585</f>
        <v>0</v>
      </c>
      <c r="F4585" s="20" t="n">
        <f aca="false">Parametres!$B$6*D4585</f>
        <v>0.22</v>
      </c>
      <c r="G4585" s="20" t="n">
        <f aca="false">E4585+F4585</f>
        <v>0.22</v>
      </c>
      <c r="H4585" s="20" t="n">
        <f aca="false">IF(G4585&lt;Parametres!$B$8*Parametres!$B$7,0,MIN(G4585,Parametres!$B$7))</f>
        <v>0</v>
      </c>
      <c r="I4585" s="20" t="n">
        <f aca="false">G4585-H4585</f>
        <v>0.22</v>
      </c>
      <c r="J4585" s="21" t="n">
        <f aca="false">H4585*1000/Parametres!$B$9</f>
        <v>0</v>
      </c>
    </row>
    <row r="4586" customFormat="false" ht="15" hidden="false" customHeight="false" outlineLevel="0" collapsed="false">
      <c r="A4586" s="0" t="n">
        <v>4582</v>
      </c>
      <c r="B4586" s="0" t="n">
        <v>7</v>
      </c>
      <c r="C4586" s="19" t="n">
        <v>0</v>
      </c>
      <c r="D4586" s="19" t="n">
        <v>0.0014</v>
      </c>
      <c r="E4586" s="20" t="n">
        <f aca="false">Parametres!$B$5*C4586</f>
        <v>0</v>
      </c>
      <c r="F4586" s="20" t="n">
        <f aca="false">Parametres!$B$6*D4586</f>
        <v>0.28</v>
      </c>
      <c r="G4586" s="20" t="n">
        <f aca="false">E4586+F4586</f>
        <v>0.28</v>
      </c>
      <c r="H4586" s="20" t="n">
        <f aca="false">IF(G4586&lt;Parametres!$B$8*Parametres!$B$7,0,MIN(G4586,Parametres!$B$7))</f>
        <v>0</v>
      </c>
      <c r="I4586" s="20" t="n">
        <f aca="false">G4586-H4586</f>
        <v>0.28</v>
      </c>
      <c r="J4586" s="21" t="n">
        <f aca="false">H4586*1000/Parametres!$B$9</f>
        <v>0</v>
      </c>
    </row>
    <row r="4587" customFormat="false" ht="15" hidden="false" customHeight="false" outlineLevel="0" collapsed="false">
      <c r="A4587" s="0" t="n">
        <v>4583</v>
      </c>
      <c r="B4587" s="0" t="n">
        <v>7</v>
      </c>
      <c r="C4587" s="19" t="n">
        <v>0</v>
      </c>
      <c r="D4587" s="19" t="n">
        <v>0.0063</v>
      </c>
      <c r="E4587" s="20" t="n">
        <f aca="false">Parametres!$B$5*C4587</f>
        <v>0</v>
      </c>
      <c r="F4587" s="20" t="n">
        <f aca="false">Parametres!$B$6*D4587</f>
        <v>1.26</v>
      </c>
      <c r="G4587" s="20" t="n">
        <f aca="false">E4587+F4587</f>
        <v>1.26</v>
      </c>
      <c r="H4587" s="20" t="n">
        <f aca="false">IF(G4587&lt;Parametres!$B$8*Parametres!$B$7,0,MIN(G4587,Parametres!$B$7))</f>
        <v>0</v>
      </c>
      <c r="I4587" s="20" t="n">
        <f aca="false">G4587-H4587</f>
        <v>1.26</v>
      </c>
      <c r="J4587" s="21" t="n">
        <f aca="false">H4587*1000/Parametres!$B$9</f>
        <v>0</v>
      </c>
    </row>
    <row r="4588" customFormat="false" ht="15" hidden="false" customHeight="false" outlineLevel="0" collapsed="false">
      <c r="A4588" s="0" t="n">
        <v>4584</v>
      </c>
      <c r="B4588" s="0" t="n">
        <v>7</v>
      </c>
      <c r="C4588" s="19" t="n">
        <v>0</v>
      </c>
      <c r="D4588" s="19" t="n">
        <v>0.0064</v>
      </c>
      <c r="E4588" s="20" t="n">
        <f aca="false">Parametres!$B$5*C4588</f>
        <v>0</v>
      </c>
      <c r="F4588" s="20" t="n">
        <f aca="false">Parametres!$B$6*D4588</f>
        <v>1.28</v>
      </c>
      <c r="G4588" s="20" t="n">
        <f aca="false">E4588+F4588</f>
        <v>1.28</v>
      </c>
      <c r="H4588" s="20" t="n">
        <f aca="false">IF(G4588&lt;Parametres!$B$8*Parametres!$B$7,0,MIN(G4588,Parametres!$B$7))</f>
        <v>0</v>
      </c>
      <c r="I4588" s="20" t="n">
        <f aca="false">G4588-H4588</f>
        <v>1.28</v>
      </c>
      <c r="J4588" s="21" t="n">
        <f aca="false">H4588*1000/Parametres!$B$9</f>
        <v>0</v>
      </c>
    </row>
    <row r="4589" customFormat="false" ht="15" hidden="false" customHeight="false" outlineLevel="0" collapsed="false">
      <c r="A4589" s="0" t="n">
        <v>4585</v>
      </c>
      <c r="B4589" s="0" t="n">
        <v>7</v>
      </c>
      <c r="C4589" s="19" t="n">
        <v>0</v>
      </c>
      <c r="D4589" s="19" t="n">
        <v>0.0093</v>
      </c>
      <c r="E4589" s="20" t="n">
        <f aca="false">Parametres!$B$5*C4589</f>
        <v>0</v>
      </c>
      <c r="F4589" s="20" t="n">
        <f aca="false">Parametres!$B$6*D4589</f>
        <v>1.86</v>
      </c>
      <c r="G4589" s="20" t="n">
        <f aca="false">E4589+F4589</f>
        <v>1.86</v>
      </c>
      <c r="H4589" s="20" t="n">
        <f aca="false">IF(G4589&lt;Parametres!$B$8*Parametres!$B$7,0,MIN(G4589,Parametres!$B$7))</f>
        <v>0</v>
      </c>
      <c r="I4589" s="20" t="n">
        <f aca="false">G4589-H4589</f>
        <v>1.86</v>
      </c>
      <c r="J4589" s="21" t="n">
        <f aca="false">H4589*1000/Parametres!$B$9</f>
        <v>0</v>
      </c>
    </row>
    <row r="4590" customFormat="false" ht="15" hidden="false" customHeight="false" outlineLevel="0" collapsed="false">
      <c r="A4590" s="0" t="n">
        <v>4586</v>
      </c>
      <c r="B4590" s="0" t="n">
        <v>7</v>
      </c>
      <c r="C4590" s="19" t="n">
        <v>0</v>
      </c>
      <c r="D4590" s="19" t="n">
        <v>0.0095</v>
      </c>
      <c r="E4590" s="20" t="n">
        <f aca="false">Parametres!$B$5*C4590</f>
        <v>0</v>
      </c>
      <c r="F4590" s="20" t="n">
        <f aca="false">Parametres!$B$6*D4590</f>
        <v>1.9</v>
      </c>
      <c r="G4590" s="20" t="n">
        <f aca="false">E4590+F4590</f>
        <v>1.9</v>
      </c>
      <c r="H4590" s="20" t="n">
        <f aca="false">IF(G4590&lt;Parametres!$B$8*Parametres!$B$7,0,MIN(G4590,Parametres!$B$7))</f>
        <v>0</v>
      </c>
      <c r="I4590" s="20" t="n">
        <f aca="false">G4590-H4590</f>
        <v>1.9</v>
      </c>
      <c r="J4590" s="21" t="n">
        <f aca="false">H4590*1000/Parametres!$B$9</f>
        <v>0</v>
      </c>
    </row>
    <row r="4591" customFormat="false" ht="15" hidden="false" customHeight="false" outlineLevel="0" collapsed="false">
      <c r="A4591" s="0" t="n">
        <v>4587</v>
      </c>
      <c r="B4591" s="0" t="n">
        <v>7</v>
      </c>
      <c r="C4591" s="19" t="n">
        <v>0</v>
      </c>
      <c r="D4591" s="19" t="n">
        <v>0.0196</v>
      </c>
      <c r="E4591" s="20" t="n">
        <f aca="false">Parametres!$B$5*C4591</f>
        <v>0</v>
      </c>
      <c r="F4591" s="20" t="n">
        <f aca="false">Parametres!$B$6*D4591</f>
        <v>3.92</v>
      </c>
      <c r="G4591" s="20" t="n">
        <f aca="false">E4591+F4591</f>
        <v>3.92</v>
      </c>
      <c r="H4591" s="20" t="n">
        <f aca="false">IF(G4591&lt;Parametres!$B$8*Parametres!$B$7,0,MIN(G4591,Parametres!$B$7))</f>
        <v>0</v>
      </c>
      <c r="I4591" s="20" t="n">
        <f aca="false">G4591-H4591</f>
        <v>3.92</v>
      </c>
      <c r="J4591" s="21" t="n">
        <f aca="false">H4591*1000/Parametres!$B$9</f>
        <v>0</v>
      </c>
    </row>
    <row r="4592" customFormat="false" ht="15" hidden="false" customHeight="false" outlineLevel="0" collapsed="false">
      <c r="A4592" s="0" t="n">
        <v>4588</v>
      </c>
      <c r="B4592" s="0" t="n">
        <v>7</v>
      </c>
      <c r="C4592" s="19" t="n">
        <v>0</v>
      </c>
      <c r="D4592" s="19" t="n">
        <v>0.0077</v>
      </c>
      <c r="E4592" s="20" t="n">
        <f aca="false">Parametres!$B$5*C4592</f>
        <v>0</v>
      </c>
      <c r="F4592" s="20" t="n">
        <f aca="false">Parametres!$B$6*D4592</f>
        <v>1.54</v>
      </c>
      <c r="G4592" s="20" t="n">
        <f aca="false">E4592+F4592</f>
        <v>1.54</v>
      </c>
      <c r="H4592" s="20" t="n">
        <f aca="false">IF(G4592&lt;Parametres!$B$8*Parametres!$B$7,0,MIN(G4592,Parametres!$B$7))</f>
        <v>0</v>
      </c>
      <c r="I4592" s="20" t="n">
        <f aca="false">G4592-H4592</f>
        <v>1.54</v>
      </c>
      <c r="J4592" s="21" t="n">
        <f aca="false">H4592*1000/Parametres!$B$9</f>
        <v>0</v>
      </c>
    </row>
    <row r="4593" customFormat="false" ht="15" hidden="false" customHeight="false" outlineLevel="0" collapsed="false">
      <c r="A4593" s="0" t="n">
        <v>4589</v>
      </c>
      <c r="B4593" s="0" t="n">
        <v>7</v>
      </c>
      <c r="C4593" s="19" t="n">
        <v>0</v>
      </c>
      <c r="D4593" s="19" t="n">
        <v>0.0006</v>
      </c>
      <c r="E4593" s="20" t="n">
        <f aca="false">Parametres!$B$5*C4593</f>
        <v>0</v>
      </c>
      <c r="F4593" s="20" t="n">
        <f aca="false">Parametres!$B$6*D4593</f>
        <v>0.12</v>
      </c>
      <c r="G4593" s="20" t="n">
        <f aca="false">E4593+F4593</f>
        <v>0.12</v>
      </c>
      <c r="H4593" s="20" t="n">
        <f aca="false">IF(G4593&lt;Parametres!$B$8*Parametres!$B$7,0,MIN(G4593,Parametres!$B$7))</f>
        <v>0</v>
      </c>
      <c r="I4593" s="20" t="n">
        <f aca="false">G4593-H4593</f>
        <v>0.12</v>
      </c>
      <c r="J4593" s="21" t="n">
        <f aca="false">H4593*1000/Parametres!$B$9</f>
        <v>0</v>
      </c>
    </row>
    <row r="4594" customFormat="false" ht="15" hidden="false" customHeight="false" outlineLevel="0" collapsed="false">
      <c r="A4594" s="0" t="n">
        <v>4590</v>
      </c>
      <c r="B4594" s="0" t="n">
        <v>7</v>
      </c>
      <c r="C4594" s="19" t="n">
        <v>0.0693</v>
      </c>
      <c r="D4594" s="19" t="n">
        <v>0.0018</v>
      </c>
      <c r="E4594" s="20" t="n">
        <f aca="false">Parametres!$B$5*C4594</f>
        <v>20.79</v>
      </c>
      <c r="F4594" s="20" t="n">
        <f aca="false">Parametres!$B$6*D4594</f>
        <v>0.36</v>
      </c>
      <c r="G4594" s="20" t="n">
        <f aca="false">E4594+F4594</f>
        <v>21.15</v>
      </c>
      <c r="H4594" s="20" t="n">
        <f aca="false">IF(G4594&lt;Parametres!$B$8*Parametres!$B$7,0,MIN(G4594,Parametres!$B$7))</f>
        <v>0</v>
      </c>
      <c r="I4594" s="20" t="n">
        <f aca="false">G4594-H4594</f>
        <v>21.15</v>
      </c>
      <c r="J4594" s="21" t="n">
        <f aca="false">H4594*1000/Parametres!$B$9</f>
        <v>0</v>
      </c>
    </row>
    <row r="4595" customFormat="false" ht="15" hidden="false" customHeight="false" outlineLevel="0" collapsed="false">
      <c r="A4595" s="0" t="n">
        <v>4591</v>
      </c>
      <c r="B4595" s="0" t="n">
        <v>7</v>
      </c>
      <c r="C4595" s="19" t="n">
        <v>0.3375</v>
      </c>
      <c r="D4595" s="19" t="n">
        <v>0.0017</v>
      </c>
      <c r="E4595" s="20" t="n">
        <f aca="false">Parametres!$B$5*C4595</f>
        <v>101.25</v>
      </c>
      <c r="F4595" s="20" t="n">
        <f aca="false">Parametres!$B$6*D4595</f>
        <v>0.34</v>
      </c>
      <c r="G4595" s="20" t="n">
        <f aca="false">E4595+F4595</f>
        <v>101.59</v>
      </c>
      <c r="H4595" s="20" t="n">
        <f aca="false">IF(G4595&lt;Parametres!$B$8*Parametres!$B$7,0,MIN(G4595,Parametres!$B$7))</f>
        <v>101.59</v>
      </c>
      <c r="I4595" s="20" t="n">
        <f aca="false">G4595-H4595</f>
        <v>0</v>
      </c>
      <c r="J4595" s="21" t="n">
        <f aca="false">H4595*1000/Parametres!$B$9</f>
        <v>1722.74037646261</v>
      </c>
    </row>
    <row r="4596" customFormat="false" ht="15" hidden="false" customHeight="false" outlineLevel="0" collapsed="false">
      <c r="A4596" s="0" t="n">
        <v>4592</v>
      </c>
      <c r="B4596" s="0" t="n">
        <v>7</v>
      </c>
      <c r="C4596" s="19" t="n">
        <v>0.6187</v>
      </c>
      <c r="D4596" s="19" t="n">
        <v>0.0009</v>
      </c>
      <c r="E4596" s="20" t="n">
        <f aca="false">Parametres!$B$5*C4596</f>
        <v>185.61</v>
      </c>
      <c r="F4596" s="20" t="n">
        <f aca="false">Parametres!$B$6*D4596</f>
        <v>0.18</v>
      </c>
      <c r="G4596" s="20" t="n">
        <f aca="false">E4596+F4596</f>
        <v>185.79</v>
      </c>
      <c r="H4596" s="20" t="n">
        <f aca="false">IF(G4596&lt;Parametres!$B$8*Parametres!$B$7,0,MIN(G4596,Parametres!$B$7))</f>
        <v>185.79</v>
      </c>
      <c r="I4596" s="20" t="n">
        <f aca="false">G4596-H4596</f>
        <v>0</v>
      </c>
      <c r="J4596" s="21" t="n">
        <f aca="false">H4596*1000/Parametres!$B$9</f>
        <v>3150.58504324233</v>
      </c>
    </row>
    <row r="4597" customFormat="false" ht="15" hidden="false" customHeight="false" outlineLevel="0" collapsed="false">
      <c r="A4597" s="0" t="n">
        <v>4593</v>
      </c>
      <c r="B4597" s="0" t="n">
        <v>7</v>
      </c>
      <c r="C4597" s="19" t="n">
        <v>0.8453</v>
      </c>
      <c r="D4597" s="19" t="n">
        <v>0.0111</v>
      </c>
      <c r="E4597" s="20" t="n">
        <f aca="false">Parametres!$B$5*C4597</f>
        <v>253.59</v>
      </c>
      <c r="F4597" s="20" t="n">
        <f aca="false">Parametres!$B$6*D4597</f>
        <v>2.22</v>
      </c>
      <c r="G4597" s="20" t="n">
        <f aca="false">E4597+F4597</f>
        <v>255.81</v>
      </c>
      <c r="H4597" s="20" t="n">
        <f aca="false">IF(G4597&lt;Parametres!$B$8*Parametres!$B$7,0,MIN(G4597,Parametres!$B$7))</f>
        <v>250</v>
      </c>
      <c r="I4597" s="20" t="n">
        <f aca="false">G4597-H4597</f>
        <v>5.81</v>
      </c>
      <c r="J4597" s="21" t="n">
        <f aca="false">H4597*1000/Parametres!$B$9</f>
        <v>4239.44378497541</v>
      </c>
    </row>
    <row r="4598" customFormat="false" ht="15" hidden="false" customHeight="false" outlineLevel="0" collapsed="false">
      <c r="A4598" s="0" t="n">
        <v>4594</v>
      </c>
      <c r="B4598" s="0" t="n">
        <v>7</v>
      </c>
      <c r="C4598" s="19" t="n">
        <v>1</v>
      </c>
      <c r="D4598" s="19" t="n">
        <v>0.0032</v>
      </c>
      <c r="E4598" s="20" t="n">
        <f aca="false">Parametres!$B$5*C4598</f>
        <v>300</v>
      </c>
      <c r="F4598" s="20" t="n">
        <f aca="false">Parametres!$B$6*D4598</f>
        <v>0.64</v>
      </c>
      <c r="G4598" s="20" t="n">
        <f aca="false">E4598+F4598</f>
        <v>300.64</v>
      </c>
      <c r="H4598" s="20" t="n">
        <f aca="false">IF(G4598&lt;Parametres!$B$8*Parametres!$B$7,0,MIN(G4598,Parametres!$B$7))</f>
        <v>250</v>
      </c>
      <c r="I4598" s="20" t="n">
        <f aca="false">G4598-H4598</f>
        <v>50.64</v>
      </c>
      <c r="J4598" s="21" t="n">
        <f aca="false">H4598*1000/Parametres!$B$9</f>
        <v>4239.44378497541</v>
      </c>
    </row>
    <row r="4599" customFormat="false" ht="15" hidden="false" customHeight="false" outlineLevel="0" collapsed="false">
      <c r="A4599" s="0" t="n">
        <v>4595</v>
      </c>
      <c r="B4599" s="0" t="n">
        <v>7</v>
      </c>
      <c r="C4599" s="19" t="n">
        <v>1</v>
      </c>
      <c r="D4599" s="19" t="n">
        <v>0.0034</v>
      </c>
      <c r="E4599" s="20" t="n">
        <f aca="false">Parametres!$B$5*C4599</f>
        <v>300</v>
      </c>
      <c r="F4599" s="20" t="n">
        <f aca="false">Parametres!$B$6*D4599</f>
        <v>0.68</v>
      </c>
      <c r="G4599" s="20" t="n">
        <f aca="false">E4599+F4599</f>
        <v>300.68</v>
      </c>
      <c r="H4599" s="20" t="n">
        <f aca="false">IF(G4599&lt;Parametres!$B$8*Parametres!$B$7,0,MIN(G4599,Parametres!$B$7))</f>
        <v>250</v>
      </c>
      <c r="I4599" s="20" t="n">
        <f aca="false">G4599-H4599</f>
        <v>50.68</v>
      </c>
      <c r="J4599" s="21" t="n">
        <f aca="false">H4599*1000/Parametres!$B$9</f>
        <v>4239.44378497541</v>
      </c>
    </row>
    <row r="4600" customFormat="false" ht="15" hidden="false" customHeight="false" outlineLevel="0" collapsed="false">
      <c r="A4600" s="0" t="n">
        <v>4596</v>
      </c>
      <c r="B4600" s="0" t="n">
        <v>7</v>
      </c>
      <c r="C4600" s="19" t="n">
        <v>1</v>
      </c>
      <c r="D4600" s="19" t="n">
        <v>0.0131</v>
      </c>
      <c r="E4600" s="20" t="n">
        <f aca="false">Parametres!$B$5*C4600</f>
        <v>300</v>
      </c>
      <c r="F4600" s="20" t="n">
        <f aca="false">Parametres!$B$6*D4600</f>
        <v>2.62</v>
      </c>
      <c r="G4600" s="20" t="n">
        <f aca="false">E4600+F4600</f>
        <v>302.62</v>
      </c>
      <c r="H4600" s="20" t="n">
        <f aca="false">IF(G4600&lt;Parametres!$B$8*Parametres!$B$7,0,MIN(G4600,Parametres!$B$7))</f>
        <v>250</v>
      </c>
      <c r="I4600" s="20" t="n">
        <f aca="false">G4600-H4600</f>
        <v>52.62</v>
      </c>
      <c r="J4600" s="21" t="n">
        <f aca="false">H4600*1000/Parametres!$B$9</f>
        <v>4239.44378497541</v>
      </c>
    </row>
    <row r="4601" customFormat="false" ht="15" hidden="false" customHeight="false" outlineLevel="0" collapsed="false">
      <c r="A4601" s="0" t="n">
        <v>4597</v>
      </c>
      <c r="B4601" s="0" t="n">
        <v>7</v>
      </c>
      <c r="C4601" s="19" t="n">
        <v>1</v>
      </c>
      <c r="D4601" s="19" t="n">
        <v>0.0143</v>
      </c>
      <c r="E4601" s="20" t="n">
        <f aca="false">Parametres!$B$5*C4601</f>
        <v>300</v>
      </c>
      <c r="F4601" s="20" t="n">
        <f aca="false">Parametres!$B$6*D4601</f>
        <v>2.86</v>
      </c>
      <c r="G4601" s="20" t="n">
        <f aca="false">E4601+F4601</f>
        <v>302.86</v>
      </c>
      <c r="H4601" s="20" t="n">
        <f aca="false">IF(G4601&lt;Parametres!$B$8*Parametres!$B$7,0,MIN(G4601,Parametres!$B$7))</f>
        <v>250</v>
      </c>
      <c r="I4601" s="20" t="n">
        <f aca="false">G4601-H4601</f>
        <v>52.86</v>
      </c>
      <c r="J4601" s="21" t="n">
        <f aca="false">H4601*1000/Parametres!$B$9</f>
        <v>4239.44378497541</v>
      </c>
    </row>
    <row r="4602" customFormat="false" ht="15" hidden="false" customHeight="false" outlineLevel="0" collapsed="false">
      <c r="A4602" s="0" t="n">
        <v>4598</v>
      </c>
      <c r="B4602" s="0" t="n">
        <v>7</v>
      </c>
      <c r="C4602" s="19" t="n">
        <v>1</v>
      </c>
      <c r="D4602" s="19" t="n">
        <v>0.0122</v>
      </c>
      <c r="E4602" s="20" t="n">
        <f aca="false">Parametres!$B$5*C4602</f>
        <v>300</v>
      </c>
      <c r="F4602" s="20" t="n">
        <f aca="false">Parametres!$B$6*D4602</f>
        <v>2.44</v>
      </c>
      <c r="G4602" s="20" t="n">
        <f aca="false">E4602+F4602</f>
        <v>302.44</v>
      </c>
      <c r="H4602" s="20" t="n">
        <f aca="false">IF(G4602&lt;Parametres!$B$8*Parametres!$B$7,0,MIN(G4602,Parametres!$B$7))</f>
        <v>250</v>
      </c>
      <c r="I4602" s="20" t="n">
        <f aca="false">G4602-H4602</f>
        <v>52.44</v>
      </c>
      <c r="J4602" s="21" t="n">
        <f aca="false">H4602*1000/Parametres!$B$9</f>
        <v>4239.44378497541</v>
      </c>
    </row>
    <row r="4603" customFormat="false" ht="15" hidden="false" customHeight="false" outlineLevel="0" collapsed="false">
      <c r="A4603" s="0" t="n">
        <v>4599</v>
      </c>
      <c r="B4603" s="0" t="n">
        <v>7</v>
      </c>
      <c r="C4603" s="19" t="n">
        <v>1</v>
      </c>
      <c r="D4603" s="19" t="n">
        <v>0.0198</v>
      </c>
      <c r="E4603" s="20" t="n">
        <f aca="false">Parametres!$B$5*C4603</f>
        <v>300</v>
      </c>
      <c r="F4603" s="20" t="n">
        <f aca="false">Parametres!$B$6*D4603</f>
        <v>3.96</v>
      </c>
      <c r="G4603" s="20" t="n">
        <f aca="false">E4603+F4603</f>
        <v>303.96</v>
      </c>
      <c r="H4603" s="20" t="n">
        <f aca="false">IF(G4603&lt;Parametres!$B$8*Parametres!$B$7,0,MIN(G4603,Parametres!$B$7))</f>
        <v>250</v>
      </c>
      <c r="I4603" s="20" t="n">
        <f aca="false">G4603-H4603</f>
        <v>53.96</v>
      </c>
      <c r="J4603" s="21" t="n">
        <f aca="false">H4603*1000/Parametres!$B$9</f>
        <v>4239.44378497541</v>
      </c>
    </row>
    <row r="4604" customFormat="false" ht="15" hidden="false" customHeight="false" outlineLevel="0" collapsed="false">
      <c r="A4604" s="0" t="n">
        <v>4600</v>
      </c>
      <c r="B4604" s="0" t="n">
        <v>7</v>
      </c>
      <c r="C4604" s="19" t="n">
        <v>0.8838</v>
      </c>
      <c r="D4604" s="19" t="n">
        <v>0.0164</v>
      </c>
      <c r="E4604" s="20" t="n">
        <f aca="false">Parametres!$B$5*C4604</f>
        <v>265.14</v>
      </c>
      <c r="F4604" s="20" t="n">
        <f aca="false">Parametres!$B$6*D4604</f>
        <v>3.28</v>
      </c>
      <c r="G4604" s="20" t="n">
        <f aca="false">E4604+F4604</f>
        <v>268.42</v>
      </c>
      <c r="H4604" s="20" t="n">
        <f aca="false">IF(G4604&lt;Parametres!$B$8*Parametres!$B$7,0,MIN(G4604,Parametres!$B$7))</f>
        <v>250</v>
      </c>
      <c r="I4604" s="20" t="n">
        <f aca="false">G4604-H4604</f>
        <v>18.42</v>
      </c>
      <c r="J4604" s="21" t="n">
        <f aca="false">H4604*1000/Parametres!$B$9</f>
        <v>4239.44378497541</v>
      </c>
    </row>
    <row r="4605" customFormat="false" ht="15" hidden="false" customHeight="false" outlineLevel="0" collapsed="false">
      <c r="A4605" s="0" t="n">
        <v>4601</v>
      </c>
      <c r="B4605" s="0" t="n">
        <v>7</v>
      </c>
      <c r="C4605" s="19" t="n">
        <v>0.5891</v>
      </c>
      <c r="D4605" s="19" t="n">
        <v>0.0026</v>
      </c>
      <c r="E4605" s="20" t="n">
        <f aca="false">Parametres!$B$5*C4605</f>
        <v>176.73</v>
      </c>
      <c r="F4605" s="20" t="n">
        <f aca="false">Parametres!$B$6*D4605</f>
        <v>0.52</v>
      </c>
      <c r="G4605" s="20" t="n">
        <f aca="false">E4605+F4605</f>
        <v>177.25</v>
      </c>
      <c r="H4605" s="20" t="n">
        <f aca="false">IF(G4605&lt;Parametres!$B$8*Parametres!$B$7,0,MIN(G4605,Parametres!$B$7))</f>
        <v>177.25</v>
      </c>
      <c r="I4605" s="20" t="n">
        <f aca="false">G4605-H4605</f>
        <v>0</v>
      </c>
      <c r="J4605" s="21" t="n">
        <f aca="false">H4605*1000/Parametres!$B$9</f>
        <v>3005.76564354757</v>
      </c>
    </row>
    <row r="4606" customFormat="false" ht="15" hidden="false" customHeight="false" outlineLevel="0" collapsed="false">
      <c r="A4606" s="0" t="n">
        <v>4602</v>
      </c>
      <c r="B4606" s="0" t="n">
        <v>7</v>
      </c>
      <c r="C4606" s="19" t="n">
        <v>0.348</v>
      </c>
      <c r="D4606" s="19" t="n">
        <v>0.0002</v>
      </c>
      <c r="E4606" s="20" t="n">
        <f aca="false">Parametres!$B$5*C4606</f>
        <v>104.4</v>
      </c>
      <c r="F4606" s="20" t="n">
        <f aca="false">Parametres!$B$6*D4606</f>
        <v>0.04</v>
      </c>
      <c r="G4606" s="20" t="n">
        <f aca="false">E4606+F4606</f>
        <v>104.44</v>
      </c>
      <c r="H4606" s="20" t="n">
        <f aca="false">IF(G4606&lt;Parametres!$B$8*Parametres!$B$7,0,MIN(G4606,Parametres!$B$7))</f>
        <v>104.44</v>
      </c>
      <c r="I4606" s="20" t="n">
        <f aca="false">G4606-H4606</f>
        <v>0</v>
      </c>
      <c r="J4606" s="21" t="n">
        <f aca="false">H4606*1000/Parametres!$B$9</f>
        <v>1771.07003561133</v>
      </c>
    </row>
    <row r="4607" customFormat="false" ht="15" hidden="false" customHeight="false" outlineLevel="0" collapsed="false">
      <c r="A4607" s="0" t="n">
        <v>4603</v>
      </c>
      <c r="B4607" s="0" t="n">
        <v>7</v>
      </c>
      <c r="C4607" s="19" t="n">
        <v>0.0664</v>
      </c>
      <c r="D4607" s="19" t="n">
        <v>0.0011</v>
      </c>
      <c r="E4607" s="20" t="n">
        <f aca="false">Parametres!$B$5*C4607</f>
        <v>19.92</v>
      </c>
      <c r="F4607" s="20" t="n">
        <f aca="false">Parametres!$B$6*D4607</f>
        <v>0.22</v>
      </c>
      <c r="G4607" s="20" t="n">
        <f aca="false">E4607+F4607</f>
        <v>20.14</v>
      </c>
      <c r="H4607" s="20" t="n">
        <f aca="false">IF(G4607&lt;Parametres!$B$8*Parametres!$B$7,0,MIN(G4607,Parametres!$B$7))</f>
        <v>0</v>
      </c>
      <c r="I4607" s="20" t="n">
        <f aca="false">G4607-H4607</f>
        <v>20.14</v>
      </c>
      <c r="J4607" s="21" t="n">
        <f aca="false">H4607*1000/Parametres!$B$9</f>
        <v>0</v>
      </c>
    </row>
    <row r="4608" customFormat="false" ht="15" hidden="false" customHeight="false" outlineLevel="0" collapsed="false">
      <c r="A4608" s="0" t="n">
        <v>4604</v>
      </c>
      <c r="B4608" s="0" t="n">
        <v>7</v>
      </c>
      <c r="C4608" s="19" t="n">
        <v>0</v>
      </c>
      <c r="D4608" s="19" t="n">
        <v>0.0031</v>
      </c>
      <c r="E4608" s="20" t="n">
        <f aca="false">Parametres!$B$5*C4608</f>
        <v>0</v>
      </c>
      <c r="F4608" s="20" t="n">
        <f aca="false">Parametres!$B$6*D4608</f>
        <v>0.62</v>
      </c>
      <c r="G4608" s="20" t="n">
        <f aca="false">E4608+F4608</f>
        <v>0.62</v>
      </c>
      <c r="H4608" s="20" t="n">
        <f aca="false">IF(G4608&lt;Parametres!$B$8*Parametres!$B$7,0,MIN(G4608,Parametres!$B$7))</f>
        <v>0</v>
      </c>
      <c r="I4608" s="20" t="n">
        <f aca="false">G4608-H4608</f>
        <v>0.62</v>
      </c>
      <c r="J4608" s="21" t="n">
        <f aca="false">H4608*1000/Parametres!$B$9</f>
        <v>0</v>
      </c>
    </row>
    <row r="4609" customFormat="false" ht="15" hidden="false" customHeight="false" outlineLevel="0" collapsed="false">
      <c r="A4609" s="0" t="n">
        <v>4605</v>
      </c>
      <c r="B4609" s="0" t="n">
        <v>7</v>
      </c>
      <c r="C4609" s="19" t="n">
        <v>0</v>
      </c>
      <c r="D4609" s="19" t="n">
        <v>0.0003</v>
      </c>
      <c r="E4609" s="20" t="n">
        <f aca="false">Parametres!$B$5*C4609</f>
        <v>0</v>
      </c>
      <c r="F4609" s="20" t="n">
        <f aca="false">Parametres!$B$6*D4609</f>
        <v>0.06</v>
      </c>
      <c r="G4609" s="20" t="n">
        <f aca="false">E4609+F4609</f>
        <v>0.06</v>
      </c>
      <c r="H4609" s="20" t="n">
        <f aca="false">IF(G4609&lt;Parametres!$B$8*Parametres!$B$7,0,MIN(G4609,Parametres!$B$7))</f>
        <v>0</v>
      </c>
      <c r="I4609" s="20" t="n">
        <f aca="false">G4609-H4609</f>
        <v>0.06</v>
      </c>
      <c r="J4609" s="21" t="n">
        <f aca="false">H4609*1000/Parametres!$B$9</f>
        <v>0</v>
      </c>
    </row>
    <row r="4610" customFormat="false" ht="15" hidden="false" customHeight="false" outlineLevel="0" collapsed="false">
      <c r="A4610" s="0" t="n">
        <v>4606</v>
      </c>
      <c r="B4610" s="0" t="n">
        <v>7</v>
      </c>
      <c r="C4610" s="19" t="n">
        <v>0</v>
      </c>
      <c r="D4610" s="19" t="n">
        <v>0.0005</v>
      </c>
      <c r="E4610" s="20" t="n">
        <f aca="false">Parametres!$B$5*C4610</f>
        <v>0</v>
      </c>
      <c r="F4610" s="20" t="n">
        <f aca="false">Parametres!$B$6*D4610</f>
        <v>0.1</v>
      </c>
      <c r="G4610" s="20" t="n">
        <f aca="false">E4610+F4610</f>
        <v>0.1</v>
      </c>
      <c r="H4610" s="20" t="n">
        <f aca="false">IF(G4610&lt;Parametres!$B$8*Parametres!$B$7,0,MIN(G4610,Parametres!$B$7))</f>
        <v>0</v>
      </c>
      <c r="I4610" s="20" t="n">
        <f aca="false">G4610-H4610</f>
        <v>0.1</v>
      </c>
      <c r="J4610" s="21" t="n">
        <f aca="false">H4610*1000/Parametres!$B$9</f>
        <v>0</v>
      </c>
    </row>
    <row r="4611" customFormat="false" ht="15" hidden="false" customHeight="false" outlineLevel="0" collapsed="false">
      <c r="A4611" s="0" t="n">
        <v>4607</v>
      </c>
      <c r="B4611" s="0" t="n">
        <v>7</v>
      </c>
      <c r="C4611" s="19" t="n">
        <v>0</v>
      </c>
      <c r="D4611" s="19" t="n">
        <v>0.0014</v>
      </c>
      <c r="E4611" s="20" t="n">
        <f aca="false">Parametres!$B$5*C4611</f>
        <v>0</v>
      </c>
      <c r="F4611" s="20" t="n">
        <f aca="false">Parametres!$B$6*D4611</f>
        <v>0.28</v>
      </c>
      <c r="G4611" s="20" t="n">
        <f aca="false">E4611+F4611</f>
        <v>0.28</v>
      </c>
      <c r="H4611" s="20" t="n">
        <f aca="false">IF(G4611&lt;Parametres!$B$8*Parametres!$B$7,0,MIN(G4611,Parametres!$B$7))</f>
        <v>0</v>
      </c>
      <c r="I4611" s="20" t="n">
        <f aca="false">G4611-H4611</f>
        <v>0.28</v>
      </c>
      <c r="J4611" s="21" t="n">
        <f aca="false">H4611*1000/Parametres!$B$9</f>
        <v>0</v>
      </c>
    </row>
    <row r="4612" customFormat="false" ht="15" hidden="false" customHeight="false" outlineLevel="0" collapsed="false">
      <c r="A4612" s="0" t="n">
        <v>4608</v>
      </c>
      <c r="B4612" s="0" t="n">
        <v>7</v>
      </c>
      <c r="C4612" s="19" t="n">
        <v>0</v>
      </c>
      <c r="D4612" s="19" t="n">
        <v>0.0031</v>
      </c>
      <c r="E4612" s="20" t="n">
        <f aca="false">Parametres!$B$5*C4612</f>
        <v>0</v>
      </c>
      <c r="F4612" s="20" t="n">
        <f aca="false">Parametres!$B$6*D4612</f>
        <v>0.62</v>
      </c>
      <c r="G4612" s="20" t="n">
        <f aca="false">E4612+F4612</f>
        <v>0.62</v>
      </c>
      <c r="H4612" s="20" t="n">
        <f aca="false">IF(G4612&lt;Parametres!$B$8*Parametres!$B$7,0,MIN(G4612,Parametres!$B$7))</f>
        <v>0</v>
      </c>
      <c r="I4612" s="20" t="n">
        <f aca="false">G4612-H4612</f>
        <v>0.62</v>
      </c>
      <c r="J4612" s="21" t="n">
        <f aca="false">H4612*1000/Parametres!$B$9</f>
        <v>0</v>
      </c>
    </row>
    <row r="4613" customFormat="false" ht="15" hidden="false" customHeight="false" outlineLevel="0" collapsed="false">
      <c r="A4613" s="0" t="n">
        <v>4609</v>
      </c>
      <c r="B4613" s="0" t="n">
        <v>7</v>
      </c>
      <c r="C4613" s="19" t="n">
        <v>0</v>
      </c>
      <c r="D4613" s="19" t="n">
        <v>0.0127</v>
      </c>
      <c r="E4613" s="20" t="n">
        <f aca="false">Parametres!$B$5*C4613</f>
        <v>0</v>
      </c>
      <c r="F4613" s="20" t="n">
        <f aca="false">Parametres!$B$6*D4613</f>
        <v>2.54</v>
      </c>
      <c r="G4613" s="20" t="n">
        <f aca="false">E4613+F4613</f>
        <v>2.54</v>
      </c>
      <c r="H4613" s="20" t="n">
        <f aca="false">IF(G4613&lt;Parametres!$B$8*Parametres!$B$7,0,MIN(G4613,Parametres!$B$7))</f>
        <v>0</v>
      </c>
      <c r="I4613" s="20" t="n">
        <f aca="false">G4613-H4613</f>
        <v>2.54</v>
      </c>
      <c r="J4613" s="21" t="n">
        <f aca="false">H4613*1000/Parametres!$B$9</f>
        <v>0</v>
      </c>
    </row>
    <row r="4614" customFormat="false" ht="15" hidden="false" customHeight="false" outlineLevel="0" collapsed="false">
      <c r="A4614" s="0" t="n">
        <v>4610</v>
      </c>
      <c r="B4614" s="0" t="n">
        <v>7</v>
      </c>
      <c r="C4614" s="19" t="n">
        <v>0</v>
      </c>
      <c r="D4614" s="19" t="n">
        <v>0.0246</v>
      </c>
      <c r="E4614" s="20" t="n">
        <f aca="false">Parametres!$B$5*C4614</f>
        <v>0</v>
      </c>
      <c r="F4614" s="20" t="n">
        <f aca="false">Parametres!$B$6*D4614</f>
        <v>4.92</v>
      </c>
      <c r="G4614" s="20" t="n">
        <f aca="false">E4614+F4614</f>
        <v>4.92</v>
      </c>
      <c r="H4614" s="20" t="n">
        <f aca="false">IF(G4614&lt;Parametres!$B$8*Parametres!$B$7,0,MIN(G4614,Parametres!$B$7))</f>
        <v>0</v>
      </c>
      <c r="I4614" s="20" t="n">
        <f aca="false">G4614-H4614</f>
        <v>4.92</v>
      </c>
      <c r="J4614" s="21" t="n">
        <f aca="false">H4614*1000/Parametres!$B$9</f>
        <v>0</v>
      </c>
    </row>
    <row r="4615" customFormat="false" ht="15" hidden="false" customHeight="false" outlineLevel="0" collapsed="false">
      <c r="A4615" s="0" t="n">
        <v>4611</v>
      </c>
      <c r="B4615" s="0" t="n">
        <v>7</v>
      </c>
      <c r="C4615" s="19" t="n">
        <v>0</v>
      </c>
      <c r="D4615" s="19" t="n">
        <v>0.0213</v>
      </c>
      <c r="E4615" s="20" t="n">
        <f aca="false">Parametres!$B$5*C4615</f>
        <v>0</v>
      </c>
      <c r="F4615" s="20" t="n">
        <f aca="false">Parametres!$B$6*D4615</f>
        <v>4.26</v>
      </c>
      <c r="G4615" s="20" t="n">
        <f aca="false">E4615+F4615</f>
        <v>4.26</v>
      </c>
      <c r="H4615" s="20" t="n">
        <f aca="false">IF(G4615&lt;Parametres!$B$8*Parametres!$B$7,0,MIN(G4615,Parametres!$B$7))</f>
        <v>0</v>
      </c>
      <c r="I4615" s="20" t="n">
        <f aca="false">G4615-H4615</f>
        <v>4.26</v>
      </c>
      <c r="J4615" s="21" t="n">
        <f aca="false">H4615*1000/Parametres!$B$9</f>
        <v>0</v>
      </c>
    </row>
    <row r="4616" customFormat="false" ht="15" hidden="false" customHeight="false" outlineLevel="0" collapsed="false">
      <c r="A4616" s="0" t="n">
        <v>4612</v>
      </c>
      <c r="B4616" s="0" t="n">
        <v>7</v>
      </c>
      <c r="C4616" s="19" t="n">
        <v>0</v>
      </c>
      <c r="D4616" s="19" t="n">
        <v>0.0167</v>
      </c>
      <c r="E4616" s="20" t="n">
        <f aca="false">Parametres!$B$5*C4616</f>
        <v>0</v>
      </c>
      <c r="F4616" s="20" t="n">
        <f aca="false">Parametres!$B$6*D4616</f>
        <v>3.34</v>
      </c>
      <c r="G4616" s="20" t="n">
        <f aca="false">E4616+F4616</f>
        <v>3.34</v>
      </c>
      <c r="H4616" s="20" t="n">
        <f aca="false">IF(G4616&lt;Parametres!$B$8*Parametres!$B$7,0,MIN(G4616,Parametres!$B$7))</f>
        <v>0</v>
      </c>
      <c r="I4616" s="20" t="n">
        <f aca="false">G4616-H4616</f>
        <v>3.34</v>
      </c>
      <c r="J4616" s="21" t="n">
        <f aca="false">H4616*1000/Parametres!$B$9</f>
        <v>0</v>
      </c>
    </row>
    <row r="4617" customFormat="false" ht="15" hidden="false" customHeight="false" outlineLevel="0" collapsed="false">
      <c r="A4617" s="0" t="n">
        <v>4613</v>
      </c>
      <c r="B4617" s="0" t="n">
        <v>7</v>
      </c>
      <c r="C4617" s="19" t="n">
        <v>0</v>
      </c>
      <c r="D4617" s="19" t="n">
        <v>0.0281</v>
      </c>
      <c r="E4617" s="20" t="n">
        <f aca="false">Parametres!$B$5*C4617</f>
        <v>0</v>
      </c>
      <c r="F4617" s="20" t="n">
        <f aca="false">Parametres!$B$6*D4617</f>
        <v>5.62</v>
      </c>
      <c r="G4617" s="20" t="n">
        <f aca="false">E4617+F4617</f>
        <v>5.62</v>
      </c>
      <c r="H4617" s="20" t="n">
        <f aca="false">IF(G4617&lt;Parametres!$B$8*Parametres!$B$7,0,MIN(G4617,Parametres!$B$7))</f>
        <v>0</v>
      </c>
      <c r="I4617" s="20" t="n">
        <f aca="false">G4617-H4617</f>
        <v>5.62</v>
      </c>
      <c r="J4617" s="21" t="n">
        <f aca="false">H4617*1000/Parametres!$B$9</f>
        <v>0</v>
      </c>
    </row>
    <row r="4618" customFormat="false" ht="15" hidden="false" customHeight="false" outlineLevel="0" collapsed="false">
      <c r="A4618" s="0" t="n">
        <v>4614</v>
      </c>
      <c r="B4618" s="0" t="n">
        <v>7</v>
      </c>
      <c r="C4618" s="19" t="n">
        <v>0.0681</v>
      </c>
      <c r="D4618" s="19" t="n">
        <v>0.0123</v>
      </c>
      <c r="E4618" s="20" t="n">
        <f aca="false">Parametres!$B$5*C4618</f>
        <v>20.43</v>
      </c>
      <c r="F4618" s="20" t="n">
        <f aca="false">Parametres!$B$6*D4618</f>
        <v>2.46</v>
      </c>
      <c r="G4618" s="20" t="n">
        <f aca="false">E4618+F4618</f>
        <v>22.89</v>
      </c>
      <c r="H4618" s="20" t="n">
        <f aca="false">IF(G4618&lt;Parametres!$B$8*Parametres!$B$7,0,MIN(G4618,Parametres!$B$7))</f>
        <v>0</v>
      </c>
      <c r="I4618" s="20" t="n">
        <f aca="false">G4618-H4618</f>
        <v>22.89</v>
      </c>
      <c r="J4618" s="21" t="n">
        <f aca="false">H4618*1000/Parametres!$B$9</f>
        <v>0</v>
      </c>
    </row>
    <row r="4619" customFormat="false" ht="15" hidden="false" customHeight="false" outlineLevel="0" collapsed="false">
      <c r="A4619" s="0" t="n">
        <v>4615</v>
      </c>
      <c r="B4619" s="0" t="n">
        <v>7</v>
      </c>
      <c r="C4619" s="19" t="n">
        <v>0.3461</v>
      </c>
      <c r="D4619" s="19" t="n">
        <v>0.0026</v>
      </c>
      <c r="E4619" s="20" t="n">
        <f aca="false">Parametres!$B$5*C4619</f>
        <v>103.83</v>
      </c>
      <c r="F4619" s="20" t="n">
        <f aca="false">Parametres!$B$6*D4619</f>
        <v>0.52</v>
      </c>
      <c r="G4619" s="20" t="n">
        <f aca="false">E4619+F4619</f>
        <v>104.35</v>
      </c>
      <c r="H4619" s="20" t="n">
        <f aca="false">IF(G4619&lt;Parametres!$B$8*Parametres!$B$7,0,MIN(G4619,Parametres!$B$7))</f>
        <v>104.35</v>
      </c>
      <c r="I4619" s="20" t="n">
        <f aca="false">G4619-H4619</f>
        <v>0</v>
      </c>
      <c r="J4619" s="21" t="n">
        <f aca="false">H4619*1000/Parametres!$B$9</f>
        <v>1769.54383584874</v>
      </c>
    </row>
    <row r="4620" customFormat="false" ht="15" hidden="false" customHeight="false" outlineLevel="0" collapsed="false">
      <c r="A4620" s="0" t="n">
        <v>4616</v>
      </c>
      <c r="B4620" s="0" t="n">
        <v>7</v>
      </c>
      <c r="C4620" s="19" t="n">
        <v>0.5854</v>
      </c>
      <c r="D4620" s="19" t="n">
        <v>0.0086</v>
      </c>
      <c r="E4620" s="20" t="n">
        <f aca="false">Parametres!$B$5*C4620</f>
        <v>175.62</v>
      </c>
      <c r="F4620" s="20" t="n">
        <f aca="false">Parametres!$B$6*D4620</f>
        <v>1.72</v>
      </c>
      <c r="G4620" s="20" t="n">
        <f aca="false">E4620+F4620</f>
        <v>177.34</v>
      </c>
      <c r="H4620" s="20" t="n">
        <f aca="false">IF(G4620&lt;Parametres!$B$8*Parametres!$B$7,0,MIN(G4620,Parametres!$B$7))</f>
        <v>177.34</v>
      </c>
      <c r="I4620" s="20" t="n">
        <f aca="false">G4620-H4620</f>
        <v>0</v>
      </c>
      <c r="J4620" s="21" t="n">
        <f aca="false">H4620*1000/Parametres!$B$9</f>
        <v>3007.29184331016</v>
      </c>
    </row>
    <row r="4621" customFormat="false" ht="15" hidden="false" customHeight="false" outlineLevel="0" collapsed="false">
      <c r="A4621" s="0" t="n">
        <v>4617</v>
      </c>
      <c r="B4621" s="0" t="n">
        <v>7</v>
      </c>
      <c r="C4621" s="19" t="n">
        <v>0.8585</v>
      </c>
      <c r="D4621" s="19" t="n">
        <v>0.0283</v>
      </c>
      <c r="E4621" s="20" t="n">
        <f aca="false">Parametres!$B$5*C4621</f>
        <v>257.55</v>
      </c>
      <c r="F4621" s="20" t="n">
        <f aca="false">Parametres!$B$6*D4621</f>
        <v>5.66</v>
      </c>
      <c r="G4621" s="20" t="n">
        <f aca="false">E4621+F4621</f>
        <v>263.21</v>
      </c>
      <c r="H4621" s="20" t="n">
        <f aca="false">IF(G4621&lt;Parametres!$B$8*Parametres!$B$7,0,MIN(G4621,Parametres!$B$7))</f>
        <v>250</v>
      </c>
      <c r="I4621" s="20" t="n">
        <f aca="false">G4621-H4621</f>
        <v>13.21</v>
      </c>
      <c r="J4621" s="21" t="n">
        <f aca="false">H4621*1000/Parametres!$B$9</f>
        <v>4239.44378497541</v>
      </c>
    </row>
    <row r="4622" customFormat="false" ht="15" hidden="false" customHeight="false" outlineLevel="0" collapsed="false">
      <c r="A4622" s="0" t="n">
        <v>4618</v>
      </c>
      <c r="B4622" s="0" t="n">
        <v>7</v>
      </c>
      <c r="C4622" s="19" t="n">
        <v>1</v>
      </c>
      <c r="D4622" s="19" t="n">
        <v>0.0528</v>
      </c>
      <c r="E4622" s="20" t="n">
        <f aca="false">Parametres!$B$5*C4622</f>
        <v>300</v>
      </c>
      <c r="F4622" s="20" t="n">
        <f aca="false">Parametres!$B$6*D4622</f>
        <v>10.56</v>
      </c>
      <c r="G4622" s="20" t="n">
        <f aca="false">E4622+F4622</f>
        <v>310.56</v>
      </c>
      <c r="H4622" s="20" t="n">
        <f aca="false">IF(G4622&lt;Parametres!$B$8*Parametres!$B$7,0,MIN(G4622,Parametres!$B$7))</f>
        <v>250</v>
      </c>
      <c r="I4622" s="20" t="n">
        <f aca="false">G4622-H4622</f>
        <v>60.56</v>
      </c>
      <c r="J4622" s="21" t="n">
        <f aca="false">H4622*1000/Parametres!$B$9</f>
        <v>4239.44378497541</v>
      </c>
    </row>
    <row r="4623" customFormat="false" ht="15" hidden="false" customHeight="false" outlineLevel="0" collapsed="false">
      <c r="A4623" s="0" t="n">
        <v>4619</v>
      </c>
      <c r="B4623" s="0" t="n">
        <v>7</v>
      </c>
      <c r="C4623" s="19" t="n">
        <v>1</v>
      </c>
      <c r="D4623" s="19" t="n">
        <v>0.0778</v>
      </c>
      <c r="E4623" s="20" t="n">
        <f aca="false">Parametres!$B$5*C4623</f>
        <v>300</v>
      </c>
      <c r="F4623" s="20" t="n">
        <f aca="false">Parametres!$B$6*D4623</f>
        <v>15.56</v>
      </c>
      <c r="G4623" s="20" t="n">
        <f aca="false">E4623+F4623</f>
        <v>315.56</v>
      </c>
      <c r="H4623" s="20" t="n">
        <f aca="false">IF(G4623&lt;Parametres!$B$8*Parametres!$B$7,0,MIN(G4623,Parametres!$B$7))</f>
        <v>250</v>
      </c>
      <c r="I4623" s="20" t="n">
        <f aca="false">G4623-H4623</f>
        <v>65.56</v>
      </c>
      <c r="J4623" s="21" t="n">
        <f aca="false">H4623*1000/Parametres!$B$9</f>
        <v>4239.44378497541</v>
      </c>
    </row>
    <row r="4624" customFormat="false" ht="15" hidden="false" customHeight="false" outlineLevel="0" collapsed="false">
      <c r="A4624" s="0" t="n">
        <v>4620</v>
      </c>
      <c r="B4624" s="0" t="n">
        <v>7</v>
      </c>
      <c r="C4624" s="19" t="n">
        <v>1</v>
      </c>
      <c r="D4624" s="19" t="n">
        <v>0.0345</v>
      </c>
      <c r="E4624" s="20" t="n">
        <f aca="false">Parametres!$B$5*C4624</f>
        <v>300</v>
      </c>
      <c r="F4624" s="20" t="n">
        <f aca="false">Parametres!$B$6*D4624</f>
        <v>6.9</v>
      </c>
      <c r="G4624" s="20" t="n">
        <f aca="false">E4624+F4624</f>
        <v>306.9</v>
      </c>
      <c r="H4624" s="20" t="n">
        <f aca="false">IF(G4624&lt;Parametres!$B$8*Parametres!$B$7,0,MIN(G4624,Parametres!$B$7))</f>
        <v>250</v>
      </c>
      <c r="I4624" s="20" t="n">
        <f aca="false">G4624-H4624</f>
        <v>56.9</v>
      </c>
      <c r="J4624" s="21" t="n">
        <f aca="false">H4624*1000/Parametres!$B$9</f>
        <v>4239.44378497541</v>
      </c>
    </row>
    <row r="4625" customFormat="false" ht="15" hidden="false" customHeight="false" outlineLevel="0" collapsed="false">
      <c r="A4625" s="0" t="n">
        <v>4621</v>
      </c>
      <c r="B4625" s="0" t="n">
        <v>7</v>
      </c>
      <c r="C4625" s="19" t="n">
        <v>1</v>
      </c>
      <c r="D4625" s="19" t="n">
        <v>0.0138</v>
      </c>
      <c r="E4625" s="20" t="n">
        <f aca="false">Parametres!$B$5*C4625</f>
        <v>300</v>
      </c>
      <c r="F4625" s="20" t="n">
        <f aca="false">Parametres!$B$6*D4625</f>
        <v>2.76</v>
      </c>
      <c r="G4625" s="20" t="n">
        <f aca="false">E4625+F4625</f>
        <v>302.76</v>
      </c>
      <c r="H4625" s="20" t="n">
        <f aca="false">IF(G4625&lt;Parametres!$B$8*Parametres!$B$7,0,MIN(G4625,Parametres!$B$7))</f>
        <v>250</v>
      </c>
      <c r="I4625" s="20" t="n">
        <f aca="false">G4625-H4625</f>
        <v>52.76</v>
      </c>
      <c r="J4625" s="21" t="n">
        <f aca="false">H4625*1000/Parametres!$B$9</f>
        <v>4239.44378497541</v>
      </c>
    </row>
    <row r="4626" customFormat="false" ht="15" hidden="false" customHeight="false" outlineLevel="0" collapsed="false">
      <c r="A4626" s="0" t="n">
        <v>4622</v>
      </c>
      <c r="B4626" s="0" t="n">
        <v>7</v>
      </c>
      <c r="C4626" s="19" t="n">
        <v>1</v>
      </c>
      <c r="D4626" s="19" t="n">
        <v>0.0097</v>
      </c>
      <c r="E4626" s="20" t="n">
        <f aca="false">Parametres!$B$5*C4626</f>
        <v>300</v>
      </c>
      <c r="F4626" s="20" t="n">
        <f aca="false">Parametres!$B$6*D4626</f>
        <v>1.94</v>
      </c>
      <c r="G4626" s="20" t="n">
        <f aca="false">E4626+F4626</f>
        <v>301.94</v>
      </c>
      <c r="H4626" s="20" t="n">
        <f aca="false">IF(G4626&lt;Parametres!$B$8*Parametres!$B$7,0,MIN(G4626,Parametres!$B$7))</f>
        <v>250</v>
      </c>
      <c r="I4626" s="20" t="n">
        <f aca="false">G4626-H4626</f>
        <v>51.94</v>
      </c>
      <c r="J4626" s="21" t="n">
        <f aca="false">H4626*1000/Parametres!$B$9</f>
        <v>4239.44378497541</v>
      </c>
    </row>
    <row r="4627" customFormat="false" ht="15" hidden="false" customHeight="false" outlineLevel="0" collapsed="false">
      <c r="A4627" s="0" t="n">
        <v>4623</v>
      </c>
      <c r="B4627" s="0" t="n">
        <v>7</v>
      </c>
      <c r="C4627" s="19" t="n">
        <v>1</v>
      </c>
      <c r="D4627" s="19" t="n">
        <v>0.0471</v>
      </c>
      <c r="E4627" s="20" t="n">
        <f aca="false">Parametres!$B$5*C4627</f>
        <v>300</v>
      </c>
      <c r="F4627" s="20" t="n">
        <f aca="false">Parametres!$B$6*D4627</f>
        <v>9.42</v>
      </c>
      <c r="G4627" s="20" t="n">
        <f aca="false">E4627+F4627</f>
        <v>309.42</v>
      </c>
      <c r="H4627" s="20" t="n">
        <f aca="false">IF(G4627&lt;Parametres!$B$8*Parametres!$B$7,0,MIN(G4627,Parametres!$B$7))</f>
        <v>250</v>
      </c>
      <c r="I4627" s="20" t="n">
        <f aca="false">G4627-H4627</f>
        <v>59.42</v>
      </c>
      <c r="J4627" s="21" t="n">
        <f aca="false">H4627*1000/Parametres!$B$9</f>
        <v>4239.44378497541</v>
      </c>
    </row>
    <row r="4628" customFormat="false" ht="15" hidden="false" customHeight="false" outlineLevel="0" collapsed="false">
      <c r="A4628" s="0" t="n">
        <v>4624</v>
      </c>
      <c r="B4628" s="0" t="n">
        <v>7</v>
      </c>
      <c r="C4628" s="19" t="n">
        <v>0.9496</v>
      </c>
      <c r="D4628" s="19" t="n">
        <v>0.0429</v>
      </c>
      <c r="E4628" s="20" t="n">
        <f aca="false">Parametres!$B$5*C4628</f>
        <v>284.88</v>
      </c>
      <c r="F4628" s="20" t="n">
        <f aca="false">Parametres!$B$6*D4628</f>
        <v>8.58</v>
      </c>
      <c r="G4628" s="20" t="n">
        <f aca="false">E4628+F4628</f>
        <v>293.46</v>
      </c>
      <c r="H4628" s="20" t="n">
        <f aca="false">IF(G4628&lt;Parametres!$B$8*Parametres!$B$7,0,MIN(G4628,Parametres!$B$7))</f>
        <v>250</v>
      </c>
      <c r="I4628" s="20" t="n">
        <f aca="false">G4628-H4628</f>
        <v>43.46</v>
      </c>
      <c r="J4628" s="21" t="n">
        <f aca="false">H4628*1000/Parametres!$B$9</f>
        <v>4239.44378497541</v>
      </c>
    </row>
    <row r="4629" customFormat="false" ht="15" hidden="false" customHeight="false" outlineLevel="0" collapsed="false">
      <c r="A4629" s="0" t="n">
        <v>4625</v>
      </c>
      <c r="B4629" s="0" t="n">
        <v>7</v>
      </c>
      <c r="C4629" s="19" t="n">
        <v>0.598</v>
      </c>
      <c r="D4629" s="19" t="n">
        <v>0.052</v>
      </c>
      <c r="E4629" s="20" t="n">
        <f aca="false">Parametres!$B$5*C4629</f>
        <v>179.4</v>
      </c>
      <c r="F4629" s="20" t="n">
        <f aca="false">Parametres!$B$6*D4629</f>
        <v>10.4</v>
      </c>
      <c r="G4629" s="20" t="n">
        <f aca="false">E4629+F4629</f>
        <v>189.8</v>
      </c>
      <c r="H4629" s="20" t="n">
        <f aca="false">IF(G4629&lt;Parametres!$B$8*Parametres!$B$7,0,MIN(G4629,Parametres!$B$7))</f>
        <v>189.8</v>
      </c>
      <c r="I4629" s="20" t="n">
        <f aca="false">G4629-H4629</f>
        <v>0</v>
      </c>
      <c r="J4629" s="21" t="n">
        <f aca="false">H4629*1000/Parametres!$B$9</f>
        <v>3218.58572155333</v>
      </c>
    </row>
    <row r="4630" customFormat="false" ht="15" hidden="false" customHeight="false" outlineLevel="0" collapsed="false">
      <c r="A4630" s="0" t="n">
        <v>4626</v>
      </c>
      <c r="B4630" s="0" t="n">
        <v>7</v>
      </c>
      <c r="C4630" s="19" t="n">
        <v>0.3241</v>
      </c>
      <c r="D4630" s="19" t="n">
        <v>0.0301</v>
      </c>
      <c r="E4630" s="20" t="n">
        <f aca="false">Parametres!$B$5*C4630</f>
        <v>97.23</v>
      </c>
      <c r="F4630" s="20" t="n">
        <f aca="false">Parametres!$B$6*D4630</f>
        <v>6.02</v>
      </c>
      <c r="G4630" s="20" t="n">
        <f aca="false">E4630+F4630</f>
        <v>103.25</v>
      </c>
      <c r="H4630" s="20" t="n">
        <f aca="false">IF(G4630&lt;Parametres!$B$8*Parametres!$B$7,0,MIN(G4630,Parametres!$B$7))</f>
        <v>103.25</v>
      </c>
      <c r="I4630" s="20" t="n">
        <f aca="false">G4630-H4630</f>
        <v>0</v>
      </c>
      <c r="J4630" s="21" t="n">
        <f aca="false">H4630*1000/Parametres!$B$9</f>
        <v>1750.89028319484</v>
      </c>
    </row>
    <row r="4631" customFormat="false" ht="15" hidden="false" customHeight="false" outlineLevel="0" collapsed="false">
      <c r="A4631" s="0" t="n">
        <v>4627</v>
      </c>
      <c r="B4631" s="0" t="n">
        <v>7</v>
      </c>
      <c r="C4631" s="19" t="n">
        <v>0.063</v>
      </c>
      <c r="D4631" s="19" t="n">
        <v>0.0749</v>
      </c>
      <c r="E4631" s="20" t="n">
        <f aca="false">Parametres!$B$5*C4631</f>
        <v>18.9</v>
      </c>
      <c r="F4631" s="20" t="n">
        <f aca="false">Parametres!$B$6*D4631</f>
        <v>14.98</v>
      </c>
      <c r="G4631" s="20" t="n">
        <f aca="false">E4631+F4631</f>
        <v>33.88</v>
      </c>
      <c r="H4631" s="20" t="n">
        <f aca="false">IF(G4631&lt;Parametres!$B$8*Parametres!$B$7,0,MIN(G4631,Parametres!$B$7))</f>
        <v>33.88</v>
      </c>
      <c r="I4631" s="20" t="n">
        <f aca="false">G4631-H4631</f>
        <v>0</v>
      </c>
      <c r="J4631" s="21" t="n">
        <f aca="false">H4631*1000/Parametres!$B$9</f>
        <v>574.529421739868</v>
      </c>
    </row>
    <row r="4632" customFormat="false" ht="15" hidden="false" customHeight="false" outlineLevel="0" collapsed="false">
      <c r="A4632" s="0" t="n">
        <v>4628</v>
      </c>
      <c r="B4632" s="0" t="n">
        <v>7</v>
      </c>
      <c r="C4632" s="19" t="n">
        <v>0</v>
      </c>
      <c r="D4632" s="19" t="n">
        <v>0.0179</v>
      </c>
      <c r="E4632" s="20" t="n">
        <f aca="false">Parametres!$B$5*C4632</f>
        <v>0</v>
      </c>
      <c r="F4632" s="20" t="n">
        <f aca="false">Parametres!$B$6*D4632</f>
        <v>3.58</v>
      </c>
      <c r="G4632" s="20" t="n">
        <f aca="false">E4632+F4632</f>
        <v>3.58</v>
      </c>
      <c r="H4632" s="20" t="n">
        <f aca="false">IF(G4632&lt;Parametres!$B$8*Parametres!$B$7,0,MIN(G4632,Parametres!$B$7))</f>
        <v>0</v>
      </c>
      <c r="I4632" s="20" t="n">
        <f aca="false">G4632-H4632</f>
        <v>3.58</v>
      </c>
      <c r="J4632" s="21" t="n">
        <f aca="false">H4632*1000/Parametres!$B$9</f>
        <v>0</v>
      </c>
    </row>
    <row r="4633" customFormat="false" ht="15" hidden="false" customHeight="false" outlineLevel="0" collapsed="false">
      <c r="A4633" s="0" t="n">
        <v>4629</v>
      </c>
      <c r="B4633" s="0" t="n">
        <v>7</v>
      </c>
      <c r="C4633" s="19" t="n">
        <v>0</v>
      </c>
      <c r="D4633" s="19" t="n">
        <v>0.0569</v>
      </c>
      <c r="E4633" s="20" t="n">
        <f aca="false">Parametres!$B$5*C4633</f>
        <v>0</v>
      </c>
      <c r="F4633" s="20" t="n">
        <f aca="false">Parametres!$B$6*D4633</f>
        <v>11.38</v>
      </c>
      <c r="G4633" s="20" t="n">
        <f aca="false">E4633+F4633</f>
        <v>11.38</v>
      </c>
      <c r="H4633" s="20" t="n">
        <f aca="false">IF(G4633&lt;Parametres!$B$8*Parametres!$B$7,0,MIN(G4633,Parametres!$B$7))</f>
        <v>0</v>
      </c>
      <c r="I4633" s="20" t="n">
        <f aca="false">G4633-H4633</f>
        <v>11.38</v>
      </c>
      <c r="J4633" s="21" t="n">
        <f aca="false">H4633*1000/Parametres!$B$9</f>
        <v>0</v>
      </c>
    </row>
    <row r="4634" customFormat="false" ht="15" hidden="false" customHeight="false" outlineLevel="0" collapsed="false">
      <c r="A4634" s="0" t="n">
        <v>4630</v>
      </c>
      <c r="B4634" s="0" t="n">
        <v>7</v>
      </c>
      <c r="C4634" s="19" t="n">
        <v>0</v>
      </c>
      <c r="D4634" s="19" t="n">
        <v>0.0509</v>
      </c>
      <c r="E4634" s="20" t="n">
        <f aca="false">Parametres!$B$5*C4634</f>
        <v>0</v>
      </c>
      <c r="F4634" s="20" t="n">
        <f aca="false">Parametres!$B$6*D4634</f>
        <v>10.18</v>
      </c>
      <c r="G4634" s="20" t="n">
        <f aca="false">E4634+F4634</f>
        <v>10.18</v>
      </c>
      <c r="H4634" s="20" t="n">
        <f aca="false">IF(G4634&lt;Parametres!$B$8*Parametres!$B$7,0,MIN(G4634,Parametres!$B$7))</f>
        <v>0</v>
      </c>
      <c r="I4634" s="20" t="n">
        <f aca="false">G4634-H4634</f>
        <v>10.18</v>
      </c>
      <c r="J4634" s="21" t="n">
        <f aca="false">H4634*1000/Parametres!$B$9</f>
        <v>0</v>
      </c>
    </row>
    <row r="4635" customFormat="false" ht="15" hidden="false" customHeight="false" outlineLevel="0" collapsed="false">
      <c r="A4635" s="0" t="n">
        <v>4631</v>
      </c>
      <c r="B4635" s="0" t="n">
        <v>7</v>
      </c>
      <c r="C4635" s="19" t="n">
        <v>0</v>
      </c>
      <c r="D4635" s="19" t="n">
        <v>0.0043</v>
      </c>
      <c r="E4635" s="20" t="n">
        <f aca="false">Parametres!$B$5*C4635</f>
        <v>0</v>
      </c>
      <c r="F4635" s="20" t="n">
        <f aca="false">Parametres!$B$6*D4635</f>
        <v>0.86</v>
      </c>
      <c r="G4635" s="20" t="n">
        <f aca="false">E4635+F4635</f>
        <v>0.86</v>
      </c>
      <c r="H4635" s="20" t="n">
        <f aca="false">IF(G4635&lt;Parametres!$B$8*Parametres!$B$7,0,MIN(G4635,Parametres!$B$7))</f>
        <v>0</v>
      </c>
      <c r="I4635" s="20" t="n">
        <f aca="false">G4635-H4635</f>
        <v>0.86</v>
      </c>
      <c r="J4635" s="21" t="n">
        <f aca="false">H4635*1000/Parametres!$B$9</f>
        <v>0</v>
      </c>
    </row>
    <row r="4636" customFormat="false" ht="15" hidden="false" customHeight="false" outlineLevel="0" collapsed="false">
      <c r="A4636" s="0" t="n">
        <v>4632</v>
      </c>
      <c r="B4636" s="0" t="n">
        <v>7</v>
      </c>
      <c r="C4636" s="19" t="n">
        <v>0</v>
      </c>
      <c r="D4636" s="19" t="n">
        <v>0.004</v>
      </c>
      <c r="E4636" s="20" t="n">
        <f aca="false">Parametres!$B$5*C4636</f>
        <v>0</v>
      </c>
      <c r="F4636" s="20" t="n">
        <f aca="false">Parametres!$B$6*D4636</f>
        <v>0.8</v>
      </c>
      <c r="G4636" s="20" t="n">
        <f aca="false">E4636+F4636</f>
        <v>0.8</v>
      </c>
      <c r="H4636" s="20" t="n">
        <f aca="false">IF(G4636&lt;Parametres!$B$8*Parametres!$B$7,0,MIN(G4636,Parametres!$B$7))</f>
        <v>0</v>
      </c>
      <c r="I4636" s="20" t="n">
        <f aca="false">G4636-H4636</f>
        <v>0.8</v>
      </c>
      <c r="J4636" s="21" t="n">
        <f aca="false">H4636*1000/Parametres!$B$9</f>
        <v>0</v>
      </c>
    </row>
    <row r="4637" customFormat="false" ht="15" hidden="false" customHeight="false" outlineLevel="0" collapsed="false">
      <c r="A4637" s="0" t="n">
        <v>4633</v>
      </c>
      <c r="B4637" s="0" t="n">
        <v>7</v>
      </c>
      <c r="C4637" s="19" t="n">
        <v>0</v>
      </c>
      <c r="D4637" s="19" t="n">
        <v>0.0068</v>
      </c>
      <c r="E4637" s="20" t="n">
        <f aca="false">Parametres!$B$5*C4637</f>
        <v>0</v>
      </c>
      <c r="F4637" s="20" t="n">
        <f aca="false">Parametres!$B$6*D4637</f>
        <v>1.36</v>
      </c>
      <c r="G4637" s="20" t="n">
        <f aca="false">E4637+F4637</f>
        <v>1.36</v>
      </c>
      <c r="H4637" s="20" t="n">
        <f aca="false">IF(G4637&lt;Parametres!$B$8*Parametres!$B$7,0,MIN(G4637,Parametres!$B$7))</f>
        <v>0</v>
      </c>
      <c r="I4637" s="20" t="n">
        <f aca="false">G4637-H4637</f>
        <v>1.36</v>
      </c>
      <c r="J4637" s="21" t="n">
        <f aca="false">H4637*1000/Parametres!$B$9</f>
        <v>0</v>
      </c>
    </row>
    <row r="4638" customFormat="false" ht="15" hidden="false" customHeight="false" outlineLevel="0" collapsed="false">
      <c r="A4638" s="0" t="n">
        <v>4634</v>
      </c>
      <c r="B4638" s="0" t="n">
        <v>7</v>
      </c>
      <c r="C4638" s="19" t="n">
        <v>0</v>
      </c>
      <c r="D4638" s="19" t="n">
        <v>0.0106</v>
      </c>
      <c r="E4638" s="20" t="n">
        <f aca="false">Parametres!$B$5*C4638</f>
        <v>0</v>
      </c>
      <c r="F4638" s="20" t="n">
        <f aca="false">Parametres!$B$6*D4638</f>
        <v>2.12</v>
      </c>
      <c r="G4638" s="20" t="n">
        <f aca="false">E4638+F4638</f>
        <v>2.12</v>
      </c>
      <c r="H4638" s="20" t="n">
        <f aca="false">IF(G4638&lt;Parametres!$B$8*Parametres!$B$7,0,MIN(G4638,Parametres!$B$7))</f>
        <v>0</v>
      </c>
      <c r="I4638" s="20" t="n">
        <f aca="false">G4638-H4638</f>
        <v>2.12</v>
      </c>
      <c r="J4638" s="21" t="n">
        <f aca="false">H4638*1000/Parametres!$B$9</f>
        <v>0</v>
      </c>
    </row>
    <row r="4639" customFormat="false" ht="15" hidden="false" customHeight="false" outlineLevel="0" collapsed="false">
      <c r="A4639" s="0" t="n">
        <v>4635</v>
      </c>
      <c r="B4639" s="0" t="n">
        <v>7</v>
      </c>
      <c r="C4639" s="19" t="n">
        <v>0</v>
      </c>
      <c r="D4639" s="19" t="n">
        <v>0.0148</v>
      </c>
      <c r="E4639" s="20" t="n">
        <f aca="false">Parametres!$B$5*C4639</f>
        <v>0</v>
      </c>
      <c r="F4639" s="20" t="n">
        <f aca="false">Parametres!$B$6*D4639</f>
        <v>2.96</v>
      </c>
      <c r="G4639" s="20" t="n">
        <f aca="false">E4639+F4639</f>
        <v>2.96</v>
      </c>
      <c r="H4639" s="20" t="n">
        <f aca="false">IF(G4639&lt;Parametres!$B$8*Parametres!$B$7,0,MIN(G4639,Parametres!$B$7))</f>
        <v>0</v>
      </c>
      <c r="I4639" s="20" t="n">
        <f aca="false">G4639-H4639</f>
        <v>2.96</v>
      </c>
      <c r="J4639" s="21" t="n">
        <f aca="false">H4639*1000/Parametres!$B$9</f>
        <v>0</v>
      </c>
    </row>
    <row r="4640" customFormat="false" ht="15" hidden="false" customHeight="false" outlineLevel="0" collapsed="false">
      <c r="A4640" s="0" t="n">
        <v>4636</v>
      </c>
      <c r="B4640" s="0" t="n">
        <v>7</v>
      </c>
      <c r="C4640" s="19" t="n">
        <v>0</v>
      </c>
      <c r="D4640" s="19" t="n">
        <v>0.011</v>
      </c>
      <c r="E4640" s="20" t="n">
        <f aca="false">Parametres!$B$5*C4640</f>
        <v>0</v>
      </c>
      <c r="F4640" s="20" t="n">
        <f aca="false">Parametres!$B$6*D4640</f>
        <v>2.2</v>
      </c>
      <c r="G4640" s="20" t="n">
        <f aca="false">E4640+F4640</f>
        <v>2.2</v>
      </c>
      <c r="H4640" s="20" t="n">
        <f aca="false">IF(G4640&lt;Parametres!$B$8*Parametres!$B$7,0,MIN(G4640,Parametres!$B$7))</f>
        <v>0</v>
      </c>
      <c r="I4640" s="20" t="n">
        <f aca="false">G4640-H4640</f>
        <v>2.2</v>
      </c>
      <c r="J4640" s="21" t="n">
        <f aca="false">H4640*1000/Parametres!$B$9</f>
        <v>0</v>
      </c>
    </row>
    <row r="4641" customFormat="false" ht="15" hidden="false" customHeight="false" outlineLevel="0" collapsed="false">
      <c r="A4641" s="0" t="n">
        <v>4637</v>
      </c>
      <c r="B4641" s="0" t="n">
        <v>7</v>
      </c>
      <c r="C4641" s="19" t="n">
        <v>0</v>
      </c>
      <c r="D4641" s="19" t="n">
        <v>0.0088</v>
      </c>
      <c r="E4641" s="20" t="n">
        <f aca="false">Parametres!$B$5*C4641</f>
        <v>0</v>
      </c>
      <c r="F4641" s="20" t="n">
        <f aca="false">Parametres!$B$6*D4641</f>
        <v>1.76</v>
      </c>
      <c r="G4641" s="20" t="n">
        <f aca="false">E4641+F4641</f>
        <v>1.76</v>
      </c>
      <c r="H4641" s="20" t="n">
        <f aca="false">IF(G4641&lt;Parametres!$B$8*Parametres!$B$7,0,MIN(G4641,Parametres!$B$7))</f>
        <v>0</v>
      </c>
      <c r="I4641" s="20" t="n">
        <f aca="false">G4641-H4641</f>
        <v>1.76</v>
      </c>
      <c r="J4641" s="21" t="n">
        <f aca="false">H4641*1000/Parametres!$B$9</f>
        <v>0</v>
      </c>
    </row>
    <row r="4642" customFormat="false" ht="15" hidden="false" customHeight="false" outlineLevel="0" collapsed="false">
      <c r="A4642" s="0" t="n">
        <v>4638</v>
      </c>
      <c r="B4642" s="0" t="n">
        <v>7</v>
      </c>
      <c r="C4642" s="19" t="n">
        <v>0.0359</v>
      </c>
      <c r="D4642" s="19" t="n">
        <v>0.011</v>
      </c>
      <c r="E4642" s="20" t="n">
        <f aca="false">Parametres!$B$5*C4642</f>
        <v>10.77</v>
      </c>
      <c r="F4642" s="20" t="n">
        <f aca="false">Parametres!$B$6*D4642</f>
        <v>2.2</v>
      </c>
      <c r="G4642" s="20" t="n">
        <f aca="false">E4642+F4642</f>
        <v>12.97</v>
      </c>
      <c r="H4642" s="20" t="n">
        <f aca="false">IF(G4642&lt;Parametres!$B$8*Parametres!$B$7,0,MIN(G4642,Parametres!$B$7))</f>
        <v>0</v>
      </c>
      <c r="I4642" s="20" t="n">
        <f aca="false">G4642-H4642</f>
        <v>12.97</v>
      </c>
      <c r="J4642" s="21" t="n">
        <f aca="false">H4642*1000/Parametres!$B$9</f>
        <v>0</v>
      </c>
    </row>
    <row r="4643" customFormat="false" ht="15" hidden="false" customHeight="false" outlineLevel="0" collapsed="false">
      <c r="A4643" s="0" t="n">
        <v>4639</v>
      </c>
      <c r="B4643" s="0" t="n">
        <v>7</v>
      </c>
      <c r="C4643" s="19" t="n">
        <v>0.1887</v>
      </c>
      <c r="D4643" s="19" t="n">
        <v>0.0074</v>
      </c>
      <c r="E4643" s="20" t="n">
        <f aca="false">Parametres!$B$5*C4643</f>
        <v>56.61</v>
      </c>
      <c r="F4643" s="20" t="n">
        <f aca="false">Parametres!$B$6*D4643</f>
        <v>1.48</v>
      </c>
      <c r="G4643" s="20" t="n">
        <f aca="false">E4643+F4643</f>
        <v>58.09</v>
      </c>
      <c r="H4643" s="20" t="n">
        <f aca="false">IF(G4643&lt;Parametres!$B$8*Parametres!$B$7,0,MIN(G4643,Parametres!$B$7))</f>
        <v>58.09</v>
      </c>
      <c r="I4643" s="20" t="n">
        <f aca="false">G4643-H4643</f>
        <v>0</v>
      </c>
      <c r="J4643" s="21" t="n">
        <f aca="false">H4643*1000/Parametres!$B$9</f>
        <v>985.077157876886</v>
      </c>
    </row>
    <row r="4644" customFormat="false" ht="15" hidden="false" customHeight="false" outlineLevel="0" collapsed="false">
      <c r="A4644" s="0" t="n">
        <v>4640</v>
      </c>
      <c r="B4644" s="0" t="n">
        <v>7</v>
      </c>
      <c r="C4644" s="19" t="n">
        <v>0.3411</v>
      </c>
      <c r="D4644" s="19" t="n">
        <v>0.037</v>
      </c>
      <c r="E4644" s="20" t="n">
        <f aca="false">Parametres!$B$5*C4644</f>
        <v>102.33</v>
      </c>
      <c r="F4644" s="20" t="n">
        <f aca="false">Parametres!$B$6*D4644</f>
        <v>7.4</v>
      </c>
      <c r="G4644" s="20" t="n">
        <f aca="false">E4644+F4644</f>
        <v>109.73</v>
      </c>
      <c r="H4644" s="20" t="n">
        <f aca="false">IF(G4644&lt;Parametres!$B$8*Parametres!$B$7,0,MIN(G4644,Parametres!$B$7))</f>
        <v>109.73</v>
      </c>
      <c r="I4644" s="20" t="n">
        <f aca="false">G4644-H4644</f>
        <v>0</v>
      </c>
      <c r="J4644" s="21" t="n">
        <f aca="false">H4644*1000/Parametres!$B$9</f>
        <v>1860.77666610141</v>
      </c>
    </row>
    <row r="4645" customFormat="false" ht="15" hidden="false" customHeight="false" outlineLevel="0" collapsed="false">
      <c r="A4645" s="0" t="n">
        <v>4641</v>
      </c>
      <c r="B4645" s="0" t="n">
        <v>7</v>
      </c>
      <c r="C4645" s="19" t="n">
        <v>0.4824</v>
      </c>
      <c r="D4645" s="19" t="n">
        <v>0.0194</v>
      </c>
      <c r="E4645" s="20" t="n">
        <f aca="false">Parametres!$B$5*C4645</f>
        <v>144.72</v>
      </c>
      <c r="F4645" s="20" t="n">
        <f aca="false">Parametres!$B$6*D4645</f>
        <v>3.88</v>
      </c>
      <c r="G4645" s="20" t="n">
        <f aca="false">E4645+F4645</f>
        <v>148.6</v>
      </c>
      <c r="H4645" s="20" t="n">
        <f aca="false">IF(G4645&lt;Parametres!$B$8*Parametres!$B$7,0,MIN(G4645,Parametres!$B$7))</f>
        <v>148.6</v>
      </c>
      <c r="I4645" s="20" t="n">
        <f aca="false">G4645-H4645</f>
        <v>0</v>
      </c>
      <c r="J4645" s="21" t="n">
        <f aca="false">H4645*1000/Parametres!$B$9</f>
        <v>2519.92538578938</v>
      </c>
    </row>
    <row r="4646" customFormat="false" ht="15" hidden="false" customHeight="false" outlineLevel="0" collapsed="false">
      <c r="A4646" s="0" t="n">
        <v>4642</v>
      </c>
      <c r="B4646" s="0" t="n">
        <v>7</v>
      </c>
      <c r="C4646" s="19" t="n">
        <v>0.5979</v>
      </c>
      <c r="D4646" s="19" t="n">
        <v>0.0279</v>
      </c>
      <c r="E4646" s="20" t="n">
        <f aca="false">Parametres!$B$5*C4646</f>
        <v>179.37</v>
      </c>
      <c r="F4646" s="20" t="n">
        <f aca="false">Parametres!$B$6*D4646</f>
        <v>5.58</v>
      </c>
      <c r="G4646" s="20" t="n">
        <f aca="false">E4646+F4646</f>
        <v>184.95</v>
      </c>
      <c r="H4646" s="20" t="n">
        <f aca="false">IF(G4646&lt;Parametres!$B$8*Parametres!$B$7,0,MIN(G4646,Parametres!$B$7))</f>
        <v>184.95</v>
      </c>
      <c r="I4646" s="20" t="n">
        <f aca="false">G4646-H4646</f>
        <v>0</v>
      </c>
      <c r="J4646" s="21" t="n">
        <f aca="false">H4646*1000/Parametres!$B$9</f>
        <v>3136.34051212481</v>
      </c>
    </row>
    <row r="4647" customFormat="false" ht="15" hidden="false" customHeight="false" outlineLevel="0" collapsed="false">
      <c r="A4647" s="0" t="n">
        <v>4643</v>
      </c>
      <c r="B4647" s="0" t="n">
        <v>7</v>
      </c>
      <c r="C4647" s="19" t="n">
        <v>0.7227</v>
      </c>
      <c r="D4647" s="19" t="n">
        <v>0.0292</v>
      </c>
      <c r="E4647" s="20" t="n">
        <f aca="false">Parametres!$B$5*C4647</f>
        <v>216.81</v>
      </c>
      <c r="F4647" s="20" t="n">
        <f aca="false">Parametres!$B$6*D4647</f>
        <v>5.84</v>
      </c>
      <c r="G4647" s="20" t="n">
        <f aca="false">E4647+F4647</f>
        <v>222.65</v>
      </c>
      <c r="H4647" s="20" t="n">
        <f aca="false">IF(G4647&lt;Parametres!$B$8*Parametres!$B$7,0,MIN(G4647,Parametres!$B$7))</f>
        <v>222.65</v>
      </c>
      <c r="I4647" s="20" t="n">
        <f aca="false">G4647-H4647</f>
        <v>0</v>
      </c>
      <c r="J4647" s="21" t="n">
        <f aca="false">H4647*1000/Parametres!$B$9</f>
        <v>3775.6486348991</v>
      </c>
    </row>
    <row r="4648" customFormat="false" ht="15" hidden="false" customHeight="false" outlineLevel="0" collapsed="false">
      <c r="A4648" s="0" t="n">
        <v>4644</v>
      </c>
      <c r="B4648" s="0" t="n">
        <v>7</v>
      </c>
      <c r="C4648" s="19" t="n">
        <v>0.7823</v>
      </c>
      <c r="D4648" s="19" t="n">
        <v>0.0113</v>
      </c>
      <c r="E4648" s="20" t="n">
        <f aca="false">Parametres!$B$5*C4648</f>
        <v>234.69</v>
      </c>
      <c r="F4648" s="20" t="n">
        <f aca="false">Parametres!$B$6*D4648</f>
        <v>2.26</v>
      </c>
      <c r="G4648" s="20" t="n">
        <f aca="false">E4648+F4648</f>
        <v>236.95</v>
      </c>
      <c r="H4648" s="20" t="n">
        <f aca="false">IF(G4648&lt;Parametres!$B$8*Parametres!$B$7,0,MIN(G4648,Parametres!$B$7))</f>
        <v>236.95</v>
      </c>
      <c r="I4648" s="20" t="n">
        <f aca="false">G4648-H4648</f>
        <v>0</v>
      </c>
      <c r="J4648" s="21" t="n">
        <f aca="false">H4648*1000/Parametres!$B$9</f>
        <v>4018.1448193997</v>
      </c>
    </row>
    <row r="4649" customFormat="false" ht="15" hidden="false" customHeight="false" outlineLevel="0" collapsed="false">
      <c r="A4649" s="0" t="n">
        <v>4645</v>
      </c>
      <c r="B4649" s="0" t="n">
        <v>7</v>
      </c>
      <c r="C4649" s="19" t="n">
        <v>0.8251</v>
      </c>
      <c r="D4649" s="19" t="n">
        <v>0.0459</v>
      </c>
      <c r="E4649" s="20" t="n">
        <f aca="false">Parametres!$B$5*C4649</f>
        <v>247.53</v>
      </c>
      <c r="F4649" s="20" t="n">
        <f aca="false">Parametres!$B$6*D4649</f>
        <v>9.18</v>
      </c>
      <c r="G4649" s="20" t="n">
        <f aca="false">E4649+F4649</f>
        <v>256.71</v>
      </c>
      <c r="H4649" s="20" t="n">
        <f aca="false">IF(G4649&lt;Parametres!$B$8*Parametres!$B$7,0,MIN(G4649,Parametres!$B$7))</f>
        <v>250</v>
      </c>
      <c r="I4649" s="20" t="n">
        <f aca="false">G4649-H4649</f>
        <v>6.70999999999998</v>
      </c>
      <c r="J4649" s="21" t="n">
        <f aca="false">H4649*1000/Parametres!$B$9</f>
        <v>4239.44378497541</v>
      </c>
    </row>
    <row r="4650" customFormat="false" ht="15" hidden="false" customHeight="false" outlineLevel="0" collapsed="false">
      <c r="A4650" s="0" t="n">
        <v>4646</v>
      </c>
      <c r="B4650" s="0" t="n">
        <v>7</v>
      </c>
      <c r="C4650" s="19" t="n">
        <v>0.7105</v>
      </c>
      <c r="D4650" s="19" t="n">
        <v>0.0654</v>
      </c>
      <c r="E4650" s="20" t="n">
        <f aca="false">Parametres!$B$5*C4650</f>
        <v>213.15</v>
      </c>
      <c r="F4650" s="20" t="n">
        <f aca="false">Parametres!$B$6*D4650</f>
        <v>13.08</v>
      </c>
      <c r="G4650" s="20" t="n">
        <f aca="false">E4650+F4650</f>
        <v>226.23</v>
      </c>
      <c r="H4650" s="20" t="n">
        <f aca="false">IF(G4650&lt;Parametres!$B$8*Parametres!$B$7,0,MIN(G4650,Parametres!$B$7))</f>
        <v>226.23</v>
      </c>
      <c r="I4650" s="20" t="n">
        <f aca="false">G4650-H4650</f>
        <v>0</v>
      </c>
      <c r="J4650" s="21" t="n">
        <f aca="false">H4650*1000/Parametres!$B$9</f>
        <v>3836.35746989995</v>
      </c>
    </row>
    <row r="4651" customFormat="false" ht="15" hidden="false" customHeight="false" outlineLevel="0" collapsed="false">
      <c r="A4651" s="0" t="n">
        <v>4647</v>
      </c>
      <c r="B4651" s="0" t="n">
        <v>7</v>
      </c>
      <c r="C4651" s="19" t="n">
        <v>0.6673</v>
      </c>
      <c r="D4651" s="19" t="n">
        <v>0.0482</v>
      </c>
      <c r="E4651" s="20" t="n">
        <f aca="false">Parametres!$B$5*C4651</f>
        <v>200.19</v>
      </c>
      <c r="F4651" s="20" t="n">
        <f aca="false">Parametres!$B$6*D4651</f>
        <v>9.64</v>
      </c>
      <c r="G4651" s="20" t="n">
        <f aca="false">E4651+F4651</f>
        <v>209.83</v>
      </c>
      <c r="H4651" s="20" t="n">
        <f aca="false">IF(G4651&lt;Parametres!$B$8*Parametres!$B$7,0,MIN(G4651,Parametres!$B$7))</f>
        <v>209.83</v>
      </c>
      <c r="I4651" s="20" t="n">
        <f aca="false">G4651-H4651</f>
        <v>0</v>
      </c>
      <c r="J4651" s="21" t="n">
        <f aca="false">H4651*1000/Parametres!$B$9</f>
        <v>3558.24995760556</v>
      </c>
    </row>
    <row r="4652" customFormat="false" ht="15" hidden="false" customHeight="false" outlineLevel="0" collapsed="false">
      <c r="A4652" s="0" t="n">
        <v>4648</v>
      </c>
      <c r="B4652" s="0" t="n">
        <v>7</v>
      </c>
      <c r="C4652" s="19" t="n">
        <v>0.4678</v>
      </c>
      <c r="D4652" s="19" t="n">
        <v>0.0289</v>
      </c>
      <c r="E4652" s="20" t="n">
        <f aca="false">Parametres!$B$5*C4652</f>
        <v>140.34</v>
      </c>
      <c r="F4652" s="20" t="n">
        <f aca="false">Parametres!$B$6*D4652</f>
        <v>5.78</v>
      </c>
      <c r="G4652" s="20" t="n">
        <f aca="false">E4652+F4652</f>
        <v>146.12</v>
      </c>
      <c r="H4652" s="20" t="n">
        <f aca="false">IF(G4652&lt;Parametres!$B$8*Parametres!$B$7,0,MIN(G4652,Parametres!$B$7))</f>
        <v>146.12</v>
      </c>
      <c r="I4652" s="20" t="n">
        <f aca="false">G4652-H4652</f>
        <v>0</v>
      </c>
      <c r="J4652" s="21" t="n">
        <f aca="false">H4652*1000/Parametres!$B$9</f>
        <v>2477.87010344243</v>
      </c>
    </row>
    <row r="4653" customFormat="false" ht="15" hidden="false" customHeight="false" outlineLevel="0" collapsed="false">
      <c r="A4653" s="0" t="n">
        <v>4649</v>
      </c>
      <c r="B4653" s="0" t="n">
        <v>7</v>
      </c>
      <c r="C4653" s="19" t="n">
        <v>0.3439</v>
      </c>
      <c r="D4653" s="19" t="n">
        <v>0.0258</v>
      </c>
      <c r="E4653" s="20" t="n">
        <f aca="false">Parametres!$B$5*C4653</f>
        <v>103.17</v>
      </c>
      <c r="F4653" s="20" t="n">
        <f aca="false">Parametres!$B$6*D4653</f>
        <v>5.16</v>
      </c>
      <c r="G4653" s="20" t="n">
        <f aca="false">E4653+F4653</f>
        <v>108.33</v>
      </c>
      <c r="H4653" s="20" t="n">
        <f aca="false">IF(G4653&lt;Parametres!$B$8*Parametres!$B$7,0,MIN(G4653,Parametres!$B$7))</f>
        <v>108.33</v>
      </c>
      <c r="I4653" s="20" t="n">
        <f aca="false">G4653-H4653</f>
        <v>0</v>
      </c>
      <c r="J4653" s="21" t="n">
        <f aca="false">H4653*1000/Parametres!$B$9</f>
        <v>1837.03578090555</v>
      </c>
    </row>
    <row r="4654" customFormat="false" ht="15" hidden="false" customHeight="false" outlineLevel="0" collapsed="false">
      <c r="A4654" s="0" t="n">
        <v>4650</v>
      </c>
      <c r="B4654" s="0" t="n">
        <v>7</v>
      </c>
      <c r="C4654" s="19" t="n">
        <v>0.2011</v>
      </c>
      <c r="D4654" s="19" t="n">
        <v>0.081</v>
      </c>
      <c r="E4654" s="20" t="n">
        <f aca="false">Parametres!$B$5*C4654</f>
        <v>60.33</v>
      </c>
      <c r="F4654" s="20" t="n">
        <f aca="false">Parametres!$B$6*D4654</f>
        <v>16.2</v>
      </c>
      <c r="G4654" s="20" t="n">
        <f aca="false">E4654+F4654</f>
        <v>76.53</v>
      </c>
      <c r="H4654" s="20" t="n">
        <f aca="false">IF(G4654&lt;Parametres!$B$8*Parametres!$B$7,0,MIN(G4654,Parametres!$B$7))</f>
        <v>76.53</v>
      </c>
      <c r="I4654" s="20" t="n">
        <f aca="false">G4654-H4654</f>
        <v>0</v>
      </c>
      <c r="J4654" s="21" t="n">
        <f aca="false">H4654*1000/Parametres!$B$9</f>
        <v>1297.77853145667</v>
      </c>
    </row>
    <row r="4655" customFormat="false" ht="15" hidden="false" customHeight="false" outlineLevel="0" collapsed="false">
      <c r="A4655" s="0" t="n">
        <v>4651</v>
      </c>
      <c r="B4655" s="0" t="n">
        <v>7</v>
      </c>
      <c r="C4655" s="19" t="n">
        <v>0.0357</v>
      </c>
      <c r="D4655" s="19" t="n">
        <v>0.0911</v>
      </c>
      <c r="E4655" s="20" t="n">
        <f aca="false">Parametres!$B$5*C4655</f>
        <v>10.71</v>
      </c>
      <c r="F4655" s="20" t="n">
        <f aca="false">Parametres!$B$6*D4655</f>
        <v>18.22</v>
      </c>
      <c r="G4655" s="20" t="n">
        <f aca="false">E4655+F4655</f>
        <v>28.93</v>
      </c>
      <c r="H4655" s="20" t="n">
        <f aca="false">IF(G4655&lt;Parametres!$B$8*Parametres!$B$7,0,MIN(G4655,Parametres!$B$7))</f>
        <v>28.93</v>
      </c>
      <c r="I4655" s="20" t="n">
        <f aca="false">G4655-H4655</f>
        <v>0</v>
      </c>
      <c r="J4655" s="21" t="n">
        <f aca="false">H4655*1000/Parametres!$B$9</f>
        <v>490.588434797355</v>
      </c>
    </row>
    <row r="4656" customFormat="false" ht="15" hidden="false" customHeight="false" outlineLevel="0" collapsed="false">
      <c r="A4656" s="0" t="n">
        <v>4652</v>
      </c>
      <c r="B4656" s="0" t="n">
        <v>7</v>
      </c>
      <c r="C4656" s="19" t="n">
        <v>0</v>
      </c>
      <c r="D4656" s="19" t="n">
        <v>0.0485</v>
      </c>
      <c r="E4656" s="20" t="n">
        <f aca="false">Parametres!$B$5*C4656</f>
        <v>0</v>
      </c>
      <c r="F4656" s="20" t="n">
        <f aca="false">Parametres!$B$6*D4656</f>
        <v>9.7</v>
      </c>
      <c r="G4656" s="20" t="n">
        <f aca="false">E4656+F4656</f>
        <v>9.7</v>
      </c>
      <c r="H4656" s="20" t="n">
        <f aca="false">IF(G4656&lt;Parametres!$B$8*Parametres!$B$7,0,MIN(G4656,Parametres!$B$7))</f>
        <v>0</v>
      </c>
      <c r="I4656" s="20" t="n">
        <f aca="false">G4656-H4656</f>
        <v>9.7</v>
      </c>
      <c r="J4656" s="21" t="n">
        <f aca="false">H4656*1000/Parametres!$B$9</f>
        <v>0</v>
      </c>
    </row>
    <row r="4657" customFormat="false" ht="15" hidden="false" customHeight="false" outlineLevel="0" collapsed="false">
      <c r="A4657" s="0" t="n">
        <v>4653</v>
      </c>
      <c r="B4657" s="0" t="n">
        <v>7</v>
      </c>
      <c r="C4657" s="19" t="n">
        <v>0</v>
      </c>
      <c r="D4657" s="19" t="n">
        <v>0.0492</v>
      </c>
      <c r="E4657" s="20" t="n">
        <f aca="false">Parametres!$B$5*C4657</f>
        <v>0</v>
      </c>
      <c r="F4657" s="20" t="n">
        <f aca="false">Parametres!$B$6*D4657</f>
        <v>9.84</v>
      </c>
      <c r="G4657" s="20" t="n">
        <f aca="false">E4657+F4657</f>
        <v>9.84</v>
      </c>
      <c r="H4657" s="20" t="n">
        <f aca="false">IF(G4657&lt;Parametres!$B$8*Parametres!$B$7,0,MIN(G4657,Parametres!$B$7))</f>
        <v>0</v>
      </c>
      <c r="I4657" s="20" t="n">
        <f aca="false">G4657-H4657</f>
        <v>9.84</v>
      </c>
      <c r="J4657" s="21" t="n">
        <f aca="false">H4657*1000/Parametres!$B$9</f>
        <v>0</v>
      </c>
    </row>
    <row r="4658" customFormat="false" ht="15" hidden="false" customHeight="false" outlineLevel="0" collapsed="false">
      <c r="A4658" s="0" t="n">
        <v>4654</v>
      </c>
      <c r="B4658" s="0" t="n">
        <v>7</v>
      </c>
      <c r="C4658" s="19" t="n">
        <v>0</v>
      </c>
      <c r="D4658" s="19" t="n">
        <v>0.0266</v>
      </c>
      <c r="E4658" s="20" t="n">
        <f aca="false">Parametres!$B$5*C4658</f>
        <v>0</v>
      </c>
      <c r="F4658" s="20" t="n">
        <f aca="false">Parametres!$B$6*D4658</f>
        <v>5.32</v>
      </c>
      <c r="G4658" s="20" t="n">
        <f aca="false">E4658+F4658</f>
        <v>5.32</v>
      </c>
      <c r="H4658" s="20" t="n">
        <f aca="false">IF(G4658&lt;Parametres!$B$8*Parametres!$B$7,0,MIN(G4658,Parametres!$B$7))</f>
        <v>0</v>
      </c>
      <c r="I4658" s="20" t="n">
        <f aca="false">G4658-H4658</f>
        <v>5.32</v>
      </c>
      <c r="J4658" s="21" t="n">
        <f aca="false">H4658*1000/Parametres!$B$9</f>
        <v>0</v>
      </c>
    </row>
    <row r="4659" customFormat="false" ht="15" hidden="false" customHeight="false" outlineLevel="0" collapsed="false">
      <c r="A4659" s="0" t="n">
        <v>4655</v>
      </c>
      <c r="B4659" s="0" t="n">
        <v>7</v>
      </c>
      <c r="C4659" s="19" t="n">
        <v>0</v>
      </c>
      <c r="D4659" s="19" t="n">
        <v>0.0347</v>
      </c>
      <c r="E4659" s="20" t="n">
        <f aca="false">Parametres!$B$5*C4659</f>
        <v>0</v>
      </c>
      <c r="F4659" s="20" t="n">
        <f aca="false">Parametres!$B$6*D4659</f>
        <v>6.94</v>
      </c>
      <c r="G4659" s="20" t="n">
        <f aca="false">E4659+F4659</f>
        <v>6.94</v>
      </c>
      <c r="H4659" s="20" t="n">
        <f aca="false">IF(G4659&lt;Parametres!$B$8*Parametres!$B$7,0,MIN(G4659,Parametres!$B$7))</f>
        <v>0</v>
      </c>
      <c r="I4659" s="20" t="n">
        <f aca="false">G4659-H4659</f>
        <v>6.94</v>
      </c>
      <c r="J4659" s="21" t="n">
        <f aca="false">H4659*1000/Parametres!$B$9</f>
        <v>0</v>
      </c>
    </row>
    <row r="4660" customFormat="false" ht="15" hidden="false" customHeight="false" outlineLevel="0" collapsed="false">
      <c r="A4660" s="0" t="n">
        <v>4656</v>
      </c>
      <c r="B4660" s="0" t="n">
        <v>7</v>
      </c>
      <c r="C4660" s="19" t="n">
        <v>0</v>
      </c>
      <c r="D4660" s="19" t="n">
        <v>0.0413</v>
      </c>
      <c r="E4660" s="20" t="n">
        <f aca="false">Parametres!$B$5*C4660</f>
        <v>0</v>
      </c>
      <c r="F4660" s="20" t="n">
        <f aca="false">Parametres!$B$6*D4660</f>
        <v>8.26</v>
      </c>
      <c r="G4660" s="20" t="n">
        <f aca="false">E4660+F4660</f>
        <v>8.26</v>
      </c>
      <c r="H4660" s="20" t="n">
        <f aca="false">IF(G4660&lt;Parametres!$B$8*Parametres!$B$7,0,MIN(G4660,Parametres!$B$7))</f>
        <v>0</v>
      </c>
      <c r="I4660" s="20" t="n">
        <f aca="false">G4660-H4660</f>
        <v>8.26</v>
      </c>
      <c r="J4660" s="21" t="n">
        <f aca="false">H4660*1000/Parametres!$B$9</f>
        <v>0</v>
      </c>
    </row>
    <row r="4661" customFormat="false" ht="15" hidden="false" customHeight="false" outlineLevel="0" collapsed="false">
      <c r="A4661" s="0" t="n">
        <v>4657</v>
      </c>
      <c r="B4661" s="0" t="n">
        <v>7</v>
      </c>
      <c r="C4661" s="19" t="n">
        <v>0</v>
      </c>
      <c r="D4661" s="19" t="n">
        <v>0.0584</v>
      </c>
      <c r="E4661" s="20" t="n">
        <f aca="false">Parametres!$B$5*C4661</f>
        <v>0</v>
      </c>
      <c r="F4661" s="20" t="n">
        <f aca="false">Parametres!$B$6*D4661</f>
        <v>11.68</v>
      </c>
      <c r="G4661" s="20" t="n">
        <f aca="false">E4661+F4661</f>
        <v>11.68</v>
      </c>
      <c r="H4661" s="20" t="n">
        <f aca="false">IF(G4661&lt;Parametres!$B$8*Parametres!$B$7,0,MIN(G4661,Parametres!$B$7))</f>
        <v>0</v>
      </c>
      <c r="I4661" s="20" t="n">
        <f aca="false">G4661-H4661</f>
        <v>11.68</v>
      </c>
      <c r="J4661" s="21" t="n">
        <f aca="false">H4661*1000/Parametres!$B$9</f>
        <v>0</v>
      </c>
    </row>
    <row r="4662" customFormat="false" ht="15" hidden="false" customHeight="false" outlineLevel="0" collapsed="false">
      <c r="A4662" s="0" t="n">
        <v>4658</v>
      </c>
      <c r="B4662" s="0" t="n">
        <v>7</v>
      </c>
      <c r="C4662" s="19" t="n">
        <v>0</v>
      </c>
      <c r="D4662" s="19" t="n">
        <v>0.0634</v>
      </c>
      <c r="E4662" s="20" t="n">
        <f aca="false">Parametres!$B$5*C4662</f>
        <v>0</v>
      </c>
      <c r="F4662" s="20" t="n">
        <f aca="false">Parametres!$B$6*D4662</f>
        <v>12.68</v>
      </c>
      <c r="G4662" s="20" t="n">
        <f aca="false">E4662+F4662</f>
        <v>12.68</v>
      </c>
      <c r="H4662" s="20" t="n">
        <f aca="false">IF(G4662&lt;Parametres!$B$8*Parametres!$B$7,0,MIN(G4662,Parametres!$B$7))</f>
        <v>0</v>
      </c>
      <c r="I4662" s="20" t="n">
        <f aca="false">G4662-H4662</f>
        <v>12.68</v>
      </c>
      <c r="J4662" s="21" t="n">
        <f aca="false">H4662*1000/Parametres!$B$9</f>
        <v>0</v>
      </c>
    </row>
    <row r="4663" customFormat="false" ht="15" hidden="false" customHeight="false" outlineLevel="0" collapsed="false">
      <c r="A4663" s="0" t="n">
        <v>4659</v>
      </c>
      <c r="B4663" s="0" t="n">
        <v>7</v>
      </c>
      <c r="C4663" s="19" t="n">
        <v>0</v>
      </c>
      <c r="D4663" s="19" t="n">
        <v>0.0623</v>
      </c>
      <c r="E4663" s="20" t="n">
        <f aca="false">Parametres!$B$5*C4663</f>
        <v>0</v>
      </c>
      <c r="F4663" s="20" t="n">
        <f aca="false">Parametres!$B$6*D4663</f>
        <v>12.46</v>
      </c>
      <c r="G4663" s="20" t="n">
        <f aca="false">E4663+F4663</f>
        <v>12.46</v>
      </c>
      <c r="H4663" s="20" t="n">
        <f aca="false">IF(G4663&lt;Parametres!$B$8*Parametres!$B$7,0,MIN(G4663,Parametres!$B$7))</f>
        <v>0</v>
      </c>
      <c r="I4663" s="20" t="n">
        <f aca="false">G4663-H4663</f>
        <v>12.46</v>
      </c>
      <c r="J4663" s="21" t="n">
        <f aca="false">H4663*1000/Parametres!$B$9</f>
        <v>0</v>
      </c>
    </row>
    <row r="4664" customFormat="false" ht="15" hidden="false" customHeight="false" outlineLevel="0" collapsed="false">
      <c r="A4664" s="0" t="n">
        <v>4660</v>
      </c>
      <c r="B4664" s="0" t="n">
        <v>7</v>
      </c>
      <c r="C4664" s="19" t="n">
        <v>0</v>
      </c>
      <c r="D4664" s="19" t="n">
        <v>0.0265</v>
      </c>
      <c r="E4664" s="20" t="n">
        <f aca="false">Parametres!$B$5*C4664</f>
        <v>0</v>
      </c>
      <c r="F4664" s="20" t="n">
        <f aca="false">Parametres!$B$6*D4664</f>
        <v>5.3</v>
      </c>
      <c r="G4664" s="20" t="n">
        <f aca="false">E4664+F4664</f>
        <v>5.3</v>
      </c>
      <c r="H4664" s="20" t="n">
        <f aca="false">IF(G4664&lt;Parametres!$B$8*Parametres!$B$7,0,MIN(G4664,Parametres!$B$7))</f>
        <v>0</v>
      </c>
      <c r="I4664" s="20" t="n">
        <f aca="false">G4664-H4664</f>
        <v>5.3</v>
      </c>
      <c r="J4664" s="21" t="n">
        <f aca="false">H4664*1000/Parametres!$B$9</f>
        <v>0</v>
      </c>
    </row>
    <row r="4665" customFormat="false" ht="15" hidden="false" customHeight="false" outlineLevel="0" collapsed="false">
      <c r="A4665" s="0" t="n">
        <v>4661</v>
      </c>
      <c r="B4665" s="0" t="n">
        <v>7</v>
      </c>
      <c r="C4665" s="19" t="n">
        <v>0</v>
      </c>
      <c r="D4665" s="19" t="n">
        <v>0.0323</v>
      </c>
      <c r="E4665" s="20" t="n">
        <f aca="false">Parametres!$B$5*C4665</f>
        <v>0</v>
      </c>
      <c r="F4665" s="20" t="n">
        <f aca="false">Parametres!$B$6*D4665</f>
        <v>6.46</v>
      </c>
      <c r="G4665" s="20" t="n">
        <f aca="false">E4665+F4665</f>
        <v>6.46</v>
      </c>
      <c r="H4665" s="20" t="n">
        <f aca="false">IF(G4665&lt;Parametres!$B$8*Parametres!$B$7,0,MIN(G4665,Parametres!$B$7))</f>
        <v>0</v>
      </c>
      <c r="I4665" s="20" t="n">
        <f aca="false">G4665-H4665</f>
        <v>6.46</v>
      </c>
      <c r="J4665" s="21" t="n">
        <f aca="false">H4665*1000/Parametres!$B$9</f>
        <v>0</v>
      </c>
    </row>
    <row r="4666" customFormat="false" ht="15" hidden="false" customHeight="false" outlineLevel="0" collapsed="false">
      <c r="A4666" s="0" t="n">
        <v>4662</v>
      </c>
      <c r="B4666" s="0" t="n">
        <v>7</v>
      </c>
      <c r="C4666" s="19" t="n">
        <v>0.0591</v>
      </c>
      <c r="D4666" s="19" t="n">
        <v>0.0686</v>
      </c>
      <c r="E4666" s="20" t="n">
        <f aca="false">Parametres!$B$5*C4666</f>
        <v>17.73</v>
      </c>
      <c r="F4666" s="20" t="n">
        <f aca="false">Parametres!$B$6*D4666</f>
        <v>13.72</v>
      </c>
      <c r="G4666" s="20" t="n">
        <f aca="false">E4666+F4666</f>
        <v>31.45</v>
      </c>
      <c r="H4666" s="20" t="n">
        <f aca="false">IF(G4666&lt;Parametres!$B$8*Parametres!$B$7,0,MIN(G4666,Parametres!$B$7))</f>
        <v>31.45</v>
      </c>
      <c r="I4666" s="20" t="n">
        <f aca="false">G4666-H4666</f>
        <v>0</v>
      </c>
      <c r="J4666" s="21" t="n">
        <f aca="false">H4666*1000/Parametres!$B$9</f>
        <v>533.322028149907</v>
      </c>
    </row>
    <row r="4667" customFormat="false" ht="15" hidden="false" customHeight="false" outlineLevel="0" collapsed="false">
      <c r="A4667" s="0" t="n">
        <v>4663</v>
      </c>
      <c r="B4667" s="0" t="n">
        <v>7</v>
      </c>
      <c r="C4667" s="19" t="n">
        <v>0.2997</v>
      </c>
      <c r="D4667" s="19" t="n">
        <v>0.032</v>
      </c>
      <c r="E4667" s="20" t="n">
        <f aca="false">Parametres!$B$5*C4667</f>
        <v>89.91</v>
      </c>
      <c r="F4667" s="20" t="n">
        <f aca="false">Parametres!$B$6*D4667</f>
        <v>6.4</v>
      </c>
      <c r="G4667" s="20" t="n">
        <f aca="false">E4667+F4667</f>
        <v>96.31</v>
      </c>
      <c r="H4667" s="20" t="n">
        <f aca="false">IF(G4667&lt;Parametres!$B$8*Parametres!$B$7,0,MIN(G4667,Parametres!$B$7))</f>
        <v>96.31</v>
      </c>
      <c r="I4667" s="20" t="n">
        <f aca="false">G4667-H4667</f>
        <v>0</v>
      </c>
      <c r="J4667" s="21" t="n">
        <f aca="false">H4667*1000/Parametres!$B$9</f>
        <v>1633.20332372393</v>
      </c>
    </row>
    <row r="4668" customFormat="false" ht="15" hidden="false" customHeight="false" outlineLevel="0" collapsed="false">
      <c r="A4668" s="0" t="n">
        <v>4664</v>
      </c>
      <c r="B4668" s="0" t="n">
        <v>7</v>
      </c>
      <c r="C4668" s="19" t="n">
        <v>0.5858</v>
      </c>
      <c r="D4668" s="19" t="n">
        <v>0.0676</v>
      </c>
      <c r="E4668" s="20" t="n">
        <f aca="false">Parametres!$B$5*C4668</f>
        <v>175.74</v>
      </c>
      <c r="F4668" s="20" t="n">
        <f aca="false">Parametres!$B$6*D4668</f>
        <v>13.52</v>
      </c>
      <c r="G4668" s="20" t="n">
        <f aca="false">E4668+F4668</f>
        <v>189.26</v>
      </c>
      <c r="H4668" s="20" t="n">
        <f aca="false">IF(G4668&lt;Parametres!$B$8*Parametres!$B$7,0,MIN(G4668,Parametres!$B$7))</f>
        <v>189.26</v>
      </c>
      <c r="I4668" s="20" t="n">
        <f aca="false">G4668-H4668</f>
        <v>0</v>
      </c>
      <c r="J4668" s="21" t="n">
        <f aca="false">H4668*1000/Parametres!$B$9</f>
        <v>3209.42852297779</v>
      </c>
    </row>
    <row r="4669" customFormat="false" ht="15" hidden="false" customHeight="false" outlineLevel="0" collapsed="false">
      <c r="A4669" s="0" t="n">
        <v>4665</v>
      </c>
      <c r="B4669" s="0" t="n">
        <v>7</v>
      </c>
      <c r="C4669" s="19" t="n">
        <v>0.7803</v>
      </c>
      <c r="D4669" s="19" t="n">
        <v>0.0576</v>
      </c>
      <c r="E4669" s="20" t="n">
        <f aca="false">Parametres!$B$5*C4669</f>
        <v>234.09</v>
      </c>
      <c r="F4669" s="20" t="n">
        <f aca="false">Parametres!$B$6*D4669</f>
        <v>11.52</v>
      </c>
      <c r="G4669" s="20" t="n">
        <f aca="false">E4669+F4669</f>
        <v>245.61</v>
      </c>
      <c r="H4669" s="20" t="n">
        <f aca="false">IF(G4669&lt;Parametres!$B$8*Parametres!$B$7,0,MIN(G4669,Parametres!$B$7))</f>
        <v>245.61</v>
      </c>
      <c r="I4669" s="20" t="n">
        <f aca="false">G4669-H4669</f>
        <v>0</v>
      </c>
      <c r="J4669" s="21" t="n">
        <f aca="false">H4669*1000/Parametres!$B$9</f>
        <v>4164.99915211124</v>
      </c>
    </row>
    <row r="4670" customFormat="false" ht="15" hidden="false" customHeight="false" outlineLevel="0" collapsed="false">
      <c r="A4670" s="0" t="n">
        <v>4666</v>
      </c>
      <c r="B4670" s="0" t="n">
        <v>7</v>
      </c>
      <c r="C4670" s="19" t="n">
        <v>1</v>
      </c>
      <c r="D4670" s="19" t="n">
        <v>0.0487</v>
      </c>
      <c r="E4670" s="20" t="n">
        <f aca="false">Parametres!$B$5*C4670</f>
        <v>300</v>
      </c>
      <c r="F4670" s="20" t="n">
        <f aca="false">Parametres!$B$6*D4670</f>
        <v>9.74</v>
      </c>
      <c r="G4670" s="20" t="n">
        <f aca="false">E4670+F4670</f>
        <v>309.74</v>
      </c>
      <c r="H4670" s="20" t="n">
        <f aca="false">IF(G4670&lt;Parametres!$B$8*Parametres!$B$7,0,MIN(G4670,Parametres!$B$7))</f>
        <v>250</v>
      </c>
      <c r="I4670" s="20" t="n">
        <f aca="false">G4670-H4670</f>
        <v>59.74</v>
      </c>
      <c r="J4670" s="21" t="n">
        <f aca="false">H4670*1000/Parametres!$B$9</f>
        <v>4239.44378497541</v>
      </c>
    </row>
    <row r="4671" customFormat="false" ht="15" hidden="false" customHeight="false" outlineLevel="0" collapsed="false">
      <c r="A4671" s="0" t="n">
        <v>4667</v>
      </c>
      <c r="B4671" s="0" t="n">
        <v>7</v>
      </c>
      <c r="C4671" s="19" t="n">
        <v>1</v>
      </c>
      <c r="D4671" s="19" t="n">
        <v>0.0416</v>
      </c>
      <c r="E4671" s="20" t="n">
        <f aca="false">Parametres!$B$5*C4671</f>
        <v>300</v>
      </c>
      <c r="F4671" s="20" t="n">
        <f aca="false">Parametres!$B$6*D4671</f>
        <v>8.32</v>
      </c>
      <c r="G4671" s="20" t="n">
        <f aca="false">E4671+F4671</f>
        <v>308.32</v>
      </c>
      <c r="H4671" s="20" t="n">
        <f aca="false">IF(G4671&lt;Parametres!$B$8*Parametres!$B$7,0,MIN(G4671,Parametres!$B$7))</f>
        <v>250</v>
      </c>
      <c r="I4671" s="20" t="n">
        <f aca="false">G4671-H4671</f>
        <v>58.32</v>
      </c>
      <c r="J4671" s="21" t="n">
        <f aca="false">H4671*1000/Parametres!$B$9</f>
        <v>4239.44378497541</v>
      </c>
    </row>
    <row r="4672" customFormat="false" ht="15" hidden="false" customHeight="false" outlineLevel="0" collapsed="false">
      <c r="A4672" s="0" t="n">
        <v>4668</v>
      </c>
      <c r="B4672" s="0" t="n">
        <v>7</v>
      </c>
      <c r="C4672" s="19" t="n">
        <v>1</v>
      </c>
      <c r="D4672" s="19" t="n">
        <v>0.0818</v>
      </c>
      <c r="E4672" s="20" t="n">
        <f aca="false">Parametres!$B$5*C4672</f>
        <v>300</v>
      </c>
      <c r="F4672" s="20" t="n">
        <f aca="false">Parametres!$B$6*D4672</f>
        <v>16.36</v>
      </c>
      <c r="G4672" s="20" t="n">
        <f aca="false">E4672+F4672</f>
        <v>316.36</v>
      </c>
      <c r="H4672" s="20" t="n">
        <f aca="false">IF(G4672&lt;Parametres!$B$8*Parametres!$B$7,0,MIN(G4672,Parametres!$B$7))</f>
        <v>250</v>
      </c>
      <c r="I4672" s="20" t="n">
        <f aca="false">G4672-H4672</f>
        <v>66.36</v>
      </c>
      <c r="J4672" s="21" t="n">
        <f aca="false">H4672*1000/Parametres!$B$9</f>
        <v>4239.44378497541</v>
      </c>
    </row>
    <row r="4673" customFormat="false" ht="15" hidden="false" customHeight="false" outlineLevel="0" collapsed="false">
      <c r="A4673" s="0" t="n">
        <v>4669</v>
      </c>
      <c r="B4673" s="0" t="n">
        <v>7</v>
      </c>
      <c r="C4673" s="19" t="n">
        <v>1</v>
      </c>
      <c r="D4673" s="19" t="n">
        <v>0.1017</v>
      </c>
      <c r="E4673" s="20" t="n">
        <f aca="false">Parametres!$B$5*C4673</f>
        <v>300</v>
      </c>
      <c r="F4673" s="20" t="n">
        <f aca="false">Parametres!$B$6*D4673</f>
        <v>20.34</v>
      </c>
      <c r="G4673" s="20" t="n">
        <f aca="false">E4673+F4673</f>
        <v>320.34</v>
      </c>
      <c r="H4673" s="20" t="n">
        <f aca="false">IF(G4673&lt;Parametres!$B$8*Parametres!$B$7,0,MIN(G4673,Parametres!$B$7))</f>
        <v>250</v>
      </c>
      <c r="I4673" s="20" t="n">
        <f aca="false">G4673-H4673</f>
        <v>70.34</v>
      </c>
      <c r="J4673" s="21" t="n">
        <f aca="false">H4673*1000/Parametres!$B$9</f>
        <v>4239.44378497541</v>
      </c>
    </row>
    <row r="4674" customFormat="false" ht="15" hidden="false" customHeight="false" outlineLevel="0" collapsed="false">
      <c r="A4674" s="0" t="n">
        <v>4670</v>
      </c>
      <c r="B4674" s="0" t="n">
        <v>7</v>
      </c>
      <c r="C4674" s="19" t="n">
        <v>1</v>
      </c>
      <c r="D4674" s="19" t="n">
        <v>0.1328</v>
      </c>
      <c r="E4674" s="20" t="n">
        <f aca="false">Parametres!$B$5*C4674</f>
        <v>300</v>
      </c>
      <c r="F4674" s="20" t="n">
        <f aca="false">Parametres!$B$6*D4674</f>
        <v>26.56</v>
      </c>
      <c r="G4674" s="20" t="n">
        <f aca="false">E4674+F4674</f>
        <v>326.56</v>
      </c>
      <c r="H4674" s="20" t="n">
        <f aca="false">IF(G4674&lt;Parametres!$B$8*Parametres!$B$7,0,MIN(G4674,Parametres!$B$7))</f>
        <v>250</v>
      </c>
      <c r="I4674" s="20" t="n">
        <f aca="false">G4674-H4674</f>
        <v>76.56</v>
      </c>
      <c r="J4674" s="21" t="n">
        <f aca="false">H4674*1000/Parametres!$B$9</f>
        <v>4239.44378497541</v>
      </c>
    </row>
    <row r="4675" customFormat="false" ht="15" hidden="false" customHeight="false" outlineLevel="0" collapsed="false">
      <c r="A4675" s="0" t="n">
        <v>4671</v>
      </c>
      <c r="B4675" s="0" t="n">
        <v>7</v>
      </c>
      <c r="C4675" s="19" t="n">
        <v>1</v>
      </c>
      <c r="D4675" s="19" t="n">
        <v>0.0872</v>
      </c>
      <c r="E4675" s="20" t="n">
        <f aca="false">Parametres!$B$5*C4675</f>
        <v>300</v>
      </c>
      <c r="F4675" s="20" t="n">
        <f aca="false">Parametres!$B$6*D4675</f>
        <v>17.44</v>
      </c>
      <c r="G4675" s="20" t="n">
        <f aca="false">E4675+F4675</f>
        <v>317.44</v>
      </c>
      <c r="H4675" s="20" t="n">
        <f aca="false">IF(G4675&lt;Parametres!$B$8*Parametres!$B$7,0,MIN(G4675,Parametres!$B$7))</f>
        <v>250</v>
      </c>
      <c r="I4675" s="20" t="n">
        <f aca="false">G4675-H4675</f>
        <v>67.44</v>
      </c>
      <c r="J4675" s="21" t="n">
        <f aca="false">H4675*1000/Parametres!$B$9</f>
        <v>4239.44378497541</v>
      </c>
    </row>
    <row r="4676" customFormat="false" ht="15" hidden="false" customHeight="false" outlineLevel="0" collapsed="false">
      <c r="A4676" s="0" t="n">
        <v>4672</v>
      </c>
      <c r="B4676" s="0" t="n">
        <v>7</v>
      </c>
      <c r="C4676" s="19" t="n">
        <v>0.7796</v>
      </c>
      <c r="D4676" s="19" t="n">
        <v>0.2226</v>
      </c>
      <c r="E4676" s="20" t="n">
        <f aca="false">Parametres!$B$5*C4676</f>
        <v>233.88</v>
      </c>
      <c r="F4676" s="20" t="n">
        <f aca="false">Parametres!$B$6*D4676</f>
        <v>44.52</v>
      </c>
      <c r="G4676" s="20" t="n">
        <f aca="false">E4676+F4676</f>
        <v>278.4</v>
      </c>
      <c r="H4676" s="20" t="n">
        <f aca="false">IF(G4676&lt;Parametres!$B$8*Parametres!$B$7,0,MIN(G4676,Parametres!$B$7))</f>
        <v>250</v>
      </c>
      <c r="I4676" s="20" t="n">
        <f aca="false">G4676-H4676</f>
        <v>28.4</v>
      </c>
      <c r="J4676" s="21" t="n">
        <f aca="false">H4676*1000/Parametres!$B$9</f>
        <v>4239.44378497541</v>
      </c>
    </row>
    <row r="4677" customFormat="false" ht="15" hidden="false" customHeight="false" outlineLevel="0" collapsed="false">
      <c r="A4677" s="0" t="n">
        <v>4673</v>
      </c>
      <c r="B4677" s="0" t="n">
        <v>7</v>
      </c>
      <c r="C4677" s="19" t="n">
        <v>0.5541</v>
      </c>
      <c r="D4677" s="19" t="n">
        <v>0.1467</v>
      </c>
      <c r="E4677" s="20" t="n">
        <f aca="false">Parametres!$B$5*C4677</f>
        <v>166.23</v>
      </c>
      <c r="F4677" s="20" t="n">
        <f aca="false">Parametres!$B$6*D4677</f>
        <v>29.34</v>
      </c>
      <c r="G4677" s="20" t="n">
        <f aca="false">E4677+F4677</f>
        <v>195.57</v>
      </c>
      <c r="H4677" s="20" t="n">
        <f aca="false">IF(G4677&lt;Parametres!$B$8*Parametres!$B$7,0,MIN(G4677,Parametres!$B$7))</f>
        <v>195.57</v>
      </c>
      <c r="I4677" s="20" t="n">
        <f aca="false">G4677-H4677</f>
        <v>0</v>
      </c>
      <c r="J4677" s="21" t="n">
        <f aca="false">H4677*1000/Parametres!$B$9</f>
        <v>3316.43208411057</v>
      </c>
    </row>
    <row r="4678" customFormat="false" ht="15" hidden="false" customHeight="false" outlineLevel="0" collapsed="false">
      <c r="A4678" s="0" t="n">
        <v>4674</v>
      </c>
      <c r="B4678" s="0" t="n">
        <v>7</v>
      </c>
      <c r="C4678" s="19" t="n">
        <v>0.2932</v>
      </c>
      <c r="D4678" s="19" t="n">
        <v>0.2826</v>
      </c>
      <c r="E4678" s="20" t="n">
        <f aca="false">Parametres!$B$5*C4678</f>
        <v>87.96</v>
      </c>
      <c r="F4678" s="20" t="n">
        <f aca="false">Parametres!$B$6*D4678</f>
        <v>56.52</v>
      </c>
      <c r="G4678" s="20" t="n">
        <f aca="false">E4678+F4678</f>
        <v>144.48</v>
      </c>
      <c r="H4678" s="20" t="n">
        <f aca="false">IF(G4678&lt;Parametres!$B$8*Parametres!$B$7,0,MIN(G4678,Parametres!$B$7))</f>
        <v>144.48</v>
      </c>
      <c r="I4678" s="20" t="n">
        <f aca="false">G4678-H4678</f>
        <v>0</v>
      </c>
      <c r="J4678" s="21" t="n">
        <f aca="false">H4678*1000/Parametres!$B$9</f>
        <v>2450.05935221299</v>
      </c>
    </row>
    <row r="4679" customFormat="false" ht="15" hidden="false" customHeight="false" outlineLevel="0" collapsed="false">
      <c r="A4679" s="0" t="n">
        <v>4675</v>
      </c>
      <c r="B4679" s="0" t="n">
        <v>7</v>
      </c>
      <c r="C4679" s="19" t="n">
        <v>0.0561</v>
      </c>
      <c r="D4679" s="19" t="n">
        <v>0.4654</v>
      </c>
      <c r="E4679" s="20" t="n">
        <f aca="false">Parametres!$B$5*C4679</f>
        <v>16.83</v>
      </c>
      <c r="F4679" s="20" t="n">
        <f aca="false">Parametres!$B$6*D4679</f>
        <v>93.08</v>
      </c>
      <c r="G4679" s="20" t="n">
        <f aca="false">E4679+F4679</f>
        <v>109.91</v>
      </c>
      <c r="H4679" s="20" t="n">
        <f aca="false">IF(G4679&lt;Parametres!$B$8*Parametres!$B$7,0,MIN(G4679,Parametres!$B$7))</f>
        <v>109.91</v>
      </c>
      <c r="I4679" s="20" t="n">
        <f aca="false">G4679-H4679</f>
        <v>0</v>
      </c>
      <c r="J4679" s="21" t="n">
        <f aca="false">H4679*1000/Parametres!$B$9</f>
        <v>1863.82906562659</v>
      </c>
    </row>
    <row r="4680" customFormat="false" ht="15" hidden="false" customHeight="false" outlineLevel="0" collapsed="false">
      <c r="A4680" s="0" t="n">
        <v>4676</v>
      </c>
      <c r="B4680" s="0" t="n">
        <v>7</v>
      </c>
      <c r="C4680" s="19" t="n">
        <v>0</v>
      </c>
      <c r="D4680" s="19" t="n">
        <v>0.5788</v>
      </c>
      <c r="E4680" s="20" t="n">
        <f aca="false">Parametres!$B$5*C4680</f>
        <v>0</v>
      </c>
      <c r="F4680" s="20" t="n">
        <f aca="false">Parametres!$B$6*D4680</f>
        <v>115.76</v>
      </c>
      <c r="G4680" s="20" t="n">
        <f aca="false">E4680+F4680</f>
        <v>115.76</v>
      </c>
      <c r="H4680" s="20" t="n">
        <f aca="false">IF(G4680&lt;Parametres!$B$8*Parametres!$B$7,0,MIN(G4680,Parametres!$B$7))</f>
        <v>115.76</v>
      </c>
      <c r="I4680" s="20" t="n">
        <f aca="false">G4680-H4680</f>
        <v>0</v>
      </c>
      <c r="J4680" s="21" t="n">
        <f aca="false">H4680*1000/Parametres!$B$9</f>
        <v>1963.03205019501</v>
      </c>
    </row>
    <row r="4681" customFormat="false" ht="15" hidden="false" customHeight="false" outlineLevel="0" collapsed="false">
      <c r="A4681" s="0" t="n">
        <v>4677</v>
      </c>
      <c r="B4681" s="0" t="n">
        <v>7</v>
      </c>
      <c r="C4681" s="19" t="n">
        <v>0</v>
      </c>
      <c r="D4681" s="19" t="n">
        <v>0.3288</v>
      </c>
      <c r="E4681" s="20" t="n">
        <f aca="false">Parametres!$B$5*C4681</f>
        <v>0</v>
      </c>
      <c r="F4681" s="20" t="n">
        <f aca="false">Parametres!$B$6*D4681</f>
        <v>65.76</v>
      </c>
      <c r="G4681" s="20" t="n">
        <f aca="false">E4681+F4681</f>
        <v>65.76</v>
      </c>
      <c r="H4681" s="20" t="n">
        <f aca="false">IF(G4681&lt;Parametres!$B$8*Parametres!$B$7,0,MIN(G4681,Parametres!$B$7))</f>
        <v>65.76</v>
      </c>
      <c r="I4681" s="20" t="n">
        <f aca="false">G4681-H4681</f>
        <v>0</v>
      </c>
      <c r="J4681" s="21" t="n">
        <f aca="false">H4681*1000/Parametres!$B$9</f>
        <v>1115.14329319993</v>
      </c>
    </row>
    <row r="4682" customFormat="false" ht="15" hidden="false" customHeight="false" outlineLevel="0" collapsed="false">
      <c r="A4682" s="0" t="n">
        <v>4678</v>
      </c>
      <c r="B4682" s="0" t="n">
        <v>7</v>
      </c>
      <c r="C4682" s="19" t="n">
        <v>0</v>
      </c>
      <c r="D4682" s="19" t="n">
        <v>0.3053</v>
      </c>
      <c r="E4682" s="20" t="n">
        <f aca="false">Parametres!$B$5*C4682</f>
        <v>0</v>
      </c>
      <c r="F4682" s="20" t="n">
        <f aca="false">Parametres!$B$6*D4682</f>
        <v>61.06</v>
      </c>
      <c r="G4682" s="20" t="n">
        <f aca="false">E4682+F4682</f>
        <v>61.06</v>
      </c>
      <c r="H4682" s="20" t="n">
        <f aca="false">IF(G4682&lt;Parametres!$B$8*Parametres!$B$7,0,MIN(G4682,Parametres!$B$7))</f>
        <v>61.06</v>
      </c>
      <c r="I4682" s="20" t="n">
        <f aca="false">G4682-H4682</f>
        <v>0</v>
      </c>
      <c r="J4682" s="21" t="n">
        <f aca="false">H4682*1000/Parametres!$B$9</f>
        <v>1035.44175004239</v>
      </c>
    </row>
    <row r="4683" customFormat="false" ht="15" hidden="false" customHeight="false" outlineLevel="0" collapsed="false">
      <c r="A4683" s="0" t="n">
        <v>4679</v>
      </c>
      <c r="B4683" s="0" t="n">
        <v>7</v>
      </c>
      <c r="C4683" s="19" t="n">
        <v>0</v>
      </c>
      <c r="D4683" s="19" t="n">
        <v>0.1969</v>
      </c>
      <c r="E4683" s="20" t="n">
        <f aca="false">Parametres!$B$5*C4683</f>
        <v>0</v>
      </c>
      <c r="F4683" s="20" t="n">
        <f aca="false">Parametres!$B$6*D4683</f>
        <v>39.38</v>
      </c>
      <c r="G4683" s="20" t="n">
        <f aca="false">E4683+F4683</f>
        <v>39.38</v>
      </c>
      <c r="H4683" s="20" t="n">
        <f aca="false">IF(G4683&lt;Parametres!$B$8*Parametres!$B$7,0,MIN(G4683,Parametres!$B$7))</f>
        <v>39.38</v>
      </c>
      <c r="I4683" s="20" t="n">
        <f aca="false">G4683-H4683</f>
        <v>0</v>
      </c>
      <c r="J4683" s="21" t="n">
        <f aca="false">H4683*1000/Parametres!$B$9</f>
        <v>667.797185009327</v>
      </c>
    </row>
    <row r="4684" customFormat="false" ht="15" hidden="false" customHeight="false" outlineLevel="0" collapsed="false">
      <c r="A4684" s="0" t="n">
        <v>4680</v>
      </c>
      <c r="B4684" s="0" t="n">
        <v>7</v>
      </c>
      <c r="C4684" s="19" t="n">
        <v>0</v>
      </c>
      <c r="D4684" s="19" t="n">
        <v>0.3366</v>
      </c>
      <c r="E4684" s="20" t="n">
        <f aca="false">Parametres!$B$5*C4684</f>
        <v>0</v>
      </c>
      <c r="F4684" s="20" t="n">
        <f aca="false">Parametres!$B$6*D4684</f>
        <v>67.32</v>
      </c>
      <c r="G4684" s="20" t="n">
        <f aca="false">E4684+F4684</f>
        <v>67.32</v>
      </c>
      <c r="H4684" s="20" t="n">
        <f aca="false">IF(G4684&lt;Parametres!$B$8*Parametres!$B$7,0,MIN(G4684,Parametres!$B$7))</f>
        <v>67.32</v>
      </c>
      <c r="I4684" s="20" t="n">
        <f aca="false">G4684-H4684</f>
        <v>0</v>
      </c>
      <c r="J4684" s="21" t="n">
        <f aca="false">H4684*1000/Parametres!$B$9</f>
        <v>1141.59742241818</v>
      </c>
    </row>
    <row r="4685" customFormat="false" ht="15" hidden="false" customHeight="false" outlineLevel="0" collapsed="false">
      <c r="A4685" s="0" t="n">
        <v>4681</v>
      </c>
      <c r="B4685" s="0" t="n">
        <v>7</v>
      </c>
      <c r="C4685" s="19" t="n">
        <v>0</v>
      </c>
      <c r="D4685" s="19" t="n">
        <v>0.3329</v>
      </c>
      <c r="E4685" s="20" t="n">
        <f aca="false">Parametres!$B$5*C4685</f>
        <v>0</v>
      </c>
      <c r="F4685" s="20" t="n">
        <f aca="false">Parametres!$B$6*D4685</f>
        <v>66.58</v>
      </c>
      <c r="G4685" s="20" t="n">
        <f aca="false">E4685+F4685</f>
        <v>66.58</v>
      </c>
      <c r="H4685" s="20" t="n">
        <f aca="false">IF(G4685&lt;Parametres!$B$8*Parametres!$B$7,0,MIN(G4685,Parametres!$B$7))</f>
        <v>66.58</v>
      </c>
      <c r="I4685" s="20" t="n">
        <f aca="false">G4685-H4685</f>
        <v>0</v>
      </c>
      <c r="J4685" s="21" t="n">
        <f aca="false">H4685*1000/Parametres!$B$9</f>
        <v>1129.04866881465</v>
      </c>
    </row>
    <row r="4686" customFormat="false" ht="15" hidden="false" customHeight="false" outlineLevel="0" collapsed="false">
      <c r="A4686" s="0" t="n">
        <v>4682</v>
      </c>
      <c r="B4686" s="0" t="n">
        <v>7</v>
      </c>
      <c r="C4686" s="19" t="n">
        <v>0</v>
      </c>
      <c r="D4686" s="19" t="n">
        <v>0.354</v>
      </c>
      <c r="E4686" s="20" t="n">
        <f aca="false">Parametres!$B$5*C4686</f>
        <v>0</v>
      </c>
      <c r="F4686" s="20" t="n">
        <f aca="false">Parametres!$B$6*D4686</f>
        <v>70.8</v>
      </c>
      <c r="G4686" s="20" t="n">
        <f aca="false">E4686+F4686</f>
        <v>70.8</v>
      </c>
      <c r="H4686" s="20" t="n">
        <f aca="false">IF(G4686&lt;Parametres!$B$8*Parametres!$B$7,0,MIN(G4686,Parametres!$B$7))</f>
        <v>70.8</v>
      </c>
      <c r="I4686" s="20" t="n">
        <f aca="false">G4686-H4686</f>
        <v>0</v>
      </c>
      <c r="J4686" s="21" t="n">
        <f aca="false">H4686*1000/Parametres!$B$9</f>
        <v>1200.61047990504</v>
      </c>
    </row>
    <row r="4687" customFormat="false" ht="15" hidden="false" customHeight="false" outlineLevel="0" collapsed="false">
      <c r="A4687" s="0" t="n">
        <v>4683</v>
      </c>
      <c r="B4687" s="0" t="n">
        <v>7</v>
      </c>
      <c r="C4687" s="19" t="n">
        <v>0</v>
      </c>
      <c r="D4687" s="19" t="n">
        <v>0.3557</v>
      </c>
      <c r="E4687" s="20" t="n">
        <f aca="false">Parametres!$B$5*C4687</f>
        <v>0</v>
      </c>
      <c r="F4687" s="20" t="n">
        <f aca="false">Parametres!$B$6*D4687</f>
        <v>71.14</v>
      </c>
      <c r="G4687" s="20" t="n">
        <f aca="false">E4687+F4687</f>
        <v>71.14</v>
      </c>
      <c r="H4687" s="20" t="n">
        <f aca="false">IF(G4687&lt;Parametres!$B$8*Parametres!$B$7,0,MIN(G4687,Parametres!$B$7))</f>
        <v>71.14</v>
      </c>
      <c r="I4687" s="20" t="n">
        <f aca="false">G4687-H4687</f>
        <v>0</v>
      </c>
      <c r="J4687" s="21" t="n">
        <f aca="false">H4687*1000/Parametres!$B$9</f>
        <v>1206.3761234526</v>
      </c>
    </row>
    <row r="4688" customFormat="false" ht="15" hidden="false" customHeight="false" outlineLevel="0" collapsed="false">
      <c r="A4688" s="0" t="n">
        <v>4684</v>
      </c>
      <c r="B4688" s="0" t="n">
        <v>7</v>
      </c>
      <c r="C4688" s="19" t="n">
        <v>0</v>
      </c>
      <c r="D4688" s="19" t="n">
        <v>0.3741</v>
      </c>
      <c r="E4688" s="20" t="n">
        <f aca="false">Parametres!$B$5*C4688</f>
        <v>0</v>
      </c>
      <c r="F4688" s="20" t="n">
        <f aca="false">Parametres!$B$6*D4688</f>
        <v>74.82</v>
      </c>
      <c r="G4688" s="20" t="n">
        <f aca="false">E4688+F4688</f>
        <v>74.82</v>
      </c>
      <c r="H4688" s="20" t="n">
        <f aca="false">IF(G4688&lt;Parametres!$B$8*Parametres!$B$7,0,MIN(G4688,Parametres!$B$7))</f>
        <v>74.82</v>
      </c>
      <c r="I4688" s="20" t="n">
        <f aca="false">G4688-H4688</f>
        <v>0</v>
      </c>
      <c r="J4688" s="21" t="n">
        <f aca="false">H4688*1000/Parametres!$B$9</f>
        <v>1268.78073596744</v>
      </c>
    </row>
    <row r="4689" customFormat="false" ht="15" hidden="false" customHeight="false" outlineLevel="0" collapsed="false">
      <c r="A4689" s="0" t="n">
        <v>4685</v>
      </c>
      <c r="B4689" s="0" t="n">
        <v>7</v>
      </c>
      <c r="C4689" s="19" t="n">
        <v>0</v>
      </c>
      <c r="D4689" s="19" t="n">
        <v>0.5265</v>
      </c>
      <c r="E4689" s="20" t="n">
        <f aca="false">Parametres!$B$5*C4689</f>
        <v>0</v>
      </c>
      <c r="F4689" s="20" t="n">
        <f aca="false">Parametres!$B$6*D4689</f>
        <v>105.3</v>
      </c>
      <c r="G4689" s="20" t="n">
        <f aca="false">E4689+F4689</f>
        <v>105.3</v>
      </c>
      <c r="H4689" s="20" t="n">
        <f aca="false">IF(G4689&lt;Parametres!$B$8*Parametres!$B$7,0,MIN(G4689,Parametres!$B$7))</f>
        <v>105.3</v>
      </c>
      <c r="I4689" s="20" t="n">
        <f aca="false">G4689-H4689</f>
        <v>0</v>
      </c>
      <c r="J4689" s="21" t="n">
        <f aca="false">H4689*1000/Parametres!$B$9</f>
        <v>1785.65372223164</v>
      </c>
    </row>
    <row r="4690" customFormat="false" ht="15" hidden="false" customHeight="false" outlineLevel="0" collapsed="false">
      <c r="A4690" s="0" t="n">
        <v>4686</v>
      </c>
      <c r="B4690" s="0" t="n">
        <v>7</v>
      </c>
      <c r="C4690" s="19" t="n">
        <v>0.043</v>
      </c>
      <c r="D4690" s="19" t="n">
        <v>1</v>
      </c>
      <c r="E4690" s="20" t="n">
        <f aca="false">Parametres!$B$5*C4690</f>
        <v>12.9</v>
      </c>
      <c r="F4690" s="20" t="n">
        <f aca="false">Parametres!$B$6*D4690</f>
        <v>200</v>
      </c>
      <c r="G4690" s="20" t="n">
        <f aca="false">E4690+F4690</f>
        <v>212.9</v>
      </c>
      <c r="H4690" s="20" t="n">
        <f aca="false">IF(G4690&lt;Parametres!$B$8*Parametres!$B$7,0,MIN(G4690,Parametres!$B$7))</f>
        <v>212.9</v>
      </c>
      <c r="I4690" s="20" t="n">
        <f aca="false">G4690-H4690</f>
        <v>0</v>
      </c>
      <c r="J4690" s="21" t="n">
        <f aca="false">H4690*1000/Parametres!$B$9</f>
        <v>3610.31032728506</v>
      </c>
    </row>
    <row r="4691" customFormat="false" ht="15" hidden="false" customHeight="false" outlineLevel="0" collapsed="false">
      <c r="A4691" s="0" t="n">
        <v>4687</v>
      </c>
      <c r="B4691" s="0" t="n">
        <v>7</v>
      </c>
      <c r="C4691" s="19" t="n">
        <v>0.2188</v>
      </c>
      <c r="D4691" s="19" t="n">
        <v>1</v>
      </c>
      <c r="E4691" s="20" t="n">
        <f aca="false">Parametres!$B$5*C4691</f>
        <v>65.64</v>
      </c>
      <c r="F4691" s="20" t="n">
        <f aca="false">Parametres!$B$6*D4691</f>
        <v>200</v>
      </c>
      <c r="G4691" s="20" t="n">
        <f aca="false">E4691+F4691</f>
        <v>265.64</v>
      </c>
      <c r="H4691" s="20" t="n">
        <f aca="false">IF(G4691&lt;Parametres!$B$8*Parametres!$B$7,0,MIN(G4691,Parametres!$B$7))</f>
        <v>250</v>
      </c>
      <c r="I4691" s="20" t="n">
        <f aca="false">G4691-H4691</f>
        <v>15.64</v>
      </c>
      <c r="J4691" s="21" t="n">
        <f aca="false">H4691*1000/Parametres!$B$9</f>
        <v>4239.44378497541</v>
      </c>
    </row>
    <row r="4692" customFormat="false" ht="15" hidden="false" customHeight="false" outlineLevel="0" collapsed="false">
      <c r="A4692" s="0" t="n">
        <v>4688</v>
      </c>
      <c r="B4692" s="0" t="n">
        <v>7</v>
      </c>
      <c r="C4692" s="19" t="n">
        <v>0.4334</v>
      </c>
      <c r="D4692" s="19" t="n">
        <v>1</v>
      </c>
      <c r="E4692" s="20" t="n">
        <f aca="false">Parametres!$B$5*C4692</f>
        <v>130.02</v>
      </c>
      <c r="F4692" s="20" t="n">
        <f aca="false">Parametres!$B$6*D4692</f>
        <v>200</v>
      </c>
      <c r="G4692" s="20" t="n">
        <f aca="false">E4692+F4692</f>
        <v>330.02</v>
      </c>
      <c r="H4692" s="20" t="n">
        <f aca="false">IF(G4692&lt;Parametres!$B$8*Parametres!$B$7,0,MIN(G4692,Parametres!$B$7))</f>
        <v>250</v>
      </c>
      <c r="I4692" s="20" t="n">
        <f aca="false">G4692-H4692</f>
        <v>80.02</v>
      </c>
      <c r="J4692" s="21" t="n">
        <f aca="false">H4692*1000/Parametres!$B$9</f>
        <v>4239.44378497541</v>
      </c>
    </row>
    <row r="4693" customFormat="false" ht="15" hidden="false" customHeight="false" outlineLevel="0" collapsed="false">
      <c r="A4693" s="0" t="n">
        <v>4689</v>
      </c>
      <c r="B4693" s="0" t="n">
        <v>7</v>
      </c>
      <c r="C4693" s="19" t="n">
        <v>0.611</v>
      </c>
      <c r="D4693" s="19" t="n">
        <v>1</v>
      </c>
      <c r="E4693" s="20" t="n">
        <f aca="false">Parametres!$B$5*C4693</f>
        <v>183.3</v>
      </c>
      <c r="F4693" s="20" t="n">
        <f aca="false">Parametres!$B$6*D4693</f>
        <v>200</v>
      </c>
      <c r="G4693" s="20" t="n">
        <f aca="false">E4693+F4693</f>
        <v>383.3</v>
      </c>
      <c r="H4693" s="20" t="n">
        <f aca="false">IF(G4693&lt;Parametres!$B$8*Parametres!$B$7,0,MIN(G4693,Parametres!$B$7))</f>
        <v>250</v>
      </c>
      <c r="I4693" s="20" t="n">
        <f aca="false">G4693-H4693</f>
        <v>133.3</v>
      </c>
      <c r="J4693" s="21" t="n">
        <f aca="false">H4693*1000/Parametres!$B$9</f>
        <v>4239.44378497541</v>
      </c>
    </row>
    <row r="4694" customFormat="false" ht="15" hidden="false" customHeight="false" outlineLevel="0" collapsed="false">
      <c r="A4694" s="0" t="n">
        <v>4690</v>
      </c>
      <c r="B4694" s="0" t="n">
        <v>7</v>
      </c>
      <c r="C4694" s="19" t="n">
        <v>0.7857</v>
      </c>
      <c r="D4694" s="19" t="n">
        <v>1</v>
      </c>
      <c r="E4694" s="20" t="n">
        <f aca="false">Parametres!$B$5*C4694</f>
        <v>235.71</v>
      </c>
      <c r="F4694" s="20" t="n">
        <f aca="false">Parametres!$B$6*D4694</f>
        <v>200</v>
      </c>
      <c r="G4694" s="20" t="n">
        <f aca="false">E4694+F4694</f>
        <v>435.71</v>
      </c>
      <c r="H4694" s="20" t="n">
        <f aca="false">IF(G4694&lt;Parametres!$B$8*Parametres!$B$7,0,MIN(G4694,Parametres!$B$7))</f>
        <v>250</v>
      </c>
      <c r="I4694" s="20" t="n">
        <f aca="false">G4694-H4694</f>
        <v>185.71</v>
      </c>
      <c r="J4694" s="21" t="n">
        <f aca="false">H4694*1000/Parametres!$B$9</f>
        <v>4239.44378497541</v>
      </c>
    </row>
    <row r="4695" customFormat="false" ht="15" hidden="false" customHeight="false" outlineLevel="0" collapsed="false">
      <c r="A4695" s="0" t="n">
        <v>4691</v>
      </c>
      <c r="B4695" s="0" t="n">
        <v>7</v>
      </c>
      <c r="C4695" s="19" t="n">
        <v>0.8665</v>
      </c>
      <c r="D4695" s="19" t="n">
        <v>1</v>
      </c>
      <c r="E4695" s="20" t="n">
        <f aca="false">Parametres!$B$5*C4695</f>
        <v>259.95</v>
      </c>
      <c r="F4695" s="20" t="n">
        <f aca="false">Parametres!$B$6*D4695</f>
        <v>200</v>
      </c>
      <c r="G4695" s="20" t="n">
        <f aca="false">E4695+F4695</f>
        <v>459.95</v>
      </c>
      <c r="H4695" s="20" t="n">
        <f aca="false">IF(G4695&lt;Parametres!$B$8*Parametres!$B$7,0,MIN(G4695,Parametres!$B$7))</f>
        <v>250</v>
      </c>
      <c r="I4695" s="20" t="n">
        <f aca="false">G4695-H4695</f>
        <v>209.95</v>
      </c>
      <c r="J4695" s="21" t="n">
        <f aca="false">H4695*1000/Parametres!$B$9</f>
        <v>4239.44378497541</v>
      </c>
    </row>
    <row r="4696" customFormat="false" ht="15" hidden="false" customHeight="false" outlineLevel="0" collapsed="false">
      <c r="A4696" s="0" t="n">
        <v>4692</v>
      </c>
      <c r="B4696" s="0" t="n">
        <v>7</v>
      </c>
      <c r="C4696" s="19" t="n">
        <v>1</v>
      </c>
      <c r="D4696" s="19" t="n">
        <v>1</v>
      </c>
      <c r="E4696" s="20" t="n">
        <f aca="false">Parametres!$B$5*C4696</f>
        <v>300</v>
      </c>
      <c r="F4696" s="20" t="n">
        <f aca="false">Parametres!$B$6*D4696</f>
        <v>200</v>
      </c>
      <c r="G4696" s="20" t="n">
        <f aca="false">E4696+F4696</f>
        <v>500</v>
      </c>
      <c r="H4696" s="20" t="n">
        <f aca="false">IF(G4696&lt;Parametres!$B$8*Parametres!$B$7,0,MIN(G4696,Parametres!$B$7))</f>
        <v>250</v>
      </c>
      <c r="I4696" s="20" t="n">
        <f aca="false">G4696-H4696</f>
        <v>250</v>
      </c>
      <c r="J4696" s="21" t="n">
        <f aca="false">H4696*1000/Parametres!$B$9</f>
        <v>4239.44378497541</v>
      </c>
    </row>
    <row r="4697" customFormat="false" ht="15" hidden="false" customHeight="false" outlineLevel="0" collapsed="false">
      <c r="A4697" s="0" t="n">
        <v>4693</v>
      </c>
      <c r="B4697" s="0" t="n">
        <v>7</v>
      </c>
      <c r="C4697" s="19" t="n">
        <v>0.9447</v>
      </c>
      <c r="D4697" s="19" t="n">
        <v>1</v>
      </c>
      <c r="E4697" s="20" t="n">
        <f aca="false">Parametres!$B$5*C4697</f>
        <v>283.41</v>
      </c>
      <c r="F4697" s="20" t="n">
        <f aca="false">Parametres!$B$6*D4697</f>
        <v>200</v>
      </c>
      <c r="G4697" s="20" t="n">
        <f aca="false">E4697+F4697</f>
        <v>483.41</v>
      </c>
      <c r="H4697" s="20" t="n">
        <f aca="false">IF(G4697&lt;Parametres!$B$8*Parametres!$B$7,0,MIN(G4697,Parametres!$B$7))</f>
        <v>250</v>
      </c>
      <c r="I4697" s="20" t="n">
        <f aca="false">G4697-H4697</f>
        <v>233.41</v>
      </c>
      <c r="J4697" s="21" t="n">
        <f aca="false">H4697*1000/Parametres!$B$9</f>
        <v>4239.44378497541</v>
      </c>
    </row>
    <row r="4698" customFormat="false" ht="15" hidden="false" customHeight="false" outlineLevel="0" collapsed="false">
      <c r="A4698" s="0" t="n">
        <v>4694</v>
      </c>
      <c r="B4698" s="0" t="n">
        <v>7</v>
      </c>
      <c r="C4698" s="19" t="n">
        <v>0.8429</v>
      </c>
      <c r="D4698" s="19" t="n">
        <v>1</v>
      </c>
      <c r="E4698" s="20" t="n">
        <f aca="false">Parametres!$B$5*C4698</f>
        <v>252.87</v>
      </c>
      <c r="F4698" s="20" t="n">
        <f aca="false">Parametres!$B$6*D4698</f>
        <v>200</v>
      </c>
      <c r="G4698" s="20" t="n">
        <f aca="false">E4698+F4698</f>
        <v>452.87</v>
      </c>
      <c r="H4698" s="20" t="n">
        <f aca="false">IF(G4698&lt;Parametres!$B$8*Parametres!$B$7,0,MIN(G4698,Parametres!$B$7))</f>
        <v>250</v>
      </c>
      <c r="I4698" s="20" t="n">
        <f aca="false">G4698-H4698</f>
        <v>202.87</v>
      </c>
      <c r="J4698" s="21" t="n">
        <f aca="false">H4698*1000/Parametres!$B$9</f>
        <v>4239.44378497541</v>
      </c>
    </row>
    <row r="4699" customFormat="false" ht="15" hidden="false" customHeight="false" outlineLevel="0" collapsed="false">
      <c r="A4699" s="0" t="n">
        <v>4695</v>
      </c>
      <c r="B4699" s="0" t="n">
        <v>7</v>
      </c>
      <c r="C4699" s="19" t="n">
        <v>0.7797</v>
      </c>
      <c r="D4699" s="19" t="n">
        <v>1</v>
      </c>
      <c r="E4699" s="20" t="n">
        <f aca="false">Parametres!$B$5*C4699</f>
        <v>233.91</v>
      </c>
      <c r="F4699" s="20" t="n">
        <f aca="false">Parametres!$B$6*D4699</f>
        <v>200</v>
      </c>
      <c r="G4699" s="20" t="n">
        <f aca="false">E4699+F4699</f>
        <v>433.91</v>
      </c>
      <c r="H4699" s="20" t="n">
        <f aca="false">IF(G4699&lt;Parametres!$B$8*Parametres!$B$7,0,MIN(G4699,Parametres!$B$7))</f>
        <v>250</v>
      </c>
      <c r="I4699" s="20" t="n">
        <f aca="false">G4699-H4699</f>
        <v>183.91</v>
      </c>
      <c r="J4699" s="21" t="n">
        <f aca="false">H4699*1000/Parametres!$B$9</f>
        <v>4239.44378497541</v>
      </c>
    </row>
    <row r="4700" customFormat="false" ht="15" hidden="false" customHeight="false" outlineLevel="0" collapsed="false">
      <c r="A4700" s="0" t="n">
        <v>4696</v>
      </c>
      <c r="B4700" s="0" t="n">
        <v>7</v>
      </c>
      <c r="C4700" s="19" t="n">
        <v>0.5906</v>
      </c>
      <c r="D4700" s="19" t="n">
        <v>0.8702</v>
      </c>
      <c r="E4700" s="20" t="n">
        <f aca="false">Parametres!$B$5*C4700</f>
        <v>177.18</v>
      </c>
      <c r="F4700" s="20" t="n">
        <f aca="false">Parametres!$B$6*D4700</f>
        <v>174.04</v>
      </c>
      <c r="G4700" s="20" t="n">
        <f aca="false">E4700+F4700</f>
        <v>351.22</v>
      </c>
      <c r="H4700" s="20" t="n">
        <f aca="false">IF(G4700&lt;Parametres!$B$8*Parametres!$B$7,0,MIN(G4700,Parametres!$B$7))</f>
        <v>250</v>
      </c>
      <c r="I4700" s="20" t="n">
        <f aca="false">G4700-H4700</f>
        <v>101.22</v>
      </c>
      <c r="J4700" s="21" t="n">
        <f aca="false">H4700*1000/Parametres!$B$9</f>
        <v>4239.44378497541</v>
      </c>
    </row>
    <row r="4701" customFormat="false" ht="15" hidden="false" customHeight="false" outlineLevel="0" collapsed="false">
      <c r="A4701" s="0" t="n">
        <v>4697</v>
      </c>
      <c r="B4701" s="0" t="n">
        <v>7</v>
      </c>
      <c r="C4701" s="19" t="n">
        <v>0.4359</v>
      </c>
      <c r="D4701" s="19" t="n">
        <v>0.7648</v>
      </c>
      <c r="E4701" s="20" t="n">
        <f aca="false">Parametres!$B$5*C4701</f>
        <v>130.77</v>
      </c>
      <c r="F4701" s="20" t="n">
        <f aca="false">Parametres!$B$6*D4701</f>
        <v>152.96</v>
      </c>
      <c r="G4701" s="20" t="n">
        <f aca="false">E4701+F4701</f>
        <v>283.73</v>
      </c>
      <c r="H4701" s="20" t="n">
        <f aca="false">IF(G4701&lt;Parametres!$B$8*Parametres!$B$7,0,MIN(G4701,Parametres!$B$7))</f>
        <v>250</v>
      </c>
      <c r="I4701" s="20" t="n">
        <f aca="false">G4701-H4701</f>
        <v>33.73</v>
      </c>
      <c r="J4701" s="21" t="n">
        <f aca="false">H4701*1000/Parametres!$B$9</f>
        <v>4239.44378497541</v>
      </c>
    </row>
    <row r="4702" customFormat="false" ht="15" hidden="false" customHeight="false" outlineLevel="0" collapsed="false">
      <c r="A4702" s="0" t="n">
        <v>4698</v>
      </c>
      <c r="B4702" s="0" t="n">
        <v>7</v>
      </c>
      <c r="C4702" s="19" t="n">
        <v>0.2381</v>
      </c>
      <c r="D4702" s="19" t="n">
        <v>0.8863</v>
      </c>
      <c r="E4702" s="20" t="n">
        <f aca="false">Parametres!$B$5*C4702</f>
        <v>71.43</v>
      </c>
      <c r="F4702" s="20" t="n">
        <f aca="false">Parametres!$B$6*D4702</f>
        <v>177.26</v>
      </c>
      <c r="G4702" s="20" t="n">
        <f aca="false">E4702+F4702</f>
        <v>248.69</v>
      </c>
      <c r="H4702" s="20" t="n">
        <f aca="false">IF(G4702&lt;Parametres!$B$8*Parametres!$B$7,0,MIN(G4702,Parametres!$B$7))</f>
        <v>248.69</v>
      </c>
      <c r="I4702" s="20" t="n">
        <f aca="false">G4702-H4702</f>
        <v>0</v>
      </c>
      <c r="J4702" s="21" t="n">
        <f aca="false">H4702*1000/Parametres!$B$9</f>
        <v>4217.22909954214</v>
      </c>
    </row>
    <row r="4703" customFormat="false" ht="15" hidden="false" customHeight="false" outlineLevel="0" collapsed="false">
      <c r="A4703" s="0" t="n">
        <v>4699</v>
      </c>
      <c r="B4703" s="0" t="n">
        <v>7</v>
      </c>
      <c r="C4703" s="19" t="n">
        <v>0.044</v>
      </c>
      <c r="D4703" s="19" t="n">
        <v>0.7724</v>
      </c>
      <c r="E4703" s="20" t="n">
        <f aca="false">Parametres!$B$5*C4703</f>
        <v>13.2</v>
      </c>
      <c r="F4703" s="20" t="n">
        <f aca="false">Parametres!$B$6*D4703</f>
        <v>154.48</v>
      </c>
      <c r="G4703" s="20" t="n">
        <f aca="false">E4703+F4703</f>
        <v>167.68</v>
      </c>
      <c r="H4703" s="20" t="n">
        <f aca="false">IF(G4703&lt;Parametres!$B$8*Parametres!$B$7,0,MIN(G4703,Parametres!$B$7))</f>
        <v>167.68</v>
      </c>
      <c r="I4703" s="20" t="n">
        <f aca="false">G4703-H4703</f>
        <v>0</v>
      </c>
      <c r="J4703" s="21" t="n">
        <f aca="false">H4703*1000/Parametres!$B$9</f>
        <v>2843.47973545871</v>
      </c>
    </row>
    <row r="4704" customFormat="false" ht="15" hidden="false" customHeight="false" outlineLevel="0" collapsed="false">
      <c r="A4704" s="0" t="n">
        <v>4700</v>
      </c>
      <c r="B4704" s="0" t="n">
        <v>7</v>
      </c>
      <c r="C4704" s="19" t="n">
        <v>0</v>
      </c>
      <c r="D4704" s="19" t="n">
        <v>0.7164</v>
      </c>
      <c r="E4704" s="20" t="n">
        <f aca="false">Parametres!$B$5*C4704</f>
        <v>0</v>
      </c>
      <c r="F4704" s="20" t="n">
        <f aca="false">Parametres!$B$6*D4704</f>
        <v>143.28</v>
      </c>
      <c r="G4704" s="20" t="n">
        <f aca="false">E4704+F4704</f>
        <v>143.28</v>
      </c>
      <c r="H4704" s="20" t="n">
        <f aca="false">IF(G4704&lt;Parametres!$B$8*Parametres!$B$7,0,MIN(G4704,Parametres!$B$7))</f>
        <v>143.28</v>
      </c>
      <c r="I4704" s="20" t="n">
        <f aca="false">G4704-H4704</f>
        <v>0</v>
      </c>
      <c r="J4704" s="21" t="n">
        <f aca="false">H4704*1000/Parametres!$B$9</f>
        <v>2429.71002204511</v>
      </c>
    </row>
    <row r="4705" customFormat="false" ht="15" hidden="false" customHeight="false" outlineLevel="0" collapsed="false">
      <c r="A4705" s="0" t="n">
        <v>4701</v>
      </c>
      <c r="B4705" s="0" t="n">
        <v>7</v>
      </c>
      <c r="C4705" s="19" t="n">
        <v>0</v>
      </c>
      <c r="D4705" s="19" t="n">
        <v>0.8514</v>
      </c>
      <c r="E4705" s="20" t="n">
        <f aca="false">Parametres!$B$5*C4705</f>
        <v>0</v>
      </c>
      <c r="F4705" s="20" t="n">
        <f aca="false">Parametres!$B$6*D4705</f>
        <v>170.28</v>
      </c>
      <c r="G4705" s="20" t="n">
        <f aca="false">E4705+F4705</f>
        <v>170.28</v>
      </c>
      <c r="H4705" s="20" t="n">
        <f aca="false">IF(G4705&lt;Parametres!$B$8*Parametres!$B$7,0,MIN(G4705,Parametres!$B$7))</f>
        <v>170.28</v>
      </c>
      <c r="I4705" s="20" t="n">
        <f aca="false">G4705-H4705</f>
        <v>0</v>
      </c>
      <c r="J4705" s="21" t="n">
        <f aca="false">H4705*1000/Parametres!$B$9</f>
        <v>2887.56995082245</v>
      </c>
    </row>
    <row r="4706" customFormat="false" ht="15" hidden="false" customHeight="false" outlineLevel="0" collapsed="false">
      <c r="A4706" s="0" t="n">
        <v>4702</v>
      </c>
      <c r="B4706" s="0" t="n">
        <v>7</v>
      </c>
      <c r="C4706" s="19" t="n">
        <v>0</v>
      </c>
      <c r="D4706" s="19" t="n">
        <v>1</v>
      </c>
      <c r="E4706" s="20" t="n">
        <f aca="false">Parametres!$B$5*C4706</f>
        <v>0</v>
      </c>
      <c r="F4706" s="20" t="n">
        <f aca="false">Parametres!$B$6*D4706</f>
        <v>200</v>
      </c>
      <c r="G4706" s="20" t="n">
        <f aca="false">E4706+F4706</f>
        <v>200</v>
      </c>
      <c r="H4706" s="20" t="n">
        <f aca="false">IF(G4706&lt;Parametres!$B$8*Parametres!$B$7,0,MIN(G4706,Parametres!$B$7))</f>
        <v>200</v>
      </c>
      <c r="I4706" s="20" t="n">
        <f aca="false">G4706-H4706</f>
        <v>0</v>
      </c>
      <c r="J4706" s="21" t="n">
        <f aca="false">H4706*1000/Parametres!$B$9</f>
        <v>3391.55502798033</v>
      </c>
    </row>
    <row r="4707" customFormat="false" ht="15" hidden="false" customHeight="false" outlineLevel="0" collapsed="false">
      <c r="A4707" s="0" t="n">
        <v>4703</v>
      </c>
      <c r="B4707" s="0" t="n">
        <v>7</v>
      </c>
      <c r="C4707" s="19" t="n">
        <v>0</v>
      </c>
      <c r="D4707" s="19" t="n">
        <v>1</v>
      </c>
      <c r="E4707" s="20" t="n">
        <f aca="false">Parametres!$B$5*C4707</f>
        <v>0</v>
      </c>
      <c r="F4707" s="20" t="n">
        <f aca="false">Parametres!$B$6*D4707</f>
        <v>200</v>
      </c>
      <c r="G4707" s="20" t="n">
        <f aca="false">E4707+F4707</f>
        <v>200</v>
      </c>
      <c r="H4707" s="20" t="n">
        <f aca="false">IF(G4707&lt;Parametres!$B$8*Parametres!$B$7,0,MIN(G4707,Parametres!$B$7))</f>
        <v>200</v>
      </c>
      <c r="I4707" s="20" t="n">
        <f aca="false">G4707-H4707</f>
        <v>0</v>
      </c>
      <c r="J4707" s="21" t="n">
        <f aca="false">H4707*1000/Parametres!$B$9</f>
        <v>3391.55502798033</v>
      </c>
    </row>
    <row r="4708" customFormat="false" ht="15" hidden="false" customHeight="false" outlineLevel="0" collapsed="false">
      <c r="A4708" s="0" t="n">
        <v>4704</v>
      </c>
      <c r="B4708" s="0" t="n">
        <v>7</v>
      </c>
      <c r="C4708" s="19" t="n">
        <v>0</v>
      </c>
      <c r="D4708" s="19" t="n">
        <v>1</v>
      </c>
      <c r="E4708" s="20" t="n">
        <f aca="false">Parametres!$B$5*C4708</f>
        <v>0</v>
      </c>
      <c r="F4708" s="20" t="n">
        <f aca="false">Parametres!$B$6*D4708</f>
        <v>200</v>
      </c>
      <c r="G4708" s="20" t="n">
        <f aca="false">E4708+F4708</f>
        <v>200</v>
      </c>
      <c r="H4708" s="20" t="n">
        <f aca="false">IF(G4708&lt;Parametres!$B$8*Parametres!$B$7,0,MIN(G4708,Parametres!$B$7))</f>
        <v>200</v>
      </c>
      <c r="I4708" s="20" t="n">
        <f aca="false">G4708-H4708</f>
        <v>0</v>
      </c>
      <c r="J4708" s="21" t="n">
        <f aca="false">H4708*1000/Parametres!$B$9</f>
        <v>3391.55502798033</v>
      </c>
    </row>
    <row r="4709" customFormat="false" ht="15" hidden="false" customHeight="false" outlineLevel="0" collapsed="false">
      <c r="A4709" s="0" t="n">
        <v>4705</v>
      </c>
      <c r="B4709" s="0" t="n">
        <v>7</v>
      </c>
      <c r="C4709" s="19" t="n">
        <v>0</v>
      </c>
      <c r="D4709" s="19" t="n">
        <v>1</v>
      </c>
      <c r="E4709" s="20" t="n">
        <f aca="false">Parametres!$B$5*C4709</f>
        <v>0</v>
      </c>
      <c r="F4709" s="20" t="n">
        <f aca="false">Parametres!$B$6*D4709</f>
        <v>200</v>
      </c>
      <c r="G4709" s="20" t="n">
        <f aca="false">E4709+F4709</f>
        <v>200</v>
      </c>
      <c r="H4709" s="20" t="n">
        <f aca="false">IF(G4709&lt;Parametres!$B$8*Parametres!$B$7,0,MIN(G4709,Parametres!$B$7))</f>
        <v>200</v>
      </c>
      <c r="I4709" s="20" t="n">
        <f aca="false">G4709-H4709</f>
        <v>0</v>
      </c>
      <c r="J4709" s="21" t="n">
        <f aca="false">H4709*1000/Parametres!$B$9</f>
        <v>3391.55502798033</v>
      </c>
    </row>
    <row r="4710" customFormat="false" ht="15" hidden="false" customHeight="false" outlineLevel="0" collapsed="false">
      <c r="A4710" s="0" t="n">
        <v>4706</v>
      </c>
      <c r="B4710" s="0" t="n">
        <v>7</v>
      </c>
      <c r="C4710" s="19" t="n">
        <v>0</v>
      </c>
      <c r="D4710" s="19" t="n">
        <v>1</v>
      </c>
      <c r="E4710" s="20" t="n">
        <f aca="false">Parametres!$B$5*C4710</f>
        <v>0</v>
      </c>
      <c r="F4710" s="20" t="n">
        <f aca="false">Parametres!$B$6*D4710</f>
        <v>200</v>
      </c>
      <c r="G4710" s="20" t="n">
        <f aca="false">E4710+F4710</f>
        <v>200</v>
      </c>
      <c r="H4710" s="20" t="n">
        <f aca="false">IF(G4710&lt;Parametres!$B$8*Parametres!$B$7,0,MIN(G4710,Parametres!$B$7))</f>
        <v>200</v>
      </c>
      <c r="I4710" s="20" t="n">
        <f aca="false">G4710-H4710</f>
        <v>0</v>
      </c>
      <c r="J4710" s="21" t="n">
        <f aca="false">H4710*1000/Parametres!$B$9</f>
        <v>3391.55502798033</v>
      </c>
    </row>
    <row r="4711" customFormat="false" ht="15" hidden="false" customHeight="false" outlineLevel="0" collapsed="false">
      <c r="A4711" s="0" t="n">
        <v>4707</v>
      </c>
      <c r="B4711" s="0" t="n">
        <v>7</v>
      </c>
      <c r="C4711" s="19" t="n">
        <v>0</v>
      </c>
      <c r="D4711" s="19" t="n">
        <v>1</v>
      </c>
      <c r="E4711" s="20" t="n">
        <f aca="false">Parametres!$B$5*C4711</f>
        <v>0</v>
      </c>
      <c r="F4711" s="20" t="n">
        <f aca="false">Parametres!$B$6*D4711</f>
        <v>200</v>
      </c>
      <c r="G4711" s="20" t="n">
        <f aca="false">E4711+F4711</f>
        <v>200</v>
      </c>
      <c r="H4711" s="20" t="n">
        <f aca="false">IF(G4711&lt;Parametres!$B$8*Parametres!$B$7,0,MIN(G4711,Parametres!$B$7))</f>
        <v>200</v>
      </c>
      <c r="I4711" s="20" t="n">
        <f aca="false">G4711-H4711</f>
        <v>0</v>
      </c>
      <c r="J4711" s="21" t="n">
        <f aca="false">H4711*1000/Parametres!$B$9</f>
        <v>3391.55502798033</v>
      </c>
    </row>
    <row r="4712" customFormat="false" ht="15" hidden="false" customHeight="false" outlineLevel="0" collapsed="false">
      <c r="A4712" s="0" t="n">
        <v>4708</v>
      </c>
      <c r="B4712" s="0" t="n">
        <v>7</v>
      </c>
      <c r="C4712" s="19" t="n">
        <v>0</v>
      </c>
      <c r="D4712" s="19" t="n">
        <v>1</v>
      </c>
      <c r="E4712" s="20" t="n">
        <f aca="false">Parametres!$B$5*C4712</f>
        <v>0</v>
      </c>
      <c r="F4712" s="20" t="n">
        <f aca="false">Parametres!$B$6*D4712</f>
        <v>200</v>
      </c>
      <c r="G4712" s="20" t="n">
        <f aca="false">E4712+F4712</f>
        <v>200</v>
      </c>
      <c r="H4712" s="20" t="n">
        <f aca="false">IF(G4712&lt;Parametres!$B$8*Parametres!$B$7,0,MIN(G4712,Parametres!$B$7))</f>
        <v>200</v>
      </c>
      <c r="I4712" s="20" t="n">
        <f aca="false">G4712-H4712</f>
        <v>0</v>
      </c>
      <c r="J4712" s="21" t="n">
        <f aca="false">H4712*1000/Parametres!$B$9</f>
        <v>3391.55502798033</v>
      </c>
    </row>
    <row r="4713" customFormat="false" ht="15" hidden="false" customHeight="false" outlineLevel="0" collapsed="false">
      <c r="A4713" s="0" t="n">
        <v>4709</v>
      </c>
      <c r="B4713" s="0" t="n">
        <v>7</v>
      </c>
      <c r="C4713" s="19" t="n">
        <v>0</v>
      </c>
      <c r="D4713" s="19" t="n">
        <v>1</v>
      </c>
      <c r="E4713" s="20" t="n">
        <f aca="false">Parametres!$B$5*C4713</f>
        <v>0</v>
      </c>
      <c r="F4713" s="20" t="n">
        <f aca="false">Parametres!$B$6*D4713</f>
        <v>200</v>
      </c>
      <c r="G4713" s="20" t="n">
        <f aca="false">E4713+F4713</f>
        <v>200</v>
      </c>
      <c r="H4713" s="20" t="n">
        <f aca="false">IF(G4713&lt;Parametres!$B$8*Parametres!$B$7,0,MIN(G4713,Parametres!$B$7))</f>
        <v>200</v>
      </c>
      <c r="I4713" s="20" t="n">
        <f aca="false">G4713-H4713</f>
        <v>0</v>
      </c>
      <c r="J4713" s="21" t="n">
        <f aca="false">H4713*1000/Parametres!$B$9</f>
        <v>3391.55502798033</v>
      </c>
    </row>
    <row r="4714" customFormat="false" ht="15" hidden="false" customHeight="false" outlineLevel="0" collapsed="false">
      <c r="A4714" s="0" t="n">
        <v>4710</v>
      </c>
      <c r="B4714" s="0" t="n">
        <v>7</v>
      </c>
      <c r="C4714" s="19" t="n">
        <v>0.0629</v>
      </c>
      <c r="D4714" s="19" t="n">
        <v>1</v>
      </c>
      <c r="E4714" s="20" t="n">
        <f aca="false">Parametres!$B$5*C4714</f>
        <v>18.87</v>
      </c>
      <c r="F4714" s="20" t="n">
        <f aca="false">Parametres!$B$6*D4714</f>
        <v>200</v>
      </c>
      <c r="G4714" s="20" t="n">
        <f aca="false">E4714+F4714</f>
        <v>218.87</v>
      </c>
      <c r="H4714" s="20" t="n">
        <f aca="false">IF(G4714&lt;Parametres!$B$8*Parametres!$B$7,0,MIN(G4714,Parametres!$B$7))</f>
        <v>218.87</v>
      </c>
      <c r="I4714" s="20" t="n">
        <f aca="false">G4714-H4714</f>
        <v>0</v>
      </c>
      <c r="J4714" s="21" t="n">
        <f aca="false">H4714*1000/Parametres!$B$9</f>
        <v>3711.54824487027</v>
      </c>
    </row>
    <row r="4715" customFormat="false" ht="15" hidden="false" customHeight="false" outlineLevel="0" collapsed="false">
      <c r="A4715" s="0" t="n">
        <v>4711</v>
      </c>
      <c r="B4715" s="0" t="n">
        <v>7</v>
      </c>
      <c r="C4715" s="19" t="n">
        <v>0.3143</v>
      </c>
      <c r="D4715" s="19" t="n">
        <v>1</v>
      </c>
      <c r="E4715" s="20" t="n">
        <f aca="false">Parametres!$B$5*C4715</f>
        <v>94.29</v>
      </c>
      <c r="F4715" s="20" t="n">
        <f aca="false">Parametres!$B$6*D4715</f>
        <v>200</v>
      </c>
      <c r="G4715" s="20" t="n">
        <f aca="false">E4715+F4715</f>
        <v>294.29</v>
      </c>
      <c r="H4715" s="20" t="n">
        <f aca="false">IF(G4715&lt;Parametres!$B$8*Parametres!$B$7,0,MIN(G4715,Parametres!$B$7))</f>
        <v>250</v>
      </c>
      <c r="I4715" s="20" t="n">
        <f aca="false">G4715-H4715</f>
        <v>44.29</v>
      </c>
      <c r="J4715" s="21" t="n">
        <f aca="false">H4715*1000/Parametres!$B$9</f>
        <v>4239.44378497541</v>
      </c>
    </row>
    <row r="4716" customFormat="false" ht="15" hidden="false" customHeight="false" outlineLevel="0" collapsed="false">
      <c r="A4716" s="0" t="n">
        <v>4712</v>
      </c>
      <c r="B4716" s="0" t="n">
        <v>7</v>
      </c>
      <c r="C4716" s="19" t="n">
        <v>0.6017</v>
      </c>
      <c r="D4716" s="19" t="n">
        <v>1</v>
      </c>
      <c r="E4716" s="20" t="n">
        <f aca="false">Parametres!$B$5*C4716</f>
        <v>180.51</v>
      </c>
      <c r="F4716" s="20" t="n">
        <f aca="false">Parametres!$B$6*D4716</f>
        <v>200</v>
      </c>
      <c r="G4716" s="20" t="n">
        <f aca="false">E4716+F4716</f>
        <v>380.51</v>
      </c>
      <c r="H4716" s="20" t="n">
        <f aca="false">IF(G4716&lt;Parametres!$B$8*Parametres!$B$7,0,MIN(G4716,Parametres!$B$7))</f>
        <v>250</v>
      </c>
      <c r="I4716" s="20" t="n">
        <f aca="false">G4716-H4716</f>
        <v>130.51</v>
      </c>
      <c r="J4716" s="21" t="n">
        <f aca="false">H4716*1000/Parametres!$B$9</f>
        <v>4239.44378497541</v>
      </c>
    </row>
    <row r="4717" customFormat="false" ht="15" hidden="false" customHeight="false" outlineLevel="0" collapsed="false">
      <c r="A4717" s="0" t="n">
        <v>4713</v>
      </c>
      <c r="B4717" s="0" t="n">
        <v>7</v>
      </c>
      <c r="C4717" s="19" t="n">
        <v>0.9385</v>
      </c>
      <c r="D4717" s="19" t="n">
        <v>1</v>
      </c>
      <c r="E4717" s="20" t="n">
        <f aca="false">Parametres!$B$5*C4717</f>
        <v>281.55</v>
      </c>
      <c r="F4717" s="20" t="n">
        <f aca="false">Parametres!$B$6*D4717</f>
        <v>200</v>
      </c>
      <c r="G4717" s="20" t="n">
        <f aca="false">E4717+F4717</f>
        <v>481.55</v>
      </c>
      <c r="H4717" s="20" t="n">
        <f aca="false">IF(G4717&lt;Parametres!$B$8*Parametres!$B$7,0,MIN(G4717,Parametres!$B$7))</f>
        <v>250</v>
      </c>
      <c r="I4717" s="20" t="n">
        <f aca="false">G4717-H4717</f>
        <v>231.55</v>
      </c>
      <c r="J4717" s="21" t="n">
        <f aca="false">H4717*1000/Parametres!$B$9</f>
        <v>4239.44378497541</v>
      </c>
    </row>
    <row r="4718" customFormat="false" ht="15" hidden="false" customHeight="false" outlineLevel="0" collapsed="false">
      <c r="A4718" s="0" t="n">
        <v>4714</v>
      </c>
      <c r="B4718" s="0" t="n">
        <v>7</v>
      </c>
      <c r="C4718" s="19" t="n">
        <v>1</v>
      </c>
      <c r="D4718" s="19" t="n">
        <v>1</v>
      </c>
      <c r="E4718" s="20" t="n">
        <f aca="false">Parametres!$B$5*C4718</f>
        <v>300</v>
      </c>
      <c r="F4718" s="20" t="n">
        <f aca="false">Parametres!$B$6*D4718</f>
        <v>200</v>
      </c>
      <c r="G4718" s="20" t="n">
        <f aca="false">E4718+F4718</f>
        <v>500</v>
      </c>
      <c r="H4718" s="20" t="n">
        <f aca="false">IF(G4718&lt;Parametres!$B$8*Parametres!$B$7,0,MIN(G4718,Parametres!$B$7))</f>
        <v>250</v>
      </c>
      <c r="I4718" s="20" t="n">
        <f aca="false">G4718-H4718</f>
        <v>250</v>
      </c>
      <c r="J4718" s="21" t="n">
        <f aca="false">H4718*1000/Parametres!$B$9</f>
        <v>4239.44378497541</v>
      </c>
    </row>
    <row r="4719" customFormat="false" ht="15" hidden="false" customHeight="false" outlineLevel="0" collapsed="false">
      <c r="A4719" s="0" t="n">
        <v>4715</v>
      </c>
      <c r="B4719" s="0" t="n">
        <v>7</v>
      </c>
      <c r="C4719" s="19" t="n">
        <v>1</v>
      </c>
      <c r="D4719" s="19" t="n">
        <v>1</v>
      </c>
      <c r="E4719" s="20" t="n">
        <f aca="false">Parametres!$B$5*C4719</f>
        <v>300</v>
      </c>
      <c r="F4719" s="20" t="n">
        <f aca="false">Parametres!$B$6*D4719</f>
        <v>200</v>
      </c>
      <c r="G4719" s="20" t="n">
        <f aca="false">E4719+F4719</f>
        <v>500</v>
      </c>
      <c r="H4719" s="20" t="n">
        <f aca="false">IF(G4719&lt;Parametres!$B$8*Parametres!$B$7,0,MIN(G4719,Parametres!$B$7))</f>
        <v>250</v>
      </c>
      <c r="I4719" s="20" t="n">
        <f aca="false">G4719-H4719</f>
        <v>250</v>
      </c>
      <c r="J4719" s="21" t="n">
        <f aca="false">H4719*1000/Parametres!$B$9</f>
        <v>4239.44378497541</v>
      </c>
    </row>
    <row r="4720" customFormat="false" ht="15" hidden="false" customHeight="false" outlineLevel="0" collapsed="false">
      <c r="A4720" s="0" t="n">
        <v>4716</v>
      </c>
      <c r="B4720" s="0" t="n">
        <v>7</v>
      </c>
      <c r="C4720" s="19" t="n">
        <v>1</v>
      </c>
      <c r="D4720" s="19" t="n">
        <v>1</v>
      </c>
      <c r="E4720" s="20" t="n">
        <f aca="false">Parametres!$B$5*C4720</f>
        <v>300</v>
      </c>
      <c r="F4720" s="20" t="n">
        <f aca="false">Parametres!$B$6*D4720</f>
        <v>200</v>
      </c>
      <c r="G4720" s="20" t="n">
        <f aca="false">E4720+F4720</f>
        <v>500</v>
      </c>
      <c r="H4720" s="20" t="n">
        <f aca="false">IF(G4720&lt;Parametres!$B$8*Parametres!$B$7,0,MIN(G4720,Parametres!$B$7))</f>
        <v>250</v>
      </c>
      <c r="I4720" s="20" t="n">
        <f aca="false">G4720-H4720</f>
        <v>250</v>
      </c>
      <c r="J4720" s="21" t="n">
        <f aca="false">H4720*1000/Parametres!$B$9</f>
        <v>4239.44378497541</v>
      </c>
    </row>
    <row r="4721" customFormat="false" ht="15" hidden="false" customHeight="false" outlineLevel="0" collapsed="false">
      <c r="A4721" s="0" t="n">
        <v>4717</v>
      </c>
      <c r="B4721" s="0" t="n">
        <v>7</v>
      </c>
      <c r="C4721" s="19" t="n">
        <v>1</v>
      </c>
      <c r="D4721" s="19" t="n">
        <v>1</v>
      </c>
      <c r="E4721" s="20" t="n">
        <f aca="false">Parametres!$B$5*C4721</f>
        <v>300</v>
      </c>
      <c r="F4721" s="20" t="n">
        <f aca="false">Parametres!$B$6*D4721</f>
        <v>200</v>
      </c>
      <c r="G4721" s="20" t="n">
        <f aca="false">E4721+F4721</f>
        <v>500</v>
      </c>
      <c r="H4721" s="20" t="n">
        <f aca="false">IF(G4721&lt;Parametres!$B$8*Parametres!$B$7,0,MIN(G4721,Parametres!$B$7))</f>
        <v>250</v>
      </c>
      <c r="I4721" s="20" t="n">
        <f aca="false">G4721-H4721</f>
        <v>250</v>
      </c>
      <c r="J4721" s="21" t="n">
        <f aca="false">H4721*1000/Parametres!$B$9</f>
        <v>4239.44378497541</v>
      </c>
    </row>
    <row r="4722" customFormat="false" ht="15" hidden="false" customHeight="false" outlineLevel="0" collapsed="false">
      <c r="A4722" s="0" t="n">
        <v>4718</v>
      </c>
      <c r="B4722" s="0" t="n">
        <v>7</v>
      </c>
      <c r="C4722" s="19" t="n">
        <v>1</v>
      </c>
      <c r="D4722" s="19" t="n">
        <v>1</v>
      </c>
      <c r="E4722" s="20" t="n">
        <f aca="false">Parametres!$B$5*C4722</f>
        <v>300</v>
      </c>
      <c r="F4722" s="20" t="n">
        <f aca="false">Parametres!$B$6*D4722</f>
        <v>200</v>
      </c>
      <c r="G4722" s="20" t="n">
        <f aca="false">E4722+F4722</f>
        <v>500</v>
      </c>
      <c r="H4722" s="20" t="n">
        <f aca="false">IF(G4722&lt;Parametres!$B$8*Parametres!$B$7,0,MIN(G4722,Parametres!$B$7))</f>
        <v>250</v>
      </c>
      <c r="I4722" s="20" t="n">
        <f aca="false">G4722-H4722</f>
        <v>250</v>
      </c>
      <c r="J4722" s="21" t="n">
        <f aca="false">H4722*1000/Parametres!$B$9</f>
        <v>4239.44378497541</v>
      </c>
    </row>
    <row r="4723" customFormat="false" ht="15" hidden="false" customHeight="false" outlineLevel="0" collapsed="false">
      <c r="A4723" s="0" t="n">
        <v>4719</v>
      </c>
      <c r="B4723" s="0" t="n">
        <v>7</v>
      </c>
      <c r="C4723" s="19" t="n">
        <v>1</v>
      </c>
      <c r="D4723" s="19" t="n">
        <v>1</v>
      </c>
      <c r="E4723" s="20" t="n">
        <f aca="false">Parametres!$B$5*C4723</f>
        <v>300</v>
      </c>
      <c r="F4723" s="20" t="n">
        <f aca="false">Parametres!$B$6*D4723</f>
        <v>200</v>
      </c>
      <c r="G4723" s="20" t="n">
        <f aca="false">E4723+F4723</f>
        <v>500</v>
      </c>
      <c r="H4723" s="20" t="n">
        <f aca="false">IF(G4723&lt;Parametres!$B$8*Parametres!$B$7,0,MIN(G4723,Parametres!$B$7))</f>
        <v>250</v>
      </c>
      <c r="I4723" s="20" t="n">
        <f aca="false">G4723-H4723</f>
        <v>250</v>
      </c>
      <c r="J4723" s="21" t="n">
        <f aca="false">H4723*1000/Parametres!$B$9</f>
        <v>4239.44378497541</v>
      </c>
    </row>
    <row r="4724" customFormat="false" ht="15" hidden="false" customHeight="false" outlineLevel="0" collapsed="false">
      <c r="A4724" s="0" t="n">
        <v>4720</v>
      </c>
      <c r="B4724" s="0" t="n">
        <v>7</v>
      </c>
      <c r="C4724" s="19" t="n">
        <v>0.8604</v>
      </c>
      <c r="D4724" s="19" t="n">
        <v>1</v>
      </c>
      <c r="E4724" s="20" t="n">
        <f aca="false">Parametres!$B$5*C4724</f>
        <v>258.12</v>
      </c>
      <c r="F4724" s="20" t="n">
        <f aca="false">Parametres!$B$6*D4724</f>
        <v>200</v>
      </c>
      <c r="G4724" s="20" t="n">
        <f aca="false">E4724+F4724</f>
        <v>458.12</v>
      </c>
      <c r="H4724" s="20" t="n">
        <f aca="false">IF(G4724&lt;Parametres!$B$8*Parametres!$B$7,0,MIN(G4724,Parametres!$B$7))</f>
        <v>250</v>
      </c>
      <c r="I4724" s="20" t="n">
        <f aca="false">G4724-H4724</f>
        <v>208.12</v>
      </c>
      <c r="J4724" s="21" t="n">
        <f aca="false">H4724*1000/Parametres!$B$9</f>
        <v>4239.44378497541</v>
      </c>
    </row>
    <row r="4725" customFormat="false" ht="15" hidden="false" customHeight="false" outlineLevel="0" collapsed="false">
      <c r="A4725" s="0" t="n">
        <v>4721</v>
      </c>
      <c r="B4725" s="0" t="n">
        <v>7</v>
      </c>
      <c r="C4725" s="19" t="n">
        <v>0.6422</v>
      </c>
      <c r="D4725" s="19" t="n">
        <v>1</v>
      </c>
      <c r="E4725" s="20" t="n">
        <f aca="false">Parametres!$B$5*C4725</f>
        <v>192.66</v>
      </c>
      <c r="F4725" s="20" t="n">
        <f aca="false">Parametres!$B$6*D4725</f>
        <v>200</v>
      </c>
      <c r="G4725" s="20" t="n">
        <f aca="false">E4725+F4725</f>
        <v>392.66</v>
      </c>
      <c r="H4725" s="20" t="n">
        <f aca="false">IF(G4725&lt;Parametres!$B$8*Parametres!$B$7,0,MIN(G4725,Parametres!$B$7))</f>
        <v>250</v>
      </c>
      <c r="I4725" s="20" t="n">
        <f aca="false">G4725-H4725</f>
        <v>142.66</v>
      </c>
      <c r="J4725" s="21" t="n">
        <f aca="false">H4725*1000/Parametres!$B$9</f>
        <v>4239.44378497541</v>
      </c>
    </row>
    <row r="4726" customFormat="false" ht="15" hidden="false" customHeight="false" outlineLevel="0" collapsed="false">
      <c r="A4726" s="0" t="n">
        <v>4722</v>
      </c>
      <c r="B4726" s="0" t="n">
        <v>7</v>
      </c>
      <c r="C4726" s="19" t="n">
        <v>0.3129</v>
      </c>
      <c r="D4726" s="19" t="n">
        <v>1</v>
      </c>
      <c r="E4726" s="20" t="n">
        <f aca="false">Parametres!$B$5*C4726</f>
        <v>93.87</v>
      </c>
      <c r="F4726" s="20" t="n">
        <f aca="false">Parametres!$B$6*D4726</f>
        <v>200</v>
      </c>
      <c r="G4726" s="20" t="n">
        <f aca="false">E4726+F4726</f>
        <v>293.87</v>
      </c>
      <c r="H4726" s="20" t="n">
        <f aca="false">IF(G4726&lt;Parametres!$B$8*Parametres!$B$7,0,MIN(G4726,Parametres!$B$7))</f>
        <v>250</v>
      </c>
      <c r="I4726" s="20" t="n">
        <f aca="false">G4726-H4726</f>
        <v>43.87</v>
      </c>
      <c r="J4726" s="21" t="n">
        <f aca="false">H4726*1000/Parametres!$B$9</f>
        <v>4239.44378497541</v>
      </c>
    </row>
    <row r="4727" customFormat="false" ht="15" hidden="false" customHeight="false" outlineLevel="0" collapsed="false">
      <c r="A4727" s="0" t="n">
        <v>4723</v>
      </c>
      <c r="B4727" s="0" t="n">
        <v>7</v>
      </c>
      <c r="C4727" s="19" t="n">
        <v>0.0665</v>
      </c>
      <c r="D4727" s="19" t="n">
        <v>1</v>
      </c>
      <c r="E4727" s="20" t="n">
        <f aca="false">Parametres!$B$5*C4727</f>
        <v>19.95</v>
      </c>
      <c r="F4727" s="20" t="n">
        <f aca="false">Parametres!$B$6*D4727</f>
        <v>200</v>
      </c>
      <c r="G4727" s="20" t="n">
        <f aca="false">E4727+F4727</f>
        <v>219.95</v>
      </c>
      <c r="H4727" s="20" t="n">
        <f aca="false">IF(G4727&lt;Parametres!$B$8*Parametres!$B$7,0,MIN(G4727,Parametres!$B$7))</f>
        <v>219.95</v>
      </c>
      <c r="I4727" s="20" t="n">
        <f aca="false">G4727-H4727</f>
        <v>0</v>
      </c>
      <c r="J4727" s="21" t="n">
        <f aca="false">H4727*1000/Parametres!$B$9</f>
        <v>3729.86264202137</v>
      </c>
    </row>
    <row r="4728" customFormat="false" ht="15" hidden="false" customHeight="false" outlineLevel="0" collapsed="false">
      <c r="A4728" s="0" t="n">
        <v>4724</v>
      </c>
      <c r="B4728" s="0" t="n">
        <v>7</v>
      </c>
      <c r="C4728" s="19" t="n">
        <v>0</v>
      </c>
      <c r="D4728" s="19" t="n">
        <v>1</v>
      </c>
      <c r="E4728" s="20" t="n">
        <f aca="false">Parametres!$B$5*C4728</f>
        <v>0</v>
      </c>
      <c r="F4728" s="20" t="n">
        <f aca="false">Parametres!$B$6*D4728</f>
        <v>200</v>
      </c>
      <c r="G4728" s="20" t="n">
        <f aca="false">E4728+F4728</f>
        <v>200</v>
      </c>
      <c r="H4728" s="20" t="n">
        <f aca="false">IF(G4728&lt;Parametres!$B$8*Parametres!$B$7,0,MIN(G4728,Parametres!$B$7))</f>
        <v>200</v>
      </c>
      <c r="I4728" s="20" t="n">
        <f aca="false">G4728-H4728</f>
        <v>0</v>
      </c>
      <c r="J4728" s="21" t="n">
        <f aca="false">H4728*1000/Parametres!$B$9</f>
        <v>3391.55502798033</v>
      </c>
    </row>
    <row r="4729" customFormat="false" ht="15" hidden="false" customHeight="false" outlineLevel="0" collapsed="false">
      <c r="A4729" s="0" t="n">
        <v>4725</v>
      </c>
      <c r="B4729" s="0" t="n">
        <v>7</v>
      </c>
      <c r="C4729" s="19" t="n">
        <v>0</v>
      </c>
      <c r="D4729" s="19" t="n">
        <v>1</v>
      </c>
      <c r="E4729" s="20" t="n">
        <f aca="false">Parametres!$B$5*C4729</f>
        <v>0</v>
      </c>
      <c r="F4729" s="20" t="n">
        <f aca="false">Parametres!$B$6*D4729</f>
        <v>200</v>
      </c>
      <c r="G4729" s="20" t="n">
        <f aca="false">E4729+F4729</f>
        <v>200</v>
      </c>
      <c r="H4729" s="20" t="n">
        <f aca="false">IF(G4729&lt;Parametres!$B$8*Parametres!$B$7,0,MIN(G4729,Parametres!$B$7))</f>
        <v>200</v>
      </c>
      <c r="I4729" s="20" t="n">
        <f aca="false">G4729-H4729</f>
        <v>0</v>
      </c>
      <c r="J4729" s="21" t="n">
        <f aca="false">H4729*1000/Parametres!$B$9</f>
        <v>3391.55502798033</v>
      </c>
    </row>
    <row r="4730" customFormat="false" ht="15" hidden="false" customHeight="false" outlineLevel="0" collapsed="false">
      <c r="A4730" s="0" t="n">
        <v>4726</v>
      </c>
      <c r="B4730" s="0" t="n">
        <v>7</v>
      </c>
      <c r="C4730" s="19" t="n">
        <v>0</v>
      </c>
      <c r="D4730" s="19" t="n">
        <v>1</v>
      </c>
      <c r="E4730" s="20" t="n">
        <f aca="false">Parametres!$B$5*C4730</f>
        <v>0</v>
      </c>
      <c r="F4730" s="20" t="n">
        <f aca="false">Parametres!$B$6*D4730</f>
        <v>200</v>
      </c>
      <c r="G4730" s="20" t="n">
        <f aca="false">E4730+F4730</f>
        <v>200</v>
      </c>
      <c r="H4730" s="20" t="n">
        <f aca="false">IF(G4730&lt;Parametres!$B$8*Parametres!$B$7,0,MIN(G4730,Parametres!$B$7))</f>
        <v>200</v>
      </c>
      <c r="I4730" s="20" t="n">
        <f aca="false">G4730-H4730</f>
        <v>0</v>
      </c>
      <c r="J4730" s="21" t="n">
        <f aca="false">H4730*1000/Parametres!$B$9</f>
        <v>3391.55502798033</v>
      </c>
    </row>
    <row r="4731" customFormat="false" ht="15" hidden="false" customHeight="false" outlineLevel="0" collapsed="false">
      <c r="A4731" s="0" t="n">
        <v>4727</v>
      </c>
      <c r="B4731" s="0" t="n">
        <v>7</v>
      </c>
      <c r="C4731" s="19" t="n">
        <v>0</v>
      </c>
      <c r="D4731" s="19" t="n">
        <v>1</v>
      </c>
      <c r="E4731" s="20" t="n">
        <f aca="false">Parametres!$B$5*C4731</f>
        <v>0</v>
      </c>
      <c r="F4731" s="20" t="n">
        <f aca="false">Parametres!$B$6*D4731</f>
        <v>200</v>
      </c>
      <c r="G4731" s="20" t="n">
        <f aca="false">E4731+F4731</f>
        <v>200</v>
      </c>
      <c r="H4731" s="20" t="n">
        <f aca="false">IF(G4731&lt;Parametres!$B$8*Parametres!$B$7,0,MIN(G4731,Parametres!$B$7))</f>
        <v>200</v>
      </c>
      <c r="I4731" s="20" t="n">
        <f aca="false">G4731-H4731</f>
        <v>0</v>
      </c>
      <c r="J4731" s="21" t="n">
        <f aca="false">H4731*1000/Parametres!$B$9</f>
        <v>3391.55502798033</v>
      </c>
    </row>
    <row r="4732" customFormat="false" ht="15" hidden="false" customHeight="false" outlineLevel="0" collapsed="false">
      <c r="A4732" s="0" t="n">
        <v>4728</v>
      </c>
      <c r="B4732" s="0" t="n">
        <v>7</v>
      </c>
      <c r="C4732" s="19" t="n">
        <v>0</v>
      </c>
      <c r="D4732" s="19" t="n">
        <v>1</v>
      </c>
      <c r="E4732" s="20" t="n">
        <f aca="false">Parametres!$B$5*C4732</f>
        <v>0</v>
      </c>
      <c r="F4732" s="20" t="n">
        <f aca="false">Parametres!$B$6*D4732</f>
        <v>200</v>
      </c>
      <c r="G4732" s="20" t="n">
        <f aca="false">E4732+F4732</f>
        <v>200</v>
      </c>
      <c r="H4732" s="20" t="n">
        <f aca="false">IF(G4732&lt;Parametres!$B$8*Parametres!$B$7,0,MIN(G4732,Parametres!$B$7))</f>
        <v>200</v>
      </c>
      <c r="I4732" s="20" t="n">
        <f aca="false">G4732-H4732</f>
        <v>0</v>
      </c>
      <c r="J4732" s="21" t="n">
        <f aca="false">H4732*1000/Parametres!$B$9</f>
        <v>3391.55502798033</v>
      </c>
    </row>
    <row r="4733" customFormat="false" ht="15" hidden="false" customHeight="false" outlineLevel="0" collapsed="false">
      <c r="A4733" s="0" t="n">
        <v>4729</v>
      </c>
      <c r="B4733" s="0" t="n">
        <v>7</v>
      </c>
      <c r="C4733" s="19" t="n">
        <v>0</v>
      </c>
      <c r="D4733" s="19" t="n">
        <v>1</v>
      </c>
      <c r="E4733" s="20" t="n">
        <f aca="false">Parametres!$B$5*C4733</f>
        <v>0</v>
      </c>
      <c r="F4733" s="20" t="n">
        <f aca="false">Parametres!$B$6*D4733</f>
        <v>200</v>
      </c>
      <c r="G4733" s="20" t="n">
        <f aca="false">E4733+F4733</f>
        <v>200</v>
      </c>
      <c r="H4733" s="20" t="n">
        <f aca="false">IF(G4733&lt;Parametres!$B$8*Parametres!$B$7,0,MIN(G4733,Parametres!$B$7))</f>
        <v>200</v>
      </c>
      <c r="I4733" s="20" t="n">
        <f aca="false">G4733-H4733</f>
        <v>0</v>
      </c>
      <c r="J4733" s="21" t="n">
        <f aca="false">H4733*1000/Parametres!$B$9</f>
        <v>3391.55502798033</v>
      </c>
    </row>
    <row r="4734" customFormat="false" ht="15" hidden="false" customHeight="false" outlineLevel="0" collapsed="false">
      <c r="A4734" s="0" t="n">
        <v>4730</v>
      </c>
      <c r="B4734" s="0" t="n">
        <v>7</v>
      </c>
      <c r="C4734" s="19" t="n">
        <v>0</v>
      </c>
      <c r="D4734" s="19" t="n">
        <v>1</v>
      </c>
      <c r="E4734" s="20" t="n">
        <f aca="false">Parametres!$B$5*C4734</f>
        <v>0</v>
      </c>
      <c r="F4734" s="20" t="n">
        <f aca="false">Parametres!$B$6*D4734</f>
        <v>200</v>
      </c>
      <c r="G4734" s="20" t="n">
        <f aca="false">E4734+F4734</f>
        <v>200</v>
      </c>
      <c r="H4734" s="20" t="n">
        <f aca="false">IF(G4734&lt;Parametres!$B$8*Parametres!$B$7,0,MIN(G4734,Parametres!$B$7))</f>
        <v>200</v>
      </c>
      <c r="I4734" s="20" t="n">
        <f aca="false">G4734-H4734</f>
        <v>0</v>
      </c>
      <c r="J4734" s="21" t="n">
        <f aca="false">H4734*1000/Parametres!$B$9</f>
        <v>3391.55502798033</v>
      </c>
    </row>
    <row r="4735" customFormat="false" ht="15" hidden="false" customHeight="false" outlineLevel="0" collapsed="false">
      <c r="A4735" s="0" t="n">
        <v>4731</v>
      </c>
      <c r="B4735" s="0" t="n">
        <v>7</v>
      </c>
      <c r="C4735" s="19" t="n">
        <v>0</v>
      </c>
      <c r="D4735" s="19" t="n">
        <v>1</v>
      </c>
      <c r="E4735" s="20" t="n">
        <f aca="false">Parametres!$B$5*C4735</f>
        <v>0</v>
      </c>
      <c r="F4735" s="20" t="n">
        <f aca="false">Parametres!$B$6*D4735</f>
        <v>200</v>
      </c>
      <c r="G4735" s="20" t="n">
        <f aca="false">E4735+F4735</f>
        <v>200</v>
      </c>
      <c r="H4735" s="20" t="n">
        <f aca="false">IF(G4735&lt;Parametres!$B$8*Parametres!$B$7,0,MIN(G4735,Parametres!$B$7))</f>
        <v>200</v>
      </c>
      <c r="I4735" s="20" t="n">
        <f aca="false">G4735-H4735</f>
        <v>0</v>
      </c>
      <c r="J4735" s="21" t="n">
        <f aca="false">H4735*1000/Parametres!$B$9</f>
        <v>3391.55502798033</v>
      </c>
    </row>
    <row r="4736" customFormat="false" ht="15" hidden="false" customHeight="false" outlineLevel="0" collapsed="false">
      <c r="A4736" s="0" t="n">
        <v>4732</v>
      </c>
      <c r="B4736" s="0" t="n">
        <v>7</v>
      </c>
      <c r="C4736" s="19" t="n">
        <v>0</v>
      </c>
      <c r="D4736" s="19" t="n">
        <v>1</v>
      </c>
      <c r="E4736" s="20" t="n">
        <f aca="false">Parametres!$B$5*C4736</f>
        <v>0</v>
      </c>
      <c r="F4736" s="20" t="n">
        <f aca="false">Parametres!$B$6*D4736</f>
        <v>200</v>
      </c>
      <c r="G4736" s="20" t="n">
        <f aca="false">E4736+F4736</f>
        <v>200</v>
      </c>
      <c r="H4736" s="20" t="n">
        <f aca="false">IF(G4736&lt;Parametres!$B$8*Parametres!$B$7,0,MIN(G4736,Parametres!$B$7))</f>
        <v>200</v>
      </c>
      <c r="I4736" s="20" t="n">
        <f aca="false">G4736-H4736</f>
        <v>0</v>
      </c>
      <c r="J4736" s="21" t="n">
        <f aca="false">H4736*1000/Parametres!$B$9</f>
        <v>3391.55502798033</v>
      </c>
    </row>
    <row r="4737" customFormat="false" ht="15" hidden="false" customHeight="false" outlineLevel="0" collapsed="false">
      <c r="A4737" s="0" t="n">
        <v>4733</v>
      </c>
      <c r="B4737" s="0" t="n">
        <v>7</v>
      </c>
      <c r="C4737" s="19" t="n">
        <v>0</v>
      </c>
      <c r="D4737" s="19" t="n">
        <v>1</v>
      </c>
      <c r="E4737" s="20" t="n">
        <f aca="false">Parametres!$B$5*C4737</f>
        <v>0</v>
      </c>
      <c r="F4737" s="20" t="n">
        <f aca="false">Parametres!$B$6*D4737</f>
        <v>200</v>
      </c>
      <c r="G4737" s="20" t="n">
        <f aca="false">E4737+F4737</f>
        <v>200</v>
      </c>
      <c r="H4737" s="20" t="n">
        <f aca="false">IF(G4737&lt;Parametres!$B$8*Parametres!$B$7,0,MIN(G4737,Parametres!$B$7))</f>
        <v>200</v>
      </c>
      <c r="I4737" s="20" t="n">
        <f aca="false">G4737-H4737</f>
        <v>0</v>
      </c>
      <c r="J4737" s="21" t="n">
        <f aca="false">H4737*1000/Parametres!$B$9</f>
        <v>3391.55502798033</v>
      </c>
    </row>
    <row r="4738" customFormat="false" ht="15" hidden="false" customHeight="false" outlineLevel="0" collapsed="false">
      <c r="A4738" s="0" t="n">
        <v>4734</v>
      </c>
      <c r="B4738" s="0" t="n">
        <v>7</v>
      </c>
      <c r="C4738" s="19" t="n">
        <v>0.0557</v>
      </c>
      <c r="D4738" s="19" t="n">
        <v>1</v>
      </c>
      <c r="E4738" s="20" t="n">
        <f aca="false">Parametres!$B$5*C4738</f>
        <v>16.71</v>
      </c>
      <c r="F4738" s="20" t="n">
        <f aca="false">Parametres!$B$6*D4738</f>
        <v>200</v>
      </c>
      <c r="G4738" s="20" t="n">
        <f aca="false">E4738+F4738</f>
        <v>216.71</v>
      </c>
      <c r="H4738" s="20" t="n">
        <f aca="false">IF(G4738&lt;Parametres!$B$8*Parametres!$B$7,0,MIN(G4738,Parametres!$B$7))</f>
        <v>216.71</v>
      </c>
      <c r="I4738" s="20" t="n">
        <f aca="false">G4738-H4738</f>
        <v>0</v>
      </c>
      <c r="J4738" s="21" t="n">
        <f aca="false">H4738*1000/Parametres!$B$9</f>
        <v>3674.91945056809</v>
      </c>
    </row>
    <row r="4739" customFormat="false" ht="15" hidden="false" customHeight="false" outlineLevel="0" collapsed="false">
      <c r="A4739" s="0" t="n">
        <v>4735</v>
      </c>
      <c r="B4739" s="0" t="n">
        <v>7</v>
      </c>
      <c r="C4739" s="19" t="n">
        <v>0.2962</v>
      </c>
      <c r="D4739" s="19" t="n">
        <v>1</v>
      </c>
      <c r="E4739" s="20" t="n">
        <f aca="false">Parametres!$B$5*C4739</f>
        <v>88.86</v>
      </c>
      <c r="F4739" s="20" t="n">
        <f aca="false">Parametres!$B$6*D4739</f>
        <v>200</v>
      </c>
      <c r="G4739" s="20" t="n">
        <f aca="false">E4739+F4739</f>
        <v>288.86</v>
      </c>
      <c r="H4739" s="20" t="n">
        <f aca="false">IF(G4739&lt;Parametres!$B$8*Parametres!$B$7,0,MIN(G4739,Parametres!$B$7))</f>
        <v>250</v>
      </c>
      <c r="I4739" s="20" t="n">
        <f aca="false">G4739-H4739</f>
        <v>38.86</v>
      </c>
      <c r="J4739" s="21" t="n">
        <f aca="false">H4739*1000/Parametres!$B$9</f>
        <v>4239.44378497541</v>
      </c>
    </row>
    <row r="4740" customFormat="false" ht="15" hidden="false" customHeight="false" outlineLevel="0" collapsed="false">
      <c r="A4740" s="0" t="n">
        <v>4736</v>
      </c>
      <c r="B4740" s="0" t="n">
        <v>7</v>
      </c>
      <c r="C4740" s="19" t="n">
        <v>0.5647</v>
      </c>
      <c r="D4740" s="19" t="n">
        <v>1</v>
      </c>
      <c r="E4740" s="20" t="n">
        <f aca="false">Parametres!$B$5*C4740</f>
        <v>169.41</v>
      </c>
      <c r="F4740" s="20" t="n">
        <f aca="false">Parametres!$B$6*D4740</f>
        <v>200</v>
      </c>
      <c r="G4740" s="20" t="n">
        <f aca="false">E4740+F4740</f>
        <v>369.41</v>
      </c>
      <c r="H4740" s="20" t="n">
        <f aca="false">IF(G4740&lt;Parametres!$B$8*Parametres!$B$7,0,MIN(G4740,Parametres!$B$7))</f>
        <v>250</v>
      </c>
      <c r="I4740" s="20" t="n">
        <f aca="false">G4740-H4740</f>
        <v>119.41</v>
      </c>
      <c r="J4740" s="21" t="n">
        <f aca="false">H4740*1000/Parametres!$B$9</f>
        <v>4239.44378497541</v>
      </c>
    </row>
    <row r="4741" customFormat="false" ht="15" hidden="false" customHeight="false" outlineLevel="0" collapsed="false">
      <c r="A4741" s="0" t="n">
        <v>4737</v>
      </c>
      <c r="B4741" s="0" t="n">
        <v>7</v>
      </c>
      <c r="C4741" s="19" t="n">
        <v>0.8321</v>
      </c>
      <c r="D4741" s="19" t="n">
        <v>1</v>
      </c>
      <c r="E4741" s="20" t="n">
        <f aca="false">Parametres!$B$5*C4741</f>
        <v>249.63</v>
      </c>
      <c r="F4741" s="20" t="n">
        <f aca="false">Parametres!$B$6*D4741</f>
        <v>200</v>
      </c>
      <c r="G4741" s="20" t="n">
        <f aca="false">E4741+F4741</f>
        <v>449.63</v>
      </c>
      <c r="H4741" s="20" t="n">
        <f aca="false">IF(G4741&lt;Parametres!$B$8*Parametres!$B$7,0,MIN(G4741,Parametres!$B$7))</f>
        <v>250</v>
      </c>
      <c r="I4741" s="20" t="n">
        <f aca="false">G4741-H4741</f>
        <v>199.63</v>
      </c>
      <c r="J4741" s="21" t="n">
        <f aca="false">H4741*1000/Parametres!$B$9</f>
        <v>4239.44378497541</v>
      </c>
    </row>
    <row r="4742" customFormat="false" ht="15" hidden="false" customHeight="false" outlineLevel="0" collapsed="false">
      <c r="A4742" s="0" t="n">
        <v>4738</v>
      </c>
      <c r="B4742" s="0" t="n">
        <v>7</v>
      </c>
      <c r="C4742" s="19" t="n">
        <v>1</v>
      </c>
      <c r="D4742" s="19" t="n">
        <v>1</v>
      </c>
      <c r="E4742" s="20" t="n">
        <f aca="false">Parametres!$B$5*C4742</f>
        <v>300</v>
      </c>
      <c r="F4742" s="20" t="n">
        <f aca="false">Parametres!$B$6*D4742</f>
        <v>200</v>
      </c>
      <c r="G4742" s="20" t="n">
        <f aca="false">E4742+F4742</f>
        <v>500</v>
      </c>
      <c r="H4742" s="20" t="n">
        <f aca="false">IF(G4742&lt;Parametres!$B$8*Parametres!$B$7,0,MIN(G4742,Parametres!$B$7))</f>
        <v>250</v>
      </c>
      <c r="I4742" s="20" t="n">
        <f aca="false">G4742-H4742</f>
        <v>250</v>
      </c>
      <c r="J4742" s="21" t="n">
        <f aca="false">H4742*1000/Parametres!$B$9</f>
        <v>4239.44378497541</v>
      </c>
    </row>
    <row r="4743" customFormat="false" ht="15" hidden="false" customHeight="false" outlineLevel="0" collapsed="false">
      <c r="A4743" s="0" t="n">
        <v>4739</v>
      </c>
      <c r="B4743" s="0" t="n">
        <v>7</v>
      </c>
      <c r="C4743" s="19" t="n">
        <v>1</v>
      </c>
      <c r="D4743" s="19" t="n">
        <v>1</v>
      </c>
      <c r="E4743" s="20" t="n">
        <f aca="false">Parametres!$B$5*C4743</f>
        <v>300</v>
      </c>
      <c r="F4743" s="20" t="n">
        <f aca="false">Parametres!$B$6*D4743</f>
        <v>200</v>
      </c>
      <c r="G4743" s="20" t="n">
        <f aca="false">E4743+F4743</f>
        <v>500</v>
      </c>
      <c r="H4743" s="20" t="n">
        <f aca="false">IF(G4743&lt;Parametres!$B$8*Parametres!$B$7,0,MIN(G4743,Parametres!$B$7))</f>
        <v>250</v>
      </c>
      <c r="I4743" s="20" t="n">
        <f aca="false">G4743-H4743</f>
        <v>250</v>
      </c>
      <c r="J4743" s="21" t="n">
        <f aca="false">H4743*1000/Parametres!$B$9</f>
        <v>4239.44378497541</v>
      </c>
    </row>
    <row r="4744" customFormat="false" ht="15" hidden="false" customHeight="false" outlineLevel="0" collapsed="false">
      <c r="A4744" s="0" t="n">
        <v>4740</v>
      </c>
      <c r="B4744" s="0" t="n">
        <v>7</v>
      </c>
      <c r="C4744" s="19" t="n">
        <v>1</v>
      </c>
      <c r="D4744" s="19" t="n">
        <v>1</v>
      </c>
      <c r="E4744" s="20" t="n">
        <f aca="false">Parametres!$B$5*C4744</f>
        <v>300</v>
      </c>
      <c r="F4744" s="20" t="n">
        <f aca="false">Parametres!$B$6*D4744</f>
        <v>200</v>
      </c>
      <c r="G4744" s="20" t="n">
        <f aca="false">E4744+F4744</f>
        <v>500</v>
      </c>
      <c r="H4744" s="20" t="n">
        <f aca="false">IF(G4744&lt;Parametres!$B$8*Parametres!$B$7,0,MIN(G4744,Parametres!$B$7))</f>
        <v>250</v>
      </c>
      <c r="I4744" s="20" t="n">
        <f aca="false">G4744-H4744</f>
        <v>250</v>
      </c>
      <c r="J4744" s="21" t="n">
        <f aca="false">H4744*1000/Parametres!$B$9</f>
        <v>4239.44378497541</v>
      </c>
    </row>
    <row r="4745" customFormat="false" ht="15" hidden="false" customHeight="false" outlineLevel="0" collapsed="false">
      <c r="A4745" s="0" t="n">
        <v>4741</v>
      </c>
      <c r="B4745" s="0" t="n">
        <v>7</v>
      </c>
      <c r="C4745" s="19" t="n">
        <v>1</v>
      </c>
      <c r="D4745" s="19" t="n">
        <v>1</v>
      </c>
      <c r="E4745" s="20" t="n">
        <f aca="false">Parametres!$B$5*C4745</f>
        <v>300</v>
      </c>
      <c r="F4745" s="20" t="n">
        <f aca="false">Parametres!$B$6*D4745</f>
        <v>200</v>
      </c>
      <c r="G4745" s="20" t="n">
        <f aca="false">E4745+F4745</f>
        <v>500</v>
      </c>
      <c r="H4745" s="20" t="n">
        <f aca="false">IF(G4745&lt;Parametres!$B$8*Parametres!$B$7,0,MIN(G4745,Parametres!$B$7))</f>
        <v>250</v>
      </c>
      <c r="I4745" s="20" t="n">
        <f aca="false">G4745-H4745</f>
        <v>250</v>
      </c>
      <c r="J4745" s="21" t="n">
        <f aca="false">H4745*1000/Parametres!$B$9</f>
        <v>4239.44378497541</v>
      </c>
    </row>
    <row r="4746" customFormat="false" ht="15" hidden="false" customHeight="false" outlineLevel="0" collapsed="false">
      <c r="A4746" s="0" t="n">
        <v>4742</v>
      </c>
      <c r="B4746" s="0" t="n">
        <v>7</v>
      </c>
      <c r="C4746" s="19" t="n">
        <v>1</v>
      </c>
      <c r="D4746" s="19" t="n">
        <v>1</v>
      </c>
      <c r="E4746" s="20" t="n">
        <f aca="false">Parametres!$B$5*C4746</f>
        <v>300</v>
      </c>
      <c r="F4746" s="20" t="n">
        <f aca="false">Parametres!$B$6*D4746</f>
        <v>200</v>
      </c>
      <c r="G4746" s="20" t="n">
        <f aca="false">E4746+F4746</f>
        <v>500</v>
      </c>
      <c r="H4746" s="20" t="n">
        <f aca="false">IF(G4746&lt;Parametres!$B$8*Parametres!$B$7,0,MIN(G4746,Parametres!$B$7))</f>
        <v>250</v>
      </c>
      <c r="I4746" s="20" t="n">
        <f aca="false">G4746-H4746</f>
        <v>250</v>
      </c>
      <c r="J4746" s="21" t="n">
        <f aca="false">H4746*1000/Parametres!$B$9</f>
        <v>4239.44378497541</v>
      </c>
    </row>
    <row r="4747" customFormat="false" ht="15" hidden="false" customHeight="false" outlineLevel="0" collapsed="false">
      <c r="A4747" s="0" t="n">
        <v>4743</v>
      </c>
      <c r="B4747" s="0" t="n">
        <v>7</v>
      </c>
      <c r="C4747" s="19" t="n">
        <v>1</v>
      </c>
      <c r="D4747" s="19" t="n">
        <v>1</v>
      </c>
      <c r="E4747" s="20" t="n">
        <f aca="false">Parametres!$B$5*C4747</f>
        <v>300</v>
      </c>
      <c r="F4747" s="20" t="n">
        <f aca="false">Parametres!$B$6*D4747</f>
        <v>200</v>
      </c>
      <c r="G4747" s="20" t="n">
        <f aca="false">E4747+F4747</f>
        <v>500</v>
      </c>
      <c r="H4747" s="20" t="n">
        <f aca="false">IF(G4747&lt;Parametres!$B$8*Parametres!$B$7,0,MIN(G4747,Parametres!$B$7))</f>
        <v>250</v>
      </c>
      <c r="I4747" s="20" t="n">
        <f aca="false">G4747-H4747</f>
        <v>250</v>
      </c>
      <c r="J4747" s="21" t="n">
        <f aca="false">H4747*1000/Parametres!$B$9</f>
        <v>4239.44378497541</v>
      </c>
    </row>
    <row r="4748" customFormat="false" ht="15" hidden="false" customHeight="false" outlineLevel="0" collapsed="false">
      <c r="A4748" s="0" t="n">
        <v>4744</v>
      </c>
      <c r="B4748" s="0" t="n">
        <v>7</v>
      </c>
      <c r="C4748" s="19" t="n">
        <v>0.8245</v>
      </c>
      <c r="D4748" s="19" t="n">
        <v>1</v>
      </c>
      <c r="E4748" s="20" t="n">
        <f aca="false">Parametres!$B$5*C4748</f>
        <v>247.35</v>
      </c>
      <c r="F4748" s="20" t="n">
        <f aca="false">Parametres!$B$6*D4748</f>
        <v>200</v>
      </c>
      <c r="G4748" s="20" t="n">
        <f aca="false">E4748+F4748</f>
        <v>447.35</v>
      </c>
      <c r="H4748" s="20" t="n">
        <f aca="false">IF(G4748&lt;Parametres!$B$8*Parametres!$B$7,0,MIN(G4748,Parametres!$B$7))</f>
        <v>250</v>
      </c>
      <c r="I4748" s="20" t="n">
        <f aca="false">G4748-H4748</f>
        <v>197.35</v>
      </c>
      <c r="J4748" s="21" t="n">
        <f aca="false">H4748*1000/Parametres!$B$9</f>
        <v>4239.44378497541</v>
      </c>
    </row>
    <row r="4749" customFormat="false" ht="15" hidden="false" customHeight="false" outlineLevel="0" collapsed="false">
      <c r="A4749" s="0" t="n">
        <v>4745</v>
      </c>
      <c r="B4749" s="0" t="n">
        <v>7</v>
      </c>
      <c r="C4749" s="19" t="n">
        <v>0.5779</v>
      </c>
      <c r="D4749" s="19" t="n">
        <v>1</v>
      </c>
      <c r="E4749" s="20" t="n">
        <f aca="false">Parametres!$B$5*C4749</f>
        <v>173.37</v>
      </c>
      <c r="F4749" s="20" t="n">
        <f aca="false">Parametres!$B$6*D4749</f>
        <v>200</v>
      </c>
      <c r="G4749" s="20" t="n">
        <f aca="false">E4749+F4749</f>
        <v>373.37</v>
      </c>
      <c r="H4749" s="20" t="n">
        <f aca="false">IF(G4749&lt;Parametres!$B$8*Parametres!$B$7,0,MIN(G4749,Parametres!$B$7))</f>
        <v>250</v>
      </c>
      <c r="I4749" s="20" t="n">
        <f aca="false">G4749-H4749</f>
        <v>123.37</v>
      </c>
      <c r="J4749" s="21" t="n">
        <f aca="false">H4749*1000/Parametres!$B$9</f>
        <v>4239.44378497541</v>
      </c>
    </row>
    <row r="4750" customFormat="false" ht="15" hidden="false" customHeight="false" outlineLevel="0" collapsed="false">
      <c r="A4750" s="0" t="n">
        <v>4746</v>
      </c>
      <c r="B4750" s="0" t="n">
        <v>7</v>
      </c>
      <c r="C4750" s="19" t="n">
        <v>0.3033</v>
      </c>
      <c r="D4750" s="19" t="n">
        <v>1</v>
      </c>
      <c r="E4750" s="20" t="n">
        <f aca="false">Parametres!$B$5*C4750</f>
        <v>90.99</v>
      </c>
      <c r="F4750" s="20" t="n">
        <f aca="false">Parametres!$B$6*D4750</f>
        <v>200</v>
      </c>
      <c r="G4750" s="20" t="n">
        <f aca="false">E4750+F4750</f>
        <v>290.99</v>
      </c>
      <c r="H4750" s="20" t="n">
        <f aca="false">IF(G4750&lt;Parametres!$B$8*Parametres!$B$7,0,MIN(G4750,Parametres!$B$7))</f>
        <v>250</v>
      </c>
      <c r="I4750" s="20" t="n">
        <f aca="false">G4750-H4750</f>
        <v>40.99</v>
      </c>
      <c r="J4750" s="21" t="n">
        <f aca="false">H4750*1000/Parametres!$B$9</f>
        <v>4239.44378497541</v>
      </c>
    </row>
    <row r="4751" customFormat="false" ht="15" hidden="false" customHeight="false" outlineLevel="0" collapsed="false">
      <c r="A4751" s="0" t="n">
        <v>4747</v>
      </c>
      <c r="B4751" s="0" t="n">
        <v>7</v>
      </c>
      <c r="C4751" s="19" t="n">
        <v>0.0577</v>
      </c>
      <c r="D4751" s="19" t="n">
        <v>1</v>
      </c>
      <c r="E4751" s="20" t="n">
        <f aca="false">Parametres!$B$5*C4751</f>
        <v>17.31</v>
      </c>
      <c r="F4751" s="20" t="n">
        <f aca="false">Parametres!$B$6*D4751</f>
        <v>200</v>
      </c>
      <c r="G4751" s="20" t="n">
        <f aca="false">E4751+F4751</f>
        <v>217.31</v>
      </c>
      <c r="H4751" s="20" t="n">
        <f aca="false">IF(G4751&lt;Parametres!$B$8*Parametres!$B$7,0,MIN(G4751,Parametres!$B$7))</f>
        <v>217.31</v>
      </c>
      <c r="I4751" s="20" t="n">
        <f aca="false">G4751-H4751</f>
        <v>0</v>
      </c>
      <c r="J4751" s="21" t="n">
        <f aca="false">H4751*1000/Parametres!$B$9</f>
        <v>3685.09411565203</v>
      </c>
    </row>
    <row r="4752" customFormat="false" ht="15" hidden="false" customHeight="false" outlineLevel="0" collapsed="false">
      <c r="A4752" s="0" t="n">
        <v>4748</v>
      </c>
      <c r="B4752" s="0" t="n">
        <v>7</v>
      </c>
      <c r="C4752" s="19" t="n">
        <v>0</v>
      </c>
      <c r="D4752" s="19" t="n">
        <v>1</v>
      </c>
      <c r="E4752" s="20" t="n">
        <f aca="false">Parametres!$B$5*C4752</f>
        <v>0</v>
      </c>
      <c r="F4752" s="20" t="n">
        <f aca="false">Parametres!$B$6*D4752</f>
        <v>200</v>
      </c>
      <c r="G4752" s="20" t="n">
        <f aca="false">E4752+F4752</f>
        <v>200</v>
      </c>
      <c r="H4752" s="20" t="n">
        <f aca="false">IF(G4752&lt;Parametres!$B$8*Parametres!$B$7,0,MIN(G4752,Parametres!$B$7))</f>
        <v>200</v>
      </c>
      <c r="I4752" s="20" t="n">
        <f aca="false">G4752-H4752</f>
        <v>0</v>
      </c>
      <c r="J4752" s="21" t="n">
        <f aca="false">H4752*1000/Parametres!$B$9</f>
        <v>3391.55502798033</v>
      </c>
    </row>
    <row r="4753" customFormat="false" ht="15" hidden="false" customHeight="false" outlineLevel="0" collapsed="false">
      <c r="A4753" s="0" t="n">
        <v>4749</v>
      </c>
      <c r="B4753" s="0" t="n">
        <v>7</v>
      </c>
      <c r="C4753" s="19" t="n">
        <v>0</v>
      </c>
      <c r="D4753" s="19" t="n">
        <v>1</v>
      </c>
      <c r="E4753" s="20" t="n">
        <f aca="false">Parametres!$B$5*C4753</f>
        <v>0</v>
      </c>
      <c r="F4753" s="20" t="n">
        <f aca="false">Parametres!$B$6*D4753</f>
        <v>200</v>
      </c>
      <c r="G4753" s="20" t="n">
        <f aca="false">E4753+F4753</f>
        <v>200</v>
      </c>
      <c r="H4753" s="20" t="n">
        <f aca="false">IF(G4753&lt;Parametres!$B$8*Parametres!$B$7,0,MIN(G4753,Parametres!$B$7))</f>
        <v>200</v>
      </c>
      <c r="I4753" s="20" t="n">
        <f aca="false">G4753-H4753</f>
        <v>0</v>
      </c>
      <c r="J4753" s="21" t="n">
        <f aca="false">H4753*1000/Parametres!$B$9</f>
        <v>3391.55502798033</v>
      </c>
    </row>
    <row r="4754" customFormat="false" ht="15" hidden="false" customHeight="false" outlineLevel="0" collapsed="false">
      <c r="A4754" s="0" t="n">
        <v>4750</v>
      </c>
      <c r="B4754" s="0" t="n">
        <v>7</v>
      </c>
      <c r="C4754" s="19" t="n">
        <v>0</v>
      </c>
      <c r="D4754" s="19" t="n">
        <v>1</v>
      </c>
      <c r="E4754" s="20" t="n">
        <f aca="false">Parametres!$B$5*C4754</f>
        <v>0</v>
      </c>
      <c r="F4754" s="20" t="n">
        <f aca="false">Parametres!$B$6*D4754</f>
        <v>200</v>
      </c>
      <c r="G4754" s="20" t="n">
        <f aca="false">E4754+F4754</f>
        <v>200</v>
      </c>
      <c r="H4754" s="20" t="n">
        <f aca="false">IF(G4754&lt;Parametres!$B$8*Parametres!$B$7,0,MIN(G4754,Parametres!$B$7))</f>
        <v>200</v>
      </c>
      <c r="I4754" s="20" t="n">
        <f aca="false">G4754-H4754</f>
        <v>0</v>
      </c>
      <c r="J4754" s="21" t="n">
        <f aca="false">H4754*1000/Parametres!$B$9</f>
        <v>3391.55502798033</v>
      </c>
    </row>
    <row r="4755" customFormat="false" ht="15" hidden="false" customHeight="false" outlineLevel="0" collapsed="false">
      <c r="A4755" s="0" t="n">
        <v>4751</v>
      </c>
      <c r="B4755" s="0" t="n">
        <v>7</v>
      </c>
      <c r="C4755" s="19" t="n">
        <v>0</v>
      </c>
      <c r="D4755" s="19" t="n">
        <v>1</v>
      </c>
      <c r="E4755" s="20" t="n">
        <f aca="false">Parametres!$B$5*C4755</f>
        <v>0</v>
      </c>
      <c r="F4755" s="20" t="n">
        <f aca="false">Parametres!$B$6*D4755</f>
        <v>200</v>
      </c>
      <c r="G4755" s="20" t="n">
        <f aca="false">E4755+F4755</f>
        <v>200</v>
      </c>
      <c r="H4755" s="20" t="n">
        <f aca="false">IF(G4755&lt;Parametres!$B$8*Parametres!$B$7,0,MIN(G4755,Parametres!$B$7))</f>
        <v>200</v>
      </c>
      <c r="I4755" s="20" t="n">
        <f aca="false">G4755-H4755</f>
        <v>0</v>
      </c>
      <c r="J4755" s="21" t="n">
        <f aca="false">H4755*1000/Parametres!$B$9</f>
        <v>3391.55502798033</v>
      </c>
    </row>
    <row r="4756" customFormat="false" ht="15" hidden="false" customHeight="false" outlineLevel="0" collapsed="false">
      <c r="A4756" s="0" t="n">
        <v>4752</v>
      </c>
      <c r="B4756" s="0" t="n">
        <v>7</v>
      </c>
      <c r="C4756" s="19" t="n">
        <v>0</v>
      </c>
      <c r="D4756" s="19" t="n">
        <v>1</v>
      </c>
      <c r="E4756" s="20" t="n">
        <f aca="false">Parametres!$B$5*C4756</f>
        <v>0</v>
      </c>
      <c r="F4756" s="20" t="n">
        <f aca="false">Parametres!$B$6*D4756</f>
        <v>200</v>
      </c>
      <c r="G4756" s="20" t="n">
        <f aca="false">E4756+F4756</f>
        <v>200</v>
      </c>
      <c r="H4756" s="20" t="n">
        <f aca="false">IF(G4756&lt;Parametres!$B$8*Parametres!$B$7,0,MIN(G4756,Parametres!$B$7))</f>
        <v>200</v>
      </c>
      <c r="I4756" s="20" t="n">
        <f aca="false">G4756-H4756</f>
        <v>0</v>
      </c>
      <c r="J4756" s="21" t="n">
        <f aca="false">H4756*1000/Parametres!$B$9</f>
        <v>3391.55502798033</v>
      </c>
    </row>
    <row r="4757" customFormat="false" ht="15" hidden="false" customHeight="false" outlineLevel="0" collapsed="false">
      <c r="A4757" s="0" t="n">
        <v>4753</v>
      </c>
      <c r="B4757" s="0" t="n">
        <v>7</v>
      </c>
      <c r="C4757" s="19" t="n">
        <v>0</v>
      </c>
      <c r="D4757" s="19" t="n">
        <v>1</v>
      </c>
      <c r="E4757" s="20" t="n">
        <f aca="false">Parametres!$B$5*C4757</f>
        <v>0</v>
      </c>
      <c r="F4757" s="20" t="n">
        <f aca="false">Parametres!$B$6*D4757</f>
        <v>200</v>
      </c>
      <c r="G4757" s="20" t="n">
        <f aca="false">E4757+F4757</f>
        <v>200</v>
      </c>
      <c r="H4757" s="20" t="n">
        <f aca="false">IF(G4757&lt;Parametres!$B$8*Parametres!$B$7,0,MIN(G4757,Parametres!$B$7))</f>
        <v>200</v>
      </c>
      <c r="I4757" s="20" t="n">
        <f aca="false">G4757-H4757</f>
        <v>0</v>
      </c>
      <c r="J4757" s="21" t="n">
        <f aca="false">H4757*1000/Parametres!$B$9</f>
        <v>3391.55502798033</v>
      </c>
    </row>
    <row r="4758" customFormat="false" ht="15" hidden="false" customHeight="false" outlineLevel="0" collapsed="false">
      <c r="A4758" s="0" t="n">
        <v>4754</v>
      </c>
      <c r="B4758" s="0" t="n">
        <v>7</v>
      </c>
      <c r="C4758" s="19" t="n">
        <v>0</v>
      </c>
      <c r="D4758" s="19" t="n">
        <v>1</v>
      </c>
      <c r="E4758" s="20" t="n">
        <f aca="false">Parametres!$B$5*C4758</f>
        <v>0</v>
      </c>
      <c r="F4758" s="20" t="n">
        <f aca="false">Parametres!$B$6*D4758</f>
        <v>200</v>
      </c>
      <c r="G4758" s="20" t="n">
        <f aca="false">E4758+F4758</f>
        <v>200</v>
      </c>
      <c r="H4758" s="20" t="n">
        <f aca="false">IF(G4758&lt;Parametres!$B$8*Parametres!$B$7,0,MIN(G4758,Parametres!$B$7))</f>
        <v>200</v>
      </c>
      <c r="I4758" s="20" t="n">
        <f aca="false">G4758-H4758</f>
        <v>0</v>
      </c>
      <c r="J4758" s="21" t="n">
        <f aca="false">H4758*1000/Parametres!$B$9</f>
        <v>3391.55502798033</v>
      </c>
    </row>
    <row r="4759" customFormat="false" ht="15" hidden="false" customHeight="false" outlineLevel="0" collapsed="false">
      <c r="A4759" s="0" t="n">
        <v>4755</v>
      </c>
      <c r="B4759" s="0" t="n">
        <v>7</v>
      </c>
      <c r="C4759" s="19" t="n">
        <v>0</v>
      </c>
      <c r="D4759" s="19" t="n">
        <v>1</v>
      </c>
      <c r="E4759" s="20" t="n">
        <f aca="false">Parametres!$B$5*C4759</f>
        <v>0</v>
      </c>
      <c r="F4759" s="20" t="n">
        <f aca="false">Parametres!$B$6*D4759</f>
        <v>200</v>
      </c>
      <c r="G4759" s="20" t="n">
        <f aca="false">E4759+F4759</f>
        <v>200</v>
      </c>
      <c r="H4759" s="20" t="n">
        <f aca="false">IF(G4759&lt;Parametres!$B$8*Parametres!$B$7,0,MIN(G4759,Parametres!$B$7))</f>
        <v>200</v>
      </c>
      <c r="I4759" s="20" t="n">
        <f aca="false">G4759-H4759</f>
        <v>0</v>
      </c>
      <c r="J4759" s="21" t="n">
        <f aca="false">H4759*1000/Parametres!$B$9</f>
        <v>3391.55502798033</v>
      </c>
    </row>
    <row r="4760" customFormat="false" ht="15" hidden="false" customHeight="false" outlineLevel="0" collapsed="false">
      <c r="A4760" s="0" t="n">
        <v>4756</v>
      </c>
      <c r="B4760" s="0" t="n">
        <v>7</v>
      </c>
      <c r="C4760" s="19" t="n">
        <v>0</v>
      </c>
      <c r="D4760" s="19" t="n">
        <v>1</v>
      </c>
      <c r="E4760" s="20" t="n">
        <f aca="false">Parametres!$B$5*C4760</f>
        <v>0</v>
      </c>
      <c r="F4760" s="20" t="n">
        <f aca="false">Parametres!$B$6*D4760</f>
        <v>200</v>
      </c>
      <c r="G4760" s="20" t="n">
        <f aca="false">E4760+F4760</f>
        <v>200</v>
      </c>
      <c r="H4760" s="20" t="n">
        <f aca="false">IF(G4760&lt;Parametres!$B$8*Parametres!$B$7,0,MIN(G4760,Parametres!$B$7))</f>
        <v>200</v>
      </c>
      <c r="I4760" s="20" t="n">
        <f aca="false">G4760-H4760</f>
        <v>0</v>
      </c>
      <c r="J4760" s="21" t="n">
        <f aca="false">H4760*1000/Parametres!$B$9</f>
        <v>3391.55502798033</v>
      </c>
    </row>
    <row r="4761" customFormat="false" ht="15" hidden="false" customHeight="false" outlineLevel="0" collapsed="false">
      <c r="A4761" s="0" t="n">
        <v>4757</v>
      </c>
      <c r="B4761" s="0" t="n">
        <v>7</v>
      </c>
      <c r="C4761" s="19" t="n">
        <v>0</v>
      </c>
      <c r="D4761" s="19" t="n">
        <v>1</v>
      </c>
      <c r="E4761" s="20" t="n">
        <f aca="false">Parametres!$B$5*C4761</f>
        <v>0</v>
      </c>
      <c r="F4761" s="20" t="n">
        <f aca="false">Parametres!$B$6*D4761</f>
        <v>200</v>
      </c>
      <c r="G4761" s="20" t="n">
        <f aca="false">E4761+F4761</f>
        <v>200</v>
      </c>
      <c r="H4761" s="20" t="n">
        <f aca="false">IF(G4761&lt;Parametres!$B$8*Parametres!$B$7,0,MIN(G4761,Parametres!$B$7))</f>
        <v>200</v>
      </c>
      <c r="I4761" s="20" t="n">
        <f aca="false">G4761-H4761</f>
        <v>0</v>
      </c>
      <c r="J4761" s="21" t="n">
        <f aca="false">H4761*1000/Parametres!$B$9</f>
        <v>3391.55502798033</v>
      </c>
    </row>
    <row r="4762" customFormat="false" ht="15" hidden="false" customHeight="false" outlineLevel="0" collapsed="false">
      <c r="A4762" s="0" t="n">
        <v>4758</v>
      </c>
      <c r="B4762" s="0" t="n">
        <v>7</v>
      </c>
      <c r="C4762" s="19" t="n">
        <v>0.0574</v>
      </c>
      <c r="D4762" s="19" t="n">
        <v>1</v>
      </c>
      <c r="E4762" s="20" t="n">
        <f aca="false">Parametres!$B$5*C4762</f>
        <v>17.22</v>
      </c>
      <c r="F4762" s="20" t="n">
        <f aca="false">Parametres!$B$6*D4762</f>
        <v>200</v>
      </c>
      <c r="G4762" s="20" t="n">
        <f aca="false">E4762+F4762</f>
        <v>217.22</v>
      </c>
      <c r="H4762" s="20" t="n">
        <f aca="false">IF(G4762&lt;Parametres!$B$8*Parametres!$B$7,0,MIN(G4762,Parametres!$B$7))</f>
        <v>217.22</v>
      </c>
      <c r="I4762" s="20" t="n">
        <f aca="false">G4762-H4762</f>
        <v>0</v>
      </c>
      <c r="J4762" s="21" t="n">
        <f aca="false">H4762*1000/Parametres!$B$9</f>
        <v>3683.56791588944</v>
      </c>
    </row>
    <row r="4763" customFormat="false" ht="15" hidden="false" customHeight="false" outlineLevel="0" collapsed="false">
      <c r="A4763" s="0" t="n">
        <v>4759</v>
      </c>
      <c r="B4763" s="0" t="n">
        <v>7</v>
      </c>
      <c r="C4763" s="19" t="n">
        <v>0.3109</v>
      </c>
      <c r="D4763" s="19" t="n">
        <v>1</v>
      </c>
      <c r="E4763" s="20" t="n">
        <f aca="false">Parametres!$B$5*C4763</f>
        <v>93.27</v>
      </c>
      <c r="F4763" s="20" t="n">
        <f aca="false">Parametres!$B$6*D4763</f>
        <v>200</v>
      </c>
      <c r="G4763" s="20" t="n">
        <f aca="false">E4763+F4763</f>
        <v>293.27</v>
      </c>
      <c r="H4763" s="20" t="n">
        <f aca="false">IF(G4763&lt;Parametres!$B$8*Parametres!$B$7,0,MIN(G4763,Parametres!$B$7))</f>
        <v>250</v>
      </c>
      <c r="I4763" s="20" t="n">
        <f aca="false">G4763-H4763</f>
        <v>43.27</v>
      </c>
      <c r="J4763" s="21" t="n">
        <f aca="false">H4763*1000/Parametres!$B$9</f>
        <v>4239.44378497541</v>
      </c>
    </row>
    <row r="4764" customFormat="false" ht="15" hidden="false" customHeight="false" outlineLevel="0" collapsed="false">
      <c r="A4764" s="0" t="n">
        <v>4760</v>
      </c>
      <c r="B4764" s="0" t="n">
        <v>7</v>
      </c>
      <c r="C4764" s="19" t="n">
        <v>0.5623</v>
      </c>
      <c r="D4764" s="19" t="n">
        <v>1</v>
      </c>
      <c r="E4764" s="20" t="n">
        <f aca="false">Parametres!$B$5*C4764</f>
        <v>168.69</v>
      </c>
      <c r="F4764" s="20" t="n">
        <f aca="false">Parametres!$B$6*D4764</f>
        <v>200</v>
      </c>
      <c r="G4764" s="20" t="n">
        <f aca="false">E4764+F4764</f>
        <v>368.69</v>
      </c>
      <c r="H4764" s="20" t="n">
        <f aca="false">IF(G4764&lt;Parametres!$B$8*Parametres!$B$7,0,MIN(G4764,Parametres!$B$7))</f>
        <v>250</v>
      </c>
      <c r="I4764" s="20" t="n">
        <f aca="false">G4764-H4764</f>
        <v>118.69</v>
      </c>
      <c r="J4764" s="21" t="n">
        <f aca="false">H4764*1000/Parametres!$B$9</f>
        <v>4239.44378497541</v>
      </c>
    </row>
    <row r="4765" customFormat="false" ht="15" hidden="false" customHeight="false" outlineLevel="0" collapsed="false">
      <c r="A4765" s="0" t="n">
        <v>4761</v>
      </c>
      <c r="B4765" s="0" t="n">
        <v>7</v>
      </c>
      <c r="C4765" s="19" t="n">
        <v>0.8285</v>
      </c>
      <c r="D4765" s="19" t="n">
        <v>1</v>
      </c>
      <c r="E4765" s="20" t="n">
        <f aca="false">Parametres!$B$5*C4765</f>
        <v>248.55</v>
      </c>
      <c r="F4765" s="20" t="n">
        <f aca="false">Parametres!$B$6*D4765</f>
        <v>200</v>
      </c>
      <c r="G4765" s="20" t="n">
        <f aca="false">E4765+F4765</f>
        <v>448.55</v>
      </c>
      <c r="H4765" s="20" t="n">
        <f aca="false">IF(G4765&lt;Parametres!$B$8*Parametres!$B$7,0,MIN(G4765,Parametres!$B$7))</f>
        <v>250</v>
      </c>
      <c r="I4765" s="20" t="n">
        <f aca="false">G4765-H4765</f>
        <v>198.55</v>
      </c>
      <c r="J4765" s="21" t="n">
        <f aca="false">H4765*1000/Parametres!$B$9</f>
        <v>4239.44378497541</v>
      </c>
    </row>
    <row r="4766" customFormat="false" ht="15" hidden="false" customHeight="false" outlineLevel="0" collapsed="false">
      <c r="A4766" s="0" t="n">
        <v>4762</v>
      </c>
      <c r="B4766" s="0" t="n">
        <v>7</v>
      </c>
      <c r="C4766" s="19" t="n">
        <v>1</v>
      </c>
      <c r="D4766" s="19" t="n">
        <v>1</v>
      </c>
      <c r="E4766" s="20" t="n">
        <f aca="false">Parametres!$B$5*C4766</f>
        <v>300</v>
      </c>
      <c r="F4766" s="20" t="n">
        <f aca="false">Parametres!$B$6*D4766</f>
        <v>200</v>
      </c>
      <c r="G4766" s="20" t="n">
        <f aca="false">E4766+F4766</f>
        <v>500</v>
      </c>
      <c r="H4766" s="20" t="n">
        <f aca="false">IF(G4766&lt;Parametres!$B$8*Parametres!$B$7,0,MIN(G4766,Parametres!$B$7))</f>
        <v>250</v>
      </c>
      <c r="I4766" s="20" t="n">
        <f aca="false">G4766-H4766</f>
        <v>250</v>
      </c>
      <c r="J4766" s="21" t="n">
        <f aca="false">H4766*1000/Parametres!$B$9</f>
        <v>4239.44378497541</v>
      </c>
    </row>
    <row r="4767" customFormat="false" ht="15" hidden="false" customHeight="false" outlineLevel="0" collapsed="false">
      <c r="A4767" s="0" t="n">
        <v>4763</v>
      </c>
      <c r="B4767" s="0" t="n">
        <v>7</v>
      </c>
      <c r="C4767" s="19" t="n">
        <v>1</v>
      </c>
      <c r="D4767" s="19" t="n">
        <v>1</v>
      </c>
      <c r="E4767" s="20" t="n">
        <f aca="false">Parametres!$B$5*C4767</f>
        <v>300</v>
      </c>
      <c r="F4767" s="20" t="n">
        <f aca="false">Parametres!$B$6*D4767</f>
        <v>200</v>
      </c>
      <c r="G4767" s="20" t="n">
        <f aca="false">E4767+F4767</f>
        <v>500</v>
      </c>
      <c r="H4767" s="20" t="n">
        <f aca="false">IF(G4767&lt;Parametres!$B$8*Parametres!$B$7,0,MIN(G4767,Parametres!$B$7))</f>
        <v>250</v>
      </c>
      <c r="I4767" s="20" t="n">
        <f aca="false">G4767-H4767</f>
        <v>250</v>
      </c>
      <c r="J4767" s="21" t="n">
        <f aca="false">H4767*1000/Parametres!$B$9</f>
        <v>4239.44378497541</v>
      </c>
    </row>
    <row r="4768" customFormat="false" ht="15" hidden="false" customHeight="false" outlineLevel="0" collapsed="false">
      <c r="A4768" s="0" t="n">
        <v>4764</v>
      </c>
      <c r="B4768" s="0" t="n">
        <v>7</v>
      </c>
      <c r="C4768" s="19" t="n">
        <v>1</v>
      </c>
      <c r="D4768" s="19" t="n">
        <v>1</v>
      </c>
      <c r="E4768" s="20" t="n">
        <f aca="false">Parametres!$B$5*C4768</f>
        <v>300</v>
      </c>
      <c r="F4768" s="20" t="n">
        <f aca="false">Parametres!$B$6*D4768</f>
        <v>200</v>
      </c>
      <c r="G4768" s="20" t="n">
        <f aca="false">E4768+F4768</f>
        <v>500</v>
      </c>
      <c r="H4768" s="20" t="n">
        <f aca="false">IF(G4768&lt;Parametres!$B$8*Parametres!$B$7,0,MIN(G4768,Parametres!$B$7))</f>
        <v>250</v>
      </c>
      <c r="I4768" s="20" t="n">
        <f aca="false">G4768-H4768</f>
        <v>250</v>
      </c>
      <c r="J4768" s="21" t="n">
        <f aca="false">H4768*1000/Parametres!$B$9</f>
        <v>4239.44378497541</v>
      </c>
    </row>
    <row r="4769" customFormat="false" ht="15" hidden="false" customHeight="false" outlineLevel="0" collapsed="false">
      <c r="A4769" s="0" t="n">
        <v>4765</v>
      </c>
      <c r="B4769" s="0" t="n">
        <v>7</v>
      </c>
      <c r="C4769" s="19" t="n">
        <v>1</v>
      </c>
      <c r="D4769" s="19" t="n">
        <v>1</v>
      </c>
      <c r="E4769" s="20" t="n">
        <f aca="false">Parametres!$B$5*C4769</f>
        <v>300</v>
      </c>
      <c r="F4769" s="20" t="n">
        <f aca="false">Parametres!$B$6*D4769</f>
        <v>200</v>
      </c>
      <c r="G4769" s="20" t="n">
        <f aca="false">E4769+F4769</f>
        <v>500</v>
      </c>
      <c r="H4769" s="20" t="n">
        <f aca="false">IF(G4769&lt;Parametres!$B$8*Parametres!$B$7,0,MIN(G4769,Parametres!$B$7))</f>
        <v>250</v>
      </c>
      <c r="I4769" s="20" t="n">
        <f aca="false">G4769-H4769</f>
        <v>250</v>
      </c>
      <c r="J4769" s="21" t="n">
        <f aca="false">H4769*1000/Parametres!$B$9</f>
        <v>4239.44378497541</v>
      </c>
    </row>
    <row r="4770" customFormat="false" ht="15" hidden="false" customHeight="false" outlineLevel="0" collapsed="false">
      <c r="A4770" s="0" t="n">
        <v>4766</v>
      </c>
      <c r="B4770" s="0" t="n">
        <v>7</v>
      </c>
      <c r="C4770" s="19" t="n">
        <v>1</v>
      </c>
      <c r="D4770" s="19" t="n">
        <v>1</v>
      </c>
      <c r="E4770" s="20" t="n">
        <f aca="false">Parametres!$B$5*C4770</f>
        <v>300</v>
      </c>
      <c r="F4770" s="20" t="n">
        <f aca="false">Parametres!$B$6*D4770</f>
        <v>200</v>
      </c>
      <c r="G4770" s="20" t="n">
        <f aca="false">E4770+F4770</f>
        <v>500</v>
      </c>
      <c r="H4770" s="20" t="n">
        <f aca="false">IF(G4770&lt;Parametres!$B$8*Parametres!$B$7,0,MIN(G4770,Parametres!$B$7))</f>
        <v>250</v>
      </c>
      <c r="I4770" s="20" t="n">
        <f aca="false">G4770-H4770</f>
        <v>250</v>
      </c>
      <c r="J4770" s="21" t="n">
        <f aca="false">H4770*1000/Parametres!$B$9</f>
        <v>4239.44378497541</v>
      </c>
    </row>
    <row r="4771" customFormat="false" ht="15" hidden="false" customHeight="false" outlineLevel="0" collapsed="false">
      <c r="A4771" s="0" t="n">
        <v>4767</v>
      </c>
      <c r="B4771" s="0" t="n">
        <v>7</v>
      </c>
      <c r="C4771" s="19" t="n">
        <v>1</v>
      </c>
      <c r="D4771" s="19" t="n">
        <v>1</v>
      </c>
      <c r="E4771" s="20" t="n">
        <f aca="false">Parametres!$B$5*C4771</f>
        <v>300</v>
      </c>
      <c r="F4771" s="20" t="n">
        <f aca="false">Parametres!$B$6*D4771</f>
        <v>200</v>
      </c>
      <c r="G4771" s="20" t="n">
        <f aca="false">E4771+F4771</f>
        <v>500</v>
      </c>
      <c r="H4771" s="20" t="n">
        <f aca="false">IF(G4771&lt;Parametres!$B$8*Parametres!$B$7,0,MIN(G4771,Parametres!$B$7))</f>
        <v>250</v>
      </c>
      <c r="I4771" s="20" t="n">
        <f aca="false">G4771-H4771</f>
        <v>250</v>
      </c>
      <c r="J4771" s="21" t="n">
        <f aca="false">H4771*1000/Parametres!$B$9</f>
        <v>4239.44378497541</v>
      </c>
    </row>
    <row r="4772" customFormat="false" ht="15" hidden="false" customHeight="false" outlineLevel="0" collapsed="false">
      <c r="A4772" s="0" t="n">
        <v>4768</v>
      </c>
      <c r="B4772" s="0" t="n">
        <v>7</v>
      </c>
      <c r="C4772" s="19" t="n">
        <v>0.8797</v>
      </c>
      <c r="D4772" s="19" t="n">
        <v>1</v>
      </c>
      <c r="E4772" s="20" t="n">
        <f aca="false">Parametres!$B$5*C4772</f>
        <v>263.91</v>
      </c>
      <c r="F4772" s="20" t="n">
        <f aca="false">Parametres!$B$6*D4772</f>
        <v>200</v>
      </c>
      <c r="G4772" s="20" t="n">
        <f aca="false">E4772+F4772</f>
        <v>463.91</v>
      </c>
      <c r="H4772" s="20" t="n">
        <f aca="false">IF(G4772&lt;Parametres!$B$8*Parametres!$B$7,0,MIN(G4772,Parametres!$B$7))</f>
        <v>250</v>
      </c>
      <c r="I4772" s="20" t="n">
        <f aca="false">G4772-H4772</f>
        <v>213.91</v>
      </c>
      <c r="J4772" s="21" t="n">
        <f aca="false">H4772*1000/Parametres!$B$9</f>
        <v>4239.44378497541</v>
      </c>
    </row>
    <row r="4773" customFormat="false" ht="15" hidden="false" customHeight="false" outlineLevel="0" collapsed="false">
      <c r="A4773" s="0" t="n">
        <v>4769</v>
      </c>
      <c r="B4773" s="0" t="n">
        <v>7</v>
      </c>
      <c r="C4773" s="19" t="n">
        <v>0.5706</v>
      </c>
      <c r="D4773" s="19" t="n">
        <v>1</v>
      </c>
      <c r="E4773" s="20" t="n">
        <f aca="false">Parametres!$B$5*C4773</f>
        <v>171.18</v>
      </c>
      <c r="F4773" s="20" t="n">
        <f aca="false">Parametres!$B$6*D4773</f>
        <v>200</v>
      </c>
      <c r="G4773" s="20" t="n">
        <f aca="false">E4773+F4773</f>
        <v>371.18</v>
      </c>
      <c r="H4773" s="20" t="n">
        <f aca="false">IF(G4773&lt;Parametres!$B$8*Parametres!$B$7,0,MIN(G4773,Parametres!$B$7))</f>
        <v>250</v>
      </c>
      <c r="I4773" s="20" t="n">
        <f aca="false">G4773-H4773</f>
        <v>121.18</v>
      </c>
      <c r="J4773" s="21" t="n">
        <f aca="false">H4773*1000/Parametres!$B$9</f>
        <v>4239.44378497541</v>
      </c>
    </row>
    <row r="4774" customFormat="false" ht="15" hidden="false" customHeight="false" outlineLevel="0" collapsed="false">
      <c r="A4774" s="0" t="n">
        <v>4770</v>
      </c>
      <c r="B4774" s="0" t="n">
        <v>7</v>
      </c>
      <c r="C4774" s="19" t="n">
        <v>0.3011</v>
      </c>
      <c r="D4774" s="19" t="n">
        <v>1</v>
      </c>
      <c r="E4774" s="20" t="n">
        <f aca="false">Parametres!$B$5*C4774</f>
        <v>90.33</v>
      </c>
      <c r="F4774" s="20" t="n">
        <f aca="false">Parametres!$B$6*D4774</f>
        <v>200</v>
      </c>
      <c r="G4774" s="20" t="n">
        <f aca="false">E4774+F4774</f>
        <v>290.33</v>
      </c>
      <c r="H4774" s="20" t="n">
        <f aca="false">IF(G4774&lt;Parametres!$B$8*Parametres!$B$7,0,MIN(G4774,Parametres!$B$7))</f>
        <v>250</v>
      </c>
      <c r="I4774" s="20" t="n">
        <f aca="false">G4774-H4774</f>
        <v>40.33</v>
      </c>
      <c r="J4774" s="21" t="n">
        <f aca="false">H4774*1000/Parametres!$B$9</f>
        <v>4239.44378497541</v>
      </c>
    </row>
    <row r="4775" customFormat="false" ht="15" hidden="false" customHeight="false" outlineLevel="0" collapsed="false">
      <c r="A4775" s="0" t="n">
        <v>4771</v>
      </c>
      <c r="B4775" s="0" t="n">
        <v>7</v>
      </c>
      <c r="C4775" s="19" t="n">
        <v>0.0564</v>
      </c>
      <c r="D4775" s="19" t="n">
        <v>1</v>
      </c>
      <c r="E4775" s="20" t="n">
        <f aca="false">Parametres!$B$5*C4775</f>
        <v>16.92</v>
      </c>
      <c r="F4775" s="20" t="n">
        <f aca="false">Parametres!$B$6*D4775</f>
        <v>200</v>
      </c>
      <c r="G4775" s="20" t="n">
        <f aca="false">E4775+F4775</f>
        <v>216.92</v>
      </c>
      <c r="H4775" s="20" t="n">
        <f aca="false">IF(G4775&lt;Parametres!$B$8*Parametres!$B$7,0,MIN(G4775,Parametres!$B$7))</f>
        <v>216.92</v>
      </c>
      <c r="I4775" s="20" t="n">
        <f aca="false">G4775-H4775</f>
        <v>0</v>
      </c>
      <c r="J4775" s="21" t="n">
        <f aca="false">H4775*1000/Parametres!$B$9</f>
        <v>3678.48058334746</v>
      </c>
    </row>
    <row r="4776" customFormat="false" ht="15" hidden="false" customHeight="false" outlineLevel="0" collapsed="false">
      <c r="A4776" s="0" t="n">
        <v>4772</v>
      </c>
      <c r="B4776" s="0" t="n">
        <v>7</v>
      </c>
      <c r="C4776" s="19" t="n">
        <v>0</v>
      </c>
      <c r="D4776" s="19" t="n">
        <v>1</v>
      </c>
      <c r="E4776" s="20" t="n">
        <f aca="false">Parametres!$B$5*C4776</f>
        <v>0</v>
      </c>
      <c r="F4776" s="20" t="n">
        <f aca="false">Parametres!$B$6*D4776</f>
        <v>200</v>
      </c>
      <c r="G4776" s="20" t="n">
        <f aca="false">E4776+F4776</f>
        <v>200</v>
      </c>
      <c r="H4776" s="20" t="n">
        <f aca="false">IF(G4776&lt;Parametres!$B$8*Parametres!$B$7,0,MIN(G4776,Parametres!$B$7))</f>
        <v>200</v>
      </c>
      <c r="I4776" s="20" t="n">
        <f aca="false">G4776-H4776</f>
        <v>0</v>
      </c>
      <c r="J4776" s="21" t="n">
        <f aca="false">H4776*1000/Parametres!$B$9</f>
        <v>3391.55502798033</v>
      </c>
    </row>
    <row r="4777" customFormat="false" ht="15" hidden="false" customHeight="false" outlineLevel="0" collapsed="false">
      <c r="A4777" s="0" t="n">
        <v>4773</v>
      </c>
      <c r="B4777" s="0" t="n">
        <v>7</v>
      </c>
      <c r="C4777" s="19" t="n">
        <v>0</v>
      </c>
      <c r="D4777" s="19" t="n">
        <v>1</v>
      </c>
      <c r="E4777" s="20" t="n">
        <f aca="false">Parametres!$B$5*C4777</f>
        <v>0</v>
      </c>
      <c r="F4777" s="20" t="n">
        <f aca="false">Parametres!$B$6*D4777</f>
        <v>200</v>
      </c>
      <c r="G4777" s="20" t="n">
        <f aca="false">E4777+F4777</f>
        <v>200</v>
      </c>
      <c r="H4777" s="20" t="n">
        <f aca="false">IF(G4777&lt;Parametres!$B$8*Parametres!$B$7,0,MIN(G4777,Parametres!$B$7))</f>
        <v>200</v>
      </c>
      <c r="I4777" s="20" t="n">
        <f aca="false">G4777-H4777</f>
        <v>0</v>
      </c>
      <c r="J4777" s="21" t="n">
        <f aca="false">H4777*1000/Parametres!$B$9</f>
        <v>3391.55502798033</v>
      </c>
    </row>
    <row r="4778" customFormat="false" ht="15" hidden="false" customHeight="false" outlineLevel="0" collapsed="false">
      <c r="A4778" s="0" t="n">
        <v>4774</v>
      </c>
      <c r="B4778" s="0" t="n">
        <v>7</v>
      </c>
      <c r="C4778" s="19" t="n">
        <v>0</v>
      </c>
      <c r="D4778" s="19" t="n">
        <v>1</v>
      </c>
      <c r="E4778" s="20" t="n">
        <f aca="false">Parametres!$B$5*C4778</f>
        <v>0</v>
      </c>
      <c r="F4778" s="20" t="n">
        <f aca="false">Parametres!$B$6*D4778</f>
        <v>200</v>
      </c>
      <c r="G4778" s="20" t="n">
        <f aca="false">E4778+F4778</f>
        <v>200</v>
      </c>
      <c r="H4778" s="20" t="n">
        <f aca="false">IF(G4778&lt;Parametres!$B$8*Parametres!$B$7,0,MIN(G4778,Parametres!$B$7))</f>
        <v>200</v>
      </c>
      <c r="I4778" s="20" t="n">
        <f aca="false">G4778-H4778</f>
        <v>0</v>
      </c>
      <c r="J4778" s="21" t="n">
        <f aca="false">H4778*1000/Parametres!$B$9</f>
        <v>3391.55502798033</v>
      </c>
    </row>
    <row r="4779" customFormat="false" ht="15" hidden="false" customHeight="false" outlineLevel="0" collapsed="false">
      <c r="A4779" s="0" t="n">
        <v>4775</v>
      </c>
      <c r="B4779" s="0" t="n">
        <v>7</v>
      </c>
      <c r="C4779" s="19" t="n">
        <v>0</v>
      </c>
      <c r="D4779" s="19" t="n">
        <v>1</v>
      </c>
      <c r="E4779" s="20" t="n">
        <f aca="false">Parametres!$B$5*C4779</f>
        <v>0</v>
      </c>
      <c r="F4779" s="20" t="n">
        <f aca="false">Parametres!$B$6*D4779</f>
        <v>200</v>
      </c>
      <c r="G4779" s="20" t="n">
        <f aca="false">E4779+F4779</f>
        <v>200</v>
      </c>
      <c r="H4779" s="20" t="n">
        <f aca="false">IF(G4779&lt;Parametres!$B$8*Parametres!$B$7,0,MIN(G4779,Parametres!$B$7))</f>
        <v>200</v>
      </c>
      <c r="I4779" s="20" t="n">
        <f aca="false">G4779-H4779</f>
        <v>0</v>
      </c>
      <c r="J4779" s="21" t="n">
        <f aca="false">H4779*1000/Parametres!$B$9</f>
        <v>3391.55502798033</v>
      </c>
    </row>
    <row r="4780" customFormat="false" ht="15" hidden="false" customHeight="false" outlineLevel="0" collapsed="false">
      <c r="A4780" s="0" t="n">
        <v>4776</v>
      </c>
      <c r="B4780" s="0" t="n">
        <v>7</v>
      </c>
      <c r="C4780" s="19" t="n">
        <v>0</v>
      </c>
      <c r="D4780" s="19" t="n">
        <v>1</v>
      </c>
      <c r="E4780" s="20" t="n">
        <f aca="false">Parametres!$B$5*C4780</f>
        <v>0</v>
      </c>
      <c r="F4780" s="20" t="n">
        <f aca="false">Parametres!$B$6*D4780</f>
        <v>200</v>
      </c>
      <c r="G4780" s="20" t="n">
        <f aca="false">E4780+F4780</f>
        <v>200</v>
      </c>
      <c r="H4780" s="20" t="n">
        <f aca="false">IF(G4780&lt;Parametres!$B$8*Parametres!$B$7,0,MIN(G4780,Parametres!$B$7))</f>
        <v>200</v>
      </c>
      <c r="I4780" s="20" t="n">
        <f aca="false">G4780-H4780</f>
        <v>0</v>
      </c>
      <c r="J4780" s="21" t="n">
        <f aca="false">H4780*1000/Parametres!$B$9</f>
        <v>3391.55502798033</v>
      </c>
    </row>
    <row r="4781" customFormat="false" ht="15" hidden="false" customHeight="false" outlineLevel="0" collapsed="false">
      <c r="A4781" s="0" t="n">
        <v>4777</v>
      </c>
      <c r="B4781" s="0" t="n">
        <v>7</v>
      </c>
      <c r="C4781" s="19" t="n">
        <v>0</v>
      </c>
      <c r="D4781" s="19" t="n">
        <v>1</v>
      </c>
      <c r="E4781" s="20" t="n">
        <f aca="false">Parametres!$B$5*C4781</f>
        <v>0</v>
      </c>
      <c r="F4781" s="20" t="n">
        <f aca="false">Parametres!$B$6*D4781</f>
        <v>200</v>
      </c>
      <c r="G4781" s="20" t="n">
        <f aca="false">E4781+F4781</f>
        <v>200</v>
      </c>
      <c r="H4781" s="20" t="n">
        <f aca="false">IF(G4781&lt;Parametres!$B$8*Parametres!$B$7,0,MIN(G4781,Parametres!$B$7))</f>
        <v>200</v>
      </c>
      <c r="I4781" s="20" t="n">
        <f aca="false">G4781-H4781</f>
        <v>0</v>
      </c>
      <c r="J4781" s="21" t="n">
        <f aca="false">H4781*1000/Parametres!$B$9</f>
        <v>3391.55502798033</v>
      </c>
    </row>
    <row r="4782" customFormat="false" ht="15" hidden="false" customHeight="false" outlineLevel="0" collapsed="false">
      <c r="A4782" s="0" t="n">
        <v>4778</v>
      </c>
      <c r="B4782" s="0" t="n">
        <v>7</v>
      </c>
      <c r="C4782" s="19" t="n">
        <v>0</v>
      </c>
      <c r="D4782" s="19" t="n">
        <v>1</v>
      </c>
      <c r="E4782" s="20" t="n">
        <f aca="false">Parametres!$B$5*C4782</f>
        <v>0</v>
      </c>
      <c r="F4782" s="20" t="n">
        <f aca="false">Parametres!$B$6*D4782</f>
        <v>200</v>
      </c>
      <c r="G4782" s="20" t="n">
        <f aca="false">E4782+F4782</f>
        <v>200</v>
      </c>
      <c r="H4782" s="20" t="n">
        <f aca="false">IF(G4782&lt;Parametres!$B$8*Parametres!$B$7,0,MIN(G4782,Parametres!$B$7))</f>
        <v>200</v>
      </c>
      <c r="I4782" s="20" t="n">
        <f aca="false">G4782-H4782</f>
        <v>0</v>
      </c>
      <c r="J4782" s="21" t="n">
        <f aca="false">H4782*1000/Parametres!$B$9</f>
        <v>3391.55502798033</v>
      </c>
    </row>
    <row r="4783" customFormat="false" ht="15" hidden="false" customHeight="false" outlineLevel="0" collapsed="false">
      <c r="A4783" s="0" t="n">
        <v>4779</v>
      </c>
      <c r="B4783" s="0" t="n">
        <v>7</v>
      </c>
      <c r="C4783" s="19" t="n">
        <v>0</v>
      </c>
      <c r="D4783" s="19" t="n">
        <v>1</v>
      </c>
      <c r="E4783" s="20" t="n">
        <f aca="false">Parametres!$B$5*C4783</f>
        <v>0</v>
      </c>
      <c r="F4783" s="20" t="n">
        <f aca="false">Parametres!$B$6*D4783</f>
        <v>200</v>
      </c>
      <c r="G4783" s="20" t="n">
        <f aca="false">E4783+F4783</f>
        <v>200</v>
      </c>
      <c r="H4783" s="20" t="n">
        <f aca="false">IF(G4783&lt;Parametres!$B$8*Parametres!$B$7,0,MIN(G4783,Parametres!$B$7))</f>
        <v>200</v>
      </c>
      <c r="I4783" s="20" t="n">
        <f aca="false">G4783-H4783</f>
        <v>0</v>
      </c>
      <c r="J4783" s="21" t="n">
        <f aca="false">H4783*1000/Parametres!$B$9</f>
        <v>3391.55502798033</v>
      </c>
    </row>
    <row r="4784" customFormat="false" ht="15" hidden="false" customHeight="false" outlineLevel="0" collapsed="false">
      <c r="A4784" s="0" t="n">
        <v>4780</v>
      </c>
      <c r="B4784" s="0" t="n">
        <v>7</v>
      </c>
      <c r="C4784" s="19" t="n">
        <v>0</v>
      </c>
      <c r="D4784" s="19" t="n">
        <v>1</v>
      </c>
      <c r="E4784" s="20" t="n">
        <f aca="false">Parametres!$B$5*C4784</f>
        <v>0</v>
      </c>
      <c r="F4784" s="20" t="n">
        <f aca="false">Parametres!$B$6*D4784</f>
        <v>200</v>
      </c>
      <c r="G4784" s="20" t="n">
        <f aca="false">E4784+F4784</f>
        <v>200</v>
      </c>
      <c r="H4784" s="20" t="n">
        <f aca="false">IF(G4784&lt;Parametres!$B$8*Parametres!$B$7,0,MIN(G4784,Parametres!$B$7))</f>
        <v>200</v>
      </c>
      <c r="I4784" s="20" t="n">
        <f aca="false">G4784-H4784</f>
        <v>0</v>
      </c>
      <c r="J4784" s="21" t="n">
        <f aca="false">H4784*1000/Parametres!$B$9</f>
        <v>3391.55502798033</v>
      </c>
    </row>
    <row r="4785" customFormat="false" ht="15" hidden="false" customHeight="false" outlineLevel="0" collapsed="false">
      <c r="A4785" s="0" t="n">
        <v>4781</v>
      </c>
      <c r="B4785" s="0" t="n">
        <v>7</v>
      </c>
      <c r="C4785" s="19" t="n">
        <v>0</v>
      </c>
      <c r="D4785" s="19" t="n">
        <v>1</v>
      </c>
      <c r="E4785" s="20" t="n">
        <f aca="false">Parametres!$B$5*C4785</f>
        <v>0</v>
      </c>
      <c r="F4785" s="20" t="n">
        <f aca="false">Parametres!$B$6*D4785</f>
        <v>200</v>
      </c>
      <c r="G4785" s="20" t="n">
        <f aca="false">E4785+F4785</f>
        <v>200</v>
      </c>
      <c r="H4785" s="20" t="n">
        <f aca="false">IF(G4785&lt;Parametres!$B$8*Parametres!$B$7,0,MIN(G4785,Parametres!$B$7))</f>
        <v>200</v>
      </c>
      <c r="I4785" s="20" t="n">
        <f aca="false">G4785-H4785</f>
        <v>0</v>
      </c>
      <c r="J4785" s="21" t="n">
        <f aca="false">H4785*1000/Parametres!$B$9</f>
        <v>3391.55502798033</v>
      </c>
    </row>
    <row r="4786" customFormat="false" ht="15" hidden="false" customHeight="false" outlineLevel="0" collapsed="false">
      <c r="A4786" s="0" t="n">
        <v>4782</v>
      </c>
      <c r="B4786" s="0" t="n">
        <v>7</v>
      </c>
      <c r="C4786" s="19" t="n">
        <v>0.0417</v>
      </c>
      <c r="D4786" s="19" t="n">
        <v>1</v>
      </c>
      <c r="E4786" s="20" t="n">
        <f aca="false">Parametres!$B$5*C4786</f>
        <v>12.51</v>
      </c>
      <c r="F4786" s="20" t="n">
        <f aca="false">Parametres!$B$6*D4786</f>
        <v>200</v>
      </c>
      <c r="G4786" s="20" t="n">
        <f aca="false">E4786+F4786</f>
        <v>212.51</v>
      </c>
      <c r="H4786" s="20" t="n">
        <f aca="false">IF(G4786&lt;Parametres!$B$8*Parametres!$B$7,0,MIN(G4786,Parametres!$B$7))</f>
        <v>212.51</v>
      </c>
      <c r="I4786" s="20" t="n">
        <f aca="false">G4786-H4786</f>
        <v>0</v>
      </c>
      <c r="J4786" s="21" t="n">
        <f aca="false">H4786*1000/Parametres!$B$9</f>
        <v>3603.6967949805</v>
      </c>
    </row>
    <row r="4787" customFormat="false" ht="15" hidden="false" customHeight="false" outlineLevel="0" collapsed="false">
      <c r="A4787" s="0" t="n">
        <v>4783</v>
      </c>
      <c r="B4787" s="0" t="n">
        <v>7</v>
      </c>
      <c r="C4787" s="19" t="n">
        <v>0.2398</v>
      </c>
      <c r="D4787" s="19" t="n">
        <v>1</v>
      </c>
      <c r="E4787" s="20" t="n">
        <f aca="false">Parametres!$B$5*C4787</f>
        <v>71.94</v>
      </c>
      <c r="F4787" s="20" t="n">
        <f aca="false">Parametres!$B$6*D4787</f>
        <v>200</v>
      </c>
      <c r="G4787" s="20" t="n">
        <f aca="false">E4787+F4787</f>
        <v>271.94</v>
      </c>
      <c r="H4787" s="20" t="n">
        <f aca="false">IF(G4787&lt;Parametres!$B$8*Parametres!$B$7,0,MIN(G4787,Parametres!$B$7))</f>
        <v>250</v>
      </c>
      <c r="I4787" s="20" t="n">
        <f aca="false">G4787-H4787</f>
        <v>21.94</v>
      </c>
      <c r="J4787" s="21" t="n">
        <f aca="false">H4787*1000/Parametres!$B$9</f>
        <v>4239.44378497541</v>
      </c>
    </row>
    <row r="4788" customFormat="false" ht="15" hidden="false" customHeight="false" outlineLevel="0" collapsed="false">
      <c r="A4788" s="0" t="n">
        <v>4784</v>
      </c>
      <c r="B4788" s="0" t="n">
        <v>7</v>
      </c>
      <c r="C4788" s="19" t="n">
        <v>0.4557</v>
      </c>
      <c r="D4788" s="19" t="n">
        <v>1</v>
      </c>
      <c r="E4788" s="20" t="n">
        <f aca="false">Parametres!$B$5*C4788</f>
        <v>136.71</v>
      </c>
      <c r="F4788" s="20" t="n">
        <f aca="false">Parametres!$B$6*D4788</f>
        <v>200</v>
      </c>
      <c r="G4788" s="20" t="n">
        <f aca="false">E4788+F4788</f>
        <v>336.71</v>
      </c>
      <c r="H4788" s="20" t="n">
        <f aca="false">IF(G4788&lt;Parametres!$B$8*Parametres!$B$7,0,MIN(G4788,Parametres!$B$7))</f>
        <v>250</v>
      </c>
      <c r="I4788" s="20" t="n">
        <f aca="false">G4788-H4788</f>
        <v>86.71</v>
      </c>
      <c r="J4788" s="21" t="n">
        <f aca="false">H4788*1000/Parametres!$B$9</f>
        <v>4239.44378497541</v>
      </c>
    </row>
    <row r="4789" customFormat="false" ht="15" hidden="false" customHeight="false" outlineLevel="0" collapsed="false">
      <c r="A4789" s="0" t="n">
        <v>4785</v>
      </c>
      <c r="B4789" s="0" t="n">
        <v>7</v>
      </c>
      <c r="C4789" s="19" t="n">
        <v>0.6816</v>
      </c>
      <c r="D4789" s="19" t="n">
        <v>1</v>
      </c>
      <c r="E4789" s="20" t="n">
        <f aca="false">Parametres!$B$5*C4789</f>
        <v>204.48</v>
      </c>
      <c r="F4789" s="20" t="n">
        <f aca="false">Parametres!$B$6*D4789</f>
        <v>200</v>
      </c>
      <c r="G4789" s="20" t="n">
        <f aca="false">E4789+F4789</f>
        <v>404.48</v>
      </c>
      <c r="H4789" s="20" t="n">
        <f aca="false">IF(G4789&lt;Parametres!$B$8*Parametres!$B$7,0,MIN(G4789,Parametres!$B$7))</f>
        <v>250</v>
      </c>
      <c r="I4789" s="20" t="n">
        <f aca="false">G4789-H4789</f>
        <v>154.48</v>
      </c>
      <c r="J4789" s="21" t="n">
        <f aca="false">H4789*1000/Parametres!$B$9</f>
        <v>4239.44378497541</v>
      </c>
    </row>
    <row r="4790" customFormat="false" ht="15" hidden="false" customHeight="false" outlineLevel="0" collapsed="false">
      <c r="A4790" s="0" t="n">
        <v>4786</v>
      </c>
      <c r="B4790" s="0" t="n">
        <v>7</v>
      </c>
      <c r="C4790" s="19" t="n">
        <v>0.8331</v>
      </c>
      <c r="D4790" s="19" t="n">
        <v>1</v>
      </c>
      <c r="E4790" s="20" t="n">
        <f aca="false">Parametres!$B$5*C4790</f>
        <v>249.93</v>
      </c>
      <c r="F4790" s="20" t="n">
        <f aca="false">Parametres!$B$6*D4790</f>
        <v>200</v>
      </c>
      <c r="G4790" s="20" t="n">
        <f aca="false">E4790+F4790</f>
        <v>449.93</v>
      </c>
      <c r="H4790" s="20" t="n">
        <f aca="false">IF(G4790&lt;Parametres!$B$8*Parametres!$B$7,0,MIN(G4790,Parametres!$B$7))</f>
        <v>250</v>
      </c>
      <c r="I4790" s="20" t="n">
        <f aca="false">G4790-H4790</f>
        <v>199.93</v>
      </c>
      <c r="J4790" s="21" t="n">
        <f aca="false">H4790*1000/Parametres!$B$9</f>
        <v>4239.44378497541</v>
      </c>
    </row>
    <row r="4791" customFormat="false" ht="15" hidden="false" customHeight="false" outlineLevel="0" collapsed="false">
      <c r="A4791" s="0" t="n">
        <v>4787</v>
      </c>
      <c r="B4791" s="0" t="n">
        <v>7</v>
      </c>
      <c r="C4791" s="19" t="n">
        <v>0.9238</v>
      </c>
      <c r="D4791" s="19" t="n">
        <v>1</v>
      </c>
      <c r="E4791" s="20" t="n">
        <f aca="false">Parametres!$B$5*C4791</f>
        <v>277.14</v>
      </c>
      <c r="F4791" s="20" t="n">
        <f aca="false">Parametres!$B$6*D4791</f>
        <v>200</v>
      </c>
      <c r="G4791" s="20" t="n">
        <f aca="false">E4791+F4791</f>
        <v>477.14</v>
      </c>
      <c r="H4791" s="20" t="n">
        <f aca="false">IF(G4791&lt;Parametres!$B$8*Parametres!$B$7,0,MIN(G4791,Parametres!$B$7))</f>
        <v>250</v>
      </c>
      <c r="I4791" s="20" t="n">
        <f aca="false">G4791-H4791</f>
        <v>227.14</v>
      </c>
      <c r="J4791" s="21" t="n">
        <f aca="false">H4791*1000/Parametres!$B$9</f>
        <v>4239.44378497541</v>
      </c>
    </row>
    <row r="4792" customFormat="false" ht="15" hidden="false" customHeight="false" outlineLevel="0" collapsed="false">
      <c r="A4792" s="0" t="n">
        <v>4788</v>
      </c>
      <c r="B4792" s="0" t="n">
        <v>7</v>
      </c>
      <c r="C4792" s="19" t="n">
        <v>1</v>
      </c>
      <c r="D4792" s="19" t="n">
        <v>1</v>
      </c>
      <c r="E4792" s="20" t="n">
        <f aca="false">Parametres!$B$5*C4792</f>
        <v>300</v>
      </c>
      <c r="F4792" s="20" t="n">
        <f aca="false">Parametres!$B$6*D4792</f>
        <v>200</v>
      </c>
      <c r="G4792" s="20" t="n">
        <f aca="false">E4792+F4792</f>
        <v>500</v>
      </c>
      <c r="H4792" s="20" t="n">
        <f aca="false">IF(G4792&lt;Parametres!$B$8*Parametres!$B$7,0,MIN(G4792,Parametres!$B$7))</f>
        <v>250</v>
      </c>
      <c r="I4792" s="20" t="n">
        <f aca="false">G4792-H4792</f>
        <v>250</v>
      </c>
      <c r="J4792" s="21" t="n">
        <f aca="false">H4792*1000/Parametres!$B$9</f>
        <v>4239.44378497541</v>
      </c>
    </row>
    <row r="4793" customFormat="false" ht="15" hidden="false" customHeight="false" outlineLevel="0" collapsed="false">
      <c r="A4793" s="0" t="n">
        <v>4789</v>
      </c>
      <c r="B4793" s="0" t="n">
        <v>7</v>
      </c>
      <c r="C4793" s="19" t="n">
        <v>1</v>
      </c>
      <c r="D4793" s="19" t="n">
        <v>1</v>
      </c>
      <c r="E4793" s="20" t="n">
        <f aca="false">Parametres!$B$5*C4793</f>
        <v>300</v>
      </c>
      <c r="F4793" s="20" t="n">
        <f aca="false">Parametres!$B$6*D4793</f>
        <v>200</v>
      </c>
      <c r="G4793" s="20" t="n">
        <f aca="false">E4793+F4793</f>
        <v>500</v>
      </c>
      <c r="H4793" s="20" t="n">
        <f aca="false">IF(G4793&lt;Parametres!$B$8*Parametres!$B$7,0,MIN(G4793,Parametres!$B$7))</f>
        <v>250</v>
      </c>
      <c r="I4793" s="20" t="n">
        <f aca="false">G4793-H4793</f>
        <v>250</v>
      </c>
      <c r="J4793" s="21" t="n">
        <f aca="false">H4793*1000/Parametres!$B$9</f>
        <v>4239.44378497541</v>
      </c>
    </row>
    <row r="4794" customFormat="false" ht="15" hidden="false" customHeight="false" outlineLevel="0" collapsed="false">
      <c r="A4794" s="0" t="n">
        <v>4790</v>
      </c>
      <c r="B4794" s="0" t="n">
        <v>7</v>
      </c>
      <c r="C4794" s="19" t="n">
        <v>0.9206</v>
      </c>
      <c r="D4794" s="19" t="n">
        <v>1</v>
      </c>
      <c r="E4794" s="20" t="n">
        <f aca="false">Parametres!$B$5*C4794</f>
        <v>276.18</v>
      </c>
      <c r="F4794" s="20" t="n">
        <f aca="false">Parametres!$B$6*D4794</f>
        <v>200</v>
      </c>
      <c r="G4794" s="20" t="n">
        <f aca="false">E4794+F4794</f>
        <v>476.18</v>
      </c>
      <c r="H4794" s="20" t="n">
        <f aca="false">IF(G4794&lt;Parametres!$B$8*Parametres!$B$7,0,MIN(G4794,Parametres!$B$7))</f>
        <v>250</v>
      </c>
      <c r="I4794" s="20" t="n">
        <f aca="false">G4794-H4794</f>
        <v>226.18</v>
      </c>
      <c r="J4794" s="21" t="n">
        <f aca="false">H4794*1000/Parametres!$B$9</f>
        <v>4239.44378497541</v>
      </c>
    </row>
    <row r="4795" customFormat="false" ht="15" hidden="false" customHeight="false" outlineLevel="0" collapsed="false">
      <c r="A4795" s="0" t="n">
        <v>4791</v>
      </c>
      <c r="B4795" s="0" t="n">
        <v>7</v>
      </c>
      <c r="C4795" s="19" t="n">
        <v>0.8247</v>
      </c>
      <c r="D4795" s="19" t="n">
        <v>1</v>
      </c>
      <c r="E4795" s="20" t="n">
        <f aca="false">Parametres!$B$5*C4795</f>
        <v>247.41</v>
      </c>
      <c r="F4795" s="20" t="n">
        <f aca="false">Parametres!$B$6*D4795</f>
        <v>200</v>
      </c>
      <c r="G4795" s="20" t="n">
        <f aca="false">E4795+F4795</f>
        <v>447.41</v>
      </c>
      <c r="H4795" s="20" t="n">
        <f aca="false">IF(G4795&lt;Parametres!$B$8*Parametres!$B$7,0,MIN(G4795,Parametres!$B$7))</f>
        <v>250</v>
      </c>
      <c r="I4795" s="20" t="n">
        <f aca="false">G4795-H4795</f>
        <v>197.41</v>
      </c>
      <c r="J4795" s="21" t="n">
        <f aca="false">H4795*1000/Parametres!$B$9</f>
        <v>4239.44378497541</v>
      </c>
    </row>
    <row r="4796" customFormat="false" ht="15" hidden="false" customHeight="false" outlineLevel="0" collapsed="false">
      <c r="A4796" s="0" t="n">
        <v>4792</v>
      </c>
      <c r="B4796" s="0" t="n">
        <v>7</v>
      </c>
      <c r="C4796" s="19" t="n">
        <v>0.6674</v>
      </c>
      <c r="D4796" s="19" t="n">
        <v>1</v>
      </c>
      <c r="E4796" s="20" t="n">
        <f aca="false">Parametres!$B$5*C4796</f>
        <v>200.22</v>
      </c>
      <c r="F4796" s="20" t="n">
        <f aca="false">Parametres!$B$6*D4796</f>
        <v>200</v>
      </c>
      <c r="G4796" s="20" t="n">
        <f aca="false">E4796+F4796</f>
        <v>400.22</v>
      </c>
      <c r="H4796" s="20" t="n">
        <f aca="false">IF(G4796&lt;Parametres!$B$8*Parametres!$B$7,0,MIN(G4796,Parametres!$B$7))</f>
        <v>250</v>
      </c>
      <c r="I4796" s="20" t="n">
        <f aca="false">G4796-H4796</f>
        <v>150.22</v>
      </c>
      <c r="J4796" s="21" t="n">
        <f aca="false">H4796*1000/Parametres!$B$9</f>
        <v>4239.44378497541</v>
      </c>
    </row>
    <row r="4797" customFormat="false" ht="15" hidden="false" customHeight="false" outlineLevel="0" collapsed="false">
      <c r="A4797" s="0" t="n">
        <v>4793</v>
      </c>
      <c r="B4797" s="0" t="n">
        <v>7</v>
      </c>
      <c r="C4797" s="19" t="n">
        <v>0.4611</v>
      </c>
      <c r="D4797" s="19" t="n">
        <v>1</v>
      </c>
      <c r="E4797" s="20" t="n">
        <f aca="false">Parametres!$B$5*C4797</f>
        <v>138.33</v>
      </c>
      <c r="F4797" s="20" t="n">
        <f aca="false">Parametres!$B$6*D4797</f>
        <v>200</v>
      </c>
      <c r="G4797" s="20" t="n">
        <f aca="false">E4797+F4797</f>
        <v>338.33</v>
      </c>
      <c r="H4797" s="20" t="n">
        <f aca="false">IF(G4797&lt;Parametres!$B$8*Parametres!$B$7,0,MIN(G4797,Parametres!$B$7))</f>
        <v>250</v>
      </c>
      <c r="I4797" s="20" t="n">
        <f aca="false">G4797-H4797</f>
        <v>88.33</v>
      </c>
      <c r="J4797" s="21" t="n">
        <f aca="false">H4797*1000/Parametres!$B$9</f>
        <v>4239.44378497541</v>
      </c>
    </row>
    <row r="4798" customFormat="false" ht="15" hidden="false" customHeight="false" outlineLevel="0" collapsed="false">
      <c r="A4798" s="0" t="n">
        <v>4794</v>
      </c>
      <c r="B4798" s="0" t="n">
        <v>7</v>
      </c>
      <c r="C4798" s="19" t="n">
        <v>0.2459</v>
      </c>
      <c r="D4798" s="19" t="n">
        <v>1</v>
      </c>
      <c r="E4798" s="20" t="n">
        <f aca="false">Parametres!$B$5*C4798</f>
        <v>73.77</v>
      </c>
      <c r="F4798" s="20" t="n">
        <f aca="false">Parametres!$B$6*D4798</f>
        <v>200</v>
      </c>
      <c r="G4798" s="20" t="n">
        <f aca="false">E4798+F4798</f>
        <v>273.77</v>
      </c>
      <c r="H4798" s="20" t="n">
        <f aca="false">IF(G4798&lt;Parametres!$B$8*Parametres!$B$7,0,MIN(G4798,Parametres!$B$7))</f>
        <v>250</v>
      </c>
      <c r="I4798" s="20" t="n">
        <f aca="false">G4798-H4798</f>
        <v>23.77</v>
      </c>
      <c r="J4798" s="21" t="n">
        <f aca="false">H4798*1000/Parametres!$B$9</f>
        <v>4239.44378497541</v>
      </c>
    </row>
    <row r="4799" customFormat="false" ht="15" hidden="false" customHeight="false" outlineLevel="0" collapsed="false">
      <c r="A4799" s="0" t="n">
        <v>4795</v>
      </c>
      <c r="B4799" s="0" t="n">
        <v>7</v>
      </c>
      <c r="C4799" s="19" t="n">
        <v>0.046</v>
      </c>
      <c r="D4799" s="19" t="n">
        <v>1</v>
      </c>
      <c r="E4799" s="20" t="n">
        <f aca="false">Parametres!$B$5*C4799</f>
        <v>13.8</v>
      </c>
      <c r="F4799" s="20" t="n">
        <f aca="false">Parametres!$B$6*D4799</f>
        <v>200</v>
      </c>
      <c r="G4799" s="20" t="n">
        <f aca="false">E4799+F4799</f>
        <v>213.8</v>
      </c>
      <c r="H4799" s="20" t="n">
        <f aca="false">IF(G4799&lt;Parametres!$B$8*Parametres!$B$7,0,MIN(G4799,Parametres!$B$7))</f>
        <v>213.8</v>
      </c>
      <c r="I4799" s="20" t="n">
        <f aca="false">G4799-H4799</f>
        <v>0</v>
      </c>
      <c r="J4799" s="21" t="n">
        <f aca="false">H4799*1000/Parametres!$B$9</f>
        <v>3625.57232491097</v>
      </c>
    </row>
    <row r="4800" customFormat="false" ht="15" hidden="false" customHeight="false" outlineLevel="0" collapsed="false">
      <c r="A4800" s="0" t="n">
        <v>4796</v>
      </c>
      <c r="B4800" s="0" t="n">
        <v>7</v>
      </c>
      <c r="C4800" s="19" t="n">
        <v>0</v>
      </c>
      <c r="D4800" s="19" t="n">
        <v>1</v>
      </c>
      <c r="E4800" s="20" t="n">
        <f aca="false">Parametres!$B$5*C4800</f>
        <v>0</v>
      </c>
      <c r="F4800" s="20" t="n">
        <f aca="false">Parametres!$B$6*D4800</f>
        <v>200</v>
      </c>
      <c r="G4800" s="20" t="n">
        <f aca="false">E4800+F4800</f>
        <v>200</v>
      </c>
      <c r="H4800" s="20" t="n">
        <f aca="false">IF(G4800&lt;Parametres!$B$8*Parametres!$B$7,0,MIN(G4800,Parametres!$B$7))</f>
        <v>200</v>
      </c>
      <c r="I4800" s="20" t="n">
        <f aca="false">G4800-H4800</f>
        <v>0</v>
      </c>
      <c r="J4800" s="21" t="n">
        <f aca="false">H4800*1000/Parametres!$B$9</f>
        <v>3391.55502798033</v>
      </c>
    </row>
    <row r="4801" customFormat="false" ht="15" hidden="false" customHeight="false" outlineLevel="0" collapsed="false">
      <c r="A4801" s="0" t="n">
        <v>4797</v>
      </c>
      <c r="B4801" s="0" t="n">
        <v>7</v>
      </c>
      <c r="C4801" s="19" t="n">
        <v>0</v>
      </c>
      <c r="D4801" s="19" t="n">
        <v>0.8621</v>
      </c>
      <c r="E4801" s="20" t="n">
        <f aca="false">Parametres!$B$5*C4801</f>
        <v>0</v>
      </c>
      <c r="F4801" s="20" t="n">
        <f aca="false">Parametres!$B$6*D4801</f>
        <v>172.42</v>
      </c>
      <c r="G4801" s="20" t="n">
        <f aca="false">E4801+F4801</f>
        <v>172.42</v>
      </c>
      <c r="H4801" s="20" t="n">
        <f aca="false">IF(G4801&lt;Parametres!$B$8*Parametres!$B$7,0,MIN(G4801,Parametres!$B$7))</f>
        <v>172.42</v>
      </c>
      <c r="I4801" s="20" t="n">
        <f aca="false">G4801-H4801</f>
        <v>0</v>
      </c>
      <c r="J4801" s="21" t="n">
        <f aca="false">H4801*1000/Parametres!$B$9</f>
        <v>2923.85958962184</v>
      </c>
    </row>
    <row r="4802" customFormat="false" ht="15" hidden="false" customHeight="false" outlineLevel="0" collapsed="false">
      <c r="A4802" s="0" t="n">
        <v>4798</v>
      </c>
      <c r="B4802" s="0" t="n">
        <v>7</v>
      </c>
      <c r="C4802" s="19" t="n">
        <v>0</v>
      </c>
      <c r="D4802" s="19" t="n">
        <v>1</v>
      </c>
      <c r="E4802" s="20" t="n">
        <f aca="false">Parametres!$B$5*C4802</f>
        <v>0</v>
      </c>
      <c r="F4802" s="20" t="n">
        <f aca="false">Parametres!$B$6*D4802</f>
        <v>200</v>
      </c>
      <c r="G4802" s="20" t="n">
        <f aca="false">E4802+F4802</f>
        <v>200</v>
      </c>
      <c r="H4802" s="20" t="n">
        <f aca="false">IF(G4802&lt;Parametres!$B$8*Parametres!$B$7,0,MIN(G4802,Parametres!$B$7))</f>
        <v>200</v>
      </c>
      <c r="I4802" s="20" t="n">
        <f aca="false">G4802-H4802</f>
        <v>0</v>
      </c>
      <c r="J4802" s="21" t="n">
        <f aca="false">H4802*1000/Parametres!$B$9</f>
        <v>3391.55502798033</v>
      </c>
    </row>
    <row r="4803" customFormat="false" ht="15" hidden="false" customHeight="false" outlineLevel="0" collapsed="false">
      <c r="A4803" s="0" t="n">
        <v>4799</v>
      </c>
      <c r="B4803" s="0" t="n">
        <v>7</v>
      </c>
      <c r="C4803" s="19" t="n">
        <v>0</v>
      </c>
      <c r="D4803" s="19" t="n">
        <v>1</v>
      </c>
      <c r="E4803" s="20" t="n">
        <f aca="false">Parametres!$B$5*C4803</f>
        <v>0</v>
      </c>
      <c r="F4803" s="20" t="n">
        <f aca="false">Parametres!$B$6*D4803</f>
        <v>200</v>
      </c>
      <c r="G4803" s="20" t="n">
        <f aca="false">E4803+F4803</f>
        <v>200</v>
      </c>
      <c r="H4803" s="20" t="n">
        <f aca="false">IF(G4803&lt;Parametres!$B$8*Parametres!$B$7,0,MIN(G4803,Parametres!$B$7))</f>
        <v>200</v>
      </c>
      <c r="I4803" s="20" t="n">
        <f aca="false">G4803-H4803</f>
        <v>0</v>
      </c>
      <c r="J4803" s="21" t="n">
        <f aca="false">H4803*1000/Parametres!$B$9</f>
        <v>3391.55502798033</v>
      </c>
    </row>
    <row r="4804" customFormat="false" ht="15" hidden="false" customHeight="false" outlineLevel="0" collapsed="false">
      <c r="A4804" s="0" t="n">
        <v>4800</v>
      </c>
      <c r="B4804" s="0" t="n">
        <v>7</v>
      </c>
      <c r="C4804" s="19" t="n">
        <v>0</v>
      </c>
      <c r="D4804" s="19" t="n">
        <v>1</v>
      </c>
      <c r="E4804" s="20" t="n">
        <f aca="false">Parametres!$B$5*C4804</f>
        <v>0</v>
      </c>
      <c r="F4804" s="20" t="n">
        <f aca="false">Parametres!$B$6*D4804</f>
        <v>200</v>
      </c>
      <c r="G4804" s="20" t="n">
        <f aca="false">E4804+F4804</f>
        <v>200</v>
      </c>
      <c r="H4804" s="20" t="n">
        <f aca="false">IF(G4804&lt;Parametres!$B$8*Parametres!$B$7,0,MIN(G4804,Parametres!$B$7))</f>
        <v>200</v>
      </c>
      <c r="I4804" s="20" t="n">
        <f aca="false">G4804-H4804</f>
        <v>0</v>
      </c>
      <c r="J4804" s="21" t="n">
        <f aca="false">H4804*1000/Parametres!$B$9</f>
        <v>3391.55502798033</v>
      </c>
    </row>
    <row r="4805" customFormat="false" ht="15" hidden="false" customHeight="false" outlineLevel="0" collapsed="false">
      <c r="A4805" s="0" t="n">
        <v>4801</v>
      </c>
      <c r="B4805" s="0" t="n">
        <v>7</v>
      </c>
      <c r="C4805" s="19" t="n">
        <v>0</v>
      </c>
      <c r="D4805" s="19" t="n">
        <v>1</v>
      </c>
      <c r="E4805" s="20" t="n">
        <f aca="false">Parametres!$B$5*C4805</f>
        <v>0</v>
      </c>
      <c r="F4805" s="20" t="n">
        <f aca="false">Parametres!$B$6*D4805</f>
        <v>200</v>
      </c>
      <c r="G4805" s="20" t="n">
        <f aca="false">E4805+F4805</f>
        <v>200</v>
      </c>
      <c r="H4805" s="20" t="n">
        <f aca="false">IF(G4805&lt;Parametres!$B$8*Parametres!$B$7,0,MIN(G4805,Parametres!$B$7))</f>
        <v>200</v>
      </c>
      <c r="I4805" s="20" t="n">
        <f aca="false">G4805-H4805</f>
        <v>0</v>
      </c>
      <c r="J4805" s="21" t="n">
        <f aca="false">H4805*1000/Parametres!$B$9</f>
        <v>3391.55502798033</v>
      </c>
    </row>
    <row r="4806" customFormat="false" ht="15" hidden="false" customHeight="false" outlineLevel="0" collapsed="false">
      <c r="A4806" s="0" t="n">
        <v>4802</v>
      </c>
      <c r="B4806" s="0" t="n">
        <v>7</v>
      </c>
      <c r="C4806" s="19" t="n">
        <v>0</v>
      </c>
      <c r="D4806" s="19" t="n">
        <v>1</v>
      </c>
      <c r="E4806" s="20" t="n">
        <f aca="false">Parametres!$B$5*C4806</f>
        <v>0</v>
      </c>
      <c r="F4806" s="20" t="n">
        <f aca="false">Parametres!$B$6*D4806</f>
        <v>200</v>
      </c>
      <c r="G4806" s="20" t="n">
        <f aca="false">E4806+F4806</f>
        <v>200</v>
      </c>
      <c r="H4806" s="20" t="n">
        <f aca="false">IF(G4806&lt;Parametres!$B$8*Parametres!$B$7,0,MIN(G4806,Parametres!$B$7))</f>
        <v>200</v>
      </c>
      <c r="I4806" s="20" t="n">
        <f aca="false">G4806-H4806</f>
        <v>0</v>
      </c>
      <c r="J4806" s="21" t="n">
        <f aca="false">H4806*1000/Parametres!$B$9</f>
        <v>3391.55502798033</v>
      </c>
    </row>
    <row r="4807" customFormat="false" ht="15" hidden="false" customHeight="false" outlineLevel="0" collapsed="false">
      <c r="A4807" s="0" t="n">
        <v>4803</v>
      </c>
      <c r="B4807" s="0" t="n">
        <v>7</v>
      </c>
      <c r="C4807" s="19" t="n">
        <v>0</v>
      </c>
      <c r="D4807" s="19" t="n">
        <v>1</v>
      </c>
      <c r="E4807" s="20" t="n">
        <f aca="false">Parametres!$B$5*C4807</f>
        <v>0</v>
      </c>
      <c r="F4807" s="20" t="n">
        <f aca="false">Parametres!$B$6*D4807</f>
        <v>200</v>
      </c>
      <c r="G4807" s="20" t="n">
        <f aca="false">E4807+F4807</f>
        <v>200</v>
      </c>
      <c r="H4807" s="20" t="n">
        <f aca="false">IF(G4807&lt;Parametres!$B$8*Parametres!$B$7,0,MIN(G4807,Parametres!$B$7))</f>
        <v>200</v>
      </c>
      <c r="I4807" s="20" t="n">
        <f aca="false">G4807-H4807</f>
        <v>0</v>
      </c>
      <c r="J4807" s="21" t="n">
        <f aca="false">H4807*1000/Parametres!$B$9</f>
        <v>3391.55502798033</v>
      </c>
    </row>
    <row r="4808" customFormat="false" ht="15" hidden="false" customHeight="false" outlineLevel="0" collapsed="false">
      <c r="A4808" s="0" t="n">
        <v>4804</v>
      </c>
      <c r="B4808" s="0" t="n">
        <v>7</v>
      </c>
      <c r="C4808" s="19" t="n">
        <v>0</v>
      </c>
      <c r="D4808" s="19" t="n">
        <v>1</v>
      </c>
      <c r="E4808" s="20" t="n">
        <f aca="false">Parametres!$B$5*C4808</f>
        <v>0</v>
      </c>
      <c r="F4808" s="20" t="n">
        <f aca="false">Parametres!$B$6*D4808</f>
        <v>200</v>
      </c>
      <c r="G4808" s="20" t="n">
        <f aca="false">E4808+F4808</f>
        <v>200</v>
      </c>
      <c r="H4808" s="20" t="n">
        <f aca="false">IF(G4808&lt;Parametres!$B$8*Parametres!$B$7,0,MIN(G4808,Parametres!$B$7))</f>
        <v>200</v>
      </c>
      <c r="I4808" s="20" t="n">
        <f aca="false">G4808-H4808</f>
        <v>0</v>
      </c>
      <c r="J4808" s="21" t="n">
        <f aca="false">H4808*1000/Parametres!$B$9</f>
        <v>3391.55502798033</v>
      </c>
    </row>
    <row r="4809" customFormat="false" ht="15" hidden="false" customHeight="false" outlineLevel="0" collapsed="false">
      <c r="A4809" s="0" t="n">
        <v>4805</v>
      </c>
      <c r="B4809" s="0" t="n">
        <v>7</v>
      </c>
      <c r="C4809" s="19" t="n">
        <v>0</v>
      </c>
      <c r="D4809" s="19" t="n">
        <v>1</v>
      </c>
      <c r="E4809" s="20" t="n">
        <f aca="false">Parametres!$B$5*C4809</f>
        <v>0</v>
      </c>
      <c r="F4809" s="20" t="n">
        <f aca="false">Parametres!$B$6*D4809</f>
        <v>200</v>
      </c>
      <c r="G4809" s="20" t="n">
        <f aca="false">E4809+F4809</f>
        <v>200</v>
      </c>
      <c r="H4809" s="20" t="n">
        <f aca="false">IF(G4809&lt;Parametres!$B$8*Parametres!$B$7,0,MIN(G4809,Parametres!$B$7))</f>
        <v>200</v>
      </c>
      <c r="I4809" s="20" t="n">
        <f aca="false">G4809-H4809</f>
        <v>0</v>
      </c>
      <c r="J4809" s="21" t="n">
        <f aca="false">H4809*1000/Parametres!$B$9</f>
        <v>3391.55502798033</v>
      </c>
    </row>
    <row r="4810" customFormat="false" ht="15" hidden="false" customHeight="false" outlineLevel="0" collapsed="false">
      <c r="A4810" s="0" t="n">
        <v>4806</v>
      </c>
      <c r="B4810" s="0" t="n">
        <v>7</v>
      </c>
      <c r="C4810" s="19" t="n">
        <v>0.0556</v>
      </c>
      <c r="D4810" s="19" t="n">
        <v>1</v>
      </c>
      <c r="E4810" s="20" t="n">
        <f aca="false">Parametres!$B$5*C4810</f>
        <v>16.68</v>
      </c>
      <c r="F4810" s="20" t="n">
        <f aca="false">Parametres!$B$6*D4810</f>
        <v>200</v>
      </c>
      <c r="G4810" s="20" t="n">
        <f aca="false">E4810+F4810</f>
        <v>216.68</v>
      </c>
      <c r="H4810" s="20" t="n">
        <f aca="false">IF(G4810&lt;Parametres!$B$8*Parametres!$B$7,0,MIN(G4810,Parametres!$B$7))</f>
        <v>216.68</v>
      </c>
      <c r="I4810" s="20" t="n">
        <f aca="false">G4810-H4810</f>
        <v>0</v>
      </c>
      <c r="J4810" s="21" t="n">
        <f aca="false">H4810*1000/Parametres!$B$9</f>
        <v>3674.41071731389</v>
      </c>
    </row>
    <row r="4811" customFormat="false" ht="15" hidden="false" customHeight="false" outlineLevel="0" collapsed="false">
      <c r="A4811" s="0" t="n">
        <v>4807</v>
      </c>
      <c r="B4811" s="0" t="n">
        <v>7</v>
      </c>
      <c r="C4811" s="19" t="n">
        <v>0.3229</v>
      </c>
      <c r="D4811" s="19" t="n">
        <v>1</v>
      </c>
      <c r="E4811" s="20" t="n">
        <f aca="false">Parametres!$B$5*C4811</f>
        <v>96.87</v>
      </c>
      <c r="F4811" s="20" t="n">
        <f aca="false">Parametres!$B$6*D4811</f>
        <v>200</v>
      </c>
      <c r="G4811" s="20" t="n">
        <f aca="false">E4811+F4811</f>
        <v>296.87</v>
      </c>
      <c r="H4811" s="20" t="n">
        <f aca="false">IF(G4811&lt;Parametres!$B$8*Parametres!$B$7,0,MIN(G4811,Parametres!$B$7))</f>
        <v>250</v>
      </c>
      <c r="I4811" s="20" t="n">
        <f aca="false">G4811-H4811</f>
        <v>46.87</v>
      </c>
      <c r="J4811" s="21" t="n">
        <f aca="false">H4811*1000/Parametres!$B$9</f>
        <v>4239.44378497541</v>
      </c>
    </row>
    <row r="4812" customFormat="false" ht="15" hidden="false" customHeight="false" outlineLevel="0" collapsed="false">
      <c r="A4812" s="0" t="n">
        <v>4808</v>
      </c>
      <c r="B4812" s="0" t="n">
        <v>7</v>
      </c>
      <c r="C4812" s="19" t="n">
        <v>0.6562</v>
      </c>
      <c r="D4812" s="19" t="n">
        <v>1</v>
      </c>
      <c r="E4812" s="20" t="n">
        <f aca="false">Parametres!$B$5*C4812</f>
        <v>196.86</v>
      </c>
      <c r="F4812" s="20" t="n">
        <f aca="false">Parametres!$B$6*D4812</f>
        <v>200</v>
      </c>
      <c r="G4812" s="20" t="n">
        <f aca="false">E4812+F4812</f>
        <v>396.86</v>
      </c>
      <c r="H4812" s="20" t="n">
        <f aca="false">IF(G4812&lt;Parametres!$B$8*Parametres!$B$7,0,MIN(G4812,Parametres!$B$7))</f>
        <v>250</v>
      </c>
      <c r="I4812" s="20" t="n">
        <f aca="false">G4812-H4812</f>
        <v>146.86</v>
      </c>
      <c r="J4812" s="21" t="n">
        <f aca="false">H4812*1000/Parametres!$B$9</f>
        <v>4239.44378497541</v>
      </c>
    </row>
    <row r="4813" customFormat="false" ht="15" hidden="false" customHeight="false" outlineLevel="0" collapsed="false">
      <c r="A4813" s="0" t="n">
        <v>4809</v>
      </c>
      <c r="B4813" s="0" t="n">
        <v>7</v>
      </c>
      <c r="C4813" s="19" t="n">
        <v>0.8808</v>
      </c>
      <c r="D4813" s="19" t="n">
        <v>1</v>
      </c>
      <c r="E4813" s="20" t="n">
        <f aca="false">Parametres!$B$5*C4813</f>
        <v>264.24</v>
      </c>
      <c r="F4813" s="20" t="n">
        <f aca="false">Parametres!$B$6*D4813</f>
        <v>200</v>
      </c>
      <c r="G4813" s="20" t="n">
        <f aca="false">E4813+F4813</f>
        <v>464.24</v>
      </c>
      <c r="H4813" s="20" t="n">
        <f aca="false">IF(G4813&lt;Parametres!$B$8*Parametres!$B$7,0,MIN(G4813,Parametres!$B$7))</f>
        <v>250</v>
      </c>
      <c r="I4813" s="20" t="n">
        <f aca="false">G4813-H4813</f>
        <v>214.24</v>
      </c>
      <c r="J4813" s="21" t="n">
        <f aca="false">H4813*1000/Parametres!$B$9</f>
        <v>4239.44378497541</v>
      </c>
    </row>
    <row r="4814" customFormat="false" ht="15" hidden="false" customHeight="false" outlineLevel="0" collapsed="false">
      <c r="A4814" s="0" t="n">
        <v>4810</v>
      </c>
      <c r="B4814" s="0" t="n">
        <v>7</v>
      </c>
      <c r="C4814" s="19" t="n">
        <v>1</v>
      </c>
      <c r="D4814" s="19" t="n">
        <v>1</v>
      </c>
      <c r="E4814" s="20" t="n">
        <f aca="false">Parametres!$B$5*C4814</f>
        <v>300</v>
      </c>
      <c r="F4814" s="20" t="n">
        <f aca="false">Parametres!$B$6*D4814</f>
        <v>200</v>
      </c>
      <c r="G4814" s="20" t="n">
        <f aca="false">E4814+F4814</f>
        <v>500</v>
      </c>
      <c r="H4814" s="20" t="n">
        <f aca="false">IF(G4814&lt;Parametres!$B$8*Parametres!$B$7,0,MIN(G4814,Parametres!$B$7))</f>
        <v>250</v>
      </c>
      <c r="I4814" s="20" t="n">
        <f aca="false">G4814-H4814</f>
        <v>250</v>
      </c>
      <c r="J4814" s="21" t="n">
        <f aca="false">H4814*1000/Parametres!$B$9</f>
        <v>4239.44378497541</v>
      </c>
    </row>
    <row r="4815" customFormat="false" ht="15" hidden="false" customHeight="false" outlineLevel="0" collapsed="false">
      <c r="A4815" s="0" t="n">
        <v>4811</v>
      </c>
      <c r="B4815" s="0" t="n">
        <v>7</v>
      </c>
      <c r="C4815" s="19" t="n">
        <v>1</v>
      </c>
      <c r="D4815" s="19" t="n">
        <v>1</v>
      </c>
      <c r="E4815" s="20" t="n">
        <f aca="false">Parametres!$B$5*C4815</f>
        <v>300</v>
      </c>
      <c r="F4815" s="20" t="n">
        <f aca="false">Parametres!$B$6*D4815</f>
        <v>200</v>
      </c>
      <c r="G4815" s="20" t="n">
        <f aca="false">E4815+F4815</f>
        <v>500</v>
      </c>
      <c r="H4815" s="20" t="n">
        <f aca="false">IF(G4815&lt;Parametres!$B$8*Parametres!$B$7,0,MIN(G4815,Parametres!$B$7))</f>
        <v>250</v>
      </c>
      <c r="I4815" s="20" t="n">
        <f aca="false">G4815-H4815</f>
        <v>250</v>
      </c>
      <c r="J4815" s="21" t="n">
        <f aca="false">H4815*1000/Parametres!$B$9</f>
        <v>4239.44378497541</v>
      </c>
    </row>
    <row r="4816" customFormat="false" ht="15" hidden="false" customHeight="false" outlineLevel="0" collapsed="false">
      <c r="A4816" s="0" t="n">
        <v>4812</v>
      </c>
      <c r="B4816" s="0" t="n">
        <v>7</v>
      </c>
      <c r="C4816" s="19" t="n">
        <v>1</v>
      </c>
      <c r="D4816" s="19" t="n">
        <v>1</v>
      </c>
      <c r="E4816" s="20" t="n">
        <f aca="false">Parametres!$B$5*C4816</f>
        <v>300</v>
      </c>
      <c r="F4816" s="20" t="n">
        <f aca="false">Parametres!$B$6*D4816</f>
        <v>200</v>
      </c>
      <c r="G4816" s="20" t="n">
        <f aca="false">E4816+F4816</f>
        <v>500</v>
      </c>
      <c r="H4816" s="20" t="n">
        <f aca="false">IF(G4816&lt;Parametres!$B$8*Parametres!$B$7,0,MIN(G4816,Parametres!$B$7))</f>
        <v>250</v>
      </c>
      <c r="I4816" s="20" t="n">
        <f aca="false">G4816-H4816</f>
        <v>250</v>
      </c>
      <c r="J4816" s="21" t="n">
        <f aca="false">H4816*1000/Parametres!$B$9</f>
        <v>4239.44378497541</v>
      </c>
    </row>
    <row r="4817" customFormat="false" ht="15" hidden="false" customHeight="false" outlineLevel="0" collapsed="false">
      <c r="A4817" s="0" t="n">
        <v>4813</v>
      </c>
      <c r="B4817" s="0" t="n">
        <v>7</v>
      </c>
      <c r="C4817" s="19" t="n">
        <v>1</v>
      </c>
      <c r="D4817" s="19" t="n">
        <v>1</v>
      </c>
      <c r="E4817" s="20" t="n">
        <f aca="false">Parametres!$B$5*C4817</f>
        <v>300</v>
      </c>
      <c r="F4817" s="20" t="n">
        <f aca="false">Parametres!$B$6*D4817</f>
        <v>200</v>
      </c>
      <c r="G4817" s="20" t="n">
        <f aca="false">E4817+F4817</f>
        <v>500</v>
      </c>
      <c r="H4817" s="20" t="n">
        <f aca="false">IF(G4817&lt;Parametres!$B$8*Parametres!$B$7,0,MIN(G4817,Parametres!$B$7))</f>
        <v>250</v>
      </c>
      <c r="I4817" s="20" t="n">
        <f aca="false">G4817-H4817</f>
        <v>250</v>
      </c>
      <c r="J4817" s="21" t="n">
        <f aca="false">H4817*1000/Parametres!$B$9</f>
        <v>4239.44378497541</v>
      </c>
    </row>
    <row r="4818" customFormat="false" ht="15" hidden="false" customHeight="false" outlineLevel="0" collapsed="false">
      <c r="A4818" s="0" t="n">
        <v>4814</v>
      </c>
      <c r="B4818" s="0" t="n">
        <v>7</v>
      </c>
      <c r="C4818" s="19" t="n">
        <v>1</v>
      </c>
      <c r="D4818" s="19" t="n">
        <v>1</v>
      </c>
      <c r="E4818" s="20" t="n">
        <f aca="false">Parametres!$B$5*C4818</f>
        <v>300</v>
      </c>
      <c r="F4818" s="20" t="n">
        <f aca="false">Parametres!$B$6*D4818</f>
        <v>200</v>
      </c>
      <c r="G4818" s="20" t="n">
        <f aca="false">E4818+F4818</f>
        <v>500</v>
      </c>
      <c r="H4818" s="20" t="n">
        <f aca="false">IF(G4818&lt;Parametres!$B$8*Parametres!$B$7,0,MIN(G4818,Parametres!$B$7))</f>
        <v>250</v>
      </c>
      <c r="I4818" s="20" t="n">
        <f aca="false">G4818-H4818</f>
        <v>250</v>
      </c>
      <c r="J4818" s="21" t="n">
        <f aca="false">H4818*1000/Parametres!$B$9</f>
        <v>4239.44378497541</v>
      </c>
    </row>
    <row r="4819" customFormat="false" ht="15" hidden="false" customHeight="false" outlineLevel="0" collapsed="false">
      <c r="A4819" s="0" t="n">
        <v>4815</v>
      </c>
      <c r="B4819" s="0" t="n">
        <v>7</v>
      </c>
      <c r="C4819" s="19" t="n">
        <v>1</v>
      </c>
      <c r="D4819" s="19" t="n">
        <v>1</v>
      </c>
      <c r="E4819" s="20" t="n">
        <f aca="false">Parametres!$B$5*C4819</f>
        <v>300</v>
      </c>
      <c r="F4819" s="20" t="n">
        <f aca="false">Parametres!$B$6*D4819</f>
        <v>200</v>
      </c>
      <c r="G4819" s="20" t="n">
        <f aca="false">E4819+F4819</f>
        <v>500</v>
      </c>
      <c r="H4819" s="20" t="n">
        <f aca="false">IF(G4819&lt;Parametres!$B$8*Parametres!$B$7,0,MIN(G4819,Parametres!$B$7))</f>
        <v>250</v>
      </c>
      <c r="I4819" s="20" t="n">
        <f aca="false">G4819-H4819</f>
        <v>250</v>
      </c>
      <c r="J4819" s="21" t="n">
        <f aca="false">H4819*1000/Parametres!$B$9</f>
        <v>4239.44378497541</v>
      </c>
    </row>
    <row r="4820" customFormat="false" ht="15" hidden="false" customHeight="false" outlineLevel="0" collapsed="false">
      <c r="A4820" s="0" t="n">
        <v>4816</v>
      </c>
      <c r="B4820" s="0" t="n">
        <v>7</v>
      </c>
      <c r="C4820" s="19" t="n">
        <v>0.8522</v>
      </c>
      <c r="D4820" s="19" t="n">
        <v>1</v>
      </c>
      <c r="E4820" s="20" t="n">
        <f aca="false">Parametres!$B$5*C4820</f>
        <v>255.66</v>
      </c>
      <c r="F4820" s="20" t="n">
        <f aca="false">Parametres!$B$6*D4820</f>
        <v>200</v>
      </c>
      <c r="G4820" s="20" t="n">
        <f aca="false">E4820+F4820</f>
        <v>455.66</v>
      </c>
      <c r="H4820" s="20" t="n">
        <f aca="false">IF(G4820&lt;Parametres!$B$8*Parametres!$B$7,0,MIN(G4820,Parametres!$B$7))</f>
        <v>250</v>
      </c>
      <c r="I4820" s="20" t="n">
        <f aca="false">G4820-H4820</f>
        <v>205.66</v>
      </c>
      <c r="J4820" s="21" t="n">
        <f aca="false">H4820*1000/Parametres!$B$9</f>
        <v>4239.44378497541</v>
      </c>
    </row>
    <row r="4821" customFormat="false" ht="15" hidden="false" customHeight="false" outlineLevel="0" collapsed="false">
      <c r="A4821" s="0" t="n">
        <v>4817</v>
      </c>
      <c r="B4821" s="0" t="n">
        <v>7</v>
      </c>
      <c r="C4821" s="19" t="n">
        <v>0.5934</v>
      </c>
      <c r="D4821" s="19" t="n">
        <v>1</v>
      </c>
      <c r="E4821" s="20" t="n">
        <f aca="false">Parametres!$B$5*C4821</f>
        <v>178.02</v>
      </c>
      <c r="F4821" s="20" t="n">
        <f aca="false">Parametres!$B$6*D4821</f>
        <v>200</v>
      </c>
      <c r="G4821" s="20" t="n">
        <f aca="false">E4821+F4821</f>
        <v>378.02</v>
      </c>
      <c r="H4821" s="20" t="n">
        <f aca="false">IF(G4821&lt;Parametres!$B$8*Parametres!$B$7,0,MIN(G4821,Parametres!$B$7))</f>
        <v>250</v>
      </c>
      <c r="I4821" s="20" t="n">
        <f aca="false">G4821-H4821</f>
        <v>128.02</v>
      </c>
      <c r="J4821" s="21" t="n">
        <f aca="false">H4821*1000/Parametres!$B$9</f>
        <v>4239.44378497541</v>
      </c>
    </row>
    <row r="4822" customFormat="false" ht="15" hidden="false" customHeight="false" outlineLevel="0" collapsed="false">
      <c r="A4822" s="0" t="n">
        <v>4818</v>
      </c>
      <c r="B4822" s="0" t="n">
        <v>7</v>
      </c>
      <c r="C4822" s="19" t="n">
        <v>0.3153</v>
      </c>
      <c r="D4822" s="19" t="n">
        <v>1</v>
      </c>
      <c r="E4822" s="20" t="n">
        <f aca="false">Parametres!$B$5*C4822</f>
        <v>94.59</v>
      </c>
      <c r="F4822" s="20" t="n">
        <f aca="false">Parametres!$B$6*D4822</f>
        <v>200</v>
      </c>
      <c r="G4822" s="20" t="n">
        <f aca="false">E4822+F4822</f>
        <v>294.59</v>
      </c>
      <c r="H4822" s="20" t="n">
        <f aca="false">IF(G4822&lt;Parametres!$B$8*Parametres!$B$7,0,MIN(G4822,Parametres!$B$7))</f>
        <v>250</v>
      </c>
      <c r="I4822" s="20" t="n">
        <f aca="false">G4822-H4822</f>
        <v>44.59</v>
      </c>
      <c r="J4822" s="21" t="n">
        <f aca="false">H4822*1000/Parametres!$B$9</f>
        <v>4239.44378497541</v>
      </c>
    </row>
    <row r="4823" customFormat="false" ht="15" hidden="false" customHeight="false" outlineLevel="0" collapsed="false">
      <c r="A4823" s="0" t="n">
        <v>4819</v>
      </c>
      <c r="B4823" s="0" t="n">
        <v>7</v>
      </c>
      <c r="C4823" s="19" t="n">
        <v>0.0527</v>
      </c>
      <c r="D4823" s="19" t="n">
        <v>1</v>
      </c>
      <c r="E4823" s="20" t="n">
        <f aca="false">Parametres!$B$5*C4823</f>
        <v>15.81</v>
      </c>
      <c r="F4823" s="20" t="n">
        <f aca="false">Parametres!$B$6*D4823</f>
        <v>200</v>
      </c>
      <c r="G4823" s="20" t="n">
        <f aca="false">E4823+F4823</f>
        <v>215.81</v>
      </c>
      <c r="H4823" s="20" t="n">
        <f aca="false">IF(G4823&lt;Parametres!$B$8*Parametres!$B$7,0,MIN(G4823,Parametres!$B$7))</f>
        <v>215.81</v>
      </c>
      <c r="I4823" s="20" t="n">
        <f aca="false">G4823-H4823</f>
        <v>0</v>
      </c>
      <c r="J4823" s="21" t="n">
        <f aca="false">H4823*1000/Parametres!$B$9</f>
        <v>3659.65745294217</v>
      </c>
    </row>
    <row r="4824" customFormat="false" ht="15" hidden="false" customHeight="false" outlineLevel="0" collapsed="false">
      <c r="A4824" s="0" t="n">
        <v>4820</v>
      </c>
      <c r="B4824" s="0" t="n">
        <v>7</v>
      </c>
      <c r="C4824" s="19" t="n">
        <v>0</v>
      </c>
      <c r="D4824" s="19" t="n">
        <v>0.9613</v>
      </c>
      <c r="E4824" s="20" t="n">
        <f aca="false">Parametres!$B$5*C4824</f>
        <v>0</v>
      </c>
      <c r="F4824" s="20" t="n">
        <f aca="false">Parametres!$B$6*D4824</f>
        <v>192.26</v>
      </c>
      <c r="G4824" s="20" t="n">
        <f aca="false">E4824+F4824</f>
        <v>192.26</v>
      </c>
      <c r="H4824" s="20" t="n">
        <f aca="false">IF(G4824&lt;Parametres!$B$8*Parametres!$B$7,0,MIN(G4824,Parametres!$B$7))</f>
        <v>192.26</v>
      </c>
      <c r="I4824" s="20" t="n">
        <f aca="false">G4824-H4824</f>
        <v>0</v>
      </c>
      <c r="J4824" s="21" t="n">
        <f aca="false">H4824*1000/Parametres!$B$9</f>
        <v>3260.30184839749</v>
      </c>
    </row>
    <row r="4825" customFormat="false" ht="15" hidden="false" customHeight="false" outlineLevel="0" collapsed="false">
      <c r="A4825" s="0" t="n">
        <v>4821</v>
      </c>
      <c r="B4825" s="0" t="n">
        <v>7</v>
      </c>
      <c r="C4825" s="19" t="n">
        <v>0</v>
      </c>
      <c r="D4825" s="19" t="n">
        <v>0.5597</v>
      </c>
      <c r="E4825" s="20" t="n">
        <f aca="false">Parametres!$B$5*C4825</f>
        <v>0</v>
      </c>
      <c r="F4825" s="20" t="n">
        <f aca="false">Parametres!$B$6*D4825</f>
        <v>111.94</v>
      </c>
      <c r="G4825" s="20" t="n">
        <f aca="false">E4825+F4825</f>
        <v>111.94</v>
      </c>
      <c r="H4825" s="20" t="n">
        <f aca="false">IF(G4825&lt;Parametres!$B$8*Parametres!$B$7,0,MIN(G4825,Parametres!$B$7))</f>
        <v>111.94</v>
      </c>
      <c r="I4825" s="20" t="n">
        <f aca="false">G4825-H4825</f>
        <v>0</v>
      </c>
      <c r="J4825" s="21" t="n">
        <f aca="false">H4825*1000/Parametres!$B$9</f>
        <v>1898.25334916059</v>
      </c>
    </row>
    <row r="4826" customFormat="false" ht="15" hidden="false" customHeight="false" outlineLevel="0" collapsed="false">
      <c r="A4826" s="0" t="n">
        <v>4822</v>
      </c>
      <c r="B4826" s="0" t="n">
        <v>7</v>
      </c>
      <c r="C4826" s="19" t="n">
        <v>0</v>
      </c>
      <c r="D4826" s="19" t="n">
        <v>0.5665</v>
      </c>
      <c r="E4826" s="20" t="n">
        <f aca="false">Parametres!$B$5*C4826</f>
        <v>0</v>
      </c>
      <c r="F4826" s="20" t="n">
        <f aca="false">Parametres!$B$6*D4826</f>
        <v>113.3</v>
      </c>
      <c r="G4826" s="20" t="n">
        <f aca="false">E4826+F4826</f>
        <v>113.3</v>
      </c>
      <c r="H4826" s="20" t="n">
        <f aca="false">IF(G4826&lt;Parametres!$B$8*Parametres!$B$7,0,MIN(G4826,Parametres!$B$7))</f>
        <v>113.3</v>
      </c>
      <c r="I4826" s="20" t="n">
        <f aca="false">G4826-H4826</f>
        <v>0</v>
      </c>
      <c r="J4826" s="21" t="n">
        <f aca="false">H4826*1000/Parametres!$B$9</f>
        <v>1921.31592335086</v>
      </c>
    </row>
    <row r="4827" customFormat="false" ht="15" hidden="false" customHeight="false" outlineLevel="0" collapsed="false">
      <c r="A4827" s="0" t="n">
        <v>4823</v>
      </c>
      <c r="B4827" s="0" t="n">
        <v>7</v>
      </c>
      <c r="C4827" s="19" t="n">
        <v>0</v>
      </c>
      <c r="D4827" s="19" t="n">
        <v>0.5421</v>
      </c>
      <c r="E4827" s="20" t="n">
        <f aca="false">Parametres!$B$5*C4827</f>
        <v>0</v>
      </c>
      <c r="F4827" s="20" t="n">
        <f aca="false">Parametres!$B$6*D4827</f>
        <v>108.42</v>
      </c>
      <c r="G4827" s="20" t="n">
        <f aca="false">E4827+F4827</f>
        <v>108.42</v>
      </c>
      <c r="H4827" s="20" t="n">
        <f aca="false">IF(G4827&lt;Parametres!$B$8*Parametres!$B$7,0,MIN(G4827,Parametres!$B$7))</f>
        <v>108.42</v>
      </c>
      <c r="I4827" s="20" t="n">
        <f aca="false">G4827-H4827</f>
        <v>0</v>
      </c>
      <c r="J4827" s="21" t="n">
        <f aca="false">H4827*1000/Parametres!$B$9</f>
        <v>1838.56198066814</v>
      </c>
    </row>
    <row r="4828" customFormat="false" ht="15" hidden="false" customHeight="false" outlineLevel="0" collapsed="false">
      <c r="A4828" s="0" t="n">
        <v>4824</v>
      </c>
      <c r="B4828" s="0" t="n">
        <v>7</v>
      </c>
      <c r="C4828" s="19" t="n">
        <v>0</v>
      </c>
      <c r="D4828" s="19" t="n">
        <v>0.4552</v>
      </c>
      <c r="E4828" s="20" t="n">
        <f aca="false">Parametres!$B$5*C4828</f>
        <v>0</v>
      </c>
      <c r="F4828" s="20" t="n">
        <f aca="false">Parametres!$B$6*D4828</f>
        <v>91.04</v>
      </c>
      <c r="G4828" s="20" t="n">
        <f aca="false">E4828+F4828</f>
        <v>91.04</v>
      </c>
      <c r="H4828" s="20" t="n">
        <f aca="false">IF(G4828&lt;Parametres!$B$8*Parametres!$B$7,0,MIN(G4828,Parametres!$B$7))</f>
        <v>91.04</v>
      </c>
      <c r="I4828" s="20" t="n">
        <f aca="false">G4828-H4828</f>
        <v>0</v>
      </c>
      <c r="J4828" s="21" t="n">
        <f aca="false">H4828*1000/Parametres!$B$9</f>
        <v>1543.83584873665</v>
      </c>
    </row>
    <row r="4829" customFormat="false" ht="15" hidden="false" customHeight="false" outlineLevel="0" collapsed="false">
      <c r="A4829" s="0" t="n">
        <v>4825</v>
      </c>
      <c r="B4829" s="0" t="n">
        <v>7</v>
      </c>
      <c r="C4829" s="19" t="n">
        <v>0</v>
      </c>
      <c r="D4829" s="19" t="n">
        <v>0.6328</v>
      </c>
      <c r="E4829" s="20" t="n">
        <f aca="false">Parametres!$B$5*C4829</f>
        <v>0</v>
      </c>
      <c r="F4829" s="20" t="n">
        <f aca="false">Parametres!$B$6*D4829</f>
        <v>126.56</v>
      </c>
      <c r="G4829" s="20" t="n">
        <f aca="false">E4829+F4829</f>
        <v>126.56</v>
      </c>
      <c r="H4829" s="20" t="n">
        <f aca="false">IF(G4829&lt;Parametres!$B$8*Parametres!$B$7,0,MIN(G4829,Parametres!$B$7))</f>
        <v>126.56</v>
      </c>
      <c r="I4829" s="20" t="n">
        <f aca="false">G4829-H4829</f>
        <v>0</v>
      </c>
      <c r="J4829" s="21" t="n">
        <f aca="false">H4829*1000/Parametres!$B$9</f>
        <v>2146.17602170595</v>
      </c>
    </row>
    <row r="4830" customFormat="false" ht="15" hidden="false" customHeight="false" outlineLevel="0" collapsed="false">
      <c r="A4830" s="0" t="n">
        <v>4826</v>
      </c>
      <c r="B4830" s="0" t="n">
        <v>7</v>
      </c>
      <c r="C4830" s="19" t="n">
        <v>0</v>
      </c>
      <c r="D4830" s="19" t="n">
        <v>0.5665</v>
      </c>
      <c r="E4830" s="20" t="n">
        <f aca="false">Parametres!$B$5*C4830</f>
        <v>0</v>
      </c>
      <c r="F4830" s="20" t="n">
        <f aca="false">Parametres!$B$6*D4830</f>
        <v>113.3</v>
      </c>
      <c r="G4830" s="20" t="n">
        <f aca="false">E4830+F4830</f>
        <v>113.3</v>
      </c>
      <c r="H4830" s="20" t="n">
        <f aca="false">IF(G4830&lt;Parametres!$B$8*Parametres!$B$7,0,MIN(G4830,Parametres!$B$7))</f>
        <v>113.3</v>
      </c>
      <c r="I4830" s="20" t="n">
        <f aca="false">G4830-H4830</f>
        <v>0</v>
      </c>
      <c r="J4830" s="21" t="n">
        <f aca="false">H4830*1000/Parametres!$B$9</f>
        <v>1921.31592335086</v>
      </c>
    </row>
    <row r="4831" customFormat="false" ht="15" hidden="false" customHeight="false" outlineLevel="0" collapsed="false">
      <c r="A4831" s="0" t="n">
        <v>4827</v>
      </c>
      <c r="B4831" s="0" t="n">
        <v>7</v>
      </c>
      <c r="C4831" s="19" t="n">
        <v>0</v>
      </c>
      <c r="D4831" s="19" t="n">
        <v>0.5215</v>
      </c>
      <c r="E4831" s="20" t="n">
        <f aca="false">Parametres!$B$5*C4831</f>
        <v>0</v>
      </c>
      <c r="F4831" s="20" t="n">
        <f aca="false">Parametres!$B$6*D4831</f>
        <v>104.3</v>
      </c>
      <c r="G4831" s="20" t="n">
        <f aca="false">E4831+F4831</f>
        <v>104.3</v>
      </c>
      <c r="H4831" s="20" t="n">
        <f aca="false">IF(G4831&lt;Parametres!$B$8*Parametres!$B$7,0,MIN(G4831,Parametres!$B$7))</f>
        <v>104.3</v>
      </c>
      <c r="I4831" s="20" t="n">
        <f aca="false">G4831-H4831</f>
        <v>0</v>
      </c>
      <c r="J4831" s="21" t="n">
        <f aca="false">H4831*1000/Parametres!$B$9</f>
        <v>1768.69594709174</v>
      </c>
    </row>
    <row r="4832" customFormat="false" ht="15" hidden="false" customHeight="false" outlineLevel="0" collapsed="false">
      <c r="A4832" s="0" t="n">
        <v>4828</v>
      </c>
      <c r="B4832" s="0" t="n">
        <v>7</v>
      </c>
      <c r="C4832" s="19" t="n">
        <v>0</v>
      </c>
      <c r="D4832" s="19" t="n">
        <v>0.5874</v>
      </c>
      <c r="E4832" s="20" t="n">
        <f aca="false">Parametres!$B$5*C4832</f>
        <v>0</v>
      </c>
      <c r="F4832" s="20" t="n">
        <f aca="false">Parametres!$B$6*D4832</f>
        <v>117.48</v>
      </c>
      <c r="G4832" s="20" t="n">
        <f aca="false">E4832+F4832</f>
        <v>117.48</v>
      </c>
      <c r="H4832" s="20" t="n">
        <f aca="false">IF(G4832&lt;Parametres!$B$8*Parametres!$B$7,0,MIN(G4832,Parametres!$B$7))</f>
        <v>117.48</v>
      </c>
      <c r="I4832" s="20" t="n">
        <f aca="false">G4832-H4832</f>
        <v>0</v>
      </c>
      <c r="J4832" s="21" t="n">
        <f aca="false">H4832*1000/Parametres!$B$9</f>
        <v>1992.19942343565</v>
      </c>
    </row>
    <row r="4833" customFormat="false" ht="15" hidden="false" customHeight="false" outlineLevel="0" collapsed="false">
      <c r="A4833" s="0" t="n">
        <v>4829</v>
      </c>
      <c r="B4833" s="0" t="n">
        <v>7</v>
      </c>
      <c r="C4833" s="19" t="n">
        <v>0</v>
      </c>
      <c r="D4833" s="19" t="n">
        <v>0.642</v>
      </c>
      <c r="E4833" s="20" t="n">
        <f aca="false">Parametres!$B$5*C4833</f>
        <v>0</v>
      </c>
      <c r="F4833" s="20" t="n">
        <f aca="false">Parametres!$B$6*D4833</f>
        <v>128.4</v>
      </c>
      <c r="G4833" s="20" t="n">
        <f aca="false">E4833+F4833</f>
        <v>128.4</v>
      </c>
      <c r="H4833" s="20" t="n">
        <f aca="false">IF(G4833&lt;Parametres!$B$8*Parametres!$B$7,0,MIN(G4833,Parametres!$B$7))</f>
        <v>128.4</v>
      </c>
      <c r="I4833" s="20" t="n">
        <f aca="false">G4833-H4833</f>
        <v>0</v>
      </c>
      <c r="J4833" s="21" t="n">
        <f aca="false">H4833*1000/Parametres!$B$9</f>
        <v>2177.37832796337</v>
      </c>
    </row>
    <row r="4834" customFormat="false" ht="15" hidden="false" customHeight="false" outlineLevel="0" collapsed="false">
      <c r="A4834" s="0" t="n">
        <v>4830</v>
      </c>
      <c r="B4834" s="0" t="n">
        <v>7</v>
      </c>
      <c r="C4834" s="19" t="n">
        <v>0.0579</v>
      </c>
      <c r="D4834" s="19" t="n">
        <v>0.9208</v>
      </c>
      <c r="E4834" s="20" t="n">
        <f aca="false">Parametres!$B$5*C4834</f>
        <v>17.37</v>
      </c>
      <c r="F4834" s="20" t="n">
        <f aca="false">Parametres!$B$6*D4834</f>
        <v>184.16</v>
      </c>
      <c r="G4834" s="20" t="n">
        <f aca="false">E4834+F4834</f>
        <v>201.53</v>
      </c>
      <c r="H4834" s="20" t="n">
        <f aca="false">IF(G4834&lt;Parametres!$B$8*Parametres!$B$7,0,MIN(G4834,Parametres!$B$7))</f>
        <v>201.53</v>
      </c>
      <c r="I4834" s="20" t="n">
        <f aca="false">G4834-H4834</f>
        <v>0</v>
      </c>
      <c r="J4834" s="21" t="n">
        <f aca="false">H4834*1000/Parametres!$B$9</f>
        <v>3417.50042394438</v>
      </c>
    </row>
    <row r="4835" customFormat="false" ht="15" hidden="false" customHeight="false" outlineLevel="0" collapsed="false">
      <c r="A4835" s="0" t="n">
        <v>4831</v>
      </c>
      <c r="B4835" s="0" t="n">
        <v>7</v>
      </c>
      <c r="C4835" s="19" t="n">
        <v>0.3474</v>
      </c>
      <c r="D4835" s="19" t="n">
        <v>0.8333</v>
      </c>
      <c r="E4835" s="20" t="n">
        <f aca="false">Parametres!$B$5*C4835</f>
        <v>104.22</v>
      </c>
      <c r="F4835" s="20" t="n">
        <f aca="false">Parametres!$B$6*D4835</f>
        <v>166.66</v>
      </c>
      <c r="G4835" s="20" t="n">
        <f aca="false">E4835+F4835</f>
        <v>270.88</v>
      </c>
      <c r="H4835" s="20" t="n">
        <f aca="false">IF(G4835&lt;Parametres!$B$8*Parametres!$B$7,0,MIN(G4835,Parametres!$B$7))</f>
        <v>250</v>
      </c>
      <c r="I4835" s="20" t="n">
        <f aca="false">G4835-H4835</f>
        <v>20.88</v>
      </c>
      <c r="J4835" s="21" t="n">
        <f aca="false">H4835*1000/Parametres!$B$9</f>
        <v>4239.44378497541</v>
      </c>
    </row>
    <row r="4836" customFormat="false" ht="15" hidden="false" customHeight="false" outlineLevel="0" collapsed="false">
      <c r="A4836" s="0" t="n">
        <v>4832</v>
      </c>
      <c r="B4836" s="0" t="n">
        <v>7</v>
      </c>
      <c r="C4836" s="19" t="n">
        <v>0.5787</v>
      </c>
      <c r="D4836" s="19" t="n">
        <v>0.9322</v>
      </c>
      <c r="E4836" s="20" t="n">
        <f aca="false">Parametres!$B$5*C4836</f>
        <v>173.61</v>
      </c>
      <c r="F4836" s="20" t="n">
        <f aca="false">Parametres!$B$6*D4836</f>
        <v>186.44</v>
      </c>
      <c r="G4836" s="20" t="n">
        <f aca="false">E4836+F4836</f>
        <v>360.05</v>
      </c>
      <c r="H4836" s="20" t="n">
        <f aca="false">IF(G4836&lt;Parametres!$B$8*Parametres!$B$7,0,MIN(G4836,Parametres!$B$7))</f>
        <v>250</v>
      </c>
      <c r="I4836" s="20" t="n">
        <f aca="false">G4836-H4836</f>
        <v>110.05</v>
      </c>
      <c r="J4836" s="21" t="n">
        <f aca="false">H4836*1000/Parametres!$B$9</f>
        <v>4239.44378497541</v>
      </c>
    </row>
    <row r="4837" customFormat="false" ht="15" hidden="false" customHeight="false" outlineLevel="0" collapsed="false">
      <c r="A4837" s="0" t="n">
        <v>4833</v>
      </c>
      <c r="B4837" s="0" t="n">
        <v>7</v>
      </c>
      <c r="C4837" s="19" t="n">
        <v>0.9251</v>
      </c>
      <c r="D4837" s="19" t="n">
        <v>1</v>
      </c>
      <c r="E4837" s="20" t="n">
        <f aca="false">Parametres!$B$5*C4837</f>
        <v>277.53</v>
      </c>
      <c r="F4837" s="20" t="n">
        <f aca="false">Parametres!$B$6*D4837</f>
        <v>200</v>
      </c>
      <c r="G4837" s="20" t="n">
        <f aca="false">E4837+F4837</f>
        <v>477.53</v>
      </c>
      <c r="H4837" s="20" t="n">
        <f aca="false">IF(G4837&lt;Parametres!$B$8*Parametres!$B$7,0,MIN(G4837,Parametres!$B$7))</f>
        <v>250</v>
      </c>
      <c r="I4837" s="20" t="n">
        <f aca="false">G4837-H4837</f>
        <v>227.53</v>
      </c>
      <c r="J4837" s="21" t="n">
        <f aca="false">H4837*1000/Parametres!$B$9</f>
        <v>4239.44378497541</v>
      </c>
    </row>
    <row r="4838" customFormat="false" ht="15" hidden="false" customHeight="false" outlineLevel="0" collapsed="false">
      <c r="A4838" s="0" t="n">
        <v>4834</v>
      </c>
      <c r="B4838" s="0" t="n">
        <v>7</v>
      </c>
      <c r="C4838" s="19" t="n">
        <v>1</v>
      </c>
      <c r="D4838" s="19" t="n">
        <v>1</v>
      </c>
      <c r="E4838" s="20" t="n">
        <f aca="false">Parametres!$B$5*C4838</f>
        <v>300</v>
      </c>
      <c r="F4838" s="20" t="n">
        <f aca="false">Parametres!$B$6*D4838</f>
        <v>200</v>
      </c>
      <c r="G4838" s="20" t="n">
        <f aca="false">E4838+F4838</f>
        <v>500</v>
      </c>
      <c r="H4838" s="20" t="n">
        <f aca="false">IF(G4838&lt;Parametres!$B$8*Parametres!$B$7,0,MIN(G4838,Parametres!$B$7))</f>
        <v>250</v>
      </c>
      <c r="I4838" s="20" t="n">
        <f aca="false">G4838-H4838</f>
        <v>250</v>
      </c>
      <c r="J4838" s="21" t="n">
        <f aca="false">H4838*1000/Parametres!$B$9</f>
        <v>4239.44378497541</v>
      </c>
    </row>
    <row r="4839" customFormat="false" ht="15" hidden="false" customHeight="false" outlineLevel="0" collapsed="false">
      <c r="A4839" s="0" t="n">
        <v>4835</v>
      </c>
      <c r="B4839" s="0" t="n">
        <v>7</v>
      </c>
      <c r="C4839" s="19" t="n">
        <v>1</v>
      </c>
      <c r="D4839" s="19" t="n">
        <v>1</v>
      </c>
      <c r="E4839" s="20" t="n">
        <f aca="false">Parametres!$B$5*C4839</f>
        <v>300</v>
      </c>
      <c r="F4839" s="20" t="n">
        <f aca="false">Parametres!$B$6*D4839</f>
        <v>200</v>
      </c>
      <c r="G4839" s="20" t="n">
        <f aca="false">E4839+F4839</f>
        <v>500</v>
      </c>
      <c r="H4839" s="20" t="n">
        <f aca="false">IF(G4839&lt;Parametres!$B$8*Parametres!$B$7,0,MIN(G4839,Parametres!$B$7))</f>
        <v>250</v>
      </c>
      <c r="I4839" s="20" t="n">
        <f aca="false">G4839-H4839</f>
        <v>250</v>
      </c>
      <c r="J4839" s="21" t="n">
        <f aca="false">H4839*1000/Parametres!$B$9</f>
        <v>4239.44378497541</v>
      </c>
    </row>
    <row r="4840" customFormat="false" ht="15" hidden="false" customHeight="false" outlineLevel="0" collapsed="false">
      <c r="A4840" s="0" t="n">
        <v>4836</v>
      </c>
      <c r="B4840" s="0" t="n">
        <v>7</v>
      </c>
      <c r="C4840" s="19" t="n">
        <v>1</v>
      </c>
      <c r="D4840" s="19" t="n">
        <v>1</v>
      </c>
      <c r="E4840" s="20" t="n">
        <f aca="false">Parametres!$B$5*C4840</f>
        <v>300</v>
      </c>
      <c r="F4840" s="20" t="n">
        <f aca="false">Parametres!$B$6*D4840</f>
        <v>200</v>
      </c>
      <c r="G4840" s="20" t="n">
        <f aca="false">E4840+F4840</f>
        <v>500</v>
      </c>
      <c r="H4840" s="20" t="n">
        <f aca="false">IF(G4840&lt;Parametres!$B$8*Parametres!$B$7,0,MIN(G4840,Parametres!$B$7))</f>
        <v>250</v>
      </c>
      <c r="I4840" s="20" t="n">
        <f aca="false">G4840-H4840</f>
        <v>250</v>
      </c>
      <c r="J4840" s="21" t="n">
        <f aca="false">H4840*1000/Parametres!$B$9</f>
        <v>4239.44378497541</v>
      </c>
    </row>
    <row r="4841" customFormat="false" ht="15" hidden="false" customHeight="false" outlineLevel="0" collapsed="false">
      <c r="A4841" s="0" t="n">
        <v>4837</v>
      </c>
      <c r="B4841" s="0" t="n">
        <v>7</v>
      </c>
      <c r="C4841" s="19" t="n">
        <v>1</v>
      </c>
      <c r="D4841" s="19" t="n">
        <v>1</v>
      </c>
      <c r="E4841" s="20" t="n">
        <f aca="false">Parametres!$B$5*C4841</f>
        <v>300</v>
      </c>
      <c r="F4841" s="20" t="n">
        <f aca="false">Parametres!$B$6*D4841</f>
        <v>200</v>
      </c>
      <c r="G4841" s="20" t="n">
        <f aca="false">E4841+F4841</f>
        <v>500</v>
      </c>
      <c r="H4841" s="20" t="n">
        <f aca="false">IF(G4841&lt;Parametres!$B$8*Parametres!$B$7,0,MIN(G4841,Parametres!$B$7))</f>
        <v>250</v>
      </c>
      <c r="I4841" s="20" t="n">
        <f aca="false">G4841-H4841</f>
        <v>250</v>
      </c>
      <c r="J4841" s="21" t="n">
        <f aca="false">H4841*1000/Parametres!$B$9</f>
        <v>4239.44378497541</v>
      </c>
    </row>
    <row r="4842" customFormat="false" ht="15" hidden="false" customHeight="false" outlineLevel="0" collapsed="false">
      <c r="A4842" s="0" t="n">
        <v>4838</v>
      </c>
      <c r="B4842" s="0" t="n">
        <v>7</v>
      </c>
      <c r="C4842" s="19" t="n">
        <v>1</v>
      </c>
      <c r="D4842" s="19" t="n">
        <v>1</v>
      </c>
      <c r="E4842" s="20" t="n">
        <f aca="false">Parametres!$B$5*C4842</f>
        <v>300</v>
      </c>
      <c r="F4842" s="20" t="n">
        <f aca="false">Parametres!$B$6*D4842</f>
        <v>200</v>
      </c>
      <c r="G4842" s="20" t="n">
        <f aca="false">E4842+F4842</f>
        <v>500</v>
      </c>
      <c r="H4842" s="20" t="n">
        <f aca="false">IF(G4842&lt;Parametres!$B$8*Parametres!$B$7,0,MIN(G4842,Parametres!$B$7))</f>
        <v>250</v>
      </c>
      <c r="I4842" s="20" t="n">
        <f aca="false">G4842-H4842</f>
        <v>250</v>
      </c>
      <c r="J4842" s="21" t="n">
        <f aca="false">H4842*1000/Parametres!$B$9</f>
        <v>4239.44378497541</v>
      </c>
    </row>
    <row r="4843" customFormat="false" ht="15" hidden="false" customHeight="false" outlineLevel="0" collapsed="false">
      <c r="A4843" s="0" t="n">
        <v>4839</v>
      </c>
      <c r="B4843" s="0" t="n">
        <v>7</v>
      </c>
      <c r="C4843" s="19" t="n">
        <v>1</v>
      </c>
      <c r="D4843" s="19" t="n">
        <v>1</v>
      </c>
      <c r="E4843" s="20" t="n">
        <f aca="false">Parametres!$B$5*C4843</f>
        <v>300</v>
      </c>
      <c r="F4843" s="20" t="n">
        <f aca="false">Parametres!$B$6*D4843</f>
        <v>200</v>
      </c>
      <c r="G4843" s="20" t="n">
        <f aca="false">E4843+F4843</f>
        <v>500</v>
      </c>
      <c r="H4843" s="20" t="n">
        <f aca="false">IF(G4843&lt;Parametres!$B$8*Parametres!$B$7,0,MIN(G4843,Parametres!$B$7))</f>
        <v>250</v>
      </c>
      <c r="I4843" s="20" t="n">
        <f aca="false">G4843-H4843</f>
        <v>250</v>
      </c>
      <c r="J4843" s="21" t="n">
        <f aca="false">H4843*1000/Parametres!$B$9</f>
        <v>4239.44378497541</v>
      </c>
    </row>
    <row r="4844" customFormat="false" ht="15" hidden="false" customHeight="false" outlineLevel="0" collapsed="false">
      <c r="A4844" s="0" t="n">
        <v>4840</v>
      </c>
      <c r="B4844" s="0" t="n">
        <v>7</v>
      </c>
      <c r="C4844" s="19" t="n">
        <v>0.9045</v>
      </c>
      <c r="D4844" s="19" t="n">
        <v>1</v>
      </c>
      <c r="E4844" s="20" t="n">
        <f aca="false">Parametres!$B$5*C4844</f>
        <v>271.35</v>
      </c>
      <c r="F4844" s="20" t="n">
        <f aca="false">Parametres!$B$6*D4844</f>
        <v>200</v>
      </c>
      <c r="G4844" s="20" t="n">
        <f aca="false">E4844+F4844</f>
        <v>471.35</v>
      </c>
      <c r="H4844" s="20" t="n">
        <f aca="false">IF(G4844&lt;Parametres!$B$8*Parametres!$B$7,0,MIN(G4844,Parametres!$B$7))</f>
        <v>250</v>
      </c>
      <c r="I4844" s="20" t="n">
        <f aca="false">G4844-H4844</f>
        <v>221.35</v>
      </c>
      <c r="J4844" s="21" t="n">
        <f aca="false">H4844*1000/Parametres!$B$9</f>
        <v>4239.44378497541</v>
      </c>
    </row>
    <row r="4845" customFormat="false" ht="15" hidden="false" customHeight="false" outlineLevel="0" collapsed="false">
      <c r="A4845" s="0" t="n">
        <v>4841</v>
      </c>
      <c r="B4845" s="0" t="n">
        <v>7</v>
      </c>
      <c r="C4845" s="19" t="n">
        <v>0.6079</v>
      </c>
      <c r="D4845" s="19" t="n">
        <v>1</v>
      </c>
      <c r="E4845" s="20" t="n">
        <f aca="false">Parametres!$B$5*C4845</f>
        <v>182.37</v>
      </c>
      <c r="F4845" s="20" t="n">
        <f aca="false">Parametres!$B$6*D4845</f>
        <v>200</v>
      </c>
      <c r="G4845" s="20" t="n">
        <f aca="false">E4845+F4845</f>
        <v>382.37</v>
      </c>
      <c r="H4845" s="20" t="n">
        <f aca="false">IF(G4845&lt;Parametres!$B$8*Parametres!$B$7,0,MIN(G4845,Parametres!$B$7))</f>
        <v>250</v>
      </c>
      <c r="I4845" s="20" t="n">
        <f aca="false">G4845-H4845</f>
        <v>132.37</v>
      </c>
      <c r="J4845" s="21" t="n">
        <f aca="false">H4845*1000/Parametres!$B$9</f>
        <v>4239.44378497541</v>
      </c>
    </row>
    <row r="4846" customFormat="false" ht="15" hidden="false" customHeight="false" outlineLevel="0" collapsed="false">
      <c r="A4846" s="0" t="n">
        <v>4842</v>
      </c>
      <c r="B4846" s="0" t="n">
        <v>7</v>
      </c>
      <c r="C4846" s="19" t="n">
        <v>0.3271</v>
      </c>
      <c r="D4846" s="19" t="n">
        <v>1</v>
      </c>
      <c r="E4846" s="20" t="n">
        <f aca="false">Parametres!$B$5*C4846</f>
        <v>98.13</v>
      </c>
      <c r="F4846" s="20" t="n">
        <f aca="false">Parametres!$B$6*D4846</f>
        <v>200</v>
      </c>
      <c r="G4846" s="20" t="n">
        <f aca="false">E4846+F4846</f>
        <v>298.13</v>
      </c>
      <c r="H4846" s="20" t="n">
        <f aca="false">IF(G4846&lt;Parametres!$B$8*Parametres!$B$7,0,MIN(G4846,Parametres!$B$7))</f>
        <v>250</v>
      </c>
      <c r="I4846" s="20" t="n">
        <f aca="false">G4846-H4846</f>
        <v>48.13</v>
      </c>
      <c r="J4846" s="21" t="n">
        <f aca="false">H4846*1000/Parametres!$B$9</f>
        <v>4239.44378497541</v>
      </c>
    </row>
    <row r="4847" customFormat="false" ht="15" hidden="false" customHeight="false" outlineLevel="0" collapsed="false">
      <c r="A4847" s="0" t="n">
        <v>4843</v>
      </c>
      <c r="B4847" s="0" t="n">
        <v>7</v>
      </c>
      <c r="C4847" s="19" t="n">
        <v>0.0527</v>
      </c>
      <c r="D4847" s="19" t="n">
        <v>1</v>
      </c>
      <c r="E4847" s="20" t="n">
        <f aca="false">Parametres!$B$5*C4847</f>
        <v>15.81</v>
      </c>
      <c r="F4847" s="20" t="n">
        <f aca="false">Parametres!$B$6*D4847</f>
        <v>200</v>
      </c>
      <c r="G4847" s="20" t="n">
        <f aca="false">E4847+F4847</f>
        <v>215.81</v>
      </c>
      <c r="H4847" s="20" t="n">
        <f aca="false">IF(G4847&lt;Parametres!$B$8*Parametres!$B$7,0,MIN(G4847,Parametres!$B$7))</f>
        <v>215.81</v>
      </c>
      <c r="I4847" s="20" t="n">
        <f aca="false">G4847-H4847</f>
        <v>0</v>
      </c>
      <c r="J4847" s="21" t="n">
        <f aca="false">H4847*1000/Parametres!$B$9</f>
        <v>3659.65745294217</v>
      </c>
    </row>
    <row r="4848" customFormat="false" ht="15" hidden="false" customHeight="false" outlineLevel="0" collapsed="false">
      <c r="A4848" s="0" t="n">
        <v>4844</v>
      </c>
      <c r="B4848" s="0" t="n">
        <v>7</v>
      </c>
      <c r="C4848" s="19" t="n">
        <v>0</v>
      </c>
      <c r="D4848" s="19" t="n">
        <v>1</v>
      </c>
      <c r="E4848" s="20" t="n">
        <f aca="false">Parametres!$B$5*C4848</f>
        <v>0</v>
      </c>
      <c r="F4848" s="20" t="n">
        <f aca="false">Parametres!$B$6*D4848</f>
        <v>200</v>
      </c>
      <c r="G4848" s="20" t="n">
        <f aca="false">E4848+F4848</f>
        <v>200</v>
      </c>
      <c r="H4848" s="20" t="n">
        <f aca="false">IF(G4848&lt;Parametres!$B$8*Parametres!$B$7,0,MIN(G4848,Parametres!$B$7))</f>
        <v>200</v>
      </c>
      <c r="I4848" s="20" t="n">
        <f aca="false">G4848-H4848</f>
        <v>0</v>
      </c>
      <c r="J4848" s="21" t="n">
        <f aca="false">H4848*1000/Parametres!$B$9</f>
        <v>3391.55502798033</v>
      </c>
    </row>
    <row r="4849" customFormat="false" ht="15" hidden="false" customHeight="false" outlineLevel="0" collapsed="false">
      <c r="A4849" s="0" t="n">
        <v>4845</v>
      </c>
      <c r="B4849" s="0" t="n">
        <v>7</v>
      </c>
      <c r="C4849" s="19" t="n">
        <v>0</v>
      </c>
      <c r="D4849" s="19" t="n">
        <v>1</v>
      </c>
      <c r="E4849" s="20" t="n">
        <f aca="false">Parametres!$B$5*C4849</f>
        <v>0</v>
      </c>
      <c r="F4849" s="20" t="n">
        <f aca="false">Parametres!$B$6*D4849</f>
        <v>200</v>
      </c>
      <c r="G4849" s="20" t="n">
        <f aca="false">E4849+F4849</f>
        <v>200</v>
      </c>
      <c r="H4849" s="20" t="n">
        <f aca="false">IF(G4849&lt;Parametres!$B$8*Parametres!$B$7,0,MIN(G4849,Parametres!$B$7))</f>
        <v>200</v>
      </c>
      <c r="I4849" s="20" t="n">
        <f aca="false">G4849-H4849</f>
        <v>0</v>
      </c>
      <c r="J4849" s="21" t="n">
        <f aca="false">H4849*1000/Parametres!$B$9</f>
        <v>3391.55502798033</v>
      </c>
    </row>
    <row r="4850" customFormat="false" ht="15" hidden="false" customHeight="false" outlineLevel="0" collapsed="false">
      <c r="A4850" s="0" t="n">
        <v>4846</v>
      </c>
      <c r="B4850" s="0" t="n">
        <v>7</v>
      </c>
      <c r="C4850" s="19" t="n">
        <v>0</v>
      </c>
      <c r="D4850" s="19" t="n">
        <v>1</v>
      </c>
      <c r="E4850" s="20" t="n">
        <f aca="false">Parametres!$B$5*C4850</f>
        <v>0</v>
      </c>
      <c r="F4850" s="20" t="n">
        <f aca="false">Parametres!$B$6*D4850</f>
        <v>200</v>
      </c>
      <c r="G4850" s="20" t="n">
        <f aca="false">E4850+F4850</f>
        <v>200</v>
      </c>
      <c r="H4850" s="20" t="n">
        <f aca="false">IF(G4850&lt;Parametres!$B$8*Parametres!$B$7,0,MIN(G4850,Parametres!$B$7))</f>
        <v>200</v>
      </c>
      <c r="I4850" s="20" t="n">
        <f aca="false">G4850-H4850</f>
        <v>0</v>
      </c>
      <c r="J4850" s="21" t="n">
        <f aca="false">H4850*1000/Parametres!$B$9</f>
        <v>3391.55502798033</v>
      </c>
    </row>
    <row r="4851" customFormat="false" ht="15" hidden="false" customHeight="false" outlineLevel="0" collapsed="false">
      <c r="A4851" s="0" t="n">
        <v>4847</v>
      </c>
      <c r="B4851" s="0" t="n">
        <v>7</v>
      </c>
      <c r="C4851" s="19" t="n">
        <v>0</v>
      </c>
      <c r="D4851" s="19" t="n">
        <v>1</v>
      </c>
      <c r="E4851" s="20" t="n">
        <f aca="false">Parametres!$B$5*C4851</f>
        <v>0</v>
      </c>
      <c r="F4851" s="20" t="n">
        <f aca="false">Parametres!$B$6*D4851</f>
        <v>200</v>
      </c>
      <c r="G4851" s="20" t="n">
        <f aca="false">E4851+F4851</f>
        <v>200</v>
      </c>
      <c r="H4851" s="20" t="n">
        <f aca="false">IF(G4851&lt;Parametres!$B$8*Parametres!$B$7,0,MIN(G4851,Parametres!$B$7))</f>
        <v>200</v>
      </c>
      <c r="I4851" s="20" t="n">
        <f aca="false">G4851-H4851</f>
        <v>0</v>
      </c>
      <c r="J4851" s="21" t="n">
        <f aca="false">H4851*1000/Parametres!$B$9</f>
        <v>3391.55502798033</v>
      </c>
    </row>
    <row r="4852" customFormat="false" ht="15" hidden="false" customHeight="false" outlineLevel="0" collapsed="false">
      <c r="A4852" s="0" t="n">
        <v>4848</v>
      </c>
      <c r="B4852" s="0" t="n">
        <v>7</v>
      </c>
      <c r="C4852" s="19" t="n">
        <v>0</v>
      </c>
      <c r="D4852" s="19" t="n">
        <v>1</v>
      </c>
      <c r="E4852" s="20" t="n">
        <f aca="false">Parametres!$B$5*C4852</f>
        <v>0</v>
      </c>
      <c r="F4852" s="20" t="n">
        <f aca="false">Parametres!$B$6*D4852</f>
        <v>200</v>
      </c>
      <c r="G4852" s="20" t="n">
        <f aca="false">E4852+F4852</f>
        <v>200</v>
      </c>
      <c r="H4852" s="20" t="n">
        <f aca="false">IF(G4852&lt;Parametres!$B$8*Parametres!$B$7,0,MIN(G4852,Parametres!$B$7))</f>
        <v>200</v>
      </c>
      <c r="I4852" s="20" t="n">
        <f aca="false">G4852-H4852</f>
        <v>0</v>
      </c>
      <c r="J4852" s="21" t="n">
        <f aca="false">H4852*1000/Parametres!$B$9</f>
        <v>3391.55502798033</v>
      </c>
    </row>
    <row r="4853" customFormat="false" ht="15" hidden="false" customHeight="false" outlineLevel="0" collapsed="false">
      <c r="A4853" s="0" t="n">
        <v>4849</v>
      </c>
      <c r="B4853" s="0" t="n">
        <v>7</v>
      </c>
      <c r="C4853" s="19" t="n">
        <v>0</v>
      </c>
      <c r="D4853" s="19" t="n">
        <v>1</v>
      </c>
      <c r="E4853" s="20" t="n">
        <f aca="false">Parametres!$B$5*C4853</f>
        <v>0</v>
      </c>
      <c r="F4853" s="20" t="n">
        <f aca="false">Parametres!$B$6*D4853</f>
        <v>200</v>
      </c>
      <c r="G4853" s="20" t="n">
        <f aca="false">E4853+F4853</f>
        <v>200</v>
      </c>
      <c r="H4853" s="20" t="n">
        <f aca="false">IF(G4853&lt;Parametres!$B$8*Parametres!$B$7,0,MIN(G4853,Parametres!$B$7))</f>
        <v>200</v>
      </c>
      <c r="I4853" s="20" t="n">
        <f aca="false">G4853-H4853</f>
        <v>0</v>
      </c>
      <c r="J4853" s="21" t="n">
        <f aca="false">H4853*1000/Parametres!$B$9</f>
        <v>3391.55502798033</v>
      </c>
    </row>
    <row r="4854" customFormat="false" ht="15" hidden="false" customHeight="false" outlineLevel="0" collapsed="false">
      <c r="A4854" s="0" t="n">
        <v>4850</v>
      </c>
      <c r="B4854" s="0" t="n">
        <v>7</v>
      </c>
      <c r="C4854" s="19" t="n">
        <v>0</v>
      </c>
      <c r="D4854" s="19" t="n">
        <v>1</v>
      </c>
      <c r="E4854" s="20" t="n">
        <f aca="false">Parametres!$B$5*C4854</f>
        <v>0</v>
      </c>
      <c r="F4854" s="20" t="n">
        <f aca="false">Parametres!$B$6*D4854</f>
        <v>200</v>
      </c>
      <c r="G4854" s="20" t="n">
        <f aca="false">E4854+F4854</f>
        <v>200</v>
      </c>
      <c r="H4854" s="20" t="n">
        <f aca="false">IF(G4854&lt;Parametres!$B$8*Parametres!$B$7,0,MIN(G4854,Parametres!$B$7))</f>
        <v>200</v>
      </c>
      <c r="I4854" s="20" t="n">
        <f aca="false">G4854-H4854</f>
        <v>0</v>
      </c>
      <c r="J4854" s="21" t="n">
        <f aca="false">H4854*1000/Parametres!$B$9</f>
        <v>3391.55502798033</v>
      </c>
    </row>
    <row r="4855" customFormat="false" ht="15" hidden="false" customHeight="false" outlineLevel="0" collapsed="false">
      <c r="A4855" s="0" t="n">
        <v>4851</v>
      </c>
      <c r="B4855" s="0" t="n">
        <v>7</v>
      </c>
      <c r="C4855" s="19" t="n">
        <v>0</v>
      </c>
      <c r="D4855" s="19" t="n">
        <v>1</v>
      </c>
      <c r="E4855" s="20" t="n">
        <f aca="false">Parametres!$B$5*C4855</f>
        <v>0</v>
      </c>
      <c r="F4855" s="20" t="n">
        <f aca="false">Parametres!$B$6*D4855</f>
        <v>200</v>
      </c>
      <c r="G4855" s="20" t="n">
        <f aca="false">E4855+F4855</f>
        <v>200</v>
      </c>
      <c r="H4855" s="20" t="n">
        <f aca="false">IF(G4855&lt;Parametres!$B$8*Parametres!$B$7,0,MIN(G4855,Parametres!$B$7))</f>
        <v>200</v>
      </c>
      <c r="I4855" s="20" t="n">
        <f aca="false">G4855-H4855</f>
        <v>0</v>
      </c>
      <c r="J4855" s="21" t="n">
        <f aca="false">H4855*1000/Parametres!$B$9</f>
        <v>3391.55502798033</v>
      </c>
    </row>
    <row r="4856" customFormat="false" ht="15" hidden="false" customHeight="false" outlineLevel="0" collapsed="false">
      <c r="A4856" s="0" t="n">
        <v>4852</v>
      </c>
      <c r="B4856" s="0" t="n">
        <v>7</v>
      </c>
      <c r="C4856" s="19" t="n">
        <v>0</v>
      </c>
      <c r="D4856" s="19" t="n">
        <v>1</v>
      </c>
      <c r="E4856" s="20" t="n">
        <f aca="false">Parametres!$B$5*C4856</f>
        <v>0</v>
      </c>
      <c r="F4856" s="20" t="n">
        <f aca="false">Parametres!$B$6*D4856</f>
        <v>200</v>
      </c>
      <c r="G4856" s="20" t="n">
        <f aca="false">E4856+F4856</f>
        <v>200</v>
      </c>
      <c r="H4856" s="20" t="n">
        <f aca="false">IF(G4856&lt;Parametres!$B$8*Parametres!$B$7,0,MIN(G4856,Parametres!$B$7))</f>
        <v>200</v>
      </c>
      <c r="I4856" s="20" t="n">
        <f aca="false">G4856-H4856</f>
        <v>0</v>
      </c>
      <c r="J4856" s="21" t="n">
        <f aca="false">H4856*1000/Parametres!$B$9</f>
        <v>3391.55502798033</v>
      </c>
    </row>
    <row r="4857" customFormat="false" ht="15" hidden="false" customHeight="false" outlineLevel="0" collapsed="false">
      <c r="A4857" s="0" t="n">
        <v>4853</v>
      </c>
      <c r="B4857" s="0" t="n">
        <v>7</v>
      </c>
      <c r="C4857" s="19" t="n">
        <v>0</v>
      </c>
      <c r="D4857" s="19" t="n">
        <v>1</v>
      </c>
      <c r="E4857" s="20" t="n">
        <f aca="false">Parametres!$B$5*C4857</f>
        <v>0</v>
      </c>
      <c r="F4857" s="20" t="n">
        <f aca="false">Parametres!$B$6*D4857</f>
        <v>200</v>
      </c>
      <c r="G4857" s="20" t="n">
        <f aca="false">E4857+F4857</f>
        <v>200</v>
      </c>
      <c r="H4857" s="20" t="n">
        <f aca="false">IF(G4857&lt;Parametres!$B$8*Parametres!$B$7,0,MIN(G4857,Parametres!$B$7))</f>
        <v>200</v>
      </c>
      <c r="I4857" s="20" t="n">
        <f aca="false">G4857-H4857</f>
        <v>0</v>
      </c>
      <c r="J4857" s="21" t="n">
        <f aca="false">H4857*1000/Parametres!$B$9</f>
        <v>3391.55502798033</v>
      </c>
    </row>
    <row r="4858" customFormat="false" ht="15" hidden="false" customHeight="false" outlineLevel="0" collapsed="false">
      <c r="A4858" s="0" t="n">
        <v>4854</v>
      </c>
      <c r="B4858" s="0" t="n">
        <v>7</v>
      </c>
      <c r="C4858" s="19" t="n">
        <v>0.035</v>
      </c>
      <c r="D4858" s="19" t="n">
        <v>1</v>
      </c>
      <c r="E4858" s="20" t="n">
        <f aca="false">Parametres!$B$5*C4858</f>
        <v>10.5</v>
      </c>
      <c r="F4858" s="20" t="n">
        <f aca="false">Parametres!$B$6*D4858</f>
        <v>200</v>
      </c>
      <c r="G4858" s="20" t="n">
        <f aca="false">E4858+F4858</f>
        <v>210.5</v>
      </c>
      <c r="H4858" s="20" t="n">
        <f aca="false">IF(G4858&lt;Parametres!$B$8*Parametres!$B$7,0,MIN(G4858,Parametres!$B$7))</f>
        <v>210.5</v>
      </c>
      <c r="I4858" s="20" t="n">
        <f aca="false">G4858-H4858</f>
        <v>0</v>
      </c>
      <c r="J4858" s="21" t="n">
        <f aca="false">H4858*1000/Parametres!$B$9</f>
        <v>3569.6116669493</v>
      </c>
    </row>
    <row r="4859" customFormat="false" ht="15" hidden="false" customHeight="false" outlineLevel="0" collapsed="false">
      <c r="A4859" s="0" t="n">
        <v>4855</v>
      </c>
      <c r="B4859" s="0" t="n">
        <v>7</v>
      </c>
      <c r="C4859" s="19" t="n">
        <v>0.2504</v>
      </c>
      <c r="D4859" s="19" t="n">
        <v>1</v>
      </c>
      <c r="E4859" s="20" t="n">
        <f aca="false">Parametres!$B$5*C4859</f>
        <v>75.12</v>
      </c>
      <c r="F4859" s="20" t="n">
        <f aca="false">Parametres!$B$6*D4859</f>
        <v>200</v>
      </c>
      <c r="G4859" s="20" t="n">
        <f aca="false">E4859+F4859</f>
        <v>275.12</v>
      </c>
      <c r="H4859" s="20" t="n">
        <f aca="false">IF(G4859&lt;Parametres!$B$8*Parametres!$B$7,0,MIN(G4859,Parametres!$B$7))</f>
        <v>250</v>
      </c>
      <c r="I4859" s="20" t="n">
        <f aca="false">G4859-H4859</f>
        <v>25.12</v>
      </c>
      <c r="J4859" s="21" t="n">
        <f aca="false">H4859*1000/Parametres!$B$9</f>
        <v>4239.44378497541</v>
      </c>
    </row>
    <row r="4860" customFormat="false" ht="15" hidden="false" customHeight="false" outlineLevel="0" collapsed="false">
      <c r="A4860" s="0" t="n">
        <v>4856</v>
      </c>
      <c r="B4860" s="0" t="n">
        <v>7</v>
      </c>
      <c r="C4860" s="19" t="n">
        <v>0.4534</v>
      </c>
      <c r="D4860" s="19" t="n">
        <v>1</v>
      </c>
      <c r="E4860" s="20" t="n">
        <f aca="false">Parametres!$B$5*C4860</f>
        <v>136.02</v>
      </c>
      <c r="F4860" s="20" t="n">
        <f aca="false">Parametres!$B$6*D4860</f>
        <v>200</v>
      </c>
      <c r="G4860" s="20" t="n">
        <f aca="false">E4860+F4860</f>
        <v>336.02</v>
      </c>
      <c r="H4860" s="20" t="n">
        <f aca="false">IF(G4860&lt;Parametres!$B$8*Parametres!$B$7,0,MIN(G4860,Parametres!$B$7))</f>
        <v>250</v>
      </c>
      <c r="I4860" s="20" t="n">
        <f aca="false">G4860-H4860</f>
        <v>86.02</v>
      </c>
      <c r="J4860" s="21" t="n">
        <f aca="false">H4860*1000/Parametres!$B$9</f>
        <v>4239.44378497541</v>
      </c>
    </row>
    <row r="4861" customFormat="false" ht="15" hidden="false" customHeight="false" outlineLevel="0" collapsed="false">
      <c r="A4861" s="0" t="n">
        <v>4857</v>
      </c>
      <c r="B4861" s="0" t="n">
        <v>7</v>
      </c>
      <c r="C4861" s="19" t="n">
        <v>0.6637</v>
      </c>
      <c r="D4861" s="19" t="n">
        <v>1</v>
      </c>
      <c r="E4861" s="20" t="n">
        <f aca="false">Parametres!$B$5*C4861</f>
        <v>199.11</v>
      </c>
      <c r="F4861" s="20" t="n">
        <f aca="false">Parametres!$B$6*D4861</f>
        <v>200</v>
      </c>
      <c r="G4861" s="20" t="n">
        <f aca="false">E4861+F4861</f>
        <v>399.11</v>
      </c>
      <c r="H4861" s="20" t="n">
        <f aca="false">IF(G4861&lt;Parametres!$B$8*Parametres!$B$7,0,MIN(G4861,Parametres!$B$7))</f>
        <v>250</v>
      </c>
      <c r="I4861" s="20" t="n">
        <f aca="false">G4861-H4861</f>
        <v>149.11</v>
      </c>
      <c r="J4861" s="21" t="n">
        <f aca="false">H4861*1000/Parametres!$B$9</f>
        <v>4239.44378497541</v>
      </c>
    </row>
    <row r="4862" customFormat="false" ht="15" hidden="false" customHeight="false" outlineLevel="0" collapsed="false">
      <c r="A4862" s="0" t="n">
        <v>4858</v>
      </c>
      <c r="B4862" s="0" t="n">
        <v>7</v>
      </c>
      <c r="C4862" s="19" t="n">
        <v>0.8263</v>
      </c>
      <c r="D4862" s="19" t="n">
        <v>1</v>
      </c>
      <c r="E4862" s="20" t="n">
        <f aca="false">Parametres!$B$5*C4862</f>
        <v>247.89</v>
      </c>
      <c r="F4862" s="20" t="n">
        <f aca="false">Parametres!$B$6*D4862</f>
        <v>200</v>
      </c>
      <c r="G4862" s="20" t="n">
        <f aca="false">E4862+F4862</f>
        <v>447.89</v>
      </c>
      <c r="H4862" s="20" t="n">
        <f aca="false">IF(G4862&lt;Parametres!$B$8*Parametres!$B$7,0,MIN(G4862,Parametres!$B$7))</f>
        <v>250</v>
      </c>
      <c r="I4862" s="20" t="n">
        <f aca="false">G4862-H4862</f>
        <v>197.89</v>
      </c>
      <c r="J4862" s="21" t="n">
        <f aca="false">H4862*1000/Parametres!$B$9</f>
        <v>4239.44378497541</v>
      </c>
    </row>
    <row r="4863" customFormat="false" ht="15" hidden="false" customHeight="false" outlineLevel="0" collapsed="false">
      <c r="A4863" s="0" t="n">
        <v>4859</v>
      </c>
      <c r="B4863" s="0" t="n">
        <v>7</v>
      </c>
      <c r="C4863" s="19" t="n">
        <v>0.9636</v>
      </c>
      <c r="D4863" s="19" t="n">
        <v>1</v>
      </c>
      <c r="E4863" s="20" t="n">
        <f aca="false">Parametres!$B$5*C4863</f>
        <v>289.08</v>
      </c>
      <c r="F4863" s="20" t="n">
        <f aca="false">Parametres!$B$6*D4863</f>
        <v>200</v>
      </c>
      <c r="G4863" s="20" t="n">
        <f aca="false">E4863+F4863</f>
        <v>489.08</v>
      </c>
      <c r="H4863" s="20" t="n">
        <f aca="false">IF(G4863&lt;Parametres!$B$8*Parametres!$B$7,0,MIN(G4863,Parametres!$B$7))</f>
        <v>250</v>
      </c>
      <c r="I4863" s="20" t="n">
        <f aca="false">G4863-H4863</f>
        <v>239.08</v>
      </c>
      <c r="J4863" s="21" t="n">
        <f aca="false">H4863*1000/Parametres!$B$9</f>
        <v>4239.44378497541</v>
      </c>
    </row>
    <row r="4864" customFormat="false" ht="15" hidden="false" customHeight="false" outlineLevel="0" collapsed="false">
      <c r="A4864" s="0" t="n">
        <v>4860</v>
      </c>
      <c r="B4864" s="0" t="n">
        <v>7</v>
      </c>
      <c r="C4864" s="19" t="n">
        <v>1</v>
      </c>
      <c r="D4864" s="19" t="n">
        <v>1</v>
      </c>
      <c r="E4864" s="20" t="n">
        <f aca="false">Parametres!$B$5*C4864</f>
        <v>300</v>
      </c>
      <c r="F4864" s="20" t="n">
        <f aca="false">Parametres!$B$6*D4864</f>
        <v>200</v>
      </c>
      <c r="G4864" s="20" t="n">
        <f aca="false">E4864+F4864</f>
        <v>500</v>
      </c>
      <c r="H4864" s="20" t="n">
        <f aca="false">IF(G4864&lt;Parametres!$B$8*Parametres!$B$7,0,MIN(G4864,Parametres!$B$7))</f>
        <v>250</v>
      </c>
      <c r="I4864" s="20" t="n">
        <f aca="false">G4864-H4864</f>
        <v>250</v>
      </c>
      <c r="J4864" s="21" t="n">
        <f aca="false">H4864*1000/Parametres!$B$9</f>
        <v>4239.44378497541</v>
      </c>
    </row>
    <row r="4865" customFormat="false" ht="15" hidden="false" customHeight="false" outlineLevel="0" collapsed="false">
      <c r="A4865" s="0" t="n">
        <v>4861</v>
      </c>
      <c r="B4865" s="0" t="n">
        <v>7</v>
      </c>
      <c r="C4865" s="19" t="n">
        <v>1</v>
      </c>
      <c r="D4865" s="19" t="n">
        <v>1</v>
      </c>
      <c r="E4865" s="20" t="n">
        <f aca="false">Parametres!$B$5*C4865</f>
        <v>300</v>
      </c>
      <c r="F4865" s="20" t="n">
        <f aca="false">Parametres!$B$6*D4865</f>
        <v>200</v>
      </c>
      <c r="G4865" s="20" t="n">
        <f aca="false">E4865+F4865</f>
        <v>500</v>
      </c>
      <c r="H4865" s="20" t="n">
        <f aca="false">IF(G4865&lt;Parametres!$B$8*Parametres!$B$7,0,MIN(G4865,Parametres!$B$7))</f>
        <v>250</v>
      </c>
      <c r="I4865" s="20" t="n">
        <f aca="false">G4865-H4865</f>
        <v>250</v>
      </c>
      <c r="J4865" s="21" t="n">
        <f aca="false">H4865*1000/Parametres!$B$9</f>
        <v>4239.44378497541</v>
      </c>
    </row>
    <row r="4866" customFormat="false" ht="15" hidden="false" customHeight="false" outlineLevel="0" collapsed="false">
      <c r="A4866" s="0" t="n">
        <v>4862</v>
      </c>
      <c r="B4866" s="0" t="n">
        <v>7</v>
      </c>
      <c r="C4866" s="19" t="n">
        <v>0.9739</v>
      </c>
      <c r="D4866" s="19" t="n">
        <v>1</v>
      </c>
      <c r="E4866" s="20" t="n">
        <f aca="false">Parametres!$B$5*C4866</f>
        <v>292.17</v>
      </c>
      <c r="F4866" s="20" t="n">
        <f aca="false">Parametres!$B$6*D4866</f>
        <v>200</v>
      </c>
      <c r="G4866" s="20" t="n">
        <f aca="false">E4866+F4866</f>
        <v>492.17</v>
      </c>
      <c r="H4866" s="20" t="n">
        <f aca="false">IF(G4866&lt;Parametres!$B$8*Parametres!$B$7,0,MIN(G4866,Parametres!$B$7))</f>
        <v>250</v>
      </c>
      <c r="I4866" s="20" t="n">
        <f aca="false">G4866-H4866</f>
        <v>242.17</v>
      </c>
      <c r="J4866" s="21" t="n">
        <f aca="false">H4866*1000/Parametres!$B$9</f>
        <v>4239.44378497541</v>
      </c>
    </row>
    <row r="4867" customFormat="false" ht="15" hidden="false" customHeight="false" outlineLevel="0" collapsed="false">
      <c r="A4867" s="0" t="n">
        <v>4863</v>
      </c>
      <c r="B4867" s="0" t="n">
        <v>7</v>
      </c>
      <c r="C4867" s="19" t="n">
        <v>0.7799</v>
      </c>
      <c r="D4867" s="19" t="n">
        <v>1</v>
      </c>
      <c r="E4867" s="20" t="n">
        <f aca="false">Parametres!$B$5*C4867</f>
        <v>233.97</v>
      </c>
      <c r="F4867" s="20" t="n">
        <f aca="false">Parametres!$B$6*D4867</f>
        <v>200</v>
      </c>
      <c r="G4867" s="20" t="n">
        <f aca="false">E4867+F4867</f>
        <v>433.97</v>
      </c>
      <c r="H4867" s="20" t="n">
        <f aca="false">IF(G4867&lt;Parametres!$B$8*Parametres!$B$7,0,MIN(G4867,Parametres!$B$7))</f>
        <v>250</v>
      </c>
      <c r="I4867" s="20" t="n">
        <f aca="false">G4867-H4867</f>
        <v>183.97</v>
      </c>
      <c r="J4867" s="21" t="n">
        <f aca="false">H4867*1000/Parametres!$B$9</f>
        <v>4239.44378497541</v>
      </c>
    </row>
    <row r="4868" customFormat="false" ht="15" hidden="false" customHeight="false" outlineLevel="0" collapsed="false">
      <c r="A4868" s="0" t="n">
        <v>4864</v>
      </c>
      <c r="B4868" s="0" t="n">
        <v>7</v>
      </c>
      <c r="C4868" s="19" t="n">
        <v>0.6905</v>
      </c>
      <c r="D4868" s="19" t="n">
        <v>1</v>
      </c>
      <c r="E4868" s="20" t="n">
        <f aca="false">Parametres!$B$5*C4868</f>
        <v>207.15</v>
      </c>
      <c r="F4868" s="20" t="n">
        <f aca="false">Parametres!$B$6*D4868</f>
        <v>200</v>
      </c>
      <c r="G4868" s="20" t="n">
        <f aca="false">E4868+F4868</f>
        <v>407.15</v>
      </c>
      <c r="H4868" s="20" t="n">
        <f aca="false">IF(G4868&lt;Parametres!$B$8*Parametres!$B$7,0,MIN(G4868,Parametres!$B$7))</f>
        <v>250</v>
      </c>
      <c r="I4868" s="20" t="n">
        <f aca="false">G4868-H4868</f>
        <v>157.15</v>
      </c>
      <c r="J4868" s="21" t="n">
        <f aca="false">H4868*1000/Parametres!$B$9</f>
        <v>4239.44378497541</v>
      </c>
    </row>
    <row r="4869" customFormat="false" ht="15" hidden="false" customHeight="false" outlineLevel="0" collapsed="false">
      <c r="A4869" s="0" t="n">
        <v>4865</v>
      </c>
      <c r="B4869" s="0" t="n">
        <v>7</v>
      </c>
      <c r="C4869" s="19" t="n">
        <v>0.4676</v>
      </c>
      <c r="D4869" s="19" t="n">
        <v>1</v>
      </c>
      <c r="E4869" s="20" t="n">
        <f aca="false">Parametres!$B$5*C4869</f>
        <v>140.28</v>
      </c>
      <c r="F4869" s="20" t="n">
        <f aca="false">Parametres!$B$6*D4869</f>
        <v>200</v>
      </c>
      <c r="G4869" s="20" t="n">
        <f aca="false">E4869+F4869</f>
        <v>340.28</v>
      </c>
      <c r="H4869" s="20" t="n">
        <f aca="false">IF(G4869&lt;Parametres!$B$8*Parametres!$B$7,0,MIN(G4869,Parametres!$B$7))</f>
        <v>250</v>
      </c>
      <c r="I4869" s="20" t="n">
        <f aca="false">G4869-H4869</f>
        <v>90.28</v>
      </c>
      <c r="J4869" s="21" t="n">
        <f aca="false">H4869*1000/Parametres!$B$9</f>
        <v>4239.44378497541</v>
      </c>
    </row>
    <row r="4870" customFormat="false" ht="15" hidden="false" customHeight="false" outlineLevel="0" collapsed="false">
      <c r="A4870" s="0" t="n">
        <v>4866</v>
      </c>
      <c r="B4870" s="0" t="n">
        <v>7</v>
      </c>
      <c r="C4870" s="19" t="n">
        <v>0.2342</v>
      </c>
      <c r="D4870" s="19" t="n">
        <v>1</v>
      </c>
      <c r="E4870" s="20" t="n">
        <f aca="false">Parametres!$B$5*C4870</f>
        <v>70.26</v>
      </c>
      <c r="F4870" s="20" t="n">
        <f aca="false">Parametres!$B$6*D4870</f>
        <v>200</v>
      </c>
      <c r="G4870" s="20" t="n">
        <f aca="false">E4870+F4870</f>
        <v>270.26</v>
      </c>
      <c r="H4870" s="20" t="n">
        <f aca="false">IF(G4870&lt;Parametres!$B$8*Parametres!$B$7,0,MIN(G4870,Parametres!$B$7))</f>
        <v>250</v>
      </c>
      <c r="I4870" s="20" t="n">
        <f aca="false">G4870-H4870</f>
        <v>20.26</v>
      </c>
      <c r="J4870" s="21" t="n">
        <f aca="false">H4870*1000/Parametres!$B$9</f>
        <v>4239.44378497541</v>
      </c>
    </row>
    <row r="4871" customFormat="false" ht="15" hidden="false" customHeight="false" outlineLevel="0" collapsed="false">
      <c r="A4871" s="0" t="n">
        <v>4867</v>
      </c>
      <c r="B4871" s="0" t="n">
        <v>7</v>
      </c>
      <c r="C4871" s="19" t="n">
        <v>0.037</v>
      </c>
      <c r="D4871" s="19" t="n">
        <v>1</v>
      </c>
      <c r="E4871" s="20" t="n">
        <f aca="false">Parametres!$B$5*C4871</f>
        <v>11.1</v>
      </c>
      <c r="F4871" s="20" t="n">
        <f aca="false">Parametres!$B$6*D4871</f>
        <v>200</v>
      </c>
      <c r="G4871" s="20" t="n">
        <f aca="false">E4871+F4871</f>
        <v>211.1</v>
      </c>
      <c r="H4871" s="20" t="n">
        <f aca="false">IF(G4871&lt;Parametres!$B$8*Parametres!$B$7,0,MIN(G4871,Parametres!$B$7))</f>
        <v>211.1</v>
      </c>
      <c r="I4871" s="20" t="n">
        <f aca="false">G4871-H4871</f>
        <v>0</v>
      </c>
      <c r="J4871" s="21" t="n">
        <f aca="false">H4871*1000/Parametres!$B$9</f>
        <v>3579.78633203324</v>
      </c>
    </row>
    <row r="4872" customFormat="false" ht="15" hidden="false" customHeight="false" outlineLevel="0" collapsed="false">
      <c r="A4872" s="0" t="n">
        <v>4868</v>
      </c>
      <c r="B4872" s="0" t="n">
        <v>7</v>
      </c>
      <c r="C4872" s="19" t="n">
        <v>0</v>
      </c>
      <c r="D4872" s="19" t="n">
        <v>0</v>
      </c>
      <c r="E4872" s="20" t="n">
        <f aca="false">Parametres!$B$5*C4872</f>
        <v>0</v>
      </c>
      <c r="F4872" s="20" t="n">
        <f aca="false">Parametres!$B$6*D4872</f>
        <v>0</v>
      </c>
      <c r="G4872" s="20" t="n">
        <f aca="false">E4872+F4872</f>
        <v>0</v>
      </c>
      <c r="H4872" s="20" t="n">
        <f aca="false">IF(G4872&lt;Parametres!$B$8*Parametres!$B$7,0,MIN(G4872,Parametres!$B$7))</f>
        <v>0</v>
      </c>
      <c r="I4872" s="20" t="n">
        <f aca="false">G4872-H4872</f>
        <v>0</v>
      </c>
      <c r="J4872" s="21" t="n">
        <f aca="false">H4872*1000/Parametres!$B$9</f>
        <v>0</v>
      </c>
    </row>
    <row r="4873" customFormat="false" ht="15" hidden="false" customHeight="false" outlineLevel="0" collapsed="false">
      <c r="A4873" s="0" t="n">
        <v>4869</v>
      </c>
      <c r="B4873" s="0" t="n">
        <v>7</v>
      </c>
      <c r="C4873" s="19" t="n">
        <v>0</v>
      </c>
      <c r="D4873" s="19" t="n">
        <v>0</v>
      </c>
      <c r="E4873" s="20" t="n">
        <f aca="false">Parametres!$B$5*C4873</f>
        <v>0</v>
      </c>
      <c r="F4873" s="20" t="n">
        <f aca="false">Parametres!$B$6*D4873</f>
        <v>0</v>
      </c>
      <c r="G4873" s="20" t="n">
        <f aca="false">E4873+F4873</f>
        <v>0</v>
      </c>
      <c r="H4873" s="20" t="n">
        <f aca="false">IF(G4873&lt;Parametres!$B$8*Parametres!$B$7,0,MIN(G4873,Parametres!$B$7))</f>
        <v>0</v>
      </c>
      <c r="I4873" s="20" t="n">
        <f aca="false">G4873-H4873</f>
        <v>0</v>
      </c>
      <c r="J4873" s="21" t="n">
        <f aca="false">H4873*1000/Parametres!$B$9</f>
        <v>0</v>
      </c>
    </row>
    <row r="4874" customFormat="false" ht="15" hidden="false" customHeight="false" outlineLevel="0" collapsed="false">
      <c r="A4874" s="0" t="n">
        <v>4870</v>
      </c>
      <c r="B4874" s="0" t="n">
        <v>7</v>
      </c>
      <c r="C4874" s="19" t="n">
        <v>0</v>
      </c>
      <c r="D4874" s="19" t="n">
        <v>1</v>
      </c>
      <c r="E4874" s="20" t="n">
        <f aca="false">Parametres!$B$5*C4874</f>
        <v>0</v>
      </c>
      <c r="F4874" s="20" t="n">
        <f aca="false">Parametres!$B$6*D4874</f>
        <v>200</v>
      </c>
      <c r="G4874" s="20" t="n">
        <f aca="false">E4874+F4874</f>
        <v>200</v>
      </c>
      <c r="H4874" s="20" t="n">
        <f aca="false">IF(G4874&lt;Parametres!$B$8*Parametres!$B$7,0,MIN(G4874,Parametres!$B$7))</f>
        <v>200</v>
      </c>
      <c r="I4874" s="20" t="n">
        <f aca="false">G4874-H4874</f>
        <v>0</v>
      </c>
      <c r="J4874" s="21" t="n">
        <f aca="false">H4874*1000/Parametres!$B$9</f>
        <v>3391.55502798033</v>
      </c>
    </row>
    <row r="4875" customFormat="false" ht="15" hidden="false" customHeight="false" outlineLevel="0" collapsed="false">
      <c r="A4875" s="0" t="n">
        <v>4871</v>
      </c>
      <c r="B4875" s="0" t="n">
        <v>7</v>
      </c>
      <c r="C4875" s="19" t="n">
        <v>0</v>
      </c>
      <c r="D4875" s="19" t="n">
        <v>1</v>
      </c>
      <c r="E4875" s="20" t="n">
        <f aca="false">Parametres!$B$5*C4875</f>
        <v>0</v>
      </c>
      <c r="F4875" s="20" t="n">
        <f aca="false">Parametres!$B$6*D4875</f>
        <v>200</v>
      </c>
      <c r="G4875" s="20" t="n">
        <f aca="false">E4875+F4875</f>
        <v>200</v>
      </c>
      <c r="H4875" s="20" t="n">
        <f aca="false">IF(G4875&lt;Parametres!$B$8*Parametres!$B$7,0,MIN(G4875,Parametres!$B$7))</f>
        <v>200</v>
      </c>
      <c r="I4875" s="20" t="n">
        <f aca="false">G4875-H4875</f>
        <v>0</v>
      </c>
      <c r="J4875" s="21" t="n">
        <f aca="false">H4875*1000/Parametres!$B$9</f>
        <v>3391.55502798033</v>
      </c>
    </row>
    <row r="4876" customFormat="false" ht="15" hidden="false" customHeight="false" outlineLevel="0" collapsed="false">
      <c r="A4876" s="0" t="n">
        <v>4872</v>
      </c>
      <c r="B4876" s="0" t="n">
        <v>7</v>
      </c>
      <c r="C4876" s="19" t="n">
        <v>0</v>
      </c>
      <c r="D4876" s="19" t="n">
        <v>1</v>
      </c>
      <c r="E4876" s="20" t="n">
        <f aca="false">Parametres!$B$5*C4876</f>
        <v>0</v>
      </c>
      <c r="F4876" s="20" t="n">
        <f aca="false">Parametres!$B$6*D4876</f>
        <v>200</v>
      </c>
      <c r="G4876" s="20" t="n">
        <f aca="false">E4876+F4876</f>
        <v>200</v>
      </c>
      <c r="H4876" s="20" t="n">
        <f aca="false">IF(G4876&lt;Parametres!$B$8*Parametres!$B$7,0,MIN(G4876,Parametres!$B$7))</f>
        <v>200</v>
      </c>
      <c r="I4876" s="20" t="n">
        <f aca="false">G4876-H4876</f>
        <v>0</v>
      </c>
      <c r="J4876" s="21" t="n">
        <f aca="false">H4876*1000/Parametres!$B$9</f>
        <v>3391.55502798033</v>
      </c>
    </row>
    <row r="4877" customFormat="false" ht="15" hidden="false" customHeight="false" outlineLevel="0" collapsed="false">
      <c r="A4877" s="0" t="n">
        <v>4873</v>
      </c>
      <c r="B4877" s="0" t="n">
        <v>7</v>
      </c>
      <c r="C4877" s="19" t="n">
        <v>0</v>
      </c>
      <c r="D4877" s="19" t="n">
        <v>1</v>
      </c>
      <c r="E4877" s="20" t="n">
        <f aca="false">Parametres!$B$5*C4877</f>
        <v>0</v>
      </c>
      <c r="F4877" s="20" t="n">
        <f aca="false">Parametres!$B$6*D4877</f>
        <v>200</v>
      </c>
      <c r="G4877" s="20" t="n">
        <f aca="false">E4877+F4877</f>
        <v>200</v>
      </c>
      <c r="H4877" s="20" t="n">
        <f aca="false">IF(G4877&lt;Parametres!$B$8*Parametres!$B$7,0,MIN(G4877,Parametres!$B$7))</f>
        <v>200</v>
      </c>
      <c r="I4877" s="20" t="n">
        <f aca="false">G4877-H4877</f>
        <v>0</v>
      </c>
      <c r="J4877" s="21" t="n">
        <f aca="false">H4877*1000/Parametres!$B$9</f>
        <v>3391.55502798033</v>
      </c>
    </row>
    <row r="4878" customFormat="false" ht="15" hidden="false" customHeight="false" outlineLevel="0" collapsed="false">
      <c r="A4878" s="0" t="n">
        <v>4874</v>
      </c>
      <c r="B4878" s="0" t="n">
        <v>7</v>
      </c>
      <c r="C4878" s="19" t="n">
        <v>0</v>
      </c>
      <c r="D4878" s="19" t="n">
        <v>1</v>
      </c>
      <c r="E4878" s="20" t="n">
        <f aca="false">Parametres!$B$5*C4878</f>
        <v>0</v>
      </c>
      <c r="F4878" s="20" t="n">
        <f aca="false">Parametres!$B$6*D4878</f>
        <v>200</v>
      </c>
      <c r="G4878" s="20" t="n">
        <f aca="false">E4878+F4878</f>
        <v>200</v>
      </c>
      <c r="H4878" s="20" t="n">
        <f aca="false">IF(G4878&lt;Parametres!$B$8*Parametres!$B$7,0,MIN(G4878,Parametres!$B$7))</f>
        <v>200</v>
      </c>
      <c r="I4878" s="20" t="n">
        <f aca="false">G4878-H4878</f>
        <v>0</v>
      </c>
      <c r="J4878" s="21" t="n">
        <f aca="false">H4878*1000/Parametres!$B$9</f>
        <v>3391.55502798033</v>
      </c>
    </row>
    <row r="4879" customFormat="false" ht="15" hidden="false" customHeight="false" outlineLevel="0" collapsed="false">
      <c r="A4879" s="0" t="n">
        <v>4875</v>
      </c>
      <c r="B4879" s="0" t="n">
        <v>7</v>
      </c>
      <c r="C4879" s="19" t="n">
        <v>0</v>
      </c>
      <c r="D4879" s="19" t="n">
        <v>1</v>
      </c>
      <c r="E4879" s="20" t="n">
        <f aca="false">Parametres!$B$5*C4879</f>
        <v>0</v>
      </c>
      <c r="F4879" s="20" t="n">
        <f aca="false">Parametres!$B$6*D4879</f>
        <v>200</v>
      </c>
      <c r="G4879" s="20" t="n">
        <f aca="false">E4879+F4879</f>
        <v>200</v>
      </c>
      <c r="H4879" s="20" t="n">
        <f aca="false">IF(G4879&lt;Parametres!$B$8*Parametres!$B$7,0,MIN(G4879,Parametres!$B$7))</f>
        <v>200</v>
      </c>
      <c r="I4879" s="20" t="n">
        <f aca="false">G4879-H4879</f>
        <v>0</v>
      </c>
      <c r="J4879" s="21" t="n">
        <f aca="false">H4879*1000/Parametres!$B$9</f>
        <v>3391.55502798033</v>
      </c>
    </row>
    <row r="4880" customFormat="false" ht="15" hidden="false" customHeight="false" outlineLevel="0" collapsed="false">
      <c r="A4880" s="0" t="n">
        <v>4876</v>
      </c>
      <c r="B4880" s="0" t="n">
        <v>7</v>
      </c>
      <c r="C4880" s="19" t="n">
        <v>0</v>
      </c>
      <c r="D4880" s="19" t="n">
        <v>1</v>
      </c>
      <c r="E4880" s="20" t="n">
        <f aca="false">Parametres!$B$5*C4880</f>
        <v>0</v>
      </c>
      <c r="F4880" s="20" t="n">
        <f aca="false">Parametres!$B$6*D4880</f>
        <v>200</v>
      </c>
      <c r="G4880" s="20" t="n">
        <f aca="false">E4880+F4880</f>
        <v>200</v>
      </c>
      <c r="H4880" s="20" t="n">
        <f aca="false">IF(G4880&lt;Parametres!$B$8*Parametres!$B$7,0,MIN(G4880,Parametres!$B$7))</f>
        <v>200</v>
      </c>
      <c r="I4880" s="20" t="n">
        <f aca="false">G4880-H4880</f>
        <v>0</v>
      </c>
      <c r="J4880" s="21" t="n">
        <f aca="false">H4880*1000/Parametres!$B$9</f>
        <v>3391.55502798033</v>
      </c>
    </row>
    <row r="4881" customFormat="false" ht="15" hidden="false" customHeight="false" outlineLevel="0" collapsed="false">
      <c r="A4881" s="0" t="n">
        <v>4877</v>
      </c>
      <c r="B4881" s="0" t="n">
        <v>7</v>
      </c>
      <c r="C4881" s="19" t="n">
        <v>0</v>
      </c>
      <c r="D4881" s="19" t="n">
        <v>1</v>
      </c>
      <c r="E4881" s="20" t="n">
        <f aca="false">Parametres!$B$5*C4881</f>
        <v>0</v>
      </c>
      <c r="F4881" s="20" t="n">
        <f aca="false">Parametres!$B$6*D4881</f>
        <v>200</v>
      </c>
      <c r="G4881" s="20" t="n">
        <f aca="false">E4881+F4881</f>
        <v>200</v>
      </c>
      <c r="H4881" s="20" t="n">
        <f aca="false">IF(G4881&lt;Parametres!$B$8*Parametres!$B$7,0,MIN(G4881,Parametres!$B$7))</f>
        <v>200</v>
      </c>
      <c r="I4881" s="20" t="n">
        <f aca="false">G4881-H4881</f>
        <v>0</v>
      </c>
      <c r="J4881" s="21" t="n">
        <f aca="false">H4881*1000/Parametres!$B$9</f>
        <v>3391.55502798033</v>
      </c>
    </row>
    <row r="4882" customFormat="false" ht="15" hidden="false" customHeight="false" outlineLevel="0" collapsed="false">
      <c r="A4882" s="0" t="n">
        <v>4878</v>
      </c>
      <c r="B4882" s="0" t="n">
        <v>7</v>
      </c>
      <c r="C4882" s="19" t="n">
        <v>0.0438</v>
      </c>
      <c r="D4882" s="19" t="n">
        <v>1</v>
      </c>
      <c r="E4882" s="20" t="n">
        <f aca="false">Parametres!$B$5*C4882</f>
        <v>13.14</v>
      </c>
      <c r="F4882" s="20" t="n">
        <f aca="false">Parametres!$B$6*D4882</f>
        <v>200</v>
      </c>
      <c r="G4882" s="20" t="n">
        <f aca="false">E4882+F4882</f>
        <v>213.14</v>
      </c>
      <c r="H4882" s="20" t="n">
        <f aca="false">IF(G4882&lt;Parametres!$B$8*Parametres!$B$7,0,MIN(G4882,Parametres!$B$7))</f>
        <v>213.14</v>
      </c>
      <c r="I4882" s="20" t="n">
        <f aca="false">G4882-H4882</f>
        <v>0</v>
      </c>
      <c r="J4882" s="21" t="n">
        <f aca="false">H4882*1000/Parametres!$B$9</f>
        <v>3614.38019331864</v>
      </c>
    </row>
    <row r="4883" customFormat="false" ht="15" hidden="false" customHeight="false" outlineLevel="0" collapsed="false">
      <c r="A4883" s="0" t="n">
        <v>4879</v>
      </c>
      <c r="B4883" s="0" t="n">
        <v>7</v>
      </c>
      <c r="C4883" s="19" t="n">
        <v>0.2989</v>
      </c>
      <c r="D4883" s="19" t="n">
        <v>1</v>
      </c>
      <c r="E4883" s="20" t="n">
        <f aca="false">Parametres!$B$5*C4883</f>
        <v>89.67</v>
      </c>
      <c r="F4883" s="20" t="n">
        <f aca="false">Parametres!$B$6*D4883</f>
        <v>200</v>
      </c>
      <c r="G4883" s="20" t="n">
        <f aca="false">E4883+F4883</f>
        <v>289.67</v>
      </c>
      <c r="H4883" s="20" t="n">
        <f aca="false">IF(G4883&lt;Parametres!$B$8*Parametres!$B$7,0,MIN(G4883,Parametres!$B$7))</f>
        <v>250</v>
      </c>
      <c r="I4883" s="20" t="n">
        <f aca="false">G4883-H4883</f>
        <v>39.67</v>
      </c>
      <c r="J4883" s="21" t="n">
        <f aca="false">H4883*1000/Parametres!$B$9</f>
        <v>4239.44378497541</v>
      </c>
    </row>
    <row r="4884" customFormat="false" ht="15" hidden="false" customHeight="false" outlineLevel="0" collapsed="false">
      <c r="A4884" s="0" t="n">
        <v>4880</v>
      </c>
      <c r="B4884" s="0" t="n">
        <v>7</v>
      </c>
      <c r="C4884" s="19" t="n">
        <v>0.602</v>
      </c>
      <c r="D4884" s="19" t="n">
        <v>1</v>
      </c>
      <c r="E4884" s="20" t="n">
        <f aca="false">Parametres!$B$5*C4884</f>
        <v>180.6</v>
      </c>
      <c r="F4884" s="20" t="n">
        <f aca="false">Parametres!$B$6*D4884</f>
        <v>200</v>
      </c>
      <c r="G4884" s="20" t="n">
        <f aca="false">E4884+F4884</f>
        <v>380.6</v>
      </c>
      <c r="H4884" s="20" t="n">
        <f aca="false">IF(G4884&lt;Parametres!$B$8*Parametres!$B$7,0,MIN(G4884,Parametres!$B$7))</f>
        <v>250</v>
      </c>
      <c r="I4884" s="20" t="n">
        <f aca="false">G4884-H4884</f>
        <v>130.6</v>
      </c>
      <c r="J4884" s="21" t="n">
        <f aca="false">H4884*1000/Parametres!$B$9</f>
        <v>4239.44378497541</v>
      </c>
    </row>
    <row r="4885" customFormat="false" ht="15" hidden="false" customHeight="false" outlineLevel="0" collapsed="false">
      <c r="A4885" s="0" t="n">
        <v>4881</v>
      </c>
      <c r="B4885" s="0" t="n">
        <v>7</v>
      </c>
      <c r="C4885" s="19" t="n">
        <v>0.8337</v>
      </c>
      <c r="D4885" s="19" t="n">
        <v>1</v>
      </c>
      <c r="E4885" s="20" t="n">
        <f aca="false">Parametres!$B$5*C4885</f>
        <v>250.11</v>
      </c>
      <c r="F4885" s="20" t="n">
        <f aca="false">Parametres!$B$6*D4885</f>
        <v>200</v>
      </c>
      <c r="G4885" s="20" t="n">
        <f aca="false">E4885+F4885</f>
        <v>450.11</v>
      </c>
      <c r="H4885" s="20" t="n">
        <f aca="false">IF(G4885&lt;Parametres!$B$8*Parametres!$B$7,0,MIN(G4885,Parametres!$B$7))</f>
        <v>250</v>
      </c>
      <c r="I4885" s="20" t="n">
        <f aca="false">G4885-H4885</f>
        <v>200.11</v>
      </c>
      <c r="J4885" s="21" t="n">
        <f aca="false">H4885*1000/Parametres!$B$9</f>
        <v>4239.44378497541</v>
      </c>
    </row>
    <row r="4886" customFormat="false" ht="15" hidden="false" customHeight="false" outlineLevel="0" collapsed="false">
      <c r="A4886" s="0" t="n">
        <v>4882</v>
      </c>
      <c r="B4886" s="0" t="n">
        <v>7</v>
      </c>
      <c r="C4886" s="19" t="n">
        <v>0.98</v>
      </c>
      <c r="D4886" s="19" t="n">
        <v>1</v>
      </c>
      <c r="E4886" s="20" t="n">
        <f aca="false">Parametres!$B$5*C4886</f>
        <v>294</v>
      </c>
      <c r="F4886" s="20" t="n">
        <f aca="false">Parametres!$B$6*D4886</f>
        <v>200</v>
      </c>
      <c r="G4886" s="20" t="n">
        <f aca="false">E4886+F4886</f>
        <v>494</v>
      </c>
      <c r="H4886" s="20" t="n">
        <f aca="false">IF(G4886&lt;Parametres!$B$8*Parametres!$B$7,0,MIN(G4886,Parametres!$B$7))</f>
        <v>250</v>
      </c>
      <c r="I4886" s="20" t="n">
        <f aca="false">G4886-H4886</f>
        <v>244</v>
      </c>
      <c r="J4886" s="21" t="n">
        <f aca="false">H4886*1000/Parametres!$B$9</f>
        <v>4239.44378497541</v>
      </c>
    </row>
    <row r="4887" customFormat="false" ht="15" hidden="false" customHeight="false" outlineLevel="0" collapsed="false">
      <c r="A4887" s="0" t="n">
        <v>4883</v>
      </c>
      <c r="B4887" s="0" t="n">
        <v>7</v>
      </c>
      <c r="C4887" s="19" t="n">
        <v>1</v>
      </c>
      <c r="D4887" s="19" t="n">
        <v>1</v>
      </c>
      <c r="E4887" s="20" t="n">
        <f aca="false">Parametres!$B$5*C4887</f>
        <v>300</v>
      </c>
      <c r="F4887" s="20" t="n">
        <f aca="false">Parametres!$B$6*D4887</f>
        <v>200</v>
      </c>
      <c r="G4887" s="20" t="n">
        <f aca="false">E4887+F4887</f>
        <v>500</v>
      </c>
      <c r="H4887" s="20" t="n">
        <f aca="false">IF(G4887&lt;Parametres!$B$8*Parametres!$B$7,0,MIN(G4887,Parametres!$B$7))</f>
        <v>250</v>
      </c>
      <c r="I4887" s="20" t="n">
        <f aca="false">G4887-H4887</f>
        <v>250</v>
      </c>
      <c r="J4887" s="21" t="n">
        <f aca="false">H4887*1000/Parametres!$B$9</f>
        <v>4239.44378497541</v>
      </c>
    </row>
    <row r="4888" customFormat="false" ht="15" hidden="false" customHeight="false" outlineLevel="0" collapsed="false">
      <c r="A4888" s="0" t="n">
        <v>4884</v>
      </c>
      <c r="B4888" s="0" t="n">
        <v>7</v>
      </c>
      <c r="C4888" s="19" t="n">
        <v>1</v>
      </c>
      <c r="D4888" s="19" t="n">
        <v>0</v>
      </c>
      <c r="E4888" s="20" t="n">
        <f aca="false">Parametres!$B$5*C4888</f>
        <v>300</v>
      </c>
      <c r="F4888" s="20" t="n">
        <f aca="false">Parametres!$B$6*D4888</f>
        <v>0</v>
      </c>
      <c r="G4888" s="20" t="n">
        <f aca="false">E4888+F4888</f>
        <v>300</v>
      </c>
      <c r="H4888" s="20" t="n">
        <f aca="false">IF(G4888&lt;Parametres!$B$8*Parametres!$B$7,0,MIN(G4888,Parametres!$B$7))</f>
        <v>250</v>
      </c>
      <c r="I4888" s="20" t="n">
        <f aca="false">G4888-H4888</f>
        <v>50</v>
      </c>
      <c r="J4888" s="21" t="n">
        <f aca="false">H4888*1000/Parametres!$B$9</f>
        <v>4239.44378497541</v>
      </c>
    </row>
    <row r="4889" customFormat="false" ht="15" hidden="false" customHeight="false" outlineLevel="0" collapsed="false">
      <c r="A4889" s="0" t="n">
        <v>4885</v>
      </c>
      <c r="B4889" s="0" t="n">
        <v>7</v>
      </c>
      <c r="C4889" s="19" t="n">
        <v>1</v>
      </c>
      <c r="D4889" s="19" t="n">
        <v>0</v>
      </c>
      <c r="E4889" s="20" t="n">
        <f aca="false">Parametres!$B$5*C4889</f>
        <v>300</v>
      </c>
      <c r="F4889" s="20" t="n">
        <f aca="false">Parametres!$B$6*D4889</f>
        <v>0</v>
      </c>
      <c r="G4889" s="20" t="n">
        <f aca="false">E4889+F4889</f>
        <v>300</v>
      </c>
      <c r="H4889" s="20" t="n">
        <f aca="false">IF(G4889&lt;Parametres!$B$8*Parametres!$B$7,0,MIN(G4889,Parametres!$B$7))</f>
        <v>250</v>
      </c>
      <c r="I4889" s="20" t="n">
        <f aca="false">G4889-H4889</f>
        <v>50</v>
      </c>
      <c r="J4889" s="21" t="n">
        <f aca="false">H4889*1000/Parametres!$B$9</f>
        <v>4239.44378497541</v>
      </c>
    </row>
    <row r="4890" customFormat="false" ht="15" hidden="false" customHeight="false" outlineLevel="0" collapsed="false">
      <c r="A4890" s="0" t="n">
        <v>4886</v>
      </c>
      <c r="B4890" s="0" t="n">
        <v>7</v>
      </c>
      <c r="C4890" s="19" t="n">
        <v>1</v>
      </c>
      <c r="D4890" s="19" t="n">
        <v>0</v>
      </c>
      <c r="E4890" s="20" t="n">
        <f aca="false">Parametres!$B$5*C4890</f>
        <v>300</v>
      </c>
      <c r="F4890" s="20" t="n">
        <f aca="false">Parametres!$B$6*D4890</f>
        <v>0</v>
      </c>
      <c r="G4890" s="20" t="n">
        <f aca="false">E4890+F4890</f>
        <v>300</v>
      </c>
      <c r="H4890" s="20" t="n">
        <f aca="false">IF(G4890&lt;Parametres!$B$8*Parametres!$B$7,0,MIN(G4890,Parametres!$B$7))</f>
        <v>250</v>
      </c>
      <c r="I4890" s="20" t="n">
        <f aca="false">G4890-H4890</f>
        <v>50</v>
      </c>
      <c r="J4890" s="21" t="n">
        <f aca="false">H4890*1000/Parametres!$B$9</f>
        <v>4239.44378497541</v>
      </c>
    </row>
    <row r="4891" customFormat="false" ht="15" hidden="false" customHeight="false" outlineLevel="0" collapsed="false">
      <c r="A4891" s="0" t="n">
        <v>4887</v>
      </c>
      <c r="B4891" s="0" t="n">
        <v>7</v>
      </c>
      <c r="C4891" s="19" t="n">
        <v>1</v>
      </c>
      <c r="D4891" s="19" t="n">
        <v>0</v>
      </c>
      <c r="E4891" s="20" t="n">
        <f aca="false">Parametres!$B$5*C4891</f>
        <v>300</v>
      </c>
      <c r="F4891" s="20" t="n">
        <f aca="false">Parametres!$B$6*D4891</f>
        <v>0</v>
      </c>
      <c r="G4891" s="20" t="n">
        <f aca="false">E4891+F4891</f>
        <v>300</v>
      </c>
      <c r="H4891" s="20" t="n">
        <f aca="false">IF(G4891&lt;Parametres!$B$8*Parametres!$B$7,0,MIN(G4891,Parametres!$B$7))</f>
        <v>250</v>
      </c>
      <c r="I4891" s="20" t="n">
        <f aca="false">G4891-H4891</f>
        <v>50</v>
      </c>
      <c r="J4891" s="21" t="n">
        <f aca="false">H4891*1000/Parametres!$B$9</f>
        <v>4239.44378497541</v>
      </c>
    </row>
    <row r="4892" customFormat="false" ht="15" hidden="false" customHeight="false" outlineLevel="0" collapsed="false">
      <c r="A4892" s="0" t="n">
        <v>4888</v>
      </c>
      <c r="B4892" s="0" t="n">
        <v>7</v>
      </c>
      <c r="C4892" s="19" t="n">
        <v>0.8178</v>
      </c>
      <c r="D4892" s="19" t="n">
        <v>0</v>
      </c>
      <c r="E4892" s="20" t="n">
        <f aca="false">Parametres!$B$5*C4892</f>
        <v>245.34</v>
      </c>
      <c r="F4892" s="20" t="n">
        <f aca="false">Parametres!$B$6*D4892</f>
        <v>0</v>
      </c>
      <c r="G4892" s="20" t="n">
        <f aca="false">E4892+F4892</f>
        <v>245.34</v>
      </c>
      <c r="H4892" s="20" t="n">
        <f aca="false">IF(G4892&lt;Parametres!$B$8*Parametres!$B$7,0,MIN(G4892,Parametres!$B$7))</f>
        <v>245.34</v>
      </c>
      <c r="I4892" s="20" t="n">
        <f aca="false">G4892-H4892</f>
        <v>0</v>
      </c>
      <c r="J4892" s="21" t="n">
        <f aca="false">H4892*1000/Parametres!$B$9</f>
        <v>4160.42055282347</v>
      </c>
    </row>
    <row r="4893" customFormat="false" ht="15" hidden="false" customHeight="false" outlineLevel="0" collapsed="false">
      <c r="A4893" s="0" t="n">
        <v>4889</v>
      </c>
      <c r="B4893" s="0" t="n">
        <v>7</v>
      </c>
      <c r="C4893" s="19" t="n">
        <v>0.6142</v>
      </c>
      <c r="D4893" s="19" t="n">
        <v>1</v>
      </c>
      <c r="E4893" s="20" t="n">
        <f aca="false">Parametres!$B$5*C4893</f>
        <v>184.26</v>
      </c>
      <c r="F4893" s="20" t="n">
        <f aca="false">Parametres!$B$6*D4893</f>
        <v>200</v>
      </c>
      <c r="G4893" s="20" t="n">
        <f aca="false">E4893+F4893</f>
        <v>384.26</v>
      </c>
      <c r="H4893" s="20" t="n">
        <f aca="false">IF(G4893&lt;Parametres!$B$8*Parametres!$B$7,0,MIN(G4893,Parametres!$B$7))</f>
        <v>250</v>
      </c>
      <c r="I4893" s="20" t="n">
        <f aca="false">G4893-H4893</f>
        <v>134.26</v>
      </c>
      <c r="J4893" s="21" t="n">
        <f aca="false">H4893*1000/Parametres!$B$9</f>
        <v>4239.44378497541</v>
      </c>
    </row>
    <row r="4894" customFormat="false" ht="15" hidden="false" customHeight="false" outlineLevel="0" collapsed="false">
      <c r="A4894" s="0" t="n">
        <v>4890</v>
      </c>
      <c r="B4894" s="0" t="n">
        <v>7</v>
      </c>
      <c r="C4894" s="19" t="n">
        <v>0.2822</v>
      </c>
      <c r="D4894" s="19" t="n">
        <v>0</v>
      </c>
      <c r="E4894" s="20" t="n">
        <f aca="false">Parametres!$B$5*C4894</f>
        <v>84.66</v>
      </c>
      <c r="F4894" s="20" t="n">
        <f aca="false">Parametres!$B$6*D4894</f>
        <v>0</v>
      </c>
      <c r="G4894" s="20" t="n">
        <f aca="false">E4894+F4894</f>
        <v>84.66</v>
      </c>
      <c r="H4894" s="20" t="n">
        <f aca="false">IF(G4894&lt;Parametres!$B$8*Parametres!$B$7,0,MIN(G4894,Parametres!$B$7))</f>
        <v>84.66</v>
      </c>
      <c r="I4894" s="20" t="n">
        <f aca="false">G4894-H4894</f>
        <v>0</v>
      </c>
      <c r="J4894" s="21" t="n">
        <f aca="false">H4894*1000/Parametres!$B$9</f>
        <v>1435.64524334407</v>
      </c>
    </row>
    <row r="4895" customFormat="false" ht="15" hidden="false" customHeight="false" outlineLevel="0" collapsed="false">
      <c r="A4895" s="0" t="n">
        <v>4891</v>
      </c>
      <c r="B4895" s="0" t="n">
        <v>7</v>
      </c>
      <c r="C4895" s="19" t="n">
        <v>0.0445</v>
      </c>
      <c r="D4895" s="19" t="n">
        <v>1</v>
      </c>
      <c r="E4895" s="20" t="n">
        <f aca="false">Parametres!$B$5*C4895</f>
        <v>13.35</v>
      </c>
      <c r="F4895" s="20" t="n">
        <f aca="false">Parametres!$B$6*D4895</f>
        <v>200</v>
      </c>
      <c r="G4895" s="20" t="n">
        <f aca="false">E4895+F4895</f>
        <v>213.35</v>
      </c>
      <c r="H4895" s="20" t="n">
        <f aca="false">IF(G4895&lt;Parametres!$B$8*Parametres!$B$7,0,MIN(G4895,Parametres!$B$7))</f>
        <v>213.35</v>
      </c>
      <c r="I4895" s="20" t="n">
        <f aca="false">G4895-H4895</f>
        <v>0</v>
      </c>
      <c r="J4895" s="21" t="n">
        <f aca="false">H4895*1000/Parametres!$B$9</f>
        <v>3617.94132609802</v>
      </c>
    </row>
    <row r="4896" customFormat="false" ht="15" hidden="false" customHeight="false" outlineLevel="0" collapsed="false">
      <c r="A4896" s="0" t="n">
        <v>4892</v>
      </c>
      <c r="B4896" s="0" t="n">
        <v>7</v>
      </c>
      <c r="C4896" s="19" t="n">
        <v>0</v>
      </c>
      <c r="D4896" s="19" t="n">
        <v>1</v>
      </c>
      <c r="E4896" s="20" t="n">
        <f aca="false">Parametres!$B$5*C4896</f>
        <v>0</v>
      </c>
      <c r="F4896" s="20" t="n">
        <f aca="false">Parametres!$B$6*D4896</f>
        <v>200</v>
      </c>
      <c r="G4896" s="20" t="n">
        <f aca="false">E4896+F4896</f>
        <v>200</v>
      </c>
      <c r="H4896" s="20" t="n">
        <f aca="false">IF(G4896&lt;Parametres!$B$8*Parametres!$B$7,0,MIN(G4896,Parametres!$B$7))</f>
        <v>200</v>
      </c>
      <c r="I4896" s="20" t="n">
        <f aca="false">G4896-H4896</f>
        <v>0</v>
      </c>
      <c r="J4896" s="21" t="n">
        <f aca="false">H4896*1000/Parametres!$B$9</f>
        <v>3391.55502798033</v>
      </c>
    </row>
    <row r="4897" customFormat="false" ht="15" hidden="false" customHeight="false" outlineLevel="0" collapsed="false">
      <c r="A4897" s="0" t="n">
        <v>4893</v>
      </c>
      <c r="B4897" s="0" t="n">
        <v>7</v>
      </c>
      <c r="C4897" s="19" t="n">
        <v>0</v>
      </c>
      <c r="D4897" s="19" t="n">
        <v>1</v>
      </c>
      <c r="E4897" s="20" t="n">
        <f aca="false">Parametres!$B$5*C4897</f>
        <v>0</v>
      </c>
      <c r="F4897" s="20" t="n">
        <f aca="false">Parametres!$B$6*D4897</f>
        <v>200</v>
      </c>
      <c r="G4897" s="20" t="n">
        <f aca="false">E4897+F4897</f>
        <v>200</v>
      </c>
      <c r="H4897" s="20" t="n">
        <f aca="false">IF(G4897&lt;Parametres!$B$8*Parametres!$B$7,0,MIN(G4897,Parametres!$B$7))</f>
        <v>200</v>
      </c>
      <c r="I4897" s="20" t="n">
        <f aca="false">G4897-H4897</f>
        <v>0</v>
      </c>
      <c r="J4897" s="21" t="n">
        <f aca="false">H4897*1000/Parametres!$B$9</f>
        <v>3391.55502798033</v>
      </c>
    </row>
    <row r="4898" customFormat="false" ht="15" hidden="false" customHeight="false" outlineLevel="0" collapsed="false">
      <c r="A4898" s="0" t="n">
        <v>4894</v>
      </c>
      <c r="B4898" s="0" t="n">
        <v>7</v>
      </c>
      <c r="C4898" s="19" t="n">
        <v>0</v>
      </c>
      <c r="D4898" s="19" t="n">
        <v>1</v>
      </c>
      <c r="E4898" s="20" t="n">
        <f aca="false">Parametres!$B$5*C4898</f>
        <v>0</v>
      </c>
      <c r="F4898" s="20" t="n">
        <f aca="false">Parametres!$B$6*D4898</f>
        <v>200</v>
      </c>
      <c r="G4898" s="20" t="n">
        <f aca="false">E4898+F4898</f>
        <v>200</v>
      </c>
      <c r="H4898" s="20" t="n">
        <f aca="false">IF(G4898&lt;Parametres!$B$8*Parametres!$B$7,0,MIN(G4898,Parametres!$B$7))</f>
        <v>200</v>
      </c>
      <c r="I4898" s="20" t="n">
        <f aca="false">G4898-H4898</f>
        <v>0</v>
      </c>
      <c r="J4898" s="21" t="n">
        <f aca="false">H4898*1000/Parametres!$B$9</f>
        <v>3391.55502798033</v>
      </c>
    </row>
    <row r="4899" customFormat="false" ht="15" hidden="false" customHeight="false" outlineLevel="0" collapsed="false">
      <c r="A4899" s="0" t="n">
        <v>4895</v>
      </c>
      <c r="B4899" s="0" t="n">
        <v>7</v>
      </c>
      <c r="C4899" s="19" t="n">
        <v>0</v>
      </c>
      <c r="D4899" s="19" t="n">
        <v>1</v>
      </c>
      <c r="E4899" s="20" t="n">
        <f aca="false">Parametres!$B$5*C4899</f>
        <v>0</v>
      </c>
      <c r="F4899" s="20" t="n">
        <f aca="false">Parametres!$B$6*D4899</f>
        <v>200</v>
      </c>
      <c r="G4899" s="20" t="n">
        <f aca="false">E4899+F4899</f>
        <v>200</v>
      </c>
      <c r="H4899" s="20" t="n">
        <f aca="false">IF(G4899&lt;Parametres!$B$8*Parametres!$B$7,0,MIN(G4899,Parametres!$B$7))</f>
        <v>200</v>
      </c>
      <c r="I4899" s="20" t="n">
        <f aca="false">G4899-H4899</f>
        <v>0</v>
      </c>
      <c r="J4899" s="21" t="n">
        <f aca="false">H4899*1000/Parametres!$B$9</f>
        <v>3391.55502798033</v>
      </c>
    </row>
    <row r="4900" customFormat="false" ht="15" hidden="false" customHeight="false" outlineLevel="0" collapsed="false">
      <c r="A4900" s="0" t="n">
        <v>4896</v>
      </c>
      <c r="B4900" s="0" t="n">
        <v>7</v>
      </c>
      <c r="C4900" s="19" t="n">
        <v>0</v>
      </c>
      <c r="D4900" s="19" t="n">
        <v>1</v>
      </c>
      <c r="E4900" s="20" t="n">
        <f aca="false">Parametres!$B$5*C4900</f>
        <v>0</v>
      </c>
      <c r="F4900" s="20" t="n">
        <f aca="false">Parametres!$B$6*D4900</f>
        <v>200</v>
      </c>
      <c r="G4900" s="20" t="n">
        <f aca="false">E4900+F4900</f>
        <v>200</v>
      </c>
      <c r="H4900" s="20" t="n">
        <f aca="false">IF(G4900&lt;Parametres!$B$8*Parametres!$B$7,0,MIN(G4900,Parametres!$B$7))</f>
        <v>200</v>
      </c>
      <c r="I4900" s="20" t="n">
        <f aca="false">G4900-H4900</f>
        <v>0</v>
      </c>
      <c r="J4900" s="21" t="n">
        <f aca="false">H4900*1000/Parametres!$B$9</f>
        <v>3391.55502798033</v>
      </c>
    </row>
    <row r="4901" customFormat="false" ht="15" hidden="false" customHeight="false" outlineLevel="0" collapsed="false">
      <c r="A4901" s="0" t="n">
        <v>4897</v>
      </c>
      <c r="B4901" s="0" t="n">
        <v>7</v>
      </c>
      <c r="C4901" s="19" t="n">
        <v>0</v>
      </c>
      <c r="D4901" s="19" t="n">
        <v>1</v>
      </c>
      <c r="E4901" s="20" t="n">
        <f aca="false">Parametres!$B$5*C4901</f>
        <v>0</v>
      </c>
      <c r="F4901" s="20" t="n">
        <f aca="false">Parametres!$B$6*D4901</f>
        <v>200</v>
      </c>
      <c r="G4901" s="20" t="n">
        <f aca="false">E4901+F4901</f>
        <v>200</v>
      </c>
      <c r="H4901" s="20" t="n">
        <f aca="false">IF(G4901&lt;Parametres!$B$8*Parametres!$B$7,0,MIN(G4901,Parametres!$B$7))</f>
        <v>200</v>
      </c>
      <c r="I4901" s="20" t="n">
        <f aca="false">G4901-H4901</f>
        <v>0</v>
      </c>
      <c r="J4901" s="21" t="n">
        <f aca="false">H4901*1000/Parametres!$B$9</f>
        <v>3391.55502798033</v>
      </c>
    </row>
    <row r="4902" customFormat="false" ht="15" hidden="false" customHeight="false" outlineLevel="0" collapsed="false">
      <c r="A4902" s="0" t="n">
        <v>4898</v>
      </c>
      <c r="B4902" s="0" t="n">
        <v>7</v>
      </c>
      <c r="C4902" s="19" t="n">
        <v>0</v>
      </c>
      <c r="D4902" s="19" t="n">
        <v>1</v>
      </c>
      <c r="E4902" s="20" t="n">
        <f aca="false">Parametres!$B$5*C4902</f>
        <v>0</v>
      </c>
      <c r="F4902" s="20" t="n">
        <f aca="false">Parametres!$B$6*D4902</f>
        <v>200</v>
      </c>
      <c r="G4902" s="20" t="n">
        <f aca="false">E4902+F4902</f>
        <v>200</v>
      </c>
      <c r="H4902" s="20" t="n">
        <f aca="false">IF(G4902&lt;Parametres!$B$8*Parametres!$B$7,0,MIN(G4902,Parametres!$B$7))</f>
        <v>200</v>
      </c>
      <c r="I4902" s="20" t="n">
        <f aca="false">G4902-H4902</f>
        <v>0</v>
      </c>
      <c r="J4902" s="21" t="n">
        <f aca="false">H4902*1000/Parametres!$B$9</f>
        <v>3391.55502798033</v>
      </c>
    </row>
    <row r="4903" customFormat="false" ht="15" hidden="false" customHeight="false" outlineLevel="0" collapsed="false">
      <c r="A4903" s="0" t="n">
        <v>4899</v>
      </c>
      <c r="B4903" s="0" t="n">
        <v>7</v>
      </c>
      <c r="C4903" s="19" t="n">
        <v>0</v>
      </c>
      <c r="D4903" s="19" t="n">
        <v>1</v>
      </c>
      <c r="E4903" s="20" t="n">
        <f aca="false">Parametres!$B$5*C4903</f>
        <v>0</v>
      </c>
      <c r="F4903" s="20" t="n">
        <f aca="false">Parametres!$B$6*D4903</f>
        <v>200</v>
      </c>
      <c r="G4903" s="20" t="n">
        <f aca="false">E4903+F4903</f>
        <v>200</v>
      </c>
      <c r="H4903" s="20" t="n">
        <f aca="false">IF(G4903&lt;Parametres!$B$8*Parametres!$B$7,0,MIN(G4903,Parametres!$B$7))</f>
        <v>200</v>
      </c>
      <c r="I4903" s="20" t="n">
        <f aca="false">G4903-H4903</f>
        <v>0</v>
      </c>
      <c r="J4903" s="21" t="n">
        <f aca="false">H4903*1000/Parametres!$B$9</f>
        <v>3391.55502798033</v>
      </c>
    </row>
    <row r="4904" customFormat="false" ht="15" hidden="false" customHeight="false" outlineLevel="0" collapsed="false">
      <c r="A4904" s="0" t="n">
        <v>4900</v>
      </c>
      <c r="B4904" s="0" t="n">
        <v>7</v>
      </c>
      <c r="C4904" s="19" t="n">
        <v>0</v>
      </c>
      <c r="D4904" s="19" t="n">
        <v>1</v>
      </c>
      <c r="E4904" s="20" t="n">
        <f aca="false">Parametres!$B$5*C4904</f>
        <v>0</v>
      </c>
      <c r="F4904" s="20" t="n">
        <f aca="false">Parametres!$B$6*D4904</f>
        <v>200</v>
      </c>
      <c r="G4904" s="20" t="n">
        <f aca="false">E4904+F4904</f>
        <v>200</v>
      </c>
      <c r="H4904" s="20" t="n">
        <f aca="false">IF(G4904&lt;Parametres!$B$8*Parametres!$B$7,0,MIN(G4904,Parametres!$B$7))</f>
        <v>200</v>
      </c>
      <c r="I4904" s="20" t="n">
        <f aca="false">G4904-H4904</f>
        <v>0</v>
      </c>
      <c r="J4904" s="21" t="n">
        <f aca="false">H4904*1000/Parametres!$B$9</f>
        <v>3391.55502798033</v>
      </c>
    </row>
    <row r="4905" customFormat="false" ht="15" hidden="false" customHeight="false" outlineLevel="0" collapsed="false">
      <c r="A4905" s="0" t="n">
        <v>4901</v>
      </c>
      <c r="B4905" s="0" t="n">
        <v>7</v>
      </c>
      <c r="C4905" s="19" t="n">
        <v>0</v>
      </c>
      <c r="D4905" s="19" t="n">
        <v>1</v>
      </c>
      <c r="E4905" s="20" t="n">
        <f aca="false">Parametres!$B$5*C4905</f>
        <v>0</v>
      </c>
      <c r="F4905" s="20" t="n">
        <f aca="false">Parametres!$B$6*D4905</f>
        <v>200</v>
      </c>
      <c r="G4905" s="20" t="n">
        <f aca="false">E4905+F4905</f>
        <v>200</v>
      </c>
      <c r="H4905" s="20" t="n">
        <f aca="false">IF(G4905&lt;Parametres!$B$8*Parametres!$B$7,0,MIN(G4905,Parametres!$B$7))</f>
        <v>200</v>
      </c>
      <c r="I4905" s="20" t="n">
        <f aca="false">G4905-H4905</f>
        <v>0</v>
      </c>
      <c r="J4905" s="21" t="n">
        <f aca="false">H4905*1000/Parametres!$B$9</f>
        <v>3391.55502798033</v>
      </c>
    </row>
    <row r="4906" customFormat="false" ht="15" hidden="false" customHeight="false" outlineLevel="0" collapsed="false">
      <c r="A4906" s="0" t="n">
        <v>4902</v>
      </c>
      <c r="B4906" s="0" t="n">
        <v>7</v>
      </c>
      <c r="C4906" s="19" t="n">
        <v>0.0398</v>
      </c>
      <c r="D4906" s="19" t="n">
        <v>1</v>
      </c>
      <c r="E4906" s="20" t="n">
        <f aca="false">Parametres!$B$5*C4906</f>
        <v>11.94</v>
      </c>
      <c r="F4906" s="20" t="n">
        <f aca="false">Parametres!$B$6*D4906</f>
        <v>200</v>
      </c>
      <c r="G4906" s="20" t="n">
        <f aca="false">E4906+F4906</f>
        <v>211.94</v>
      </c>
      <c r="H4906" s="20" t="n">
        <f aca="false">IF(G4906&lt;Parametres!$B$8*Parametres!$B$7,0,MIN(G4906,Parametres!$B$7))</f>
        <v>211.94</v>
      </c>
      <c r="I4906" s="20" t="n">
        <f aca="false">G4906-H4906</f>
        <v>0</v>
      </c>
      <c r="J4906" s="21" t="n">
        <f aca="false">H4906*1000/Parametres!$B$9</f>
        <v>3594.03086315075</v>
      </c>
    </row>
    <row r="4907" customFormat="false" ht="15" hidden="false" customHeight="false" outlineLevel="0" collapsed="false">
      <c r="A4907" s="0" t="n">
        <v>4903</v>
      </c>
      <c r="B4907" s="0" t="n">
        <v>7</v>
      </c>
      <c r="C4907" s="19" t="n">
        <v>0.2436</v>
      </c>
      <c r="D4907" s="19" t="n">
        <v>1</v>
      </c>
      <c r="E4907" s="20" t="n">
        <f aca="false">Parametres!$B$5*C4907</f>
        <v>73.08</v>
      </c>
      <c r="F4907" s="20" t="n">
        <f aca="false">Parametres!$B$6*D4907</f>
        <v>200</v>
      </c>
      <c r="G4907" s="20" t="n">
        <f aca="false">E4907+F4907</f>
        <v>273.08</v>
      </c>
      <c r="H4907" s="20" t="n">
        <f aca="false">IF(G4907&lt;Parametres!$B$8*Parametres!$B$7,0,MIN(G4907,Parametres!$B$7))</f>
        <v>250</v>
      </c>
      <c r="I4907" s="20" t="n">
        <f aca="false">G4907-H4907</f>
        <v>23.08</v>
      </c>
      <c r="J4907" s="21" t="n">
        <f aca="false">H4907*1000/Parametres!$B$9</f>
        <v>4239.44378497541</v>
      </c>
    </row>
    <row r="4908" customFormat="false" ht="15" hidden="false" customHeight="false" outlineLevel="0" collapsed="false">
      <c r="A4908" s="0" t="n">
        <v>4904</v>
      </c>
      <c r="B4908" s="0" t="n">
        <v>7</v>
      </c>
      <c r="C4908" s="19" t="n">
        <v>0.507</v>
      </c>
      <c r="D4908" s="19" t="n">
        <v>1</v>
      </c>
      <c r="E4908" s="20" t="n">
        <f aca="false">Parametres!$B$5*C4908</f>
        <v>152.1</v>
      </c>
      <c r="F4908" s="20" t="n">
        <f aca="false">Parametres!$B$6*D4908</f>
        <v>200</v>
      </c>
      <c r="G4908" s="20" t="n">
        <f aca="false">E4908+F4908</f>
        <v>352.1</v>
      </c>
      <c r="H4908" s="20" t="n">
        <f aca="false">IF(G4908&lt;Parametres!$B$8*Parametres!$B$7,0,MIN(G4908,Parametres!$B$7))</f>
        <v>250</v>
      </c>
      <c r="I4908" s="20" t="n">
        <f aca="false">G4908-H4908</f>
        <v>102.1</v>
      </c>
      <c r="J4908" s="21" t="n">
        <f aca="false">H4908*1000/Parametres!$B$9</f>
        <v>4239.44378497541</v>
      </c>
    </row>
    <row r="4909" customFormat="false" ht="15" hidden="false" customHeight="false" outlineLevel="0" collapsed="false">
      <c r="A4909" s="0" t="n">
        <v>4905</v>
      </c>
      <c r="B4909" s="0" t="n">
        <v>7</v>
      </c>
      <c r="C4909" s="19" t="n">
        <v>0.6472</v>
      </c>
      <c r="D4909" s="19" t="n">
        <v>1</v>
      </c>
      <c r="E4909" s="20" t="n">
        <f aca="false">Parametres!$B$5*C4909</f>
        <v>194.16</v>
      </c>
      <c r="F4909" s="20" t="n">
        <f aca="false">Parametres!$B$6*D4909</f>
        <v>200</v>
      </c>
      <c r="G4909" s="20" t="n">
        <f aca="false">E4909+F4909</f>
        <v>394.16</v>
      </c>
      <c r="H4909" s="20" t="n">
        <f aca="false">IF(G4909&lt;Parametres!$B$8*Parametres!$B$7,0,MIN(G4909,Parametres!$B$7))</f>
        <v>250</v>
      </c>
      <c r="I4909" s="20" t="n">
        <f aca="false">G4909-H4909</f>
        <v>144.16</v>
      </c>
      <c r="J4909" s="21" t="n">
        <f aca="false">H4909*1000/Parametres!$B$9</f>
        <v>4239.44378497541</v>
      </c>
    </row>
    <row r="4910" customFormat="false" ht="15" hidden="false" customHeight="false" outlineLevel="0" collapsed="false">
      <c r="A4910" s="0" t="n">
        <v>4906</v>
      </c>
      <c r="B4910" s="0" t="n">
        <v>7</v>
      </c>
      <c r="C4910" s="19" t="n">
        <v>0.895</v>
      </c>
      <c r="D4910" s="19" t="n">
        <v>1</v>
      </c>
      <c r="E4910" s="20" t="n">
        <f aca="false">Parametres!$B$5*C4910</f>
        <v>268.5</v>
      </c>
      <c r="F4910" s="20" t="n">
        <f aca="false">Parametres!$B$6*D4910</f>
        <v>200</v>
      </c>
      <c r="G4910" s="20" t="n">
        <f aca="false">E4910+F4910</f>
        <v>468.5</v>
      </c>
      <c r="H4910" s="20" t="n">
        <f aca="false">IF(G4910&lt;Parametres!$B$8*Parametres!$B$7,0,MIN(G4910,Parametres!$B$7))</f>
        <v>250</v>
      </c>
      <c r="I4910" s="20" t="n">
        <f aca="false">G4910-H4910</f>
        <v>218.5</v>
      </c>
      <c r="J4910" s="21" t="n">
        <f aca="false">H4910*1000/Parametres!$B$9</f>
        <v>4239.44378497541</v>
      </c>
    </row>
    <row r="4911" customFormat="false" ht="15" hidden="false" customHeight="false" outlineLevel="0" collapsed="false">
      <c r="A4911" s="0" t="n">
        <v>4907</v>
      </c>
      <c r="B4911" s="0" t="n">
        <v>7</v>
      </c>
      <c r="C4911" s="19" t="n">
        <v>1</v>
      </c>
      <c r="D4911" s="19" t="n">
        <v>1</v>
      </c>
      <c r="E4911" s="20" t="n">
        <f aca="false">Parametres!$B$5*C4911</f>
        <v>300</v>
      </c>
      <c r="F4911" s="20" t="n">
        <f aca="false">Parametres!$B$6*D4911</f>
        <v>200</v>
      </c>
      <c r="G4911" s="20" t="n">
        <f aca="false">E4911+F4911</f>
        <v>500</v>
      </c>
      <c r="H4911" s="20" t="n">
        <f aca="false">IF(G4911&lt;Parametres!$B$8*Parametres!$B$7,0,MIN(G4911,Parametres!$B$7))</f>
        <v>250</v>
      </c>
      <c r="I4911" s="20" t="n">
        <f aca="false">G4911-H4911</f>
        <v>250</v>
      </c>
      <c r="J4911" s="21" t="n">
        <f aca="false">H4911*1000/Parametres!$B$9</f>
        <v>4239.44378497541</v>
      </c>
    </row>
    <row r="4912" customFormat="false" ht="15" hidden="false" customHeight="false" outlineLevel="0" collapsed="false">
      <c r="A4912" s="0" t="n">
        <v>4908</v>
      </c>
      <c r="B4912" s="0" t="n">
        <v>7</v>
      </c>
      <c r="C4912" s="19" t="n">
        <v>1</v>
      </c>
      <c r="D4912" s="19" t="n">
        <v>1</v>
      </c>
      <c r="E4912" s="20" t="n">
        <f aca="false">Parametres!$B$5*C4912</f>
        <v>300</v>
      </c>
      <c r="F4912" s="20" t="n">
        <f aca="false">Parametres!$B$6*D4912</f>
        <v>200</v>
      </c>
      <c r="G4912" s="20" t="n">
        <f aca="false">E4912+F4912</f>
        <v>500</v>
      </c>
      <c r="H4912" s="20" t="n">
        <f aca="false">IF(G4912&lt;Parametres!$B$8*Parametres!$B$7,0,MIN(G4912,Parametres!$B$7))</f>
        <v>250</v>
      </c>
      <c r="I4912" s="20" t="n">
        <f aca="false">G4912-H4912</f>
        <v>250</v>
      </c>
      <c r="J4912" s="21" t="n">
        <f aca="false">H4912*1000/Parametres!$B$9</f>
        <v>4239.44378497541</v>
      </c>
    </row>
    <row r="4913" customFormat="false" ht="15" hidden="false" customHeight="false" outlineLevel="0" collapsed="false">
      <c r="A4913" s="0" t="n">
        <v>4909</v>
      </c>
      <c r="B4913" s="0" t="n">
        <v>7</v>
      </c>
      <c r="C4913" s="19" t="n">
        <v>1</v>
      </c>
      <c r="D4913" s="19" t="n">
        <v>1</v>
      </c>
      <c r="E4913" s="20" t="n">
        <f aca="false">Parametres!$B$5*C4913</f>
        <v>300</v>
      </c>
      <c r="F4913" s="20" t="n">
        <f aca="false">Parametres!$B$6*D4913</f>
        <v>200</v>
      </c>
      <c r="G4913" s="20" t="n">
        <f aca="false">E4913+F4913</f>
        <v>500</v>
      </c>
      <c r="H4913" s="20" t="n">
        <f aca="false">IF(G4913&lt;Parametres!$B$8*Parametres!$B$7,0,MIN(G4913,Parametres!$B$7))</f>
        <v>250</v>
      </c>
      <c r="I4913" s="20" t="n">
        <f aca="false">G4913-H4913</f>
        <v>250</v>
      </c>
      <c r="J4913" s="21" t="n">
        <f aca="false">H4913*1000/Parametres!$B$9</f>
        <v>4239.44378497541</v>
      </c>
    </row>
    <row r="4914" customFormat="false" ht="15" hidden="false" customHeight="false" outlineLevel="0" collapsed="false">
      <c r="A4914" s="0" t="n">
        <v>4910</v>
      </c>
      <c r="B4914" s="0" t="n">
        <v>7</v>
      </c>
      <c r="C4914" s="19" t="n">
        <v>0.9884</v>
      </c>
      <c r="D4914" s="19" t="n">
        <v>1</v>
      </c>
      <c r="E4914" s="20" t="n">
        <f aca="false">Parametres!$B$5*C4914</f>
        <v>296.52</v>
      </c>
      <c r="F4914" s="20" t="n">
        <f aca="false">Parametres!$B$6*D4914</f>
        <v>200</v>
      </c>
      <c r="G4914" s="20" t="n">
        <f aca="false">E4914+F4914</f>
        <v>496.52</v>
      </c>
      <c r="H4914" s="20" t="n">
        <f aca="false">IF(G4914&lt;Parametres!$B$8*Parametres!$B$7,0,MIN(G4914,Parametres!$B$7))</f>
        <v>250</v>
      </c>
      <c r="I4914" s="20" t="n">
        <f aca="false">G4914-H4914</f>
        <v>246.52</v>
      </c>
      <c r="J4914" s="21" t="n">
        <f aca="false">H4914*1000/Parametres!$B$9</f>
        <v>4239.44378497541</v>
      </c>
    </row>
    <row r="4915" customFormat="false" ht="15" hidden="false" customHeight="false" outlineLevel="0" collapsed="false">
      <c r="A4915" s="0" t="n">
        <v>4911</v>
      </c>
      <c r="B4915" s="0" t="n">
        <v>7</v>
      </c>
      <c r="C4915" s="19" t="n">
        <v>0.8856</v>
      </c>
      <c r="D4915" s="19" t="n">
        <v>1</v>
      </c>
      <c r="E4915" s="20" t="n">
        <f aca="false">Parametres!$B$5*C4915</f>
        <v>265.68</v>
      </c>
      <c r="F4915" s="20" t="n">
        <f aca="false">Parametres!$B$6*D4915</f>
        <v>200</v>
      </c>
      <c r="G4915" s="20" t="n">
        <f aca="false">E4915+F4915</f>
        <v>465.68</v>
      </c>
      <c r="H4915" s="20" t="n">
        <f aca="false">IF(G4915&lt;Parametres!$B$8*Parametres!$B$7,0,MIN(G4915,Parametres!$B$7))</f>
        <v>250</v>
      </c>
      <c r="I4915" s="20" t="n">
        <f aca="false">G4915-H4915</f>
        <v>215.68</v>
      </c>
      <c r="J4915" s="21" t="n">
        <f aca="false">H4915*1000/Parametres!$B$9</f>
        <v>4239.44378497541</v>
      </c>
    </row>
    <row r="4916" customFormat="false" ht="15" hidden="false" customHeight="false" outlineLevel="0" collapsed="false">
      <c r="A4916" s="0" t="n">
        <v>4912</v>
      </c>
      <c r="B4916" s="0" t="n">
        <v>7</v>
      </c>
      <c r="C4916" s="19" t="n">
        <v>0.7103</v>
      </c>
      <c r="D4916" s="19" t="n">
        <v>1</v>
      </c>
      <c r="E4916" s="20" t="n">
        <f aca="false">Parametres!$B$5*C4916</f>
        <v>213.09</v>
      </c>
      <c r="F4916" s="20" t="n">
        <f aca="false">Parametres!$B$6*D4916</f>
        <v>200</v>
      </c>
      <c r="G4916" s="20" t="n">
        <f aca="false">E4916+F4916</f>
        <v>413.09</v>
      </c>
      <c r="H4916" s="20" t="n">
        <f aca="false">IF(G4916&lt;Parametres!$B$8*Parametres!$B$7,0,MIN(G4916,Parametres!$B$7))</f>
        <v>250</v>
      </c>
      <c r="I4916" s="20" t="n">
        <f aca="false">G4916-H4916</f>
        <v>163.09</v>
      </c>
      <c r="J4916" s="21" t="n">
        <f aca="false">H4916*1000/Parametres!$B$9</f>
        <v>4239.44378497541</v>
      </c>
    </row>
    <row r="4917" customFormat="false" ht="15" hidden="false" customHeight="false" outlineLevel="0" collapsed="false">
      <c r="A4917" s="0" t="n">
        <v>4913</v>
      </c>
      <c r="B4917" s="0" t="n">
        <v>7</v>
      </c>
      <c r="C4917" s="19" t="n">
        <v>0.4786</v>
      </c>
      <c r="D4917" s="19" t="n">
        <v>1</v>
      </c>
      <c r="E4917" s="20" t="n">
        <f aca="false">Parametres!$B$5*C4917</f>
        <v>143.58</v>
      </c>
      <c r="F4917" s="20" t="n">
        <f aca="false">Parametres!$B$6*D4917</f>
        <v>200</v>
      </c>
      <c r="G4917" s="20" t="n">
        <f aca="false">E4917+F4917</f>
        <v>343.58</v>
      </c>
      <c r="H4917" s="20" t="n">
        <f aca="false">IF(G4917&lt;Parametres!$B$8*Parametres!$B$7,0,MIN(G4917,Parametres!$B$7))</f>
        <v>250</v>
      </c>
      <c r="I4917" s="20" t="n">
        <f aca="false">G4917-H4917</f>
        <v>93.58</v>
      </c>
      <c r="J4917" s="21" t="n">
        <f aca="false">H4917*1000/Parametres!$B$9</f>
        <v>4239.44378497541</v>
      </c>
    </row>
    <row r="4918" customFormat="false" ht="15" hidden="false" customHeight="false" outlineLevel="0" collapsed="false">
      <c r="A4918" s="0" t="n">
        <v>4914</v>
      </c>
      <c r="B4918" s="0" t="n">
        <v>7</v>
      </c>
      <c r="C4918" s="19" t="n">
        <v>0.2557</v>
      </c>
      <c r="D4918" s="19" t="n">
        <v>1</v>
      </c>
      <c r="E4918" s="20" t="n">
        <f aca="false">Parametres!$B$5*C4918</f>
        <v>76.71</v>
      </c>
      <c r="F4918" s="20" t="n">
        <f aca="false">Parametres!$B$6*D4918</f>
        <v>200</v>
      </c>
      <c r="G4918" s="20" t="n">
        <f aca="false">E4918+F4918</f>
        <v>276.71</v>
      </c>
      <c r="H4918" s="20" t="n">
        <f aca="false">IF(G4918&lt;Parametres!$B$8*Parametres!$B$7,0,MIN(G4918,Parametres!$B$7))</f>
        <v>250</v>
      </c>
      <c r="I4918" s="20" t="n">
        <f aca="false">G4918-H4918</f>
        <v>26.71</v>
      </c>
      <c r="J4918" s="21" t="n">
        <f aca="false">H4918*1000/Parametres!$B$9</f>
        <v>4239.44378497541</v>
      </c>
    </row>
    <row r="4919" customFormat="false" ht="15" hidden="false" customHeight="false" outlineLevel="0" collapsed="false">
      <c r="A4919" s="0" t="n">
        <v>4915</v>
      </c>
      <c r="B4919" s="0" t="n">
        <v>7</v>
      </c>
      <c r="C4919" s="19" t="n">
        <v>0.0395</v>
      </c>
      <c r="D4919" s="19" t="n">
        <v>1</v>
      </c>
      <c r="E4919" s="20" t="n">
        <f aca="false">Parametres!$B$5*C4919</f>
        <v>11.85</v>
      </c>
      <c r="F4919" s="20" t="n">
        <f aca="false">Parametres!$B$6*D4919</f>
        <v>200</v>
      </c>
      <c r="G4919" s="20" t="n">
        <f aca="false">E4919+F4919</f>
        <v>211.85</v>
      </c>
      <c r="H4919" s="20" t="n">
        <f aca="false">IF(G4919&lt;Parametres!$B$8*Parametres!$B$7,0,MIN(G4919,Parametres!$B$7))</f>
        <v>211.85</v>
      </c>
      <c r="I4919" s="20" t="n">
        <f aca="false">G4919-H4919</f>
        <v>0</v>
      </c>
      <c r="J4919" s="21" t="n">
        <f aca="false">H4919*1000/Parametres!$B$9</f>
        <v>3592.50466338816</v>
      </c>
    </row>
    <row r="4920" customFormat="false" ht="15" hidden="false" customHeight="false" outlineLevel="0" collapsed="false">
      <c r="A4920" s="0" t="n">
        <v>4916</v>
      </c>
      <c r="B4920" s="0" t="n">
        <v>7</v>
      </c>
      <c r="C4920" s="19" t="n">
        <v>0</v>
      </c>
      <c r="D4920" s="19" t="n">
        <v>1</v>
      </c>
      <c r="E4920" s="20" t="n">
        <f aca="false">Parametres!$B$5*C4920</f>
        <v>0</v>
      </c>
      <c r="F4920" s="20" t="n">
        <f aca="false">Parametres!$B$6*D4920</f>
        <v>200</v>
      </c>
      <c r="G4920" s="20" t="n">
        <f aca="false">E4920+F4920</f>
        <v>200</v>
      </c>
      <c r="H4920" s="20" t="n">
        <f aca="false">IF(G4920&lt;Parametres!$B$8*Parametres!$B$7,0,MIN(G4920,Parametres!$B$7))</f>
        <v>200</v>
      </c>
      <c r="I4920" s="20" t="n">
        <f aca="false">G4920-H4920</f>
        <v>0</v>
      </c>
      <c r="J4920" s="21" t="n">
        <f aca="false">H4920*1000/Parametres!$B$9</f>
        <v>3391.55502798033</v>
      </c>
    </row>
    <row r="4921" customFormat="false" ht="15" hidden="false" customHeight="false" outlineLevel="0" collapsed="false">
      <c r="A4921" s="0" t="n">
        <v>4917</v>
      </c>
      <c r="B4921" s="0" t="n">
        <v>7</v>
      </c>
      <c r="C4921" s="19" t="n">
        <v>0</v>
      </c>
      <c r="D4921" s="19" t="n">
        <v>1</v>
      </c>
      <c r="E4921" s="20" t="n">
        <f aca="false">Parametres!$B$5*C4921</f>
        <v>0</v>
      </c>
      <c r="F4921" s="20" t="n">
        <f aca="false">Parametres!$B$6*D4921</f>
        <v>200</v>
      </c>
      <c r="G4921" s="20" t="n">
        <f aca="false">E4921+F4921</f>
        <v>200</v>
      </c>
      <c r="H4921" s="20" t="n">
        <f aca="false">IF(G4921&lt;Parametres!$B$8*Parametres!$B$7,0,MIN(G4921,Parametres!$B$7))</f>
        <v>200</v>
      </c>
      <c r="I4921" s="20" t="n">
        <f aca="false">G4921-H4921</f>
        <v>0</v>
      </c>
      <c r="J4921" s="21" t="n">
        <f aca="false">H4921*1000/Parametres!$B$9</f>
        <v>3391.55502798033</v>
      </c>
    </row>
    <row r="4922" customFormat="false" ht="15" hidden="false" customHeight="false" outlineLevel="0" collapsed="false">
      <c r="A4922" s="0" t="n">
        <v>4918</v>
      </c>
      <c r="B4922" s="0" t="n">
        <v>7</v>
      </c>
      <c r="C4922" s="19" t="n">
        <v>0</v>
      </c>
      <c r="D4922" s="19" t="n">
        <v>1</v>
      </c>
      <c r="E4922" s="20" t="n">
        <f aca="false">Parametres!$B$5*C4922</f>
        <v>0</v>
      </c>
      <c r="F4922" s="20" t="n">
        <f aca="false">Parametres!$B$6*D4922</f>
        <v>200</v>
      </c>
      <c r="G4922" s="20" t="n">
        <f aca="false">E4922+F4922</f>
        <v>200</v>
      </c>
      <c r="H4922" s="20" t="n">
        <f aca="false">IF(G4922&lt;Parametres!$B$8*Parametres!$B$7,0,MIN(G4922,Parametres!$B$7))</f>
        <v>200</v>
      </c>
      <c r="I4922" s="20" t="n">
        <f aca="false">G4922-H4922</f>
        <v>0</v>
      </c>
      <c r="J4922" s="21" t="n">
        <f aca="false">H4922*1000/Parametres!$B$9</f>
        <v>3391.55502798033</v>
      </c>
    </row>
    <row r="4923" customFormat="false" ht="15" hidden="false" customHeight="false" outlineLevel="0" collapsed="false">
      <c r="A4923" s="0" t="n">
        <v>4919</v>
      </c>
      <c r="B4923" s="0" t="n">
        <v>7</v>
      </c>
      <c r="C4923" s="19" t="n">
        <v>0</v>
      </c>
      <c r="D4923" s="19" t="n">
        <v>1</v>
      </c>
      <c r="E4923" s="20" t="n">
        <f aca="false">Parametres!$B$5*C4923</f>
        <v>0</v>
      </c>
      <c r="F4923" s="20" t="n">
        <f aca="false">Parametres!$B$6*D4923</f>
        <v>200</v>
      </c>
      <c r="G4923" s="20" t="n">
        <f aca="false">E4923+F4923</f>
        <v>200</v>
      </c>
      <c r="H4923" s="20" t="n">
        <f aca="false">IF(G4923&lt;Parametres!$B$8*Parametres!$B$7,0,MIN(G4923,Parametres!$B$7))</f>
        <v>200</v>
      </c>
      <c r="I4923" s="20" t="n">
        <f aca="false">G4923-H4923</f>
        <v>0</v>
      </c>
      <c r="J4923" s="21" t="n">
        <f aca="false">H4923*1000/Parametres!$B$9</f>
        <v>3391.55502798033</v>
      </c>
    </row>
    <row r="4924" customFormat="false" ht="15" hidden="false" customHeight="false" outlineLevel="0" collapsed="false">
      <c r="A4924" s="0" t="n">
        <v>4920</v>
      </c>
      <c r="B4924" s="0" t="n">
        <v>7</v>
      </c>
      <c r="C4924" s="19" t="n">
        <v>0</v>
      </c>
      <c r="D4924" s="19" t="n">
        <v>1</v>
      </c>
      <c r="E4924" s="20" t="n">
        <f aca="false">Parametres!$B$5*C4924</f>
        <v>0</v>
      </c>
      <c r="F4924" s="20" t="n">
        <f aca="false">Parametres!$B$6*D4924</f>
        <v>200</v>
      </c>
      <c r="G4924" s="20" t="n">
        <f aca="false">E4924+F4924</f>
        <v>200</v>
      </c>
      <c r="H4924" s="20" t="n">
        <f aca="false">IF(G4924&lt;Parametres!$B$8*Parametres!$B$7,0,MIN(G4924,Parametres!$B$7))</f>
        <v>200</v>
      </c>
      <c r="I4924" s="20" t="n">
        <f aca="false">G4924-H4924</f>
        <v>0</v>
      </c>
      <c r="J4924" s="21" t="n">
        <f aca="false">H4924*1000/Parametres!$B$9</f>
        <v>3391.55502798033</v>
      </c>
    </row>
    <row r="4925" customFormat="false" ht="15" hidden="false" customHeight="false" outlineLevel="0" collapsed="false">
      <c r="A4925" s="0" t="n">
        <v>4921</v>
      </c>
      <c r="B4925" s="0" t="n">
        <v>7</v>
      </c>
      <c r="C4925" s="19" t="n">
        <v>0</v>
      </c>
      <c r="D4925" s="19" t="n">
        <v>1</v>
      </c>
      <c r="E4925" s="20" t="n">
        <f aca="false">Parametres!$B$5*C4925</f>
        <v>0</v>
      </c>
      <c r="F4925" s="20" t="n">
        <f aca="false">Parametres!$B$6*D4925</f>
        <v>200</v>
      </c>
      <c r="G4925" s="20" t="n">
        <f aca="false">E4925+F4925</f>
        <v>200</v>
      </c>
      <c r="H4925" s="20" t="n">
        <f aca="false">IF(G4925&lt;Parametres!$B$8*Parametres!$B$7,0,MIN(G4925,Parametres!$B$7))</f>
        <v>200</v>
      </c>
      <c r="I4925" s="20" t="n">
        <f aca="false">G4925-H4925</f>
        <v>0</v>
      </c>
      <c r="J4925" s="21" t="n">
        <f aca="false">H4925*1000/Parametres!$B$9</f>
        <v>3391.55502798033</v>
      </c>
    </row>
    <row r="4926" customFormat="false" ht="15" hidden="false" customHeight="false" outlineLevel="0" collapsed="false">
      <c r="A4926" s="0" t="n">
        <v>4922</v>
      </c>
      <c r="B4926" s="0" t="n">
        <v>7</v>
      </c>
      <c r="C4926" s="19" t="n">
        <v>0</v>
      </c>
      <c r="D4926" s="19" t="n">
        <v>0.9542</v>
      </c>
      <c r="E4926" s="20" t="n">
        <f aca="false">Parametres!$B$5*C4926</f>
        <v>0</v>
      </c>
      <c r="F4926" s="20" t="n">
        <f aca="false">Parametres!$B$6*D4926</f>
        <v>190.84</v>
      </c>
      <c r="G4926" s="20" t="n">
        <f aca="false">E4926+F4926</f>
        <v>190.84</v>
      </c>
      <c r="H4926" s="20" t="n">
        <f aca="false">IF(G4926&lt;Parametres!$B$8*Parametres!$B$7,0,MIN(G4926,Parametres!$B$7))</f>
        <v>190.84</v>
      </c>
      <c r="I4926" s="20" t="n">
        <f aca="false">G4926-H4926</f>
        <v>0</v>
      </c>
      <c r="J4926" s="21" t="n">
        <f aca="false">H4926*1000/Parametres!$B$9</f>
        <v>3236.22180769883</v>
      </c>
    </row>
    <row r="4927" customFormat="false" ht="15" hidden="false" customHeight="false" outlineLevel="0" collapsed="false">
      <c r="A4927" s="0" t="n">
        <v>4923</v>
      </c>
      <c r="B4927" s="0" t="n">
        <v>7</v>
      </c>
      <c r="C4927" s="19" t="n">
        <v>0</v>
      </c>
      <c r="D4927" s="19" t="n">
        <v>1</v>
      </c>
      <c r="E4927" s="20" t="n">
        <f aca="false">Parametres!$B$5*C4927</f>
        <v>0</v>
      </c>
      <c r="F4927" s="20" t="n">
        <f aca="false">Parametres!$B$6*D4927</f>
        <v>200</v>
      </c>
      <c r="G4927" s="20" t="n">
        <f aca="false">E4927+F4927</f>
        <v>200</v>
      </c>
      <c r="H4927" s="20" t="n">
        <f aca="false">IF(G4927&lt;Parametres!$B$8*Parametres!$B$7,0,MIN(G4927,Parametres!$B$7))</f>
        <v>200</v>
      </c>
      <c r="I4927" s="20" t="n">
        <f aca="false">G4927-H4927</f>
        <v>0</v>
      </c>
      <c r="J4927" s="21" t="n">
        <f aca="false">H4927*1000/Parametres!$B$9</f>
        <v>3391.55502798033</v>
      </c>
    </row>
    <row r="4928" customFormat="false" ht="15" hidden="false" customHeight="false" outlineLevel="0" collapsed="false">
      <c r="A4928" s="0" t="n">
        <v>4924</v>
      </c>
      <c r="B4928" s="0" t="n">
        <v>7</v>
      </c>
      <c r="C4928" s="19" t="n">
        <v>0</v>
      </c>
      <c r="D4928" s="19" t="n">
        <v>1</v>
      </c>
      <c r="E4928" s="20" t="n">
        <f aca="false">Parametres!$B$5*C4928</f>
        <v>0</v>
      </c>
      <c r="F4928" s="20" t="n">
        <f aca="false">Parametres!$B$6*D4928</f>
        <v>200</v>
      </c>
      <c r="G4928" s="20" t="n">
        <f aca="false">E4928+F4928</f>
        <v>200</v>
      </c>
      <c r="H4928" s="20" t="n">
        <f aca="false">IF(G4928&lt;Parametres!$B$8*Parametres!$B$7,0,MIN(G4928,Parametres!$B$7))</f>
        <v>200</v>
      </c>
      <c r="I4928" s="20" t="n">
        <f aca="false">G4928-H4928</f>
        <v>0</v>
      </c>
      <c r="J4928" s="21" t="n">
        <f aca="false">H4928*1000/Parametres!$B$9</f>
        <v>3391.55502798033</v>
      </c>
    </row>
    <row r="4929" customFormat="false" ht="15" hidden="false" customHeight="false" outlineLevel="0" collapsed="false">
      <c r="A4929" s="0" t="n">
        <v>4925</v>
      </c>
      <c r="B4929" s="0" t="n">
        <v>7</v>
      </c>
      <c r="C4929" s="19" t="n">
        <v>0</v>
      </c>
      <c r="D4929" s="19" t="n">
        <v>1</v>
      </c>
      <c r="E4929" s="20" t="n">
        <f aca="false">Parametres!$B$5*C4929</f>
        <v>0</v>
      </c>
      <c r="F4929" s="20" t="n">
        <f aca="false">Parametres!$B$6*D4929</f>
        <v>200</v>
      </c>
      <c r="G4929" s="20" t="n">
        <f aca="false">E4929+F4929</f>
        <v>200</v>
      </c>
      <c r="H4929" s="20" t="n">
        <f aca="false">IF(G4929&lt;Parametres!$B$8*Parametres!$B$7,0,MIN(G4929,Parametres!$B$7))</f>
        <v>200</v>
      </c>
      <c r="I4929" s="20" t="n">
        <f aca="false">G4929-H4929</f>
        <v>0</v>
      </c>
      <c r="J4929" s="21" t="n">
        <f aca="false">H4929*1000/Parametres!$B$9</f>
        <v>3391.55502798033</v>
      </c>
    </row>
    <row r="4930" customFormat="false" ht="15" hidden="false" customHeight="false" outlineLevel="0" collapsed="false">
      <c r="A4930" s="0" t="n">
        <v>4926</v>
      </c>
      <c r="B4930" s="0" t="n">
        <v>7</v>
      </c>
      <c r="C4930" s="19" t="n">
        <v>0.0408</v>
      </c>
      <c r="D4930" s="19" t="n">
        <v>1</v>
      </c>
      <c r="E4930" s="20" t="n">
        <f aca="false">Parametres!$B$5*C4930</f>
        <v>12.24</v>
      </c>
      <c r="F4930" s="20" t="n">
        <f aca="false">Parametres!$B$6*D4930</f>
        <v>200</v>
      </c>
      <c r="G4930" s="20" t="n">
        <f aca="false">E4930+F4930</f>
        <v>212.24</v>
      </c>
      <c r="H4930" s="20" t="n">
        <f aca="false">IF(G4930&lt;Parametres!$B$8*Parametres!$B$7,0,MIN(G4930,Parametres!$B$7))</f>
        <v>212.24</v>
      </c>
      <c r="I4930" s="20" t="n">
        <f aca="false">G4930-H4930</f>
        <v>0</v>
      </c>
      <c r="J4930" s="21" t="n">
        <f aca="false">H4930*1000/Parametres!$B$9</f>
        <v>3599.11819569273</v>
      </c>
    </row>
    <row r="4931" customFormat="false" ht="15" hidden="false" customHeight="false" outlineLevel="0" collapsed="false">
      <c r="A4931" s="0" t="n">
        <v>4927</v>
      </c>
      <c r="B4931" s="0" t="n">
        <v>7</v>
      </c>
      <c r="C4931" s="19" t="n">
        <v>0.2876</v>
      </c>
      <c r="D4931" s="19" t="n">
        <v>0.7594</v>
      </c>
      <c r="E4931" s="20" t="n">
        <f aca="false">Parametres!$B$5*C4931</f>
        <v>86.28</v>
      </c>
      <c r="F4931" s="20" t="n">
        <f aca="false">Parametres!$B$6*D4931</f>
        <v>151.88</v>
      </c>
      <c r="G4931" s="20" t="n">
        <f aca="false">E4931+F4931</f>
        <v>238.16</v>
      </c>
      <c r="H4931" s="20" t="n">
        <f aca="false">IF(G4931&lt;Parametres!$B$8*Parametres!$B$7,0,MIN(G4931,Parametres!$B$7))</f>
        <v>238.16</v>
      </c>
      <c r="I4931" s="20" t="n">
        <f aca="false">G4931-H4931</f>
        <v>0</v>
      </c>
      <c r="J4931" s="21" t="n">
        <f aca="false">H4931*1000/Parametres!$B$9</f>
        <v>4038.66372731898</v>
      </c>
    </row>
    <row r="4932" customFormat="false" ht="15" hidden="false" customHeight="false" outlineLevel="0" collapsed="false">
      <c r="A4932" s="0" t="n">
        <v>4928</v>
      </c>
      <c r="B4932" s="0" t="n">
        <v>7</v>
      </c>
      <c r="C4932" s="19" t="n">
        <v>0.5699</v>
      </c>
      <c r="D4932" s="19" t="n">
        <v>0.8664</v>
      </c>
      <c r="E4932" s="20" t="n">
        <f aca="false">Parametres!$B$5*C4932</f>
        <v>170.97</v>
      </c>
      <c r="F4932" s="20" t="n">
        <f aca="false">Parametres!$B$6*D4932</f>
        <v>173.28</v>
      </c>
      <c r="G4932" s="20" t="n">
        <f aca="false">E4932+F4932</f>
        <v>344.25</v>
      </c>
      <c r="H4932" s="20" t="n">
        <f aca="false">IF(G4932&lt;Parametres!$B$8*Parametres!$B$7,0,MIN(G4932,Parametres!$B$7))</f>
        <v>250</v>
      </c>
      <c r="I4932" s="20" t="n">
        <f aca="false">G4932-H4932</f>
        <v>94.25</v>
      </c>
      <c r="J4932" s="21" t="n">
        <f aca="false">H4932*1000/Parametres!$B$9</f>
        <v>4239.44378497541</v>
      </c>
    </row>
    <row r="4933" customFormat="false" ht="15" hidden="false" customHeight="false" outlineLevel="0" collapsed="false">
      <c r="A4933" s="0" t="n">
        <v>4929</v>
      </c>
      <c r="B4933" s="0" t="n">
        <v>7</v>
      </c>
      <c r="C4933" s="19" t="n">
        <v>0.7432</v>
      </c>
      <c r="D4933" s="19" t="n">
        <v>0.9839</v>
      </c>
      <c r="E4933" s="20" t="n">
        <f aca="false">Parametres!$B$5*C4933</f>
        <v>222.96</v>
      </c>
      <c r="F4933" s="20" t="n">
        <f aca="false">Parametres!$B$6*D4933</f>
        <v>196.78</v>
      </c>
      <c r="G4933" s="20" t="n">
        <f aca="false">E4933+F4933</f>
        <v>419.74</v>
      </c>
      <c r="H4933" s="20" t="n">
        <f aca="false">IF(G4933&lt;Parametres!$B$8*Parametres!$B$7,0,MIN(G4933,Parametres!$B$7))</f>
        <v>250</v>
      </c>
      <c r="I4933" s="20" t="n">
        <f aca="false">G4933-H4933</f>
        <v>169.74</v>
      </c>
      <c r="J4933" s="21" t="n">
        <f aca="false">H4933*1000/Parametres!$B$9</f>
        <v>4239.44378497541</v>
      </c>
    </row>
    <row r="4934" customFormat="false" ht="15" hidden="false" customHeight="false" outlineLevel="0" collapsed="false">
      <c r="A4934" s="0" t="n">
        <v>4930</v>
      </c>
      <c r="B4934" s="0" t="n">
        <v>7</v>
      </c>
      <c r="C4934" s="19" t="n">
        <v>0.9742</v>
      </c>
      <c r="D4934" s="19" t="n">
        <v>0.9833</v>
      </c>
      <c r="E4934" s="20" t="n">
        <f aca="false">Parametres!$B$5*C4934</f>
        <v>292.26</v>
      </c>
      <c r="F4934" s="20" t="n">
        <f aca="false">Parametres!$B$6*D4934</f>
        <v>196.66</v>
      </c>
      <c r="G4934" s="20" t="n">
        <f aca="false">E4934+F4934</f>
        <v>488.92</v>
      </c>
      <c r="H4934" s="20" t="n">
        <f aca="false">IF(G4934&lt;Parametres!$B$8*Parametres!$B$7,0,MIN(G4934,Parametres!$B$7))</f>
        <v>250</v>
      </c>
      <c r="I4934" s="20" t="n">
        <f aca="false">G4934-H4934</f>
        <v>238.92</v>
      </c>
      <c r="J4934" s="21" t="n">
        <f aca="false">H4934*1000/Parametres!$B$9</f>
        <v>4239.44378497541</v>
      </c>
    </row>
    <row r="4935" customFormat="false" ht="15" hidden="false" customHeight="false" outlineLevel="0" collapsed="false">
      <c r="A4935" s="0" t="n">
        <v>4931</v>
      </c>
      <c r="B4935" s="0" t="n">
        <v>7</v>
      </c>
      <c r="C4935" s="19" t="n">
        <v>1</v>
      </c>
      <c r="D4935" s="19" t="n">
        <v>1</v>
      </c>
      <c r="E4935" s="20" t="n">
        <f aca="false">Parametres!$B$5*C4935</f>
        <v>300</v>
      </c>
      <c r="F4935" s="20" t="n">
        <f aca="false">Parametres!$B$6*D4935</f>
        <v>200</v>
      </c>
      <c r="G4935" s="20" t="n">
        <f aca="false">E4935+F4935</f>
        <v>500</v>
      </c>
      <c r="H4935" s="20" t="n">
        <f aca="false">IF(G4935&lt;Parametres!$B$8*Parametres!$B$7,0,MIN(G4935,Parametres!$B$7))</f>
        <v>250</v>
      </c>
      <c r="I4935" s="20" t="n">
        <f aca="false">G4935-H4935</f>
        <v>250</v>
      </c>
      <c r="J4935" s="21" t="n">
        <f aca="false">H4935*1000/Parametres!$B$9</f>
        <v>4239.44378497541</v>
      </c>
    </row>
    <row r="4936" customFormat="false" ht="15" hidden="false" customHeight="false" outlineLevel="0" collapsed="false">
      <c r="A4936" s="0" t="n">
        <v>4932</v>
      </c>
      <c r="B4936" s="0" t="n">
        <v>7</v>
      </c>
      <c r="C4936" s="19" t="n">
        <v>1</v>
      </c>
      <c r="D4936" s="19" t="n">
        <v>0.8363</v>
      </c>
      <c r="E4936" s="20" t="n">
        <f aca="false">Parametres!$B$5*C4936</f>
        <v>300</v>
      </c>
      <c r="F4936" s="20" t="n">
        <f aca="false">Parametres!$B$6*D4936</f>
        <v>167.26</v>
      </c>
      <c r="G4936" s="20" t="n">
        <f aca="false">E4936+F4936</f>
        <v>467.26</v>
      </c>
      <c r="H4936" s="20" t="n">
        <f aca="false">IF(G4936&lt;Parametres!$B$8*Parametres!$B$7,0,MIN(G4936,Parametres!$B$7))</f>
        <v>250</v>
      </c>
      <c r="I4936" s="20" t="n">
        <f aca="false">G4936-H4936</f>
        <v>217.26</v>
      </c>
      <c r="J4936" s="21" t="n">
        <f aca="false">H4936*1000/Parametres!$B$9</f>
        <v>4239.44378497541</v>
      </c>
    </row>
    <row r="4937" customFormat="false" ht="15" hidden="false" customHeight="false" outlineLevel="0" collapsed="false">
      <c r="A4937" s="0" t="n">
        <v>4933</v>
      </c>
      <c r="B4937" s="0" t="n">
        <v>7</v>
      </c>
      <c r="C4937" s="19" t="n">
        <v>1</v>
      </c>
      <c r="D4937" s="19" t="n">
        <v>0.6638</v>
      </c>
      <c r="E4937" s="20" t="n">
        <f aca="false">Parametres!$B$5*C4937</f>
        <v>300</v>
      </c>
      <c r="F4937" s="20" t="n">
        <f aca="false">Parametres!$B$6*D4937</f>
        <v>132.76</v>
      </c>
      <c r="G4937" s="20" t="n">
        <f aca="false">E4937+F4937</f>
        <v>432.76</v>
      </c>
      <c r="H4937" s="20" t="n">
        <f aca="false">IF(G4937&lt;Parametres!$B$8*Parametres!$B$7,0,MIN(G4937,Parametres!$B$7))</f>
        <v>250</v>
      </c>
      <c r="I4937" s="20" t="n">
        <f aca="false">G4937-H4937</f>
        <v>182.76</v>
      </c>
      <c r="J4937" s="21" t="n">
        <f aca="false">H4937*1000/Parametres!$B$9</f>
        <v>4239.44378497541</v>
      </c>
    </row>
    <row r="4938" customFormat="false" ht="15" hidden="false" customHeight="false" outlineLevel="0" collapsed="false">
      <c r="A4938" s="0" t="n">
        <v>4934</v>
      </c>
      <c r="B4938" s="0" t="n">
        <v>7</v>
      </c>
      <c r="C4938" s="19" t="n">
        <v>1</v>
      </c>
      <c r="D4938" s="19" t="n">
        <v>0.4942</v>
      </c>
      <c r="E4938" s="20" t="n">
        <f aca="false">Parametres!$B$5*C4938</f>
        <v>300</v>
      </c>
      <c r="F4938" s="20" t="n">
        <f aca="false">Parametres!$B$6*D4938</f>
        <v>98.84</v>
      </c>
      <c r="G4938" s="20" t="n">
        <f aca="false">E4938+F4938</f>
        <v>398.84</v>
      </c>
      <c r="H4938" s="20" t="n">
        <f aca="false">IF(G4938&lt;Parametres!$B$8*Parametres!$B$7,0,MIN(G4938,Parametres!$B$7))</f>
        <v>250</v>
      </c>
      <c r="I4938" s="20" t="n">
        <f aca="false">G4938-H4938</f>
        <v>148.84</v>
      </c>
      <c r="J4938" s="21" t="n">
        <f aca="false">H4938*1000/Parametres!$B$9</f>
        <v>4239.44378497541</v>
      </c>
    </row>
    <row r="4939" customFormat="false" ht="15" hidden="false" customHeight="false" outlineLevel="0" collapsed="false">
      <c r="A4939" s="0" t="n">
        <v>4935</v>
      </c>
      <c r="B4939" s="0" t="n">
        <v>7</v>
      </c>
      <c r="C4939" s="19" t="n">
        <v>0.9683</v>
      </c>
      <c r="D4939" s="19" t="n">
        <v>0.4272</v>
      </c>
      <c r="E4939" s="20" t="n">
        <f aca="false">Parametres!$B$5*C4939</f>
        <v>290.49</v>
      </c>
      <c r="F4939" s="20" t="n">
        <f aca="false">Parametres!$B$6*D4939</f>
        <v>85.44</v>
      </c>
      <c r="G4939" s="20" t="n">
        <f aca="false">E4939+F4939</f>
        <v>375.93</v>
      </c>
      <c r="H4939" s="20" t="n">
        <f aca="false">IF(G4939&lt;Parametres!$B$8*Parametres!$B$7,0,MIN(G4939,Parametres!$B$7))</f>
        <v>250</v>
      </c>
      <c r="I4939" s="20" t="n">
        <f aca="false">G4939-H4939</f>
        <v>125.93</v>
      </c>
      <c r="J4939" s="21" t="n">
        <f aca="false">H4939*1000/Parametres!$B$9</f>
        <v>4239.44378497541</v>
      </c>
    </row>
    <row r="4940" customFormat="false" ht="15" hidden="false" customHeight="false" outlineLevel="0" collapsed="false">
      <c r="A4940" s="0" t="n">
        <v>4936</v>
      </c>
      <c r="B4940" s="0" t="n">
        <v>7</v>
      </c>
      <c r="C4940" s="19" t="n">
        <v>0.808</v>
      </c>
      <c r="D4940" s="19" t="n">
        <v>0.4273</v>
      </c>
      <c r="E4940" s="20" t="n">
        <f aca="false">Parametres!$B$5*C4940</f>
        <v>242.4</v>
      </c>
      <c r="F4940" s="20" t="n">
        <f aca="false">Parametres!$B$6*D4940</f>
        <v>85.46</v>
      </c>
      <c r="G4940" s="20" t="n">
        <f aca="false">E4940+F4940</f>
        <v>327.86</v>
      </c>
      <c r="H4940" s="20" t="n">
        <f aca="false">IF(G4940&lt;Parametres!$B$8*Parametres!$B$7,0,MIN(G4940,Parametres!$B$7))</f>
        <v>250</v>
      </c>
      <c r="I4940" s="20" t="n">
        <f aca="false">G4940-H4940</f>
        <v>77.86</v>
      </c>
      <c r="J4940" s="21" t="n">
        <f aca="false">H4940*1000/Parametres!$B$9</f>
        <v>4239.44378497541</v>
      </c>
    </row>
    <row r="4941" customFormat="false" ht="15" hidden="false" customHeight="false" outlineLevel="0" collapsed="false">
      <c r="A4941" s="0" t="n">
        <v>4937</v>
      </c>
      <c r="B4941" s="0" t="n">
        <v>7</v>
      </c>
      <c r="C4941" s="19" t="n">
        <v>0.541</v>
      </c>
      <c r="D4941" s="19" t="n">
        <v>0.3791</v>
      </c>
      <c r="E4941" s="20" t="n">
        <f aca="false">Parametres!$B$5*C4941</f>
        <v>162.3</v>
      </c>
      <c r="F4941" s="20" t="n">
        <f aca="false">Parametres!$B$6*D4941</f>
        <v>75.82</v>
      </c>
      <c r="G4941" s="20" t="n">
        <f aca="false">E4941+F4941</f>
        <v>238.12</v>
      </c>
      <c r="H4941" s="20" t="n">
        <f aca="false">IF(G4941&lt;Parametres!$B$8*Parametres!$B$7,0,MIN(G4941,Parametres!$B$7))</f>
        <v>238.12</v>
      </c>
      <c r="I4941" s="20" t="n">
        <f aca="false">G4941-H4941</f>
        <v>0</v>
      </c>
      <c r="J4941" s="21" t="n">
        <f aca="false">H4941*1000/Parametres!$B$9</f>
        <v>4037.98541631338</v>
      </c>
    </row>
    <row r="4942" customFormat="false" ht="15" hidden="false" customHeight="false" outlineLevel="0" collapsed="false">
      <c r="A4942" s="0" t="n">
        <v>4938</v>
      </c>
      <c r="B4942" s="0" t="n">
        <v>7</v>
      </c>
      <c r="C4942" s="19" t="n">
        <v>0.2919</v>
      </c>
      <c r="D4942" s="19" t="n">
        <v>0.2504</v>
      </c>
      <c r="E4942" s="20" t="n">
        <f aca="false">Parametres!$B$5*C4942</f>
        <v>87.57</v>
      </c>
      <c r="F4942" s="20" t="n">
        <f aca="false">Parametres!$B$6*D4942</f>
        <v>50.08</v>
      </c>
      <c r="G4942" s="20" t="n">
        <f aca="false">E4942+F4942</f>
        <v>137.65</v>
      </c>
      <c r="H4942" s="20" t="n">
        <f aca="false">IF(G4942&lt;Parametres!$B$8*Parametres!$B$7,0,MIN(G4942,Parametres!$B$7))</f>
        <v>137.65</v>
      </c>
      <c r="I4942" s="20" t="n">
        <f aca="false">G4942-H4942</f>
        <v>0</v>
      </c>
      <c r="J4942" s="21" t="n">
        <f aca="false">H4942*1000/Parametres!$B$9</f>
        <v>2334.23774800746</v>
      </c>
    </row>
    <row r="4943" customFormat="false" ht="15" hidden="false" customHeight="false" outlineLevel="0" collapsed="false">
      <c r="A4943" s="0" t="n">
        <v>4939</v>
      </c>
      <c r="B4943" s="0" t="n">
        <v>7</v>
      </c>
      <c r="C4943" s="19" t="n">
        <v>0.039</v>
      </c>
      <c r="D4943" s="19" t="n">
        <v>0.3825</v>
      </c>
      <c r="E4943" s="20" t="n">
        <f aca="false">Parametres!$B$5*C4943</f>
        <v>11.7</v>
      </c>
      <c r="F4943" s="20" t="n">
        <f aca="false">Parametres!$B$6*D4943</f>
        <v>76.5</v>
      </c>
      <c r="G4943" s="20" t="n">
        <f aca="false">E4943+F4943</f>
        <v>88.2</v>
      </c>
      <c r="H4943" s="20" t="n">
        <f aca="false">IF(G4943&lt;Parametres!$B$8*Parametres!$B$7,0,MIN(G4943,Parametres!$B$7))</f>
        <v>88.2</v>
      </c>
      <c r="I4943" s="20" t="n">
        <f aca="false">G4943-H4943</f>
        <v>0</v>
      </c>
      <c r="J4943" s="21" t="n">
        <f aca="false">H4943*1000/Parametres!$B$9</f>
        <v>1495.67576733933</v>
      </c>
    </row>
    <row r="4944" customFormat="false" ht="15" hidden="false" customHeight="false" outlineLevel="0" collapsed="false">
      <c r="A4944" s="0" t="n">
        <v>4940</v>
      </c>
      <c r="B4944" s="0" t="n">
        <v>7</v>
      </c>
      <c r="C4944" s="19" t="n">
        <v>0</v>
      </c>
      <c r="D4944" s="19" t="n">
        <v>0.3863</v>
      </c>
      <c r="E4944" s="20" t="n">
        <f aca="false">Parametres!$B$5*C4944</f>
        <v>0</v>
      </c>
      <c r="F4944" s="20" t="n">
        <f aca="false">Parametres!$B$6*D4944</f>
        <v>77.26</v>
      </c>
      <c r="G4944" s="20" t="n">
        <f aca="false">E4944+F4944</f>
        <v>77.26</v>
      </c>
      <c r="H4944" s="20" t="n">
        <f aca="false">IF(G4944&lt;Parametres!$B$8*Parametres!$B$7,0,MIN(G4944,Parametres!$B$7))</f>
        <v>77.26</v>
      </c>
      <c r="I4944" s="20" t="n">
        <f aca="false">G4944-H4944</f>
        <v>0</v>
      </c>
      <c r="J4944" s="21" t="n">
        <f aca="false">H4944*1000/Parametres!$B$9</f>
        <v>1310.1577073088</v>
      </c>
    </row>
    <row r="4945" customFormat="false" ht="15" hidden="false" customHeight="false" outlineLevel="0" collapsed="false">
      <c r="A4945" s="0" t="n">
        <v>4941</v>
      </c>
      <c r="B4945" s="0" t="n">
        <v>7</v>
      </c>
      <c r="C4945" s="19" t="n">
        <v>0</v>
      </c>
      <c r="D4945" s="19" t="n">
        <v>0.2272</v>
      </c>
      <c r="E4945" s="20" t="n">
        <f aca="false">Parametres!$B$5*C4945</f>
        <v>0</v>
      </c>
      <c r="F4945" s="20" t="n">
        <f aca="false">Parametres!$B$6*D4945</f>
        <v>45.44</v>
      </c>
      <c r="G4945" s="20" t="n">
        <f aca="false">E4945+F4945</f>
        <v>45.44</v>
      </c>
      <c r="H4945" s="20" t="n">
        <f aca="false">IF(G4945&lt;Parametres!$B$8*Parametres!$B$7,0,MIN(G4945,Parametres!$B$7))</f>
        <v>45.44</v>
      </c>
      <c r="I4945" s="20" t="n">
        <f aca="false">G4945-H4945</f>
        <v>0</v>
      </c>
      <c r="J4945" s="21" t="n">
        <f aca="false">H4945*1000/Parametres!$B$9</f>
        <v>770.561302357131</v>
      </c>
    </row>
    <row r="4946" customFormat="false" ht="15" hidden="false" customHeight="false" outlineLevel="0" collapsed="false">
      <c r="A4946" s="0" t="n">
        <v>4942</v>
      </c>
      <c r="B4946" s="0" t="n">
        <v>7</v>
      </c>
      <c r="C4946" s="19" t="n">
        <v>0</v>
      </c>
      <c r="D4946" s="19" t="n">
        <v>0.5921</v>
      </c>
      <c r="E4946" s="20" t="n">
        <f aca="false">Parametres!$B$5*C4946</f>
        <v>0</v>
      </c>
      <c r="F4946" s="20" t="n">
        <f aca="false">Parametres!$B$6*D4946</f>
        <v>118.42</v>
      </c>
      <c r="G4946" s="20" t="n">
        <f aca="false">E4946+F4946</f>
        <v>118.42</v>
      </c>
      <c r="H4946" s="20" t="n">
        <f aca="false">IF(G4946&lt;Parametres!$B$8*Parametres!$B$7,0,MIN(G4946,Parametres!$B$7))</f>
        <v>118.42</v>
      </c>
      <c r="I4946" s="20" t="n">
        <f aca="false">G4946-H4946</f>
        <v>0</v>
      </c>
      <c r="J4946" s="21" t="n">
        <f aca="false">H4946*1000/Parametres!$B$9</f>
        <v>2008.13973206715</v>
      </c>
    </row>
    <row r="4947" customFormat="false" ht="15" hidden="false" customHeight="false" outlineLevel="0" collapsed="false">
      <c r="A4947" s="0" t="n">
        <v>4943</v>
      </c>
      <c r="B4947" s="0" t="n">
        <v>7</v>
      </c>
      <c r="C4947" s="19" t="n">
        <v>0</v>
      </c>
      <c r="D4947" s="19" t="n">
        <v>0.1834</v>
      </c>
      <c r="E4947" s="20" t="n">
        <f aca="false">Parametres!$B$5*C4947</f>
        <v>0</v>
      </c>
      <c r="F4947" s="20" t="n">
        <f aca="false">Parametres!$B$6*D4947</f>
        <v>36.68</v>
      </c>
      <c r="G4947" s="20" t="n">
        <f aca="false">E4947+F4947</f>
        <v>36.68</v>
      </c>
      <c r="H4947" s="20" t="n">
        <f aca="false">IF(G4947&lt;Parametres!$B$8*Parametres!$B$7,0,MIN(G4947,Parametres!$B$7))</f>
        <v>36.68</v>
      </c>
      <c r="I4947" s="20" t="n">
        <f aca="false">G4947-H4947</f>
        <v>0</v>
      </c>
      <c r="J4947" s="21" t="n">
        <f aca="false">H4947*1000/Parametres!$B$9</f>
        <v>622.011192131592</v>
      </c>
    </row>
    <row r="4948" customFormat="false" ht="15" hidden="false" customHeight="false" outlineLevel="0" collapsed="false">
      <c r="A4948" s="0" t="n">
        <v>4944</v>
      </c>
      <c r="B4948" s="0" t="n">
        <v>7</v>
      </c>
      <c r="C4948" s="19" t="n">
        <v>0</v>
      </c>
      <c r="D4948" s="19" t="n">
        <v>0.2112</v>
      </c>
      <c r="E4948" s="20" t="n">
        <f aca="false">Parametres!$B$5*C4948</f>
        <v>0</v>
      </c>
      <c r="F4948" s="20" t="n">
        <f aca="false">Parametres!$B$6*D4948</f>
        <v>42.24</v>
      </c>
      <c r="G4948" s="20" t="n">
        <f aca="false">E4948+F4948</f>
        <v>42.24</v>
      </c>
      <c r="H4948" s="20" t="n">
        <f aca="false">IF(G4948&lt;Parametres!$B$8*Parametres!$B$7,0,MIN(G4948,Parametres!$B$7))</f>
        <v>42.24</v>
      </c>
      <c r="I4948" s="20" t="n">
        <f aca="false">G4948-H4948</f>
        <v>0</v>
      </c>
      <c r="J4948" s="21" t="n">
        <f aca="false">H4948*1000/Parametres!$B$9</f>
        <v>716.296421909446</v>
      </c>
    </row>
    <row r="4949" customFormat="false" ht="15" hidden="false" customHeight="false" outlineLevel="0" collapsed="false">
      <c r="A4949" s="0" t="n">
        <v>4945</v>
      </c>
      <c r="B4949" s="0" t="n">
        <v>7</v>
      </c>
      <c r="C4949" s="19" t="n">
        <v>0</v>
      </c>
      <c r="D4949" s="19" t="n">
        <v>0.2126</v>
      </c>
      <c r="E4949" s="20" t="n">
        <f aca="false">Parametres!$B$5*C4949</f>
        <v>0</v>
      </c>
      <c r="F4949" s="20" t="n">
        <f aca="false">Parametres!$B$6*D4949</f>
        <v>42.52</v>
      </c>
      <c r="G4949" s="20" t="n">
        <f aca="false">E4949+F4949</f>
        <v>42.52</v>
      </c>
      <c r="H4949" s="20" t="n">
        <f aca="false">IF(G4949&lt;Parametres!$B$8*Parametres!$B$7,0,MIN(G4949,Parametres!$B$7))</f>
        <v>42.52</v>
      </c>
      <c r="I4949" s="20" t="n">
        <f aca="false">G4949-H4949</f>
        <v>0</v>
      </c>
      <c r="J4949" s="21" t="n">
        <f aca="false">H4949*1000/Parametres!$B$9</f>
        <v>721.044598948618</v>
      </c>
    </row>
    <row r="4950" customFormat="false" ht="15" hidden="false" customHeight="false" outlineLevel="0" collapsed="false">
      <c r="A4950" s="0" t="n">
        <v>4946</v>
      </c>
      <c r="B4950" s="0" t="n">
        <v>7</v>
      </c>
      <c r="C4950" s="19" t="n">
        <v>0</v>
      </c>
      <c r="D4950" s="19" t="n">
        <v>0.1447</v>
      </c>
      <c r="E4950" s="20" t="n">
        <f aca="false">Parametres!$B$5*C4950</f>
        <v>0</v>
      </c>
      <c r="F4950" s="20" t="n">
        <f aca="false">Parametres!$B$6*D4950</f>
        <v>28.94</v>
      </c>
      <c r="G4950" s="20" t="n">
        <f aca="false">E4950+F4950</f>
        <v>28.94</v>
      </c>
      <c r="H4950" s="20" t="n">
        <f aca="false">IF(G4950&lt;Parametres!$B$8*Parametres!$B$7,0,MIN(G4950,Parametres!$B$7))</f>
        <v>28.94</v>
      </c>
      <c r="I4950" s="20" t="n">
        <f aca="false">G4950-H4950</f>
        <v>0</v>
      </c>
      <c r="J4950" s="21" t="n">
        <f aca="false">H4950*1000/Parametres!$B$9</f>
        <v>490.758012548754</v>
      </c>
    </row>
    <row r="4951" customFormat="false" ht="15" hidden="false" customHeight="false" outlineLevel="0" collapsed="false">
      <c r="A4951" s="0" t="n">
        <v>4947</v>
      </c>
      <c r="B4951" s="0" t="n">
        <v>7</v>
      </c>
      <c r="C4951" s="19" t="n">
        <v>0</v>
      </c>
      <c r="D4951" s="19" t="n">
        <v>0.0778</v>
      </c>
      <c r="E4951" s="20" t="n">
        <f aca="false">Parametres!$B$5*C4951</f>
        <v>0</v>
      </c>
      <c r="F4951" s="20" t="n">
        <f aca="false">Parametres!$B$6*D4951</f>
        <v>15.56</v>
      </c>
      <c r="G4951" s="20" t="n">
        <f aca="false">E4951+F4951</f>
        <v>15.56</v>
      </c>
      <c r="H4951" s="20" t="n">
        <f aca="false">IF(G4951&lt;Parametres!$B$8*Parametres!$B$7,0,MIN(G4951,Parametres!$B$7))</f>
        <v>0</v>
      </c>
      <c r="I4951" s="20" t="n">
        <f aca="false">G4951-H4951</f>
        <v>15.56</v>
      </c>
      <c r="J4951" s="21" t="n">
        <f aca="false">H4951*1000/Parametres!$B$9</f>
        <v>0</v>
      </c>
    </row>
    <row r="4952" customFormat="false" ht="15" hidden="false" customHeight="false" outlineLevel="0" collapsed="false">
      <c r="A4952" s="0" t="n">
        <v>4948</v>
      </c>
      <c r="B4952" s="0" t="n">
        <v>7</v>
      </c>
      <c r="C4952" s="19" t="n">
        <v>0</v>
      </c>
      <c r="D4952" s="19" t="n">
        <v>0.0702</v>
      </c>
      <c r="E4952" s="20" t="n">
        <f aca="false">Parametres!$B$5*C4952</f>
        <v>0</v>
      </c>
      <c r="F4952" s="20" t="n">
        <f aca="false">Parametres!$B$6*D4952</f>
        <v>14.04</v>
      </c>
      <c r="G4952" s="20" t="n">
        <f aca="false">E4952+F4952</f>
        <v>14.04</v>
      </c>
      <c r="H4952" s="20" t="n">
        <f aca="false">IF(G4952&lt;Parametres!$B$8*Parametres!$B$7,0,MIN(G4952,Parametres!$B$7))</f>
        <v>0</v>
      </c>
      <c r="I4952" s="20" t="n">
        <f aca="false">G4952-H4952</f>
        <v>14.04</v>
      </c>
      <c r="J4952" s="21" t="n">
        <f aca="false">H4952*1000/Parametres!$B$9</f>
        <v>0</v>
      </c>
    </row>
    <row r="4953" customFormat="false" ht="15" hidden="false" customHeight="false" outlineLevel="0" collapsed="false">
      <c r="A4953" s="0" t="n">
        <v>4949</v>
      </c>
      <c r="B4953" s="0" t="n">
        <v>7</v>
      </c>
      <c r="C4953" s="19" t="n">
        <v>0</v>
      </c>
      <c r="D4953" s="19" t="n">
        <v>0.1201</v>
      </c>
      <c r="E4953" s="20" t="n">
        <f aca="false">Parametres!$B$5*C4953</f>
        <v>0</v>
      </c>
      <c r="F4953" s="20" t="n">
        <f aca="false">Parametres!$B$6*D4953</f>
        <v>24.02</v>
      </c>
      <c r="G4953" s="20" t="n">
        <f aca="false">E4953+F4953</f>
        <v>24.02</v>
      </c>
      <c r="H4953" s="20" t="n">
        <f aca="false">IF(G4953&lt;Parametres!$B$8*Parametres!$B$7,0,MIN(G4953,Parametres!$B$7))</f>
        <v>0</v>
      </c>
      <c r="I4953" s="20" t="n">
        <f aca="false">G4953-H4953</f>
        <v>24.02</v>
      </c>
      <c r="J4953" s="21" t="n">
        <f aca="false">H4953*1000/Parametres!$B$9</f>
        <v>0</v>
      </c>
    </row>
    <row r="4954" customFormat="false" ht="15" hidden="false" customHeight="false" outlineLevel="0" collapsed="false">
      <c r="A4954" s="0" t="n">
        <v>4950</v>
      </c>
      <c r="B4954" s="0" t="n">
        <v>7</v>
      </c>
      <c r="C4954" s="19" t="n">
        <v>0.033</v>
      </c>
      <c r="D4954" s="19" t="n">
        <v>0.1856</v>
      </c>
      <c r="E4954" s="20" t="n">
        <f aca="false">Parametres!$B$5*C4954</f>
        <v>9.9</v>
      </c>
      <c r="F4954" s="20" t="n">
        <f aca="false">Parametres!$B$6*D4954</f>
        <v>37.12</v>
      </c>
      <c r="G4954" s="20" t="n">
        <f aca="false">E4954+F4954</f>
        <v>47.02</v>
      </c>
      <c r="H4954" s="20" t="n">
        <f aca="false">IF(G4954&lt;Parametres!$B$8*Parametres!$B$7,0,MIN(G4954,Parametres!$B$7))</f>
        <v>47.02</v>
      </c>
      <c r="I4954" s="20" t="n">
        <f aca="false">G4954-H4954</f>
        <v>0</v>
      </c>
      <c r="J4954" s="21" t="n">
        <f aca="false">H4954*1000/Parametres!$B$9</f>
        <v>797.354587078175</v>
      </c>
    </row>
    <row r="4955" customFormat="false" ht="15" hidden="false" customHeight="false" outlineLevel="0" collapsed="false">
      <c r="A4955" s="0" t="n">
        <v>4951</v>
      </c>
      <c r="B4955" s="0" t="n">
        <v>7</v>
      </c>
      <c r="C4955" s="19" t="n">
        <v>0.2183</v>
      </c>
      <c r="D4955" s="19" t="n">
        <v>0.2421</v>
      </c>
      <c r="E4955" s="20" t="n">
        <f aca="false">Parametres!$B$5*C4955</f>
        <v>65.49</v>
      </c>
      <c r="F4955" s="20" t="n">
        <f aca="false">Parametres!$B$6*D4955</f>
        <v>48.42</v>
      </c>
      <c r="G4955" s="20" t="n">
        <f aca="false">E4955+F4955</f>
        <v>113.91</v>
      </c>
      <c r="H4955" s="20" t="n">
        <f aca="false">IF(G4955&lt;Parametres!$B$8*Parametres!$B$7,0,MIN(G4955,Parametres!$B$7))</f>
        <v>113.91</v>
      </c>
      <c r="I4955" s="20" t="n">
        <f aca="false">G4955-H4955</f>
        <v>0</v>
      </c>
      <c r="J4955" s="21" t="n">
        <f aca="false">H4955*1000/Parametres!$B$9</f>
        <v>1931.6601661862</v>
      </c>
    </row>
    <row r="4956" customFormat="false" ht="15" hidden="false" customHeight="false" outlineLevel="0" collapsed="false">
      <c r="A4956" s="0" t="n">
        <v>4952</v>
      </c>
      <c r="B4956" s="0" t="n">
        <v>7</v>
      </c>
      <c r="C4956" s="19" t="n">
        <v>0.4488</v>
      </c>
      <c r="D4956" s="19" t="n">
        <v>0.2889</v>
      </c>
      <c r="E4956" s="20" t="n">
        <f aca="false">Parametres!$B$5*C4956</f>
        <v>134.64</v>
      </c>
      <c r="F4956" s="20" t="n">
        <f aca="false">Parametres!$B$6*D4956</f>
        <v>57.78</v>
      </c>
      <c r="G4956" s="20" t="n">
        <f aca="false">E4956+F4956</f>
        <v>192.42</v>
      </c>
      <c r="H4956" s="20" t="n">
        <f aca="false">IF(G4956&lt;Parametres!$B$8*Parametres!$B$7,0,MIN(G4956,Parametres!$B$7))</f>
        <v>192.42</v>
      </c>
      <c r="I4956" s="20" t="n">
        <f aca="false">G4956-H4956</f>
        <v>0</v>
      </c>
      <c r="J4956" s="21" t="n">
        <f aca="false">H4956*1000/Parametres!$B$9</f>
        <v>3263.01509241987</v>
      </c>
    </row>
    <row r="4957" customFormat="false" ht="15" hidden="false" customHeight="false" outlineLevel="0" collapsed="false">
      <c r="A4957" s="0" t="n">
        <v>4953</v>
      </c>
      <c r="B4957" s="0" t="n">
        <v>7</v>
      </c>
      <c r="C4957" s="19" t="n">
        <v>0.6415</v>
      </c>
      <c r="D4957" s="19" t="n">
        <v>0.3308</v>
      </c>
      <c r="E4957" s="20" t="n">
        <f aca="false">Parametres!$B$5*C4957</f>
        <v>192.45</v>
      </c>
      <c r="F4957" s="20" t="n">
        <f aca="false">Parametres!$B$6*D4957</f>
        <v>66.16</v>
      </c>
      <c r="G4957" s="20" t="n">
        <f aca="false">E4957+F4957</f>
        <v>258.61</v>
      </c>
      <c r="H4957" s="20" t="n">
        <f aca="false">IF(G4957&lt;Parametres!$B$8*Parametres!$B$7,0,MIN(G4957,Parametres!$B$7))</f>
        <v>250</v>
      </c>
      <c r="I4957" s="20" t="n">
        <f aca="false">G4957-H4957</f>
        <v>8.61000000000001</v>
      </c>
      <c r="J4957" s="21" t="n">
        <f aca="false">H4957*1000/Parametres!$B$9</f>
        <v>4239.44378497541</v>
      </c>
    </row>
    <row r="4958" customFormat="false" ht="15" hidden="false" customHeight="false" outlineLevel="0" collapsed="false">
      <c r="A4958" s="0" t="n">
        <v>4954</v>
      </c>
      <c r="B4958" s="0" t="n">
        <v>7</v>
      </c>
      <c r="C4958" s="19" t="n">
        <v>0.8027</v>
      </c>
      <c r="D4958" s="19" t="n">
        <v>0.5282</v>
      </c>
      <c r="E4958" s="20" t="n">
        <f aca="false">Parametres!$B$5*C4958</f>
        <v>240.81</v>
      </c>
      <c r="F4958" s="20" t="n">
        <f aca="false">Parametres!$B$6*D4958</f>
        <v>105.64</v>
      </c>
      <c r="G4958" s="20" t="n">
        <f aca="false">E4958+F4958</f>
        <v>346.45</v>
      </c>
      <c r="H4958" s="20" t="n">
        <f aca="false">IF(G4958&lt;Parametres!$B$8*Parametres!$B$7,0,MIN(G4958,Parametres!$B$7))</f>
        <v>250</v>
      </c>
      <c r="I4958" s="20" t="n">
        <f aca="false">G4958-H4958</f>
        <v>96.45</v>
      </c>
      <c r="J4958" s="21" t="n">
        <f aca="false">H4958*1000/Parametres!$B$9</f>
        <v>4239.44378497541</v>
      </c>
    </row>
    <row r="4959" customFormat="false" ht="15" hidden="false" customHeight="false" outlineLevel="0" collapsed="false">
      <c r="A4959" s="0" t="n">
        <v>4955</v>
      </c>
      <c r="B4959" s="0" t="n">
        <v>7</v>
      </c>
      <c r="C4959" s="19" t="n">
        <v>0.9601</v>
      </c>
      <c r="D4959" s="19" t="n">
        <v>0.6259</v>
      </c>
      <c r="E4959" s="20" t="n">
        <f aca="false">Parametres!$B$5*C4959</f>
        <v>288.03</v>
      </c>
      <c r="F4959" s="20" t="n">
        <f aca="false">Parametres!$B$6*D4959</f>
        <v>125.18</v>
      </c>
      <c r="G4959" s="20" t="n">
        <f aca="false">E4959+F4959</f>
        <v>413.21</v>
      </c>
      <c r="H4959" s="20" t="n">
        <f aca="false">IF(G4959&lt;Parametres!$B$8*Parametres!$B$7,0,MIN(G4959,Parametres!$B$7))</f>
        <v>250</v>
      </c>
      <c r="I4959" s="20" t="n">
        <f aca="false">G4959-H4959</f>
        <v>163.21</v>
      </c>
      <c r="J4959" s="21" t="n">
        <f aca="false">H4959*1000/Parametres!$B$9</f>
        <v>4239.44378497541</v>
      </c>
    </row>
    <row r="4960" customFormat="false" ht="15" hidden="false" customHeight="false" outlineLevel="0" collapsed="false">
      <c r="A4960" s="0" t="n">
        <v>4956</v>
      </c>
      <c r="B4960" s="0" t="n">
        <v>7</v>
      </c>
      <c r="C4960" s="19" t="n">
        <v>1</v>
      </c>
      <c r="D4960" s="19" t="n">
        <v>0.7635</v>
      </c>
      <c r="E4960" s="20" t="n">
        <f aca="false">Parametres!$B$5*C4960</f>
        <v>300</v>
      </c>
      <c r="F4960" s="20" t="n">
        <f aca="false">Parametres!$B$6*D4960</f>
        <v>152.7</v>
      </c>
      <c r="G4960" s="20" t="n">
        <f aca="false">E4960+F4960</f>
        <v>452.7</v>
      </c>
      <c r="H4960" s="20" t="n">
        <f aca="false">IF(G4960&lt;Parametres!$B$8*Parametres!$B$7,0,MIN(G4960,Parametres!$B$7))</f>
        <v>250</v>
      </c>
      <c r="I4960" s="20" t="n">
        <f aca="false">G4960-H4960</f>
        <v>202.7</v>
      </c>
      <c r="J4960" s="21" t="n">
        <f aca="false">H4960*1000/Parametres!$B$9</f>
        <v>4239.44378497541</v>
      </c>
    </row>
    <row r="4961" customFormat="false" ht="15" hidden="false" customHeight="false" outlineLevel="0" collapsed="false">
      <c r="A4961" s="0" t="n">
        <v>4957</v>
      </c>
      <c r="B4961" s="0" t="n">
        <v>7</v>
      </c>
      <c r="C4961" s="19" t="n">
        <v>1</v>
      </c>
      <c r="D4961" s="19" t="n">
        <v>1</v>
      </c>
      <c r="E4961" s="20" t="n">
        <f aca="false">Parametres!$B$5*C4961</f>
        <v>300</v>
      </c>
      <c r="F4961" s="20" t="n">
        <f aca="false">Parametres!$B$6*D4961</f>
        <v>200</v>
      </c>
      <c r="G4961" s="20" t="n">
        <f aca="false">E4961+F4961</f>
        <v>500</v>
      </c>
      <c r="H4961" s="20" t="n">
        <f aca="false">IF(G4961&lt;Parametres!$B$8*Parametres!$B$7,0,MIN(G4961,Parametres!$B$7))</f>
        <v>250</v>
      </c>
      <c r="I4961" s="20" t="n">
        <f aca="false">G4961-H4961</f>
        <v>250</v>
      </c>
      <c r="J4961" s="21" t="n">
        <f aca="false">H4961*1000/Parametres!$B$9</f>
        <v>4239.44378497541</v>
      </c>
    </row>
    <row r="4962" customFormat="false" ht="15" hidden="false" customHeight="false" outlineLevel="0" collapsed="false">
      <c r="A4962" s="0" t="n">
        <v>4958</v>
      </c>
      <c r="B4962" s="0" t="n">
        <v>7</v>
      </c>
      <c r="C4962" s="19" t="n">
        <v>0.9125</v>
      </c>
      <c r="D4962" s="19" t="n">
        <v>1</v>
      </c>
      <c r="E4962" s="20" t="n">
        <f aca="false">Parametres!$B$5*C4962</f>
        <v>273.75</v>
      </c>
      <c r="F4962" s="20" t="n">
        <f aca="false">Parametres!$B$6*D4962</f>
        <v>200</v>
      </c>
      <c r="G4962" s="20" t="n">
        <f aca="false">E4962+F4962</f>
        <v>473.75</v>
      </c>
      <c r="H4962" s="20" t="n">
        <f aca="false">IF(G4962&lt;Parametres!$B$8*Parametres!$B$7,0,MIN(G4962,Parametres!$B$7))</f>
        <v>250</v>
      </c>
      <c r="I4962" s="20" t="n">
        <f aca="false">G4962-H4962</f>
        <v>223.75</v>
      </c>
      <c r="J4962" s="21" t="n">
        <f aca="false">H4962*1000/Parametres!$B$9</f>
        <v>4239.44378497541</v>
      </c>
    </row>
    <row r="4963" customFormat="false" ht="15" hidden="false" customHeight="false" outlineLevel="0" collapsed="false">
      <c r="A4963" s="0" t="n">
        <v>4959</v>
      </c>
      <c r="B4963" s="0" t="n">
        <v>7</v>
      </c>
      <c r="C4963" s="19" t="n">
        <v>0.8786</v>
      </c>
      <c r="D4963" s="19" t="n">
        <v>1</v>
      </c>
      <c r="E4963" s="20" t="n">
        <f aca="false">Parametres!$B$5*C4963</f>
        <v>263.58</v>
      </c>
      <c r="F4963" s="20" t="n">
        <f aca="false">Parametres!$B$6*D4963</f>
        <v>200</v>
      </c>
      <c r="G4963" s="20" t="n">
        <f aca="false">E4963+F4963</f>
        <v>463.58</v>
      </c>
      <c r="H4963" s="20" t="n">
        <f aca="false">IF(G4963&lt;Parametres!$B$8*Parametres!$B$7,0,MIN(G4963,Parametres!$B$7))</f>
        <v>250</v>
      </c>
      <c r="I4963" s="20" t="n">
        <f aca="false">G4963-H4963</f>
        <v>213.58</v>
      </c>
      <c r="J4963" s="21" t="n">
        <f aca="false">H4963*1000/Parametres!$B$9</f>
        <v>4239.44378497541</v>
      </c>
    </row>
    <row r="4964" customFormat="false" ht="15" hidden="false" customHeight="false" outlineLevel="0" collapsed="false">
      <c r="A4964" s="0" t="n">
        <v>4960</v>
      </c>
      <c r="B4964" s="0" t="n">
        <v>7</v>
      </c>
      <c r="C4964" s="19" t="n">
        <v>0.6413</v>
      </c>
      <c r="D4964" s="19" t="n">
        <v>1</v>
      </c>
      <c r="E4964" s="20" t="n">
        <f aca="false">Parametres!$B$5*C4964</f>
        <v>192.39</v>
      </c>
      <c r="F4964" s="20" t="n">
        <f aca="false">Parametres!$B$6*D4964</f>
        <v>200</v>
      </c>
      <c r="G4964" s="20" t="n">
        <f aca="false">E4964+F4964</f>
        <v>392.39</v>
      </c>
      <c r="H4964" s="20" t="n">
        <f aca="false">IF(G4964&lt;Parametres!$B$8*Parametres!$B$7,0,MIN(G4964,Parametres!$B$7))</f>
        <v>250</v>
      </c>
      <c r="I4964" s="20" t="n">
        <f aca="false">G4964-H4964</f>
        <v>142.39</v>
      </c>
      <c r="J4964" s="21" t="n">
        <f aca="false">H4964*1000/Parametres!$B$9</f>
        <v>4239.44378497541</v>
      </c>
    </row>
    <row r="4965" customFormat="false" ht="15" hidden="false" customHeight="false" outlineLevel="0" collapsed="false">
      <c r="A4965" s="0" t="n">
        <v>4961</v>
      </c>
      <c r="B4965" s="0" t="n">
        <v>7</v>
      </c>
      <c r="C4965" s="19" t="n">
        <v>0.4139</v>
      </c>
      <c r="D4965" s="19" t="n">
        <v>1</v>
      </c>
      <c r="E4965" s="20" t="n">
        <f aca="false">Parametres!$B$5*C4965</f>
        <v>124.17</v>
      </c>
      <c r="F4965" s="20" t="n">
        <f aca="false">Parametres!$B$6*D4965</f>
        <v>200</v>
      </c>
      <c r="G4965" s="20" t="n">
        <f aca="false">E4965+F4965</f>
        <v>324.17</v>
      </c>
      <c r="H4965" s="20" t="n">
        <f aca="false">IF(G4965&lt;Parametres!$B$8*Parametres!$B$7,0,MIN(G4965,Parametres!$B$7))</f>
        <v>250</v>
      </c>
      <c r="I4965" s="20" t="n">
        <f aca="false">G4965-H4965</f>
        <v>74.17</v>
      </c>
      <c r="J4965" s="21" t="n">
        <f aca="false">H4965*1000/Parametres!$B$9</f>
        <v>4239.44378497541</v>
      </c>
    </row>
    <row r="4966" customFormat="false" ht="15" hidden="false" customHeight="false" outlineLevel="0" collapsed="false">
      <c r="A4966" s="0" t="n">
        <v>4962</v>
      </c>
      <c r="B4966" s="0" t="n">
        <v>7</v>
      </c>
      <c r="C4966" s="19" t="n">
        <v>0.219</v>
      </c>
      <c r="D4966" s="19" t="n">
        <v>1</v>
      </c>
      <c r="E4966" s="20" t="n">
        <f aca="false">Parametres!$B$5*C4966</f>
        <v>65.7</v>
      </c>
      <c r="F4966" s="20" t="n">
        <f aca="false">Parametres!$B$6*D4966</f>
        <v>200</v>
      </c>
      <c r="G4966" s="20" t="n">
        <f aca="false">E4966+F4966</f>
        <v>265.7</v>
      </c>
      <c r="H4966" s="20" t="n">
        <f aca="false">IF(G4966&lt;Parametres!$B$8*Parametres!$B$7,0,MIN(G4966,Parametres!$B$7))</f>
        <v>250</v>
      </c>
      <c r="I4966" s="20" t="n">
        <f aca="false">G4966-H4966</f>
        <v>15.7</v>
      </c>
      <c r="J4966" s="21" t="n">
        <f aca="false">H4966*1000/Parametres!$B$9</f>
        <v>4239.44378497541</v>
      </c>
    </row>
    <row r="4967" customFormat="false" ht="15" hidden="false" customHeight="false" outlineLevel="0" collapsed="false">
      <c r="A4967" s="0" t="n">
        <v>4963</v>
      </c>
      <c r="B4967" s="0" t="n">
        <v>7</v>
      </c>
      <c r="C4967" s="19" t="n">
        <v>0.0325</v>
      </c>
      <c r="D4967" s="19" t="n">
        <v>1</v>
      </c>
      <c r="E4967" s="20" t="n">
        <f aca="false">Parametres!$B$5*C4967</f>
        <v>9.75</v>
      </c>
      <c r="F4967" s="20" t="n">
        <f aca="false">Parametres!$B$6*D4967</f>
        <v>200</v>
      </c>
      <c r="G4967" s="20" t="n">
        <f aca="false">E4967+F4967</f>
        <v>209.75</v>
      </c>
      <c r="H4967" s="20" t="n">
        <f aca="false">IF(G4967&lt;Parametres!$B$8*Parametres!$B$7,0,MIN(G4967,Parametres!$B$7))</f>
        <v>209.75</v>
      </c>
      <c r="I4967" s="20" t="n">
        <f aca="false">G4967-H4967</f>
        <v>0</v>
      </c>
      <c r="J4967" s="21" t="n">
        <f aca="false">H4967*1000/Parametres!$B$9</f>
        <v>3556.89333559437</v>
      </c>
    </row>
    <row r="4968" customFormat="false" ht="15" hidden="false" customHeight="false" outlineLevel="0" collapsed="false">
      <c r="A4968" s="0" t="n">
        <v>4964</v>
      </c>
      <c r="B4968" s="0" t="n">
        <v>7</v>
      </c>
      <c r="C4968" s="19" t="n">
        <v>0</v>
      </c>
      <c r="D4968" s="19" t="n">
        <v>0.9821</v>
      </c>
      <c r="E4968" s="20" t="n">
        <f aca="false">Parametres!$B$5*C4968</f>
        <v>0</v>
      </c>
      <c r="F4968" s="20" t="n">
        <f aca="false">Parametres!$B$6*D4968</f>
        <v>196.42</v>
      </c>
      <c r="G4968" s="20" t="n">
        <f aca="false">E4968+F4968</f>
        <v>196.42</v>
      </c>
      <c r="H4968" s="20" t="n">
        <f aca="false">IF(G4968&lt;Parametres!$B$8*Parametres!$B$7,0,MIN(G4968,Parametres!$B$7))</f>
        <v>196.42</v>
      </c>
      <c r="I4968" s="20" t="n">
        <f aca="false">G4968-H4968</f>
        <v>0</v>
      </c>
      <c r="J4968" s="21" t="n">
        <f aca="false">H4968*1000/Parametres!$B$9</f>
        <v>3330.84619297948</v>
      </c>
    </row>
    <row r="4969" customFormat="false" ht="15" hidden="false" customHeight="false" outlineLevel="0" collapsed="false">
      <c r="A4969" s="0" t="n">
        <v>4965</v>
      </c>
      <c r="B4969" s="0" t="n">
        <v>7</v>
      </c>
      <c r="C4969" s="19" t="n">
        <v>0</v>
      </c>
      <c r="D4969" s="19" t="n">
        <v>0.6714</v>
      </c>
      <c r="E4969" s="20" t="n">
        <f aca="false">Parametres!$B$5*C4969</f>
        <v>0</v>
      </c>
      <c r="F4969" s="20" t="n">
        <f aca="false">Parametres!$B$6*D4969</f>
        <v>134.28</v>
      </c>
      <c r="G4969" s="20" t="n">
        <f aca="false">E4969+F4969</f>
        <v>134.28</v>
      </c>
      <c r="H4969" s="20" t="n">
        <f aca="false">IF(G4969&lt;Parametres!$B$8*Parametres!$B$7,0,MIN(G4969,Parametres!$B$7))</f>
        <v>134.28</v>
      </c>
      <c r="I4969" s="20" t="n">
        <f aca="false">G4969-H4969</f>
        <v>0</v>
      </c>
      <c r="J4969" s="21" t="n">
        <f aca="false">H4969*1000/Parametres!$B$9</f>
        <v>2277.09004578599</v>
      </c>
    </row>
    <row r="4970" customFormat="false" ht="15" hidden="false" customHeight="false" outlineLevel="0" collapsed="false">
      <c r="A4970" s="0" t="n">
        <v>4966</v>
      </c>
      <c r="B4970" s="0" t="n">
        <v>7</v>
      </c>
      <c r="C4970" s="19" t="n">
        <v>0</v>
      </c>
      <c r="D4970" s="19" t="n">
        <v>0.6941</v>
      </c>
      <c r="E4970" s="20" t="n">
        <f aca="false">Parametres!$B$5*C4970</f>
        <v>0</v>
      </c>
      <c r="F4970" s="20" t="n">
        <f aca="false">Parametres!$B$6*D4970</f>
        <v>138.82</v>
      </c>
      <c r="G4970" s="20" t="n">
        <f aca="false">E4970+F4970</f>
        <v>138.82</v>
      </c>
      <c r="H4970" s="20" t="n">
        <f aca="false">IF(G4970&lt;Parametres!$B$8*Parametres!$B$7,0,MIN(G4970,Parametres!$B$7))</f>
        <v>138.82</v>
      </c>
      <c r="I4970" s="20" t="n">
        <f aca="false">G4970-H4970</f>
        <v>0</v>
      </c>
      <c r="J4970" s="21" t="n">
        <f aca="false">H4970*1000/Parametres!$B$9</f>
        <v>2354.07834492115</v>
      </c>
    </row>
    <row r="4971" customFormat="false" ht="15" hidden="false" customHeight="false" outlineLevel="0" collapsed="false">
      <c r="A4971" s="0" t="n">
        <v>4967</v>
      </c>
      <c r="B4971" s="0" t="n">
        <v>7</v>
      </c>
      <c r="C4971" s="19" t="n">
        <v>0</v>
      </c>
      <c r="D4971" s="19" t="n">
        <v>0.7384</v>
      </c>
      <c r="E4971" s="20" t="n">
        <f aca="false">Parametres!$B$5*C4971</f>
        <v>0</v>
      </c>
      <c r="F4971" s="20" t="n">
        <f aca="false">Parametres!$B$6*D4971</f>
        <v>147.68</v>
      </c>
      <c r="G4971" s="20" t="n">
        <f aca="false">E4971+F4971</f>
        <v>147.68</v>
      </c>
      <c r="H4971" s="20" t="n">
        <f aca="false">IF(G4971&lt;Parametres!$B$8*Parametres!$B$7,0,MIN(G4971,Parametres!$B$7))</f>
        <v>147.68</v>
      </c>
      <c r="I4971" s="20" t="n">
        <f aca="false">G4971-H4971</f>
        <v>0</v>
      </c>
      <c r="J4971" s="21" t="n">
        <f aca="false">H4971*1000/Parametres!$B$9</f>
        <v>2504.32423266067</v>
      </c>
    </row>
    <row r="4972" customFormat="false" ht="15" hidden="false" customHeight="false" outlineLevel="0" collapsed="false">
      <c r="A4972" s="0" t="n">
        <v>4968</v>
      </c>
      <c r="B4972" s="0" t="n">
        <v>7</v>
      </c>
      <c r="C4972" s="19" t="n">
        <v>0</v>
      </c>
      <c r="D4972" s="19" t="n">
        <v>1</v>
      </c>
      <c r="E4972" s="20" t="n">
        <f aca="false">Parametres!$B$5*C4972</f>
        <v>0</v>
      </c>
      <c r="F4972" s="20" t="n">
        <f aca="false">Parametres!$B$6*D4972</f>
        <v>200</v>
      </c>
      <c r="G4972" s="20" t="n">
        <f aca="false">E4972+F4972</f>
        <v>200</v>
      </c>
      <c r="H4972" s="20" t="n">
        <f aca="false">IF(G4972&lt;Parametres!$B$8*Parametres!$B$7,0,MIN(G4972,Parametres!$B$7))</f>
        <v>200</v>
      </c>
      <c r="I4972" s="20" t="n">
        <f aca="false">G4972-H4972</f>
        <v>0</v>
      </c>
      <c r="J4972" s="21" t="n">
        <f aca="false">H4972*1000/Parametres!$B$9</f>
        <v>3391.55502798033</v>
      </c>
    </row>
    <row r="4973" customFormat="false" ht="15" hidden="false" customHeight="false" outlineLevel="0" collapsed="false">
      <c r="A4973" s="0" t="n">
        <v>4969</v>
      </c>
      <c r="B4973" s="0" t="n">
        <v>7</v>
      </c>
      <c r="C4973" s="19" t="n">
        <v>0</v>
      </c>
      <c r="D4973" s="19" t="n">
        <v>1</v>
      </c>
      <c r="E4973" s="20" t="n">
        <f aca="false">Parametres!$B$5*C4973</f>
        <v>0</v>
      </c>
      <c r="F4973" s="20" t="n">
        <f aca="false">Parametres!$B$6*D4973</f>
        <v>200</v>
      </c>
      <c r="G4973" s="20" t="n">
        <f aca="false">E4973+F4973</f>
        <v>200</v>
      </c>
      <c r="H4973" s="20" t="n">
        <f aca="false">IF(G4973&lt;Parametres!$B$8*Parametres!$B$7,0,MIN(G4973,Parametres!$B$7))</f>
        <v>200</v>
      </c>
      <c r="I4973" s="20" t="n">
        <f aca="false">G4973-H4973</f>
        <v>0</v>
      </c>
      <c r="J4973" s="21" t="n">
        <f aca="false">H4973*1000/Parametres!$B$9</f>
        <v>3391.55502798033</v>
      </c>
    </row>
    <row r="4974" customFormat="false" ht="15" hidden="false" customHeight="false" outlineLevel="0" collapsed="false">
      <c r="A4974" s="0" t="n">
        <v>4970</v>
      </c>
      <c r="B4974" s="0" t="n">
        <v>7</v>
      </c>
      <c r="C4974" s="19" t="n">
        <v>0</v>
      </c>
      <c r="D4974" s="19" t="n">
        <v>1</v>
      </c>
      <c r="E4974" s="20" t="n">
        <f aca="false">Parametres!$B$5*C4974</f>
        <v>0</v>
      </c>
      <c r="F4974" s="20" t="n">
        <f aca="false">Parametres!$B$6*D4974</f>
        <v>200</v>
      </c>
      <c r="G4974" s="20" t="n">
        <f aca="false">E4974+F4974</f>
        <v>200</v>
      </c>
      <c r="H4974" s="20" t="n">
        <f aca="false">IF(G4974&lt;Parametres!$B$8*Parametres!$B$7,0,MIN(G4974,Parametres!$B$7))</f>
        <v>200</v>
      </c>
      <c r="I4974" s="20" t="n">
        <f aca="false">G4974-H4974</f>
        <v>0</v>
      </c>
      <c r="J4974" s="21" t="n">
        <f aca="false">H4974*1000/Parametres!$B$9</f>
        <v>3391.55502798033</v>
      </c>
    </row>
    <row r="4975" customFormat="false" ht="15" hidden="false" customHeight="false" outlineLevel="0" collapsed="false">
      <c r="A4975" s="0" t="n">
        <v>4971</v>
      </c>
      <c r="B4975" s="0" t="n">
        <v>7</v>
      </c>
      <c r="C4975" s="19" t="n">
        <v>0</v>
      </c>
      <c r="D4975" s="19" t="n">
        <v>1</v>
      </c>
      <c r="E4975" s="20" t="n">
        <f aca="false">Parametres!$B$5*C4975</f>
        <v>0</v>
      </c>
      <c r="F4975" s="20" t="n">
        <f aca="false">Parametres!$B$6*D4975</f>
        <v>200</v>
      </c>
      <c r="G4975" s="20" t="n">
        <f aca="false">E4975+F4975</f>
        <v>200</v>
      </c>
      <c r="H4975" s="20" t="n">
        <f aca="false">IF(G4975&lt;Parametres!$B$8*Parametres!$B$7,0,MIN(G4975,Parametres!$B$7))</f>
        <v>200</v>
      </c>
      <c r="I4975" s="20" t="n">
        <f aca="false">G4975-H4975</f>
        <v>0</v>
      </c>
      <c r="J4975" s="21" t="n">
        <f aca="false">H4975*1000/Parametres!$B$9</f>
        <v>3391.55502798033</v>
      </c>
    </row>
    <row r="4976" customFormat="false" ht="15" hidden="false" customHeight="false" outlineLevel="0" collapsed="false">
      <c r="A4976" s="0" t="n">
        <v>4972</v>
      </c>
      <c r="B4976" s="0" t="n">
        <v>7</v>
      </c>
      <c r="C4976" s="19" t="n">
        <v>0</v>
      </c>
      <c r="D4976" s="19" t="n">
        <v>1</v>
      </c>
      <c r="E4976" s="20" t="n">
        <f aca="false">Parametres!$B$5*C4976</f>
        <v>0</v>
      </c>
      <c r="F4976" s="20" t="n">
        <f aca="false">Parametres!$B$6*D4976</f>
        <v>200</v>
      </c>
      <c r="G4976" s="20" t="n">
        <f aca="false">E4976+F4976</f>
        <v>200</v>
      </c>
      <c r="H4976" s="20" t="n">
        <f aca="false">IF(G4976&lt;Parametres!$B$8*Parametres!$B$7,0,MIN(G4976,Parametres!$B$7))</f>
        <v>200</v>
      </c>
      <c r="I4976" s="20" t="n">
        <f aca="false">G4976-H4976</f>
        <v>0</v>
      </c>
      <c r="J4976" s="21" t="n">
        <f aca="false">H4976*1000/Parametres!$B$9</f>
        <v>3391.55502798033</v>
      </c>
    </row>
    <row r="4977" customFormat="false" ht="15" hidden="false" customHeight="false" outlineLevel="0" collapsed="false">
      <c r="A4977" s="0" t="n">
        <v>4973</v>
      </c>
      <c r="B4977" s="0" t="n">
        <v>7</v>
      </c>
      <c r="C4977" s="19" t="n">
        <v>0</v>
      </c>
      <c r="D4977" s="19" t="n">
        <v>1</v>
      </c>
      <c r="E4977" s="20" t="n">
        <f aca="false">Parametres!$B$5*C4977</f>
        <v>0</v>
      </c>
      <c r="F4977" s="20" t="n">
        <f aca="false">Parametres!$B$6*D4977</f>
        <v>200</v>
      </c>
      <c r="G4977" s="20" t="n">
        <f aca="false">E4977+F4977</f>
        <v>200</v>
      </c>
      <c r="H4977" s="20" t="n">
        <f aca="false">IF(G4977&lt;Parametres!$B$8*Parametres!$B$7,0,MIN(G4977,Parametres!$B$7))</f>
        <v>200</v>
      </c>
      <c r="I4977" s="20" t="n">
        <f aca="false">G4977-H4977</f>
        <v>0</v>
      </c>
      <c r="J4977" s="21" t="n">
        <f aca="false">H4977*1000/Parametres!$B$9</f>
        <v>3391.55502798033</v>
      </c>
    </row>
    <row r="4978" customFormat="false" ht="15" hidden="false" customHeight="false" outlineLevel="0" collapsed="false">
      <c r="A4978" s="0" t="n">
        <v>4974</v>
      </c>
      <c r="B4978" s="0" t="n">
        <v>7</v>
      </c>
      <c r="C4978" s="19" t="n">
        <v>0.0431</v>
      </c>
      <c r="D4978" s="19" t="n">
        <v>1</v>
      </c>
      <c r="E4978" s="20" t="n">
        <f aca="false">Parametres!$B$5*C4978</f>
        <v>12.93</v>
      </c>
      <c r="F4978" s="20" t="n">
        <f aca="false">Parametres!$B$6*D4978</f>
        <v>200</v>
      </c>
      <c r="G4978" s="20" t="n">
        <f aca="false">E4978+F4978</f>
        <v>212.93</v>
      </c>
      <c r="H4978" s="20" t="n">
        <f aca="false">IF(G4978&lt;Parametres!$B$8*Parametres!$B$7,0,MIN(G4978,Parametres!$B$7))</f>
        <v>212.93</v>
      </c>
      <c r="I4978" s="20" t="n">
        <f aca="false">G4978-H4978</f>
        <v>0</v>
      </c>
      <c r="J4978" s="21" t="n">
        <f aca="false">H4978*1000/Parametres!$B$9</f>
        <v>3610.81906053926</v>
      </c>
    </row>
    <row r="4979" customFormat="false" ht="15" hidden="false" customHeight="false" outlineLevel="0" collapsed="false">
      <c r="A4979" s="0" t="n">
        <v>4975</v>
      </c>
      <c r="B4979" s="0" t="n">
        <v>7</v>
      </c>
      <c r="C4979" s="19" t="n">
        <v>0.3096</v>
      </c>
      <c r="D4979" s="19" t="n">
        <v>1</v>
      </c>
      <c r="E4979" s="20" t="n">
        <f aca="false">Parametres!$B$5*C4979</f>
        <v>92.88</v>
      </c>
      <c r="F4979" s="20" t="n">
        <f aca="false">Parametres!$B$6*D4979</f>
        <v>200</v>
      </c>
      <c r="G4979" s="20" t="n">
        <f aca="false">E4979+F4979</f>
        <v>292.88</v>
      </c>
      <c r="H4979" s="20" t="n">
        <f aca="false">IF(G4979&lt;Parametres!$B$8*Parametres!$B$7,0,MIN(G4979,Parametres!$B$7))</f>
        <v>250</v>
      </c>
      <c r="I4979" s="20" t="n">
        <f aca="false">G4979-H4979</f>
        <v>42.88</v>
      </c>
      <c r="J4979" s="21" t="n">
        <f aca="false">H4979*1000/Parametres!$B$9</f>
        <v>4239.44378497541</v>
      </c>
    </row>
    <row r="4980" customFormat="false" ht="15" hidden="false" customHeight="false" outlineLevel="0" collapsed="false">
      <c r="A4980" s="0" t="n">
        <v>4976</v>
      </c>
      <c r="B4980" s="0" t="n">
        <v>7</v>
      </c>
      <c r="C4980" s="19" t="n">
        <v>0.6262</v>
      </c>
      <c r="D4980" s="19" t="n">
        <v>1</v>
      </c>
      <c r="E4980" s="20" t="n">
        <f aca="false">Parametres!$B$5*C4980</f>
        <v>187.86</v>
      </c>
      <c r="F4980" s="20" t="n">
        <f aca="false">Parametres!$B$6*D4980</f>
        <v>200</v>
      </c>
      <c r="G4980" s="20" t="n">
        <f aca="false">E4980+F4980</f>
        <v>387.86</v>
      </c>
      <c r="H4980" s="20" t="n">
        <f aca="false">IF(G4980&lt;Parametres!$B$8*Parametres!$B$7,0,MIN(G4980,Parametres!$B$7))</f>
        <v>250</v>
      </c>
      <c r="I4980" s="20" t="n">
        <f aca="false">G4980-H4980</f>
        <v>137.86</v>
      </c>
      <c r="J4980" s="21" t="n">
        <f aca="false">H4980*1000/Parametres!$B$9</f>
        <v>4239.44378497541</v>
      </c>
    </row>
    <row r="4981" customFormat="false" ht="15" hidden="false" customHeight="false" outlineLevel="0" collapsed="false">
      <c r="A4981" s="0" t="n">
        <v>4977</v>
      </c>
      <c r="B4981" s="0" t="n">
        <v>7</v>
      </c>
      <c r="C4981" s="19" t="n">
        <v>0.8698</v>
      </c>
      <c r="D4981" s="19" t="n">
        <v>1</v>
      </c>
      <c r="E4981" s="20" t="n">
        <f aca="false">Parametres!$B$5*C4981</f>
        <v>260.94</v>
      </c>
      <c r="F4981" s="20" t="n">
        <f aca="false">Parametres!$B$6*D4981</f>
        <v>200</v>
      </c>
      <c r="G4981" s="20" t="n">
        <f aca="false">E4981+F4981</f>
        <v>460.94</v>
      </c>
      <c r="H4981" s="20" t="n">
        <f aca="false">IF(G4981&lt;Parametres!$B$8*Parametres!$B$7,0,MIN(G4981,Parametres!$B$7))</f>
        <v>250</v>
      </c>
      <c r="I4981" s="20" t="n">
        <f aca="false">G4981-H4981</f>
        <v>210.94</v>
      </c>
      <c r="J4981" s="21" t="n">
        <f aca="false">H4981*1000/Parametres!$B$9</f>
        <v>4239.44378497541</v>
      </c>
    </row>
    <row r="4982" customFormat="false" ht="15" hidden="false" customHeight="false" outlineLevel="0" collapsed="false">
      <c r="A4982" s="0" t="n">
        <v>4978</v>
      </c>
      <c r="B4982" s="0" t="n">
        <v>7</v>
      </c>
      <c r="C4982" s="19" t="n">
        <v>1</v>
      </c>
      <c r="D4982" s="19" t="n">
        <v>1</v>
      </c>
      <c r="E4982" s="20" t="n">
        <f aca="false">Parametres!$B$5*C4982</f>
        <v>300</v>
      </c>
      <c r="F4982" s="20" t="n">
        <f aca="false">Parametres!$B$6*D4982</f>
        <v>200</v>
      </c>
      <c r="G4982" s="20" t="n">
        <f aca="false">E4982+F4982</f>
        <v>500</v>
      </c>
      <c r="H4982" s="20" t="n">
        <f aca="false">IF(G4982&lt;Parametres!$B$8*Parametres!$B$7,0,MIN(G4982,Parametres!$B$7))</f>
        <v>250</v>
      </c>
      <c r="I4982" s="20" t="n">
        <f aca="false">G4982-H4982</f>
        <v>250</v>
      </c>
      <c r="J4982" s="21" t="n">
        <f aca="false">H4982*1000/Parametres!$B$9</f>
        <v>4239.44378497541</v>
      </c>
    </row>
    <row r="4983" customFormat="false" ht="15" hidden="false" customHeight="false" outlineLevel="0" collapsed="false">
      <c r="A4983" s="0" t="n">
        <v>4979</v>
      </c>
      <c r="B4983" s="0" t="n">
        <v>7</v>
      </c>
      <c r="C4983" s="19" t="n">
        <v>1</v>
      </c>
      <c r="D4983" s="19" t="n">
        <v>1</v>
      </c>
      <c r="E4983" s="20" t="n">
        <f aca="false">Parametres!$B$5*C4983</f>
        <v>300</v>
      </c>
      <c r="F4983" s="20" t="n">
        <f aca="false">Parametres!$B$6*D4983</f>
        <v>200</v>
      </c>
      <c r="G4983" s="20" t="n">
        <f aca="false">E4983+F4983</f>
        <v>500</v>
      </c>
      <c r="H4983" s="20" t="n">
        <f aca="false">IF(G4983&lt;Parametres!$B$8*Parametres!$B$7,0,MIN(G4983,Parametres!$B$7))</f>
        <v>250</v>
      </c>
      <c r="I4983" s="20" t="n">
        <f aca="false">G4983-H4983</f>
        <v>250</v>
      </c>
      <c r="J4983" s="21" t="n">
        <f aca="false">H4983*1000/Parametres!$B$9</f>
        <v>4239.44378497541</v>
      </c>
    </row>
    <row r="4984" customFormat="false" ht="15" hidden="false" customHeight="false" outlineLevel="0" collapsed="false">
      <c r="A4984" s="0" t="n">
        <v>4980</v>
      </c>
      <c r="B4984" s="0" t="n">
        <v>7</v>
      </c>
      <c r="C4984" s="19" t="n">
        <v>1</v>
      </c>
      <c r="D4984" s="19" t="n">
        <v>1</v>
      </c>
      <c r="E4984" s="20" t="n">
        <f aca="false">Parametres!$B$5*C4984</f>
        <v>300</v>
      </c>
      <c r="F4984" s="20" t="n">
        <f aca="false">Parametres!$B$6*D4984</f>
        <v>200</v>
      </c>
      <c r="G4984" s="20" t="n">
        <f aca="false">E4984+F4984</f>
        <v>500</v>
      </c>
      <c r="H4984" s="20" t="n">
        <f aca="false">IF(G4984&lt;Parametres!$B$8*Parametres!$B$7,0,MIN(G4984,Parametres!$B$7))</f>
        <v>250</v>
      </c>
      <c r="I4984" s="20" t="n">
        <f aca="false">G4984-H4984</f>
        <v>250</v>
      </c>
      <c r="J4984" s="21" t="n">
        <f aca="false">H4984*1000/Parametres!$B$9</f>
        <v>4239.44378497541</v>
      </c>
    </row>
    <row r="4985" customFormat="false" ht="15" hidden="false" customHeight="false" outlineLevel="0" collapsed="false">
      <c r="A4985" s="0" t="n">
        <v>4981</v>
      </c>
      <c r="B4985" s="0" t="n">
        <v>7</v>
      </c>
      <c r="C4985" s="19" t="n">
        <v>1</v>
      </c>
      <c r="D4985" s="19" t="n">
        <v>1</v>
      </c>
      <c r="E4985" s="20" t="n">
        <f aca="false">Parametres!$B$5*C4985</f>
        <v>300</v>
      </c>
      <c r="F4985" s="20" t="n">
        <f aca="false">Parametres!$B$6*D4985</f>
        <v>200</v>
      </c>
      <c r="G4985" s="20" t="n">
        <f aca="false">E4985+F4985</f>
        <v>500</v>
      </c>
      <c r="H4985" s="20" t="n">
        <f aca="false">IF(G4985&lt;Parametres!$B$8*Parametres!$B$7,0,MIN(G4985,Parametres!$B$7))</f>
        <v>250</v>
      </c>
      <c r="I4985" s="20" t="n">
        <f aca="false">G4985-H4985</f>
        <v>250</v>
      </c>
      <c r="J4985" s="21" t="n">
        <f aca="false">H4985*1000/Parametres!$B$9</f>
        <v>4239.44378497541</v>
      </c>
    </row>
    <row r="4986" customFormat="false" ht="15" hidden="false" customHeight="false" outlineLevel="0" collapsed="false">
      <c r="A4986" s="0" t="n">
        <v>4982</v>
      </c>
      <c r="B4986" s="0" t="n">
        <v>7</v>
      </c>
      <c r="C4986" s="19" t="n">
        <v>1</v>
      </c>
      <c r="D4986" s="19" t="n">
        <v>1</v>
      </c>
      <c r="E4986" s="20" t="n">
        <f aca="false">Parametres!$B$5*C4986</f>
        <v>300</v>
      </c>
      <c r="F4986" s="20" t="n">
        <f aca="false">Parametres!$B$6*D4986</f>
        <v>200</v>
      </c>
      <c r="G4986" s="20" t="n">
        <f aca="false">E4986+F4986</f>
        <v>500</v>
      </c>
      <c r="H4986" s="20" t="n">
        <f aca="false">IF(G4986&lt;Parametres!$B$8*Parametres!$B$7,0,MIN(G4986,Parametres!$B$7))</f>
        <v>250</v>
      </c>
      <c r="I4986" s="20" t="n">
        <f aca="false">G4986-H4986</f>
        <v>250</v>
      </c>
      <c r="J4986" s="21" t="n">
        <f aca="false">H4986*1000/Parametres!$B$9</f>
        <v>4239.44378497541</v>
      </c>
    </row>
    <row r="4987" customFormat="false" ht="15" hidden="false" customHeight="false" outlineLevel="0" collapsed="false">
      <c r="A4987" s="0" t="n">
        <v>4983</v>
      </c>
      <c r="B4987" s="0" t="n">
        <v>7</v>
      </c>
      <c r="C4987" s="19" t="n">
        <v>1</v>
      </c>
      <c r="D4987" s="19" t="n">
        <v>1</v>
      </c>
      <c r="E4987" s="20" t="n">
        <f aca="false">Parametres!$B$5*C4987</f>
        <v>300</v>
      </c>
      <c r="F4987" s="20" t="n">
        <f aca="false">Parametres!$B$6*D4987</f>
        <v>200</v>
      </c>
      <c r="G4987" s="20" t="n">
        <f aca="false">E4987+F4987</f>
        <v>500</v>
      </c>
      <c r="H4987" s="20" t="n">
        <f aca="false">IF(G4987&lt;Parametres!$B$8*Parametres!$B$7,0,MIN(G4987,Parametres!$B$7))</f>
        <v>250</v>
      </c>
      <c r="I4987" s="20" t="n">
        <f aca="false">G4987-H4987</f>
        <v>250</v>
      </c>
      <c r="J4987" s="21" t="n">
        <f aca="false">H4987*1000/Parametres!$B$9</f>
        <v>4239.44378497541</v>
      </c>
    </row>
    <row r="4988" customFormat="false" ht="15" hidden="false" customHeight="false" outlineLevel="0" collapsed="false">
      <c r="A4988" s="0" t="n">
        <v>4984</v>
      </c>
      <c r="B4988" s="0" t="n">
        <v>7</v>
      </c>
      <c r="C4988" s="19" t="n">
        <v>0.8515</v>
      </c>
      <c r="D4988" s="19" t="n">
        <v>1</v>
      </c>
      <c r="E4988" s="20" t="n">
        <f aca="false">Parametres!$B$5*C4988</f>
        <v>255.45</v>
      </c>
      <c r="F4988" s="20" t="n">
        <f aca="false">Parametres!$B$6*D4988</f>
        <v>200</v>
      </c>
      <c r="G4988" s="20" t="n">
        <f aca="false">E4988+F4988</f>
        <v>455.45</v>
      </c>
      <c r="H4988" s="20" t="n">
        <f aca="false">IF(G4988&lt;Parametres!$B$8*Parametres!$B$7,0,MIN(G4988,Parametres!$B$7))</f>
        <v>250</v>
      </c>
      <c r="I4988" s="20" t="n">
        <f aca="false">G4988-H4988</f>
        <v>205.45</v>
      </c>
      <c r="J4988" s="21" t="n">
        <f aca="false">H4988*1000/Parametres!$B$9</f>
        <v>4239.44378497541</v>
      </c>
    </row>
    <row r="4989" customFormat="false" ht="15" hidden="false" customHeight="false" outlineLevel="0" collapsed="false">
      <c r="A4989" s="0" t="n">
        <v>4985</v>
      </c>
      <c r="B4989" s="0" t="n">
        <v>7</v>
      </c>
      <c r="C4989" s="19" t="n">
        <v>0.6232</v>
      </c>
      <c r="D4989" s="19" t="n">
        <v>1</v>
      </c>
      <c r="E4989" s="20" t="n">
        <f aca="false">Parametres!$B$5*C4989</f>
        <v>186.96</v>
      </c>
      <c r="F4989" s="20" t="n">
        <f aca="false">Parametres!$B$6*D4989</f>
        <v>200</v>
      </c>
      <c r="G4989" s="20" t="n">
        <f aca="false">E4989+F4989</f>
        <v>386.96</v>
      </c>
      <c r="H4989" s="20" t="n">
        <f aca="false">IF(G4989&lt;Parametres!$B$8*Parametres!$B$7,0,MIN(G4989,Parametres!$B$7))</f>
        <v>250</v>
      </c>
      <c r="I4989" s="20" t="n">
        <f aca="false">G4989-H4989</f>
        <v>136.96</v>
      </c>
      <c r="J4989" s="21" t="n">
        <f aca="false">H4989*1000/Parametres!$B$9</f>
        <v>4239.44378497541</v>
      </c>
    </row>
    <row r="4990" customFormat="false" ht="15" hidden="false" customHeight="false" outlineLevel="0" collapsed="false">
      <c r="A4990" s="0" t="n">
        <v>4986</v>
      </c>
      <c r="B4990" s="0" t="n">
        <v>7</v>
      </c>
      <c r="C4990" s="19" t="n">
        <v>0.3208</v>
      </c>
      <c r="D4990" s="19" t="n">
        <v>1</v>
      </c>
      <c r="E4990" s="20" t="n">
        <f aca="false">Parametres!$B$5*C4990</f>
        <v>96.24</v>
      </c>
      <c r="F4990" s="20" t="n">
        <f aca="false">Parametres!$B$6*D4990</f>
        <v>200</v>
      </c>
      <c r="G4990" s="20" t="n">
        <f aca="false">E4990+F4990</f>
        <v>296.24</v>
      </c>
      <c r="H4990" s="20" t="n">
        <f aca="false">IF(G4990&lt;Parametres!$B$8*Parametres!$B$7,0,MIN(G4990,Parametres!$B$7))</f>
        <v>250</v>
      </c>
      <c r="I4990" s="20" t="n">
        <f aca="false">G4990-H4990</f>
        <v>46.24</v>
      </c>
      <c r="J4990" s="21" t="n">
        <f aca="false">H4990*1000/Parametres!$B$9</f>
        <v>4239.44378497541</v>
      </c>
    </row>
    <row r="4991" customFormat="false" ht="15" hidden="false" customHeight="false" outlineLevel="0" collapsed="false">
      <c r="A4991" s="0" t="n">
        <v>4987</v>
      </c>
      <c r="B4991" s="0" t="n">
        <v>7</v>
      </c>
      <c r="C4991" s="19" t="n">
        <v>0.0434</v>
      </c>
      <c r="D4991" s="19" t="n">
        <v>1</v>
      </c>
      <c r="E4991" s="20" t="n">
        <f aca="false">Parametres!$B$5*C4991</f>
        <v>13.02</v>
      </c>
      <c r="F4991" s="20" t="n">
        <f aca="false">Parametres!$B$6*D4991</f>
        <v>200</v>
      </c>
      <c r="G4991" s="20" t="n">
        <f aca="false">E4991+F4991</f>
        <v>213.02</v>
      </c>
      <c r="H4991" s="20" t="n">
        <f aca="false">IF(G4991&lt;Parametres!$B$8*Parametres!$B$7,0,MIN(G4991,Parametres!$B$7))</f>
        <v>213.02</v>
      </c>
      <c r="I4991" s="20" t="n">
        <f aca="false">G4991-H4991</f>
        <v>0</v>
      </c>
      <c r="J4991" s="21" t="n">
        <f aca="false">H4991*1000/Parametres!$B$9</f>
        <v>3612.34526030185</v>
      </c>
    </row>
    <row r="4992" customFormat="false" ht="15" hidden="false" customHeight="false" outlineLevel="0" collapsed="false">
      <c r="A4992" s="0" t="n">
        <v>4988</v>
      </c>
      <c r="B4992" s="0" t="n">
        <v>7</v>
      </c>
      <c r="C4992" s="19" t="n">
        <v>0</v>
      </c>
      <c r="D4992" s="19" t="n">
        <v>1</v>
      </c>
      <c r="E4992" s="20" t="n">
        <f aca="false">Parametres!$B$5*C4992</f>
        <v>0</v>
      </c>
      <c r="F4992" s="20" t="n">
        <f aca="false">Parametres!$B$6*D4992</f>
        <v>200</v>
      </c>
      <c r="G4992" s="20" t="n">
        <f aca="false">E4992+F4992</f>
        <v>200</v>
      </c>
      <c r="H4992" s="20" t="n">
        <f aca="false">IF(G4992&lt;Parametres!$B$8*Parametres!$B$7,0,MIN(G4992,Parametres!$B$7))</f>
        <v>200</v>
      </c>
      <c r="I4992" s="20" t="n">
        <f aca="false">G4992-H4992</f>
        <v>0</v>
      </c>
      <c r="J4992" s="21" t="n">
        <f aca="false">H4992*1000/Parametres!$B$9</f>
        <v>3391.55502798033</v>
      </c>
    </row>
    <row r="4993" customFormat="false" ht="15" hidden="false" customHeight="false" outlineLevel="0" collapsed="false">
      <c r="A4993" s="0" t="n">
        <v>4989</v>
      </c>
      <c r="B4993" s="0" t="n">
        <v>7</v>
      </c>
      <c r="C4993" s="19" t="n">
        <v>0</v>
      </c>
      <c r="D4993" s="19" t="n">
        <v>1</v>
      </c>
      <c r="E4993" s="20" t="n">
        <f aca="false">Parametres!$B$5*C4993</f>
        <v>0</v>
      </c>
      <c r="F4993" s="20" t="n">
        <f aca="false">Parametres!$B$6*D4993</f>
        <v>200</v>
      </c>
      <c r="G4993" s="20" t="n">
        <f aca="false">E4993+F4993</f>
        <v>200</v>
      </c>
      <c r="H4993" s="20" t="n">
        <f aca="false">IF(G4993&lt;Parametres!$B$8*Parametres!$B$7,0,MIN(G4993,Parametres!$B$7))</f>
        <v>200</v>
      </c>
      <c r="I4993" s="20" t="n">
        <f aca="false">G4993-H4993</f>
        <v>0</v>
      </c>
      <c r="J4993" s="21" t="n">
        <f aca="false">H4993*1000/Parametres!$B$9</f>
        <v>3391.55502798033</v>
      </c>
    </row>
    <row r="4994" customFormat="false" ht="15" hidden="false" customHeight="false" outlineLevel="0" collapsed="false">
      <c r="A4994" s="0" t="n">
        <v>4990</v>
      </c>
      <c r="B4994" s="0" t="n">
        <v>7</v>
      </c>
      <c r="C4994" s="19" t="n">
        <v>0</v>
      </c>
      <c r="D4994" s="19" t="n">
        <v>1</v>
      </c>
      <c r="E4994" s="20" t="n">
        <f aca="false">Parametres!$B$5*C4994</f>
        <v>0</v>
      </c>
      <c r="F4994" s="20" t="n">
        <f aca="false">Parametres!$B$6*D4994</f>
        <v>200</v>
      </c>
      <c r="G4994" s="20" t="n">
        <f aca="false">E4994+F4994</f>
        <v>200</v>
      </c>
      <c r="H4994" s="20" t="n">
        <f aca="false">IF(G4994&lt;Parametres!$B$8*Parametres!$B$7,0,MIN(G4994,Parametres!$B$7))</f>
        <v>200</v>
      </c>
      <c r="I4994" s="20" t="n">
        <f aca="false">G4994-H4994</f>
        <v>0</v>
      </c>
      <c r="J4994" s="21" t="n">
        <f aca="false">H4994*1000/Parametres!$B$9</f>
        <v>3391.55502798033</v>
      </c>
    </row>
    <row r="4995" customFormat="false" ht="15" hidden="false" customHeight="false" outlineLevel="0" collapsed="false">
      <c r="A4995" s="0" t="n">
        <v>4991</v>
      </c>
      <c r="B4995" s="0" t="n">
        <v>7</v>
      </c>
      <c r="C4995" s="19" t="n">
        <v>0</v>
      </c>
      <c r="D4995" s="19" t="n">
        <v>1</v>
      </c>
      <c r="E4995" s="20" t="n">
        <f aca="false">Parametres!$B$5*C4995</f>
        <v>0</v>
      </c>
      <c r="F4995" s="20" t="n">
        <f aca="false">Parametres!$B$6*D4995</f>
        <v>200</v>
      </c>
      <c r="G4995" s="20" t="n">
        <f aca="false">E4995+F4995</f>
        <v>200</v>
      </c>
      <c r="H4995" s="20" t="n">
        <f aca="false">IF(G4995&lt;Parametres!$B$8*Parametres!$B$7,0,MIN(G4995,Parametres!$B$7))</f>
        <v>200</v>
      </c>
      <c r="I4995" s="20" t="n">
        <f aca="false">G4995-H4995</f>
        <v>0</v>
      </c>
      <c r="J4995" s="21" t="n">
        <f aca="false">H4995*1000/Parametres!$B$9</f>
        <v>3391.55502798033</v>
      </c>
    </row>
    <row r="4996" customFormat="false" ht="15" hidden="false" customHeight="false" outlineLevel="0" collapsed="false">
      <c r="A4996" s="0" t="n">
        <v>4992</v>
      </c>
      <c r="B4996" s="0" t="n">
        <v>7</v>
      </c>
      <c r="C4996" s="19" t="n">
        <v>0</v>
      </c>
      <c r="D4996" s="19" t="n">
        <v>1</v>
      </c>
      <c r="E4996" s="20" t="n">
        <f aca="false">Parametres!$B$5*C4996</f>
        <v>0</v>
      </c>
      <c r="F4996" s="20" t="n">
        <f aca="false">Parametres!$B$6*D4996</f>
        <v>200</v>
      </c>
      <c r="G4996" s="20" t="n">
        <f aca="false">E4996+F4996</f>
        <v>200</v>
      </c>
      <c r="H4996" s="20" t="n">
        <f aca="false">IF(G4996&lt;Parametres!$B$8*Parametres!$B$7,0,MIN(G4996,Parametres!$B$7))</f>
        <v>200</v>
      </c>
      <c r="I4996" s="20" t="n">
        <f aca="false">G4996-H4996</f>
        <v>0</v>
      </c>
      <c r="J4996" s="21" t="n">
        <f aca="false">H4996*1000/Parametres!$B$9</f>
        <v>3391.55502798033</v>
      </c>
    </row>
    <row r="4997" customFormat="false" ht="15" hidden="false" customHeight="false" outlineLevel="0" collapsed="false">
      <c r="A4997" s="0" t="n">
        <v>4993</v>
      </c>
      <c r="B4997" s="0" t="n">
        <v>7</v>
      </c>
      <c r="C4997" s="19" t="n">
        <v>0</v>
      </c>
      <c r="D4997" s="19" t="n">
        <v>1</v>
      </c>
      <c r="E4997" s="20" t="n">
        <f aca="false">Parametres!$B$5*C4997</f>
        <v>0</v>
      </c>
      <c r="F4997" s="20" t="n">
        <f aca="false">Parametres!$B$6*D4997</f>
        <v>200</v>
      </c>
      <c r="G4997" s="20" t="n">
        <f aca="false">E4997+F4997</f>
        <v>200</v>
      </c>
      <c r="H4997" s="20" t="n">
        <f aca="false">IF(G4997&lt;Parametres!$B$8*Parametres!$B$7,0,MIN(G4997,Parametres!$B$7))</f>
        <v>200</v>
      </c>
      <c r="I4997" s="20" t="n">
        <f aca="false">G4997-H4997</f>
        <v>0</v>
      </c>
      <c r="J4997" s="21" t="n">
        <f aca="false">H4997*1000/Parametres!$B$9</f>
        <v>3391.55502798033</v>
      </c>
    </row>
    <row r="4998" customFormat="false" ht="15" hidden="false" customHeight="false" outlineLevel="0" collapsed="false">
      <c r="A4998" s="0" t="n">
        <v>4994</v>
      </c>
      <c r="B4998" s="0" t="n">
        <v>7</v>
      </c>
      <c r="C4998" s="19" t="n">
        <v>0</v>
      </c>
      <c r="D4998" s="19" t="n">
        <v>1</v>
      </c>
      <c r="E4998" s="20" t="n">
        <f aca="false">Parametres!$B$5*C4998</f>
        <v>0</v>
      </c>
      <c r="F4998" s="20" t="n">
        <f aca="false">Parametres!$B$6*D4998</f>
        <v>200</v>
      </c>
      <c r="G4998" s="20" t="n">
        <f aca="false">E4998+F4998</f>
        <v>200</v>
      </c>
      <c r="H4998" s="20" t="n">
        <f aca="false">IF(G4998&lt;Parametres!$B$8*Parametres!$B$7,0,MIN(G4998,Parametres!$B$7))</f>
        <v>200</v>
      </c>
      <c r="I4998" s="20" t="n">
        <f aca="false">G4998-H4998</f>
        <v>0</v>
      </c>
      <c r="J4998" s="21" t="n">
        <f aca="false">H4998*1000/Parametres!$B$9</f>
        <v>3391.55502798033</v>
      </c>
    </row>
    <row r="4999" customFormat="false" ht="15" hidden="false" customHeight="false" outlineLevel="0" collapsed="false">
      <c r="A4999" s="0" t="n">
        <v>4995</v>
      </c>
      <c r="B4999" s="0" t="n">
        <v>7</v>
      </c>
      <c r="C4999" s="19" t="n">
        <v>0</v>
      </c>
      <c r="D4999" s="19" t="n">
        <v>1</v>
      </c>
      <c r="E4999" s="20" t="n">
        <f aca="false">Parametres!$B$5*C4999</f>
        <v>0</v>
      </c>
      <c r="F4999" s="20" t="n">
        <f aca="false">Parametres!$B$6*D4999</f>
        <v>200</v>
      </c>
      <c r="G4999" s="20" t="n">
        <f aca="false">E4999+F4999</f>
        <v>200</v>
      </c>
      <c r="H4999" s="20" t="n">
        <f aca="false">IF(G4999&lt;Parametres!$B$8*Parametres!$B$7,0,MIN(G4999,Parametres!$B$7))</f>
        <v>200</v>
      </c>
      <c r="I4999" s="20" t="n">
        <f aca="false">G4999-H4999</f>
        <v>0</v>
      </c>
      <c r="J4999" s="21" t="n">
        <f aca="false">H4999*1000/Parametres!$B$9</f>
        <v>3391.55502798033</v>
      </c>
    </row>
    <row r="5000" customFormat="false" ht="15" hidden="false" customHeight="false" outlineLevel="0" collapsed="false">
      <c r="A5000" s="0" t="n">
        <v>4996</v>
      </c>
      <c r="B5000" s="0" t="n">
        <v>7</v>
      </c>
      <c r="C5000" s="19" t="n">
        <v>0</v>
      </c>
      <c r="D5000" s="19" t="n">
        <v>1</v>
      </c>
      <c r="E5000" s="20" t="n">
        <f aca="false">Parametres!$B$5*C5000</f>
        <v>0</v>
      </c>
      <c r="F5000" s="20" t="n">
        <f aca="false">Parametres!$B$6*D5000</f>
        <v>200</v>
      </c>
      <c r="G5000" s="20" t="n">
        <f aca="false">E5000+F5000</f>
        <v>200</v>
      </c>
      <c r="H5000" s="20" t="n">
        <f aca="false">IF(G5000&lt;Parametres!$B$8*Parametres!$B$7,0,MIN(G5000,Parametres!$B$7))</f>
        <v>200</v>
      </c>
      <c r="I5000" s="20" t="n">
        <f aca="false">G5000-H5000</f>
        <v>0</v>
      </c>
      <c r="J5000" s="21" t="n">
        <f aca="false">H5000*1000/Parametres!$B$9</f>
        <v>3391.55502798033</v>
      </c>
    </row>
    <row r="5001" customFormat="false" ht="15" hidden="false" customHeight="false" outlineLevel="0" collapsed="false">
      <c r="A5001" s="0" t="n">
        <v>4997</v>
      </c>
      <c r="B5001" s="0" t="n">
        <v>7</v>
      </c>
      <c r="C5001" s="19" t="n">
        <v>0</v>
      </c>
      <c r="D5001" s="19" t="n">
        <v>1</v>
      </c>
      <c r="E5001" s="20" t="n">
        <f aca="false">Parametres!$B$5*C5001</f>
        <v>0</v>
      </c>
      <c r="F5001" s="20" t="n">
        <f aca="false">Parametres!$B$6*D5001</f>
        <v>200</v>
      </c>
      <c r="G5001" s="20" t="n">
        <f aca="false">E5001+F5001</f>
        <v>200</v>
      </c>
      <c r="H5001" s="20" t="n">
        <f aca="false">IF(G5001&lt;Parametres!$B$8*Parametres!$B$7,0,MIN(G5001,Parametres!$B$7))</f>
        <v>200</v>
      </c>
      <c r="I5001" s="20" t="n">
        <f aca="false">G5001-H5001</f>
        <v>0</v>
      </c>
      <c r="J5001" s="21" t="n">
        <f aca="false">H5001*1000/Parametres!$B$9</f>
        <v>3391.55502798033</v>
      </c>
    </row>
    <row r="5002" customFormat="false" ht="15" hidden="false" customHeight="false" outlineLevel="0" collapsed="false">
      <c r="A5002" s="0" t="n">
        <v>4998</v>
      </c>
      <c r="B5002" s="0" t="n">
        <v>7</v>
      </c>
      <c r="C5002" s="19" t="n">
        <v>0.0309</v>
      </c>
      <c r="D5002" s="19" t="n">
        <v>1</v>
      </c>
      <c r="E5002" s="20" t="n">
        <f aca="false">Parametres!$B$5*C5002</f>
        <v>9.27</v>
      </c>
      <c r="F5002" s="20" t="n">
        <f aca="false">Parametres!$B$6*D5002</f>
        <v>200</v>
      </c>
      <c r="G5002" s="20" t="n">
        <f aca="false">E5002+F5002</f>
        <v>209.27</v>
      </c>
      <c r="H5002" s="20" t="n">
        <f aca="false">IF(G5002&lt;Parametres!$B$8*Parametres!$B$7,0,MIN(G5002,Parametres!$B$7))</f>
        <v>209.27</v>
      </c>
      <c r="I5002" s="20" t="n">
        <f aca="false">G5002-H5002</f>
        <v>0</v>
      </c>
      <c r="J5002" s="21" t="n">
        <f aca="false">H5002*1000/Parametres!$B$9</f>
        <v>3548.75360352722</v>
      </c>
    </row>
    <row r="5003" customFormat="false" ht="15" hidden="false" customHeight="false" outlineLevel="0" collapsed="false">
      <c r="A5003" s="0" t="n">
        <v>4999</v>
      </c>
      <c r="B5003" s="0" t="n">
        <v>7</v>
      </c>
      <c r="C5003" s="19" t="n">
        <v>0.2422</v>
      </c>
      <c r="D5003" s="19" t="n">
        <v>1</v>
      </c>
      <c r="E5003" s="20" t="n">
        <f aca="false">Parametres!$B$5*C5003</f>
        <v>72.66</v>
      </c>
      <c r="F5003" s="20" t="n">
        <f aca="false">Parametres!$B$6*D5003</f>
        <v>200</v>
      </c>
      <c r="G5003" s="20" t="n">
        <f aca="false">E5003+F5003</f>
        <v>272.66</v>
      </c>
      <c r="H5003" s="20" t="n">
        <f aca="false">IF(G5003&lt;Parametres!$B$8*Parametres!$B$7,0,MIN(G5003,Parametres!$B$7))</f>
        <v>250</v>
      </c>
      <c r="I5003" s="20" t="n">
        <f aca="false">G5003-H5003</f>
        <v>22.66</v>
      </c>
      <c r="J5003" s="21" t="n">
        <f aca="false">H5003*1000/Parametres!$B$9</f>
        <v>4239.44378497541</v>
      </c>
    </row>
    <row r="5004" customFormat="false" ht="15" hidden="false" customHeight="false" outlineLevel="0" collapsed="false">
      <c r="A5004" s="0" t="n">
        <v>5000</v>
      </c>
      <c r="B5004" s="0" t="n">
        <v>7</v>
      </c>
      <c r="C5004" s="19" t="n">
        <v>0.4673</v>
      </c>
      <c r="D5004" s="19" t="n">
        <v>1</v>
      </c>
      <c r="E5004" s="20" t="n">
        <f aca="false">Parametres!$B$5*C5004</f>
        <v>140.19</v>
      </c>
      <c r="F5004" s="20" t="n">
        <f aca="false">Parametres!$B$6*D5004</f>
        <v>200</v>
      </c>
      <c r="G5004" s="20" t="n">
        <f aca="false">E5004+F5004</f>
        <v>340.19</v>
      </c>
      <c r="H5004" s="20" t="n">
        <f aca="false">IF(G5004&lt;Parametres!$B$8*Parametres!$B$7,0,MIN(G5004,Parametres!$B$7))</f>
        <v>250</v>
      </c>
      <c r="I5004" s="20" t="n">
        <f aca="false">G5004-H5004</f>
        <v>90.19</v>
      </c>
      <c r="J5004" s="21" t="n">
        <f aca="false">H5004*1000/Parametres!$B$9</f>
        <v>4239.44378497541</v>
      </c>
    </row>
    <row r="5005" customFormat="false" ht="15" hidden="false" customHeight="false" outlineLevel="0" collapsed="false">
      <c r="A5005" s="0" t="n">
        <v>5001</v>
      </c>
      <c r="B5005" s="0" t="n">
        <v>7</v>
      </c>
      <c r="C5005" s="19" t="n">
        <v>0.7177</v>
      </c>
      <c r="D5005" s="19" t="n">
        <v>1</v>
      </c>
      <c r="E5005" s="20" t="n">
        <f aca="false">Parametres!$B$5*C5005</f>
        <v>215.31</v>
      </c>
      <c r="F5005" s="20" t="n">
        <f aca="false">Parametres!$B$6*D5005</f>
        <v>200</v>
      </c>
      <c r="G5005" s="20" t="n">
        <f aca="false">E5005+F5005</f>
        <v>415.31</v>
      </c>
      <c r="H5005" s="20" t="n">
        <f aca="false">IF(G5005&lt;Parametres!$B$8*Parametres!$B$7,0,MIN(G5005,Parametres!$B$7))</f>
        <v>250</v>
      </c>
      <c r="I5005" s="20" t="n">
        <f aca="false">G5005-H5005</f>
        <v>165.31</v>
      </c>
      <c r="J5005" s="21" t="n">
        <f aca="false">H5005*1000/Parametres!$B$9</f>
        <v>4239.44378497541</v>
      </c>
    </row>
    <row r="5006" customFormat="false" ht="15" hidden="false" customHeight="false" outlineLevel="0" collapsed="false">
      <c r="A5006" s="0" t="n">
        <v>5002</v>
      </c>
      <c r="B5006" s="0" t="n">
        <v>7</v>
      </c>
      <c r="C5006" s="19" t="n">
        <v>0.8449</v>
      </c>
      <c r="D5006" s="19" t="n">
        <v>1</v>
      </c>
      <c r="E5006" s="20" t="n">
        <f aca="false">Parametres!$B$5*C5006</f>
        <v>253.47</v>
      </c>
      <c r="F5006" s="20" t="n">
        <f aca="false">Parametres!$B$6*D5006</f>
        <v>200</v>
      </c>
      <c r="G5006" s="20" t="n">
        <f aca="false">E5006+F5006</f>
        <v>453.47</v>
      </c>
      <c r="H5006" s="20" t="n">
        <f aca="false">IF(G5006&lt;Parametres!$B$8*Parametres!$B$7,0,MIN(G5006,Parametres!$B$7))</f>
        <v>250</v>
      </c>
      <c r="I5006" s="20" t="n">
        <f aca="false">G5006-H5006</f>
        <v>203.47</v>
      </c>
      <c r="J5006" s="21" t="n">
        <f aca="false">H5006*1000/Parametres!$B$9</f>
        <v>4239.44378497541</v>
      </c>
    </row>
    <row r="5007" customFormat="false" ht="15" hidden="false" customHeight="false" outlineLevel="0" collapsed="false">
      <c r="A5007" s="0" t="n">
        <v>5003</v>
      </c>
      <c r="B5007" s="0" t="n">
        <v>7</v>
      </c>
      <c r="C5007" s="19" t="n">
        <v>1</v>
      </c>
      <c r="D5007" s="19" t="n">
        <v>1</v>
      </c>
      <c r="E5007" s="20" t="n">
        <f aca="false">Parametres!$B$5*C5007</f>
        <v>300</v>
      </c>
      <c r="F5007" s="20" t="n">
        <f aca="false">Parametres!$B$6*D5007</f>
        <v>200</v>
      </c>
      <c r="G5007" s="20" t="n">
        <f aca="false">E5007+F5007</f>
        <v>500</v>
      </c>
      <c r="H5007" s="20" t="n">
        <f aca="false">IF(G5007&lt;Parametres!$B$8*Parametres!$B$7,0,MIN(G5007,Parametres!$B$7))</f>
        <v>250</v>
      </c>
      <c r="I5007" s="20" t="n">
        <f aca="false">G5007-H5007</f>
        <v>250</v>
      </c>
      <c r="J5007" s="21" t="n">
        <f aca="false">H5007*1000/Parametres!$B$9</f>
        <v>4239.44378497541</v>
      </c>
    </row>
    <row r="5008" customFormat="false" ht="15" hidden="false" customHeight="false" outlineLevel="0" collapsed="false">
      <c r="A5008" s="0" t="n">
        <v>5004</v>
      </c>
      <c r="B5008" s="0" t="n">
        <v>7</v>
      </c>
      <c r="C5008" s="19" t="n">
        <v>1</v>
      </c>
      <c r="D5008" s="19" t="n">
        <v>1</v>
      </c>
      <c r="E5008" s="20" t="n">
        <f aca="false">Parametres!$B$5*C5008</f>
        <v>300</v>
      </c>
      <c r="F5008" s="20" t="n">
        <f aca="false">Parametres!$B$6*D5008</f>
        <v>200</v>
      </c>
      <c r="G5008" s="20" t="n">
        <f aca="false">E5008+F5008</f>
        <v>500</v>
      </c>
      <c r="H5008" s="20" t="n">
        <f aca="false">IF(G5008&lt;Parametres!$B$8*Parametres!$B$7,0,MIN(G5008,Parametres!$B$7))</f>
        <v>250</v>
      </c>
      <c r="I5008" s="20" t="n">
        <f aca="false">G5008-H5008</f>
        <v>250</v>
      </c>
      <c r="J5008" s="21" t="n">
        <f aca="false">H5008*1000/Parametres!$B$9</f>
        <v>4239.44378497541</v>
      </c>
    </row>
    <row r="5009" customFormat="false" ht="15" hidden="false" customHeight="false" outlineLevel="0" collapsed="false">
      <c r="A5009" s="0" t="n">
        <v>5005</v>
      </c>
      <c r="B5009" s="0" t="n">
        <v>7</v>
      </c>
      <c r="C5009" s="19" t="n">
        <v>1</v>
      </c>
      <c r="D5009" s="19" t="n">
        <v>1</v>
      </c>
      <c r="E5009" s="20" t="n">
        <f aca="false">Parametres!$B$5*C5009</f>
        <v>300</v>
      </c>
      <c r="F5009" s="20" t="n">
        <f aca="false">Parametres!$B$6*D5009</f>
        <v>200</v>
      </c>
      <c r="G5009" s="20" t="n">
        <f aca="false">E5009+F5009</f>
        <v>500</v>
      </c>
      <c r="H5009" s="20" t="n">
        <f aca="false">IF(G5009&lt;Parametres!$B$8*Parametres!$B$7,0,MIN(G5009,Parametres!$B$7))</f>
        <v>250</v>
      </c>
      <c r="I5009" s="20" t="n">
        <f aca="false">G5009-H5009</f>
        <v>250</v>
      </c>
      <c r="J5009" s="21" t="n">
        <f aca="false">H5009*1000/Parametres!$B$9</f>
        <v>4239.44378497541</v>
      </c>
    </row>
    <row r="5010" customFormat="false" ht="15" hidden="false" customHeight="false" outlineLevel="0" collapsed="false">
      <c r="A5010" s="0" t="n">
        <v>5006</v>
      </c>
      <c r="B5010" s="0" t="n">
        <v>7</v>
      </c>
      <c r="C5010" s="19" t="n">
        <v>1</v>
      </c>
      <c r="D5010" s="19" t="n">
        <v>1</v>
      </c>
      <c r="E5010" s="20" t="n">
        <f aca="false">Parametres!$B$5*C5010</f>
        <v>300</v>
      </c>
      <c r="F5010" s="20" t="n">
        <f aca="false">Parametres!$B$6*D5010</f>
        <v>200</v>
      </c>
      <c r="G5010" s="20" t="n">
        <f aca="false">E5010+F5010</f>
        <v>500</v>
      </c>
      <c r="H5010" s="20" t="n">
        <f aca="false">IF(G5010&lt;Parametres!$B$8*Parametres!$B$7,0,MIN(G5010,Parametres!$B$7))</f>
        <v>250</v>
      </c>
      <c r="I5010" s="20" t="n">
        <f aca="false">G5010-H5010</f>
        <v>250</v>
      </c>
      <c r="J5010" s="21" t="n">
        <f aca="false">H5010*1000/Parametres!$B$9</f>
        <v>4239.44378497541</v>
      </c>
    </row>
    <row r="5011" customFormat="false" ht="15" hidden="false" customHeight="false" outlineLevel="0" collapsed="false">
      <c r="A5011" s="0" t="n">
        <v>5007</v>
      </c>
      <c r="B5011" s="0" t="n">
        <v>7</v>
      </c>
      <c r="C5011" s="19" t="n">
        <v>0.8963</v>
      </c>
      <c r="D5011" s="19" t="n">
        <v>1</v>
      </c>
      <c r="E5011" s="20" t="n">
        <f aca="false">Parametres!$B$5*C5011</f>
        <v>268.89</v>
      </c>
      <c r="F5011" s="20" t="n">
        <f aca="false">Parametres!$B$6*D5011</f>
        <v>200</v>
      </c>
      <c r="G5011" s="20" t="n">
        <f aca="false">E5011+F5011</f>
        <v>468.89</v>
      </c>
      <c r="H5011" s="20" t="n">
        <f aca="false">IF(G5011&lt;Parametres!$B$8*Parametres!$B$7,0,MIN(G5011,Parametres!$B$7))</f>
        <v>250</v>
      </c>
      <c r="I5011" s="20" t="n">
        <f aca="false">G5011-H5011</f>
        <v>218.89</v>
      </c>
      <c r="J5011" s="21" t="n">
        <f aca="false">H5011*1000/Parametres!$B$9</f>
        <v>4239.44378497541</v>
      </c>
    </row>
    <row r="5012" customFormat="false" ht="15" hidden="false" customHeight="false" outlineLevel="0" collapsed="false">
      <c r="A5012" s="0" t="n">
        <v>5008</v>
      </c>
      <c r="B5012" s="0" t="n">
        <v>7</v>
      </c>
      <c r="C5012" s="19" t="n">
        <v>0.618</v>
      </c>
      <c r="D5012" s="19" t="n">
        <v>1</v>
      </c>
      <c r="E5012" s="20" t="n">
        <f aca="false">Parametres!$B$5*C5012</f>
        <v>185.4</v>
      </c>
      <c r="F5012" s="20" t="n">
        <f aca="false">Parametres!$B$6*D5012</f>
        <v>200</v>
      </c>
      <c r="G5012" s="20" t="n">
        <f aca="false">E5012+F5012</f>
        <v>385.4</v>
      </c>
      <c r="H5012" s="20" t="n">
        <f aca="false">IF(G5012&lt;Parametres!$B$8*Parametres!$B$7,0,MIN(G5012,Parametres!$B$7))</f>
        <v>250</v>
      </c>
      <c r="I5012" s="20" t="n">
        <f aca="false">G5012-H5012</f>
        <v>135.4</v>
      </c>
      <c r="J5012" s="21" t="n">
        <f aca="false">H5012*1000/Parametres!$B$9</f>
        <v>4239.44378497541</v>
      </c>
    </row>
    <row r="5013" customFormat="false" ht="15" hidden="false" customHeight="false" outlineLevel="0" collapsed="false">
      <c r="A5013" s="0" t="n">
        <v>5009</v>
      </c>
      <c r="B5013" s="0" t="n">
        <v>7</v>
      </c>
      <c r="C5013" s="19" t="n">
        <v>0.4475</v>
      </c>
      <c r="D5013" s="19" t="n">
        <v>1</v>
      </c>
      <c r="E5013" s="20" t="n">
        <f aca="false">Parametres!$B$5*C5013</f>
        <v>134.25</v>
      </c>
      <c r="F5013" s="20" t="n">
        <f aca="false">Parametres!$B$6*D5013</f>
        <v>200</v>
      </c>
      <c r="G5013" s="20" t="n">
        <f aca="false">E5013+F5013</f>
        <v>334.25</v>
      </c>
      <c r="H5013" s="20" t="n">
        <f aca="false">IF(G5013&lt;Parametres!$B$8*Parametres!$B$7,0,MIN(G5013,Parametres!$B$7))</f>
        <v>250</v>
      </c>
      <c r="I5013" s="20" t="n">
        <f aca="false">G5013-H5013</f>
        <v>84.25</v>
      </c>
      <c r="J5013" s="21" t="n">
        <f aca="false">H5013*1000/Parametres!$B$9</f>
        <v>4239.44378497541</v>
      </c>
    </row>
    <row r="5014" customFormat="false" ht="15" hidden="false" customHeight="false" outlineLevel="0" collapsed="false">
      <c r="A5014" s="0" t="n">
        <v>5010</v>
      </c>
      <c r="B5014" s="0" t="n">
        <v>7</v>
      </c>
      <c r="C5014" s="19" t="n">
        <v>0.2444</v>
      </c>
      <c r="D5014" s="19" t="n">
        <v>1</v>
      </c>
      <c r="E5014" s="20" t="n">
        <f aca="false">Parametres!$B$5*C5014</f>
        <v>73.32</v>
      </c>
      <c r="F5014" s="20" t="n">
        <f aca="false">Parametres!$B$6*D5014</f>
        <v>200</v>
      </c>
      <c r="G5014" s="20" t="n">
        <f aca="false">E5014+F5014</f>
        <v>273.32</v>
      </c>
      <c r="H5014" s="20" t="n">
        <f aca="false">IF(G5014&lt;Parametres!$B$8*Parametres!$B$7,0,MIN(G5014,Parametres!$B$7))</f>
        <v>250</v>
      </c>
      <c r="I5014" s="20" t="n">
        <f aca="false">G5014-H5014</f>
        <v>23.32</v>
      </c>
      <c r="J5014" s="21" t="n">
        <f aca="false">H5014*1000/Parametres!$B$9</f>
        <v>4239.44378497541</v>
      </c>
    </row>
    <row r="5015" customFormat="false" ht="15" hidden="false" customHeight="false" outlineLevel="0" collapsed="false">
      <c r="A5015" s="0" t="n">
        <v>5011</v>
      </c>
      <c r="B5015" s="0" t="n">
        <v>7</v>
      </c>
      <c r="C5015" s="19" t="n">
        <v>0.0293</v>
      </c>
      <c r="D5015" s="19" t="n">
        <v>1</v>
      </c>
      <c r="E5015" s="20" t="n">
        <f aca="false">Parametres!$B$5*C5015</f>
        <v>8.79</v>
      </c>
      <c r="F5015" s="20" t="n">
        <f aca="false">Parametres!$B$6*D5015</f>
        <v>200</v>
      </c>
      <c r="G5015" s="20" t="n">
        <f aca="false">E5015+F5015</f>
        <v>208.79</v>
      </c>
      <c r="H5015" s="20" t="n">
        <f aca="false">IF(G5015&lt;Parametres!$B$8*Parametres!$B$7,0,MIN(G5015,Parametres!$B$7))</f>
        <v>208.79</v>
      </c>
      <c r="I5015" s="20" t="n">
        <f aca="false">G5015-H5015</f>
        <v>0</v>
      </c>
      <c r="J5015" s="21" t="n">
        <f aca="false">H5015*1000/Parametres!$B$9</f>
        <v>3540.61387146006</v>
      </c>
    </row>
    <row r="5016" customFormat="false" ht="15" hidden="false" customHeight="false" outlineLevel="0" collapsed="false">
      <c r="A5016" s="0" t="n">
        <v>5012</v>
      </c>
      <c r="B5016" s="0" t="n">
        <v>7</v>
      </c>
      <c r="C5016" s="19" t="n">
        <v>0</v>
      </c>
      <c r="D5016" s="19" t="n">
        <v>1</v>
      </c>
      <c r="E5016" s="20" t="n">
        <f aca="false">Parametres!$B$5*C5016</f>
        <v>0</v>
      </c>
      <c r="F5016" s="20" t="n">
        <f aca="false">Parametres!$B$6*D5016</f>
        <v>200</v>
      </c>
      <c r="G5016" s="20" t="n">
        <f aca="false">E5016+F5016</f>
        <v>200</v>
      </c>
      <c r="H5016" s="20" t="n">
        <f aca="false">IF(G5016&lt;Parametres!$B$8*Parametres!$B$7,0,MIN(G5016,Parametres!$B$7))</f>
        <v>200</v>
      </c>
      <c r="I5016" s="20" t="n">
        <f aca="false">G5016-H5016</f>
        <v>0</v>
      </c>
      <c r="J5016" s="21" t="n">
        <f aca="false">H5016*1000/Parametres!$B$9</f>
        <v>3391.55502798033</v>
      </c>
    </row>
    <row r="5017" customFormat="false" ht="15" hidden="false" customHeight="false" outlineLevel="0" collapsed="false">
      <c r="A5017" s="0" t="n">
        <v>5013</v>
      </c>
      <c r="B5017" s="0" t="n">
        <v>7</v>
      </c>
      <c r="C5017" s="19" t="n">
        <v>0</v>
      </c>
      <c r="D5017" s="19" t="n">
        <v>1</v>
      </c>
      <c r="E5017" s="20" t="n">
        <f aca="false">Parametres!$B$5*C5017</f>
        <v>0</v>
      </c>
      <c r="F5017" s="20" t="n">
        <f aca="false">Parametres!$B$6*D5017</f>
        <v>200</v>
      </c>
      <c r="G5017" s="20" t="n">
        <f aca="false">E5017+F5017</f>
        <v>200</v>
      </c>
      <c r="H5017" s="20" t="n">
        <f aca="false">IF(G5017&lt;Parametres!$B$8*Parametres!$B$7,0,MIN(G5017,Parametres!$B$7))</f>
        <v>200</v>
      </c>
      <c r="I5017" s="20" t="n">
        <f aca="false">G5017-H5017</f>
        <v>0</v>
      </c>
      <c r="J5017" s="21" t="n">
        <f aca="false">H5017*1000/Parametres!$B$9</f>
        <v>3391.55502798033</v>
      </c>
    </row>
    <row r="5018" customFormat="false" ht="15" hidden="false" customHeight="false" outlineLevel="0" collapsed="false">
      <c r="A5018" s="0" t="n">
        <v>5014</v>
      </c>
      <c r="B5018" s="0" t="n">
        <v>7</v>
      </c>
      <c r="C5018" s="19" t="n">
        <v>0</v>
      </c>
      <c r="D5018" s="19" t="n">
        <v>1</v>
      </c>
      <c r="E5018" s="20" t="n">
        <f aca="false">Parametres!$B$5*C5018</f>
        <v>0</v>
      </c>
      <c r="F5018" s="20" t="n">
        <f aca="false">Parametres!$B$6*D5018</f>
        <v>200</v>
      </c>
      <c r="G5018" s="20" t="n">
        <f aca="false">E5018+F5018</f>
        <v>200</v>
      </c>
      <c r="H5018" s="20" t="n">
        <f aca="false">IF(G5018&lt;Parametres!$B$8*Parametres!$B$7,0,MIN(G5018,Parametres!$B$7))</f>
        <v>200</v>
      </c>
      <c r="I5018" s="20" t="n">
        <f aca="false">G5018-H5018</f>
        <v>0</v>
      </c>
      <c r="J5018" s="21" t="n">
        <f aca="false">H5018*1000/Parametres!$B$9</f>
        <v>3391.55502798033</v>
      </c>
    </row>
    <row r="5019" customFormat="false" ht="15" hidden="false" customHeight="false" outlineLevel="0" collapsed="false">
      <c r="A5019" s="0" t="n">
        <v>5015</v>
      </c>
      <c r="B5019" s="0" t="n">
        <v>7</v>
      </c>
      <c r="C5019" s="19" t="n">
        <v>0</v>
      </c>
      <c r="D5019" s="19" t="n">
        <v>1</v>
      </c>
      <c r="E5019" s="20" t="n">
        <f aca="false">Parametres!$B$5*C5019</f>
        <v>0</v>
      </c>
      <c r="F5019" s="20" t="n">
        <f aca="false">Parametres!$B$6*D5019</f>
        <v>200</v>
      </c>
      <c r="G5019" s="20" t="n">
        <f aca="false">E5019+F5019</f>
        <v>200</v>
      </c>
      <c r="H5019" s="20" t="n">
        <f aca="false">IF(G5019&lt;Parametres!$B$8*Parametres!$B$7,0,MIN(G5019,Parametres!$B$7))</f>
        <v>200</v>
      </c>
      <c r="I5019" s="20" t="n">
        <f aca="false">G5019-H5019</f>
        <v>0</v>
      </c>
      <c r="J5019" s="21" t="n">
        <f aca="false">H5019*1000/Parametres!$B$9</f>
        <v>3391.55502798033</v>
      </c>
    </row>
    <row r="5020" customFormat="false" ht="15" hidden="false" customHeight="false" outlineLevel="0" collapsed="false">
      <c r="A5020" s="0" t="n">
        <v>5016</v>
      </c>
      <c r="B5020" s="0" t="n">
        <v>7</v>
      </c>
      <c r="C5020" s="19" t="n">
        <v>0</v>
      </c>
      <c r="D5020" s="19" t="n">
        <v>1</v>
      </c>
      <c r="E5020" s="20" t="n">
        <f aca="false">Parametres!$B$5*C5020</f>
        <v>0</v>
      </c>
      <c r="F5020" s="20" t="n">
        <f aca="false">Parametres!$B$6*D5020</f>
        <v>200</v>
      </c>
      <c r="G5020" s="20" t="n">
        <f aca="false">E5020+F5020</f>
        <v>200</v>
      </c>
      <c r="H5020" s="20" t="n">
        <f aca="false">IF(G5020&lt;Parametres!$B$8*Parametres!$B$7,0,MIN(G5020,Parametres!$B$7))</f>
        <v>200</v>
      </c>
      <c r="I5020" s="20" t="n">
        <f aca="false">G5020-H5020</f>
        <v>0</v>
      </c>
      <c r="J5020" s="21" t="n">
        <f aca="false">H5020*1000/Parametres!$B$9</f>
        <v>3391.55502798033</v>
      </c>
    </row>
    <row r="5021" customFormat="false" ht="15" hidden="false" customHeight="false" outlineLevel="0" collapsed="false">
      <c r="A5021" s="0" t="n">
        <v>5017</v>
      </c>
      <c r="B5021" s="0" t="n">
        <v>7</v>
      </c>
      <c r="C5021" s="19" t="n">
        <v>0</v>
      </c>
      <c r="D5021" s="19" t="n">
        <v>1</v>
      </c>
      <c r="E5021" s="20" t="n">
        <f aca="false">Parametres!$B$5*C5021</f>
        <v>0</v>
      </c>
      <c r="F5021" s="20" t="n">
        <f aca="false">Parametres!$B$6*D5021</f>
        <v>200</v>
      </c>
      <c r="G5021" s="20" t="n">
        <f aca="false">E5021+F5021</f>
        <v>200</v>
      </c>
      <c r="H5021" s="20" t="n">
        <f aca="false">IF(G5021&lt;Parametres!$B$8*Parametres!$B$7,0,MIN(G5021,Parametres!$B$7))</f>
        <v>200</v>
      </c>
      <c r="I5021" s="20" t="n">
        <f aca="false">G5021-H5021</f>
        <v>0</v>
      </c>
      <c r="J5021" s="21" t="n">
        <f aca="false">H5021*1000/Parametres!$B$9</f>
        <v>3391.55502798033</v>
      </c>
    </row>
    <row r="5022" customFormat="false" ht="15" hidden="false" customHeight="false" outlineLevel="0" collapsed="false">
      <c r="A5022" s="0" t="n">
        <v>5018</v>
      </c>
      <c r="B5022" s="0" t="n">
        <v>7</v>
      </c>
      <c r="C5022" s="19" t="n">
        <v>0</v>
      </c>
      <c r="D5022" s="19" t="n">
        <v>1</v>
      </c>
      <c r="E5022" s="20" t="n">
        <f aca="false">Parametres!$B$5*C5022</f>
        <v>0</v>
      </c>
      <c r="F5022" s="20" t="n">
        <f aca="false">Parametres!$B$6*D5022</f>
        <v>200</v>
      </c>
      <c r="G5022" s="20" t="n">
        <f aca="false">E5022+F5022</f>
        <v>200</v>
      </c>
      <c r="H5022" s="20" t="n">
        <f aca="false">IF(G5022&lt;Parametres!$B$8*Parametres!$B$7,0,MIN(G5022,Parametres!$B$7))</f>
        <v>200</v>
      </c>
      <c r="I5022" s="20" t="n">
        <f aca="false">G5022-H5022</f>
        <v>0</v>
      </c>
      <c r="J5022" s="21" t="n">
        <f aca="false">H5022*1000/Parametres!$B$9</f>
        <v>3391.55502798033</v>
      </c>
    </row>
    <row r="5023" customFormat="false" ht="15" hidden="false" customHeight="false" outlineLevel="0" collapsed="false">
      <c r="A5023" s="0" t="n">
        <v>5019</v>
      </c>
      <c r="B5023" s="0" t="n">
        <v>7</v>
      </c>
      <c r="C5023" s="19" t="n">
        <v>0</v>
      </c>
      <c r="D5023" s="19" t="n">
        <v>0.581</v>
      </c>
      <c r="E5023" s="20" t="n">
        <f aca="false">Parametres!$B$5*C5023</f>
        <v>0</v>
      </c>
      <c r="F5023" s="20" t="n">
        <f aca="false">Parametres!$B$6*D5023</f>
        <v>116.2</v>
      </c>
      <c r="G5023" s="20" t="n">
        <f aca="false">E5023+F5023</f>
        <v>116.2</v>
      </c>
      <c r="H5023" s="20" t="n">
        <f aca="false">IF(G5023&lt;Parametres!$B$8*Parametres!$B$7,0,MIN(G5023,Parametres!$B$7))</f>
        <v>116.2</v>
      </c>
      <c r="I5023" s="20" t="n">
        <f aca="false">G5023-H5023</f>
        <v>0</v>
      </c>
      <c r="J5023" s="21" t="n">
        <f aca="false">H5023*1000/Parametres!$B$9</f>
        <v>1970.49347125657</v>
      </c>
    </row>
    <row r="5024" customFormat="false" ht="15" hidden="false" customHeight="false" outlineLevel="0" collapsed="false">
      <c r="A5024" s="0" t="n">
        <v>5020</v>
      </c>
      <c r="B5024" s="0" t="n">
        <v>7</v>
      </c>
      <c r="C5024" s="19" t="n">
        <v>0</v>
      </c>
      <c r="D5024" s="19" t="n">
        <v>0.4034</v>
      </c>
      <c r="E5024" s="20" t="n">
        <f aca="false">Parametres!$B$5*C5024</f>
        <v>0</v>
      </c>
      <c r="F5024" s="20" t="n">
        <f aca="false">Parametres!$B$6*D5024</f>
        <v>80.68</v>
      </c>
      <c r="G5024" s="20" t="n">
        <f aca="false">E5024+F5024</f>
        <v>80.68</v>
      </c>
      <c r="H5024" s="20" t="n">
        <f aca="false">IF(G5024&lt;Parametres!$B$8*Parametres!$B$7,0,MIN(G5024,Parametres!$B$7))</f>
        <v>80.68</v>
      </c>
      <c r="I5024" s="20" t="n">
        <f aca="false">G5024-H5024</f>
        <v>0</v>
      </c>
      <c r="J5024" s="21" t="n">
        <f aca="false">H5024*1000/Parametres!$B$9</f>
        <v>1368.15329828726</v>
      </c>
    </row>
    <row r="5025" customFormat="false" ht="15" hidden="false" customHeight="false" outlineLevel="0" collapsed="false">
      <c r="A5025" s="0" t="n">
        <v>5021</v>
      </c>
      <c r="B5025" s="0" t="n">
        <v>7</v>
      </c>
      <c r="C5025" s="19" t="n">
        <v>0</v>
      </c>
      <c r="D5025" s="19" t="n">
        <v>0.2826</v>
      </c>
      <c r="E5025" s="20" t="n">
        <f aca="false">Parametres!$B$5*C5025</f>
        <v>0</v>
      </c>
      <c r="F5025" s="20" t="n">
        <f aca="false">Parametres!$B$6*D5025</f>
        <v>56.52</v>
      </c>
      <c r="G5025" s="20" t="n">
        <f aca="false">E5025+F5025</f>
        <v>56.52</v>
      </c>
      <c r="H5025" s="20" t="n">
        <f aca="false">IF(G5025&lt;Parametres!$B$8*Parametres!$B$7,0,MIN(G5025,Parametres!$B$7))</f>
        <v>56.52</v>
      </c>
      <c r="I5025" s="20" t="n">
        <f aca="false">G5025-H5025</f>
        <v>0</v>
      </c>
      <c r="J5025" s="21" t="n">
        <f aca="false">H5025*1000/Parametres!$B$9</f>
        <v>958.453450907241</v>
      </c>
    </row>
    <row r="5026" customFormat="false" ht="15" hidden="false" customHeight="false" outlineLevel="0" collapsed="false">
      <c r="A5026" s="0" t="n">
        <v>5022</v>
      </c>
      <c r="B5026" s="0" t="n">
        <v>7</v>
      </c>
      <c r="C5026" s="19" t="n">
        <v>0.0346</v>
      </c>
      <c r="D5026" s="19" t="n">
        <v>0.2442</v>
      </c>
      <c r="E5026" s="20" t="n">
        <f aca="false">Parametres!$B$5*C5026</f>
        <v>10.38</v>
      </c>
      <c r="F5026" s="20" t="n">
        <f aca="false">Parametres!$B$6*D5026</f>
        <v>48.84</v>
      </c>
      <c r="G5026" s="20" t="n">
        <f aca="false">E5026+F5026</f>
        <v>59.22</v>
      </c>
      <c r="H5026" s="20" t="n">
        <f aca="false">IF(G5026&lt;Parametres!$B$8*Parametres!$B$7,0,MIN(G5026,Parametres!$B$7))</f>
        <v>59.22</v>
      </c>
      <c r="I5026" s="20" t="n">
        <f aca="false">G5026-H5026</f>
        <v>0</v>
      </c>
      <c r="J5026" s="21" t="n">
        <f aca="false">H5026*1000/Parametres!$B$9</f>
        <v>1004.23944378498</v>
      </c>
    </row>
    <row r="5027" customFormat="false" ht="15" hidden="false" customHeight="false" outlineLevel="0" collapsed="false">
      <c r="A5027" s="0" t="n">
        <v>5023</v>
      </c>
      <c r="B5027" s="0" t="n">
        <v>7</v>
      </c>
      <c r="C5027" s="19" t="n">
        <v>0.2597</v>
      </c>
      <c r="D5027" s="19" t="n">
        <v>0.2321</v>
      </c>
      <c r="E5027" s="20" t="n">
        <f aca="false">Parametres!$B$5*C5027</f>
        <v>77.91</v>
      </c>
      <c r="F5027" s="20" t="n">
        <f aca="false">Parametres!$B$6*D5027</f>
        <v>46.42</v>
      </c>
      <c r="G5027" s="20" t="n">
        <f aca="false">E5027+F5027</f>
        <v>124.33</v>
      </c>
      <c r="H5027" s="20" t="n">
        <f aca="false">IF(G5027&lt;Parametres!$B$8*Parametres!$B$7,0,MIN(G5027,Parametres!$B$7))</f>
        <v>124.33</v>
      </c>
      <c r="I5027" s="20" t="n">
        <f aca="false">G5027-H5027</f>
        <v>0</v>
      </c>
      <c r="J5027" s="21" t="n">
        <f aca="false">H5027*1000/Parametres!$B$9</f>
        <v>2108.36018314397</v>
      </c>
    </row>
    <row r="5028" customFormat="false" ht="15" hidden="false" customHeight="false" outlineLevel="0" collapsed="false">
      <c r="A5028" s="0" t="n">
        <v>5024</v>
      </c>
      <c r="B5028" s="0" t="n">
        <v>7</v>
      </c>
      <c r="C5028" s="19" t="n">
        <v>0.5067</v>
      </c>
      <c r="D5028" s="19" t="n">
        <v>0.3106</v>
      </c>
      <c r="E5028" s="20" t="n">
        <f aca="false">Parametres!$B$5*C5028</f>
        <v>152.01</v>
      </c>
      <c r="F5028" s="20" t="n">
        <f aca="false">Parametres!$B$6*D5028</f>
        <v>62.12</v>
      </c>
      <c r="G5028" s="20" t="n">
        <f aca="false">E5028+F5028</f>
        <v>214.13</v>
      </c>
      <c r="H5028" s="20" t="n">
        <f aca="false">IF(G5028&lt;Parametres!$B$8*Parametres!$B$7,0,MIN(G5028,Parametres!$B$7))</f>
        <v>214.13</v>
      </c>
      <c r="I5028" s="20" t="n">
        <f aca="false">G5028-H5028</f>
        <v>0</v>
      </c>
      <c r="J5028" s="21" t="n">
        <f aca="false">H5028*1000/Parametres!$B$9</f>
        <v>3631.16839070714</v>
      </c>
    </row>
    <row r="5029" customFormat="false" ht="15" hidden="false" customHeight="false" outlineLevel="0" collapsed="false">
      <c r="A5029" s="0" t="n">
        <v>5025</v>
      </c>
      <c r="B5029" s="0" t="n">
        <v>7</v>
      </c>
      <c r="C5029" s="19" t="n">
        <v>0.7285</v>
      </c>
      <c r="D5029" s="19" t="n">
        <v>0.2207</v>
      </c>
      <c r="E5029" s="20" t="n">
        <f aca="false">Parametres!$B$5*C5029</f>
        <v>218.55</v>
      </c>
      <c r="F5029" s="20" t="n">
        <f aca="false">Parametres!$B$6*D5029</f>
        <v>44.14</v>
      </c>
      <c r="G5029" s="20" t="n">
        <f aca="false">E5029+F5029</f>
        <v>262.69</v>
      </c>
      <c r="H5029" s="20" t="n">
        <f aca="false">IF(G5029&lt;Parametres!$B$8*Parametres!$B$7,0,MIN(G5029,Parametres!$B$7))</f>
        <v>250</v>
      </c>
      <c r="I5029" s="20" t="n">
        <f aca="false">G5029-H5029</f>
        <v>12.69</v>
      </c>
      <c r="J5029" s="21" t="n">
        <f aca="false">H5029*1000/Parametres!$B$9</f>
        <v>4239.44378497541</v>
      </c>
    </row>
    <row r="5030" customFormat="false" ht="15" hidden="false" customHeight="false" outlineLevel="0" collapsed="false">
      <c r="A5030" s="0" t="n">
        <v>5026</v>
      </c>
      <c r="B5030" s="0" t="n">
        <v>7</v>
      </c>
      <c r="C5030" s="19" t="n">
        <v>0.991</v>
      </c>
      <c r="D5030" s="19" t="n">
        <v>0.2067</v>
      </c>
      <c r="E5030" s="20" t="n">
        <f aca="false">Parametres!$B$5*C5030</f>
        <v>297.3</v>
      </c>
      <c r="F5030" s="20" t="n">
        <f aca="false">Parametres!$B$6*D5030</f>
        <v>41.34</v>
      </c>
      <c r="G5030" s="20" t="n">
        <f aca="false">E5030+F5030</f>
        <v>338.64</v>
      </c>
      <c r="H5030" s="20" t="n">
        <f aca="false">IF(G5030&lt;Parametres!$B$8*Parametres!$B$7,0,MIN(G5030,Parametres!$B$7))</f>
        <v>250</v>
      </c>
      <c r="I5030" s="20" t="n">
        <f aca="false">G5030-H5030</f>
        <v>88.64</v>
      </c>
      <c r="J5030" s="21" t="n">
        <f aca="false">H5030*1000/Parametres!$B$9</f>
        <v>4239.44378497541</v>
      </c>
    </row>
    <row r="5031" customFormat="false" ht="15" hidden="false" customHeight="false" outlineLevel="0" collapsed="false">
      <c r="A5031" s="0" t="n">
        <v>5027</v>
      </c>
      <c r="B5031" s="0" t="n">
        <v>7</v>
      </c>
      <c r="C5031" s="19" t="n">
        <v>1</v>
      </c>
      <c r="D5031" s="19" t="n">
        <v>0.2746</v>
      </c>
      <c r="E5031" s="20" t="n">
        <f aca="false">Parametres!$B$5*C5031</f>
        <v>300</v>
      </c>
      <c r="F5031" s="20" t="n">
        <f aca="false">Parametres!$B$6*D5031</f>
        <v>54.92</v>
      </c>
      <c r="G5031" s="20" t="n">
        <f aca="false">E5031+F5031</f>
        <v>354.92</v>
      </c>
      <c r="H5031" s="20" t="n">
        <f aca="false">IF(G5031&lt;Parametres!$B$8*Parametres!$B$7,0,MIN(G5031,Parametres!$B$7))</f>
        <v>250</v>
      </c>
      <c r="I5031" s="20" t="n">
        <f aca="false">G5031-H5031</f>
        <v>104.92</v>
      </c>
      <c r="J5031" s="21" t="n">
        <f aca="false">H5031*1000/Parametres!$B$9</f>
        <v>4239.44378497541</v>
      </c>
    </row>
    <row r="5032" customFormat="false" ht="15" hidden="false" customHeight="false" outlineLevel="0" collapsed="false">
      <c r="A5032" s="0" t="n">
        <v>5028</v>
      </c>
      <c r="B5032" s="0" t="n">
        <v>7</v>
      </c>
      <c r="C5032" s="19" t="n">
        <v>1</v>
      </c>
      <c r="D5032" s="19" t="n">
        <v>0.2396</v>
      </c>
      <c r="E5032" s="20" t="n">
        <f aca="false">Parametres!$B$5*C5032</f>
        <v>300</v>
      </c>
      <c r="F5032" s="20" t="n">
        <f aca="false">Parametres!$B$6*D5032</f>
        <v>47.92</v>
      </c>
      <c r="G5032" s="20" t="n">
        <f aca="false">E5032+F5032</f>
        <v>347.92</v>
      </c>
      <c r="H5032" s="20" t="n">
        <f aca="false">IF(G5032&lt;Parametres!$B$8*Parametres!$B$7,0,MIN(G5032,Parametres!$B$7))</f>
        <v>250</v>
      </c>
      <c r="I5032" s="20" t="n">
        <f aca="false">G5032-H5032</f>
        <v>97.92</v>
      </c>
      <c r="J5032" s="21" t="n">
        <f aca="false">H5032*1000/Parametres!$B$9</f>
        <v>4239.44378497541</v>
      </c>
    </row>
    <row r="5033" customFormat="false" ht="15" hidden="false" customHeight="false" outlineLevel="0" collapsed="false">
      <c r="A5033" s="0" t="n">
        <v>5029</v>
      </c>
      <c r="B5033" s="0" t="n">
        <v>7</v>
      </c>
      <c r="C5033" s="19" t="n">
        <v>1</v>
      </c>
      <c r="D5033" s="19" t="n">
        <v>0.1904</v>
      </c>
      <c r="E5033" s="20" t="n">
        <f aca="false">Parametres!$B$5*C5033</f>
        <v>300</v>
      </c>
      <c r="F5033" s="20" t="n">
        <f aca="false">Parametres!$B$6*D5033</f>
        <v>38.08</v>
      </c>
      <c r="G5033" s="20" t="n">
        <f aca="false">E5033+F5033</f>
        <v>338.08</v>
      </c>
      <c r="H5033" s="20" t="n">
        <f aca="false">IF(G5033&lt;Parametres!$B$8*Parametres!$B$7,0,MIN(G5033,Parametres!$B$7))</f>
        <v>250</v>
      </c>
      <c r="I5033" s="20" t="n">
        <f aca="false">G5033-H5033</f>
        <v>88.08</v>
      </c>
      <c r="J5033" s="21" t="n">
        <f aca="false">H5033*1000/Parametres!$B$9</f>
        <v>4239.44378497541</v>
      </c>
    </row>
    <row r="5034" customFormat="false" ht="15" hidden="false" customHeight="false" outlineLevel="0" collapsed="false">
      <c r="A5034" s="0" t="n">
        <v>5030</v>
      </c>
      <c r="B5034" s="0" t="n">
        <v>7</v>
      </c>
      <c r="C5034" s="19" t="n">
        <v>1</v>
      </c>
      <c r="D5034" s="19" t="n">
        <v>0.2302</v>
      </c>
      <c r="E5034" s="20" t="n">
        <f aca="false">Parametres!$B$5*C5034</f>
        <v>300</v>
      </c>
      <c r="F5034" s="20" t="n">
        <f aca="false">Parametres!$B$6*D5034</f>
        <v>46.04</v>
      </c>
      <c r="G5034" s="20" t="n">
        <f aca="false">E5034+F5034</f>
        <v>346.04</v>
      </c>
      <c r="H5034" s="20" t="n">
        <f aca="false">IF(G5034&lt;Parametres!$B$8*Parametres!$B$7,0,MIN(G5034,Parametres!$B$7))</f>
        <v>250</v>
      </c>
      <c r="I5034" s="20" t="n">
        <f aca="false">G5034-H5034</f>
        <v>96.04</v>
      </c>
      <c r="J5034" s="21" t="n">
        <f aca="false">H5034*1000/Parametres!$B$9</f>
        <v>4239.44378497541</v>
      </c>
    </row>
    <row r="5035" customFormat="false" ht="15" hidden="false" customHeight="false" outlineLevel="0" collapsed="false">
      <c r="A5035" s="0" t="n">
        <v>5031</v>
      </c>
      <c r="B5035" s="0" t="n">
        <v>7</v>
      </c>
      <c r="C5035" s="19" t="n">
        <v>0.9183</v>
      </c>
      <c r="D5035" s="19" t="n">
        <v>0.3253</v>
      </c>
      <c r="E5035" s="20" t="n">
        <f aca="false">Parametres!$B$5*C5035</f>
        <v>275.49</v>
      </c>
      <c r="F5035" s="20" t="n">
        <f aca="false">Parametres!$B$6*D5035</f>
        <v>65.06</v>
      </c>
      <c r="G5035" s="20" t="n">
        <f aca="false">E5035+F5035</f>
        <v>340.55</v>
      </c>
      <c r="H5035" s="20" t="n">
        <f aca="false">IF(G5035&lt;Parametres!$B$8*Parametres!$B$7,0,MIN(G5035,Parametres!$B$7))</f>
        <v>250</v>
      </c>
      <c r="I5035" s="20" t="n">
        <f aca="false">G5035-H5035</f>
        <v>90.55</v>
      </c>
      <c r="J5035" s="21" t="n">
        <f aca="false">H5035*1000/Parametres!$B$9</f>
        <v>4239.44378497541</v>
      </c>
    </row>
    <row r="5036" customFormat="false" ht="15" hidden="false" customHeight="false" outlineLevel="0" collapsed="false">
      <c r="A5036" s="0" t="n">
        <v>5032</v>
      </c>
      <c r="B5036" s="0" t="n">
        <v>7</v>
      </c>
      <c r="C5036" s="19" t="n">
        <v>0.7219</v>
      </c>
      <c r="D5036" s="19" t="n">
        <v>0.4123</v>
      </c>
      <c r="E5036" s="20" t="n">
        <f aca="false">Parametres!$B$5*C5036</f>
        <v>216.57</v>
      </c>
      <c r="F5036" s="20" t="n">
        <f aca="false">Parametres!$B$6*D5036</f>
        <v>82.46</v>
      </c>
      <c r="G5036" s="20" t="n">
        <f aca="false">E5036+F5036</f>
        <v>299.03</v>
      </c>
      <c r="H5036" s="20" t="n">
        <f aca="false">IF(G5036&lt;Parametres!$B$8*Parametres!$B$7,0,MIN(G5036,Parametres!$B$7))</f>
        <v>250</v>
      </c>
      <c r="I5036" s="20" t="n">
        <f aca="false">G5036-H5036</f>
        <v>49.03</v>
      </c>
      <c r="J5036" s="21" t="n">
        <f aca="false">H5036*1000/Parametres!$B$9</f>
        <v>4239.44378497541</v>
      </c>
    </row>
    <row r="5037" customFormat="false" ht="15" hidden="false" customHeight="false" outlineLevel="0" collapsed="false">
      <c r="A5037" s="0" t="n">
        <v>5033</v>
      </c>
      <c r="B5037" s="0" t="n">
        <v>7</v>
      </c>
      <c r="C5037" s="19" t="n">
        <v>0.5114</v>
      </c>
      <c r="D5037" s="19" t="n">
        <v>0.2308</v>
      </c>
      <c r="E5037" s="20" t="n">
        <f aca="false">Parametres!$B$5*C5037</f>
        <v>153.42</v>
      </c>
      <c r="F5037" s="20" t="n">
        <f aca="false">Parametres!$B$6*D5037</f>
        <v>46.16</v>
      </c>
      <c r="G5037" s="20" t="n">
        <f aca="false">E5037+F5037</f>
        <v>199.58</v>
      </c>
      <c r="H5037" s="20" t="n">
        <f aca="false">IF(G5037&lt;Parametres!$B$8*Parametres!$B$7,0,MIN(G5037,Parametres!$B$7))</f>
        <v>199.58</v>
      </c>
      <c r="I5037" s="20" t="n">
        <f aca="false">G5037-H5037</f>
        <v>0</v>
      </c>
      <c r="J5037" s="21" t="n">
        <f aca="false">H5037*1000/Parametres!$B$9</f>
        <v>3384.43276242157</v>
      </c>
    </row>
    <row r="5038" customFormat="false" ht="15" hidden="false" customHeight="false" outlineLevel="0" collapsed="false">
      <c r="A5038" s="0" t="n">
        <v>5034</v>
      </c>
      <c r="B5038" s="0" t="n">
        <v>7</v>
      </c>
      <c r="C5038" s="19" t="n">
        <v>0.2574</v>
      </c>
      <c r="D5038" s="19" t="n">
        <v>0.2345</v>
      </c>
      <c r="E5038" s="20" t="n">
        <f aca="false">Parametres!$B$5*C5038</f>
        <v>77.22</v>
      </c>
      <c r="F5038" s="20" t="n">
        <f aca="false">Parametres!$B$6*D5038</f>
        <v>46.9</v>
      </c>
      <c r="G5038" s="20" t="n">
        <f aca="false">E5038+F5038</f>
        <v>124.12</v>
      </c>
      <c r="H5038" s="20" t="n">
        <f aca="false">IF(G5038&lt;Parametres!$B$8*Parametres!$B$7,0,MIN(G5038,Parametres!$B$7))</f>
        <v>124.12</v>
      </c>
      <c r="I5038" s="20" t="n">
        <f aca="false">G5038-H5038</f>
        <v>0</v>
      </c>
      <c r="J5038" s="21" t="n">
        <f aca="false">H5038*1000/Parametres!$B$9</f>
        <v>2104.79905036459</v>
      </c>
    </row>
    <row r="5039" customFormat="false" ht="15" hidden="false" customHeight="false" outlineLevel="0" collapsed="false">
      <c r="A5039" s="0" t="n">
        <v>5035</v>
      </c>
      <c r="B5039" s="0" t="n">
        <v>7</v>
      </c>
      <c r="C5039" s="19" t="n">
        <v>0.0305</v>
      </c>
      <c r="D5039" s="19" t="n">
        <v>0.2128</v>
      </c>
      <c r="E5039" s="20" t="n">
        <f aca="false">Parametres!$B$5*C5039</f>
        <v>9.15</v>
      </c>
      <c r="F5039" s="20" t="n">
        <f aca="false">Parametres!$B$6*D5039</f>
        <v>42.56</v>
      </c>
      <c r="G5039" s="20" t="n">
        <f aca="false">E5039+F5039</f>
        <v>51.71</v>
      </c>
      <c r="H5039" s="20" t="n">
        <f aca="false">IF(G5039&lt;Parametres!$B$8*Parametres!$B$7,0,MIN(G5039,Parametres!$B$7))</f>
        <v>51.71</v>
      </c>
      <c r="I5039" s="20" t="n">
        <f aca="false">G5039-H5039</f>
        <v>0</v>
      </c>
      <c r="J5039" s="21" t="n">
        <f aca="false">H5039*1000/Parametres!$B$9</f>
        <v>876.886552484314</v>
      </c>
    </row>
    <row r="5040" customFormat="false" ht="15" hidden="false" customHeight="false" outlineLevel="0" collapsed="false">
      <c r="A5040" s="0" t="n">
        <v>5036</v>
      </c>
      <c r="B5040" s="0" t="n">
        <v>7</v>
      </c>
      <c r="C5040" s="19" t="n">
        <v>0</v>
      </c>
      <c r="D5040" s="19" t="n">
        <v>0.3996</v>
      </c>
      <c r="E5040" s="20" t="n">
        <f aca="false">Parametres!$B$5*C5040</f>
        <v>0</v>
      </c>
      <c r="F5040" s="20" t="n">
        <f aca="false">Parametres!$B$6*D5040</f>
        <v>79.92</v>
      </c>
      <c r="G5040" s="20" t="n">
        <f aca="false">E5040+F5040</f>
        <v>79.92</v>
      </c>
      <c r="H5040" s="20" t="n">
        <f aca="false">IF(G5040&lt;Parametres!$B$8*Parametres!$B$7,0,MIN(G5040,Parametres!$B$7))</f>
        <v>79.92</v>
      </c>
      <c r="I5040" s="20" t="n">
        <f aca="false">G5040-H5040</f>
        <v>0</v>
      </c>
      <c r="J5040" s="21" t="n">
        <f aca="false">H5040*1000/Parametres!$B$9</f>
        <v>1355.26538918094</v>
      </c>
    </row>
    <row r="5041" customFormat="false" ht="15" hidden="false" customHeight="false" outlineLevel="0" collapsed="false">
      <c r="A5041" s="0" t="n">
        <v>5037</v>
      </c>
      <c r="B5041" s="0" t="n">
        <v>7</v>
      </c>
      <c r="C5041" s="19" t="n">
        <v>0</v>
      </c>
      <c r="D5041" s="19" t="n">
        <v>0.344</v>
      </c>
      <c r="E5041" s="20" t="n">
        <f aca="false">Parametres!$B$5*C5041</f>
        <v>0</v>
      </c>
      <c r="F5041" s="20" t="n">
        <f aca="false">Parametres!$B$6*D5041</f>
        <v>68.8</v>
      </c>
      <c r="G5041" s="20" t="n">
        <f aca="false">E5041+F5041</f>
        <v>68.8</v>
      </c>
      <c r="H5041" s="20" t="n">
        <f aca="false">IF(G5041&lt;Parametres!$B$8*Parametres!$B$7,0,MIN(G5041,Parametres!$B$7))</f>
        <v>68.8</v>
      </c>
      <c r="I5041" s="20" t="n">
        <f aca="false">G5041-H5041</f>
        <v>0</v>
      </c>
      <c r="J5041" s="21" t="n">
        <f aca="false">H5041*1000/Parametres!$B$9</f>
        <v>1166.69492962523</v>
      </c>
    </row>
    <row r="5042" customFormat="false" ht="15" hidden="false" customHeight="false" outlineLevel="0" collapsed="false">
      <c r="A5042" s="0" t="n">
        <v>5038</v>
      </c>
      <c r="B5042" s="0" t="n">
        <v>7</v>
      </c>
      <c r="C5042" s="19" t="n">
        <v>0</v>
      </c>
      <c r="D5042" s="19" t="n">
        <v>0.2628</v>
      </c>
      <c r="E5042" s="20" t="n">
        <f aca="false">Parametres!$B$5*C5042</f>
        <v>0</v>
      </c>
      <c r="F5042" s="20" t="n">
        <f aca="false">Parametres!$B$6*D5042</f>
        <v>52.56</v>
      </c>
      <c r="G5042" s="20" t="n">
        <f aca="false">E5042+F5042</f>
        <v>52.56</v>
      </c>
      <c r="H5042" s="20" t="n">
        <f aca="false">IF(G5042&lt;Parametres!$B$8*Parametres!$B$7,0,MIN(G5042,Parametres!$B$7))</f>
        <v>52.56</v>
      </c>
      <c r="I5042" s="20" t="n">
        <f aca="false">G5042-H5042</f>
        <v>0</v>
      </c>
      <c r="J5042" s="21" t="n">
        <f aca="false">H5042*1000/Parametres!$B$9</f>
        <v>891.30066135323</v>
      </c>
    </row>
    <row r="5043" customFormat="false" ht="15" hidden="false" customHeight="false" outlineLevel="0" collapsed="false">
      <c r="A5043" s="0" t="n">
        <v>5039</v>
      </c>
      <c r="B5043" s="0" t="n">
        <v>7</v>
      </c>
      <c r="C5043" s="19" t="n">
        <v>0</v>
      </c>
      <c r="D5043" s="19" t="n">
        <v>0.3891</v>
      </c>
      <c r="E5043" s="20" t="n">
        <f aca="false">Parametres!$B$5*C5043</f>
        <v>0</v>
      </c>
      <c r="F5043" s="20" t="n">
        <f aca="false">Parametres!$B$6*D5043</f>
        <v>77.82</v>
      </c>
      <c r="G5043" s="20" t="n">
        <f aca="false">E5043+F5043</f>
        <v>77.82</v>
      </c>
      <c r="H5043" s="20" t="n">
        <f aca="false">IF(G5043&lt;Parametres!$B$8*Parametres!$B$7,0,MIN(G5043,Parametres!$B$7))</f>
        <v>77.82</v>
      </c>
      <c r="I5043" s="20" t="n">
        <f aca="false">G5043-H5043</f>
        <v>0</v>
      </c>
      <c r="J5043" s="21" t="n">
        <f aca="false">H5043*1000/Parametres!$B$9</f>
        <v>1319.65406138715</v>
      </c>
    </row>
    <row r="5044" customFormat="false" ht="15" hidden="false" customHeight="false" outlineLevel="0" collapsed="false">
      <c r="A5044" s="0" t="n">
        <v>5040</v>
      </c>
      <c r="B5044" s="0" t="n">
        <v>7</v>
      </c>
      <c r="C5044" s="19" t="n">
        <v>0</v>
      </c>
      <c r="D5044" s="19" t="n">
        <v>0.2451</v>
      </c>
      <c r="E5044" s="20" t="n">
        <f aca="false">Parametres!$B$5*C5044</f>
        <v>0</v>
      </c>
      <c r="F5044" s="20" t="n">
        <f aca="false">Parametres!$B$6*D5044</f>
        <v>49.02</v>
      </c>
      <c r="G5044" s="20" t="n">
        <f aca="false">E5044+F5044</f>
        <v>49.02</v>
      </c>
      <c r="H5044" s="20" t="n">
        <f aca="false">IF(G5044&lt;Parametres!$B$8*Parametres!$B$7,0,MIN(G5044,Parametres!$B$7))</f>
        <v>49.02</v>
      </c>
      <c r="I5044" s="20" t="n">
        <f aca="false">G5044-H5044</f>
        <v>0</v>
      </c>
      <c r="J5044" s="21" t="n">
        <f aca="false">H5044*1000/Parametres!$B$9</f>
        <v>831.270137357979</v>
      </c>
    </row>
    <row r="5045" customFormat="false" ht="15" hidden="false" customHeight="false" outlineLevel="0" collapsed="false">
      <c r="A5045" s="0" t="n">
        <v>5041</v>
      </c>
      <c r="B5045" s="0" t="n">
        <v>7</v>
      </c>
      <c r="C5045" s="19" t="n">
        <v>0</v>
      </c>
      <c r="D5045" s="19" t="n">
        <v>0.3408</v>
      </c>
      <c r="E5045" s="20" t="n">
        <f aca="false">Parametres!$B$5*C5045</f>
        <v>0</v>
      </c>
      <c r="F5045" s="20" t="n">
        <f aca="false">Parametres!$B$6*D5045</f>
        <v>68.16</v>
      </c>
      <c r="G5045" s="20" t="n">
        <f aca="false">E5045+F5045</f>
        <v>68.16</v>
      </c>
      <c r="H5045" s="20" t="n">
        <f aca="false">IF(G5045&lt;Parametres!$B$8*Parametres!$B$7,0,MIN(G5045,Parametres!$B$7))</f>
        <v>68.16</v>
      </c>
      <c r="I5045" s="20" t="n">
        <f aca="false">G5045-H5045</f>
        <v>0</v>
      </c>
      <c r="J5045" s="21" t="n">
        <f aca="false">H5045*1000/Parametres!$B$9</f>
        <v>1155.8419535357</v>
      </c>
    </row>
    <row r="5046" customFormat="false" ht="15" hidden="false" customHeight="false" outlineLevel="0" collapsed="false">
      <c r="A5046" s="0" t="n">
        <v>5042</v>
      </c>
      <c r="B5046" s="0" t="n">
        <v>7</v>
      </c>
      <c r="C5046" s="19" t="n">
        <v>0</v>
      </c>
      <c r="D5046" s="19" t="n">
        <v>0.4598</v>
      </c>
      <c r="E5046" s="20" t="n">
        <f aca="false">Parametres!$B$5*C5046</f>
        <v>0</v>
      </c>
      <c r="F5046" s="20" t="n">
        <f aca="false">Parametres!$B$6*D5046</f>
        <v>91.96</v>
      </c>
      <c r="G5046" s="20" t="n">
        <f aca="false">E5046+F5046</f>
        <v>91.96</v>
      </c>
      <c r="H5046" s="20" t="n">
        <f aca="false">IF(G5046&lt;Parametres!$B$8*Parametres!$B$7,0,MIN(G5046,Parametres!$B$7))</f>
        <v>91.96</v>
      </c>
      <c r="I5046" s="20" t="n">
        <f aca="false">G5046-H5046</f>
        <v>0</v>
      </c>
      <c r="J5046" s="21" t="n">
        <f aca="false">H5046*1000/Parametres!$B$9</f>
        <v>1559.43700186536</v>
      </c>
    </row>
    <row r="5047" customFormat="false" ht="15" hidden="false" customHeight="false" outlineLevel="0" collapsed="false">
      <c r="A5047" s="0" t="n">
        <v>5043</v>
      </c>
      <c r="B5047" s="0" t="n">
        <v>7</v>
      </c>
      <c r="C5047" s="19" t="n">
        <v>0</v>
      </c>
      <c r="D5047" s="19" t="n">
        <v>0.3936</v>
      </c>
      <c r="E5047" s="20" t="n">
        <f aca="false">Parametres!$B$5*C5047</f>
        <v>0</v>
      </c>
      <c r="F5047" s="20" t="n">
        <f aca="false">Parametres!$B$6*D5047</f>
        <v>78.72</v>
      </c>
      <c r="G5047" s="20" t="n">
        <f aca="false">E5047+F5047</f>
        <v>78.72</v>
      </c>
      <c r="H5047" s="20" t="n">
        <f aca="false">IF(G5047&lt;Parametres!$B$8*Parametres!$B$7,0,MIN(G5047,Parametres!$B$7))</f>
        <v>78.72</v>
      </c>
      <c r="I5047" s="20" t="n">
        <f aca="false">G5047-H5047</f>
        <v>0</v>
      </c>
      <c r="J5047" s="21" t="n">
        <f aca="false">H5047*1000/Parametres!$B$9</f>
        <v>1334.91605901306</v>
      </c>
    </row>
    <row r="5048" customFormat="false" ht="15" hidden="false" customHeight="false" outlineLevel="0" collapsed="false">
      <c r="A5048" s="0" t="n">
        <v>5044</v>
      </c>
      <c r="B5048" s="0" t="n">
        <v>7</v>
      </c>
      <c r="C5048" s="19" t="n">
        <v>0</v>
      </c>
      <c r="D5048" s="19" t="n">
        <v>0.3959</v>
      </c>
      <c r="E5048" s="20" t="n">
        <f aca="false">Parametres!$B$5*C5048</f>
        <v>0</v>
      </c>
      <c r="F5048" s="20" t="n">
        <f aca="false">Parametres!$B$6*D5048</f>
        <v>79.18</v>
      </c>
      <c r="G5048" s="20" t="n">
        <f aca="false">E5048+F5048</f>
        <v>79.18</v>
      </c>
      <c r="H5048" s="20" t="n">
        <f aca="false">IF(G5048&lt;Parametres!$B$8*Parametres!$B$7,0,MIN(G5048,Parametres!$B$7))</f>
        <v>79.18</v>
      </c>
      <c r="I5048" s="20" t="n">
        <f aca="false">G5048-H5048</f>
        <v>0</v>
      </c>
      <c r="J5048" s="21" t="n">
        <f aca="false">H5048*1000/Parametres!$B$9</f>
        <v>1342.71663557741</v>
      </c>
    </row>
    <row r="5049" customFormat="false" ht="15" hidden="false" customHeight="false" outlineLevel="0" collapsed="false">
      <c r="A5049" s="0" t="n">
        <v>5045</v>
      </c>
      <c r="B5049" s="0" t="n">
        <v>7</v>
      </c>
      <c r="C5049" s="19" t="n">
        <v>0</v>
      </c>
      <c r="D5049" s="19" t="n">
        <v>0.4668</v>
      </c>
      <c r="E5049" s="20" t="n">
        <f aca="false">Parametres!$B$5*C5049</f>
        <v>0</v>
      </c>
      <c r="F5049" s="20" t="n">
        <f aca="false">Parametres!$B$6*D5049</f>
        <v>93.36</v>
      </c>
      <c r="G5049" s="20" t="n">
        <f aca="false">E5049+F5049</f>
        <v>93.36</v>
      </c>
      <c r="H5049" s="20" t="n">
        <f aca="false">IF(G5049&lt;Parametres!$B$8*Parametres!$B$7,0,MIN(G5049,Parametres!$B$7))</f>
        <v>93.36</v>
      </c>
      <c r="I5049" s="20" t="n">
        <f aca="false">G5049-H5049</f>
        <v>0</v>
      </c>
      <c r="J5049" s="21" t="n">
        <f aca="false">H5049*1000/Parametres!$B$9</f>
        <v>1583.17788706122</v>
      </c>
    </row>
    <row r="5050" customFormat="false" ht="15" hidden="false" customHeight="false" outlineLevel="0" collapsed="false">
      <c r="A5050" s="0" t="n">
        <v>5046</v>
      </c>
      <c r="B5050" s="0" t="n">
        <v>7</v>
      </c>
      <c r="C5050" s="19" t="n">
        <v>0.0336</v>
      </c>
      <c r="D5050" s="19" t="n">
        <v>0.9002</v>
      </c>
      <c r="E5050" s="20" t="n">
        <f aca="false">Parametres!$B$5*C5050</f>
        <v>10.08</v>
      </c>
      <c r="F5050" s="20" t="n">
        <f aca="false">Parametres!$B$6*D5050</f>
        <v>180.04</v>
      </c>
      <c r="G5050" s="20" t="n">
        <f aca="false">E5050+F5050</f>
        <v>190.12</v>
      </c>
      <c r="H5050" s="20" t="n">
        <f aca="false">IF(G5050&lt;Parametres!$B$8*Parametres!$B$7,0,MIN(G5050,Parametres!$B$7))</f>
        <v>190.12</v>
      </c>
      <c r="I5050" s="20" t="n">
        <f aca="false">G5050-H5050</f>
        <v>0</v>
      </c>
      <c r="J5050" s="21" t="n">
        <f aca="false">H5050*1000/Parametres!$B$9</f>
        <v>3224.0122095981</v>
      </c>
    </row>
    <row r="5051" customFormat="false" ht="15" hidden="false" customHeight="false" outlineLevel="0" collapsed="false">
      <c r="A5051" s="0" t="n">
        <v>5047</v>
      </c>
      <c r="B5051" s="0" t="n">
        <v>7</v>
      </c>
      <c r="C5051" s="19" t="n">
        <v>0.2633</v>
      </c>
      <c r="D5051" s="19" t="n">
        <v>0.9887</v>
      </c>
      <c r="E5051" s="20" t="n">
        <f aca="false">Parametres!$B$5*C5051</f>
        <v>78.99</v>
      </c>
      <c r="F5051" s="20" t="n">
        <f aca="false">Parametres!$B$6*D5051</f>
        <v>197.74</v>
      </c>
      <c r="G5051" s="20" t="n">
        <f aca="false">E5051+F5051</f>
        <v>276.73</v>
      </c>
      <c r="H5051" s="20" t="n">
        <f aca="false">IF(G5051&lt;Parametres!$B$8*Parametres!$B$7,0,MIN(G5051,Parametres!$B$7))</f>
        <v>250</v>
      </c>
      <c r="I5051" s="20" t="n">
        <f aca="false">G5051-H5051</f>
        <v>26.73</v>
      </c>
      <c r="J5051" s="21" t="n">
        <f aca="false">H5051*1000/Parametres!$B$9</f>
        <v>4239.44378497541</v>
      </c>
    </row>
    <row r="5052" customFormat="false" ht="15" hidden="false" customHeight="false" outlineLevel="0" collapsed="false">
      <c r="A5052" s="0" t="n">
        <v>5048</v>
      </c>
      <c r="B5052" s="0" t="n">
        <v>7</v>
      </c>
      <c r="C5052" s="19" t="n">
        <v>0.5727</v>
      </c>
      <c r="D5052" s="19" t="n">
        <v>0.9475</v>
      </c>
      <c r="E5052" s="20" t="n">
        <f aca="false">Parametres!$B$5*C5052</f>
        <v>171.81</v>
      </c>
      <c r="F5052" s="20" t="n">
        <f aca="false">Parametres!$B$6*D5052</f>
        <v>189.5</v>
      </c>
      <c r="G5052" s="20" t="n">
        <f aca="false">E5052+F5052</f>
        <v>361.31</v>
      </c>
      <c r="H5052" s="20" t="n">
        <f aca="false">IF(G5052&lt;Parametres!$B$8*Parametres!$B$7,0,MIN(G5052,Parametres!$B$7))</f>
        <v>250</v>
      </c>
      <c r="I5052" s="20" t="n">
        <f aca="false">G5052-H5052</f>
        <v>111.31</v>
      </c>
      <c r="J5052" s="21" t="n">
        <f aca="false">H5052*1000/Parametres!$B$9</f>
        <v>4239.44378497541</v>
      </c>
    </row>
    <row r="5053" customFormat="false" ht="15" hidden="false" customHeight="false" outlineLevel="0" collapsed="false">
      <c r="A5053" s="0" t="n">
        <v>5049</v>
      </c>
      <c r="B5053" s="0" t="n">
        <v>7</v>
      </c>
      <c r="C5053" s="19" t="n">
        <v>0.8052</v>
      </c>
      <c r="D5053" s="19" t="n">
        <v>1</v>
      </c>
      <c r="E5053" s="20" t="n">
        <f aca="false">Parametres!$B$5*C5053</f>
        <v>241.56</v>
      </c>
      <c r="F5053" s="20" t="n">
        <f aca="false">Parametres!$B$6*D5053</f>
        <v>200</v>
      </c>
      <c r="G5053" s="20" t="n">
        <f aca="false">E5053+F5053</f>
        <v>441.56</v>
      </c>
      <c r="H5053" s="20" t="n">
        <f aca="false">IF(G5053&lt;Parametres!$B$8*Parametres!$B$7,0,MIN(G5053,Parametres!$B$7))</f>
        <v>250</v>
      </c>
      <c r="I5053" s="20" t="n">
        <f aca="false">G5053-H5053</f>
        <v>191.56</v>
      </c>
      <c r="J5053" s="21" t="n">
        <f aca="false">H5053*1000/Parametres!$B$9</f>
        <v>4239.44378497541</v>
      </c>
    </row>
    <row r="5054" customFormat="false" ht="15" hidden="false" customHeight="false" outlineLevel="0" collapsed="false">
      <c r="A5054" s="0" t="n">
        <v>5050</v>
      </c>
      <c r="B5054" s="0" t="n">
        <v>7</v>
      </c>
      <c r="C5054" s="19" t="n">
        <v>1</v>
      </c>
      <c r="D5054" s="19" t="n">
        <v>1</v>
      </c>
      <c r="E5054" s="20" t="n">
        <f aca="false">Parametres!$B$5*C5054</f>
        <v>300</v>
      </c>
      <c r="F5054" s="20" t="n">
        <f aca="false">Parametres!$B$6*D5054</f>
        <v>200</v>
      </c>
      <c r="G5054" s="20" t="n">
        <f aca="false">E5054+F5054</f>
        <v>500</v>
      </c>
      <c r="H5054" s="20" t="n">
        <f aca="false">IF(G5054&lt;Parametres!$B$8*Parametres!$B$7,0,MIN(G5054,Parametres!$B$7))</f>
        <v>250</v>
      </c>
      <c r="I5054" s="20" t="n">
        <f aca="false">G5054-H5054</f>
        <v>250</v>
      </c>
      <c r="J5054" s="21" t="n">
        <f aca="false">H5054*1000/Parametres!$B$9</f>
        <v>4239.44378497541</v>
      </c>
    </row>
    <row r="5055" customFormat="false" ht="15" hidden="false" customHeight="false" outlineLevel="0" collapsed="false">
      <c r="A5055" s="0" t="n">
        <v>5051</v>
      </c>
      <c r="B5055" s="0" t="n">
        <v>7</v>
      </c>
      <c r="C5055" s="19" t="n">
        <v>1</v>
      </c>
      <c r="D5055" s="19" t="n">
        <v>1</v>
      </c>
      <c r="E5055" s="20" t="n">
        <f aca="false">Parametres!$B$5*C5055</f>
        <v>300</v>
      </c>
      <c r="F5055" s="20" t="n">
        <f aca="false">Parametres!$B$6*D5055</f>
        <v>200</v>
      </c>
      <c r="G5055" s="20" t="n">
        <f aca="false">E5055+F5055</f>
        <v>500</v>
      </c>
      <c r="H5055" s="20" t="n">
        <f aca="false">IF(G5055&lt;Parametres!$B$8*Parametres!$B$7,0,MIN(G5055,Parametres!$B$7))</f>
        <v>250</v>
      </c>
      <c r="I5055" s="20" t="n">
        <f aca="false">G5055-H5055</f>
        <v>250</v>
      </c>
      <c r="J5055" s="21" t="n">
        <f aca="false">H5055*1000/Parametres!$B$9</f>
        <v>4239.44378497541</v>
      </c>
    </row>
    <row r="5056" customFormat="false" ht="15" hidden="false" customHeight="false" outlineLevel="0" collapsed="false">
      <c r="A5056" s="0" t="n">
        <v>5052</v>
      </c>
      <c r="B5056" s="0" t="n">
        <v>7</v>
      </c>
      <c r="C5056" s="19" t="n">
        <v>1</v>
      </c>
      <c r="D5056" s="19" t="n">
        <v>1</v>
      </c>
      <c r="E5056" s="20" t="n">
        <f aca="false">Parametres!$B$5*C5056</f>
        <v>300</v>
      </c>
      <c r="F5056" s="20" t="n">
        <f aca="false">Parametres!$B$6*D5056</f>
        <v>200</v>
      </c>
      <c r="G5056" s="20" t="n">
        <f aca="false">E5056+F5056</f>
        <v>500</v>
      </c>
      <c r="H5056" s="20" t="n">
        <f aca="false">IF(G5056&lt;Parametres!$B$8*Parametres!$B$7,0,MIN(G5056,Parametres!$B$7))</f>
        <v>250</v>
      </c>
      <c r="I5056" s="20" t="n">
        <f aca="false">G5056-H5056</f>
        <v>250</v>
      </c>
      <c r="J5056" s="21" t="n">
        <f aca="false">H5056*1000/Parametres!$B$9</f>
        <v>4239.44378497541</v>
      </c>
    </row>
    <row r="5057" customFormat="false" ht="15" hidden="false" customHeight="false" outlineLevel="0" collapsed="false">
      <c r="A5057" s="0" t="n">
        <v>5053</v>
      </c>
      <c r="B5057" s="0" t="n">
        <v>7</v>
      </c>
      <c r="C5057" s="19" t="n">
        <v>1</v>
      </c>
      <c r="D5057" s="19" t="n">
        <v>1</v>
      </c>
      <c r="E5057" s="20" t="n">
        <f aca="false">Parametres!$B$5*C5057</f>
        <v>300</v>
      </c>
      <c r="F5057" s="20" t="n">
        <f aca="false">Parametres!$B$6*D5057</f>
        <v>200</v>
      </c>
      <c r="G5057" s="20" t="n">
        <f aca="false">E5057+F5057</f>
        <v>500</v>
      </c>
      <c r="H5057" s="20" t="n">
        <f aca="false">IF(G5057&lt;Parametres!$B$8*Parametres!$B$7,0,MIN(G5057,Parametres!$B$7))</f>
        <v>250</v>
      </c>
      <c r="I5057" s="20" t="n">
        <f aca="false">G5057-H5057</f>
        <v>250</v>
      </c>
      <c r="J5057" s="21" t="n">
        <f aca="false">H5057*1000/Parametres!$B$9</f>
        <v>4239.44378497541</v>
      </c>
    </row>
    <row r="5058" customFormat="false" ht="15" hidden="false" customHeight="false" outlineLevel="0" collapsed="false">
      <c r="A5058" s="0" t="n">
        <v>5054</v>
      </c>
      <c r="B5058" s="0" t="n">
        <v>7</v>
      </c>
      <c r="C5058" s="19" t="n">
        <v>1</v>
      </c>
      <c r="D5058" s="19" t="n">
        <v>1</v>
      </c>
      <c r="E5058" s="20" t="n">
        <f aca="false">Parametres!$B$5*C5058</f>
        <v>300</v>
      </c>
      <c r="F5058" s="20" t="n">
        <f aca="false">Parametres!$B$6*D5058</f>
        <v>200</v>
      </c>
      <c r="G5058" s="20" t="n">
        <f aca="false">E5058+F5058</f>
        <v>500</v>
      </c>
      <c r="H5058" s="20" t="n">
        <f aca="false">IF(G5058&lt;Parametres!$B$8*Parametres!$B$7,0,MIN(G5058,Parametres!$B$7))</f>
        <v>250</v>
      </c>
      <c r="I5058" s="20" t="n">
        <f aca="false">G5058-H5058</f>
        <v>250</v>
      </c>
      <c r="J5058" s="21" t="n">
        <f aca="false">H5058*1000/Parametres!$B$9</f>
        <v>4239.44378497541</v>
      </c>
    </row>
    <row r="5059" customFormat="false" ht="15" hidden="false" customHeight="false" outlineLevel="0" collapsed="false">
      <c r="A5059" s="0" t="n">
        <v>5055</v>
      </c>
      <c r="B5059" s="0" t="n">
        <v>7</v>
      </c>
      <c r="C5059" s="19" t="n">
        <v>1</v>
      </c>
      <c r="D5059" s="19" t="n">
        <v>1</v>
      </c>
      <c r="E5059" s="20" t="n">
        <f aca="false">Parametres!$B$5*C5059</f>
        <v>300</v>
      </c>
      <c r="F5059" s="20" t="n">
        <f aca="false">Parametres!$B$6*D5059</f>
        <v>200</v>
      </c>
      <c r="G5059" s="20" t="n">
        <f aca="false">E5059+F5059</f>
        <v>500</v>
      </c>
      <c r="H5059" s="20" t="n">
        <f aca="false">IF(G5059&lt;Parametres!$B$8*Parametres!$B$7,0,MIN(G5059,Parametres!$B$7))</f>
        <v>250</v>
      </c>
      <c r="I5059" s="20" t="n">
        <f aca="false">G5059-H5059</f>
        <v>250</v>
      </c>
      <c r="J5059" s="21" t="n">
        <f aca="false">H5059*1000/Parametres!$B$9</f>
        <v>4239.44378497541</v>
      </c>
    </row>
    <row r="5060" customFormat="false" ht="15" hidden="false" customHeight="false" outlineLevel="0" collapsed="false">
      <c r="A5060" s="0" t="n">
        <v>5056</v>
      </c>
      <c r="B5060" s="0" t="n">
        <v>7</v>
      </c>
      <c r="C5060" s="19" t="n">
        <v>0.8243</v>
      </c>
      <c r="D5060" s="19" t="n">
        <v>1</v>
      </c>
      <c r="E5060" s="20" t="n">
        <f aca="false">Parametres!$B$5*C5060</f>
        <v>247.29</v>
      </c>
      <c r="F5060" s="20" t="n">
        <f aca="false">Parametres!$B$6*D5060</f>
        <v>200</v>
      </c>
      <c r="G5060" s="20" t="n">
        <f aca="false">E5060+F5060</f>
        <v>447.29</v>
      </c>
      <c r="H5060" s="20" t="n">
        <f aca="false">IF(G5060&lt;Parametres!$B$8*Parametres!$B$7,0,MIN(G5060,Parametres!$B$7))</f>
        <v>250</v>
      </c>
      <c r="I5060" s="20" t="n">
        <f aca="false">G5060-H5060</f>
        <v>197.29</v>
      </c>
      <c r="J5060" s="21" t="n">
        <f aca="false">H5060*1000/Parametres!$B$9</f>
        <v>4239.44378497541</v>
      </c>
    </row>
    <row r="5061" customFormat="false" ht="15" hidden="false" customHeight="false" outlineLevel="0" collapsed="false">
      <c r="A5061" s="0" t="n">
        <v>5057</v>
      </c>
      <c r="B5061" s="0" t="n">
        <v>7</v>
      </c>
      <c r="C5061" s="19" t="n">
        <v>0.5669</v>
      </c>
      <c r="D5061" s="19" t="n">
        <v>1</v>
      </c>
      <c r="E5061" s="20" t="n">
        <f aca="false">Parametres!$B$5*C5061</f>
        <v>170.07</v>
      </c>
      <c r="F5061" s="20" t="n">
        <f aca="false">Parametres!$B$6*D5061</f>
        <v>200</v>
      </c>
      <c r="G5061" s="20" t="n">
        <f aca="false">E5061+F5061</f>
        <v>370.07</v>
      </c>
      <c r="H5061" s="20" t="n">
        <f aca="false">IF(G5061&lt;Parametres!$B$8*Parametres!$B$7,0,MIN(G5061,Parametres!$B$7))</f>
        <v>250</v>
      </c>
      <c r="I5061" s="20" t="n">
        <f aca="false">G5061-H5061</f>
        <v>120.07</v>
      </c>
      <c r="J5061" s="21" t="n">
        <f aca="false">H5061*1000/Parametres!$B$9</f>
        <v>4239.44378497541</v>
      </c>
    </row>
    <row r="5062" customFormat="false" ht="15" hidden="false" customHeight="false" outlineLevel="0" collapsed="false">
      <c r="A5062" s="0" t="n">
        <v>5058</v>
      </c>
      <c r="B5062" s="0" t="n">
        <v>7</v>
      </c>
      <c r="C5062" s="19" t="n">
        <v>0.2869</v>
      </c>
      <c r="D5062" s="19" t="n">
        <v>1</v>
      </c>
      <c r="E5062" s="20" t="n">
        <f aca="false">Parametres!$B$5*C5062</f>
        <v>86.07</v>
      </c>
      <c r="F5062" s="20" t="n">
        <f aca="false">Parametres!$B$6*D5062</f>
        <v>200</v>
      </c>
      <c r="G5062" s="20" t="n">
        <f aca="false">E5062+F5062</f>
        <v>286.07</v>
      </c>
      <c r="H5062" s="20" t="n">
        <f aca="false">IF(G5062&lt;Parametres!$B$8*Parametres!$B$7,0,MIN(G5062,Parametres!$B$7))</f>
        <v>250</v>
      </c>
      <c r="I5062" s="20" t="n">
        <f aca="false">G5062-H5062</f>
        <v>36.07</v>
      </c>
      <c r="J5062" s="21" t="n">
        <f aca="false">H5062*1000/Parametres!$B$9</f>
        <v>4239.44378497541</v>
      </c>
    </row>
    <row r="5063" customFormat="false" ht="15" hidden="false" customHeight="false" outlineLevel="0" collapsed="false">
      <c r="A5063" s="0" t="n">
        <v>5059</v>
      </c>
      <c r="B5063" s="0" t="n">
        <v>7</v>
      </c>
      <c r="C5063" s="19" t="n">
        <v>0.0342</v>
      </c>
      <c r="D5063" s="19" t="n">
        <v>1</v>
      </c>
      <c r="E5063" s="20" t="n">
        <f aca="false">Parametres!$B$5*C5063</f>
        <v>10.26</v>
      </c>
      <c r="F5063" s="20" t="n">
        <f aca="false">Parametres!$B$6*D5063</f>
        <v>200</v>
      </c>
      <c r="G5063" s="20" t="n">
        <f aca="false">E5063+F5063</f>
        <v>210.26</v>
      </c>
      <c r="H5063" s="20" t="n">
        <f aca="false">IF(G5063&lt;Parametres!$B$8*Parametres!$B$7,0,MIN(G5063,Parametres!$B$7))</f>
        <v>210.26</v>
      </c>
      <c r="I5063" s="20" t="n">
        <f aca="false">G5063-H5063</f>
        <v>0</v>
      </c>
      <c r="J5063" s="21" t="n">
        <f aca="false">H5063*1000/Parametres!$B$9</f>
        <v>3565.54180091572</v>
      </c>
    </row>
    <row r="5064" customFormat="false" ht="15" hidden="false" customHeight="false" outlineLevel="0" collapsed="false">
      <c r="A5064" s="0" t="n">
        <v>5060</v>
      </c>
      <c r="B5064" s="0" t="n">
        <v>7</v>
      </c>
      <c r="C5064" s="19" t="n">
        <v>0</v>
      </c>
      <c r="D5064" s="19" t="n">
        <v>1</v>
      </c>
      <c r="E5064" s="20" t="n">
        <f aca="false">Parametres!$B$5*C5064</f>
        <v>0</v>
      </c>
      <c r="F5064" s="20" t="n">
        <f aca="false">Parametres!$B$6*D5064</f>
        <v>200</v>
      </c>
      <c r="G5064" s="20" t="n">
        <f aca="false">E5064+F5064</f>
        <v>200</v>
      </c>
      <c r="H5064" s="20" t="n">
        <f aca="false">IF(G5064&lt;Parametres!$B$8*Parametres!$B$7,0,MIN(G5064,Parametres!$B$7))</f>
        <v>200</v>
      </c>
      <c r="I5064" s="20" t="n">
        <f aca="false">G5064-H5064</f>
        <v>0</v>
      </c>
      <c r="J5064" s="21" t="n">
        <f aca="false">H5064*1000/Parametres!$B$9</f>
        <v>3391.55502798033</v>
      </c>
    </row>
    <row r="5065" customFormat="false" ht="15" hidden="false" customHeight="false" outlineLevel="0" collapsed="false">
      <c r="A5065" s="0" t="n">
        <v>5061</v>
      </c>
      <c r="B5065" s="0" t="n">
        <v>7</v>
      </c>
      <c r="C5065" s="19" t="n">
        <v>0</v>
      </c>
      <c r="D5065" s="19" t="n">
        <v>1</v>
      </c>
      <c r="E5065" s="20" t="n">
        <f aca="false">Parametres!$B$5*C5065</f>
        <v>0</v>
      </c>
      <c r="F5065" s="20" t="n">
        <f aca="false">Parametres!$B$6*D5065</f>
        <v>200</v>
      </c>
      <c r="G5065" s="20" t="n">
        <f aca="false">E5065+F5065</f>
        <v>200</v>
      </c>
      <c r="H5065" s="20" t="n">
        <f aca="false">IF(G5065&lt;Parametres!$B$8*Parametres!$B$7,0,MIN(G5065,Parametres!$B$7))</f>
        <v>200</v>
      </c>
      <c r="I5065" s="20" t="n">
        <f aca="false">G5065-H5065</f>
        <v>0</v>
      </c>
      <c r="J5065" s="21" t="n">
        <f aca="false">H5065*1000/Parametres!$B$9</f>
        <v>3391.55502798033</v>
      </c>
    </row>
    <row r="5066" customFormat="false" ht="15" hidden="false" customHeight="false" outlineLevel="0" collapsed="false">
      <c r="A5066" s="0" t="n">
        <v>5062</v>
      </c>
      <c r="B5066" s="0" t="n">
        <v>7</v>
      </c>
      <c r="C5066" s="19" t="n">
        <v>0</v>
      </c>
      <c r="D5066" s="19" t="n">
        <v>1</v>
      </c>
      <c r="E5066" s="20" t="n">
        <f aca="false">Parametres!$B$5*C5066</f>
        <v>0</v>
      </c>
      <c r="F5066" s="20" t="n">
        <f aca="false">Parametres!$B$6*D5066</f>
        <v>200</v>
      </c>
      <c r="G5066" s="20" t="n">
        <f aca="false">E5066+F5066</f>
        <v>200</v>
      </c>
      <c r="H5066" s="20" t="n">
        <f aca="false">IF(G5066&lt;Parametres!$B$8*Parametres!$B$7,0,MIN(G5066,Parametres!$B$7))</f>
        <v>200</v>
      </c>
      <c r="I5066" s="20" t="n">
        <f aca="false">G5066-H5066</f>
        <v>0</v>
      </c>
      <c r="J5066" s="21" t="n">
        <f aca="false">H5066*1000/Parametres!$B$9</f>
        <v>3391.55502798033</v>
      </c>
    </row>
    <row r="5067" customFormat="false" ht="15" hidden="false" customHeight="false" outlineLevel="0" collapsed="false">
      <c r="A5067" s="0" t="n">
        <v>5063</v>
      </c>
      <c r="B5067" s="0" t="n">
        <v>7</v>
      </c>
      <c r="C5067" s="19" t="n">
        <v>0</v>
      </c>
      <c r="D5067" s="19" t="n">
        <v>1</v>
      </c>
      <c r="E5067" s="20" t="n">
        <f aca="false">Parametres!$B$5*C5067</f>
        <v>0</v>
      </c>
      <c r="F5067" s="20" t="n">
        <f aca="false">Parametres!$B$6*D5067</f>
        <v>200</v>
      </c>
      <c r="G5067" s="20" t="n">
        <f aca="false">E5067+F5067</f>
        <v>200</v>
      </c>
      <c r="H5067" s="20" t="n">
        <f aca="false">IF(G5067&lt;Parametres!$B$8*Parametres!$B$7,0,MIN(G5067,Parametres!$B$7))</f>
        <v>200</v>
      </c>
      <c r="I5067" s="20" t="n">
        <f aca="false">G5067-H5067</f>
        <v>0</v>
      </c>
      <c r="J5067" s="21" t="n">
        <f aca="false">H5067*1000/Parametres!$B$9</f>
        <v>3391.55502798033</v>
      </c>
    </row>
    <row r="5068" customFormat="false" ht="15" hidden="false" customHeight="false" outlineLevel="0" collapsed="false">
      <c r="A5068" s="0" t="n">
        <v>5064</v>
      </c>
      <c r="B5068" s="0" t="n">
        <v>7</v>
      </c>
      <c r="C5068" s="19" t="n">
        <v>0</v>
      </c>
      <c r="D5068" s="19" t="n">
        <v>1</v>
      </c>
      <c r="E5068" s="20" t="n">
        <f aca="false">Parametres!$B$5*C5068</f>
        <v>0</v>
      </c>
      <c r="F5068" s="20" t="n">
        <f aca="false">Parametres!$B$6*D5068</f>
        <v>200</v>
      </c>
      <c r="G5068" s="20" t="n">
        <f aca="false">E5068+F5068</f>
        <v>200</v>
      </c>
      <c r="H5068" s="20" t="n">
        <f aca="false">IF(G5068&lt;Parametres!$B$8*Parametres!$B$7,0,MIN(G5068,Parametres!$B$7))</f>
        <v>200</v>
      </c>
      <c r="I5068" s="20" t="n">
        <f aca="false">G5068-H5068</f>
        <v>0</v>
      </c>
      <c r="J5068" s="21" t="n">
        <f aca="false">H5068*1000/Parametres!$B$9</f>
        <v>3391.55502798033</v>
      </c>
    </row>
    <row r="5069" customFormat="false" ht="15" hidden="false" customHeight="false" outlineLevel="0" collapsed="false">
      <c r="A5069" s="0" t="n">
        <v>5065</v>
      </c>
      <c r="B5069" s="0" t="n">
        <v>7</v>
      </c>
      <c r="C5069" s="19" t="n">
        <v>0</v>
      </c>
      <c r="D5069" s="19" t="n">
        <v>1</v>
      </c>
      <c r="E5069" s="20" t="n">
        <f aca="false">Parametres!$B$5*C5069</f>
        <v>0</v>
      </c>
      <c r="F5069" s="20" t="n">
        <f aca="false">Parametres!$B$6*D5069</f>
        <v>200</v>
      </c>
      <c r="G5069" s="20" t="n">
        <f aca="false">E5069+F5069</f>
        <v>200</v>
      </c>
      <c r="H5069" s="20" t="n">
        <f aca="false">IF(G5069&lt;Parametres!$B$8*Parametres!$B$7,0,MIN(G5069,Parametres!$B$7))</f>
        <v>200</v>
      </c>
      <c r="I5069" s="20" t="n">
        <f aca="false">G5069-H5069</f>
        <v>0</v>
      </c>
      <c r="J5069" s="21" t="n">
        <f aca="false">H5069*1000/Parametres!$B$9</f>
        <v>3391.55502798033</v>
      </c>
    </row>
    <row r="5070" customFormat="false" ht="15" hidden="false" customHeight="false" outlineLevel="0" collapsed="false">
      <c r="A5070" s="0" t="n">
        <v>5066</v>
      </c>
      <c r="B5070" s="0" t="n">
        <v>7</v>
      </c>
      <c r="C5070" s="19" t="n">
        <v>0</v>
      </c>
      <c r="D5070" s="19" t="n">
        <v>1</v>
      </c>
      <c r="E5070" s="20" t="n">
        <f aca="false">Parametres!$B$5*C5070</f>
        <v>0</v>
      </c>
      <c r="F5070" s="20" t="n">
        <f aca="false">Parametres!$B$6*D5070</f>
        <v>200</v>
      </c>
      <c r="G5070" s="20" t="n">
        <f aca="false">E5070+F5070</f>
        <v>200</v>
      </c>
      <c r="H5070" s="20" t="n">
        <f aca="false">IF(G5070&lt;Parametres!$B$8*Parametres!$B$7,0,MIN(G5070,Parametres!$B$7))</f>
        <v>200</v>
      </c>
      <c r="I5070" s="20" t="n">
        <f aca="false">G5070-H5070</f>
        <v>0</v>
      </c>
      <c r="J5070" s="21" t="n">
        <f aca="false">H5070*1000/Parametres!$B$9</f>
        <v>3391.55502798033</v>
      </c>
    </row>
    <row r="5071" customFormat="false" ht="15" hidden="false" customHeight="false" outlineLevel="0" collapsed="false">
      <c r="A5071" s="0" t="n">
        <v>5067</v>
      </c>
      <c r="B5071" s="0" t="n">
        <v>7</v>
      </c>
      <c r="C5071" s="19" t="n">
        <v>0</v>
      </c>
      <c r="D5071" s="19" t="n">
        <v>1</v>
      </c>
      <c r="E5071" s="20" t="n">
        <f aca="false">Parametres!$B$5*C5071</f>
        <v>0</v>
      </c>
      <c r="F5071" s="20" t="n">
        <f aca="false">Parametres!$B$6*D5071</f>
        <v>200</v>
      </c>
      <c r="G5071" s="20" t="n">
        <f aca="false">E5071+F5071</f>
        <v>200</v>
      </c>
      <c r="H5071" s="20" t="n">
        <f aca="false">IF(G5071&lt;Parametres!$B$8*Parametres!$B$7,0,MIN(G5071,Parametres!$B$7))</f>
        <v>200</v>
      </c>
      <c r="I5071" s="20" t="n">
        <f aca="false">G5071-H5071</f>
        <v>0</v>
      </c>
      <c r="J5071" s="21" t="n">
        <f aca="false">H5071*1000/Parametres!$B$9</f>
        <v>3391.55502798033</v>
      </c>
    </row>
    <row r="5072" customFormat="false" ht="15" hidden="false" customHeight="false" outlineLevel="0" collapsed="false">
      <c r="A5072" s="0" t="n">
        <v>5068</v>
      </c>
      <c r="B5072" s="0" t="n">
        <v>7</v>
      </c>
      <c r="C5072" s="19" t="n">
        <v>0</v>
      </c>
      <c r="D5072" s="19" t="n">
        <v>0.8161</v>
      </c>
      <c r="E5072" s="20" t="n">
        <f aca="false">Parametres!$B$5*C5072</f>
        <v>0</v>
      </c>
      <c r="F5072" s="20" t="n">
        <f aca="false">Parametres!$B$6*D5072</f>
        <v>163.22</v>
      </c>
      <c r="G5072" s="20" t="n">
        <f aca="false">E5072+F5072</f>
        <v>163.22</v>
      </c>
      <c r="H5072" s="20" t="n">
        <f aca="false">IF(G5072&lt;Parametres!$B$8*Parametres!$B$7,0,MIN(G5072,Parametres!$B$7))</f>
        <v>163.22</v>
      </c>
      <c r="I5072" s="20" t="n">
        <f aca="false">G5072-H5072</f>
        <v>0</v>
      </c>
      <c r="J5072" s="21" t="n">
        <f aca="false">H5072*1000/Parametres!$B$9</f>
        <v>2767.84805833475</v>
      </c>
    </row>
    <row r="5073" customFormat="false" ht="15" hidden="false" customHeight="false" outlineLevel="0" collapsed="false">
      <c r="A5073" s="0" t="n">
        <v>5069</v>
      </c>
      <c r="B5073" s="0" t="n">
        <v>7</v>
      </c>
      <c r="C5073" s="19" t="n">
        <v>0</v>
      </c>
      <c r="D5073" s="19" t="n">
        <v>1</v>
      </c>
      <c r="E5073" s="20" t="n">
        <f aca="false">Parametres!$B$5*C5073</f>
        <v>0</v>
      </c>
      <c r="F5073" s="20" t="n">
        <f aca="false">Parametres!$B$6*D5073</f>
        <v>200</v>
      </c>
      <c r="G5073" s="20" t="n">
        <f aca="false">E5073+F5073</f>
        <v>200</v>
      </c>
      <c r="H5073" s="20" t="n">
        <f aca="false">IF(G5073&lt;Parametres!$B$8*Parametres!$B$7,0,MIN(G5073,Parametres!$B$7))</f>
        <v>200</v>
      </c>
      <c r="I5073" s="20" t="n">
        <f aca="false">G5073-H5073</f>
        <v>0</v>
      </c>
      <c r="J5073" s="21" t="n">
        <f aca="false">H5073*1000/Parametres!$B$9</f>
        <v>3391.55502798033</v>
      </c>
    </row>
    <row r="5074" customFormat="false" ht="15" hidden="false" customHeight="false" outlineLevel="0" collapsed="false">
      <c r="A5074" s="0" t="n">
        <v>5070</v>
      </c>
      <c r="B5074" s="0" t="n">
        <v>7</v>
      </c>
      <c r="C5074" s="19" t="n">
        <v>0.0276</v>
      </c>
      <c r="D5074" s="19" t="n">
        <v>1</v>
      </c>
      <c r="E5074" s="20" t="n">
        <f aca="false">Parametres!$B$5*C5074</f>
        <v>8.28</v>
      </c>
      <c r="F5074" s="20" t="n">
        <f aca="false">Parametres!$B$6*D5074</f>
        <v>200</v>
      </c>
      <c r="G5074" s="20" t="n">
        <f aca="false">E5074+F5074</f>
        <v>208.28</v>
      </c>
      <c r="H5074" s="20" t="n">
        <f aca="false">IF(G5074&lt;Parametres!$B$8*Parametres!$B$7,0,MIN(G5074,Parametres!$B$7))</f>
        <v>208.28</v>
      </c>
      <c r="I5074" s="20" t="n">
        <f aca="false">G5074-H5074</f>
        <v>0</v>
      </c>
      <c r="J5074" s="21" t="n">
        <f aca="false">H5074*1000/Parametres!$B$9</f>
        <v>3531.96540613871</v>
      </c>
    </row>
    <row r="5075" customFormat="false" ht="15" hidden="false" customHeight="false" outlineLevel="0" collapsed="false">
      <c r="A5075" s="0" t="n">
        <v>5071</v>
      </c>
      <c r="B5075" s="0" t="n">
        <v>7</v>
      </c>
      <c r="C5075" s="19" t="n">
        <v>0.2426</v>
      </c>
      <c r="D5075" s="19" t="n">
        <v>1</v>
      </c>
      <c r="E5075" s="20" t="n">
        <f aca="false">Parametres!$B$5*C5075</f>
        <v>72.78</v>
      </c>
      <c r="F5075" s="20" t="n">
        <f aca="false">Parametres!$B$6*D5075</f>
        <v>200</v>
      </c>
      <c r="G5075" s="20" t="n">
        <f aca="false">E5075+F5075</f>
        <v>272.78</v>
      </c>
      <c r="H5075" s="20" t="n">
        <f aca="false">IF(G5075&lt;Parametres!$B$8*Parametres!$B$7,0,MIN(G5075,Parametres!$B$7))</f>
        <v>250</v>
      </c>
      <c r="I5075" s="20" t="n">
        <f aca="false">G5075-H5075</f>
        <v>22.78</v>
      </c>
      <c r="J5075" s="21" t="n">
        <f aca="false">H5075*1000/Parametres!$B$9</f>
        <v>4239.44378497541</v>
      </c>
    </row>
    <row r="5076" customFormat="false" ht="15" hidden="false" customHeight="false" outlineLevel="0" collapsed="false">
      <c r="A5076" s="0" t="n">
        <v>5072</v>
      </c>
      <c r="B5076" s="0" t="n">
        <v>7</v>
      </c>
      <c r="C5076" s="19" t="n">
        <v>0.4802</v>
      </c>
      <c r="D5076" s="19" t="n">
        <v>1</v>
      </c>
      <c r="E5076" s="20" t="n">
        <f aca="false">Parametres!$B$5*C5076</f>
        <v>144.06</v>
      </c>
      <c r="F5076" s="20" t="n">
        <f aca="false">Parametres!$B$6*D5076</f>
        <v>200</v>
      </c>
      <c r="G5076" s="20" t="n">
        <f aca="false">E5076+F5076</f>
        <v>344.06</v>
      </c>
      <c r="H5076" s="20" t="n">
        <f aca="false">IF(G5076&lt;Parametres!$B$8*Parametres!$B$7,0,MIN(G5076,Parametres!$B$7))</f>
        <v>250</v>
      </c>
      <c r="I5076" s="20" t="n">
        <f aca="false">G5076-H5076</f>
        <v>94.06</v>
      </c>
      <c r="J5076" s="21" t="n">
        <f aca="false">H5076*1000/Parametres!$B$9</f>
        <v>4239.44378497541</v>
      </c>
    </row>
    <row r="5077" customFormat="false" ht="15" hidden="false" customHeight="false" outlineLevel="0" collapsed="false">
      <c r="A5077" s="0" t="n">
        <v>5073</v>
      </c>
      <c r="B5077" s="0" t="n">
        <v>7</v>
      </c>
      <c r="C5077" s="19" t="n">
        <v>0.7239</v>
      </c>
      <c r="D5077" s="19" t="n">
        <v>1</v>
      </c>
      <c r="E5077" s="20" t="n">
        <f aca="false">Parametres!$B$5*C5077</f>
        <v>217.17</v>
      </c>
      <c r="F5077" s="20" t="n">
        <f aca="false">Parametres!$B$6*D5077</f>
        <v>200</v>
      </c>
      <c r="G5077" s="20" t="n">
        <f aca="false">E5077+F5077</f>
        <v>417.17</v>
      </c>
      <c r="H5077" s="20" t="n">
        <f aca="false">IF(G5077&lt;Parametres!$B$8*Parametres!$B$7,0,MIN(G5077,Parametres!$B$7))</f>
        <v>250</v>
      </c>
      <c r="I5077" s="20" t="n">
        <f aca="false">G5077-H5077</f>
        <v>167.17</v>
      </c>
      <c r="J5077" s="21" t="n">
        <f aca="false">H5077*1000/Parametres!$B$9</f>
        <v>4239.44378497541</v>
      </c>
    </row>
    <row r="5078" customFormat="false" ht="15" hidden="false" customHeight="false" outlineLevel="0" collapsed="false">
      <c r="A5078" s="0" t="n">
        <v>5074</v>
      </c>
      <c r="B5078" s="0" t="n">
        <v>7</v>
      </c>
      <c r="C5078" s="19" t="n">
        <v>0.9</v>
      </c>
      <c r="D5078" s="19" t="n">
        <v>1</v>
      </c>
      <c r="E5078" s="20" t="n">
        <f aca="false">Parametres!$B$5*C5078</f>
        <v>270</v>
      </c>
      <c r="F5078" s="20" t="n">
        <f aca="false">Parametres!$B$6*D5078</f>
        <v>200</v>
      </c>
      <c r="G5078" s="20" t="n">
        <f aca="false">E5078+F5078</f>
        <v>470</v>
      </c>
      <c r="H5078" s="20" t="n">
        <f aca="false">IF(G5078&lt;Parametres!$B$8*Parametres!$B$7,0,MIN(G5078,Parametres!$B$7))</f>
        <v>250</v>
      </c>
      <c r="I5078" s="20" t="n">
        <f aca="false">G5078-H5078</f>
        <v>220</v>
      </c>
      <c r="J5078" s="21" t="n">
        <f aca="false">H5078*1000/Parametres!$B$9</f>
        <v>4239.44378497541</v>
      </c>
    </row>
    <row r="5079" customFormat="false" ht="15" hidden="false" customHeight="false" outlineLevel="0" collapsed="false">
      <c r="A5079" s="0" t="n">
        <v>5075</v>
      </c>
      <c r="B5079" s="0" t="n">
        <v>7</v>
      </c>
      <c r="C5079" s="19" t="n">
        <v>1</v>
      </c>
      <c r="D5079" s="19" t="n">
        <v>1</v>
      </c>
      <c r="E5079" s="20" t="n">
        <f aca="false">Parametres!$B$5*C5079</f>
        <v>300</v>
      </c>
      <c r="F5079" s="20" t="n">
        <f aca="false">Parametres!$B$6*D5079</f>
        <v>200</v>
      </c>
      <c r="G5079" s="20" t="n">
        <f aca="false">E5079+F5079</f>
        <v>500</v>
      </c>
      <c r="H5079" s="20" t="n">
        <f aca="false">IF(G5079&lt;Parametres!$B$8*Parametres!$B$7,0,MIN(G5079,Parametres!$B$7))</f>
        <v>250</v>
      </c>
      <c r="I5079" s="20" t="n">
        <f aca="false">G5079-H5079</f>
        <v>250</v>
      </c>
      <c r="J5079" s="21" t="n">
        <f aca="false">H5079*1000/Parametres!$B$9</f>
        <v>4239.44378497541</v>
      </c>
    </row>
    <row r="5080" customFormat="false" ht="15" hidden="false" customHeight="false" outlineLevel="0" collapsed="false">
      <c r="A5080" s="0" t="n">
        <v>5076</v>
      </c>
      <c r="B5080" s="0" t="n">
        <v>7</v>
      </c>
      <c r="C5080" s="19" t="n">
        <v>1</v>
      </c>
      <c r="D5080" s="19" t="n">
        <v>1</v>
      </c>
      <c r="E5080" s="20" t="n">
        <f aca="false">Parametres!$B$5*C5080</f>
        <v>300</v>
      </c>
      <c r="F5080" s="20" t="n">
        <f aca="false">Parametres!$B$6*D5080</f>
        <v>200</v>
      </c>
      <c r="G5080" s="20" t="n">
        <f aca="false">E5080+F5080</f>
        <v>500</v>
      </c>
      <c r="H5080" s="20" t="n">
        <f aca="false">IF(G5080&lt;Parametres!$B$8*Parametres!$B$7,0,MIN(G5080,Parametres!$B$7))</f>
        <v>250</v>
      </c>
      <c r="I5080" s="20" t="n">
        <f aca="false">G5080-H5080</f>
        <v>250</v>
      </c>
      <c r="J5080" s="21" t="n">
        <f aca="false">H5080*1000/Parametres!$B$9</f>
        <v>4239.44378497541</v>
      </c>
    </row>
    <row r="5081" customFormat="false" ht="15" hidden="false" customHeight="false" outlineLevel="0" collapsed="false">
      <c r="A5081" s="0" t="n">
        <v>5077</v>
      </c>
      <c r="B5081" s="0" t="n">
        <v>7</v>
      </c>
      <c r="C5081" s="19" t="n">
        <v>1</v>
      </c>
      <c r="D5081" s="19" t="n">
        <v>1</v>
      </c>
      <c r="E5081" s="20" t="n">
        <f aca="false">Parametres!$B$5*C5081</f>
        <v>300</v>
      </c>
      <c r="F5081" s="20" t="n">
        <f aca="false">Parametres!$B$6*D5081</f>
        <v>200</v>
      </c>
      <c r="G5081" s="20" t="n">
        <f aca="false">E5081+F5081</f>
        <v>500</v>
      </c>
      <c r="H5081" s="20" t="n">
        <f aca="false">IF(G5081&lt;Parametres!$B$8*Parametres!$B$7,0,MIN(G5081,Parametres!$B$7))</f>
        <v>250</v>
      </c>
      <c r="I5081" s="20" t="n">
        <f aca="false">G5081-H5081</f>
        <v>250</v>
      </c>
      <c r="J5081" s="21" t="n">
        <f aca="false">H5081*1000/Parametres!$B$9</f>
        <v>4239.44378497541</v>
      </c>
    </row>
    <row r="5082" customFormat="false" ht="15" hidden="false" customHeight="false" outlineLevel="0" collapsed="false">
      <c r="A5082" s="0" t="n">
        <v>5078</v>
      </c>
      <c r="B5082" s="0" t="n">
        <v>7</v>
      </c>
      <c r="C5082" s="19" t="n">
        <v>1</v>
      </c>
      <c r="D5082" s="19" t="n">
        <v>1</v>
      </c>
      <c r="E5082" s="20" t="n">
        <f aca="false">Parametres!$B$5*C5082</f>
        <v>300</v>
      </c>
      <c r="F5082" s="20" t="n">
        <f aca="false">Parametres!$B$6*D5082</f>
        <v>200</v>
      </c>
      <c r="G5082" s="20" t="n">
        <f aca="false">E5082+F5082</f>
        <v>500</v>
      </c>
      <c r="H5082" s="20" t="n">
        <f aca="false">IF(G5082&lt;Parametres!$B$8*Parametres!$B$7,0,MIN(G5082,Parametres!$B$7))</f>
        <v>250</v>
      </c>
      <c r="I5082" s="20" t="n">
        <f aca="false">G5082-H5082</f>
        <v>250</v>
      </c>
      <c r="J5082" s="21" t="n">
        <f aca="false">H5082*1000/Parametres!$B$9</f>
        <v>4239.44378497541</v>
      </c>
    </row>
    <row r="5083" customFormat="false" ht="15" hidden="false" customHeight="false" outlineLevel="0" collapsed="false">
      <c r="A5083" s="0" t="n">
        <v>5079</v>
      </c>
      <c r="B5083" s="0" t="n">
        <v>7</v>
      </c>
      <c r="C5083" s="19" t="n">
        <v>0.8327</v>
      </c>
      <c r="D5083" s="19" t="n">
        <v>1</v>
      </c>
      <c r="E5083" s="20" t="n">
        <f aca="false">Parametres!$B$5*C5083</f>
        <v>249.81</v>
      </c>
      <c r="F5083" s="20" t="n">
        <f aca="false">Parametres!$B$6*D5083</f>
        <v>200</v>
      </c>
      <c r="G5083" s="20" t="n">
        <f aca="false">E5083+F5083</f>
        <v>449.81</v>
      </c>
      <c r="H5083" s="20" t="n">
        <f aca="false">IF(G5083&lt;Parametres!$B$8*Parametres!$B$7,0,MIN(G5083,Parametres!$B$7))</f>
        <v>250</v>
      </c>
      <c r="I5083" s="20" t="n">
        <f aca="false">G5083-H5083</f>
        <v>199.81</v>
      </c>
      <c r="J5083" s="21" t="n">
        <f aca="false">H5083*1000/Parametres!$B$9</f>
        <v>4239.44378497541</v>
      </c>
    </row>
    <row r="5084" customFormat="false" ht="15" hidden="false" customHeight="false" outlineLevel="0" collapsed="false">
      <c r="A5084" s="0" t="n">
        <v>5080</v>
      </c>
      <c r="B5084" s="0" t="n">
        <v>7</v>
      </c>
      <c r="C5084" s="19" t="n">
        <v>0.7231</v>
      </c>
      <c r="D5084" s="19" t="n">
        <v>1</v>
      </c>
      <c r="E5084" s="20" t="n">
        <f aca="false">Parametres!$B$5*C5084</f>
        <v>216.93</v>
      </c>
      <c r="F5084" s="20" t="n">
        <f aca="false">Parametres!$B$6*D5084</f>
        <v>200</v>
      </c>
      <c r="G5084" s="20" t="n">
        <f aca="false">E5084+F5084</f>
        <v>416.93</v>
      </c>
      <c r="H5084" s="20" t="n">
        <f aca="false">IF(G5084&lt;Parametres!$B$8*Parametres!$B$7,0,MIN(G5084,Parametres!$B$7))</f>
        <v>250</v>
      </c>
      <c r="I5084" s="20" t="n">
        <f aca="false">G5084-H5084</f>
        <v>166.93</v>
      </c>
      <c r="J5084" s="21" t="n">
        <f aca="false">H5084*1000/Parametres!$B$9</f>
        <v>4239.44378497541</v>
      </c>
    </row>
    <row r="5085" customFormat="false" ht="15" hidden="false" customHeight="false" outlineLevel="0" collapsed="false">
      <c r="A5085" s="0" t="n">
        <v>5081</v>
      </c>
      <c r="B5085" s="0" t="n">
        <v>7</v>
      </c>
      <c r="C5085" s="19" t="n">
        <v>0.4833</v>
      </c>
      <c r="D5085" s="19" t="n">
        <v>1</v>
      </c>
      <c r="E5085" s="20" t="n">
        <f aca="false">Parametres!$B$5*C5085</f>
        <v>144.99</v>
      </c>
      <c r="F5085" s="20" t="n">
        <f aca="false">Parametres!$B$6*D5085</f>
        <v>200</v>
      </c>
      <c r="G5085" s="20" t="n">
        <f aca="false">E5085+F5085</f>
        <v>344.99</v>
      </c>
      <c r="H5085" s="20" t="n">
        <f aca="false">IF(G5085&lt;Parametres!$B$8*Parametres!$B$7,0,MIN(G5085,Parametres!$B$7))</f>
        <v>250</v>
      </c>
      <c r="I5085" s="20" t="n">
        <f aca="false">G5085-H5085</f>
        <v>94.99</v>
      </c>
      <c r="J5085" s="21" t="n">
        <f aca="false">H5085*1000/Parametres!$B$9</f>
        <v>4239.44378497541</v>
      </c>
    </row>
    <row r="5086" customFormat="false" ht="15" hidden="false" customHeight="false" outlineLevel="0" collapsed="false">
      <c r="A5086" s="0" t="n">
        <v>5082</v>
      </c>
      <c r="B5086" s="0" t="n">
        <v>7</v>
      </c>
      <c r="C5086" s="19" t="n">
        <v>0.2535</v>
      </c>
      <c r="D5086" s="19" t="n">
        <v>1</v>
      </c>
      <c r="E5086" s="20" t="n">
        <f aca="false">Parametres!$B$5*C5086</f>
        <v>76.05</v>
      </c>
      <c r="F5086" s="20" t="n">
        <f aca="false">Parametres!$B$6*D5086</f>
        <v>200</v>
      </c>
      <c r="G5086" s="20" t="n">
        <f aca="false">E5086+F5086</f>
        <v>276.05</v>
      </c>
      <c r="H5086" s="20" t="n">
        <f aca="false">IF(G5086&lt;Parametres!$B$8*Parametres!$B$7,0,MIN(G5086,Parametres!$B$7))</f>
        <v>250</v>
      </c>
      <c r="I5086" s="20" t="n">
        <f aca="false">G5086-H5086</f>
        <v>26.05</v>
      </c>
      <c r="J5086" s="21" t="n">
        <f aca="false">H5086*1000/Parametres!$B$9</f>
        <v>4239.44378497541</v>
      </c>
    </row>
    <row r="5087" customFormat="false" ht="15" hidden="false" customHeight="false" outlineLevel="0" collapsed="false">
      <c r="A5087" s="0" t="n">
        <v>5083</v>
      </c>
      <c r="B5087" s="0" t="n">
        <v>7</v>
      </c>
      <c r="C5087" s="19" t="n">
        <v>0.0276</v>
      </c>
      <c r="D5087" s="19" t="n">
        <v>1</v>
      </c>
      <c r="E5087" s="20" t="n">
        <f aca="false">Parametres!$B$5*C5087</f>
        <v>8.28</v>
      </c>
      <c r="F5087" s="20" t="n">
        <f aca="false">Parametres!$B$6*D5087</f>
        <v>200</v>
      </c>
      <c r="G5087" s="20" t="n">
        <f aca="false">E5087+F5087</f>
        <v>208.28</v>
      </c>
      <c r="H5087" s="20" t="n">
        <f aca="false">IF(G5087&lt;Parametres!$B$8*Parametres!$B$7,0,MIN(G5087,Parametres!$B$7))</f>
        <v>208.28</v>
      </c>
      <c r="I5087" s="20" t="n">
        <f aca="false">G5087-H5087</f>
        <v>0</v>
      </c>
      <c r="J5087" s="21" t="n">
        <f aca="false">H5087*1000/Parametres!$B$9</f>
        <v>3531.96540613871</v>
      </c>
    </row>
    <row r="5088" customFormat="false" ht="15" hidden="false" customHeight="false" outlineLevel="0" collapsed="false">
      <c r="A5088" s="0" t="n">
        <v>5084</v>
      </c>
      <c r="B5088" s="0" t="n">
        <v>7</v>
      </c>
      <c r="C5088" s="19" t="n">
        <v>0</v>
      </c>
      <c r="D5088" s="19" t="n">
        <v>1</v>
      </c>
      <c r="E5088" s="20" t="n">
        <f aca="false">Parametres!$B$5*C5088</f>
        <v>0</v>
      </c>
      <c r="F5088" s="20" t="n">
        <f aca="false">Parametres!$B$6*D5088</f>
        <v>200</v>
      </c>
      <c r="G5088" s="20" t="n">
        <f aca="false">E5088+F5088</f>
        <v>200</v>
      </c>
      <c r="H5088" s="20" t="n">
        <f aca="false">IF(G5088&lt;Parametres!$B$8*Parametres!$B$7,0,MIN(G5088,Parametres!$B$7))</f>
        <v>200</v>
      </c>
      <c r="I5088" s="20" t="n">
        <f aca="false">G5088-H5088</f>
        <v>0</v>
      </c>
      <c r="J5088" s="21" t="n">
        <f aca="false">H5088*1000/Parametres!$B$9</f>
        <v>3391.55502798033</v>
      </c>
    </row>
    <row r="5089" customFormat="false" ht="15" hidden="false" customHeight="false" outlineLevel="0" collapsed="false">
      <c r="A5089" s="0" t="n">
        <v>5085</v>
      </c>
      <c r="B5089" s="0" t="n">
        <v>7</v>
      </c>
      <c r="C5089" s="19" t="n">
        <v>0</v>
      </c>
      <c r="D5089" s="19" t="n">
        <v>1</v>
      </c>
      <c r="E5089" s="20" t="n">
        <f aca="false">Parametres!$B$5*C5089</f>
        <v>0</v>
      </c>
      <c r="F5089" s="20" t="n">
        <f aca="false">Parametres!$B$6*D5089</f>
        <v>200</v>
      </c>
      <c r="G5089" s="20" t="n">
        <f aca="false">E5089+F5089</f>
        <v>200</v>
      </c>
      <c r="H5089" s="20" t="n">
        <f aca="false">IF(G5089&lt;Parametres!$B$8*Parametres!$B$7,0,MIN(G5089,Parametres!$B$7))</f>
        <v>200</v>
      </c>
      <c r="I5089" s="20" t="n">
        <f aca="false">G5089-H5089</f>
        <v>0</v>
      </c>
      <c r="J5089" s="21" t="n">
        <f aca="false">H5089*1000/Parametres!$B$9</f>
        <v>3391.55502798033</v>
      </c>
    </row>
    <row r="5090" customFormat="false" ht="15" hidden="false" customHeight="false" outlineLevel="0" collapsed="false">
      <c r="A5090" s="0" t="n">
        <v>5086</v>
      </c>
      <c r="B5090" s="0" t="n">
        <v>7</v>
      </c>
      <c r="C5090" s="19" t="n">
        <v>0</v>
      </c>
      <c r="D5090" s="19" t="n">
        <v>1</v>
      </c>
      <c r="E5090" s="20" t="n">
        <f aca="false">Parametres!$B$5*C5090</f>
        <v>0</v>
      </c>
      <c r="F5090" s="20" t="n">
        <f aca="false">Parametres!$B$6*D5090</f>
        <v>200</v>
      </c>
      <c r="G5090" s="20" t="n">
        <f aca="false">E5090+F5090</f>
        <v>200</v>
      </c>
      <c r="H5090" s="20" t="n">
        <f aca="false">IF(G5090&lt;Parametres!$B$8*Parametres!$B$7,0,MIN(G5090,Parametres!$B$7))</f>
        <v>200</v>
      </c>
      <c r="I5090" s="20" t="n">
        <f aca="false">G5090-H5090</f>
        <v>0</v>
      </c>
      <c r="J5090" s="21" t="n">
        <f aca="false">H5090*1000/Parametres!$B$9</f>
        <v>3391.55502798033</v>
      </c>
    </row>
    <row r="5091" customFormat="false" ht="15" hidden="false" customHeight="false" outlineLevel="0" collapsed="false">
      <c r="A5091" s="0" t="n">
        <v>5087</v>
      </c>
      <c r="B5091" s="0" t="n">
        <v>7</v>
      </c>
      <c r="C5091" s="19" t="n">
        <v>0</v>
      </c>
      <c r="D5091" s="19" t="n">
        <v>1</v>
      </c>
      <c r="E5091" s="20" t="n">
        <f aca="false">Parametres!$B$5*C5091</f>
        <v>0</v>
      </c>
      <c r="F5091" s="20" t="n">
        <f aca="false">Parametres!$B$6*D5091</f>
        <v>200</v>
      </c>
      <c r="G5091" s="20" t="n">
        <f aca="false">E5091+F5091</f>
        <v>200</v>
      </c>
      <c r="H5091" s="20" t="n">
        <f aca="false">IF(G5091&lt;Parametres!$B$8*Parametres!$B$7,0,MIN(G5091,Parametres!$B$7))</f>
        <v>200</v>
      </c>
      <c r="I5091" s="20" t="n">
        <f aca="false">G5091-H5091</f>
        <v>0</v>
      </c>
      <c r="J5091" s="21" t="n">
        <f aca="false">H5091*1000/Parametres!$B$9</f>
        <v>3391.55502798033</v>
      </c>
    </row>
    <row r="5092" customFormat="false" ht="15" hidden="false" customHeight="false" outlineLevel="0" collapsed="false">
      <c r="A5092" s="0" t="n">
        <v>5088</v>
      </c>
      <c r="B5092" s="0" t="n">
        <v>7</v>
      </c>
      <c r="C5092" s="19" t="n">
        <v>0</v>
      </c>
      <c r="D5092" s="19" t="n">
        <v>1</v>
      </c>
      <c r="E5092" s="20" t="n">
        <f aca="false">Parametres!$B$5*C5092</f>
        <v>0</v>
      </c>
      <c r="F5092" s="20" t="n">
        <f aca="false">Parametres!$B$6*D5092</f>
        <v>200</v>
      </c>
      <c r="G5092" s="20" t="n">
        <f aca="false">E5092+F5092</f>
        <v>200</v>
      </c>
      <c r="H5092" s="20" t="n">
        <f aca="false">IF(G5092&lt;Parametres!$B$8*Parametres!$B$7,0,MIN(G5092,Parametres!$B$7))</f>
        <v>200</v>
      </c>
      <c r="I5092" s="20" t="n">
        <f aca="false">G5092-H5092</f>
        <v>0</v>
      </c>
      <c r="J5092" s="21" t="n">
        <f aca="false">H5092*1000/Parametres!$B$9</f>
        <v>3391.55502798033</v>
      </c>
    </row>
    <row r="5093" customFormat="false" ht="15" hidden="false" customHeight="false" outlineLevel="0" collapsed="false">
      <c r="A5093" s="0" t="n">
        <v>5089</v>
      </c>
      <c r="B5093" s="0" t="n">
        <v>8</v>
      </c>
      <c r="C5093" s="19" t="n">
        <v>0</v>
      </c>
      <c r="D5093" s="19" t="n">
        <v>1</v>
      </c>
      <c r="E5093" s="20" t="n">
        <f aca="false">Parametres!$B$5*C5093</f>
        <v>0</v>
      </c>
      <c r="F5093" s="20" t="n">
        <f aca="false">Parametres!$B$6*D5093</f>
        <v>200</v>
      </c>
      <c r="G5093" s="20" t="n">
        <f aca="false">E5093+F5093</f>
        <v>200</v>
      </c>
      <c r="H5093" s="20" t="n">
        <f aca="false">IF(G5093&lt;Parametres!$B$8*Parametres!$B$7,0,MIN(G5093,Parametres!$B$7))</f>
        <v>200</v>
      </c>
      <c r="I5093" s="20" t="n">
        <f aca="false">G5093-H5093</f>
        <v>0</v>
      </c>
      <c r="J5093" s="21" t="n">
        <f aca="false">H5093*1000/Parametres!$B$9</f>
        <v>3391.55502798033</v>
      </c>
    </row>
    <row r="5094" customFormat="false" ht="15" hidden="false" customHeight="false" outlineLevel="0" collapsed="false">
      <c r="A5094" s="0" t="n">
        <v>5090</v>
      </c>
      <c r="B5094" s="0" t="n">
        <v>8</v>
      </c>
      <c r="C5094" s="19" t="n">
        <v>0</v>
      </c>
      <c r="D5094" s="19" t="n">
        <v>1</v>
      </c>
      <c r="E5094" s="20" t="n">
        <f aca="false">Parametres!$B$5*C5094</f>
        <v>0</v>
      </c>
      <c r="F5094" s="20" t="n">
        <f aca="false">Parametres!$B$6*D5094</f>
        <v>200</v>
      </c>
      <c r="G5094" s="20" t="n">
        <f aca="false">E5094+F5094</f>
        <v>200</v>
      </c>
      <c r="H5094" s="20" t="n">
        <f aca="false">IF(G5094&lt;Parametres!$B$8*Parametres!$B$7,0,MIN(G5094,Parametres!$B$7))</f>
        <v>200</v>
      </c>
      <c r="I5094" s="20" t="n">
        <f aca="false">G5094-H5094</f>
        <v>0</v>
      </c>
      <c r="J5094" s="21" t="n">
        <f aca="false">H5094*1000/Parametres!$B$9</f>
        <v>3391.55502798033</v>
      </c>
    </row>
    <row r="5095" customFormat="false" ht="15" hidden="false" customHeight="false" outlineLevel="0" collapsed="false">
      <c r="A5095" s="0" t="n">
        <v>5091</v>
      </c>
      <c r="B5095" s="0" t="n">
        <v>8</v>
      </c>
      <c r="C5095" s="19" t="n">
        <v>0</v>
      </c>
      <c r="D5095" s="19" t="n">
        <v>1</v>
      </c>
      <c r="E5095" s="20" t="n">
        <f aca="false">Parametres!$B$5*C5095</f>
        <v>0</v>
      </c>
      <c r="F5095" s="20" t="n">
        <f aca="false">Parametres!$B$6*D5095</f>
        <v>200</v>
      </c>
      <c r="G5095" s="20" t="n">
        <f aca="false">E5095+F5095</f>
        <v>200</v>
      </c>
      <c r="H5095" s="20" t="n">
        <f aca="false">IF(G5095&lt;Parametres!$B$8*Parametres!$B$7,0,MIN(G5095,Parametres!$B$7))</f>
        <v>200</v>
      </c>
      <c r="I5095" s="20" t="n">
        <f aca="false">G5095-H5095</f>
        <v>0</v>
      </c>
      <c r="J5095" s="21" t="n">
        <f aca="false">H5095*1000/Parametres!$B$9</f>
        <v>3391.55502798033</v>
      </c>
    </row>
    <row r="5096" customFormat="false" ht="15" hidden="false" customHeight="false" outlineLevel="0" collapsed="false">
      <c r="A5096" s="0" t="n">
        <v>5092</v>
      </c>
      <c r="B5096" s="0" t="n">
        <v>8</v>
      </c>
      <c r="C5096" s="19" t="n">
        <v>0</v>
      </c>
      <c r="D5096" s="19" t="n">
        <v>1</v>
      </c>
      <c r="E5096" s="20" t="n">
        <f aca="false">Parametres!$B$5*C5096</f>
        <v>0</v>
      </c>
      <c r="F5096" s="20" t="n">
        <f aca="false">Parametres!$B$6*D5096</f>
        <v>200</v>
      </c>
      <c r="G5096" s="20" t="n">
        <f aca="false">E5096+F5096</f>
        <v>200</v>
      </c>
      <c r="H5096" s="20" t="n">
        <f aca="false">IF(G5096&lt;Parametres!$B$8*Parametres!$B$7,0,MIN(G5096,Parametres!$B$7))</f>
        <v>200</v>
      </c>
      <c r="I5096" s="20" t="n">
        <f aca="false">G5096-H5096</f>
        <v>0</v>
      </c>
      <c r="J5096" s="21" t="n">
        <f aca="false">H5096*1000/Parametres!$B$9</f>
        <v>3391.55502798033</v>
      </c>
    </row>
    <row r="5097" customFormat="false" ht="15" hidden="false" customHeight="false" outlineLevel="0" collapsed="false">
      <c r="A5097" s="0" t="n">
        <v>5093</v>
      </c>
      <c r="B5097" s="0" t="n">
        <v>8</v>
      </c>
      <c r="C5097" s="19" t="n">
        <v>0</v>
      </c>
      <c r="D5097" s="19" t="n">
        <v>1</v>
      </c>
      <c r="E5097" s="20" t="n">
        <f aca="false">Parametres!$B$5*C5097</f>
        <v>0</v>
      </c>
      <c r="F5097" s="20" t="n">
        <f aca="false">Parametres!$B$6*D5097</f>
        <v>200</v>
      </c>
      <c r="G5097" s="20" t="n">
        <f aca="false">E5097+F5097</f>
        <v>200</v>
      </c>
      <c r="H5097" s="20" t="n">
        <f aca="false">IF(G5097&lt;Parametres!$B$8*Parametres!$B$7,0,MIN(G5097,Parametres!$B$7))</f>
        <v>200</v>
      </c>
      <c r="I5097" s="20" t="n">
        <f aca="false">G5097-H5097</f>
        <v>0</v>
      </c>
      <c r="J5097" s="21" t="n">
        <f aca="false">H5097*1000/Parametres!$B$9</f>
        <v>3391.55502798033</v>
      </c>
    </row>
    <row r="5098" customFormat="false" ht="15" hidden="false" customHeight="false" outlineLevel="0" collapsed="false">
      <c r="A5098" s="0" t="n">
        <v>5094</v>
      </c>
      <c r="B5098" s="0" t="n">
        <v>8</v>
      </c>
      <c r="C5098" s="19" t="n">
        <v>0.0297</v>
      </c>
      <c r="D5098" s="19" t="n">
        <v>0.9226</v>
      </c>
      <c r="E5098" s="20" t="n">
        <f aca="false">Parametres!$B$5*C5098</f>
        <v>8.91</v>
      </c>
      <c r="F5098" s="20" t="n">
        <f aca="false">Parametres!$B$6*D5098</f>
        <v>184.52</v>
      </c>
      <c r="G5098" s="20" t="n">
        <f aca="false">E5098+F5098</f>
        <v>193.43</v>
      </c>
      <c r="H5098" s="20" t="n">
        <f aca="false">IF(G5098&lt;Parametres!$B$8*Parametres!$B$7,0,MIN(G5098,Parametres!$B$7))</f>
        <v>193.43</v>
      </c>
      <c r="I5098" s="20" t="n">
        <f aca="false">G5098-H5098</f>
        <v>0</v>
      </c>
      <c r="J5098" s="21" t="n">
        <f aca="false">H5098*1000/Parametres!$B$9</f>
        <v>3280.14244531118</v>
      </c>
    </row>
    <row r="5099" customFormat="false" ht="15" hidden="false" customHeight="false" outlineLevel="0" collapsed="false">
      <c r="A5099" s="0" t="n">
        <v>5095</v>
      </c>
      <c r="B5099" s="0" t="n">
        <v>8</v>
      </c>
      <c r="C5099" s="19" t="n">
        <v>0.2505</v>
      </c>
      <c r="D5099" s="19" t="n">
        <v>1</v>
      </c>
      <c r="E5099" s="20" t="n">
        <f aca="false">Parametres!$B$5*C5099</f>
        <v>75.15</v>
      </c>
      <c r="F5099" s="20" t="n">
        <f aca="false">Parametres!$B$6*D5099</f>
        <v>200</v>
      </c>
      <c r="G5099" s="20" t="n">
        <f aca="false">E5099+F5099</f>
        <v>275.15</v>
      </c>
      <c r="H5099" s="20" t="n">
        <f aca="false">IF(G5099&lt;Parametres!$B$8*Parametres!$B$7,0,MIN(G5099,Parametres!$B$7))</f>
        <v>250</v>
      </c>
      <c r="I5099" s="20" t="n">
        <f aca="false">G5099-H5099</f>
        <v>25.15</v>
      </c>
      <c r="J5099" s="21" t="n">
        <f aca="false">H5099*1000/Parametres!$B$9</f>
        <v>4239.44378497541</v>
      </c>
    </row>
    <row r="5100" customFormat="false" ht="15" hidden="false" customHeight="false" outlineLevel="0" collapsed="false">
      <c r="A5100" s="0" t="n">
        <v>5096</v>
      </c>
      <c r="B5100" s="0" t="n">
        <v>8</v>
      </c>
      <c r="C5100" s="19" t="n">
        <v>0.5337</v>
      </c>
      <c r="D5100" s="19" t="n">
        <v>1</v>
      </c>
      <c r="E5100" s="20" t="n">
        <f aca="false">Parametres!$B$5*C5100</f>
        <v>160.11</v>
      </c>
      <c r="F5100" s="20" t="n">
        <f aca="false">Parametres!$B$6*D5100</f>
        <v>200</v>
      </c>
      <c r="G5100" s="20" t="n">
        <f aca="false">E5100+F5100</f>
        <v>360.11</v>
      </c>
      <c r="H5100" s="20" t="n">
        <f aca="false">IF(G5100&lt;Parametres!$B$8*Parametres!$B$7,0,MIN(G5100,Parametres!$B$7))</f>
        <v>250</v>
      </c>
      <c r="I5100" s="20" t="n">
        <f aca="false">G5100-H5100</f>
        <v>110.11</v>
      </c>
      <c r="J5100" s="21" t="n">
        <f aca="false">H5100*1000/Parametres!$B$9</f>
        <v>4239.44378497541</v>
      </c>
    </row>
    <row r="5101" customFormat="false" ht="15" hidden="false" customHeight="false" outlineLevel="0" collapsed="false">
      <c r="A5101" s="0" t="n">
        <v>5097</v>
      </c>
      <c r="B5101" s="0" t="n">
        <v>8</v>
      </c>
      <c r="C5101" s="19" t="n">
        <v>0.7493</v>
      </c>
      <c r="D5101" s="19" t="n">
        <v>1</v>
      </c>
      <c r="E5101" s="20" t="n">
        <f aca="false">Parametres!$B$5*C5101</f>
        <v>224.79</v>
      </c>
      <c r="F5101" s="20" t="n">
        <f aca="false">Parametres!$B$6*D5101</f>
        <v>200</v>
      </c>
      <c r="G5101" s="20" t="n">
        <f aca="false">E5101+F5101</f>
        <v>424.79</v>
      </c>
      <c r="H5101" s="20" t="n">
        <f aca="false">IF(G5101&lt;Parametres!$B$8*Parametres!$B$7,0,MIN(G5101,Parametres!$B$7))</f>
        <v>250</v>
      </c>
      <c r="I5101" s="20" t="n">
        <f aca="false">G5101-H5101</f>
        <v>174.79</v>
      </c>
      <c r="J5101" s="21" t="n">
        <f aca="false">H5101*1000/Parametres!$B$9</f>
        <v>4239.44378497541</v>
      </c>
    </row>
    <row r="5102" customFormat="false" ht="15" hidden="false" customHeight="false" outlineLevel="0" collapsed="false">
      <c r="A5102" s="0" t="n">
        <v>5098</v>
      </c>
      <c r="B5102" s="0" t="n">
        <v>8</v>
      </c>
      <c r="C5102" s="19" t="n">
        <v>0.9604</v>
      </c>
      <c r="D5102" s="19" t="n">
        <v>1</v>
      </c>
      <c r="E5102" s="20" t="n">
        <f aca="false">Parametres!$B$5*C5102</f>
        <v>288.12</v>
      </c>
      <c r="F5102" s="20" t="n">
        <f aca="false">Parametres!$B$6*D5102</f>
        <v>200</v>
      </c>
      <c r="G5102" s="20" t="n">
        <f aca="false">E5102+F5102</f>
        <v>488.12</v>
      </c>
      <c r="H5102" s="20" t="n">
        <f aca="false">IF(G5102&lt;Parametres!$B$8*Parametres!$B$7,0,MIN(G5102,Parametres!$B$7))</f>
        <v>250</v>
      </c>
      <c r="I5102" s="20" t="n">
        <f aca="false">G5102-H5102</f>
        <v>238.12</v>
      </c>
      <c r="J5102" s="21" t="n">
        <f aca="false">H5102*1000/Parametres!$B$9</f>
        <v>4239.44378497541</v>
      </c>
    </row>
    <row r="5103" customFormat="false" ht="15" hidden="false" customHeight="false" outlineLevel="0" collapsed="false">
      <c r="A5103" s="0" t="n">
        <v>5099</v>
      </c>
      <c r="B5103" s="0" t="n">
        <v>8</v>
      </c>
      <c r="C5103" s="19" t="n">
        <v>1</v>
      </c>
      <c r="D5103" s="19" t="n">
        <v>1</v>
      </c>
      <c r="E5103" s="20" t="n">
        <f aca="false">Parametres!$B$5*C5103</f>
        <v>300</v>
      </c>
      <c r="F5103" s="20" t="n">
        <f aca="false">Parametres!$B$6*D5103</f>
        <v>200</v>
      </c>
      <c r="G5103" s="20" t="n">
        <f aca="false">E5103+F5103</f>
        <v>500</v>
      </c>
      <c r="H5103" s="20" t="n">
        <f aca="false">IF(G5103&lt;Parametres!$B$8*Parametres!$B$7,0,MIN(G5103,Parametres!$B$7))</f>
        <v>250</v>
      </c>
      <c r="I5103" s="20" t="n">
        <f aca="false">G5103-H5103</f>
        <v>250</v>
      </c>
      <c r="J5103" s="21" t="n">
        <f aca="false">H5103*1000/Parametres!$B$9</f>
        <v>4239.44378497541</v>
      </c>
    </row>
    <row r="5104" customFormat="false" ht="15" hidden="false" customHeight="false" outlineLevel="0" collapsed="false">
      <c r="A5104" s="0" t="n">
        <v>5100</v>
      </c>
      <c r="B5104" s="0" t="n">
        <v>8</v>
      </c>
      <c r="C5104" s="19" t="n">
        <v>1</v>
      </c>
      <c r="D5104" s="19" t="n">
        <v>1</v>
      </c>
      <c r="E5104" s="20" t="n">
        <f aca="false">Parametres!$B$5*C5104</f>
        <v>300</v>
      </c>
      <c r="F5104" s="20" t="n">
        <f aca="false">Parametres!$B$6*D5104</f>
        <v>200</v>
      </c>
      <c r="G5104" s="20" t="n">
        <f aca="false">E5104+F5104</f>
        <v>500</v>
      </c>
      <c r="H5104" s="20" t="n">
        <f aca="false">IF(G5104&lt;Parametres!$B$8*Parametres!$B$7,0,MIN(G5104,Parametres!$B$7))</f>
        <v>250</v>
      </c>
      <c r="I5104" s="20" t="n">
        <f aca="false">G5104-H5104</f>
        <v>250</v>
      </c>
      <c r="J5104" s="21" t="n">
        <f aca="false">H5104*1000/Parametres!$B$9</f>
        <v>4239.44378497541</v>
      </c>
    </row>
    <row r="5105" customFormat="false" ht="15" hidden="false" customHeight="false" outlineLevel="0" collapsed="false">
      <c r="A5105" s="0" t="n">
        <v>5101</v>
      </c>
      <c r="B5105" s="0" t="n">
        <v>8</v>
      </c>
      <c r="C5105" s="19" t="n">
        <v>1</v>
      </c>
      <c r="D5105" s="19" t="n">
        <v>1</v>
      </c>
      <c r="E5105" s="20" t="n">
        <f aca="false">Parametres!$B$5*C5105</f>
        <v>300</v>
      </c>
      <c r="F5105" s="20" t="n">
        <f aca="false">Parametres!$B$6*D5105</f>
        <v>200</v>
      </c>
      <c r="G5105" s="20" t="n">
        <f aca="false">E5105+F5105</f>
        <v>500</v>
      </c>
      <c r="H5105" s="20" t="n">
        <f aca="false">IF(G5105&lt;Parametres!$B$8*Parametres!$B$7,0,MIN(G5105,Parametres!$B$7))</f>
        <v>250</v>
      </c>
      <c r="I5105" s="20" t="n">
        <f aca="false">G5105-H5105</f>
        <v>250</v>
      </c>
      <c r="J5105" s="21" t="n">
        <f aca="false">H5105*1000/Parametres!$B$9</f>
        <v>4239.44378497541</v>
      </c>
    </row>
    <row r="5106" customFormat="false" ht="15" hidden="false" customHeight="false" outlineLevel="0" collapsed="false">
      <c r="A5106" s="0" t="n">
        <v>5102</v>
      </c>
      <c r="B5106" s="0" t="n">
        <v>8</v>
      </c>
      <c r="C5106" s="19" t="n">
        <v>1</v>
      </c>
      <c r="D5106" s="19" t="n">
        <v>1</v>
      </c>
      <c r="E5106" s="20" t="n">
        <f aca="false">Parametres!$B$5*C5106</f>
        <v>300</v>
      </c>
      <c r="F5106" s="20" t="n">
        <f aca="false">Parametres!$B$6*D5106</f>
        <v>200</v>
      </c>
      <c r="G5106" s="20" t="n">
        <f aca="false">E5106+F5106</f>
        <v>500</v>
      </c>
      <c r="H5106" s="20" t="n">
        <f aca="false">IF(G5106&lt;Parametres!$B$8*Parametres!$B$7,0,MIN(G5106,Parametres!$B$7))</f>
        <v>250</v>
      </c>
      <c r="I5106" s="20" t="n">
        <f aca="false">G5106-H5106</f>
        <v>250</v>
      </c>
      <c r="J5106" s="21" t="n">
        <f aca="false">H5106*1000/Parametres!$B$9</f>
        <v>4239.44378497541</v>
      </c>
    </row>
    <row r="5107" customFormat="false" ht="15" hidden="false" customHeight="false" outlineLevel="0" collapsed="false">
      <c r="A5107" s="0" t="n">
        <v>5103</v>
      </c>
      <c r="B5107" s="0" t="n">
        <v>8</v>
      </c>
      <c r="C5107" s="19" t="n">
        <v>0.9003</v>
      </c>
      <c r="D5107" s="19" t="n">
        <v>1</v>
      </c>
      <c r="E5107" s="20" t="n">
        <f aca="false">Parametres!$B$5*C5107</f>
        <v>270.09</v>
      </c>
      <c r="F5107" s="20" t="n">
        <f aca="false">Parametres!$B$6*D5107</f>
        <v>200</v>
      </c>
      <c r="G5107" s="20" t="n">
        <f aca="false">E5107+F5107</f>
        <v>470.09</v>
      </c>
      <c r="H5107" s="20" t="n">
        <f aca="false">IF(G5107&lt;Parametres!$B$8*Parametres!$B$7,0,MIN(G5107,Parametres!$B$7))</f>
        <v>250</v>
      </c>
      <c r="I5107" s="20" t="n">
        <f aca="false">G5107-H5107</f>
        <v>220.09</v>
      </c>
      <c r="J5107" s="21" t="n">
        <f aca="false">H5107*1000/Parametres!$B$9</f>
        <v>4239.44378497541</v>
      </c>
    </row>
    <row r="5108" customFormat="false" ht="15" hidden="false" customHeight="false" outlineLevel="0" collapsed="false">
      <c r="A5108" s="0" t="n">
        <v>5104</v>
      </c>
      <c r="B5108" s="0" t="n">
        <v>8</v>
      </c>
      <c r="C5108" s="19" t="n">
        <v>0.721</v>
      </c>
      <c r="D5108" s="19" t="n">
        <v>1</v>
      </c>
      <c r="E5108" s="20" t="n">
        <f aca="false">Parametres!$B$5*C5108</f>
        <v>216.3</v>
      </c>
      <c r="F5108" s="20" t="n">
        <f aca="false">Parametres!$B$6*D5108</f>
        <v>200</v>
      </c>
      <c r="G5108" s="20" t="n">
        <f aca="false">E5108+F5108</f>
        <v>416.3</v>
      </c>
      <c r="H5108" s="20" t="n">
        <f aca="false">IF(G5108&lt;Parametres!$B$8*Parametres!$B$7,0,MIN(G5108,Parametres!$B$7))</f>
        <v>250</v>
      </c>
      <c r="I5108" s="20" t="n">
        <f aca="false">G5108-H5108</f>
        <v>166.3</v>
      </c>
      <c r="J5108" s="21" t="n">
        <f aca="false">H5108*1000/Parametres!$B$9</f>
        <v>4239.44378497541</v>
      </c>
    </row>
    <row r="5109" customFormat="false" ht="15" hidden="false" customHeight="false" outlineLevel="0" collapsed="false">
      <c r="A5109" s="0" t="n">
        <v>5105</v>
      </c>
      <c r="B5109" s="0" t="n">
        <v>8</v>
      </c>
      <c r="C5109" s="19" t="n">
        <v>0.4973</v>
      </c>
      <c r="D5109" s="19" t="n">
        <v>1</v>
      </c>
      <c r="E5109" s="20" t="n">
        <f aca="false">Parametres!$B$5*C5109</f>
        <v>149.19</v>
      </c>
      <c r="F5109" s="20" t="n">
        <f aca="false">Parametres!$B$6*D5109</f>
        <v>200</v>
      </c>
      <c r="G5109" s="20" t="n">
        <f aca="false">E5109+F5109</f>
        <v>349.19</v>
      </c>
      <c r="H5109" s="20" t="n">
        <f aca="false">IF(G5109&lt;Parametres!$B$8*Parametres!$B$7,0,MIN(G5109,Parametres!$B$7))</f>
        <v>250</v>
      </c>
      <c r="I5109" s="20" t="n">
        <f aca="false">G5109-H5109</f>
        <v>99.19</v>
      </c>
      <c r="J5109" s="21" t="n">
        <f aca="false">H5109*1000/Parametres!$B$9</f>
        <v>4239.44378497541</v>
      </c>
    </row>
    <row r="5110" customFormat="false" ht="15" hidden="false" customHeight="false" outlineLevel="0" collapsed="false">
      <c r="A5110" s="0" t="n">
        <v>5106</v>
      </c>
      <c r="B5110" s="0" t="n">
        <v>8</v>
      </c>
      <c r="C5110" s="19" t="n">
        <v>0.253</v>
      </c>
      <c r="D5110" s="19" t="n">
        <v>1</v>
      </c>
      <c r="E5110" s="20" t="n">
        <f aca="false">Parametres!$B$5*C5110</f>
        <v>75.9</v>
      </c>
      <c r="F5110" s="20" t="n">
        <f aca="false">Parametres!$B$6*D5110</f>
        <v>200</v>
      </c>
      <c r="G5110" s="20" t="n">
        <f aca="false">E5110+F5110</f>
        <v>275.9</v>
      </c>
      <c r="H5110" s="20" t="n">
        <f aca="false">IF(G5110&lt;Parametres!$B$8*Parametres!$B$7,0,MIN(G5110,Parametres!$B$7))</f>
        <v>250</v>
      </c>
      <c r="I5110" s="20" t="n">
        <f aca="false">G5110-H5110</f>
        <v>25.9</v>
      </c>
      <c r="J5110" s="21" t="n">
        <f aca="false">H5110*1000/Parametres!$B$9</f>
        <v>4239.44378497541</v>
      </c>
    </row>
    <row r="5111" customFormat="false" ht="15" hidden="false" customHeight="false" outlineLevel="0" collapsed="false">
      <c r="A5111" s="0" t="n">
        <v>5107</v>
      </c>
      <c r="B5111" s="0" t="n">
        <v>8</v>
      </c>
      <c r="C5111" s="19" t="n">
        <v>0.0282</v>
      </c>
      <c r="D5111" s="19" t="n">
        <v>1</v>
      </c>
      <c r="E5111" s="20" t="n">
        <f aca="false">Parametres!$B$5*C5111</f>
        <v>8.46</v>
      </c>
      <c r="F5111" s="20" t="n">
        <f aca="false">Parametres!$B$6*D5111</f>
        <v>200</v>
      </c>
      <c r="G5111" s="20" t="n">
        <f aca="false">E5111+F5111</f>
        <v>208.46</v>
      </c>
      <c r="H5111" s="20" t="n">
        <f aca="false">IF(G5111&lt;Parametres!$B$8*Parametres!$B$7,0,MIN(G5111,Parametres!$B$7))</f>
        <v>208.46</v>
      </c>
      <c r="I5111" s="20" t="n">
        <f aca="false">G5111-H5111</f>
        <v>0</v>
      </c>
      <c r="J5111" s="21" t="n">
        <f aca="false">H5111*1000/Parametres!$B$9</f>
        <v>3535.0178056639</v>
      </c>
    </row>
    <row r="5112" customFormat="false" ht="15" hidden="false" customHeight="false" outlineLevel="0" collapsed="false">
      <c r="A5112" s="0" t="n">
        <v>5108</v>
      </c>
      <c r="B5112" s="0" t="n">
        <v>8</v>
      </c>
      <c r="C5112" s="19" t="n">
        <v>0</v>
      </c>
      <c r="D5112" s="19" t="n">
        <v>1</v>
      </c>
      <c r="E5112" s="20" t="n">
        <f aca="false">Parametres!$B$5*C5112</f>
        <v>0</v>
      </c>
      <c r="F5112" s="20" t="n">
        <f aca="false">Parametres!$B$6*D5112</f>
        <v>200</v>
      </c>
      <c r="G5112" s="20" t="n">
        <f aca="false">E5112+F5112</f>
        <v>200</v>
      </c>
      <c r="H5112" s="20" t="n">
        <f aca="false">IF(G5112&lt;Parametres!$B$8*Parametres!$B$7,0,MIN(G5112,Parametres!$B$7))</f>
        <v>200</v>
      </c>
      <c r="I5112" s="20" t="n">
        <f aca="false">G5112-H5112</f>
        <v>0</v>
      </c>
      <c r="J5112" s="21" t="n">
        <f aca="false">H5112*1000/Parametres!$B$9</f>
        <v>3391.55502798033</v>
      </c>
    </row>
    <row r="5113" customFormat="false" ht="15" hidden="false" customHeight="false" outlineLevel="0" collapsed="false">
      <c r="A5113" s="0" t="n">
        <v>5109</v>
      </c>
      <c r="B5113" s="0" t="n">
        <v>8</v>
      </c>
      <c r="C5113" s="19" t="n">
        <v>0</v>
      </c>
      <c r="D5113" s="19" t="n">
        <v>1</v>
      </c>
      <c r="E5113" s="20" t="n">
        <f aca="false">Parametres!$B$5*C5113</f>
        <v>0</v>
      </c>
      <c r="F5113" s="20" t="n">
        <f aca="false">Parametres!$B$6*D5113</f>
        <v>200</v>
      </c>
      <c r="G5113" s="20" t="n">
        <f aca="false">E5113+F5113</f>
        <v>200</v>
      </c>
      <c r="H5113" s="20" t="n">
        <f aca="false">IF(G5113&lt;Parametres!$B$8*Parametres!$B$7,0,MIN(G5113,Parametres!$B$7))</f>
        <v>200</v>
      </c>
      <c r="I5113" s="20" t="n">
        <f aca="false">G5113-H5113</f>
        <v>0</v>
      </c>
      <c r="J5113" s="21" t="n">
        <f aca="false">H5113*1000/Parametres!$B$9</f>
        <v>3391.55502798033</v>
      </c>
    </row>
    <row r="5114" customFormat="false" ht="15" hidden="false" customHeight="false" outlineLevel="0" collapsed="false">
      <c r="A5114" s="0" t="n">
        <v>5110</v>
      </c>
      <c r="B5114" s="0" t="n">
        <v>8</v>
      </c>
      <c r="C5114" s="19" t="n">
        <v>0</v>
      </c>
      <c r="D5114" s="19" t="n">
        <v>1</v>
      </c>
      <c r="E5114" s="20" t="n">
        <f aca="false">Parametres!$B$5*C5114</f>
        <v>0</v>
      </c>
      <c r="F5114" s="20" t="n">
        <f aca="false">Parametres!$B$6*D5114</f>
        <v>200</v>
      </c>
      <c r="G5114" s="20" t="n">
        <f aca="false">E5114+F5114</f>
        <v>200</v>
      </c>
      <c r="H5114" s="20" t="n">
        <f aca="false">IF(G5114&lt;Parametres!$B$8*Parametres!$B$7,0,MIN(G5114,Parametres!$B$7))</f>
        <v>200</v>
      </c>
      <c r="I5114" s="20" t="n">
        <f aca="false">G5114-H5114</f>
        <v>0</v>
      </c>
      <c r="J5114" s="21" t="n">
        <f aca="false">H5114*1000/Parametres!$B$9</f>
        <v>3391.55502798033</v>
      </c>
    </row>
    <row r="5115" customFormat="false" ht="15" hidden="false" customHeight="false" outlineLevel="0" collapsed="false">
      <c r="A5115" s="0" t="n">
        <v>5111</v>
      </c>
      <c r="B5115" s="0" t="n">
        <v>8</v>
      </c>
      <c r="C5115" s="19" t="n">
        <v>0</v>
      </c>
      <c r="D5115" s="19" t="n">
        <v>1</v>
      </c>
      <c r="E5115" s="20" t="n">
        <f aca="false">Parametres!$B$5*C5115</f>
        <v>0</v>
      </c>
      <c r="F5115" s="20" t="n">
        <f aca="false">Parametres!$B$6*D5115</f>
        <v>200</v>
      </c>
      <c r="G5115" s="20" t="n">
        <f aca="false">E5115+F5115</f>
        <v>200</v>
      </c>
      <c r="H5115" s="20" t="n">
        <f aca="false">IF(G5115&lt;Parametres!$B$8*Parametres!$B$7,0,MIN(G5115,Parametres!$B$7))</f>
        <v>200</v>
      </c>
      <c r="I5115" s="20" t="n">
        <f aca="false">G5115-H5115</f>
        <v>0</v>
      </c>
      <c r="J5115" s="21" t="n">
        <f aca="false">H5115*1000/Parametres!$B$9</f>
        <v>3391.55502798033</v>
      </c>
    </row>
    <row r="5116" customFormat="false" ht="15" hidden="false" customHeight="false" outlineLevel="0" collapsed="false">
      <c r="A5116" s="0" t="n">
        <v>5112</v>
      </c>
      <c r="B5116" s="0" t="n">
        <v>8</v>
      </c>
      <c r="C5116" s="19" t="n">
        <v>0</v>
      </c>
      <c r="D5116" s="19" t="n">
        <v>1</v>
      </c>
      <c r="E5116" s="20" t="n">
        <f aca="false">Parametres!$B$5*C5116</f>
        <v>0</v>
      </c>
      <c r="F5116" s="20" t="n">
        <f aca="false">Parametres!$B$6*D5116</f>
        <v>200</v>
      </c>
      <c r="G5116" s="20" t="n">
        <f aca="false">E5116+F5116</f>
        <v>200</v>
      </c>
      <c r="H5116" s="20" t="n">
        <f aca="false">IF(G5116&lt;Parametres!$B$8*Parametres!$B$7,0,MIN(G5116,Parametres!$B$7))</f>
        <v>200</v>
      </c>
      <c r="I5116" s="20" t="n">
        <f aca="false">G5116-H5116</f>
        <v>0</v>
      </c>
      <c r="J5116" s="21" t="n">
        <f aca="false">H5116*1000/Parametres!$B$9</f>
        <v>3391.55502798033</v>
      </c>
    </row>
    <row r="5117" customFormat="false" ht="15" hidden="false" customHeight="false" outlineLevel="0" collapsed="false">
      <c r="A5117" s="0" t="n">
        <v>5113</v>
      </c>
      <c r="B5117" s="0" t="n">
        <v>8</v>
      </c>
      <c r="C5117" s="19" t="n">
        <v>0</v>
      </c>
      <c r="D5117" s="19" t="n">
        <v>1</v>
      </c>
      <c r="E5117" s="20" t="n">
        <f aca="false">Parametres!$B$5*C5117</f>
        <v>0</v>
      </c>
      <c r="F5117" s="20" t="n">
        <f aca="false">Parametres!$B$6*D5117</f>
        <v>200</v>
      </c>
      <c r="G5117" s="20" t="n">
        <f aca="false">E5117+F5117</f>
        <v>200</v>
      </c>
      <c r="H5117" s="20" t="n">
        <f aca="false">IF(G5117&lt;Parametres!$B$8*Parametres!$B$7,0,MIN(G5117,Parametres!$B$7))</f>
        <v>200</v>
      </c>
      <c r="I5117" s="20" t="n">
        <f aca="false">G5117-H5117</f>
        <v>0</v>
      </c>
      <c r="J5117" s="21" t="n">
        <f aca="false">H5117*1000/Parametres!$B$9</f>
        <v>3391.55502798033</v>
      </c>
    </row>
    <row r="5118" customFormat="false" ht="15" hidden="false" customHeight="false" outlineLevel="0" collapsed="false">
      <c r="A5118" s="0" t="n">
        <v>5114</v>
      </c>
      <c r="B5118" s="0" t="n">
        <v>8</v>
      </c>
      <c r="C5118" s="19" t="n">
        <v>0</v>
      </c>
      <c r="D5118" s="19" t="n">
        <v>1</v>
      </c>
      <c r="E5118" s="20" t="n">
        <f aca="false">Parametres!$B$5*C5118</f>
        <v>0</v>
      </c>
      <c r="F5118" s="20" t="n">
        <f aca="false">Parametres!$B$6*D5118</f>
        <v>200</v>
      </c>
      <c r="G5118" s="20" t="n">
        <f aca="false">E5118+F5118</f>
        <v>200</v>
      </c>
      <c r="H5118" s="20" t="n">
        <f aca="false">IF(G5118&lt;Parametres!$B$8*Parametres!$B$7,0,MIN(G5118,Parametres!$B$7))</f>
        <v>200</v>
      </c>
      <c r="I5118" s="20" t="n">
        <f aca="false">G5118-H5118</f>
        <v>0</v>
      </c>
      <c r="J5118" s="21" t="n">
        <f aca="false">H5118*1000/Parametres!$B$9</f>
        <v>3391.55502798033</v>
      </c>
    </row>
    <row r="5119" customFormat="false" ht="15" hidden="false" customHeight="false" outlineLevel="0" collapsed="false">
      <c r="A5119" s="0" t="n">
        <v>5115</v>
      </c>
      <c r="B5119" s="0" t="n">
        <v>8</v>
      </c>
      <c r="C5119" s="19" t="n">
        <v>0</v>
      </c>
      <c r="D5119" s="19" t="n">
        <v>1</v>
      </c>
      <c r="E5119" s="20" t="n">
        <f aca="false">Parametres!$B$5*C5119</f>
        <v>0</v>
      </c>
      <c r="F5119" s="20" t="n">
        <f aca="false">Parametres!$B$6*D5119</f>
        <v>200</v>
      </c>
      <c r="G5119" s="20" t="n">
        <f aca="false">E5119+F5119</f>
        <v>200</v>
      </c>
      <c r="H5119" s="20" t="n">
        <f aca="false">IF(G5119&lt;Parametres!$B$8*Parametres!$B$7,0,MIN(G5119,Parametres!$B$7))</f>
        <v>200</v>
      </c>
      <c r="I5119" s="20" t="n">
        <f aca="false">G5119-H5119</f>
        <v>0</v>
      </c>
      <c r="J5119" s="21" t="n">
        <f aca="false">H5119*1000/Parametres!$B$9</f>
        <v>3391.55502798033</v>
      </c>
    </row>
    <row r="5120" customFormat="false" ht="15" hidden="false" customHeight="false" outlineLevel="0" collapsed="false">
      <c r="A5120" s="0" t="n">
        <v>5116</v>
      </c>
      <c r="B5120" s="0" t="n">
        <v>8</v>
      </c>
      <c r="C5120" s="19" t="n">
        <v>0</v>
      </c>
      <c r="D5120" s="19" t="n">
        <v>1</v>
      </c>
      <c r="E5120" s="20" t="n">
        <f aca="false">Parametres!$B$5*C5120</f>
        <v>0</v>
      </c>
      <c r="F5120" s="20" t="n">
        <f aca="false">Parametres!$B$6*D5120</f>
        <v>200</v>
      </c>
      <c r="G5120" s="20" t="n">
        <f aca="false">E5120+F5120</f>
        <v>200</v>
      </c>
      <c r="H5120" s="20" t="n">
        <f aca="false">IF(G5120&lt;Parametres!$B$8*Parametres!$B$7,0,MIN(G5120,Parametres!$B$7))</f>
        <v>200</v>
      </c>
      <c r="I5120" s="20" t="n">
        <f aca="false">G5120-H5120</f>
        <v>0</v>
      </c>
      <c r="J5120" s="21" t="n">
        <f aca="false">H5120*1000/Parametres!$B$9</f>
        <v>3391.55502798033</v>
      </c>
    </row>
    <row r="5121" customFormat="false" ht="15" hidden="false" customHeight="false" outlineLevel="0" collapsed="false">
      <c r="A5121" s="0" t="n">
        <v>5117</v>
      </c>
      <c r="B5121" s="0" t="n">
        <v>8</v>
      </c>
      <c r="C5121" s="19" t="n">
        <v>0</v>
      </c>
      <c r="D5121" s="19" t="n">
        <v>1</v>
      </c>
      <c r="E5121" s="20" t="n">
        <f aca="false">Parametres!$B$5*C5121</f>
        <v>0</v>
      </c>
      <c r="F5121" s="20" t="n">
        <f aca="false">Parametres!$B$6*D5121</f>
        <v>200</v>
      </c>
      <c r="G5121" s="20" t="n">
        <f aca="false">E5121+F5121</f>
        <v>200</v>
      </c>
      <c r="H5121" s="20" t="n">
        <f aca="false">IF(G5121&lt;Parametres!$B$8*Parametres!$B$7,0,MIN(G5121,Parametres!$B$7))</f>
        <v>200</v>
      </c>
      <c r="I5121" s="20" t="n">
        <f aca="false">G5121-H5121</f>
        <v>0</v>
      </c>
      <c r="J5121" s="21" t="n">
        <f aca="false">H5121*1000/Parametres!$B$9</f>
        <v>3391.55502798033</v>
      </c>
    </row>
    <row r="5122" customFormat="false" ht="15" hidden="false" customHeight="false" outlineLevel="0" collapsed="false">
      <c r="A5122" s="0" t="n">
        <v>5118</v>
      </c>
      <c r="B5122" s="0" t="n">
        <v>8</v>
      </c>
      <c r="C5122" s="19" t="n">
        <v>0.0234</v>
      </c>
      <c r="D5122" s="19" t="n">
        <v>1</v>
      </c>
      <c r="E5122" s="20" t="n">
        <f aca="false">Parametres!$B$5*C5122</f>
        <v>7.02</v>
      </c>
      <c r="F5122" s="20" t="n">
        <f aca="false">Parametres!$B$6*D5122</f>
        <v>200</v>
      </c>
      <c r="G5122" s="20" t="n">
        <f aca="false">E5122+F5122</f>
        <v>207.02</v>
      </c>
      <c r="H5122" s="20" t="n">
        <f aca="false">IF(G5122&lt;Parametres!$B$8*Parametres!$B$7,0,MIN(G5122,Parametres!$B$7))</f>
        <v>207.02</v>
      </c>
      <c r="I5122" s="20" t="n">
        <f aca="false">G5122-H5122</f>
        <v>0</v>
      </c>
      <c r="J5122" s="21" t="n">
        <f aca="false">H5122*1000/Parametres!$B$9</f>
        <v>3510.59860946244</v>
      </c>
    </row>
    <row r="5123" customFormat="false" ht="15" hidden="false" customHeight="false" outlineLevel="0" collapsed="false">
      <c r="A5123" s="0" t="n">
        <v>5119</v>
      </c>
      <c r="B5123" s="0" t="n">
        <v>8</v>
      </c>
      <c r="C5123" s="19" t="n">
        <v>0.2374</v>
      </c>
      <c r="D5123" s="19" t="n">
        <v>1</v>
      </c>
      <c r="E5123" s="20" t="n">
        <f aca="false">Parametres!$B$5*C5123</f>
        <v>71.22</v>
      </c>
      <c r="F5123" s="20" t="n">
        <f aca="false">Parametres!$B$6*D5123</f>
        <v>200</v>
      </c>
      <c r="G5123" s="20" t="n">
        <f aca="false">E5123+F5123</f>
        <v>271.22</v>
      </c>
      <c r="H5123" s="20" t="n">
        <f aca="false">IF(G5123&lt;Parametres!$B$8*Parametres!$B$7,0,MIN(G5123,Parametres!$B$7))</f>
        <v>250</v>
      </c>
      <c r="I5123" s="20" t="n">
        <f aca="false">G5123-H5123</f>
        <v>21.22</v>
      </c>
      <c r="J5123" s="21" t="n">
        <f aca="false">H5123*1000/Parametres!$B$9</f>
        <v>4239.44378497541</v>
      </c>
    </row>
    <row r="5124" customFormat="false" ht="15" hidden="false" customHeight="false" outlineLevel="0" collapsed="false">
      <c r="A5124" s="0" t="n">
        <v>5120</v>
      </c>
      <c r="B5124" s="0" t="n">
        <v>8</v>
      </c>
      <c r="C5124" s="19" t="n">
        <v>0.4942</v>
      </c>
      <c r="D5124" s="19" t="n">
        <v>1</v>
      </c>
      <c r="E5124" s="20" t="n">
        <f aca="false">Parametres!$B$5*C5124</f>
        <v>148.26</v>
      </c>
      <c r="F5124" s="20" t="n">
        <f aca="false">Parametres!$B$6*D5124</f>
        <v>200</v>
      </c>
      <c r="G5124" s="20" t="n">
        <f aca="false">E5124+F5124</f>
        <v>348.26</v>
      </c>
      <c r="H5124" s="20" t="n">
        <f aca="false">IF(G5124&lt;Parametres!$B$8*Parametres!$B$7,0,MIN(G5124,Parametres!$B$7))</f>
        <v>250</v>
      </c>
      <c r="I5124" s="20" t="n">
        <f aca="false">G5124-H5124</f>
        <v>98.26</v>
      </c>
      <c r="J5124" s="21" t="n">
        <f aca="false">H5124*1000/Parametres!$B$9</f>
        <v>4239.44378497541</v>
      </c>
    </row>
    <row r="5125" customFormat="false" ht="15" hidden="false" customHeight="false" outlineLevel="0" collapsed="false">
      <c r="A5125" s="0" t="n">
        <v>5121</v>
      </c>
      <c r="B5125" s="0" t="n">
        <v>8</v>
      </c>
      <c r="C5125" s="19" t="n">
        <v>0.6664</v>
      </c>
      <c r="D5125" s="19" t="n">
        <v>1</v>
      </c>
      <c r="E5125" s="20" t="n">
        <f aca="false">Parametres!$B$5*C5125</f>
        <v>199.92</v>
      </c>
      <c r="F5125" s="20" t="n">
        <f aca="false">Parametres!$B$6*D5125</f>
        <v>200</v>
      </c>
      <c r="G5125" s="20" t="n">
        <f aca="false">E5125+F5125</f>
        <v>399.92</v>
      </c>
      <c r="H5125" s="20" t="n">
        <f aca="false">IF(G5125&lt;Parametres!$B$8*Parametres!$B$7,0,MIN(G5125,Parametres!$B$7))</f>
        <v>250</v>
      </c>
      <c r="I5125" s="20" t="n">
        <f aca="false">G5125-H5125</f>
        <v>149.92</v>
      </c>
      <c r="J5125" s="21" t="n">
        <f aca="false">H5125*1000/Parametres!$B$9</f>
        <v>4239.44378497541</v>
      </c>
    </row>
    <row r="5126" customFormat="false" ht="15" hidden="false" customHeight="false" outlineLevel="0" collapsed="false">
      <c r="A5126" s="0" t="n">
        <v>5122</v>
      </c>
      <c r="B5126" s="0" t="n">
        <v>8</v>
      </c>
      <c r="C5126" s="19" t="n">
        <v>0.8829</v>
      </c>
      <c r="D5126" s="19" t="n">
        <v>1</v>
      </c>
      <c r="E5126" s="20" t="n">
        <f aca="false">Parametres!$B$5*C5126</f>
        <v>264.87</v>
      </c>
      <c r="F5126" s="20" t="n">
        <f aca="false">Parametres!$B$6*D5126</f>
        <v>200</v>
      </c>
      <c r="G5126" s="20" t="n">
        <f aca="false">E5126+F5126</f>
        <v>464.87</v>
      </c>
      <c r="H5126" s="20" t="n">
        <f aca="false">IF(G5126&lt;Parametres!$B$8*Parametres!$B$7,0,MIN(G5126,Parametres!$B$7))</f>
        <v>250</v>
      </c>
      <c r="I5126" s="20" t="n">
        <f aca="false">G5126-H5126</f>
        <v>214.87</v>
      </c>
      <c r="J5126" s="21" t="n">
        <f aca="false">H5126*1000/Parametres!$B$9</f>
        <v>4239.44378497541</v>
      </c>
    </row>
    <row r="5127" customFormat="false" ht="15" hidden="false" customHeight="false" outlineLevel="0" collapsed="false">
      <c r="A5127" s="0" t="n">
        <v>5123</v>
      </c>
      <c r="B5127" s="0" t="n">
        <v>8</v>
      </c>
      <c r="C5127" s="19" t="n">
        <v>1</v>
      </c>
      <c r="D5127" s="19" t="n">
        <v>1</v>
      </c>
      <c r="E5127" s="20" t="n">
        <f aca="false">Parametres!$B$5*C5127</f>
        <v>300</v>
      </c>
      <c r="F5127" s="20" t="n">
        <f aca="false">Parametres!$B$6*D5127</f>
        <v>200</v>
      </c>
      <c r="G5127" s="20" t="n">
        <f aca="false">E5127+F5127</f>
        <v>500</v>
      </c>
      <c r="H5127" s="20" t="n">
        <f aca="false">IF(G5127&lt;Parametres!$B$8*Parametres!$B$7,0,MIN(G5127,Parametres!$B$7))</f>
        <v>250</v>
      </c>
      <c r="I5127" s="20" t="n">
        <f aca="false">G5127-H5127</f>
        <v>250</v>
      </c>
      <c r="J5127" s="21" t="n">
        <f aca="false">H5127*1000/Parametres!$B$9</f>
        <v>4239.44378497541</v>
      </c>
    </row>
    <row r="5128" customFormat="false" ht="15" hidden="false" customHeight="false" outlineLevel="0" collapsed="false">
      <c r="A5128" s="0" t="n">
        <v>5124</v>
      </c>
      <c r="B5128" s="0" t="n">
        <v>8</v>
      </c>
      <c r="C5128" s="19" t="n">
        <v>1</v>
      </c>
      <c r="D5128" s="19" t="n">
        <v>1</v>
      </c>
      <c r="E5128" s="20" t="n">
        <f aca="false">Parametres!$B$5*C5128</f>
        <v>300</v>
      </c>
      <c r="F5128" s="20" t="n">
        <f aca="false">Parametres!$B$6*D5128</f>
        <v>200</v>
      </c>
      <c r="G5128" s="20" t="n">
        <f aca="false">E5128+F5128</f>
        <v>500</v>
      </c>
      <c r="H5128" s="20" t="n">
        <f aca="false">IF(G5128&lt;Parametres!$B$8*Parametres!$B$7,0,MIN(G5128,Parametres!$B$7))</f>
        <v>250</v>
      </c>
      <c r="I5128" s="20" t="n">
        <f aca="false">G5128-H5128</f>
        <v>250</v>
      </c>
      <c r="J5128" s="21" t="n">
        <f aca="false">H5128*1000/Parametres!$B$9</f>
        <v>4239.44378497541</v>
      </c>
    </row>
    <row r="5129" customFormat="false" ht="15" hidden="false" customHeight="false" outlineLevel="0" collapsed="false">
      <c r="A5129" s="0" t="n">
        <v>5125</v>
      </c>
      <c r="B5129" s="0" t="n">
        <v>8</v>
      </c>
      <c r="C5129" s="19" t="n">
        <v>1</v>
      </c>
      <c r="D5129" s="19" t="n">
        <v>1</v>
      </c>
      <c r="E5129" s="20" t="n">
        <f aca="false">Parametres!$B$5*C5129</f>
        <v>300</v>
      </c>
      <c r="F5129" s="20" t="n">
        <f aca="false">Parametres!$B$6*D5129</f>
        <v>200</v>
      </c>
      <c r="G5129" s="20" t="n">
        <f aca="false">E5129+F5129</f>
        <v>500</v>
      </c>
      <c r="H5129" s="20" t="n">
        <f aca="false">IF(G5129&lt;Parametres!$B$8*Parametres!$B$7,0,MIN(G5129,Parametres!$B$7))</f>
        <v>250</v>
      </c>
      <c r="I5129" s="20" t="n">
        <f aca="false">G5129-H5129</f>
        <v>250</v>
      </c>
      <c r="J5129" s="21" t="n">
        <f aca="false">H5129*1000/Parametres!$B$9</f>
        <v>4239.44378497541</v>
      </c>
    </row>
    <row r="5130" customFormat="false" ht="15" hidden="false" customHeight="false" outlineLevel="0" collapsed="false">
      <c r="A5130" s="0" t="n">
        <v>5126</v>
      </c>
      <c r="B5130" s="0" t="n">
        <v>8</v>
      </c>
      <c r="C5130" s="19" t="n">
        <v>1</v>
      </c>
      <c r="D5130" s="19" t="n">
        <v>1</v>
      </c>
      <c r="E5130" s="20" t="n">
        <f aca="false">Parametres!$B$5*C5130</f>
        <v>300</v>
      </c>
      <c r="F5130" s="20" t="n">
        <f aca="false">Parametres!$B$6*D5130</f>
        <v>200</v>
      </c>
      <c r="G5130" s="20" t="n">
        <f aca="false">E5130+F5130</f>
        <v>500</v>
      </c>
      <c r="H5130" s="20" t="n">
        <f aca="false">IF(G5130&lt;Parametres!$B$8*Parametres!$B$7,0,MIN(G5130,Parametres!$B$7))</f>
        <v>250</v>
      </c>
      <c r="I5130" s="20" t="n">
        <f aca="false">G5130-H5130</f>
        <v>250</v>
      </c>
      <c r="J5130" s="21" t="n">
        <f aca="false">H5130*1000/Parametres!$B$9</f>
        <v>4239.44378497541</v>
      </c>
    </row>
    <row r="5131" customFormat="false" ht="15" hidden="false" customHeight="false" outlineLevel="0" collapsed="false">
      <c r="A5131" s="0" t="n">
        <v>5127</v>
      </c>
      <c r="B5131" s="0" t="n">
        <v>8</v>
      </c>
      <c r="C5131" s="19" t="n">
        <v>0.913</v>
      </c>
      <c r="D5131" s="19" t="n">
        <v>1</v>
      </c>
      <c r="E5131" s="20" t="n">
        <f aca="false">Parametres!$B$5*C5131</f>
        <v>273.9</v>
      </c>
      <c r="F5131" s="20" t="n">
        <f aca="false">Parametres!$B$6*D5131</f>
        <v>200</v>
      </c>
      <c r="G5131" s="20" t="n">
        <f aca="false">E5131+F5131</f>
        <v>473.9</v>
      </c>
      <c r="H5131" s="20" t="n">
        <f aca="false">IF(G5131&lt;Parametres!$B$8*Parametres!$B$7,0,MIN(G5131,Parametres!$B$7))</f>
        <v>250</v>
      </c>
      <c r="I5131" s="20" t="n">
        <f aca="false">G5131-H5131</f>
        <v>223.9</v>
      </c>
      <c r="J5131" s="21" t="n">
        <f aca="false">H5131*1000/Parametres!$B$9</f>
        <v>4239.44378497541</v>
      </c>
    </row>
    <row r="5132" customFormat="false" ht="15" hidden="false" customHeight="false" outlineLevel="0" collapsed="false">
      <c r="A5132" s="0" t="n">
        <v>5128</v>
      </c>
      <c r="B5132" s="0" t="n">
        <v>8</v>
      </c>
      <c r="C5132" s="19" t="n">
        <v>0.6531</v>
      </c>
      <c r="D5132" s="19" t="n">
        <v>1</v>
      </c>
      <c r="E5132" s="20" t="n">
        <f aca="false">Parametres!$B$5*C5132</f>
        <v>195.93</v>
      </c>
      <c r="F5132" s="20" t="n">
        <f aca="false">Parametres!$B$6*D5132</f>
        <v>200</v>
      </c>
      <c r="G5132" s="20" t="n">
        <f aca="false">E5132+F5132</f>
        <v>395.93</v>
      </c>
      <c r="H5132" s="20" t="n">
        <f aca="false">IF(G5132&lt;Parametres!$B$8*Parametres!$B$7,0,MIN(G5132,Parametres!$B$7))</f>
        <v>250</v>
      </c>
      <c r="I5132" s="20" t="n">
        <f aca="false">G5132-H5132</f>
        <v>145.93</v>
      </c>
      <c r="J5132" s="21" t="n">
        <f aca="false">H5132*1000/Parametres!$B$9</f>
        <v>4239.44378497541</v>
      </c>
    </row>
    <row r="5133" customFormat="false" ht="15" hidden="false" customHeight="false" outlineLevel="0" collapsed="false">
      <c r="A5133" s="0" t="n">
        <v>5129</v>
      </c>
      <c r="B5133" s="0" t="n">
        <v>8</v>
      </c>
      <c r="C5133" s="19" t="n">
        <v>0.5009</v>
      </c>
      <c r="D5133" s="19" t="n">
        <v>1</v>
      </c>
      <c r="E5133" s="20" t="n">
        <f aca="false">Parametres!$B$5*C5133</f>
        <v>150.27</v>
      </c>
      <c r="F5133" s="20" t="n">
        <f aca="false">Parametres!$B$6*D5133</f>
        <v>200</v>
      </c>
      <c r="G5133" s="20" t="n">
        <f aca="false">E5133+F5133</f>
        <v>350.27</v>
      </c>
      <c r="H5133" s="20" t="n">
        <f aca="false">IF(G5133&lt;Parametres!$B$8*Parametres!$B$7,0,MIN(G5133,Parametres!$B$7))</f>
        <v>250</v>
      </c>
      <c r="I5133" s="20" t="n">
        <f aca="false">G5133-H5133</f>
        <v>100.27</v>
      </c>
      <c r="J5133" s="21" t="n">
        <f aca="false">H5133*1000/Parametres!$B$9</f>
        <v>4239.44378497541</v>
      </c>
    </row>
    <row r="5134" customFormat="false" ht="15" hidden="false" customHeight="false" outlineLevel="0" collapsed="false">
      <c r="A5134" s="0" t="n">
        <v>5130</v>
      </c>
      <c r="B5134" s="0" t="n">
        <v>8</v>
      </c>
      <c r="C5134" s="19" t="n">
        <v>0.226</v>
      </c>
      <c r="D5134" s="19" t="n">
        <v>1</v>
      </c>
      <c r="E5134" s="20" t="n">
        <f aca="false">Parametres!$B$5*C5134</f>
        <v>67.8</v>
      </c>
      <c r="F5134" s="20" t="n">
        <f aca="false">Parametres!$B$6*D5134</f>
        <v>200</v>
      </c>
      <c r="G5134" s="20" t="n">
        <f aca="false">E5134+F5134</f>
        <v>267.8</v>
      </c>
      <c r="H5134" s="20" t="n">
        <f aca="false">IF(G5134&lt;Parametres!$B$8*Parametres!$B$7,0,MIN(G5134,Parametres!$B$7))</f>
        <v>250</v>
      </c>
      <c r="I5134" s="20" t="n">
        <f aca="false">G5134-H5134</f>
        <v>17.8</v>
      </c>
      <c r="J5134" s="21" t="n">
        <f aca="false">H5134*1000/Parametres!$B$9</f>
        <v>4239.44378497541</v>
      </c>
    </row>
    <row r="5135" customFormat="false" ht="15" hidden="false" customHeight="false" outlineLevel="0" collapsed="false">
      <c r="A5135" s="0" t="n">
        <v>5131</v>
      </c>
      <c r="B5135" s="0" t="n">
        <v>8</v>
      </c>
      <c r="C5135" s="19" t="n">
        <v>0.0254</v>
      </c>
      <c r="D5135" s="19" t="n">
        <v>1</v>
      </c>
      <c r="E5135" s="20" t="n">
        <f aca="false">Parametres!$B$5*C5135</f>
        <v>7.62</v>
      </c>
      <c r="F5135" s="20" t="n">
        <f aca="false">Parametres!$B$6*D5135</f>
        <v>200</v>
      </c>
      <c r="G5135" s="20" t="n">
        <f aca="false">E5135+F5135</f>
        <v>207.62</v>
      </c>
      <c r="H5135" s="20" t="n">
        <f aca="false">IF(G5135&lt;Parametres!$B$8*Parametres!$B$7,0,MIN(G5135,Parametres!$B$7))</f>
        <v>207.62</v>
      </c>
      <c r="I5135" s="20" t="n">
        <f aca="false">G5135-H5135</f>
        <v>0</v>
      </c>
      <c r="J5135" s="21" t="n">
        <f aca="false">H5135*1000/Parametres!$B$9</f>
        <v>3520.77327454638</v>
      </c>
    </row>
    <row r="5136" customFormat="false" ht="15" hidden="false" customHeight="false" outlineLevel="0" collapsed="false">
      <c r="A5136" s="0" t="n">
        <v>5132</v>
      </c>
      <c r="B5136" s="0" t="n">
        <v>8</v>
      </c>
      <c r="C5136" s="19" t="n">
        <v>0</v>
      </c>
      <c r="D5136" s="19" t="n">
        <v>1</v>
      </c>
      <c r="E5136" s="20" t="n">
        <f aca="false">Parametres!$B$5*C5136</f>
        <v>0</v>
      </c>
      <c r="F5136" s="20" t="n">
        <f aca="false">Parametres!$B$6*D5136</f>
        <v>200</v>
      </c>
      <c r="G5136" s="20" t="n">
        <f aca="false">E5136+F5136</f>
        <v>200</v>
      </c>
      <c r="H5136" s="20" t="n">
        <f aca="false">IF(G5136&lt;Parametres!$B$8*Parametres!$B$7,0,MIN(G5136,Parametres!$B$7))</f>
        <v>200</v>
      </c>
      <c r="I5136" s="20" t="n">
        <f aca="false">G5136-H5136</f>
        <v>0</v>
      </c>
      <c r="J5136" s="21" t="n">
        <f aca="false">H5136*1000/Parametres!$B$9</f>
        <v>3391.55502798033</v>
      </c>
    </row>
    <row r="5137" customFormat="false" ht="15" hidden="false" customHeight="false" outlineLevel="0" collapsed="false">
      <c r="A5137" s="0" t="n">
        <v>5133</v>
      </c>
      <c r="B5137" s="0" t="n">
        <v>8</v>
      </c>
      <c r="C5137" s="19" t="n">
        <v>0</v>
      </c>
      <c r="D5137" s="19" t="n">
        <v>1</v>
      </c>
      <c r="E5137" s="20" t="n">
        <f aca="false">Parametres!$B$5*C5137</f>
        <v>0</v>
      </c>
      <c r="F5137" s="20" t="n">
        <f aca="false">Parametres!$B$6*D5137</f>
        <v>200</v>
      </c>
      <c r="G5137" s="20" t="n">
        <f aca="false">E5137+F5137</f>
        <v>200</v>
      </c>
      <c r="H5137" s="20" t="n">
        <f aca="false">IF(G5137&lt;Parametres!$B$8*Parametres!$B$7,0,MIN(G5137,Parametres!$B$7))</f>
        <v>200</v>
      </c>
      <c r="I5137" s="20" t="n">
        <f aca="false">G5137-H5137</f>
        <v>0</v>
      </c>
      <c r="J5137" s="21" t="n">
        <f aca="false">H5137*1000/Parametres!$B$9</f>
        <v>3391.55502798033</v>
      </c>
    </row>
    <row r="5138" customFormat="false" ht="15" hidden="false" customHeight="false" outlineLevel="0" collapsed="false">
      <c r="A5138" s="0" t="n">
        <v>5134</v>
      </c>
      <c r="B5138" s="0" t="n">
        <v>8</v>
      </c>
      <c r="C5138" s="19" t="n">
        <v>0</v>
      </c>
      <c r="D5138" s="19" t="n">
        <v>1</v>
      </c>
      <c r="E5138" s="20" t="n">
        <f aca="false">Parametres!$B$5*C5138</f>
        <v>0</v>
      </c>
      <c r="F5138" s="20" t="n">
        <f aca="false">Parametres!$B$6*D5138</f>
        <v>200</v>
      </c>
      <c r="G5138" s="20" t="n">
        <f aca="false">E5138+F5138</f>
        <v>200</v>
      </c>
      <c r="H5138" s="20" t="n">
        <f aca="false">IF(G5138&lt;Parametres!$B$8*Parametres!$B$7,0,MIN(G5138,Parametres!$B$7))</f>
        <v>200</v>
      </c>
      <c r="I5138" s="20" t="n">
        <f aca="false">G5138-H5138</f>
        <v>0</v>
      </c>
      <c r="J5138" s="21" t="n">
        <f aca="false">H5138*1000/Parametres!$B$9</f>
        <v>3391.55502798033</v>
      </c>
    </row>
    <row r="5139" customFormat="false" ht="15" hidden="false" customHeight="false" outlineLevel="0" collapsed="false">
      <c r="A5139" s="0" t="n">
        <v>5135</v>
      </c>
      <c r="B5139" s="0" t="n">
        <v>8</v>
      </c>
      <c r="C5139" s="19" t="n">
        <v>0</v>
      </c>
      <c r="D5139" s="19" t="n">
        <v>1</v>
      </c>
      <c r="E5139" s="20" t="n">
        <f aca="false">Parametres!$B$5*C5139</f>
        <v>0</v>
      </c>
      <c r="F5139" s="20" t="n">
        <f aca="false">Parametres!$B$6*D5139</f>
        <v>200</v>
      </c>
      <c r="G5139" s="20" t="n">
        <f aca="false">E5139+F5139</f>
        <v>200</v>
      </c>
      <c r="H5139" s="20" t="n">
        <f aca="false">IF(G5139&lt;Parametres!$B$8*Parametres!$B$7,0,MIN(G5139,Parametres!$B$7))</f>
        <v>200</v>
      </c>
      <c r="I5139" s="20" t="n">
        <f aca="false">G5139-H5139</f>
        <v>0</v>
      </c>
      <c r="J5139" s="21" t="n">
        <f aca="false">H5139*1000/Parametres!$B$9</f>
        <v>3391.55502798033</v>
      </c>
    </row>
    <row r="5140" customFormat="false" ht="15" hidden="false" customHeight="false" outlineLevel="0" collapsed="false">
      <c r="A5140" s="0" t="n">
        <v>5136</v>
      </c>
      <c r="B5140" s="0" t="n">
        <v>8</v>
      </c>
      <c r="C5140" s="19" t="n">
        <v>0</v>
      </c>
      <c r="D5140" s="19" t="n">
        <v>1</v>
      </c>
      <c r="E5140" s="20" t="n">
        <f aca="false">Parametres!$B$5*C5140</f>
        <v>0</v>
      </c>
      <c r="F5140" s="20" t="n">
        <f aca="false">Parametres!$B$6*D5140</f>
        <v>200</v>
      </c>
      <c r="G5140" s="20" t="n">
        <f aca="false">E5140+F5140</f>
        <v>200</v>
      </c>
      <c r="H5140" s="20" t="n">
        <f aca="false">IF(G5140&lt;Parametres!$B$8*Parametres!$B$7,0,MIN(G5140,Parametres!$B$7))</f>
        <v>200</v>
      </c>
      <c r="I5140" s="20" t="n">
        <f aca="false">G5140-H5140</f>
        <v>0</v>
      </c>
      <c r="J5140" s="21" t="n">
        <f aca="false">H5140*1000/Parametres!$B$9</f>
        <v>3391.55502798033</v>
      </c>
    </row>
    <row r="5141" customFormat="false" ht="15" hidden="false" customHeight="false" outlineLevel="0" collapsed="false">
      <c r="A5141" s="0" t="n">
        <v>5137</v>
      </c>
      <c r="B5141" s="0" t="n">
        <v>8</v>
      </c>
      <c r="C5141" s="19" t="n">
        <v>0</v>
      </c>
      <c r="D5141" s="19" t="n">
        <v>1</v>
      </c>
      <c r="E5141" s="20" t="n">
        <f aca="false">Parametres!$B$5*C5141</f>
        <v>0</v>
      </c>
      <c r="F5141" s="20" t="n">
        <f aca="false">Parametres!$B$6*D5141</f>
        <v>200</v>
      </c>
      <c r="G5141" s="20" t="n">
        <f aca="false">E5141+F5141</f>
        <v>200</v>
      </c>
      <c r="H5141" s="20" t="n">
        <f aca="false">IF(G5141&lt;Parametres!$B$8*Parametres!$B$7,0,MIN(G5141,Parametres!$B$7))</f>
        <v>200</v>
      </c>
      <c r="I5141" s="20" t="n">
        <f aca="false">G5141-H5141</f>
        <v>0</v>
      </c>
      <c r="J5141" s="21" t="n">
        <f aca="false">H5141*1000/Parametres!$B$9</f>
        <v>3391.55502798033</v>
      </c>
    </row>
    <row r="5142" customFormat="false" ht="15" hidden="false" customHeight="false" outlineLevel="0" collapsed="false">
      <c r="A5142" s="0" t="n">
        <v>5138</v>
      </c>
      <c r="B5142" s="0" t="n">
        <v>8</v>
      </c>
      <c r="C5142" s="19" t="n">
        <v>0</v>
      </c>
      <c r="D5142" s="19" t="n">
        <v>1</v>
      </c>
      <c r="E5142" s="20" t="n">
        <f aca="false">Parametres!$B$5*C5142</f>
        <v>0</v>
      </c>
      <c r="F5142" s="20" t="n">
        <f aca="false">Parametres!$B$6*D5142</f>
        <v>200</v>
      </c>
      <c r="G5142" s="20" t="n">
        <f aca="false">E5142+F5142</f>
        <v>200</v>
      </c>
      <c r="H5142" s="20" t="n">
        <f aca="false">IF(G5142&lt;Parametres!$B$8*Parametres!$B$7,0,MIN(G5142,Parametres!$B$7))</f>
        <v>200</v>
      </c>
      <c r="I5142" s="20" t="n">
        <f aca="false">G5142-H5142</f>
        <v>0</v>
      </c>
      <c r="J5142" s="21" t="n">
        <f aca="false">H5142*1000/Parametres!$B$9</f>
        <v>3391.55502798033</v>
      </c>
    </row>
    <row r="5143" customFormat="false" ht="15" hidden="false" customHeight="false" outlineLevel="0" collapsed="false">
      <c r="A5143" s="0" t="n">
        <v>5139</v>
      </c>
      <c r="B5143" s="0" t="n">
        <v>8</v>
      </c>
      <c r="C5143" s="19" t="n">
        <v>0</v>
      </c>
      <c r="D5143" s="19" t="n">
        <v>1</v>
      </c>
      <c r="E5143" s="20" t="n">
        <f aca="false">Parametres!$B$5*C5143</f>
        <v>0</v>
      </c>
      <c r="F5143" s="20" t="n">
        <f aca="false">Parametres!$B$6*D5143</f>
        <v>200</v>
      </c>
      <c r="G5143" s="20" t="n">
        <f aca="false">E5143+F5143</f>
        <v>200</v>
      </c>
      <c r="H5143" s="20" t="n">
        <f aca="false">IF(G5143&lt;Parametres!$B$8*Parametres!$B$7,0,MIN(G5143,Parametres!$B$7))</f>
        <v>200</v>
      </c>
      <c r="I5143" s="20" t="n">
        <f aca="false">G5143-H5143</f>
        <v>0</v>
      </c>
      <c r="J5143" s="21" t="n">
        <f aca="false">H5143*1000/Parametres!$B$9</f>
        <v>3391.55502798033</v>
      </c>
    </row>
    <row r="5144" customFormat="false" ht="15" hidden="false" customHeight="false" outlineLevel="0" collapsed="false">
      <c r="A5144" s="0" t="n">
        <v>5140</v>
      </c>
      <c r="B5144" s="0" t="n">
        <v>8</v>
      </c>
      <c r="C5144" s="19" t="n">
        <v>0</v>
      </c>
      <c r="D5144" s="19" t="n">
        <v>1</v>
      </c>
      <c r="E5144" s="20" t="n">
        <f aca="false">Parametres!$B$5*C5144</f>
        <v>0</v>
      </c>
      <c r="F5144" s="20" t="n">
        <f aca="false">Parametres!$B$6*D5144</f>
        <v>200</v>
      </c>
      <c r="G5144" s="20" t="n">
        <f aca="false">E5144+F5144</f>
        <v>200</v>
      </c>
      <c r="H5144" s="20" t="n">
        <f aca="false">IF(G5144&lt;Parametres!$B$8*Parametres!$B$7,0,MIN(G5144,Parametres!$B$7))</f>
        <v>200</v>
      </c>
      <c r="I5144" s="20" t="n">
        <f aca="false">G5144-H5144</f>
        <v>0</v>
      </c>
      <c r="J5144" s="21" t="n">
        <f aca="false">H5144*1000/Parametres!$B$9</f>
        <v>3391.55502798033</v>
      </c>
    </row>
    <row r="5145" customFormat="false" ht="15" hidden="false" customHeight="false" outlineLevel="0" collapsed="false">
      <c r="A5145" s="0" t="n">
        <v>5141</v>
      </c>
      <c r="B5145" s="0" t="n">
        <v>8</v>
      </c>
      <c r="C5145" s="19" t="n">
        <v>0</v>
      </c>
      <c r="D5145" s="19" t="n">
        <v>1</v>
      </c>
      <c r="E5145" s="20" t="n">
        <f aca="false">Parametres!$B$5*C5145</f>
        <v>0</v>
      </c>
      <c r="F5145" s="20" t="n">
        <f aca="false">Parametres!$B$6*D5145</f>
        <v>200</v>
      </c>
      <c r="G5145" s="20" t="n">
        <f aca="false">E5145+F5145</f>
        <v>200</v>
      </c>
      <c r="H5145" s="20" t="n">
        <f aca="false">IF(G5145&lt;Parametres!$B$8*Parametres!$B$7,0,MIN(G5145,Parametres!$B$7))</f>
        <v>200</v>
      </c>
      <c r="I5145" s="20" t="n">
        <f aca="false">G5145-H5145</f>
        <v>0</v>
      </c>
      <c r="J5145" s="21" t="n">
        <f aca="false">H5145*1000/Parametres!$B$9</f>
        <v>3391.55502798033</v>
      </c>
    </row>
    <row r="5146" customFormat="false" ht="15" hidden="false" customHeight="false" outlineLevel="0" collapsed="false">
      <c r="A5146" s="0" t="n">
        <v>5142</v>
      </c>
      <c r="B5146" s="0" t="n">
        <v>8</v>
      </c>
      <c r="C5146" s="19" t="n">
        <v>0.0247</v>
      </c>
      <c r="D5146" s="19" t="n">
        <v>1</v>
      </c>
      <c r="E5146" s="20" t="n">
        <f aca="false">Parametres!$B$5*C5146</f>
        <v>7.41</v>
      </c>
      <c r="F5146" s="20" t="n">
        <f aca="false">Parametres!$B$6*D5146</f>
        <v>200</v>
      </c>
      <c r="G5146" s="20" t="n">
        <f aca="false">E5146+F5146</f>
        <v>207.41</v>
      </c>
      <c r="H5146" s="20" t="n">
        <f aca="false">IF(G5146&lt;Parametres!$B$8*Parametres!$B$7,0,MIN(G5146,Parametres!$B$7))</f>
        <v>207.41</v>
      </c>
      <c r="I5146" s="20" t="n">
        <f aca="false">G5146-H5146</f>
        <v>0</v>
      </c>
      <c r="J5146" s="21" t="n">
        <f aca="false">H5146*1000/Parametres!$B$9</f>
        <v>3517.212141767</v>
      </c>
    </row>
    <row r="5147" customFormat="false" ht="15" hidden="false" customHeight="false" outlineLevel="0" collapsed="false">
      <c r="A5147" s="0" t="n">
        <v>5143</v>
      </c>
      <c r="B5147" s="0" t="n">
        <v>8</v>
      </c>
      <c r="C5147" s="19" t="n">
        <v>0.2404</v>
      </c>
      <c r="D5147" s="19" t="n">
        <v>1</v>
      </c>
      <c r="E5147" s="20" t="n">
        <f aca="false">Parametres!$B$5*C5147</f>
        <v>72.12</v>
      </c>
      <c r="F5147" s="20" t="n">
        <f aca="false">Parametres!$B$6*D5147</f>
        <v>200</v>
      </c>
      <c r="G5147" s="20" t="n">
        <f aca="false">E5147+F5147</f>
        <v>272.12</v>
      </c>
      <c r="H5147" s="20" t="n">
        <f aca="false">IF(G5147&lt;Parametres!$B$8*Parametres!$B$7,0,MIN(G5147,Parametres!$B$7))</f>
        <v>250</v>
      </c>
      <c r="I5147" s="20" t="n">
        <f aca="false">G5147-H5147</f>
        <v>22.12</v>
      </c>
      <c r="J5147" s="21" t="n">
        <f aca="false">H5147*1000/Parametres!$B$9</f>
        <v>4239.44378497541</v>
      </c>
    </row>
    <row r="5148" customFormat="false" ht="15" hidden="false" customHeight="false" outlineLevel="0" collapsed="false">
      <c r="A5148" s="0" t="n">
        <v>5144</v>
      </c>
      <c r="B5148" s="0" t="n">
        <v>8</v>
      </c>
      <c r="C5148" s="19" t="n">
        <v>0.5212</v>
      </c>
      <c r="D5148" s="19" t="n">
        <v>1</v>
      </c>
      <c r="E5148" s="20" t="n">
        <f aca="false">Parametres!$B$5*C5148</f>
        <v>156.36</v>
      </c>
      <c r="F5148" s="20" t="n">
        <f aca="false">Parametres!$B$6*D5148</f>
        <v>200</v>
      </c>
      <c r="G5148" s="20" t="n">
        <f aca="false">E5148+F5148</f>
        <v>356.36</v>
      </c>
      <c r="H5148" s="20" t="n">
        <f aca="false">IF(G5148&lt;Parametres!$B$8*Parametres!$B$7,0,MIN(G5148,Parametres!$B$7))</f>
        <v>250</v>
      </c>
      <c r="I5148" s="20" t="n">
        <f aca="false">G5148-H5148</f>
        <v>106.36</v>
      </c>
      <c r="J5148" s="21" t="n">
        <f aca="false">H5148*1000/Parametres!$B$9</f>
        <v>4239.44378497541</v>
      </c>
    </row>
    <row r="5149" customFormat="false" ht="15" hidden="false" customHeight="false" outlineLevel="0" collapsed="false">
      <c r="A5149" s="0" t="n">
        <v>5145</v>
      </c>
      <c r="B5149" s="0" t="n">
        <v>8</v>
      </c>
      <c r="C5149" s="19" t="n">
        <v>0.7244</v>
      </c>
      <c r="D5149" s="19" t="n">
        <v>1</v>
      </c>
      <c r="E5149" s="20" t="n">
        <f aca="false">Parametres!$B$5*C5149</f>
        <v>217.32</v>
      </c>
      <c r="F5149" s="20" t="n">
        <f aca="false">Parametres!$B$6*D5149</f>
        <v>200</v>
      </c>
      <c r="G5149" s="20" t="n">
        <f aca="false">E5149+F5149</f>
        <v>417.32</v>
      </c>
      <c r="H5149" s="20" t="n">
        <f aca="false">IF(G5149&lt;Parametres!$B$8*Parametres!$B$7,0,MIN(G5149,Parametres!$B$7))</f>
        <v>250</v>
      </c>
      <c r="I5149" s="20" t="n">
        <f aca="false">G5149-H5149</f>
        <v>167.32</v>
      </c>
      <c r="J5149" s="21" t="n">
        <f aca="false">H5149*1000/Parametres!$B$9</f>
        <v>4239.44378497541</v>
      </c>
    </row>
    <row r="5150" customFormat="false" ht="15" hidden="false" customHeight="false" outlineLevel="0" collapsed="false">
      <c r="A5150" s="0" t="n">
        <v>5146</v>
      </c>
      <c r="B5150" s="0" t="n">
        <v>8</v>
      </c>
      <c r="C5150" s="19" t="n">
        <v>0.9424</v>
      </c>
      <c r="D5150" s="19" t="n">
        <v>1</v>
      </c>
      <c r="E5150" s="20" t="n">
        <f aca="false">Parametres!$B$5*C5150</f>
        <v>282.72</v>
      </c>
      <c r="F5150" s="20" t="n">
        <f aca="false">Parametres!$B$6*D5150</f>
        <v>200</v>
      </c>
      <c r="G5150" s="20" t="n">
        <f aca="false">E5150+F5150</f>
        <v>482.72</v>
      </c>
      <c r="H5150" s="20" t="n">
        <f aca="false">IF(G5150&lt;Parametres!$B$8*Parametres!$B$7,0,MIN(G5150,Parametres!$B$7))</f>
        <v>250</v>
      </c>
      <c r="I5150" s="20" t="n">
        <f aca="false">G5150-H5150</f>
        <v>232.72</v>
      </c>
      <c r="J5150" s="21" t="n">
        <f aca="false">H5150*1000/Parametres!$B$9</f>
        <v>4239.44378497541</v>
      </c>
    </row>
    <row r="5151" customFormat="false" ht="15" hidden="false" customHeight="false" outlineLevel="0" collapsed="false">
      <c r="A5151" s="0" t="n">
        <v>5147</v>
      </c>
      <c r="B5151" s="0" t="n">
        <v>8</v>
      </c>
      <c r="C5151" s="19" t="n">
        <v>1</v>
      </c>
      <c r="D5151" s="19" t="n">
        <v>1</v>
      </c>
      <c r="E5151" s="20" t="n">
        <f aca="false">Parametres!$B$5*C5151</f>
        <v>300</v>
      </c>
      <c r="F5151" s="20" t="n">
        <f aca="false">Parametres!$B$6*D5151</f>
        <v>200</v>
      </c>
      <c r="G5151" s="20" t="n">
        <f aca="false">E5151+F5151</f>
        <v>500</v>
      </c>
      <c r="H5151" s="20" t="n">
        <f aca="false">IF(G5151&lt;Parametres!$B$8*Parametres!$B$7,0,MIN(G5151,Parametres!$B$7))</f>
        <v>250</v>
      </c>
      <c r="I5151" s="20" t="n">
        <f aca="false">G5151-H5151</f>
        <v>250</v>
      </c>
      <c r="J5151" s="21" t="n">
        <f aca="false">H5151*1000/Parametres!$B$9</f>
        <v>4239.44378497541</v>
      </c>
    </row>
    <row r="5152" customFormat="false" ht="15" hidden="false" customHeight="false" outlineLevel="0" collapsed="false">
      <c r="A5152" s="0" t="n">
        <v>5148</v>
      </c>
      <c r="B5152" s="0" t="n">
        <v>8</v>
      </c>
      <c r="C5152" s="19" t="n">
        <v>1</v>
      </c>
      <c r="D5152" s="19" t="n">
        <v>1</v>
      </c>
      <c r="E5152" s="20" t="n">
        <f aca="false">Parametres!$B$5*C5152</f>
        <v>300</v>
      </c>
      <c r="F5152" s="20" t="n">
        <f aca="false">Parametres!$B$6*D5152</f>
        <v>200</v>
      </c>
      <c r="G5152" s="20" t="n">
        <f aca="false">E5152+F5152</f>
        <v>500</v>
      </c>
      <c r="H5152" s="20" t="n">
        <f aca="false">IF(G5152&lt;Parametres!$B$8*Parametres!$B$7,0,MIN(G5152,Parametres!$B$7))</f>
        <v>250</v>
      </c>
      <c r="I5152" s="20" t="n">
        <f aca="false">G5152-H5152</f>
        <v>250</v>
      </c>
      <c r="J5152" s="21" t="n">
        <f aca="false">H5152*1000/Parametres!$B$9</f>
        <v>4239.44378497541</v>
      </c>
    </row>
    <row r="5153" customFormat="false" ht="15" hidden="false" customHeight="false" outlineLevel="0" collapsed="false">
      <c r="A5153" s="0" t="n">
        <v>5149</v>
      </c>
      <c r="B5153" s="0" t="n">
        <v>8</v>
      </c>
      <c r="C5153" s="19" t="n">
        <v>1</v>
      </c>
      <c r="D5153" s="19" t="n">
        <v>1</v>
      </c>
      <c r="E5153" s="20" t="n">
        <f aca="false">Parametres!$B$5*C5153</f>
        <v>300</v>
      </c>
      <c r="F5153" s="20" t="n">
        <f aca="false">Parametres!$B$6*D5153</f>
        <v>200</v>
      </c>
      <c r="G5153" s="20" t="n">
        <f aca="false">E5153+F5153</f>
        <v>500</v>
      </c>
      <c r="H5153" s="20" t="n">
        <f aca="false">IF(G5153&lt;Parametres!$B$8*Parametres!$B$7,0,MIN(G5153,Parametres!$B$7))</f>
        <v>250</v>
      </c>
      <c r="I5153" s="20" t="n">
        <f aca="false">G5153-H5153</f>
        <v>250</v>
      </c>
      <c r="J5153" s="21" t="n">
        <f aca="false">H5153*1000/Parametres!$B$9</f>
        <v>4239.44378497541</v>
      </c>
    </row>
    <row r="5154" customFormat="false" ht="15" hidden="false" customHeight="false" outlineLevel="0" collapsed="false">
      <c r="A5154" s="0" t="n">
        <v>5150</v>
      </c>
      <c r="B5154" s="0" t="n">
        <v>8</v>
      </c>
      <c r="C5154" s="19" t="n">
        <v>1</v>
      </c>
      <c r="D5154" s="19" t="n">
        <v>1</v>
      </c>
      <c r="E5154" s="20" t="n">
        <f aca="false">Parametres!$B$5*C5154</f>
        <v>300</v>
      </c>
      <c r="F5154" s="20" t="n">
        <f aca="false">Parametres!$B$6*D5154</f>
        <v>200</v>
      </c>
      <c r="G5154" s="20" t="n">
        <f aca="false">E5154+F5154</f>
        <v>500</v>
      </c>
      <c r="H5154" s="20" t="n">
        <f aca="false">IF(G5154&lt;Parametres!$B$8*Parametres!$B$7,0,MIN(G5154,Parametres!$B$7))</f>
        <v>250</v>
      </c>
      <c r="I5154" s="20" t="n">
        <f aca="false">G5154-H5154</f>
        <v>250</v>
      </c>
      <c r="J5154" s="21" t="n">
        <f aca="false">H5154*1000/Parametres!$B$9</f>
        <v>4239.44378497541</v>
      </c>
    </row>
    <row r="5155" customFormat="false" ht="15" hidden="false" customHeight="false" outlineLevel="0" collapsed="false">
      <c r="A5155" s="0" t="n">
        <v>5151</v>
      </c>
      <c r="B5155" s="0" t="n">
        <v>8</v>
      </c>
      <c r="C5155" s="19" t="n">
        <v>0.9493</v>
      </c>
      <c r="D5155" s="19" t="n">
        <v>1</v>
      </c>
      <c r="E5155" s="20" t="n">
        <f aca="false">Parametres!$B$5*C5155</f>
        <v>284.79</v>
      </c>
      <c r="F5155" s="20" t="n">
        <f aca="false">Parametres!$B$6*D5155</f>
        <v>200</v>
      </c>
      <c r="G5155" s="20" t="n">
        <f aca="false">E5155+F5155</f>
        <v>484.79</v>
      </c>
      <c r="H5155" s="20" t="n">
        <f aca="false">IF(G5155&lt;Parametres!$B$8*Parametres!$B$7,0,MIN(G5155,Parametres!$B$7))</f>
        <v>250</v>
      </c>
      <c r="I5155" s="20" t="n">
        <f aca="false">G5155-H5155</f>
        <v>234.79</v>
      </c>
      <c r="J5155" s="21" t="n">
        <f aca="false">H5155*1000/Parametres!$B$9</f>
        <v>4239.44378497541</v>
      </c>
    </row>
    <row r="5156" customFormat="false" ht="15" hidden="false" customHeight="false" outlineLevel="0" collapsed="false">
      <c r="A5156" s="0" t="n">
        <v>5152</v>
      </c>
      <c r="B5156" s="0" t="n">
        <v>8</v>
      </c>
      <c r="C5156" s="19" t="n">
        <v>0.736</v>
      </c>
      <c r="D5156" s="19" t="n">
        <v>1</v>
      </c>
      <c r="E5156" s="20" t="n">
        <f aca="false">Parametres!$B$5*C5156</f>
        <v>220.8</v>
      </c>
      <c r="F5156" s="20" t="n">
        <f aca="false">Parametres!$B$6*D5156</f>
        <v>200</v>
      </c>
      <c r="G5156" s="20" t="n">
        <f aca="false">E5156+F5156</f>
        <v>420.8</v>
      </c>
      <c r="H5156" s="20" t="n">
        <f aca="false">IF(G5156&lt;Parametres!$B$8*Parametres!$B$7,0,MIN(G5156,Parametres!$B$7))</f>
        <v>250</v>
      </c>
      <c r="I5156" s="20" t="n">
        <f aca="false">G5156-H5156</f>
        <v>170.8</v>
      </c>
      <c r="J5156" s="21" t="n">
        <f aca="false">H5156*1000/Parametres!$B$9</f>
        <v>4239.44378497541</v>
      </c>
    </row>
    <row r="5157" customFormat="false" ht="15" hidden="false" customHeight="false" outlineLevel="0" collapsed="false">
      <c r="A5157" s="0" t="n">
        <v>5153</v>
      </c>
      <c r="B5157" s="0" t="n">
        <v>8</v>
      </c>
      <c r="C5157" s="19" t="n">
        <v>0.4911</v>
      </c>
      <c r="D5157" s="19" t="n">
        <v>1</v>
      </c>
      <c r="E5157" s="20" t="n">
        <f aca="false">Parametres!$B$5*C5157</f>
        <v>147.33</v>
      </c>
      <c r="F5157" s="20" t="n">
        <f aca="false">Parametres!$B$6*D5157</f>
        <v>200</v>
      </c>
      <c r="G5157" s="20" t="n">
        <f aca="false">E5157+F5157</f>
        <v>347.33</v>
      </c>
      <c r="H5157" s="20" t="n">
        <f aca="false">IF(G5157&lt;Parametres!$B$8*Parametres!$B$7,0,MIN(G5157,Parametres!$B$7))</f>
        <v>250</v>
      </c>
      <c r="I5157" s="20" t="n">
        <f aca="false">G5157-H5157</f>
        <v>97.33</v>
      </c>
      <c r="J5157" s="21" t="n">
        <f aca="false">H5157*1000/Parametres!$B$9</f>
        <v>4239.44378497541</v>
      </c>
    </row>
    <row r="5158" customFormat="false" ht="15" hidden="false" customHeight="false" outlineLevel="0" collapsed="false">
      <c r="A5158" s="0" t="n">
        <v>5154</v>
      </c>
      <c r="B5158" s="0" t="n">
        <v>8</v>
      </c>
      <c r="C5158" s="19" t="n">
        <v>0.2568</v>
      </c>
      <c r="D5158" s="19" t="n">
        <v>1</v>
      </c>
      <c r="E5158" s="20" t="n">
        <f aca="false">Parametres!$B$5*C5158</f>
        <v>77.04</v>
      </c>
      <c r="F5158" s="20" t="n">
        <f aca="false">Parametres!$B$6*D5158</f>
        <v>200</v>
      </c>
      <c r="G5158" s="20" t="n">
        <f aca="false">E5158+F5158</f>
        <v>277.04</v>
      </c>
      <c r="H5158" s="20" t="n">
        <f aca="false">IF(G5158&lt;Parametres!$B$8*Parametres!$B$7,0,MIN(G5158,Parametres!$B$7))</f>
        <v>250</v>
      </c>
      <c r="I5158" s="20" t="n">
        <f aca="false">G5158-H5158</f>
        <v>27.04</v>
      </c>
      <c r="J5158" s="21" t="n">
        <f aca="false">H5158*1000/Parametres!$B$9</f>
        <v>4239.44378497541</v>
      </c>
    </row>
    <row r="5159" customFormat="false" ht="15" hidden="false" customHeight="false" outlineLevel="0" collapsed="false">
      <c r="A5159" s="0" t="n">
        <v>5155</v>
      </c>
      <c r="B5159" s="0" t="n">
        <v>8</v>
      </c>
      <c r="C5159" s="19" t="n">
        <v>0.0244</v>
      </c>
      <c r="D5159" s="19" t="n">
        <v>1</v>
      </c>
      <c r="E5159" s="20" t="n">
        <f aca="false">Parametres!$B$5*C5159</f>
        <v>7.32</v>
      </c>
      <c r="F5159" s="20" t="n">
        <f aca="false">Parametres!$B$6*D5159</f>
        <v>200</v>
      </c>
      <c r="G5159" s="20" t="n">
        <f aca="false">E5159+F5159</f>
        <v>207.32</v>
      </c>
      <c r="H5159" s="20" t="n">
        <f aca="false">IF(G5159&lt;Parametres!$B$8*Parametres!$B$7,0,MIN(G5159,Parametres!$B$7))</f>
        <v>207.32</v>
      </c>
      <c r="I5159" s="20" t="n">
        <f aca="false">G5159-H5159</f>
        <v>0</v>
      </c>
      <c r="J5159" s="21" t="n">
        <f aca="false">H5159*1000/Parametres!$B$9</f>
        <v>3515.68594200441</v>
      </c>
    </row>
    <row r="5160" customFormat="false" ht="15" hidden="false" customHeight="false" outlineLevel="0" collapsed="false">
      <c r="A5160" s="0" t="n">
        <v>5156</v>
      </c>
      <c r="B5160" s="0" t="n">
        <v>8</v>
      </c>
      <c r="C5160" s="19" t="n">
        <v>0</v>
      </c>
      <c r="D5160" s="19" t="n">
        <v>1</v>
      </c>
      <c r="E5160" s="20" t="n">
        <f aca="false">Parametres!$B$5*C5160</f>
        <v>0</v>
      </c>
      <c r="F5160" s="20" t="n">
        <f aca="false">Parametres!$B$6*D5160</f>
        <v>200</v>
      </c>
      <c r="G5160" s="20" t="n">
        <f aca="false">E5160+F5160</f>
        <v>200</v>
      </c>
      <c r="H5160" s="20" t="n">
        <f aca="false">IF(G5160&lt;Parametres!$B$8*Parametres!$B$7,0,MIN(G5160,Parametres!$B$7))</f>
        <v>200</v>
      </c>
      <c r="I5160" s="20" t="n">
        <f aca="false">G5160-H5160</f>
        <v>0</v>
      </c>
      <c r="J5160" s="21" t="n">
        <f aca="false">H5160*1000/Parametres!$B$9</f>
        <v>3391.55502798033</v>
      </c>
    </row>
    <row r="5161" customFormat="false" ht="15" hidden="false" customHeight="false" outlineLevel="0" collapsed="false">
      <c r="A5161" s="0" t="n">
        <v>5157</v>
      </c>
      <c r="B5161" s="0" t="n">
        <v>8</v>
      </c>
      <c r="C5161" s="19" t="n">
        <v>0</v>
      </c>
      <c r="D5161" s="19" t="n">
        <v>1</v>
      </c>
      <c r="E5161" s="20" t="n">
        <f aca="false">Parametres!$B$5*C5161</f>
        <v>0</v>
      </c>
      <c r="F5161" s="20" t="n">
        <f aca="false">Parametres!$B$6*D5161</f>
        <v>200</v>
      </c>
      <c r="G5161" s="20" t="n">
        <f aca="false">E5161+F5161</f>
        <v>200</v>
      </c>
      <c r="H5161" s="20" t="n">
        <f aca="false">IF(G5161&lt;Parametres!$B$8*Parametres!$B$7,0,MIN(G5161,Parametres!$B$7))</f>
        <v>200</v>
      </c>
      <c r="I5161" s="20" t="n">
        <f aca="false">G5161-H5161</f>
        <v>0</v>
      </c>
      <c r="J5161" s="21" t="n">
        <f aca="false">H5161*1000/Parametres!$B$9</f>
        <v>3391.55502798033</v>
      </c>
    </row>
    <row r="5162" customFormat="false" ht="15" hidden="false" customHeight="false" outlineLevel="0" collapsed="false">
      <c r="A5162" s="0" t="n">
        <v>5158</v>
      </c>
      <c r="B5162" s="0" t="n">
        <v>8</v>
      </c>
      <c r="C5162" s="19" t="n">
        <v>0</v>
      </c>
      <c r="D5162" s="19" t="n">
        <v>0.5229</v>
      </c>
      <c r="E5162" s="20" t="n">
        <f aca="false">Parametres!$B$5*C5162</f>
        <v>0</v>
      </c>
      <c r="F5162" s="20" t="n">
        <f aca="false">Parametres!$B$6*D5162</f>
        <v>104.58</v>
      </c>
      <c r="G5162" s="20" t="n">
        <f aca="false">E5162+F5162</f>
        <v>104.58</v>
      </c>
      <c r="H5162" s="20" t="n">
        <f aca="false">IF(G5162&lt;Parametres!$B$8*Parametres!$B$7,0,MIN(G5162,Parametres!$B$7))</f>
        <v>104.58</v>
      </c>
      <c r="I5162" s="20" t="n">
        <f aca="false">G5162-H5162</f>
        <v>0</v>
      </c>
      <c r="J5162" s="21" t="n">
        <f aca="false">H5162*1000/Parametres!$B$9</f>
        <v>1773.44412413091</v>
      </c>
    </row>
    <row r="5163" customFormat="false" ht="15" hidden="false" customHeight="false" outlineLevel="0" collapsed="false">
      <c r="A5163" s="0" t="n">
        <v>5159</v>
      </c>
      <c r="B5163" s="0" t="n">
        <v>8</v>
      </c>
      <c r="C5163" s="19" t="n">
        <v>0</v>
      </c>
      <c r="D5163" s="19" t="n">
        <v>0.4477</v>
      </c>
      <c r="E5163" s="20" t="n">
        <f aca="false">Parametres!$B$5*C5163</f>
        <v>0</v>
      </c>
      <c r="F5163" s="20" t="n">
        <f aca="false">Parametres!$B$6*D5163</f>
        <v>89.54</v>
      </c>
      <c r="G5163" s="20" t="n">
        <f aca="false">E5163+F5163</f>
        <v>89.54</v>
      </c>
      <c r="H5163" s="20" t="n">
        <f aca="false">IF(G5163&lt;Parametres!$B$8*Parametres!$B$7,0,MIN(G5163,Parametres!$B$7))</f>
        <v>89.54</v>
      </c>
      <c r="I5163" s="20" t="n">
        <f aca="false">G5163-H5163</f>
        <v>0</v>
      </c>
      <c r="J5163" s="21" t="n">
        <f aca="false">H5163*1000/Parametres!$B$9</f>
        <v>1518.39918602679</v>
      </c>
    </row>
    <row r="5164" customFormat="false" ht="15" hidden="false" customHeight="false" outlineLevel="0" collapsed="false">
      <c r="A5164" s="0" t="n">
        <v>5160</v>
      </c>
      <c r="B5164" s="0" t="n">
        <v>8</v>
      </c>
      <c r="C5164" s="19" t="n">
        <v>0</v>
      </c>
      <c r="D5164" s="19" t="n">
        <v>0.3565</v>
      </c>
      <c r="E5164" s="20" t="n">
        <f aca="false">Parametres!$B$5*C5164</f>
        <v>0</v>
      </c>
      <c r="F5164" s="20" t="n">
        <f aca="false">Parametres!$B$6*D5164</f>
        <v>71.3</v>
      </c>
      <c r="G5164" s="20" t="n">
        <f aca="false">E5164+F5164</f>
        <v>71.3</v>
      </c>
      <c r="H5164" s="20" t="n">
        <f aca="false">IF(G5164&lt;Parametres!$B$8*Parametres!$B$7,0,MIN(G5164,Parametres!$B$7))</f>
        <v>71.3</v>
      </c>
      <c r="I5164" s="20" t="n">
        <f aca="false">G5164-H5164</f>
        <v>0</v>
      </c>
      <c r="J5164" s="21" t="n">
        <f aca="false">H5164*1000/Parametres!$B$9</f>
        <v>1209.08936747499</v>
      </c>
    </row>
    <row r="5165" customFormat="false" ht="15" hidden="false" customHeight="false" outlineLevel="0" collapsed="false">
      <c r="A5165" s="0" t="n">
        <v>5161</v>
      </c>
      <c r="B5165" s="0" t="n">
        <v>8</v>
      </c>
      <c r="C5165" s="19" t="n">
        <v>0</v>
      </c>
      <c r="D5165" s="19" t="n">
        <v>0.5214</v>
      </c>
      <c r="E5165" s="20" t="n">
        <f aca="false">Parametres!$B$5*C5165</f>
        <v>0</v>
      </c>
      <c r="F5165" s="20" t="n">
        <f aca="false">Parametres!$B$6*D5165</f>
        <v>104.28</v>
      </c>
      <c r="G5165" s="20" t="n">
        <f aca="false">E5165+F5165</f>
        <v>104.28</v>
      </c>
      <c r="H5165" s="20" t="n">
        <f aca="false">IF(G5165&lt;Parametres!$B$8*Parametres!$B$7,0,MIN(G5165,Parametres!$B$7))</f>
        <v>104.28</v>
      </c>
      <c r="I5165" s="20" t="n">
        <f aca="false">G5165-H5165</f>
        <v>0</v>
      </c>
      <c r="J5165" s="21" t="n">
        <f aca="false">H5165*1000/Parametres!$B$9</f>
        <v>1768.35679158894</v>
      </c>
    </row>
    <row r="5166" customFormat="false" ht="15" hidden="false" customHeight="false" outlineLevel="0" collapsed="false">
      <c r="A5166" s="0" t="n">
        <v>5162</v>
      </c>
      <c r="B5166" s="0" t="n">
        <v>8</v>
      </c>
      <c r="C5166" s="19" t="n">
        <v>0</v>
      </c>
      <c r="D5166" s="19" t="n">
        <v>0.7147</v>
      </c>
      <c r="E5166" s="20" t="n">
        <f aca="false">Parametres!$B$5*C5166</f>
        <v>0</v>
      </c>
      <c r="F5166" s="20" t="n">
        <f aca="false">Parametres!$B$6*D5166</f>
        <v>142.94</v>
      </c>
      <c r="G5166" s="20" t="n">
        <f aca="false">E5166+F5166</f>
        <v>142.94</v>
      </c>
      <c r="H5166" s="20" t="n">
        <f aca="false">IF(G5166&lt;Parametres!$B$8*Parametres!$B$7,0,MIN(G5166,Parametres!$B$7))</f>
        <v>142.94</v>
      </c>
      <c r="I5166" s="20" t="n">
        <f aca="false">G5166-H5166</f>
        <v>0</v>
      </c>
      <c r="J5166" s="21" t="n">
        <f aca="false">H5166*1000/Parametres!$B$9</f>
        <v>2423.94437849754</v>
      </c>
    </row>
    <row r="5167" customFormat="false" ht="15" hidden="false" customHeight="false" outlineLevel="0" collapsed="false">
      <c r="A5167" s="0" t="n">
        <v>5163</v>
      </c>
      <c r="B5167" s="0" t="n">
        <v>8</v>
      </c>
      <c r="C5167" s="19" t="n">
        <v>0</v>
      </c>
      <c r="D5167" s="19" t="n">
        <v>0.5862</v>
      </c>
      <c r="E5167" s="20" t="n">
        <f aca="false">Parametres!$B$5*C5167</f>
        <v>0</v>
      </c>
      <c r="F5167" s="20" t="n">
        <f aca="false">Parametres!$B$6*D5167</f>
        <v>117.24</v>
      </c>
      <c r="G5167" s="20" t="n">
        <f aca="false">E5167+F5167</f>
        <v>117.24</v>
      </c>
      <c r="H5167" s="20" t="n">
        <f aca="false">IF(G5167&lt;Parametres!$B$8*Parametres!$B$7,0,MIN(G5167,Parametres!$B$7))</f>
        <v>117.24</v>
      </c>
      <c r="I5167" s="20" t="n">
        <f aca="false">G5167-H5167</f>
        <v>0</v>
      </c>
      <c r="J5167" s="21" t="n">
        <f aca="false">H5167*1000/Parametres!$B$9</f>
        <v>1988.12955740207</v>
      </c>
    </row>
    <row r="5168" customFormat="false" ht="15" hidden="false" customHeight="false" outlineLevel="0" collapsed="false">
      <c r="A5168" s="0" t="n">
        <v>5164</v>
      </c>
      <c r="B5168" s="0" t="n">
        <v>8</v>
      </c>
      <c r="C5168" s="19" t="n">
        <v>0</v>
      </c>
      <c r="D5168" s="19" t="n">
        <v>0.5121</v>
      </c>
      <c r="E5168" s="20" t="n">
        <f aca="false">Parametres!$B$5*C5168</f>
        <v>0</v>
      </c>
      <c r="F5168" s="20" t="n">
        <f aca="false">Parametres!$B$6*D5168</f>
        <v>102.42</v>
      </c>
      <c r="G5168" s="20" t="n">
        <f aca="false">E5168+F5168</f>
        <v>102.42</v>
      </c>
      <c r="H5168" s="20" t="n">
        <f aca="false">IF(G5168&lt;Parametres!$B$8*Parametres!$B$7,0,MIN(G5168,Parametres!$B$7))</f>
        <v>102.42</v>
      </c>
      <c r="I5168" s="20" t="n">
        <f aca="false">G5168-H5168</f>
        <v>0</v>
      </c>
      <c r="J5168" s="21" t="n">
        <f aca="false">H5168*1000/Parametres!$B$9</f>
        <v>1736.81532982873</v>
      </c>
    </row>
    <row r="5169" customFormat="false" ht="15" hidden="false" customHeight="false" outlineLevel="0" collapsed="false">
      <c r="A5169" s="0" t="n">
        <v>5165</v>
      </c>
      <c r="B5169" s="0" t="n">
        <v>8</v>
      </c>
      <c r="C5169" s="19" t="n">
        <v>0</v>
      </c>
      <c r="D5169" s="19" t="n">
        <v>0.6225</v>
      </c>
      <c r="E5169" s="20" t="n">
        <f aca="false">Parametres!$B$5*C5169</f>
        <v>0</v>
      </c>
      <c r="F5169" s="20" t="n">
        <f aca="false">Parametres!$B$6*D5169</f>
        <v>124.5</v>
      </c>
      <c r="G5169" s="20" t="n">
        <f aca="false">E5169+F5169</f>
        <v>124.5</v>
      </c>
      <c r="H5169" s="20" t="n">
        <f aca="false">IF(G5169&lt;Parametres!$B$8*Parametres!$B$7,0,MIN(G5169,Parametres!$B$7))</f>
        <v>124.5</v>
      </c>
      <c r="I5169" s="20" t="n">
        <f aca="false">G5169-H5169</f>
        <v>0</v>
      </c>
      <c r="J5169" s="21" t="n">
        <f aca="false">H5169*1000/Parametres!$B$9</f>
        <v>2111.24300491776</v>
      </c>
    </row>
    <row r="5170" customFormat="false" ht="15" hidden="false" customHeight="false" outlineLevel="0" collapsed="false">
      <c r="A5170" s="0" t="n">
        <v>5166</v>
      </c>
      <c r="B5170" s="0" t="n">
        <v>8</v>
      </c>
      <c r="C5170" s="19" t="n">
        <v>0.0197</v>
      </c>
      <c r="D5170" s="19" t="n">
        <v>0.4479</v>
      </c>
      <c r="E5170" s="20" t="n">
        <f aca="false">Parametres!$B$5*C5170</f>
        <v>5.91</v>
      </c>
      <c r="F5170" s="20" t="n">
        <f aca="false">Parametres!$B$6*D5170</f>
        <v>89.58</v>
      </c>
      <c r="G5170" s="20" t="n">
        <f aca="false">E5170+F5170</f>
        <v>95.49</v>
      </c>
      <c r="H5170" s="20" t="n">
        <f aca="false">IF(G5170&lt;Parametres!$B$8*Parametres!$B$7,0,MIN(G5170,Parametres!$B$7))</f>
        <v>95.49</v>
      </c>
      <c r="I5170" s="20" t="n">
        <f aca="false">G5170-H5170</f>
        <v>0</v>
      </c>
      <c r="J5170" s="21" t="n">
        <f aca="false">H5170*1000/Parametres!$B$9</f>
        <v>1619.29794810921</v>
      </c>
    </row>
    <row r="5171" customFormat="false" ht="15" hidden="false" customHeight="false" outlineLevel="0" collapsed="false">
      <c r="A5171" s="0" t="n">
        <v>5167</v>
      </c>
      <c r="B5171" s="0" t="n">
        <v>8</v>
      </c>
      <c r="C5171" s="19" t="n">
        <v>0.2098</v>
      </c>
      <c r="D5171" s="19" t="n">
        <v>0.3572</v>
      </c>
      <c r="E5171" s="20" t="n">
        <f aca="false">Parametres!$B$5*C5171</f>
        <v>62.94</v>
      </c>
      <c r="F5171" s="20" t="n">
        <f aca="false">Parametres!$B$6*D5171</f>
        <v>71.44</v>
      </c>
      <c r="G5171" s="20" t="n">
        <f aca="false">E5171+F5171</f>
        <v>134.38</v>
      </c>
      <c r="H5171" s="20" t="n">
        <f aca="false">IF(G5171&lt;Parametres!$B$8*Parametres!$B$7,0,MIN(G5171,Parametres!$B$7))</f>
        <v>134.38</v>
      </c>
      <c r="I5171" s="20" t="n">
        <f aca="false">G5171-H5171</f>
        <v>0</v>
      </c>
      <c r="J5171" s="21" t="n">
        <f aca="false">H5171*1000/Parametres!$B$9</f>
        <v>2278.78582329998</v>
      </c>
    </row>
    <row r="5172" customFormat="false" ht="15" hidden="false" customHeight="false" outlineLevel="0" collapsed="false">
      <c r="A5172" s="0" t="n">
        <v>5168</v>
      </c>
      <c r="B5172" s="0" t="n">
        <v>8</v>
      </c>
      <c r="C5172" s="19" t="n">
        <v>0.4498</v>
      </c>
      <c r="D5172" s="19" t="n">
        <v>0.6308</v>
      </c>
      <c r="E5172" s="20" t="n">
        <f aca="false">Parametres!$B$5*C5172</f>
        <v>134.94</v>
      </c>
      <c r="F5172" s="20" t="n">
        <f aca="false">Parametres!$B$6*D5172</f>
        <v>126.16</v>
      </c>
      <c r="G5172" s="20" t="n">
        <f aca="false">E5172+F5172</f>
        <v>261.1</v>
      </c>
      <c r="H5172" s="20" t="n">
        <f aca="false">IF(G5172&lt;Parametres!$B$8*Parametres!$B$7,0,MIN(G5172,Parametres!$B$7))</f>
        <v>250</v>
      </c>
      <c r="I5172" s="20" t="n">
        <f aca="false">G5172-H5172</f>
        <v>11.1</v>
      </c>
      <c r="J5172" s="21" t="n">
        <f aca="false">H5172*1000/Parametres!$B$9</f>
        <v>4239.44378497541</v>
      </c>
    </row>
    <row r="5173" customFormat="false" ht="15" hidden="false" customHeight="false" outlineLevel="0" collapsed="false">
      <c r="A5173" s="0" t="n">
        <v>5169</v>
      </c>
      <c r="B5173" s="0" t="n">
        <v>8</v>
      </c>
      <c r="C5173" s="19" t="n">
        <v>0.6817</v>
      </c>
      <c r="D5173" s="19" t="n">
        <v>0.5008</v>
      </c>
      <c r="E5173" s="20" t="n">
        <f aca="false">Parametres!$B$5*C5173</f>
        <v>204.51</v>
      </c>
      <c r="F5173" s="20" t="n">
        <f aca="false">Parametres!$B$6*D5173</f>
        <v>100.16</v>
      </c>
      <c r="G5173" s="20" t="n">
        <f aca="false">E5173+F5173</f>
        <v>304.67</v>
      </c>
      <c r="H5173" s="20" t="n">
        <f aca="false">IF(G5173&lt;Parametres!$B$8*Parametres!$B$7,0,MIN(G5173,Parametres!$B$7))</f>
        <v>250</v>
      </c>
      <c r="I5173" s="20" t="n">
        <f aca="false">G5173-H5173</f>
        <v>54.67</v>
      </c>
      <c r="J5173" s="21" t="n">
        <f aca="false">H5173*1000/Parametres!$B$9</f>
        <v>4239.44378497541</v>
      </c>
    </row>
    <row r="5174" customFormat="false" ht="15" hidden="false" customHeight="false" outlineLevel="0" collapsed="false">
      <c r="A5174" s="0" t="n">
        <v>5170</v>
      </c>
      <c r="B5174" s="0" t="n">
        <v>8</v>
      </c>
      <c r="C5174" s="19" t="n">
        <v>0.8493</v>
      </c>
      <c r="D5174" s="19" t="n">
        <v>0.6067</v>
      </c>
      <c r="E5174" s="20" t="n">
        <f aca="false">Parametres!$B$5*C5174</f>
        <v>254.79</v>
      </c>
      <c r="F5174" s="20" t="n">
        <f aca="false">Parametres!$B$6*D5174</f>
        <v>121.34</v>
      </c>
      <c r="G5174" s="20" t="n">
        <f aca="false">E5174+F5174</f>
        <v>376.13</v>
      </c>
      <c r="H5174" s="20" t="n">
        <f aca="false">IF(G5174&lt;Parametres!$B$8*Parametres!$B$7,0,MIN(G5174,Parametres!$B$7))</f>
        <v>250</v>
      </c>
      <c r="I5174" s="20" t="n">
        <f aca="false">G5174-H5174</f>
        <v>126.13</v>
      </c>
      <c r="J5174" s="21" t="n">
        <f aca="false">H5174*1000/Parametres!$B$9</f>
        <v>4239.44378497541</v>
      </c>
    </row>
    <row r="5175" customFormat="false" ht="15" hidden="false" customHeight="false" outlineLevel="0" collapsed="false">
      <c r="A5175" s="0" t="n">
        <v>5171</v>
      </c>
      <c r="B5175" s="0" t="n">
        <v>8</v>
      </c>
      <c r="C5175" s="19" t="n">
        <v>0.9991</v>
      </c>
      <c r="D5175" s="19" t="n">
        <v>1</v>
      </c>
      <c r="E5175" s="20" t="n">
        <f aca="false">Parametres!$B$5*C5175</f>
        <v>299.73</v>
      </c>
      <c r="F5175" s="20" t="n">
        <f aca="false">Parametres!$B$6*D5175</f>
        <v>200</v>
      </c>
      <c r="G5175" s="20" t="n">
        <f aca="false">E5175+F5175</f>
        <v>499.73</v>
      </c>
      <c r="H5175" s="20" t="n">
        <f aca="false">IF(G5175&lt;Parametres!$B$8*Parametres!$B$7,0,MIN(G5175,Parametres!$B$7))</f>
        <v>250</v>
      </c>
      <c r="I5175" s="20" t="n">
        <f aca="false">G5175-H5175</f>
        <v>249.73</v>
      </c>
      <c r="J5175" s="21" t="n">
        <f aca="false">H5175*1000/Parametres!$B$9</f>
        <v>4239.44378497541</v>
      </c>
    </row>
    <row r="5176" customFormat="false" ht="15" hidden="false" customHeight="false" outlineLevel="0" collapsed="false">
      <c r="A5176" s="0" t="n">
        <v>5172</v>
      </c>
      <c r="B5176" s="0" t="n">
        <v>8</v>
      </c>
      <c r="C5176" s="19" t="n">
        <v>1</v>
      </c>
      <c r="D5176" s="19" t="n">
        <v>1</v>
      </c>
      <c r="E5176" s="20" t="n">
        <f aca="false">Parametres!$B$5*C5176</f>
        <v>300</v>
      </c>
      <c r="F5176" s="20" t="n">
        <f aca="false">Parametres!$B$6*D5176</f>
        <v>200</v>
      </c>
      <c r="G5176" s="20" t="n">
        <f aca="false">E5176+F5176</f>
        <v>500</v>
      </c>
      <c r="H5176" s="20" t="n">
        <f aca="false">IF(G5176&lt;Parametres!$B$8*Parametres!$B$7,0,MIN(G5176,Parametres!$B$7))</f>
        <v>250</v>
      </c>
      <c r="I5176" s="20" t="n">
        <f aca="false">G5176-H5176</f>
        <v>250</v>
      </c>
      <c r="J5176" s="21" t="n">
        <f aca="false">H5176*1000/Parametres!$B$9</f>
        <v>4239.44378497541</v>
      </c>
    </row>
    <row r="5177" customFormat="false" ht="15" hidden="false" customHeight="false" outlineLevel="0" collapsed="false">
      <c r="A5177" s="0" t="n">
        <v>5173</v>
      </c>
      <c r="B5177" s="0" t="n">
        <v>8</v>
      </c>
      <c r="C5177" s="19" t="n">
        <v>1</v>
      </c>
      <c r="D5177" s="19" t="n">
        <v>1</v>
      </c>
      <c r="E5177" s="20" t="n">
        <f aca="false">Parametres!$B$5*C5177</f>
        <v>300</v>
      </c>
      <c r="F5177" s="20" t="n">
        <f aca="false">Parametres!$B$6*D5177</f>
        <v>200</v>
      </c>
      <c r="G5177" s="20" t="n">
        <f aca="false">E5177+F5177</f>
        <v>500</v>
      </c>
      <c r="H5177" s="20" t="n">
        <f aca="false">IF(G5177&lt;Parametres!$B$8*Parametres!$B$7,0,MIN(G5177,Parametres!$B$7))</f>
        <v>250</v>
      </c>
      <c r="I5177" s="20" t="n">
        <f aca="false">G5177-H5177</f>
        <v>250</v>
      </c>
      <c r="J5177" s="21" t="n">
        <f aca="false">H5177*1000/Parametres!$B$9</f>
        <v>4239.44378497541</v>
      </c>
    </row>
    <row r="5178" customFormat="false" ht="15" hidden="false" customHeight="false" outlineLevel="0" collapsed="false">
      <c r="A5178" s="0" t="n">
        <v>5174</v>
      </c>
      <c r="B5178" s="0" t="n">
        <v>8</v>
      </c>
      <c r="C5178" s="19" t="n">
        <v>0.9134</v>
      </c>
      <c r="D5178" s="19" t="n">
        <v>1</v>
      </c>
      <c r="E5178" s="20" t="n">
        <f aca="false">Parametres!$B$5*C5178</f>
        <v>274.02</v>
      </c>
      <c r="F5178" s="20" t="n">
        <f aca="false">Parametres!$B$6*D5178</f>
        <v>200</v>
      </c>
      <c r="G5178" s="20" t="n">
        <f aca="false">E5178+F5178</f>
        <v>474.02</v>
      </c>
      <c r="H5178" s="20" t="n">
        <f aca="false">IF(G5178&lt;Parametres!$B$8*Parametres!$B$7,0,MIN(G5178,Parametres!$B$7))</f>
        <v>250</v>
      </c>
      <c r="I5178" s="20" t="n">
        <f aca="false">G5178-H5178</f>
        <v>224.02</v>
      </c>
      <c r="J5178" s="21" t="n">
        <f aca="false">H5178*1000/Parametres!$B$9</f>
        <v>4239.44378497541</v>
      </c>
    </row>
    <row r="5179" customFormat="false" ht="15" hidden="false" customHeight="false" outlineLevel="0" collapsed="false">
      <c r="A5179" s="0" t="n">
        <v>5175</v>
      </c>
      <c r="B5179" s="0" t="n">
        <v>8</v>
      </c>
      <c r="C5179" s="19" t="n">
        <v>0.7925</v>
      </c>
      <c r="D5179" s="19" t="n">
        <v>1</v>
      </c>
      <c r="E5179" s="20" t="n">
        <f aca="false">Parametres!$B$5*C5179</f>
        <v>237.75</v>
      </c>
      <c r="F5179" s="20" t="n">
        <f aca="false">Parametres!$B$6*D5179</f>
        <v>200</v>
      </c>
      <c r="G5179" s="20" t="n">
        <f aca="false">E5179+F5179</f>
        <v>437.75</v>
      </c>
      <c r="H5179" s="20" t="n">
        <f aca="false">IF(G5179&lt;Parametres!$B$8*Parametres!$B$7,0,MIN(G5179,Parametres!$B$7))</f>
        <v>250</v>
      </c>
      <c r="I5179" s="20" t="n">
        <f aca="false">G5179-H5179</f>
        <v>187.75</v>
      </c>
      <c r="J5179" s="21" t="n">
        <f aca="false">H5179*1000/Parametres!$B$9</f>
        <v>4239.44378497541</v>
      </c>
    </row>
    <row r="5180" customFormat="false" ht="15" hidden="false" customHeight="false" outlineLevel="0" collapsed="false">
      <c r="A5180" s="0" t="n">
        <v>5176</v>
      </c>
      <c r="B5180" s="0" t="n">
        <v>8</v>
      </c>
      <c r="C5180" s="19" t="n">
        <v>0.6515</v>
      </c>
      <c r="D5180" s="19" t="n">
        <v>1</v>
      </c>
      <c r="E5180" s="20" t="n">
        <f aca="false">Parametres!$B$5*C5180</f>
        <v>195.45</v>
      </c>
      <c r="F5180" s="20" t="n">
        <f aca="false">Parametres!$B$6*D5180</f>
        <v>200</v>
      </c>
      <c r="G5180" s="20" t="n">
        <f aca="false">E5180+F5180</f>
        <v>395.45</v>
      </c>
      <c r="H5180" s="20" t="n">
        <f aca="false">IF(G5180&lt;Parametres!$B$8*Parametres!$B$7,0,MIN(G5180,Parametres!$B$7))</f>
        <v>250</v>
      </c>
      <c r="I5180" s="20" t="n">
        <f aca="false">G5180-H5180</f>
        <v>145.45</v>
      </c>
      <c r="J5180" s="21" t="n">
        <f aca="false">H5180*1000/Parametres!$B$9</f>
        <v>4239.44378497541</v>
      </c>
    </row>
    <row r="5181" customFormat="false" ht="15" hidden="false" customHeight="false" outlineLevel="0" collapsed="false">
      <c r="A5181" s="0" t="n">
        <v>5177</v>
      </c>
      <c r="B5181" s="0" t="n">
        <v>8</v>
      </c>
      <c r="C5181" s="19" t="n">
        <v>0.4115</v>
      </c>
      <c r="D5181" s="19" t="n">
        <v>1</v>
      </c>
      <c r="E5181" s="20" t="n">
        <f aca="false">Parametres!$B$5*C5181</f>
        <v>123.45</v>
      </c>
      <c r="F5181" s="20" t="n">
        <f aca="false">Parametres!$B$6*D5181</f>
        <v>200</v>
      </c>
      <c r="G5181" s="20" t="n">
        <f aca="false">E5181+F5181</f>
        <v>323.45</v>
      </c>
      <c r="H5181" s="20" t="n">
        <f aca="false">IF(G5181&lt;Parametres!$B$8*Parametres!$B$7,0,MIN(G5181,Parametres!$B$7))</f>
        <v>250</v>
      </c>
      <c r="I5181" s="20" t="n">
        <f aca="false">G5181-H5181</f>
        <v>73.45</v>
      </c>
      <c r="J5181" s="21" t="n">
        <f aca="false">H5181*1000/Parametres!$B$9</f>
        <v>4239.44378497541</v>
      </c>
    </row>
    <row r="5182" customFormat="false" ht="15" hidden="false" customHeight="false" outlineLevel="0" collapsed="false">
      <c r="A5182" s="0" t="n">
        <v>5178</v>
      </c>
      <c r="B5182" s="0" t="n">
        <v>8</v>
      </c>
      <c r="C5182" s="19" t="n">
        <v>0.2202</v>
      </c>
      <c r="D5182" s="19" t="n">
        <v>1</v>
      </c>
      <c r="E5182" s="20" t="n">
        <f aca="false">Parametres!$B$5*C5182</f>
        <v>66.06</v>
      </c>
      <c r="F5182" s="20" t="n">
        <f aca="false">Parametres!$B$6*D5182</f>
        <v>200</v>
      </c>
      <c r="G5182" s="20" t="n">
        <f aca="false">E5182+F5182</f>
        <v>266.06</v>
      </c>
      <c r="H5182" s="20" t="n">
        <f aca="false">IF(G5182&lt;Parametres!$B$8*Parametres!$B$7,0,MIN(G5182,Parametres!$B$7))</f>
        <v>250</v>
      </c>
      <c r="I5182" s="20" t="n">
        <f aca="false">G5182-H5182</f>
        <v>16.06</v>
      </c>
      <c r="J5182" s="21" t="n">
        <f aca="false">H5182*1000/Parametres!$B$9</f>
        <v>4239.44378497541</v>
      </c>
    </row>
    <row r="5183" customFormat="false" ht="15" hidden="false" customHeight="false" outlineLevel="0" collapsed="false">
      <c r="A5183" s="0" t="n">
        <v>5179</v>
      </c>
      <c r="B5183" s="0" t="n">
        <v>8</v>
      </c>
      <c r="C5183" s="19" t="n">
        <v>0.0188</v>
      </c>
      <c r="D5183" s="19" t="n">
        <v>1</v>
      </c>
      <c r="E5183" s="20" t="n">
        <f aca="false">Parametres!$B$5*C5183</f>
        <v>5.64</v>
      </c>
      <c r="F5183" s="20" t="n">
        <f aca="false">Parametres!$B$6*D5183</f>
        <v>200</v>
      </c>
      <c r="G5183" s="20" t="n">
        <f aca="false">E5183+F5183</f>
        <v>205.64</v>
      </c>
      <c r="H5183" s="20" t="n">
        <f aca="false">IF(G5183&lt;Parametres!$B$8*Parametres!$B$7,0,MIN(G5183,Parametres!$B$7))</f>
        <v>205.64</v>
      </c>
      <c r="I5183" s="20" t="n">
        <f aca="false">G5183-H5183</f>
        <v>0</v>
      </c>
      <c r="J5183" s="21" t="n">
        <f aca="false">H5183*1000/Parametres!$B$9</f>
        <v>3487.19687976937</v>
      </c>
    </row>
    <row r="5184" customFormat="false" ht="15" hidden="false" customHeight="false" outlineLevel="0" collapsed="false">
      <c r="A5184" s="0" t="n">
        <v>5180</v>
      </c>
      <c r="B5184" s="0" t="n">
        <v>8</v>
      </c>
      <c r="C5184" s="19" t="n">
        <v>0</v>
      </c>
      <c r="D5184" s="19" t="n">
        <v>1</v>
      </c>
      <c r="E5184" s="20" t="n">
        <f aca="false">Parametres!$B$5*C5184</f>
        <v>0</v>
      </c>
      <c r="F5184" s="20" t="n">
        <f aca="false">Parametres!$B$6*D5184</f>
        <v>200</v>
      </c>
      <c r="G5184" s="20" t="n">
        <f aca="false">E5184+F5184</f>
        <v>200</v>
      </c>
      <c r="H5184" s="20" t="n">
        <f aca="false">IF(G5184&lt;Parametres!$B$8*Parametres!$B$7,0,MIN(G5184,Parametres!$B$7))</f>
        <v>200</v>
      </c>
      <c r="I5184" s="20" t="n">
        <f aca="false">G5184-H5184</f>
        <v>0</v>
      </c>
      <c r="J5184" s="21" t="n">
        <f aca="false">H5184*1000/Parametres!$B$9</f>
        <v>3391.55502798033</v>
      </c>
    </row>
    <row r="5185" customFormat="false" ht="15" hidden="false" customHeight="false" outlineLevel="0" collapsed="false">
      <c r="A5185" s="0" t="n">
        <v>5181</v>
      </c>
      <c r="B5185" s="0" t="n">
        <v>8</v>
      </c>
      <c r="C5185" s="19" t="n">
        <v>0</v>
      </c>
      <c r="D5185" s="19" t="n">
        <v>1</v>
      </c>
      <c r="E5185" s="20" t="n">
        <f aca="false">Parametres!$B$5*C5185</f>
        <v>0</v>
      </c>
      <c r="F5185" s="20" t="n">
        <f aca="false">Parametres!$B$6*D5185</f>
        <v>200</v>
      </c>
      <c r="G5185" s="20" t="n">
        <f aca="false">E5185+F5185</f>
        <v>200</v>
      </c>
      <c r="H5185" s="20" t="n">
        <f aca="false">IF(G5185&lt;Parametres!$B$8*Parametres!$B$7,0,MIN(G5185,Parametres!$B$7))</f>
        <v>200</v>
      </c>
      <c r="I5185" s="20" t="n">
        <f aca="false">G5185-H5185</f>
        <v>0</v>
      </c>
      <c r="J5185" s="21" t="n">
        <f aca="false">H5185*1000/Parametres!$B$9</f>
        <v>3391.55502798033</v>
      </c>
    </row>
    <row r="5186" customFormat="false" ht="15" hidden="false" customHeight="false" outlineLevel="0" collapsed="false">
      <c r="A5186" s="0" t="n">
        <v>5182</v>
      </c>
      <c r="B5186" s="0" t="n">
        <v>8</v>
      </c>
      <c r="C5186" s="19" t="n">
        <v>0</v>
      </c>
      <c r="D5186" s="19" t="n">
        <v>1</v>
      </c>
      <c r="E5186" s="20" t="n">
        <f aca="false">Parametres!$B$5*C5186</f>
        <v>0</v>
      </c>
      <c r="F5186" s="20" t="n">
        <f aca="false">Parametres!$B$6*D5186</f>
        <v>200</v>
      </c>
      <c r="G5186" s="20" t="n">
        <f aca="false">E5186+F5186</f>
        <v>200</v>
      </c>
      <c r="H5186" s="20" t="n">
        <f aca="false">IF(G5186&lt;Parametres!$B$8*Parametres!$B$7,0,MIN(G5186,Parametres!$B$7))</f>
        <v>200</v>
      </c>
      <c r="I5186" s="20" t="n">
        <f aca="false">G5186-H5186</f>
        <v>0</v>
      </c>
      <c r="J5186" s="21" t="n">
        <f aca="false">H5186*1000/Parametres!$B$9</f>
        <v>3391.55502798033</v>
      </c>
    </row>
    <row r="5187" customFormat="false" ht="15" hidden="false" customHeight="false" outlineLevel="0" collapsed="false">
      <c r="A5187" s="0" t="n">
        <v>5183</v>
      </c>
      <c r="B5187" s="0" t="n">
        <v>8</v>
      </c>
      <c r="C5187" s="19" t="n">
        <v>0</v>
      </c>
      <c r="D5187" s="19" t="n">
        <v>1</v>
      </c>
      <c r="E5187" s="20" t="n">
        <f aca="false">Parametres!$B$5*C5187</f>
        <v>0</v>
      </c>
      <c r="F5187" s="20" t="n">
        <f aca="false">Parametres!$B$6*D5187</f>
        <v>200</v>
      </c>
      <c r="G5187" s="20" t="n">
        <f aca="false">E5187+F5187</f>
        <v>200</v>
      </c>
      <c r="H5187" s="20" t="n">
        <f aca="false">IF(G5187&lt;Parametres!$B$8*Parametres!$B$7,0,MIN(G5187,Parametres!$B$7))</f>
        <v>200</v>
      </c>
      <c r="I5187" s="20" t="n">
        <f aca="false">G5187-H5187</f>
        <v>0</v>
      </c>
      <c r="J5187" s="21" t="n">
        <f aca="false">H5187*1000/Parametres!$B$9</f>
        <v>3391.55502798033</v>
      </c>
    </row>
    <row r="5188" customFormat="false" ht="15" hidden="false" customHeight="false" outlineLevel="0" collapsed="false">
      <c r="A5188" s="0" t="n">
        <v>5184</v>
      </c>
      <c r="B5188" s="0" t="n">
        <v>8</v>
      </c>
      <c r="C5188" s="19" t="n">
        <v>0</v>
      </c>
      <c r="D5188" s="19" t="n">
        <v>1</v>
      </c>
      <c r="E5188" s="20" t="n">
        <f aca="false">Parametres!$B$5*C5188</f>
        <v>0</v>
      </c>
      <c r="F5188" s="20" t="n">
        <f aca="false">Parametres!$B$6*D5188</f>
        <v>200</v>
      </c>
      <c r="G5188" s="20" t="n">
        <f aca="false">E5188+F5188</f>
        <v>200</v>
      </c>
      <c r="H5188" s="20" t="n">
        <f aca="false">IF(G5188&lt;Parametres!$B$8*Parametres!$B$7,0,MIN(G5188,Parametres!$B$7))</f>
        <v>200</v>
      </c>
      <c r="I5188" s="20" t="n">
        <f aca="false">G5188-H5188</f>
        <v>0</v>
      </c>
      <c r="J5188" s="21" t="n">
        <f aca="false">H5188*1000/Parametres!$B$9</f>
        <v>3391.55502798033</v>
      </c>
    </row>
    <row r="5189" customFormat="false" ht="15" hidden="false" customHeight="false" outlineLevel="0" collapsed="false">
      <c r="A5189" s="0" t="n">
        <v>5185</v>
      </c>
      <c r="B5189" s="0" t="n">
        <v>8</v>
      </c>
      <c r="C5189" s="19" t="n">
        <v>0</v>
      </c>
      <c r="D5189" s="19" t="n">
        <v>1</v>
      </c>
      <c r="E5189" s="20" t="n">
        <f aca="false">Parametres!$B$5*C5189</f>
        <v>0</v>
      </c>
      <c r="F5189" s="20" t="n">
        <f aca="false">Parametres!$B$6*D5189</f>
        <v>200</v>
      </c>
      <c r="G5189" s="20" t="n">
        <f aca="false">E5189+F5189</f>
        <v>200</v>
      </c>
      <c r="H5189" s="20" t="n">
        <f aca="false">IF(G5189&lt;Parametres!$B$8*Parametres!$B$7,0,MIN(G5189,Parametres!$B$7))</f>
        <v>200</v>
      </c>
      <c r="I5189" s="20" t="n">
        <f aca="false">G5189-H5189</f>
        <v>0</v>
      </c>
      <c r="J5189" s="21" t="n">
        <f aca="false">H5189*1000/Parametres!$B$9</f>
        <v>3391.55502798033</v>
      </c>
    </row>
    <row r="5190" customFormat="false" ht="15" hidden="false" customHeight="false" outlineLevel="0" collapsed="false">
      <c r="A5190" s="0" t="n">
        <v>5186</v>
      </c>
      <c r="B5190" s="0" t="n">
        <v>8</v>
      </c>
      <c r="C5190" s="19" t="n">
        <v>0</v>
      </c>
      <c r="D5190" s="19" t="n">
        <v>1</v>
      </c>
      <c r="E5190" s="20" t="n">
        <f aca="false">Parametres!$B$5*C5190</f>
        <v>0</v>
      </c>
      <c r="F5190" s="20" t="n">
        <f aca="false">Parametres!$B$6*D5190</f>
        <v>200</v>
      </c>
      <c r="G5190" s="20" t="n">
        <f aca="false">E5190+F5190</f>
        <v>200</v>
      </c>
      <c r="H5190" s="20" t="n">
        <f aca="false">IF(G5190&lt;Parametres!$B$8*Parametres!$B$7,0,MIN(G5190,Parametres!$B$7))</f>
        <v>200</v>
      </c>
      <c r="I5190" s="20" t="n">
        <f aca="false">G5190-H5190</f>
        <v>0</v>
      </c>
      <c r="J5190" s="21" t="n">
        <f aca="false">H5190*1000/Parametres!$B$9</f>
        <v>3391.55502798033</v>
      </c>
    </row>
    <row r="5191" customFormat="false" ht="15" hidden="false" customHeight="false" outlineLevel="0" collapsed="false">
      <c r="A5191" s="0" t="n">
        <v>5187</v>
      </c>
      <c r="B5191" s="0" t="n">
        <v>8</v>
      </c>
      <c r="C5191" s="19" t="n">
        <v>0</v>
      </c>
      <c r="D5191" s="19" t="n">
        <v>1</v>
      </c>
      <c r="E5191" s="20" t="n">
        <f aca="false">Parametres!$B$5*C5191</f>
        <v>0</v>
      </c>
      <c r="F5191" s="20" t="n">
        <f aca="false">Parametres!$B$6*D5191</f>
        <v>200</v>
      </c>
      <c r="G5191" s="20" t="n">
        <f aca="false">E5191+F5191</f>
        <v>200</v>
      </c>
      <c r="H5191" s="20" t="n">
        <f aca="false">IF(G5191&lt;Parametres!$B$8*Parametres!$B$7,0,MIN(G5191,Parametres!$B$7))</f>
        <v>200</v>
      </c>
      <c r="I5191" s="20" t="n">
        <f aca="false">G5191-H5191</f>
        <v>0</v>
      </c>
      <c r="J5191" s="21" t="n">
        <f aca="false">H5191*1000/Parametres!$B$9</f>
        <v>3391.55502798033</v>
      </c>
    </row>
    <row r="5192" customFormat="false" ht="15" hidden="false" customHeight="false" outlineLevel="0" collapsed="false">
      <c r="A5192" s="0" t="n">
        <v>5188</v>
      </c>
      <c r="B5192" s="0" t="n">
        <v>8</v>
      </c>
      <c r="C5192" s="19" t="n">
        <v>0</v>
      </c>
      <c r="D5192" s="19" t="n">
        <v>1</v>
      </c>
      <c r="E5192" s="20" t="n">
        <f aca="false">Parametres!$B$5*C5192</f>
        <v>0</v>
      </c>
      <c r="F5192" s="20" t="n">
        <f aca="false">Parametres!$B$6*D5192</f>
        <v>200</v>
      </c>
      <c r="G5192" s="20" t="n">
        <f aca="false">E5192+F5192</f>
        <v>200</v>
      </c>
      <c r="H5192" s="20" t="n">
        <f aca="false">IF(G5192&lt;Parametres!$B$8*Parametres!$B$7,0,MIN(G5192,Parametres!$B$7))</f>
        <v>200</v>
      </c>
      <c r="I5192" s="20" t="n">
        <f aca="false">G5192-H5192</f>
        <v>0</v>
      </c>
      <c r="J5192" s="21" t="n">
        <f aca="false">H5192*1000/Parametres!$B$9</f>
        <v>3391.55502798033</v>
      </c>
    </row>
    <row r="5193" customFormat="false" ht="15" hidden="false" customHeight="false" outlineLevel="0" collapsed="false">
      <c r="A5193" s="0" t="n">
        <v>5189</v>
      </c>
      <c r="B5193" s="0" t="n">
        <v>8</v>
      </c>
      <c r="C5193" s="19" t="n">
        <v>0</v>
      </c>
      <c r="D5193" s="19" t="n">
        <v>1</v>
      </c>
      <c r="E5193" s="20" t="n">
        <f aca="false">Parametres!$B$5*C5193</f>
        <v>0</v>
      </c>
      <c r="F5193" s="20" t="n">
        <f aca="false">Parametres!$B$6*D5193</f>
        <v>200</v>
      </c>
      <c r="G5193" s="20" t="n">
        <f aca="false">E5193+F5193</f>
        <v>200</v>
      </c>
      <c r="H5193" s="20" t="n">
        <f aca="false">IF(G5193&lt;Parametres!$B$8*Parametres!$B$7,0,MIN(G5193,Parametres!$B$7))</f>
        <v>200</v>
      </c>
      <c r="I5193" s="20" t="n">
        <f aca="false">G5193-H5193</f>
        <v>0</v>
      </c>
      <c r="J5193" s="21" t="n">
        <f aca="false">H5193*1000/Parametres!$B$9</f>
        <v>3391.55502798033</v>
      </c>
    </row>
    <row r="5194" customFormat="false" ht="15" hidden="false" customHeight="false" outlineLevel="0" collapsed="false">
      <c r="A5194" s="0" t="n">
        <v>5190</v>
      </c>
      <c r="B5194" s="0" t="n">
        <v>8</v>
      </c>
      <c r="C5194" s="19" t="n">
        <v>0.0172</v>
      </c>
      <c r="D5194" s="19" t="n">
        <v>1</v>
      </c>
      <c r="E5194" s="20" t="n">
        <f aca="false">Parametres!$B$5*C5194</f>
        <v>5.16</v>
      </c>
      <c r="F5194" s="20" t="n">
        <f aca="false">Parametres!$B$6*D5194</f>
        <v>200</v>
      </c>
      <c r="G5194" s="20" t="n">
        <f aca="false">E5194+F5194</f>
        <v>205.16</v>
      </c>
      <c r="H5194" s="20" t="n">
        <f aca="false">IF(G5194&lt;Parametres!$B$8*Parametres!$B$7,0,MIN(G5194,Parametres!$B$7))</f>
        <v>205.16</v>
      </c>
      <c r="I5194" s="20" t="n">
        <f aca="false">G5194-H5194</f>
        <v>0</v>
      </c>
      <c r="J5194" s="21" t="n">
        <f aca="false">H5194*1000/Parametres!$B$9</f>
        <v>3479.05714770222</v>
      </c>
    </row>
    <row r="5195" customFormat="false" ht="15" hidden="false" customHeight="false" outlineLevel="0" collapsed="false">
      <c r="A5195" s="0" t="n">
        <v>5191</v>
      </c>
      <c r="B5195" s="0" t="n">
        <v>8</v>
      </c>
      <c r="C5195" s="19" t="n">
        <v>0.2435</v>
      </c>
      <c r="D5195" s="19" t="n">
        <v>1</v>
      </c>
      <c r="E5195" s="20" t="n">
        <f aca="false">Parametres!$B$5*C5195</f>
        <v>73.05</v>
      </c>
      <c r="F5195" s="20" t="n">
        <f aca="false">Parametres!$B$6*D5195</f>
        <v>200</v>
      </c>
      <c r="G5195" s="20" t="n">
        <f aca="false">E5195+F5195</f>
        <v>273.05</v>
      </c>
      <c r="H5195" s="20" t="n">
        <f aca="false">IF(G5195&lt;Parametres!$B$8*Parametres!$B$7,0,MIN(G5195,Parametres!$B$7))</f>
        <v>250</v>
      </c>
      <c r="I5195" s="20" t="n">
        <f aca="false">G5195-H5195</f>
        <v>23.05</v>
      </c>
      <c r="J5195" s="21" t="n">
        <f aca="false">H5195*1000/Parametres!$B$9</f>
        <v>4239.44378497541</v>
      </c>
    </row>
    <row r="5196" customFormat="false" ht="15" hidden="false" customHeight="false" outlineLevel="0" collapsed="false">
      <c r="A5196" s="0" t="n">
        <v>5192</v>
      </c>
      <c r="B5196" s="0" t="n">
        <v>8</v>
      </c>
      <c r="C5196" s="19" t="n">
        <v>0.4797</v>
      </c>
      <c r="D5196" s="19" t="n">
        <v>1</v>
      </c>
      <c r="E5196" s="20" t="n">
        <f aca="false">Parametres!$B$5*C5196</f>
        <v>143.91</v>
      </c>
      <c r="F5196" s="20" t="n">
        <f aca="false">Parametres!$B$6*D5196</f>
        <v>200</v>
      </c>
      <c r="G5196" s="20" t="n">
        <f aca="false">E5196+F5196</f>
        <v>343.91</v>
      </c>
      <c r="H5196" s="20" t="n">
        <f aca="false">IF(G5196&lt;Parametres!$B$8*Parametres!$B$7,0,MIN(G5196,Parametres!$B$7))</f>
        <v>250</v>
      </c>
      <c r="I5196" s="20" t="n">
        <f aca="false">G5196-H5196</f>
        <v>93.91</v>
      </c>
      <c r="J5196" s="21" t="n">
        <f aca="false">H5196*1000/Parametres!$B$9</f>
        <v>4239.44378497541</v>
      </c>
    </row>
    <row r="5197" customFormat="false" ht="15" hidden="false" customHeight="false" outlineLevel="0" collapsed="false">
      <c r="A5197" s="0" t="n">
        <v>5193</v>
      </c>
      <c r="B5197" s="0" t="n">
        <v>8</v>
      </c>
      <c r="C5197" s="19" t="n">
        <v>0.6782</v>
      </c>
      <c r="D5197" s="19" t="n">
        <v>1</v>
      </c>
      <c r="E5197" s="20" t="n">
        <f aca="false">Parametres!$B$5*C5197</f>
        <v>203.46</v>
      </c>
      <c r="F5197" s="20" t="n">
        <f aca="false">Parametres!$B$6*D5197</f>
        <v>200</v>
      </c>
      <c r="G5197" s="20" t="n">
        <f aca="false">E5197+F5197</f>
        <v>403.46</v>
      </c>
      <c r="H5197" s="20" t="n">
        <f aca="false">IF(G5197&lt;Parametres!$B$8*Parametres!$B$7,0,MIN(G5197,Parametres!$B$7))</f>
        <v>250</v>
      </c>
      <c r="I5197" s="20" t="n">
        <f aca="false">G5197-H5197</f>
        <v>153.46</v>
      </c>
      <c r="J5197" s="21" t="n">
        <f aca="false">H5197*1000/Parametres!$B$9</f>
        <v>4239.44378497541</v>
      </c>
    </row>
    <row r="5198" customFormat="false" ht="15" hidden="false" customHeight="false" outlineLevel="0" collapsed="false">
      <c r="A5198" s="0" t="n">
        <v>5194</v>
      </c>
      <c r="B5198" s="0" t="n">
        <v>8</v>
      </c>
      <c r="C5198" s="19" t="n">
        <v>0.949</v>
      </c>
      <c r="D5198" s="19" t="n">
        <v>1</v>
      </c>
      <c r="E5198" s="20" t="n">
        <f aca="false">Parametres!$B$5*C5198</f>
        <v>284.7</v>
      </c>
      <c r="F5198" s="20" t="n">
        <f aca="false">Parametres!$B$6*D5198</f>
        <v>200</v>
      </c>
      <c r="G5198" s="20" t="n">
        <f aca="false">E5198+F5198</f>
        <v>484.7</v>
      </c>
      <c r="H5198" s="20" t="n">
        <f aca="false">IF(G5198&lt;Parametres!$B$8*Parametres!$B$7,0,MIN(G5198,Parametres!$B$7))</f>
        <v>250</v>
      </c>
      <c r="I5198" s="20" t="n">
        <f aca="false">G5198-H5198</f>
        <v>234.7</v>
      </c>
      <c r="J5198" s="21" t="n">
        <f aca="false">H5198*1000/Parametres!$B$9</f>
        <v>4239.44378497541</v>
      </c>
    </row>
    <row r="5199" customFormat="false" ht="15" hidden="false" customHeight="false" outlineLevel="0" collapsed="false">
      <c r="A5199" s="0" t="n">
        <v>5195</v>
      </c>
      <c r="B5199" s="0" t="n">
        <v>8</v>
      </c>
      <c r="C5199" s="19" t="n">
        <v>1</v>
      </c>
      <c r="D5199" s="19" t="n">
        <v>1</v>
      </c>
      <c r="E5199" s="20" t="n">
        <f aca="false">Parametres!$B$5*C5199</f>
        <v>300</v>
      </c>
      <c r="F5199" s="20" t="n">
        <f aca="false">Parametres!$B$6*D5199</f>
        <v>200</v>
      </c>
      <c r="G5199" s="20" t="n">
        <f aca="false">E5199+F5199</f>
        <v>500</v>
      </c>
      <c r="H5199" s="20" t="n">
        <f aca="false">IF(G5199&lt;Parametres!$B$8*Parametres!$B$7,0,MIN(G5199,Parametres!$B$7))</f>
        <v>250</v>
      </c>
      <c r="I5199" s="20" t="n">
        <f aca="false">G5199-H5199</f>
        <v>250</v>
      </c>
      <c r="J5199" s="21" t="n">
        <f aca="false">H5199*1000/Parametres!$B$9</f>
        <v>4239.44378497541</v>
      </c>
    </row>
    <row r="5200" customFormat="false" ht="15" hidden="false" customHeight="false" outlineLevel="0" collapsed="false">
      <c r="A5200" s="0" t="n">
        <v>5196</v>
      </c>
      <c r="B5200" s="0" t="n">
        <v>8</v>
      </c>
      <c r="C5200" s="19" t="n">
        <v>1</v>
      </c>
      <c r="D5200" s="19" t="n">
        <v>1</v>
      </c>
      <c r="E5200" s="20" t="n">
        <f aca="false">Parametres!$B$5*C5200</f>
        <v>300</v>
      </c>
      <c r="F5200" s="20" t="n">
        <f aca="false">Parametres!$B$6*D5200</f>
        <v>200</v>
      </c>
      <c r="G5200" s="20" t="n">
        <f aca="false">E5200+F5200</f>
        <v>500</v>
      </c>
      <c r="H5200" s="20" t="n">
        <f aca="false">IF(G5200&lt;Parametres!$B$8*Parametres!$B$7,0,MIN(G5200,Parametres!$B$7))</f>
        <v>250</v>
      </c>
      <c r="I5200" s="20" t="n">
        <f aca="false">G5200-H5200</f>
        <v>250</v>
      </c>
      <c r="J5200" s="21" t="n">
        <f aca="false">H5200*1000/Parametres!$B$9</f>
        <v>4239.44378497541</v>
      </c>
    </row>
    <row r="5201" customFormat="false" ht="15" hidden="false" customHeight="false" outlineLevel="0" collapsed="false">
      <c r="A5201" s="0" t="n">
        <v>5197</v>
      </c>
      <c r="B5201" s="0" t="n">
        <v>8</v>
      </c>
      <c r="C5201" s="19" t="n">
        <v>1</v>
      </c>
      <c r="D5201" s="19" t="n">
        <v>1</v>
      </c>
      <c r="E5201" s="20" t="n">
        <f aca="false">Parametres!$B$5*C5201</f>
        <v>300</v>
      </c>
      <c r="F5201" s="20" t="n">
        <f aca="false">Parametres!$B$6*D5201</f>
        <v>200</v>
      </c>
      <c r="G5201" s="20" t="n">
        <f aca="false">E5201+F5201</f>
        <v>500</v>
      </c>
      <c r="H5201" s="20" t="n">
        <f aca="false">IF(G5201&lt;Parametres!$B$8*Parametres!$B$7,0,MIN(G5201,Parametres!$B$7))</f>
        <v>250</v>
      </c>
      <c r="I5201" s="20" t="n">
        <f aca="false">G5201-H5201</f>
        <v>250</v>
      </c>
      <c r="J5201" s="21" t="n">
        <f aca="false">H5201*1000/Parametres!$B$9</f>
        <v>4239.44378497541</v>
      </c>
    </row>
    <row r="5202" customFormat="false" ht="15" hidden="false" customHeight="false" outlineLevel="0" collapsed="false">
      <c r="A5202" s="0" t="n">
        <v>5198</v>
      </c>
      <c r="B5202" s="0" t="n">
        <v>8</v>
      </c>
      <c r="C5202" s="19" t="n">
        <v>1</v>
      </c>
      <c r="D5202" s="19" t="n">
        <v>1</v>
      </c>
      <c r="E5202" s="20" t="n">
        <f aca="false">Parametres!$B$5*C5202</f>
        <v>300</v>
      </c>
      <c r="F5202" s="20" t="n">
        <f aca="false">Parametres!$B$6*D5202</f>
        <v>200</v>
      </c>
      <c r="G5202" s="20" t="n">
        <f aca="false">E5202+F5202</f>
        <v>500</v>
      </c>
      <c r="H5202" s="20" t="n">
        <f aca="false">IF(G5202&lt;Parametres!$B$8*Parametres!$B$7,0,MIN(G5202,Parametres!$B$7))</f>
        <v>250</v>
      </c>
      <c r="I5202" s="20" t="n">
        <f aca="false">G5202-H5202</f>
        <v>250</v>
      </c>
      <c r="J5202" s="21" t="n">
        <f aca="false">H5202*1000/Parametres!$B$9</f>
        <v>4239.44378497541</v>
      </c>
    </row>
    <row r="5203" customFormat="false" ht="15" hidden="false" customHeight="false" outlineLevel="0" collapsed="false">
      <c r="A5203" s="0" t="n">
        <v>5199</v>
      </c>
      <c r="B5203" s="0" t="n">
        <v>8</v>
      </c>
      <c r="C5203" s="19" t="n">
        <v>0.9251</v>
      </c>
      <c r="D5203" s="19" t="n">
        <v>1</v>
      </c>
      <c r="E5203" s="20" t="n">
        <f aca="false">Parametres!$B$5*C5203</f>
        <v>277.53</v>
      </c>
      <c r="F5203" s="20" t="n">
        <f aca="false">Parametres!$B$6*D5203</f>
        <v>200</v>
      </c>
      <c r="G5203" s="20" t="n">
        <f aca="false">E5203+F5203</f>
        <v>477.53</v>
      </c>
      <c r="H5203" s="20" t="n">
        <f aca="false">IF(G5203&lt;Parametres!$B$8*Parametres!$B$7,0,MIN(G5203,Parametres!$B$7))</f>
        <v>250</v>
      </c>
      <c r="I5203" s="20" t="n">
        <f aca="false">G5203-H5203</f>
        <v>227.53</v>
      </c>
      <c r="J5203" s="21" t="n">
        <f aca="false">H5203*1000/Parametres!$B$9</f>
        <v>4239.44378497541</v>
      </c>
    </row>
    <row r="5204" customFormat="false" ht="15" hidden="false" customHeight="false" outlineLevel="0" collapsed="false">
      <c r="A5204" s="0" t="n">
        <v>5200</v>
      </c>
      <c r="B5204" s="0" t="n">
        <v>8</v>
      </c>
      <c r="C5204" s="19" t="n">
        <v>0.7106</v>
      </c>
      <c r="D5204" s="19" t="n">
        <v>1</v>
      </c>
      <c r="E5204" s="20" t="n">
        <f aca="false">Parametres!$B$5*C5204</f>
        <v>213.18</v>
      </c>
      <c r="F5204" s="20" t="n">
        <f aca="false">Parametres!$B$6*D5204</f>
        <v>200</v>
      </c>
      <c r="G5204" s="20" t="n">
        <f aca="false">E5204+F5204</f>
        <v>413.18</v>
      </c>
      <c r="H5204" s="20" t="n">
        <f aca="false">IF(G5204&lt;Parametres!$B$8*Parametres!$B$7,0,MIN(G5204,Parametres!$B$7))</f>
        <v>250</v>
      </c>
      <c r="I5204" s="20" t="n">
        <f aca="false">G5204-H5204</f>
        <v>163.18</v>
      </c>
      <c r="J5204" s="21" t="n">
        <f aca="false">H5204*1000/Parametres!$B$9</f>
        <v>4239.44378497541</v>
      </c>
    </row>
    <row r="5205" customFormat="false" ht="15" hidden="false" customHeight="false" outlineLevel="0" collapsed="false">
      <c r="A5205" s="0" t="n">
        <v>5201</v>
      </c>
      <c r="B5205" s="0" t="n">
        <v>8</v>
      </c>
      <c r="C5205" s="19" t="n">
        <v>0.4972</v>
      </c>
      <c r="D5205" s="19" t="n">
        <v>1</v>
      </c>
      <c r="E5205" s="20" t="n">
        <f aca="false">Parametres!$B$5*C5205</f>
        <v>149.16</v>
      </c>
      <c r="F5205" s="20" t="n">
        <f aca="false">Parametres!$B$6*D5205</f>
        <v>200</v>
      </c>
      <c r="G5205" s="20" t="n">
        <f aca="false">E5205+F5205</f>
        <v>349.16</v>
      </c>
      <c r="H5205" s="20" t="n">
        <f aca="false">IF(G5205&lt;Parametres!$B$8*Parametres!$B$7,0,MIN(G5205,Parametres!$B$7))</f>
        <v>250</v>
      </c>
      <c r="I5205" s="20" t="n">
        <f aca="false">G5205-H5205</f>
        <v>99.16</v>
      </c>
      <c r="J5205" s="21" t="n">
        <f aca="false">H5205*1000/Parametres!$B$9</f>
        <v>4239.44378497541</v>
      </c>
    </row>
    <row r="5206" customFormat="false" ht="15" hidden="false" customHeight="false" outlineLevel="0" collapsed="false">
      <c r="A5206" s="0" t="n">
        <v>5202</v>
      </c>
      <c r="B5206" s="0" t="n">
        <v>8</v>
      </c>
      <c r="C5206" s="19" t="n">
        <v>0.2463</v>
      </c>
      <c r="D5206" s="19" t="n">
        <v>1</v>
      </c>
      <c r="E5206" s="20" t="n">
        <f aca="false">Parametres!$B$5*C5206</f>
        <v>73.89</v>
      </c>
      <c r="F5206" s="20" t="n">
        <f aca="false">Parametres!$B$6*D5206</f>
        <v>200</v>
      </c>
      <c r="G5206" s="20" t="n">
        <f aca="false">E5206+F5206</f>
        <v>273.89</v>
      </c>
      <c r="H5206" s="20" t="n">
        <f aca="false">IF(G5206&lt;Parametres!$B$8*Parametres!$B$7,0,MIN(G5206,Parametres!$B$7))</f>
        <v>250</v>
      </c>
      <c r="I5206" s="20" t="n">
        <f aca="false">G5206-H5206</f>
        <v>23.89</v>
      </c>
      <c r="J5206" s="21" t="n">
        <f aca="false">H5206*1000/Parametres!$B$9</f>
        <v>4239.44378497541</v>
      </c>
    </row>
    <row r="5207" customFormat="false" ht="15" hidden="false" customHeight="false" outlineLevel="0" collapsed="false">
      <c r="A5207" s="0" t="n">
        <v>5203</v>
      </c>
      <c r="B5207" s="0" t="n">
        <v>8</v>
      </c>
      <c r="C5207" s="19" t="n">
        <v>0.0197</v>
      </c>
      <c r="D5207" s="19" t="n">
        <v>1</v>
      </c>
      <c r="E5207" s="20" t="n">
        <f aca="false">Parametres!$B$5*C5207</f>
        <v>5.91</v>
      </c>
      <c r="F5207" s="20" t="n">
        <f aca="false">Parametres!$B$6*D5207</f>
        <v>200</v>
      </c>
      <c r="G5207" s="20" t="n">
        <f aca="false">E5207+F5207</f>
        <v>205.91</v>
      </c>
      <c r="H5207" s="20" t="n">
        <f aca="false">IF(G5207&lt;Parametres!$B$8*Parametres!$B$7,0,MIN(G5207,Parametres!$B$7))</f>
        <v>205.91</v>
      </c>
      <c r="I5207" s="20" t="n">
        <f aca="false">G5207-H5207</f>
        <v>0</v>
      </c>
      <c r="J5207" s="21" t="n">
        <f aca="false">H5207*1000/Parametres!$B$9</f>
        <v>3491.77547905715</v>
      </c>
    </row>
    <row r="5208" customFormat="false" ht="15" hidden="false" customHeight="false" outlineLevel="0" collapsed="false">
      <c r="A5208" s="0" t="n">
        <v>5204</v>
      </c>
      <c r="B5208" s="0" t="n">
        <v>8</v>
      </c>
      <c r="C5208" s="19" t="n">
        <v>0</v>
      </c>
      <c r="D5208" s="19" t="n">
        <v>1</v>
      </c>
      <c r="E5208" s="20" t="n">
        <f aca="false">Parametres!$B$5*C5208</f>
        <v>0</v>
      </c>
      <c r="F5208" s="20" t="n">
        <f aca="false">Parametres!$B$6*D5208</f>
        <v>200</v>
      </c>
      <c r="G5208" s="20" t="n">
        <f aca="false">E5208+F5208</f>
        <v>200</v>
      </c>
      <c r="H5208" s="20" t="n">
        <f aca="false">IF(G5208&lt;Parametres!$B$8*Parametres!$B$7,0,MIN(G5208,Parametres!$B$7))</f>
        <v>200</v>
      </c>
      <c r="I5208" s="20" t="n">
        <f aca="false">G5208-H5208</f>
        <v>0</v>
      </c>
      <c r="J5208" s="21" t="n">
        <f aca="false">H5208*1000/Parametres!$B$9</f>
        <v>3391.55502798033</v>
      </c>
    </row>
    <row r="5209" customFormat="false" ht="15" hidden="false" customHeight="false" outlineLevel="0" collapsed="false">
      <c r="A5209" s="0" t="n">
        <v>5205</v>
      </c>
      <c r="B5209" s="0" t="n">
        <v>8</v>
      </c>
      <c r="C5209" s="19" t="n">
        <v>0</v>
      </c>
      <c r="D5209" s="19" t="n">
        <v>1</v>
      </c>
      <c r="E5209" s="20" t="n">
        <f aca="false">Parametres!$B$5*C5209</f>
        <v>0</v>
      </c>
      <c r="F5209" s="20" t="n">
        <f aca="false">Parametres!$B$6*D5209</f>
        <v>200</v>
      </c>
      <c r="G5209" s="20" t="n">
        <f aca="false">E5209+F5209</f>
        <v>200</v>
      </c>
      <c r="H5209" s="20" t="n">
        <f aca="false">IF(G5209&lt;Parametres!$B$8*Parametres!$B$7,0,MIN(G5209,Parametres!$B$7))</f>
        <v>200</v>
      </c>
      <c r="I5209" s="20" t="n">
        <f aca="false">G5209-H5209</f>
        <v>0</v>
      </c>
      <c r="J5209" s="21" t="n">
        <f aca="false">H5209*1000/Parametres!$B$9</f>
        <v>3391.55502798033</v>
      </c>
    </row>
    <row r="5210" customFormat="false" ht="15" hidden="false" customHeight="false" outlineLevel="0" collapsed="false">
      <c r="A5210" s="0" t="n">
        <v>5206</v>
      </c>
      <c r="B5210" s="0" t="n">
        <v>8</v>
      </c>
      <c r="C5210" s="19" t="n">
        <v>0</v>
      </c>
      <c r="D5210" s="19" t="n">
        <v>1</v>
      </c>
      <c r="E5210" s="20" t="n">
        <f aca="false">Parametres!$B$5*C5210</f>
        <v>0</v>
      </c>
      <c r="F5210" s="20" t="n">
        <f aca="false">Parametres!$B$6*D5210</f>
        <v>200</v>
      </c>
      <c r="G5210" s="20" t="n">
        <f aca="false">E5210+F5210</f>
        <v>200</v>
      </c>
      <c r="H5210" s="20" t="n">
        <f aca="false">IF(G5210&lt;Parametres!$B$8*Parametres!$B$7,0,MIN(G5210,Parametres!$B$7))</f>
        <v>200</v>
      </c>
      <c r="I5210" s="20" t="n">
        <f aca="false">G5210-H5210</f>
        <v>0</v>
      </c>
      <c r="J5210" s="21" t="n">
        <f aca="false">H5210*1000/Parametres!$B$9</f>
        <v>3391.55502798033</v>
      </c>
    </row>
    <row r="5211" customFormat="false" ht="15" hidden="false" customHeight="false" outlineLevel="0" collapsed="false">
      <c r="A5211" s="0" t="n">
        <v>5207</v>
      </c>
      <c r="B5211" s="0" t="n">
        <v>8</v>
      </c>
      <c r="C5211" s="19" t="n">
        <v>0</v>
      </c>
      <c r="D5211" s="19" t="n">
        <v>1</v>
      </c>
      <c r="E5211" s="20" t="n">
        <f aca="false">Parametres!$B$5*C5211</f>
        <v>0</v>
      </c>
      <c r="F5211" s="20" t="n">
        <f aca="false">Parametres!$B$6*D5211</f>
        <v>200</v>
      </c>
      <c r="G5211" s="20" t="n">
        <f aca="false">E5211+F5211</f>
        <v>200</v>
      </c>
      <c r="H5211" s="20" t="n">
        <f aca="false">IF(G5211&lt;Parametres!$B$8*Parametres!$B$7,0,MIN(G5211,Parametres!$B$7))</f>
        <v>200</v>
      </c>
      <c r="I5211" s="20" t="n">
        <f aca="false">G5211-H5211</f>
        <v>0</v>
      </c>
      <c r="J5211" s="21" t="n">
        <f aca="false">H5211*1000/Parametres!$B$9</f>
        <v>3391.55502798033</v>
      </c>
    </row>
    <row r="5212" customFormat="false" ht="15" hidden="false" customHeight="false" outlineLevel="0" collapsed="false">
      <c r="A5212" s="0" t="n">
        <v>5208</v>
      </c>
      <c r="B5212" s="0" t="n">
        <v>8</v>
      </c>
      <c r="C5212" s="19" t="n">
        <v>0</v>
      </c>
      <c r="D5212" s="19" t="n">
        <v>1</v>
      </c>
      <c r="E5212" s="20" t="n">
        <f aca="false">Parametres!$B$5*C5212</f>
        <v>0</v>
      </c>
      <c r="F5212" s="20" t="n">
        <f aca="false">Parametres!$B$6*D5212</f>
        <v>200</v>
      </c>
      <c r="G5212" s="20" t="n">
        <f aca="false">E5212+F5212</f>
        <v>200</v>
      </c>
      <c r="H5212" s="20" t="n">
        <f aca="false">IF(G5212&lt;Parametres!$B$8*Parametres!$B$7,0,MIN(G5212,Parametres!$B$7))</f>
        <v>200</v>
      </c>
      <c r="I5212" s="20" t="n">
        <f aca="false">G5212-H5212</f>
        <v>0</v>
      </c>
      <c r="J5212" s="21" t="n">
        <f aca="false">H5212*1000/Parametres!$B$9</f>
        <v>3391.55502798033</v>
      </c>
    </row>
    <row r="5213" customFormat="false" ht="15" hidden="false" customHeight="false" outlineLevel="0" collapsed="false">
      <c r="A5213" s="0" t="n">
        <v>5209</v>
      </c>
      <c r="B5213" s="0" t="n">
        <v>8</v>
      </c>
      <c r="C5213" s="19" t="n">
        <v>0</v>
      </c>
      <c r="D5213" s="19" t="n">
        <v>1</v>
      </c>
      <c r="E5213" s="20" t="n">
        <f aca="false">Parametres!$B$5*C5213</f>
        <v>0</v>
      </c>
      <c r="F5213" s="20" t="n">
        <f aca="false">Parametres!$B$6*D5213</f>
        <v>200</v>
      </c>
      <c r="G5213" s="20" t="n">
        <f aca="false">E5213+F5213</f>
        <v>200</v>
      </c>
      <c r="H5213" s="20" t="n">
        <f aca="false">IF(G5213&lt;Parametres!$B$8*Parametres!$B$7,0,MIN(G5213,Parametres!$B$7))</f>
        <v>200</v>
      </c>
      <c r="I5213" s="20" t="n">
        <f aca="false">G5213-H5213</f>
        <v>0</v>
      </c>
      <c r="J5213" s="21" t="n">
        <f aca="false">H5213*1000/Parametres!$B$9</f>
        <v>3391.55502798033</v>
      </c>
    </row>
    <row r="5214" customFormat="false" ht="15" hidden="false" customHeight="false" outlineLevel="0" collapsed="false">
      <c r="A5214" s="0" t="n">
        <v>5210</v>
      </c>
      <c r="B5214" s="0" t="n">
        <v>8</v>
      </c>
      <c r="C5214" s="19" t="n">
        <v>0</v>
      </c>
      <c r="D5214" s="19" t="n">
        <v>1</v>
      </c>
      <c r="E5214" s="20" t="n">
        <f aca="false">Parametres!$B$5*C5214</f>
        <v>0</v>
      </c>
      <c r="F5214" s="20" t="n">
        <f aca="false">Parametres!$B$6*D5214</f>
        <v>200</v>
      </c>
      <c r="G5214" s="20" t="n">
        <f aca="false">E5214+F5214</f>
        <v>200</v>
      </c>
      <c r="H5214" s="20" t="n">
        <f aca="false">IF(G5214&lt;Parametres!$B$8*Parametres!$B$7,0,MIN(G5214,Parametres!$B$7))</f>
        <v>200</v>
      </c>
      <c r="I5214" s="20" t="n">
        <f aca="false">G5214-H5214</f>
        <v>0</v>
      </c>
      <c r="J5214" s="21" t="n">
        <f aca="false">H5214*1000/Parametres!$B$9</f>
        <v>3391.55502798033</v>
      </c>
    </row>
    <row r="5215" customFormat="false" ht="15" hidden="false" customHeight="false" outlineLevel="0" collapsed="false">
      <c r="A5215" s="0" t="n">
        <v>5211</v>
      </c>
      <c r="B5215" s="0" t="n">
        <v>8</v>
      </c>
      <c r="C5215" s="19" t="n">
        <v>0</v>
      </c>
      <c r="D5215" s="19" t="n">
        <v>1</v>
      </c>
      <c r="E5215" s="20" t="n">
        <f aca="false">Parametres!$B$5*C5215</f>
        <v>0</v>
      </c>
      <c r="F5215" s="20" t="n">
        <f aca="false">Parametres!$B$6*D5215</f>
        <v>200</v>
      </c>
      <c r="G5215" s="20" t="n">
        <f aca="false">E5215+F5215</f>
        <v>200</v>
      </c>
      <c r="H5215" s="20" t="n">
        <f aca="false">IF(G5215&lt;Parametres!$B$8*Parametres!$B$7,0,MIN(G5215,Parametres!$B$7))</f>
        <v>200</v>
      </c>
      <c r="I5215" s="20" t="n">
        <f aca="false">G5215-H5215</f>
        <v>0</v>
      </c>
      <c r="J5215" s="21" t="n">
        <f aca="false">H5215*1000/Parametres!$B$9</f>
        <v>3391.55502798033</v>
      </c>
    </row>
    <row r="5216" customFormat="false" ht="15" hidden="false" customHeight="false" outlineLevel="0" collapsed="false">
      <c r="A5216" s="0" t="n">
        <v>5212</v>
      </c>
      <c r="B5216" s="0" t="n">
        <v>8</v>
      </c>
      <c r="C5216" s="19" t="n">
        <v>0</v>
      </c>
      <c r="D5216" s="19" t="n">
        <v>1</v>
      </c>
      <c r="E5216" s="20" t="n">
        <f aca="false">Parametres!$B$5*C5216</f>
        <v>0</v>
      </c>
      <c r="F5216" s="20" t="n">
        <f aca="false">Parametres!$B$6*D5216</f>
        <v>200</v>
      </c>
      <c r="G5216" s="20" t="n">
        <f aca="false">E5216+F5216</f>
        <v>200</v>
      </c>
      <c r="H5216" s="20" t="n">
        <f aca="false">IF(G5216&lt;Parametres!$B$8*Parametres!$B$7,0,MIN(G5216,Parametres!$B$7))</f>
        <v>200</v>
      </c>
      <c r="I5216" s="20" t="n">
        <f aca="false">G5216-H5216</f>
        <v>0</v>
      </c>
      <c r="J5216" s="21" t="n">
        <f aca="false">H5216*1000/Parametres!$B$9</f>
        <v>3391.55502798033</v>
      </c>
    </row>
    <row r="5217" customFormat="false" ht="15" hidden="false" customHeight="false" outlineLevel="0" collapsed="false">
      <c r="A5217" s="0" t="n">
        <v>5213</v>
      </c>
      <c r="B5217" s="0" t="n">
        <v>8</v>
      </c>
      <c r="C5217" s="19" t="n">
        <v>0</v>
      </c>
      <c r="D5217" s="19" t="n">
        <v>1</v>
      </c>
      <c r="E5217" s="20" t="n">
        <f aca="false">Parametres!$B$5*C5217</f>
        <v>0</v>
      </c>
      <c r="F5217" s="20" t="n">
        <f aca="false">Parametres!$B$6*D5217</f>
        <v>200</v>
      </c>
      <c r="G5217" s="20" t="n">
        <f aca="false">E5217+F5217</f>
        <v>200</v>
      </c>
      <c r="H5217" s="20" t="n">
        <f aca="false">IF(G5217&lt;Parametres!$B$8*Parametres!$B$7,0,MIN(G5217,Parametres!$B$7))</f>
        <v>200</v>
      </c>
      <c r="I5217" s="20" t="n">
        <f aca="false">G5217-H5217</f>
        <v>0</v>
      </c>
      <c r="J5217" s="21" t="n">
        <f aca="false">H5217*1000/Parametres!$B$9</f>
        <v>3391.55502798033</v>
      </c>
    </row>
    <row r="5218" customFormat="false" ht="15" hidden="false" customHeight="false" outlineLevel="0" collapsed="false">
      <c r="A5218" s="0" t="n">
        <v>5214</v>
      </c>
      <c r="B5218" s="0" t="n">
        <v>8</v>
      </c>
      <c r="C5218" s="19" t="n">
        <v>0.0188</v>
      </c>
      <c r="D5218" s="19" t="n">
        <v>1</v>
      </c>
      <c r="E5218" s="20" t="n">
        <f aca="false">Parametres!$B$5*C5218</f>
        <v>5.64</v>
      </c>
      <c r="F5218" s="20" t="n">
        <f aca="false">Parametres!$B$6*D5218</f>
        <v>200</v>
      </c>
      <c r="G5218" s="20" t="n">
        <f aca="false">E5218+F5218</f>
        <v>205.64</v>
      </c>
      <c r="H5218" s="20" t="n">
        <f aca="false">IF(G5218&lt;Parametres!$B$8*Parametres!$B$7,0,MIN(G5218,Parametres!$B$7))</f>
        <v>205.64</v>
      </c>
      <c r="I5218" s="20" t="n">
        <f aca="false">G5218-H5218</f>
        <v>0</v>
      </c>
      <c r="J5218" s="21" t="n">
        <f aca="false">H5218*1000/Parametres!$B$9</f>
        <v>3487.19687976937</v>
      </c>
    </row>
    <row r="5219" customFormat="false" ht="15" hidden="false" customHeight="false" outlineLevel="0" collapsed="false">
      <c r="A5219" s="0" t="n">
        <v>5215</v>
      </c>
      <c r="B5219" s="0" t="n">
        <v>8</v>
      </c>
      <c r="C5219" s="19" t="n">
        <v>0.2403</v>
      </c>
      <c r="D5219" s="19" t="n">
        <v>1</v>
      </c>
      <c r="E5219" s="20" t="n">
        <f aca="false">Parametres!$B$5*C5219</f>
        <v>72.09</v>
      </c>
      <c r="F5219" s="20" t="n">
        <f aca="false">Parametres!$B$6*D5219</f>
        <v>200</v>
      </c>
      <c r="G5219" s="20" t="n">
        <f aca="false">E5219+F5219</f>
        <v>272.09</v>
      </c>
      <c r="H5219" s="20" t="n">
        <f aca="false">IF(G5219&lt;Parametres!$B$8*Parametres!$B$7,0,MIN(G5219,Parametres!$B$7))</f>
        <v>250</v>
      </c>
      <c r="I5219" s="20" t="n">
        <f aca="false">G5219-H5219</f>
        <v>22.09</v>
      </c>
      <c r="J5219" s="21" t="n">
        <f aca="false">H5219*1000/Parametres!$B$9</f>
        <v>4239.44378497541</v>
      </c>
    </row>
    <row r="5220" customFormat="false" ht="15" hidden="false" customHeight="false" outlineLevel="0" collapsed="false">
      <c r="A5220" s="0" t="n">
        <v>5216</v>
      </c>
      <c r="B5220" s="0" t="n">
        <v>8</v>
      </c>
      <c r="C5220" s="19" t="n">
        <v>0.5285</v>
      </c>
      <c r="D5220" s="19" t="n">
        <v>1</v>
      </c>
      <c r="E5220" s="20" t="n">
        <f aca="false">Parametres!$B$5*C5220</f>
        <v>158.55</v>
      </c>
      <c r="F5220" s="20" t="n">
        <f aca="false">Parametres!$B$6*D5220</f>
        <v>200</v>
      </c>
      <c r="G5220" s="20" t="n">
        <f aca="false">E5220+F5220</f>
        <v>358.55</v>
      </c>
      <c r="H5220" s="20" t="n">
        <f aca="false">IF(G5220&lt;Parametres!$B$8*Parametres!$B$7,0,MIN(G5220,Parametres!$B$7))</f>
        <v>250</v>
      </c>
      <c r="I5220" s="20" t="n">
        <f aca="false">G5220-H5220</f>
        <v>108.55</v>
      </c>
      <c r="J5220" s="21" t="n">
        <f aca="false">H5220*1000/Parametres!$B$9</f>
        <v>4239.44378497541</v>
      </c>
    </row>
    <row r="5221" customFormat="false" ht="15" hidden="false" customHeight="false" outlineLevel="0" collapsed="false">
      <c r="A5221" s="0" t="n">
        <v>5217</v>
      </c>
      <c r="B5221" s="0" t="n">
        <v>8</v>
      </c>
      <c r="C5221" s="19" t="n">
        <v>0.783</v>
      </c>
      <c r="D5221" s="19" t="n">
        <v>1</v>
      </c>
      <c r="E5221" s="20" t="n">
        <f aca="false">Parametres!$B$5*C5221</f>
        <v>234.9</v>
      </c>
      <c r="F5221" s="20" t="n">
        <f aca="false">Parametres!$B$6*D5221</f>
        <v>200</v>
      </c>
      <c r="G5221" s="20" t="n">
        <f aca="false">E5221+F5221</f>
        <v>434.9</v>
      </c>
      <c r="H5221" s="20" t="n">
        <f aca="false">IF(G5221&lt;Parametres!$B$8*Parametres!$B$7,0,MIN(G5221,Parametres!$B$7))</f>
        <v>250</v>
      </c>
      <c r="I5221" s="20" t="n">
        <f aca="false">G5221-H5221</f>
        <v>184.9</v>
      </c>
      <c r="J5221" s="21" t="n">
        <f aca="false">H5221*1000/Parametres!$B$9</f>
        <v>4239.44378497541</v>
      </c>
    </row>
    <row r="5222" customFormat="false" ht="15" hidden="false" customHeight="false" outlineLevel="0" collapsed="false">
      <c r="A5222" s="0" t="n">
        <v>5218</v>
      </c>
      <c r="B5222" s="0" t="n">
        <v>8</v>
      </c>
      <c r="C5222" s="19" t="n">
        <v>0.9282</v>
      </c>
      <c r="D5222" s="19" t="n">
        <v>1</v>
      </c>
      <c r="E5222" s="20" t="n">
        <f aca="false">Parametres!$B$5*C5222</f>
        <v>278.46</v>
      </c>
      <c r="F5222" s="20" t="n">
        <f aca="false">Parametres!$B$6*D5222</f>
        <v>200</v>
      </c>
      <c r="G5222" s="20" t="n">
        <f aca="false">E5222+F5222</f>
        <v>478.46</v>
      </c>
      <c r="H5222" s="20" t="n">
        <f aca="false">IF(G5222&lt;Parametres!$B$8*Parametres!$B$7,0,MIN(G5222,Parametres!$B$7))</f>
        <v>250</v>
      </c>
      <c r="I5222" s="20" t="n">
        <f aca="false">G5222-H5222</f>
        <v>228.46</v>
      </c>
      <c r="J5222" s="21" t="n">
        <f aca="false">H5222*1000/Parametres!$B$9</f>
        <v>4239.44378497541</v>
      </c>
    </row>
    <row r="5223" customFormat="false" ht="15" hidden="false" customHeight="false" outlineLevel="0" collapsed="false">
      <c r="A5223" s="0" t="n">
        <v>5219</v>
      </c>
      <c r="B5223" s="0" t="n">
        <v>8</v>
      </c>
      <c r="C5223" s="19" t="n">
        <v>0.9753</v>
      </c>
      <c r="D5223" s="19" t="n">
        <v>1</v>
      </c>
      <c r="E5223" s="20" t="n">
        <f aca="false">Parametres!$B$5*C5223</f>
        <v>292.59</v>
      </c>
      <c r="F5223" s="20" t="n">
        <f aca="false">Parametres!$B$6*D5223</f>
        <v>200</v>
      </c>
      <c r="G5223" s="20" t="n">
        <f aca="false">E5223+F5223</f>
        <v>492.59</v>
      </c>
      <c r="H5223" s="20" t="n">
        <f aca="false">IF(G5223&lt;Parametres!$B$8*Parametres!$B$7,0,MIN(G5223,Parametres!$B$7))</f>
        <v>250</v>
      </c>
      <c r="I5223" s="20" t="n">
        <f aca="false">G5223-H5223</f>
        <v>242.59</v>
      </c>
      <c r="J5223" s="21" t="n">
        <f aca="false">H5223*1000/Parametres!$B$9</f>
        <v>4239.44378497541</v>
      </c>
    </row>
    <row r="5224" customFormat="false" ht="15" hidden="false" customHeight="false" outlineLevel="0" collapsed="false">
      <c r="A5224" s="0" t="n">
        <v>5220</v>
      </c>
      <c r="B5224" s="0" t="n">
        <v>8</v>
      </c>
      <c r="C5224" s="19" t="n">
        <v>1</v>
      </c>
      <c r="D5224" s="19" t="n">
        <v>1</v>
      </c>
      <c r="E5224" s="20" t="n">
        <f aca="false">Parametres!$B$5*C5224</f>
        <v>300</v>
      </c>
      <c r="F5224" s="20" t="n">
        <f aca="false">Parametres!$B$6*D5224</f>
        <v>200</v>
      </c>
      <c r="G5224" s="20" t="n">
        <f aca="false">E5224+F5224</f>
        <v>500</v>
      </c>
      <c r="H5224" s="20" t="n">
        <f aca="false">IF(G5224&lt;Parametres!$B$8*Parametres!$B$7,0,MIN(G5224,Parametres!$B$7))</f>
        <v>250</v>
      </c>
      <c r="I5224" s="20" t="n">
        <f aca="false">G5224-H5224</f>
        <v>250</v>
      </c>
      <c r="J5224" s="21" t="n">
        <f aca="false">H5224*1000/Parametres!$B$9</f>
        <v>4239.44378497541</v>
      </c>
    </row>
    <row r="5225" customFormat="false" ht="15" hidden="false" customHeight="false" outlineLevel="0" collapsed="false">
      <c r="A5225" s="0" t="n">
        <v>5221</v>
      </c>
      <c r="B5225" s="0" t="n">
        <v>8</v>
      </c>
      <c r="C5225" s="19" t="n">
        <v>1</v>
      </c>
      <c r="D5225" s="19" t="n">
        <v>1</v>
      </c>
      <c r="E5225" s="20" t="n">
        <f aca="false">Parametres!$B$5*C5225</f>
        <v>300</v>
      </c>
      <c r="F5225" s="20" t="n">
        <f aca="false">Parametres!$B$6*D5225</f>
        <v>200</v>
      </c>
      <c r="G5225" s="20" t="n">
        <f aca="false">E5225+F5225</f>
        <v>500</v>
      </c>
      <c r="H5225" s="20" t="n">
        <f aca="false">IF(G5225&lt;Parametres!$B$8*Parametres!$B$7,0,MIN(G5225,Parametres!$B$7))</f>
        <v>250</v>
      </c>
      <c r="I5225" s="20" t="n">
        <f aca="false">G5225-H5225</f>
        <v>250</v>
      </c>
      <c r="J5225" s="21" t="n">
        <f aca="false">H5225*1000/Parametres!$B$9</f>
        <v>4239.44378497541</v>
      </c>
    </row>
    <row r="5226" customFormat="false" ht="15" hidden="false" customHeight="false" outlineLevel="0" collapsed="false">
      <c r="A5226" s="0" t="n">
        <v>5222</v>
      </c>
      <c r="B5226" s="0" t="n">
        <v>8</v>
      </c>
      <c r="C5226" s="19" t="n">
        <v>1</v>
      </c>
      <c r="D5226" s="19" t="n">
        <v>1</v>
      </c>
      <c r="E5226" s="20" t="n">
        <f aca="false">Parametres!$B$5*C5226</f>
        <v>300</v>
      </c>
      <c r="F5226" s="20" t="n">
        <f aca="false">Parametres!$B$6*D5226</f>
        <v>200</v>
      </c>
      <c r="G5226" s="20" t="n">
        <f aca="false">E5226+F5226</f>
        <v>500</v>
      </c>
      <c r="H5226" s="20" t="n">
        <f aca="false">IF(G5226&lt;Parametres!$B$8*Parametres!$B$7,0,MIN(G5226,Parametres!$B$7))</f>
        <v>250</v>
      </c>
      <c r="I5226" s="20" t="n">
        <f aca="false">G5226-H5226</f>
        <v>250</v>
      </c>
      <c r="J5226" s="21" t="n">
        <f aca="false">H5226*1000/Parametres!$B$9</f>
        <v>4239.44378497541</v>
      </c>
    </row>
    <row r="5227" customFormat="false" ht="15" hidden="false" customHeight="false" outlineLevel="0" collapsed="false">
      <c r="A5227" s="0" t="n">
        <v>5223</v>
      </c>
      <c r="B5227" s="0" t="n">
        <v>8</v>
      </c>
      <c r="C5227" s="19" t="n">
        <v>0.9672</v>
      </c>
      <c r="D5227" s="19" t="n">
        <v>1</v>
      </c>
      <c r="E5227" s="20" t="n">
        <f aca="false">Parametres!$B$5*C5227</f>
        <v>290.16</v>
      </c>
      <c r="F5227" s="20" t="n">
        <f aca="false">Parametres!$B$6*D5227</f>
        <v>200</v>
      </c>
      <c r="G5227" s="20" t="n">
        <f aca="false">E5227+F5227</f>
        <v>490.16</v>
      </c>
      <c r="H5227" s="20" t="n">
        <f aca="false">IF(G5227&lt;Parametres!$B$8*Parametres!$B$7,0,MIN(G5227,Parametres!$B$7))</f>
        <v>250</v>
      </c>
      <c r="I5227" s="20" t="n">
        <f aca="false">G5227-H5227</f>
        <v>240.16</v>
      </c>
      <c r="J5227" s="21" t="n">
        <f aca="false">H5227*1000/Parametres!$B$9</f>
        <v>4239.44378497541</v>
      </c>
    </row>
    <row r="5228" customFormat="false" ht="15" hidden="false" customHeight="false" outlineLevel="0" collapsed="false">
      <c r="A5228" s="0" t="n">
        <v>5224</v>
      </c>
      <c r="B5228" s="0" t="n">
        <v>8</v>
      </c>
      <c r="C5228" s="19" t="n">
        <v>0.733</v>
      </c>
      <c r="D5228" s="19" t="n">
        <v>1</v>
      </c>
      <c r="E5228" s="20" t="n">
        <f aca="false">Parametres!$B$5*C5228</f>
        <v>219.9</v>
      </c>
      <c r="F5228" s="20" t="n">
        <f aca="false">Parametres!$B$6*D5228</f>
        <v>200</v>
      </c>
      <c r="G5228" s="20" t="n">
        <f aca="false">E5228+F5228</f>
        <v>419.9</v>
      </c>
      <c r="H5228" s="20" t="n">
        <f aca="false">IF(G5228&lt;Parametres!$B$8*Parametres!$B$7,0,MIN(G5228,Parametres!$B$7))</f>
        <v>250</v>
      </c>
      <c r="I5228" s="20" t="n">
        <f aca="false">G5228-H5228</f>
        <v>169.9</v>
      </c>
      <c r="J5228" s="21" t="n">
        <f aca="false">H5228*1000/Parametres!$B$9</f>
        <v>4239.44378497541</v>
      </c>
    </row>
    <row r="5229" customFormat="false" ht="15" hidden="false" customHeight="false" outlineLevel="0" collapsed="false">
      <c r="A5229" s="0" t="n">
        <v>5225</v>
      </c>
      <c r="B5229" s="0" t="n">
        <v>8</v>
      </c>
      <c r="C5229" s="19" t="n">
        <v>0.4799</v>
      </c>
      <c r="D5229" s="19" t="n">
        <v>1</v>
      </c>
      <c r="E5229" s="20" t="n">
        <f aca="false">Parametres!$B$5*C5229</f>
        <v>143.97</v>
      </c>
      <c r="F5229" s="20" t="n">
        <f aca="false">Parametres!$B$6*D5229</f>
        <v>200</v>
      </c>
      <c r="G5229" s="20" t="n">
        <f aca="false">E5229+F5229</f>
        <v>343.97</v>
      </c>
      <c r="H5229" s="20" t="n">
        <f aca="false">IF(G5229&lt;Parametres!$B$8*Parametres!$B$7,0,MIN(G5229,Parametres!$B$7))</f>
        <v>250</v>
      </c>
      <c r="I5229" s="20" t="n">
        <f aca="false">G5229-H5229</f>
        <v>93.97</v>
      </c>
      <c r="J5229" s="21" t="n">
        <f aca="false">H5229*1000/Parametres!$B$9</f>
        <v>4239.44378497541</v>
      </c>
    </row>
    <row r="5230" customFormat="false" ht="15" hidden="false" customHeight="false" outlineLevel="0" collapsed="false">
      <c r="A5230" s="0" t="n">
        <v>5226</v>
      </c>
      <c r="B5230" s="0" t="n">
        <v>8</v>
      </c>
      <c r="C5230" s="19" t="n">
        <v>0.2352</v>
      </c>
      <c r="D5230" s="19" t="n">
        <v>1</v>
      </c>
      <c r="E5230" s="20" t="n">
        <f aca="false">Parametres!$B$5*C5230</f>
        <v>70.56</v>
      </c>
      <c r="F5230" s="20" t="n">
        <f aca="false">Parametres!$B$6*D5230</f>
        <v>200</v>
      </c>
      <c r="G5230" s="20" t="n">
        <f aca="false">E5230+F5230</f>
        <v>270.56</v>
      </c>
      <c r="H5230" s="20" t="n">
        <f aca="false">IF(G5230&lt;Parametres!$B$8*Parametres!$B$7,0,MIN(G5230,Parametres!$B$7))</f>
        <v>250</v>
      </c>
      <c r="I5230" s="20" t="n">
        <f aca="false">G5230-H5230</f>
        <v>20.56</v>
      </c>
      <c r="J5230" s="21" t="n">
        <f aca="false">H5230*1000/Parametres!$B$9</f>
        <v>4239.44378497541</v>
      </c>
    </row>
    <row r="5231" customFormat="false" ht="15" hidden="false" customHeight="false" outlineLevel="0" collapsed="false">
      <c r="A5231" s="0" t="n">
        <v>5227</v>
      </c>
      <c r="B5231" s="0" t="n">
        <v>8</v>
      </c>
      <c r="C5231" s="19" t="n">
        <v>0.0191</v>
      </c>
      <c r="D5231" s="19" t="n">
        <v>1</v>
      </c>
      <c r="E5231" s="20" t="n">
        <f aca="false">Parametres!$B$5*C5231</f>
        <v>5.73</v>
      </c>
      <c r="F5231" s="20" t="n">
        <f aca="false">Parametres!$B$6*D5231</f>
        <v>200</v>
      </c>
      <c r="G5231" s="20" t="n">
        <f aca="false">E5231+F5231</f>
        <v>205.73</v>
      </c>
      <c r="H5231" s="20" t="n">
        <f aca="false">IF(G5231&lt;Parametres!$B$8*Parametres!$B$7,0,MIN(G5231,Parametres!$B$7))</f>
        <v>205.73</v>
      </c>
      <c r="I5231" s="20" t="n">
        <f aca="false">G5231-H5231</f>
        <v>0</v>
      </c>
      <c r="J5231" s="21" t="n">
        <f aca="false">H5231*1000/Parametres!$B$9</f>
        <v>3488.72307953197</v>
      </c>
    </row>
    <row r="5232" customFormat="false" ht="15" hidden="false" customHeight="false" outlineLevel="0" collapsed="false">
      <c r="A5232" s="0" t="n">
        <v>5228</v>
      </c>
      <c r="B5232" s="0" t="n">
        <v>8</v>
      </c>
      <c r="C5232" s="19" t="n">
        <v>0</v>
      </c>
      <c r="D5232" s="19" t="n">
        <v>1</v>
      </c>
      <c r="E5232" s="20" t="n">
        <f aca="false">Parametres!$B$5*C5232</f>
        <v>0</v>
      </c>
      <c r="F5232" s="20" t="n">
        <f aca="false">Parametres!$B$6*D5232</f>
        <v>200</v>
      </c>
      <c r="G5232" s="20" t="n">
        <f aca="false">E5232+F5232</f>
        <v>200</v>
      </c>
      <c r="H5232" s="20" t="n">
        <f aca="false">IF(G5232&lt;Parametres!$B$8*Parametres!$B$7,0,MIN(G5232,Parametres!$B$7))</f>
        <v>200</v>
      </c>
      <c r="I5232" s="20" t="n">
        <f aca="false">G5232-H5232</f>
        <v>0</v>
      </c>
      <c r="J5232" s="21" t="n">
        <f aca="false">H5232*1000/Parametres!$B$9</f>
        <v>3391.55502798033</v>
      </c>
    </row>
    <row r="5233" customFormat="false" ht="15" hidden="false" customHeight="false" outlineLevel="0" collapsed="false">
      <c r="A5233" s="0" t="n">
        <v>5229</v>
      </c>
      <c r="B5233" s="0" t="n">
        <v>8</v>
      </c>
      <c r="C5233" s="19" t="n">
        <v>0</v>
      </c>
      <c r="D5233" s="19" t="n">
        <v>1</v>
      </c>
      <c r="E5233" s="20" t="n">
        <f aca="false">Parametres!$B$5*C5233</f>
        <v>0</v>
      </c>
      <c r="F5233" s="20" t="n">
        <f aca="false">Parametres!$B$6*D5233</f>
        <v>200</v>
      </c>
      <c r="G5233" s="20" t="n">
        <f aca="false">E5233+F5233</f>
        <v>200</v>
      </c>
      <c r="H5233" s="20" t="n">
        <f aca="false">IF(G5233&lt;Parametres!$B$8*Parametres!$B$7,0,MIN(G5233,Parametres!$B$7))</f>
        <v>200</v>
      </c>
      <c r="I5233" s="20" t="n">
        <f aca="false">G5233-H5233</f>
        <v>0</v>
      </c>
      <c r="J5233" s="21" t="n">
        <f aca="false">H5233*1000/Parametres!$B$9</f>
        <v>3391.55502798033</v>
      </c>
    </row>
    <row r="5234" customFormat="false" ht="15" hidden="false" customHeight="false" outlineLevel="0" collapsed="false">
      <c r="A5234" s="0" t="n">
        <v>5230</v>
      </c>
      <c r="B5234" s="0" t="n">
        <v>8</v>
      </c>
      <c r="C5234" s="19" t="n">
        <v>0</v>
      </c>
      <c r="D5234" s="19" t="n">
        <v>1</v>
      </c>
      <c r="E5234" s="20" t="n">
        <f aca="false">Parametres!$B$5*C5234</f>
        <v>0</v>
      </c>
      <c r="F5234" s="20" t="n">
        <f aca="false">Parametres!$B$6*D5234</f>
        <v>200</v>
      </c>
      <c r="G5234" s="20" t="n">
        <f aca="false">E5234+F5234</f>
        <v>200</v>
      </c>
      <c r="H5234" s="20" t="n">
        <f aca="false">IF(G5234&lt;Parametres!$B$8*Parametres!$B$7,0,MIN(G5234,Parametres!$B$7))</f>
        <v>200</v>
      </c>
      <c r="I5234" s="20" t="n">
        <f aca="false">G5234-H5234</f>
        <v>0</v>
      </c>
      <c r="J5234" s="21" t="n">
        <f aca="false">H5234*1000/Parametres!$B$9</f>
        <v>3391.55502798033</v>
      </c>
    </row>
    <row r="5235" customFormat="false" ht="15" hidden="false" customHeight="false" outlineLevel="0" collapsed="false">
      <c r="A5235" s="0" t="n">
        <v>5231</v>
      </c>
      <c r="B5235" s="0" t="n">
        <v>8</v>
      </c>
      <c r="C5235" s="19" t="n">
        <v>0</v>
      </c>
      <c r="D5235" s="19" t="n">
        <v>0.9113</v>
      </c>
      <c r="E5235" s="20" t="n">
        <f aca="false">Parametres!$B$5*C5235</f>
        <v>0</v>
      </c>
      <c r="F5235" s="20" t="n">
        <f aca="false">Parametres!$B$6*D5235</f>
        <v>182.26</v>
      </c>
      <c r="G5235" s="20" t="n">
        <f aca="false">E5235+F5235</f>
        <v>182.26</v>
      </c>
      <c r="H5235" s="20" t="n">
        <f aca="false">IF(G5235&lt;Parametres!$B$8*Parametres!$B$7,0,MIN(G5235,Parametres!$B$7))</f>
        <v>182.26</v>
      </c>
      <c r="I5235" s="20" t="n">
        <f aca="false">G5235-H5235</f>
        <v>0</v>
      </c>
      <c r="J5235" s="21" t="n">
        <f aca="false">H5235*1000/Parametres!$B$9</f>
        <v>3090.72409699847</v>
      </c>
    </row>
    <row r="5236" customFormat="false" ht="15" hidden="false" customHeight="false" outlineLevel="0" collapsed="false">
      <c r="A5236" s="0" t="n">
        <v>5232</v>
      </c>
      <c r="B5236" s="0" t="n">
        <v>8</v>
      </c>
      <c r="C5236" s="19" t="n">
        <v>0</v>
      </c>
      <c r="D5236" s="19" t="n">
        <v>0.4003</v>
      </c>
      <c r="E5236" s="20" t="n">
        <f aca="false">Parametres!$B$5*C5236</f>
        <v>0</v>
      </c>
      <c r="F5236" s="20" t="n">
        <f aca="false">Parametres!$B$6*D5236</f>
        <v>80.06</v>
      </c>
      <c r="G5236" s="20" t="n">
        <f aca="false">E5236+F5236</f>
        <v>80.06</v>
      </c>
      <c r="H5236" s="20" t="n">
        <f aca="false">IF(G5236&lt;Parametres!$B$8*Parametres!$B$7,0,MIN(G5236,Parametres!$B$7))</f>
        <v>80.06</v>
      </c>
      <c r="I5236" s="20" t="n">
        <f aca="false">G5236-H5236</f>
        <v>0</v>
      </c>
      <c r="J5236" s="21" t="n">
        <f aca="false">H5236*1000/Parametres!$B$9</f>
        <v>1357.63947770053</v>
      </c>
    </row>
    <row r="5237" customFormat="false" ht="15" hidden="false" customHeight="false" outlineLevel="0" collapsed="false">
      <c r="A5237" s="0" t="n">
        <v>5233</v>
      </c>
      <c r="B5237" s="0" t="n">
        <v>8</v>
      </c>
      <c r="C5237" s="19" t="n">
        <v>0</v>
      </c>
      <c r="D5237" s="19" t="n">
        <v>0.7424</v>
      </c>
      <c r="E5237" s="20" t="n">
        <f aca="false">Parametres!$B$5*C5237</f>
        <v>0</v>
      </c>
      <c r="F5237" s="20" t="n">
        <f aca="false">Parametres!$B$6*D5237</f>
        <v>148.48</v>
      </c>
      <c r="G5237" s="20" t="n">
        <f aca="false">E5237+F5237</f>
        <v>148.48</v>
      </c>
      <c r="H5237" s="20" t="n">
        <f aca="false">IF(G5237&lt;Parametres!$B$8*Parametres!$B$7,0,MIN(G5237,Parametres!$B$7))</f>
        <v>148.48</v>
      </c>
      <c r="I5237" s="20" t="n">
        <f aca="false">G5237-H5237</f>
        <v>0</v>
      </c>
      <c r="J5237" s="21" t="n">
        <f aca="false">H5237*1000/Parametres!$B$9</f>
        <v>2517.8904527726</v>
      </c>
    </row>
    <row r="5238" customFormat="false" ht="15" hidden="false" customHeight="false" outlineLevel="0" collapsed="false">
      <c r="A5238" s="0" t="n">
        <v>5234</v>
      </c>
      <c r="B5238" s="0" t="n">
        <v>8</v>
      </c>
      <c r="C5238" s="19" t="n">
        <v>0</v>
      </c>
      <c r="D5238" s="19" t="n">
        <v>0.5941</v>
      </c>
      <c r="E5238" s="20" t="n">
        <f aca="false">Parametres!$B$5*C5238</f>
        <v>0</v>
      </c>
      <c r="F5238" s="20" t="n">
        <f aca="false">Parametres!$B$6*D5238</f>
        <v>118.82</v>
      </c>
      <c r="G5238" s="20" t="n">
        <f aca="false">E5238+F5238</f>
        <v>118.82</v>
      </c>
      <c r="H5238" s="20" t="n">
        <f aca="false">IF(G5238&lt;Parametres!$B$8*Parametres!$B$7,0,MIN(G5238,Parametres!$B$7))</f>
        <v>118.82</v>
      </c>
      <c r="I5238" s="20" t="n">
        <f aca="false">G5238-H5238</f>
        <v>0</v>
      </c>
      <c r="J5238" s="21" t="n">
        <f aca="false">H5238*1000/Parametres!$B$9</f>
        <v>2014.92284212311</v>
      </c>
    </row>
    <row r="5239" customFormat="false" ht="15" hidden="false" customHeight="false" outlineLevel="0" collapsed="false">
      <c r="A5239" s="0" t="n">
        <v>5235</v>
      </c>
      <c r="B5239" s="0" t="n">
        <v>8</v>
      </c>
      <c r="C5239" s="19" t="n">
        <v>0</v>
      </c>
      <c r="D5239" s="19" t="n">
        <v>0.6188</v>
      </c>
      <c r="E5239" s="20" t="n">
        <f aca="false">Parametres!$B$5*C5239</f>
        <v>0</v>
      </c>
      <c r="F5239" s="20" t="n">
        <f aca="false">Parametres!$B$6*D5239</f>
        <v>123.76</v>
      </c>
      <c r="G5239" s="20" t="n">
        <f aca="false">E5239+F5239</f>
        <v>123.76</v>
      </c>
      <c r="H5239" s="20" t="n">
        <f aca="false">IF(G5239&lt;Parametres!$B$8*Parametres!$B$7,0,MIN(G5239,Parametres!$B$7))</f>
        <v>123.76</v>
      </c>
      <c r="I5239" s="20" t="n">
        <f aca="false">G5239-H5239</f>
        <v>0</v>
      </c>
      <c r="J5239" s="21" t="n">
        <f aca="false">H5239*1000/Parametres!$B$9</f>
        <v>2098.69425131423</v>
      </c>
    </row>
    <row r="5240" customFormat="false" ht="15" hidden="false" customHeight="false" outlineLevel="0" collapsed="false">
      <c r="A5240" s="0" t="n">
        <v>5236</v>
      </c>
      <c r="B5240" s="0" t="n">
        <v>8</v>
      </c>
      <c r="C5240" s="19" t="n">
        <v>0</v>
      </c>
      <c r="D5240" s="19" t="n">
        <v>0.5903</v>
      </c>
      <c r="E5240" s="20" t="n">
        <f aca="false">Parametres!$B$5*C5240</f>
        <v>0</v>
      </c>
      <c r="F5240" s="20" t="n">
        <f aca="false">Parametres!$B$6*D5240</f>
        <v>118.06</v>
      </c>
      <c r="G5240" s="20" t="n">
        <f aca="false">E5240+F5240</f>
        <v>118.06</v>
      </c>
      <c r="H5240" s="20" t="n">
        <f aca="false">IF(G5240&lt;Parametres!$B$8*Parametres!$B$7,0,MIN(G5240,Parametres!$B$7))</f>
        <v>118.06</v>
      </c>
      <c r="I5240" s="20" t="n">
        <f aca="false">G5240-H5240</f>
        <v>0</v>
      </c>
      <c r="J5240" s="21" t="n">
        <f aca="false">H5240*1000/Parametres!$B$9</f>
        <v>2002.03493301679</v>
      </c>
    </row>
    <row r="5241" customFormat="false" ht="15" hidden="false" customHeight="false" outlineLevel="0" collapsed="false">
      <c r="A5241" s="0" t="n">
        <v>5237</v>
      </c>
      <c r="B5241" s="0" t="n">
        <v>8</v>
      </c>
      <c r="C5241" s="19" t="n">
        <v>0</v>
      </c>
      <c r="D5241" s="19" t="n">
        <v>0.5383</v>
      </c>
      <c r="E5241" s="20" t="n">
        <f aca="false">Parametres!$B$5*C5241</f>
        <v>0</v>
      </c>
      <c r="F5241" s="20" t="n">
        <f aca="false">Parametres!$B$6*D5241</f>
        <v>107.66</v>
      </c>
      <c r="G5241" s="20" t="n">
        <f aca="false">E5241+F5241</f>
        <v>107.66</v>
      </c>
      <c r="H5241" s="20" t="n">
        <f aca="false">IF(G5241&lt;Parametres!$B$8*Parametres!$B$7,0,MIN(G5241,Parametres!$B$7))</f>
        <v>107.66</v>
      </c>
      <c r="I5241" s="20" t="n">
        <f aca="false">G5241-H5241</f>
        <v>0</v>
      </c>
      <c r="J5241" s="21" t="n">
        <f aca="false">H5241*1000/Parametres!$B$9</f>
        <v>1825.67407156181</v>
      </c>
    </row>
    <row r="5242" customFormat="false" ht="15" hidden="false" customHeight="false" outlineLevel="0" collapsed="false">
      <c r="A5242" s="0" t="n">
        <v>5238</v>
      </c>
      <c r="B5242" s="0" t="n">
        <v>8</v>
      </c>
      <c r="C5242" s="19" t="n">
        <v>0.0152</v>
      </c>
      <c r="D5242" s="19" t="n">
        <v>0.5266</v>
      </c>
      <c r="E5242" s="20" t="n">
        <f aca="false">Parametres!$B$5*C5242</f>
        <v>4.56</v>
      </c>
      <c r="F5242" s="20" t="n">
        <f aca="false">Parametres!$B$6*D5242</f>
        <v>105.32</v>
      </c>
      <c r="G5242" s="20" t="n">
        <f aca="false">E5242+F5242</f>
        <v>109.88</v>
      </c>
      <c r="H5242" s="20" t="n">
        <f aca="false">IF(G5242&lt;Parametres!$B$8*Parametres!$B$7,0,MIN(G5242,Parametres!$B$7))</f>
        <v>109.88</v>
      </c>
      <c r="I5242" s="20" t="n">
        <f aca="false">G5242-H5242</f>
        <v>0</v>
      </c>
      <c r="J5242" s="21" t="n">
        <f aca="false">H5242*1000/Parametres!$B$9</f>
        <v>1863.32033237239</v>
      </c>
    </row>
    <row r="5243" customFormat="false" ht="15" hidden="false" customHeight="false" outlineLevel="0" collapsed="false">
      <c r="A5243" s="0" t="n">
        <v>5239</v>
      </c>
      <c r="B5243" s="0" t="n">
        <v>8</v>
      </c>
      <c r="C5243" s="19" t="n">
        <v>0.2266</v>
      </c>
      <c r="D5243" s="19" t="n">
        <v>0.2767</v>
      </c>
      <c r="E5243" s="20" t="n">
        <f aca="false">Parametres!$B$5*C5243</f>
        <v>67.98</v>
      </c>
      <c r="F5243" s="20" t="n">
        <f aca="false">Parametres!$B$6*D5243</f>
        <v>55.34</v>
      </c>
      <c r="G5243" s="20" t="n">
        <f aca="false">E5243+F5243</f>
        <v>123.32</v>
      </c>
      <c r="H5243" s="20" t="n">
        <f aca="false">IF(G5243&lt;Parametres!$B$8*Parametres!$B$7,0,MIN(G5243,Parametres!$B$7))</f>
        <v>123.32</v>
      </c>
      <c r="I5243" s="20" t="n">
        <f aca="false">G5243-H5243</f>
        <v>0</v>
      </c>
      <c r="J5243" s="21" t="n">
        <f aca="false">H5243*1000/Parametres!$B$9</f>
        <v>2091.23283025267</v>
      </c>
    </row>
    <row r="5244" customFormat="false" ht="15" hidden="false" customHeight="false" outlineLevel="0" collapsed="false">
      <c r="A5244" s="0" t="n">
        <v>5240</v>
      </c>
      <c r="B5244" s="0" t="n">
        <v>8</v>
      </c>
      <c r="C5244" s="19" t="n">
        <v>0.4922</v>
      </c>
      <c r="D5244" s="19" t="n">
        <v>0.3471</v>
      </c>
      <c r="E5244" s="20" t="n">
        <f aca="false">Parametres!$B$5*C5244</f>
        <v>147.66</v>
      </c>
      <c r="F5244" s="20" t="n">
        <f aca="false">Parametres!$B$6*D5244</f>
        <v>69.42</v>
      </c>
      <c r="G5244" s="20" t="n">
        <f aca="false">E5244+F5244</f>
        <v>217.08</v>
      </c>
      <c r="H5244" s="20" t="n">
        <f aca="false">IF(G5244&lt;Parametres!$B$8*Parametres!$B$7,0,MIN(G5244,Parametres!$B$7))</f>
        <v>217.08</v>
      </c>
      <c r="I5244" s="20" t="n">
        <f aca="false">G5244-H5244</f>
        <v>0</v>
      </c>
      <c r="J5244" s="21" t="n">
        <f aca="false">H5244*1000/Parametres!$B$9</f>
        <v>3681.19382736985</v>
      </c>
    </row>
    <row r="5245" customFormat="false" ht="15" hidden="false" customHeight="false" outlineLevel="0" collapsed="false">
      <c r="A5245" s="0" t="n">
        <v>5241</v>
      </c>
      <c r="B5245" s="0" t="n">
        <v>8</v>
      </c>
      <c r="C5245" s="19" t="n">
        <v>0.7084</v>
      </c>
      <c r="D5245" s="19" t="n">
        <v>0.3163</v>
      </c>
      <c r="E5245" s="20" t="n">
        <f aca="false">Parametres!$B$5*C5245</f>
        <v>212.52</v>
      </c>
      <c r="F5245" s="20" t="n">
        <f aca="false">Parametres!$B$6*D5245</f>
        <v>63.26</v>
      </c>
      <c r="G5245" s="20" t="n">
        <f aca="false">E5245+F5245</f>
        <v>275.78</v>
      </c>
      <c r="H5245" s="20" t="n">
        <f aca="false">IF(G5245&lt;Parametres!$B$8*Parametres!$B$7,0,MIN(G5245,Parametres!$B$7))</f>
        <v>250</v>
      </c>
      <c r="I5245" s="20" t="n">
        <f aca="false">G5245-H5245</f>
        <v>25.78</v>
      </c>
      <c r="J5245" s="21" t="n">
        <f aca="false">H5245*1000/Parametres!$B$9</f>
        <v>4239.44378497541</v>
      </c>
    </row>
    <row r="5246" customFormat="false" ht="15" hidden="false" customHeight="false" outlineLevel="0" collapsed="false">
      <c r="A5246" s="0" t="n">
        <v>5242</v>
      </c>
      <c r="B5246" s="0" t="n">
        <v>8</v>
      </c>
      <c r="C5246" s="19" t="n">
        <v>0.9503</v>
      </c>
      <c r="D5246" s="19" t="n">
        <v>0.3275</v>
      </c>
      <c r="E5246" s="20" t="n">
        <f aca="false">Parametres!$B$5*C5246</f>
        <v>285.09</v>
      </c>
      <c r="F5246" s="20" t="n">
        <f aca="false">Parametres!$B$6*D5246</f>
        <v>65.5</v>
      </c>
      <c r="G5246" s="20" t="n">
        <f aca="false">E5246+F5246</f>
        <v>350.59</v>
      </c>
      <c r="H5246" s="20" t="n">
        <f aca="false">IF(G5246&lt;Parametres!$B$8*Parametres!$B$7,0,MIN(G5246,Parametres!$B$7))</f>
        <v>250</v>
      </c>
      <c r="I5246" s="20" t="n">
        <f aca="false">G5246-H5246</f>
        <v>100.59</v>
      </c>
      <c r="J5246" s="21" t="n">
        <f aca="false">H5246*1000/Parametres!$B$9</f>
        <v>4239.44378497541</v>
      </c>
    </row>
    <row r="5247" customFormat="false" ht="15" hidden="false" customHeight="false" outlineLevel="0" collapsed="false">
      <c r="A5247" s="0" t="n">
        <v>5243</v>
      </c>
      <c r="B5247" s="0" t="n">
        <v>8</v>
      </c>
      <c r="C5247" s="19" t="n">
        <v>1</v>
      </c>
      <c r="D5247" s="19" t="n">
        <v>0.5648</v>
      </c>
      <c r="E5247" s="20" t="n">
        <f aca="false">Parametres!$B$5*C5247</f>
        <v>300</v>
      </c>
      <c r="F5247" s="20" t="n">
        <f aca="false">Parametres!$B$6*D5247</f>
        <v>112.96</v>
      </c>
      <c r="G5247" s="20" t="n">
        <f aca="false">E5247+F5247</f>
        <v>412.96</v>
      </c>
      <c r="H5247" s="20" t="n">
        <f aca="false">IF(G5247&lt;Parametres!$B$8*Parametres!$B$7,0,MIN(G5247,Parametres!$B$7))</f>
        <v>250</v>
      </c>
      <c r="I5247" s="20" t="n">
        <f aca="false">G5247-H5247</f>
        <v>162.96</v>
      </c>
      <c r="J5247" s="21" t="n">
        <f aca="false">H5247*1000/Parametres!$B$9</f>
        <v>4239.44378497541</v>
      </c>
    </row>
    <row r="5248" customFormat="false" ht="15" hidden="false" customHeight="false" outlineLevel="0" collapsed="false">
      <c r="A5248" s="0" t="n">
        <v>5244</v>
      </c>
      <c r="B5248" s="0" t="n">
        <v>8</v>
      </c>
      <c r="C5248" s="19" t="n">
        <v>1</v>
      </c>
      <c r="D5248" s="19" t="n">
        <v>0.6455</v>
      </c>
      <c r="E5248" s="20" t="n">
        <f aca="false">Parametres!$B$5*C5248</f>
        <v>300</v>
      </c>
      <c r="F5248" s="20" t="n">
        <f aca="false">Parametres!$B$6*D5248</f>
        <v>129.1</v>
      </c>
      <c r="G5248" s="20" t="n">
        <f aca="false">E5248+F5248</f>
        <v>429.1</v>
      </c>
      <c r="H5248" s="20" t="n">
        <f aca="false">IF(G5248&lt;Parametres!$B$8*Parametres!$B$7,0,MIN(G5248,Parametres!$B$7))</f>
        <v>250</v>
      </c>
      <c r="I5248" s="20" t="n">
        <f aca="false">G5248-H5248</f>
        <v>179.1</v>
      </c>
      <c r="J5248" s="21" t="n">
        <f aca="false">H5248*1000/Parametres!$B$9</f>
        <v>4239.44378497541</v>
      </c>
    </row>
    <row r="5249" customFormat="false" ht="15" hidden="false" customHeight="false" outlineLevel="0" collapsed="false">
      <c r="A5249" s="0" t="n">
        <v>5245</v>
      </c>
      <c r="B5249" s="0" t="n">
        <v>8</v>
      </c>
      <c r="C5249" s="19" t="n">
        <v>1</v>
      </c>
      <c r="D5249" s="19" t="n">
        <v>1</v>
      </c>
      <c r="E5249" s="20" t="n">
        <f aca="false">Parametres!$B$5*C5249</f>
        <v>300</v>
      </c>
      <c r="F5249" s="20" t="n">
        <f aca="false">Parametres!$B$6*D5249</f>
        <v>200</v>
      </c>
      <c r="G5249" s="20" t="n">
        <f aca="false">E5249+F5249</f>
        <v>500</v>
      </c>
      <c r="H5249" s="20" t="n">
        <f aca="false">IF(G5249&lt;Parametres!$B$8*Parametres!$B$7,0,MIN(G5249,Parametres!$B$7))</f>
        <v>250</v>
      </c>
      <c r="I5249" s="20" t="n">
        <f aca="false">G5249-H5249</f>
        <v>250</v>
      </c>
      <c r="J5249" s="21" t="n">
        <f aca="false">H5249*1000/Parametres!$B$9</f>
        <v>4239.44378497541</v>
      </c>
    </row>
    <row r="5250" customFormat="false" ht="15" hidden="false" customHeight="false" outlineLevel="0" collapsed="false">
      <c r="A5250" s="0" t="n">
        <v>5246</v>
      </c>
      <c r="B5250" s="0" t="n">
        <v>8</v>
      </c>
      <c r="C5250" s="19" t="n">
        <v>1</v>
      </c>
      <c r="D5250" s="19" t="n">
        <v>1</v>
      </c>
      <c r="E5250" s="20" t="n">
        <f aca="false">Parametres!$B$5*C5250</f>
        <v>300</v>
      </c>
      <c r="F5250" s="20" t="n">
        <f aca="false">Parametres!$B$6*D5250</f>
        <v>200</v>
      </c>
      <c r="G5250" s="20" t="n">
        <f aca="false">E5250+F5250</f>
        <v>500</v>
      </c>
      <c r="H5250" s="20" t="n">
        <f aca="false">IF(G5250&lt;Parametres!$B$8*Parametres!$B$7,0,MIN(G5250,Parametres!$B$7))</f>
        <v>250</v>
      </c>
      <c r="I5250" s="20" t="n">
        <f aca="false">G5250-H5250</f>
        <v>250</v>
      </c>
      <c r="J5250" s="21" t="n">
        <f aca="false">H5250*1000/Parametres!$B$9</f>
        <v>4239.44378497541</v>
      </c>
    </row>
    <row r="5251" customFormat="false" ht="15" hidden="false" customHeight="false" outlineLevel="0" collapsed="false">
      <c r="A5251" s="0" t="n">
        <v>5247</v>
      </c>
      <c r="B5251" s="0" t="n">
        <v>8</v>
      </c>
      <c r="C5251" s="19" t="n">
        <v>0.9142</v>
      </c>
      <c r="D5251" s="19" t="n">
        <v>1</v>
      </c>
      <c r="E5251" s="20" t="n">
        <f aca="false">Parametres!$B$5*C5251</f>
        <v>274.26</v>
      </c>
      <c r="F5251" s="20" t="n">
        <f aca="false">Parametres!$B$6*D5251</f>
        <v>200</v>
      </c>
      <c r="G5251" s="20" t="n">
        <f aca="false">E5251+F5251</f>
        <v>474.26</v>
      </c>
      <c r="H5251" s="20" t="n">
        <f aca="false">IF(G5251&lt;Parametres!$B$8*Parametres!$B$7,0,MIN(G5251,Parametres!$B$7))</f>
        <v>250</v>
      </c>
      <c r="I5251" s="20" t="n">
        <f aca="false">G5251-H5251</f>
        <v>224.26</v>
      </c>
      <c r="J5251" s="21" t="n">
        <f aca="false">H5251*1000/Parametres!$B$9</f>
        <v>4239.44378497541</v>
      </c>
    </row>
    <row r="5252" customFormat="false" ht="15" hidden="false" customHeight="false" outlineLevel="0" collapsed="false">
      <c r="A5252" s="0" t="n">
        <v>5248</v>
      </c>
      <c r="B5252" s="0" t="n">
        <v>8</v>
      </c>
      <c r="C5252" s="19" t="n">
        <v>0.764</v>
      </c>
      <c r="D5252" s="19" t="n">
        <v>1</v>
      </c>
      <c r="E5252" s="20" t="n">
        <f aca="false">Parametres!$B$5*C5252</f>
        <v>229.2</v>
      </c>
      <c r="F5252" s="20" t="n">
        <f aca="false">Parametres!$B$6*D5252</f>
        <v>200</v>
      </c>
      <c r="G5252" s="20" t="n">
        <f aca="false">E5252+F5252</f>
        <v>429.2</v>
      </c>
      <c r="H5252" s="20" t="n">
        <f aca="false">IF(G5252&lt;Parametres!$B$8*Parametres!$B$7,0,MIN(G5252,Parametres!$B$7))</f>
        <v>250</v>
      </c>
      <c r="I5252" s="20" t="n">
        <f aca="false">G5252-H5252</f>
        <v>179.2</v>
      </c>
      <c r="J5252" s="21" t="n">
        <f aca="false">H5252*1000/Parametres!$B$9</f>
        <v>4239.44378497541</v>
      </c>
    </row>
    <row r="5253" customFormat="false" ht="15" hidden="false" customHeight="false" outlineLevel="0" collapsed="false">
      <c r="A5253" s="0" t="n">
        <v>5249</v>
      </c>
      <c r="B5253" s="0" t="n">
        <v>8</v>
      </c>
      <c r="C5253" s="19" t="n">
        <v>0.4975</v>
      </c>
      <c r="D5253" s="19" t="n">
        <v>1</v>
      </c>
      <c r="E5253" s="20" t="n">
        <f aca="false">Parametres!$B$5*C5253</f>
        <v>149.25</v>
      </c>
      <c r="F5253" s="20" t="n">
        <f aca="false">Parametres!$B$6*D5253</f>
        <v>200</v>
      </c>
      <c r="G5253" s="20" t="n">
        <f aca="false">E5253+F5253</f>
        <v>349.25</v>
      </c>
      <c r="H5253" s="20" t="n">
        <f aca="false">IF(G5253&lt;Parametres!$B$8*Parametres!$B$7,0,MIN(G5253,Parametres!$B$7))</f>
        <v>250</v>
      </c>
      <c r="I5253" s="20" t="n">
        <f aca="false">G5253-H5253</f>
        <v>99.25</v>
      </c>
      <c r="J5253" s="21" t="n">
        <f aca="false">H5253*1000/Parametres!$B$9</f>
        <v>4239.44378497541</v>
      </c>
    </row>
    <row r="5254" customFormat="false" ht="15" hidden="false" customHeight="false" outlineLevel="0" collapsed="false">
      <c r="A5254" s="0" t="n">
        <v>5250</v>
      </c>
      <c r="B5254" s="0" t="n">
        <v>8</v>
      </c>
      <c r="C5254" s="19" t="n">
        <v>0.2406</v>
      </c>
      <c r="D5254" s="19" t="n">
        <v>1</v>
      </c>
      <c r="E5254" s="20" t="n">
        <f aca="false">Parametres!$B$5*C5254</f>
        <v>72.18</v>
      </c>
      <c r="F5254" s="20" t="n">
        <f aca="false">Parametres!$B$6*D5254</f>
        <v>200</v>
      </c>
      <c r="G5254" s="20" t="n">
        <f aca="false">E5254+F5254</f>
        <v>272.18</v>
      </c>
      <c r="H5254" s="20" t="n">
        <f aca="false">IF(G5254&lt;Parametres!$B$8*Parametres!$B$7,0,MIN(G5254,Parametres!$B$7))</f>
        <v>250</v>
      </c>
      <c r="I5254" s="20" t="n">
        <f aca="false">G5254-H5254</f>
        <v>22.18</v>
      </c>
      <c r="J5254" s="21" t="n">
        <f aca="false">H5254*1000/Parametres!$B$9</f>
        <v>4239.44378497541</v>
      </c>
    </row>
    <row r="5255" customFormat="false" ht="15" hidden="false" customHeight="false" outlineLevel="0" collapsed="false">
      <c r="A5255" s="0" t="n">
        <v>5251</v>
      </c>
      <c r="B5255" s="0" t="n">
        <v>8</v>
      </c>
      <c r="C5255" s="19" t="n">
        <v>0.017</v>
      </c>
      <c r="D5255" s="19" t="n">
        <v>1</v>
      </c>
      <c r="E5255" s="20" t="n">
        <f aca="false">Parametres!$B$5*C5255</f>
        <v>5.1</v>
      </c>
      <c r="F5255" s="20" t="n">
        <f aca="false">Parametres!$B$6*D5255</f>
        <v>200</v>
      </c>
      <c r="G5255" s="20" t="n">
        <f aca="false">E5255+F5255</f>
        <v>205.1</v>
      </c>
      <c r="H5255" s="20" t="n">
        <f aca="false">IF(G5255&lt;Parametres!$B$8*Parametres!$B$7,0,MIN(G5255,Parametres!$B$7))</f>
        <v>205.1</v>
      </c>
      <c r="I5255" s="20" t="n">
        <f aca="false">G5255-H5255</f>
        <v>0</v>
      </c>
      <c r="J5255" s="21" t="n">
        <f aca="false">H5255*1000/Parametres!$B$9</f>
        <v>3478.03968119383</v>
      </c>
    </row>
    <row r="5256" customFormat="false" ht="15" hidden="false" customHeight="false" outlineLevel="0" collapsed="false">
      <c r="A5256" s="0" t="n">
        <v>5252</v>
      </c>
      <c r="B5256" s="0" t="n">
        <v>8</v>
      </c>
      <c r="C5256" s="19" t="n">
        <v>0</v>
      </c>
      <c r="D5256" s="19" t="n">
        <v>1</v>
      </c>
      <c r="E5256" s="20" t="n">
        <f aca="false">Parametres!$B$5*C5256</f>
        <v>0</v>
      </c>
      <c r="F5256" s="20" t="n">
        <f aca="false">Parametres!$B$6*D5256</f>
        <v>200</v>
      </c>
      <c r="G5256" s="20" t="n">
        <f aca="false">E5256+F5256</f>
        <v>200</v>
      </c>
      <c r="H5256" s="20" t="n">
        <f aca="false">IF(G5256&lt;Parametres!$B$8*Parametres!$B$7,0,MIN(G5256,Parametres!$B$7))</f>
        <v>200</v>
      </c>
      <c r="I5256" s="20" t="n">
        <f aca="false">G5256-H5256</f>
        <v>0</v>
      </c>
      <c r="J5256" s="21" t="n">
        <f aca="false">H5256*1000/Parametres!$B$9</f>
        <v>3391.55502798033</v>
      </c>
    </row>
    <row r="5257" customFormat="false" ht="15" hidden="false" customHeight="false" outlineLevel="0" collapsed="false">
      <c r="A5257" s="0" t="n">
        <v>5253</v>
      </c>
      <c r="B5257" s="0" t="n">
        <v>8</v>
      </c>
      <c r="C5257" s="19" t="n">
        <v>0</v>
      </c>
      <c r="D5257" s="19" t="n">
        <v>1</v>
      </c>
      <c r="E5257" s="20" t="n">
        <f aca="false">Parametres!$B$5*C5257</f>
        <v>0</v>
      </c>
      <c r="F5257" s="20" t="n">
        <f aca="false">Parametres!$B$6*D5257</f>
        <v>200</v>
      </c>
      <c r="G5257" s="20" t="n">
        <f aca="false">E5257+F5257</f>
        <v>200</v>
      </c>
      <c r="H5257" s="20" t="n">
        <f aca="false">IF(G5257&lt;Parametres!$B$8*Parametres!$B$7,0,MIN(G5257,Parametres!$B$7))</f>
        <v>200</v>
      </c>
      <c r="I5257" s="20" t="n">
        <f aca="false">G5257-H5257</f>
        <v>0</v>
      </c>
      <c r="J5257" s="21" t="n">
        <f aca="false">H5257*1000/Parametres!$B$9</f>
        <v>3391.55502798033</v>
      </c>
    </row>
    <row r="5258" customFormat="false" ht="15" hidden="false" customHeight="false" outlineLevel="0" collapsed="false">
      <c r="A5258" s="0" t="n">
        <v>5254</v>
      </c>
      <c r="B5258" s="0" t="n">
        <v>8</v>
      </c>
      <c r="C5258" s="19" t="n">
        <v>0</v>
      </c>
      <c r="D5258" s="19" t="n">
        <v>1</v>
      </c>
      <c r="E5258" s="20" t="n">
        <f aca="false">Parametres!$B$5*C5258</f>
        <v>0</v>
      </c>
      <c r="F5258" s="20" t="n">
        <f aca="false">Parametres!$B$6*D5258</f>
        <v>200</v>
      </c>
      <c r="G5258" s="20" t="n">
        <f aca="false">E5258+F5258</f>
        <v>200</v>
      </c>
      <c r="H5258" s="20" t="n">
        <f aca="false">IF(G5258&lt;Parametres!$B$8*Parametres!$B$7,0,MIN(G5258,Parametres!$B$7))</f>
        <v>200</v>
      </c>
      <c r="I5258" s="20" t="n">
        <f aca="false">G5258-H5258</f>
        <v>0</v>
      </c>
      <c r="J5258" s="21" t="n">
        <f aca="false">H5258*1000/Parametres!$B$9</f>
        <v>3391.55502798033</v>
      </c>
    </row>
    <row r="5259" customFormat="false" ht="15" hidden="false" customHeight="false" outlineLevel="0" collapsed="false">
      <c r="A5259" s="0" t="n">
        <v>5255</v>
      </c>
      <c r="B5259" s="0" t="n">
        <v>8</v>
      </c>
      <c r="C5259" s="19" t="n">
        <v>0</v>
      </c>
      <c r="D5259" s="19" t="n">
        <v>1</v>
      </c>
      <c r="E5259" s="20" t="n">
        <f aca="false">Parametres!$B$5*C5259</f>
        <v>0</v>
      </c>
      <c r="F5259" s="20" t="n">
        <f aca="false">Parametres!$B$6*D5259</f>
        <v>200</v>
      </c>
      <c r="G5259" s="20" t="n">
        <f aca="false">E5259+F5259</f>
        <v>200</v>
      </c>
      <c r="H5259" s="20" t="n">
        <f aca="false">IF(G5259&lt;Parametres!$B$8*Parametres!$B$7,0,MIN(G5259,Parametres!$B$7))</f>
        <v>200</v>
      </c>
      <c r="I5259" s="20" t="n">
        <f aca="false">G5259-H5259</f>
        <v>0</v>
      </c>
      <c r="J5259" s="21" t="n">
        <f aca="false">H5259*1000/Parametres!$B$9</f>
        <v>3391.55502798033</v>
      </c>
    </row>
    <row r="5260" customFormat="false" ht="15" hidden="false" customHeight="false" outlineLevel="0" collapsed="false">
      <c r="A5260" s="0" t="n">
        <v>5256</v>
      </c>
      <c r="B5260" s="0" t="n">
        <v>8</v>
      </c>
      <c r="C5260" s="19" t="n">
        <v>0</v>
      </c>
      <c r="D5260" s="19" t="n">
        <v>1</v>
      </c>
      <c r="E5260" s="20" t="n">
        <f aca="false">Parametres!$B$5*C5260</f>
        <v>0</v>
      </c>
      <c r="F5260" s="20" t="n">
        <f aca="false">Parametres!$B$6*D5260</f>
        <v>200</v>
      </c>
      <c r="G5260" s="20" t="n">
        <f aca="false">E5260+F5260</f>
        <v>200</v>
      </c>
      <c r="H5260" s="20" t="n">
        <f aca="false">IF(G5260&lt;Parametres!$B$8*Parametres!$B$7,0,MIN(G5260,Parametres!$B$7))</f>
        <v>200</v>
      </c>
      <c r="I5260" s="20" t="n">
        <f aca="false">G5260-H5260</f>
        <v>0</v>
      </c>
      <c r="J5260" s="21" t="n">
        <f aca="false">H5260*1000/Parametres!$B$9</f>
        <v>3391.55502798033</v>
      </c>
    </row>
    <row r="5261" customFormat="false" ht="15" hidden="false" customHeight="false" outlineLevel="0" collapsed="false">
      <c r="A5261" s="0" t="n">
        <v>5257</v>
      </c>
      <c r="B5261" s="0" t="n">
        <v>8</v>
      </c>
      <c r="C5261" s="19" t="n">
        <v>0</v>
      </c>
      <c r="D5261" s="19" t="n">
        <v>1</v>
      </c>
      <c r="E5261" s="20" t="n">
        <f aca="false">Parametres!$B$5*C5261</f>
        <v>0</v>
      </c>
      <c r="F5261" s="20" t="n">
        <f aca="false">Parametres!$B$6*D5261</f>
        <v>200</v>
      </c>
      <c r="G5261" s="20" t="n">
        <f aca="false">E5261+F5261</f>
        <v>200</v>
      </c>
      <c r="H5261" s="20" t="n">
        <f aca="false">IF(G5261&lt;Parametres!$B$8*Parametres!$B$7,0,MIN(G5261,Parametres!$B$7))</f>
        <v>200</v>
      </c>
      <c r="I5261" s="20" t="n">
        <f aca="false">G5261-H5261</f>
        <v>0</v>
      </c>
      <c r="J5261" s="21" t="n">
        <f aca="false">H5261*1000/Parametres!$B$9</f>
        <v>3391.55502798033</v>
      </c>
    </row>
    <row r="5262" customFormat="false" ht="15" hidden="false" customHeight="false" outlineLevel="0" collapsed="false">
      <c r="A5262" s="0" t="n">
        <v>5258</v>
      </c>
      <c r="B5262" s="0" t="n">
        <v>8</v>
      </c>
      <c r="C5262" s="19" t="n">
        <v>0</v>
      </c>
      <c r="D5262" s="19" t="n">
        <v>1</v>
      </c>
      <c r="E5262" s="20" t="n">
        <f aca="false">Parametres!$B$5*C5262</f>
        <v>0</v>
      </c>
      <c r="F5262" s="20" t="n">
        <f aca="false">Parametres!$B$6*D5262</f>
        <v>200</v>
      </c>
      <c r="G5262" s="20" t="n">
        <f aca="false">E5262+F5262</f>
        <v>200</v>
      </c>
      <c r="H5262" s="20" t="n">
        <f aca="false">IF(G5262&lt;Parametres!$B$8*Parametres!$B$7,0,MIN(G5262,Parametres!$B$7))</f>
        <v>200</v>
      </c>
      <c r="I5262" s="20" t="n">
        <f aca="false">G5262-H5262</f>
        <v>0</v>
      </c>
      <c r="J5262" s="21" t="n">
        <f aca="false">H5262*1000/Parametres!$B$9</f>
        <v>3391.55502798033</v>
      </c>
    </row>
    <row r="5263" customFormat="false" ht="15" hidden="false" customHeight="false" outlineLevel="0" collapsed="false">
      <c r="A5263" s="0" t="n">
        <v>5259</v>
      </c>
      <c r="B5263" s="0" t="n">
        <v>8</v>
      </c>
      <c r="C5263" s="19" t="n">
        <v>0</v>
      </c>
      <c r="D5263" s="19" t="n">
        <v>1</v>
      </c>
      <c r="E5263" s="20" t="n">
        <f aca="false">Parametres!$B$5*C5263</f>
        <v>0</v>
      </c>
      <c r="F5263" s="20" t="n">
        <f aca="false">Parametres!$B$6*D5263</f>
        <v>200</v>
      </c>
      <c r="G5263" s="20" t="n">
        <f aca="false">E5263+F5263</f>
        <v>200</v>
      </c>
      <c r="H5263" s="20" t="n">
        <f aca="false">IF(G5263&lt;Parametres!$B$8*Parametres!$B$7,0,MIN(G5263,Parametres!$B$7))</f>
        <v>200</v>
      </c>
      <c r="I5263" s="20" t="n">
        <f aca="false">G5263-H5263</f>
        <v>0</v>
      </c>
      <c r="J5263" s="21" t="n">
        <f aca="false">H5263*1000/Parametres!$B$9</f>
        <v>3391.55502798033</v>
      </c>
    </row>
    <row r="5264" customFormat="false" ht="15" hidden="false" customHeight="false" outlineLevel="0" collapsed="false">
      <c r="A5264" s="0" t="n">
        <v>5260</v>
      </c>
      <c r="B5264" s="0" t="n">
        <v>8</v>
      </c>
      <c r="C5264" s="19" t="n">
        <v>0</v>
      </c>
      <c r="D5264" s="19" t="n">
        <v>1</v>
      </c>
      <c r="E5264" s="20" t="n">
        <f aca="false">Parametres!$B$5*C5264</f>
        <v>0</v>
      </c>
      <c r="F5264" s="20" t="n">
        <f aca="false">Parametres!$B$6*D5264</f>
        <v>200</v>
      </c>
      <c r="G5264" s="20" t="n">
        <f aca="false">E5264+F5264</f>
        <v>200</v>
      </c>
      <c r="H5264" s="20" t="n">
        <f aca="false">IF(G5264&lt;Parametres!$B$8*Parametres!$B$7,0,MIN(G5264,Parametres!$B$7))</f>
        <v>200</v>
      </c>
      <c r="I5264" s="20" t="n">
        <f aca="false">G5264-H5264</f>
        <v>0</v>
      </c>
      <c r="J5264" s="21" t="n">
        <f aca="false">H5264*1000/Parametres!$B$9</f>
        <v>3391.55502798033</v>
      </c>
    </row>
    <row r="5265" customFormat="false" ht="15" hidden="false" customHeight="false" outlineLevel="0" collapsed="false">
      <c r="A5265" s="0" t="n">
        <v>5261</v>
      </c>
      <c r="B5265" s="0" t="n">
        <v>8</v>
      </c>
      <c r="C5265" s="19" t="n">
        <v>0</v>
      </c>
      <c r="D5265" s="19" t="n">
        <v>1</v>
      </c>
      <c r="E5265" s="20" t="n">
        <f aca="false">Parametres!$B$5*C5265</f>
        <v>0</v>
      </c>
      <c r="F5265" s="20" t="n">
        <f aca="false">Parametres!$B$6*D5265</f>
        <v>200</v>
      </c>
      <c r="G5265" s="20" t="n">
        <f aca="false">E5265+F5265</f>
        <v>200</v>
      </c>
      <c r="H5265" s="20" t="n">
        <f aca="false">IF(G5265&lt;Parametres!$B$8*Parametres!$B$7,0,MIN(G5265,Parametres!$B$7))</f>
        <v>200</v>
      </c>
      <c r="I5265" s="20" t="n">
        <f aca="false">G5265-H5265</f>
        <v>0</v>
      </c>
      <c r="J5265" s="21" t="n">
        <f aca="false">H5265*1000/Parametres!$B$9</f>
        <v>3391.55502798033</v>
      </c>
    </row>
    <row r="5266" customFormat="false" ht="15" hidden="false" customHeight="false" outlineLevel="0" collapsed="false">
      <c r="A5266" s="0" t="n">
        <v>5262</v>
      </c>
      <c r="B5266" s="0" t="n">
        <v>8</v>
      </c>
      <c r="C5266" s="19" t="n">
        <v>0.0144</v>
      </c>
      <c r="D5266" s="19" t="n">
        <v>1</v>
      </c>
      <c r="E5266" s="20" t="n">
        <f aca="false">Parametres!$B$5*C5266</f>
        <v>4.32</v>
      </c>
      <c r="F5266" s="20" t="n">
        <f aca="false">Parametres!$B$6*D5266</f>
        <v>200</v>
      </c>
      <c r="G5266" s="20" t="n">
        <f aca="false">E5266+F5266</f>
        <v>204.32</v>
      </c>
      <c r="H5266" s="20" t="n">
        <f aca="false">IF(G5266&lt;Parametres!$B$8*Parametres!$B$7,0,MIN(G5266,Parametres!$B$7))</f>
        <v>204.32</v>
      </c>
      <c r="I5266" s="20" t="n">
        <f aca="false">G5266-H5266</f>
        <v>0</v>
      </c>
      <c r="J5266" s="21" t="n">
        <f aca="false">H5266*1000/Parametres!$B$9</f>
        <v>3464.8126165847</v>
      </c>
    </row>
    <row r="5267" customFormat="false" ht="15" hidden="false" customHeight="false" outlineLevel="0" collapsed="false">
      <c r="A5267" s="0" t="n">
        <v>5263</v>
      </c>
      <c r="B5267" s="0" t="n">
        <v>8</v>
      </c>
      <c r="C5267" s="19" t="n">
        <v>0.2444</v>
      </c>
      <c r="D5267" s="19" t="n">
        <v>1</v>
      </c>
      <c r="E5267" s="20" t="n">
        <f aca="false">Parametres!$B$5*C5267</f>
        <v>73.32</v>
      </c>
      <c r="F5267" s="20" t="n">
        <f aca="false">Parametres!$B$6*D5267</f>
        <v>200</v>
      </c>
      <c r="G5267" s="20" t="n">
        <f aca="false">E5267+F5267</f>
        <v>273.32</v>
      </c>
      <c r="H5267" s="20" t="n">
        <f aca="false">IF(G5267&lt;Parametres!$B$8*Parametres!$B$7,0,MIN(G5267,Parametres!$B$7))</f>
        <v>250</v>
      </c>
      <c r="I5267" s="20" t="n">
        <f aca="false">G5267-H5267</f>
        <v>23.32</v>
      </c>
      <c r="J5267" s="21" t="n">
        <f aca="false">H5267*1000/Parametres!$B$9</f>
        <v>4239.44378497541</v>
      </c>
    </row>
    <row r="5268" customFormat="false" ht="15" hidden="false" customHeight="false" outlineLevel="0" collapsed="false">
      <c r="A5268" s="0" t="n">
        <v>5264</v>
      </c>
      <c r="B5268" s="0" t="n">
        <v>8</v>
      </c>
      <c r="C5268" s="19" t="n">
        <v>0.4905</v>
      </c>
      <c r="D5268" s="19" t="n">
        <v>1</v>
      </c>
      <c r="E5268" s="20" t="n">
        <f aca="false">Parametres!$B$5*C5268</f>
        <v>147.15</v>
      </c>
      <c r="F5268" s="20" t="n">
        <f aca="false">Parametres!$B$6*D5268</f>
        <v>200</v>
      </c>
      <c r="G5268" s="20" t="n">
        <f aca="false">E5268+F5268</f>
        <v>347.15</v>
      </c>
      <c r="H5268" s="20" t="n">
        <f aca="false">IF(G5268&lt;Parametres!$B$8*Parametres!$B$7,0,MIN(G5268,Parametres!$B$7))</f>
        <v>250</v>
      </c>
      <c r="I5268" s="20" t="n">
        <f aca="false">G5268-H5268</f>
        <v>97.15</v>
      </c>
      <c r="J5268" s="21" t="n">
        <f aca="false">H5268*1000/Parametres!$B$9</f>
        <v>4239.44378497541</v>
      </c>
    </row>
    <row r="5269" customFormat="false" ht="15" hidden="false" customHeight="false" outlineLevel="0" collapsed="false">
      <c r="A5269" s="0" t="n">
        <v>5265</v>
      </c>
      <c r="B5269" s="0" t="n">
        <v>8</v>
      </c>
      <c r="C5269" s="19" t="n">
        <v>0.7946</v>
      </c>
      <c r="D5269" s="19" t="n">
        <v>1</v>
      </c>
      <c r="E5269" s="20" t="n">
        <f aca="false">Parametres!$B$5*C5269</f>
        <v>238.38</v>
      </c>
      <c r="F5269" s="20" t="n">
        <f aca="false">Parametres!$B$6*D5269</f>
        <v>200</v>
      </c>
      <c r="G5269" s="20" t="n">
        <f aca="false">E5269+F5269</f>
        <v>438.38</v>
      </c>
      <c r="H5269" s="20" t="n">
        <f aca="false">IF(G5269&lt;Parametres!$B$8*Parametres!$B$7,0,MIN(G5269,Parametres!$B$7))</f>
        <v>250</v>
      </c>
      <c r="I5269" s="20" t="n">
        <f aca="false">G5269-H5269</f>
        <v>188.38</v>
      </c>
      <c r="J5269" s="21" t="n">
        <f aca="false">H5269*1000/Parametres!$B$9</f>
        <v>4239.44378497541</v>
      </c>
    </row>
    <row r="5270" customFormat="false" ht="15" hidden="false" customHeight="false" outlineLevel="0" collapsed="false">
      <c r="A5270" s="0" t="n">
        <v>5266</v>
      </c>
      <c r="B5270" s="0" t="n">
        <v>8</v>
      </c>
      <c r="C5270" s="19" t="n">
        <v>1</v>
      </c>
      <c r="D5270" s="19" t="n">
        <v>1</v>
      </c>
      <c r="E5270" s="20" t="n">
        <f aca="false">Parametres!$B$5*C5270</f>
        <v>300</v>
      </c>
      <c r="F5270" s="20" t="n">
        <f aca="false">Parametres!$B$6*D5270</f>
        <v>200</v>
      </c>
      <c r="G5270" s="20" t="n">
        <f aca="false">E5270+F5270</f>
        <v>500</v>
      </c>
      <c r="H5270" s="20" t="n">
        <f aca="false">IF(G5270&lt;Parametres!$B$8*Parametres!$B$7,0,MIN(G5270,Parametres!$B$7))</f>
        <v>250</v>
      </c>
      <c r="I5270" s="20" t="n">
        <f aca="false">G5270-H5270</f>
        <v>250</v>
      </c>
      <c r="J5270" s="21" t="n">
        <f aca="false">H5270*1000/Parametres!$B$9</f>
        <v>4239.44378497541</v>
      </c>
    </row>
    <row r="5271" customFormat="false" ht="15" hidden="false" customHeight="false" outlineLevel="0" collapsed="false">
      <c r="A5271" s="0" t="n">
        <v>5267</v>
      </c>
      <c r="B5271" s="0" t="n">
        <v>8</v>
      </c>
      <c r="C5271" s="19" t="n">
        <v>1</v>
      </c>
      <c r="D5271" s="19" t="n">
        <v>1</v>
      </c>
      <c r="E5271" s="20" t="n">
        <f aca="false">Parametres!$B$5*C5271</f>
        <v>300</v>
      </c>
      <c r="F5271" s="20" t="n">
        <f aca="false">Parametres!$B$6*D5271</f>
        <v>200</v>
      </c>
      <c r="G5271" s="20" t="n">
        <f aca="false">E5271+F5271</f>
        <v>500</v>
      </c>
      <c r="H5271" s="20" t="n">
        <f aca="false">IF(G5271&lt;Parametres!$B$8*Parametres!$B$7,0,MIN(G5271,Parametres!$B$7))</f>
        <v>250</v>
      </c>
      <c r="I5271" s="20" t="n">
        <f aca="false">G5271-H5271</f>
        <v>250</v>
      </c>
      <c r="J5271" s="21" t="n">
        <f aca="false">H5271*1000/Parametres!$B$9</f>
        <v>4239.44378497541</v>
      </c>
    </row>
    <row r="5272" customFormat="false" ht="15" hidden="false" customHeight="false" outlineLevel="0" collapsed="false">
      <c r="A5272" s="0" t="n">
        <v>5268</v>
      </c>
      <c r="B5272" s="0" t="n">
        <v>8</v>
      </c>
      <c r="C5272" s="19" t="n">
        <v>1</v>
      </c>
      <c r="D5272" s="19" t="n">
        <v>1</v>
      </c>
      <c r="E5272" s="20" t="n">
        <f aca="false">Parametres!$B$5*C5272</f>
        <v>300</v>
      </c>
      <c r="F5272" s="20" t="n">
        <f aca="false">Parametres!$B$6*D5272</f>
        <v>200</v>
      </c>
      <c r="G5272" s="20" t="n">
        <f aca="false">E5272+F5272</f>
        <v>500</v>
      </c>
      <c r="H5272" s="20" t="n">
        <f aca="false">IF(G5272&lt;Parametres!$B$8*Parametres!$B$7,0,MIN(G5272,Parametres!$B$7))</f>
        <v>250</v>
      </c>
      <c r="I5272" s="20" t="n">
        <f aca="false">G5272-H5272</f>
        <v>250</v>
      </c>
      <c r="J5272" s="21" t="n">
        <f aca="false">H5272*1000/Parametres!$B$9</f>
        <v>4239.44378497541</v>
      </c>
    </row>
    <row r="5273" customFormat="false" ht="15" hidden="false" customHeight="false" outlineLevel="0" collapsed="false">
      <c r="A5273" s="0" t="n">
        <v>5269</v>
      </c>
      <c r="B5273" s="0" t="n">
        <v>8</v>
      </c>
      <c r="C5273" s="19" t="n">
        <v>1</v>
      </c>
      <c r="D5273" s="19" t="n">
        <v>1</v>
      </c>
      <c r="E5273" s="20" t="n">
        <f aca="false">Parametres!$B$5*C5273</f>
        <v>300</v>
      </c>
      <c r="F5273" s="20" t="n">
        <f aca="false">Parametres!$B$6*D5273</f>
        <v>200</v>
      </c>
      <c r="G5273" s="20" t="n">
        <f aca="false">E5273+F5273</f>
        <v>500</v>
      </c>
      <c r="H5273" s="20" t="n">
        <f aca="false">IF(G5273&lt;Parametres!$B$8*Parametres!$B$7,0,MIN(G5273,Parametres!$B$7))</f>
        <v>250</v>
      </c>
      <c r="I5273" s="20" t="n">
        <f aca="false">G5273-H5273</f>
        <v>250</v>
      </c>
      <c r="J5273" s="21" t="n">
        <f aca="false">H5273*1000/Parametres!$B$9</f>
        <v>4239.44378497541</v>
      </c>
    </row>
    <row r="5274" customFormat="false" ht="15" hidden="false" customHeight="false" outlineLevel="0" collapsed="false">
      <c r="A5274" s="0" t="n">
        <v>5270</v>
      </c>
      <c r="B5274" s="0" t="n">
        <v>8</v>
      </c>
      <c r="C5274" s="19" t="n">
        <v>1</v>
      </c>
      <c r="D5274" s="19" t="n">
        <v>1</v>
      </c>
      <c r="E5274" s="20" t="n">
        <f aca="false">Parametres!$B$5*C5274</f>
        <v>300</v>
      </c>
      <c r="F5274" s="20" t="n">
        <f aca="false">Parametres!$B$6*D5274</f>
        <v>200</v>
      </c>
      <c r="G5274" s="20" t="n">
        <f aca="false">E5274+F5274</f>
        <v>500</v>
      </c>
      <c r="H5274" s="20" t="n">
        <f aca="false">IF(G5274&lt;Parametres!$B$8*Parametres!$B$7,0,MIN(G5274,Parametres!$B$7))</f>
        <v>250</v>
      </c>
      <c r="I5274" s="20" t="n">
        <f aca="false">G5274-H5274</f>
        <v>250</v>
      </c>
      <c r="J5274" s="21" t="n">
        <f aca="false">H5274*1000/Parametres!$B$9</f>
        <v>4239.44378497541</v>
      </c>
    </row>
    <row r="5275" customFormat="false" ht="15" hidden="false" customHeight="false" outlineLevel="0" collapsed="false">
      <c r="A5275" s="0" t="n">
        <v>5271</v>
      </c>
      <c r="B5275" s="0" t="n">
        <v>8</v>
      </c>
      <c r="C5275" s="19" t="n">
        <v>0.9801</v>
      </c>
      <c r="D5275" s="19" t="n">
        <v>1</v>
      </c>
      <c r="E5275" s="20" t="n">
        <f aca="false">Parametres!$B$5*C5275</f>
        <v>294.03</v>
      </c>
      <c r="F5275" s="20" t="n">
        <f aca="false">Parametres!$B$6*D5275</f>
        <v>200</v>
      </c>
      <c r="G5275" s="20" t="n">
        <f aca="false">E5275+F5275</f>
        <v>494.03</v>
      </c>
      <c r="H5275" s="20" t="n">
        <f aca="false">IF(G5275&lt;Parametres!$B$8*Parametres!$B$7,0,MIN(G5275,Parametres!$B$7))</f>
        <v>250</v>
      </c>
      <c r="I5275" s="20" t="n">
        <f aca="false">G5275-H5275</f>
        <v>244.03</v>
      </c>
      <c r="J5275" s="21" t="n">
        <f aca="false">H5275*1000/Parametres!$B$9</f>
        <v>4239.44378497541</v>
      </c>
    </row>
    <row r="5276" customFormat="false" ht="15" hidden="false" customHeight="false" outlineLevel="0" collapsed="false">
      <c r="A5276" s="0" t="n">
        <v>5272</v>
      </c>
      <c r="B5276" s="0" t="n">
        <v>8</v>
      </c>
      <c r="C5276" s="19" t="n">
        <v>0.8106</v>
      </c>
      <c r="D5276" s="19" t="n">
        <v>1</v>
      </c>
      <c r="E5276" s="20" t="n">
        <f aca="false">Parametres!$B$5*C5276</f>
        <v>243.18</v>
      </c>
      <c r="F5276" s="20" t="n">
        <f aca="false">Parametres!$B$6*D5276</f>
        <v>200</v>
      </c>
      <c r="G5276" s="20" t="n">
        <f aca="false">E5276+F5276</f>
        <v>443.18</v>
      </c>
      <c r="H5276" s="20" t="n">
        <f aca="false">IF(G5276&lt;Parametres!$B$8*Parametres!$B$7,0,MIN(G5276,Parametres!$B$7))</f>
        <v>250</v>
      </c>
      <c r="I5276" s="20" t="n">
        <f aca="false">G5276-H5276</f>
        <v>193.18</v>
      </c>
      <c r="J5276" s="21" t="n">
        <f aca="false">H5276*1000/Parametres!$B$9</f>
        <v>4239.44378497541</v>
      </c>
    </row>
    <row r="5277" customFormat="false" ht="15" hidden="false" customHeight="false" outlineLevel="0" collapsed="false">
      <c r="A5277" s="0" t="n">
        <v>5273</v>
      </c>
      <c r="B5277" s="0" t="n">
        <v>8</v>
      </c>
      <c r="C5277" s="19" t="n">
        <v>0.4999</v>
      </c>
      <c r="D5277" s="19" t="n">
        <v>1</v>
      </c>
      <c r="E5277" s="20" t="n">
        <f aca="false">Parametres!$B$5*C5277</f>
        <v>149.97</v>
      </c>
      <c r="F5277" s="20" t="n">
        <f aca="false">Parametres!$B$6*D5277</f>
        <v>200</v>
      </c>
      <c r="G5277" s="20" t="n">
        <f aca="false">E5277+F5277</f>
        <v>349.97</v>
      </c>
      <c r="H5277" s="20" t="n">
        <f aca="false">IF(G5277&lt;Parametres!$B$8*Parametres!$B$7,0,MIN(G5277,Parametres!$B$7))</f>
        <v>250</v>
      </c>
      <c r="I5277" s="20" t="n">
        <f aca="false">G5277-H5277</f>
        <v>99.97</v>
      </c>
      <c r="J5277" s="21" t="n">
        <f aca="false">H5277*1000/Parametres!$B$9</f>
        <v>4239.44378497541</v>
      </c>
    </row>
    <row r="5278" customFormat="false" ht="15" hidden="false" customHeight="false" outlineLevel="0" collapsed="false">
      <c r="A5278" s="0" t="n">
        <v>5274</v>
      </c>
      <c r="B5278" s="0" t="n">
        <v>8</v>
      </c>
      <c r="C5278" s="19" t="n">
        <v>0.2559</v>
      </c>
      <c r="D5278" s="19" t="n">
        <v>1</v>
      </c>
      <c r="E5278" s="20" t="n">
        <f aca="false">Parametres!$B$5*C5278</f>
        <v>76.77</v>
      </c>
      <c r="F5278" s="20" t="n">
        <f aca="false">Parametres!$B$6*D5278</f>
        <v>200</v>
      </c>
      <c r="G5278" s="20" t="n">
        <f aca="false">E5278+F5278</f>
        <v>276.77</v>
      </c>
      <c r="H5278" s="20" t="n">
        <f aca="false">IF(G5278&lt;Parametres!$B$8*Parametres!$B$7,0,MIN(G5278,Parametres!$B$7))</f>
        <v>250</v>
      </c>
      <c r="I5278" s="20" t="n">
        <f aca="false">G5278-H5278</f>
        <v>26.77</v>
      </c>
      <c r="J5278" s="21" t="n">
        <f aca="false">H5278*1000/Parametres!$B$9</f>
        <v>4239.44378497541</v>
      </c>
    </row>
    <row r="5279" customFormat="false" ht="15" hidden="false" customHeight="false" outlineLevel="0" collapsed="false">
      <c r="A5279" s="0" t="n">
        <v>5275</v>
      </c>
      <c r="B5279" s="0" t="n">
        <v>8</v>
      </c>
      <c r="C5279" s="19" t="n">
        <v>0.0158</v>
      </c>
      <c r="D5279" s="19" t="n">
        <v>1</v>
      </c>
      <c r="E5279" s="20" t="n">
        <f aca="false">Parametres!$B$5*C5279</f>
        <v>4.74</v>
      </c>
      <c r="F5279" s="20" t="n">
        <f aca="false">Parametres!$B$6*D5279</f>
        <v>200</v>
      </c>
      <c r="G5279" s="20" t="n">
        <f aca="false">E5279+F5279</f>
        <v>204.74</v>
      </c>
      <c r="H5279" s="20" t="n">
        <f aca="false">IF(G5279&lt;Parametres!$B$8*Parametres!$B$7,0,MIN(G5279,Parametres!$B$7))</f>
        <v>204.74</v>
      </c>
      <c r="I5279" s="20" t="n">
        <f aca="false">G5279-H5279</f>
        <v>0</v>
      </c>
      <c r="J5279" s="21" t="n">
        <f aca="false">H5279*1000/Parametres!$B$9</f>
        <v>3471.93488214346</v>
      </c>
    </row>
    <row r="5280" customFormat="false" ht="15" hidden="false" customHeight="false" outlineLevel="0" collapsed="false">
      <c r="A5280" s="0" t="n">
        <v>5276</v>
      </c>
      <c r="B5280" s="0" t="n">
        <v>8</v>
      </c>
      <c r="C5280" s="19" t="n">
        <v>0</v>
      </c>
      <c r="D5280" s="19" t="n">
        <v>0.7603</v>
      </c>
      <c r="E5280" s="20" t="n">
        <f aca="false">Parametres!$B$5*C5280</f>
        <v>0</v>
      </c>
      <c r="F5280" s="20" t="n">
        <f aca="false">Parametres!$B$6*D5280</f>
        <v>152.06</v>
      </c>
      <c r="G5280" s="20" t="n">
        <f aca="false">E5280+F5280</f>
        <v>152.06</v>
      </c>
      <c r="H5280" s="20" t="n">
        <f aca="false">IF(G5280&lt;Parametres!$B$8*Parametres!$B$7,0,MIN(G5280,Parametres!$B$7))</f>
        <v>152.06</v>
      </c>
      <c r="I5280" s="20" t="n">
        <f aca="false">G5280-H5280</f>
        <v>0</v>
      </c>
      <c r="J5280" s="21" t="n">
        <f aca="false">H5280*1000/Parametres!$B$9</f>
        <v>2578.59928777344</v>
      </c>
    </row>
    <row r="5281" customFormat="false" ht="15" hidden="false" customHeight="false" outlineLevel="0" collapsed="false">
      <c r="A5281" s="0" t="n">
        <v>5277</v>
      </c>
      <c r="B5281" s="0" t="n">
        <v>8</v>
      </c>
      <c r="C5281" s="19" t="n">
        <v>0</v>
      </c>
      <c r="D5281" s="19" t="n">
        <v>0.6647</v>
      </c>
      <c r="E5281" s="20" t="n">
        <f aca="false">Parametres!$B$5*C5281</f>
        <v>0</v>
      </c>
      <c r="F5281" s="20" t="n">
        <f aca="false">Parametres!$B$6*D5281</f>
        <v>132.94</v>
      </c>
      <c r="G5281" s="20" t="n">
        <f aca="false">E5281+F5281</f>
        <v>132.94</v>
      </c>
      <c r="H5281" s="20" t="n">
        <f aca="false">IF(G5281&lt;Parametres!$B$8*Parametres!$B$7,0,MIN(G5281,Parametres!$B$7))</f>
        <v>132.94</v>
      </c>
      <c r="I5281" s="20" t="n">
        <f aca="false">G5281-H5281</f>
        <v>0</v>
      </c>
      <c r="J5281" s="21" t="n">
        <f aca="false">H5281*1000/Parametres!$B$9</f>
        <v>2254.36662709852</v>
      </c>
    </row>
    <row r="5282" customFormat="false" ht="15" hidden="false" customHeight="false" outlineLevel="0" collapsed="false">
      <c r="A5282" s="0" t="n">
        <v>5278</v>
      </c>
      <c r="B5282" s="0" t="n">
        <v>8</v>
      </c>
      <c r="C5282" s="19" t="n">
        <v>0</v>
      </c>
      <c r="D5282" s="19" t="n">
        <v>0.3897</v>
      </c>
      <c r="E5282" s="20" t="n">
        <f aca="false">Parametres!$B$5*C5282</f>
        <v>0</v>
      </c>
      <c r="F5282" s="20" t="n">
        <f aca="false">Parametres!$B$6*D5282</f>
        <v>77.94</v>
      </c>
      <c r="G5282" s="20" t="n">
        <f aca="false">E5282+F5282</f>
        <v>77.94</v>
      </c>
      <c r="H5282" s="20" t="n">
        <f aca="false">IF(G5282&lt;Parametres!$B$8*Parametres!$B$7,0,MIN(G5282,Parametres!$B$7))</f>
        <v>77.94</v>
      </c>
      <c r="I5282" s="20" t="n">
        <f aca="false">G5282-H5282</f>
        <v>0</v>
      </c>
      <c r="J5282" s="21" t="n">
        <f aca="false">H5282*1000/Parametres!$B$9</f>
        <v>1321.68899440393</v>
      </c>
    </row>
    <row r="5283" customFormat="false" ht="15" hidden="false" customHeight="false" outlineLevel="0" collapsed="false">
      <c r="A5283" s="0" t="n">
        <v>5279</v>
      </c>
      <c r="B5283" s="0" t="n">
        <v>8</v>
      </c>
      <c r="C5283" s="19" t="n">
        <v>0</v>
      </c>
      <c r="D5283" s="19" t="n">
        <v>0.6467</v>
      </c>
      <c r="E5283" s="20" t="n">
        <f aca="false">Parametres!$B$5*C5283</f>
        <v>0</v>
      </c>
      <c r="F5283" s="20" t="n">
        <f aca="false">Parametres!$B$6*D5283</f>
        <v>129.34</v>
      </c>
      <c r="G5283" s="20" t="n">
        <f aca="false">E5283+F5283</f>
        <v>129.34</v>
      </c>
      <c r="H5283" s="20" t="n">
        <f aca="false">IF(G5283&lt;Parametres!$B$8*Parametres!$B$7,0,MIN(G5283,Parametres!$B$7))</f>
        <v>129.34</v>
      </c>
      <c r="I5283" s="20" t="n">
        <f aca="false">G5283-H5283</f>
        <v>0</v>
      </c>
      <c r="J5283" s="21" t="n">
        <f aca="false">H5283*1000/Parametres!$B$9</f>
        <v>2193.31863659488</v>
      </c>
    </row>
    <row r="5284" customFormat="false" ht="15" hidden="false" customHeight="false" outlineLevel="0" collapsed="false">
      <c r="A5284" s="0" t="n">
        <v>5280</v>
      </c>
      <c r="B5284" s="0" t="n">
        <v>8</v>
      </c>
      <c r="C5284" s="19" t="n">
        <v>0</v>
      </c>
      <c r="D5284" s="19" t="n">
        <v>0.2947</v>
      </c>
      <c r="E5284" s="20" t="n">
        <f aca="false">Parametres!$B$5*C5284</f>
        <v>0</v>
      </c>
      <c r="F5284" s="20" t="n">
        <f aca="false">Parametres!$B$6*D5284</f>
        <v>58.94</v>
      </c>
      <c r="G5284" s="20" t="n">
        <f aca="false">E5284+F5284</f>
        <v>58.94</v>
      </c>
      <c r="H5284" s="20" t="n">
        <f aca="false">IF(G5284&lt;Parametres!$B$8*Parametres!$B$7,0,MIN(G5284,Parametres!$B$7))</f>
        <v>58.94</v>
      </c>
      <c r="I5284" s="20" t="n">
        <f aca="false">G5284-H5284</f>
        <v>0</v>
      </c>
      <c r="J5284" s="21" t="n">
        <f aca="false">H5284*1000/Parametres!$B$9</f>
        <v>999.491266745803</v>
      </c>
    </row>
    <row r="5285" customFormat="false" ht="15" hidden="false" customHeight="false" outlineLevel="0" collapsed="false">
      <c r="A5285" s="0" t="n">
        <v>5281</v>
      </c>
      <c r="B5285" s="0" t="n">
        <v>8</v>
      </c>
      <c r="C5285" s="19" t="n">
        <v>0</v>
      </c>
      <c r="D5285" s="19" t="n">
        <v>0.121</v>
      </c>
      <c r="E5285" s="20" t="n">
        <f aca="false">Parametres!$B$5*C5285</f>
        <v>0</v>
      </c>
      <c r="F5285" s="20" t="n">
        <f aca="false">Parametres!$B$6*D5285</f>
        <v>24.2</v>
      </c>
      <c r="G5285" s="20" t="n">
        <f aca="false">E5285+F5285</f>
        <v>24.2</v>
      </c>
      <c r="H5285" s="20" t="n">
        <f aca="false">IF(G5285&lt;Parametres!$B$8*Parametres!$B$7,0,MIN(G5285,Parametres!$B$7))</f>
        <v>0</v>
      </c>
      <c r="I5285" s="20" t="n">
        <f aca="false">G5285-H5285</f>
        <v>24.2</v>
      </c>
      <c r="J5285" s="21" t="n">
        <f aca="false">H5285*1000/Parametres!$B$9</f>
        <v>0</v>
      </c>
    </row>
    <row r="5286" customFormat="false" ht="15" hidden="false" customHeight="false" outlineLevel="0" collapsed="false">
      <c r="A5286" s="0" t="n">
        <v>5282</v>
      </c>
      <c r="B5286" s="0" t="n">
        <v>8</v>
      </c>
      <c r="C5286" s="19" t="n">
        <v>0</v>
      </c>
      <c r="D5286" s="19" t="n">
        <v>0.0959</v>
      </c>
      <c r="E5286" s="20" t="n">
        <f aca="false">Parametres!$B$5*C5286</f>
        <v>0</v>
      </c>
      <c r="F5286" s="20" t="n">
        <f aca="false">Parametres!$B$6*D5286</f>
        <v>19.18</v>
      </c>
      <c r="G5286" s="20" t="n">
        <f aca="false">E5286+F5286</f>
        <v>19.18</v>
      </c>
      <c r="H5286" s="20" t="n">
        <f aca="false">IF(G5286&lt;Parametres!$B$8*Parametres!$B$7,0,MIN(G5286,Parametres!$B$7))</f>
        <v>0</v>
      </c>
      <c r="I5286" s="20" t="n">
        <f aca="false">G5286-H5286</f>
        <v>19.18</v>
      </c>
      <c r="J5286" s="21" t="n">
        <f aca="false">H5286*1000/Parametres!$B$9</f>
        <v>0</v>
      </c>
    </row>
    <row r="5287" customFormat="false" ht="15" hidden="false" customHeight="false" outlineLevel="0" collapsed="false">
      <c r="A5287" s="0" t="n">
        <v>5283</v>
      </c>
      <c r="B5287" s="0" t="n">
        <v>8</v>
      </c>
      <c r="C5287" s="19" t="n">
        <v>0</v>
      </c>
      <c r="D5287" s="19" t="n">
        <v>0.0852</v>
      </c>
      <c r="E5287" s="20" t="n">
        <f aca="false">Parametres!$B$5*C5287</f>
        <v>0</v>
      </c>
      <c r="F5287" s="20" t="n">
        <f aca="false">Parametres!$B$6*D5287</f>
        <v>17.04</v>
      </c>
      <c r="G5287" s="20" t="n">
        <f aca="false">E5287+F5287</f>
        <v>17.04</v>
      </c>
      <c r="H5287" s="20" t="n">
        <f aca="false">IF(G5287&lt;Parametres!$B$8*Parametres!$B$7,0,MIN(G5287,Parametres!$B$7))</f>
        <v>0</v>
      </c>
      <c r="I5287" s="20" t="n">
        <f aca="false">G5287-H5287</f>
        <v>17.04</v>
      </c>
      <c r="J5287" s="21" t="n">
        <f aca="false">H5287*1000/Parametres!$B$9</f>
        <v>0</v>
      </c>
    </row>
    <row r="5288" customFormat="false" ht="15" hidden="false" customHeight="false" outlineLevel="0" collapsed="false">
      <c r="A5288" s="0" t="n">
        <v>5284</v>
      </c>
      <c r="B5288" s="0" t="n">
        <v>8</v>
      </c>
      <c r="C5288" s="19" t="n">
        <v>0</v>
      </c>
      <c r="D5288" s="19" t="n">
        <v>0.15</v>
      </c>
      <c r="E5288" s="20" t="n">
        <f aca="false">Parametres!$B$5*C5288</f>
        <v>0</v>
      </c>
      <c r="F5288" s="20" t="n">
        <f aca="false">Parametres!$B$6*D5288</f>
        <v>30</v>
      </c>
      <c r="G5288" s="20" t="n">
        <f aca="false">E5288+F5288</f>
        <v>30</v>
      </c>
      <c r="H5288" s="20" t="n">
        <f aca="false">IF(G5288&lt;Parametres!$B$8*Parametres!$B$7,0,MIN(G5288,Parametres!$B$7))</f>
        <v>30</v>
      </c>
      <c r="I5288" s="20" t="n">
        <f aca="false">G5288-H5288</f>
        <v>0</v>
      </c>
      <c r="J5288" s="21" t="n">
        <f aca="false">H5288*1000/Parametres!$B$9</f>
        <v>508.733254197049</v>
      </c>
    </row>
    <row r="5289" customFormat="false" ht="15" hidden="false" customHeight="false" outlineLevel="0" collapsed="false">
      <c r="A5289" s="0" t="n">
        <v>5285</v>
      </c>
      <c r="B5289" s="0" t="n">
        <v>8</v>
      </c>
      <c r="C5289" s="19" t="n">
        <v>0</v>
      </c>
      <c r="D5289" s="19" t="n">
        <v>0.1341</v>
      </c>
      <c r="E5289" s="20" t="n">
        <f aca="false">Parametres!$B$5*C5289</f>
        <v>0</v>
      </c>
      <c r="F5289" s="20" t="n">
        <f aca="false">Parametres!$B$6*D5289</f>
        <v>26.82</v>
      </c>
      <c r="G5289" s="20" t="n">
        <f aca="false">E5289+F5289</f>
        <v>26.82</v>
      </c>
      <c r="H5289" s="20" t="n">
        <f aca="false">IF(G5289&lt;Parametres!$B$8*Parametres!$B$7,0,MIN(G5289,Parametres!$B$7))</f>
        <v>26.82</v>
      </c>
      <c r="I5289" s="20" t="n">
        <f aca="false">G5289-H5289</f>
        <v>0</v>
      </c>
      <c r="J5289" s="21" t="n">
        <f aca="false">H5289*1000/Parametres!$B$9</f>
        <v>454.807529252162</v>
      </c>
    </row>
    <row r="5290" customFormat="false" ht="15" hidden="false" customHeight="false" outlineLevel="0" collapsed="false">
      <c r="A5290" s="0" t="n">
        <v>5286</v>
      </c>
      <c r="B5290" s="0" t="n">
        <v>8</v>
      </c>
      <c r="C5290" s="19" t="n">
        <v>0.0127</v>
      </c>
      <c r="D5290" s="19" t="n">
        <v>0.0749</v>
      </c>
      <c r="E5290" s="20" t="n">
        <f aca="false">Parametres!$B$5*C5290</f>
        <v>3.81</v>
      </c>
      <c r="F5290" s="20" t="n">
        <f aca="false">Parametres!$B$6*D5290</f>
        <v>14.98</v>
      </c>
      <c r="G5290" s="20" t="n">
        <f aca="false">E5290+F5290</f>
        <v>18.79</v>
      </c>
      <c r="H5290" s="20" t="n">
        <f aca="false">IF(G5290&lt;Parametres!$B$8*Parametres!$B$7,0,MIN(G5290,Parametres!$B$7))</f>
        <v>0</v>
      </c>
      <c r="I5290" s="20" t="n">
        <f aca="false">G5290-H5290</f>
        <v>18.79</v>
      </c>
      <c r="J5290" s="21" t="n">
        <f aca="false">H5290*1000/Parametres!$B$9</f>
        <v>0</v>
      </c>
    </row>
    <row r="5291" customFormat="false" ht="15" hidden="false" customHeight="false" outlineLevel="0" collapsed="false">
      <c r="A5291" s="0" t="n">
        <v>5287</v>
      </c>
      <c r="B5291" s="0" t="n">
        <v>8</v>
      </c>
      <c r="C5291" s="19" t="n">
        <v>0.2345</v>
      </c>
      <c r="D5291" s="19" t="n">
        <v>0.0577</v>
      </c>
      <c r="E5291" s="20" t="n">
        <f aca="false">Parametres!$B$5*C5291</f>
        <v>70.35</v>
      </c>
      <c r="F5291" s="20" t="n">
        <f aca="false">Parametres!$B$6*D5291</f>
        <v>11.54</v>
      </c>
      <c r="G5291" s="20" t="n">
        <f aca="false">E5291+F5291</f>
        <v>81.89</v>
      </c>
      <c r="H5291" s="20" t="n">
        <f aca="false">IF(G5291&lt;Parametres!$B$8*Parametres!$B$7,0,MIN(G5291,Parametres!$B$7))</f>
        <v>81.89</v>
      </c>
      <c r="I5291" s="20" t="n">
        <f aca="false">G5291-H5291</f>
        <v>0</v>
      </c>
      <c r="J5291" s="21" t="n">
        <f aca="false">H5291*1000/Parametres!$B$9</f>
        <v>1388.67220620655</v>
      </c>
    </row>
    <row r="5292" customFormat="false" ht="15" hidden="false" customHeight="false" outlineLevel="0" collapsed="false">
      <c r="A5292" s="0" t="n">
        <v>5288</v>
      </c>
      <c r="B5292" s="0" t="n">
        <v>8</v>
      </c>
      <c r="C5292" s="19" t="n">
        <v>0.4861</v>
      </c>
      <c r="D5292" s="19" t="n">
        <v>0.0398</v>
      </c>
      <c r="E5292" s="20" t="n">
        <f aca="false">Parametres!$B$5*C5292</f>
        <v>145.83</v>
      </c>
      <c r="F5292" s="20" t="n">
        <f aca="false">Parametres!$B$6*D5292</f>
        <v>7.96</v>
      </c>
      <c r="G5292" s="20" t="n">
        <f aca="false">E5292+F5292</f>
        <v>153.79</v>
      </c>
      <c r="H5292" s="20" t="n">
        <f aca="false">IF(G5292&lt;Parametres!$B$8*Parametres!$B$7,0,MIN(G5292,Parametres!$B$7))</f>
        <v>153.79</v>
      </c>
      <c r="I5292" s="20" t="n">
        <f aca="false">G5292-H5292</f>
        <v>0</v>
      </c>
      <c r="J5292" s="21" t="n">
        <f aca="false">H5292*1000/Parametres!$B$9</f>
        <v>2607.93623876547</v>
      </c>
    </row>
    <row r="5293" customFormat="false" ht="15" hidden="false" customHeight="false" outlineLevel="0" collapsed="false">
      <c r="A5293" s="0" t="n">
        <v>5289</v>
      </c>
      <c r="B5293" s="0" t="n">
        <v>8</v>
      </c>
      <c r="C5293" s="19" t="n">
        <v>0.7076</v>
      </c>
      <c r="D5293" s="19" t="n">
        <v>0.0364</v>
      </c>
      <c r="E5293" s="20" t="n">
        <f aca="false">Parametres!$B$5*C5293</f>
        <v>212.28</v>
      </c>
      <c r="F5293" s="20" t="n">
        <f aca="false">Parametres!$B$6*D5293</f>
        <v>7.28</v>
      </c>
      <c r="G5293" s="20" t="n">
        <f aca="false">E5293+F5293</f>
        <v>219.56</v>
      </c>
      <c r="H5293" s="20" t="n">
        <f aca="false">IF(G5293&lt;Parametres!$B$8*Parametres!$B$7,0,MIN(G5293,Parametres!$B$7))</f>
        <v>219.56</v>
      </c>
      <c r="I5293" s="20" t="n">
        <f aca="false">G5293-H5293</f>
        <v>0</v>
      </c>
      <c r="J5293" s="21" t="n">
        <f aca="false">H5293*1000/Parametres!$B$9</f>
        <v>3723.24910971681</v>
      </c>
    </row>
    <row r="5294" customFormat="false" ht="15" hidden="false" customHeight="false" outlineLevel="0" collapsed="false">
      <c r="A5294" s="0" t="n">
        <v>5290</v>
      </c>
      <c r="B5294" s="0" t="n">
        <v>8</v>
      </c>
      <c r="C5294" s="19" t="n">
        <v>0.9474</v>
      </c>
      <c r="D5294" s="19" t="n">
        <v>0.0601</v>
      </c>
      <c r="E5294" s="20" t="n">
        <f aca="false">Parametres!$B$5*C5294</f>
        <v>284.22</v>
      </c>
      <c r="F5294" s="20" t="n">
        <f aca="false">Parametres!$B$6*D5294</f>
        <v>12.02</v>
      </c>
      <c r="G5294" s="20" t="n">
        <f aca="false">E5294+F5294</f>
        <v>296.24</v>
      </c>
      <c r="H5294" s="20" t="n">
        <f aca="false">IF(G5294&lt;Parametres!$B$8*Parametres!$B$7,0,MIN(G5294,Parametres!$B$7))</f>
        <v>250</v>
      </c>
      <c r="I5294" s="20" t="n">
        <f aca="false">G5294-H5294</f>
        <v>46.24</v>
      </c>
      <c r="J5294" s="21" t="n">
        <f aca="false">H5294*1000/Parametres!$B$9</f>
        <v>4239.44378497541</v>
      </c>
    </row>
    <row r="5295" customFormat="false" ht="15" hidden="false" customHeight="false" outlineLevel="0" collapsed="false">
      <c r="A5295" s="0" t="n">
        <v>5291</v>
      </c>
      <c r="B5295" s="0" t="n">
        <v>8</v>
      </c>
      <c r="C5295" s="19" t="n">
        <v>1</v>
      </c>
      <c r="D5295" s="19" t="n">
        <v>0.0588</v>
      </c>
      <c r="E5295" s="20" t="n">
        <f aca="false">Parametres!$B$5*C5295</f>
        <v>300</v>
      </c>
      <c r="F5295" s="20" t="n">
        <f aca="false">Parametres!$B$6*D5295</f>
        <v>11.76</v>
      </c>
      <c r="G5295" s="20" t="n">
        <f aca="false">E5295+F5295</f>
        <v>311.76</v>
      </c>
      <c r="H5295" s="20" t="n">
        <f aca="false">IF(G5295&lt;Parametres!$B$8*Parametres!$B$7,0,MIN(G5295,Parametres!$B$7))</f>
        <v>250</v>
      </c>
      <c r="I5295" s="20" t="n">
        <f aca="false">G5295-H5295</f>
        <v>61.76</v>
      </c>
      <c r="J5295" s="21" t="n">
        <f aca="false">H5295*1000/Parametres!$B$9</f>
        <v>4239.44378497541</v>
      </c>
    </row>
    <row r="5296" customFormat="false" ht="15" hidden="false" customHeight="false" outlineLevel="0" collapsed="false">
      <c r="A5296" s="0" t="n">
        <v>5292</v>
      </c>
      <c r="B5296" s="0" t="n">
        <v>8</v>
      </c>
      <c r="C5296" s="19" t="n">
        <v>1</v>
      </c>
      <c r="D5296" s="19" t="n">
        <v>0.0458</v>
      </c>
      <c r="E5296" s="20" t="n">
        <f aca="false">Parametres!$B$5*C5296</f>
        <v>300</v>
      </c>
      <c r="F5296" s="20" t="n">
        <f aca="false">Parametres!$B$6*D5296</f>
        <v>9.16</v>
      </c>
      <c r="G5296" s="20" t="n">
        <f aca="false">E5296+F5296</f>
        <v>309.16</v>
      </c>
      <c r="H5296" s="20" t="n">
        <f aca="false">IF(G5296&lt;Parametres!$B$8*Parametres!$B$7,0,MIN(G5296,Parametres!$B$7))</f>
        <v>250</v>
      </c>
      <c r="I5296" s="20" t="n">
        <f aca="false">G5296-H5296</f>
        <v>59.16</v>
      </c>
      <c r="J5296" s="21" t="n">
        <f aca="false">H5296*1000/Parametres!$B$9</f>
        <v>4239.44378497541</v>
      </c>
    </row>
    <row r="5297" customFormat="false" ht="15" hidden="false" customHeight="false" outlineLevel="0" collapsed="false">
      <c r="A5297" s="0" t="n">
        <v>5293</v>
      </c>
      <c r="B5297" s="0" t="n">
        <v>8</v>
      </c>
      <c r="C5297" s="19" t="n">
        <v>1</v>
      </c>
      <c r="D5297" s="19" t="n">
        <v>0.0804</v>
      </c>
      <c r="E5297" s="20" t="n">
        <f aca="false">Parametres!$B$5*C5297</f>
        <v>300</v>
      </c>
      <c r="F5297" s="20" t="n">
        <f aca="false">Parametres!$B$6*D5297</f>
        <v>16.08</v>
      </c>
      <c r="G5297" s="20" t="n">
        <f aca="false">E5297+F5297</f>
        <v>316.08</v>
      </c>
      <c r="H5297" s="20" t="n">
        <f aca="false">IF(G5297&lt;Parametres!$B$8*Parametres!$B$7,0,MIN(G5297,Parametres!$B$7))</f>
        <v>250</v>
      </c>
      <c r="I5297" s="20" t="n">
        <f aca="false">G5297-H5297</f>
        <v>66.08</v>
      </c>
      <c r="J5297" s="21" t="n">
        <f aca="false">H5297*1000/Parametres!$B$9</f>
        <v>4239.44378497541</v>
      </c>
    </row>
    <row r="5298" customFormat="false" ht="15" hidden="false" customHeight="false" outlineLevel="0" collapsed="false">
      <c r="A5298" s="0" t="n">
        <v>5294</v>
      </c>
      <c r="B5298" s="0" t="n">
        <v>8</v>
      </c>
      <c r="C5298" s="19" t="n">
        <v>1</v>
      </c>
      <c r="D5298" s="19" t="n">
        <v>0.0502</v>
      </c>
      <c r="E5298" s="20" t="n">
        <f aca="false">Parametres!$B$5*C5298</f>
        <v>300</v>
      </c>
      <c r="F5298" s="20" t="n">
        <f aca="false">Parametres!$B$6*D5298</f>
        <v>10.04</v>
      </c>
      <c r="G5298" s="20" t="n">
        <f aca="false">E5298+F5298</f>
        <v>310.04</v>
      </c>
      <c r="H5298" s="20" t="n">
        <f aca="false">IF(G5298&lt;Parametres!$B$8*Parametres!$B$7,0,MIN(G5298,Parametres!$B$7))</f>
        <v>250</v>
      </c>
      <c r="I5298" s="20" t="n">
        <f aca="false">G5298-H5298</f>
        <v>60.04</v>
      </c>
      <c r="J5298" s="21" t="n">
        <f aca="false">H5298*1000/Parametres!$B$9</f>
        <v>4239.44378497541</v>
      </c>
    </row>
    <row r="5299" customFormat="false" ht="15" hidden="false" customHeight="false" outlineLevel="0" collapsed="false">
      <c r="A5299" s="0" t="n">
        <v>5295</v>
      </c>
      <c r="B5299" s="0" t="n">
        <v>8</v>
      </c>
      <c r="C5299" s="19" t="n">
        <v>0.9139</v>
      </c>
      <c r="D5299" s="19" t="n">
        <v>0.0538</v>
      </c>
      <c r="E5299" s="20" t="n">
        <f aca="false">Parametres!$B$5*C5299</f>
        <v>274.17</v>
      </c>
      <c r="F5299" s="20" t="n">
        <f aca="false">Parametres!$B$6*D5299</f>
        <v>10.76</v>
      </c>
      <c r="G5299" s="20" t="n">
        <f aca="false">E5299+F5299</f>
        <v>284.93</v>
      </c>
      <c r="H5299" s="20" t="n">
        <f aca="false">IF(G5299&lt;Parametres!$B$8*Parametres!$B$7,0,MIN(G5299,Parametres!$B$7))</f>
        <v>250</v>
      </c>
      <c r="I5299" s="20" t="n">
        <f aca="false">G5299-H5299</f>
        <v>34.93</v>
      </c>
      <c r="J5299" s="21" t="n">
        <f aca="false">H5299*1000/Parametres!$B$9</f>
        <v>4239.44378497541</v>
      </c>
    </row>
    <row r="5300" customFormat="false" ht="15" hidden="false" customHeight="false" outlineLevel="0" collapsed="false">
      <c r="A5300" s="0" t="n">
        <v>5296</v>
      </c>
      <c r="B5300" s="0" t="n">
        <v>8</v>
      </c>
      <c r="C5300" s="19" t="n">
        <v>0.7529</v>
      </c>
      <c r="D5300" s="19" t="n">
        <v>0.0719</v>
      </c>
      <c r="E5300" s="20" t="n">
        <f aca="false">Parametres!$B$5*C5300</f>
        <v>225.87</v>
      </c>
      <c r="F5300" s="20" t="n">
        <f aca="false">Parametres!$B$6*D5300</f>
        <v>14.38</v>
      </c>
      <c r="G5300" s="20" t="n">
        <f aca="false">E5300+F5300</f>
        <v>240.25</v>
      </c>
      <c r="H5300" s="20" t="n">
        <f aca="false">IF(G5300&lt;Parametres!$B$8*Parametres!$B$7,0,MIN(G5300,Parametres!$B$7))</f>
        <v>240.25</v>
      </c>
      <c r="I5300" s="20" t="n">
        <f aca="false">G5300-H5300</f>
        <v>0</v>
      </c>
      <c r="J5300" s="21" t="n">
        <f aca="false">H5300*1000/Parametres!$B$9</f>
        <v>4074.10547736137</v>
      </c>
    </row>
    <row r="5301" customFormat="false" ht="15" hidden="false" customHeight="false" outlineLevel="0" collapsed="false">
      <c r="A5301" s="0" t="n">
        <v>5297</v>
      </c>
      <c r="B5301" s="0" t="n">
        <v>8</v>
      </c>
      <c r="C5301" s="19" t="n">
        <v>0.4947</v>
      </c>
      <c r="D5301" s="19" t="n">
        <v>0.0479</v>
      </c>
      <c r="E5301" s="20" t="n">
        <f aca="false">Parametres!$B$5*C5301</f>
        <v>148.41</v>
      </c>
      <c r="F5301" s="20" t="n">
        <f aca="false">Parametres!$B$6*D5301</f>
        <v>9.58</v>
      </c>
      <c r="G5301" s="20" t="n">
        <f aca="false">E5301+F5301</f>
        <v>157.99</v>
      </c>
      <c r="H5301" s="20" t="n">
        <f aca="false">IF(G5301&lt;Parametres!$B$8*Parametres!$B$7,0,MIN(G5301,Parametres!$B$7))</f>
        <v>157.99</v>
      </c>
      <c r="I5301" s="20" t="n">
        <f aca="false">G5301-H5301</f>
        <v>0</v>
      </c>
      <c r="J5301" s="21" t="n">
        <f aca="false">H5301*1000/Parametres!$B$9</f>
        <v>2679.15889435306</v>
      </c>
    </row>
    <row r="5302" customFormat="false" ht="15" hidden="false" customHeight="false" outlineLevel="0" collapsed="false">
      <c r="A5302" s="0" t="n">
        <v>5298</v>
      </c>
      <c r="B5302" s="0" t="n">
        <v>8</v>
      </c>
      <c r="C5302" s="19" t="n">
        <v>0.2313</v>
      </c>
      <c r="D5302" s="19" t="n">
        <v>0.0945</v>
      </c>
      <c r="E5302" s="20" t="n">
        <f aca="false">Parametres!$B$5*C5302</f>
        <v>69.39</v>
      </c>
      <c r="F5302" s="20" t="n">
        <f aca="false">Parametres!$B$6*D5302</f>
        <v>18.9</v>
      </c>
      <c r="G5302" s="20" t="n">
        <f aca="false">E5302+F5302</f>
        <v>88.29</v>
      </c>
      <c r="H5302" s="20" t="n">
        <f aca="false">IF(G5302&lt;Parametres!$B$8*Parametres!$B$7,0,MIN(G5302,Parametres!$B$7))</f>
        <v>88.29</v>
      </c>
      <c r="I5302" s="20" t="n">
        <f aca="false">G5302-H5302</f>
        <v>0</v>
      </c>
      <c r="J5302" s="21" t="n">
        <f aca="false">H5302*1000/Parametres!$B$9</f>
        <v>1497.20196710192</v>
      </c>
    </row>
    <row r="5303" customFormat="false" ht="15" hidden="false" customHeight="false" outlineLevel="0" collapsed="false">
      <c r="A5303" s="0" t="n">
        <v>5299</v>
      </c>
      <c r="B5303" s="0" t="n">
        <v>8</v>
      </c>
      <c r="C5303" s="19" t="n">
        <v>0.0126</v>
      </c>
      <c r="D5303" s="19" t="n">
        <v>0.0786</v>
      </c>
      <c r="E5303" s="20" t="n">
        <f aca="false">Parametres!$B$5*C5303</f>
        <v>3.78</v>
      </c>
      <c r="F5303" s="20" t="n">
        <f aca="false">Parametres!$B$6*D5303</f>
        <v>15.72</v>
      </c>
      <c r="G5303" s="20" t="n">
        <f aca="false">E5303+F5303</f>
        <v>19.5</v>
      </c>
      <c r="H5303" s="20" t="n">
        <f aca="false">IF(G5303&lt;Parametres!$B$8*Parametres!$B$7,0,MIN(G5303,Parametres!$B$7))</f>
        <v>0</v>
      </c>
      <c r="I5303" s="20" t="n">
        <f aca="false">G5303-H5303</f>
        <v>19.5</v>
      </c>
      <c r="J5303" s="21" t="n">
        <f aca="false">H5303*1000/Parametres!$B$9</f>
        <v>0</v>
      </c>
    </row>
    <row r="5304" customFormat="false" ht="15" hidden="false" customHeight="false" outlineLevel="0" collapsed="false">
      <c r="A5304" s="0" t="n">
        <v>5300</v>
      </c>
      <c r="B5304" s="0" t="n">
        <v>8</v>
      </c>
      <c r="C5304" s="19" t="n">
        <v>0</v>
      </c>
      <c r="D5304" s="19" t="n">
        <v>0.1912</v>
      </c>
      <c r="E5304" s="20" t="n">
        <f aca="false">Parametres!$B$5*C5304</f>
        <v>0</v>
      </c>
      <c r="F5304" s="20" t="n">
        <f aca="false">Parametres!$B$6*D5304</f>
        <v>38.24</v>
      </c>
      <c r="G5304" s="20" t="n">
        <f aca="false">E5304+F5304</f>
        <v>38.24</v>
      </c>
      <c r="H5304" s="20" t="n">
        <f aca="false">IF(G5304&lt;Parametres!$B$8*Parametres!$B$7,0,MIN(G5304,Parametres!$B$7))</f>
        <v>38.24</v>
      </c>
      <c r="I5304" s="20" t="n">
        <f aca="false">G5304-H5304</f>
        <v>0</v>
      </c>
      <c r="J5304" s="21" t="n">
        <f aca="false">H5304*1000/Parametres!$B$9</f>
        <v>648.465321349839</v>
      </c>
    </row>
    <row r="5305" customFormat="false" ht="15" hidden="false" customHeight="false" outlineLevel="0" collapsed="false">
      <c r="A5305" s="0" t="n">
        <v>5301</v>
      </c>
      <c r="B5305" s="0" t="n">
        <v>8</v>
      </c>
      <c r="C5305" s="19" t="n">
        <v>0</v>
      </c>
      <c r="D5305" s="19" t="n">
        <v>0.1507</v>
      </c>
      <c r="E5305" s="20" t="n">
        <f aca="false">Parametres!$B$5*C5305</f>
        <v>0</v>
      </c>
      <c r="F5305" s="20" t="n">
        <f aca="false">Parametres!$B$6*D5305</f>
        <v>30.14</v>
      </c>
      <c r="G5305" s="20" t="n">
        <f aca="false">E5305+F5305</f>
        <v>30.14</v>
      </c>
      <c r="H5305" s="20" t="n">
        <f aca="false">IF(G5305&lt;Parametres!$B$8*Parametres!$B$7,0,MIN(G5305,Parametres!$B$7))</f>
        <v>30.14</v>
      </c>
      <c r="I5305" s="20" t="n">
        <f aca="false">G5305-H5305</f>
        <v>0</v>
      </c>
      <c r="J5305" s="21" t="n">
        <f aca="false">H5305*1000/Parametres!$B$9</f>
        <v>511.107342716636</v>
      </c>
    </row>
    <row r="5306" customFormat="false" ht="15" hidden="false" customHeight="false" outlineLevel="0" collapsed="false">
      <c r="A5306" s="0" t="n">
        <v>5302</v>
      </c>
      <c r="B5306" s="0" t="n">
        <v>8</v>
      </c>
      <c r="C5306" s="19" t="n">
        <v>0</v>
      </c>
      <c r="D5306" s="19" t="n">
        <v>0.1004</v>
      </c>
      <c r="E5306" s="20" t="n">
        <f aca="false">Parametres!$B$5*C5306</f>
        <v>0</v>
      </c>
      <c r="F5306" s="20" t="n">
        <f aca="false">Parametres!$B$6*D5306</f>
        <v>20.08</v>
      </c>
      <c r="G5306" s="20" t="n">
        <f aca="false">E5306+F5306</f>
        <v>20.08</v>
      </c>
      <c r="H5306" s="20" t="n">
        <f aca="false">IF(G5306&lt;Parametres!$B$8*Parametres!$B$7,0,MIN(G5306,Parametres!$B$7))</f>
        <v>0</v>
      </c>
      <c r="I5306" s="20" t="n">
        <f aca="false">G5306-H5306</f>
        <v>20.08</v>
      </c>
      <c r="J5306" s="21" t="n">
        <f aca="false">H5306*1000/Parametres!$B$9</f>
        <v>0</v>
      </c>
    </row>
    <row r="5307" customFormat="false" ht="15" hidden="false" customHeight="false" outlineLevel="0" collapsed="false">
      <c r="A5307" s="0" t="n">
        <v>5303</v>
      </c>
      <c r="B5307" s="0" t="n">
        <v>8</v>
      </c>
      <c r="C5307" s="19" t="n">
        <v>0</v>
      </c>
      <c r="D5307" s="19" t="n">
        <v>0.0415</v>
      </c>
      <c r="E5307" s="20" t="n">
        <f aca="false">Parametres!$B$5*C5307</f>
        <v>0</v>
      </c>
      <c r="F5307" s="20" t="n">
        <f aca="false">Parametres!$B$6*D5307</f>
        <v>8.3</v>
      </c>
      <c r="G5307" s="20" t="n">
        <f aca="false">E5307+F5307</f>
        <v>8.3</v>
      </c>
      <c r="H5307" s="20" t="n">
        <f aca="false">IF(G5307&lt;Parametres!$B$8*Parametres!$B$7,0,MIN(G5307,Parametres!$B$7))</f>
        <v>0</v>
      </c>
      <c r="I5307" s="20" t="n">
        <f aca="false">G5307-H5307</f>
        <v>8.3</v>
      </c>
      <c r="J5307" s="21" t="n">
        <f aca="false">H5307*1000/Parametres!$B$9</f>
        <v>0</v>
      </c>
    </row>
    <row r="5308" customFormat="false" ht="15" hidden="false" customHeight="false" outlineLevel="0" collapsed="false">
      <c r="A5308" s="0" t="n">
        <v>5304</v>
      </c>
      <c r="B5308" s="0" t="n">
        <v>8</v>
      </c>
      <c r="C5308" s="19" t="n">
        <v>0</v>
      </c>
      <c r="D5308" s="19" t="n">
        <v>0.0371</v>
      </c>
      <c r="E5308" s="20" t="n">
        <f aca="false">Parametres!$B$5*C5308</f>
        <v>0</v>
      </c>
      <c r="F5308" s="20" t="n">
        <f aca="false">Parametres!$B$6*D5308</f>
        <v>7.42</v>
      </c>
      <c r="G5308" s="20" t="n">
        <f aca="false">E5308+F5308</f>
        <v>7.42</v>
      </c>
      <c r="H5308" s="20" t="n">
        <f aca="false">IF(G5308&lt;Parametres!$B$8*Parametres!$B$7,0,MIN(G5308,Parametres!$B$7))</f>
        <v>0</v>
      </c>
      <c r="I5308" s="20" t="n">
        <f aca="false">G5308-H5308</f>
        <v>7.42</v>
      </c>
      <c r="J5308" s="21" t="n">
        <f aca="false">H5308*1000/Parametres!$B$9</f>
        <v>0</v>
      </c>
    </row>
    <row r="5309" customFormat="false" ht="15" hidden="false" customHeight="false" outlineLevel="0" collapsed="false">
      <c r="A5309" s="0" t="n">
        <v>5305</v>
      </c>
      <c r="B5309" s="0" t="n">
        <v>8</v>
      </c>
      <c r="C5309" s="19" t="n">
        <v>0</v>
      </c>
      <c r="D5309" s="19" t="n">
        <v>0.0478</v>
      </c>
      <c r="E5309" s="20" t="n">
        <f aca="false">Parametres!$B$5*C5309</f>
        <v>0</v>
      </c>
      <c r="F5309" s="20" t="n">
        <f aca="false">Parametres!$B$6*D5309</f>
        <v>9.56</v>
      </c>
      <c r="G5309" s="20" t="n">
        <f aca="false">E5309+F5309</f>
        <v>9.56</v>
      </c>
      <c r="H5309" s="20" t="n">
        <f aca="false">IF(G5309&lt;Parametres!$B$8*Parametres!$B$7,0,MIN(G5309,Parametres!$B$7))</f>
        <v>0</v>
      </c>
      <c r="I5309" s="20" t="n">
        <f aca="false">G5309-H5309</f>
        <v>9.56</v>
      </c>
      <c r="J5309" s="21" t="n">
        <f aca="false">H5309*1000/Parametres!$B$9</f>
        <v>0</v>
      </c>
    </row>
    <row r="5310" customFormat="false" ht="15" hidden="false" customHeight="false" outlineLevel="0" collapsed="false">
      <c r="A5310" s="0" t="n">
        <v>5306</v>
      </c>
      <c r="B5310" s="0" t="n">
        <v>8</v>
      </c>
      <c r="C5310" s="19" t="n">
        <v>0</v>
      </c>
      <c r="D5310" s="19" t="n">
        <v>0.0131</v>
      </c>
      <c r="E5310" s="20" t="n">
        <f aca="false">Parametres!$B$5*C5310</f>
        <v>0</v>
      </c>
      <c r="F5310" s="20" t="n">
        <f aca="false">Parametres!$B$6*D5310</f>
        <v>2.62</v>
      </c>
      <c r="G5310" s="20" t="n">
        <f aca="false">E5310+F5310</f>
        <v>2.62</v>
      </c>
      <c r="H5310" s="20" t="n">
        <f aca="false">IF(G5310&lt;Parametres!$B$8*Parametres!$B$7,0,MIN(G5310,Parametres!$B$7))</f>
        <v>0</v>
      </c>
      <c r="I5310" s="20" t="n">
        <f aca="false">G5310-H5310</f>
        <v>2.62</v>
      </c>
      <c r="J5310" s="21" t="n">
        <f aca="false">H5310*1000/Parametres!$B$9</f>
        <v>0</v>
      </c>
    </row>
    <row r="5311" customFormat="false" ht="15" hidden="false" customHeight="false" outlineLevel="0" collapsed="false">
      <c r="A5311" s="0" t="n">
        <v>5307</v>
      </c>
      <c r="B5311" s="0" t="n">
        <v>8</v>
      </c>
      <c r="C5311" s="19" t="n">
        <v>0</v>
      </c>
      <c r="D5311" s="19" t="n">
        <v>0.0012</v>
      </c>
      <c r="E5311" s="20" t="n">
        <f aca="false">Parametres!$B$5*C5311</f>
        <v>0</v>
      </c>
      <c r="F5311" s="20" t="n">
        <f aca="false">Parametres!$B$6*D5311</f>
        <v>0.24</v>
      </c>
      <c r="G5311" s="20" t="n">
        <f aca="false">E5311+F5311</f>
        <v>0.24</v>
      </c>
      <c r="H5311" s="20" t="n">
        <f aca="false">IF(G5311&lt;Parametres!$B$8*Parametres!$B$7,0,MIN(G5311,Parametres!$B$7))</f>
        <v>0</v>
      </c>
      <c r="I5311" s="20" t="n">
        <f aca="false">G5311-H5311</f>
        <v>0.24</v>
      </c>
      <c r="J5311" s="21" t="n">
        <f aca="false">H5311*1000/Parametres!$B$9</f>
        <v>0</v>
      </c>
    </row>
    <row r="5312" customFormat="false" ht="15" hidden="false" customHeight="false" outlineLevel="0" collapsed="false">
      <c r="A5312" s="0" t="n">
        <v>5308</v>
      </c>
      <c r="B5312" s="0" t="n">
        <v>8</v>
      </c>
      <c r="C5312" s="19" t="n">
        <v>0</v>
      </c>
      <c r="D5312" s="19" t="n">
        <v>0</v>
      </c>
      <c r="E5312" s="20" t="n">
        <f aca="false">Parametres!$B$5*C5312</f>
        <v>0</v>
      </c>
      <c r="F5312" s="20" t="n">
        <f aca="false">Parametres!$B$6*D5312</f>
        <v>0</v>
      </c>
      <c r="G5312" s="20" t="n">
        <f aca="false">E5312+F5312</f>
        <v>0</v>
      </c>
      <c r="H5312" s="20" t="n">
        <f aca="false">IF(G5312&lt;Parametres!$B$8*Parametres!$B$7,0,MIN(G5312,Parametres!$B$7))</f>
        <v>0</v>
      </c>
      <c r="I5312" s="20" t="n">
        <f aca="false">G5312-H5312</f>
        <v>0</v>
      </c>
      <c r="J5312" s="21" t="n">
        <f aca="false">H5312*1000/Parametres!$B$9</f>
        <v>0</v>
      </c>
    </row>
    <row r="5313" customFormat="false" ht="15" hidden="false" customHeight="false" outlineLevel="0" collapsed="false">
      <c r="A5313" s="0" t="n">
        <v>5309</v>
      </c>
      <c r="B5313" s="0" t="n">
        <v>8</v>
      </c>
      <c r="C5313" s="19" t="n">
        <v>0</v>
      </c>
      <c r="D5313" s="19" t="n">
        <v>0</v>
      </c>
      <c r="E5313" s="20" t="n">
        <f aca="false">Parametres!$B$5*C5313</f>
        <v>0</v>
      </c>
      <c r="F5313" s="20" t="n">
        <f aca="false">Parametres!$B$6*D5313</f>
        <v>0</v>
      </c>
      <c r="G5313" s="20" t="n">
        <f aca="false">E5313+F5313</f>
        <v>0</v>
      </c>
      <c r="H5313" s="20" t="n">
        <f aca="false">IF(G5313&lt;Parametres!$B$8*Parametres!$B$7,0,MIN(G5313,Parametres!$B$7))</f>
        <v>0</v>
      </c>
      <c r="I5313" s="20" t="n">
        <f aca="false">G5313-H5313</f>
        <v>0</v>
      </c>
      <c r="J5313" s="21" t="n">
        <f aca="false">H5313*1000/Parametres!$B$9</f>
        <v>0</v>
      </c>
    </row>
    <row r="5314" customFormat="false" ht="15" hidden="false" customHeight="false" outlineLevel="0" collapsed="false">
      <c r="A5314" s="0" t="n">
        <v>5310</v>
      </c>
      <c r="B5314" s="0" t="n">
        <v>8</v>
      </c>
      <c r="C5314" s="19" t="n">
        <v>0.0117</v>
      </c>
      <c r="D5314" s="19" t="n">
        <v>0</v>
      </c>
      <c r="E5314" s="20" t="n">
        <f aca="false">Parametres!$B$5*C5314</f>
        <v>3.51</v>
      </c>
      <c r="F5314" s="20" t="n">
        <f aca="false">Parametres!$B$6*D5314</f>
        <v>0</v>
      </c>
      <c r="G5314" s="20" t="n">
        <f aca="false">E5314+F5314</f>
        <v>3.51</v>
      </c>
      <c r="H5314" s="20" t="n">
        <f aca="false">IF(G5314&lt;Parametres!$B$8*Parametres!$B$7,0,MIN(G5314,Parametres!$B$7))</f>
        <v>0</v>
      </c>
      <c r="I5314" s="20" t="n">
        <f aca="false">G5314-H5314</f>
        <v>3.51</v>
      </c>
      <c r="J5314" s="21" t="n">
        <f aca="false">H5314*1000/Parametres!$B$9</f>
        <v>0</v>
      </c>
    </row>
    <row r="5315" customFormat="false" ht="15" hidden="false" customHeight="false" outlineLevel="0" collapsed="false">
      <c r="A5315" s="0" t="n">
        <v>5311</v>
      </c>
      <c r="B5315" s="0" t="n">
        <v>8</v>
      </c>
      <c r="C5315" s="19" t="n">
        <v>0.28</v>
      </c>
      <c r="D5315" s="19" t="n">
        <v>0</v>
      </c>
      <c r="E5315" s="20" t="n">
        <f aca="false">Parametres!$B$5*C5315</f>
        <v>84</v>
      </c>
      <c r="F5315" s="20" t="n">
        <f aca="false">Parametres!$B$6*D5315</f>
        <v>0</v>
      </c>
      <c r="G5315" s="20" t="n">
        <f aca="false">E5315+F5315</f>
        <v>84</v>
      </c>
      <c r="H5315" s="20" t="n">
        <f aca="false">IF(G5315&lt;Parametres!$B$8*Parametres!$B$7,0,MIN(G5315,Parametres!$B$7))</f>
        <v>84</v>
      </c>
      <c r="I5315" s="20" t="n">
        <f aca="false">G5315-H5315</f>
        <v>0</v>
      </c>
      <c r="J5315" s="21" t="n">
        <f aca="false">H5315*1000/Parametres!$B$9</f>
        <v>1424.45311175174</v>
      </c>
    </row>
    <row r="5316" customFormat="false" ht="15" hidden="false" customHeight="false" outlineLevel="0" collapsed="false">
      <c r="A5316" s="0" t="n">
        <v>5312</v>
      </c>
      <c r="B5316" s="0" t="n">
        <v>8</v>
      </c>
      <c r="C5316" s="19" t="n">
        <v>0.5797</v>
      </c>
      <c r="D5316" s="19" t="n">
        <v>0</v>
      </c>
      <c r="E5316" s="20" t="n">
        <f aca="false">Parametres!$B$5*C5316</f>
        <v>173.91</v>
      </c>
      <c r="F5316" s="20" t="n">
        <f aca="false">Parametres!$B$6*D5316</f>
        <v>0</v>
      </c>
      <c r="G5316" s="20" t="n">
        <f aca="false">E5316+F5316</f>
        <v>173.91</v>
      </c>
      <c r="H5316" s="20" t="n">
        <f aca="false">IF(G5316&lt;Parametres!$B$8*Parametres!$B$7,0,MIN(G5316,Parametres!$B$7))</f>
        <v>173.91</v>
      </c>
      <c r="I5316" s="20" t="n">
        <f aca="false">G5316-H5316</f>
        <v>0</v>
      </c>
      <c r="J5316" s="21" t="n">
        <f aca="false">H5316*1000/Parametres!$B$9</f>
        <v>2949.1266745803</v>
      </c>
    </row>
    <row r="5317" customFormat="false" ht="15" hidden="false" customHeight="false" outlineLevel="0" collapsed="false">
      <c r="A5317" s="0" t="n">
        <v>5313</v>
      </c>
      <c r="B5317" s="0" t="n">
        <v>8</v>
      </c>
      <c r="C5317" s="19" t="n">
        <v>0.7757</v>
      </c>
      <c r="D5317" s="19" t="n">
        <v>0</v>
      </c>
      <c r="E5317" s="20" t="n">
        <f aca="false">Parametres!$B$5*C5317</f>
        <v>232.71</v>
      </c>
      <c r="F5317" s="20" t="n">
        <f aca="false">Parametres!$B$6*D5317</f>
        <v>0</v>
      </c>
      <c r="G5317" s="20" t="n">
        <f aca="false">E5317+F5317</f>
        <v>232.71</v>
      </c>
      <c r="H5317" s="20" t="n">
        <f aca="false">IF(G5317&lt;Parametres!$B$8*Parametres!$B$7,0,MIN(G5317,Parametres!$B$7))</f>
        <v>232.71</v>
      </c>
      <c r="I5317" s="20" t="n">
        <f aca="false">G5317-H5317</f>
        <v>0</v>
      </c>
      <c r="J5317" s="21" t="n">
        <f aca="false">H5317*1000/Parametres!$B$9</f>
        <v>3946.24385280651</v>
      </c>
    </row>
    <row r="5318" customFormat="false" ht="15" hidden="false" customHeight="false" outlineLevel="0" collapsed="false">
      <c r="A5318" s="0" t="n">
        <v>5314</v>
      </c>
      <c r="B5318" s="0" t="n">
        <v>8</v>
      </c>
      <c r="C5318" s="19" t="n">
        <v>1</v>
      </c>
      <c r="D5318" s="19" t="n">
        <v>0</v>
      </c>
      <c r="E5318" s="20" t="n">
        <f aca="false">Parametres!$B$5*C5318</f>
        <v>300</v>
      </c>
      <c r="F5318" s="20" t="n">
        <f aca="false">Parametres!$B$6*D5318</f>
        <v>0</v>
      </c>
      <c r="G5318" s="20" t="n">
        <f aca="false">E5318+F5318</f>
        <v>300</v>
      </c>
      <c r="H5318" s="20" t="n">
        <f aca="false">IF(G5318&lt;Parametres!$B$8*Parametres!$B$7,0,MIN(G5318,Parametres!$B$7))</f>
        <v>250</v>
      </c>
      <c r="I5318" s="20" t="n">
        <f aca="false">G5318-H5318</f>
        <v>50</v>
      </c>
      <c r="J5318" s="21" t="n">
        <f aca="false">H5318*1000/Parametres!$B$9</f>
        <v>4239.44378497541</v>
      </c>
    </row>
    <row r="5319" customFormat="false" ht="15" hidden="false" customHeight="false" outlineLevel="0" collapsed="false">
      <c r="A5319" s="0" t="n">
        <v>5315</v>
      </c>
      <c r="B5319" s="0" t="n">
        <v>8</v>
      </c>
      <c r="C5319" s="19" t="n">
        <v>1</v>
      </c>
      <c r="D5319" s="19" t="n">
        <v>0</v>
      </c>
      <c r="E5319" s="20" t="n">
        <f aca="false">Parametres!$B$5*C5319</f>
        <v>300</v>
      </c>
      <c r="F5319" s="20" t="n">
        <f aca="false">Parametres!$B$6*D5319</f>
        <v>0</v>
      </c>
      <c r="G5319" s="20" t="n">
        <f aca="false">E5319+F5319</f>
        <v>300</v>
      </c>
      <c r="H5319" s="20" t="n">
        <f aca="false">IF(G5319&lt;Parametres!$B$8*Parametres!$B$7,0,MIN(G5319,Parametres!$B$7))</f>
        <v>250</v>
      </c>
      <c r="I5319" s="20" t="n">
        <f aca="false">G5319-H5319</f>
        <v>50</v>
      </c>
      <c r="J5319" s="21" t="n">
        <f aca="false">H5319*1000/Parametres!$B$9</f>
        <v>4239.44378497541</v>
      </c>
    </row>
    <row r="5320" customFormat="false" ht="15" hidden="false" customHeight="false" outlineLevel="0" collapsed="false">
      <c r="A5320" s="0" t="n">
        <v>5316</v>
      </c>
      <c r="B5320" s="0" t="n">
        <v>8</v>
      </c>
      <c r="C5320" s="19" t="n">
        <v>1</v>
      </c>
      <c r="D5320" s="19" t="n">
        <v>0</v>
      </c>
      <c r="E5320" s="20" t="n">
        <f aca="false">Parametres!$B$5*C5320</f>
        <v>300</v>
      </c>
      <c r="F5320" s="20" t="n">
        <f aca="false">Parametres!$B$6*D5320</f>
        <v>0</v>
      </c>
      <c r="G5320" s="20" t="n">
        <f aca="false">E5320+F5320</f>
        <v>300</v>
      </c>
      <c r="H5320" s="20" t="n">
        <f aca="false">IF(G5320&lt;Parametres!$B$8*Parametres!$B$7,0,MIN(G5320,Parametres!$B$7))</f>
        <v>250</v>
      </c>
      <c r="I5320" s="20" t="n">
        <f aca="false">G5320-H5320</f>
        <v>50</v>
      </c>
      <c r="J5320" s="21" t="n">
        <f aca="false">H5320*1000/Parametres!$B$9</f>
        <v>4239.44378497541</v>
      </c>
    </row>
    <row r="5321" customFormat="false" ht="15" hidden="false" customHeight="false" outlineLevel="0" collapsed="false">
      <c r="A5321" s="0" t="n">
        <v>5317</v>
      </c>
      <c r="B5321" s="0" t="n">
        <v>8</v>
      </c>
      <c r="C5321" s="19" t="n">
        <v>1</v>
      </c>
      <c r="D5321" s="19" t="n">
        <v>0</v>
      </c>
      <c r="E5321" s="20" t="n">
        <f aca="false">Parametres!$B$5*C5321</f>
        <v>300</v>
      </c>
      <c r="F5321" s="20" t="n">
        <f aca="false">Parametres!$B$6*D5321</f>
        <v>0</v>
      </c>
      <c r="G5321" s="20" t="n">
        <f aca="false">E5321+F5321</f>
        <v>300</v>
      </c>
      <c r="H5321" s="20" t="n">
        <f aca="false">IF(G5321&lt;Parametres!$B$8*Parametres!$B$7,0,MIN(G5321,Parametres!$B$7))</f>
        <v>250</v>
      </c>
      <c r="I5321" s="20" t="n">
        <f aca="false">G5321-H5321</f>
        <v>50</v>
      </c>
      <c r="J5321" s="21" t="n">
        <f aca="false">H5321*1000/Parametres!$B$9</f>
        <v>4239.44378497541</v>
      </c>
    </row>
    <row r="5322" customFormat="false" ht="15" hidden="false" customHeight="false" outlineLevel="0" collapsed="false">
      <c r="A5322" s="0" t="n">
        <v>5318</v>
      </c>
      <c r="B5322" s="0" t="n">
        <v>8</v>
      </c>
      <c r="C5322" s="19" t="n">
        <v>1</v>
      </c>
      <c r="D5322" s="19" t="n">
        <v>0</v>
      </c>
      <c r="E5322" s="20" t="n">
        <f aca="false">Parametres!$B$5*C5322</f>
        <v>300</v>
      </c>
      <c r="F5322" s="20" t="n">
        <f aca="false">Parametres!$B$6*D5322</f>
        <v>0</v>
      </c>
      <c r="G5322" s="20" t="n">
        <f aca="false">E5322+F5322</f>
        <v>300</v>
      </c>
      <c r="H5322" s="20" t="n">
        <f aca="false">IF(G5322&lt;Parametres!$B$8*Parametres!$B$7,0,MIN(G5322,Parametres!$B$7))</f>
        <v>250</v>
      </c>
      <c r="I5322" s="20" t="n">
        <f aca="false">G5322-H5322</f>
        <v>50</v>
      </c>
      <c r="J5322" s="21" t="n">
        <f aca="false">H5322*1000/Parametres!$B$9</f>
        <v>4239.44378497541</v>
      </c>
    </row>
    <row r="5323" customFormat="false" ht="15" hidden="false" customHeight="false" outlineLevel="0" collapsed="false">
      <c r="A5323" s="0" t="n">
        <v>5319</v>
      </c>
      <c r="B5323" s="0" t="n">
        <v>8</v>
      </c>
      <c r="C5323" s="19" t="n">
        <v>1</v>
      </c>
      <c r="D5323" s="19" t="n">
        <v>0</v>
      </c>
      <c r="E5323" s="20" t="n">
        <f aca="false">Parametres!$B$5*C5323</f>
        <v>300</v>
      </c>
      <c r="F5323" s="20" t="n">
        <f aca="false">Parametres!$B$6*D5323</f>
        <v>0</v>
      </c>
      <c r="G5323" s="20" t="n">
        <f aca="false">E5323+F5323</f>
        <v>300</v>
      </c>
      <c r="H5323" s="20" t="n">
        <f aca="false">IF(G5323&lt;Parametres!$B$8*Parametres!$B$7,0,MIN(G5323,Parametres!$B$7))</f>
        <v>250</v>
      </c>
      <c r="I5323" s="20" t="n">
        <f aca="false">G5323-H5323</f>
        <v>50</v>
      </c>
      <c r="J5323" s="21" t="n">
        <f aca="false">H5323*1000/Parametres!$B$9</f>
        <v>4239.44378497541</v>
      </c>
    </row>
    <row r="5324" customFormat="false" ht="15" hidden="false" customHeight="false" outlineLevel="0" collapsed="false">
      <c r="A5324" s="0" t="n">
        <v>5320</v>
      </c>
      <c r="B5324" s="0" t="n">
        <v>8</v>
      </c>
      <c r="C5324" s="19" t="n">
        <v>0.8587</v>
      </c>
      <c r="D5324" s="19" t="n">
        <v>0</v>
      </c>
      <c r="E5324" s="20" t="n">
        <f aca="false">Parametres!$B$5*C5324</f>
        <v>257.61</v>
      </c>
      <c r="F5324" s="20" t="n">
        <f aca="false">Parametres!$B$6*D5324</f>
        <v>0</v>
      </c>
      <c r="G5324" s="20" t="n">
        <f aca="false">E5324+F5324</f>
        <v>257.61</v>
      </c>
      <c r="H5324" s="20" t="n">
        <f aca="false">IF(G5324&lt;Parametres!$B$8*Parametres!$B$7,0,MIN(G5324,Parametres!$B$7))</f>
        <v>250</v>
      </c>
      <c r="I5324" s="20" t="n">
        <f aca="false">G5324-H5324</f>
        <v>7.61000000000001</v>
      </c>
      <c r="J5324" s="21" t="n">
        <f aca="false">H5324*1000/Parametres!$B$9</f>
        <v>4239.44378497541</v>
      </c>
    </row>
    <row r="5325" customFormat="false" ht="15" hidden="false" customHeight="false" outlineLevel="0" collapsed="false">
      <c r="A5325" s="0" t="n">
        <v>5321</v>
      </c>
      <c r="B5325" s="0" t="n">
        <v>8</v>
      </c>
      <c r="C5325" s="19" t="n">
        <v>0.5767</v>
      </c>
      <c r="D5325" s="19" t="n">
        <v>0</v>
      </c>
      <c r="E5325" s="20" t="n">
        <f aca="false">Parametres!$B$5*C5325</f>
        <v>173.01</v>
      </c>
      <c r="F5325" s="20" t="n">
        <f aca="false">Parametres!$B$6*D5325</f>
        <v>0</v>
      </c>
      <c r="G5325" s="20" t="n">
        <f aca="false">E5325+F5325</f>
        <v>173.01</v>
      </c>
      <c r="H5325" s="20" t="n">
        <f aca="false">IF(G5325&lt;Parametres!$B$8*Parametres!$B$7,0,MIN(G5325,Parametres!$B$7))</f>
        <v>173.01</v>
      </c>
      <c r="I5325" s="20" t="n">
        <f aca="false">G5325-H5325</f>
        <v>0</v>
      </c>
      <c r="J5325" s="21" t="n">
        <f aca="false">H5325*1000/Parametres!$B$9</f>
        <v>2933.86467695438</v>
      </c>
    </row>
    <row r="5326" customFormat="false" ht="15" hidden="false" customHeight="false" outlineLevel="0" collapsed="false">
      <c r="A5326" s="0" t="n">
        <v>5322</v>
      </c>
      <c r="B5326" s="0" t="n">
        <v>8</v>
      </c>
      <c r="C5326" s="19" t="n">
        <v>0.27</v>
      </c>
      <c r="D5326" s="19" t="n">
        <v>0</v>
      </c>
      <c r="E5326" s="20" t="n">
        <f aca="false">Parametres!$B$5*C5326</f>
        <v>81</v>
      </c>
      <c r="F5326" s="20" t="n">
        <f aca="false">Parametres!$B$6*D5326</f>
        <v>0</v>
      </c>
      <c r="G5326" s="20" t="n">
        <f aca="false">E5326+F5326</f>
        <v>81</v>
      </c>
      <c r="H5326" s="20" t="n">
        <f aca="false">IF(G5326&lt;Parametres!$B$8*Parametres!$B$7,0,MIN(G5326,Parametres!$B$7))</f>
        <v>81</v>
      </c>
      <c r="I5326" s="20" t="n">
        <f aca="false">G5326-H5326</f>
        <v>0</v>
      </c>
      <c r="J5326" s="21" t="n">
        <f aca="false">H5326*1000/Parametres!$B$9</f>
        <v>1373.57978633203</v>
      </c>
    </row>
    <row r="5327" customFormat="false" ht="15" hidden="false" customHeight="false" outlineLevel="0" collapsed="false">
      <c r="A5327" s="0" t="n">
        <v>5323</v>
      </c>
      <c r="B5327" s="0" t="n">
        <v>8</v>
      </c>
      <c r="C5327" s="19" t="n">
        <v>0.0118</v>
      </c>
      <c r="D5327" s="19" t="n">
        <v>0</v>
      </c>
      <c r="E5327" s="20" t="n">
        <f aca="false">Parametres!$B$5*C5327</f>
        <v>3.54</v>
      </c>
      <c r="F5327" s="20" t="n">
        <f aca="false">Parametres!$B$6*D5327</f>
        <v>0</v>
      </c>
      <c r="G5327" s="20" t="n">
        <f aca="false">E5327+F5327</f>
        <v>3.54</v>
      </c>
      <c r="H5327" s="20" t="n">
        <f aca="false">IF(G5327&lt;Parametres!$B$8*Parametres!$B$7,0,MIN(G5327,Parametres!$B$7))</f>
        <v>0</v>
      </c>
      <c r="I5327" s="20" t="n">
        <f aca="false">G5327-H5327</f>
        <v>3.54</v>
      </c>
      <c r="J5327" s="21" t="n">
        <f aca="false">H5327*1000/Parametres!$B$9</f>
        <v>0</v>
      </c>
    </row>
    <row r="5328" customFormat="false" ht="15" hidden="false" customHeight="false" outlineLevel="0" collapsed="false">
      <c r="A5328" s="0" t="n">
        <v>5324</v>
      </c>
      <c r="B5328" s="0" t="n">
        <v>8</v>
      </c>
      <c r="C5328" s="19" t="n">
        <v>0</v>
      </c>
      <c r="D5328" s="19" t="n">
        <v>0</v>
      </c>
      <c r="E5328" s="20" t="n">
        <f aca="false">Parametres!$B$5*C5328</f>
        <v>0</v>
      </c>
      <c r="F5328" s="20" t="n">
        <f aca="false">Parametres!$B$6*D5328</f>
        <v>0</v>
      </c>
      <c r="G5328" s="20" t="n">
        <f aca="false">E5328+F5328</f>
        <v>0</v>
      </c>
      <c r="H5328" s="20" t="n">
        <f aca="false">IF(G5328&lt;Parametres!$B$8*Parametres!$B$7,0,MIN(G5328,Parametres!$B$7))</f>
        <v>0</v>
      </c>
      <c r="I5328" s="20" t="n">
        <f aca="false">G5328-H5328</f>
        <v>0</v>
      </c>
      <c r="J5328" s="21" t="n">
        <f aca="false">H5328*1000/Parametres!$B$9</f>
        <v>0</v>
      </c>
    </row>
    <row r="5329" customFormat="false" ht="15" hidden="false" customHeight="false" outlineLevel="0" collapsed="false">
      <c r="A5329" s="0" t="n">
        <v>5325</v>
      </c>
      <c r="B5329" s="0" t="n">
        <v>8</v>
      </c>
      <c r="C5329" s="19" t="n">
        <v>0</v>
      </c>
      <c r="D5329" s="19" t="n">
        <v>0</v>
      </c>
      <c r="E5329" s="20" t="n">
        <f aca="false">Parametres!$B$5*C5329</f>
        <v>0</v>
      </c>
      <c r="F5329" s="20" t="n">
        <f aca="false">Parametres!$B$6*D5329</f>
        <v>0</v>
      </c>
      <c r="G5329" s="20" t="n">
        <f aca="false">E5329+F5329</f>
        <v>0</v>
      </c>
      <c r="H5329" s="20" t="n">
        <f aca="false">IF(G5329&lt;Parametres!$B$8*Parametres!$B$7,0,MIN(G5329,Parametres!$B$7))</f>
        <v>0</v>
      </c>
      <c r="I5329" s="20" t="n">
        <f aca="false">G5329-H5329</f>
        <v>0</v>
      </c>
      <c r="J5329" s="21" t="n">
        <f aca="false">H5329*1000/Parametres!$B$9</f>
        <v>0</v>
      </c>
    </row>
    <row r="5330" customFormat="false" ht="15" hidden="false" customHeight="false" outlineLevel="0" collapsed="false">
      <c r="A5330" s="0" t="n">
        <v>5326</v>
      </c>
      <c r="B5330" s="0" t="n">
        <v>8</v>
      </c>
      <c r="C5330" s="19" t="n">
        <v>0</v>
      </c>
      <c r="D5330" s="19" t="n">
        <v>0</v>
      </c>
      <c r="E5330" s="20" t="n">
        <f aca="false">Parametres!$B$5*C5330</f>
        <v>0</v>
      </c>
      <c r="F5330" s="20" t="n">
        <f aca="false">Parametres!$B$6*D5330</f>
        <v>0</v>
      </c>
      <c r="G5330" s="20" t="n">
        <f aca="false">E5330+F5330</f>
        <v>0</v>
      </c>
      <c r="H5330" s="20" t="n">
        <f aca="false">IF(G5330&lt;Parametres!$B$8*Parametres!$B$7,0,MIN(G5330,Parametres!$B$7))</f>
        <v>0</v>
      </c>
      <c r="I5330" s="20" t="n">
        <f aca="false">G5330-H5330</f>
        <v>0</v>
      </c>
      <c r="J5330" s="21" t="n">
        <f aca="false">H5330*1000/Parametres!$B$9</f>
        <v>0</v>
      </c>
    </row>
    <row r="5331" customFormat="false" ht="15" hidden="false" customHeight="false" outlineLevel="0" collapsed="false">
      <c r="A5331" s="0" t="n">
        <v>5327</v>
      </c>
      <c r="B5331" s="0" t="n">
        <v>8</v>
      </c>
      <c r="C5331" s="19" t="n">
        <v>0</v>
      </c>
      <c r="D5331" s="19" t="n">
        <v>0</v>
      </c>
      <c r="E5331" s="20" t="n">
        <f aca="false">Parametres!$B$5*C5331</f>
        <v>0</v>
      </c>
      <c r="F5331" s="20" t="n">
        <f aca="false">Parametres!$B$6*D5331</f>
        <v>0</v>
      </c>
      <c r="G5331" s="20" t="n">
        <f aca="false">E5331+F5331</f>
        <v>0</v>
      </c>
      <c r="H5331" s="20" t="n">
        <f aca="false">IF(G5331&lt;Parametres!$B$8*Parametres!$B$7,0,MIN(G5331,Parametres!$B$7))</f>
        <v>0</v>
      </c>
      <c r="I5331" s="20" t="n">
        <f aca="false">G5331-H5331</f>
        <v>0</v>
      </c>
      <c r="J5331" s="21" t="n">
        <f aca="false">H5331*1000/Parametres!$B$9</f>
        <v>0</v>
      </c>
    </row>
    <row r="5332" customFormat="false" ht="15" hidden="false" customHeight="false" outlineLevel="0" collapsed="false">
      <c r="A5332" s="0" t="n">
        <v>5328</v>
      </c>
      <c r="B5332" s="0" t="n">
        <v>8</v>
      </c>
      <c r="C5332" s="19" t="n">
        <v>0</v>
      </c>
      <c r="D5332" s="19" t="n">
        <v>0</v>
      </c>
      <c r="E5332" s="20" t="n">
        <f aca="false">Parametres!$B$5*C5332</f>
        <v>0</v>
      </c>
      <c r="F5332" s="20" t="n">
        <f aca="false">Parametres!$B$6*D5332</f>
        <v>0</v>
      </c>
      <c r="G5332" s="20" t="n">
        <f aca="false">E5332+F5332</f>
        <v>0</v>
      </c>
      <c r="H5332" s="20" t="n">
        <f aca="false">IF(G5332&lt;Parametres!$B$8*Parametres!$B$7,0,MIN(G5332,Parametres!$B$7))</f>
        <v>0</v>
      </c>
      <c r="I5332" s="20" t="n">
        <f aca="false">G5332-H5332</f>
        <v>0</v>
      </c>
      <c r="J5332" s="21" t="n">
        <f aca="false">H5332*1000/Parametres!$B$9</f>
        <v>0</v>
      </c>
    </row>
    <row r="5333" customFormat="false" ht="15" hidden="false" customHeight="false" outlineLevel="0" collapsed="false">
      <c r="A5333" s="0" t="n">
        <v>5329</v>
      </c>
      <c r="B5333" s="0" t="n">
        <v>8</v>
      </c>
      <c r="C5333" s="19" t="n">
        <v>0</v>
      </c>
      <c r="D5333" s="19" t="n">
        <v>0</v>
      </c>
      <c r="E5333" s="20" t="n">
        <f aca="false">Parametres!$B$5*C5333</f>
        <v>0</v>
      </c>
      <c r="F5333" s="20" t="n">
        <f aca="false">Parametres!$B$6*D5333</f>
        <v>0</v>
      </c>
      <c r="G5333" s="20" t="n">
        <f aca="false">E5333+F5333</f>
        <v>0</v>
      </c>
      <c r="H5333" s="20" t="n">
        <f aca="false">IF(G5333&lt;Parametres!$B$8*Parametres!$B$7,0,MIN(G5333,Parametres!$B$7))</f>
        <v>0</v>
      </c>
      <c r="I5333" s="20" t="n">
        <f aca="false">G5333-H5333</f>
        <v>0</v>
      </c>
      <c r="J5333" s="21" t="n">
        <f aca="false">H5333*1000/Parametres!$B$9</f>
        <v>0</v>
      </c>
    </row>
    <row r="5334" customFormat="false" ht="15" hidden="false" customHeight="false" outlineLevel="0" collapsed="false">
      <c r="A5334" s="0" t="n">
        <v>5330</v>
      </c>
      <c r="B5334" s="0" t="n">
        <v>8</v>
      </c>
      <c r="C5334" s="19" t="n">
        <v>0</v>
      </c>
      <c r="D5334" s="19" t="n">
        <v>0</v>
      </c>
      <c r="E5334" s="20" t="n">
        <f aca="false">Parametres!$B$5*C5334</f>
        <v>0</v>
      </c>
      <c r="F5334" s="20" t="n">
        <f aca="false">Parametres!$B$6*D5334</f>
        <v>0</v>
      </c>
      <c r="G5334" s="20" t="n">
        <f aca="false">E5334+F5334</f>
        <v>0</v>
      </c>
      <c r="H5334" s="20" t="n">
        <f aca="false">IF(G5334&lt;Parametres!$B$8*Parametres!$B$7,0,MIN(G5334,Parametres!$B$7))</f>
        <v>0</v>
      </c>
      <c r="I5334" s="20" t="n">
        <f aca="false">G5334-H5334</f>
        <v>0</v>
      </c>
      <c r="J5334" s="21" t="n">
        <f aca="false">H5334*1000/Parametres!$B$9</f>
        <v>0</v>
      </c>
    </row>
    <row r="5335" customFormat="false" ht="15" hidden="false" customHeight="false" outlineLevel="0" collapsed="false">
      <c r="A5335" s="0" t="n">
        <v>5331</v>
      </c>
      <c r="B5335" s="0" t="n">
        <v>8</v>
      </c>
      <c r="C5335" s="19" t="n">
        <v>0</v>
      </c>
      <c r="D5335" s="19" t="n">
        <v>0</v>
      </c>
      <c r="E5335" s="20" t="n">
        <f aca="false">Parametres!$B$5*C5335</f>
        <v>0</v>
      </c>
      <c r="F5335" s="20" t="n">
        <f aca="false">Parametres!$B$6*D5335</f>
        <v>0</v>
      </c>
      <c r="G5335" s="20" t="n">
        <f aca="false">E5335+F5335</f>
        <v>0</v>
      </c>
      <c r="H5335" s="20" t="n">
        <f aca="false">IF(G5335&lt;Parametres!$B$8*Parametres!$B$7,0,MIN(G5335,Parametres!$B$7))</f>
        <v>0</v>
      </c>
      <c r="I5335" s="20" t="n">
        <f aca="false">G5335-H5335</f>
        <v>0</v>
      </c>
      <c r="J5335" s="21" t="n">
        <f aca="false">H5335*1000/Parametres!$B$9</f>
        <v>0</v>
      </c>
    </row>
    <row r="5336" customFormat="false" ht="15" hidden="false" customHeight="false" outlineLevel="0" collapsed="false">
      <c r="A5336" s="0" t="n">
        <v>5332</v>
      </c>
      <c r="B5336" s="0" t="n">
        <v>8</v>
      </c>
      <c r="C5336" s="19" t="n">
        <v>0</v>
      </c>
      <c r="D5336" s="19" t="n">
        <v>0</v>
      </c>
      <c r="E5336" s="20" t="n">
        <f aca="false">Parametres!$B$5*C5336</f>
        <v>0</v>
      </c>
      <c r="F5336" s="20" t="n">
        <f aca="false">Parametres!$B$6*D5336</f>
        <v>0</v>
      </c>
      <c r="G5336" s="20" t="n">
        <f aca="false">E5336+F5336</f>
        <v>0</v>
      </c>
      <c r="H5336" s="20" t="n">
        <f aca="false">IF(G5336&lt;Parametres!$B$8*Parametres!$B$7,0,MIN(G5336,Parametres!$B$7))</f>
        <v>0</v>
      </c>
      <c r="I5336" s="20" t="n">
        <f aca="false">G5336-H5336</f>
        <v>0</v>
      </c>
      <c r="J5336" s="21" t="n">
        <f aca="false">H5336*1000/Parametres!$B$9</f>
        <v>0</v>
      </c>
    </row>
    <row r="5337" customFormat="false" ht="15" hidden="false" customHeight="false" outlineLevel="0" collapsed="false">
      <c r="A5337" s="0" t="n">
        <v>5333</v>
      </c>
      <c r="B5337" s="0" t="n">
        <v>8</v>
      </c>
      <c r="C5337" s="19" t="n">
        <v>0</v>
      </c>
      <c r="D5337" s="19" t="n">
        <v>0</v>
      </c>
      <c r="E5337" s="20" t="n">
        <f aca="false">Parametres!$B$5*C5337</f>
        <v>0</v>
      </c>
      <c r="F5337" s="20" t="n">
        <f aca="false">Parametres!$B$6*D5337</f>
        <v>0</v>
      </c>
      <c r="G5337" s="20" t="n">
        <f aca="false">E5337+F5337</f>
        <v>0</v>
      </c>
      <c r="H5337" s="20" t="n">
        <f aca="false">IF(G5337&lt;Parametres!$B$8*Parametres!$B$7,0,MIN(G5337,Parametres!$B$7))</f>
        <v>0</v>
      </c>
      <c r="I5337" s="20" t="n">
        <f aca="false">G5337-H5337</f>
        <v>0</v>
      </c>
      <c r="J5337" s="21" t="n">
        <f aca="false">H5337*1000/Parametres!$B$9</f>
        <v>0</v>
      </c>
    </row>
    <row r="5338" customFormat="false" ht="15" hidden="false" customHeight="false" outlineLevel="0" collapsed="false">
      <c r="A5338" s="0" t="n">
        <v>5334</v>
      </c>
      <c r="B5338" s="0" t="n">
        <v>8</v>
      </c>
      <c r="C5338" s="19" t="n">
        <v>0.0086</v>
      </c>
      <c r="D5338" s="19" t="n">
        <v>0</v>
      </c>
      <c r="E5338" s="20" t="n">
        <f aca="false">Parametres!$B$5*C5338</f>
        <v>2.58</v>
      </c>
      <c r="F5338" s="20" t="n">
        <f aca="false">Parametres!$B$6*D5338</f>
        <v>0</v>
      </c>
      <c r="G5338" s="20" t="n">
        <f aca="false">E5338+F5338</f>
        <v>2.58</v>
      </c>
      <c r="H5338" s="20" t="n">
        <f aca="false">IF(G5338&lt;Parametres!$B$8*Parametres!$B$7,0,MIN(G5338,Parametres!$B$7))</f>
        <v>0</v>
      </c>
      <c r="I5338" s="20" t="n">
        <f aca="false">G5338-H5338</f>
        <v>2.58</v>
      </c>
      <c r="J5338" s="21" t="n">
        <f aca="false">H5338*1000/Parametres!$B$9</f>
        <v>0</v>
      </c>
    </row>
    <row r="5339" customFormat="false" ht="15" hidden="false" customHeight="false" outlineLevel="0" collapsed="false">
      <c r="A5339" s="0" t="n">
        <v>5335</v>
      </c>
      <c r="B5339" s="0" t="n">
        <v>8</v>
      </c>
      <c r="C5339" s="19" t="n">
        <v>0.2283</v>
      </c>
      <c r="D5339" s="19" t="n">
        <v>0</v>
      </c>
      <c r="E5339" s="20" t="n">
        <f aca="false">Parametres!$B$5*C5339</f>
        <v>68.49</v>
      </c>
      <c r="F5339" s="20" t="n">
        <f aca="false">Parametres!$B$6*D5339</f>
        <v>0</v>
      </c>
      <c r="G5339" s="20" t="n">
        <f aca="false">E5339+F5339</f>
        <v>68.49</v>
      </c>
      <c r="H5339" s="20" t="n">
        <f aca="false">IF(G5339&lt;Parametres!$B$8*Parametres!$B$7,0,MIN(G5339,Parametres!$B$7))</f>
        <v>68.49</v>
      </c>
      <c r="I5339" s="20" t="n">
        <f aca="false">G5339-H5339</f>
        <v>0</v>
      </c>
      <c r="J5339" s="21" t="n">
        <f aca="false">H5339*1000/Parametres!$B$9</f>
        <v>1161.43801933186</v>
      </c>
    </row>
    <row r="5340" customFormat="false" ht="15" hidden="false" customHeight="false" outlineLevel="0" collapsed="false">
      <c r="A5340" s="0" t="n">
        <v>5336</v>
      </c>
      <c r="B5340" s="0" t="n">
        <v>8</v>
      </c>
      <c r="C5340" s="19" t="n">
        <v>0.4826</v>
      </c>
      <c r="D5340" s="19" t="n">
        <v>0</v>
      </c>
      <c r="E5340" s="20" t="n">
        <f aca="false">Parametres!$B$5*C5340</f>
        <v>144.78</v>
      </c>
      <c r="F5340" s="20" t="n">
        <f aca="false">Parametres!$B$6*D5340</f>
        <v>0</v>
      </c>
      <c r="G5340" s="20" t="n">
        <f aca="false">E5340+F5340</f>
        <v>144.78</v>
      </c>
      <c r="H5340" s="20" t="n">
        <f aca="false">IF(G5340&lt;Parametres!$B$8*Parametres!$B$7,0,MIN(G5340,Parametres!$B$7))</f>
        <v>144.78</v>
      </c>
      <c r="I5340" s="20" t="n">
        <f aca="false">G5340-H5340</f>
        <v>0</v>
      </c>
      <c r="J5340" s="21" t="n">
        <f aca="false">H5340*1000/Parametres!$B$9</f>
        <v>2455.14668475496</v>
      </c>
    </row>
    <row r="5341" customFormat="false" ht="15" hidden="false" customHeight="false" outlineLevel="0" collapsed="false">
      <c r="A5341" s="0" t="n">
        <v>5337</v>
      </c>
      <c r="B5341" s="0" t="n">
        <v>8</v>
      </c>
      <c r="C5341" s="19" t="n">
        <v>0.6471</v>
      </c>
      <c r="D5341" s="19" t="n">
        <v>0</v>
      </c>
      <c r="E5341" s="20" t="n">
        <f aca="false">Parametres!$B$5*C5341</f>
        <v>194.13</v>
      </c>
      <c r="F5341" s="20" t="n">
        <f aca="false">Parametres!$B$6*D5341</f>
        <v>0</v>
      </c>
      <c r="G5341" s="20" t="n">
        <f aca="false">E5341+F5341</f>
        <v>194.13</v>
      </c>
      <c r="H5341" s="20" t="n">
        <f aca="false">IF(G5341&lt;Parametres!$B$8*Parametres!$B$7,0,MIN(G5341,Parametres!$B$7))</f>
        <v>194.13</v>
      </c>
      <c r="I5341" s="20" t="n">
        <f aca="false">G5341-H5341</f>
        <v>0</v>
      </c>
      <c r="J5341" s="21" t="n">
        <f aca="false">H5341*1000/Parametres!$B$9</f>
        <v>3292.01288790911</v>
      </c>
    </row>
    <row r="5342" customFormat="false" ht="15" hidden="false" customHeight="false" outlineLevel="0" collapsed="false">
      <c r="A5342" s="0" t="n">
        <v>5338</v>
      </c>
      <c r="B5342" s="0" t="n">
        <v>8</v>
      </c>
      <c r="C5342" s="19" t="n">
        <v>0.8815</v>
      </c>
      <c r="D5342" s="19" t="n">
        <v>0.0005</v>
      </c>
      <c r="E5342" s="20" t="n">
        <f aca="false">Parametres!$B$5*C5342</f>
        <v>264.45</v>
      </c>
      <c r="F5342" s="20" t="n">
        <f aca="false">Parametres!$B$6*D5342</f>
        <v>0.1</v>
      </c>
      <c r="G5342" s="20" t="n">
        <f aca="false">E5342+F5342</f>
        <v>264.55</v>
      </c>
      <c r="H5342" s="20" t="n">
        <f aca="false">IF(G5342&lt;Parametres!$B$8*Parametres!$B$7,0,MIN(G5342,Parametres!$B$7))</f>
        <v>250</v>
      </c>
      <c r="I5342" s="20" t="n">
        <f aca="false">G5342-H5342</f>
        <v>14.55</v>
      </c>
      <c r="J5342" s="21" t="n">
        <f aca="false">H5342*1000/Parametres!$B$9</f>
        <v>4239.44378497541</v>
      </c>
    </row>
    <row r="5343" customFormat="false" ht="15" hidden="false" customHeight="false" outlineLevel="0" collapsed="false">
      <c r="A5343" s="0" t="n">
        <v>5339</v>
      </c>
      <c r="B5343" s="0" t="n">
        <v>8</v>
      </c>
      <c r="C5343" s="19" t="n">
        <v>1</v>
      </c>
      <c r="D5343" s="19" t="n">
        <v>0.0042</v>
      </c>
      <c r="E5343" s="20" t="n">
        <f aca="false">Parametres!$B$5*C5343</f>
        <v>300</v>
      </c>
      <c r="F5343" s="20" t="n">
        <f aca="false">Parametres!$B$6*D5343</f>
        <v>0.84</v>
      </c>
      <c r="G5343" s="20" t="n">
        <f aca="false">E5343+F5343</f>
        <v>300.84</v>
      </c>
      <c r="H5343" s="20" t="n">
        <f aca="false">IF(G5343&lt;Parametres!$B$8*Parametres!$B$7,0,MIN(G5343,Parametres!$B$7))</f>
        <v>250</v>
      </c>
      <c r="I5343" s="20" t="n">
        <f aca="false">G5343-H5343</f>
        <v>50.84</v>
      </c>
      <c r="J5343" s="21" t="n">
        <f aca="false">H5343*1000/Parametres!$B$9</f>
        <v>4239.44378497541</v>
      </c>
    </row>
    <row r="5344" customFormat="false" ht="15" hidden="false" customHeight="false" outlineLevel="0" collapsed="false">
      <c r="A5344" s="0" t="n">
        <v>5340</v>
      </c>
      <c r="B5344" s="0" t="n">
        <v>8</v>
      </c>
      <c r="C5344" s="19" t="n">
        <v>1</v>
      </c>
      <c r="D5344" s="19" t="n">
        <v>0.0043</v>
      </c>
      <c r="E5344" s="20" t="n">
        <f aca="false">Parametres!$B$5*C5344</f>
        <v>300</v>
      </c>
      <c r="F5344" s="20" t="n">
        <f aca="false">Parametres!$B$6*D5344</f>
        <v>0.86</v>
      </c>
      <c r="G5344" s="20" t="n">
        <f aca="false">E5344+F5344</f>
        <v>300.86</v>
      </c>
      <c r="H5344" s="20" t="n">
        <f aca="false">IF(G5344&lt;Parametres!$B$8*Parametres!$B$7,0,MIN(G5344,Parametres!$B$7))</f>
        <v>250</v>
      </c>
      <c r="I5344" s="20" t="n">
        <f aca="false">G5344-H5344</f>
        <v>50.86</v>
      </c>
      <c r="J5344" s="21" t="n">
        <f aca="false">H5344*1000/Parametres!$B$9</f>
        <v>4239.44378497541</v>
      </c>
    </row>
    <row r="5345" customFormat="false" ht="15" hidden="false" customHeight="false" outlineLevel="0" collapsed="false">
      <c r="A5345" s="0" t="n">
        <v>5341</v>
      </c>
      <c r="B5345" s="0" t="n">
        <v>8</v>
      </c>
      <c r="C5345" s="19" t="n">
        <v>1</v>
      </c>
      <c r="D5345" s="19" t="n">
        <v>0</v>
      </c>
      <c r="E5345" s="20" t="n">
        <f aca="false">Parametres!$B$5*C5345</f>
        <v>300</v>
      </c>
      <c r="F5345" s="20" t="n">
        <f aca="false">Parametres!$B$6*D5345</f>
        <v>0</v>
      </c>
      <c r="G5345" s="20" t="n">
        <f aca="false">E5345+F5345</f>
        <v>300</v>
      </c>
      <c r="H5345" s="20" t="n">
        <f aca="false">IF(G5345&lt;Parametres!$B$8*Parametres!$B$7,0,MIN(G5345,Parametres!$B$7))</f>
        <v>250</v>
      </c>
      <c r="I5345" s="20" t="n">
        <f aca="false">G5345-H5345</f>
        <v>50</v>
      </c>
      <c r="J5345" s="21" t="n">
        <f aca="false">H5345*1000/Parametres!$B$9</f>
        <v>4239.44378497541</v>
      </c>
    </row>
    <row r="5346" customFormat="false" ht="15" hidden="false" customHeight="false" outlineLevel="0" collapsed="false">
      <c r="A5346" s="0" t="n">
        <v>5342</v>
      </c>
      <c r="B5346" s="0" t="n">
        <v>8</v>
      </c>
      <c r="C5346" s="19" t="n">
        <v>1</v>
      </c>
      <c r="D5346" s="19" t="n">
        <v>0</v>
      </c>
      <c r="E5346" s="20" t="n">
        <f aca="false">Parametres!$B$5*C5346</f>
        <v>300</v>
      </c>
      <c r="F5346" s="20" t="n">
        <f aca="false">Parametres!$B$6*D5346</f>
        <v>0</v>
      </c>
      <c r="G5346" s="20" t="n">
        <f aca="false">E5346+F5346</f>
        <v>300</v>
      </c>
      <c r="H5346" s="20" t="n">
        <f aca="false">IF(G5346&lt;Parametres!$B$8*Parametres!$B$7,0,MIN(G5346,Parametres!$B$7))</f>
        <v>250</v>
      </c>
      <c r="I5346" s="20" t="n">
        <f aca="false">G5346-H5346</f>
        <v>50</v>
      </c>
      <c r="J5346" s="21" t="n">
        <f aca="false">H5346*1000/Parametres!$B$9</f>
        <v>4239.44378497541</v>
      </c>
    </row>
    <row r="5347" customFormat="false" ht="15" hidden="false" customHeight="false" outlineLevel="0" collapsed="false">
      <c r="A5347" s="0" t="n">
        <v>5343</v>
      </c>
      <c r="B5347" s="0" t="n">
        <v>8</v>
      </c>
      <c r="C5347" s="19" t="n">
        <v>0.9755</v>
      </c>
      <c r="D5347" s="19" t="n">
        <v>0</v>
      </c>
      <c r="E5347" s="20" t="n">
        <f aca="false">Parametres!$B$5*C5347</f>
        <v>292.65</v>
      </c>
      <c r="F5347" s="20" t="n">
        <f aca="false">Parametres!$B$6*D5347</f>
        <v>0</v>
      </c>
      <c r="G5347" s="20" t="n">
        <f aca="false">E5347+F5347</f>
        <v>292.65</v>
      </c>
      <c r="H5347" s="20" t="n">
        <f aca="false">IF(G5347&lt;Parametres!$B$8*Parametres!$B$7,0,MIN(G5347,Parametres!$B$7))</f>
        <v>250</v>
      </c>
      <c r="I5347" s="20" t="n">
        <f aca="false">G5347-H5347</f>
        <v>42.65</v>
      </c>
      <c r="J5347" s="21" t="n">
        <f aca="false">H5347*1000/Parametres!$B$9</f>
        <v>4239.44378497541</v>
      </c>
    </row>
    <row r="5348" customFormat="false" ht="15" hidden="false" customHeight="false" outlineLevel="0" collapsed="false">
      <c r="A5348" s="0" t="n">
        <v>5344</v>
      </c>
      <c r="B5348" s="0" t="n">
        <v>8</v>
      </c>
      <c r="C5348" s="19" t="n">
        <v>0.747</v>
      </c>
      <c r="D5348" s="19" t="n">
        <v>0.0001</v>
      </c>
      <c r="E5348" s="20" t="n">
        <f aca="false">Parametres!$B$5*C5348</f>
        <v>224.1</v>
      </c>
      <c r="F5348" s="20" t="n">
        <f aca="false">Parametres!$B$6*D5348</f>
        <v>0.02</v>
      </c>
      <c r="G5348" s="20" t="n">
        <f aca="false">E5348+F5348</f>
        <v>224.12</v>
      </c>
      <c r="H5348" s="20" t="n">
        <f aca="false">IF(G5348&lt;Parametres!$B$8*Parametres!$B$7,0,MIN(G5348,Parametres!$B$7))</f>
        <v>224.12</v>
      </c>
      <c r="I5348" s="20" t="n">
        <f aca="false">G5348-H5348</f>
        <v>0</v>
      </c>
      <c r="J5348" s="21" t="n">
        <f aca="false">H5348*1000/Parametres!$B$9</f>
        <v>3800.57656435476</v>
      </c>
    </row>
    <row r="5349" customFormat="false" ht="15" hidden="false" customHeight="false" outlineLevel="0" collapsed="false">
      <c r="A5349" s="0" t="n">
        <v>5345</v>
      </c>
      <c r="B5349" s="0" t="n">
        <v>8</v>
      </c>
      <c r="C5349" s="19" t="n">
        <v>0.4848</v>
      </c>
      <c r="D5349" s="19" t="n">
        <v>0.0023</v>
      </c>
      <c r="E5349" s="20" t="n">
        <f aca="false">Parametres!$B$5*C5349</f>
        <v>145.44</v>
      </c>
      <c r="F5349" s="20" t="n">
        <f aca="false">Parametres!$B$6*D5349</f>
        <v>0.46</v>
      </c>
      <c r="G5349" s="20" t="n">
        <f aca="false">E5349+F5349</f>
        <v>145.9</v>
      </c>
      <c r="H5349" s="20" t="n">
        <f aca="false">IF(G5349&lt;Parametres!$B$8*Parametres!$B$7,0,MIN(G5349,Parametres!$B$7))</f>
        <v>145.9</v>
      </c>
      <c r="I5349" s="20" t="n">
        <f aca="false">G5349-H5349</f>
        <v>0</v>
      </c>
      <c r="J5349" s="21" t="n">
        <f aca="false">H5349*1000/Parametres!$B$9</f>
        <v>2474.13939291165</v>
      </c>
    </row>
    <row r="5350" customFormat="false" ht="15" hidden="false" customHeight="false" outlineLevel="0" collapsed="false">
      <c r="A5350" s="0" t="n">
        <v>5346</v>
      </c>
      <c r="B5350" s="0" t="n">
        <v>8</v>
      </c>
      <c r="C5350" s="19" t="n">
        <v>0.2237</v>
      </c>
      <c r="D5350" s="19" t="n">
        <v>0.0106</v>
      </c>
      <c r="E5350" s="20" t="n">
        <f aca="false">Parametres!$B$5*C5350</f>
        <v>67.11</v>
      </c>
      <c r="F5350" s="20" t="n">
        <f aca="false">Parametres!$B$6*D5350</f>
        <v>2.12</v>
      </c>
      <c r="G5350" s="20" t="n">
        <f aca="false">E5350+F5350</f>
        <v>69.23</v>
      </c>
      <c r="H5350" s="20" t="n">
        <f aca="false">IF(G5350&lt;Parametres!$B$8*Parametres!$B$7,0,MIN(G5350,Parametres!$B$7))</f>
        <v>69.23</v>
      </c>
      <c r="I5350" s="20" t="n">
        <f aca="false">G5350-H5350</f>
        <v>0</v>
      </c>
      <c r="J5350" s="21" t="n">
        <f aca="false">H5350*1000/Parametres!$B$9</f>
        <v>1173.98677293539</v>
      </c>
    </row>
    <row r="5351" customFormat="false" ht="15" hidden="false" customHeight="false" outlineLevel="0" collapsed="false">
      <c r="A5351" s="0" t="n">
        <v>5347</v>
      </c>
      <c r="B5351" s="0" t="n">
        <v>8</v>
      </c>
      <c r="C5351" s="19" t="n">
        <v>0.0079</v>
      </c>
      <c r="D5351" s="19" t="n">
        <v>0.0151</v>
      </c>
      <c r="E5351" s="20" t="n">
        <f aca="false">Parametres!$B$5*C5351</f>
        <v>2.37</v>
      </c>
      <c r="F5351" s="20" t="n">
        <f aca="false">Parametres!$B$6*D5351</f>
        <v>3.02</v>
      </c>
      <c r="G5351" s="20" t="n">
        <f aca="false">E5351+F5351</f>
        <v>5.39</v>
      </c>
      <c r="H5351" s="20" t="n">
        <f aca="false">IF(G5351&lt;Parametres!$B$8*Parametres!$B$7,0,MIN(G5351,Parametres!$B$7))</f>
        <v>0</v>
      </c>
      <c r="I5351" s="20" t="n">
        <f aca="false">G5351-H5351</f>
        <v>5.39</v>
      </c>
      <c r="J5351" s="21" t="n">
        <f aca="false">H5351*1000/Parametres!$B$9</f>
        <v>0</v>
      </c>
    </row>
    <row r="5352" customFormat="false" ht="15" hidden="false" customHeight="false" outlineLevel="0" collapsed="false">
      <c r="A5352" s="0" t="n">
        <v>5348</v>
      </c>
      <c r="B5352" s="0" t="n">
        <v>8</v>
      </c>
      <c r="C5352" s="19" t="n">
        <v>0</v>
      </c>
      <c r="D5352" s="19" t="n">
        <v>0.0322</v>
      </c>
      <c r="E5352" s="20" t="n">
        <f aca="false">Parametres!$B$5*C5352</f>
        <v>0</v>
      </c>
      <c r="F5352" s="20" t="n">
        <f aca="false">Parametres!$B$6*D5352</f>
        <v>6.44</v>
      </c>
      <c r="G5352" s="20" t="n">
        <f aca="false">E5352+F5352</f>
        <v>6.44</v>
      </c>
      <c r="H5352" s="20" t="n">
        <f aca="false">IF(G5352&lt;Parametres!$B$8*Parametres!$B$7,0,MIN(G5352,Parametres!$B$7))</f>
        <v>0</v>
      </c>
      <c r="I5352" s="20" t="n">
        <f aca="false">G5352-H5352</f>
        <v>6.44</v>
      </c>
      <c r="J5352" s="21" t="n">
        <f aca="false">H5352*1000/Parametres!$B$9</f>
        <v>0</v>
      </c>
    </row>
    <row r="5353" customFormat="false" ht="15" hidden="false" customHeight="false" outlineLevel="0" collapsed="false">
      <c r="A5353" s="0" t="n">
        <v>5349</v>
      </c>
      <c r="B5353" s="0" t="n">
        <v>8</v>
      </c>
      <c r="C5353" s="19" t="n">
        <v>0</v>
      </c>
      <c r="D5353" s="19" t="n">
        <v>0.0143</v>
      </c>
      <c r="E5353" s="20" t="n">
        <f aca="false">Parametres!$B$5*C5353</f>
        <v>0</v>
      </c>
      <c r="F5353" s="20" t="n">
        <f aca="false">Parametres!$B$6*D5353</f>
        <v>2.86</v>
      </c>
      <c r="G5353" s="20" t="n">
        <f aca="false">E5353+F5353</f>
        <v>2.86</v>
      </c>
      <c r="H5353" s="20" t="n">
        <f aca="false">IF(G5353&lt;Parametres!$B$8*Parametres!$B$7,0,MIN(G5353,Parametres!$B$7))</f>
        <v>0</v>
      </c>
      <c r="I5353" s="20" t="n">
        <f aca="false">G5353-H5353</f>
        <v>2.86</v>
      </c>
      <c r="J5353" s="21" t="n">
        <f aca="false">H5353*1000/Parametres!$B$9</f>
        <v>0</v>
      </c>
    </row>
    <row r="5354" customFormat="false" ht="15" hidden="false" customHeight="false" outlineLevel="0" collapsed="false">
      <c r="A5354" s="0" t="n">
        <v>5350</v>
      </c>
      <c r="B5354" s="0" t="n">
        <v>8</v>
      </c>
      <c r="C5354" s="19" t="n">
        <v>0</v>
      </c>
      <c r="D5354" s="19" t="n">
        <v>0.0057</v>
      </c>
      <c r="E5354" s="20" t="n">
        <f aca="false">Parametres!$B$5*C5354</f>
        <v>0</v>
      </c>
      <c r="F5354" s="20" t="n">
        <f aca="false">Parametres!$B$6*D5354</f>
        <v>1.14</v>
      </c>
      <c r="G5354" s="20" t="n">
        <f aca="false">E5354+F5354</f>
        <v>1.14</v>
      </c>
      <c r="H5354" s="20" t="n">
        <f aca="false">IF(G5354&lt;Parametres!$B$8*Parametres!$B$7,0,MIN(G5354,Parametres!$B$7))</f>
        <v>0</v>
      </c>
      <c r="I5354" s="20" t="n">
        <f aca="false">G5354-H5354</f>
        <v>1.14</v>
      </c>
      <c r="J5354" s="21" t="n">
        <f aca="false">H5354*1000/Parametres!$B$9</f>
        <v>0</v>
      </c>
    </row>
    <row r="5355" customFormat="false" ht="15" hidden="false" customHeight="false" outlineLevel="0" collapsed="false">
      <c r="A5355" s="0" t="n">
        <v>5351</v>
      </c>
      <c r="B5355" s="0" t="n">
        <v>8</v>
      </c>
      <c r="C5355" s="19" t="n">
        <v>0</v>
      </c>
      <c r="D5355" s="19" t="n">
        <v>0.0182</v>
      </c>
      <c r="E5355" s="20" t="n">
        <f aca="false">Parametres!$B$5*C5355</f>
        <v>0</v>
      </c>
      <c r="F5355" s="20" t="n">
        <f aca="false">Parametres!$B$6*D5355</f>
        <v>3.64</v>
      </c>
      <c r="G5355" s="20" t="n">
        <f aca="false">E5355+F5355</f>
        <v>3.64</v>
      </c>
      <c r="H5355" s="20" t="n">
        <f aca="false">IF(G5355&lt;Parametres!$B$8*Parametres!$B$7,0,MIN(G5355,Parametres!$B$7))</f>
        <v>0</v>
      </c>
      <c r="I5355" s="20" t="n">
        <f aca="false">G5355-H5355</f>
        <v>3.64</v>
      </c>
      <c r="J5355" s="21" t="n">
        <f aca="false">H5355*1000/Parametres!$B$9</f>
        <v>0</v>
      </c>
    </row>
    <row r="5356" customFormat="false" ht="15" hidden="false" customHeight="false" outlineLevel="0" collapsed="false">
      <c r="A5356" s="0" t="n">
        <v>5352</v>
      </c>
      <c r="B5356" s="0" t="n">
        <v>8</v>
      </c>
      <c r="C5356" s="19" t="n">
        <v>0</v>
      </c>
      <c r="D5356" s="19" t="n">
        <v>0.0205</v>
      </c>
      <c r="E5356" s="20" t="n">
        <f aca="false">Parametres!$B$5*C5356</f>
        <v>0</v>
      </c>
      <c r="F5356" s="20" t="n">
        <f aca="false">Parametres!$B$6*D5356</f>
        <v>4.1</v>
      </c>
      <c r="G5356" s="20" t="n">
        <f aca="false">E5356+F5356</f>
        <v>4.1</v>
      </c>
      <c r="H5356" s="20" t="n">
        <f aca="false">IF(G5356&lt;Parametres!$B$8*Parametres!$B$7,0,MIN(G5356,Parametres!$B$7))</f>
        <v>0</v>
      </c>
      <c r="I5356" s="20" t="n">
        <f aca="false">G5356-H5356</f>
        <v>4.1</v>
      </c>
      <c r="J5356" s="21" t="n">
        <f aca="false">H5356*1000/Parametres!$B$9</f>
        <v>0</v>
      </c>
    </row>
    <row r="5357" customFormat="false" ht="15" hidden="false" customHeight="false" outlineLevel="0" collapsed="false">
      <c r="A5357" s="0" t="n">
        <v>5353</v>
      </c>
      <c r="B5357" s="0" t="n">
        <v>8</v>
      </c>
      <c r="C5357" s="19" t="n">
        <v>0</v>
      </c>
      <c r="D5357" s="19" t="n">
        <v>0.0353</v>
      </c>
      <c r="E5357" s="20" t="n">
        <f aca="false">Parametres!$B$5*C5357</f>
        <v>0</v>
      </c>
      <c r="F5357" s="20" t="n">
        <f aca="false">Parametres!$B$6*D5357</f>
        <v>7.06</v>
      </c>
      <c r="G5357" s="20" t="n">
        <f aca="false">E5357+F5357</f>
        <v>7.06</v>
      </c>
      <c r="H5357" s="20" t="n">
        <f aca="false">IF(G5357&lt;Parametres!$B$8*Parametres!$B$7,0,MIN(G5357,Parametres!$B$7))</f>
        <v>0</v>
      </c>
      <c r="I5357" s="20" t="n">
        <f aca="false">G5357-H5357</f>
        <v>7.06</v>
      </c>
      <c r="J5357" s="21" t="n">
        <f aca="false">H5357*1000/Parametres!$B$9</f>
        <v>0</v>
      </c>
    </row>
    <row r="5358" customFormat="false" ht="15" hidden="false" customHeight="false" outlineLevel="0" collapsed="false">
      <c r="A5358" s="0" t="n">
        <v>5354</v>
      </c>
      <c r="B5358" s="0" t="n">
        <v>8</v>
      </c>
      <c r="C5358" s="19" t="n">
        <v>0</v>
      </c>
      <c r="D5358" s="19" t="n">
        <v>0.0542</v>
      </c>
      <c r="E5358" s="20" t="n">
        <f aca="false">Parametres!$B$5*C5358</f>
        <v>0</v>
      </c>
      <c r="F5358" s="20" t="n">
        <f aca="false">Parametres!$B$6*D5358</f>
        <v>10.84</v>
      </c>
      <c r="G5358" s="20" t="n">
        <f aca="false">E5358+F5358</f>
        <v>10.84</v>
      </c>
      <c r="H5358" s="20" t="n">
        <f aca="false">IF(G5358&lt;Parametres!$B$8*Parametres!$B$7,0,MIN(G5358,Parametres!$B$7))</f>
        <v>0</v>
      </c>
      <c r="I5358" s="20" t="n">
        <f aca="false">G5358-H5358</f>
        <v>10.84</v>
      </c>
      <c r="J5358" s="21" t="n">
        <f aca="false">H5358*1000/Parametres!$B$9</f>
        <v>0</v>
      </c>
    </row>
    <row r="5359" customFormat="false" ht="15" hidden="false" customHeight="false" outlineLevel="0" collapsed="false">
      <c r="A5359" s="0" t="n">
        <v>5355</v>
      </c>
      <c r="B5359" s="0" t="n">
        <v>8</v>
      </c>
      <c r="C5359" s="19" t="n">
        <v>0</v>
      </c>
      <c r="D5359" s="19" t="n">
        <v>0.0721</v>
      </c>
      <c r="E5359" s="20" t="n">
        <f aca="false">Parametres!$B$5*C5359</f>
        <v>0</v>
      </c>
      <c r="F5359" s="20" t="n">
        <f aca="false">Parametres!$B$6*D5359</f>
        <v>14.42</v>
      </c>
      <c r="G5359" s="20" t="n">
        <f aca="false">E5359+F5359</f>
        <v>14.42</v>
      </c>
      <c r="H5359" s="20" t="n">
        <f aca="false">IF(G5359&lt;Parametres!$B$8*Parametres!$B$7,0,MIN(G5359,Parametres!$B$7))</f>
        <v>0</v>
      </c>
      <c r="I5359" s="20" t="n">
        <f aca="false">G5359-H5359</f>
        <v>14.42</v>
      </c>
      <c r="J5359" s="21" t="n">
        <f aca="false">H5359*1000/Parametres!$B$9</f>
        <v>0</v>
      </c>
    </row>
    <row r="5360" customFormat="false" ht="15" hidden="false" customHeight="false" outlineLevel="0" collapsed="false">
      <c r="A5360" s="0" t="n">
        <v>5356</v>
      </c>
      <c r="B5360" s="0" t="n">
        <v>8</v>
      </c>
      <c r="C5360" s="19" t="n">
        <v>0</v>
      </c>
      <c r="D5360" s="19" t="n">
        <v>0.0615</v>
      </c>
      <c r="E5360" s="20" t="n">
        <f aca="false">Parametres!$B$5*C5360</f>
        <v>0</v>
      </c>
      <c r="F5360" s="20" t="n">
        <f aca="false">Parametres!$B$6*D5360</f>
        <v>12.3</v>
      </c>
      <c r="G5360" s="20" t="n">
        <f aca="false">E5360+F5360</f>
        <v>12.3</v>
      </c>
      <c r="H5360" s="20" t="n">
        <f aca="false">IF(G5360&lt;Parametres!$B$8*Parametres!$B$7,0,MIN(G5360,Parametres!$B$7))</f>
        <v>0</v>
      </c>
      <c r="I5360" s="20" t="n">
        <f aca="false">G5360-H5360</f>
        <v>12.3</v>
      </c>
      <c r="J5360" s="21" t="n">
        <f aca="false">H5360*1000/Parametres!$B$9</f>
        <v>0</v>
      </c>
    </row>
    <row r="5361" customFormat="false" ht="15" hidden="false" customHeight="false" outlineLevel="0" collapsed="false">
      <c r="A5361" s="0" t="n">
        <v>5357</v>
      </c>
      <c r="B5361" s="0" t="n">
        <v>8</v>
      </c>
      <c r="C5361" s="19" t="n">
        <v>0</v>
      </c>
      <c r="D5361" s="19" t="n">
        <v>0.0943</v>
      </c>
      <c r="E5361" s="20" t="n">
        <f aca="false">Parametres!$B$5*C5361</f>
        <v>0</v>
      </c>
      <c r="F5361" s="20" t="n">
        <f aca="false">Parametres!$B$6*D5361</f>
        <v>18.86</v>
      </c>
      <c r="G5361" s="20" t="n">
        <f aca="false">E5361+F5361</f>
        <v>18.86</v>
      </c>
      <c r="H5361" s="20" t="n">
        <f aca="false">IF(G5361&lt;Parametres!$B$8*Parametres!$B$7,0,MIN(G5361,Parametres!$B$7))</f>
        <v>0</v>
      </c>
      <c r="I5361" s="20" t="n">
        <f aca="false">G5361-H5361</f>
        <v>18.86</v>
      </c>
      <c r="J5361" s="21" t="n">
        <f aca="false">H5361*1000/Parametres!$B$9</f>
        <v>0</v>
      </c>
    </row>
    <row r="5362" customFormat="false" ht="15" hidden="false" customHeight="false" outlineLevel="0" collapsed="false">
      <c r="A5362" s="0" t="n">
        <v>5358</v>
      </c>
      <c r="B5362" s="0" t="n">
        <v>8</v>
      </c>
      <c r="C5362" s="19" t="n">
        <v>0.0064</v>
      </c>
      <c r="D5362" s="19" t="n">
        <v>0.0974</v>
      </c>
      <c r="E5362" s="20" t="n">
        <f aca="false">Parametres!$B$5*C5362</f>
        <v>1.92</v>
      </c>
      <c r="F5362" s="20" t="n">
        <f aca="false">Parametres!$B$6*D5362</f>
        <v>19.48</v>
      </c>
      <c r="G5362" s="20" t="n">
        <f aca="false">E5362+F5362</f>
        <v>21.4</v>
      </c>
      <c r="H5362" s="20" t="n">
        <f aca="false">IF(G5362&lt;Parametres!$B$8*Parametres!$B$7,0,MIN(G5362,Parametres!$B$7))</f>
        <v>0</v>
      </c>
      <c r="I5362" s="20" t="n">
        <f aca="false">G5362-H5362</f>
        <v>21.4</v>
      </c>
      <c r="J5362" s="21" t="n">
        <f aca="false">H5362*1000/Parametres!$B$9</f>
        <v>0</v>
      </c>
    </row>
    <row r="5363" customFormat="false" ht="15" hidden="false" customHeight="false" outlineLevel="0" collapsed="false">
      <c r="A5363" s="0" t="n">
        <v>5359</v>
      </c>
      <c r="B5363" s="0" t="n">
        <v>8</v>
      </c>
      <c r="C5363" s="19" t="n">
        <v>0.241</v>
      </c>
      <c r="D5363" s="19" t="n">
        <v>0.1585</v>
      </c>
      <c r="E5363" s="20" t="n">
        <f aca="false">Parametres!$B$5*C5363</f>
        <v>72.3</v>
      </c>
      <c r="F5363" s="20" t="n">
        <f aca="false">Parametres!$B$6*D5363</f>
        <v>31.7</v>
      </c>
      <c r="G5363" s="20" t="n">
        <f aca="false">E5363+F5363</f>
        <v>104</v>
      </c>
      <c r="H5363" s="20" t="n">
        <f aca="false">IF(G5363&lt;Parametres!$B$8*Parametres!$B$7,0,MIN(G5363,Parametres!$B$7))</f>
        <v>104</v>
      </c>
      <c r="I5363" s="20" t="n">
        <f aca="false">G5363-H5363</f>
        <v>0</v>
      </c>
      <c r="J5363" s="21" t="n">
        <f aca="false">H5363*1000/Parametres!$B$9</f>
        <v>1763.60861454977</v>
      </c>
    </row>
    <row r="5364" customFormat="false" ht="15" hidden="false" customHeight="false" outlineLevel="0" collapsed="false">
      <c r="A5364" s="0" t="n">
        <v>5360</v>
      </c>
      <c r="B5364" s="0" t="n">
        <v>8</v>
      </c>
      <c r="C5364" s="19" t="n">
        <v>0.4918</v>
      </c>
      <c r="D5364" s="19" t="n">
        <v>0.2672</v>
      </c>
      <c r="E5364" s="20" t="n">
        <f aca="false">Parametres!$B$5*C5364</f>
        <v>147.54</v>
      </c>
      <c r="F5364" s="20" t="n">
        <f aca="false">Parametres!$B$6*D5364</f>
        <v>53.44</v>
      </c>
      <c r="G5364" s="20" t="n">
        <f aca="false">E5364+F5364</f>
        <v>200.98</v>
      </c>
      <c r="H5364" s="20" t="n">
        <f aca="false">IF(G5364&lt;Parametres!$B$8*Parametres!$B$7,0,MIN(G5364,Parametres!$B$7))</f>
        <v>200.98</v>
      </c>
      <c r="I5364" s="20" t="n">
        <f aca="false">G5364-H5364</f>
        <v>0</v>
      </c>
      <c r="J5364" s="21" t="n">
        <f aca="false">H5364*1000/Parametres!$B$9</f>
        <v>3408.17364761743</v>
      </c>
    </row>
    <row r="5365" customFormat="false" ht="15" hidden="false" customHeight="false" outlineLevel="0" collapsed="false">
      <c r="A5365" s="0" t="n">
        <v>5361</v>
      </c>
      <c r="B5365" s="0" t="n">
        <v>8</v>
      </c>
      <c r="C5365" s="19" t="n">
        <v>0.6999</v>
      </c>
      <c r="D5365" s="19" t="n">
        <v>0.2855</v>
      </c>
      <c r="E5365" s="20" t="n">
        <f aca="false">Parametres!$B$5*C5365</f>
        <v>209.97</v>
      </c>
      <c r="F5365" s="20" t="n">
        <f aca="false">Parametres!$B$6*D5365</f>
        <v>57.1</v>
      </c>
      <c r="G5365" s="20" t="n">
        <f aca="false">E5365+F5365</f>
        <v>267.07</v>
      </c>
      <c r="H5365" s="20" t="n">
        <f aca="false">IF(G5365&lt;Parametres!$B$8*Parametres!$B$7,0,MIN(G5365,Parametres!$B$7))</f>
        <v>250</v>
      </c>
      <c r="I5365" s="20" t="n">
        <f aca="false">G5365-H5365</f>
        <v>17.07</v>
      </c>
      <c r="J5365" s="21" t="n">
        <f aca="false">H5365*1000/Parametres!$B$9</f>
        <v>4239.44378497541</v>
      </c>
    </row>
    <row r="5366" customFormat="false" ht="15" hidden="false" customHeight="false" outlineLevel="0" collapsed="false">
      <c r="A5366" s="0" t="n">
        <v>5362</v>
      </c>
      <c r="B5366" s="0" t="n">
        <v>8</v>
      </c>
      <c r="C5366" s="19" t="n">
        <v>0.9702</v>
      </c>
      <c r="D5366" s="19" t="n">
        <v>0.644</v>
      </c>
      <c r="E5366" s="20" t="n">
        <f aca="false">Parametres!$B$5*C5366</f>
        <v>291.06</v>
      </c>
      <c r="F5366" s="20" t="n">
        <f aca="false">Parametres!$B$6*D5366</f>
        <v>128.8</v>
      </c>
      <c r="G5366" s="20" t="n">
        <f aca="false">E5366+F5366</f>
        <v>419.86</v>
      </c>
      <c r="H5366" s="20" t="n">
        <f aca="false">IF(G5366&lt;Parametres!$B$8*Parametres!$B$7,0,MIN(G5366,Parametres!$B$7))</f>
        <v>250</v>
      </c>
      <c r="I5366" s="20" t="n">
        <f aca="false">G5366-H5366</f>
        <v>169.86</v>
      </c>
      <c r="J5366" s="21" t="n">
        <f aca="false">H5366*1000/Parametres!$B$9</f>
        <v>4239.44378497541</v>
      </c>
    </row>
    <row r="5367" customFormat="false" ht="15" hidden="false" customHeight="false" outlineLevel="0" collapsed="false">
      <c r="A5367" s="0" t="n">
        <v>5363</v>
      </c>
      <c r="B5367" s="0" t="n">
        <v>8</v>
      </c>
      <c r="C5367" s="19" t="n">
        <v>1</v>
      </c>
      <c r="D5367" s="19" t="n">
        <v>0.7487</v>
      </c>
      <c r="E5367" s="20" t="n">
        <f aca="false">Parametres!$B$5*C5367</f>
        <v>300</v>
      </c>
      <c r="F5367" s="20" t="n">
        <f aca="false">Parametres!$B$6*D5367</f>
        <v>149.74</v>
      </c>
      <c r="G5367" s="20" t="n">
        <f aca="false">E5367+F5367</f>
        <v>449.74</v>
      </c>
      <c r="H5367" s="20" t="n">
        <f aca="false">IF(G5367&lt;Parametres!$B$8*Parametres!$B$7,0,MIN(G5367,Parametres!$B$7))</f>
        <v>250</v>
      </c>
      <c r="I5367" s="20" t="n">
        <f aca="false">G5367-H5367</f>
        <v>199.74</v>
      </c>
      <c r="J5367" s="21" t="n">
        <f aca="false">H5367*1000/Parametres!$B$9</f>
        <v>4239.44378497541</v>
      </c>
    </row>
    <row r="5368" customFormat="false" ht="15" hidden="false" customHeight="false" outlineLevel="0" collapsed="false">
      <c r="A5368" s="0" t="n">
        <v>5364</v>
      </c>
      <c r="B5368" s="0" t="n">
        <v>8</v>
      </c>
      <c r="C5368" s="19" t="n">
        <v>1</v>
      </c>
      <c r="D5368" s="19" t="n">
        <v>1</v>
      </c>
      <c r="E5368" s="20" t="n">
        <f aca="false">Parametres!$B$5*C5368</f>
        <v>300</v>
      </c>
      <c r="F5368" s="20" t="n">
        <f aca="false">Parametres!$B$6*D5368</f>
        <v>200</v>
      </c>
      <c r="G5368" s="20" t="n">
        <f aca="false">E5368+F5368</f>
        <v>500</v>
      </c>
      <c r="H5368" s="20" t="n">
        <f aca="false">IF(G5368&lt;Parametres!$B$8*Parametres!$B$7,0,MIN(G5368,Parametres!$B$7))</f>
        <v>250</v>
      </c>
      <c r="I5368" s="20" t="n">
        <f aca="false">G5368-H5368</f>
        <v>250</v>
      </c>
      <c r="J5368" s="21" t="n">
        <f aca="false">H5368*1000/Parametres!$B$9</f>
        <v>4239.44378497541</v>
      </c>
    </row>
    <row r="5369" customFormat="false" ht="15" hidden="false" customHeight="false" outlineLevel="0" collapsed="false">
      <c r="A5369" s="0" t="n">
        <v>5365</v>
      </c>
      <c r="B5369" s="0" t="n">
        <v>8</v>
      </c>
      <c r="C5369" s="19" t="n">
        <v>1</v>
      </c>
      <c r="D5369" s="19" t="n">
        <v>1</v>
      </c>
      <c r="E5369" s="20" t="n">
        <f aca="false">Parametres!$B$5*C5369</f>
        <v>300</v>
      </c>
      <c r="F5369" s="20" t="n">
        <f aca="false">Parametres!$B$6*D5369</f>
        <v>200</v>
      </c>
      <c r="G5369" s="20" t="n">
        <f aca="false">E5369+F5369</f>
        <v>500</v>
      </c>
      <c r="H5369" s="20" t="n">
        <f aca="false">IF(G5369&lt;Parametres!$B$8*Parametres!$B$7,0,MIN(G5369,Parametres!$B$7))</f>
        <v>250</v>
      </c>
      <c r="I5369" s="20" t="n">
        <f aca="false">G5369-H5369</f>
        <v>250</v>
      </c>
      <c r="J5369" s="21" t="n">
        <f aca="false">H5369*1000/Parametres!$B$9</f>
        <v>4239.44378497541</v>
      </c>
    </row>
    <row r="5370" customFormat="false" ht="15" hidden="false" customHeight="false" outlineLevel="0" collapsed="false">
      <c r="A5370" s="0" t="n">
        <v>5366</v>
      </c>
      <c r="B5370" s="0" t="n">
        <v>8</v>
      </c>
      <c r="C5370" s="19" t="n">
        <v>1</v>
      </c>
      <c r="D5370" s="19" t="n">
        <v>1</v>
      </c>
      <c r="E5370" s="20" t="n">
        <f aca="false">Parametres!$B$5*C5370</f>
        <v>300</v>
      </c>
      <c r="F5370" s="20" t="n">
        <f aca="false">Parametres!$B$6*D5370</f>
        <v>200</v>
      </c>
      <c r="G5370" s="20" t="n">
        <f aca="false">E5370+F5370</f>
        <v>500</v>
      </c>
      <c r="H5370" s="20" t="n">
        <f aca="false">IF(G5370&lt;Parametres!$B$8*Parametres!$B$7,0,MIN(G5370,Parametres!$B$7))</f>
        <v>250</v>
      </c>
      <c r="I5370" s="20" t="n">
        <f aca="false">G5370-H5370</f>
        <v>250</v>
      </c>
      <c r="J5370" s="21" t="n">
        <f aca="false">H5370*1000/Parametres!$B$9</f>
        <v>4239.44378497541</v>
      </c>
    </row>
    <row r="5371" customFormat="false" ht="15" hidden="false" customHeight="false" outlineLevel="0" collapsed="false">
      <c r="A5371" s="0" t="n">
        <v>5367</v>
      </c>
      <c r="B5371" s="0" t="n">
        <v>8</v>
      </c>
      <c r="C5371" s="19" t="n">
        <v>0.9702</v>
      </c>
      <c r="D5371" s="19" t="n">
        <v>1</v>
      </c>
      <c r="E5371" s="20" t="n">
        <f aca="false">Parametres!$B$5*C5371</f>
        <v>291.06</v>
      </c>
      <c r="F5371" s="20" t="n">
        <f aca="false">Parametres!$B$6*D5371</f>
        <v>200</v>
      </c>
      <c r="G5371" s="20" t="n">
        <f aca="false">E5371+F5371</f>
        <v>491.06</v>
      </c>
      <c r="H5371" s="20" t="n">
        <f aca="false">IF(G5371&lt;Parametres!$B$8*Parametres!$B$7,0,MIN(G5371,Parametres!$B$7))</f>
        <v>250</v>
      </c>
      <c r="I5371" s="20" t="n">
        <f aca="false">G5371-H5371</f>
        <v>241.06</v>
      </c>
      <c r="J5371" s="21" t="n">
        <f aca="false">H5371*1000/Parametres!$B$9</f>
        <v>4239.44378497541</v>
      </c>
    </row>
    <row r="5372" customFormat="false" ht="15" hidden="false" customHeight="false" outlineLevel="0" collapsed="false">
      <c r="A5372" s="0" t="n">
        <v>5368</v>
      </c>
      <c r="B5372" s="0" t="n">
        <v>8</v>
      </c>
      <c r="C5372" s="19" t="n">
        <v>0.765</v>
      </c>
      <c r="D5372" s="19" t="n">
        <v>0.8199</v>
      </c>
      <c r="E5372" s="20" t="n">
        <f aca="false">Parametres!$B$5*C5372</f>
        <v>229.5</v>
      </c>
      <c r="F5372" s="20" t="n">
        <f aca="false">Parametres!$B$6*D5372</f>
        <v>163.98</v>
      </c>
      <c r="G5372" s="20" t="n">
        <f aca="false">E5372+F5372</f>
        <v>393.48</v>
      </c>
      <c r="H5372" s="20" t="n">
        <f aca="false">IF(G5372&lt;Parametres!$B$8*Parametres!$B$7,0,MIN(G5372,Parametres!$B$7))</f>
        <v>250</v>
      </c>
      <c r="I5372" s="20" t="n">
        <f aca="false">G5372-H5372</f>
        <v>143.48</v>
      </c>
      <c r="J5372" s="21" t="n">
        <f aca="false">H5372*1000/Parametres!$B$9</f>
        <v>4239.44378497541</v>
      </c>
    </row>
    <row r="5373" customFormat="false" ht="15" hidden="false" customHeight="false" outlineLevel="0" collapsed="false">
      <c r="A5373" s="0" t="n">
        <v>5369</v>
      </c>
      <c r="B5373" s="0" t="n">
        <v>8</v>
      </c>
      <c r="C5373" s="19" t="n">
        <v>0.4991</v>
      </c>
      <c r="D5373" s="19" t="n">
        <v>0.4826</v>
      </c>
      <c r="E5373" s="20" t="n">
        <f aca="false">Parametres!$B$5*C5373</f>
        <v>149.73</v>
      </c>
      <c r="F5373" s="20" t="n">
        <f aca="false">Parametres!$B$6*D5373</f>
        <v>96.52</v>
      </c>
      <c r="G5373" s="20" t="n">
        <f aca="false">E5373+F5373</f>
        <v>246.25</v>
      </c>
      <c r="H5373" s="20" t="n">
        <f aca="false">IF(G5373&lt;Parametres!$B$8*Parametres!$B$7,0,MIN(G5373,Parametres!$B$7))</f>
        <v>246.25</v>
      </c>
      <c r="I5373" s="20" t="n">
        <f aca="false">G5373-H5373</f>
        <v>0</v>
      </c>
      <c r="J5373" s="21" t="n">
        <f aca="false">H5373*1000/Parametres!$B$9</f>
        <v>4175.85212820078</v>
      </c>
    </row>
    <row r="5374" customFormat="false" ht="15" hidden="false" customHeight="false" outlineLevel="0" collapsed="false">
      <c r="A5374" s="0" t="n">
        <v>5370</v>
      </c>
      <c r="B5374" s="0" t="n">
        <v>8</v>
      </c>
      <c r="C5374" s="19" t="n">
        <v>0.225</v>
      </c>
      <c r="D5374" s="19" t="n">
        <v>0.4265</v>
      </c>
      <c r="E5374" s="20" t="n">
        <f aca="false">Parametres!$B$5*C5374</f>
        <v>67.5</v>
      </c>
      <c r="F5374" s="20" t="n">
        <f aca="false">Parametres!$B$6*D5374</f>
        <v>85.3</v>
      </c>
      <c r="G5374" s="20" t="n">
        <f aca="false">E5374+F5374</f>
        <v>152.8</v>
      </c>
      <c r="H5374" s="20" t="n">
        <f aca="false">IF(G5374&lt;Parametres!$B$8*Parametres!$B$7,0,MIN(G5374,Parametres!$B$7))</f>
        <v>152.8</v>
      </c>
      <c r="I5374" s="20" t="n">
        <f aca="false">G5374-H5374</f>
        <v>0</v>
      </c>
      <c r="J5374" s="21" t="n">
        <f aca="false">H5374*1000/Parametres!$B$9</f>
        <v>2591.14804137697</v>
      </c>
    </row>
    <row r="5375" customFormat="false" ht="15" hidden="false" customHeight="false" outlineLevel="0" collapsed="false">
      <c r="A5375" s="0" t="n">
        <v>5371</v>
      </c>
      <c r="B5375" s="0" t="n">
        <v>8</v>
      </c>
      <c r="C5375" s="19" t="n">
        <v>0.0062</v>
      </c>
      <c r="D5375" s="19" t="n">
        <v>0.4186</v>
      </c>
      <c r="E5375" s="20" t="n">
        <f aca="false">Parametres!$B$5*C5375</f>
        <v>1.86</v>
      </c>
      <c r="F5375" s="20" t="n">
        <f aca="false">Parametres!$B$6*D5375</f>
        <v>83.72</v>
      </c>
      <c r="G5375" s="20" t="n">
        <f aca="false">E5375+F5375</f>
        <v>85.58</v>
      </c>
      <c r="H5375" s="20" t="n">
        <f aca="false">IF(G5375&lt;Parametres!$B$8*Parametres!$B$7,0,MIN(G5375,Parametres!$B$7))</f>
        <v>85.58</v>
      </c>
      <c r="I5375" s="20" t="n">
        <f aca="false">G5375-H5375</f>
        <v>0</v>
      </c>
      <c r="J5375" s="21" t="n">
        <f aca="false">H5375*1000/Parametres!$B$9</f>
        <v>1451.24639647278</v>
      </c>
    </row>
    <row r="5376" customFormat="false" ht="15" hidden="false" customHeight="false" outlineLevel="0" collapsed="false">
      <c r="A5376" s="0" t="n">
        <v>5372</v>
      </c>
      <c r="B5376" s="0" t="n">
        <v>8</v>
      </c>
      <c r="C5376" s="19" t="n">
        <v>0</v>
      </c>
      <c r="D5376" s="19" t="n">
        <v>0.3183</v>
      </c>
      <c r="E5376" s="20" t="n">
        <f aca="false">Parametres!$B$5*C5376</f>
        <v>0</v>
      </c>
      <c r="F5376" s="20" t="n">
        <f aca="false">Parametres!$B$6*D5376</f>
        <v>63.66</v>
      </c>
      <c r="G5376" s="20" t="n">
        <f aca="false">E5376+F5376</f>
        <v>63.66</v>
      </c>
      <c r="H5376" s="20" t="n">
        <f aca="false">IF(G5376&lt;Parametres!$B$8*Parametres!$B$7,0,MIN(G5376,Parametres!$B$7))</f>
        <v>63.66</v>
      </c>
      <c r="I5376" s="20" t="n">
        <f aca="false">G5376-H5376</f>
        <v>0</v>
      </c>
      <c r="J5376" s="21" t="n">
        <f aca="false">H5376*1000/Parametres!$B$9</f>
        <v>1079.53196540614</v>
      </c>
    </row>
    <row r="5377" customFormat="false" ht="15" hidden="false" customHeight="false" outlineLevel="0" collapsed="false">
      <c r="A5377" s="0" t="n">
        <v>5373</v>
      </c>
      <c r="B5377" s="0" t="n">
        <v>8</v>
      </c>
      <c r="C5377" s="19" t="n">
        <v>0</v>
      </c>
      <c r="D5377" s="19" t="n">
        <v>0.6847</v>
      </c>
      <c r="E5377" s="20" t="n">
        <f aca="false">Parametres!$B$5*C5377</f>
        <v>0</v>
      </c>
      <c r="F5377" s="20" t="n">
        <f aca="false">Parametres!$B$6*D5377</f>
        <v>136.94</v>
      </c>
      <c r="G5377" s="20" t="n">
        <f aca="false">E5377+F5377</f>
        <v>136.94</v>
      </c>
      <c r="H5377" s="20" t="n">
        <f aca="false">IF(G5377&lt;Parametres!$B$8*Parametres!$B$7,0,MIN(G5377,Parametres!$B$7))</f>
        <v>136.94</v>
      </c>
      <c r="I5377" s="20" t="n">
        <f aca="false">G5377-H5377</f>
        <v>0</v>
      </c>
      <c r="J5377" s="21" t="n">
        <f aca="false">H5377*1000/Parametres!$B$9</f>
        <v>2322.19772765813</v>
      </c>
    </row>
    <row r="5378" customFormat="false" ht="15" hidden="false" customHeight="false" outlineLevel="0" collapsed="false">
      <c r="A5378" s="0" t="n">
        <v>5374</v>
      </c>
      <c r="B5378" s="0" t="n">
        <v>8</v>
      </c>
      <c r="C5378" s="19" t="n">
        <v>0</v>
      </c>
      <c r="D5378" s="19" t="n">
        <v>0.8306</v>
      </c>
      <c r="E5378" s="20" t="n">
        <f aca="false">Parametres!$B$5*C5378</f>
        <v>0</v>
      </c>
      <c r="F5378" s="20" t="n">
        <f aca="false">Parametres!$B$6*D5378</f>
        <v>166.12</v>
      </c>
      <c r="G5378" s="20" t="n">
        <f aca="false">E5378+F5378</f>
        <v>166.12</v>
      </c>
      <c r="H5378" s="20" t="n">
        <f aca="false">IF(G5378&lt;Parametres!$B$8*Parametres!$B$7,0,MIN(G5378,Parametres!$B$7))</f>
        <v>166.12</v>
      </c>
      <c r="I5378" s="20" t="n">
        <f aca="false">G5378-H5378</f>
        <v>0</v>
      </c>
      <c r="J5378" s="21" t="n">
        <f aca="false">H5378*1000/Parametres!$B$9</f>
        <v>2817.02560624046</v>
      </c>
    </row>
    <row r="5379" customFormat="false" ht="15" hidden="false" customHeight="false" outlineLevel="0" collapsed="false">
      <c r="A5379" s="0" t="n">
        <v>5375</v>
      </c>
      <c r="B5379" s="0" t="n">
        <v>8</v>
      </c>
      <c r="C5379" s="19" t="n">
        <v>0</v>
      </c>
      <c r="D5379" s="19" t="n">
        <v>0.5188</v>
      </c>
      <c r="E5379" s="20" t="n">
        <f aca="false">Parametres!$B$5*C5379</f>
        <v>0</v>
      </c>
      <c r="F5379" s="20" t="n">
        <f aca="false">Parametres!$B$6*D5379</f>
        <v>103.76</v>
      </c>
      <c r="G5379" s="20" t="n">
        <f aca="false">E5379+F5379</f>
        <v>103.76</v>
      </c>
      <c r="H5379" s="20" t="n">
        <f aca="false">IF(G5379&lt;Parametres!$B$8*Parametres!$B$7,0,MIN(G5379,Parametres!$B$7))</f>
        <v>103.76</v>
      </c>
      <c r="I5379" s="20" t="n">
        <f aca="false">G5379-H5379</f>
        <v>0</v>
      </c>
      <c r="J5379" s="21" t="n">
        <f aca="false">H5379*1000/Parametres!$B$9</f>
        <v>1759.53874851619</v>
      </c>
    </row>
    <row r="5380" customFormat="false" ht="15" hidden="false" customHeight="false" outlineLevel="0" collapsed="false">
      <c r="A5380" s="0" t="n">
        <v>5376</v>
      </c>
      <c r="B5380" s="0" t="n">
        <v>8</v>
      </c>
      <c r="C5380" s="19" t="n">
        <v>0</v>
      </c>
      <c r="D5380" s="19" t="n">
        <v>0.459</v>
      </c>
      <c r="E5380" s="20" t="n">
        <f aca="false">Parametres!$B$5*C5380</f>
        <v>0</v>
      </c>
      <c r="F5380" s="20" t="n">
        <f aca="false">Parametres!$B$6*D5380</f>
        <v>91.8</v>
      </c>
      <c r="G5380" s="20" t="n">
        <f aca="false">E5380+F5380</f>
        <v>91.8</v>
      </c>
      <c r="H5380" s="20" t="n">
        <f aca="false">IF(G5380&lt;Parametres!$B$8*Parametres!$B$7,0,MIN(G5380,Parametres!$B$7))</f>
        <v>91.8</v>
      </c>
      <c r="I5380" s="20" t="n">
        <f aca="false">G5380-H5380</f>
        <v>0</v>
      </c>
      <c r="J5380" s="21" t="n">
        <f aca="false">H5380*1000/Parametres!$B$9</f>
        <v>1556.72375784297</v>
      </c>
    </row>
    <row r="5381" customFormat="false" ht="15" hidden="false" customHeight="false" outlineLevel="0" collapsed="false">
      <c r="A5381" s="0" t="n">
        <v>5377</v>
      </c>
      <c r="B5381" s="0" t="n">
        <v>8</v>
      </c>
      <c r="C5381" s="19" t="n">
        <v>0</v>
      </c>
      <c r="D5381" s="19" t="n">
        <v>0.3714</v>
      </c>
      <c r="E5381" s="20" t="n">
        <f aca="false">Parametres!$B$5*C5381</f>
        <v>0</v>
      </c>
      <c r="F5381" s="20" t="n">
        <f aca="false">Parametres!$B$6*D5381</f>
        <v>74.28</v>
      </c>
      <c r="G5381" s="20" t="n">
        <f aca="false">E5381+F5381</f>
        <v>74.28</v>
      </c>
      <c r="H5381" s="20" t="n">
        <f aca="false">IF(G5381&lt;Parametres!$B$8*Parametres!$B$7,0,MIN(G5381,Parametres!$B$7))</f>
        <v>74.28</v>
      </c>
      <c r="I5381" s="20" t="n">
        <f aca="false">G5381-H5381</f>
        <v>0</v>
      </c>
      <c r="J5381" s="21" t="n">
        <f aca="false">H5381*1000/Parametres!$B$9</f>
        <v>1259.62353739189</v>
      </c>
    </row>
    <row r="5382" customFormat="false" ht="15" hidden="false" customHeight="false" outlineLevel="0" collapsed="false">
      <c r="A5382" s="0" t="n">
        <v>5378</v>
      </c>
      <c r="B5382" s="0" t="n">
        <v>8</v>
      </c>
      <c r="C5382" s="19" t="n">
        <v>0</v>
      </c>
      <c r="D5382" s="19" t="n">
        <v>0.3693</v>
      </c>
      <c r="E5382" s="20" t="n">
        <f aca="false">Parametres!$B$5*C5382</f>
        <v>0</v>
      </c>
      <c r="F5382" s="20" t="n">
        <f aca="false">Parametres!$B$6*D5382</f>
        <v>73.86</v>
      </c>
      <c r="G5382" s="20" t="n">
        <f aca="false">E5382+F5382</f>
        <v>73.86</v>
      </c>
      <c r="H5382" s="20" t="n">
        <f aca="false">IF(G5382&lt;Parametres!$B$8*Parametres!$B$7,0,MIN(G5382,Parametres!$B$7))</f>
        <v>73.86</v>
      </c>
      <c r="I5382" s="20" t="n">
        <f aca="false">G5382-H5382</f>
        <v>0</v>
      </c>
      <c r="J5382" s="21" t="n">
        <f aca="false">H5382*1000/Parametres!$B$9</f>
        <v>1252.50127183314</v>
      </c>
    </row>
    <row r="5383" customFormat="false" ht="15" hidden="false" customHeight="false" outlineLevel="0" collapsed="false">
      <c r="A5383" s="0" t="n">
        <v>5379</v>
      </c>
      <c r="B5383" s="0" t="n">
        <v>8</v>
      </c>
      <c r="C5383" s="19" t="n">
        <v>0</v>
      </c>
      <c r="D5383" s="19" t="n">
        <v>0.3356</v>
      </c>
      <c r="E5383" s="20" t="n">
        <f aca="false">Parametres!$B$5*C5383</f>
        <v>0</v>
      </c>
      <c r="F5383" s="20" t="n">
        <f aca="false">Parametres!$B$6*D5383</f>
        <v>67.12</v>
      </c>
      <c r="G5383" s="20" t="n">
        <f aca="false">E5383+F5383</f>
        <v>67.12</v>
      </c>
      <c r="H5383" s="20" t="n">
        <f aca="false">IF(G5383&lt;Parametres!$B$8*Parametres!$B$7,0,MIN(G5383,Parametres!$B$7))</f>
        <v>67.12</v>
      </c>
      <c r="I5383" s="20" t="n">
        <f aca="false">G5383-H5383</f>
        <v>0</v>
      </c>
      <c r="J5383" s="21" t="n">
        <f aca="false">H5383*1000/Parametres!$B$9</f>
        <v>1138.2058673902</v>
      </c>
    </row>
    <row r="5384" customFormat="false" ht="15" hidden="false" customHeight="false" outlineLevel="0" collapsed="false">
      <c r="A5384" s="0" t="n">
        <v>5380</v>
      </c>
      <c r="B5384" s="0" t="n">
        <v>8</v>
      </c>
      <c r="C5384" s="19" t="n">
        <v>0</v>
      </c>
      <c r="D5384" s="19" t="n">
        <v>0.1804</v>
      </c>
      <c r="E5384" s="20" t="n">
        <f aca="false">Parametres!$B$5*C5384</f>
        <v>0</v>
      </c>
      <c r="F5384" s="20" t="n">
        <f aca="false">Parametres!$B$6*D5384</f>
        <v>36.08</v>
      </c>
      <c r="G5384" s="20" t="n">
        <f aca="false">E5384+F5384</f>
        <v>36.08</v>
      </c>
      <c r="H5384" s="20" t="n">
        <f aca="false">IF(G5384&lt;Parametres!$B$8*Parametres!$B$7,0,MIN(G5384,Parametres!$B$7))</f>
        <v>36.08</v>
      </c>
      <c r="I5384" s="20" t="n">
        <f aca="false">G5384-H5384</f>
        <v>0</v>
      </c>
      <c r="J5384" s="21" t="n">
        <f aca="false">H5384*1000/Parametres!$B$9</f>
        <v>611.836527047651</v>
      </c>
    </row>
    <row r="5385" customFormat="false" ht="15" hidden="false" customHeight="false" outlineLevel="0" collapsed="false">
      <c r="A5385" s="0" t="n">
        <v>5381</v>
      </c>
      <c r="B5385" s="0" t="n">
        <v>8</v>
      </c>
      <c r="C5385" s="19" t="n">
        <v>0</v>
      </c>
      <c r="D5385" s="19" t="n">
        <v>0.3676</v>
      </c>
      <c r="E5385" s="20" t="n">
        <f aca="false">Parametres!$B$5*C5385</f>
        <v>0</v>
      </c>
      <c r="F5385" s="20" t="n">
        <f aca="false">Parametres!$B$6*D5385</f>
        <v>73.52</v>
      </c>
      <c r="G5385" s="20" t="n">
        <f aca="false">E5385+F5385</f>
        <v>73.52</v>
      </c>
      <c r="H5385" s="20" t="n">
        <f aca="false">IF(G5385&lt;Parametres!$B$8*Parametres!$B$7,0,MIN(G5385,Parametres!$B$7))</f>
        <v>73.52</v>
      </c>
      <c r="I5385" s="20" t="n">
        <f aca="false">G5385-H5385</f>
        <v>0</v>
      </c>
      <c r="J5385" s="21" t="n">
        <f aca="false">H5385*1000/Parametres!$B$9</f>
        <v>1246.73562828557</v>
      </c>
    </row>
    <row r="5386" customFormat="false" ht="15" hidden="false" customHeight="false" outlineLevel="0" collapsed="false">
      <c r="A5386" s="0" t="n">
        <v>5382</v>
      </c>
      <c r="B5386" s="0" t="n">
        <v>8</v>
      </c>
      <c r="C5386" s="19" t="n">
        <v>0.0047</v>
      </c>
      <c r="D5386" s="19" t="n">
        <v>0.5561</v>
      </c>
      <c r="E5386" s="20" t="n">
        <f aca="false">Parametres!$B$5*C5386</f>
        <v>1.41</v>
      </c>
      <c r="F5386" s="20" t="n">
        <f aca="false">Parametres!$B$6*D5386</f>
        <v>111.22</v>
      </c>
      <c r="G5386" s="20" t="n">
        <f aca="false">E5386+F5386</f>
        <v>112.63</v>
      </c>
      <c r="H5386" s="20" t="n">
        <f aca="false">IF(G5386&lt;Parametres!$B$8*Parametres!$B$7,0,MIN(G5386,Parametres!$B$7))</f>
        <v>112.63</v>
      </c>
      <c r="I5386" s="20" t="n">
        <f aca="false">G5386-H5386</f>
        <v>0</v>
      </c>
      <c r="J5386" s="21" t="n">
        <f aca="false">H5386*1000/Parametres!$B$9</f>
        <v>1909.95421400712</v>
      </c>
    </row>
    <row r="5387" customFormat="false" ht="15" hidden="false" customHeight="false" outlineLevel="0" collapsed="false">
      <c r="A5387" s="0" t="n">
        <v>5383</v>
      </c>
      <c r="B5387" s="0" t="n">
        <v>8</v>
      </c>
      <c r="C5387" s="19" t="n">
        <v>0.1941</v>
      </c>
      <c r="D5387" s="19" t="n">
        <v>0.7084</v>
      </c>
      <c r="E5387" s="20" t="n">
        <f aca="false">Parametres!$B$5*C5387</f>
        <v>58.23</v>
      </c>
      <c r="F5387" s="20" t="n">
        <f aca="false">Parametres!$B$6*D5387</f>
        <v>141.68</v>
      </c>
      <c r="G5387" s="20" t="n">
        <f aca="false">E5387+F5387</f>
        <v>199.91</v>
      </c>
      <c r="H5387" s="20" t="n">
        <f aca="false">IF(G5387&lt;Parametres!$B$8*Parametres!$B$7,0,MIN(G5387,Parametres!$B$7))</f>
        <v>199.91</v>
      </c>
      <c r="I5387" s="20" t="n">
        <f aca="false">G5387-H5387</f>
        <v>0</v>
      </c>
      <c r="J5387" s="21" t="n">
        <f aca="false">H5387*1000/Parametres!$B$9</f>
        <v>3390.02882821774</v>
      </c>
    </row>
    <row r="5388" customFormat="false" ht="15" hidden="false" customHeight="false" outlineLevel="0" collapsed="false">
      <c r="A5388" s="0" t="n">
        <v>5384</v>
      </c>
      <c r="B5388" s="0" t="n">
        <v>8</v>
      </c>
      <c r="C5388" s="19" t="n">
        <v>0.4794</v>
      </c>
      <c r="D5388" s="19" t="n">
        <v>1</v>
      </c>
      <c r="E5388" s="20" t="n">
        <f aca="false">Parametres!$B$5*C5388</f>
        <v>143.82</v>
      </c>
      <c r="F5388" s="20" t="n">
        <f aca="false">Parametres!$B$6*D5388</f>
        <v>200</v>
      </c>
      <c r="G5388" s="20" t="n">
        <f aca="false">E5388+F5388</f>
        <v>343.82</v>
      </c>
      <c r="H5388" s="20" t="n">
        <f aca="false">IF(G5388&lt;Parametres!$B$8*Parametres!$B$7,0,MIN(G5388,Parametres!$B$7))</f>
        <v>250</v>
      </c>
      <c r="I5388" s="20" t="n">
        <f aca="false">G5388-H5388</f>
        <v>93.82</v>
      </c>
      <c r="J5388" s="21" t="n">
        <f aca="false">H5388*1000/Parametres!$B$9</f>
        <v>4239.44378497541</v>
      </c>
    </row>
    <row r="5389" customFormat="false" ht="15" hidden="false" customHeight="false" outlineLevel="0" collapsed="false">
      <c r="A5389" s="0" t="n">
        <v>5385</v>
      </c>
      <c r="B5389" s="0" t="n">
        <v>8</v>
      </c>
      <c r="C5389" s="19" t="n">
        <v>0.7159</v>
      </c>
      <c r="D5389" s="19" t="n">
        <v>1</v>
      </c>
      <c r="E5389" s="20" t="n">
        <f aca="false">Parametres!$B$5*C5389</f>
        <v>214.77</v>
      </c>
      <c r="F5389" s="20" t="n">
        <f aca="false">Parametres!$B$6*D5389</f>
        <v>200</v>
      </c>
      <c r="G5389" s="20" t="n">
        <f aca="false">E5389+F5389</f>
        <v>414.77</v>
      </c>
      <c r="H5389" s="20" t="n">
        <f aca="false">IF(G5389&lt;Parametres!$B$8*Parametres!$B$7,0,MIN(G5389,Parametres!$B$7))</f>
        <v>250</v>
      </c>
      <c r="I5389" s="20" t="n">
        <f aca="false">G5389-H5389</f>
        <v>164.77</v>
      </c>
      <c r="J5389" s="21" t="n">
        <f aca="false">H5389*1000/Parametres!$B$9</f>
        <v>4239.44378497541</v>
      </c>
    </row>
    <row r="5390" customFormat="false" ht="15" hidden="false" customHeight="false" outlineLevel="0" collapsed="false">
      <c r="A5390" s="0" t="n">
        <v>5386</v>
      </c>
      <c r="B5390" s="0" t="n">
        <v>8</v>
      </c>
      <c r="C5390" s="19" t="n">
        <v>0.9118</v>
      </c>
      <c r="D5390" s="19" t="n">
        <v>1</v>
      </c>
      <c r="E5390" s="20" t="n">
        <f aca="false">Parametres!$B$5*C5390</f>
        <v>273.54</v>
      </c>
      <c r="F5390" s="20" t="n">
        <f aca="false">Parametres!$B$6*D5390</f>
        <v>200</v>
      </c>
      <c r="G5390" s="20" t="n">
        <f aca="false">E5390+F5390</f>
        <v>473.54</v>
      </c>
      <c r="H5390" s="20" t="n">
        <f aca="false">IF(G5390&lt;Parametres!$B$8*Parametres!$B$7,0,MIN(G5390,Parametres!$B$7))</f>
        <v>250</v>
      </c>
      <c r="I5390" s="20" t="n">
        <f aca="false">G5390-H5390</f>
        <v>223.54</v>
      </c>
      <c r="J5390" s="21" t="n">
        <f aca="false">H5390*1000/Parametres!$B$9</f>
        <v>4239.44378497541</v>
      </c>
    </row>
    <row r="5391" customFormat="false" ht="15" hidden="false" customHeight="false" outlineLevel="0" collapsed="false">
      <c r="A5391" s="0" t="n">
        <v>5387</v>
      </c>
      <c r="B5391" s="0" t="n">
        <v>8</v>
      </c>
      <c r="C5391" s="19" t="n">
        <v>1</v>
      </c>
      <c r="D5391" s="19" t="n">
        <v>0.9811</v>
      </c>
      <c r="E5391" s="20" t="n">
        <f aca="false">Parametres!$B$5*C5391</f>
        <v>300</v>
      </c>
      <c r="F5391" s="20" t="n">
        <f aca="false">Parametres!$B$6*D5391</f>
        <v>196.22</v>
      </c>
      <c r="G5391" s="20" t="n">
        <f aca="false">E5391+F5391</f>
        <v>496.22</v>
      </c>
      <c r="H5391" s="20" t="n">
        <f aca="false">IF(G5391&lt;Parametres!$B$8*Parametres!$B$7,0,MIN(G5391,Parametres!$B$7))</f>
        <v>250</v>
      </c>
      <c r="I5391" s="20" t="n">
        <f aca="false">G5391-H5391</f>
        <v>246.22</v>
      </c>
      <c r="J5391" s="21" t="n">
        <f aca="false">H5391*1000/Parametres!$B$9</f>
        <v>4239.44378497541</v>
      </c>
    </row>
    <row r="5392" customFormat="false" ht="15" hidden="false" customHeight="false" outlineLevel="0" collapsed="false">
      <c r="A5392" s="0" t="n">
        <v>5388</v>
      </c>
      <c r="B5392" s="0" t="n">
        <v>8</v>
      </c>
      <c r="C5392" s="19" t="n">
        <v>1</v>
      </c>
      <c r="D5392" s="19" t="n">
        <v>1</v>
      </c>
      <c r="E5392" s="20" t="n">
        <f aca="false">Parametres!$B$5*C5392</f>
        <v>300</v>
      </c>
      <c r="F5392" s="20" t="n">
        <f aca="false">Parametres!$B$6*D5392</f>
        <v>200</v>
      </c>
      <c r="G5392" s="20" t="n">
        <f aca="false">E5392+F5392</f>
        <v>500</v>
      </c>
      <c r="H5392" s="20" t="n">
        <f aca="false">IF(G5392&lt;Parametres!$B$8*Parametres!$B$7,0,MIN(G5392,Parametres!$B$7))</f>
        <v>250</v>
      </c>
      <c r="I5392" s="20" t="n">
        <f aca="false">G5392-H5392</f>
        <v>250</v>
      </c>
      <c r="J5392" s="21" t="n">
        <f aca="false">H5392*1000/Parametres!$B$9</f>
        <v>4239.44378497541</v>
      </c>
    </row>
    <row r="5393" customFormat="false" ht="15" hidden="false" customHeight="false" outlineLevel="0" collapsed="false">
      <c r="A5393" s="0" t="n">
        <v>5389</v>
      </c>
      <c r="B5393" s="0" t="n">
        <v>8</v>
      </c>
      <c r="C5393" s="19" t="n">
        <v>1</v>
      </c>
      <c r="D5393" s="19" t="n">
        <v>1</v>
      </c>
      <c r="E5393" s="20" t="n">
        <f aca="false">Parametres!$B$5*C5393</f>
        <v>300</v>
      </c>
      <c r="F5393" s="20" t="n">
        <f aca="false">Parametres!$B$6*D5393</f>
        <v>200</v>
      </c>
      <c r="G5393" s="20" t="n">
        <f aca="false">E5393+F5393</f>
        <v>500</v>
      </c>
      <c r="H5393" s="20" t="n">
        <f aca="false">IF(G5393&lt;Parametres!$B$8*Parametres!$B$7,0,MIN(G5393,Parametres!$B$7))</f>
        <v>250</v>
      </c>
      <c r="I5393" s="20" t="n">
        <f aca="false">G5393-H5393</f>
        <v>250</v>
      </c>
      <c r="J5393" s="21" t="n">
        <f aca="false">H5393*1000/Parametres!$B$9</f>
        <v>4239.44378497541</v>
      </c>
    </row>
    <row r="5394" customFormat="false" ht="15" hidden="false" customHeight="false" outlineLevel="0" collapsed="false">
      <c r="A5394" s="0" t="n">
        <v>5390</v>
      </c>
      <c r="B5394" s="0" t="n">
        <v>8</v>
      </c>
      <c r="C5394" s="19" t="n">
        <v>1</v>
      </c>
      <c r="D5394" s="19" t="n">
        <v>1</v>
      </c>
      <c r="E5394" s="20" t="n">
        <f aca="false">Parametres!$B$5*C5394</f>
        <v>300</v>
      </c>
      <c r="F5394" s="20" t="n">
        <f aca="false">Parametres!$B$6*D5394</f>
        <v>200</v>
      </c>
      <c r="G5394" s="20" t="n">
        <f aca="false">E5394+F5394</f>
        <v>500</v>
      </c>
      <c r="H5394" s="20" t="n">
        <f aca="false">IF(G5394&lt;Parametres!$B$8*Parametres!$B$7,0,MIN(G5394,Parametres!$B$7))</f>
        <v>250</v>
      </c>
      <c r="I5394" s="20" t="n">
        <f aca="false">G5394-H5394</f>
        <v>250</v>
      </c>
      <c r="J5394" s="21" t="n">
        <f aca="false">H5394*1000/Parametres!$B$9</f>
        <v>4239.44378497541</v>
      </c>
    </row>
    <row r="5395" customFormat="false" ht="15" hidden="false" customHeight="false" outlineLevel="0" collapsed="false">
      <c r="A5395" s="0" t="n">
        <v>5391</v>
      </c>
      <c r="B5395" s="0" t="n">
        <v>8</v>
      </c>
      <c r="C5395" s="19" t="n">
        <v>0.8429</v>
      </c>
      <c r="D5395" s="19" t="n">
        <v>0.8325</v>
      </c>
      <c r="E5395" s="20" t="n">
        <f aca="false">Parametres!$B$5*C5395</f>
        <v>252.87</v>
      </c>
      <c r="F5395" s="20" t="n">
        <f aca="false">Parametres!$B$6*D5395</f>
        <v>166.5</v>
      </c>
      <c r="G5395" s="20" t="n">
        <f aca="false">E5395+F5395</f>
        <v>419.37</v>
      </c>
      <c r="H5395" s="20" t="n">
        <f aca="false">IF(G5395&lt;Parametres!$B$8*Parametres!$B$7,0,MIN(G5395,Parametres!$B$7))</f>
        <v>250</v>
      </c>
      <c r="I5395" s="20" t="n">
        <f aca="false">G5395-H5395</f>
        <v>169.37</v>
      </c>
      <c r="J5395" s="21" t="n">
        <f aca="false">H5395*1000/Parametres!$B$9</f>
        <v>4239.44378497541</v>
      </c>
    </row>
    <row r="5396" customFormat="false" ht="15" hidden="false" customHeight="false" outlineLevel="0" collapsed="false">
      <c r="A5396" s="0" t="n">
        <v>5392</v>
      </c>
      <c r="B5396" s="0" t="n">
        <v>8</v>
      </c>
      <c r="C5396" s="19" t="n">
        <v>0.6362</v>
      </c>
      <c r="D5396" s="19" t="n">
        <v>1</v>
      </c>
      <c r="E5396" s="20" t="n">
        <f aca="false">Parametres!$B$5*C5396</f>
        <v>190.86</v>
      </c>
      <c r="F5396" s="20" t="n">
        <f aca="false">Parametres!$B$6*D5396</f>
        <v>200</v>
      </c>
      <c r="G5396" s="20" t="n">
        <f aca="false">E5396+F5396</f>
        <v>390.86</v>
      </c>
      <c r="H5396" s="20" t="n">
        <f aca="false">IF(G5396&lt;Parametres!$B$8*Parametres!$B$7,0,MIN(G5396,Parametres!$B$7))</f>
        <v>250</v>
      </c>
      <c r="I5396" s="20" t="n">
        <f aca="false">G5396-H5396</f>
        <v>140.86</v>
      </c>
      <c r="J5396" s="21" t="n">
        <f aca="false">H5396*1000/Parametres!$B$9</f>
        <v>4239.44378497541</v>
      </c>
    </row>
    <row r="5397" customFormat="false" ht="15" hidden="false" customHeight="false" outlineLevel="0" collapsed="false">
      <c r="A5397" s="0" t="n">
        <v>5393</v>
      </c>
      <c r="B5397" s="0" t="n">
        <v>8</v>
      </c>
      <c r="C5397" s="19" t="n">
        <v>0.4168</v>
      </c>
      <c r="D5397" s="19" t="n">
        <v>0.9662</v>
      </c>
      <c r="E5397" s="20" t="n">
        <f aca="false">Parametres!$B$5*C5397</f>
        <v>125.04</v>
      </c>
      <c r="F5397" s="20" t="n">
        <f aca="false">Parametres!$B$6*D5397</f>
        <v>193.24</v>
      </c>
      <c r="G5397" s="20" t="n">
        <f aca="false">E5397+F5397</f>
        <v>318.28</v>
      </c>
      <c r="H5397" s="20" t="n">
        <f aca="false">IF(G5397&lt;Parametres!$B$8*Parametres!$B$7,0,MIN(G5397,Parametres!$B$7))</f>
        <v>250</v>
      </c>
      <c r="I5397" s="20" t="n">
        <f aca="false">G5397-H5397</f>
        <v>68.28</v>
      </c>
      <c r="J5397" s="21" t="n">
        <f aca="false">H5397*1000/Parametres!$B$9</f>
        <v>4239.44378497541</v>
      </c>
    </row>
    <row r="5398" customFormat="false" ht="15" hidden="false" customHeight="false" outlineLevel="0" collapsed="false">
      <c r="A5398" s="0" t="n">
        <v>5394</v>
      </c>
      <c r="B5398" s="0" t="n">
        <v>8</v>
      </c>
      <c r="C5398" s="19" t="n">
        <v>0.2141</v>
      </c>
      <c r="D5398" s="19" t="n">
        <v>1</v>
      </c>
      <c r="E5398" s="20" t="n">
        <f aca="false">Parametres!$B$5*C5398</f>
        <v>64.23</v>
      </c>
      <c r="F5398" s="20" t="n">
        <f aca="false">Parametres!$B$6*D5398</f>
        <v>200</v>
      </c>
      <c r="G5398" s="20" t="n">
        <f aca="false">E5398+F5398</f>
        <v>264.23</v>
      </c>
      <c r="H5398" s="20" t="n">
        <f aca="false">IF(G5398&lt;Parametres!$B$8*Parametres!$B$7,0,MIN(G5398,Parametres!$B$7))</f>
        <v>250</v>
      </c>
      <c r="I5398" s="20" t="n">
        <f aca="false">G5398-H5398</f>
        <v>14.23</v>
      </c>
      <c r="J5398" s="21" t="n">
        <f aca="false">H5398*1000/Parametres!$B$9</f>
        <v>4239.44378497541</v>
      </c>
    </row>
    <row r="5399" customFormat="false" ht="15" hidden="false" customHeight="false" outlineLevel="0" collapsed="false">
      <c r="A5399" s="0" t="n">
        <v>5395</v>
      </c>
      <c r="B5399" s="0" t="n">
        <v>8</v>
      </c>
      <c r="C5399" s="19" t="n">
        <v>0.0046</v>
      </c>
      <c r="D5399" s="19" t="n">
        <v>0.8643</v>
      </c>
      <c r="E5399" s="20" t="n">
        <f aca="false">Parametres!$B$5*C5399</f>
        <v>1.38</v>
      </c>
      <c r="F5399" s="20" t="n">
        <f aca="false">Parametres!$B$6*D5399</f>
        <v>172.86</v>
      </c>
      <c r="G5399" s="20" t="n">
        <f aca="false">E5399+F5399</f>
        <v>174.24</v>
      </c>
      <c r="H5399" s="20" t="n">
        <f aca="false">IF(G5399&lt;Parametres!$B$8*Parametres!$B$7,0,MIN(G5399,Parametres!$B$7))</f>
        <v>174.24</v>
      </c>
      <c r="I5399" s="20" t="n">
        <f aca="false">G5399-H5399</f>
        <v>0</v>
      </c>
      <c r="J5399" s="21" t="n">
        <f aca="false">H5399*1000/Parametres!$B$9</f>
        <v>2954.72274037646</v>
      </c>
    </row>
    <row r="5400" customFormat="false" ht="15" hidden="false" customHeight="false" outlineLevel="0" collapsed="false">
      <c r="A5400" s="0" t="n">
        <v>5396</v>
      </c>
      <c r="B5400" s="0" t="n">
        <v>8</v>
      </c>
      <c r="C5400" s="19" t="n">
        <v>0</v>
      </c>
      <c r="D5400" s="19" t="n">
        <v>0.5406</v>
      </c>
      <c r="E5400" s="20" t="n">
        <f aca="false">Parametres!$B$5*C5400</f>
        <v>0</v>
      </c>
      <c r="F5400" s="20" t="n">
        <f aca="false">Parametres!$B$6*D5400</f>
        <v>108.12</v>
      </c>
      <c r="G5400" s="20" t="n">
        <f aca="false">E5400+F5400</f>
        <v>108.12</v>
      </c>
      <c r="H5400" s="20" t="n">
        <f aca="false">IF(G5400&lt;Parametres!$B$8*Parametres!$B$7,0,MIN(G5400,Parametres!$B$7))</f>
        <v>108.12</v>
      </c>
      <c r="I5400" s="20" t="n">
        <f aca="false">G5400-H5400</f>
        <v>0</v>
      </c>
      <c r="J5400" s="21" t="n">
        <f aca="false">H5400*1000/Parametres!$B$9</f>
        <v>1833.47464812617</v>
      </c>
    </row>
    <row r="5401" customFormat="false" ht="15" hidden="false" customHeight="false" outlineLevel="0" collapsed="false">
      <c r="A5401" s="0" t="n">
        <v>5397</v>
      </c>
      <c r="B5401" s="0" t="n">
        <v>8</v>
      </c>
      <c r="C5401" s="19" t="n">
        <v>0</v>
      </c>
      <c r="D5401" s="19" t="n">
        <v>0.5964</v>
      </c>
      <c r="E5401" s="20" t="n">
        <f aca="false">Parametres!$B$5*C5401</f>
        <v>0</v>
      </c>
      <c r="F5401" s="20" t="n">
        <f aca="false">Parametres!$B$6*D5401</f>
        <v>119.28</v>
      </c>
      <c r="G5401" s="20" t="n">
        <f aca="false">E5401+F5401</f>
        <v>119.28</v>
      </c>
      <c r="H5401" s="20" t="n">
        <f aca="false">IF(G5401&lt;Parametres!$B$8*Parametres!$B$7,0,MIN(G5401,Parametres!$B$7))</f>
        <v>119.28</v>
      </c>
      <c r="I5401" s="20" t="n">
        <f aca="false">G5401-H5401</f>
        <v>0</v>
      </c>
      <c r="J5401" s="21" t="n">
        <f aca="false">H5401*1000/Parametres!$B$9</f>
        <v>2022.72341868747</v>
      </c>
    </row>
    <row r="5402" customFormat="false" ht="15" hidden="false" customHeight="false" outlineLevel="0" collapsed="false">
      <c r="A5402" s="0" t="n">
        <v>5398</v>
      </c>
      <c r="B5402" s="0" t="n">
        <v>8</v>
      </c>
      <c r="C5402" s="19" t="n">
        <v>0</v>
      </c>
      <c r="D5402" s="19" t="n">
        <v>0.5161</v>
      </c>
      <c r="E5402" s="20" t="n">
        <f aca="false">Parametres!$B$5*C5402</f>
        <v>0</v>
      </c>
      <c r="F5402" s="20" t="n">
        <f aca="false">Parametres!$B$6*D5402</f>
        <v>103.22</v>
      </c>
      <c r="G5402" s="20" t="n">
        <f aca="false">E5402+F5402</f>
        <v>103.22</v>
      </c>
      <c r="H5402" s="20" t="n">
        <f aca="false">IF(G5402&lt;Parametres!$B$8*Parametres!$B$7,0,MIN(G5402,Parametres!$B$7))</f>
        <v>103.22</v>
      </c>
      <c r="I5402" s="20" t="n">
        <f aca="false">G5402-H5402</f>
        <v>0</v>
      </c>
      <c r="J5402" s="21" t="n">
        <f aca="false">H5402*1000/Parametres!$B$9</f>
        <v>1750.38154994065</v>
      </c>
    </row>
    <row r="5403" customFormat="false" ht="15" hidden="false" customHeight="false" outlineLevel="0" collapsed="false">
      <c r="A5403" s="0" t="n">
        <v>5399</v>
      </c>
      <c r="B5403" s="0" t="n">
        <v>8</v>
      </c>
      <c r="C5403" s="19" t="n">
        <v>0</v>
      </c>
      <c r="D5403" s="19" t="n">
        <v>0.3339</v>
      </c>
      <c r="E5403" s="20" t="n">
        <f aca="false">Parametres!$B$5*C5403</f>
        <v>0</v>
      </c>
      <c r="F5403" s="20" t="n">
        <f aca="false">Parametres!$B$6*D5403</f>
        <v>66.78</v>
      </c>
      <c r="G5403" s="20" t="n">
        <f aca="false">E5403+F5403</f>
        <v>66.78</v>
      </c>
      <c r="H5403" s="20" t="n">
        <f aca="false">IF(G5403&lt;Parametres!$B$8*Parametres!$B$7,0,MIN(G5403,Parametres!$B$7))</f>
        <v>66.78</v>
      </c>
      <c r="I5403" s="20" t="n">
        <f aca="false">G5403-H5403</f>
        <v>0</v>
      </c>
      <c r="J5403" s="21" t="n">
        <f aca="false">H5403*1000/Parametres!$B$9</f>
        <v>1132.44022384263</v>
      </c>
    </row>
    <row r="5404" customFormat="false" ht="15" hidden="false" customHeight="false" outlineLevel="0" collapsed="false">
      <c r="A5404" s="0" t="n">
        <v>5400</v>
      </c>
      <c r="B5404" s="0" t="n">
        <v>8</v>
      </c>
      <c r="C5404" s="19" t="n">
        <v>0</v>
      </c>
      <c r="D5404" s="19" t="n">
        <v>0.3965</v>
      </c>
      <c r="E5404" s="20" t="n">
        <f aca="false">Parametres!$B$5*C5404</f>
        <v>0</v>
      </c>
      <c r="F5404" s="20" t="n">
        <f aca="false">Parametres!$B$6*D5404</f>
        <v>79.3</v>
      </c>
      <c r="G5404" s="20" t="n">
        <f aca="false">E5404+F5404</f>
        <v>79.3</v>
      </c>
      <c r="H5404" s="20" t="n">
        <f aca="false">IF(G5404&lt;Parametres!$B$8*Parametres!$B$7,0,MIN(G5404,Parametres!$B$7))</f>
        <v>79.3</v>
      </c>
      <c r="I5404" s="20" t="n">
        <f aca="false">G5404-H5404</f>
        <v>0</v>
      </c>
      <c r="J5404" s="21" t="n">
        <f aca="false">H5404*1000/Parametres!$B$9</f>
        <v>1344.7515685942</v>
      </c>
    </row>
    <row r="5405" customFormat="false" ht="15" hidden="false" customHeight="false" outlineLevel="0" collapsed="false">
      <c r="A5405" s="0" t="n">
        <v>5401</v>
      </c>
      <c r="B5405" s="0" t="n">
        <v>8</v>
      </c>
      <c r="C5405" s="19" t="n">
        <v>0</v>
      </c>
      <c r="D5405" s="19" t="n">
        <v>0.5343</v>
      </c>
      <c r="E5405" s="20" t="n">
        <f aca="false">Parametres!$B$5*C5405</f>
        <v>0</v>
      </c>
      <c r="F5405" s="20" t="n">
        <f aca="false">Parametres!$B$6*D5405</f>
        <v>106.86</v>
      </c>
      <c r="G5405" s="20" t="n">
        <f aca="false">E5405+F5405</f>
        <v>106.86</v>
      </c>
      <c r="H5405" s="20" t="n">
        <f aca="false">IF(G5405&lt;Parametres!$B$8*Parametres!$B$7,0,MIN(G5405,Parametres!$B$7))</f>
        <v>106.86</v>
      </c>
      <c r="I5405" s="20" t="n">
        <f aca="false">G5405-H5405</f>
        <v>0</v>
      </c>
      <c r="J5405" s="21" t="n">
        <f aca="false">H5405*1000/Parametres!$B$9</f>
        <v>1812.10785144989</v>
      </c>
    </row>
    <row r="5406" customFormat="false" ht="15" hidden="false" customHeight="false" outlineLevel="0" collapsed="false">
      <c r="A5406" s="0" t="n">
        <v>5402</v>
      </c>
      <c r="B5406" s="0" t="n">
        <v>8</v>
      </c>
      <c r="C5406" s="19" t="n">
        <v>0</v>
      </c>
      <c r="D5406" s="19" t="n">
        <v>0.8305</v>
      </c>
      <c r="E5406" s="20" t="n">
        <f aca="false">Parametres!$B$5*C5406</f>
        <v>0</v>
      </c>
      <c r="F5406" s="20" t="n">
        <f aca="false">Parametres!$B$6*D5406</f>
        <v>166.1</v>
      </c>
      <c r="G5406" s="20" t="n">
        <f aca="false">E5406+F5406</f>
        <v>166.1</v>
      </c>
      <c r="H5406" s="20" t="n">
        <f aca="false">IF(G5406&lt;Parametres!$B$8*Parametres!$B$7,0,MIN(G5406,Parametres!$B$7))</f>
        <v>166.1</v>
      </c>
      <c r="I5406" s="20" t="n">
        <f aca="false">G5406-H5406</f>
        <v>0</v>
      </c>
      <c r="J5406" s="21" t="n">
        <f aca="false">H5406*1000/Parametres!$B$9</f>
        <v>2816.68645073766</v>
      </c>
    </row>
    <row r="5407" customFormat="false" ht="15" hidden="false" customHeight="false" outlineLevel="0" collapsed="false">
      <c r="A5407" s="0" t="n">
        <v>5403</v>
      </c>
      <c r="B5407" s="0" t="n">
        <v>8</v>
      </c>
      <c r="C5407" s="19" t="n">
        <v>0</v>
      </c>
      <c r="D5407" s="19" t="n">
        <v>0.9485</v>
      </c>
      <c r="E5407" s="20" t="n">
        <f aca="false">Parametres!$B$5*C5407</f>
        <v>0</v>
      </c>
      <c r="F5407" s="20" t="n">
        <f aca="false">Parametres!$B$6*D5407</f>
        <v>189.7</v>
      </c>
      <c r="G5407" s="20" t="n">
        <f aca="false">E5407+F5407</f>
        <v>189.7</v>
      </c>
      <c r="H5407" s="20" t="n">
        <f aca="false">IF(G5407&lt;Parametres!$B$8*Parametres!$B$7,0,MIN(G5407,Parametres!$B$7))</f>
        <v>189.7</v>
      </c>
      <c r="I5407" s="20" t="n">
        <f aca="false">G5407-H5407</f>
        <v>0</v>
      </c>
      <c r="J5407" s="21" t="n">
        <f aca="false">H5407*1000/Parametres!$B$9</f>
        <v>3216.88994403934</v>
      </c>
    </row>
    <row r="5408" customFormat="false" ht="15" hidden="false" customHeight="false" outlineLevel="0" collapsed="false">
      <c r="A5408" s="0" t="n">
        <v>5404</v>
      </c>
      <c r="B5408" s="0" t="n">
        <v>8</v>
      </c>
      <c r="C5408" s="19" t="n">
        <v>0</v>
      </c>
      <c r="D5408" s="19" t="n">
        <v>0.9618</v>
      </c>
      <c r="E5408" s="20" t="n">
        <f aca="false">Parametres!$B$5*C5408</f>
        <v>0</v>
      </c>
      <c r="F5408" s="20" t="n">
        <f aca="false">Parametres!$B$6*D5408</f>
        <v>192.36</v>
      </c>
      <c r="G5408" s="20" t="n">
        <f aca="false">E5408+F5408</f>
        <v>192.36</v>
      </c>
      <c r="H5408" s="20" t="n">
        <f aca="false">IF(G5408&lt;Parametres!$B$8*Parametres!$B$7,0,MIN(G5408,Parametres!$B$7))</f>
        <v>192.36</v>
      </c>
      <c r="I5408" s="20" t="n">
        <f aca="false">G5408-H5408</f>
        <v>0</v>
      </c>
      <c r="J5408" s="21" t="n">
        <f aca="false">H5408*1000/Parametres!$B$9</f>
        <v>3261.99762591148</v>
      </c>
    </row>
    <row r="5409" customFormat="false" ht="15" hidden="false" customHeight="false" outlineLevel="0" collapsed="false">
      <c r="A5409" s="0" t="n">
        <v>5405</v>
      </c>
      <c r="B5409" s="0" t="n">
        <v>8</v>
      </c>
      <c r="C5409" s="19" t="n">
        <v>0</v>
      </c>
      <c r="D5409" s="19" t="n">
        <v>1</v>
      </c>
      <c r="E5409" s="20" t="n">
        <f aca="false">Parametres!$B$5*C5409</f>
        <v>0</v>
      </c>
      <c r="F5409" s="20" t="n">
        <f aca="false">Parametres!$B$6*D5409</f>
        <v>200</v>
      </c>
      <c r="G5409" s="20" t="n">
        <f aca="false">E5409+F5409</f>
        <v>200</v>
      </c>
      <c r="H5409" s="20" t="n">
        <f aca="false">IF(G5409&lt;Parametres!$B$8*Parametres!$B$7,0,MIN(G5409,Parametres!$B$7))</f>
        <v>200</v>
      </c>
      <c r="I5409" s="20" t="n">
        <f aca="false">G5409-H5409</f>
        <v>0</v>
      </c>
      <c r="J5409" s="21" t="n">
        <f aca="false">H5409*1000/Parametres!$B$9</f>
        <v>3391.55502798033</v>
      </c>
    </row>
    <row r="5410" customFormat="false" ht="15" hidden="false" customHeight="false" outlineLevel="0" collapsed="false">
      <c r="A5410" s="0" t="n">
        <v>5406</v>
      </c>
      <c r="B5410" s="0" t="n">
        <v>8</v>
      </c>
      <c r="C5410" s="19" t="n">
        <v>0.003</v>
      </c>
      <c r="D5410" s="19" t="n">
        <v>0.9874</v>
      </c>
      <c r="E5410" s="20" t="n">
        <f aca="false">Parametres!$B$5*C5410</f>
        <v>0.9</v>
      </c>
      <c r="F5410" s="20" t="n">
        <f aca="false">Parametres!$B$6*D5410</f>
        <v>197.48</v>
      </c>
      <c r="G5410" s="20" t="n">
        <f aca="false">E5410+F5410</f>
        <v>198.38</v>
      </c>
      <c r="H5410" s="20" t="n">
        <f aca="false">IF(G5410&lt;Parametres!$B$8*Parametres!$B$7,0,MIN(G5410,Parametres!$B$7))</f>
        <v>198.38</v>
      </c>
      <c r="I5410" s="20" t="n">
        <f aca="false">G5410-H5410</f>
        <v>0</v>
      </c>
      <c r="J5410" s="21" t="n">
        <f aca="false">H5410*1000/Parametres!$B$9</f>
        <v>3364.08343225369</v>
      </c>
    </row>
    <row r="5411" customFormat="false" ht="15" hidden="false" customHeight="false" outlineLevel="0" collapsed="false">
      <c r="A5411" s="0" t="n">
        <v>5407</v>
      </c>
      <c r="B5411" s="0" t="n">
        <v>8</v>
      </c>
      <c r="C5411" s="19" t="n">
        <v>0.2087</v>
      </c>
      <c r="D5411" s="19" t="n">
        <v>1</v>
      </c>
      <c r="E5411" s="20" t="n">
        <f aca="false">Parametres!$B$5*C5411</f>
        <v>62.61</v>
      </c>
      <c r="F5411" s="20" t="n">
        <f aca="false">Parametres!$B$6*D5411</f>
        <v>200</v>
      </c>
      <c r="G5411" s="20" t="n">
        <f aca="false">E5411+F5411</f>
        <v>262.61</v>
      </c>
      <c r="H5411" s="20" t="n">
        <f aca="false">IF(G5411&lt;Parametres!$B$8*Parametres!$B$7,0,MIN(G5411,Parametres!$B$7))</f>
        <v>250</v>
      </c>
      <c r="I5411" s="20" t="n">
        <f aca="false">G5411-H5411</f>
        <v>12.61</v>
      </c>
      <c r="J5411" s="21" t="n">
        <f aca="false">H5411*1000/Parametres!$B$9</f>
        <v>4239.44378497541</v>
      </c>
    </row>
    <row r="5412" customFormat="false" ht="15" hidden="false" customHeight="false" outlineLevel="0" collapsed="false">
      <c r="A5412" s="0" t="n">
        <v>5408</v>
      </c>
      <c r="B5412" s="0" t="n">
        <v>8</v>
      </c>
      <c r="C5412" s="19" t="n">
        <v>0.4771</v>
      </c>
      <c r="D5412" s="19" t="n">
        <v>1</v>
      </c>
      <c r="E5412" s="20" t="n">
        <f aca="false">Parametres!$B$5*C5412</f>
        <v>143.13</v>
      </c>
      <c r="F5412" s="20" t="n">
        <f aca="false">Parametres!$B$6*D5412</f>
        <v>200</v>
      </c>
      <c r="G5412" s="20" t="n">
        <f aca="false">E5412+F5412</f>
        <v>343.13</v>
      </c>
      <c r="H5412" s="20" t="n">
        <f aca="false">IF(G5412&lt;Parametres!$B$8*Parametres!$B$7,0,MIN(G5412,Parametres!$B$7))</f>
        <v>250</v>
      </c>
      <c r="I5412" s="20" t="n">
        <f aca="false">G5412-H5412</f>
        <v>93.13</v>
      </c>
      <c r="J5412" s="21" t="n">
        <f aca="false">H5412*1000/Parametres!$B$9</f>
        <v>4239.44378497541</v>
      </c>
    </row>
    <row r="5413" customFormat="false" ht="15" hidden="false" customHeight="false" outlineLevel="0" collapsed="false">
      <c r="A5413" s="0" t="n">
        <v>5409</v>
      </c>
      <c r="B5413" s="0" t="n">
        <v>8</v>
      </c>
      <c r="C5413" s="19" t="n">
        <v>0.6912</v>
      </c>
      <c r="D5413" s="19" t="n">
        <v>0.7703</v>
      </c>
      <c r="E5413" s="20" t="n">
        <f aca="false">Parametres!$B$5*C5413</f>
        <v>207.36</v>
      </c>
      <c r="F5413" s="20" t="n">
        <f aca="false">Parametres!$B$6*D5413</f>
        <v>154.06</v>
      </c>
      <c r="G5413" s="20" t="n">
        <f aca="false">E5413+F5413</f>
        <v>361.42</v>
      </c>
      <c r="H5413" s="20" t="n">
        <f aca="false">IF(G5413&lt;Parametres!$B$8*Parametres!$B$7,0,MIN(G5413,Parametres!$B$7))</f>
        <v>250</v>
      </c>
      <c r="I5413" s="20" t="n">
        <f aca="false">G5413-H5413</f>
        <v>111.42</v>
      </c>
      <c r="J5413" s="21" t="n">
        <f aca="false">H5413*1000/Parametres!$B$9</f>
        <v>4239.44378497541</v>
      </c>
    </row>
    <row r="5414" customFormat="false" ht="15" hidden="false" customHeight="false" outlineLevel="0" collapsed="false">
      <c r="A5414" s="0" t="n">
        <v>5410</v>
      </c>
      <c r="B5414" s="0" t="n">
        <v>8</v>
      </c>
      <c r="C5414" s="19" t="n">
        <v>0.913</v>
      </c>
      <c r="D5414" s="19" t="n">
        <v>1</v>
      </c>
      <c r="E5414" s="20" t="n">
        <f aca="false">Parametres!$B$5*C5414</f>
        <v>273.9</v>
      </c>
      <c r="F5414" s="20" t="n">
        <f aca="false">Parametres!$B$6*D5414</f>
        <v>200</v>
      </c>
      <c r="G5414" s="20" t="n">
        <f aca="false">E5414+F5414</f>
        <v>473.9</v>
      </c>
      <c r="H5414" s="20" t="n">
        <f aca="false">IF(G5414&lt;Parametres!$B$8*Parametres!$B$7,0,MIN(G5414,Parametres!$B$7))</f>
        <v>250</v>
      </c>
      <c r="I5414" s="20" t="n">
        <f aca="false">G5414-H5414</f>
        <v>223.9</v>
      </c>
      <c r="J5414" s="21" t="n">
        <f aca="false">H5414*1000/Parametres!$B$9</f>
        <v>4239.44378497541</v>
      </c>
    </row>
    <row r="5415" customFormat="false" ht="15" hidden="false" customHeight="false" outlineLevel="0" collapsed="false">
      <c r="A5415" s="0" t="n">
        <v>5411</v>
      </c>
      <c r="B5415" s="0" t="n">
        <v>8</v>
      </c>
      <c r="C5415" s="19" t="n">
        <v>0.9729</v>
      </c>
      <c r="D5415" s="19" t="n">
        <v>1</v>
      </c>
      <c r="E5415" s="20" t="n">
        <f aca="false">Parametres!$B$5*C5415</f>
        <v>291.87</v>
      </c>
      <c r="F5415" s="20" t="n">
        <f aca="false">Parametres!$B$6*D5415</f>
        <v>200</v>
      </c>
      <c r="G5415" s="20" t="n">
        <f aca="false">E5415+F5415</f>
        <v>491.87</v>
      </c>
      <c r="H5415" s="20" t="n">
        <f aca="false">IF(G5415&lt;Parametres!$B$8*Parametres!$B$7,0,MIN(G5415,Parametres!$B$7))</f>
        <v>250</v>
      </c>
      <c r="I5415" s="20" t="n">
        <f aca="false">G5415-H5415</f>
        <v>241.87</v>
      </c>
      <c r="J5415" s="21" t="n">
        <f aca="false">H5415*1000/Parametres!$B$9</f>
        <v>4239.44378497541</v>
      </c>
    </row>
    <row r="5416" customFormat="false" ht="15" hidden="false" customHeight="false" outlineLevel="0" collapsed="false">
      <c r="A5416" s="0" t="n">
        <v>5412</v>
      </c>
      <c r="B5416" s="0" t="n">
        <v>8</v>
      </c>
      <c r="C5416" s="19" t="n">
        <v>1</v>
      </c>
      <c r="D5416" s="19" t="n">
        <v>1</v>
      </c>
      <c r="E5416" s="20" t="n">
        <f aca="false">Parametres!$B$5*C5416</f>
        <v>300</v>
      </c>
      <c r="F5416" s="20" t="n">
        <f aca="false">Parametres!$B$6*D5416</f>
        <v>200</v>
      </c>
      <c r="G5416" s="20" t="n">
        <f aca="false">E5416+F5416</f>
        <v>500</v>
      </c>
      <c r="H5416" s="20" t="n">
        <f aca="false">IF(G5416&lt;Parametres!$B$8*Parametres!$B$7,0,MIN(G5416,Parametres!$B$7))</f>
        <v>250</v>
      </c>
      <c r="I5416" s="20" t="n">
        <f aca="false">G5416-H5416</f>
        <v>250</v>
      </c>
      <c r="J5416" s="21" t="n">
        <f aca="false">H5416*1000/Parametres!$B$9</f>
        <v>4239.44378497541</v>
      </c>
    </row>
    <row r="5417" customFormat="false" ht="15" hidden="false" customHeight="false" outlineLevel="0" collapsed="false">
      <c r="A5417" s="0" t="n">
        <v>5413</v>
      </c>
      <c r="B5417" s="0" t="n">
        <v>8</v>
      </c>
      <c r="C5417" s="19" t="n">
        <v>1</v>
      </c>
      <c r="D5417" s="19" t="n">
        <v>1</v>
      </c>
      <c r="E5417" s="20" t="n">
        <f aca="false">Parametres!$B$5*C5417</f>
        <v>300</v>
      </c>
      <c r="F5417" s="20" t="n">
        <f aca="false">Parametres!$B$6*D5417</f>
        <v>200</v>
      </c>
      <c r="G5417" s="20" t="n">
        <f aca="false">E5417+F5417</f>
        <v>500</v>
      </c>
      <c r="H5417" s="20" t="n">
        <f aca="false">IF(G5417&lt;Parametres!$B$8*Parametres!$B$7,0,MIN(G5417,Parametres!$B$7))</f>
        <v>250</v>
      </c>
      <c r="I5417" s="20" t="n">
        <f aca="false">G5417-H5417</f>
        <v>250</v>
      </c>
      <c r="J5417" s="21" t="n">
        <f aca="false">H5417*1000/Parametres!$B$9</f>
        <v>4239.44378497541</v>
      </c>
    </row>
    <row r="5418" customFormat="false" ht="15" hidden="false" customHeight="false" outlineLevel="0" collapsed="false">
      <c r="A5418" s="0" t="n">
        <v>5414</v>
      </c>
      <c r="B5418" s="0" t="n">
        <v>8</v>
      </c>
      <c r="C5418" s="19" t="n">
        <v>1</v>
      </c>
      <c r="D5418" s="19" t="n">
        <v>1</v>
      </c>
      <c r="E5418" s="20" t="n">
        <f aca="false">Parametres!$B$5*C5418</f>
        <v>300</v>
      </c>
      <c r="F5418" s="20" t="n">
        <f aca="false">Parametres!$B$6*D5418</f>
        <v>200</v>
      </c>
      <c r="G5418" s="20" t="n">
        <f aca="false">E5418+F5418</f>
        <v>500</v>
      </c>
      <c r="H5418" s="20" t="n">
        <f aca="false">IF(G5418&lt;Parametres!$B$8*Parametres!$B$7,0,MIN(G5418,Parametres!$B$7))</f>
        <v>250</v>
      </c>
      <c r="I5418" s="20" t="n">
        <f aca="false">G5418-H5418</f>
        <v>250</v>
      </c>
      <c r="J5418" s="21" t="n">
        <f aca="false">H5418*1000/Parametres!$B$9</f>
        <v>4239.44378497541</v>
      </c>
    </row>
    <row r="5419" customFormat="false" ht="15" hidden="false" customHeight="false" outlineLevel="0" collapsed="false">
      <c r="A5419" s="0" t="n">
        <v>5415</v>
      </c>
      <c r="B5419" s="0" t="n">
        <v>8</v>
      </c>
      <c r="C5419" s="19" t="n">
        <v>0.9287</v>
      </c>
      <c r="D5419" s="19" t="n">
        <v>1</v>
      </c>
      <c r="E5419" s="20" t="n">
        <f aca="false">Parametres!$B$5*C5419</f>
        <v>278.61</v>
      </c>
      <c r="F5419" s="20" t="n">
        <f aca="false">Parametres!$B$6*D5419</f>
        <v>200</v>
      </c>
      <c r="G5419" s="20" t="n">
        <f aca="false">E5419+F5419</f>
        <v>478.61</v>
      </c>
      <c r="H5419" s="20" t="n">
        <f aca="false">IF(G5419&lt;Parametres!$B$8*Parametres!$B$7,0,MIN(G5419,Parametres!$B$7))</f>
        <v>250</v>
      </c>
      <c r="I5419" s="20" t="n">
        <f aca="false">G5419-H5419</f>
        <v>228.61</v>
      </c>
      <c r="J5419" s="21" t="n">
        <f aca="false">H5419*1000/Parametres!$B$9</f>
        <v>4239.44378497541</v>
      </c>
    </row>
    <row r="5420" customFormat="false" ht="15" hidden="false" customHeight="false" outlineLevel="0" collapsed="false">
      <c r="A5420" s="0" t="n">
        <v>5416</v>
      </c>
      <c r="B5420" s="0" t="n">
        <v>8</v>
      </c>
      <c r="C5420" s="19" t="n">
        <v>0.6787</v>
      </c>
      <c r="D5420" s="19" t="n">
        <v>1</v>
      </c>
      <c r="E5420" s="20" t="n">
        <f aca="false">Parametres!$B$5*C5420</f>
        <v>203.61</v>
      </c>
      <c r="F5420" s="20" t="n">
        <f aca="false">Parametres!$B$6*D5420</f>
        <v>200</v>
      </c>
      <c r="G5420" s="20" t="n">
        <f aca="false">E5420+F5420</f>
        <v>403.61</v>
      </c>
      <c r="H5420" s="20" t="n">
        <f aca="false">IF(G5420&lt;Parametres!$B$8*Parametres!$B$7,0,MIN(G5420,Parametres!$B$7))</f>
        <v>250</v>
      </c>
      <c r="I5420" s="20" t="n">
        <f aca="false">G5420-H5420</f>
        <v>153.61</v>
      </c>
      <c r="J5420" s="21" t="n">
        <f aca="false">H5420*1000/Parametres!$B$9</f>
        <v>4239.44378497541</v>
      </c>
    </row>
    <row r="5421" customFormat="false" ht="15" hidden="false" customHeight="false" outlineLevel="0" collapsed="false">
      <c r="A5421" s="0" t="n">
        <v>5417</v>
      </c>
      <c r="B5421" s="0" t="n">
        <v>8</v>
      </c>
      <c r="C5421" s="19" t="n">
        <v>0.4865</v>
      </c>
      <c r="D5421" s="19" t="n">
        <v>1</v>
      </c>
      <c r="E5421" s="20" t="n">
        <f aca="false">Parametres!$B$5*C5421</f>
        <v>145.95</v>
      </c>
      <c r="F5421" s="20" t="n">
        <f aca="false">Parametres!$B$6*D5421</f>
        <v>200</v>
      </c>
      <c r="G5421" s="20" t="n">
        <f aca="false">E5421+F5421</f>
        <v>345.95</v>
      </c>
      <c r="H5421" s="20" t="n">
        <f aca="false">IF(G5421&lt;Parametres!$B$8*Parametres!$B$7,0,MIN(G5421,Parametres!$B$7))</f>
        <v>250</v>
      </c>
      <c r="I5421" s="20" t="n">
        <f aca="false">G5421-H5421</f>
        <v>95.95</v>
      </c>
      <c r="J5421" s="21" t="n">
        <f aca="false">H5421*1000/Parametres!$B$9</f>
        <v>4239.44378497541</v>
      </c>
    </row>
    <row r="5422" customFormat="false" ht="15" hidden="false" customHeight="false" outlineLevel="0" collapsed="false">
      <c r="A5422" s="0" t="n">
        <v>5418</v>
      </c>
      <c r="B5422" s="0" t="n">
        <v>8</v>
      </c>
      <c r="C5422" s="19" t="n">
        <v>0.227</v>
      </c>
      <c r="D5422" s="19" t="n">
        <v>1</v>
      </c>
      <c r="E5422" s="20" t="n">
        <f aca="false">Parametres!$B$5*C5422</f>
        <v>68.1</v>
      </c>
      <c r="F5422" s="20" t="n">
        <f aca="false">Parametres!$B$6*D5422</f>
        <v>200</v>
      </c>
      <c r="G5422" s="20" t="n">
        <f aca="false">E5422+F5422</f>
        <v>268.1</v>
      </c>
      <c r="H5422" s="20" t="n">
        <f aca="false">IF(G5422&lt;Parametres!$B$8*Parametres!$B$7,0,MIN(G5422,Parametres!$B$7))</f>
        <v>250</v>
      </c>
      <c r="I5422" s="20" t="n">
        <f aca="false">G5422-H5422</f>
        <v>18.1</v>
      </c>
      <c r="J5422" s="21" t="n">
        <f aca="false">H5422*1000/Parametres!$B$9</f>
        <v>4239.44378497541</v>
      </c>
    </row>
    <row r="5423" customFormat="false" ht="15" hidden="false" customHeight="false" outlineLevel="0" collapsed="false">
      <c r="A5423" s="0" t="n">
        <v>5419</v>
      </c>
      <c r="B5423" s="0" t="n">
        <v>8</v>
      </c>
      <c r="C5423" s="19" t="n">
        <v>0.0031</v>
      </c>
      <c r="D5423" s="19" t="n">
        <v>1</v>
      </c>
      <c r="E5423" s="20" t="n">
        <f aca="false">Parametres!$B$5*C5423</f>
        <v>0.93</v>
      </c>
      <c r="F5423" s="20" t="n">
        <f aca="false">Parametres!$B$6*D5423</f>
        <v>200</v>
      </c>
      <c r="G5423" s="20" t="n">
        <f aca="false">E5423+F5423</f>
        <v>200.93</v>
      </c>
      <c r="H5423" s="20" t="n">
        <f aca="false">IF(G5423&lt;Parametres!$B$8*Parametres!$B$7,0,MIN(G5423,Parametres!$B$7))</f>
        <v>200.93</v>
      </c>
      <c r="I5423" s="20" t="n">
        <f aca="false">G5423-H5423</f>
        <v>0</v>
      </c>
      <c r="J5423" s="21" t="n">
        <f aca="false">H5423*1000/Parametres!$B$9</f>
        <v>3407.32575886044</v>
      </c>
    </row>
    <row r="5424" customFormat="false" ht="15" hidden="false" customHeight="false" outlineLevel="0" collapsed="false">
      <c r="A5424" s="0" t="n">
        <v>5420</v>
      </c>
      <c r="B5424" s="0" t="n">
        <v>8</v>
      </c>
      <c r="C5424" s="19" t="n">
        <v>0</v>
      </c>
      <c r="D5424" s="19" t="n">
        <v>1</v>
      </c>
      <c r="E5424" s="20" t="n">
        <f aca="false">Parametres!$B$5*C5424</f>
        <v>0</v>
      </c>
      <c r="F5424" s="20" t="n">
        <f aca="false">Parametres!$B$6*D5424</f>
        <v>200</v>
      </c>
      <c r="G5424" s="20" t="n">
        <f aca="false">E5424+F5424</f>
        <v>200</v>
      </c>
      <c r="H5424" s="20" t="n">
        <f aca="false">IF(G5424&lt;Parametres!$B$8*Parametres!$B$7,0,MIN(G5424,Parametres!$B$7))</f>
        <v>200</v>
      </c>
      <c r="I5424" s="20" t="n">
        <f aca="false">G5424-H5424</f>
        <v>0</v>
      </c>
      <c r="J5424" s="21" t="n">
        <f aca="false">H5424*1000/Parametres!$B$9</f>
        <v>3391.55502798033</v>
      </c>
    </row>
    <row r="5425" customFormat="false" ht="15" hidden="false" customHeight="false" outlineLevel="0" collapsed="false">
      <c r="A5425" s="0" t="n">
        <v>5421</v>
      </c>
      <c r="B5425" s="0" t="n">
        <v>8</v>
      </c>
      <c r="C5425" s="19" t="n">
        <v>0</v>
      </c>
      <c r="D5425" s="19" t="n">
        <v>1</v>
      </c>
      <c r="E5425" s="20" t="n">
        <f aca="false">Parametres!$B$5*C5425</f>
        <v>0</v>
      </c>
      <c r="F5425" s="20" t="n">
        <f aca="false">Parametres!$B$6*D5425</f>
        <v>200</v>
      </c>
      <c r="G5425" s="20" t="n">
        <f aca="false">E5425+F5425</f>
        <v>200</v>
      </c>
      <c r="H5425" s="20" t="n">
        <f aca="false">IF(G5425&lt;Parametres!$B$8*Parametres!$B$7,0,MIN(G5425,Parametres!$B$7))</f>
        <v>200</v>
      </c>
      <c r="I5425" s="20" t="n">
        <f aca="false">G5425-H5425</f>
        <v>0</v>
      </c>
      <c r="J5425" s="21" t="n">
        <f aca="false">H5425*1000/Parametres!$B$9</f>
        <v>3391.55502798033</v>
      </c>
    </row>
    <row r="5426" customFormat="false" ht="15" hidden="false" customHeight="false" outlineLevel="0" collapsed="false">
      <c r="A5426" s="0" t="n">
        <v>5422</v>
      </c>
      <c r="B5426" s="0" t="n">
        <v>8</v>
      </c>
      <c r="C5426" s="19" t="n">
        <v>0</v>
      </c>
      <c r="D5426" s="19" t="n">
        <v>0.6934</v>
      </c>
      <c r="E5426" s="20" t="n">
        <f aca="false">Parametres!$B$5*C5426</f>
        <v>0</v>
      </c>
      <c r="F5426" s="20" t="n">
        <f aca="false">Parametres!$B$6*D5426</f>
        <v>138.68</v>
      </c>
      <c r="G5426" s="20" t="n">
        <f aca="false">E5426+F5426</f>
        <v>138.68</v>
      </c>
      <c r="H5426" s="20" t="n">
        <f aca="false">IF(G5426&lt;Parametres!$B$8*Parametres!$B$7,0,MIN(G5426,Parametres!$B$7))</f>
        <v>138.68</v>
      </c>
      <c r="I5426" s="20" t="n">
        <f aca="false">G5426-H5426</f>
        <v>0</v>
      </c>
      <c r="J5426" s="21" t="n">
        <f aca="false">H5426*1000/Parametres!$B$9</f>
        <v>2351.70425640156</v>
      </c>
    </row>
    <row r="5427" customFormat="false" ht="15" hidden="false" customHeight="false" outlineLevel="0" collapsed="false">
      <c r="A5427" s="0" t="n">
        <v>5423</v>
      </c>
      <c r="B5427" s="0" t="n">
        <v>8</v>
      </c>
      <c r="C5427" s="19" t="n">
        <v>0</v>
      </c>
      <c r="D5427" s="19" t="n">
        <v>0.6778</v>
      </c>
      <c r="E5427" s="20" t="n">
        <f aca="false">Parametres!$B$5*C5427</f>
        <v>0</v>
      </c>
      <c r="F5427" s="20" t="n">
        <f aca="false">Parametres!$B$6*D5427</f>
        <v>135.56</v>
      </c>
      <c r="G5427" s="20" t="n">
        <f aca="false">E5427+F5427</f>
        <v>135.56</v>
      </c>
      <c r="H5427" s="20" t="n">
        <f aca="false">IF(G5427&lt;Parametres!$B$8*Parametres!$B$7,0,MIN(G5427,Parametres!$B$7))</f>
        <v>135.56</v>
      </c>
      <c r="I5427" s="20" t="n">
        <f aca="false">G5427-H5427</f>
        <v>0</v>
      </c>
      <c r="J5427" s="21" t="n">
        <f aca="false">H5427*1000/Parametres!$B$9</f>
        <v>2298.79599796507</v>
      </c>
    </row>
    <row r="5428" customFormat="false" ht="15" hidden="false" customHeight="false" outlineLevel="0" collapsed="false">
      <c r="A5428" s="0" t="n">
        <v>5424</v>
      </c>
      <c r="B5428" s="0" t="n">
        <v>8</v>
      </c>
      <c r="C5428" s="19" t="n">
        <v>0</v>
      </c>
      <c r="D5428" s="19" t="n">
        <v>0.3309</v>
      </c>
      <c r="E5428" s="20" t="n">
        <f aca="false">Parametres!$B$5*C5428</f>
        <v>0</v>
      </c>
      <c r="F5428" s="20" t="n">
        <f aca="false">Parametres!$B$6*D5428</f>
        <v>66.18</v>
      </c>
      <c r="G5428" s="20" t="n">
        <f aca="false">E5428+F5428</f>
        <v>66.18</v>
      </c>
      <c r="H5428" s="20" t="n">
        <f aca="false">IF(G5428&lt;Parametres!$B$8*Parametres!$B$7,0,MIN(G5428,Parametres!$B$7))</f>
        <v>66.18</v>
      </c>
      <c r="I5428" s="20" t="n">
        <f aca="false">G5428-H5428</f>
        <v>0</v>
      </c>
      <c r="J5428" s="21" t="n">
        <f aca="false">H5428*1000/Parametres!$B$9</f>
        <v>1122.26555875869</v>
      </c>
    </row>
    <row r="5429" customFormat="false" ht="15" hidden="false" customHeight="false" outlineLevel="0" collapsed="false">
      <c r="A5429" s="0" t="n">
        <v>5425</v>
      </c>
      <c r="B5429" s="0" t="n">
        <v>8</v>
      </c>
      <c r="C5429" s="19" t="n">
        <v>0</v>
      </c>
      <c r="D5429" s="19" t="n">
        <v>0.2694</v>
      </c>
      <c r="E5429" s="20" t="n">
        <f aca="false">Parametres!$B$5*C5429</f>
        <v>0</v>
      </c>
      <c r="F5429" s="20" t="n">
        <f aca="false">Parametres!$B$6*D5429</f>
        <v>53.88</v>
      </c>
      <c r="G5429" s="20" t="n">
        <f aca="false">E5429+F5429</f>
        <v>53.88</v>
      </c>
      <c r="H5429" s="20" t="n">
        <f aca="false">IF(G5429&lt;Parametres!$B$8*Parametres!$B$7,0,MIN(G5429,Parametres!$B$7))</f>
        <v>53.88</v>
      </c>
      <c r="I5429" s="20" t="n">
        <f aca="false">G5429-H5429</f>
        <v>0</v>
      </c>
      <c r="J5429" s="21" t="n">
        <f aca="false">H5429*1000/Parametres!$B$9</f>
        <v>913.684924537901</v>
      </c>
    </row>
    <row r="5430" customFormat="false" ht="15" hidden="false" customHeight="false" outlineLevel="0" collapsed="false">
      <c r="A5430" s="0" t="n">
        <v>5426</v>
      </c>
      <c r="B5430" s="0" t="n">
        <v>8</v>
      </c>
      <c r="C5430" s="19" t="n">
        <v>0</v>
      </c>
      <c r="D5430" s="19" t="n">
        <v>0.5735</v>
      </c>
      <c r="E5430" s="20" t="n">
        <f aca="false">Parametres!$B$5*C5430</f>
        <v>0</v>
      </c>
      <c r="F5430" s="20" t="n">
        <f aca="false">Parametres!$B$6*D5430</f>
        <v>114.7</v>
      </c>
      <c r="G5430" s="20" t="n">
        <f aca="false">E5430+F5430</f>
        <v>114.7</v>
      </c>
      <c r="H5430" s="20" t="n">
        <f aca="false">IF(G5430&lt;Parametres!$B$8*Parametres!$B$7,0,MIN(G5430,Parametres!$B$7))</f>
        <v>114.7</v>
      </c>
      <c r="I5430" s="20" t="n">
        <f aca="false">G5430-H5430</f>
        <v>0</v>
      </c>
      <c r="J5430" s="21" t="n">
        <f aca="false">H5430*1000/Parametres!$B$9</f>
        <v>1945.05680854672</v>
      </c>
    </row>
    <row r="5431" customFormat="false" ht="15" hidden="false" customHeight="false" outlineLevel="0" collapsed="false">
      <c r="A5431" s="0" t="n">
        <v>5427</v>
      </c>
      <c r="B5431" s="0" t="n">
        <v>8</v>
      </c>
      <c r="C5431" s="19" t="n">
        <v>0</v>
      </c>
      <c r="D5431" s="19" t="n">
        <v>0.6407</v>
      </c>
      <c r="E5431" s="20" t="n">
        <f aca="false">Parametres!$B$5*C5431</f>
        <v>0</v>
      </c>
      <c r="F5431" s="20" t="n">
        <f aca="false">Parametres!$B$6*D5431</f>
        <v>128.14</v>
      </c>
      <c r="G5431" s="20" t="n">
        <f aca="false">E5431+F5431</f>
        <v>128.14</v>
      </c>
      <c r="H5431" s="20" t="n">
        <f aca="false">IF(G5431&lt;Parametres!$B$8*Parametres!$B$7,0,MIN(G5431,Parametres!$B$7))</f>
        <v>128.14</v>
      </c>
      <c r="I5431" s="20" t="n">
        <f aca="false">G5431-H5431</f>
        <v>0</v>
      </c>
      <c r="J5431" s="21" t="n">
        <f aca="false">H5431*1000/Parametres!$B$9</f>
        <v>2172.969306427</v>
      </c>
    </row>
    <row r="5432" customFormat="false" ht="15" hidden="false" customHeight="false" outlineLevel="0" collapsed="false">
      <c r="A5432" s="0" t="n">
        <v>5428</v>
      </c>
      <c r="B5432" s="0" t="n">
        <v>8</v>
      </c>
      <c r="C5432" s="19" t="n">
        <v>0</v>
      </c>
      <c r="D5432" s="19" t="n">
        <v>0.6342</v>
      </c>
      <c r="E5432" s="20" t="n">
        <f aca="false">Parametres!$B$5*C5432</f>
        <v>0</v>
      </c>
      <c r="F5432" s="20" t="n">
        <f aca="false">Parametres!$B$6*D5432</f>
        <v>126.84</v>
      </c>
      <c r="G5432" s="20" t="n">
        <f aca="false">E5432+F5432</f>
        <v>126.84</v>
      </c>
      <c r="H5432" s="20" t="n">
        <f aca="false">IF(G5432&lt;Parametres!$B$8*Parametres!$B$7,0,MIN(G5432,Parametres!$B$7))</f>
        <v>126.84</v>
      </c>
      <c r="I5432" s="20" t="n">
        <f aca="false">G5432-H5432</f>
        <v>0</v>
      </c>
      <c r="J5432" s="21" t="n">
        <f aca="false">H5432*1000/Parametres!$B$9</f>
        <v>2150.92419874512</v>
      </c>
    </row>
    <row r="5433" customFormat="false" ht="15" hidden="false" customHeight="false" outlineLevel="0" collapsed="false">
      <c r="A5433" s="0" t="n">
        <v>5429</v>
      </c>
      <c r="B5433" s="0" t="n">
        <v>8</v>
      </c>
      <c r="C5433" s="19" t="n">
        <v>0</v>
      </c>
      <c r="D5433" s="19" t="n">
        <v>0.5267</v>
      </c>
      <c r="E5433" s="20" t="n">
        <f aca="false">Parametres!$B$5*C5433</f>
        <v>0</v>
      </c>
      <c r="F5433" s="20" t="n">
        <f aca="false">Parametres!$B$6*D5433</f>
        <v>105.34</v>
      </c>
      <c r="G5433" s="20" t="n">
        <f aca="false">E5433+F5433</f>
        <v>105.34</v>
      </c>
      <c r="H5433" s="20" t="n">
        <f aca="false">IF(G5433&lt;Parametres!$B$8*Parametres!$B$7,0,MIN(G5433,Parametres!$B$7))</f>
        <v>105.34</v>
      </c>
      <c r="I5433" s="20" t="n">
        <f aca="false">G5433-H5433</f>
        <v>0</v>
      </c>
      <c r="J5433" s="21" t="n">
        <f aca="false">H5433*1000/Parametres!$B$9</f>
        <v>1786.33203323724</v>
      </c>
    </row>
    <row r="5434" customFormat="false" ht="15" hidden="false" customHeight="false" outlineLevel="0" collapsed="false">
      <c r="A5434" s="0" t="n">
        <v>5430</v>
      </c>
      <c r="B5434" s="0" t="n">
        <v>8</v>
      </c>
      <c r="C5434" s="19" t="n">
        <v>0.001</v>
      </c>
      <c r="D5434" s="19" t="n">
        <v>0.2329</v>
      </c>
      <c r="E5434" s="20" t="n">
        <f aca="false">Parametres!$B$5*C5434</f>
        <v>0.3</v>
      </c>
      <c r="F5434" s="20" t="n">
        <f aca="false">Parametres!$B$6*D5434</f>
        <v>46.58</v>
      </c>
      <c r="G5434" s="20" t="n">
        <f aca="false">E5434+F5434</f>
        <v>46.88</v>
      </c>
      <c r="H5434" s="20" t="n">
        <f aca="false">IF(G5434&lt;Parametres!$B$8*Parametres!$B$7,0,MIN(G5434,Parametres!$B$7))</f>
        <v>46.88</v>
      </c>
      <c r="I5434" s="20" t="n">
        <f aca="false">G5434-H5434</f>
        <v>0</v>
      </c>
      <c r="J5434" s="21" t="n">
        <f aca="false">H5434*1000/Parametres!$B$9</f>
        <v>794.980498558589</v>
      </c>
    </row>
    <row r="5435" customFormat="false" ht="15" hidden="false" customHeight="false" outlineLevel="0" collapsed="false">
      <c r="A5435" s="0" t="n">
        <v>5431</v>
      </c>
      <c r="B5435" s="0" t="n">
        <v>8</v>
      </c>
      <c r="C5435" s="19" t="n">
        <v>0.1837</v>
      </c>
      <c r="D5435" s="19" t="n">
        <v>0.3321</v>
      </c>
      <c r="E5435" s="20" t="n">
        <f aca="false">Parametres!$B$5*C5435</f>
        <v>55.11</v>
      </c>
      <c r="F5435" s="20" t="n">
        <f aca="false">Parametres!$B$6*D5435</f>
        <v>66.42</v>
      </c>
      <c r="G5435" s="20" t="n">
        <f aca="false">E5435+F5435</f>
        <v>121.53</v>
      </c>
      <c r="H5435" s="20" t="n">
        <f aca="false">IF(G5435&lt;Parametres!$B$8*Parametres!$B$7,0,MIN(G5435,Parametres!$B$7))</f>
        <v>121.53</v>
      </c>
      <c r="I5435" s="20" t="n">
        <f aca="false">G5435-H5435</f>
        <v>0</v>
      </c>
      <c r="J5435" s="21" t="n">
        <f aca="false">H5435*1000/Parametres!$B$9</f>
        <v>2060.87841275225</v>
      </c>
    </row>
    <row r="5436" customFormat="false" ht="15" hidden="false" customHeight="false" outlineLevel="0" collapsed="false">
      <c r="A5436" s="0" t="n">
        <v>5432</v>
      </c>
      <c r="B5436" s="0" t="n">
        <v>8</v>
      </c>
      <c r="C5436" s="19" t="n">
        <v>0.4209</v>
      </c>
      <c r="D5436" s="19" t="n">
        <v>0.502</v>
      </c>
      <c r="E5436" s="20" t="n">
        <f aca="false">Parametres!$B$5*C5436</f>
        <v>126.27</v>
      </c>
      <c r="F5436" s="20" t="n">
        <f aca="false">Parametres!$B$6*D5436</f>
        <v>100.4</v>
      </c>
      <c r="G5436" s="20" t="n">
        <f aca="false">E5436+F5436</f>
        <v>226.67</v>
      </c>
      <c r="H5436" s="20" t="n">
        <f aca="false">IF(G5436&lt;Parametres!$B$8*Parametres!$B$7,0,MIN(G5436,Parametres!$B$7))</f>
        <v>226.67</v>
      </c>
      <c r="I5436" s="20" t="n">
        <f aca="false">G5436-H5436</f>
        <v>0</v>
      </c>
      <c r="J5436" s="21" t="n">
        <f aca="false">H5436*1000/Parametres!$B$9</f>
        <v>3843.81889096151</v>
      </c>
    </row>
    <row r="5437" customFormat="false" ht="15" hidden="false" customHeight="false" outlineLevel="0" collapsed="false">
      <c r="A5437" s="0" t="n">
        <v>5433</v>
      </c>
      <c r="B5437" s="0" t="n">
        <v>8</v>
      </c>
      <c r="C5437" s="19" t="n">
        <v>0.6353</v>
      </c>
      <c r="D5437" s="19" t="n">
        <v>0.5245</v>
      </c>
      <c r="E5437" s="20" t="n">
        <f aca="false">Parametres!$B$5*C5437</f>
        <v>190.59</v>
      </c>
      <c r="F5437" s="20" t="n">
        <f aca="false">Parametres!$B$6*D5437</f>
        <v>104.9</v>
      </c>
      <c r="G5437" s="20" t="n">
        <f aca="false">E5437+F5437</f>
        <v>295.49</v>
      </c>
      <c r="H5437" s="20" t="n">
        <f aca="false">IF(G5437&lt;Parametres!$B$8*Parametres!$B$7,0,MIN(G5437,Parametres!$B$7))</f>
        <v>250</v>
      </c>
      <c r="I5437" s="20" t="n">
        <f aca="false">G5437-H5437</f>
        <v>45.49</v>
      </c>
      <c r="J5437" s="21" t="n">
        <f aca="false">H5437*1000/Parametres!$B$9</f>
        <v>4239.44378497541</v>
      </c>
    </row>
    <row r="5438" customFormat="false" ht="15" hidden="false" customHeight="false" outlineLevel="0" collapsed="false">
      <c r="A5438" s="0" t="n">
        <v>5434</v>
      </c>
      <c r="B5438" s="0" t="n">
        <v>8</v>
      </c>
      <c r="C5438" s="19" t="n">
        <v>0.7709</v>
      </c>
      <c r="D5438" s="19" t="n">
        <v>0.4405</v>
      </c>
      <c r="E5438" s="20" t="n">
        <f aca="false">Parametres!$B$5*C5438</f>
        <v>231.27</v>
      </c>
      <c r="F5438" s="20" t="n">
        <f aca="false">Parametres!$B$6*D5438</f>
        <v>88.1</v>
      </c>
      <c r="G5438" s="20" t="n">
        <f aca="false">E5438+F5438</f>
        <v>319.37</v>
      </c>
      <c r="H5438" s="20" t="n">
        <f aca="false">IF(G5438&lt;Parametres!$B$8*Parametres!$B$7,0,MIN(G5438,Parametres!$B$7))</f>
        <v>250</v>
      </c>
      <c r="I5438" s="20" t="n">
        <f aca="false">G5438-H5438</f>
        <v>69.37</v>
      </c>
      <c r="J5438" s="21" t="n">
        <f aca="false">H5438*1000/Parametres!$B$9</f>
        <v>4239.44378497541</v>
      </c>
    </row>
    <row r="5439" customFormat="false" ht="15" hidden="false" customHeight="false" outlineLevel="0" collapsed="false">
      <c r="A5439" s="0" t="n">
        <v>5435</v>
      </c>
      <c r="B5439" s="0" t="n">
        <v>8</v>
      </c>
      <c r="C5439" s="19" t="n">
        <v>0.8823</v>
      </c>
      <c r="D5439" s="19" t="n">
        <v>0.4917</v>
      </c>
      <c r="E5439" s="20" t="n">
        <f aca="false">Parametres!$B$5*C5439</f>
        <v>264.69</v>
      </c>
      <c r="F5439" s="20" t="n">
        <f aca="false">Parametres!$B$6*D5439</f>
        <v>98.34</v>
      </c>
      <c r="G5439" s="20" t="n">
        <f aca="false">E5439+F5439</f>
        <v>363.03</v>
      </c>
      <c r="H5439" s="20" t="n">
        <f aca="false">IF(G5439&lt;Parametres!$B$8*Parametres!$B$7,0,MIN(G5439,Parametres!$B$7))</f>
        <v>250</v>
      </c>
      <c r="I5439" s="20" t="n">
        <f aca="false">G5439-H5439</f>
        <v>113.03</v>
      </c>
      <c r="J5439" s="21" t="n">
        <f aca="false">H5439*1000/Parametres!$B$9</f>
        <v>4239.44378497541</v>
      </c>
    </row>
    <row r="5440" customFormat="false" ht="15" hidden="false" customHeight="false" outlineLevel="0" collapsed="false">
      <c r="A5440" s="0" t="n">
        <v>5436</v>
      </c>
      <c r="B5440" s="0" t="n">
        <v>8</v>
      </c>
      <c r="C5440" s="19" t="n">
        <v>0.9999</v>
      </c>
      <c r="D5440" s="19" t="n">
        <v>0.4122</v>
      </c>
      <c r="E5440" s="20" t="n">
        <f aca="false">Parametres!$B$5*C5440</f>
        <v>299.97</v>
      </c>
      <c r="F5440" s="20" t="n">
        <f aca="false">Parametres!$B$6*D5440</f>
        <v>82.44</v>
      </c>
      <c r="G5440" s="20" t="n">
        <f aca="false">E5440+F5440</f>
        <v>382.41</v>
      </c>
      <c r="H5440" s="20" t="n">
        <f aca="false">IF(G5440&lt;Parametres!$B$8*Parametres!$B$7,0,MIN(G5440,Parametres!$B$7))</f>
        <v>250</v>
      </c>
      <c r="I5440" s="20" t="n">
        <f aca="false">G5440-H5440</f>
        <v>132.41</v>
      </c>
      <c r="J5440" s="21" t="n">
        <f aca="false">H5440*1000/Parametres!$B$9</f>
        <v>4239.44378497541</v>
      </c>
    </row>
    <row r="5441" customFormat="false" ht="15" hidden="false" customHeight="false" outlineLevel="0" collapsed="false">
      <c r="A5441" s="0" t="n">
        <v>5437</v>
      </c>
      <c r="B5441" s="0" t="n">
        <v>8</v>
      </c>
      <c r="C5441" s="19" t="n">
        <v>0.9527</v>
      </c>
      <c r="D5441" s="19" t="n">
        <v>0.6432</v>
      </c>
      <c r="E5441" s="20" t="n">
        <f aca="false">Parametres!$B$5*C5441</f>
        <v>285.81</v>
      </c>
      <c r="F5441" s="20" t="n">
        <f aca="false">Parametres!$B$6*D5441</f>
        <v>128.64</v>
      </c>
      <c r="G5441" s="20" t="n">
        <f aca="false">E5441+F5441</f>
        <v>414.45</v>
      </c>
      <c r="H5441" s="20" t="n">
        <f aca="false">IF(G5441&lt;Parametres!$B$8*Parametres!$B$7,0,MIN(G5441,Parametres!$B$7))</f>
        <v>250</v>
      </c>
      <c r="I5441" s="20" t="n">
        <f aca="false">G5441-H5441</f>
        <v>164.45</v>
      </c>
      <c r="J5441" s="21" t="n">
        <f aca="false">H5441*1000/Parametres!$B$9</f>
        <v>4239.44378497541</v>
      </c>
    </row>
    <row r="5442" customFormat="false" ht="15" hidden="false" customHeight="false" outlineLevel="0" collapsed="false">
      <c r="A5442" s="0" t="n">
        <v>5438</v>
      </c>
      <c r="B5442" s="0" t="n">
        <v>8</v>
      </c>
      <c r="C5442" s="19" t="n">
        <v>0.8702</v>
      </c>
      <c r="D5442" s="19" t="n">
        <v>0.6701</v>
      </c>
      <c r="E5442" s="20" t="n">
        <f aca="false">Parametres!$B$5*C5442</f>
        <v>261.06</v>
      </c>
      <c r="F5442" s="20" t="n">
        <f aca="false">Parametres!$B$6*D5442</f>
        <v>134.02</v>
      </c>
      <c r="G5442" s="20" t="n">
        <f aca="false">E5442+F5442</f>
        <v>395.08</v>
      </c>
      <c r="H5442" s="20" t="n">
        <f aca="false">IF(G5442&lt;Parametres!$B$8*Parametres!$B$7,0,MIN(G5442,Parametres!$B$7))</f>
        <v>250</v>
      </c>
      <c r="I5442" s="20" t="n">
        <f aca="false">G5442-H5442</f>
        <v>145.08</v>
      </c>
      <c r="J5442" s="21" t="n">
        <f aca="false">H5442*1000/Parametres!$B$9</f>
        <v>4239.44378497541</v>
      </c>
    </row>
    <row r="5443" customFormat="false" ht="15" hidden="false" customHeight="false" outlineLevel="0" collapsed="false">
      <c r="A5443" s="0" t="n">
        <v>5439</v>
      </c>
      <c r="B5443" s="0" t="n">
        <v>8</v>
      </c>
      <c r="C5443" s="19" t="n">
        <v>0.8452</v>
      </c>
      <c r="D5443" s="19" t="n">
        <v>0.905</v>
      </c>
      <c r="E5443" s="20" t="n">
        <f aca="false">Parametres!$B$5*C5443</f>
        <v>253.56</v>
      </c>
      <c r="F5443" s="20" t="n">
        <f aca="false">Parametres!$B$6*D5443</f>
        <v>181</v>
      </c>
      <c r="G5443" s="20" t="n">
        <f aca="false">E5443+F5443</f>
        <v>434.56</v>
      </c>
      <c r="H5443" s="20" t="n">
        <f aca="false">IF(G5443&lt;Parametres!$B$8*Parametres!$B$7,0,MIN(G5443,Parametres!$B$7))</f>
        <v>250</v>
      </c>
      <c r="I5443" s="20" t="n">
        <f aca="false">G5443-H5443</f>
        <v>184.56</v>
      </c>
      <c r="J5443" s="21" t="n">
        <f aca="false">H5443*1000/Parametres!$B$9</f>
        <v>4239.44378497541</v>
      </c>
    </row>
    <row r="5444" customFormat="false" ht="15" hidden="false" customHeight="false" outlineLevel="0" collapsed="false">
      <c r="A5444" s="0" t="n">
        <v>5440</v>
      </c>
      <c r="B5444" s="0" t="n">
        <v>8</v>
      </c>
      <c r="C5444" s="19" t="n">
        <v>0.6193</v>
      </c>
      <c r="D5444" s="19" t="n">
        <v>0.6833</v>
      </c>
      <c r="E5444" s="20" t="n">
        <f aca="false">Parametres!$B$5*C5444</f>
        <v>185.79</v>
      </c>
      <c r="F5444" s="20" t="n">
        <f aca="false">Parametres!$B$6*D5444</f>
        <v>136.66</v>
      </c>
      <c r="G5444" s="20" t="n">
        <f aca="false">E5444+F5444</f>
        <v>322.45</v>
      </c>
      <c r="H5444" s="20" t="n">
        <f aca="false">IF(G5444&lt;Parametres!$B$8*Parametres!$B$7,0,MIN(G5444,Parametres!$B$7))</f>
        <v>250</v>
      </c>
      <c r="I5444" s="20" t="n">
        <f aca="false">G5444-H5444</f>
        <v>72.45</v>
      </c>
      <c r="J5444" s="21" t="n">
        <f aca="false">H5444*1000/Parametres!$B$9</f>
        <v>4239.44378497541</v>
      </c>
    </row>
    <row r="5445" customFormat="false" ht="15" hidden="false" customHeight="false" outlineLevel="0" collapsed="false">
      <c r="A5445" s="0" t="n">
        <v>5441</v>
      </c>
      <c r="B5445" s="0" t="n">
        <v>8</v>
      </c>
      <c r="C5445" s="19" t="n">
        <v>0.4137</v>
      </c>
      <c r="D5445" s="19" t="n">
        <v>0.3953</v>
      </c>
      <c r="E5445" s="20" t="n">
        <f aca="false">Parametres!$B$5*C5445</f>
        <v>124.11</v>
      </c>
      <c r="F5445" s="20" t="n">
        <f aca="false">Parametres!$B$6*D5445</f>
        <v>79.06</v>
      </c>
      <c r="G5445" s="20" t="n">
        <f aca="false">E5445+F5445</f>
        <v>203.17</v>
      </c>
      <c r="H5445" s="20" t="n">
        <f aca="false">IF(G5445&lt;Parametres!$B$8*Parametres!$B$7,0,MIN(G5445,Parametres!$B$7))</f>
        <v>203.17</v>
      </c>
      <c r="I5445" s="20" t="n">
        <f aca="false">G5445-H5445</f>
        <v>0</v>
      </c>
      <c r="J5445" s="21" t="n">
        <f aca="false">H5445*1000/Parametres!$B$9</f>
        <v>3445.31117517382</v>
      </c>
    </row>
    <row r="5446" customFormat="false" ht="15" hidden="false" customHeight="false" outlineLevel="0" collapsed="false">
      <c r="A5446" s="0" t="n">
        <v>5442</v>
      </c>
      <c r="B5446" s="0" t="n">
        <v>8</v>
      </c>
      <c r="C5446" s="19" t="n">
        <v>0.1868</v>
      </c>
      <c r="D5446" s="19" t="n">
        <v>0.1248</v>
      </c>
      <c r="E5446" s="20" t="n">
        <f aca="false">Parametres!$B$5*C5446</f>
        <v>56.04</v>
      </c>
      <c r="F5446" s="20" t="n">
        <f aca="false">Parametres!$B$6*D5446</f>
        <v>24.96</v>
      </c>
      <c r="G5446" s="20" t="n">
        <f aca="false">E5446+F5446</f>
        <v>81</v>
      </c>
      <c r="H5446" s="20" t="n">
        <f aca="false">IF(G5446&lt;Parametres!$B$8*Parametres!$B$7,0,MIN(G5446,Parametres!$B$7))</f>
        <v>81</v>
      </c>
      <c r="I5446" s="20" t="n">
        <f aca="false">G5446-H5446</f>
        <v>0</v>
      </c>
      <c r="J5446" s="21" t="n">
        <f aca="false">H5446*1000/Parametres!$B$9</f>
        <v>1373.57978633203</v>
      </c>
    </row>
    <row r="5447" customFormat="false" ht="15" hidden="false" customHeight="false" outlineLevel="0" collapsed="false">
      <c r="A5447" s="0" t="n">
        <v>5443</v>
      </c>
      <c r="B5447" s="0" t="n">
        <v>8</v>
      </c>
      <c r="C5447" s="19" t="n">
        <v>0.0012</v>
      </c>
      <c r="D5447" s="19" t="n">
        <v>0.1389</v>
      </c>
      <c r="E5447" s="20" t="n">
        <f aca="false">Parametres!$B$5*C5447</f>
        <v>0.36</v>
      </c>
      <c r="F5447" s="20" t="n">
        <f aca="false">Parametres!$B$6*D5447</f>
        <v>27.78</v>
      </c>
      <c r="G5447" s="20" t="n">
        <f aca="false">E5447+F5447</f>
        <v>28.14</v>
      </c>
      <c r="H5447" s="20" t="n">
        <f aca="false">IF(G5447&lt;Parametres!$B$8*Parametres!$B$7,0,MIN(G5447,Parametres!$B$7))</f>
        <v>28.14</v>
      </c>
      <c r="I5447" s="20" t="n">
        <f aca="false">G5447-H5447</f>
        <v>0</v>
      </c>
      <c r="J5447" s="21" t="n">
        <f aca="false">H5447*1000/Parametres!$B$9</f>
        <v>477.191792436832</v>
      </c>
    </row>
    <row r="5448" customFormat="false" ht="15" hidden="false" customHeight="false" outlineLevel="0" collapsed="false">
      <c r="A5448" s="0" t="n">
        <v>5444</v>
      </c>
      <c r="B5448" s="0" t="n">
        <v>8</v>
      </c>
      <c r="C5448" s="19" t="n">
        <v>0</v>
      </c>
      <c r="D5448" s="19" t="n">
        <v>0.0567</v>
      </c>
      <c r="E5448" s="20" t="n">
        <f aca="false">Parametres!$B$5*C5448</f>
        <v>0</v>
      </c>
      <c r="F5448" s="20" t="n">
        <f aca="false">Parametres!$B$6*D5448</f>
        <v>11.34</v>
      </c>
      <c r="G5448" s="20" t="n">
        <f aca="false">E5448+F5448</f>
        <v>11.34</v>
      </c>
      <c r="H5448" s="20" t="n">
        <f aca="false">IF(G5448&lt;Parametres!$B$8*Parametres!$B$7,0,MIN(G5448,Parametres!$B$7))</f>
        <v>0</v>
      </c>
      <c r="I5448" s="20" t="n">
        <f aca="false">G5448-H5448</f>
        <v>11.34</v>
      </c>
      <c r="J5448" s="21" t="n">
        <f aca="false">H5448*1000/Parametres!$B$9</f>
        <v>0</v>
      </c>
    </row>
    <row r="5449" customFormat="false" ht="15" hidden="false" customHeight="false" outlineLevel="0" collapsed="false">
      <c r="A5449" s="0" t="n">
        <v>5445</v>
      </c>
      <c r="B5449" s="0" t="n">
        <v>8</v>
      </c>
      <c r="C5449" s="19" t="n">
        <v>0</v>
      </c>
      <c r="D5449" s="19" t="n">
        <v>0.1046</v>
      </c>
      <c r="E5449" s="20" t="n">
        <f aca="false">Parametres!$B$5*C5449</f>
        <v>0</v>
      </c>
      <c r="F5449" s="20" t="n">
        <f aca="false">Parametres!$B$6*D5449</f>
        <v>20.92</v>
      </c>
      <c r="G5449" s="20" t="n">
        <f aca="false">E5449+F5449</f>
        <v>20.92</v>
      </c>
      <c r="H5449" s="20" t="n">
        <f aca="false">IF(G5449&lt;Parametres!$B$8*Parametres!$B$7,0,MIN(G5449,Parametres!$B$7))</f>
        <v>0</v>
      </c>
      <c r="I5449" s="20" t="n">
        <f aca="false">G5449-H5449</f>
        <v>20.92</v>
      </c>
      <c r="J5449" s="21" t="n">
        <f aca="false">H5449*1000/Parametres!$B$9</f>
        <v>0</v>
      </c>
    </row>
    <row r="5450" customFormat="false" ht="15" hidden="false" customHeight="false" outlineLevel="0" collapsed="false">
      <c r="A5450" s="0" t="n">
        <v>5446</v>
      </c>
      <c r="B5450" s="0" t="n">
        <v>8</v>
      </c>
      <c r="C5450" s="19" t="n">
        <v>0</v>
      </c>
      <c r="D5450" s="19" t="n">
        <v>0.092</v>
      </c>
      <c r="E5450" s="20" t="n">
        <f aca="false">Parametres!$B$5*C5450</f>
        <v>0</v>
      </c>
      <c r="F5450" s="20" t="n">
        <f aca="false">Parametres!$B$6*D5450</f>
        <v>18.4</v>
      </c>
      <c r="G5450" s="20" t="n">
        <f aca="false">E5450+F5450</f>
        <v>18.4</v>
      </c>
      <c r="H5450" s="20" t="n">
        <f aca="false">IF(G5450&lt;Parametres!$B$8*Parametres!$B$7,0,MIN(G5450,Parametres!$B$7))</f>
        <v>0</v>
      </c>
      <c r="I5450" s="20" t="n">
        <f aca="false">G5450-H5450</f>
        <v>18.4</v>
      </c>
      <c r="J5450" s="21" t="n">
        <f aca="false">H5450*1000/Parametres!$B$9</f>
        <v>0</v>
      </c>
    </row>
    <row r="5451" customFormat="false" ht="15" hidden="false" customHeight="false" outlineLevel="0" collapsed="false">
      <c r="A5451" s="0" t="n">
        <v>5447</v>
      </c>
      <c r="B5451" s="0" t="n">
        <v>8</v>
      </c>
      <c r="C5451" s="19" t="n">
        <v>0</v>
      </c>
      <c r="D5451" s="19" t="n">
        <v>0.0793</v>
      </c>
      <c r="E5451" s="20" t="n">
        <f aca="false">Parametres!$B$5*C5451</f>
        <v>0</v>
      </c>
      <c r="F5451" s="20" t="n">
        <f aca="false">Parametres!$B$6*D5451</f>
        <v>15.86</v>
      </c>
      <c r="G5451" s="20" t="n">
        <f aca="false">E5451+F5451</f>
        <v>15.86</v>
      </c>
      <c r="H5451" s="20" t="n">
        <f aca="false">IF(G5451&lt;Parametres!$B$8*Parametres!$B$7,0,MIN(G5451,Parametres!$B$7))</f>
        <v>0</v>
      </c>
      <c r="I5451" s="20" t="n">
        <f aca="false">G5451-H5451</f>
        <v>15.86</v>
      </c>
      <c r="J5451" s="21" t="n">
        <f aca="false">H5451*1000/Parametres!$B$9</f>
        <v>0</v>
      </c>
    </row>
    <row r="5452" customFormat="false" ht="15" hidden="false" customHeight="false" outlineLevel="0" collapsed="false">
      <c r="A5452" s="0" t="n">
        <v>5448</v>
      </c>
      <c r="B5452" s="0" t="n">
        <v>8</v>
      </c>
      <c r="C5452" s="19" t="n">
        <v>0</v>
      </c>
      <c r="D5452" s="19" t="n">
        <v>0.0191</v>
      </c>
      <c r="E5452" s="20" t="n">
        <f aca="false">Parametres!$B$5*C5452</f>
        <v>0</v>
      </c>
      <c r="F5452" s="20" t="n">
        <f aca="false">Parametres!$B$6*D5452</f>
        <v>3.82</v>
      </c>
      <c r="G5452" s="20" t="n">
        <f aca="false">E5452+F5452</f>
        <v>3.82</v>
      </c>
      <c r="H5452" s="20" t="n">
        <f aca="false">IF(G5452&lt;Parametres!$B$8*Parametres!$B$7,0,MIN(G5452,Parametres!$B$7))</f>
        <v>0</v>
      </c>
      <c r="I5452" s="20" t="n">
        <f aca="false">G5452-H5452</f>
        <v>3.82</v>
      </c>
      <c r="J5452" s="21" t="n">
        <f aca="false">H5452*1000/Parametres!$B$9</f>
        <v>0</v>
      </c>
    </row>
    <row r="5453" customFormat="false" ht="15" hidden="false" customHeight="false" outlineLevel="0" collapsed="false">
      <c r="A5453" s="0" t="n">
        <v>5449</v>
      </c>
      <c r="B5453" s="0" t="n">
        <v>8</v>
      </c>
      <c r="C5453" s="19" t="n">
        <v>0</v>
      </c>
      <c r="D5453" s="19" t="n">
        <v>0.0278</v>
      </c>
      <c r="E5453" s="20" t="n">
        <f aca="false">Parametres!$B$5*C5453</f>
        <v>0</v>
      </c>
      <c r="F5453" s="20" t="n">
        <f aca="false">Parametres!$B$6*D5453</f>
        <v>5.56</v>
      </c>
      <c r="G5453" s="20" t="n">
        <f aca="false">E5453+F5453</f>
        <v>5.56</v>
      </c>
      <c r="H5453" s="20" t="n">
        <f aca="false">IF(G5453&lt;Parametres!$B$8*Parametres!$B$7,0,MIN(G5453,Parametres!$B$7))</f>
        <v>0</v>
      </c>
      <c r="I5453" s="20" t="n">
        <f aca="false">G5453-H5453</f>
        <v>5.56</v>
      </c>
      <c r="J5453" s="21" t="n">
        <f aca="false">H5453*1000/Parametres!$B$9</f>
        <v>0</v>
      </c>
    </row>
    <row r="5454" customFormat="false" ht="15" hidden="false" customHeight="false" outlineLevel="0" collapsed="false">
      <c r="A5454" s="0" t="n">
        <v>5450</v>
      </c>
      <c r="B5454" s="0" t="n">
        <v>8</v>
      </c>
      <c r="C5454" s="19" t="n">
        <v>0</v>
      </c>
      <c r="D5454" s="19" t="n">
        <v>0.0364</v>
      </c>
      <c r="E5454" s="20" t="n">
        <f aca="false">Parametres!$B$5*C5454</f>
        <v>0</v>
      </c>
      <c r="F5454" s="20" t="n">
        <f aca="false">Parametres!$B$6*D5454</f>
        <v>7.28</v>
      </c>
      <c r="G5454" s="20" t="n">
        <f aca="false">E5454+F5454</f>
        <v>7.28</v>
      </c>
      <c r="H5454" s="20" t="n">
        <f aca="false">IF(G5454&lt;Parametres!$B$8*Parametres!$B$7,0,MIN(G5454,Parametres!$B$7))</f>
        <v>0</v>
      </c>
      <c r="I5454" s="20" t="n">
        <f aca="false">G5454-H5454</f>
        <v>7.28</v>
      </c>
      <c r="J5454" s="21" t="n">
        <f aca="false">H5454*1000/Parametres!$B$9</f>
        <v>0</v>
      </c>
    </row>
    <row r="5455" customFormat="false" ht="15" hidden="false" customHeight="false" outlineLevel="0" collapsed="false">
      <c r="A5455" s="0" t="n">
        <v>5451</v>
      </c>
      <c r="B5455" s="0" t="n">
        <v>8</v>
      </c>
      <c r="C5455" s="19" t="n">
        <v>0</v>
      </c>
      <c r="D5455" s="19" t="n">
        <v>0.0758</v>
      </c>
      <c r="E5455" s="20" t="n">
        <f aca="false">Parametres!$B$5*C5455</f>
        <v>0</v>
      </c>
      <c r="F5455" s="20" t="n">
        <f aca="false">Parametres!$B$6*D5455</f>
        <v>15.16</v>
      </c>
      <c r="G5455" s="20" t="n">
        <f aca="false">E5455+F5455</f>
        <v>15.16</v>
      </c>
      <c r="H5455" s="20" t="n">
        <f aca="false">IF(G5455&lt;Parametres!$B$8*Parametres!$B$7,0,MIN(G5455,Parametres!$B$7))</f>
        <v>0</v>
      </c>
      <c r="I5455" s="20" t="n">
        <f aca="false">G5455-H5455</f>
        <v>15.16</v>
      </c>
      <c r="J5455" s="21" t="n">
        <f aca="false">H5455*1000/Parametres!$B$9</f>
        <v>0</v>
      </c>
    </row>
    <row r="5456" customFormat="false" ht="15" hidden="false" customHeight="false" outlineLevel="0" collapsed="false">
      <c r="A5456" s="0" t="n">
        <v>5452</v>
      </c>
      <c r="B5456" s="0" t="n">
        <v>8</v>
      </c>
      <c r="C5456" s="19" t="n">
        <v>0</v>
      </c>
      <c r="D5456" s="19" t="n">
        <v>0.0577</v>
      </c>
      <c r="E5456" s="20" t="n">
        <f aca="false">Parametres!$B$5*C5456</f>
        <v>0</v>
      </c>
      <c r="F5456" s="20" t="n">
        <f aca="false">Parametres!$B$6*D5456</f>
        <v>11.54</v>
      </c>
      <c r="G5456" s="20" t="n">
        <f aca="false">E5456+F5456</f>
        <v>11.54</v>
      </c>
      <c r="H5456" s="20" t="n">
        <f aca="false">IF(G5456&lt;Parametres!$B$8*Parametres!$B$7,0,MIN(G5456,Parametres!$B$7))</f>
        <v>0</v>
      </c>
      <c r="I5456" s="20" t="n">
        <f aca="false">G5456-H5456</f>
        <v>11.54</v>
      </c>
      <c r="J5456" s="21" t="n">
        <f aca="false">H5456*1000/Parametres!$B$9</f>
        <v>0</v>
      </c>
    </row>
    <row r="5457" customFormat="false" ht="15" hidden="false" customHeight="false" outlineLevel="0" collapsed="false">
      <c r="A5457" s="0" t="n">
        <v>5453</v>
      </c>
      <c r="B5457" s="0" t="n">
        <v>8</v>
      </c>
      <c r="C5457" s="19" t="n">
        <v>0</v>
      </c>
      <c r="D5457" s="19" t="n">
        <v>0.0654</v>
      </c>
      <c r="E5457" s="20" t="n">
        <f aca="false">Parametres!$B$5*C5457</f>
        <v>0</v>
      </c>
      <c r="F5457" s="20" t="n">
        <f aca="false">Parametres!$B$6*D5457</f>
        <v>13.08</v>
      </c>
      <c r="G5457" s="20" t="n">
        <f aca="false">E5457+F5457</f>
        <v>13.08</v>
      </c>
      <c r="H5457" s="20" t="n">
        <f aca="false">IF(G5457&lt;Parametres!$B$8*Parametres!$B$7,0,MIN(G5457,Parametres!$B$7))</f>
        <v>0</v>
      </c>
      <c r="I5457" s="20" t="n">
        <f aca="false">G5457-H5457</f>
        <v>13.08</v>
      </c>
      <c r="J5457" s="21" t="n">
        <f aca="false">H5457*1000/Parametres!$B$9</f>
        <v>0</v>
      </c>
    </row>
    <row r="5458" customFormat="false" ht="15" hidden="false" customHeight="false" outlineLevel="0" collapsed="false">
      <c r="A5458" s="0" t="n">
        <v>5454</v>
      </c>
      <c r="B5458" s="0" t="n">
        <v>8</v>
      </c>
      <c r="C5458" s="19" t="n">
        <v>0</v>
      </c>
      <c r="D5458" s="19" t="n">
        <v>0.0832</v>
      </c>
      <c r="E5458" s="20" t="n">
        <f aca="false">Parametres!$B$5*C5458</f>
        <v>0</v>
      </c>
      <c r="F5458" s="20" t="n">
        <f aca="false">Parametres!$B$6*D5458</f>
        <v>16.64</v>
      </c>
      <c r="G5458" s="20" t="n">
        <f aca="false">E5458+F5458</f>
        <v>16.64</v>
      </c>
      <c r="H5458" s="20" t="n">
        <f aca="false">IF(G5458&lt;Parametres!$B$8*Parametres!$B$7,0,MIN(G5458,Parametres!$B$7))</f>
        <v>0</v>
      </c>
      <c r="I5458" s="20" t="n">
        <f aca="false">G5458-H5458</f>
        <v>16.64</v>
      </c>
      <c r="J5458" s="21" t="n">
        <f aca="false">H5458*1000/Parametres!$B$9</f>
        <v>0</v>
      </c>
    </row>
    <row r="5459" customFormat="false" ht="15" hidden="false" customHeight="false" outlineLevel="0" collapsed="false">
      <c r="A5459" s="0" t="n">
        <v>5455</v>
      </c>
      <c r="B5459" s="0" t="n">
        <v>8</v>
      </c>
      <c r="C5459" s="19" t="n">
        <v>0.2459</v>
      </c>
      <c r="D5459" s="19" t="n">
        <v>0.127</v>
      </c>
      <c r="E5459" s="20" t="n">
        <f aca="false">Parametres!$B$5*C5459</f>
        <v>73.77</v>
      </c>
      <c r="F5459" s="20" t="n">
        <f aca="false">Parametres!$B$6*D5459</f>
        <v>25.4</v>
      </c>
      <c r="G5459" s="20" t="n">
        <f aca="false">E5459+F5459</f>
        <v>99.17</v>
      </c>
      <c r="H5459" s="20" t="n">
        <f aca="false">IF(G5459&lt;Parametres!$B$8*Parametres!$B$7,0,MIN(G5459,Parametres!$B$7))</f>
        <v>99.17</v>
      </c>
      <c r="I5459" s="20" t="n">
        <f aca="false">G5459-H5459</f>
        <v>0</v>
      </c>
      <c r="J5459" s="21" t="n">
        <f aca="false">H5459*1000/Parametres!$B$9</f>
        <v>1681.70256062405</v>
      </c>
    </row>
    <row r="5460" customFormat="false" ht="15" hidden="false" customHeight="false" outlineLevel="0" collapsed="false">
      <c r="A5460" s="0" t="n">
        <v>5456</v>
      </c>
      <c r="B5460" s="0" t="n">
        <v>8</v>
      </c>
      <c r="C5460" s="19" t="n">
        <v>0.5416</v>
      </c>
      <c r="D5460" s="19" t="n">
        <v>0.2092</v>
      </c>
      <c r="E5460" s="20" t="n">
        <f aca="false">Parametres!$B$5*C5460</f>
        <v>162.48</v>
      </c>
      <c r="F5460" s="20" t="n">
        <f aca="false">Parametres!$B$6*D5460</f>
        <v>41.84</v>
      </c>
      <c r="G5460" s="20" t="n">
        <f aca="false">E5460+F5460</f>
        <v>204.32</v>
      </c>
      <c r="H5460" s="20" t="n">
        <f aca="false">IF(G5460&lt;Parametres!$B$8*Parametres!$B$7,0,MIN(G5460,Parametres!$B$7))</f>
        <v>204.32</v>
      </c>
      <c r="I5460" s="20" t="n">
        <f aca="false">G5460-H5460</f>
        <v>0</v>
      </c>
      <c r="J5460" s="21" t="n">
        <f aca="false">H5460*1000/Parametres!$B$9</f>
        <v>3464.8126165847</v>
      </c>
    </row>
    <row r="5461" customFormat="false" ht="15" hidden="false" customHeight="false" outlineLevel="0" collapsed="false">
      <c r="A5461" s="0" t="n">
        <v>5457</v>
      </c>
      <c r="B5461" s="0" t="n">
        <v>8</v>
      </c>
      <c r="C5461" s="19" t="n">
        <v>0.7955</v>
      </c>
      <c r="D5461" s="19" t="n">
        <v>0.2637</v>
      </c>
      <c r="E5461" s="20" t="n">
        <f aca="false">Parametres!$B$5*C5461</f>
        <v>238.65</v>
      </c>
      <c r="F5461" s="20" t="n">
        <f aca="false">Parametres!$B$6*D5461</f>
        <v>52.74</v>
      </c>
      <c r="G5461" s="20" t="n">
        <f aca="false">E5461+F5461</f>
        <v>291.39</v>
      </c>
      <c r="H5461" s="20" t="n">
        <f aca="false">IF(G5461&lt;Parametres!$B$8*Parametres!$B$7,0,MIN(G5461,Parametres!$B$7))</f>
        <v>250</v>
      </c>
      <c r="I5461" s="20" t="n">
        <f aca="false">G5461-H5461</f>
        <v>41.39</v>
      </c>
      <c r="J5461" s="21" t="n">
        <f aca="false">H5461*1000/Parametres!$B$9</f>
        <v>4239.44378497541</v>
      </c>
    </row>
    <row r="5462" customFormat="false" ht="15" hidden="false" customHeight="false" outlineLevel="0" collapsed="false">
      <c r="A5462" s="0" t="n">
        <v>5458</v>
      </c>
      <c r="B5462" s="0" t="n">
        <v>8</v>
      </c>
      <c r="C5462" s="19" t="n">
        <v>1</v>
      </c>
      <c r="D5462" s="19" t="n">
        <v>0.3623</v>
      </c>
      <c r="E5462" s="20" t="n">
        <f aca="false">Parametres!$B$5*C5462</f>
        <v>300</v>
      </c>
      <c r="F5462" s="20" t="n">
        <f aca="false">Parametres!$B$6*D5462</f>
        <v>72.46</v>
      </c>
      <c r="G5462" s="20" t="n">
        <f aca="false">E5462+F5462</f>
        <v>372.46</v>
      </c>
      <c r="H5462" s="20" t="n">
        <f aca="false">IF(G5462&lt;Parametres!$B$8*Parametres!$B$7,0,MIN(G5462,Parametres!$B$7))</f>
        <v>250</v>
      </c>
      <c r="I5462" s="20" t="n">
        <f aca="false">G5462-H5462</f>
        <v>122.46</v>
      </c>
      <c r="J5462" s="21" t="n">
        <f aca="false">H5462*1000/Parametres!$B$9</f>
        <v>4239.44378497541</v>
      </c>
    </row>
    <row r="5463" customFormat="false" ht="15" hidden="false" customHeight="false" outlineLevel="0" collapsed="false">
      <c r="A5463" s="0" t="n">
        <v>5459</v>
      </c>
      <c r="B5463" s="0" t="n">
        <v>8</v>
      </c>
      <c r="C5463" s="19" t="n">
        <v>1</v>
      </c>
      <c r="D5463" s="19" t="n">
        <v>0.5404</v>
      </c>
      <c r="E5463" s="20" t="n">
        <f aca="false">Parametres!$B$5*C5463</f>
        <v>300</v>
      </c>
      <c r="F5463" s="20" t="n">
        <f aca="false">Parametres!$B$6*D5463</f>
        <v>108.08</v>
      </c>
      <c r="G5463" s="20" t="n">
        <f aca="false">E5463+F5463</f>
        <v>408.08</v>
      </c>
      <c r="H5463" s="20" t="n">
        <f aca="false">IF(G5463&lt;Parametres!$B$8*Parametres!$B$7,0,MIN(G5463,Parametres!$B$7))</f>
        <v>250</v>
      </c>
      <c r="I5463" s="20" t="n">
        <f aca="false">G5463-H5463</f>
        <v>158.08</v>
      </c>
      <c r="J5463" s="21" t="n">
        <f aca="false">H5463*1000/Parametres!$B$9</f>
        <v>4239.44378497541</v>
      </c>
    </row>
    <row r="5464" customFormat="false" ht="15" hidden="false" customHeight="false" outlineLevel="0" collapsed="false">
      <c r="A5464" s="0" t="n">
        <v>5460</v>
      </c>
      <c r="B5464" s="0" t="n">
        <v>8</v>
      </c>
      <c r="C5464" s="19" t="n">
        <v>1</v>
      </c>
      <c r="D5464" s="19" t="n">
        <v>0.9693</v>
      </c>
      <c r="E5464" s="20" t="n">
        <f aca="false">Parametres!$B$5*C5464</f>
        <v>300</v>
      </c>
      <c r="F5464" s="20" t="n">
        <f aca="false">Parametres!$B$6*D5464</f>
        <v>193.86</v>
      </c>
      <c r="G5464" s="20" t="n">
        <f aca="false">E5464+F5464</f>
        <v>493.86</v>
      </c>
      <c r="H5464" s="20" t="n">
        <f aca="false">IF(G5464&lt;Parametres!$B$8*Parametres!$B$7,0,MIN(G5464,Parametres!$B$7))</f>
        <v>250</v>
      </c>
      <c r="I5464" s="20" t="n">
        <f aca="false">G5464-H5464</f>
        <v>243.86</v>
      </c>
      <c r="J5464" s="21" t="n">
        <f aca="false">H5464*1000/Parametres!$B$9</f>
        <v>4239.44378497541</v>
      </c>
    </row>
    <row r="5465" customFormat="false" ht="15" hidden="false" customHeight="false" outlineLevel="0" collapsed="false">
      <c r="A5465" s="0" t="n">
        <v>5461</v>
      </c>
      <c r="B5465" s="0" t="n">
        <v>8</v>
      </c>
      <c r="C5465" s="19" t="n">
        <v>1</v>
      </c>
      <c r="D5465" s="19" t="n">
        <v>1</v>
      </c>
      <c r="E5465" s="20" t="n">
        <f aca="false">Parametres!$B$5*C5465</f>
        <v>300</v>
      </c>
      <c r="F5465" s="20" t="n">
        <f aca="false">Parametres!$B$6*D5465</f>
        <v>200</v>
      </c>
      <c r="G5465" s="20" t="n">
        <f aca="false">E5465+F5465</f>
        <v>500</v>
      </c>
      <c r="H5465" s="20" t="n">
        <f aca="false">IF(G5465&lt;Parametres!$B$8*Parametres!$B$7,0,MIN(G5465,Parametres!$B$7))</f>
        <v>250</v>
      </c>
      <c r="I5465" s="20" t="n">
        <f aca="false">G5465-H5465</f>
        <v>250</v>
      </c>
      <c r="J5465" s="21" t="n">
        <f aca="false">H5465*1000/Parametres!$B$9</f>
        <v>4239.44378497541</v>
      </c>
    </row>
    <row r="5466" customFormat="false" ht="15" hidden="false" customHeight="false" outlineLevel="0" collapsed="false">
      <c r="A5466" s="0" t="n">
        <v>5462</v>
      </c>
      <c r="B5466" s="0" t="n">
        <v>8</v>
      </c>
      <c r="C5466" s="19" t="n">
        <v>1</v>
      </c>
      <c r="D5466" s="19" t="n">
        <v>1</v>
      </c>
      <c r="E5466" s="20" t="n">
        <f aca="false">Parametres!$B$5*C5466</f>
        <v>300</v>
      </c>
      <c r="F5466" s="20" t="n">
        <f aca="false">Parametres!$B$6*D5466</f>
        <v>200</v>
      </c>
      <c r="G5466" s="20" t="n">
        <f aca="false">E5466+F5466</f>
        <v>500</v>
      </c>
      <c r="H5466" s="20" t="n">
        <f aca="false">IF(G5466&lt;Parametres!$B$8*Parametres!$B$7,0,MIN(G5466,Parametres!$B$7))</f>
        <v>250</v>
      </c>
      <c r="I5466" s="20" t="n">
        <f aca="false">G5466-H5466</f>
        <v>250</v>
      </c>
      <c r="J5466" s="21" t="n">
        <f aca="false">H5466*1000/Parametres!$B$9</f>
        <v>4239.44378497541</v>
      </c>
    </row>
    <row r="5467" customFormat="false" ht="15" hidden="false" customHeight="false" outlineLevel="0" collapsed="false">
      <c r="A5467" s="0" t="n">
        <v>5463</v>
      </c>
      <c r="B5467" s="0" t="n">
        <v>8</v>
      </c>
      <c r="C5467" s="19" t="n">
        <v>1</v>
      </c>
      <c r="D5467" s="19" t="n">
        <v>1</v>
      </c>
      <c r="E5467" s="20" t="n">
        <f aca="false">Parametres!$B$5*C5467</f>
        <v>300</v>
      </c>
      <c r="F5467" s="20" t="n">
        <f aca="false">Parametres!$B$6*D5467</f>
        <v>200</v>
      </c>
      <c r="G5467" s="20" t="n">
        <f aca="false">E5467+F5467</f>
        <v>500</v>
      </c>
      <c r="H5467" s="20" t="n">
        <f aca="false">IF(G5467&lt;Parametres!$B$8*Parametres!$B$7,0,MIN(G5467,Parametres!$B$7))</f>
        <v>250</v>
      </c>
      <c r="I5467" s="20" t="n">
        <f aca="false">G5467-H5467</f>
        <v>250</v>
      </c>
      <c r="J5467" s="21" t="n">
        <f aca="false">H5467*1000/Parametres!$B$9</f>
        <v>4239.44378497541</v>
      </c>
    </row>
    <row r="5468" customFormat="false" ht="15" hidden="false" customHeight="false" outlineLevel="0" collapsed="false">
      <c r="A5468" s="0" t="n">
        <v>5464</v>
      </c>
      <c r="B5468" s="0" t="n">
        <v>8</v>
      </c>
      <c r="C5468" s="19" t="n">
        <v>0.806</v>
      </c>
      <c r="D5468" s="19" t="n">
        <v>1</v>
      </c>
      <c r="E5468" s="20" t="n">
        <f aca="false">Parametres!$B$5*C5468</f>
        <v>241.8</v>
      </c>
      <c r="F5468" s="20" t="n">
        <f aca="false">Parametres!$B$6*D5468</f>
        <v>200</v>
      </c>
      <c r="G5468" s="20" t="n">
        <f aca="false">E5468+F5468</f>
        <v>441.8</v>
      </c>
      <c r="H5468" s="20" t="n">
        <f aca="false">IF(G5468&lt;Parametres!$B$8*Parametres!$B$7,0,MIN(G5468,Parametres!$B$7))</f>
        <v>250</v>
      </c>
      <c r="I5468" s="20" t="n">
        <f aca="false">G5468-H5468</f>
        <v>191.8</v>
      </c>
      <c r="J5468" s="21" t="n">
        <f aca="false">H5468*1000/Parametres!$B$9</f>
        <v>4239.44378497541</v>
      </c>
    </row>
    <row r="5469" customFormat="false" ht="15" hidden="false" customHeight="false" outlineLevel="0" collapsed="false">
      <c r="A5469" s="0" t="n">
        <v>5465</v>
      </c>
      <c r="B5469" s="0" t="n">
        <v>8</v>
      </c>
      <c r="C5469" s="19" t="n">
        <v>0.5145</v>
      </c>
      <c r="D5469" s="19" t="n">
        <v>1</v>
      </c>
      <c r="E5469" s="20" t="n">
        <f aca="false">Parametres!$B$5*C5469</f>
        <v>154.35</v>
      </c>
      <c r="F5469" s="20" t="n">
        <f aca="false">Parametres!$B$6*D5469</f>
        <v>200</v>
      </c>
      <c r="G5469" s="20" t="n">
        <f aca="false">E5469+F5469</f>
        <v>354.35</v>
      </c>
      <c r="H5469" s="20" t="n">
        <f aca="false">IF(G5469&lt;Parametres!$B$8*Parametres!$B$7,0,MIN(G5469,Parametres!$B$7))</f>
        <v>250</v>
      </c>
      <c r="I5469" s="20" t="n">
        <f aca="false">G5469-H5469</f>
        <v>104.35</v>
      </c>
      <c r="J5469" s="21" t="n">
        <f aca="false">H5469*1000/Parametres!$B$9</f>
        <v>4239.44378497541</v>
      </c>
    </row>
    <row r="5470" customFormat="false" ht="15" hidden="false" customHeight="false" outlineLevel="0" collapsed="false">
      <c r="A5470" s="0" t="n">
        <v>5466</v>
      </c>
      <c r="B5470" s="0" t="n">
        <v>8</v>
      </c>
      <c r="C5470" s="19" t="n">
        <v>0.2463</v>
      </c>
      <c r="D5470" s="19" t="n">
        <v>1</v>
      </c>
      <c r="E5470" s="20" t="n">
        <f aca="false">Parametres!$B$5*C5470</f>
        <v>73.89</v>
      </c>
      <c r="F5470" s="20" t="n">
        <f aca="false">Parametres!$B$6*D5470</f>
        <v>200</v>
      </c>
      <c r="G5470" s="20" t="n">
        <f aca="false">E5470+F5470</f>
        <v>273.89</v>
      </c>
      <c r="H5470" s="20" t="n">
        <f aca="false">IF(G5470&lt;Parametres!$B$8*Parametres!$B$7,0,MIN(G5470,Parametres!$B$7))</f>
        <v>250</v>
      </c>
      <c r="I5470" s="20" t="n">
        <f aca="false">G5470-H5470</f>
        <v>23.89</v>
      </c>
      <c r="J5470" s="21" t="n">
        <f aca="false">H5470*1000/Parametres!$B$9</f>
        <v>4239.44378497541</v>
      </c>
    </row>
    <row r="5471" customFormat="false" ht="15" hidden="false" customHeight="false" outlineLevel="0" collapsed="false">
      <c r="A5471" s="0" t="n">
        <v>5467</v>
      </c>
      <c r="B5471" s="0" t="n">
        <v>8</v>
      </c>
      <c r="C5471" s="19" t="n">
        <v>0</v>
      </c>
      <c r="D5471" s="19" t="n">
        <v>1</v>
      </c>
      <c r="E5471" s="20" t="n">
        <f aca="false">Parametres!$B$5*C5471</f>
        <v>0</v>
      </c>
      <c r="F5471" s="20" t="n">
        <f aca="false">Parametres!$B$6*D5471</f>
        <v>200</v>
      </c>
      <c r="G5471" s="20" t="n">
        <f aca="false">E5471+F5471</f>
        <v>200</v>
      </c>
      <c r="H5471" s="20" t="n">
        <f aca="false">IF(G5471&lt;Parametres!$B$8*Parametres!$B$7,0,MIN(G5471,Parametres!$B$7))</f>
        <v>200</v>
      </c>
      <c r="I5471" s="20" t="n">
        <f aca="false">G5471-H5471</f>
        <v>0</v>
      </c>
      <c r="J5471" s="21" t="n">
        <f aca="false">H5471*1000/Parametres!$B$9</f>
        <v>3391.55502798033</v>
      </c>
    </row>
    <row r="5472" customFormat="false" ht="15" hidden="false" customHeight="false" outlineLevel="0" collapsed="false">
      <c r="A5472" s="0" t="n">
        <v>5468</v>
      </c>
      <c r="B5472" s="0" t="n">
        <v>8</v>
      </c>
      <c r="C5472" s="19" t="n">
        <v>0</v>
      </c>
      <c r="D5472" s="19" t="n">
        <v>0.9951</v>
      </c>
      <c r="E5472" s="20" t="n">
        <f aca="false">Parametres!$B$5*C5472</f>
        <v>0</v>
      </c>
      <c r="F5472" s="20" t="n">
        <f aca="false">Parametres!$B$6*D5472</f>
        <v>199.02</v>
      </c>
      <c r="G5472" s="20" t="n">
        <f aca="false">E5472+F5472</f>
        <v>199.02</v>
      </c>
      <c r="H5472" s="20" t="n">
        <f aca="false">IF(G5472&lt;Parametres!$B$8*Parametres!$B$7,0,MIN(G5472,Parametres!$B$7))</f>
        <v>199.02</v>
      </c>
      <c r="I5472" s="20" t="n">
        <f aca="false">G5472-H5472</f>
        <v>0</v>
      </c>
      <c r="J5472" s="21" t="n">
        <f aca="false">H5472*1000/Parametres!$B$9</f>
        <v>3374.93640834323</v>
      </c>
    </row>
    <row r="5473" customFormat="false" ht="15" hidden="false" customHeight="false" outlineLevel="0" collapsed="false">
      <c r="A5473" s="0" t="n">
        <v>5469</v>
      </c>
      <c r="B5473" s="0" t="n">
        <v>8</v>
      </c>
      <c r="C5473" s="19" t="n">
        <v>0</v>
      </c>
      <c r="D5473" s="19" t="n">
        <v>0.7716</v>
      </c>
      <c r="E5473" s="20" t="n">
        <f aca="false">Parametres!$B$5*C5473</f>
        <v>0</v>
      </c>
      <c r="F5473" s="20" t="n">
        <f aca="false">Parametres!$B$6*D5473</f>
        <v>154.32</v>
      </c>
      <c r="G5473" s="20" t="n">
        <f aca="false">E5473+F5473</f>
        <v>154.32</v>
      </c>
      <c r="H5473" s="20" t="n">
        <f aca="false">IF(G5473&lt;Parametres!$B$8*Parametres!$B$7,0,MIN(G5473,Parametres!$B$7))</f>
        <v>154.32</v>
      </c>
      <c r="I5473" s="20" t="n">
        <f aca="false">G5473-H5473</f>
        <v>0</v>
      </c>
      <c r="J5473" s="21" t="n">
        <f aca="false">H5473*1000/Parametres!$B$9</f>
        <v>2616.92385958962</v>
      </c>
    </row>
    <row r="5474" customFormat="false" ht="15" hidden="false" customHeight="false" outlineLevel="0" collapsed="false">
      <c r="A5474" s="0" t="n">
        <v>5470</v>
      </c>
      <c r="B5474" s="0" t="n">
        <v>8</v>
      </c>
      <c r="C5474" s="19" t="n">
        <v>0</v>
      </c>
      <c r="D5474" s="19" t="n">
        <v>0.6351</v>
      </c>
      <c r="E5474" s="20" t="n">
        <f aca="false">Parametres!$B$5*C5474</f>
        <v>0</v>
      </c>
      <c r="F5474" s="20" t="n">
        <f aca="false">Parametres!$B$6*D5474</f>
        <v>127.02</v>
      </c>
      <c r="G5474" s="20" t="n">
        <f aca="false">E5474+F5474</f>
        <v>127.02</v>
      </c>
      <c r="H5474" s="20" t="n">
        <f aca="false">IF(G5474&lt;Parametres!$B$8*Parametres!$B$7,0,MIN(G5474,Parametres!$B$7))</f>
        <v>127.02</v>
      </c>
      <c r="I5474" s="20" t="n">
        <f aca="false">G5474-H5474</f>
        <v>0</v>
      </c>
      <c r="J5474" s="21" t="n">
        <f aca="false">H5474*1000/Parametres!$B$9</f>
        <v>2153.97659827031</v>
      </c>
    </row>
    <row r="5475" customFormat="false" ht="15" hidden="false" customHeight="false" outlineLevel="0" collapsed="false">
      <c r="A5475" s="0" t="n">
        <v>5471</v>
      </c>
      <c r="B5475" s="0" t="n">
        <v>8</v>
      </c>
      <c r="C5475" s="19" t="n">
        <v>0</v>
      </c>
      <c r="D5475" s="19" t="n">
        <v>0.6347</v>
      </c>
      <c r="E5475" s="20" t="n">
        <f aca="false">Parametres!$B$5*C5475</f>
        <v>0</v>
      </c>
      <c r="F5475" s="20" t="n">
        <f aca="false">Parametres!$B$6*D5475</f>
        <v>126.94</v>
      </c>
      <c r="G5475" s="20" t="n">
        <f aca="false">E5475+F5475</f>
        <v>126.94</v>
      </c>
      <c r="H5475" s="20" t="n">
        <f aca="false">IF(G5475&lt;Parametres!$B$8*Parametres!$B$7,0,MIN(G5475,Parametres!$B$7))</f>
        <v>126.94</v>
      </c>
      <c r="I5475" s="20" t="n">
        <f aca="false">G5475-H5475</f>
        <v>0</v>
      </c>
      <c r="J5475" s="21" t="n">
        <f aca="false">H5475*1000/Parametres!$B$9</f>
        <v>2152.61997625912</v>
      </c>
    </row>
    <row r="5476" customFormat="false" ht="15" hidden="false" customHeight="false" outlineLevel="0" collapsed="false">
      <c r="A5476" s="0" t="n">
        <v>5472</v>
      </c>
      <c r="B5476" s="0" t="n">
        <v>8</v>
      </c>
      <c r="C5476" s="19" t="n">
        <v>0</v>
      </c>
      <c r="D5476" s="19" t="n">
        <v>0.5369</v>
      </c>
      <c r="E5476" s="20" t="n">
        <f aca="false">Parametres!$B$5*C5476</f>
        <v>0</v>
      </c>
      <c r="F5476" s="20" t="n">
        <f aca="false">Parametres!$B$6*D5476</f>
        <v>107.38</v>
      </c>
      <c r="G5476" s="20" t="n">
        <f aca="false">E5476+F5476</f>
        <v>107.38</v>
      </c>
      <c r="H5476" s="20" t="n">
        <f aca="false">IF(G5476&lt;Parametres!$B$8*Parametres!$B$7,0,MIN(G5476,Parametres!$B$7))</f>
        <v>107.38</v>
      </c>
      <c r="I5476" s="20" t="n">
        <f aca="false">G5476-H5476</f>
        <v>0</v>
      </c>
      <c r="J5476" s="21" t="n">
        <f aca="false">H5476*1000/Parametres!$B$9</f>
        <v>1820.92589452264</v>
      </c>
    </row>
    <row r="5477" customFormat="false" ht="15" hidden="false" customHeight="false" outlineLevel="0" collapsed="false">
      <c r="A5477" s="0" t="n">
        <v>5473</v>
      </c>
      <c r="B5477" s="0" t="n">
        <v>8</v>
      </c>
      <c r="C5477" s="19" t="n">
        <v>0</v>
      </c>
      <c r="D5477" s="19" t="n">
        <v>0.5217</v>
      </c>
      <c r="E5477" s="20" t="n">
        <f aca="false">Parametres!$B$5*C5477</f>
        <v>0</v>
      </c>
      <c r="F5477" s="20" t="n">
        <f aca="false">Parametres!$B$6*D5477</f>
        <v>104.34</v>
      </c>
      <c r="G5477" s="20" t="n">
        <f aca="false">E5477+F5477</f>
        <v>104.34</v>
      </c>
      <c r="H5477" s="20" t="n">
        <f aca="false">IF(G5477&lt;Parametres!$B$8*Parametres!$B$7,0,MIN(G5477,Parametres!$B$7))</f>
        <v>104.34</v>
      </c>
      <c r="I5477" s="20" t="n">
        <f aca="false">G5477-H5477</f>
        <v>0</v>
      </c>
      <c r="J5477" s="21" t="n">
        <f aca="false">H5477*1000/Parametres!$B$9</f>
        <v>1769.37425809734</v>
      </c>
    </row>
    <row r="5478" customFormat="false" ht="15" hidden="false" customHeight="false" outlineLevel="0" collapsed="false">
      <c r="A5478" s="0" t="n">
        <v>5474</v>
      </c>
      <c r="B5478" s="0" t="n">
        <v>8</v>
      </c>
      <c r="C5478" s="19" t="n">
        <v>0</v>
      </c>
      <c r="D5478" s="19" t="n">
        <v>0.5214</v>
      </c>
      <c r="E5478" s="20" t="n">
        <f aca="false">Parametres!$B$5*C5478</f>
        <v>0</v>
      </c>
      <c r="F5478" s="20" t="n">
        <f aca="false">Parametres!$B$6*D5478</f>
        <v>104.28</v>
      </c>
      <c r="G5478" s="20" t="n">
        <f aca="false">E5478+F5478</f>
        <v>104.28</v>
      </c>
      <c r="H5478" s="20" t="n">
        <f aca="false">IF(G5478&lt;Parametres!$B$8*Parametres!$B$7,0,MIN(G5478,Parametres!$B$7))</f>
        <v>104.28</v>
      </c>
      <c r="I5478" s="20" t="n">
        <f aca="false">G5478-H5478</f>
        <v>0</v>
      </c>
      <c r="J5478" s="21" t="n">
        <f aca="false">H5478*1000/Parametres!$B$9</f>
        <v>1768.35679158894</v>
      </c>
    </row>
    <row r="5479" customFormat="false" ht="15" hidden="false" customHeight="false" outlineLevel="0" collapsed="false">
      <c r="A5479" s="0" t="n">
        <v>5475</v>
      </c>
      <c r="B5479" s="0" t="n">
        <v>8</v>
      </c>
      <c r="C5479" s="19" t="n">
        <v>0</v>
      </c>
      <c r="D5479" s="19" t="n">
        <v>0.4726</v>
      </c>
      <c r="E5479" s="20" t="n">
        <f aca="false">Parametres!$B$5*C5479</f>
        <v>0</v>
      </c>
      <c r="F5479" s="20" t="n">
        <f aca="false">Parametres!$B$6*D5479</f>
        <v>94.52</v>
      </c>
      <c r="G5479" s="20" t="n">
        <f aca="false">E5479+F5479</f>
        <v>94.52</v>
      </c>
      <c r="H5479" s="20" t="n">
        <f aca="false">IF(G5479&lt;Parametres!$B$8*Parametres!$B$7,0,MIN(G5479,Parametres!$B$7))</f>
        <v>94.52</v>
      </c>
      <c r="I5479" s="20" t="n">
        <f aca="false">G5479-H5479</f>
        <v>0</v>
      </c>
      <c r="J5479" s="21" t="n">
        <f aca="false">H5479*1000/Parametres!$B$9</f>
        <v>1602.8489062235</v>
      </c>
    </row>
    <row r="5480" customFormat="false" ht="15" hidden="false" customHeight="false" outlineLevel="0" collapsed="false">
      <c r="A5480" s="0" t="n">
        <v>5476</v>
      </c>
      <c r="B5480" s="0" t="n">
        <v>8</v>
      </c>
      <c r="C5480" s="19" t="n">
        <v>0</v>
      </c>
      <c r="D5480" s="19" t="n">
        <v>0.3409</v>
      </c>
      <c r="E5480" s="20" t="n">
        <f aca="false">Parametres!$B$5*C5480</f>
        <v>0</v>
      </c>
      <c r="F5480" s="20" t="n">
        <f aca="false">Parametres!$B$6*D5480</f>
        <v>68.18</v>
      </c>
      <c r="G5480" s="20" t="n">
        <f aca="false">E5480+F5480</f>
        <v>68.18</v>
      </c>
      <c r="H5480" s="20" t="n">
        <f aca="false">IF(G5480&lt;Parametres!$B$8*Parametres!$B$7,0,MIN(G5480,Parametres!$B$7))</f>
        <v>68.18</v>
      </c>
      <c r="I5480" s="20" t="n">
        <f aca="false">G5480-H5480</f>
        <v>0</v>
      </c>
      <c r="J5480" s="21" t="n">
        <f aca="false">H5480*1000/Parametres!$B$9</f>
        <v>1156.18110903849</v>
      </c>
    </row>
    <row r="5481" customFormat="false" ht="15" hidden="false" customHeight="false" outlineLevel="0" collapsed="false">
      <c r="A5481" s="0" t="n">
        <v>5477</v>
      </c>
      <c r="B5481" s="0" t="n">
        <v>8</v>
      </c>
      <c r="C5481" s="19" t="n">
        <v>0</v>
      </c>
      <c r="D5481" s="19" t="n">
        <v>0.4162</v>
      </c>
      <c r="E5481" s="20" t="n">
        <f aca="false">Parametres!$B$5*C5481</f>
        <v>0</v>
      </c>
      <c r="F5481" s="20" t="n">
        <f aca="false">Parametres!$B$6*D5481</f>
        <v>83.24</v>
      </c>
      <c r="G5481" s="20" t="n">
        <f aca="false">E5481+F5481</f>
        <v>83.24</v>
      </c>
      <c r="H5481" s="20" t="n">
        <f aca="false">IF(G5481&lt;Parametres!$B$8*Parametres!$B$7,0,MIN(G5481,Parametres!$B$7))</f>
        <v>83.24</v>
      </c>
      <c r="I5481" s="20" t="n">
        <f aca="false">G5481-H5481</f>
        <v>0</v>
      </c>
      <c r="J5481" s="21" t="n">
        <f aca="false">H5481*1000/Parametres!$B$9</f>
        <v>1411.56520264541</v>
      </c>
    </row>
    <row r="5482" customFormat="false" ht="15" hidden="false" customHeight="false" outlineLevel="0" collapsed="false">
      <c r="A5482" s="0" t="n">
        <v>5478</v>
      </c>
      <c r="B5482" s="0" t="n">
        <v>8</v>
      </c>
      <c r="C5482" s="19" t="n">
        <v>0</v>
      </c>
      <c r="D5482" s="19" t="n">
        <v>0.4351</v>
      </c>
      <c r="E5482" s="20" t="n">
        <f aca="false">Parametres!$B$5*C5482</f>
        <v>0</v>
      </c>
      <c r="F5482" s="20" t="n">
        <f aca="false">Parametres!$B$6*D5482</f>
        <v>87.02</v>
      </c>
      <c r="G5482" s="20" t="n">
        <f aca="false">E5482+F5482</f>
        <v>87.02</v>
      </c>
      <c r="H5482" s="20" t="n">
        <f aca="false">IF(G5482&lt;Parametres!$B$8*Parametres!$B$7,0,MIN(G5482,Parametres!$B$7))</f>
        <v>87.02</v>
      </c>
      <c r="I5482" s="20" t="n">
        <f aca="false">G5482-H5482</f>
        <v>0</v>
      </c>
      <c r="J5482" s="21" t="n">
        <f aca="false">H5482*1000/Parametres!$B$9</f>
        <v>1475.66559267424</v>
      </c>
    </row>
    <row r="5483" customFormat="false" ht="15" hidden="false" customHeight="false" outlineLevel="0" collapsed="false">
      <c r="A5483" s="0" t="n">
        <v>5479</v>
      </c>
      <c r="B5483" s="0" t="n">
        <v>8</v>
      </c>
      <c r="C5483" s="19" t="n">
        <v>0.1803</v>
      </c>
      <c r="D5483" s="19" t="n">
        <v>0.3859</v>
      </c>
      <c r="E5483" s="20" t="n">
        <f aca="false">Parametres!$B$5*C5483</f>
        <v>54.09</v>
      </c>
      <c r="F5483" s="20" t="n">
        <f aca="false">Parametres!$B$6*D5483</f>
        <v>77.18</v>
      </c>
      <c r="G5483" s="20" t="n">
        <f aca="false">E5483+F5483</f>
        <v>131.27</v>
      </c>
      <c r="H5483" s="20" t="n">
        <f aca="false">IF(G5483&lt;Parametres!$B$8*Parametres!$B$7,0,MIN(G5483,Parametres!$B$7))</f>
        <v>131.27</v>
      </c>
      <c r="I5483" s="20" t="n">
        <f aca="false">G5483-H5483</f>
        <v>0</v>
      </c>
      <c r="J5483" s="21" t="n">
        <f aca="false">H5483*1000/Parametres!$B$9</f>
        <v>2226.04714261489</v>
      </c>
    </row>
    <row r="5484" customFormat="false" ht="15" hidden="false" customHeight="false" outlineLevel="0" collapsed="false">
      <c r="A5484" s="0" t="n">
        <v>5480</v>
      </c>
      <c r="B5484" s="0" t="n">
        <v>8</v>
      </c>
      <c r="C5484" s="19" t="n">
        <v>0.4293</v>
      </c>
      <c r="D5484" s="19" t="n">
        <v>0.3067</v>
      </c>
      <c r="E5484" s="20" t="n">
        <f aca="false">Parametres!$B$5*C5484</f>
        <v>128.79</v>
      </c>
      <c r="F5484" s="20" t="n">
        <f aca="false">Parametres!$B$6*D5484</f>
        <v>61.34</v>
      </c>
      <c r="G5484" s="20" t="n">
        <f aca="false">E5484+F5484</f>
        <v>190.13</v>
      </c>
      <c r="H5484" s="20" t="n">
        <f aca="false">IF(G5484&lt;Parametres!$B$8*Parametres!$B$7,0,MIN(G5484,Parametres!$B$7))</f>
        <v>190.13</v>
      </c>
      <c r="I5484" s="20" t="n">
        <f aca="false">G5484-H5484</f>
        <v>0</v>
      </c>
      <c r="J5484" s="21" t="n">
        <f aca="false">H5484*1000/Parametres!$B$9</f>
        <v>3224.1817873495</v>
      </c>
    </row>
    <row r="5485" customFormat="false" ht="15" hidden="false" customHeight="false" outlineLevel="0" collapsed="false">
      <c r="A5485" s="0" t="n">
        <v>5481</v>
      </c>
      <c r="B5485" s="0" t="n">
        <v>8</v>
      </c>
      <c r="C5485" s="19" t="n">
        <v>0.5989</v>
      </c>
      <c r="D5485" s="19" t="n">
        <v>0.357</v>
      </c>
      <c r="E5485" s="20" t="n">
        <f aca="false">Parametres!$B$5*C5485</f>
        <v>179.67</v>
      </c>
      <c r="F5485" s="20" t="n">
        <f aca="false">Parametres!$B$6*D5485</f>
        <v>71.4</v>
      </c>
      <c r="G5485" s="20" t="n">
        <f aca="false">E5485+F5485</f>
        <v>251.07</v>
      </c>
      <c r="H5485" s="20" t="n">
        <f aca="false">IF(G5485&lt;Parametres!$B$8*Parametres!$B$7,0,MIN(G5485,Parametres!$B$7))</f>
        <v>250</v>
      </c>
      <c r="I5485" s="20" t="n">
        <f aca="false">G5485-H5485</f>
        <v>1.06999999999999</v>
      </c>
      <c r="J5485" s="21" t="n">
        <f aca="false">H5485*1000/Parametres!$B$9</f>
        <v>4239.44378497541</v>
      </c>
    </row>
    <row r="5486" customFormat="false" ht="15" hidden="false" customHeight="false" outlineLevel="0" collapsed="false">
      <c r="A5486" s="0" t="n">
        <v>5482</v>
      </c>
      <c r="B5486" s="0" t="n">
        <v>8</v>
      </c>
      <c r="C5486" s="19" t="n">
        <v>0.8647</v>
      </c>
      <c r="D5486" s="19" t="n">
        <v>0.7754</v>
      </c>
      <c r="E5486" s="20" t="n">
        <f aca="false">Parametres!$B$5*C5486</f>
        <v>259.41</v>
      </c>
      <c r="F5486" s="20" t="n">
        <f aca="false">Parametres!$B$6*D5486</f>
        <v>155.08</v>
      </c>
      <c r="G5486" s="20" t="n">
        <f aca="false">E5486+F5486</f>
        <v>414.49</v>
      </c>
      <c r="H5486" s="20" t="n">
        <f aca="false">IF(G5486&lt;Parametres!$B$8*Parametres!$B$7,0,MIN(G5486,Parametres!$B$7))</f>
        <v>250</v>
      </c>
      <c r="I5486" s="20" t="n">
        <f aca="false">G5486-H5486</f>
        <v>164.49</v>
      </c>
      <c r="J5486" s="21" t="n">
        <f aca="false">H5486*1000/Parametres!$B$9</f>
        <v>4239.44378497541</v>
      </c>
    </row>
    <row r="5487" customFormat="false" ht="15" hidden="false" customHeight="false" outlineLevel="0" collapsed="false">
      <c r="A5487" s="0" t="n">
        <v>5483</v>
      </c>
      <c r="B5487" s="0" t="n">
        <v>8</v>
      </c>
      <c r="C5487" s="19" t="n">
        <v>0.9673</v>
      </c>
      <c r="D5487" s="19" t="n">
        <v>0.8942</v>
      </c>
      <c r="E5487" s="20" t="n">
        <f aca="false">Parametres!$B$5*C5487</f>
        <v>290.19</v>
      </c>
      <c r="F5487" s="20" t="n">
        <f aca="false">Parametres!$B$6*D5487</f>
        <v>178.84</v>
      </c>
      <c r="G5487" s="20" t="n">
        <f aca="false">E5487+F5487</f>
        <v>469.03</v>
      </c>
      <c r="H5487" s="20" t="n">
        <f aca="false">IF(G5487&lt;Parametres!$B$8*Parametres!$B$7,0,MIN(G5487,Parametres!$B$7))</f>
        <v>250</v>
      </c>
      <c r="I5487" s="20" t="n">
        <f aca="false">G5487-H5487</f>
        <v>219.03</v>
      </c>
      <c r="J5487" s="21" t="n">
        <f aca="false">H5487*1000/Parametres!$B$9</f>
        <v>4239.44378497541</v>
      </c>
    </row>
    <row r="5488" customFormat="false" ht="15" hidden="false" customHeight="false" outlineLevel="0" collapsed="false">
      <c r="A5488" s="0" t="n">
        <v>5484</v>
      </c>
      <c r="B5488" s="0" t="n">
        <v>8</v>
      </c>
      <c r="C5488" s="19" t="n">
        <v>1</v>
      </c>
      <c r="D5488" s="19" t="n">
        <v>1</v>
      </c>
      <c r="E5488" s="20" t="n">
        <f aca="false">Parametres!$B$5*C5488</f>
        <v>300</v>
      </c>
      <c r="F5488" s="20" t="n">
        <f aca="false">Parametres!$B$6*D5488</f>
        <v>200</v>
      </c>
      <c r="G5488" s="20" t="n">
        <f aca="false">E5488+F5488</f>
        <v>500</v>
      </c>
      <c r="H5488" s="20" t="n">
        <f aca="false">IF(G5488&lt;Parametres!$B$8*Parametres!$B$7,0,MIN(G5488,Parametres!$B$7))</f>
        <v>250</v>
      </c>
      <c r="I5488" s="20" t="n">
        <f aca="false">G5488-H5488</f>
        <v>250</v>
      </c>
      <c r="J5488" s="21" t="n">
        <f aca="false">H5488*1000/Parametres!$B$9</f>
        <v>4239.44378497541</v>
      </c>
    </row>
    <row r="5489" customFormat="false" ht="15" hidden="false" customHeight="false" outlineLevel="0" collapsed="false">
      <c r="A5489" s="0" t="n">
        <v>5485</v>
      </c>
      <c r="B5489" s="0" t="n">
        <v>8</v>
      </c>
      <c r="C5489" s="19" t="n">
        <v>1</v>
      </c>
      <c r="D5489" s="19" t="n">
        <v>1</v>
      </c>
      <c r="E5489" s="20" t="n">
        <f aca="false">Parametres!$B$5*C5489</f>
        <v>300</v>
      </c>
      <c r="F5489" s="20" t="n">
        <f aca="false">Parametres!$B$6*D5489</f>
        <v>200</v>
      </c>
      <c r="G5489" s="20" t="n">
        <f aca="false">E5489+F5489</f>
        <v>500</v>
      </c>
      <c r="H5489" s="20" t="n">
        <f aca="false">IF(G5489&lt;Parametres!$B$8*Parametres!$B$7,0,MIN(G5489,Parametres!$B$7))</f>
        <v>250</v>
      </c>
      <c r="I5489" s="20" t="n">
        <f aca="false">G5489-H5489</f>
        <v>250</v>
      </c>
      <c r="J5489" s="21" t="n">
        <f aca="false">H5489*1000/Parametres!$B$9</f>
        <v>4239.44378497541</v>
      </c>
    </row>
    <row r="5490" customFormat="false" ht="15" hidden="false" customHeight="false" outlineLevel="0" collapsed="false">
      <c r="A5490" s="0" t="n">
        <v>5486</v>
      </c>
      <c r="B5490" s="0" t="n">
        <v>8</v>
      </c>
      <c r="C5490" s="19" t="n">
        <v>0.9441</v>
      </c>
      <c r="D5490" s="19" t="n">
        <v>1</v>
      </c>
      <c r="E5490" s="20" t="n">
        <f aca="false">Parametres!$B$5*C5490</f>
        <v>283.23</v>
      </c>
      <c r="F5490" s="20" t="n">
        <f aca="false">Parametres!$B$6*D5490</f>
        <v>200</v>
      </c>
      <c r="G5490" s="20" t="n">
        <f aca="false">E5490+F5490</f>
        <v>483.23</v>
      </c>
      <c r="H5490" s="20" t="n">
        <f aca="false">IF(G5490&lt;Parametres!$B$8*Parametres!$B$7,0,MIN(G5490,Parametres!$B$7))</f>
        <v>250</v>
      </c>
      <c r="I5490" s="20" t="n">
        <f aca="false">G5490-H5490</f>
        <v>233.23</v>
      </c>
      <c r="J5490" s="21" t="n">
        <f aca="false">H5490*1000/Parametres!$B$9</f>
        <v>4239.44378497541</v>
      </c>
    </row>
    <row r="5491" customFormat="false" ht="15" hidden="false" customHeight="false" outlineLevel="0" collapsed="false">
      <c r="A5491" s="0" t="n">
        <v>5487</v>
      </c>
      <c r="B5491" s="0" t="n">
        <v>8</v>
      </c>
      <c r="C5491" s="19" t="n">
        <v>0.8016</v>
      </c>
      <c r="D5491" s="19" t="n">
        <v>1</v>
      </c>
      <c r="E5491" s="20" t="n">
        <f aca="false">Parametres!$B$5*C5491</f>
        <v>240.48</v>
      </c>
      <c r="F5491" s="20" t="n">
        <f aca="false">Parametres!$B$6*D5491</f>
        <v>200</v>
      </c>
      <c r="G5491" s="20" t="n">
        <f aca="false">E5491+F5491</f>
        <v>440.48</v>
      </c>
      <c r="H5491" s="20" t="n">
        <f aca="false">IF(G5491&lt;Parametres!$B$8*Parametres!$B$7,0,MIN(G5491,Parametres!$B$7))</f>
        <v>250</v>
      </c>
      <c r="I5491" s="20" t="n">
        <f aca="false">G5491-H5491</f>
        <v>190.48</v>
      </c>
      <c r="J5491" s="21" t="n">
        <f aca="false">H5491*1000/Parametres!$B$9</f>
        <v>4239.44378497541</v>
      </c>
    </row>
    <row r="5492" customFormat="false" ht="15" hidden="false" customHeight="false" outlineLevel="0" collapsed="false">
      <c r="A5492" s="0" t="n">
        <v>5488</v>
      </c>
      <c r="B5492" s="0" t="n">
        <v>8</v>
      </c>
      <c r="C5492" s="19" t="n">
        <v>0.5954</v>
      </c>
      <c r="D5492" s="19" t="n">
        <v>1</v>
      </c>
      <c r="E5492" s="20" t="n">
        <f aca="false">Parametres!$B$5*C5492</f>
        <v>178.62</v>
      </c>
      <c r="F5492" s="20" t="n">
        <f aca="false">Parametres!$B$6*D5492</f>
        <v>200</v>
      </c>
      <c r="G5492" s="20" t="n">
        <f aca="false">E5492+F5492</f>
        <v>378.62</v>
      </c>
      <c r="H5492" s="20" t="n">
        <f aca="false">IF(G5492&lt;Parametres!$B$8*Parametres!$B$7,0,MIN(G5492,Parametres!$B$7))</f>
        <v>250</v>
      </c>
      <c r="I5492" s="20" t="n">
        <f aca="false">G5492-H5492</f>
        <v>128.62</v>
      </c>
      <c r="J5492" s="21" t="n">
        <f aca="false">H5492*1000/Parametres!$B$9</f>
        <v>4239.44378497541</v>
      </c>
    </row>
    <row r="5493" customFormat="false" ht="15" hidden="false" customHeight="false" outlineLevel="0" collapsed="false">
      <c r="A5493" s="0" t="n">
        <v>5489</v>
      </c>
      <c r="B5493" s="0" t="n">
        <v>8</v>
      </c>
      <c r="C5493" s="19" t="n">
        <v>0.3876</v>
      </c>
      <c r="D5493" s="19" t="n">
        <v>1</v>
      </c>
      <c r="E5493" s="20" t="n">
        <f aca="false">Parametres!$B$5*C5493</f>
        <v>116.28</v>
      </c>
      <c r="F5493" s="20" t="n">
        <f aca="false">Parametres!$B$6*D5493</f>
        <v>200</v>
      </c>
      <c r="G5493" s="20" t="n">
        <f aca="false">E5493+F5493</f>
        <v>316.28</v>
      </c>
      <c r="H5493" s="20" t="n">
        <f aca="false">IF(G5493&lt;Parametres!$B$8*Parametres!$B$7,0,MIN(G5493,Parametres!$B$7))</f>
        <v>250</v>
      </c>
      <c r="I5493" s="20" t="n">
        <f aca="false">G5493-H5493</f>
        <v>66.28</v>
      </c>
      <c r="J5493" s="21" t="n">
        <f aca="false">H5493*1000/Parametres!$B$9</f>
        <v>4239.44378497541</v>
      </c>
    </row>
    <row r="5494" customFormat="false" ht="15" hidden="false" customHeight="false" outlineLevel="0" collapsed="false">
      <c r="A5494" s="0" t="n">
        <v>5490</v>
      </c>
      <c r="B5494" s="0" t="n">
        <v>8</v>
      </c>
      <c r="C5494" s="19" t="n">
        <v>0.1893</v>
      </c>
      <c r="D5494" s="19" t="n">
        <v>1</v>
      </c>
      <c r="E5494" s="20" t="n">
        <f aca="false">Parametres!$B$5*C5494</f>
        <v>56.79</v>
      </c>
      <c r="F5494" s="20" t="n">
        <f aca="false">Parametres!$B$6*D5494</f>
        <v>200</v>
      </c>
      <c r="G5494" s="20" t="n">
        <f aca="false">E5494+F5494</f>
        <v>256.79</v>
      </c>
      <c r="H5494" s="20" t="n">
        <f aca="false">IF(G5494&lt;Parametres!$B$8*Parametres!$B$7,0,MIN(G5494,Parametres!$B$7))</f>
        <v>250</v>
      </c>
      <c r="I5494" s="20" t="n">
        <f aca="false">G5494-H5494</f>
        <v>6.79000000000002</v>
      </c>
      <c r="J5494" s="21" t="n">
        <f aca="false">H5494*1000/Parametres!$B$9</f>
        <v>4239.44378497541</v>
      </c>
    </row>
    <row r="5495" customFormat="false" ht="15" hidden="false" customHeight="false" outlineLevel="0" collapsed="false">
      <c r="A5495" s="0" t="n">
        <v>5491</v>
      </c>
      <c r="B5495" s="0" t="n">
        <v>8</v>
      </c>
      <c r="C5495" s="19" t="n">
        <v>0</v>
      </c>
      <c r="D5495" s="19" t="n">
        <v>1</v>
      </c>
      <c r="E5495" s="20" t="n">
        <f aca="false">Parametres!$B$5*C5495</f>
        <v>0</v>
      </c>
      <c r="F5495" s="20" t="n">
        <f aca="false">Parametres!$B$6*D5495</f>
        <v>200</v>
      </c>
      <c r="G5495" s="20" t="n">
        <f aca="false">E5495+F5495</f>
        <v>200</v>
      </c>
      <c r="H5495" s="20" t="n">
        <f aca="false">IF(G5495&lt;Parametres!$B$8*Parametres!$B$7,0,MIN(G5495,Parametres!$B$7))</f>
        <v>200</v>
      </c>
      <c r="I5495" s="20" t="n">
        <f aca="false">G5495-H5495</f>
        <v>0</v>
      </c>
      <c r="J5495" s="21" t="n">
        <f aca="false">H5495*1000/Parametres!$B$9</f>
        <v>3391.55502798033</v>
      </c>
    </row>
    <row r="5496" customFormat="false" ht="15" hidden="false" customHeight="false" outlineLevel="0" collapsed="false">
      <c r="A5496" s="0" t="n">
        <v>5492</v>
      </c>
      <c r="B5496" s="0" t="n">
        <v>8</v>
      </c>
      <c r="C5496" s="19" t="n">
        <v>0</v>
      </c>
      <c r="D5496" s="19" t="n">
        <v>1</v>
      </c>
      <c r="E5496" s="20" t="n">
        <f aca="false">Parametres!$B$5*C5496</f>
        <v>0</v>
      </c>
      <c r="F5496" s="20" t="n">
        <f aca="false">Parametres!$B$6*D5496</f>
        <v>200</v>
      </c>
      <c r="G5496" s="20" t="n">
        <f aca="false">E5496+F5496</f>
        <v>200</v>
      </c>
      <c r="H5496" s="20" t="n">
        <f aca="false">IF(G5496&lt;Parametres!$B$8*Parametres!$B$7,0,MIN(G5496,Parametres!$B$7))</f>
        <v>200</v>
      </c>
      <c r="I5496" s="20" t="n">
        <f aca="false">G5496-H5496</f>
        <v>0</v>
      </c>
      <c r="J5496" s="21" t="n">
        <f aca="false">H5496*1000/Parametres!$B$9</f>
        <v>3391.55502798033</v>
      </c>
    </row>
    <row r="5497" customFormat="false" ht="15" hidden="false" customHeight="false" outlineLevel="0" collapsed="false">
      <c r="A5497" s="0" t="n">
        <v>5493</v>
      </c>
      <c r="B5497" s="0" t="n">
        <v>8</v>
      </c>
      <c r="C5497" s="19" t="n">
        <v>0</v>
      </c>
      <c r="D5497" s="19" t="n">
        <v>1</v>
      </c>
      <c r="E5497" s="20" t="n">
        <f aca="false">Parametres!$B$5*C5497</f>
        <v>0</v>
      </c>
      <c r="F5497" s="20" t="n">
        <f aca="false">Parametres!$B$6*D5497</f>
        <v>200</v>
      </c>
      <c r="G5497" s="20" t="n">
        <f aca="false">E5497+F5497</f>
        <v>200</v>
      </c>
      <c r="H5497" s="20" t="n">
        <f aca="false">IF(G5497&lt;Parametres!$B$8*Parametres!$B$7,0,MIN(G5497,Parametres!$B$7))</f>
        <v>200</v>
      </c>
      <c r="I5497" s="20" t="n">
        <f aca="false">G5497-H5497</f>
        <v>0</v>
      </c>
      <c r="J5497" s="21" t="n">
        <f aca="false">H5497*1000/Parametres!$B$9</f>
        <v>3391.55502798033</v>
      </c>
    </row>
    <row r="5498" customFormat="false" ht="15" hidden="false" customHeight="false" outlineLevel="0" collapsed="false">
      <c r="A5498" s="0" t="n">
        <v>5494</v>
      </c>
      <c r="B5498" s="0" t="n">
        <v>8</v>
      </c>
      <c r="C5498" s="19" t="n">
        <v>0</v>
      </c>
      <c r="D5498" s="19" t="n">
        <v>1</v>
      </c>
      <c r="E5498" s="20" t="n">
        <f aca="false">Parametres!$B$5*C5498</f>
        <v>0</v>
      </c>
      <c r="F5498" s="20" t="n">
        <f aca="false">Parametres!$B$6*D5498</f>
        <v>200</v>
      </c>
      <c r="G5498" s="20" t="n">
        <f aca="false">E5498+F5498</f>
        <v>200</v>
      </c>
      <c r="H5498" s="20" t="n">
        <f aca="false">IF(G5498&lt;Parametres!$B$8*Parametres!$B$7,0,MIN(G5498,Parametres!$B$7))</f>
        <v>200</v>
      </c>
      <c r="I5498" s="20" t="n">
        <f aca="false">G5498-H5498</f>
        <v>0</v>
      </c>
      <c r="J5498" s="21" t="n">
        <f aca="false">H5498*1000/Parametres!$B$9</f>
        <v>3391.55502798033</v>
      </c>
    </row>
    <row r="5499" customFormat="false" ht="15" hidden="false" customHeight="false" outlineLevel="0" collapsed="false">
      <c r="A5499" s="0" t="n">
        <v>5495</v>
      </c>
      <c r="B5499" s="0" t="n">
        <v>8</v>
      </c>
      <c r="C5499" s="19" t="n">
        <v>0</v>
      </c>
      <c r="D5499" s="19" t="n">
        <v>1</v>
      </c>
      <c r="E5499" s="20" t="n">
        <f aca="false">Parametres!$B$5*C5499</f>
        <v>0</v>
      </c>
      <c r="F5499" s="20" t="n">
        <f aca="false">Parametres!$B$6*D5499</f>
        <v>200</v>
      </c>
      <c r="G5499" s="20" t="n">
        <f aca="false">E5499+F5499</f>
        <v>200</v>
      </c>
      <c r="H5499" s="20" t="n">
        <f aca="false">IF(G5499&lt;Parametres!$B$8*Parametres!$B$7,0,MIN(G5499,Parametres!$B$7))</f>
        <v>200</v>
      </c>
      <c r="I5499" s="20" t="n">
        <f aca="false">G5499-H5499</f>
        <v>0</v>
      </c>
      <c r="J5499" s="21" t="n">
        <f aca="false">H5499*1000/Parametres!$B$9</f>
        <v>3391.55502798033</v>
      </c>
    </row>
    <row r="5500" customFormat="false" ht="15" hidden="false" customHeight="false" outlineLevel="0" collapsed="false">
      <c r="A5500" s="0" t="n">
        <v>5496</v>
      </c>
      <c r="B5500" s="0" t="n">
        <v>8</v>
      </c>
      <c r="C5500" s="19" t="n">
        <v>0</v>
      </c>
      <c r="D5500" s="19" t="n">
        <v>1</v>
      </c>
      <c r="E5500" s="20" t="n">
        <f aca="false">Parametres!$B$5*C5500</f>
        <v>0</v>
      </c>
      <c r="F5500" s="20" t="n">
        <f aca="false">Parametres!$B$6*D5500</f>
        <v>200</v>
      </c>
      <c r="G5500" s="20" t="n">
        <f aca="false">E5500+F5500</f>
        <v>200</v>
      </c>
      <c r="H5500" s="20" t="n">
        <f aca="false">IF(G5500&lt;Parametres!$B$8*Parametres!$B$7,0,MIN(G5500,Parametres!$B$7))</f>
        <v>200</v>
      </c>
      <c r="I5500" s="20" t="n">
        <f aca="false">G5500-H5500</f>
        <v>0</v>
      </c>
      <c r="J5500" s="21" t="n">
        <f aca="false">H5500*1000/Parametres!$B$9</f>
        <v>3391.55502798033</v>
      </c>
    </row>
    <row r="5501" customFormat="false" ht="15" hidden="false" customHeight="false" outlineLevel="0" collapsed="false">
      <c r="A5501" s="0" t="n">
        <v>5497</v>
      </c>
      <c r="B5501" s="0" t="n">
        <v>8</v>
      </c>
      <c r="C5501" s="19" t="n">
        <v>0</v>
      </c>
      <c r="D5501" s="19" t="n">
        <v>1</v>
      </c>
      <c r="E5501" s="20" t="n">
        <f aca="false">Parametres!$B$5*C5501</f>
        <v>0</v>
      </c>
      <c r="F5501" s="20" t="n">
        <f aca="false">Parametres!$B$6*D5501</f>
        <v>200</v>
      </c>
      <c r="G5501" s="20" t="n">
        <f aca="false">E5501+F5501</f>
        <v>200</v>
      </c>
      <c r="H5501" s="20" t="n">
        <f aca="false">IF(G5501&lt;Parametres!$B$8*Parametres!$B$7,0,MIN(G5501,Parametres!$B$7))</f>
        <v>200</v>
      </c>
      <c r="I5501" s="20" t="n">
        <f aca="false">G5501-H5501</f>
        <v>0</v>
      </c>
      <c r="J5501" s="21" t="n">
        <f aca="false">H5501*1000/Parametres!$B$9</f>
        <v>3391.55502798033</v>
      </c>
    </row>
    <row r="5502" customFormat="false" ht="15" hidden="false" customHeight="false" outlineLevel="0" collapsed="false">
      <c r="A5502" s="0" t="n">
        <v>5498</v>
      </c>
      <c r="B5502" s="0" t="n">
        <v>8</v>
      </c>
      <c r="C5502" s="19" t="n">
        <v>0</v>
      </c>
      <c r="D5502" s="19" t="n">
        <v>1</v>
      </c>
      <c r="E5502" s="20" t="n">
        <f aca="false">Parametres!$B$5*C5502</f>
        <v>0</v>
      </c>
      <c r="F5502" s="20" t="n">
        <f aca="false">Parametres!$B$6*D5502</f>
        <v>200</v>
      </c>
      <c r="G5502" s="20" t="n">
        <f aca="false">E5502+F5502</f>
        <v>200</v>
      </c>
      <c r="H5502" s="20" t="n">
        <f aca="false">IF(G5502&lt;Parametres!$B$8*Parametres!$B$7,0,MIN(G5502,Parametres!$B$7))</f>
        <v>200</v>
      </c>
      <c r="I5502" s="20" t="n">
        <f aca="false">G5502-H5502</f>
        <v>0</v>
      </c>
      <c r="J5502" s="21" t="n">
        <f aca="false">H5502*1000/Parametres!$B$9</f>
        <v>3391.55502798033</v>
      </c>
    </row>
    <row r="5503" customFormat="false" ht="15" hidden="false" customHeight="false" outlineLevel="0" collapsed="false">
      <c r="A5503" s="0" t="n">
        <v>5499</v>
      </c>
      <c r="B5503" s="0" t="n">
        <v>8</v>
      </c>
      <c r="C5503" s="19" t="n">
        <v>0</v>
      </c>
      <c r="D5503" s="19" t="n">
        <v>1</v>
      </c>
      <c r="E5503" s="20" t="n">
        <f aca="false">Parametres!$B$5*C5503</f>
        <v>0</v>
      </c>
      <c r="F5503" s="20" t="n">
        <f aca="false">Parametres!$B$6*D5503</f>
        <v>200</v>
      </c>
      <c r="G5503" s="20" t="n">
        <f aca="false">E5503+F5503</f>
        <v>200</v>
      </c>
      <c r="H5503" s="20" t="n">
        <f aca="false">IF(G5503&lt;Parametres!$B$8*Parametres!$B$7,0,MIN(G5503,Parametres!$B$7))</f>
        <v>200</v>
      </c>
      <c r="I5503" s="20" t="n">
        <f aca="false">G5503-H5503</f>
        <v>0</v>
      </c>
      <c r="J5503" s="21" t="n">
        <f aca="false">H5503*1000/Parametres!$B$9</f>
        <v>3391.55502798033</v>
      </c>
    </row>
    <row r="5504" customFormat="false" ht="15" hidden="false" customHeight="false" outlineLevel="0" collapsed="false">
      <c r="A5504" s="0" t="n">
        <v>5500</v>
      </c>
      <c r="B5504" s="0" t="n">
        <v>8</v>
      </c>
      <c r="C5504" s="19" t="n">
        <v>0</v>
      </c>
      <c r="D5504" s="19" t="n">
        <v>1</v>
      </c>
      <c r="E5504" s="20" t="n">
        <f aca="false">Parametres!$B$5*C5504</f>
        <v>0</v>
      </c>
      <c r="F5504" s="20" t="n">
        <f aca="false">Parametres!$B$6*D5504</f>
        <v>200</v>
      </c>
      <c r="G5504" s="20" t="n">
        <f aca="false">E5504+F5504</f>
        <v>200</v>
      </c>
      <c r="H5504" s="20" t="n">
        <f aca="false">IF(G5504&lt;Parametres!$B$8*Parametres!$B$7,0,MIN(G5504,Parametres!$B$7))</f>
        <v>200</v>
      </c>
      <c r="I5504" s="20" t="n">
        <f aca="false">G5504-H5504</f>
        <v>0</v>
      </c>
      <c r="J5504" s="21" t="n">
        <f aca="false">H5504*1000/Parametres!$B$9</f>
        <v>3391.55502798033</v>
      </c>
    </row>
    <row r="5505" customFormat="false" ht="15" hidden="false" customHeight="false" outlineLevel="0" collapsed="false">
      <c r="A5505" s="0" t="n">
        <v>5501</v>
      </c>
      <c r="B5505" s="0" t="n">
        <v>8</v>
      </c>
      <c r="C5505" s="19" t="n">
        <v>0</v>
      </c>
      <c r="D5505" s="19" t="n">
        <v>1</v>
      </c>
      <c r="E5505" s="20" t="n">
        <f aca="false">Parametres!$B$5*C5505</f>
        <v>0</v>
      </c>
      <c r="F5505" s="20" t="n">
        <f aca="false">Parametres!$B$6*D5505</f>
        <v>200</v>
      </c>
      <c r="G5505" s="20" t="n">
        <f aca="false">E5505+F5505</f>
        <v>200</v>
      </c>
      <c r="H5505" s="20" t="n">
        <f aca="false">IF(G5505&lt;Parametres!$B$8*Parametres!$B$7,0,MIN(G5505,Parametres!$B$7))</f>
        <v>200</v>
      </c>
      <c r="I5505" s="20" t="n">
        <f aca="false">G5505-H5505</f>
        <v>0</v>
      </c>
      <c r="J5505" s="21" t="n">
        <f aca="false">H5505*1000/Parametres!$B$9</f>
        <v>3391.55502798033</v>
      </c>
    </row>
    <row r="5506" customFormat="false" ht="15" hidden="false" customHeight="false" outlineLevel="0" collapsed="false">
      <c r="A5506" s="0" t="n">
        <v>5502</v>
      </c>
      <c r="B5506" s="0" t="n">
        <v>8</v>
      </c>
      <c r="C5506" s="19" t="n">
        <v>0</v>
      </c>
      <c r="D5506" s="19" t="n">
        <v>1</v>
      </c>
      <c r="E5506" s="20" t="n">
        <f aca="false">Parametres!$B$5*C5506</f>
        <v>0</v>
      </c>
      <c r="F5506" s="20" t="n">
        <f aca="false">Parametres!$B$6*D5506</f>
        <v>200</v>
      </c>
      <c r="G5506" s="20" t="n">
        <f aca="false">E5506+F5506</f>
        <v>200</v>
      </c>
      <c r="H5506" s="20" t="n">
        <f aca="false">IF(G5506&lt;Parametres!$B$8*Parametres!$B$7,0,MIN(G5506,Parametres!$B$7))</f>
        <v>200</v>
      </c>
      <c r="I5506" s="20" t="n">
        <f aca="false">G5506-H5506</f>
        <v>0</v>
      </c>
      <c r="J5506" s="21" t="n">
        <f aca="false">H5506*1000/Parametres!$B$9</f>
        <v>3391.55502798033</v>
      </c>
    </row>
    <row r="5507" customFormat="false" ht="15" hidden="false" customHeight="false" outlineLevel="0" collapsed="false">
      <c r="A5507" s="0" t="n">
        <v>5503</v>
      </c>
      <c r="B5507" s="0" t="n">
        <v>8</v>
      </c>
      <c r="C5507" s="19" t="n">
        <v>0.1912</v>
      </c>
      <c r="D5507" s="19" t="n">
        <v>0.9805</v>
      </c>
      <c r="E5507" s="20" t="n">
        <f aca="false">Parametres!$B$5*C5507</f>
        <v>57.36</v>
      </c>
      <c r="F5507" s="20" t="n">
        <f aca="false">Parametres!$B$6*D5507</f>
        <v>196.1</v>
      </c>
      <c r="G5507" s="20" t="n">
        <f aca="false">E5507+F5507</f>
        <v>253.46</v>
      </c>
      <c r="H5507" s="20" t="n">
        <f aca="false">IF(G5507&lt;Parametres!$B$8*Parametres!$B$7,0,MIN(G5507,Parametres!$B$7))</f>
        <v>250</v>
      </c>
      <c r="I5507" s="20" t="n">
        <f aca="false">G5507-H5507</f>
        <v>3.45999999999998</v>
      </c>
      <c r="J5507" s="21" t="n">
        <f aca="false">H5507*1000/Parametres!$B$9</f>
        <v>4239.44378497541</v>
      </c>
    </row>
    <row r="5508" customFormat="false" ht="15" hidden="false" customHeight="false" outlineLevel="0" collapsed="false">
      <c r="A5508" s="0" t="n">
        <v>5504</v>
      </c>
      <c r="B5508" s="0" t="n">
        <v>8</v>
      </c>
      <c r="C5508" s="19" t="n">
        <v>0.4408</v>
      </c>
      <c r="D5508" s="19" t="n">
        <v>0.8383</v>
      </c>
      <c r="E5508" s="20" t="n">
        <f aca="false">Parametres!$B$5*C5508</f>
        <v>132.24</v>
      </c>
      <c r="F5508" s="20" t="n">
        <f aca="false">Parametres!$B$6*D5508</f>
        <v>167.66</v>
      </c>
      <c r="G5508" s="20" t="n">
        <f aca="false">E5508+F5508</f>
        <v>299.9</v>
      </c>
      <c r="H5508" s="20" t="n">
        <f aca="false">IF(G5508&lt;Parametres!$B$8*Parametres!$B$7,0,MIN(G5508,Parametres!$B$7))</f>
        <v>250</v>
      </c>
      <c r="I5508" s="20" t="n">
        <f aca="false">G5508-H5508</f>
        <v>49.9</v>
      </c>
      <c r="J5508" s="21" t="n">
        <f aca="false">H5508*1000/Parametres!$B$9</f>
        <v>4239.44378497541</v>
      </c>
    </row>
    <row r="5509" customFormat="false" ht="15" hidden="false" customHeight="false" outlineLevel="0" collapsed="false">
      <c r="A5509" s="0" t="n">
        <v>5505</v>
      </c>
      <c r="B5509" s="0" t="n">
        <v>8</v>
      </c>
      <c r="C5509" s="19" t="n">
        <v>0.6801</v>
      </c>
      <c r="D5509" s="19" t="n">
        <v>0.8154</v>
      </c>
      <c r="E5509" s="20" t="n">
        <f aca="false">Parametres!$B$5*C5509</f>
        <v>204.03</v>
      </c>
      <c r="F5509" s="20" t="n">
        <f aca="false">Parametres!$B$6*D5509</f>
        <v>163.08</v>
      </c>
      <c r="G5509" s="20" t="n">
        <f aca="false">E5509+F5509</f>
        <v>367.11</v>
      </c>
      <c r="H5509" s="20" t="n">
        <f aca="false">IF(G5509&lt;Parametres!$B$8*Parametres!$B$7,0,MIN(G5509,Parametres!$B$7))</f>
        <v>250</v>
      </c>
      <c r="I5509" s="20" t="n">
        <f aca="false">G5509-H5509</f>
        <v>117.11</v>
      </c>
      <c r="J5509" s="21" t="n">
        <f aca="false">H5509*1000/Parametres!$B$9</f>
        <v>4239.44378497541</v>
      </c>
    </row>
    <row r="5510" customFormat="false" ht="15" hidden="false" customHeight="false" outlineLevel="0" collapsed="false">
      <c r="A5510" s="0" t="n">
        <v>5506</v>
      </c>
      <c r="B5510" s="0" t="n">
        <v>8</v>
      </c>
      <c r="C5510" s="19" t="n">
        <v>0.8634</v>
      </c>
      <c r="D5510" s="19" t="n">
        <v>1</v>
      </c>
      <c r="E5510" s="20" t="n">
        <f aca="false">Parametres!$B$5*C5510</f>
        <v>259.02</v>
      </c>
      <c r="F5510" s="20" t="n">
        <f aca="false">Parametres!$B$6*D5510</f>
        <v>200</v>
      </c>
      <c r="G5510" s="20" t="n">
        <f aca="false">E5510+F5510</f>
        <v>459.02</v>
      </c>
      <c r="H5510" s="20" t="n">
        <f aca="false">IF(G5510&lt;Parametres!$B$8*Parametres!$B$7,0,MIN(G5510,Parametres!$B$7))</f>
        <v>250</v>
      </c>
      <c r="I5510" s="20" t="n">
        <f aca="false">G5510-H5510</f>
        <v>209.02</v>
      </c>
      <c r="J5510" s="21" t="n">
        <f aca="false">H5510*1000/Parametres!$B$9</f>
        <v>4239.44378497541</v>
      </c>
    </row>
    <row r="5511" customFormat="false" ht="15" hidden="false" customHeight="false" outlineLevel="0" collapsed="false">
      <c r="A5511" s="0" t="n">
        <v>5507</v>
      </c>
      <c r="B5511" s="0" t="n">
        <v>8</v>
      </c>
      <c r="C5511" s="19" t="n">
        <v>0.9833</v>
      </c>
      <c r="D5511" s="19" t="n">
        <v>1</v>
      </c>
      <c r="E5511" s="20" t="n">
        <f aca="false">Parametres!$B$5*C5511</f>
        <v>294.99</v>
      </c>
      <c r="F5511" s="20" t="n">
        <f aca="false">Parametres!$B$6*D5511</f>
        <v>200</v>
      </c>
      <c r="G5511" s="20" t="n">
        <f aca="false">E5511+F5511</f>
        <v>494.99</v>
      </c>
      <c r="H5511" s="20" t="n">
        <f aca="false">IF(G5511&lt;Parametres!$B$8*Parametres!$B$7,0,MIN(G5511,Parametres!$B$7))</f>
        <v>250</v>
      </c>
      <c r="I5511" s="20" t="n">
        <f aca="false">G5511-H5511</f>
        <v>244.99</v>
      </c>
      <c r="J5511" s="21" t="n">
        <f aca="false">H5511*1000/Parametres!$B$9</f>
        <v>4239.44378497541</v>
      </c>
    </row>
    <row r="5512" customFormat="false" ht="15" hidden="false" customHeight="false" outlineLevel="0" collapsed="false">
      <c r="A5512" s="0" t="n">
        <v>5508</v>
      </c>
      <c r="B5512" s="0" t="n">
        <v>8</v>
      </c>
      <c r="C5512" s="19" t="n">
        <v>1</v>
      </c>
      <c r="D5512" s="19" t="n">
        <v>1</v>
      </c>
      <c r="E5512" s="20" t="n">
        <f aca="false">Parametres!$B$5*C5512</f>
        <v>300</v>
      </c>
      <c r="F5512" s="20" t="n">
        <f aca="false">Parametres!$B$6*D5512</f>
        <v>200</v>
      </c>
      <c r="G5512" s="20" t="n">
        <f aca="false">E5512+F5512</f>
        <v>500</v>
      </c>
      <c r="H5512" s="20" t="n">
        <f aca="false">IF(G5512&lt;Parametres!$B$8*Parametres!$B$7,0,MIN(G5512,Parametres!$B$7))</f>
        <v>250</v>
      </c>
      <c r="I5512" s="20" t="n">
        <f aca="false">G5512-H5512</f>
        <v>250</v>
      </c>
      <c r="J5512" s="21" t="n">
        <f aca="false">H5512*1000/Parametres!$B$9</f>
        <v>4239.44378497541</v>
      </c>
    </row>
    <row r="5513" customFormat="false" ht="15" hidden="false" customHeight="false" outlineLevel="0" collapsed="false">
      <c r="A5513" s="0" t="n">
        <v>5509</v>
      </c>
      <c r="B5513" s="0" t="n">
        <v>8</v>
      </c>
      <c r="C5513" s="19" t="n">
        <v>1</v>
      </c>
      <c r="D5513" s="19" t="n">
        <v>1</v>
      </c>
      <c r="E5513" s="20" t="n">
        <f aca="false">Parametres!$B$5*C5513</f>
        <v>300</v>
      </c>
      <c r="F5513" s="20" t="n">
        <f aca="false">Parametres!$B$6*D5513</f>
        <v>200</v>
      </c>
      <c r="G5513" s="20" t="n">
        <f aca="false">E5513+F5513</f>
        <v>500</v>
      </c>
      <c r="H5513" s="20" t="n">
        <f aca="false">IF(G5513&lt;Parametres!$B$8*Parametres!$B$7,0,MIN(G5513,Parametres!$B$7))</f>
        <v>250</v>
      </c>
      <c r="I5513" s="20" t="n">
        <f aca="false">G5513-H5513</f>
        <v>250</v>
      </c>
      <c r="J5513" s="21" t="n">
        <f aca="false">H5513*1000/Parametres!$B$9</f>
        <v>4239.44378497541</v>
      </c>
    </row>
    <row r="5514" customFormat="false" ht="15" hidden="false" customHeight="false" outlineLevel="0" collapsed="false">
      <c r="A5514" s="0" t="n">
        <v>5510</v>
      </c>
      <c r="B5514" s="0" t="n">
        <v>8</v>
      </c>
      <c r="C5514" s="19" t="n">
        <v>0.9636</v>
      </c>
      <c r="D5514" s="19" t="n">
        <v>1</v>
      </c>
      <c r="E5514" s="20" t="n">
        <f aca="false">Parametres!$B$5*C5514</f>
        <v>289.08</v>
      </c>
      <c r="F5514" s="20" t="n">
        <f aca="false">Parametres!$B$6*D5514</f>
        <v>200</v>
      </c>
      <c r="G5514" s="20" t="n">
        <f aca="false">E5514+F5514</f>
        <v>489.08</v>
      </c>
      <c r="H5514" s="20" t="n">
        <f aca="false">IF(G5514&lt;Parametres!$B$8*Parametres!$B$7,0,MIN(G5514,Parametres!$B$7))</f>
        <v>250</v>
      </c>
      <c r="I5514" s="20" t="n">
        <f aca="false">G5514-H5514</f>
        <v>239.08</v>
      </c>
      <c r="J5514" s="21" t="n">
        <f aca="false">H5514*1000/Parametres!$B$9</f>
        <v>4239.44378497541</v>
      </c>
    </row>
    <row r="5515" customFormat="false" ht="15" hidden="false" customHeight="false" outlineLevel="0" collapsed="false">
      <c r="A5515" s="0" t="n">
        <v>5511</v>
      </c>
      <c r="B5515" s="0" t="n">
        <v>8</v>
      </c>
      <c r="C5515" s="19" t="n">
        <v>0.8301</v>
      </c>
      <c r="D5515" s="19" t="n">
        <v>1</v>
      </c>
      <c r="E5515" s="20" t="n">
        <f aca="false">Parametres!$B$5*C5515</f>
        <v>249.03</v>
      </c>
      <c r="F5515" s="20" t="n">
        <f aca="false">Parametres!$B$6*D5515</f>
        <v>200</v>
      </c>
      <c r="G5515" s="20" t="n">
        <f aca="false">E5515+F5515</f>
        <v>449.03</v>
      </c>
      <c r="H5515" s="20" t="n">
        <f aca="false">IF(G5515&lt;Parametres!$B$8*Parametres!$B$7,0,MIN(G5515,Parametres!$B$7))</f>
        <v>250</v>
      </c>
      <c r="I5515" s="20" t="n">
        <f aca="false">G5515-H5515</f>
        <v>199.03</v>
      </c>
      <c r="J5515" s="21" t="n">
        <f aca="false">H5515*1000/Parametres!$B$9</f>
        <v>4239.44378497541</v>
      </c>
    </row>
    <row r="5516" customFormat="false" ht="15" hidden="false" customHeight="false" outlineLevel="0" collapsed="false">
      <c r="A5516" s="0" t="n">
        <v>5512</v>
      </c>
      <c r="B5516" s="0" t="n">
        <v>8</v>
      </c>
      <c r="C5516" s="19" t="n">
        <v>0.7269</v>
      </c>
      <c r="D5516" s="19" t="n">
        <v>1</v>
      </c>
      <c r="E5516" s="20" t="n">
        <f aca="false">Parametres!$B$5*C5516</f>
        <v>218.07</v>
      </c>
      <c r="F5516" s="20" t="n">
        <f aca="false">Parametres!$B$6*D5516</f>
        <v>200</v>
      </c>
      <c r="G5516" s="20" t="n">
        <f aca="false">E5516+F5516</f>
        <v>418.07</v>
      </c>
      <c r="H5516" s="20" t="n">
        <f aca="false">IF(G5516&lt;Parametres!$B$8*Parametres!$B$7,0,MIN(G5516,Parametres!$B$7))</f>
        <v>250</v>
      </c>
      <c r="I5516" s="20" t="n">
        <f aca="false">G5516-H5516</f>
        <v>168.07</v>
      </c>
      <c r="J5516" s="21" t="n">
        <f aca="false">H5516*1000/Parametres!$B$9</f>
        <v>4239.44378497541</v>
      </c>
    </row>
    <row r="5517" customFormat="false" ht="15" hidden="false" customHeight="false" outlineLevel="0" collapsed="false">
      <c r="A5517" s="0" t="n">
        <v>5513</v>
      </c>
      <c r="B5517" s="0" t="n">
        <v>8</v>
      </c>
      <c r="C5517" s="19" t="n">
        <v>0.4483</v>
      </c>
      <c r="D5517" s="19" t="n">
        <v>1</v>
      </c>
      <c r="E5517" s="20" t="n">
        <f aca="false">Parametres!$B$5*C5517</f>
        <v>134.49</v>
      </c>
      <c r="F5517" s="20" t="n">
        <f aca="false">Parametres!$B$6*D5517</f>
        <v>200</v>
      </c>
      <c r="G5517" s="20" t="n">
        <f aca="false">E5517+F5517</f>
        <v>334.49</v>
      </c>
      <c r="H5517" s="20" t="n">
        <f aca="false">IF(G5517&lt;Parametres!$B$8*Parametres!$B$7,0,MIN(G5517,Parametres!$B$7))</f>
        <v>250</v>
      </c>
      <c r="I5517" s="20" t="n">
        <f aca="false">G5517-H5517</f>
        <v>84.49</v>
      </c>
      <c r="J5517" s="21" t="n">
        <f aca="false">H5517*1000/Parametres!$B$9</f>
        <v>4239.44378497541</v>
      </c>
    </row>
    <row r="5518" customFormat="false" ht="15" hidden="false" customHeight="false" outlineLevel="0" collapsed="false">
      <c r="A5518" s="0" t="n">
        <v>5514</v>
      </c>
      <c r="B5518" s="0" t="n">
        <v>8</v>
      </c>
      <c r="C5518" s="19" t="n">
        <v>0.188</v>
      </c>
      <c r="D5518" s="19" t="n">
        <v>1</v>
      </c>
      <c r="E5518" s="20" t="n">
        <f aca="false">Parametres!$B$5*C5518</f>
        <v>56.4</v>
      </c>
      <c r="F5518" s="20" t="n">
        <f aca="false">Parametres!$B$6*D5518</f>
        <v>200</v>
      </c>
      <c r="G5518" s="20" t="n">
        <f aca="false">E5518+F5518</f>
        <v>256.4</v>
      </c>
      <c r="H5518" s="20" t="n">
        <f aca="false">IF(G5518&lt;Parametres!$B$8*Parametres!$B$7,0,MIN(G5518,Parametres!$B$7))</f>
        <v>250</v>
      </c>
      <c r="I5518" s="20" t="n">
        <f aca="false">G5518-H5518</f>
        <v>6.39999999999998</v>
      </c>
      <c r="J5518" s="21" t="n">
        <f aca="false">H5518*1000/Parametres!$B$9</f>
        <v>4239.44378497541</v>
      </c>
    </row>
    <row r="5519" customFormat="false" ht="15" hidden="false" customHeight="false" outlineLevel="0" collapsed="false">
      <c r="A5519" s="0" t="n">
        <v>5515</v>
      </c>
      <c r="B5519" s="0" t="n">
        <v>8</v>
      </c>
      <c r="C5519" s="19" t="n">
        <v>0</v>
      </c>
      <c r="D5519" s="19" t="n">
        <v>1</v>
      </c>
      <c r="E5519" s="20" t="n">
        <f aca="false">Parametres!$B$5*C5519</f>
        <v>0</v>
      </c>
      <c r="F5519" s="20" t="n">
        <f aca="false">Parametres!$B$6*D5519</f>
        <v>200</v>
      </c>
      <c r="G5519" s="20" t="n">
        <f aca="false">E5519+F5519</f>
        <v>200</v>
      </c>
      <c r="H5519" s="20" t="n">
        <f aca="false">IF(G5519&lt;Parametres!$B$8*Parametres!$B$7,0,MIN(G5519,Parametres!$B$7))</f>
        <v>200</v>
      </c>
      <c r="I5519" s="20" t="n">
        <f aca="false">G5519-H5519</f>
        <v>0</v>
      </c>
      <c r="J5519" s="21" t="n">
        <f aca="false">H5519*1000/Parametres!$B$9</f>
        <v>3391.55502798033</v>
      </c>
    </row>
    <row r="5520" customFormat="false" ht="15" hidden="false" customHeight="false" outlineLevel="0" collapsed="false">
      <c r="A5520" s="0" t="n">
        <v>5516</v>
      </c>
      <c r="B5520" s="0" t="n">
        <v>8</v>
      </c>
      <c r="C5520" s="19" t="n">
        <v>0</v>
      </c>
      <c r="D5520" s="19" t="n">
        <v>1</v>
      </c>
      <c r="E5520" s="20" t="n">
        <f aca="false">Parametres!$B$5*C5520</f>
        <v>0</v>
      </c>
      <c r="F5520" s="20" t="n">
        <f aca="false">Parametres!$B$6*D5520</f>
        <v>200</v>
      </c>
      <c r="G5520" s="20" t="n">
        <f aca="false">E5520+F5520</f>
        <v>200</v>
      </c>
      <c r="H5520" s="20" t="n">
        <f aca="false">IF(G5520&lt;Parametres!$B$8*Parametres!$B$7,0,MIN(G5520,Parametres!$B$7))</f>
        <v>200</v>
      </c>
      <c r="I5520" s="20" t="n">
        <f aca="false">G5520-H5520</f>
        <v>0</v>
      </c>
      <c r="J5520" s="21" t="n">
        <f aca="false">H5520*1000/Parametres!$B$9</f>
        <v>3391.55502798033</v>
      </c>
    </row>
    <row r="5521" customFormat="false" ht="15" hidden="false" customHeight="false" outlineLevel="0" collapsed="false">
      <c r="A5521" s="0" t="n">
        <v>5517</v>
      </c>
      <c r="B5521" s="0" t="n">
        <v>8</v>
      </c>
      <c r="C5521" s="19" t="n">
        <v>0</v>
      </c>
      <c r="D5521" s="19" t="n">
        <v>1</v>
      </c>
      <c r="E5521" s="20" t="n">
        <f aca="false">Parametres!$B$5*C5521</f>
        <v>0</v>
      </c>
      <c r="F5521" s="20" t="n">
        <f aca="false">Parametres!$B$6*D5521</f>
        <v>200</v>
      </c>
      <c r="G5521" s="20" t="n">
        <f aca="false">E5521+F5521</f>
        <v>200</v>
      </c>
      <c r="H5521" s="20" t="n">
        <f aca="false">IF(G5521&lt;Parametres!$B$8*Parametres!$B$7,0,MIN(G5521,Parametres!$B$7))</f>
        <v>200</v>
      </c>
      <c r="I5521" s="20" t="n">
        <f aca="false">G5521-H5521</f>
        <v>0</v>
      </c>
      <c r="J5521" s="21" t="n">
        <f aca="false">H5521*1000/Parametres!$B$9</f>
        <v>3391.55502798033</v>
      </c>
    </row>
    <row r="5522" customFormat="false" ht="15" hidden="false" customHeight="false" outlineLevel="0" collapsed="false">
      <c r="A5522" s="0" t="n">
        <v>5518</v>
      </c>
      <c r="B5522" s="0" t="n">
        <v>8</v>
      </c>
      <c r="C5522" s="19" t="n">
        <v>0</v>
      </c>
      <c r="D5522" s="19" t="n">
        <v>1</v>
      </c>
      <c r="E5522" s="20" t="n">
        <f aca="false">Parametres!$B$5*C5522</f>
        <v>0</v>
      </c>
      <c r="F5522" s="20" t="n">
        <f aca="false">Parametres!$B$6*D5522</f>
        <v>200</v>
      </c>
      <c r="G5522" s="20" t="n">
        <f aca="false">E5522+F5522</f>
        <v>200</v>
      </c>
      <c r="H5522" s="20" t="n">
        <f aca="false">IF(G5522&lt;Parametres!$B$8*Parametres!$B$7,0,MIN(G5522,Parametres!$B$7))</f>
        <v>200</v>
      </c>
      <c r="I5522" s="20" t="n">
        <f aca="false">G5522-H5522</f>
        <v>0</v>
      </c>
      <c r="J5522" s="21" t="n">
        <f aca="false">H5522*1000/Parametres!$B$9</f>
        <v>3391.55502798033</v>
      </c>
    </row>
    <row r="5523" customFormat="false" ht="15" hidden="false" customHeight="false" outlineLevel="0" collapsed="false">
      <c r="A5523" s="0" t="n">
        <v>5519</v>
      </c>
      <c r="B5523" s="0" t="n">
        <v>8</v>
      </c>
      <c r="C5523" s="19" t="n">
        <v>0</v>
      </c>
      <c r="D5523" s="19" t="n">
        <v>1</v>
      </c>
      <c r="E5523" s="20" t="n">
        <f aca="false">Parametres!$B$5*C5523</f>
        <v>0</v>
      </c>
      <c r="F5523" s="20" t="n">
        <f aca="false">Parametres!$B$6*D5523</f>
        <v>200</v>
      </c>
      <c r="G5523" s="20" t="n">
        <f aca="false">E5523+F5523</f>
        <v>200</v>
      </c>
      <c r="H5523" s="20" t="n">
        <f aca="false">IF(G5523&lt;Parametres!$B$8*Parametres!$B$7,0,MIN(G5523,Parametres!$B$7))</f>
        <v>200</v>
      </c>
      <c r="I5523" s="20" t="n">
        <f aca="false">G5523-H5523</f>
        <v>0</v>
      </c>
      <c r="J5523" s="21" t="n">
        <f aca="false">H5523*1000/Parametres!$B$9</f>
        <v>3391.55502798033</v>
      </c>
    </row>
    <row r="5524" customFormat="false" ht="15" hidden="false" customHeight="false" outlineLevel="0" collapsed="false">
      <c r="A5524" s="0" t="n">
        <v>5520</v>
      </c>
      <c r="B5524" s="0" t="n">
        <v>8</v>
      </c>
      <c r="C5524" s="19" t="n">
        <v>0</v>
      </c>
      <c r="D5524" s="19" t="n">
        <v>1</v>
      </c>
      <c r="E5524" s="20" t="n">
        <f aca="false">Parametres!$B$5*C5524</f>
        <v>0</v>
      </c>
      <c r="F5524" s="20" t="n">
        <f aca="false">Parametres!$B$6*D5524</f>
        <v>200</v>
      </c>
      <c r="G5524" s="20" t="n">
        <f aca="false">E5524+F5524</f>
        <v>200</v>
      </c>
      <c r="H5524" s="20" t="n">
        <f aca="false">IF(G5524&lt;Parametres!$B$8*Parametres!$B$7,0,MIN(G5524,Parametres!$B$7))</f>
        <v>200</v>
      </c>
      <c r="I5524" s="20" t="n">
        <f aca="false">G5524-H5524</f>
        <v>0</v>
      </c>
      <c r="J5524" s="21" t="n">
        <f aca="false">H5524*1000/Parametres!$B$9</f>
        <v>3391.55502798033</v>
      </c>
    </row>
    <row r="5525" customFormat="false" ht="15" hidden="false" customHeight="false" outlineLevel="0" collapsed="false">
      <c r="A5525" s="0" t="n">
        <v>5521</v>
      </c>
      <c r="B5525" s="0" t="n">
        <v>8</v>
      </c>
      <c r="C5525" s="19" t="n">
        <v>0</v>
      </c>
      <c r="D5525" s="19" t="n">
        <v>1</v>
      </c>
      <c r="E5525" s="20" t="n">
        <f aca="false">Parametres!$B$5*C5525</f>
        <v>0</v>
      </c>
      <c r="F5525" s="20" t="n">
        <f aca="false">Parametres!$B$6*D5525</f>
        <v>200</v>
      </c>
      <c r="G5525" s="20" t="n">
        <f aca="false">E5525+F5525</f>
        <v>200</v>
      </c>
      <c r="H5525" s="20" t="n">
        <f aca="false">IF(G5525&lt;Parametres!$B$8*Parametres!$B$7,0,MIN(G5525,Parametres!$B$7))</f>
        <v>200</v>
      </c>
      <c r="I5525" s="20" t="n">
        <f aca="false">G5525-H5525</f>
        <v>0</v>
      </c>
      <c r="J5525" s="21" t="n">
        <f aca="false">H5525*1000/Parametres!$B$9</f>
        <v>3391.55502798033</v>
      </c>
    </row>
    <row r="5526" customFormat="false" ht="15" hidden="false" customHeight="false" outlineLevel="0" collapsed="false">
      <c r="A5526" s="0" t="n">
        <v>5522</v>
      </c>
      <c r="B5526" s="0" t="n">
        <v>8</v>
      </c>
      <c r="C5526" s="19" t="n">
        <v>0</v>
      </c>
      <c r="D5526" s="19" t="n">
        <v>1</v>
      </c>
      <c r="E5526" s="20" t="n">
        <f aca="false">Parametres!$B$5*C5526</f>
        <v>0</v>
      </c>
      <c r="F5526" s="20" t="n">
        <f aca="false">Parametres!$B$6*D5526</f>
        <v>200</v>
      </c>
      <c r="G5526" s="20" t="n">
        <f aca="false">E5526+F5526</f>
        <v>200</v>
      </c>
      <c r="H5526" s="20" t="n">
        <f aca="false">IF(G5526&lt;Parametres!$B$8*Parametres!$B$7,0,MIN(G5526,Parametres!$B$7))</f>
        <v>200</v>
      </c>
      <c r="I5526" s="20" t="n">
        <f aca="false">G5526-H5526</f>
        <v>0</v>
      </c>
      <c r="J5526" s="21" t="n">
        <f aca="false">H5526*1000/Parametres!$B$9</f>
        <v>3391.55502798033</v>
      </c>
    </row>
    <row r="5527" customFormat="false" ht="15" hidden="false" customHeight="false" outlineLevel="0" collapsed="false">
      <c r="A5527" s="0" t="n">
        <v>5523</v>
      </c>
      <c r="B5527" s="0" t="n">
        <v>8</v>
      </c>
      <c r="C5527" s="19" t="n">
        <v>0</v>
      </c>
      <c r="D5527" s="19" t="n">
        <v>1</v>
      </c>
      <c r="E5527" s="20" t="n">
        <f aca="false">Parametres!$B$5*C5527</f>
        <v>0</v>
      </c>
      <c r="F5527" s="20" t="n">
        <f aca="false">Parametres!$B$6*D5527</f>
        <v>200</v>
      </c>
      <c r="G5527" s="20" t="n">
        <f aca="false">E5527+F5527</f>
        <v>200</v>
      </c>
      <c r="H5527" s="20" t="n">
        <f aca="false">IF(G5527&lt;Parametres!$B$8*Parametres!$B$7,0,MIN(G5527,Parametres!$B$7))</f>
        <v>200</v>
      </c>
      <c r="I5527" s="20" t="n">
        <f aca="false">G5527-H5527</f>
        <v>0</v>
      </c>
      <c r="J5527" s="21" t="n">
        <f aca="false">H5527*1000/Parametres!$B$9</f>
        <v>3391.55502798033</v>
      </c>
    </row>
    <row r="5528" customFormat="false" ht="15" hidden="false" customHeight="false" outlineLevel="0" collapsed="false">
      <c r="A5528" s="0" t="n">
        <v>5524</v>
      </c>
      <c r="B5528" s="0" t="n">
        <v>8</v>
      </c>
      <c r="C5528" s="19" t="n">
        <v>0</v>
      </c>
      <c r="D5528" s="19" t="n">
        <v>1</v>
      </c>
      <c r="E5528" s="20" t="n">
        <f aca="false">Parametres!$B$5*C5528</f>
        <v>0</v>
      </c>
      <c r="F5528" s="20" t="n">
        <f aca="false">Parametres!$B$6*D5528</f>
        <v>200</v>
      </c>
      <c r="G5528" s="20" t="n">
        <f aca="false">E5528+F5528</f>
        <v>200</v>
      </c>
      <c r="H5528" s="20" t="n">
        <f aca="false">IF(G5528&lt;Parametres!$B$8*Parametres!$B$7,0,MIN(G5528,Parametres!$B$7))</f>
        <v>200</v>
      </c>
      <c r="I5528" s="20" t="n">
        <f aca="false">G5528-H5528</f>
        <v>0</v>
      </c>
      <c r="J5528" s="21" t="n">
        <f aca="false">H5528*1000/Parametres!$B$9</f>
        <v>3391.55502798033</v>
      </c>
    </row>
    <row r="5529" customFormat="false" ht="15" hidden="false" customHeight="false" outlineLevel="0" collapsed="false">
      <c r="A5529" s="0" t="n">
        <v>5525</v>
      </c>
      <c r="B5529" s="0" t="n">
        <v>8</v>
      </c>
      <c r="C5529" s="19" t="n">
        <v>0</v>
      </c>
      <c r="D5529" s="19" t="n">
        <v>0.8069</v>
      </c>
      <c r="E5529" s="20" t="n">
        <f aca="false">Parametres!$B$5*C5529</f>
        <v>0</v>
      </c>
      <c r="F5529" s="20" t="n">
        <f aca="false">Parametres!$B$6*D5529</f>
        <v>161.38</v>
      </c>
      <c r="G5529" s="20" t="n">
        <f aca="false">E5529+F5529</f>
        <v>161.38</v>
      </c>
      <c r="H5529" s="20" t="n">
        <f aca="false">IF(G5529&lt;Parametres!$B$8*Parametres!$B$7,0,MIN(G5529,Parametres!$B$7))</f>
        <v>161.38</v>
      </c>
      <c r="I5529" s="20" t="n">
        <f aca="false">G5529-H5529</f>
        <v>0</v>
      </c>
      <c r="J5529" s="21" t="n">
        <f aca="false">H5529*1000/Parametres!$B$9</f>
        <v>2736.64575207733</v>
      </c>
    </row>
    <row r="5530" customFormat="false" ht="15" hidden="false" customHeight="false" outlineLevel="0" collapsed="false">
      <c r="A5530" s="0" t="n">
        <v>5526</v>
      </c>
      <c r="B5530" s="0" t="n">
        <v>8</v>
      </c>
      <c r="C5530" s="19" t="n">
        <v>0</v>
      </c>
      <c r="D5530" s="19" t="n">
        <v>0.8345</v>
      </c>
      <c r="E5530" s="20" t="n">
        <f aca="false">Parametres!$B$5*C5530</f>
        <v>0</v>
      </c>
      <c r="F5530" s="20" t="n">
        <f aca="false">Parametres!$B$6*D5530</f>
        <v>166.9</v>
      </c>
      <c r="G5530" s="20" t="n">
        <f aca="false">E5530+F5530</f>
        <v>166.9</v>
      </c>
      <c r="H5530" s="20" t="n">
        <f aca="false">IF(G5530&lt;Parametres!$B$8*Parametres!$B$7,0,MIN(G5530,Parametres!$B$7))</f>
        <v>166.9</v>
      </c>
      <c r="I5530" s="20" t="n">
        <f aca="false">G5530-H5530</f>
        <v>0</v>
      </c>
      <c r="J5530" s="21" t="n">
        <f aca="false">H5530*1000/Parametres!$B$9</f>
        <v>2830.25267084959</v>
      </c>
    </row>
    <row r="5531" customFormat="false" ht="15" hidden="false" customHeight="false" outlineLevel="0" collapsed="false">
      <c r="A5531" s="0" t="n">
        <v>5527</v>
      </c>
      <c r="B5531" s="0" t="n">
        <v>8</v>
      </c>
      <c r="C5531" s="19" t="n">
        <v>0.221</v>
      </c>
      <c r="D5531" s="19" t="n">
        <v>1</v>
      </c>
      <c r="E5531" s="20" t="n">
        <f aca="false">Parametres!$B$5*C5531</f>
        <v>66.3</v>
      </c>
      <c r="F5531" s="20" t="n">
        <f aca="false">Parametres!$B$6*D5531</f>
        <v>200</v>
      </c>
      <c r="G5531" s="20" t="n">
        <f aca="false">E5531+F5531</f>
        <v>266.3</v>
      </c>
      <c r="H5531" s="20" t="n">
        <f aca="false">IF(G5531&lt;Parametres!$B$8*Parametres!$B$7,0,MIN(G5531,Parametres!$B$7))</f>
        <v>250</v>
      </c>
      <c r="I5531" s="20" t="n">
        <f aca="false">G5531-H5531</f>
        <v>16.3</v>
      </c>
      <c r="J5531" s="21" t="n">
        <f aca="false">H5531*1000/Parametres!$B$9</f>
        <v>4239.44378497541</v>
      </c>
    </row>
    <row r="5532" customFormat="false" ht="15" hidden="false" customHeight="false" outlineLevel="0" collapsed="false">
      <c r="A5532" s="0" t="n">
        <v>5528</v>
      </c>
      <c r="B5532" s="0" t="n">
        <v>8</v>
      </c>
      <c r="C5532" s="19" t="n">
        <v>0.5065</v>
      </c>
      <c r="D5532" s="19" t="n">
        <v>1</v>
      </c>
      <c r="E5532" s="20" t="n">
        <f aca="false">Parametres!$B$5*C5532</f>
        <v>151.95</v>
      </c>
      <c r="F5532" s="20" t="n">
        <f aca="false">Parametres!$B$6*D5532</f>
        <v>200</v>
      </c>
      <c r="G5532" s="20" t="n">
        <f aca="false">E5532+F5532</f>
        <v>351.95</v>
      </c>
      <c r="H5532" s="20" t="n">
        <f aca="false">IF(G5532&lt;Parametres!$B$8*Parametres!$B$7,0,MIN(G5532,Parametres!$B$7))</f>
        <v>250</v>
      </c>
      <c r="I5532" s="20" t="n">
        <f aca="false">G5532-H5532</f>
        <v>101.95</v>
      </c>
      <c r="J5532" s="21" t="n">
        <f aca="false">H5532*1000/Parametres!$B$9</f>
        <v>4239.44378497541</v>
      </c>
    </row>
    <row r="5533" customFormat="false" ht="15" hidden="false" customHeight="false" outlineLevel="0" collapsed="false">
      <c r="A5533" s="0" t="n">
        <v>5529</v>
      </c>
      <c r="B5533" s="0" t="n">
        <v>8</v>
      </c>
      <c r="C5533" s="19" t="n">
        <v>0.7523</v>
      </c>
      <c r="D5533" s="19" t="n">
        <v>1</v>
      </c>
      <c r="E5533" s="20" t="n">
        <f aca="false">Parametres!$B$5*C5533</f>
        <v>225.69</v>
      </c>
      <c r="F5533" s="20" t="n">
        <f aca="false">Parametres!$B$6*D5533</f>
        <v>200</v>
      </c>
      <c r="G5533" s="20" t="n">
        <f aca="false">E5533+F5533</f>
        <v>425.69</v>
      </c>
      <c r="H5533" s="20" t="n">
        <f aca="false">IF(G5533&lt;Parametres!$B$8*Parametres!$B$7,0,MIN(G5533,Parametres!$B$7))</f>
        <v>250</v>
      </c>
      <c r="I5533" s="20" t="n">
        <f aca="false">G5533-H5533</f>
        <v>175.69</v>
      </c>
      <c r="J5533" s="21" t="n">
        <f aca="false">H5533*1000/Parametres!$B$9</f>
        <v>4239.44378497541</v>
      </c>
    </row>
    <row r="5534" customFormat="false" ht="15" hidden="false" customHeight="false" outlineLevel="0" collapsed="false">
      <c r="A5534" s="0" t="n">
        <v>5530</v>
      </c>
      <c r="B5534" s="0" t="n">
        <v>8</v>
      </c>
      <c r="C5534" s="19" t="n">
        <v>0.9596</v>
      </c>
      <c r="D5534" s="19" t="n">
        <v>1</v>
      </c>
      <c r="E5534" s="20" t="n">
        <f aca="false">Parametres!$B$5*C5534</f>
        <v>287.88</v>
      </c>
      <c r="F5534" s="20" t="n">
        <f aca="false">Parametres!$B$6*D5534</f>
        <v>200</v>
      </c>
      <c r="G5534" s="20" t="n">
        <f aca="false">E5534+F5534</f>
        <v>487.88</v>
      </c>
      <c r="H5534" s="20" t="n">
        <f aca="false">IF(G5534&lt;Parametres!$B$8*Parametres!$B$7,0,MIN(G5534,Parametres!$B$7))</f>
        <v>250</v>
      </c>
      <c r="I5534" s="20" t="n">
        <f aca="false">G5534-H5534</f>
        <v>237.88</v>
      </c>
      <c r="J5534" s="21" t="n">
        <f aca="false">H5534*1000/Parametres!$B$9</f>
        <v>4239.44378497541</v>
      </c>
    </row>
    <row r="5535" customFormat="false" ht="15" hidden="false" customHeight="false" outlineLevel="0" collapsed="false">
      <c r="A5535" s="0" t="n">
        <v>5531</v>
      </c>
      <c r="B5535" s="0" t="n">
        <v>8</v>
      </c>
      <c r="C5535" s="19" t="n">
        <v>1</v>
      </c>
      <c r="D5535" s="19" t="n">
        <v>1</v>
      </c>
      <c r="E5535" s="20" t="n">
        <f aca="false">Parametres!$B$5*C5535</f>
        <v>300</v>
      </c>
      <c r="F5535" s="20" t="n">
        <f aca="false">Parametres!$B$6*D5535</f>
        <v>200</v>
      </c>
      <c r="G5535" s="20" t="n">
        <f aca="false">E5535+F5535</f>
        <v>500</v>
      </c>
      <c r="H5535" s="20" t="n">
        <f aca="false">IF(G5535&lt;Parametres!$B$8*Parametres!$B$7,0,MIN(G5535,Parametres!$B$7))</f>
        <v>250</v>
      </c>
      <c r="I5535" s="20" t="n">
        <f aca="false">G5535-H5535</f>
        <v>250</v>
      </c>
      <c r="J5535" s="21" t="n">
        <f aca="false">H5535*1000/Parametres!$B$9</f>
        <v>4239.44378497541</v>
      </c>
    </row>
    <row r="5536" customFormat="false" ht="15" hidden="false" customHeight="false" outlineLevel="0" collapsed="false">
      <c r="A5536" s="0" t="n">
        <v>5532</v>
      </c>
      <c r="B5536" s="0" t="n">
        <v>8</v>
      </c>
      <c r="C5536" s="19" t="n">
        <v>1</v>
      </c>
      <c r="D5536" s="19" t="n">
        <v>1</v>
      </c>
      <c r="E5536" s="20" t="n">
        <f aca="false">Parametres!$B$5*C5536</f>
        <v>300</v>
      </c>
      <c r="F5536" s="20" t="n">
        <f aca="false">Parametres!$B$6*D5536</f>
        <v>200</v>
      </c>
      <c r="G5536" s="20" t="n">
        <f aca="false">E5536+F5536</f>
        <v>500</v>
      </c>
      <c r="H5536" s="20" t="n">
        <f aca="false">IF(G5536&lt;Parametres!$B$8*Parametres!$B$7,0,MIN(G5536,Parametres!$B$7))</f>
        <v>250</v>
      </c>
      <c r="I5536" s="20" t="n">
        <f aca="false">G5536-H5536</f>
        <v>250</v>
      </c>
      <c r="J5536" s="21" t="n">
        <f aca="false">H5536*1000/Parametres!$B$9</f>
        <v>4239.44378497541</v>
      </c>
    </row>
    <row r="5537" customFormat="false" ht="15" hidden="false" customHeight="false" outlineLevel="0" collapsed="false">
      <c r="A5537" s="0" t="n">
        <v>5533</v>
      </c>
      <c r="B5537" s="0" t="n">
        <v>8</v>
      </c>
      <c r="C5537" s="19" t="n">
        <v>1</v>
      </c>
      <c r="D5537" s="19" t="n">
        <v>1</v>
      </c>
      <c r="E5537" s="20" t="n">
        <f aca="false">Parametres!$B$5*C5537</f>
        <v>300</v>
      </c>
      <c r="F5537" s="20" t="n">
        <f aca="false">Parametres!$B$6*D5537</f>
        <v>200</v>
      </c>
      <c r="G5537" s="20" t="n">
        <f aca="false">E5537+F5537</f>
        <v>500</v>
      </c>
      <c r="H5537" s="20" t="n">
        <f aca="false">IF(G5537&lt;Parametres!$B$8*Parametres!$B$7,0,MIN(G5537,Parametres!$B$7))</f>
        <v>250</v>
      </c>
      <c r="I5537" s="20" t="n">
        <f aca="false">G5537-H5537</f>
        <v>250</v>
      </c>
      <c r="J5537" s="21" t="n">
        <f aca="false">H5537*1000/Parametres!$B$9</f>
        <v>4239.44378497541</v>
      </c>
    </row>
    <row r="5538" customFormat="false" ht="15" hidden="false" customHeight="false" outlineLevel="0" collapsed="false">
      <c r="A5538" s="0" t="n">
        <v>5534</v>
      </c>
      <c r="B5538" s="0" t="n">
        <v>8</v>
      </c>
      <c r="C5538" s="19" t="n">
        <v>1</v>
      </c>
      <c r="D5538" s="19" t="n">
        <v>1</v>
      </c>
      <c r="E5538" s="20" t="n">
        <f aca="false">Parametres!$B$5*C5538</f>
        <v>300</v>
      </c>
      <c r="F5538" s="20" t="n">
        <f aca="false">Parametres!$B$6*D5538</f>
        <v>200</v>
      </c>
      <c r="G5538" s="20" t="n">
        <f aca="false">E5538+F5538</f>
        <v>500</v>
      </c>
      <c r="H5538" s="20" t="n">
        <f aca="false">IF(G5538&lt;Parametres!$B$8*Parametres!$B$7,0,MIN(G5538,Parametres!$B$7))</f>
        <v>250</v>
      </c>
      <c r="I5538" s="20" t="n">
        <f aca="false">G5538-H5538</f>
        <v>250</v>
      </c>
      <c r="J5538" s="21" t="n">
        <f aca="false">H5538*1000/Parametres!$B$9</f>
        <v>4239.44378497541</v>
      </c>
    </row>
    <row r="5539" customFormat="false" ht="15" hidden="false" customHeight="false" outlineLevel="0" collapsed="false">
      <c r="A5539" s="0" t="n">
        <v>5535</v>
      </c>
      <c r="B5539" s="0" t="n">
        <v>8</v>
      </c>
      <c r="C5539" s="19" t="n">
        <v>0.9355</v>
      </c>
      <c r="D5539" s="19" t="n">
        <v>1</v>
      </c>
      <c r="E5539" s="20" t="n">
        <f aca="false">Parametres!$B$5*C5539</f>
        <v>280.65</v>
      </c>
      <c r="F5539" s="20" t="n">
        <f aca="false">Parametres!$B$6*D5539</f>
        <v>200</v>
      </c>
      <c r="G5539" s="20" t="n">
        <f aca="false">E5539+F5539</f>
        <v>480.65</v>
      </c>
      <c r="H5539" s="20" t="n">
        <f aca="false">IF(G5539&lt;Parametres!$B$8*Parametres!$B$7,0,MIN(G5539,Parametres!$B$7))</f>
        <v>250</v>
      </c>
      <c r="I5539" s="20" t="n">
        <f aca="false">G5539-H5539</f>
        <v>230.65</v>
      </c>
      <c r="J5539" s="21" t="n">
        <f aca="false">H5539*1000/Parametres!$B$9</f>
        <v>4239.44378497541</v>
      </c>
    </row>
    <row r="5540" customFormat="false" ht="15" hidden="false" customHeight="false" outlineLevel="0" collapsed="false">
      <c r="A5540" s="0" t="n">
        <v>5536</v>
      </c>
      <c r="B5540" s="0" t="n">
        <v>8</v>
      </c>
      <c r="C5540" s="19" t="n">
        <v>0.7605</v>
      </c>
      <c r="D5540" s="19" t="n">
        <v>1</v>
      </c>
      <c r="E5540" s="20" t="n">
        <f aca="false">Parametres!$B$5*C5540</f>
        <v>228.15</v>
      </c>
      <c r="F5540" s="20" t="n">
        <f aca="false">Parametres!$B$6*D5540</f>
        <v>200</v>
      </c>
      <c r="G5540" s="20" t="n">
        <f aca="false">E5540+F5540</f>
        <v>428.15</v>
      </c>
      <c r="H5540" s="20" t="n">
        <f aca="false">IF(G5540&lt;Parametres!$B$8*Parametres!$B$7,0,MIN(G5540,Parametres!$B$7))</f>
        <v>250</v>
      </c>
      <c r="I5540" s="20" t="n">
        <f aca="false">G5540-H5540</f>
        <v>178.15</v>
      </c>
      <c r="J5540" s="21" t="n">
        <f aca="false">H5540*1000/Parametres!$B$9</f>
        <v>4239.44378497541</v>
      </c>
    </row>
    <row r="5541" customFormat="false" ht="15" hidden="false" customHeight="false" outlineLevel="0" collapsed="false">
      <c r="A5541" s="0" t="n">
        <v>5537</v>
      </c>
      <c r="B5541" s="0" t="n">
        <v>8</v>
      </c>
      <c r="C5541" s="19" t="n">
        <v>0.5142</v>
      </c>
      <c r="D5541" s="19" t="n">
        <v>1</v>
      </c>
      <c r="E5541" s="20" t="n">
        <f aca="false">Parametres!$B$5*C5541</f>
        <v>154.26</v>
      </c>
      <c r="F5541" s="20" t="n">
        <f aca="false">Parametres!$B$6*D5541</f>
        <v>200</v>
      </c>
      <c r="G5541" s="20" t="n">
        <f aca="false">E5541+F5541</f>
        <v>354.26</v>
      </c>
      <c r="H5541" s="20" t="n">
        <f aca="false">IF(G5541&lt;Parametres!$B$8*Parametres!$B$7,0,MIN(G5541,Parametres!$B$7))</f>
        <v>250</v>
      </c>
      <c r="I5541" s="20" t="n">
        <f aca="false">G5541-H5541</f>
        <v>104.26</v>
      </c>
      <c r="J5541" s="21" t="n">
        <f aca="false">H5541*1000/Parametres!$B$9</f>
        <v>4239.44378497541</v>
      </c>
    </row>
    <row r="5542" customFormat="false" ht="15" hidden="false" customHeight="false" outlineLevel="0" collapsed="false">
      <c r="A5542" s="0" t="n">
        <v>5538</v>
      </c>
      <c r="B5542" s="0" t="n">
        <v>8</v>
      </c>
      <c r="C5542" s="19" t="n">
        <v>0.2223</v>
      </c>
      <c r="D5542" s="19" t="n">
        <v>1</v>
      </c>
      <c r="E5542" s="20" t="n">
        <f aca="false">Parametres!$B$5*C5542</f>
        <v>66.69</v>
      </c>
      <c r="F5542" s="20" t="n">
        <f aca="false">Parametres!$B$6*D5542</f>
        <v>200</v>
      </c>
      <c r="G5542" s="20" t="n">
        <f aca="false">E5542+F5542</f>
        <v>266.69</v>
      </c>
      <c r="H5542" s="20" t="n">
        <f aca="false">IF(G5542&lt;Parametres!$B$8*Parametres!$B$7,0,MIN(G5542,Parametres!$B$7))</f>
        <v>250</v>
      </c>
      <c r="I5542" s="20" t="n">
        <f aca="false">G5542-H5542</f>
        <v>16.69</v>
      </c>
      <c r="J5542" s="21" t="n">
        <f aca="false">H5542*1000/Parametres!$B$9</f>
        <v>4239.44378497541</v>
      </c>
    </row>
    <row r="5543" customFormat="false" ht="15" hidden="false" customHeight="false" outlineLevel="0" collapsed="false">
      <c r="A5543" s="0" t="n">
        <v>5539</v>
      </c>
      <c r="B5543" s="0" t="n">
        <v>8</v>
      </c>
      <c r="C5543" s="19" t="n">
        <v>0</v>
      </c>
      <c r="D5543" s="19" t="n">
        <v>1</v>
      </c>
      <c r="E5543" s="20" t="n">
        <f aca="false">Parametres!$B$5*C5543</f>
        <v>0</v>
      </c>
      <c r="F5543" s="20" t="n">
        <f aca="false">Parametres!$B$6*D5543</f>
        <v>200</v>
      </c>
      <c r="G5543" s="20" t="n">
        <f aca="false">E5543+F5543</f>
        <v>200</v>
      </c>
      <c r="H5543" s="20" t="n">
        <f aca="false">IF(G5543&lt;Parametres!$B$8*Parametres!$B$7,0,MIN(G5543,Parametres!$B$7))</f>
        <v>200</v>
      </c>
      <c r="I5543" s="20" t="n">
        <f aca="false">G5543-H5543</f>
        <v>0</v>
      </c>
      <c r="J5543" s="21" t="n">
        <f aca="false">H5543*1000/Parametres!$B$9</f>
        <v>3391.55502798033</v>
      </c>
    </row>
    <row r="5544" customFormat="false" ht="15" hidden="false" customHeight="false" outlineLevel="0" collapsed="false">
      <c r="A5544" s="0" t="n">
        <v>5540</v>
      </c>
      <c r="B5544" s="0" t="n">
        <v>8</v>
      </c>
      <c r="C5544" s="19" t="n">
        <v>0</v>
      </c>
      <c r="D5544" s="19" t="n">
        <v>1</v>
      </c>
      <c r="E5544" s="20" t="n">
        <f aca="false">Parametres!$B$5*C5544</f>
        <v>0</v>
      </c>
      <c r="F5544" s="20" t="n">
        <f aca="false">Parametres!$B$6*D5544</f>
        <v>200</v>
      </c>
      <c r="G5544" s="20" t="n">
        <f aca="false">E5544+F5544</f>
        <v>200</v>
      </c>
      <c r="H5544" s="20" t="n">
        <f aca="false">IF(G5544&lt;Parametres!$B$8*Parametres!$B$7,0,MIN(G5544,Parametres!$B$7))</f>
        <v>200</v>
      </c>
      <c r="I5544" s="20" t="n">
        <f aca="false">G5544-H5544</f>
        <v>0</v>
      </c>
      <c r="J5544" s="21" t="n">
        <f aca="false">H5544*1000/Parametres!$B$9</f>
        <v>3391.55502798033</v>
      </c>
    </row>
    <row r="5545" customFormat="false" ht="15" hidden="false" customHeight="false" outlineLevel="0" collapsed="false">
      <c r="A5545" s="0" t="n">
        <v>5541</v>
      </c>
      <c r="B5545" s="0" t="n">
        <v>8</v>
      </c>
      <c r="C5545" s="19" t="n">
        <v>0</v>
      </c>
      <c r="D5545" s="19" t="n">
        <v>1</v>
      </c>
      <c r="E5545" s="20" t="n">
        <f aca="false">Parametres!$B$5*C5545</f>
        <v>0</v>
      </c>
      <c r="F5545" s="20" t="n">
        <f aca="false">Parametres!$B$6*D5545</f>
        <v>200</v>
      </c>
      <c r="G5545" s="20" t="n">
        <f aca="false">E5545+F5545</f>
        <v>200</v>
      </c>
      <c r="H5545" s="20" t="n">
        <f aca="false">IF(G5545&lt;Parametres!$B$8*Parametres!$B$7,0,MIN(G5545,Parametres!$B$7))</f>
        <v>200</v>
      </c>
      <c r="I5545" s="20" t="n">
        <f aca="false">G5545-H5545</f>
        <v>0</v>
      </c>
      <c r="J5545" s="21" t="n">
        <f aca="false">H5545*1000/Parametres!$B$9</f>
        <v>3391.55502798033</v>
      </c>
    </row>
    <row r="5546" customFormat="false" ht="15" hidden="false" customHeight="false" outlineLevel="0" collapsed="false">
      <c r="A5546" s="0" t="n">
        <v>5542</v>
      </c>
      <c r="B5546" s="0" t="n">
        <v>8</v>
      </c>
      <c r="C5546" s="19" t="n">
        <v>0</v>
      </c>
      <c r="D5546" s="19" t="n">
        <v>1</v>
      </c>
      <c r="E5546" s="20" t="n">
        <f aca="false">Parametres!$B$5*C5546</f>
        <v>0</v>
      </c>
      <c r="F5546" s="20" t="n">
        <f aca="false">Parametres!$B$6*D5546</f>
        <v>200</v>
      </c>
      <c r="G5546" s="20" t="n">
        <f aca="false">E5546+F5546</f>
        <v>200</v>
      </c>
      <c r="H5546" s="20" t="n">
        <f aca="false">IF(G5546&lt;Parametres!$B$8*Parametres!$B$7,0,MIN(G5546,Parametres!$B$7))</f>
        <v>200</v>
      </c>
      <c r="I5546" s="20" t="n">
        <f aca="false">G5546-H5546</f>
        <v>0</v>
      </c>
      <c r="J5546" s="21" t="n">
        <f aca="false">H5546*1000/Parametres!$B$9</f>
        <v>3391.55502798033</v>
      </c>
    </row>
    <row r="5547" customFormat="false" ht="15" hidden="false" customHeight="false" outlineLevel="0" collapsed="false">
      <c r="A5547" s="0" t="n">
        <v>5543</v>
      </c>
      <c r="B5547" s="0" t="n">
        <v>8</v>
      </c>
      <c r="C5547" s="19" t="n">
        <v>0</v>
      </c>
      <c r="D5547" s="19" t="n">
        <v>1</v>
      </c>
      <c r="E5547" s="20" t="n">
        <f aca="false">Parametres!$B$5*C5547</f>
        <v>0</v>
      </c>
      <c r="F5547" s="20" t="n">
        <f aca="false">Parametres!$B$6*D5547</f>
        <v>200</v>
      </c>
      <c r="G5547" s="20" t="n">
        <f aca="false">E5547+F5547</f>
        <v>200</v>
      </c>
      <c r="H5547" s="20" t="n">
        <f aca="false">IF(G5547&lt;Parametres!$B$8*Parametres!$B$7,0,MIN(G5547,Parametres!$B$7))</f>
        <v>200</v>
      </c>
      <c r="I5547" s="20" t="n">
        <f aca="false">G5547-H5547</f>
        <v>0</v>
      </c>
      <c r="J5547" s="21" t="n">
        <f aca="false">H5547*1000/Parametres!$B$9</f>
        <v>3391.55502798033</v>
      </c>
    </row>
    <row r="5548" customFormat="false" ht="15" hidden="false" customHeight="false" outlineLevel="0" collapsed="false">
      <c r="A5548" s="0" t="n">
        <v>5544</v>
      </c>
      <c r="B5548" s="0" t="n">
        <v>8</v>
      </c>
      <c r="C5548" s="19" t="n">
        <v>0</v>
      </c>
      <c r="D5548" s="19" t="n">
        <v>1</v>
      </c>
      <c r="E5548" s="20" t="n">
        <f aca="false">Parametres!$B$5*C5548</f>
        <v>0</v>
      </c>
      <c r="F5548" s="20" t="n">
        <f aca="false">Parametres!$B$6*D5548</f>
        <v>200</v>
      </c>
      <c r="G5548" s="20" t="n">
        <f aca="false">E5548+F5548</f>
        <v>200</v>
      </c>
      <c r="H5548" s="20" t="n">
        <f aca="false">IF(G5548&lt;Parametres!$B$8*Parametres!$B$7,0,MIN(G5548,Parametres!$B$7))</f>
        <v>200</v>
      </c>
      <c r="I5548" s="20" t="n">
        <f aca="false">G5548-H5548</f>
        <v>0</v>
      </c>
      <c r="J5548" s="21" t="n">
        <f aca="false">H5548*1000/Parametres!$B$9</f>
        <v>3391.55502798033</v>
      </c>
    </row>
    <row r="5549" customFormat="false" ht="15" hidden="false" customHeight="false" outlineLevel="0" collapsed="false">
      <c r="A5549" s="0" t="n">
        <v>5545</v>
      </c>
      <c r="B5549" s="0" t="n">
        <v>8</v>
      </c>
      <c r="C5549" s="19" t="n">
        <v>0</v>
      </c>
      <c r="D5549" s="19" t="n">
        <v>1</v>
      </c>
      <c r="E5549" s="20" t="n">
        <f aca="false">Parametres!$B$5*C5549</f>
        <v>0</v>
      </c>
      <c r="F5549" s="20" t="n">
        <f aca="false">Parametres!$B$6*D5549</f>
        <v>200</v>
      </c>
      <c r="G5549" s="20" t="n">
        <f aca="false">E5549+F5549</f>
        <v>200</v>
      </c>
      <c r="H5549" s="20" t="n">
        <f aca="false">IF(G5549&lt;Parametres!$B$8*Parametres!$B$7,0,MIN(G5549,Parametres!$B$7))</f>
        <v>200</v>
      </c>
      <c r="I5549" s="20" t="n">
        <f aca="false">G5549-H5549</f>
        <v>0</v>
      </c>
      <c r="J5549" s="21" t="n">
        <f aca="false">H5549*1000/Parametres!$B$9</f>
        <v>3391.55502798033</v>
      </c>
    </row>
    <row r="5550" customFormat="false" ht="15" hidden="false" customHeight="false" outlineLevel="0" collapsed="false">
      <c r="A5550" s="0" t="n">
        <v>5546</v>
      </c>
      <c r="B5550" s="0" t="n">
        <v>8</v>
      </c>
      <c r="C5550" s="19" t="n">
        <v>0</v>
      </c>
      <c r="D5550" s="19" t="n">
        <v>1</v>
      </c>
      <c r="E5550" s="20" t="n">
        <f aca="false">Parametres!$B$5*C5550</f>
        <v>0</v>
      </c>
      <c r="F5550" s="20" t="n">
        <f aca="false">Parametres!$B$6*D5550</f>
        <v>200</v>
      </c>
      <c r="G5550" s="20" t="n">
        <f aca="false">E5550+F5550</f>
        <v>200</v>
      </c>
      <c r="H5550" s="20" t="n">
        <f aca="false">IF(G5550&lt;Parametres!$B$8*Parametres!$B$7,0,MIN(G5550,Parametres!$B$7))</f>
        <v>200</v>
      </c>
      <c r="I5550" s="20" t="n">
        <f aca="false">G5550-H5550</f>
        <v>0</v>
      </c>
      <c r="J5550" s="21" t="n">
        <f aca="false">H5550*1000/Parametres!$B$9</f>
        <v>3391.55502798033</v>
      </c>
    </row>
    <row r="5551" customFormat="false" ht="15" hidden="false" customHeight="false" outlineLevel="0" collapsed="false">
      <c r="A5551" s="0" t="n">
        <v>5547</v>
      </c>
      <c r="B5551" s="0" t="n">
        <v>8</v>
      </c>
      <c r="C5551" s="19" t="n">
        <v>0</v>
      </c>
      <c r="D5551" s="19" t="n">
        <v>1</v>
      </c>
      <c r="E5551" s="20" t="n">
        <f aca="false">Parametres!$B$5*C5551</f>
        <v>0</v>
      </c>
      <c r="F5551" s="20" t="n">
        <f aca="false">Parametres!$B$6*D5551</f>
        <v>200</v>
      </c>
      <c r="G5551" s="20" t="n">
        <f aca="false">E5551+F5551</f>
        <v>200</v>
      </c>
      <c r="H5551" s="20" t="n">
        <f aca="false">IF(G5551&lt;Parametres!$B$8*Parametres!$B$7,0,MIN(G5551,Parametres!$B$7))</f>
        <v>200</v>
      </c>
      <c r="I5551" s="20" t="n">
        <f aca="false">G5551-H5551</f>
        <v>0</v>
      </c>
      <c r="J5551" s="21" t="n">
        <f aca="false">H5551*1000/Parametres!$B$9</f>
        <v>3391.55502798033</v>
      </c>
    </row>
    <row r="5552" customFormat="false" ht="15" hidden="false" customHeight="false" outlineLevel="0" collapsed="false">
      <c r="A5552" s="0" t="n">
        <v>5548</v>
      </c>
      <c r="B5552" s="0" t="n">
        <v>8</v>
      </c>
      <c r="C5552" s="19" t="n">
        <v>0</v>
      </c>
      <c r="D5552" s="19" t="n">
        <v>1</v>
      </c>
      <c r="E5552" s="20" t="n">
        <f aca="false">Parametres!$B$5*C5552</f>
        <v>0</v>
      </c>
      <c r="F5552" s="20" t="n">
        <f aca="false">Parametres!$B$6*D5552</f>
        <v>200</v>
      </c>
      <c r="G5552" s="20" t="n">
        <f aca="false">E5552+F5552</f>
        <v>200</v>
      </c>
      <c r="H5552" s="20" t="n">
        <f aca="false">IF(G5552&lt;Parametres!$B$8*Parametres!$B$7,0,MIN(G5552,Parametres!$B$7))</f>
        <v>200</v>
      </c>
      <c r="I5552" s="20" t="n">
        <f aca="false">G5552-H5552</f>
        <v>0</v>
      </c>
      <c r="J5552" s="21" t="n">
        <f aca="false">H5552*1000/Parametres!$B$9</f>
        <v>3391.55502798033</v>
      </c>
    </row>
    <row r="5553" customFormat="false" ht="15" hidden="false" customHeight="false" outlineLevel="0" collapsed="false">
      <c r="A5553" s="0" t="n">
        <v>5549</v>
      </c>
      <c r="B5553" s="0" t="n">
        <v>8</v>
      </c>
      <c r="C5553" s="19" t="n">
        <v>0</v>
      </c>
      <c r="D5553" s="19" t="n">
        <v>1</v>
      </c>
      <c r="E5553" s="20" t="n">
        <f aca="false">Parametres!$B$5*C5553</f>
        <v>0</v>
      </c>
      <c r="F5553" s="20" t="n">
        <f aca="false">Parametres!$B$6*D5553</f>
        <v>200</v>
      </c>
      <c r="G5553" s="20" t="n">
        <f aca="false">E5553+F5553</f>
        <v>200</v>
      </c>
      <c r="H5553" s="20" t="n">
        <f aca="false">IF(G5553&lt;Parametres!$B$8*Parametres!$B$7,0,MIN(G5553,Parametres!$B$7))</f>
        <v>200</v>
      </c>
      <c r="I5553" s="20" t="n">
        <f aca="false">G5553-H5553</f>
        <v>0</v>
      </c>
      <c r="J5553" s="21" t="n">
        <f aca="false">H5553*1000/Parametres!$B$9</f>
        <v>3391.55502798033</v>
      </c>
    </row>
    <row r="5554" customFormat="false" ht="15" hidden="false" customHeight="false" outlineLevel="0" collapsed="false">
      <c r="A5554" s="0" t="n">
        <v>5550</v>
      </c>
      <c r="B5554" s="0" t="n">
        <v>8</v>
      </c>
      <c r="C5554" s="19" t="n">
        <v>0</v>
      </c>
      <c r="D5554" s="19" t="n">
        <v>1</v>
      </c>
      <c r="E5554" s="20" t="n">
        <f aca="false">Parametres!$B$5*C5554</f>
        <v>0</v>
      </c>
      <c r="F5554" s="20" t="n">
        <f aca="false">Parametres!$B$6*D5554</f>
        <v>200</v>
      </c>
      <c r="G5554" s="20" t="n">
        <f aca="false">E5554+F5554</f>
        <v>200</v>
      </c>
      <c r="H5554" s="20" t="n">
        <f aca="false">IF(G5554&lt;Parametres!$B$8*Parametres!$B$7,0,MIN(G5554,Parametres!$B$7))</f>
        <v>200</v>
      </c>
      <c r="I5554" s="20" t="n">
        <f aca="false">G5554-H5554</f>
        <v>0</v>
      </c>
      <c r="J5554" s="21" t="n">
        <f aca="false">H5554*1000/Parametres!$B$9</f>
        <v>3391.55502798033</v>
      </c>
    </row>
    <row r="5555" customFormat="false" ht="15" hidden="false" customHeight="false" outlineLevel="0" collapsed="false">
      <c r="A5555" s="0" t="n">
        <v>5551</v>
      </c>
      <c r="B5555" s="0" t="n">
        <v>8</v>
      </c>
      <c r="C5555" s="19" t="n">
        <v>0.2349</v>
      </c>
      <c r="D5555" s="19" t="n">
        <v>1</v>
      </c>
      <c r="E5555" s="20" t="n">
        <f aca="false">Parametres!$B$5*C5555</f>
        <v>70.47</v>
      </c>
      <c r="F5555" s="20" t="n">
        <f aca="false">Parametres!$B$6*D5555</f>
        <v>200</v>
      </c>
      <c r="G5555" s="20" t="n">
        <f aca="false">E5555+F5555</f>
        <v>270.47</v>
      </c>
      <c r="H5555" s="20" t="n">
        <f aca="false">IF(G5555&lt;Parametres!$B$8*Parametres!$B$7,0,MIN(G5555,Parametres!$B$7))</f>
        <v>250</v>
      </c>
      <c r="I5555" s="20" t="n">
        <f aca="false">G5555-H5555</f>
        <v>20.47</v>
      </c>
      <c r="J5555" s="21" t="n">
        <f aca="false">H5555*1000/Parametres!$B$9</f>
        <v>4239.44378497541</v>
      </c>
    </row>
    <row r="5556" customFormat="false" ht="15" hidden="false" customHeight="false" outlineLevel="0" collapsed="false">
      <c r="A5556" s="0" t="n">
        <v>5552</v>
      </c>
      <c r="B5556" s="0" t="n">
        <v>8</v>
      </c>
      <c r="C5556" s="19" t="n">
        <v>0.5213</v>
      </c>
      <c r="D5556" s="19" t="n">
        <v>1</v>
      </c>
      <c r="E5556" s="20" t="n">
        <f aca="false">Parametres!$B$5*C5556</f>
        <v>156.39</v>
      </c>
      <c r="F5556" s="20" t="n">
        <f aca="false">Parametres!$B$6*D5556</f>
        <v>200</v>
      </c>
      <c r="G5556" s="20" t="n">
        <f aca="false">E5556+F5556</f>
        <v>356.39</v>
      </c>
      <c r="H5556" s="20" t="n">
        <f aca="false">IF(G5556&lt;Parametres!$B$8*Parametres!$B$7,0,MIN(G5556,Parametres!$B$7))</f>
        <v>250</v>
      </c>
      <c r="I5556" s="20" t="n">
        <f aca="false">G5556-H5556</f>
        <v>106.39</v>
      </c>
      <c r="J5556" s="21" t="n">
        <f aca="false">H5556*1000/Parametres!$B$9</f>
        <v>4239.44378497541</v>
      </c>
    </row>
    <row r="5557" customFormat="false" ht="15" hidden="false" customHeight="false" outlineLevel="0" collapsed="false">
      <c r="A5557" s="0" t="n">
        <v>5553</v>
      </c>
      <c r="B5557" s="0" t="n">
        <v>8</v>
      </c>
      <c r="C5557" s="19" t="n">
        <v>0.7664</v>
      </c>
      <c r="D5557" s="19" t="n">
        <v>1</v>
      </c>
      <c r="E5557" s="20" t="n">
        <f aca="false">Parametres!$B$5*C5557</f>
        <v>229.92</v>
      </c>
      <c r="F5557" s="20" t="n">
        <f aca="false">Parametres!$B$6*D5557</f>
        <v>200</v>
      </c>
      <c r="G5557" s="20" t="n">
        <f aca="false">E5557+F5557</f>
        <v>429.92</v>
      </c>
      <c r="H5557" s="20" t="n">
        <f aca="false">IF(G5557&lt;Parametres!$B$8*Parametres!$B$7,0,MIN(G5557,Parametres!$B$7))</f>
        <v>250</v>
      </c>
      <c r="I5557" s="20" t="n">
        <f aca="false">G5557-H5557</f>
        <v>179.92</v>
      </c>
      <c r="J5557" s="21" t="n">
        <f aca="false">H5557*1000/Parametres!$B$9</f>
        <v>4239.44378497541</v>
      </c>
    </row>
    <row r="5558" customFormat="false" ht="15" hidden="false" customHeight="false" outlineLevel="0" collapsed="false">
      <c r="A5558" s="0" t="n">
        <v>5554</v>
      </c>
      <c r="B5558" s="0" t="n">
        <v>8</v>
      </c>
      <c r="C5558" s="19" t="n">
        <v>1</v>
      </c>
      <c r="D5558" s="19" t="n">
        <v>1</v>
      </c>
      <c r="E5558" s="20" t="n">
        <f aca="false">Parametres!$B$5*C5558</f>
        <v>300</v>
      </c>
      <c r="F5558" s="20" t="n">
        <f aca="false">Parametres!$B$6*D5558</f>
        <v>200</v>
      </c>
      <c r="G5558" s="20" t="n">
        <f aca="false">E5558+F5558</f>
        <v>500</v>
      </c>
      <c r="H5558" s="20" t="n">
        <f aca="false">IF(G5558&lt;Parametres!$B$8*Parametres!$B$7,0,MIN(G5558,Parametres!$B$7))</f>
        <v>250</v>
      </c>
      <c r="I5558" s="20" t="n">
        <f aca="false">G5558-H5558</f>
        <v>250</v>
      </c>
      <c r="J5558" s="21" t="n">
        <f aca="false">H5558*1000/Parametres!$B$9</f>
        <v>4239.44378497541</v>
      </c>
    </row>
    <row r="5559" customFormat="false" ht="15" hidden="false" customHeight="false" outlineLevel="0" collapsed="false">
      <c r="A5559" s="0" t="n">
        <v>5555</v>
      </c>
      <c r="B5559" s="0" t="n">
        <v>8</v>
      </c>
      <c r="C5559" s="19" t="n">
        <v>1</v>
      </c>
      <c r="D5559" s="19" t="n">
        <v>1</v>
      </c>
      <c r="E5559" s="20" t="n">
        <f aca="false">Parametres!$B$5*C5559</f>
        <v>300</v>
      </c>
      <c r="F5559" s="20" t="n">
        <f aca="false">Parametres!$B$6*D5559</f>
        <v>200</v>
      </c>
      <c r="G5559" s="20" t="n">
        <f aca="false">E5559+F5559</f>
        <v>500</v>
      </c>
      <c r="H5559" s="20" t="n">
        <f aca="false">IF(G5559&lt;Parametres!$B$8*Parametres!$B$7,0,MIN(G5559,Parametres!$B$7))</f>
        <v>250</v>
      </c>
      <c r="I5559" s="20" t="n">
        <f aca="false">G5559-H5559</f>
        <v>250</v>
      </c>
      <c r="J5559" s="21" t="n">
        <f aca="false">H5559*1000/Parametres!$B$9</f>
        <v>4239.44378497541</v>
      </c>
    </row>
    <row r="5560" customFormat="false" ht="15" hidden="false" customHeight="false" outlineLevel="0" collapsed="false">
      <c r="A5560" s="0" t="n">
        <v>5556</v>
      </c>
      <c r="B5560" s="0" t="n">
        <v>8</v>
      </c>
      <c r="C5560" s="19" t="n">
        <v>1</v>
      </c>
      <c r="D5560" s="19" t="n">
        <v>1</v>
      </c>
      <c r="E5560" s="20" t="n">
        <f aca="false">Parametres!$B$5*C5560</f>
        <v>300</v>
      </c>
      <c r="F5560" s="20" t="n">
        <f aca="false">Parametres!$B$6*D5560</f>
        <v>200</v>
      </c>
      <c r="G5560" s="20" t="n">
        <f aca="false">E5560+F5560</f>
        <v>500</v>
      </c>
      <c r="H5560" s="20" t="n">
        <f aca="false">IF(G5560&lt;Parametres!$B$8*Parametres!$B$7,0,MIN(G5560,Parametres!$B$7))</f>
        <v>250</v>
      </c>
      <c r="I5560" s="20" t="n">
        <f aca="false">G5560-H5560</f>
        <v>250</v>
      </c>
      <c r="J5560" s="21" t="n">
        <f aca="false">H5560*1000/Parametres!$B$9</f>
        <v>4239.44378497541</v>
      </c>
    </row>
    <row r="5561" customFormat="false" ht="15" hidden="false" customHeight="false" outlineLevel="0" collapsed="false">
      <c r="A5561" s="0" t="n">
        <v>5557</v>
      </c>
      <c r="B5561" s="0" t="n">
        <v>8</v>
      </c>
      <c r="C5561" s="19" t="n">
        <v>1</v>
      </c>
      <c r="D5561" s="19" t="n">
        <v>1</v>
      </c>
      <c r="E5561" s="20" t="n">
        <f aca="false">Parametres!$B$5*C5561</f>
        <v>300</v>
      </c>
      <c r="F5561" s="20" t="n">
        <f aca="false">Parametres!$B$6*D5561</f>
        <v>200</v>
      </c>
      <c r="G5561" s="20" t="n">
        <f aca="false">E5561+F5561</f>
        <v>500</v>
      </c>
      <c r="H5561" s="20" t="n">
        <f aca="false">IF(G5561&lt;Parametres!$B$8*Parametres!$B$7,0,MIN(G5561,Parametres!$B$7))</f>
        <v>250</v>
      </c>
      <c r="I5561" s="20" t="n">
        <f aca="false">G5561-H5561</f>
        <v>250</v>
      </c>
      <c r="J5561" s="21" t="n">
        <f aca="false">H5561*1000/Parametres!$B$9</f>
        <v>4239.44378497541</v>
      </c>
    </row>
    <row r="5562" customFormat="false" ht="15" hidden="false" customHeight="false" outlineLevel="0" collapsed="false">
      <c r="A5562" s="0" t="n">
        <v>5558</v>
      </c>
      <c r="B5562" s="0" t="n">
        <v>8</v>
      </c>
      <c r="C5562" s="19" t="n">
        <v>1</v>
      </c>
      <c r="D5562" s="19" t="n">
        <v>1</v>
      </c>
      <c r="E5562" s="20" t="n">
        <f aca="false">Parametres!$B$5*C5562</f>
        <v>300</v>
      </c>
      <c r="F5562" s="20" t="n">
        <f aca="false">Parametres!$B$6*D5562</f>
        <v>200</v>
      </c>
      <c r="G5562" s="20" t="n">
        <f aca="false">E5562+F5562</f>
        <v>500</v>
      </c>
      <c r="H5562" s="20" t="n">
        <f aca="false">IF(G5562&lt;Parametres!$B$8*Parametres!$B$7,0,MIN(G5562,Parametres!$B$7))</f>
        <v>250</v>
      </c>
      <c r="I5562" s="20" t="n">
        <f aca="false">G5562-H5562</f>
        <v>250</v>
      </c>
      <c r="J5562" s="21" t="n">
        <f aca="false">H5562*1000/Parametres!$B$9</f>
        <v>4239.44378497541</v>
      </c>
    </row>
    <row r="5563" customFormat="false" ht="15" hidden="false" customHeight="false" outlineLevel="0" collapsed="false">
      <c r="A5563" s="0" t="n">
        <v>5559</v>
      </c>
      <c r="B5563" s="0" t="n">
        <v>8</v>
      </c>
      <c r="C5563" s="19" t="n">
        <v>1</v>
      </c>
      <c r="D5563" s="19" t="n">
        <v>1</v>
      </c>
      <c r="E5563" s="20" t="n">
        <f aca="false">Parametres!$B$5*C5563</f>
        <v>300</v>
      </c>
      <c r="F5563" s="20" t="n">
        <f aca="false">Parametres!$B$6*D5563</f>
        <v>200</v>
      </c>
      <c r="G5563" s="20" t="n">
        <f aca="false">E5563+F5563</f>
        <v>500</v>
      </c>
      <c r="H5563" s="20" t="n">
        <f aca="false">IF(G5563&lt;Parametres!$B$8*Parametres!$B$7,0,MIN(G5563,Parametres!$B$7))</f>
        <v>250</v>
      </c>
      <c r="I5563" s="20" t="n">
        <f aca="false">G5563-H5563</f>
        <v>250</v>
      </c>
      <c r="J5563" s="21" t="n">
        <f aca="false">H5563*1000/Parametres!$B$9</f>
        <v>4239.44378497541</v>
      </c>
    </row>
    <row r="5564" customFormat="false" ht="15" hidden="false" customHeight="false" outlineLevel="0" collapsed="false">
      <c r="A5564" s="0" t="n">
        <v>5560</v>
      </c>
      <c r="B5564" s="0" t="n">
        <v>8</v>
      </c>
      <c r="C5564" s="19" t="n">
        <v>0.7586</v>
      </c>
      <c r="D5564" s="19" t="n">
        <v>1</v>
      </c>
      <c r="E5564" s="20" t="n">
        <f aca="false">Parametres!$B$5*C5564</f>
        <v>227.58</v>
      </c>
      <c r="F5564" s="20" t="n">
        <f aca="false">Parametres!$B$6*D5564</f>
        <v>200</v>
      </c>
      <c r="G5564" s="20" t="n">
        <f aca="false">E5564+F5564</f>
        <v>427.58</v>
      </c>
      <c r="H5564" s="20" t="n">
        <f aca="false">IF(G5564&lt;Parametres!$B$8*Parametres!$B$7,0,MIN(G5564,Parametres!$B$7))</f>
        <v>250</v>
      </c>
      <c r="I5564" s="20" t="n">
        <f aca="false">G5564-H5564</f>
        <v>177.58</v>
      </c>
      <c r="J5564" s="21" t="n">
        <f aca="false">H5564*1000/Parametres!$B$9</f>
        <v>4239.44378497541</v>
      </c>
    </row>
    <row r="5565" customFormat="false" ht="15" hidden="false" customHeight="false" outlineLevel="0" collapsed="false">
      <c r="A5565" s="0" t="n">
        <v>5561</v>
      </c>
      <c r="B5565" s="0" t="n">
        <v>8</v>
      </c>
      <c r="C5565" s="19" t="n">
        <v>0.4998</v>
      </c>
      <c r="D5565" s="19" t="n">
        <v>1</v>
      </c>
      <c r="E5565" s="20" t="n">
        <f aca="false">Parametres!$B$5*C5565</f>
        <v>149.94</v>
      </c>
      <c r="F5565" s="20" t="n">
        <f aca="false">Parametres!$B$6*D5565</f>
        <v>200</v>
      </c>
      <c r="G5565" s="20" t="n">
        <f aca="false">E5565+F5565</f>
        <v>349.94</v>
      </c>
      <c r="H5565" s="20" t="n">
        <f aca="false">IF(G5565&lt;Parametres!$B$8*Parametres!$B$7,0,MIN(G5565,Parametres!$B$7))</f>
        <v>250</v>
      </c>
      <c r="I5565" s="20" t="n">
        <f aca="false">G5565-H5565</f>
        <v>99.94</v>
      </c>
      <c r="J5565" s="21" t="n">
        <f aca="false">H5565*1000/Parametres!$B$9</f>
        <v>4239.44378497541</v>
      </c>
    </row>
    <row r="5566" customFormat="false" ht="15" hidden="false" customHeight="false" outlineLevel="0" collapsed="false">
      <c r="A5566" s="0" t="n">
        <v>5562</v>
      </c>
      <c r="B5566" s="0" t="n">
        <v>8</v>
      </c>
      <c r="C5566" s="19" t="n">
        <v>0.2394</v>
      </c>
      <c r="D5566" s="19" t="n">
        <v>1</v>
      </c>
      <c r="E5566" s="20" t="n">
        <f aca="false">Parametres!$B$5*C5566</f>
        <v>71.82</v>
      </c>
      <c r="F5566" s="20" t="n">
        <f aca="false">Parametres!$B$6*D5566</f>
        <v>200</v>
      </c>
      <c r="G5566" s="20" t="n">
        <f aca="false">E5566+F5566</f>
        <v>271.82</v>
      </c>
      <c r="H5566" s="20" t="n">
        <f aca="false">IF(G5566&lt;Parametres!$B$8*Parametres!$B$7,0,MIN(G5566,Parametres!$B$7))</f>
        <v>250</v>
      </c>
      <c r="I5566" s="20" t="n">
        <f aca="false">G5566-H5566</f>
        <v>21.82</v>
      </c>
      <c r="J5566" s="21" t="n">
        <f aca="false">H5566*1000/Parametres!$B$9</f>
        <v>4239.44378497541</v>
      </c>
    </row>
    <row r="5567" customFormat="false" ht="15" hidden="false" customHeight="false" outlineLevel="0" collapsed="false">
      <c r="A5567" s="0" t="n">
        <v>5563</v>
      </c>
      <c r="B5567" s="0" t="n">
        <v>8</v>
      </c>
      <c r="C5567" s="19" t="n">
        <v>0</v>
      </c>
      <c r="D5567" s="19" t="n">
        <v>1</v>
      </c>
      <c r="E5567" s="20" t="n">
        <f aca="false">Parametres!$B$5*C5567</f>
        <v>0</v>
      </c>
      <c r="F5567" s="20" t="n">
        <f aca="false">Parametres!$B$6*D5567</f>
        <v>200</v>
      </c>
      <c r="G5567" s="20" t="n">
        <f aca="false">E5567+F5567</f>
        <v>200</v>
      </c>
      <c r="H5567" s="20" t="n">
        <f aca="false">IF(G5567&lt;Parametres!$B$8*Parametres!$B$7,0,MIN(G5567,Parametres!$B$7))</f>
        <v>200</v>
      </c>
      <c r="I5567" s="20" t="n">
        <f aca="false">G5567-H5567</f>
        <v>0</v>
      </c>
      <c r="J5567" s="21" t="n">
        <f aca="false">H5567*1000/Parametres!$B$9</f>
        <v>3391.55502798033</v>
      </c>
    </row>
    <row r="5568" customFormat="false" ht="15" hidden="false" customHeight="false" outlineLevel="0" collapsed="false">
      <c r="A5568" s="0" t="n">
        <v>5564</v>
      </c>
      <c r="B5568" s="0" t="n">
        <v>8</v>
      </c>
      <c r="C5568" s="19" t="n">
        <v>0</v>
      </c>
      <c r="D5568" s="19" t="n">
        <v>1</v>
      </c>
      <c r="E5568" s="20" t="n">
        <f aca="false">Parametres!$B$5*C5568</f>
        <v>0</v>
      </c>
      <c r="F5568" s="20" t="n">
        <f aca="false">Parametres!$B$6*D5568</f>
        <v>200</v>
      </c>
      <c r="G5568" s="20" t="n">
        <f aca="false">E5568+F5568</f>
        <v>200</v>
      </c>
      <c r="H5568" s="20" t="n">
        <f aca="false">IF(G5568&lt;Parametres!$B$8*Parametres!$B$7,0,MIN(G5568,Parametres!$B$7))</f>
        <v>200</v>
      </c>
      <c r="I5568" s="20" t="n">
        <f aca="false">G5568-H5568</f>
        <v>0</v>
      </c>
      <c r="J5568" s="21" t="n">
        <f aca="false">H5568*1000/Parametres!$B$9</f>
        <v>3391.55502798033</v>
      </c>
    </row>
    <row r="5569" customFormat="false" ht="15" hidden="false" customHeight="false" outlineLevel="0" collapsed="false">
      <c r="A5569" s="0" t="n">
        <v>5565</v>
      </c>
      <c r="B5569" s="0" t="n">
        <v>8</v>
      </c>
      <c r="C5569" s="19" t="n">
        <v>0</v>
      </c>
      <c r="D5569" s="19" t="n">
        <v>1</v>
      </c>
      <c r="E5569" s="20" t="n">
        <f aca="false">Parametres!$B$5*C5569</f>
        <v>0</v>
      </c>
      <c r="F5569" s="20" t="n">
        <f aca="false">Parametres!$B$6*D5569</f>
        <v>200</v>
      </c>
      <c r="G5569" s="20" t="n">
        <f aca="false">E5569+F5569</f>
        <v>200</v>
      </c>
      <c r="H5569" s="20" t="n">
        <f aca="false">IF(G5569&lt;Parametres!$B$8*Parametres!$B$7,0,MIN(G5569,Parametres!$B$7))</f>
        <v>200</v>
      </c>
      <c r="I5569" s="20" t="n">
        <f aca="false">G5569-H5569</f>
        <v>0</v>
      </c>
      <c r="J5569" s="21" t="n">
        <f aca="false">H5569*1000/Parametres!$B$9</f>
        <v>3391.55502798033</v>
      </c>
    </row>
    <row r="5570" customFormat="false" ht="15" hidden="false" customHeight="false" outlineLevel="0" collapsed="false">
      <c r="A5570" s="0" t="n">
        <v>5566</v>
      </c>
      <c r="B5570" s="0" t="n">
        <v>8</v>
      </c>
      <c r="C5570" s="19" t="n">
        <v>0</v>
      </c>
      <c r="D5570" s="19" t="n">
        <v>1</v>
      </c>
      <c r="E5570" s="20" t="n">
        <f aca="false">Parametres!$B$5*C5570</f>
        <v>0</v>
      </c>
      <c r="F5570" s="20" t="n">
        <f aca="false">Parametres!$B$6*D5570</f>
        <v>200</v>
      </c>
      <c r="G5570" s="20" t="n">
        <f aca="false">E5570+F5570</f>
        <v>200</v>
      </c>
      <c r="H5570" s="20" t="n">
        <f aca="false">IF(G5570&lt;Parametres!$B$8*Parametres!$B$7,0,MIN(G5570,Parametres!$B$7))</f>
        <v>200</v>
      </c>
      <c r="I5570" s="20" t="n">
        <f aca="false">G5570-H5570</f>
        <v>0</v>
      </c>
      <c r="J5570" s="21" t="n">
        <f aca="false">H5570*1000/Parametres!$B$9</f>
        <v>3391.55502798033</v>
      </c>
    </row>
    <row r="5571" customFormat="false" ht="15" hidden="false" customHeight="false" outlineLevel="0" collapsed="false">
      <c r="A5571" s="0" t="n">
        <v>5567</v>
      </c>
      <c r="B5571" s="0" t="n">
        <v>8</v>
      </c>
      <c r="C5571" s="19" t="n">
        <v>0</v>
      </c>
      <c r="D5571" s="19" t="n">
        <v>1</v>
      </c>
      <c r="E5571" s="20" t="n">
        <f aca="false">Parametres!$B$5*C5571</f>
        <v>0</v>
      </c>
      <c r="F5571" s="20" t="n">
        <f aca="false">Parametres!$B$6*D5571</f>
        <v>200</v>
      </c>
      <c r="G5571" s="20" t="n">
        <f aca="false">E5571+F5571</f>
        <v>200</v>
      </c>
      <c r="H5571" s="20" t="n">
        <f aca="false">IF(G5571&lt;Parametres!$B$8*Parametres!$B$7,0,MIN(G5571,Parametres!$B$7))</f>
        <v>200</v>
      </c>
      <c r="I5571" s="20" t="n">
        <f aca="false">G5571-H5571</f>
        <v>0</v>
      </c>
      <c r="J5571" s="21" t="n">
        <f aca="false">H5571*1000/Parametres!$B$9</f>
        <v>3391.55502798033</v>
      </c>
    </row>
    <row r="5572" customFormat="false" ht="15" hidden="false" customHeight="false" outlineLevel="0" collapsed="false">
      <c r="A5572" s="0" t="n">
        <v>5568</v>
      </c>
      <c r="B5572" s="0" t="n">
        <v>8</v>
      </c>
      <c r="C5572" s="19" t="n">
        <v>0</v>
      </c>
      <c r="D5572" s="19" t="n">
        <v>1</v>
      </c>
      <c r="E5572" s="20" t="n">
        <f aca="false">Parametres!$B$5*C5572</f>
        <v>0</v>
      </c>
      <c r="F5572" s="20" t="n">
        <f aca="false">Parametres!$B$6*D5572</f>
        <v>200</v>
      </c>
      <c r="G5572" s="20" t="n">
        <f aca="false">E5572+F5572</f>
        <v>200</v>
      </c>
      <c r="H5572" s="20" t="n">
        <f aca="false">IF(G5572&lt;Parametres!$B$8*Parametres!$B$7,0,MIN(G5572,Parametres!$B$7))</f>
        <v>200</v>
      </c>
      <c r="I5572" s="20" t="n">
        <f aca="false">G5572-H5572</f>
        <v>0</v>
      </c>
      <c r="J5572" s="21" t="n">
        <f aca="false">H5572*1000/Parametres!$B$9</f>
        <v>3391.55502798033</v>
      </c>
    </row>
    <row r="5573" customFormat="false" ht="15" hidden="false" customHeight="false" outlineLevel="0" collapsed="false">
      <c r="A5573" s="0" t="n">
        <v>5569</v>
      </c>
      <c r="B5573" s="0" t="n">
        <v>8</v>
      </c>
      <c r="C5573" s="19" t="n">
        <v>0</v>
      </c>
      <c r="D5573" s="19" t="n">
        <v>1</v>
      </c>
      <c r="E5573" s="20" t="n">
        <f aca="false">Parametres!$B$5*C5573</f>
        <v>0</v>
      </c>
      <c r="F5573" s="20" t="n">
        <f aca="false">Parametres!$B$6*D5573</f>
        <v>200</v>
      </c>
      <c r="G5573" s="20" t="n">
        <f aca="false">E5573+F5573</f>
        <v>200</v>
      </c>
      <c r="H5573" s="20" t="n">
        <f aca="false">IF(G5573&lt;Parametres!$B$8*Parametres!$B$7,0,MIN(G5573,Parametres!$B$7))</f>
        <v>200</v>
      </c>
      <c r="I5573" s="20" t="n">
        <f aca="false">G5573-H5573</f>
        <v>0</v>
      </c>
      <c r="J5573" s="21" t="n">
        <f aca="false">H5573*1000/Parametres!$B$9</f>
        <v>3391.55502798033</v>
      </c>
    </row>
    <row r="5574" customFormat="false" ht="15" hidden="false" customHeight="false" outlineLevel="0" collapsed="false">
      <c r="A5574" s="0" t="n">
        <v>5570</v>
      </c>
      <c r="B5574" s="0" t="n">
        <v>8</v>
      </c>
      <c r="C5574" s="19" t="n">
        <v>0</v>
      </c>
      <c r="D5574" s="19" t="n">
        <v>1</v>
      </c>
      <c r="E5574" s="20" t="n">
        <f aca="false">Parametres!$B$5*C5574</f>
        <v>0</v>
      </c>
      <c r="F5574" s="20" t="n">
        <f aca="false">Parametres!$B$6*D5574</f>
        <v>200</v>
      </c>
      <c r="G5574" s="20" t="n">
        <f aca="false">E5574+F5574</f>
        <v>200</v>
      </c>
      <c r="H5574" s="20" t="n">
        <f aca="false">IF(G5574&lt;Parametres!$B$8*Parametres!$B$7,0,MIN(G5574,Parametres!$B$7))</f>
        <v>200</v>
      </c>
      <c r="I5574" s="20" t="n">
        <f aca="false">G5574-H5574</f>
        <v>0</v>
      </c>
      <c r="J5574" s="21" t="n">
        <f aca="false">H5574*1000/Parametres!$B$9</f>
        <v>3391.55502798033</v>
      </c>
    </row>
    <row r="5575" customFormat="false" ht="15" hidden="false" customHeight="false" outlineLevel="0" collapsed="false">
      <c r="A5575" s="0" t="n">
        <v>5571</v>
      </c>
      <c r="B5575" s="0" t="n">
        <v>8</v>
      </c>
      <c r="C5575" s="19" t="n">
        <v>0</v>
      </c>
      <c r="D5575" s="19" t="n">
        <v>1</v>
      </c>
      <c r="E5575" s="20" t="n">
        <f aca="false">Parametres!$B$5*C5575</f>
        <v>0</v>
      </c>
      <c r="F5575" s="20" t="n">
        <f aca="false">Parametres!$B$6*D5575</f>
        <v>200</v>
      </c>
      <c r="G5575" s="20" t="n">
        <f aca="false">E5575+F5575</f>
        <v>200</v>
      </c>
      <c r="H5575" s="20" t="n">
        <f aca="false">IF(G5575&lt;Parametres!$B$8*Parametres!$B$7,0,MIN(G5575,Parametres!$B$7))</f>
        <v>200</v>
      </c>
      <c r="I5575" s="20" t="n">
        <f aca="false">G5575-H5575</f>
        <v>0</v>
      </c>
      <c r="J5575" s="21" t="n">
        <f aca="false">H5575*1000/Parametres!$B$9</f>
        <v>3391.55502798033</v>
      </c>
    </row>
    <row r="5576" customFormat="false" ht="15" hidden="false" customHeight="false" outlineLevel="0" collapsed="false">
      <c r="A5576" s="0" t="n">
        <v>5572</v>
      </c>
      <c r="B5576" s="0" t="n">
        <v>8</v>
      </c>
      <c r="C5576" s="19" t="n">
        <v>0</v>
      </c>
      <c r="D5576" s="19" t="n">
        <v>0.7671</v>
      </c>
      <c r="E5576" s="20" t="n">
        <f aca="false">Parametres!$B$5*C5576</f>
        <v>0</v>
      </c>
      <c r="F5576" s="20" t="n">
        <f aca="false">Parametres!$B$6*D5576</f>
        <v>153.42</v>
      </c>
      <c r="G5576" s="20" t="n">
        <f aca="false">E5576+F5576</f>
        <v>153.42</v>
      </c>
      <c r="H5576" s="20" t="n">
        <f aca="false">IF(G5576&lt;Parametres!$B$8*Parametres!$B$7,0,MIN(G5576,Parametres!$B$7))</f>
        <v>153.42</v>
      </c>
      <c r="I5576" s="20" t="n">
        <f aca="false">G5576-H5576</f>
        <v>0</v>
      </c>
      <c r="J5576" s="21" t="n">
        <f aca="false">H5576*1000/Parametres!$B$9</f>
        <v>2601.66186196371</v>
      </c>
    </row>
    <row r="5577" customFormat="false" ht="15" hidden="false" customHeight="false" outlineLevel="0" collapsed="false">
      <c r="A5577" s="0" t="n">
        <v>5573</v>
      </c>
      <c r="B5577" s="0" t="n">
        <v>8</v>
      </c>
      <c r="C5577" s="19" t="n">
        <v>0</v>
      </c>
      <c r="D5577" s="19" t="n">
        <v>0.8179</v>
      </c>
      <c r="E5577" s="20" t="n">
        <f aca="false">Parametres!$B$5*C5577</f>
        <v>0</v>
      </c>
      <c r="F5577" s="20" t="n">
        <f aca="false">Parametres!$B$6*D5577</f>
        <v>163.58</v>
      </c>
      <c r="G5577" s="20" t="n">
        <f aca="false">E5577+F5577</f>
        <v>163.58</v>
      </c>
      <c r="H5577" s="20" t="n">
        <f aca="false">IF(G5577&lt;Parametres!$B$8*Parametres!$B$7,0,MIN(G5577,Parametres!$B$7))</f>
        <v>163.58</v>
      </c>
      <c r="I5577" s="20" t="n">
        <f aca="false">G5577-H5577</f>
        <v>0</v>
      </c>
      <c r="J5577" s="21" t="n">
        <f aca="false">H5577*1000/Parametres!$B$9</f>
        <v>2773.95285738511</v>
      </c>
    </row>
    <row r="5578" customFormat="false" ht="15" hidden="false" customHeight="false" outlineLevel="0" collapsed="false">
      <c r="A5578" s="0" t="n">
        <v>5574</v>
      </c>
      <c r="B5578" s="0" t="n">
        <v>8</v>
      </c>
      <c r="C5578" s="19" t="n">
        <v>0</v>
      </c>
      <c r="D5578" s="19" t="n">
        <v>0.9718</v>
      </c>
      <c r="E5578" s="20" t="n">
        <f aca="false">Parametres!$B$5*C5578</f>
        <v>0</v>
      </c>
      <c r="F5578" s="20" t="n">
        <f aca="false">Parametres!$B$6*D5578</f>
        <v>194.36</v>
      </c>
      <c r="G5578" s="20" t="n">
        <f aca="false">E5578+F5578</f>
        <v>194.36</v>
      </c>
      <c r="H5578" s="20" t="n">
        <f aca="false">IF(G5578&lt;Parametres!$B$8*Parametres!$B$7,0,MIN(G5578,Parametres!$B$7))</f>
        <v>194.36</v>
      </c>
      <c r="I5578" s="20" t="n">
        <f aca="false">G5578-H5578</f>
        <v>0</v>
      </c>
      <c r="J5578" s="21" t="n">
        <f aca="false">H5578*1000/Parametres!$B$9</f>
        <v>3295.91317619128</v>
      </c>
    </row>
    <row r="5579" customFormat="false" ht="15" hidden="false" customHeight="false" outlineLevel="0" collapsed="false">
      <c r="A5579" s="0" t="n">
        <v>5575</v>
      </c>
      <c r="B5579" s="0" t="n">
        <v>8</v>
      </c>
      <c r="C5579" s="19" t="n">
        <v>0.1991</v>
      </c>
      <c r="D5579" s="19" t="n">
        <v>0.7538</v>
      </c>
      <c r="E5579" s="20" t="n">
        <f aca="false">Parametres!$B$5*C5579</f>
        <v>59.73</v>
      </c>
      <c r="F5579" s="20" t="n">
        <f aca="false">Parametres!$B$6*D5579</f>
        <v>150.76</v>
      </c>
      <c r="G5579" s="20" t="n">
        <f aca="false">E5579+F5579</f>
        <v>210.49</v>
      </c>
      <c r="H5579" s="20" t="n">
        <f aca="false">IF(G5579&lt;Parametres!$B$8*Parametres!$B$7,0,MIN(G5579,Parametres!$B$7))</f>
        <v>210.49</v>
      </c>
      <c r="I5579" s="20" t="n">
        <f aca="false">G5579-H5579</f>
        <v>0</v>
      </c>
      <c r="J5579" s="21" t="n">
        <f aca="false">H5579*1000/Parametres!$B$9</f>
        <v>3569.4420891979</v>
      </c>
    </row>
    <row r="5580" customFormat="false" ht="15" hidden="false" customHeight="false" outlineLevel="0" collapsed="false">
      <c r="A5580" s="0" t="n">
        <v>5576</v>
      </c>
      <c r="B5580" s="0" t="n">
        <v>8</v>
      </c>
      <c r="C5580" s="19" t="n">
        <v>0.4692</v>
      </c>
      <c r="D5580" s="19" t="n">
        <v>1</v>
      </c>
      <c r="E5580" s="20" t="n">
        <f aca="false">Parametres!$B$5*C5580</f>
        <v>140.76</v>
      </c>
      <c r="F5580" s="20" t="n">
        <f aca="false">Parametres!$B$6*D5580</f>
        <v>200</v>
      </c>
      <c r="G5580" s="20" t="n">
        <f aca="false">E5580+F5580</f>
        <v>340.76</v>
      </c>
      <c r="H5580" s="20" t="n">
        <f aca="false">IF(G5580&lt;Parametres!$B$8*Parametres!$B$7,0,MIN(G5580,Parametres!$B$7))</f>
        <v>250</v>
      </c>
      <c r="I5580" s="20" t="n">
        <f aca="false">G5580-H5580</f>
        <v>90.76</v>
      </c>
      <c r="J5580" s="21" t="n">
        <f aca="false">H5580*1000/Parametres!$B$9</f>
        <v>4239.44378497541</v>
      </c>
    </row>
    <row r="5581" customFormat="false" ht="15" hidden="false" customHeight="false" outlineLevel="0" collapsed="false">
      <c r="A5581" s="0" t="n">
        <v>5577</v>
      </c>
      <c r="B5581" s="0" t="n">
        <v>8</v>
      </c>
      <c r="C5581" s="19" t="n">
        <v>0.6984</v>
      </c>
      <c r="D5581" s="19" t="n">
        <v>1</v>
      </c>
      <c r="E5581" s="20" t="n">
        <f aca="false">Parametres!$B$5*C5581</f>
        <v>209.52</v>
      </c>
      <c r="F5581" s="20" t="n">
        <f aca="false">Parametres!$B$6*D5581</f>
        <v>200</v>
      </c>
      <c r="G5581" s="20" t="n">
        <f aca="false">E5581+F5581</f>
        <v>409.52</v>
      </c>
      <c r="H5581" s="20" t="n">
        <f aca="false">IF(G5581&lt;Parametres!$B$8*Parametres!$B$7,0,MIN(G5581,Parametres!$B$7))</f>
        <v>250</v>
      </c>
      <c r="I5581" s="20" t="n">
        <f aca="false">G5581-H5581</f>
        <v>159.52</v>
      </c>
      <c r="J5581" s="21" t="n">
        <f aca="false">H5581*1000/Parametres!$B$9</f>
        <v>4239.44378497541</v>
      </c>
    </row>
    <row r="5582" customFormat="false" ht="15" hidden="false" customHeight="false" outlineLevel="0" collapsed="false">
      <c r="A5582" s="0" t="n">
        <v>5578</v>
      </c>
      <c r="B5582" s="0" t="n">
        <v>8</v>
      </c>
      <c r="C5582" s="19" t="n">
        <v>0.9489</v>
      </c>
      <c r="D5582" s="19" t="n">
        <v>1</v>
      </c>
      <c r="E5582" s="20" t="n">
        <f aca="false">Parametres!$B$5*C5582</f>
        <v>284.67</v>
      </c>
      <c r="F5582" s="20" t="n">
        <f aca="false">Parametres!$B$6*D5582</f>
        <v>200</v>
      </c>
      <c r="G5582" s="20" t="n">
        <f aca="false">E5582+F5582</f>
        <v>484.67</v>
      </c>
      <c r="H5582" s="20" t="n">
        <f aca="false">IF(G5582&lt;Parametres!$B$8*Parametres!$B$7,0,MIN(G5582,Parametres!$B$7))</f>
        <v>250</v>
      </c>
      <c r="I5582" s="20" t="n">
        <f aca="false">G5582-H5582</f>
        <v>234.67</v>
      </c>
      <c r="J5582" s="21" t="n">
        <f aca="false">H5582*1000/Parametres!$B$9</f>
        <v>4239.44378497541</v>
      </c>
    </row>
    <row r="5583" customFormat="false" ht="15" hidden="false" customHeight="false" outlineLevel="0" collapsed="false">
      <c r="A5583" s="0" t="n">
        <v>5579</v>
      </c>
      <c r="B5583" s="0" t="n">
        <v>8</v>
      </c>
      <c r="C5583" s="19" t="n">
        <v>0.9881</v>
      </c>
      <c r="D5583" s="19" t="n">
        <v>1</v>
      </c>
      <c r="E5583" s="20" t="n">
        <f aca="false">Parametres!$B$5*C5583</f>
        <v>296.43</v>
      </c>
      <c r="F5583" s="20" t="n">
        <f aca="false">Parametres!$B$6*D5583</f>
        <v>200</v>
      </c>
      <c r="G5583" s="20" t="n">
        <f aca="false">E5583+F5583</f>
        <v>496.43</v>
      </c>
      <c r="H5583" s="20" t="n">
        <f aca="false">IF(G5583&lt;Parametres!$B$8*Parametres!$B$7,0,MIN(G5583,Parametres!$B$7))</f>
        <v>250</v>
      </c>
      <c r="I5583" s="20" t="n">
        <f aca="false">G5583-H5583</f>
        <v>246.43</v>
      </c>
      <c r="J5583" s="21" t="n">
        <f aca="false">H5583*1000/Parametres!$B$9</f>
        <v>4239.44378497541</v>
      </c>
    </row>
    <row r="5584" customFormat="false" ht="15" hidden="false" customHeight="false" outlineLevel="0" collapsed="false">
      <c r="A5584" s="0" t="n">
        <v>5580</v>
      </c>
      <c r="B5584" s="0" t="n">
        <v>8</v>
      </c>
      <c r="C5584" s="19" t="n">
        <v>1</v>
      </c>
      <c r="D5584" s="19" t="n">
        <v>1</v>
      </c>
      <c r="E5584" s="20" t="n">
        <f aca="false">Parametres!$B$5*C5584</f>
        <v>300</v>
      </c>
      <c r="F5584" s="20" t="n">
        <f aca="false">Parametres!$B$6*D5584</f>
        <v>200</v>
      </c>
      <c r="G5584" s="20" t="n">
        <f aca="false">E5584+F5584</f>
        <v>500</v>
      </c>
      <c r="H5584" s="20" t="n">
        <f aca="false">IF(G5584&lt;Parametres!$B$8*Parametres!$B$7,0,MIN(G5584,Parametres!$B$7))</f>
        <v>250</v>
      </c>
      <c r="I5584" s="20" t="n">
        <f aca="false">G5584-H5584</f>
        <v>250</v>
      </c>
      <c r="J5584" s="21" t="n">
        <f aca="false">H5584*1000/Parametres!$B$9</f>
        <v>4239.44378497541</v>
      </c>
    </row>
    <row r="5585" customFormat="false" ht="15" hidden="false" customHeight="false" outlineLevel="0" collapsed="false">
      <c r="A5585" s="0" t="n">
        <v>5581</v>
      </c>
      <c r="B5585" s="0" t="n">
        <v>8</v>
      </c>
      <c r="C5585" s="19" t="n">
        <v>1</v>
      </c>
      <c r="D5585" s="19" t="n">
        <v>1</v>
      </c>
      <c r="E5585" s="20" t="n">
        <f aca="false">Parametres!$B$5*C5585</f>
        <v>300</v>
      </c>
      <c r="F5585" s="20" t="n">
        <f aca="false">Parametres!$B$6*D5585</f>
        <v>200</v>
      </c>
      <c r="G5585" s="20" t="n">
        <f aca="false">E5585+F5585</f>
        <v>500</v>
      </c>
      <c r="H5585" s="20" t="n">
        <f aca="false">IF(G5585&lt;Parametres!$B$8*Parametres!$B$7,0,MIN(G5585,Parametres!$B$7))</f>
        <v>250</v>
      </c>
      <c r="I5585" s="20" t="n">
        <f aca="false">G5585-H5585</f>
        <v>250</v>
      </c>
      <c r="J5585" s="21" t="n">
        <f aca="false">H5585*1000/Parametres!$B$9</f>
        <v>4239.44378497541</v>
      </c>
    </row>
    <row r="5586" customFormat="false" ht="15" hidden="false" customHeight="false" outlineLevel="0" collapsed="false">
      <c r="A5586" s="0" t="n">
        <v>5582</v>
      </c>
      <c r="B5586" s="0" t="n">
        <v>8</v>
      </c>
      <c r="C5586" s="19" t="n">
        <v>1</v>
      </c>
      <c r="D5586" s="19" t="n">
        <v>1</v>
      </c>
      <c r="E5586" s="20" t="n">
        <f aca="false">Parametres!$B$5*C5586</f>
        <v>300</v>
      </c>
      <c r="F5586" s="20" t="n">
        <f aca="false">Parametres!$B$6*D5586</f>
        <v>200</v>
      </c>
      <c r="G5586" s="20" t="n">
        <f aca="false">E5586+F5586</f>
        <v>500</v>
      </c>
      <c r="H5586" s="20" t="n">
        <f aca="false">IF(G5586&lt;Parametres!$B$8*Parametres!$B$7,0,MIN(G5586,Parametres!$B$7))</f>
        <v>250</v>
      </c>
      <c r="I5586" s="20" t="n">
        <f aca="false">G5586-H5586</f>
        <v>250</v>
      </c>
      <c r="J5586" s="21" t="n">
        <f aca="false">H5586*1000/Parametres!$B$9</f>
        <v>4239.44378497541</v>
      </c>
    </row>
    <row r="5587" customFormat="false" ht="15" hidden="false" customHeight="false" outlineLevel="0" collapsed="false">
      <c r="A5587" s="0" t="n">
        <v>5583</v>
      </c>
      <c r="B5587" s="0" t="n">
        <v>8</v>
      </c>
      <c r="C5587" s="19" t="n">
        <v>0.9655</v>
      </c>
      <c r="D5587" s="19" t="n">
        <v>1</v>
      </c>
      <c r="E5587" s="20" t="n">
        <f aca="false">Parametres!$B$5*C5587</f>
        <v>289.65</v>
      </c>
      <c r="F5587" s="20" t="n">
        <f aca="false">Parametres!$B$6*D5587</f>
        <v>200</v>
      </c>
      <c r="G5587" s="20" t="n">
        <f aca="false">E5587+F5587</f>
        <v>489.65</v>
      </c>
      <c r="H5587" s="20" t="n">
        <f aca="false">IF(G5587&lt;Parametres!$B$8*Parametres!$B$7,0,MIN(G5587,Parametres!$B$7))</f>
        <v>250</v>
      </c>
      <c r="I5587" s="20" t="n">
        <f aca="false">G5587-H5587</f>
        <v>239.65</v>
      </c>
      <c r="J5587" s="21" t="n">
        <f aca="false">H5587*1000/Parametres!$B$9</f>
        <v>4239.44378497541</v>
      </c>
    </row>
    <row r="5588" customFormat="false" ht="15" hidden="false" customHeight="false" outlineLevel="0" collapsed="false">
      <c r="A5588" s="0" t="n">
        <v>5584</v>
      </c>
      <c r="B5588" s="0" t="n">
        <v>8</v>
      </c>
      <c r="C5588" s="19" t="n">
        <v>0.7152</v>
      </c>
      <c r="D5588" s="19" t="n">
        <v>1</v>
      </c>
      <c r="E5588" s="20" t="n">
        <f aca="false">Parametres!$B$5*C5588</f>
        <v>214.56</v>
      </c>
      <c r="F5588" s="20" t="n">
        <f aca="false">Parametres!$B$6*D5588</f>
        <v>200</v>
      </c>
      <c r="G5588" s="20" t="n">
        <f aca="false">E5588+F5588</f>
        <v>414.56</v>
      </c>
      <c r="H5588" s="20" t="n">
        <f aca="false">IF(G5588&lt;Parametres!$B$8*Parametres!$B$7,0,MIN(G5588,Parametres!$B$7))</f>
        <v>250</v>
      </c>
      <c r="I5588" s="20" t="n">
        <f aca="false">G5588-H5588</f>
        <v>164.56</v>
      </c>
      <c r="J5588" s="21" t="n">
        <f aca="false">H5588*1000/Parametres!$B$9</f>
        <v>4239.44378497541</v>
      </c>
    </row>
    <row r="5589" customFormat="false" ht="15" hidden="false" customHeight="false" outlineLevel="0" collapsed="false">
      <c r="A5589" s="0" t="n">
        <v>5585</v>
      </c>
      <c r="B5589" s="0" t="n">
        <v>8</v>
      </c>
      <c r="C5589" s="19" t="n">
        <v>0.4553</v>
      </c>
      <c r="D5589" s="19" t="n">
        <v>1</v>
      </c>
      <c r="E5589" s="20" t="n">
        <f aca="false">Parametres!$B$5*C5589</f>
        <v>136.59</v>
      </c>
      <c r="F5589" s="20" t="n">
        <f aca="false">Parametres!$B$6*D5589</f>
        <v>200</v>
      </c>
      <c r="G5589" s="20" t="n">
        <f aca="false">E5589+F5589</f>
        <v>336.59</v>
      </c>
      <c r="H5589" s="20" t="n">
        <f aca="false">IF(G5589&lt;Parametres!$B$8*Parametres!$B$7,0,MIN(G5589,Parametres!$B$7))</f>
        <v>250</v>
      </c>
      <c r="I5589" s="20" t="n">
        <f aca="false">G5589-H5589</f>
        <v>86.59</v>
      </c>
      <c r="J5589" s="21" t="n">
        <f aca="false">H5589*1000/Parametres!$B$9</f>
        <v>4239.44378497541</v>
      </c>
    </row>
    <row r="5590" customFormat="false" ht="15" hidden="false" customHeight="false" outlineLevel="0" collapsed="false">
      <c r="A5590" s="0" t="n">
        <v>5586</v>
      </c>
      <c r="B5590" s="0" t="n">
        <v>8</v>
      </c>
      <c r="C5590" s="19" t="n">
        <v>0.2107</v>
      </c>
      <c r="D5590" s="19" t="n">
        <v>0.7026</v>
      </c>
      <c r="E5590" s="20" t="n">
        <f aca="false">Parametres!$B$5*C5590</f>
        <v>63.21</v>
      </c>
      <c r="F5590" s="20" t="n">
        <f aca="false">Parametres!$B$6*D5590</f>
        <v>140.52</v>
      </c>
      <c r="G5590" s="20" t="n">
        <f aca="false">E5590+F5590</f>
        <v>203.73</v>
      </c>
      <c r="H5590" s="20" t="n">
        <f aca="false">IF(G5590&lt;Parametres!$B$8*Parametres!$B$7,0,MIN(G5590,Parametres!$B$7))</f>
        <v>203.73</v>
      </c>
      <c r="I5590" s="20" t="n">
        <f aca="false">G5590-H5590</f>
        <v>0</v>
      </c>
      <c r="J5590" s="21" t="n">
        <f aca="false">H5590*1000/Parametres!$B$9</f>
        <v>3454.80752925216</v>
      </c>
    </row>
    <row r="5591" customFormat="false" ht="15" hidden="false" customHeight="false" outlineLevel="0" collapsed="false">
      <c r="A5591" s="0" t="n">
        <v>5587</v>
      </c>
      <c r="B5591" s="0" t="n">
        <v>8</v>
      </c>
      <c r="C5591" s="19" t="n">
        <v>0</v>
      </c>
      <c r="D5591" s="19" t="n">
        <v>0.2763</v>
      </c>
      <c r="E5591" s="20" t="n">
        <f aca="false">Parametres!$B$5*C5591</f>
        <v>0</v>
      </c>
      <c r="F5591" s="20" t="n">
        <f aca="false">Parametres!$B$6*D5591</f>
        <v>55.26</v>
      </c>
      <c r="G5591" s="20" t="n">
        <f aca="false">E5591+F5591</f>
        <v>55.26</v>
      </c>
      <c r="H5591" s="20" t="n">
        <f aca="false">IF(G5591&lt;Parametres!$B$8*Parametres!$B$7,0,MIN(G5591,Parametres!$B$7))</f>
        <v>55.26</v>
      </c>
      <c r="I5591" s="20" t="n">
        <f aca="false">G5591-H5591</f>
        <v>0</v>
      </c>
      <c r="J5591" s="21" t="n">
        <f aca="false">H5591*1000/Parametres!$B$9</f>
        <v>937.086654230965</v>
      </c>
    </row>
    <row r="5592" customFormat="false" ht="15" hidden="false" customHeight="false" outlineLevel="0" collapsed="false">
      <c r="A5592" s="0" t="n">
        <v>5588</v>
      </c>
      <c r="B5592" s="0" t="n">
        <v>8</v>
      </c>
      <c r="C5592" s="19" t="n">
        <v>0</v>
      </c>
      <c r="D5592" s="19" t="n">
        <v>0.3359</v>
      </c>
      <c r="E5592" s="20" t="n">
        <f aca="false">Parametres!$B$5*C5592</f>
        <v>0</v>
      </c>
      <c r="F5592" s="20" t="n">
        <f aca="false">Parametres!$B$6*D5592</f>
        <v>67.18</v>
      </c>
      <c r="G5592" s="20" t="n">
        <f aca="false">E5592+F5592</f>
        <v>67.18</v>
      </c>
      <c r="H5592" s="20" t="n">
        <f aca="false">IF(G5592&lt;Parametres!$B$8*Parametres!$B$7,0,MIN(G5592,Parametres!$B$7))</f>
        <v>67.18</v>
      </c>
      <c r="I5592" s="20" t="n">
        <f aca="false">G5592-H5592</f>
        <v>0</v>
      </c>
      <c r="J5592" s="21" t="n">
        <f aca="false">H5592*1000/Parametres!$B$9</f>
        <v>1139.22333389859</v>
      </c>
    </row>
    <row r="5593" customFormat="false" ht="15" hidden="false" customHeight="false" outlineLevel="0" collapsed="false">
      <c r="A5593" s="0" t="n">
        <v>5589</v>
      </c>
      <c r="B5593" s="0" t="n">
        <v>8</v>
      </c>
      <c r="C5593" s="19" t="n">
        <v>0</v>
      </c>
      <c r="D5593" s="19" t="n">
        <v>0.2438</v>
      </c>
      <c r="E5593" s="20" t="n">
        <f aca="false">Parametres!$B$5*C5593</f>
        <v>0</v>
      </c>
      <c r="F5593" s="20" t="n">
        <f aca="false">Parametres!$B$6*D5593</f>
        <v>48.76</v>
      </c>
      <c r="G5593" s="20" t="n">
        <f aca="false">E5593+F5593</f>
        <v>48.76</v>
      </c>
      <c r="H5593" s="20" t="n">
        <f aca="false">IF(G5593&lt;Parametres!$B$8*Parametres!$B$7,0,MIN(G5593,Parametres!$B$7))</f>
        <v>48.76</v>
      </c>
      <c r="I5593" s="20" t="n">
        <f aca="false">G5593-H5593</f>
        <v>0</v>
      </c>
      <c r="J5593" s="21" t="n">
        <f aca="false">H5593*1000/Parametres!$B$9</f>
        <v>826.861115821604</v>
      </c>
    </row>
    <row r="5594" customFormat="false" ht="15" hidden="false" customHeight="false" outlineLevel="0" collapsed="false">
      <c r="A5594" s="0" t="n">
        <v>5590</v>
      </c>
      <c r="B5594" s="0" t="n">
        <v>8</v>
      </c>
      <c r="C5594" s="19" t="n">
        <v>0</v>
      </c>
      <c r="D5594" s="19" t="n">
        <v>0.138</v>
      </c>
      <c r="E5594" s="20" t="n">
        <f aca="false">Parametres!$B$5*C5594</f>
        <v>0</v>
      </c>
      <c r="F5594" s="20" t="n">
        <f aca="false">Parametres!$B$6*D5594</f>
        <v>27.6</v>
      </c>
      <c r="G5594" s="20" t="n">
        <f aca="false">E5594+F5594</f>
        <v>27.6</v>
      </c>
      <c r="H5594" s="20" t="n">
        <f aca="false">IF(G5594&lt;Parametres!$B$8*Parametres!$B$7,0,MIN(G5594,Parametres!$B$7))</f>
        <v>27.6</v>
      </c>
      <c r="I5594" s="20" t="n">
        <f aca="false">G5594-H5594</f>
        <v>0</v>
      </c>
      <c r="J5594" s="21" t="n">
        <f aca="false">H5594*1000/Parametres!$B$9</f>
        <v>468.034593861285</v>
      </c>
    </row>
    <row r="5595" customFormat="false" ht="15" hidden="false" customHeight="false" outlineLevel="0" collapsed="false">
      <c r="A5595" s="0" t="n">
        <v>5591</v>
      </c>
      <c r="B5595" s="0" t="n">
        <v>8</v>
      </c>
      <c r="C5595" s="19" t="n">
        <v>0</v>
      </c>
      <c r="D5595" s="19" t="n">
        <v>0.2177</v>
      </c>
      <c r="E5595" s="20" t="n">
        <f aca="false">Parametres!$B$5*C5595</f>
        <v>0</v>
      </c>
      <c r="F5595" s="20" t="n">
        <f aca="false">Parametres!$B$6*D5595</f>
        <v>43.54</v>
      </c>
      <c r="G5595" s="20" t="n">
        <f aca="false">E5595+F5595</f>
        <v>43.54</v>
      </c>
      <c r="H5595" s="20" t="n">
        <f aca="false">IF(G5595&lt;Parametres!$B$8*Parametres!$B$7,0,MIN(G5595,Parametres!$B$7))</f>
        <v>43.54</v>
      </c>
      <c r="I5595" s="20" t="n">
        <f aca="false">G5595-H5595</f>
        <v>0</v>
      </c>
      <c r="J5595" s="21" t="n">
        <f aca="false">H5595*1000/Parametres!$B$9</f>
        <v>738.341529591318</v>
      </c>
    </row>
    <row r="5596" customFormat="false" ht="15" hidden="false" customHeight="false" outlineLevel="0" collapsed="false">
      <c r="A5596" s="0" t="n">
        <v>5592</v>
      </c>
      <c r="B5596" s="0" t="n">
        <v>8</v>
      </c>
      <c r="C5596" s="19" t="n">
        <v>0</v>
      </c>
      <c r="D5596" s="19" t="n">
        <v>0.1702</v>
      </c>
      <c r="E5596" s="20" t="n">
        <f aca="false">Parametres!$B$5*C5596</f>
        <v>0</v>
      </c>
      <c r="F5596" s="20" t="n">
        <f aca="false">Parametres!$B$6*D5596</f>
        <v>34.04</v>
      </c>
      <c r="G5596" s="20" t="n">
        <f aca="false">E5596+F5596</f>
        <v>34.04</v>
      </c>
      <c r="H5596" s="20" t="n">
        <f aca="false">IF(G5596&lt;Parametres!$B$8*Parametres!$B$7,0,MIN(G5596,Parametres!$B$7))</f>
        <v>34.04</v>
      </c>
      <c r="I5596" s="20" t="n">
        <f aca="false">G5596-H5596</f>
        <v>0</v>
      </c>
      <c r="J5596" s="21" t="n">
        <f aca="false">H5596*1000/Parametres!$B$9</f>
        <v>577.242665762252</v>
      </c>
    </row>
    <row r="5597" customFormat="false" ht="15" hidden="false" customHeight="false" outlineLevel="0" collapsed="false">
      <c r="A5597" s="0" t="n">
        <v>5593</v>
      </c>
      <c r="B5597" s="0" t="n">
        <v>8</v>
      </c>
      <c r="C5597" s="19" t="n">
        <v>0</v>
      </c>
      <c r="D5597" s="19" t="n">
        <v>0.1379</v>
      </c>
      <c r="E5597" s="20" t="n">
        <f aca="false">Parametres!$B$5*C5597</f>
        <v>0</v>
      </c>
      <c r="F5597" s="20" t="n">
        <f aca="false">Parametres!$B$6*D5597</f>
        <v>27.58</v>
      </c>
      <c r="G5597" s="20" t="n">
        <f aca="false">E5597+F5597</f>
        <v>27.58</v>
      </c>
      <c r="H5597" s="20" t="n">
        <f aca="false">IF(G5597&lt;Parametres!$B$8*Parametres!$B$7,0,MIN(G5597,Parametres!$B$7))</f>
        <v>27.58</v>
      </c>
      <c r="I5597" s="20" t="n">
        <f aca="false">G5597-H5597</f>
        <v>0</v>
      </c>
      <c r="J5597" s="21" t="n">
        <f aca="false">H5597*1000/Parametres!$B$9</f>
        <v>467.695438358487</v>
      </c>
    </row>
    <row r="5598" customFormat="false" ht="15" hidden="false" customHeight="false" outlineLevel="0" collapsed="false">
      <c r="A5598" s="0" t="n">
        <v>5594</v>
      </c>
      <c r="B5598" s="0" t="n">
        <v>8</v>
      </c>
      <c r="C5598" s="19" t="n">
        <v>0</v>
      </c>
      <c r="D5598" s="19" t="n">
        <v>0.1625</v>
      </c>
      <c r="E5598" s="20" t="n">
        <f aca="false">Parametres!$B$5*C5598</f>
        <v>0</v>
      </c>
      <c r="F5598" s="20" t="n">
        <f aca="false">Parametres!$B$6*D5598</f>
        <v>32.5</v>
      </c>
      <c r="G5598" s="20" t="n">
        <f aca="false">E5598+F5598</f>
        <v>32.5</v>
      </c>
      <c r="H5598" s="20" t="n">
        <f aca="false">IF(G5598&lt;Parametres!$B$8*Parametres!$B$7,0,MIN(G5598,Parametres!$B$7))</f>
        <v>32.5</v>
      </c>
      <c r="I5598" s="20" t="n">
        <f aca="false">G5598-H5598</f>
        <v>0</v>
      </c>
      <c r="J5598" s="21" t="n">
        <f aca="false">H5598*1000/Parametres!$B$9</f>
        <v>551.127692046803</v>
      </c>
    </row>
    <row r="5599" customFormat="false" ht="15" hidden="false" customHeight="false" outlineLevel="0" collapsed="false">
      <c r="A5599" s="0" t="n">
        <v>5595</v>
      </c>
      <c r="B5599" s="0" t="n">
        <v>8</v>
      </c>
      <c r="C5599" s="19" t="n">
        <v>0</v>
      </c>
      <c r="D5599" s="19" t="n">
        <v>0.126</v>
      </c>
      <c r="E5599" s="20" t="n">
        <f aca="false">Parametres!$B$5*C5599</f>
        <v>0</v>
      </c>
      <c r="F5599" s="20" t="n">
        <f aca="false">Parametres!$B$6*D5599</f>
        <v>25.2</v>
      </c>
      <c r="G5599" s="20" t="n">
        <f aca="false">E5599+F5599</f>
        <v>25.2</v>
      </c>
      <c r="H5599" s="20" t="n">
        <f aca="false">IF(G5599&lt;Parametres!$B$8*Parametres!$B$7,0,MIN(G5599,Parametres!$B$7))</f>
        <v>25.2</v>
      </c>
      <c r="I5599" s="20" t="n">
        <f aca="false">G5599-H5599</f>
        <v>0</v>
      </c>
      <c r="J5599" s="21" t="n">
        <f aca="false">H5599*1000/Parametres!$B$9</f>
        <v>427.335933525521</v>
      </c>
    </row>
    <row r="5600" customFormat="false" ht="15" hidden="false" customHeight="false" outlineLevel="0" collapsed="false">
      <c r="A5600" s="0" t="n">
        <v>5596</v>
      </c>
      <c r="B5600" s="0" t="n">
        <v>8</v>
      </c>
      <c r="C5600" s="19" t="n">
        <v>0</v>
      </c>
      <c r="D5600" s="19" t="n">
        <v>0.1297</v>
      </c>
      <c r="E5600" s="20" t="n">
        <f aca="false">Parametres!$B$5*C5600</f>
        <v>0</v>
      </c>
      <c r="F5600" s="20" t="n">
        <f aca="false">Parametres!$B$6*D5600</f>
        <v>25.94</v>
      </c>
      <c r="G5600" s="20" t="n">
        <f aca="false">E5600+F5600</f>
        <v>25.94</v>
      </c>
      <c r="H5600" s="20" t="n">
        <f aca="false">IF(G5600&lt;Parametres!$B$8*Parametres!$B$7,0,MIN(G5600,Parametres!$B$7))</f>
        <v>25.94</v>
      </c>
      <c r="I5600" s="20" t="n">
        <f aca="false">G5600-H5600</f>
        <v>0</v>
      </c>
      <c r="J5600" s="21" t="n">
        <f aca="false">H5600*1000/Parametres!$B$9</f>
        <v>439.884687129049</v>
      </c>
    </row>
    <row r="5601" customFormat="false" ht="15" hidden="false" customHeight="false" outlineLevel="0" collapsed="false">
      <c r="A5601" s="0" t="n">
        <v>5597</v>
      </c>
      <c r="B5601" s="0" t="n">
        <v>8</v>
      </c>
      <c r="C5601" s="19" t="n">
        <v>0</v>
      </c>
      <c r="D5601" s="19" t="n">
        <v>0.0866</v>
      </c>
      <c r="E5601" s="20" t="n">
        <f aca="false">Parametres!$B$5*C5601</f>
        <v>0</v>
      </c>
      <c r="F5601" s="20" t="n">
        <f aca="false">Parametres!$B$6*D5601</f>
        <v>17.32</v>
      </c>
      <c r="G5601" s="20" t="n">
        <f aca="false">E5601+F5601</f>
        <v>17.32</v>
      </c>
      <c r="H5601" s="20" t="n">
        <f aca="false">IF(G5601&lt;Parametres!$B$8*Parametres!$B$7,0,MIN(G5601,Parametres!$B$7))</f>
        <v>0</v>
      </c>
      <c r="I5601" s="20" t="n">
        <f aca="false">G5601-H5601</f>
        <v>17.32</v>
      </c>
      <c r="J5601" s="21" t="n">
        <f aca="false">H5601*1000/Parametres!$B$9</f>
        <v>0</v>
      </c>
    </row>
    <row r="5602" customFormat="false" ht="15" hidden="false" customHeight="false" outlineLevel="0" collapsed="false">
      <c r="A5602" s="0" t="n">
        <v>5598</v>
      </c>
      <c r="B5602" s="0" t="n">
        <v>8</v>
      </c>
      <c r="C5602" s="19" t="n">
        <v>0</v>
      </c>
      <c r="D5602" s="19" t="n">
        <v>0.1497</v>
      </c>
      <c r="E5602" s="20" t="n">
        <f aca="false">Parametres!$B$5*C5602</f>
        <v>0</v>
      </c>
      <c r="F5602" s="20" t="n">
        <f aca="false">Parametres!$B$6*D5602</f>
        <v>29.94</v>
      </c>
      <c r="G5602" s="20" t="n">
        <f aca="false">E5602+F5602</f>
        <v>29.94</v>
      </c>
      <c r="H5602" s="20" t="n">
        <f aca="false">IF(G5602&lt;Parametres!$B$8*Parametres!$B$7,0,MIN(G5602,Parametres!$B$7))</f>
        <v>29.94</v>
      </c>
      <c r="I5602" s="20" t="n">
        <f aca="false">G5602-H5602</f>
        <v>0</v>
      </c>
      <c r="J5602" s="21" t="n">
        <f aca="false">H5602*1000/Parametres!$B$9</f>
        <v>507.715787688655</v>
      </c>
    </row>
    <row r="5603" customFormat="false" ht="15" hidden="false" customHeight="false" outlineLevel="0" collapsed="false">
      <c r="A5603" s="0" t="n">
        <v>5599</v>
      </c>
      <c r="B5603" s="0" t="n">
        <v>8</v>
      </c>
      <c r="C5603" s="19" t="n">
        <v>0.1513</v>
      </c>
      <c r="D5603" s="19" t="n">
        <v>0.1661</v>
      </c>
      <c r="E5603" s="20" t="n">
        <f aca="false">Parametres!$B$5*C5603</f>
        <v>45.39</v>
      </c>
      <c r="F5603" s="20" t="n">
        <f aca="false">Parametres!$B$6*D5603</f>
        <v>33.22</v>
      </c>
      <c r="G5603" s="20" t="n">
        <f aca="false">E5603+F5603</f>
        <v>78.61</v>
      </c>
      <c r="H5603" s="20" t="n">
        <f aca="false">IF(G5603&lt;Parametres!$B$8*Parametres!$B$7,0,MIN(G5603,Parametres!$B$7))</f>
        <v>78.61</v>
      </c>
      <c r="I5603" s="20" t="n">
        <f aca="false">G5603-H5603</f>
        <v>0</v>
      </c>
      <c r="J5603" s="21" t="n">
        <f aca="false">H5603*1000/Parametres!$B$9</f>
        <v>1333.05070374767</v>
      </c>
    </row>
    <row r="5604" customFormat="false" ht="15" hidden="false" customHeight="false" outlineLevel="0" collapsed="false">
      <c r="A5604" s="0" t="n">
        <v>5600</v>
      </c>
      <c r="B5604" s="0" t="n">
        <v>8</v>
      </c>
      <c r="C5604" s="19" t="n">
        <v>0.3327</v>
      </c>
      <c r="D5604" s="19" t="n">
        <v>0.3534</v>
      </c>
      <c r="E5604" s="20" t="n">
        <f aca="false">Parametres!$B$5*C5604</f>
        <v>99.81</v>
      </c>
      <c r="F5604" s="20" t="n">
        <f aca="false">Parametres!$B$6*D5604</f>
        <v>70.68</v>
      </c>
      <c r="G5604" s="20" t="n">
        <f aca="false">E5604+F5604</f>
        <v>170.49</v>
      </c>
      <c r="H5604" s="20" t="n">
        <f aca="false">IF(G5604&lt;Parametres!$B$8*Parametres!$B$7,0,MIN(G5604,Parametres!$B$7))</f>
        <v>170.49</v>
      </c>
      <c r="I5604" s="20" t="n">
        <f aca="false">G5604-H5604</f>
        <v>0</v>
      </c>
      <c r="J5604" s="21" t="n">
        <f aca="false">H5604*1000/Parametres!$B$9</f>
        <v>2891.13108360183</v>
      </c>
    </row>
    <row r="5605" customFormat="false" ht="15" hidden="false" customHeight="false" outlineLevel="0" collapsed="false">
      <c r="A5605" s="0" t="n">
        <v>5601</v>
      </c>
      <c r="B5605" s="0" t="n">
        <v>8</v>
      </c>
      <c r="C5605" s="19" t="n">
        <v>0.5193</v>
      </c>
      <c r="D5605" s="19" t="n">
        <v>0.4961</v>
      </c>
      <c r="E5605" s="20" t="n">
        <f aca="false">Parametres!$B$5*C5605</f>
        <v>155.79</v>
      </c>
      <c r="F5605" s="20" t="n">
        <f aca="false">Parametres!$B$6*D5605</f>
        <v>99.22</v>
      </c>
      <c r="G5605" s="20" t="n">
        <f aca="false">E5605+F5605</f>
        <v>255.01</v>
      </c>
      <c r="H5605" s="20" t="n">
        <f aca="false">IF(G5605&lt;Parametres!$B$8*Parametres!$B$7,0,MIN(G5605,Parametres!$B$7))</f>
        <v>250</v>
      </c>
      <c r="I5605" s="20" t="n">
        <f aca="false">G5605-H5605</f>
        <v>5.00999999999999</v>
      </c>
      <c r="J5605" s="21" t="n">
        <f aca="false">H5605*1000/Parametres!$B$9</f>
        <v>4239.44378497541</v>
      </c>
    </row>
    <row r="5606" customFormat="false" ht="15" hidden="false" customHeight="false" outlineLevel="0" collapsed="false">
      <c r="A5606" s="0" t="n">
        <v>5602</v>
      </c>
      <c r="B5606" s="0" t="n">
        <v>8</v>
      </c>
      <c r="C5606" s="19" t="n">
        <v>0.6673</v>
      </c>
      <c r="D5606" s="19" t="n">
        <v>0.8279</v>
      </c>
      <c r="E5606" s="20" t="n">
        <f aca="false">Parametres!$B$5*C5606</f>
        <v>200.19</v>
      </c>
      <c r="F5606" s="20" t="n">
        <f aca="false">Parametres!$B$6*D5606</f>
        <v>165.58</v>
      </c>
      <c r="G5606" s="20" t="n">
        <f aca="false">E5606+F5606</f>
        <v>365.77</v>
      </c>
      <c r="H5606" s="20" t="n">
        <f aca="false">IF(G5606&lt;Parametres!$B$8*Parametres!$B$7,0,MIN(G5606,Parametres!$B$7))</f>
        <v>250</v>
      </c>
      <c r="I5606" s="20" t="n">
        <f aca="false">G5606-H5606</f>
        <v>115.77</v>
      </c>
      <c r="J5606" s="21" t="n">
        <f aca="false">H5606*1000/Parametres!$B$9</f>
        <v>4239.44378497541</v>
      </c>
    </row>
    <row r="5607" customFormat="false" ht="15" hidden="false" customHeight="false" outlineLevel="0" collapsed="false">
      <c r="A5607" s="0" t="n">
        <v>5603</v>
      </c>
      <c r="B5607" s="0" t="n">
        <v>8</v>
      </c>
      <c r="C5607" s="19" t="n">
        <v>0.8391</v>
      </c>
      <c r="D5607" s="19" t="n">
        <v>0.8267</v>
      </c>
      <c r="E5607" s="20" t="n">
        <f aca="false">Parametres!$B$5*C5607</f>
        <v>251.73</v>
      </c>
      <c r="F5607" s="20" t="n">
        <f aca="false">Parametres!$B$6*D5607</f>
        <v>165.34</v>
      </c>
      <c r="G5607" s="20" t="n">
        <f aca="false">E5607+F5607</f>
        <v>417.07</v>
      </c>
      <c r="H5607" s="20" t="n">
        <f aca="false">IF(G5607&lt;Parametres!$B$8*Parametres!$B$7,0,MIN(G5607,Parametres!$B$7))</f>
        <v>250</v>
      </c>
      <c r="I5607" s="20" t="n">
        <f aca="false">G5607-H5607</f>
        <v>167.07</v>
      </c>
      <c r="J5607" s="21" t="n">
        <f aca="false">H5607*1000/Parametres!$B$9</f>
        <v>4239.44378497541</v>
      </c>
    </row>
    <row r="5608" customFormat="false" ht="15" hidden="false" customHeight="false" outlineLevel="0" collapsed="false">
      <c r="A5608" s="0" t="n">
        <v>5604</v>
      </c>
      <c r="B5608" s="0" t="n">
        <v>8</v>
      </c>
      <c r="C5608" s="19" t="n">
        <v>0.8319</v>
      </c>
      <c r="D5608" s="19" t="n">
        <v>0.7872</v>
      </c>
      <c r="E5608" s="20" t="n">
        <f aca="false">Parametres!$B$5*C5608</f>
        <v>249.57</v>
      </c>
      <c r="F5608" s="20" t="n">
        <f aca="false">Parametres!$B$6*D5608</f>
        <v>157.44</v>
      </c>
      <c r="G5608" s="20" t="n">
        <f aca="false">E5608+F5608</f>
        <v>407.01</v>
      </c>
      <c r="H5608" s="20" t="n">
        <f aca="false">IF(G5608&lt;Parametres!$B$8*Parametres!$B$7,0,MIN(G5608,Parametres!$B$7))</f>
        <v>250</v>
      </c>
      <c r="I5608" s="20" t="n">
        <f aca="false">G5608-H5608</f>
        <v>157.01</v>
      </c>
      <c r="J5608" s="21" t="n">
        <f aca="false">H5608*1000/Parametres!$B$9</f>
        <v>4239.44378497541</v>
      </c>
    </row>
    <row r="5609" customFormat="false" ht="15" hidden="false" customHeight="false" outlineLevel="0" collapsed="false">
      <c r="A5609" s="0" t="n">
        <v>5605</v>
      </c>
      <c r="B5609" s="0" t="n">
        <v>8</v>
      </c>
      <c r="C5609" s="19" t="n">
        <v>0.8346</v>
      </c>
      <c r="D5609" s="19" t="n">
        <v>1</v>
      </c>
      <c r="E5609" s="20" t="n">
        <f aca="false">Parametres!$B$5*C5609</f>
        <v>250.38</v>
      </c>
      <c r="F5609" s="20" t="n">
        <f aca="false">Parametres!$B$6*D5609</f>
        <v>200</v>
      </c>
      <c r="G5609" s="20" t="n">
        <f aca="false">E5609+F5609</f>
        <v>450.38</v>
      </c>
      <c r="H5609" s="20" t="n">
        <f aca="false">IF(G5609&lt;Parametres!$B$8*Parametres!$B$7,0,MIN(G5609,Parametres!$B$7))</f>
        <v>250</v>
      </c>
      <c r="I5609" s="20" t="n">
        <f aca="false">G5609-H5609</f>
        <v>200.38</v>
      </c>
      <c r="J5609" s="21" t="n">
        <f aca="false">H5609*1000/Parametres!$B$9</f>
        <v>4239.44378497541</v>
      </c>
    </row>
    <row r="5610" customFormat="false" ht="15" hidden="false" customHeight="false" outlineLevel="0" collapsed="false">
      <c r="A5610" s="0" t="n">
        <v>5606</v>
      </c>
      <c r="B5610" s="0" t="n">
        <v>8</v>
      </c>
      <c r="C5610" s="19" t="n">
        <v>0.794</v>
      </c>
      <c r="D5610" s="19" t="n">
        <v>1</v>
      </c>
      <c r="E5610" s="20" t="n">
        <f aca="false">Parametres!$B$5*C5610</f>
        <v>238.2</v>
      </c>
      <c r="F5610" s="20" t="n">
        <f aca="false">Parametres!$B$6*D5610</f>
        <v>200</v>
      </c>
      <c r="G5610" s="20" t="n">
        <f aca="false">E5610+F5610</f>
        <v>438.2</v>
      </c>
      <c r="H5610" s="20" t="n">
        <f aca="false">IF(G5610&lt;Parametres!$B$8*Parametres!$B$7,0,MIN(G5610,Parametres!$B$7))</f>
        <v>250</v>
      </c>
      <c r="I5610" s="20" t="n">
        <f aca="false">G5610-H5610</f>
        <v>188.2</v>
      </c>
      <c r="J5610" s="21" t="n">
        <f aca="false">H5610*1000/Parametres!$B$9</f>
        <v>4239.44378497541</v>
      </c>
    </row>
    <row r="5611" customFormat="false" ht="15" hidden="false" customHeight="false" outlineLevel="0" collapsed="false">
      <c r="A5611" s="0" t="n">
        <v>5607</v>
      </c>
      <c r="B5611" s="0" t="n">
        <v>8</v>
      </c>
      <c r="C5611" s="19" t="n">
        <v>0.6519</v>
      </c>
      <c r="D5611" s="19" t="n">
        <v>1</v>
      </c>
      <c r="E5611" s="20" t="n">
        <f aca="false">Parametres!$B$5*C5611</f>
        <v>195.57</v>
      </c>
      <c r="F5611" s="20" t="n">
        <f aca="false">Parametres!$B$6*D5611</f>
        <v>200</v>
      </c>
      <c r="G5611" s="20" t="n">
        <f aca="false">E5611+F5611</f>
        <v>395.57</v>
      </c>
      <c r="H5611" s="20" t="n">
        <f aca="false">IF(G5611&lt;Parametres!$B$8*Parametres!$B$7,0,MIN(G5611,Parametres!$B$7))</f>
        <v>250</v>
      </c>
      <c r="I5611" s="20" t="n">
        <f aca="false">G5611-H5611</f>
        <v>145.57</v>
      </c>
      <c r="J5611" s="21" t="n">
        <f aca="false">H5611*1000/Parametres!$B$9</f>
        <v>4239.44378497541</v>
      </c>
    </row>
    <row r="5612" customFormat="false" ht="15" hidden="false" customHeight="false" outlineLevel="0" collapsed="false">
      <c r="A5612" s="0" t="n">
        <v>5608</v>
      </c>
      <c r="B5612" s="0" t="n">
        <v>8</v>
      </c>
      <c r="C5612" s="19" t="n">
        <v>0.5053</v>
      </c>
      <c r="D5612" s="19" t="n">
        <v>1</v>
      </c>
      <c r="E5612" s="20" t="n">
        <f aca="false">Parametres!$B$5*C5612</f>
        <v>151.59</v>
      </c>
      <c r="F5612" s="20" t="n">
        <f aca="false">Parametres!$B$6*D5612</f>
        <v>200</v>
      </c>
      <c r="G5612" s="20" t="n">
        <f aca="false">E5612+F5612</f>
        <v>351.59</v>
      </c>
      <c r="H5612" s="20" t="n">
        <f aca="false">IF(G5612&lt;Parametres!$B$8*Parametres!$B$7,0,MIN(G5612,Parametres!$B$7))</f>
        <v>250</v>
      </c>
      <c r="I5612" s="20" t="n">
        <f aca="false">G5612-H5612</f>
        <v>101.59</v>
      </c>
      <c r="J5612" s="21" t="n">
        <f aca="false">H5612*1000/Parametres!$B$9</f>
        <v>4239.44378497541</v>
      </c>
    </row>
    <row r="5613" customFormat="false" ht="15" hidden="false" customHeight="false" outlineLevel="0" collapsed="false">
      <c r="A5613" s="0" t="n">
        <v>5609</v>
      </c>
      <c r="B5613" s="0" t="n">
        <v>8</v>
      </c>
      <c r="C5613" s="19" t="n">
        <v>0.344</v>
      </c>
      <c r="D5613" s="19" t="n">
        <v>1</v>
      </c>
      <c r="E5613" s="20" t="n">
        <f aca="false">Parametres!$B$5*C5613</f>
        <v>103.2</v>
      </c>
      <c r="F5613" s="20" t="n">
        <f aca="false">Parametres!$B$6*D5613</f>
        <v>200</v>
      </c>
      <c r="G5613" s="20" t="n">
        <f aca="false">E5613+F5613</f>
        <v>303.2</v>
      </c>
      <c r="H5613" s="20" t="n">
        <f aca="false">IF(G5613&lt;Parametres!$B$8*Parametres!$B$7,0,MIN(G5613,Parametres!$B$7))</f>
        <v>250</v>
      </c>
      <c r="I5613" s="20" t="n">
        <f aca="false">G5613-H5613</f>
        <v>53.2</v>
      </c>
      <c r="J5613" s="21" t="n">
        <f aca="false">H5613*1000/Parametres!$B$9</f>
        <v>4239.44378497541</v>
      </c>
    </row>
    <row r="5614" customFormat="false" ht="15" hidden="false" customHeight="false" outlineLevel="0" collapsed="false">
      <c r="A5614" s="0" t="n">
        <v>5610</v>
      </c>
      <c r="B5614" s="0" t="n">
        <v>8</v>
      </c>
      <c r="C5614" s="19" t="n">
        <v>0.1515</v>
      </c>
      <c r="D5614" s="19" t="n">
        <v>1</v>
      </c>
      <c r="E5614" s="20" t="n">
        <f aca="false">Parametres!$B$5*C5614</f>
        <v>45.45</v>
      </c>
      <c r="F5614" s="20" t="n">
        <f aca="false">Parametres!$B$6*D5614</f>
        <v>200</v>
      </c>
      <c r="G5614" s="20" t="n">
        <f aca="false">E5614+F5614</f>
        <v>245.45</v>
      </c>
      <c r="H5614" s="20" t="n">
        <f aca="false">IF(G5614&lt;Parametres!$B$8*Parametres!$B$7,0,MIN(G5614,Parametres!$B$7))</f>
        <v>245.45</v>
      </c>
      <c r="I5614" s="20" t="n">
        <f aca="false">G5614-H5614</f>
        <v>0</v>
      </c>
      <c r="J5614" s="21" t="n">
        <f aca="false">H5614*1000/Parametres!$B$9</f>
        <v>4162.28590808886</v>
      </c>
    </row>
    <row r="5615" customFormat="false" ht="15" hidden="false" customHeight="false" outlineLevel="0" collapsed="false">
      <c r="A5615" s="0" t="n">
        <v>5611</v>
      </c>
      <c r="B5615" s="0" t="n">
        <v>8</v>
      </c>
      <c r="C5615" s="19" t="n">
        <v>0</v>
      </c>
      <c r="D5615" s="19" t="n">
        <v>1</v>
      </c>
      <c r="E5615" s="20" t="n">
        <f aca="false">Parametres!$B$5*C5615</f>
        <v>0</v>
      </c>
      <c r="F5615" s="20" t="n">
        <f aca="false">Parametres!$B$6*D5615</f>
        <v>200</v>
      </c>
      <c r="G5615" s="20" t="n">
        <f aca="false">E5615+F5615</f>
        <v>200</v>
      </c>
      <c r="H5615" s="20" t="n">
        <f aca="false">IF(G5615&lt;Parametres!$B$8*Parametres!$B$7,0,MIN(G5615,Parametres!$B$7))</f>
        <v>200</v>
      </c>
      <c r="I5615" s="20" t="n">
        <f aca="false">G5615-H5615</f>
        <v>0</v>
      </c>
      <c r="J5615" s="21" t="n">
        <f aca="false">H5615*1000/Parametres!$B$9</f>
        <v>3391.55502798033</v>
      </c>
    </row>
    <row r="5616" customFormat="false" ht="15" hidden="false" customHeight="false" outlineLevel="0" collapsed="false">
      <c r="A5616" s="0" t="n">
        <v>5612</v>
      </c>
      <c r="B5616" s="0" t="n">
        <v>8</v>
      </c>
      <c r="C5616" s="19" t="n">
        <v>0</v>
      </c>
      <c r="D5616" s="19" t="n">
        <v>1</v>
      </c>
      <c r="E5616" s="20" t="n">
        <f aca="false">Parametres!$B$5*C5616</f>
        <v>0</v>
      </c>
      <c r="F5616" s="20" t="n">
        <f aca="false">Parametres!$B$6*D5616</f>
        <v>200</v>
      </c>
      <c r="G5616" s="20" t="n">
        <f aca="false">E5616+F5616</f>
        <v>200</v>
      </c>
      <c r="H5616" s="20" t="n">
        <f aca="false">IF(G5616&lt;Parametres!$B$8*Parametres!$B$7,0,MIN(G5616,Parametres!$B$7))</f>
        <v>200</v>
      </c>
      <c r="I5616" s="20" t="n">
        <f aca="false">G5616-H5616</f>
        <v>0</v>
      </c>
      <c r="J5616" s="21" t="n">
        <f aca="false">H5616*1000/Parametres!$B$9</f>
        <v>3391.55502798033</v>
      </c>
    </row>
    <row r="5617" customFormat="false" ht="15" hidden="false" customHeight="false" outlineLevel="0" collapsed="false">
      <c r="A5617" s="0" t="n">
        <v>5613</v>
      </c>
      <c r="B5617" s="0" t="n">
        <v>8</v>
      </c>
      <c r="C5617" s="19" t="n">
        <v>0</v>
      </c>
      <c r="D5617" s="19" t="n">
        <v>1</v>
      </c>
      <c r="E5617" s="20" t="n">
        <f aca="false">Parametres!$B$5*C5617</f>
        <v>0</v>
      </c>
      <c r="F5617" s="20" t="n">
        <f aca="false">Parametres!$B$6*D5617</f>
        <v>200</v>
      </c>
      <c r="G5617" s="20" t="n">
        <f aca="false">E5617+F5617</f>
        <v>200</v>
      </c>
      <c r="H5617" s="20" t="n">
        <f aca="false">IF(G5617&lt;Parametres!$B$8*Parametres!$B$7,0,MIN(G5617,Parametres!$B$7))</f>
        <v>200</v>
      </c>
      <c r="I5617" s="20" t="n">
        <f aca="false">G5617-H5617</f>
        <v>0</v>
      </c>
      <c r="J5617" s="21" t="n">
        <f aca="false">H5617*1000/Parametres!$B$9</f>
        <v>3391.55502798033</v>
      </c>
    </row>
    <row r="5618" customFormat="false" ht="15" hidden="false" customHeight="false" outlineLevel="0" collapsed="false">
      <c r="A5618" s="0" t="n">
        <v>5614</v>
      </c>
      <c r="B5618" s="0" t="n">
        <v>8</v>
      </c>
      <c r="C5618" s="19" t="n">
        <v>0</v>
      </c>
      <c r="D5618" s="19" t="n">
        <v>1</v>
      </c>
      <c r="E5618" s="20" t="n">
        <f aca="false">Parametres!$B$5*C5618</f>
        <v>0</v>
      </c>
      <c r="F5618" s="20" t="n">
        <f aca="false">Parametres!$B$6*D5618</f>
        <v>200</v>
      </c>
      <c r="G5618" s="20" t="n">
        <f aca="false">E5618+F5618</f>
        <v>200</v>
      </c>
      <c r="H5618" s="20" t="n">
        <f aca="false">IF(G5618&lt;Parametres!$B$8*Parametres!$B$7,0,MIN(G5618,Parametres!$B$7))</f>
        <v>200</v>
      </c>
      <c r="I5618" s="20" t="n">
        <f aca="false">G5618-H5618</f>
        <v>0</v>
      </c>
      <c r="J5618" s="21" t="n">
        <f aca="false">H5618*1000/Parametres!$B$9</f>
        <v>3391.55502798033</v>
      </c>
    </row>
    <row r="5619" customFormat="false" ht="15" hidden="false" customHeight="false" outlineLevel="0" collapsed="false">
      <c r="A5619" s="0" t="n">
        <v>5615</v>
      </c>
      <c r="B5619" s="0" t="n">
        <v>8</v>
      </c>
      <c r="C5619" s="19" t="n">
        <v>0</v>
      </c>
      <c r="D5619" s="19" t="n">
        <v>1</v>
      </c>
      <c r="E5619" s="20" t="n">
        <f aca="false">Parametres!$B$5*C5619</f>
        <v>0</v>
      </c>
      <c r="F5619" s="20" t="n">
        <f aca="false">Parametres!$B$6*D5619</f>
        <v>200</v>
      </c>
      <c r="G5619" s="20" t="n">
        <f aca="false">E5619+F5619</f>
        <v>200</v>
      </c>
      <c r="H5619" s="20" t="n">
        <f aca="false">IF(G5619&lt;Parametres!$B$8*Parametres!$B$7,0,MIN(G5619,Parametres!$B$7))</f>
        <v>200</v>
      </c>
      <c r="I5619" s="20" t="n">
        <f aca="false">G5619-H5619</f>
        <v>0</v>
      </c>
      <c r="J5619" s="21" t="n">
        <f aca="false">H5619*1000/Parametres!$B$9</f>
        <v>3391.55502798033</v>
      </c>
    </row>
    <row r="5620" customFormat="false" ht="15" hidden="false" customHeight="false" outlineLevel="0" collapsed="false">
      <c r="A5620" s="0" t="n">
        <v>5616</v>
      </c>
      <c r="B5620" s="0" t="n">
        <v>8</v>
      </c>
      <c r="C5620" s="19" t="n">
        <v>0</v>
      </c>
      <c r="D5620" s="19" t="n">
        <v>1</v>
      </c>
      <c r="E5620" s="20" t="n">
        <f aca="false">Parametres!$B$5*C5620</f>
        <v>0</v>
      </c>
      <c r="F5620" s="20" t="n">
        <f aca="false">Parametres!$B$6*D5620</f>
        <v>200</v>
      </c>
      <c r="G5620" s="20" t="n">
        <f aca="false">E5620+F5620</f>
        <v>200</v>
      </c>
      <c r="H5620" s="20" t="n">
        <f aca="false">IF(G5620&lt;Parametres!$B$8*Parametres!$B$7,0,MIN(G5620,Parametres!$B$7))</f>
        <v>200</v>
      </c>
      <c r="I5620" s="20" t="n">
        <f aca="false">G5620-H5620</f>
        <v>0</v>
      </c>
      <c r="J5620" s="21" t="n">
        <f aca="false">H5620*1000/Parametres!$B$9</f>
        <v>3391.55502798033</v>
      </c>
    </row>
    <row r="5621" customFormat="false" ht="15" hidden="false" customHeight="false" outlineLevel="0" collapsed="false">
      <c r="A5621" s="0" t="n">
        <v>5617</v>
      </c>
      <c r="B5621" s="0" t="n">
        <v>8</v>
      </c>
      <c r="C5621" s="19" t="n">
        <v>0</v>
      </c>
      <c r="D5621" s="19" t="n">
        <v>0.9844</v>
      </c>
      <c r="E5621" s="20" t="n">
        <f aca="false">Parametres!$B$5*C5621</f>
        <v>0</v>
      </c>
      <c r="F5621" s="20" t="n">
        <f aca="false">Parametres!$B$6*D5621</f>
        <v>196.88</v>
      </c>
      <c r="G5621" s="20" t="n">
        <f aca="false">E5621+F5621</f>
        <v>196.88</v>
      </c>
      <c r="H5621" s="20" t="n">
        <f aca="false">IF(G5621&lt;Parametres!$B$8*Parametres!$B$7,0,MIN(G5621,Parametres!$B$7))</f>
        <v>196.88</v>
      </c>
      <c r="I5621" s="20" t="n">
        <f aca="false">G5621-H5621</f>
        <v>0</v>
      </c>
      <c r="J5621" s="21" t="n">
        <f aca="false">H5621*1000/Parametres!$B$9</f>
        <v>3338.64676954384</v>
      </c>
    </row>
    <row r="5622" customFormat="false" ht="15" hidden="false" customHeight="false" outlineLevel="0" collapsed="false">
      <c r="A5622" s="0" t="n">
        <v>5618</v>
      </c>
      <c r="B5622" s="0" t="n">
        <v>8</v>
      </c>
      <c r="C5622" s="19" t="n">
        <v>0</v>
      </c>
      <c r="D5622" s="19" t="n">
        <v>0.9291</v>
      </c>
      <c r="E5622" s="20" t="n">
        <f aca="false">Parametres!$B$5*C5622</f>
        <v>0</v>
      </c>
      <c r="F5622" s="20" t="n">
        <f aca="false">Parametres!$B$6*D5622</f>
        <v>185.82</v>
      </c>
      <c r="G5622" s="20" t="n">
        <f aca="false">E5622+F5622</f>
        <v>185.82</v>
      </c>
      <c r="H5622" s="20" t="n">
        <f aca="false">IF(G5622&lt;Parametres!$B$8*Parametres!$B$7,0,MIN(G5622,Parametres!$B$7))</f>
        <v>185.82</v>
      </c>
      <c r="I5622" s="20" t="n">
        <f aca="false">G5622-H5622</f>
        <v>0</v>
      </c>
      <c r="J5622" s="21" t="n">
        <f aca="false">H5622*1000/Parametres!$B$9</f>
        <v>3151.09377649652</v>
      </c>
    </row>
    <row r="5623" customFormat="false" ht="15" hidden="false" customHeight="false" outlineLevel="0" collapsed="false">
      <c r="A5623" s="0" t="n">
        <v>5619</v>
      </c>
      <c r="B5623" s="0" t="n">
        <v>8</v>
      </c>
      <c r="C5623" s="19" t="n">
        <v>0</v>
      </c>
      <c r="D5623" s="19" t="n">
        <v>1</v>
      </c>
      <c r="E5623" s="20" t="n">
        <f aca="false">Parametres!$B$5*C5623</f>
        <v>0</v>
      </c>
      <c r="F5623" s="20" t="n">
        <f aca="false">Parametres!$B$6*D5623</f>
        <v>200</v>
      </c>
      <c r="G5623" s="20" t="n">
        <f aca="false">E5623+F5623</f>
        <v>200</v>
      </c>
      <c r="H5623" s="20" t="n">
        <f aca="false">IF(G5623&lt;Parametres!$B$8*Parametres!$B$7,0,MIN(G5623,Parametres!$B$7))</f>
        <v>200</v>
      </c>
      <c r="I5623" s="20" t="n">
        <f aca="false">G5623-H5623</f>
        <v>0</v>
      </c>
      <c r="J5623" s="21" t="n">
        <f aca="false">H5623*1000/Parametres!$B$9</f>
        <v>3391.55502798033</v>
      </c>
    </row>
    <row r="5624" customFormat="false" ht="15" hidden="false" customHeight="false" outlineLevel="0" collapsed="false">
      <c r="A5624" s="0" t="n">
        <v>5620</v>
      </c>
      <c r="B5624" s="0" t="n">
        <v>8</v>
      </c>
      <c r="C5624" s="19" t="n">
        <v>0</v>
      </c>
      <c r="D5624" s="19" t="n">
        <v>1</v>
      </c>
      <c r="E5624" s="20" t="n">
        <f aca="false">Parametres!$B$5*C5624</f>
        <v>0</v>
      </c>
      <c r="F5624" s="20" t="n">
        <f aca="false">Parametres!$B$6*D5624</f>
        <v>200</v>
      </c>
      <c r="G5624" s="20" t="n">
        <f aca="false">E5624+F5624</f>
        <v>200</v>
      </c>
      <c r="H5624" s="20" t="n">
        <f aca="false">IF(G5624&lt;Parametres!$B$8*Parametres!$B$7,0,MIN(G5624,Parametres!$B$7))</f>
        <v>200</v>
      </c>
      <c r="I5624" s="20" t="n">
        <f aca="false">G5624-H5624</f>
        <v>0</v>
      </c>
      <c r="J5624" s="21" t="n">
        <f aca="false">H5624*1000/Parametres!$B$9</f>
        <v>3391.55502798033</v>
      </c>
    </row>
    <row r="5625" customFormat="false" ht="15" hidden="false" customHeight="false" outlineLevel="0" collapsed="false">
      <c r="A5625" s="0" t="n">
        <v>5621</v>
      </c>
      <c r="B5625" s="0" t="n">
        <v>8</v>
      </c>
      <c r="C5625" s="19" t="n">
        <v>0</v>
      </c>
      <c r="D5625" s="19" t="n">
        <v>1</v>
      </c>
      <c r="E5625" s="20" t="n">
        <f aca="false">Parametres!$B$5*C5625</f>
        <v>0</v>
      </c>
      <c r="F5625" s="20" t="n">
        <f aca="false">Parametres!$B$6*D5625</f>
        <v>200</v>
      </c>
      <c r="G5625" s="20" t="n">
        <f aca="false">E5625+F5625</f>
        <v>200</v>
      </c>
      <c r="H5625" s="20" t="n">
        <f aca="false">IF(G5625&lt;Parametres!$B$8*Parametres!$B$7,0,MIN(G5625,Parametres!$B$7))</f>
        <v>200</v>
      </c>
      <c r="I5625" s="20" t="n">
        <f aca="false">G5625-H5625</f>
        <v>0</v>
      </c>
      <c r="J5625" s="21" t="n">
        <f aca="false">H5625*1000/Parametres!$B$9</f>
        <v>3391.55502798033</v>
      </c>
    </row>
    <row r="5626" customFormat="false" ht="15" hidden="false" customHeight="false" outlineLevel="0" collapsed="false">
      <c r="A5626" s="0" t="n">
        <v>5622</v>
      </c>
      <c r="B5626" s="0" t="n">
        <v>8</v>
      </c>
      <c r="C5626" s="19" t="n">
        <v>0</v>
      </c>
      <c r="D5626" s="19" t="n">
        <v>1</v>
      </c>
      <c r="E5626" s="20" t="n">
        <f aca="false">Parametres!$B$5*C5626</f>
        <v>0</v>
      </c>
      <c r="F5626" s="20" t="n">
        <f aca="false">Parametres!$B$6*D5626</f>
        <v>200</v>
      </c>
      <c r="G5626" s="20" t="n">
        <f aca="false">E5626+F5626</f>
        <v>200</v>
      </c>
      <c r="H5626" s="20" t="n">
        <f aca="false">IF(G5626&lt;Parametres!$B$8*Parametres!$B$7,0,MIN(G5626,Parametres!$B$7))</f>
        <v>200</v>
      </c>
      <c r="I5626" s="20" t="n">
        <f aca="false">G5626-H5626</f>
        <v>0</v>
      </c>
      <c r="J5626" s="21" t="n">
        <f aca="false">H5626*1000/Parametres!$B$9</f>
        <v>3391.55502798033</v>
      </c>
    </row>
    <row r="5627" customFormat="false" ht="15" hidden="false" customHeight="false" outlineLevel="0" collapsed="false">
      <c r="A5627" s="0" t="n">
        <v>5623</v>
      </c>
      <c r="B5627" s="0" t="n">
        <v>8</v>
      </c>
      <c r="C5627" s="19" t="n">
        <v>0.2</v>
      </c>
      <c r="D5627" s="19" t="n">
        <v>1</v>
      </c>
      <c r="E5627" s="20" t="n">
        <f aca="false">Parametres!$B$5*C5627</f>
        <v>60</v>
      </c>
      <c r="F5627" s="20" t="n">
        <f aca="false">Parametres!$B$6*D5627</f>
        <v>200</v>
      </c>
      <c r="G5627" s="20" t="n">
        <f aca="false">E5627+F5627</f>
        <v>260</v>
      </c>
      <c r="H5627" s="20" t="n">
        <f aca="false">IF(G5627&lt;Parametres!$B$8*Parametres!$B$7,0,MIN(G5627,Parametres!$B$7))</f>
        <v>250</v>
      </c>
      <c r="I5627" s="20" t="n">
        <f aca="false">G5627-H5627</f>
        <v>10</v>
      </c>
      <c r="J5627" s="21" t="n">
        <f aca="false">H5627*1000/Parametres!$B$9</f>
        <v>4239.44378497541</v>
      </c>
    </row>
    <row r="5628" customFormat="false" ht="15" hidden="false" customHeight="false" outlineLevel="0" collapsed="false">
      <c r="A5628" s="0" t="n">
        <v>5624</v>
      </c>
      <c r="B5628" s="0" t="n">
        <v>8</v>
      </c>
      <c r="C5628" s="19" t="n">
        <v>0.4888</v>
      </c>
      <c r="D5628" s="19" t="n">
        <v>1</v>
      </c>
      <c r="E5628" s="20" t="n">
        <f aca="false">Parametres!$B$5*C5628</f>
        <v>146.64</v>
      </c>
      <c r="F5628" s="20" t="n">
        <f aca="false">Parametres!$B$6*D5628</f>
        <v>200</v>
      </c>
      <c r="G5628" s="20" t="n">
        <f aca="false">E5628+F5628</f>
        <v>346.64</v>
      </c>
      <c r="H5628" s="20" t="n">
        <f aca="false">IF(G5628&lt;Parametres!$B$8*Parametres!$B$7,0,MIN(G5628,Parametres!$B$7))</f>
        <v>250</v>
      </c>
      <c r="I5628" s="20" t="n">
        <f aca="false">G5628-H5628</f>
        <v>96.64</v>
      </c>
      <c r="J5628" s="21" t="n">
        <f aca="false">H5628*1000/Parametres!$B$9</f>
        <v>4239.44378497541</v>
      </c>
    </row>
    <row r="5629" customFormat="false" ht="15" hidden="false" customHeight="false" outlineLevel="0" collapsed="false">
      <c r="A5629" s="0" t="n">
        <v>5625</v>
      </c>
      <c r="B5629" s="0" t="n">
        <v>8</v>
      </c>
      <c r="C5629" s="19" t="n">
        <v>0.7754</v>
      </c>
      <c r="D5629" s="19" t="n">
        <v>1</v>
      </c>
      <c r="E5629" s="20" t="n">
        <f aca="false">Parametres!$B$5*C5629</f>
        <v>232.62</v>
      </c>
      <c r="F5629" s="20" t="n">
        <f aca="false">Parametres!$B$6*D5629</f>
        <v>200</v>
      </c>
      <c r="G5629" s="20" t="n">
        <f aca="false">E5629+F5629</f>
        <v>432.62</v>
      </c>
      <c r="H5629" s="20" t="n">
        <f aca="false">IF(G5629&lt;Parametres!$B$8*Parametres!$B$7,0,MIN(G5629,Parametres!$B$7))</f>
        <v>250</v>
      </c>
      <c r="I5629" s="20" t="n">
        <f aca="false">G5629-H5629</f>
        <v>182.62</v>
      </c>
      <c r="J5629" s="21" t="n">
        <f aca="false">H5629*1000/Parametres!$B$9</f>
        <v>4239.44378497541</v>
      </c>
    </row>
    <row r="5630" customFormat="false" ht="15" hidden="false" customHeight="false" outlineLevel="0" collapsed="false">
      <c r="A5630" s="0" t="n">
        <v>5626</v>
      </c>
      <c r="B5630" s="0" t="n">
        <v>8</v>
      </c>
      <c r="C5630" s="19" t="n">
        <v>0.9072</v>
      </c>
      <c r="D5630" s="19" t="n">
        <v>1</v>
      </c>
      <c r="E5630" s="20" t="n">
        <f aca="false">Parametres!$B$5*C5630</f>
        <v>272.16</v>
      </c>
      <c r="F5630" s="20" t="n">
        <f aca="false">Parametres!$B$6*D5630</f>
        <v>200</v>
      </c>
      <c r="G5630" s="20" t="n">
        <f aca="false">E5630+F5630</f>
        <v>472.16</v>
      </c>
      <c r="H5630" s="20" t="n">
        <f aca="false">IF(G5630&lt;Parametres!$B$8*Parametres!$B$7,0,MIN(G5630,Parametres!$B$7))</f>
        <v>250</v>
      </c>
      <c r="I5630" s="20" t="n">
        <f aca="false">G5630-H5630</f>
        <v>222.16</v>
      </c>
      <c r="J5630" s="21" t="n">
        <f aca="false">H5630*1000/Parametres!$B$9</f>
        <v>4239.44378497541</v>
      </c>
    </row>
    <row r="5631" customFormat="false" ht="15" hidden="false" customHeight="false" outlineLevel="0" collapsed="false">
      <c r="A5631" s="0" t="n">
        <v>5627</v>
      </c>
      <c r="B5631" s="0" t="n">
        <v>8</v>
      </c>
      <c r="C5631" s="19" t="n">
        <v>1</v>
      </c>
      <c r="D5631" s="19" t="n">
        <v>1</v>
      </c>
      <c r="E5631" s="20" t="n">
        <f aca="false">Parametres!$B$5*C5631</f>
        <v>300</v>
      </c>
      <c r="F5631" s="20" t="n">
        <f aca="false">Parametres!$B$6*D5631</f>
        <v>200</v>
      </c>
      <c r="G5631" s="20" t="n">
        <f aca="false">E5631+F5631</f>
        <v>500</v>
      </c>
      <c r="H5631" s="20" t="n">
        <f aca="false">IF(G5631&lt;Parametres!$B$8*Parametres!$B$7,0,MIN(G5631,Parametres!$B$7))</f>
        <v>250</v>
      </c>
      <c r="I5631" s="20" t="n">
        <f aca="false">G5631-H5631</f>
        <v>250</v>
      </c>
      <c r="J5631" s="21" t="n">
        <f aca="false">H5631*1000/Parametres!$B$9</f>
        <v>4239.44378497541</v>
      </c>
    </row>
    <row r="5632" customFormat="false" ht="15" hidden="false" customHeight="false" outlineLevel="0" collapsed="false">
      <c r="A5632" s="0" t="n">
        <v>5628</v>
      </c>
      <c r="B5632" s="0" t="n">
        <v>8</v>
      </c>
      <c r="C5632" s="19" t="n">
        <v>1</v>
      </c>
      <c r="D5632" s="19" t="n">
        <v>1</v>
      </c>
      <c r="E5632" s="20" t="n">
        <f aca="false">Parametres!$B$5*C5632</f>
        <v>300</v>
      </c>
      <c r="F5632" s="20" t="n">
        <f aca="false">Parametres!$B$6*D5632</f>
        <v>200</v>
      </c>
      <c r="G5632" s="20" t="n">
        <f aca="false">E5632+F5632</f>
        <v>500</v>
      </c>
      <c r="H5632" s="20" t="n">
        <f aca="false">IF(G5632&lt;Parametres!$B$8*Parametres!$B$7,0,MIN(G5632,Parametres!$B$7))</f>
        <v>250</v>
      </c>
      <c r="I5632" s="20" t="n">
        <f aca="false">G5632-H5632</f>
        <v>250</v>
      </c>
      <c r="J5632" s="21" t="n">
        <f aca="false">H5632*1000/Parametres!$B$9</f>
        <v>4239.44378497541</v>
      </c>
    </row>
    <row r="5633" customFormat="false" ht="15" hidden="false" customHeight="false" outlineLevel="0" collapsed="false">
      <c r="A5633" s="0" t="n">
        <v>5629</v>
      </c>
      <c r="B5633" s="0" t="n">
        <v>8</v>
      </c>
      <c r="C5633" s="19" t="n">
        <v>1</v>
      </c>
      <c r="D5633" s="19" t="n">
        <v>1</v>
      </c>
      <c r="E5633" s="20" t="n">
        <f aca="false">Parametres!$B$5*C5633</f>
        <v>300</v>
      </c>
      <c r="F5633" s="20" t="n">
        <f aca="false">Parametres!$B$6*D5633</f>
        <v>200</v>
      </c>
      <c r="G5633" s="20" t="n">
        <f aca="false">E5633+F5633</f>
        <v>500</v>
      </c>
      <c r="H5633" s="20" t="n">
        <f aca="false">IF(G5633&lt;Parametres!$B$8*Parametres!$B$7,0,MIN(G5633,Parametres!$B$7))</f>
        <v>250</v>
      </c>
      <c r="I5633" s="20" t="n">
        <f aca="false">G5633-H5633</f>
        <v>250</v>
      </c>
      <c r="J5633" s="21" t="n">
        <f aca="false">H5633*1000/Parametres!$B$9</f>
        <v>4239.44378497541</v>
      </c>
    </row>
    <row r="5634" customFormat="false" ht="15" hidden="false" customHeight="false" outlineLevel="0" collapsed="false">
      <c r="A5634" s="0" t="n">
        <v>5630</v>
      </c>
      <c r="B5634" s="0" t="n">
        <v>8</v>
      </c>
      <c r="C5634" s="19" t="n">
        <v>1</v>
      </c>
      <c r="D5634" s="19" t="n">
        <v>1</v>
      </c>
      <c r="E5634" s="20" t="n">
        <f aca="false">Parametres!$B$5*C5634</f>
        <v>300</v>
      </c>
      <c r="F5634" s="20" t="n">
        <f aca="false">Parametres!$B$6*D5634</f>
        <v>200</v>
      </c>
      <c r="G5634" s="20" t="n">
        <f aca="false">E5634+F5634</f>
        <v>500</v>
      </c>
      <c r="H5634" s="20" t="n">
        <f aca="false">IF(G5634&lt;Parametres!$B$8*Parametres!$B$7,0,MIN(G5634,Parametres!$B$7))</f>
        <v>250</v>
      </c>
      <c r="I5634" s="20" t="n">
        <f aca="false">G5634-H5634</f>
        <v>250</v>
      </c>
      <c r="J5634" s="21" t="n">
        <f aca="false">H5634*1000/Parametres!$B$9</f>
        <v>4239.44378497541</v>
      </c>
    </row>
    <row r="5635" customFormat="false" ht="15" hidden="false" customHeight="false" outlineLevel="0" collapsed="false">
      <c r="A5635" s="0" t="n">
        <v>5631</v>
      </c>
      <c r="B5635" s="0" t="n">
        <v>8</v>
      </c>
      <c r="C5635" s="19" t="n">
        <v>1</v>
      </c>
      <c r="D5635" s="19" t="n">
        <v>1</v>
      </c>
      <c r="E5635" s="20" t="n">
        <f aca="false">Parametres!$B$5*C5635</f>
        <v>300</v>
      </c>
      <c r="F5635" s="20" t="n">
        <f aca="false">Parametres!$B$6*D5635</f>
        <v>200</v>
      </c>
      <c r="G5635" s="20" t="n">
        <f aca="false">E5635+F5635</f>
        <v>500</v>
      </c>
      <c r="H5635" s="20" t="n">
        <f aca="false">IF(G5635&lt;Parametres!$B$8*Parametres!$B$7,0,MIN(G5635,Parametres!$B$7))</f>
        <v>250</v>
      </c>
      <c r="I5635" s="20" t="n">
        <f aca="false">G5635-H5635</f>
        <v>250</v>
      </c>
      <c r="J5635" s="21" t="n">
        <f aca="false">H5635*1000/Parametres!$B$9</f>
        <v>4239.44378497541</v>
      </c>
    </row>
    <row r="5636" customFormat="false" ht="15" hidden="false" customHeight="false" outlineLevel="0" collapsed="false">
      <c r="A5636" s="0" t="n">
        <v>5632</v>
      </c>
      <c r="B5636" s="0" t="n">
        <v>8</v>
      </c>
      <c r="C5636" s="19" t="n">
        <v>0.8011</v>
      </c>
      <c r="D5636" s="19" t="n">
        <v>1</v>
      </c>
      <c r="E5636" s="20" t="n">
        <f aca="false">Parametres!$B$5*C5636</f>
        <v>240.33</v>
      </c>
      <c r="F5636" s="20" t="n">
        <f aca="false">Parametres!$B$6*D5636</f>
        <v>200</v>
      </c>
      <c r="G5636" s="20" t="n">
        <f aca="false">E5636+F5636</f>
        <v>440.33</v>
      </c>
      <c r="H5636" s="20" t="n">
        <f aca="false">IF(G5636&lt;Parametres!$B$8*Parametres!$B$7,0,MIN(G5636,Parametres!$B$7))</f>
        <v>250</v>
      </c>
      <c r="I5636" s="20" t="n">
        <f aca="false">G5636-H5636</f>
        <v>190.33</v>
      </c>
      <c r="J5636" s="21" t="n">
        <f aca="false">H5636*1000/Parametres!$B$9</f>
        <v>4239.44378497541</v>
      </c>
    </row>
    <row r="5637" customFormat="false" ht="15" hidden="false" customHeight="false" outlineLevel="0" collapsed="false">
      <c r="A5637" s="0" t="n">
        <v>5633</v>
      </c>
      <c r="B5637" s="0" t="n">
        <v>8</v>
      </c>
      <c r="C5637" s="19" t="n">
        <v>0.5109</v>
      </c>
      <c r="D5637" s="19" t="n">
        <v>1</v>
      </c>
      <c r="E5637" s="20" t="n">
        <f aca="false">Parametres!$B$5*C5637</f>
        <v>153.27</v>
      </c>
      <c r="F5637" s="20" t="n">
        <f aca="false">Parametres!$B$6*D5637</f>
        <v>200</v>
      </c>
      <c r="G5637" s="20" t="n">
        <f aca="false">E5637+F5637</f>
        <v>353.27</v>
      </c>
      <c r="H5637" s="20" t="n">
        <f aca="false">IF(G5637&lt;Parametres!$B$8*Parametres!$B$7,0,MIN(G5637,Parametres!$B$7))</f>
        <v>250</v>
      </c>
      <c r="I5637" s="20" t="n">
        <f aca="false">G5637-H5637</f>
        <v>103.27</v>
      </c>
      <c r="J5637" s="21" t="n">
        <f aca="false">H5637*1000/Parametres!$B$9</f>
        <v>4239.44378497541</v>
      </c>
    </row>
    <row r="5638" customFormat="false" ht="15" hidden="false" customHeight="false" outlineLevel="0" collapsed="false">
      <c r="A5638" s="0" t="n">
        <v>5634</v>
      </c>
      <c r="B5638" s="0" t="n">
        <v>8</v>
      </c>
      <c r="C5638" s="19" t="n">
        <v>0.22</v>
      </c>
      <c r="D5638" s="19" t="n">
        <v>1</v>
      </c>
      <c r="E5638" s="20" t="n">
        <f aca="false">Parametres!$B$5*C5638</f>
        <v>66</v>
      </c>
      <c r="F5638" s="20" t="n">
        <f aca="false">Parametres!$B$6*D5638</f>
        <v>200</v>
      </c>
      <c r="G5638" s="20" t="n">
        <f aca="false">E5638+F5638</f>
        <v>266</v>
      </c>
      <c r="H5638" s="20" t="n">
        <f aca="false">IF(G5638&lt;Parametres!$B$8*Parametres!$B$7,0,MIN(G5638,Parametres!$B$7))</f>
        <v>250</v>
      </c>
      <c r="I5638" s="20" t="n">
        <f aca="false">G5638-H5638</f>
        <v>16</v>
      </c>
      <c r="J5638" s="21" t="n">
        <f aca="false">H5638*1000/Parametres!$B$9</f>
        <v>4239.44378497541</v>
      </c>
    </row>
    <row r="5639" customFormat="false" ht="15" hidden="false" customHeight="false" outlineLevel="0" collapsed="false">
      <c r="A5639" s="0" t="n">
        <v>5635</v>
      </c>
      <c r="B5639" s="0" t="n">
        <v>8</v>
      </c>
      <c r="C5639" s="19" t="n">
        <v>0</v>
      </c>
      <c r="D5639" s="19" t="n">
        <v>1</v>
      </c>
      <c r="E5639" s="20" t="n">
        <f aca="false">Parametres!$B$5*C5639</f>
        <v>0</v>
      </c>
      <c r="F5639" s="20" t="n">
        <f aca="false">Parametres!$B$6*D5639</f>
        <v>200</v>
      </c>
      <c r="G5639" s="20" t="n">
        <f aca="false">E5639+F5639</f>
        <v>200</v>
      </c>
      <c r="H5639" s="20" t="n">
        <f aca="false">IF(G5639&lt;Parametres!$B$8*Parametres!$B$7,0,MIN(G5639,Parametres!$B$7))</f>
        <v>200</v>
      </c>
      <c r="I5639" s="20" t="n">
        <f aca="false">G5639-H5639</f>
        <v>0</v>
      </c>
      <c r="J5639" s="21" t="n">
        <f aca="false">H5639*1000/Parametres!$B$9</f>
        <v>3391.55502798033</v>
      </c>
    </row>
    <row r="5640" customFormat="false" ht="15" hidden="false" customHeight="false" outlineLevel="0" collapsed="false">
      <c r="A5640" s="0" t="n">
        <v>5636</v>
      </c>
      <c r="B5640" s="0" t="n">
        <v>8</v>
      </c>
      <c r="C5640" s="19" t="n">
        <v>0</v>
      </c>
      <c r="D5640" s="19" t="n">
        <v>1</v>
      </c>
      <c r="E5640" s="20" t="n">
        <f aca="false">Parametres!$B$5*C5640</f>
        <v>0</v>
      </c>
      <c r="F5640" s="20" t="n">
        <f aca="false">Parametres!$B$6*D5640</f>
        <v>200</v>
      </c>
      <c r="G5640" s="20" t="n">
        <f aca="false">E5640+F5640</f>
        <v>200</v>
      </c>
      <c r="H5640" s="20" t="n">
        <f aca="false">IF(G5640&lt;Parametres!$B$8*Parametres!$B$7,0,MIN(G5640,Parametres!$B$7))</f>
        <v>200</v>
      </c>
      <c r="I5640" s="20" t="n">
        <f aca="false">G5640-H5640</f>
        <v>0</v>
      </c>
      <c r="J5640" s="21" t="n">
        <f aca="false">H5640*1000/Parametres!$B$9</f>
        <v>3391.55502798033</v>
      </c>
    </row>
    <row r="5641" customFormat="false" ht="15" hidden="false" customHeight="false" outlineLevel="0" collapsed="false">
      <c r="A5641" s="0" t="n">
        <v>5637</v>
      </c>
      <c r="B5641" s="0" t="n">
        <v>8</v>
      </c>
      <c r="C5641" s="19" t="n">
        <v>0</v>
      </c>
      <c r="D5641" s="19" t="n">
        <v>1</v>
      </c>
      <c r="E5641" s="20" t="n">
        <f aca="false">Parametres!$B$5*C5641</f>
        <v>0</v>
      </c>
      <c r="F5641" s="20" t="n">
        <f aca="false">Parametres!$B$6*D5641</f>
        <v>200</v>
      </c>
      <c r="G5641" s="20" t="n">
        <f aca="false">E5641+F5641</f>
        <v>200</v>
      </c>
      <c r="H5641" s="20" t="n">
        <f aca="false">IF(G5641&lt;Parametres!$B$8*Parametres!$B$7,0,MIN(G5641,Parametres!$B$7))</f>
        <v>200</v>
      </c>
      <c r="I5641" s="20" t="n">
        <f aca="false">G5641-H5641</f>
        <v>0</v>
      </c>
      <c r="J5641" s="21" t="n">
        <f aca="false">H5641*1000/Parametres!$B$9</f>
        <v>3391.55502798033</v>
      </c>
    </row>
    <row r="5642" customFormat="false" ht="15" hidden="false" customHeight="false" outlineLevel="0" collapsed="false">
      <c r="A5642" s="0" t="n">
        <v>5638</v>
      </c>
      <c r="B5642" s="0" t="n">
        <v>8</v>
      </c>
      <c r="C5642" s="19" t="n">
        <v>0</v>
      </c>
      <c r="D5642" s="19" t="n">
        <v>1</v>
      </c>
      <c r="E5642" s="20" t="n">
        <f aca="false">Parametres!$B$5*C5642</f>
        <v>0</v>
      </c>
      <c r="F5642" s="20" t="n">
        <f aca="false">Parametres!$B$6*D5642</f>
        <v>200</v>
      </c>
      <c r="G5642" s="20" t="n">
        <f aca="false">E5642+F5642</f>
        <v>200</v>
      </c>
      <c r="H5642" s="20" t="n">
        <f aca="false">IF(G5642&lt;Parametres!$B$8*Parametres!$B$7,0,MIN(G5642,Parametres!$B$7))</f>
        <v>200</v>
      </c>
      <c r="I5642" s="20" t="n">
        <f aca="false">G5642-H5642</f>
        <v>0</v>
      </c>
      <c r="J5642" s="21" t="n">
        <f aca="false">H5642*1000/Parametres!$B$9</f>
        <v>3391.55502798033</v>
      </c>
    </row>
    <row r="5643" customFormat="false" ht="15" hidden="false" customHeight="false" outlineLevel="0" collapsed="false">
      <c r="A5643" s="0" t="n">
        <v>5639</v>
      </c>
      <c r="B5643" s="0" t="n">
        <v>8</v>
      </c>
      <c r="C5643" s="19" t="n">
        <v>0</v>
      </c>
      <c r="D5643" s="19" t="n">
        <v>1</v>
      </c>
      <c r="E5643" s="20" t="n">
        <f aca="false">Parametres!$B$5*C5643</f>
        <v>0</v>
      </c>
      <c r="F5643" s="20" t="n">
        <f aca="false">Parametres!$B$6*D5643</f>
        <v>200</v>
      </c>
      <c r="G5643" s="20" t="n">
        <f aca="false">E5643+F5643</f>
        <v>200</v>
      </c>
      <c r="H5643" s="20" t="n">
        <f aca="false">IF(G5643&lt;Parametres!$B$8*Parametres!$B$7,0,MIN(G5643,Parametres!$B$7))</f>
        <v>200</v>
      </c>
      <c r="I5643" s="20" t="n">
        <f aca="false">G5643-H5643</f>
        <v>0</v>
      </c>
      <c r="J5643" s="21" t="n">
        <f aca="false">H5643*1000/Parametres!$B$9</f>
        <v>3391.55502798033</v>
      </c>
    </row>
    <row r="5644" customFormat="false" ht="15" hidden="false" customHeight="false" outlineLevel="0" collapsed="false">
      <c r="A5644" s="0" t="n">
        <v>5640</v>
      </c>
      <c r="B5644" s="0" t="n">
        <v>8</v>
      </c>
      <c r="C5644" s="19" t="n">
        <v>0</v>
      </c>
      <c r="D5644" s="19" t="n">
        <v>1</v>
      </c>
      <c r="E5644" s="20" t="n">
        <f aca="false">Parametres!$B$5*C5644</f>
        <v>0</v>
      </c>
      <c r="F5644" s="20" t="n">
        <f aca="false">Parametres!$B$6*D5644</f>
        <v>200</v>
      </c>
      <c r="G5644" s="20" t="n">
        <f aca="false">E5644+F5644</f>
        <v>200</v>
      </c>
      <c r="H5644" s="20" t="n">
        <f aca="false">IF(G5644&lt;Parametres!$B$8*Parametres!$B$7,0,MIN(G5644,Parametres!$B$7))</f>
        <v>200</v>
      </c>
      <c r="I5644" s="20" t="n">
        <f aca="false">G5644-H5644</f>
        <v>0</v>
      </c>
      <c r="J5644" s="21" t="n">
        <f aca="false">H5644*1000/Parametres!$B$9</f>
        <v>3391.55502798033</v>
      </c>
    </row>
    <row r="5645" customFormat="false" ht="15" hidden="false" customHeight="false" outlineLevel="0" collapsed="false">
      <c r="A5645" s="0" t="n">
        <v>5641</v>
      </c>
      <c r="B5645" s="0" t="n">
        <v>8</v>
      </c>
      <c r="C5645" s="19" t="n">
        <v>0</v>
      </c>
      <c r="D5645" s="19" t="n">
        <v>1</v>
      </c>
      <c r="E5645" s="20" t="n">
        <f aca="false">Parametres!$B$5*C5645</f>
        <v>0</v>
      </c>
      <c r="F5645" s="20" t="n">
        <f aca="false">Parametres!$B$6*D5645</f>
        <v>200</v>
      </c>
      <c r="G5645" s="20" t="n">
        <f aca="false">E5645+F5645</f>
        <v>200</v>
      </c>
      <c r="H5645" s="20" t="n">
        <f aca="false">IF(G5645&lt;Parametres!$B$8*Parametres!$B$7,0,MIN(G5645,Parametres!$B$7))</f>
        <v>200</v>
      </c>
      <c r="I5645" s="20" t="n">
        <f aca="false">G5645-H5645</f>
        <v>0</v>
      </c>
      <c r="J5645" s="21" t="n">
        <f aca="false">H5645*1000/Parametres!$B$9</f>
        <v>3391.55502798033</v>
      </c>
    </row>
    <row r="5646" customFormat="false" ht="15" hidden="false" customHeight="false" outlineLevel="0" collapsed="false">
      <c r="A5646" s="0" t="n">
        <v>5642</v>
      </c>
      <c r="B5646" s="0" t="n">
        <v>8</v>
      </c>
      <c r="C5646" s="19" t="n">
        <v>0</v>
      </c>
      <c r="D5646" s="19" t="n">
        <v>1</v>
      </c>
      <c r="E5646" s="20" t="n">
        <f aca="false">Parametres!$B$5*C5646</f>
        <v>0</v>
      </c>
      <c r="F5646" s="20" t="n">
        <f aca="false">Parametres!$B$6*D5646</f>
        <v>200</v>
      </c>
      <c r="G5646" s="20" t="n">
        <f aca="false">E5646+F5646</f>
        <v>200</v>
      </c>
      <c r="H5646" s="20" t="n">
        <f aca="false">IF(G5646&lt;Parametres!$B$8*Parametres!$B$7,0,MIN(G5646,Parametres!$B$7))</f>
        <v>200</v>
      </c>
      <c r="I5646" s="20" t="n">
        <f aca="false">G5646-H5646</f>
        <v>0</v>
      </c>
      <c r="J5646" s="21" t="n">
        <f aca="false">H5646*1000/Parametres!$B$9</f>
        <v>3391.55502798033</v>
      </c>
    </row>
    <row r="5647" customFormat="false" ht="15" hidden="false" customHeight="false" outlineLevel="0" collapsed="false">
      <c r="A5647" s="0" t="n">
        <v>5643</v>
      </c>
      <c r="B5647" s="0" t="n">
        <v>8</v>
      </c>
      <c r="C5647" s="19" t="n">
        <v>0</v>
      </c>
      <c r="D5647" s="19" t="n">
        <v>0.9743</v>
      </c>
      <c r="E5647" s="20" t="n">
        <f aca="false">Parametres!$B$5*C5647</f>
        <v>0</v>
      </c>
      <c r="F5647" s="20" t="n">
        <f aca="false">Parametres!$B$6*D5647</f>
        <v>194.86</v>
      </c>
      <c r="G5647" s="20" t="n">
        <f aca="false">E5647+F5647</f>
        <v>194.86</v>
      </c>
      <c r="H5647" s="20" t="n">
        <f aca="false">IF(G5647&lt;Parametres!$B$8*Parametres!$B$7,0,MIN(G5647,Parametres!$B$7))</f>
        <v>194.86</v>
      </c>
      <c r="I5647" s="20" t="n">
        <f aca="false">G5647-H5647</f>
        <v>0</v>
      </c>
      <c r="J5647" s="21" t="n">
        <f aca="false">H5647*1000/Parametres!$B$9</f>
        <v>3304.39206376123</v>
      </c>
    </row>
    <row r="5648" customFormat="false" ht="15" hidden="false" customHeight="false" outlineLevel="0" collapsed="false">
      <c r="A5648" s="0" t="n">
        <v>5644</v>
      </c>
      <c r="B5648" s="0" t="n">
        <v>8</v>
      </c>
      <c r="C5648" s="19" t="n">
        <v>0</v>
      </c>
      <c r="D5648" s="19" t="n">
        <v>1</v>
      </c>
      <c r="E5648" s="20" t="n">
        <f aca="false">Parametres!$B$5*C5648</f>
        <v>0</v>
      </c>
      <c r="F5648" s="20" t="n">
        <f aca="false">Parametres!$B$6*D5648</f>
        <v>200</v>
      </c>
      <c r="G5648" s="20" t="n">
        <f aca="false">E5648+F5648</f>
        <v>200</v>
      </c>
      <c r="H5648" s="20" t="n">
        <f aca="false">IF(G5648&lt;Parametres!$B$8*Parametres!$B$7,0,MIN(G5648,Parametres!$B$7))</f>
        <v>200</v>
      </c>
      <c r="I5648" s="20" t="n">
        <f aca="false">G5648-H5648</f>
        <v>0</v>
      </c>
      <c r="J5648" s="21" t="n">
        <f aca="false">H5648*1000/Parametres!$B$9</f>
        <v>3391.55502798033</v>
      </c>
    </row>
    <row r="5649" customFormat="false" ht="15" hidden="false" customHeight="false" outlineLevel="0" collapsed="false">
      <c r="A5649" s="0" t="n">
        <v>5645</v>
      </c>
      <c r="B5649" s="0" t="n">
        <v>8</v>
      </c>
      <c r="C5649" s="19" t="n">
        <v>0</v>
      </c>
      <c r="D5649" s="19" t="n">
        <v>1</v>
      </c>
      <c r="E5649" s="20" t="n">
        <f aca="false">Parametres!$B$5*C5649</f>
        <v>0</v>
      </c>
      <c r="F5649" s="20" t="n">
        <f aca="false">Parametres!$B$6*D5649</f>
        <v>200</v>
      </c>
      <c r="G5649" s="20" t="n">
        <f aca="false">E5649+F5649</f>
        <v>200</v>
      </c>
      <c r="H5649" s="20" t="n">
        <f aca="false">IF(G5649&lt;Parametres!$B$8*Parametres!$B$7,0,MIN(G5649,Parametres!$B$7))</f>
        <v>200</v>
      </c>
      <c r="I5649" s="20" t="n">
        <f aca="false">G5649-H5649</f>
        <v>0</v>
      </c>
      <c r="J5649" s="21" t="n">
        <f aca="false">H5649*1000/Parametres!$B$9</f>
        <v>3391.55502798033</v>
      </c>
    </row>
    <row r="5650" customFormat="false" ht="15" hidden="false" customHeight="false" outlineLevel="0" collapsed="false">
      <c r="A5650" s="0" t="n">
        <v>5646</v>
      </c>
      <c r="B5650" s="0" t="n">
        <v>8</v>
      </c>
      <c r="C5650" s="19" t="n">
        <v>0</v>
      </c>
      <c r="D5650" s="19" t="n">
        <v>1</v>
      </c>
      <c r="E5650" s="20" t="n">
        <f aca="false">Parametres!$B$5*C5650</f>
        <v>0</v>
      </c>
      <c r="F5650" s="20" t="n">
        <f aca="false">Parametres!$B$6*D5650</f>
        <v>200</v>
      </c>
      <c r="G5650" s="20" t="n">
        <f aca="false">E5650+F5650</f>
        <v>200</v>
      </c>
      <c r="H5650" s="20" t="n">
        <f aca="false">IF(G5650&lt;Parametres!$B$8*Parametres!$B$7,0,MIN(G5650,Parametres!$B$7))</f>
        <v>200</v>
      </c>
      <c r="I5650" s="20" t="n">
        <f aca="false">G5650-H5650</f>
        <v>0</v>
      </c>
      <c r="J5650" s="21" t="n">
        <f aca="false">H5650*1000/Parametres!$B$9</f>
        <v>3391.55502798033</v>
      </c>
    </row>
    <row r="5651" customFormat="false" ht="15" hidden="false" customHeight="false" outlineLevel="0" collapsed="false">
      <c r="A5651" s="0" t="n">
        <v>5647</v>
      </c>
      <c r="B5651" s="0" t="n">
        <v>8</v>
      </c>
      <c r="C5651" s="19" t="n">
        <v>0.2103</v>
      </c>
      <c r="D5651" s="19" t="n">
        <v>1</v>
      </c>
      <c r="E5651" s="20" t="n">
        <f aca="false">Parametres!$B$5*C5651</f>
        <v>63.09</v>
      </c>
      <c r="F5651" s="20" t="n">
        <f aca="false">Parametres!$B$6*D5651</f>
        <v>200</v>
      </c>
      <c r="G5651" s="20" t="n">
        <f aca="false">E5651+F5651</f>
        <v>263.09</v>
      </c>
      <c r="H5651" s="20" t="n">
        <f aca="false">IF(G5651&lt;Parametres!$B$8*Parametres!$B$7,0,MIN(G5651,Parametres!$B$7))</f>
        <v>250</v>
      </c>
      <c r="I5651" s="20" t="n">
        <f aca="false">G5651-H5651</f>
        <v>13.09</v>
      </c>
      <c r="J5651" s="21" t="n">
        <f aca="false">H5651*1000/Parametres!$B$9</f>
        <v>4239.44378497541</v>
      </c>
    </row>
    <row r="5652" customFormat="false" ht="15" hidden="false" customHeight="false" outlineLevel="0" collapsed="false">
      <c r="A5652" s="0" t="n">
        <v>5648</v>
      </c>
      <c r="B5652" s="0" t="n">
        <v>8</v>
      </c>
      <c r="C5652" s="19" t="n">
        <v>0.4719</v>
      </c>
      <c r="D5652" s="19" t="n">
        <v>1</v>
      </c>
      <c r="E5652" s="20" t="n">
        <f aca="false">Parametres!$B$5*C5652</f>
        <v>141.57</v>
      </c>
      <c r="F5652" s="20" t="n">
        <f aca="false">Parametres!$B$6*D5652</f>
        <v>200</v>
      </c>
      <c r="G5652" s="20" t="n">
        <f aca="false">E5652+F5652</f>
        <v>341.57</v>
      </c>
      <c r="H5652" s="20" t="n">
        <f aca="false">IF(G5652&lt;Parametres!$B$8*Parametres!$B$7,0,MIN(G5652,Parametres!$B$7))</f>
        <v>250</v>
      </c>
      <c r="I5652" s="20" t="n">
        <f aca="false">G5652-H5652</f>
        <v>91.57</v>
      </c>
      <c r="J5652" s="21" t="n">
        <f aca="false">H5652*1000/Parametres!$B$9</f>
        <v>4239.44378497541</v>
      </c>
    </row>
    <row r="5653" customFormat="false" ht="15" hidden="false" customHeight="false" outlineLevel="0" collapsed="false">
      <c r="A5653" s="0" t="n">
        <v>5649</v>
      </c>
      <c r="B5653" s="0" t="n">
        <v>8</v>
      </c>
      <c r="C5653" s="19" t="n">
        <v>0.739</v>
      </c>
      <c r="D5653" s="19" t="n">
        <v>1</v>
      </c>
      <c r="E5653" s="20" t="n">
        <f aca="false">Parametres!$B$5*C5653</f>
        <v>221.7</v>
      </c>
      <c r="F5653" s="20" t="n">
        <f aca="false">Parametres!$B$6*D5653</f>
        <v>200</v>
      </c>
      <c r="G5653" s="20" t="n">
        <f aca="false">E5653+F5653</f>
        <v>421.7</v>
      </c>
      <c r="H5653" s="20" t="n">
        <f aca="false">IF(G5653&lt;Parametres!$B$8*Parametres!$B$7,0,MIN(G5653,Parametres!$B$7))</f>
        <v>250</v>
      </c>
      <c r="I5653" s="20" t="n">
        <f aca="false">G5653-H5653</f>
        <v>171.7</v>
      </c>
      <c r="J5653" s="21" t="n">
        <f aca="false">H5653*1000/Parametres!$B$9</f>
        <v>4239.44378497541</v>
      </c>
    </row>
    <row r="5654" customFormat="false" ht="15" hidden="false" customHeight="false" outlineLevel="0" collapsed="false">
      <c r="A5654" s="0" t="n">
        <v>5650</v>
      </c>
      <c r="B5654" s="0" t="n">
        <v>8</v>
      </c>
      <c r="C5654" s="19" t="n">
        <v>0.9918</v>
      </c>
      <c r="D5654" s="19" t="n">
        <v>1</v>
      </c>
      <c r="E5654" s="20" t="n">
        <f aca="false">Parametres!$B$5*C5654</f>
        <v>297.54</v>
      </c>
      <c r="F5654" s="20" t="n">
        <f aca="false">Parametres!$B$6*D5654</f>
        <v>200</v>
      </c>
      <c r="G5654" s="20" t="n">
        <f aca="false">E5654+F5654</f>
        <v>497.54</v>
      </c>
      <c r="H5654" s="20" t="n">
        <f aca="false">IF(G5654&lt;Parametres!$B$8*Parametres!$B$7,0,MIN(G5654,Parametres!$B$7))</f>
        <v>250</v>
      </c>
      <c r="I5654" s="20" t="n">
        <f aca="false">G5654-H5654</f>
        <v>247.54</v>
      </c>
      <c r="J5654" s="21" t="n">
        <f aca="false">H5654*1000/Parametres!$B$9</f>
        <v>4239.44378497541</v>
      </c>
    </row>
    <row r="5655" customFormat="false" ht="15" hidden="false" customHeight="false" outlineLevel="0" collapsed="false">
      <c r="A5655" s="0" t="n">
        <v>5651</v>
      </c>
      <c r="B5655" s="0" t="n">
        <v>8</v>
      </c>
      <c r="C5655" s="19" t="n">
        <v>1</v>
      </c>
      <c r="D5655" s="19" t="n">
        <v>1</v>
      </c>
      <c r="E5655" s="20" t="n">
        <f aca="false">Parametres!$B$5*C5655</f>
        <v>300</v>
      </c>
      <c r="F5655" s="20" t="n">
        <f aca="false">Parametres!$B$6*D5655</f>
        <v>200</v>
      </c>
      <c r="G5655" s="20" t="n">
        <f aca="false">E5655+F5655</f>
        <v>500</v>
      </c>
      <c r="H5655" s="20" t="n">
        <f aca="false">IF(G5655&lt;Parametres!$B$8*Parametres!$B$7,0,MIN(G5655,Parametres!$B$7))</f>
        <v>250</v>
      </c>
      <c r="I5655" s="20" t="n">
        <f aca="false">G5655-H5655</f>
        <v>250</v>
      </c>
      <c r="J5655" s="21" t="n">
        <f aca="false">H5655*1000/Parametres!$B$9</f>
        <v>4239.44378497541</v>
      </c>
    </row>
    <row r="5656" customFormat="false" ht="15" hidden="false" customHeight="false" outlineLevel="0" collapsed="false">
      <c r="A5656" s="0" t="n">
        <v>5652</v>
      </c>
      <c r="B5656" s="0" t="n">
        <v>8</v>
      </c>
      <c r="C5656" s="19" t="n">
        <v>1</v>
      </c>
      <c r="D5656" s="19" t="n">
        <v>1</v>
      </c>
      <c r="E5656" s="20" t="n">
        <f aca="false">Parametres!$B$5*C5656</f>
        <v>300</v>
      </c>
      <c r="F5656" s="20" t="n">
        <f aca="false">Parametres!$B$6*D5656</f>
        <v>200</v>
      </c>
      <c r="G5656" s="20" t="n">
        <f aca="false">E5656+F5656</f>
        <v>500</v>
      </c>
      <c r="H5656" s="20" t="n">
        <f aca="false">IF(G5656&lt;Parametres!$B$8*Parametres!$B$7,0,MIN(G5656,Parametres!$B$7))</f>
        <v>250</v>
      </c>
      <c r="I5656" s="20" t="n">
        <f aca="false">G5656-H5656</f>
        <v>250</v>
      </c>
      <c r="J5656" s="21" t="n">
        <f aca="false">H5656*1000/Parametres!$B$9</f>
        <v>4239.44378497541</v>
      </c>
    </row>
    <row r="5657" customFormat="false" ht="15" hidden="false" customHeight="false" outlineLevel="0" collapsed="false">
      <c r="A5657" s="0" t="n">
        <v>5653</v>
      </c>
      <c r="B5657" s="0" t="n">
        <v>8</v>
      </c>
      <c r="C5657" s="19" t="n">
        <v>1</v>
      </c>
      <c r="D5657" s="19" t="n">
        <v>1</v>
      </c>
      <c r="E5657" s="20" t="n">
        <f aca="false">Parametres!$B$5*C5657</f>
        <v>300</v>
      </c>
      <c r="F5657" s="20" t="n">
        <f aca="false">Parametres!$B$6*D5657</f>
        <v>200</v>
      </c>
      <c r="G5657" s="20" t="n">
        <f aca="false">E5657+F5657</f>
        <v>500</v>
      </c>
      <c r="H5657" s="20" t="n">
        <f aca="false">IF(G5657&lt;Parametres!$B$8*Parametres!$B$7,0,MIN(G5657,Parametres!$B$7))</f>
        <v>250</v>
      </c>
      <c r="I5657" s="20" t="n">
        <f aca="false">G5657-H5657</f>
        <v>250</v>
      </c>
      <c r="J5657" s="21" t="n">
        <f aca="false">H5657*1000/Parametres!$B$9</f>
        <v>4239.44378497541</v>
      </c>
    </row>
    <row r="5658" customFormat="false" ht="15" hidden="false" customHeight="false" outlineLevel="0" collapsed="false">
      <c r="A5658" s="0" t="n">
        <v>5654</v>
      </c>
      <c r="B5658" s="0" t="n">
        <v>8</v>
      </c>
      <c r="C5658" s="19" t="n">
        <v>1</v>
      </c>
      <c r="D5658" s="19" t="n">
        <v>1</v>
      </c>
      <c r="E5658" s="20" t="n">
        <f aca="false">Parametres!$B$5*C5658</f>
        <v>300</v>
      </c>
      <c r="F5658" s="20" t="n">
        <f aca="false">Parametres!$B$6*D5658</f>
        <v>200</v>
      </c>
      <c r="G5658" s="20" t="n">
        <f aca="false">E5658+F5658</f>
        <v>500</v>
      </c>
      <c r="H5658" s="20" t="n">
        <f aca="false">IF(G5658&lt;Parametres!$B$8*Parametres!$B$7,0,MIN(G5658,Parametres!$B$7))</f>
        <v>250</v>
      </c>
      <c r="I5658" s="20" t="n">
        <f aca="false">G5658-H5658</f>
        <v>250</v>
      </c>
      <c r="J5658" s="21" t="n">
        <f aca="false">H5658*1000/Parametres!$B$9</f>
        <v>4239.44378497541</v>
      </c>
    </row>
    <row r="5659" customFormat="false" ht="15" hidden="false" customHeight="false" outlineLevel="0" collapsed="false">
      <c r="A5659" s="0" t="n">
        <v>5655</v>
      </c>
      <c r="B5659" s="0" t="n">
        <v>8</v>
      </c>
      <c r="C5659" s="19" t="n">
        <v>0.9626</v>
      </c>
      <c r="D5659" s="19" t="n">
        <v>1</v>
      </c>
      <c r="E5659" s="20" t="n">
        <f aca="false">Parametres!$B$5*C5659</f>
        <v>288.78</v>
      </c>
      <c r="F5659" s="20" t="n">
        <f aca="false">Parametres!$B$6*D5659</f>
        <v>200</v>
      </c>
      <c r="G5659" s="20" t="n">
        <f aca="false">E5659+F5659</f>
        <v>488.78</v>
      </c>
      <c r="H5659" s="20" t="n">
        <f aca="false">IF(G5659&lt;Parametres!$B$8*Parametres!$B$7,0,MIN(G5659,Parametres!$B$7))</f>
        <v>250</v>
      </c>
      <c r="I5659" s="20" t="n">
        <f aca="false">G5659-H5659</f>
        <v>238.78</v>
      </c>
      <c r="J5659" s="21" t="n">
        <f aca="false">H5659*1000/Parametres!$B$9</f>
        <v>4239.44378497541</v>
      </c>
    </row>
    <row r="5660" customFormat="false" ht="15" hidden="false" customHeight="false" outlineLevel="0" collapsed="false">
      <c r="A5660" s="0" t="n">
        <v>5656</v>
      </c>
      <c r="B5660" s="0" t="n">
        <v>8</v>
      </c>
      <c r="C5660" s="19" t="n">
        <v>0.7361</v>
      </c>
      <c r="D5660" s="19" t="n">
        <v>1</v>
      </c>
      <c r="E5660" s="20" t="n">
        <f aca="false">Parametres!$B$5*C5660</f>
        <v>220.83</v>
      </c>
      <c r="F5660" s="20" t="n">
        <f aca="false">Parametres!$B$6*D5660</f>
        <v>200</v>
      </c>
      <c r="G5660" s="20" t="n">
        <f aca="false">E5660+F5660</f>
        <v>420.83</v>
      </c>
      <c r="H5660" s="20" t="n">
        <f aca="false">IF(G5660&lt;Parametres!$B$8*Parametres!$B$7,0,MIN(G5660,Parametres!$B$7))</f>
        <v>250</v>
      </c>
      <c r="I5660" s="20" t="n">
        <f aca="false">G5660-H5660</f>
        <v>170.83</v>
      </c>
      <c r="J5660" s="21" t="n">
        <f aca="false">H5660*1000/Parametres!$B$9</f>
        <v>4239.44378497541</v>
      </c>
    </row>
    <row r="5661" customFormat="false" ht="15" hidden="false" customHeight="false" outlineLevel="0" collapsed="false">
      <c r="A5661" s="0" t="n">
        <v>5657</v>
      </c>
      <c r="B5661" s="0" t="n">
        <v>8</v>
      </c>
      <c r="C5661" s="19" t="n">
        <v>0.5135</v>
      </c>
      <c r="D5661" s="19" t="n">
        <v>1</v>
      </c>
      <c r="E5661" s="20" t="n">
        <f aca="false">Parametres!$B$5*C5661</f>
        <v>154.05</v>
      </c>
      <c r="F5661" s="20" t="n">
        <f aca="false">Parametres!$B$6*D5661</f>
        <v>200</v>
      </c>
      <c r="G5661" s="20" t="n">
        <f aca="false">E5661+F5661</f>
        <v>354.05</v>
      </c>
      <c r="H5661" s="20" t="n">
        <f aca="false">IF(G5661&lt;Parametres!$B$8*Parametres!$B$7,0,MIN(G5661,Parametres!$B$7))</f>
        <v>250</v>
      </c>
      <c r="I5661" s="20" t="n">
        <f aca="false">G5661-H5661</f>
        <v>104.05</v>
      </c>
      <c r="J5661" s="21" t="n">
        <f aca="false">H5661*1000/Parametres!$B$9</f>
        <v>4239.44378497541</v>
      </c>
    </row>
    <row r="5662" customFormat="false" ht="15" hidden="false" customHeight="false" outlineLevel="0" collapsed="false">
      <c r="A5662" s="0" t="n">
        <v>5658</v>
      </c>
      <c r="B5662" s="0" t="n">
        <v>8</v>
      </c>
      <c r="C5662" s="19" t="n">
        <v>0.2095</v>
      </c>
      <c r="D5662" s="19" t="n">
        <v>1</v>
      </c>
      <c r="E5662" s="20" t="n">
        <f aca="false">Parametres!$B$5*C5662</f>
        <v>62.85</v>
      </c>
      <c r="F5662" s="20" t="n">
        <f aca="false">Parametres!$B$6*D5662</f>
        <v>200</v>
      </c>
      <c r="G5662" s="20" t="n">
        <f aca="false">E5662+F5662</f>
        <v>262.85</v>
      </c>
      <c r="H5662" s="20" t="n">
        <f aca="false">IF(G5662&lt;Parametres!$B$8*Parametres!$B$7,0,MIN(G5662,Parametres!$B$7))</f>
        <v>250</v>
      </c>
      <c r="I5662" s="20" t="n">
        <f aca="false">G5662-H5662</f>
        <v>12.85</v>
      </c>
      <c r="J5662" s="21" t="n">
        <f aca="false">H5662*1000/Parametres!$B$9</f>
        <v>4239.44378497541</v>
      </c>
    </row>
    <row r="5663" customFormat="false" ht="15" hidden="false" customHeight="false" outlineLevel="0" collapsed="false">
      <c r="A5663" s="0" t="n">
        <v>5659</v>
      </c>
      <c r="B5663" s="0" t="n">
        <v>8</v>
      </c>
      <c r="C5663" s="19" t="n">
        <v>0</v>
      </c>
      <c r="D5663" s="19" t="n">
        <v>1</v>
      </c>
      <c r="E5663" s="20" t="n">
        <f aca="false">Parametres!$B$5*C5663</f>
        <v>0</v>
      </c>
      <c r="F5663" s="20" t="n">
        <f aca="false">Parametres!$B$6*D5663</f>
        <v>200</v>
      </c>
      <c r="G5663" s="20" t="n">
        <f aca="false">E5663+F5663</f>
        <v>200</v>
      </c>
      <c r="H5663" s="20" t="n">
        <f aca="false">IF(G5663&lt;Parametres!$B$8*Parametres!$B$7,0,MIN(G5663,Parametres!$B$7))</f>
        <v>200</v>
      </c>
      <c r="I5663" s="20" t="n">
        <f aca="false">G5663-H5663</f>
        <v>0</v>
      </c>
      <c r="J5663" s="21" t="n">
        <f aca="false">H5663*1000/Parametres!$B$9</f>
        <v>3391.55502798033</v>
      </c>
    </row>
    <row r="5664" customFormat="false" ht="15" hidden="false" customHeight="false" outlineLevel="0" collapsed="false">
      <c r="A5664" s="0" t="n">
        <v>5660</v>
      </c>
      <c r="B5664" s="0" t="n">
        <v>8</v>
      </c>
      <c r="C5664" s="19" t="n">
        <v>0</v>
      </c>
      <c r="D5664" s="19" t="n">
        <v>1</v>
      </c>
      <c r="E5664" s="20" t="n">
        <f aca="false">Parametres!$B$5*C5664</f>
        <v>0</v>
      </c>
      <c r="F5664" s="20" t="n">
        <f aca="false">Parametres!$B$6*D5664</f>
        <v>200</v>
      </c>
      <c r="G5664" s="20" t="n">
        <f aca="false">E5664+F5664</f>
        <v>200</v>
      </c>
      <c r="H5664" s="20" t="n">
        <f aca="false">IF(G5664&lt;Parametres!$B$8*Parametres!$B$7,0,MIN(G5664,Parametres!$B$7))</f>
        <v>200</v>
      </c>
      <c r="I5664" s="20" t="n">
        <f aca="false">G5664-H5664</f>
        <v>0</v>
      </c>
      <c r="J5664" s="21" t="n">
        <f aca="false">H5664*1000/Parametres!$B$9</f>
        <v>3391.55502798033</v>
      </c>
    </row>
    <row r="5665" customFormat="false" ht="15" hidden="false" customHeight="false" outlineLevel="0" collapsed="false">
      <c r="A5665" s="0" t="n">
        <v>5661</v>
      </c>
      <c r="B5665" s="0" t="n">
        <v>8</v>
      </c>
      <c r="C5665" s="19" t="n">
        <v>0</v>
      </c>
      <c r="D5665" s="19" t="n">
        <v>1</v>
      </c>
      <c r="E5665" s="20" t="n">
        <f aca="false">Parametres!$B$5*C5665</f>
        <v>0</v>
      </c>
      <c r="F5665" s="20" t="n">
        <f aca="false">Parametres!$B$6*D5665</f>
        <v>200</v>
      </c>
      <c r="G5665" s="20" t="n">
        <f aca="false">E5665+F5665</f>
        <v>200</v>
      </c>
      <c r="H5665" s="20" t="n">
        <f aca="false">IF(G5665&lt;Parametres!$B$8*Parametres!$B$7,0,MIN(G5665,Parametres!$B$7))</f>
        <v>200</v>
      </c>
      <c r="I5665" s="20" t="n">
        <f aca="false">G5665-H5665</f>
        <v>0</v>
      </c>
      <c r="J5665" s="21" t="n">
        <f aca="false">H5665*1000/Parametres!$B$9</f>
        <v>3391.55502798033</v>
      </c>
    </row>
    <row r="5666" customFormat="false" ht="15" hidden="false" customHeight="false" outlineLevel="0" collapsed="false">
      <c r="A5666" s="0" t="n">
        <v>5662</v>
      </c>
      <c r="B5666" s="0" t="n">
        <v>8</v>
      </c>
      <c r="C5666" s="19" t="n">
        <v>0</v>
      </c>
      <c r="D5666" s="19" t="n">
        <v>1</v>
      </c>
      <c r="E5666" s="20" t="n">
        <f aca="false">Parametres!$B$5*C5666</f>
        <v>0</v>
      </c>
      <c r="F5666" s="20" t="n">
        <f aca="false">Parametres!$B$6*D5666</f>
        <v>200</v>
      </c>
      <c r="G5666" s="20" t="n">
        <f aca="false">E5666+F5666</f>
        <v>200</v>
      </c>
      <c r="H5666" s="20" t="n">
        <f aca="false">IF(G5666&lt;Parametres!$B$8*Parametres!$B$7,0,MIN(G5666,Parametres!$B$7))</f>
        <v>200</v>
      </c>
      <c r="I5666" s="20" t="n">
        <f aca="false">G5666-H5666</f>
        <v>0</v>
      </c>
      <c r="J5666" s="21" t="n">
        <f aca="false">H5666*1000/Parametres!$B$9</f>
        <v>3391.55502798033</v>
      </c>
    </row>
    <row r="5667" customFormat="false" ht="15" hidden="false" customHeight="false" outlineLevel="0" collapsed="false">
      <c r="A5667" s="0" t="n">
        <v>5663</v>
      </c>
      <c r="B5667" s="0" t="n">
        <v>8</v>
      </c>
      <c r="C5667" s="19" t="n">
        <v>0</v>
      </c>
      <c r="D5667" s="19" t="n">
        <v>1</v>
      </c>
      <c r="E5667" s="20" t="n">
        <f aca="false">Parametres!$B$5*C5667</f>
        <v>0</v>
      </c>
      <c r="F5667" s="20" t="n">
        <f aca="false">Parametres!$B$6*D5667</f>
        <v>200</v>
      </c>
      <c r="G5667" s="20" t="n">
        <f aca="false">E5667+F5667</f>
        <v>200</v>
      </c>
      <c r="H5667" s="20" t="n">
        <f aca="false">IF(G5667&lt;Parametres!$B$8*Parametres!$B$7,0,MIN(G5667,Parametres!$B$7))</f>
        <v>200</v>
      </c>
      <c r="I5667" s="20" t="n">
        <f aca="false">G5667-H5667</f>
        <v>0</v>
      </c>
      <c r="J5667" s="21" t="n">
        <f aca="false">H5667*1000/Parametres!$B$9</f>
        <v>3391.55502798033</v>
      </c>
    </row>
    <row r="5668" customFormat="false" ht="15" hidden="false" customHeight="false" outlineLevel="0" collapsed="false">
      <c r="A5668" s="0" t="n">
        <v>5664</v>
      </c>
      <c r="B5668" s="0" t="n">
        <v>8</v>
      </c>
      <c r="C5668" s="19" t="n">
        <v>0</v>
      </c>
      <c r="D5668" s="19" t="n">
        <v>1</v>
      </c>
      <c r="E5668" s="20" t="n">
        <f aca="false">Parametres!$B$5*C5668</f>
        <v>0</v>
      </c>
      <c r="F5668" s="20" t="n">
        <f aca="false">Parametres!$B$6*D5668</f>
        <v>200</v>
      </c>
      <c r="G5668" s="20" t="n">
        <f aca="false">E5668+F5668</f>
        <v>200</v>
      </c>
      <c r="H5668" s="20" t="n">
        <f aca="false">IF(G5668&lt;Parametres!$B$8*Parametres!$B$7,0,MIN(G5668,Parametres!$B$7))</f>
        <v>200</v>
      </c>
      <c r="I5668" s="20" t="n">
        <f aca="false">G5668-H5668</f>
        <v>0</v>
      </c>
      <c r="J5668" s="21" t="n">
        <f aca="false">H5668*1000/Parametres!$B$9</f>
        <v>3391.55502798033</v>
      </c>
    </row>
    <row r="5669" customFormat="false" ht="15" hidden="false" customHeight="false" outlineLevel="0" collapsed="false">
      <c r="A5669" s="0" t="n">
        <v>5665</v>
      </c>
      <c r="B5669" s="0" t="n">
        <v>8</v>
      </c>
      <c r="C5669" s="19" t="n">
        <v>0</v>
      </c>
      <c r="D5669" s="19" t="n">
        <v>1</v>
      </c>
      <c r="E5669" s="20" t="n">
        <f aca="false">Parametres!$B$5*C5669</f>
        <v>0</v>
      </c>
      <c r="F5669" s="20" t="n">
        <f aca="false">Parametres!$B$6*D5669</f>
        <v>200</v>
      </c>
      <c r="G5669" s="20" t="n">
        <f aca="false">E5669+F5669</f>
        <v>200</v>
      </c>
      <c r="H5669" s="20" t="n">
        <f aca="false">IF(G5669&lt;Parametres!$B$8*Parametres!$B$7,0,MIN(G5669,Parametres!$B$7))</f>
        <v>200</v>
      </c>
      <c r="I5669" s="20" t="n">
        <f aca="false">G5669-H5669</f>
        <v>0</v>
      </c>
      <c r="J5669" s="21" t="n">
        <f aca="false">H5669*1000/Parametres!$B$9</f>
        <v>3391.55502798033</v>
      </c>
    </row>
    <row r="5670" customFormat="false" ht="15" hidden="false" customHeight="false" outlineLevel="0" collapsed="false">
      <c r="A5670" s="0" t="n">
        <v>5666</v>
      </c>
      <c r="B5670" s="0" t="n">
        <v>8</v>
      </c>
      <c r="C5670" s="19" t="n">
        <v>0</v>
      </c>
      <c r="D5670" s="19" t="n">
        <v>1</v>
      </c>
      <c r="E5670" s="20" t="n">
        <f aca="false">Parametres!$B$5*C5670</f>
        <v>0</v>
      </c>
      <c r="F5670" s="20" t="n">
        <f aca="false">Parametres!$B$6*D5670</f>
        <v>200</v>
      </c>
      <c r="G5670" s="20" t="n">
        <f aca="false">E5670+F5670</f>
        <v>200</v>
      </c>
      <c r="H5670" s="20" t="n">
        <f aca="false">IF(G5670&lt;Parametres!$B$8*Parametres!$B$7,0,MIN(G5670,Parametres!$B$7))</f>
        <v>200</v>
      </c>
      <c r="I5670" s="20" t="n">
        <f aca="false">G5670-H5670</f>
        <v>0</v>
      </c>
      <c r="J5670" s="21" t="n">
        <f aca="false">H5670*1000/Parametres!$B$9</f>
        <v>3391.55502798033</v>
      </c>
    </row>
    <row r="5671" customFormat="false" ht="15" hidden="false" customHeight="false" outlineLevel="0" collapsed="false">
      <c r="A5671" s="0" t="n">
        <v>5667</v>
      </c>
      <c r="B5671" s="0" t="n">
        <v>8</v>
      </c>
      <c r="C5671" s="19" t="n">
        <v>0</v>
      </c>
      <c r="D5671" s="19" t="n">
        <v>0.8817</v>
      </c>
      <c r="E5671" s="20" t="n">
        <f aca="false">Parametres!$B$5*C5671</f>
        <v>0</v>
      </c>
      <c r="F5671" s="20" t="n">
        <f aca="false">Parametres!$B$6*D5671</f>
        <v>176.34</v>
      </c>
      <c r="G5671" s="20" t="n">
        <f aca="false">E5671+F5671</f>
        <v>176.34</v>
      </c>
      <c r="H5671" s="20" t="n">
        <f aca="false">IF(G5671&lt;Parametres!$B$8*Parametres!$B$7,0,MIN(G5671,Parametres!$B$7))</f>
        <v>176.34</v>
      </c>
      <c r="I5671" s="20" t="n">
        <f aca="false">G5671-H5671</f>
        <v>0</v>
      </c>
      <c r="J5671" s="21" t="n">
        <f aca="false">H5671*1000/Parametres!$B$9</f>
        <v>2990.33406817026</v>
      </c>
    </row>
    <row r="5672" customFormat="false" ht="15" hidden="false" customHeight="false" outlineLevel="0" collapsed="false">
      <c r="A5672" s="0" t="n">
        <v>5668</v>
      </c>
      <c r="B5672" s="0" t="n">
        <v>8</v>
      </c>
      <c r="C5672" s="19" t="n">
        <v>0</v>
      </c>
      <c r="D5672" s="19" t="n">
        <v>0.5562</v>
      </c>
      <c r="E5672" s="20" t="n">
        <f aca="false">Parametres!$B$5*C5672</f>
        <v>0</v>
      </c>
      <c r="F5672" s="20" t="n">
        <f aca="false">Parametres!$B$6*D5672</f>
        <v>111.24</v>
      </c>
      <c r="G5672" s="20" t="n">
        <f aca="false">E5672+F5672</f>
        <v>111.24</v>
      </c>
      <c r="H5672" s="20" t="n">
        <f aca="false">IF(G5672&lt;Parametres!$B$8*Parametres!$B$7,0,MIN(G5672,Parametres!$B$7))</f>
        <v>111.24</v>
      </c>
      <c r="I5672" s="20" t="n">
        <f aca="false">G5672-H5672</f>
        <v>0</v>
      </c>
      <c r="J5672" s="21" t="n">
        <f aca="false">H5672*1000/Parametres!$B$9</f>
        <v>1886.38290656266</v>
      </c>
    </row>
    <row r="5673" customFormat="false" ht="15" hidden="false" customHeight="false" outlineLevel="0" collapsed="false">
      <c r="A5673" s="0" t="n">
        <v>5669</v>
      </c>
      <c r="B5673" s="0" t="n">
        <v>8</v>
      </c>
      <c r="C5673" s="19" t="n">
        <v>0</v>
      </c>
      <c r="D5673" s="19" t="n">
        <v>0.6229</v>
      </c>
      <c r="E5673" s="20" t="n">
        <f aca="false">Parametres!$B$5*C5673</f>
        <v>0</v>
      </c>
      <c r="F5673" s="20" t="n">
        <f aca="false">Parametres!$B$6*D5673</f>
        <v>124.58</v>
      </c>
      <c r="G5673" s="20" t="n">
        <f aca="false">E5673+F5673</f>
        <v>124.58</v>
      </c>
      <c r="H5673" s="20" t="n">
        <f aca="false">IF(G5673&lt;Parametres!$B$8*Parametres!$B$7,0,MIN(G5673,Parametres!$B$7))</f>
        <v>124.58</v>
      </c>
      <c r="I5673" s="20" t="n">
        <f aca="false">G5673-H5673</f>
        <v>0</v>
      </c>
      <c r="J5673" s="21" t="n">
        <f aca="false">H5673*1000/Parametres!$B$9</f>
        <v>2112.59962692895</v>
      </c>
    </row>
    <row r="5674" customFormat="false" ht="15" hidden="false" customHeight="false" outlineLevel="0" collapsed="false">
      <c r="A5674" s="0" t="n">
        <v>5670</v>
      </c>
      <c r="B5674" s="0" t="n">
        <v>8</v>
      </c>
      <c r="C5674" s="19" t="n">
        <v>0</v>
      </c>
      <c r="D5674" s="19" t="n">
        <v>1</v>
      </c>
      <c r="E5674" s="20" t="n">
        <f aca="false">Parametres!$B$5*C5674</f>
        <v>0</v>
      </c>
      <c r="F5674" s="20" t="n">
        <f aca="false">Parametres!$B$6*D5674</f>
        <v>200</v>
      </c>
      <c r="G5674" s="20" t="n">
        <f aca="false">E5674+F5674</f>
        <v>200</v>
      </c>
      <c r="H5674" s="20" t="n">
        <f aca="false">IF(G5674&lt;Parametres!$B$8*Parametres!$B$7,0,MIN(G5674,Parametres!$B$7))</f>
        <v>200</v>
      </c>
      <c r="I5674" s="20" t="n">
        <f aca="false">G5674-H5674</f>
        <v>0</v>
      </c>
      <c r="J5674" s="21" t="n">
        <f aca="false">H5674*1000/Parametres!$B$9</f>
        <v>3391.55502798033</v>
      </c>
    </row>
    <row r="5675" customFormat="false" ht="15" hidden="false" customHeight="false" outlineLevel="0" collapsed="false">
      <c r="A5675" s="0" t="n">
        <v>5671</v>
      </c>
      <c r="B5675" s="0" t="n">
        <v>8</v>
      </c>
      <c r="C5675" s="19" t="n">
        <v>0.1571</v>
      </c>
      <c r="D5675" s="19" t="n">
        <v>0.8749</v>
      </c>
      <c r="E5675" s="20" t="n">
        <f aca="false">Parametres!$B$5*C5675</f>
        <v>47.13</v>
      </c>
      <c r="F5675" s="20" t="n">
        <f aca="false">Parametres!$B$6*D5675</f>
        <v>174.98</v>
      </c>
      <c r="G5675" s="20" t="n">
        <f aca="false">E5675+F5675</f>
        <v>222.11</v>
      </c>
      <c r="H5675" s="20" t="n">
        <f aca="false">IF(G5675&lt;Parametres!$B$8*Parametres!$B$7,0,MIN(G5675,Parametres!$B$7))</f>
        <v>222.11</v>
      </c>
      <c r="I5675" s="20" t="n">
        <f aca="false">G5675-H5675</f>
        <v>0</v>
      </c>
      <c r="J5675" s="21" t="n">
        <f aca="false">H5675*1000/Parametres!$B$9</f>
        <v>3766.49143632355</v>
      </c>
    </row>
    <row r="5676" customFormat="false" ht="15" hidden="false" customHeight="false" outlineLevel="0" collapsed="false">
      <c r="A5676" s="0" t="n">
        <v>5672</v>
      </c>
      <c r="B5676" s="0" t="n">
        <v>8</v>
      </c>
      <c r="C5676" s="19" t="n">
        <v>0.3748</v>
      </c>
      <c r="D5676" s="19" t="n">
        <v>1</v>
      </c>
      <c r="E5676" s="20" t="n">
        <f aca="false">Parametres!$B$5*C5676</f>
        <v>112.44</v>
      </c>
      <c r="F5676" s="20" t="n">
        <f aca="false">Parametres!$B$6*D5676</f>
        <v>200</v>
      </c>
      <c r="G5676" s="20" t="n">
        <f aca="false">E5676+F5676</f>
        <v>312.44</v>
      </c>
      <c r="H5676" s="20" t="n">
        <f aca="false">IF(G5676&lt;Parametres!$B$8*Parametres!$B$7,0,MIN(G5676,Parametres!$B$7))</f>
        <v>250</v>
      </c>
      <c r="I5676" s="20" t="n">
        <f aca="false">G5676-H5676</f>
        <v>62.44</v>
      </c>
      <c r="J5676" s="21" t="n">
        <f aca="false">H5676*1000/Parametres!$B$9</f>
        <v>4239.44378497541</v>
      </c>
    </row>
    <row r="5677" customFormat="false" ht="15" hidden="false" customHeight="false" outlineLevel="0" collapsed="false">
      <c r="A5677" s="0" t="n">
        <v>5673</v>
      </c>
      <c r="B5677" s="0" t="n">
        <v>8</v>
      </c>
      <c r="C5677" s="19" t="n">
        <v>0.5869</v>
      </c>
      <c r="D5677" s="19" t="n">
        <v>0.8667</v>
      </c>
      <c r="E5677" s="20" t="n">
        <f aca="false">Parametres!$B$5*C5677</f>
        <v>176.07</v>
      </c>
      <c r="F5677" s="20" t="n">
        <f aca="false">Parametres!$B$6*D5677</f>
        <v>173.34</v>
      </c>
      <c r="G5677" s="20" t="n">
        <f aca="false">E5677+F5677</f>
        <v>349.41</v>
      </c>
      <c r="H5677" s="20" t="n">
        <f aca="false">IF(G5677&lt;Parametres!$B$8*Parametres!$B$7,0,MIN(G5677,Parametres!$B$7))</f>
        <v>250</v>
      </c>
      <c r="I5677" s="20" t="n">
        <f aca="false">G5677-H5677</f>
        <v>99.41</v>
      </c>
      <c r="J5677" s="21" t="n">
        <f aca="false">H5677*1000/Parametres!$B$9</f>
        <v>4239.44378497541</v>
      </c>
    </row>
    <row r="5678" customFormat="false" ht="15" hidden="false" customHeight="false" outlineLevel="0" collapsed="false">
      <c r="A5678" s="0" t="n">
        <v>5674</v>
      </c>
      <c r="B5678" s="0" t="n">
        <v>8</v>
      </c>
      <c r="C5678" s="19" t="n">
        <v>0.7586</v>
      </c>
      <c r="D5678" s="19" t="n">
        <v>1</v>
      </c>
      <c r="E5678" s="20" t="n">
        <f aca="false">Parametres!$B$5*C5678</f>
        <v>227.58</v>
      </c>
      <c r="F5678" s="20" t="n">
        <f aca="false">Parametres!$B$6*D5678</f>
        <v>200</v>
      </c>
      <c r="G5678" s="20" t="n">
        <f aca="false">E5678+F5678</f>
        <v>427.58</v>
      </c>
      <c r="H5678" s="20" t="n">
        <f aca="false">IF(G5678&lt;Parametres!$B$8*Parametres!$B$7,0,MIN(G5678,Parametres!$B$7))</f>
        <v>250</v>
      </c>
      <c r="I5678" s="20" t="n">
        <f aca="false">G5678-H5678</f>
        <v>177.58</v>
      </c>
      <c r="J5678" s="21" t="n">
        <f aca="false">H5678*1000/Parametres!$B$9</f>
        <v>4239.44378497541</v>
      </c>
    </row>
    <row r="5679" customFormat="false" ht="15" hidden="false" customHeight="false" outlineLevel="0" collapsed="false">
      <c r="A5679" s="0" t="n">
        <v>5675</v>
      </c>
      <c r="B5679" s="0" t="n">
        <v>8</v>
      </c>
      <c r="C5679" s="19" t="n">
        <v>0.8916</v>
      </c>
      <c r="D5679" s="19" t="n">
        <v>1</v>
      </c>
      <c r="E5679" s="20" t="n">
        <f aca="false">Parametres!$B$5*C5679</f>
        <v>267.48</v>
      </c>
      <c r="F5679" s="20" t="n">
        <f aca="false">Parametres!$B$6*D5679</f>
        <v>200</v>
      </c>
      <c r="G5679" s="20" t="n">
        <f aca="false">E5679+F5679</f>
        <v>467.48</v>
      </c>
      <c r="H5679" s="20" t="n">
        <f aca="false">IF(G5679&lt;Parametres!$B$8*Parametres!$B$7,0,MIN(G5679,Parametres!$B$7))</f>
        <v>250</v>
      </c>
      <c r="I5679" s="20" t="n">
        <f aca="false">G5679-H5679</f>
        <v>217.48</v>
      </c>
      <c r="J5679" s="21" t="n">
        <f aca="false">H5679*1000/Parametres!$B$9</f>
        <v>4239.44378497541</v>
      </c>
    </row>
    <row r="5680" customFormat="false" ht="15" hidden="false" customHeight="false" outlineLevel="0" collapsed="false">
      <c r="A5680" s="0" t="n">
        <v>5676</v>
      </c>
      <c r="B5680" s="0" t="n">
        <v>8</v>
      </c>
      <c r="C5680" s="19" t="n">
        <v>0.933</v>
      </c>
      <c r="D5680" s="19" t="n">
        <v>1</v>
      </c>
      <c r="E5680" s="20" t="n">
        <f aca="false">Parametres!$B$5*C5680</f>
        <v>279.9</v>
      </c>
      <c r="F5680" s="20" t="n">
        <f aca="false">Parametres!$B$6*D5680</f>
        <v>200</v>
      </c>
      <c r="G5680" s="20" t="n">
        <f aca="false">E5680+F5680</f>
        <v>479.9</v>
      </c>
      <c r="H5680" s="20" t="n">
        <f aca="false">IF(G5680&lt;Parametres!$B$8*Parametres!$B$7,0,MIN(G5680,Parametres!$B$7))</f>
        <v>250</v>
      </c>
      <c r="I5680" s="20" t="n">
        <f aca="false">G5680-H5680</f>
        <v>229.9</v>
      </c>
      <c r="J5680" s="21" t="n">
        <f aca="false">H5680*1000/Parametres!$B$9</f>
        <v>4239.44378497541</v>
      </c>
    </row>
    <row r="5681" customFormat="false" ht="15" hidden="false" customHeight="false" outlineLevel="0" collapsed="false">
      <c r="A5681" s="0" t="n">
        <v>5677</v>
      </c>
      <c r="B5681" s="0" t="n">
        <v>8</v>
      </c>
      <c r="C5681" s="19" t="n">
        <v>0.9471</v>
      </c>
      <c r="D5681" s="19" t="n">
        <v>1</v>
      </c>
      <c r="E5681" s="20" t="n">
        <f aca="false">Parametres!$B$5*C5681</f>
        <v>284.13</v>
      </c>
      <c r="F5681" s="20" t="n">
        <f aca="false">Parametres!$B$6*D5681</f>
        <v>200</v>
      </c>
      <c r="G5681" s="20" t="n">
        <f aca="false">E5681+F5681</f>
        <v>484.13</v>
      </c>
      <c r="H5681" s="20" t="n">
        <f aca="false">IF(G5681&lt;Parametres!$B$8*Parametres!$B$7,0,MIN(G5681,Parametres!$B$7))</f>
        <v>250</v>
      </c>
      <c r="I5681" s="20" t="n">
        <f aca="false">G5681-H5681</f>
        <v>234.13</v>
      </c>
      <c r="J5681" s="21" t="n">
        <f aca="false">H5681*1000/Parametres!$B$9</f>
        <v>4239.44378497541</v>
      </c>
    </row>
    <row r="5682" customFormat="false" ht="15" hidden="false" customHeight="false" outlineLevel="0" collapsed="false">
      <c r="A5682" s="0" t="n">
        <v>5678</v>
      </c>
      <c r="B5682" s="0" t="n">
        <v>8</v>
      </c>
      <c r="C5682" s="19" t="n">
        <v>0.9098</v>
      </c>
      <c r="D5682" s="19" t="n">
        <v>0.9123</v>
      </c>
      <c r="E5682" s="20" t="n">
        <f aca="false">Parametres!$B$5*C5682</f>
        <v>272.94</v>
      </c>
      <c r="F5682" s="20" t="n">
        <f aca="false">Parametres!$B$6*D5682</f>
        <v>182.46</v>
      </c>
      <c r="G5682" s="20" t="n">
        <f aca="false">E5682+F5682</f>
        <v>455.4</v>
      </c>
      <c r="H5682" s="20" t="n">
        <f aca="false">IF(G5682&lt;Parametres!$B$8*Parametres!$B$7,0,MIN(G5682,Parametres!$B$7))</f>
        <v>250</v>
      </c>
      <c r="I5682" s="20" t="n">
        <f aca="false">G5682-H5682</f>
        <v>205.4</v>
      </c>
      <c r="J5682" s="21" t="n">
        <f aca="false">H5682*1000/Parametres!$B$9</f>
        <v>4239.44378497541</v>
      </c>
    </row>
    <row r="5683" customFormat="false" ht="15" hidden="false" customHeight="false" outlineLevel="0" collapsed="false">
      <c r="A5683" s="0" t="n">
        <v>5679</v>
      </c>
      <c r="B5683" s="0" t="n">
        <v>8</v>
      </c>
      <c r="C5683" s="19" t="n">
        <v>0.7536</v>
      </c>
      <c r="D5683" s="19" t="n">
        <v>1</v>
      </c>
      <c r="E5683" s="20" t="n">
        <f aca="false">Parametres!$B$5*C5683</f>
        <v>226.08</v>
      </c>
      <c r="F5683" s="20" t="n">
        <f aca="false">Parametres!$B$6*D5683</f>
        <v>200</v>
      </c>
      <c r="G5683" s="20" t="n">
        <f aca="false">E5683+F5683</f>
        <v>426.08</v>
      </c>
      <c r="H5683" s="20" t="n">
        <f aca="false">IF(G5683&lt;Parametres!$B$8*Parametres!$B$7,0,MIN(G5683,Parametres!$B$7))</f>
        <v>250</v>
      </c>
      <c r="I5683" s="20" t="n">
        <f aca="false">G5683-H5683</f>
        <v>176.08</v>
      </c>
      <c r="J5683" s="21" t="n">
        <f aca="false">H5683*1000/Parametres!$B$9</f>
        <v>4239.44378497541</v>
      </c>
    </row>
    <row r="5684" customFormat="false" ht="15" hidden="false" customHeight="false" outlineLevel="0" collapsed="false">
      <c r="A5684" s="0" t="n">
        <v>5680</v>
      </c>
      <c r="B5684" s="0" t="n">
        <v>8</v>
      </c>
      <c r="C5684" s="19" t="n">
        <v>0.5951</v>
      </c>
      <c r="D5684" s="19" t="n">
        <v>1</v>
      </c>
      <c r="E5684" s="20" t="n">
        <f aca="false">Parametres!$B$5*C5684</f>
        <v>178.53</v>
      </c>
      <c r="F5684" s="20" t="n">
        <f aca="false">Parametres!$B$6*D5684</f>
        <v>200</v>
      </c>
      <c r="G5684" s="20" t="n">
        <f aca="false">E5684+F5684</f>
        <v>378.53</v>
      </c>
      <c r="H5684" s="20" t="n">
        <f aca="false">IF(G5684&lt;Parametres!$B$8*Parametres!$B$7,0,MIN(G5684,Parametres!$B$7))</f>
        <v>250</v>
      </c>
      <c r="I5684" s="20" t="n">
        <f aca="false">G5684-H5684</f>
        <v>128.53</v>
      </c>
      <c r="J5684" s="21" t="n">
        <f aca="false">H5684*1000/Parametres!$B$9</f>
        <v>4239.44378497541</v>
      </c>
    </row>
    <row r="5685" customFormat="false" ht="15" hidden="false" customHeight="false" outlineLevel="0" collapsed="false">
      <c r="A5685" s="0" t="n">
        <v>5681</v>
      </c>
      <c r="B5685" s="0" t="n">
        <v>8</v>
      </c>
      <c r="C5685" s="19" t="n">
        <v>0.375</v>
      </c>
      <c r="D5685" s="19" t="n">
        <v>1</v>
      </c>
      <c r="E5685" s="20" t="n">
        <f aca="false">Parametres!$B$5*C5685</f>
        <v>112.5</v>
      </c>
      <c r="F5685" s="20" t="n">
        <f aca="false">Parametres!$B$6*D5685</f>
        <v>200</v>
      </c>
      <c r="G5685" s="20" t="n">
        <f aca="false">E5685+F5685</f>
        <v>312.5</v>
      </c>
      <c r="H5685" s="20" t="n">
        <f aca="false">IF(G5685&lt;Parametres!$B$8*Parametres!$B$7,0,MIN(G5685,Parametres!$B$7))</f>
        <v>250</v>
      </c>
      <c r="I5685" s="20" t="n">
        <f aca="false">G5685-H5685</f>
        <v>62.5</v>
      </c>
      <c r="J5685" s="21" t="n">
        <f aca="false">H5685*1000/Parametres!$B$9</f>
        <v>4239.44378497541</v>
      </c>
    </row>
    <row r="5686" customFormat="false" ht="15" hidden="false" customHeight="false" outlineLevel="0" collapsed="false">
      <c r="A5686" s="0" t="n">
        <v>5682</v>
      </c>
      <c r="B5686" s="0" t="n">
        <v>8</v>
      </c>
      <c r="C5686" s="19" t="n">
        <v>0.1665</v>
      </c>
      <c r="D5686" s="19" t="n">
        <v>1</v>
      </c>
      <c r="E5686" s="20" t="n">
        <f aca="false">Parametres!$B$5*C5686</f>
        <v>49.95</v>
      </c>
      <c r="F5686" s="20" t="n">
        <f aca="false">Parametres!$B$6*D5686</f>
        <v>200</v>
      </c>
      <c r="G5686" s="20" t="n">
        <f aca="false">E5686+F5686</f>
        <v>249.95</v>
      </c>
      <c r="H5686" s="20" t="n">
        <f aca="false">IF(G5686&lt;Parametres!$B$8*Parametres!$B$7,0,MIN(G5686,Parametres!$B$7))</f>
        <v>249.95</v>
      </c>
      <c r="I5686" s="20" t="n">
        <f aca="false">G5686-H5686</f>
        <v>0</v>
      </c>
      <c r="J5686" s="21" t="n">
        <f aca="false">H5686*1000/Parametres!$B$9</f>
        <v>4238.59589621842</v>
      </c>
    </row>
    <row r="5687" customFormat="false" ht="15" hidden="false" customHeight="false" outlineLevel="0" collapsed="false">
      <c r="A5687" s="0" t="n">
        <v>5683</v>
      </c>
      <c r="B5687" s="0" t="n">
        <v>8</v>
      </c>
      <c r="C5687" s="19" t="n">
        <v>0</v>
      </c>
      <c r="D5687" s="19" t="n">
        <v>0.7267</v>
      </c>
      <c r="E5687" s="20" t="n">
        <f aca="false">Parametres!$B$5*C5687</f>
        <v>0</v>
      </c>
      <c r="F5687" s="20" t="n">
        <f aca="false">Parametres!$B$6*D5687</f>
        <v>145.34</v>
      </c>
      <c r="G5687" s="20" t="n">
        <f aca="false">E5687+F5687</f>
        <v>145.34</v>
      </c>
      <c r="H5687" s="20" t="n">
        <f aca="false">IF(G5687&lt;Parametres!$B$8*Parametres!$B$7,0,MIN(G5687,Parametres!$B$7))</f>
        <v>145.34</v>
      </c>
      <c r="I5687" s="20" t="n">
        <f aca="false">G5687-H5687</f>
        <v>0</v>
      </c>
      <c r="J5687" s="21" t="n">
        <f aca="false">H5687*1000/Parametres!$B$9</f>
        <v>2464.64303883331</v>
      </c>
    </row>
    <row r="5688" customFormat="false" ht="15" hidden="false" customHeight="false" outlineLevel="0" collapsed="false">
      <c r="A5688" s="0" t="n">
        <v>5684</v>
      </c>
      <c r="B5688" s="0" t="n">
        <v>8</v>
      </c>
      <c r="C5688" s="19" t="n">
        <v>0</v>
      </c>
      <c r="D5688" s="19" t="n">
        <v>0.7475</v>
      </c>
      <c r="E5688" s="20" t="n">
        <f aca="false">Parametres!$B$5*C5688</f>
        <v>0</v>
      </c>
      <c r="F5688" s="20" t="n">
        <f aca="false">Parametres!$B$6*D5688</f>
        <v>149.5</v>
      </c>
      <c r="G5688" s="20" t="n">
        <f aca="false">E5688+F5688</f>
        <v>149.5</v>
      </c>
      <c r="H5688" s="20" t="n">
        <f aca="false">IF(G5688&lt;Parametres!$B$8*Parametres!$B$7,0,MIN(G5688,Parametres!$B$7))</f>
        <v>149.5</v>
      </c>
      <c r="I5688" s="20" t="n">
        <f aca="false">G5688-H5688</f>
        <v>0</v>
      </c>
      <c r="J5688" s="21" t="n">
        <f aca="false">H5688*1000/Parametres!$B$9</f>
        <v>2535.1873834153</v>
      </c>
    </row>
    <row r="5689" customFormat="false" ht="15" hidden="false" customHeight="false" outlineLevel="0" collapsed="false">
      <c r="A5689" s="0" t="n">
        <v>5685</v>
      </c>
      <c r="B5689" s="0" t="n">
        <v>8</v>
      </c>
      <c r="C5689" s="19" t="n">
        <v>0</v>
      </c>
      <c r="D5689" s="19" t="n">
        <v>0.6281</v>
      </c>
      <c r="E5689" s="20" t="n">
        <f aca="false">Parametres!$B$5*C5689</f>
        <v>0</v>
      </c>
      <c r="F5689" s="20" t="n">
        <f aca="false">Parametres!$B$6*D5689</f>
        <v>125.62</v>
      </c>
      <c r="G5689" s="20" t="n">
        <f aca="false">E5689+F5689</f>
        <v>125.62</v>
      </c>
      <c r="H5689" s="20" t="n">
        <f aca="false">IF(G5689&lt;Parametres!$B$8*Parametres!$B$7,0,MIN(G5689,Parametres!$B$7))</f>
        <v>125.62</v>
      </c>
      <c r="I5689" s="20" t="n">
        <f aca="false">G5689-H5689</f>
        <v>0</v>
      </c>
      <c r="J5689" s="21" t="n">
        <f aca="false">H5689*1000/Parametres!$B$9</f>
        <v>2130.23571307444</v>
      </c>
    </row>
    <row r="5690" customFormat="false" ht="15" hidden="false" customHeight="false" outlineLevel="0" collapsed="false">
      <c r="A5690" s="0" t="n">
        <v>5686</v>
      </c>
      <c r="B5690" s="0" t="n">
        <v>8</v>
      </c>
      <c r="C5690" s="19" t="n">
        <v>0</v>
      </c>
      <c r="D5690" s="19" t="n">
        <v>0.3171</v>
      </c>
      <c r="E5690" s="20" t="n">
        <f aca="false">Parametres!$B$5*C5690</f>
        <v>0</v>
      </c>
      <c r="F5690" s="20" t="n">
        <f aca="false">Parametres!$B$6*D5690</f>
        <v>63.42</v>
      </c>
      <c r="G5690" s="20" t="n">
        <f aca="false">E5690+F5690</f>
        <v>63.42</v>
      </c>
      <c r="H5690" s="20" t="n">
        <f aca="false">IF(G5690&lt;Parametres!$B$8*Parametres!$B$7,0,MIN(G5690,Parametres!$B$7))</f>
        <v>63.42</v>
      </c>
      <c r="I5690" s="20" t="n">
        <f aca="false">G5690-H5690</f>
        <v>0</v>
      </c>
      <c r="J5690" s="21" t="n">
        <f aca="false">H5690*1000/Parametres!$B$9</f>
        <v>1075.46209937256</v>
      </c>
    </row>
    <row r="5691" customFormat="false" ht="15" hidden="false" customHeight="false" outlineLevel="0" collapsed="false">
      <c r="A5691" s="0" t="n">
        <v>5687</v>
      </c>
      <c r="B5691" s="0" t="n">
        <v>8</v>
      </c>
      <c r="C5691" s="19" t="n">
        <v>0</v>
      </c>
      <c r="D5691" s="19" t="n">
        <v>0.1385</v>
      </c>
      <c r="E5691" s="20" t="n">
        <f aca="false">Parametres!$B$5*C5691</f>
        <v>0</v>
      </c>
      <c r="F5691" s="20" t="n">
        <f aca="false">Parametres!$B$6*D5691</f>
        <v>27.7</v>
      </c>
      <c r="G5691" s="20" t="n">
        <f aca="false">E5691+F5691</f>
        <v>27.7</v>
      </c>
      <c r="H5691" s="20" t="n">
        <f aca="false">IF(G5691&lt;Parametres!$B$8*Parametres!$B$7,0,MIN(G5691,Parametres!$B$7))</f>
        <v>27.7</v>
      </c>
      <c r="I5691" s="20" t="n">
        <f aca="false">G5691-H5691</f>
        <v>0</v>
      </c>
      <c r="J5691" s="21" t="n">
        <f aca="false">H5691*1000/Parametres!$B$9</f>
        <v>469.730371375276</v>
      </c>
    </row>
    <row r="5692" customFormat="false" ht="15" hidden="false" customHeight="false" outlineLevel="0" collapsed="false">
      <c r="A5692" s="0" t="n">
        <v>5688</v>
      </c>
      <c r="B5692" s="0" t="n">
        <v>8</v>
      </c>
      <c r="C5692" s="19" t="n">
        <v>0</v>
      </c>
      <c r="D5692" s="19" t="n">
        <v>0.0724</v>
      </c>
      <c r="E5692" s="20" t="n">
        <f aca="false">Parametres!$B$5*C5692</f>
        <v>0</v>
      </c>
      <c r="F5692" s="20" t="n">
        <f aca="false">Parametres!$B$6*D5692</f>
        <v>14.48</v>
      </c>
      <c r="G5692" s="20" t="n">
        <f aca="false">E5692+F5692</f>
        <v>14.48</v>
      </c>
      <c r="H5692" s="20" t="n">
        <f aca="false">IF(G5692&lt;Parametres!$B$8*Parametres!$B$7,0,MIN(G5692,Parametres!$B$7))</f>
        <v>0</v>
      </c>
      <c r="I5692" s="20" t="n">
        <f aca="false">G5692-H5692</f>
        <v>14.48</v>
      </c>
      <c r="J5692" s="21" t="n">
        <f aca="false">H5692*1000/Parametres!$B$9</f>
        <v>0</v>
      </c>
    </row>
    <row r="5693" customFormat="false" ht="15" hidden="false" customHeight="false" outlineLevel="0" collapsed="false">
      <c r="A5693" s="0" t="n">
        <v>5689</v>
      </c>
      <c r="B5693" s="0" t="n">
        <v>8</v>
      </c>
      <c r="C5693" s="19" t="n">
        <v>0</v>
      </c>
      <c r="D5693" s="19" t="n">
        <v>0.0848</v>
      </c>
      <c r="E5693" s="20" t="n">
        <f aca="false">Parametres!$B$5*C5693</f>
        <v>0</v>
      </c>
      <c r="F5693" s="20" t="n">
        <f aca="false">Parametres!$B$6*D5693</f>
        <v>16.96</v>
      </c>
      <c r="G5693" s="20" t="n">
        <f aca="false">E5693+F5693</f>
        <v>16.96</v>
      </c>
      <c r="H5693" s="20" t="n">
        <f aca="false">IF(G5693&lt;Parametres!$B$8*Parametres!$B$7,0,MIN(G5693,Parametres!$B$7))</f>
        <v>0</v>
      </c>
      <c r="I5693" s="20" t="n">
        <f aca="false">G5693-H5693</f>
        <v>16.96</v>
      </c>
      <c r="J5693" s="21" t="n">
        <f aca="false">H5693*1000/Parametres!$B$9</f>
        <v>0</v>
      </c>
    </row>
    <row r="5694" customFormat="false" ht="15" hidden="false" customHeight="false" outlineLevel="0" collapsed="false">
      <c r="A5694" s="0" t="n">
        <v>5690</v>
      </c>
      <c r="B5694" s="0" t="n">
        <v>8</v>
      </c>
      <c r="C5694" s="19" t="n">
        <v>0</v>
      </c>
      <c r="D5694" s="19" t="n">
        <v>0.1215</v>
      </c>
      <c r="E5694" s="20" t="n">
        <f aca="false">Parametres!$B$5*C5694</f>
        <v>0</v>
      </c>
      <c r="F5694" s="20" t="n">
        <f aca="false">Parametres!$B$6*D5694</f>
        <v>24.3</v>
      </c>
      <c r="G5694" s="20" t="n">
        <f aca="false">E5694+F5694</f>
        <v>24.3</v>
      </c>
      <c r="H5694" s="20" t="n">
        <f aca="false">IF(G5694&lt;Parametres!$B$8*Parametres!$B$7,0,MIN(G5694,Parametres!$B$7))</f>
        <v>0</v>
      </c>
      <c r="I5694" s="20" t="n">
        <f aca="false">G5694-H5694</f>
        <v>24.3</v>
      </c>
      <c r="J5694" s="21" t="n">
        <f aca="false">H5694*1000/Parametres!$B$9</f>
        <v>0</v>
      </c>
    </row>
    <row r="5695" customFormat="false" ht="15" hidden="false" customHeight="false" outlineLevel="0" collapsed="false">
      <c r="A5695" s="0" t="n">
        <v>5691</v>
      </c>
      <c r="B5695" s="0" t="n">
        <v>8</v>
      </c>
      <c r="C5695" s="19" t="n">
        <v>0</v>
      </c>
      <c r="D5695" s="19" t="n">
        <v>0.1253</v>
      </c>
      <c r="E5695" s="20" t="n">
        <f aca="false">Parametres!$B$5*C5695</f>
        <v>0</v>
      </c>
      <c r="F5695" s="20" t="n">
        <f aca="false">Parametres!$B$6*D5695</f>
        <v>25.06</v>
      </c>
      <c r="G5695" s="20" t="n">
        <f aca="false">E5695+F5695</f>
        <v>25.06</v>
      </c>
      <c r="H5695" s="20" t="n">
        <f aca="false">IF(G5695&lt;Parametres!$B$8*Parametres!$B$7,0,MIN(G5695,Parametres!$B$7))</f>
        <v>25.06</v>
      </c>
      <c r="I5695" s="20" t="n">
        <f aca="false">G5695-H5695</f>
        <v>0</v>
      </c>
      <c r="J5695" s="21" t="n">
        <f aca="false">H5695*1000/Parametres!$B$9</f>
        <v>424.961845005935</v>
      </c>
    </row>
    <row r="5696" customFormat="false" ht="15" hidden="false" customHeight="false" outlineLevel="0" collapsed="false">
      <c r="A5696" s="0" t="n">
        <v>5692</v>
      </c>
      <c r="B5696" s="0" t="n">
        <v>8</v>
      </c>
      <c r="C5696" s="19" t="n">
        <v>0</v>
      </c>
      <c r="D5696" s="19" t="n">
        <v>0.193</v>
      </c>
      <c r="E5696" s="20" t="n">
        <f aca="false">Parametres!$B$5*C5696</f>
        <v>0</v>
      </c>
      <c r="F5696" s="20" t="n">
        <f aca="false">Parametres!$B$6*D5696</f>
        <v>38.6</v>
      </c>
      <c r="G5696" s="20" t="n">
        <f aca="false">E5696+F5696</f>
        <v>38.6</v>
      </c>
      <c r="H5696" s="20" t="n">
        <f aca="false">IF(G5696&lt;Parametres!$B$8*Parametres!$B$7,0,MIN(G5696,Parametres!$B$7))</f>
        <v>38.6</v>
      </c>
      <c r="I5696" s="20" t="n">
        <f aca="false">G5696-H5696</f>
        <v>0</v>
      </c>
      <c r="J5696" s="21" t="n">
        <f aca="false">H5696*1000/Parametres!$B$9</f>
        <v>654.570120400204</v>
      </c>
    </row>
    <row r="5697" customFormat="false" ht="15" hidden="false" customHeight="false" outlineLevel="0" collapsed="false">
      <c r="A5697" s="0" t="n">
        <v>5693</v>
      </c>
      <c r="B5697" s="0" t="n">
        <v>8</v>
      </c>
      <c r="C5697" s="19" t="n">
        <v>0</v>
      </c>
      <c r="D5697" s="19" t="n">
        <v>0.1851</v>
      </c>
      <c r="E5697" s="20" t="n">
        <f aca="false">Parametres!$B$5*C5697</f>
        <v>0</v>
      </c>
      <c r="F5697" s="20" t="n">
        <f aca="false">Parametres!$B$6*D5697</f>
        <v>37.02</v>
      </c>
      <c r="G5697" s="20" t="n">
        <f aca="false">E5697+F5697</f>
        <v>37.02</v>
      </c>
      <c r="H5697" s="20" t="n">
        <f aca="false">IF(G5697&lt;Parametres!$B$8*Parametres!$B$7,0,MIN(G5697,Parametres!$B$7))</f>
        <v>37.02</v>
      </c>
      <c r="I5697" s="20" t="n">
        <f aca="false">G5697-H5697</f>
        <v>0</v>
      </c>
      <c r="J5697" s="21" t="n">
        <f aca="false">H5697*1000/Parametres!$B$9</f>
        <v>627.776835679159</v>
      </c>
    </row>
    <row r="5698" customFormat="false" ht="15" hidden="false" customHeight="false" outlineLevel="0" collapsed="false">
      <c r="A5698" s="0" t="n">
        <v>5694</v>
      </c>
      <c r="B5698" s="0" t="n">
        <v>8</v>
      </c>
      <c r="C5698" s="19" t="n">
        <v>0</v>
      </c>
      <c r="D5698" s="19" t="n">
        <v>0.1315</v>
      </c>
      <c r="E5698" s="20" t="n">
        <f aca="false">Parametres!$B$5*C5698</f>
        <v>0</v>
      </c>
      <c r="F5698" s="20" t="n">
        <f aca="false">Parametres!$B$6*D5698</f>
        <v>26.3</v>
      </c>
      <c r="G5698" s="20" t="n">
        <f aca="false">E5698+F5698</f>
        <v>26.3</v>
      </c>
      <c r="H5698" s="20" t="n">
        <f aca="false">IF(G5698&lt;Parametres!$B$8*Parametres!$B$7,0,MIN(G5698,Parametres!$B$7))</f>
        <v>26.3</v>
      </c>
      <c r="I5698" s="20" t="n">
        <f aca="false">G5698-H5698</f>
        <v>0</v>
      </c>
      <c r="J5698" s="21" t="n">
        <f aca="false">H5698*1000/Parametres!$B$9</f>
        <v>445.989486179413</v>
      </c>
    </row>
    <row r="5699" customFormat="false" ht="15" hidden="false" customHeight="false" outlineLevel="0" collapsed="false">
      <c r="A5699" s="0" t="n">
        <v>5695</v>
      </c>
      <c r="B5699" s="0" t="n">
        <v>8</v>
      </c>
      <c r="C5699" s="19" t="n">
        <v>0.2364</v>
      </c>
      <c r="D5699" s="19" t="n">
        <v>0.2317</v>
      </c>
      <c r="E5699" s="20" t="n">
        <f aca="false">Parametres!$B$5*C5699</f>
        <v>70.92</v>
      </c>
      <c r="F5699" s="20" t="n">
        <f aca="false">Parametres!$B$6*D5699</f>
        <v>46.34</v>
      </c>
      <c r="G5699" s="20" t="n">
        <f aca="false">E5699+F5699</f>
        <v>117.26</v>
      </c>
      <c r="H5699" s="20" t="n">
        <f aca="false">IF(G5699&lt;Parametres!$B$8*Parametres!$B$7,0,MIN(G5699,Parametres!$B$7))</f>
        <v>117.26</v>
      </c>
      <c r="I5699" s="20" t="n">
        <f aca="false">G5699-H5699</f>
        <v>0</v>
      </c>
      <c r="J5699" s="21" t="n">
        <f aca="false">H5699*1000/Parametres!$B$9</f>
        <v>1988.46871290487</v>
      </c>
    </row>
    <row r="5700" customFormat="false" ht="15" hidden="false" customHeight="false" outlineLevel="0" collapsed="false">
      <c r="A5700" s="0" t="n">
        <v>5696</v>
      </c>
      <c r="B5700" s="0" t="n">
        <v>8</v>
      </c>
      <c r="C5700" s="19" t="n">
        <v>0.4769</v>
      </c>
      <c r="D5700" s="19" t="n">
        <v>0.2924</v>
      </c>
      <c r="E5700" s="20" t="n">
        <f aca="false">Parametres!$B$5*C5700</f>
        <v>143.07</v>
      </c>
      <c r="F5700" s="20" t="n">
        <f aca="false">Parametres!$B$6*D5700</f>
        <v>58.48</v>
      </c>
      <c r="G5700" s="20" t="n">
        <f aca="false">E5700+F5700</f>
        <v>201.55</v>
      </c>
      <c r="H5700" s="20" t="n">
        <f aca="false">IF(G5700&lt;Parametres!$B$8*Parametres!$B$7,0,MIN(G5700,Parametres!$B$7))</f>
        <v>201.55</v>
      </c>
      <c r="I5700" s="20" t="n">
        <f aca="false">G5700-H5700</f>
        <v>0</v>
      </c>
      <c r="J5700" s="21" t="n">
        <f aca="false">H5700*1000/Parametres!$B$9</f>
        <v>3417.83957944718</v>
      </c>
    </row>
    <row r="5701" customFormat="false" ht="15" hidden="false" customHeight="false" outlineLevel="0" collapsed="false">
      <c r="A5701" s="0" t="n">
        <v>5697</v>
      </c>
      <c r="B5701" s="0" t="n">
        <v>8</v>
      </c>
      <c r="C5701" s="19" t="n">
        <v>0.7974</v>
      </c>
      <c r="D5701" s="19" t="n">
        <v>0.2025</v>
      </c>
      <c r="E5701" s="20" t="n">
        <f aca="false">Parametres!$B$5*C5701</f>
        <v>239.22</v>
      </c>
      <c r="F5701" s="20" t="n">
        <f aca="false">Parametres!$B$6*D5701</f>
        <v>40.5</v>
      </c>
      <c r="G5701" s="20" t="n">
        <f aca="false">E5701+F5701</f>
        <v>279.72</v>
      </c>
      <c r="H5701" s="20" t="n">
        <f aca="false">IF(G5701&lt;Parametres!$B$8*Parametres!$B$7,0,MIN(G5701,Parametres!$B$7))</f>
        <v>250</v>
      </c>
      <c r="I5701" s="20" t="n">
        <f aca="false">G5701-H5701</f>
        <v>29.72</v>
      </c>
      <c r="J5701" s="21" t="n">
        <f aca="false">H5701*1000/Parametres!$B$9</f>
        <v>4239.44378497541</v>
      </c>
    </row>
    <row r="5702" customFormat="false" ht="15" hidden="false" customHeight="false" outlineLevel="0" collapsed="false">
      <c r="A5702" s="0" t="n">
        <v>5698</v>
      </c>
      <c r="B5702" s="0" t="n">
        <v>8</v>
      </c>
      <c r="C5702" s="19" t="n">
        <v>1</v>
      </c>
      <c r="D5702" s="19" t="n">
        <v>0.1889</v>
      </c>
      <c r="E5702" s="20" t="n">
        <f aca="false">Parametres!$B$5*C5702</f>
        <v>300</v>
      </c>
      <c r="F5702" s="20" t="n">
        <f aca="false">Parametres!$B$6*D5702</f>
        <v>37.78</v>
      </c>
      <c r="G5702" s="20" t="n">
        <f aca="false">E5702+F5702</f>
        <v>337.78</v>
      </c>
      <c r="H5702" s="20" t="n">
        <f aca="false">IF(G5702&lt;Parametres!$B$8*Parametres!$B$7,0,MIN(G5702,Parametres!$B$7))</f>
        <v>250</v>
      </c>
      <c r="I5702" s="20" t="n">
        <f aca="false">G5702-H5702</f>
        <v>87.78</v>
      </c>
      <c r="J5702" s="21" t="n">
        <f aca="false">H5702*1000/Parametres!$B$9</f>
        <v>4239.44378497541</v>
      </c>
    </row>
    <row r="5703" customFormat="false" ht="15" hidden="false" customHeight="false" outlineLevel="0" collapsed="false">
      <c r="A5703" s="0" t="n">
        <v>5699</v>
      </c>
      <c r="B5703" s="0" t="n">
        <v>8</v>
      </c>
      <c r="C5703" s="19" t="n">
        <v>1</v>
      </c>
      <c r="D5703" s="19" t="n">
        <v>0.2968</v>
      </c>
      <c r="E5703" s="20" t="n">
        <f aca="false">Parametres!$B$5*C5703</f>
        <v>300</v>
      </c>
      <c r="F5703" s="20" t="n">
        <f aca="false">Parametres!$B$6*D5703</f>
        <v>59.36</v>
      </c>
      <c r="G5703" s="20" t="n">
        <f aca="false">E5703+F5703</f>
        <v>359.36</v>
      </c>
      <c r="H5703" s="20" t="n">
        <f aca="false">IF(G5703&lt;Parametres!$B$8*Parametres!$B$7,0,MIN(G5703,Parametres!$B$7))</f>
        <v>250</v>
      </c>
      <c r="I5703" s="20" t="n">
        <f aca="false">G5703-H5703</f>
        <v>109.36</v>
      </c>
      <c r="J5703" s="21" t="n">
        <f aca="false">H5703*1000/Parametres!$B$9</f>
        <v>4239.44378497541</v>
      </c>
    </row>
    <row r="5704" customFormat="false" ht="15" hidden="false" customHeight="false" outlineLevel="0" collapsed="false">
      <c r="A5704" s="0" t="n">
        <v>5700</v>
      </c>
      <c r="B5704" s="0" t="n">
        <v>8</v>
      </c>
      <c r="C5704" s="19" t="n">
        <v>1</v>
      </c>
      <c r="D5704" s="19" t="n">
        <v>0.4751</v>
      </c>
      <c r="E5704" s="20" t="n">
        <f aca="false">Parametres!$B$5*C5704</f>
        <v>300</v>
      </c>
      <c r="F5704" s="20" t="n">
        <f aca="false">Parametres!$B$6*D5704</f>
        <v>95.02</v>
      </c>
      <c r="G5704" s="20" t="n">
        <f aca="false">E5704+F5704</f>
        <v>395.02</v>
      </c>
      <c r="H5704" s="20" t="n">
        <f aca="false">IF(G5704&lt;Parametres!$B$8*Parametres!$B$7,0,MIN(G5704,Parametres!$B$7))</f>
        <v>250</v>
      </c>
      <c r="I5704" s="20" t="n">
        <f aca="false">G5704-H5704</f>
        <v>145.02</v>
      </c>
      <c r="J5704" s="21" t="n">
        <f aca="false">H5704*1000/Parametres!$B$9</f>
        <v>4239.44378497541</v>
      </c>
    </row>
    <row r="5705" customFormat="false" ht="15" hidden="false" customHeight="false" outlineLevel="0" collapsed="false">
      <c r="A5705" s="0" t="n">
        <v>5701</v>
      </c>
      <c r="B5705" s="0" t="n">
        <v>8</v>
      </c>
      <c r="C5705" s="19" t="n">
        <v>1</v>
      </c>
      <c r="D5705" s="19" t="n">
        <v>0.587</v>
      </c>
      <c r="E5705" s="20" t="n">
        <f aca="false">Parametres!$B$5*C5705</f>
        <v>300</v>
      </c>
      <c r="F5705" s="20" t="n">
        <f aca="false">Parametres!$B$6*D5705</f>
        <v>117.4</v>
      </c>
      <c r="G5705" s="20" t="n">
        <f aca="false">E5705+F5705</f>
        <v>417.4</v>
      </c>
      <c r="H5705" s="20" t="n">
        <f aca="false">IF(G5705&lt;Parametres!$B$8*Parametres!$B$7,0,MIN(G5705,Parametres!$B$7))</f>
        <v>250</v>
      </c>
      <c r="I5705" s="20" t="n">
        <f aca="false">G5705-H5705</f>
        <v>167.4</v>
      </c>
      <c r="J5705" s="21" t="n">
        <f aca="false">H5705*1000/Parametres!$B$9</f>
        <v>4239.44378497541</v>
      </c>
    </row>
    <row r="5706" customFormat="false" ht="15" hidden="false" customHeight="false" outlineLevel="0" collapsed="false">
      <c r="A5706" s="0" t="n">
        <v>5702</v>
      </c>
      <c r="B5706" s="0" t="n">
        <v>8</v>
      </c>
      <c r="C5706" s="19" t="n">
        <v>1</v>
      </c>
      <c r="D5706" s="19" t="n">
        <v>0.4473</v>
      </c>
      <c r="E5706" s="20" t="n">
        <f aca="false">Parametres!$B$5*C5706</f>
        <v>300</v>
      </c>
      <c r="F5706" s="20" t="n">
        <f aca="false">Parametres!$B$6*D5706</f>
        <v>89.46</v>
      </c>
      <c r="G5706" s="20" t="n">
        <f aca="false">E5706+F5706</f>
        <v>389.46</v>
      </c>
      <c r="H5706" s="20" t="n">
        <f aca="false">IF(G5706&lt;Parametres!$B$8*Parametres!$B$7,0,MIN(G5706,Parametres!$B$7))</f>
        <v>250</v>
      </c>
      <c r="I5706" s="20" t="n">
        <f aca="false">G5706-H5706</f>
        <v>139.46</v>
      </c>
      <c r="J5706" s="21" t="n">
        <f aca="false">H5706*1000/Parametres!$B$9</f>
        <v>4239.44378497541</v>
      </c>
    </row>
    <row r="5707" customFormat="false" ht="15" hidden="false" customHeight="false" outlineLevel="0" collapsed="false">
      <c r="A5707" s="0" t="n">
        <v>5703</v>
      </c>
      <c r="B5707" s="0" t="n">
        <v>8</v>
      </c>
      <c r="C5707" s="19" t="n">
        <v>1</v>
      </c>
      <c r="D5707" s="19" t="n">
        <v>0.49</v>
      </c>
      <c r="E5707" s="20" t="n">
        <f aca="false">Parametres!$B$5*C5707</f>
        <v>300</v>
      </c>
      <c r="F5707" s="20" t="n">
        <f aca="false">Parametres!$B$6*D5707</f>
        <v>98</v>
      </c>
      <c r="G5707" s="20" t="n">
        <f aca="false">E5707+F5707</f>
        <v>398</v>
      </c>
      <c r="H5707" s="20" t="n">
        <f aca="false">IF(G5707&lt;Parametres!$B$8*Parametres!$B$7,0,MIN(G5707,Parametres!$B$7))</f>
        <v>250</v>
      </c>
      <c r="I5707" s="20" t="n">
        <f aca="false">G5707-H5707</f>
        <v>148</v>
      </c>
      <c r="J5707" s="21" t="n">
        <f aca="false">H5707*1000/Parametres!$B$9</f>
        <v>4239.44378497541</v>
      </c>
    </row>
    <row r="5708" customFormat="false" ht="15" hidden="false" customHeight="false" outlineLevel="0" collapsed="false">
      <c r="A5708" s="0" t="n">
        <v>5704</v>
      </c>
      <c r="B5708" s="0" t="n">
        <v>8</v>
      </c>
      <c r="C5708" s="19" t="n">
        <v>0.7574</v>
      </c>
      <c r="D5708" s="19" t="n">
        <v>0.8864</v>
      </c>
      <c r="E5708" s="20" t="n">
        <f aca="false">Parametres!$B$5*C5708</f>
        <v>227.22</v>
      </c>
      <c r="F5708" s="20" t="n">
        <f aca="false">Parametres!$B$6*D5708</f>
        <v>177.28</v>
      </c>
      <c r="G5708" s="20" t="n">
        <f aca="false">E5708+F5708</f>
        <v>404.5</v>
      </c>
      <c r="H5708" s="20" t="n">
        <f aca="false">IF(G5708&lt;Parametres!$B$8*Parametres!$B$7,0,MIN(G5708,Parametres!$B$7))</f>
        <v>250</v>
      </c>
      <c r="I5708" s="20" t="n">
        <f aca="false">G5708-H5708</f>
        <v>154.5</v>
      </c>
      <c r="J5708" s="21" t="n">
        <f aca="false">H5708*1000/Parametres!$B$9</f>
        <v>4239.44378497541</v>
      </c>
    </row>
    <row r="5709" customFormat="false" ht="15" hidden="false" customHeight="false" outlineLevel="0" collapsed="false">
      <c r="A5709" s="0" t="n">
        <v>5705</v>
      </c>
      <c r="B5709" s="0" t="n">
        <v>8</v>
      </c>
      <c r="C5709" s="19" t="n">
        <v>0.5416</v>
      </c>
      <c r="D5709" s="19" t="n">
        <v>1</v>
      </c>
      <c r="E5709" s="20" t="n">
        <f aca="false">Parametres!$B$5*C5709</f>
        <v>162.48</v>
      </c>
      <c r="F5709" s="20" t="n">
        <f aca="false">Parametres!$B$6*D5709</f>
        <v>200</v>
      </c>
      <c r="G5709" s="20" t="n">
        <f aca="false">E5709+F5709</f>
        <v>362.48</v>
      </c>
      <c r="H5709" s="20" t="n">
        <f aca="false">IF(G5709&lt;Parametres!$B$8*Parametres!$B$7,0,MIN(G5709,Parametres!$B$7))</f>
        <v>250</v>
      </c>
      <c r="I5709" s="20" t="n">
        <f aca="false">G5709-H5709</f>
        <v>112.48</v>
      </c>
      <c r="J5709" s="21" t="n">
        <f aca="false">H5709*1000/Parametres!$B$9</f>
        <v>4239.44378497541</v>
      </c>
    </row>
    <row r="5710" customFormat="false" ht="15" hidden="false" customHeight="false" outlineLevel="0" collapsed="false">
      <c r="A5710" s="0" t="n">
        <v>5706</v>
      </c>
      <c r="B5710" s="0" t="n">
        <v>8</v>
      </c>
      <c r="C5710" s="19" t="n">
        <v>0.2148</v>
      </c>
      <c r="D5710" s="19" t="n">
        <v>1</v>
      </c>
      <c r="E5710" s="20" t="n">
        <f aca="false">Parametres!$B$5*C5710</f>
        <v>64.44</v>
      </c>
      <c r="F5710" s="20" t="n">
        <f aca="false">Parametres!$B$6*D5710</f>
        <v>200</v>
      </c>
      <c r="G5710" s="20" t="n">
        <f aca="false">E5710+F5710</f>
        <v>264.44</v>
      </c>
      <c r="H5710" s="20" t="n">
        <f aca="false">IF(G5710&lt;Parametres!$B$8*Parametres!$B$7,0,MIN(G5710,Parametres!$B$7))</f>
        <v>250</v>
      </c>
      <c r="I5710" s="20" t="n">
        <f aca="false">G5710-H5710</f>
        <v>14.44</v>
      </c>
      <c r="J5710" s="21" t="n">
        <f aca="false">H5710*1000/Parametres!$B$9</f>
        <v>4239.44378497541</v>
      </c>
    </row>
    <row r="5711" customFormat="false" ht="15" hidden="false" customHeight="false" outlineLevel="0" collapsed="false">
      <c r="A5711" s="0" t="n">
        <v>5707</v>
      </c>
      <c r="B5711" s="0" t="n">
        <v>8</v>
      </c>
      <c r="C5711" s="19" t="n">
        <v>0</v>
      </c>
      <c r="D5711" s="19" t="n">
        <v>1</v>
      </c>
      <c r="E5711" s="20" t="n">
        <f aca="false">Parametres!$B$5*C5711</f>
        <v>0</v>
      </c>
      <c r="F5711" s="20" t="n">
        <f aca="false">Parametres!$B$6*D5711</f>
        <v>200</v>
      </c>
      <c r="G5711" s="20" t="n">
        <f aca="false">E5711+F5711</f>
        <v>200</v>
      </c>
      <c r="H5711" s="20" t="n">
        <f aca="false">IF(G5711&lt;Parametres!$B$8*Parametres!$B$7,0,MIN(G5711,Parametres!$B$7))</f>
        <v>200</v>
      </c>
      <c r="I5711" s="20" t="n">
        <f aca="false">G5711-H5711</f>
        <v>0</v>
      </c>
      <c r="J5711" s="21" t="n">
        <f aca="false">H5711*1000/Parametres!$B$9</f>
        <v>3391.55502798033</v>
      </c>
    </row>
    <row r="5712" customFormat="false" ht="15" hidden="false" customHeight="false" outlineLevel="0" collapsed="false">
      <c r="A5712" s="0" t="n">
        <v>5708</v>
      </c>
      <c r="B5712" s="0" t="n">
        <v>8</v>
      </c>
      <c r="C5712" s="19" t="n">
        <v>0</v>
      </c>
      <c r="D5712" s="19" t="n">
        <v>0.875</v>
      </c>
      <c r="E5712" s="20" t="n">
        <f aca="false">Parametres!$B$5*C5712</f>
        <v>0</v>
      </c>
      <c r="F5712" s="20" t="n">
        <f aca="false">Parametres!$B$6*D5712</f>
        <v>175</v>
      </c>
      <c r="G5712" s="20" t="n">
        <f aca="false">E5712+F5712</f>
        <v>175</v>
      </c>
      <c r="H5712" s="20" t="n">
        <f aca="false">IF(G5712&lt;Parametres!$B$8*Parametres!$B$7,0,MIN(G5712,Parametres!$B$7))</f>
        <v>175</v>
      </c>
      <c r="I5712" s="20" t="n">
        <f aca="false">G5712-H5712</f>
        <v>0</v>
      </c>
      <c r="J5712" s="21" t="n">
        <f aca="false">H5712*1000/Parametres!$B$9</f>
        <v>2967.61064948279</v>
      </c>
    </row>
    <row r="5713" customFormat="false" ht="15" hidden="false" customHeight="false" outlineLevel="0" collapsed="false">
      <c r="A5713" s="0" t="n">
        <v>5709</v>
      </c>
      <c r="B5713" s="0" t="n">
        <v>8</v>
      </c>
      <c r="C5713" s="19" t="n">
        <v>0</v>
      </c>
      <c r="D5713" s="19" t="n">
        <v>0.8798</v>
      </c>
      <c r="E5713" s="20" t="n">
        <f aca="false">Parametres!$B$5*C5713</f>
        <v>0</v>
      </c>
      <c r="F5713" s="20" t="n">
        <f aca="false">Parametres!$B$6*D5713</f>
        <v>175.96</v>
      </c>
      <c r="G5713" s="20" t="n">
        <f aca="false">E5713+F5713</f>
        <v>175.96</v>
      </c>
      <c r="H5713" s="20" t="n">
        <f aca="false">IF(G5713&lt;Parametres!$B$8*Parametres!$B$7,0,MIN(G5713,Parametres!$B$7))</f>
        <v>175.96</v>
      </c>
      <c r="I5713" s="20" t="n">
        <f aca="false">G5713-H5713</f>
        <v>0</v>
      </c>
      <c r="J5713" s="21" t="n">
        <f aca="false">H5713*1000/Parametres!$B$9</f>
        <v>2983.89011361709</v>
      </c>
    </row>
    <row r="5714" customFormat="false" ht="15" hidden="false" customHeight="false" outlineLevel="0" collapsed="false">
      <c r="A5714" s="0" t="n">
        <v>5710</v>
      </c>
      <c r="B5714" s="0" t="n">
        <v>8</v>
      </c>
      <c r="C5714" s="19" t="n">
        <v>0</v>
      </c>
      <c r="D5714" s="19" t="n">
        <v>0.8524</v>
      </c>
      <c r="E5714" s="20" t="n">
        <f aca="false">Parametres!$B$5*C5714</f>
        <v>0</v>
      </c>
      <c r="F5714" s="20" t="n">
        <f aca="false">Parametres!$B$6*D5714</f>
        <v>170.48</v>
      </c>
      <c r="G5714" s="20" t="n">
        <f aca="false">E5714+F5714</f>
        <v>170.48</v>
      </c>
      <c r="H5714" s="20" t="n">
        <f aca="false">IF(G5714&lt;Parametres!$B$8*Parametres!$B$7,0,MIN(G5714,Parametres!$B$7))</f>
        <v>170.48</v>
      </c>
      <c r="I5714" s="20" t="n">
        <f aca="false">G5714-H5714</f>
        <v>0</v>
      </c>
      <c r="J5714" s="21" t="n">
        <f aca="false">H5714*1000/Parametres!$B$9</f>
        <v>2890.96150585043</v>
      </c>
    </row>
    <row r="5715" customFormat="false" ht="15" hidden="false" customHeight="false" outlineLevel="0" collapsed="false">
      <c r="A5715" s="0" t="n">
        <v>5711</v>
      </c>
      <c r="B5715" s="0" t="n">
        <v>8</v>
      </c>
      <c r="C5715" s="19" t="n">
        <v>0</v>
      </c>
      <c r="D5715" s="19" t="n">
        <v>0.707</v>
      </c>
      <c r="E5715" s="20" t="n">
        <f aca="false">Parametres!$B$5*C5715</f>
        <v>0</v>
      </c>
      <c r="F5715" s="20" t="n">
        <f aca="false">Parametres!$B$6*D5715</f>
        <v>141.4</v>
      </c>
      <c r="G5715" s="20" t="n">
        <f aca="false">E5715+F5715</f>
        <v>141.4</v>
      </c>
      <c r="H5715" s="20" t="n">
        <f aca="false">IF(G5715&lt;Parametres!$B$8*Parametres!$B$7,0,MIN(G5715,Parametres!$B$7))</f>
        <v>141.4</v>
      </c>
      <c r="I5715" s="20" t="n">
        <f aca="false">G5715-H5715</f>
        <v>0</v>
      </c>
      <c r="J5715" s="21" t="n">
        <f aca="false">H5715*1000/Parametres!$B$9</f>
        <v>2397.82940478209</v>
      </c>
    </row>
    <row r="5716" customFormat="false" ht="15" hidden="false" customHeight="false" outlineLevel="0" collapsed="false">
      <c r="A5716" s="0" t="n">
        <v>5712</v>
      </c>
      <c r="B5716" s="0" t="n">
        <v>8</v>
      </c>
      <c r="C5716" s="19" t="n">
        <v>0</v>
      </c>
      <c r="D5716" s="19" t="n">
        <v>0.3464</v>
      </c>
      <c r="E5716" s="20" t="n">
        <f aca="false">Parametres!$B$5*C5716</f>
        <v>0</v>
      </c>
      <c r="F5716" s="20" t="n">
        <f aca="false">Parametres!$B$6*D5716</f>
        <v>69.28</v>
      </c>
      <c r="G5716" s="20" t="n">
        <f aca="false">E5716+F5716</f>
        <v>69.28</v>
      </c>
      <c r="H5716" s="20" t="n">
        <f aca="false">IF(G5716&lt;Parametres!$B$8*Parametres!$B$7,0,MIN(G5716,Parametres!$B$7))</f>
        <v>69.28</v>
      </c>
      <c r="I5716" s="20" t="n">
        <f aca="false">G5716-H5716</f>
        <v>0</v>
      </c>
      <c r="J5716" s="21" t="n">
        <f aca="false">H5716*1000/Parametres!$B$9</f>
        <v>1174.83466169239</v>
      </c>
    </row>
    <row r="5717" customFormat="false" ht="15" hidden="false" customHeight="false" outlineLevel="0" collapsed="false">
      <c r="A5717" s="0" t="n">
        <v>5713</v>
      </c>
      <c r="B5717" s="0" t="n">
        <v>8</v>
      </c>
      <c r="C5717" s="19" t="n">
        <v>0</v>
      </c>
      <c r="D5717" s="19" t="n">
        <v>0.337</v>
      </c>
      <c r="E5717" s="20" t="n">
        <f aca="false">Parametres!$B$5*C5717</f>
        <v>0</v>
      </c>
      <c r="F5717" s="20" t="n">
        <f aca="false">Parametres!$B$6*D5717</f>
        <v>67.4</v>
      </c>
      <c r="G5717" s="20" t="n">
        <f aca="false">E5717+F5717</f>
        <v>67.4</v>
      </c>
      <c r="H5717" s="20" t="n">
        <f aca="false">IF(G5717&lt;Parametres!$B$8*Parametres!$B$7,0,MIN(G5717,Parametres!$B$7))</f>
        <v>67.4</v>
      </c>
      <c r="I5717" s="20" t="n">
        <f aca="false">G5717-H5717</f>
        <v>0</v>
      </c>
      <c r="J5717" s="21" t="n">
        <f aca="false">H5717*1000/Parametres!$B$9</f>
        <v>1142.95404442937</v>
      </c>
    </row>
    <row r="5718" customFormat="false" ht="15" hidden="false" customHeight="false" outlineLevel="0" collapsed="false">
      <c r="A5718" s="0" t="n">
        <v>5714</v>
      </c>
      <c r="B5718" s="0" t="n">
        <v>8</v>
      </c>
      <c r="C5718" s="19" t="n">
        <v>0</v>
      </c>
      <c r="D5718" s="19" t="n">
        <v>0.3191</v>
      </c>
      <c r="E5718" s="20" t="n">
        <f aca="false">Parametres!$B$5*C5718</f>
        <v>0</v>
      </c>
      <c r="F5718" s="20" t="n">
        <f aca="false">Parametres!$B$6*D5718</f>
        <v>63.82</v>
      </c>
      <c r="G5718" s="20" t="n">
        <f aca="false">E5718+F5718</f>
        <v>63.82</v>
      </c>
      <c r="H5718" s="20" t="n">
        <f aca="false">IF(G5718&lt;Parametres!$B$8*Parametres!$B$7,0,MIN(G5718,Parametres!$B$7))</f>
        <v>63.82</v>
      </c>
      <c r="I5718" s="20" t="n">
        <f aca="false">G5718-H5718</f>
        <v>0</v>
      </c>
      <c r="J5718" s="21" t="n">
        <f aca="false">H5718*1000/Parametres!$B$9</f>
        <v>1082.24520942852</v>
      </c>
    </row>
    <row r="5719" customFormat="false" ht="15" hidden="false" customHeight="false" outlineLevel="0" collapsed="false">
      <c r="A5719" s="0" t="n">
        <v>5715</v>
      </c>
      <c r="B5719" s="0" t="n">
        <v>8</v>
      </c>
      <c r="C5719" s="19" t="n">
        <v>0</v>
      </c>
      <c r="D5719" s="19" t="n">
        <v>0.2289</v>
      </c>
      <c r="E5719" s="20" t="n">
        <f aca="false">Parametres!$B$5*C5719</f>
        <v>0</v>
      </c>
      <c r="F5719" s="20" t="n">
        <f aca="false">Parametres!$B$6*D5719</f>
        <v>45.78</v>
      </c>
      <c r="G5719" s="20" t="n">
        <f aca="false">E5719+F5719</f>
        <v>45.78</v>
      </c>
      <c r="H5719" s="20" t="n">
        <f aca="false">IF(G5719&lt;Parametres!$B$8*Parametres!$B$7,0,MIN(G5719,Parametres!$B$7))</f>
        <v>45.78</v>
      </c>
      <c r="I5719" s="20" t="n">
        <f aca="false">G5719-H5719</f>
        <v>0</v>
      </c>
      <c r="J5719" s="21" t="n">
        <f aca="false">H5719*1000/Parametres!$B$9</f>
        <v>776.326945904697</v>
      </c>
    </row>
    <row r="5720" customFormat="false" ht="15" hidden="false" customHeight="false" outlineLevel="0" collapsed="false">
      <c r="A5720" s="0" t="n">
        <v>5716</v>
      </c>
      <c r="B5720" s="0" t="n">
        <v>8</v>
      </c>
      <c r="C5720" s="19" t="n">
        <v>0</v>
      </c>
      <c r="D5720" s="19" t="n">
        <v>0.3017</v>
      </c>
      <c r="E5720" s="20" t="n">
        <f aca="false">Parametres!$B$5*C5720</f>
        <v>0</v>
      </c>
      <c r="F5720" s="20" t="n">
        <f aca="false">Parametres!$B$6*D5720</f>
        <v>60.34</v>
      </c>
      <c r="G5720" s="20" t="n">
        <f aca="false">E5720+F5720</f>
        <v>60.34</v>
      </c>
      <c r="H5720" s="20" t="n">
        <f aca="false">IF(G5720&lt;Parametres!$B$8*Parametres!$B$7,0,MIN(G5720,Parametres!$B$7))</f>
        <v>60.34</v>
      </c>
      <c r="I5720" s="20" t="n">
        <f aca="false">G5720-H5720</f>
        <v>0</v>
      </c>
      <c r="J5720" s="21" t="n">
        <f aca="false">H5720*1000/Parametres!$B$9</f>
        <v>1023.23215194167</v>
      </c>
    </row>
    <row r="5721" customFormat="false" ht="15" hidden="false" customHeight="false" outlineLevel="0" collapsed="false">
      <c r="A5721" s="0" t="n">
        <v>5717</v>
      </c>
      <c r="B5721" s="0" t="n">
        <v>8</v>
      </c>
      <c r="C5721" s="19" t="n">
        <v>0</v>
      </c>
      <c r="D5721" s="19" t="n">
        <v>0.6429</v>
      </c>
      <c r="E5721" s="20" t="n">
        <f aca="false">Parametres!$B$5*C5721</f>
        <v>0</v>
      </c>
      <c r="F5721" s="20" t="n">
        <f aca="false">Parametres!$B$6*D5721</f>
        <v>128.58</v>
      </c>
      <c r="G5721" s="20" t="n">
        <f aca="false">E5721+F5721</f>
        <v>128.58</v>
      </c>
      <c r="H5721" s="20" t="n">
        <f aca="false">IF(G5721&lt;Parametres!$B$8*Parametres!$B$7,0,MIN(G5721,Parametres!$B$7))</f>
        <v>128.58</v>
      </c>
      <c r="I5721" s="20" t="n">
        <f aca="false">G5721-H5721</f>
        <v>0</v>
      </c>
      <c r="J5721" s="21" t="n">
        <f aca="false">H5721*1000/Parametres!$B$9</f>
        <v>2180.43072748855</v>
      </c>
    </row>
    <row r="5722" customFormat="false" ht="15" hidden="false" customHeight="false" outlineLevel="0" collapsed="false">
      <c r="A5722" s="0" t="n">
        <v>5718</v>
      </c>
      <c r="B5722" s="0" t="n">
        <v>8</v>
      </c>
      <c r="C5722" s="19" t="n">
        <v>0</v>
      </c>
      <c r="D5722" s="19" t="n">
        <v>0.6763</v>
      </c>
      <c r="E5722" s="20" t="n">
        <f aca="false">Parametres!$B$5*C5722</f>
        <v>0</v>
      </c>
      <c r="F5722" s="20" t="n">
        <f aca="false">Parametres!$B$6*D5722</f>
        <v>135.26</v>
      </c>
      <c r="G5722" s="20" t="n">
        <f aca="false">E5722+F5722</f>
        <v>135.26</v>
      </c>
      <c r="H5722" s="20" t="n">
        <f aca="false">IF(G5722&lt;Parametres!$B$8*Parametres!$B$7,0,MIN(G5722,Parametres!$B$7))</f>
        <v>135.26</v>
      </c>
      <c r="I5722" s="20" t="n">
        <f aca="false">G5722-H5722</f>
        <v>0</v>
      </c>
      <c r="J5722" s="21" t="n">
        <f aca="false">H5722*1000/Parametres!$B$9</f>
        <v>2293.7086654231</v>
      </c>
    </row>
    <row r="5723" customFormat="false" ht="15" hidden="false" customHeight="false" outlineLevel="0" collapsed="false">
      <c r="A5723" s="0" t="n">
        <v>5719</v>
      </c>
      <c r="B5723" s="0" t="n">
        <v>8</v>
      </c>
      <c r="C5723" s="19" t="n">
        <v>0.1815</v>
      </c>
      <c r="D5723" s="19" t="n">
        <v>0.6938</v>
      </c>
      <c r="E5723" s="20" t="n">
        <f aca="false">Parametres!$B$5*C5723</f>
        <v>54.45</v>
      </c>
      <c r="F5723" s="20" t="n">
        <f aca="false">Parametres!$B$6*D5723</f>
        <v>138.76</v>
      </c>
      <c r="G5723" s="20" t="n">
        <f aca="false">E5723+F5723</f>
        <v>193.21</v>
      </c>
      <c r="H5723" s="20" t="n">
        <f aca="false">IF(G5723&lt;Parametres!$B$8*Parametres!$B$7,0,MIN(G5723,Parametres!$B$7))</f>
        <v>193.21</v>
      </c>
      <c r="I5723" s="20" t="n">
        <f aca="false">G5723-H5723</f>
        <v>0</v>
      </c>
      <c r="J5723" s="21" t="n">
        <f aca="false">H5723*1000/Parametres!$B$9</f>
        <v>3276.4117347804</v>
      </c>
    </row>
    <row r="5724" customFormat="false" ht="15" hidden="false" customHeight="false" outlineLevel="0" collapsed="false">
      <c r="A5724" s="0" t="n">
        <v>5720</v>
      </c>
      <c r="B5724" s="0" t="n">
        <v>8</v>
      </c>
      <c r="C5724" s="19" t="n">
        <v>0.4067</v>
      </c>
      <c r="D5724" s="19" t="n">
        <v>0.9813</v>
      </c>
      <c r="E5724" s="20" t="n">
        <f aca="false">Parametres!$B$5*C5724</f>
        <v>122.01</v>
      </c>
      <c r="F5724" s="20" t="n">
        <f aca="false">Parametres!$B$6*D5724</f>
        <v>196.26</v>
      </c>
      <c r="G5724" s="20" t="n">
        <f aca="false">E5724+F5724</f>
        <v>318.27</v>
      </c>
      <c r="H5724" s="20" t="n">
        <f aca="false">IF(G5724&lt;Parametres!$B$8*Parametres!$B$7,0,MIN(G5724,Parametres!$B$7))</f>
        <v>250</v>
      </c>
      <c r="I5724" s="20" t="n">
        <f aca="false">G5724-H5724</f>
        <v>68.27</v>
      </c>
      <c r="J5724" s="21" t="n">
        <f aca="false">H5724*1000/Parametres!$B$9</f>
        <v>4239.44378497541</v>
      </c>
    </row>
    <row r="5725" customFormat="false" ht="15" hidden="false" customHeight="false" outlineLevel="0" collapsed="false">
      <c r="A5725" s="0" t="n">
        <v>5721</v>
      </c>
      <c r="B5725" s="0" t="n">
        <v>8</v>
      </c>
      <c r="C5725" s="19" t="n">
        <v>0.6692</v>
      </c>
      <c r="D5725" s="19" t="n">
        <v>1</v>
      </c>
      <c r="E5725" s="20" t="n">
        <f aca="false">Parametres!$B$5*C5725</f>
        <v>200.76</v>
      </c>
      <c r="F5725" s="20" t="n">
        <f aca="false">Parametres!$B$6*D5725</f>
        <v>200</v>
      </c>
      <c r="G5725" s="20" t="n">
        <f aca="false">E5725+F5725</f>
        <v>400.76</v>
      </c>
      <c r="H5725" s="20" t="n">
        <f aca="false">IF(G5725&lt;Parametres!$B$8*Parametres!$B$7,0,MIN(G5725,Parametres!$B$7))</f>
        <v>250</v>
      </c>
      <c r="I5725" s="20" t="n">
        <f aca="false">G5725-H5725</f>
        <v>150.76</v>
      </c>
      <c r="J5725" s="21" t="n">
        <f aca="false">H5725*1000/Parametres!$B$9</f>
        <v>4239.44378497541</v>
      </c>
    </row>
    <row r="5726" customFormat="false" ht="15" hidden="false" customHeight="false" outlineLevel="0" collapsed="false">
      <c r="A5726" s="0" t="n">
        <v>5722</v>
      </c>
      <c r="B5726" s="0" t="n">
        <v>8</v>
      </c>
      <c r="C5726" s="19" t="n">
        <v>0.8223</v>
      </c>
      <c r="D5726" s="19" t="n">
        <v>1</v>
      </c>
      <c r="E5726" s="20" t="n">
        <f aca="false">Parametres!$B$5*C5726</f>
        <v>246.69</v>
      </c>
      <c r="F5726" s="20" t="n">
        <f aca="false">Parametres!$B$6*D5726</f>
        <v>200</v>
      </c>
      <c r="G5726" s="20" t="n">
        <f aca="false">E5726+F5726</f>
        <v>446.69</v>
      </c>
      <c r="H5726" s="20" t="n">
        <f aca="false">IF(G5726&lt;Parametres!$B$8*Parametres!$B$7,0,MIN(G5726,Parametres!$B$7))</f>
        <v>250</v>
      </c>
      <c r="I5726" s="20" t="n">
        <f aca="false">G5726-H5726</f>
        <v>196.69</v>
      </c>
      <c r="J5726" s="21" t="n">
        <f aca="false">H5726*1000/Parametres!$B$9</f>
        <v>4239.44378497541</v>
      </c>
    </row>
    <row r="5727" customFormat="false" ht="15" hidden="false" customHeight="false" outlineLevel="0" collapsed="false">
      <c r="A5727" s="0" t="n">
        <v>5723</v>
      </c>
      <c r="B5727" s="0" t="n">
        <v>8</v>
      </c>
      <c r="C5727" s="19" t="n">
        <v>0.9658</v>
      </c>
      <c r="D5727" s="19" t="n">
        <v>1</v>
      </c>
      <c r="E5727" s="20" t="n">
        <f aca="false">Parametres!$B$5*C5727</f>
        <v>289.74</v>
      </c>
      <c r="F5727" s="20" t="n">
        <f aca="false">Parametres!$B$6*D5727</f>
        <v>200</v>
      </c>
      <c r="G5727" s="20" t="n">
        <f aca="false">E5727+F5727</f>
        <v>489.74</v>
      </c>
      <c r="H5727" s="20" t="n">
        <f aca="false">IF(G5727&lt;Parametres!$B$8*Parametres!$B$7,0,MIN(G5727,Parametres!$B$7))</f>
        <v>250</v>
      </c>
      <c r="I5727" s="20" t="n">
        <f aca="false">G5727-H5727</f>
        <v>239.74</v>
      </c>
      <c r="J5727" s="21" t="n">
        <f aca="false">H5727*1000/Parametres!$B$9</f>
        <v>4239.44378497541</v>
      </c>
    </row>
    <row r="5728" customFormat="false" ht="15" hidden="false" customHeight="false" outlineLevel="0" collapsed="false">
      <c r="A5728" s="0" t="n">
        <v>5724</v>
      </c>
      <c r="B5728" s="0" t="n">
        <v>8</v>
      </c>
      <c r="C5728" s="19" t="n">
        <v>1</v>
      </c>
      <c r="D5728" s="19" t="n">
        <v>1</v>
      </c>
      <c r="E5728" s="20" t="n">
        <f aca="false">Parametres!$B$5*C5728</f>
        <v>300</v>
      </c>
      <c r="F5728" s="20" t="n">
        <f aca="false">Parametres!$B$6*D5728</f>
        <v>200</v>
      </c>
      <c r="G5728" s="20" t="n">
        <f aca="false">E5728+F5728</f>
        <v>500</v>
      </c>
      <c r="H5728" s="20" t="n">
        <f aca="false">IF(G5728&lt;Parametres!$B$8*Parametres!$B$7,0,MIN(G5728,Parametres!$B$7))</f>
        <v>250</v>
      </c>
      <c r="I5728" s="20" t="n">
        <f aca="false">G5728-H5728</f>
        <v>250</v>
      </c>
      <c r="J5728" s="21" t="n">
        <f aca="false">H5728*1000/Parametres!$B$9</f>
        <v>4239.44378497541</v>
      </c>
    </row>
    <row r="5729" customFormat="false" ht="15" hidden="false" customHeight="false" outlineLevel="0" collapsed="false">
      <c r="A5729" s="0" t="n">
        <v>5725</v>
      </c>
      <c r="B5729" s="0" t="n">
        <v>8</v>
      </c>
      <c r="C5729" s="19" t="n">
        <v>1</v>
      </c>
      <c r="D5729" s="19" t="n">
        <v>1</v>
      </c>
      <c r="E5729" s="20" t="n">
        <f aca="false">Parametres!$B$5*C5729</f>
        <v>300</v>
      </c>
      <c r="F5729" s="20" t="n">
        <f aca="false">Parametres!$B$6*D5729</f>
        <v>200</v>
      </c>
      <c r="G5729" s="20" t="n">
        <f aca="false">E5729+F5729</f>
        <v>500</v>
      </c>
      <c r="H5729" s="20" t="n">
        <f aca="false">IF(G5729&lt;Parametres!$B$8*Parametres!$B$7,0,MIN(G5729,Parametres!$B$7))</f>
        <v>250</v>
      </c>
      <c r="I5729" s="20" t="n">
        <f aca="false">G5729-H5729</f>
        <v>250</v>
      </c>
      <c r="J5729" s="21" t="n">
        <f aca="false">H5729*1000/Parametres!$B$9</f>
        <v>4239.44378497541</v>
      </c>
    </row>
    <row r="5730" customFormat="false" ht="15" hidden="false" customHeight="false" outlineLevel="0" collapsed="false">
      <c r="A5730" s="0" t="n">
        <v>5726</v>
      </c>
      <c r="B5730" s="0" t="n">
        <v>8</v>
      </c>
      <c r="C5730" s="19" t="n">
        <v>0.9052</v>
      </c>
      <c r="D5730" s="19" t="n">
        <v>1</v>
      </c>
      <c r="E5730" s="20" t="n">
        <f aca="false">Parametres!$B$5*C5730</f>
        <v>271.56</v>
      </c>
      <c r="F5730" s="20" t="n">
        <f aca="false">Parametres!$B$6*D5730</f>
        <v>200</v>
      </c>
      <c r="G5730" s="20" t="n">
        <f aca="false">E5730+F5730</f>
        <v>471.56</v>
      </c>
      <c r="H5730" s="20" t="n">
        <f aca="false">IF(G5730&lt;Parametres!$B$8*Parametres!$B$7,0,MIN(G5730,Parametres!$B$7))</f>
        <v>250</v>
      </c>
      <c r="I5730" s="20" t="n">
        <f aca="false">G5730-H5730</f>
        <v>221.56</v>
      </c>
      <c r="J5730" s="21" t="n">
        <f aca="false">H5730*1000/Parametres!$B$9</f>
        <v>4239.44378497541</v>
      </c>
    </row>
    <row r="5731" customFormat="false" ht="15" hidden="false" customHeight="false" outlineLevel="0" collapsed="false">
      <c r="A5731" s="0" t="n">
        <v>5727</v>
      </c>
      <c r="B5731" s="0" t="n">
        <v>8</v>
      </c>
      <c r="C5731" s="19" t="n">
        <v>0.8392</v>
      </c>
      <c r="D5731" s="19" t="n">
        <v>1</v>
      </c>
      <c r="E5731" s="20" t="n">
        <f aca="false">Parametres!$B$5*C5731</f>
        <v>251.76</v>
      </c>
      <c r="F5731" s="20" t="n">
        <f aca="false">Parametres!$B$6*D5731</f>
        <v>200</v>
      </c>
      <c r="G5731" s="20" t="n">
        <f aca="false">E5731+F5731</f>
        <v>451.76</v>
      </c>
      <c r="H5731" s="20" t="n">
        <f aca="false">IF(G5731&lt;Parametres!$B$8*Parametres!$B$7,0,MIN(G5731,Parametres!$B$7))</f>
        <v>250</v>
      </c>
      <c r="I5731" s="20" t="n">
        <f aca="false">G5731-H5731</f>
        <v>201.76</v>
      </c>
      <c r="J5731" s="21" t="n">
        <f aca="false">H5731*1000/Parametres!$B$9</f>
        <v>4239.44378497541</v>
      </c>
    </row>
    <row r="5732" customFormat="false" ht="15" hidden="false" customHeight="false" outlineLevel="0" collapsed="false">
      <c r="A5732" s="0" t="n">
        <v>5728</v>
      </c>
      <c r="B5732" s="0" t="n">
        <v>8</v>
      </c>
      <c r="C5732" s="19" t="n">
        <v>0.6177</v>
      </c>
      <c r="D5732" s="19" t="n">
        <v>1</v>
      </c>
      <c r="E5732" s="20" t="n">
        <f aca="false">Parametres!$B$5*C5732</f>
        <v>185.31</v>
      </c>
      <c r="F5732" s="20" t="n">
        <f aca="false">Parametres!$B$6*D5732</f>
        <v>200</v>
      </c>
      <c r="G5732" s="20" t="n">
        <f aca="false">E5732+F5732</f>
        <v>385.31</v>
      </c>
      <c r="H5732" s="20" t="n">
        <f aca="false">IF(G5732&lt;Parametres!$B$8*Parametres!$B$7,0,MIN(G5732,Parametres!$B$7))</f>
        <v>250</v>
      </c>
      <c r="I5732" s="20" t="n">
        <f aca="false">G5732-H5732</f>
        <v>135.31</v>
      </c>
      <c r="J5732" s="21" t="n">
        <f aca="false">H5732*1000/Parametres!$B$9</f>
        <v>4239.44378497541</v>
      </c>
    </row>
    <row r="5733" customFormat="false" ht="15" hidden="false" customHeight="false" outlineLevel="0" collapsed="false">
      <c r="A5733" s="0" t="n">
        <v>5729</v>
      </c>
      <c r="B5733" s="0" t="n">
        <v>8</v>
      </c>
      <c r="C5733" s="19" t="n">
        <v>0.3994</v>
      </c>
      <c r="D5733" s="19" t="n">
        <v>1</v>
      </c>
      <c r="E5733" s="20" t="n">
        <f aca="false">Parametres!$B$5*C5733</f>
        <v>119.82</v>
      </c>
      <c r="F5733" s="20" t="n">
        <f aca="false">Parametres!$B$6*D5733</f>
        <v>200</v>
      </c>
      <c r="G5733" s="20" t="n">
        <f aca="false">E5733+F5733</f>
        <v>319.82</v>
      </c>
      <c r="H5733" s="20" t="n">
        <f aca="false">IF(G5733&lt;Parametres!$B$8*Parametres!$B$7,0,MIN(G5733,Parametres!$B$7))</f>
        <v>250</v>
      </c>
      <c r="I5733" s="20" t="n">
        <f aca="false">G5733-H5733</f>
        <v>69.82</v>
      </c>
      <c r="J5733" s="21" t="n">
        <f aca="false">H5733*1000/Parametres!$B$9</f>
        <v>4239.44378497541</v>
      </c>
    </row>
    <row r="5734" customFormat="false" ht="15" hidden="false" customHeight="false" outlineLevel="0" collapsed="false">
      <c r="A5734" s="0" t="n">
        <v>5730</v>
      </c>
      <c r="B5734" s="0" t="n">
        <v>8</v>
      </c>
      <c r="C5734" s="19" t="n">
        <v>0.1705</v>
      </c>
      <c r="D5734" s="19" t="n">
        <v>1</v>
      </c>
      <c r="E5734" s="20" t="n">
        <f aca="false">Parametres!$B$5*C5734</f>
        <v>51.15</v>
      </c>
      <c r="F5734" s="20" t="n">
        <f aca="false">Parametres!$B$6*D5734</f>
        <v>200</v>
      </c>
      <c r="G5734" s="20" t="n">
        <f aca="false">E5734+F5734</f>
        <v>251.15</v>
      </c>
      <c r="H5734" s="20" t="n">
        <f aca="false">IF(G5734&lt;Parametres!$B$8*Parametres!$B$7,0,MIN(G5734,Parametres!$B$7))</f>
        <v>250</v>
      </c>
      <c r="I5734" s="20" t="n">
        <f aca="false">G5734-H5734</f>
        <v>1.15000000000001</v>
      </c>
      <c r="J5734" s="21" t="n">
        <f aca="false">H5734*1000/Parametres!$B$9</f>
        <v>4239.44378497541</v>
      </c>
    </row>
    <row r="5735" customFormat="false" ht="15" hidden="false" customHeight="false" outlineLevel="0" collapsed="false">
      <c r="A5735" s="0" t="n">
        <v>5731</v>
      </c>
      <c r="B5735" s="0" t="n">
        <v>8</v>
      </c>
      <c r="C5735" s="19" t="n">
        <v>0</v>
      </c>
      <c r="D5735" s="19" t="n">
        <v>1</v>
      </c>
      <c r="E5735" s="20" t="n">
        <f aca="false">Parametres!$B$5*C5735</f>
        <v>0</v>
      </c>
      <c r="F5735" s="20" t="n">
        <f aca="false">Parametres!$B$6*D5735</f>
        <v>200</v>
      </c>
      <c r="G5735" s="20" t="n">
        <f aca="false">E5735+F5735</f>
        <v>200</v>
      </c>
      <c r="H5735" s="20" t="n">
        <f aca="false">IF(G5735&lt;Parametres!$B$8*Parametres!$B$7,0,MIN(G5735,Parametres!$B$7))</f>
        <v>200</v>
      </c>
      <c r="I5735" s="20" t="n">
        <f aca="false">G5735-H5735</f>
        <v>0</v>
      </c>
      <c r="J5735" s="21" t="n">
        <f aca="false">H5735*1000/Parametres!$B$9</f>
        <v>3391.55502798033</v>
      </c>
    </row>
    <row r="5736" customFormat="false" ht="15" hidden="false" customHeight="false" outlineLevel="0" collapsed="false">
      <c r="A5736" s="0" t="n">
        <v>5732</v>
      </c>
      <c r="B5736" s="0" t="n">
        <v>8</v>
      </c>
      <c r="C5736" s="19" t="n">
        <v>0</v>
      </c>
      <c r="D5736" s="19" t="n">
        <v>1</v>
      </c>
      <c r="E5736" s="20" t="n">
        <f aca="false">Parametres!$B$5*C5736</f>
        <v>0</v>
      </c>
      <c r="F5736" s="20" t="n">
        <f aca="false">Parametres!$B$6*D5736</f>
        <v>200</v>
      </c>
      <c r="G5736" s="20" t="n">
        <f aca="false">E5736+F5736</f>
        <v>200</v>
      </c>
      <c r="H5736" s="20" t="n">
        <f aca="false">IF(G5736&lt;Parametres!$B$8*Parametres!$B$7,0,MIN(G5736,Parametres!$B$7))</f>
        <v>200</v>
      </c>
      <c r="I5736" s="20" t="n">
        <f aca="false">G5736-H5736</f>
        <v>0</v>
      </c>
      <c r="J5736" s="21" t="n">
        <f aca="false">H5736*1000/Parametres!$B$9</f>
        <v>3391.55502798033</v>
      </c>
    </row>
    <row r="5737" customFormat="false" ht="15" hidden="false" customHeight="false" outlineLevel="0" collapsed="false">
      <c r="A5737" s="0" t="n">
        <v>5733</v>
      </c>
      <c r="B5737" s="0" t="n">
        <v>8</v>
      </c>
      <c r="C5737" s="19" t="n">
        <v>0</v>
      </c>
      <c r="D5737" s="19" t="n">
        <v>1</v>
      </c>
      <c r="E5737" s="20" t="n">
        <f aca="false">Parametres!$B$5*C5737</f>
        <v>0</v>
      </c>
      <c r="F5737" s="20" t="n">
        <f aca="false">Parametres!$B$6*D5737</f>
        <v>200</v>
      </c>
      <c r="G5737" s="20" t="n">
        <f aca="false">E5737+F5737</f>
        <v>200</v>
      </c>
      <c r="H5737" s="20" t="n">
        <f aca="false">IF(G5737&lt;Parametres!$B$8*Parametres!$B$7,0,MIN(G5737,Parametres!$B$7))</f>
        <v>200</v>
      </c>
      <c r="I5737" s="20" t="n">
        <f aca="false">G5737-H5737</f>
        <v>0</v>
      </c>
      <c r="J5737" s="21" t="n">
        <f aca="false">H5737*1000/Parametres!$B$9</f>
        <v>3391.55502798033</v>
      </c>
    </row>
    <row r="5738" customFormat="false" ht="15" hidden="false" customHeight="false" outlineLevel="0" collapsed="false">
      <c r="A5738" s="0" t="n">
        <v>5734</v>
      </c>
      <c r="B5738" s="0" t="n">
        <v>8</v>
      </c>
      <c r="C5738" s="19" t="n">
        <v>0</v>
      </c>
      <c r="D5738" s="19" t="n">
        <v>1</v>
      </c>
      <c r="E5738" s="20" t="n">
        <f aca="false">Parametres!$B$5*C5738</f>
        <v>0</v>
      </c>
      <c r="F5738" s="20" t="n">
        <f aca="false">Parametres!$B$6*D5738</f>
        <v>200</v>
      </c>
      <c r="G5738" s="20" t="n">
        <f aca="false">E5738+F5738</f>
        <v>200</v>
      </c>
      <c r="H5738" s="20" t="n">
        <f aca="false">IF(G5738&lt;Parametres!$B$8*Parametres!$B$7,0,MIN(G5738,Parametres!$B$7))</f>
        <v>200</v>
      </c>
      <c r="I5738" s="20" t="n">
        <f aca="false">G5738-H5738</f>
        <v>0</v>
      </c>
      <c r="J5738" s="21" t="n">
        <f aca="false">H5738*1000/Parametres!$B$9</f>
        <v>3391.55502798033</v>
      </c>
    </row>
    <row r="5739" customFormat="false" ht="15" hidden="false" customHeight="false" outlineLevel="0" collapsed="false">
      <c r="A5739" s="0" t="n">
        <v>5735</v>
      </c>
      <c r="B5739" s="0" t="n">
        <v>8</v>
      </c>
      <c r="C5739" s="19" t="n">
        <v>0</v>
      </c>
      <c r="D5739" s="19" t="n">
        <v>1</v>
      </c>
      <c r="E5739" s="20" t="n">
        <f aca="false">Parametres!$B$5*C5739</f>
        <v>0</v>
      </c>
      <c r="F5739" s="20" t="n">
        <f aca="false">Parametres!$B$6*D5739</f>
        <v>200</v>
      </c>
      <c r="G5739" s="20" t="n">
        <f aca="false">E5739+F5739</f>
        <v>200</v>
      </c>
      <c r="H5739" s="20" t="n">
        <f aca="false">IF(G5739&lt;Parametres!$B$8*Parametres!$B$7,0,MIN(G5739,Parametres!$B$7))</f>
        <v>200</v>
      </c>
      <c r="I5739" s="20" t="n">
        <f aca="false">G5739-H5739</f>
        <v>0</v>
      </c>
      <c r="J5739" s="21" t="n">
        <f aca="false">H5739*1000/Parametres!$B$9</f>
        <v>3391.55502798033</v>
      </c>
    </row>
    <row r="5740" customFormat="false" ht="15" hidden="false" customHeight="false" outlineLevel="0" collapsed="false">
      <c r="A5740" s="0" t="n">
        <v>5736</v>
      </c>
      <c r="B5740" s="0" t="n">
        <v>8</v>
      </c>
      <c r="C5740" s="19" t="n">
        <v>0</v>
      </c>
      <c r="D5740" s="19" t="n">
        <v>1</v>
      </c>
      <c r="E5740" s="20" t="n">
        <f aca="false">Parametres!$B$5*C5740</f>
        <v>0</v>
      </c>
      <c r="F5740" s="20" t="n">
        <f aca="false">Parametres!$B$6*D5740</f>
        <v>200</v>
      </c>
      <c r="G5740" s="20" t="n">
        <f aca="false">E5740+F5740</f>
        <v>200</v>
      </c>
      <c r="H5740" s="20" t="n">
        <f aca="false">IF(G5740&lt;Parametres!$B$8*Parametres!$B$7,0,MIN(G5740,Parametres!$B$7))</f>
        <v>200</v>
      </c>
      <c r="I5740" s="20" t="n">
        <f aca="false">G5740-H5740</f>
        <v>0</v>
      </c>
      <c r="J5740" s="21" t="n">
        <f aca="false">H5740*1000/Parametres!$B$9</f>
        <v>3391.55502798033</v>
      </c>
    </row>
    <row r="5741" customFormat="false" ht="15" hidden="false" customHeight="false" outlineLevel="0" collapsed="false">
      <c r="A5741" s="0" t="n">
        <v>5737</v>
      </c>
      <c r="B5741" s="0" t="n">
        <v>8</v>
      </c>
      <c r="C5741" s="19" t="n">
        <v>0</v>
      </c>
      <c r="D5741" s="19" t="n">
        <v>1</v>
      </c>
      <c r="E5741" s="20" t="n">
        <f aca="false">Parametres!$B$5*C5741</f>
        <v>0</v>
      </c>
      <c r="F5741" s="20" t="n">
        <f aca="false">Parametres!$B$6*D5741</f>
        <v>200</v>
      </c>
      <c r="G5741" s="20" t="n">
        <f aca="false">E5741+F5741</f>
        <v>200</v>
      </c>
      <c r="H5741" s="20" t="n">
        <f aca="false">IF(G5741&lt;Parametres!$B$8*Parametres!$B$7,0,MIN(G5741,Parametres!$B$7))</f>
        <v>200</v>
      </c>
      <c r="I5741" s="20" t="n">
        <f aca="false">G5741-H5741</f>
        <v>0</v>
      </c>
      <c r="J5741" s="21" t="n">
        <f aca="false">H5741*1000/Parametres!$B$9</f>
        <v>3391.55502798033</v>
      </c>
    </row>
    <row r="5742" customFormat="false" ht="15" hidden="false" customHeight="false" outlineLevel="0" collapsed="false">
      <c r="A5742" s="0" t="n">
        <v>5738</v>
      </c>
      <c r="B5742" s="0" t="n">
        <v>8</v>
      </c>
      <c r="C5742" s="19" t="n">
        <v>0</v>
      </c>
      <c r="D5742" s="19" t="n">
        <v>1</v>
      </c>
      <c r="E5742" s="20" t="n">
        <f aca="false">Parametres!$B$5*C5742</f>
        <v>0</v>
      </c>
      <c r="F5742" s="20" t="n">
        <f aca="false">Parametres!$B$6*D5742</f>
        <v>200</v>
      </c>
      <c r="G5742" s="20" t="n">
        <f aca="false">E5742+F5742</f>
        <v>200</v>
      </c>
      <c r="H5742" s="20" t="n">
        <f aca="false">IF(G5742&lt;Parametres!$B$8*Parametres!$B$7,0,MIN(G5742,Parametres!$B$7))</f>
        <v>200</v>
      </c>
      <c r="I5742" s="20" t="n">
        <f aca="false">G5742-H5742</f>
        <v>0</v>
      </c>
      <c r="J5742" s="21" t="n">
        <f aca="false">H5742*1000/Parametres!$B$9</f>
        <v>3391.55502798033</v>
      </c>
    </row>
    <row r="5743" customFormat="false" ht="15" hidden="false" customHeight="false" outlineLevel="0" collapsed="false">
      <c r="A5743" s="0" t="n">
        <v>5739</v>
      </c>
      <c r="B5743" s="0" t="n">
        <v>8</v>
      </c>
      <c r="C5743" s="19" t="n">
        <v>0</v>
      </c>
      <c r="D5743" s="19" t="n">
        <v>1</v>
      </c>
      <c r="E5743" s="20" t="n">
        <f aca="false">Parametres!$B$5*C5743</f>
        <v>0</v>
      </c>
      <c r="F5743" s="20" t="n">
        <f aca="false">Parametres!$B$6*D5743</f>
        <v>200</v>
      </c>
      <c r="G5743" s="20" t="n">
        <f aca="false">E5743+F5743</f>
        <v>200</v>
      </c>
      <c r="H5743" s="20" t="n">
        <f aca="false">IF(G5743&lt;Parametres!$B$8*Parametres!$B$7,0,MIN(G5743,Parametres!$B$7))</f>
        <v>200</v>
      </c>
      <c r="I5743" s="20" t="n">
        <f aca="false">G5743-H5743</f>
        <v>0</v>
      </c>
      <c r="J5743" s="21" t="n">
        <f aca="false">H5743*1000/Parametres!$B$9</f>
        <v>3391.55502798033</v>
      </c>
    </row>
    <row r="5744" customFormat="false" ht="15" hidden="false" customHeight="false" outlineLevel="0" collapsed="false">
      <c r="A5744" s="0" t="n">
        <v>5740</v>
      </c>
      <c r="B5744" s="0" t="n">
        <v>8</v>
      </c>
      <c r="C5744" s="19" t="n">
        <v>0</v>
      </c>
      <c r="D5744" s="19" t="n">
        <v>1</v>
      </c>
      <c r="E5744" s="20" t="n">
        <f aca="false">Parametres!$B$5*C5744</f>
        <v>0</v>
      </c>
      <c r="F5744" s="20" t="n">
        <f aca="false">Parametres!$B$6*D5744</f>
        <v>200</v>
      </c>
      <c r="G5744" s="20" t="n">
        <f aca="false">E5744+F5744</f>
        <v>200</v>
      </c>
      <c r="H5744" s="20" t="n">
        <f aca="false">IF(G5744&lt;Parametres!$B$8*Parametres!$B$7,0,MIN(G5744,Parametres!$B$7))</f>
        <v>200</v>
      </c>
      <c r="I5744" s="20" t="n">
        <f aca="false">G5744-H5744</f>
        <v>0</v>
      </c>
      <c r="J5744" s="21" t="n">
        <f aca="false">H5744*1000/Parametres!$B$9</f>
        <v>3391.55502798033</v>
      </c>
    </row>
    <row r="5745" customFormat="false" ht="15" hidden="false" customHeight="false" outlineLevel="0" collapsed="false">
      <c r="A5745" s="0" t="n">
        <v>5741</v>
      </c>
      <c r="B5745" s="0" t="n">
        <v>8</v>
      </c>
      <c r="C5745" s="19" t="n">
        <v>0</v>
      </c>
      <c r="D5745" s="19" t="n">
        <v>1</v>
      </c>
      <c r="E5745" s="20" t="n">
        <f aca="false">Parametres!$B$5*C5745</f>
        <v>0</v>
      </c>
      <c r="F5745" s="20" t="n">
        <f aca="false">Parametres!$B$6*D5745</f>
        <v>200</v>
      </c>
      <c r="G5745" s="20" t="n">
        <f aca="false">E5745+F5745</f>
        <v>200</v>
      </c>
      <c r="H5745" s="20" t="n">
        <f aca="false">IF(G5745&lt;Parametres!$B$8*Parametres!$B$7,0,MIN(G5745,Parametres!$B$7))</f>
        <v>200</v>
      </c>
      <c r="I5745" s="20" t="n">
        <f aca="false">G5745-H5745</f>
        <v>0</v>
      </c>
      <c r="J5745" s="21" t="n">
        <f aca="false">H5745*1000/Parametres!$B$9</f>
        <v>3391.55502798033</v>
      </c>
    </row>
    <row r="5746" customFormat="false" ht="15" hidden="false" customHeight="false" outlineLevel="0" collapsed="false">
      <c r="A5746" s="0" t="n">
        <v>5742</v>
      </c>
      <c r="B5746" s="0" t="n">
        <v>8</v>
      </c>
      <c r="C5746" s="19" t="n">
        <v>0</v>
      </c>
      <c r="D5746" s="19" t="n">
        <v>1</v>
      </c>
      <c r="E5746" s="20" t="n">
        <f aca="false">Parametres!$B$5*C5746</f>
        <v>0</v>
      </c>
      <c r="F5746" s="20" t="n">
        <f aca="false">Parametres!$B$6*D5746</f>
        <v>200</v>
      </c>
      <c r="G5746" s="20" t="n">
        <f aca="false">E5746+F5746</f>
        <v>200</v>
      </c>
      <c r="H5746" s="20" t="n">
        <f aca="false">IF(G5746&lt;Parametres!$B$8*Parametres!$B$7,0,MIN(G5746,Parametres!$B$7))</f>
        <v>200</v>
      </c>
      <c r="I5746" s="20" t="n">
        <f aca="false">G5746-H5746</f>
        <v>0</v>
      </c>
      <c r="J5746" s="21" t="n">
        <f aca="false">H5746*1000/Parametres!$B$9</f>
        <v>3391.55502798033</v>
      </c>
    </row>
    <row r="5747" customFormat="false" ht="15" hidden="false" customHeight="false" outlineLevel="0" collapsed="false">
      <c r="A5747" s="0" t="n">
        <v>5743</v>
      </c>
      <c r="B5747" s="0" t="n">
        <v>8</v>
      </c>
      <c r="C5747" s="19" t="n">
        <v>0.1599</v>
      </c>
      <c r="D5747" s="19" t="n">
        <v>1</v>
      </c>
      <c r="E5747" s="20" t="n">
        <f aca="false">Parametres!$B$5*C5747</f>
        <v>47.97</v>
      </c>
      <c r="F5747" s="20" t="n">
        <f aca="false">Parametres!$B$6*D5747</f>
        <v>200</v>
      </c>
      <c r="G5747" s="20" t="n">
        <f aca="false">E5747+F5747</f>
        <v>247.97</v>
      </c>
      <c r="H5747" s="20" t="n">
        <f aca="false">IF(G5747&lt;Parametres!$B$8*Parametres!$B$7,0,MIN(G5747,Parametres!$B$7))</f>
        <v>247.97</v>
      </c>
      <c r="I5747" s="20" t="n">
        <f aca="false">G5747-H5747</f>
        <v>0</v>
      </c>
      <c r="J5747" s="21" t="n">
        <f aca="false">H5747*1000/Parametres!$B$9</f>
        <v>4205.01950144141</v>
      </c>
    </row>
    <row r="5748" customFormat="false" ht="15" hidden="false" customHeight="false" outlineLevel="0" collapsed="false">
      <c r="A5748" s="0" t="n">
        <v>5744</v>
      </c>
      <c r="B5748" s="0" t="n">
        <v>8</v>
      </c>
      <c r="C5748" s="19" t="n">
        <v>0.401</v>
      </c>
      <c r="D5748" s="19" t="n">
        <v>1</v>
      </c>
      <c r="E5748" s="20" t="n">
        <f aca="false">Parametres!$B$5*C5748</f>
        <v>120.3</v>
      </c>
      <c r="F5748" s="20" t="n">
        <f aca="false">Parametres!$B$6*D5748</f>
        <v>200</v>
      </c>
      <c r="G5748" s="20" t="n">
        <f aca="false">E5748+F5748</f>
        <v>320.3</v>
      </c>
      <c r="H5748" s="20" t="n">
        <f aca="false">IF(G5748&lt;Parametres!$B$8*Parametres!$B$7,0,MIN(G5748,Parametres!$B$7))</f>
        <v>250</v>
      </c>
      <c r="I5748" s="20" t="n">
        <f aca="false">G5748-H5748</f>
        <v>70.3</v>
      </c>
      <c r="J5748" s="21" t="n">
        <f aca="false">H5748*1000/Parametres!$B$9</f>
        <v>4239.44378497541</v>
      </c>
    </row>
    <row r="5749" customFormat="false" ht="15" hidden="false" customHeight="false" outlineLevel="0" collapsed="false">
      <c r="A5749" s="0" t="n">
        <v>5745</v>
      </c>
      <c r="B5749" s="0" t="n">
        <v>8</v>
      </c>
      <c r="C5749" s="19" t="n">
        <v>0.596</v>
      </c>
      <c r="D5749" s="19" t="n">
        <v>1</v>
      </c>
      <c r="E5749" s="20" t="n">
        <f aca="false">Parametres!$B$5*C5749</f>
        <v>178.8</v>
      </c>
      <c r="F5749" s="20" t="n">
        <f aca="false">Parametres!$B$6*D5749</f>
        <v>200</v>
      </c>
      <c r="G5749" s="20" t="n">
        <f aca="false">E5749+F5749</f>
        <v>378.8</v>
      </c>
      <c r="H5749" s="20" t="n">
        <f aca="false">IF(G5749&lt;Parametres!$B$8*Parametres!$B$7,0,MIN(G5749,Parametres!$B$7))</f>
        <v>250</v>
      </c>
      <c r="I5749" s="20" t="n">
        <f aca="false">G5749-H5749</f>
        <v>128.8</v>
      </c>
      <c r="J5749" s="21" t="n">
        <f aca="false">H5749*1000/Parametres!$B$9</f>
        <v>4239.44378497541</v>
      </c>
    </row>
    <row r="5750" customFormat="false" ht="15" hidden="false" customHeight="false" outlineLevel="0" collapsed="false">
      <c r="A5750" s="0" t="n">
        <v>5746</v>
      </c>
      <c r="B5750" s="0" t="n">
        <v>8</v>
      </c>
      <c r="C5750" s="19" t="n">
        <v>0.8191</v>
      </c>
      <c r="D5750" s="19" t="n">
        <v>1</v>
      </c>
      <c r="E5750" s="20" t="n">
        <f aca="false">Parametres!$B$5*C5750</f>
        <v>245.73</v>
      </c>
      <c r="F5750" s="20" t="n">
        <f aca="false">Parametres!$B$6*D5750</f>
        <v>200</v>
      </c>
      <c r="G5750" s="20" t="n">
        <f aca="false">E5750+F5750</f>
        <v>445.73</v>
      </c>
      <c r="H5750" s="20" t="n">
        <f aca="false">IF(G5750&lt;Parametres!$B$8*Parametres!$B$7,0,MIN(G5750,Parametres!$B$7))</f>
        <v>250</v>
      </c>
      <c r="I5750" s="20" t="n">
        <f aca="false">G5750-H5750</f>
        <v>195.73</v>
      </c>
      <c r="J5750" s="21" t="n">
        <f aca="false">H5750*1000/Parametres!$B$9</f>
        <v>4239.44378497541</v>
      </c>
    </row>
    <row r="5751" customFormat="false" ht="15" hidden="false" customHeight="false" outlineLevel="0" collapsed="false">
      <c r="A5751" s="0" t="n">
        <v>5747</v>
      </c>
      <c r="B5751" s="0" t="n">
        <v>8</v>
      </c>
      <c r="C5751" s="19" t="n">
        <v>0.9205</v>
      </c>
      <c r="D5751" s="19" t="n">
        <v>1</v>
      </c>
      <c r="E5751" s="20" t="n">
        <f aca="false">Parametres!$B$5*C5751</f>
        <v>276.15</v>
      </c>
      <c r="F5751" s="20" t="n">
        <f aca="false">Parametres!$B$6*D5751</f>
        <v>200</v>
      </c>
      <c r="G5751" s="20" t="n">
        <f aca="false">E5751+F5751</f>
        <v>476.15</v>
      </c>
      <c r="H5751" s="20" t="n">
        <f aca="false">IF(G5751&lt;Parametres!$B$8*Parametres!$B$7,0,MIN(G5751,Parametres!$B$7))</f>
        <v>250</v>
      </c>
      <c r="I5751" s="20" t="n">
        <f aca="false">G5751-H5751</f>
        <v>226.15</v>
      </c>
      <c r="J5751" s="21" t="n">
        <f aca="false">H5751*1000/Parametres!$B$9</f>
        <v>4239.44378497541</v>
      </c>
    </row>
    <row r="5752" customFormat="false" ht="15" hidden="false" customHeight="false" outlineLevel="0" collapsed="false">
      <c r="A5752" s="0" t="n">
        <v>5748</v>
      </c>
      <c r="B5752" s="0" t="n">
        <v>8</v>
      </c>
      <c r="C5752" s="19" t="n">
        <v>1</v>
      </c>
      <c r="D5752" s="19" t="n">
        <v>1</v>
      </c>
      <c r="E5752" s="20" t="n">
        <f aca="false">Parametres!$B$5*C5752</f>
        <v>300</v>
      </c>
      <c r="F5752" s="20" t="n">
        <f aca="false">Parametres!$B$6*D5752</f>
        <v>200</v>
      </c>
      <c r="G5752" s="20" t="n">
        <f aca="false">E5752+F5752</f>
        <v>500</v>
      </c>
      <c r="H5752" s="20" t="n">
        <f aca="false">IF(G5752&lt;Parametres!$B$8*Parametres!$B$7,0,MIN(G5752,Parametres!$B$7))</f>
        <v>250</v>
      </c>
      <c r="I5752" s="20" t="n">
        <f aca="false">G5752-H5752</f>
        <v>250</v>
      </c>
      <c r="J5752" s="21" t="n">
        <f aca="false">H5752*1000/Parametres!$B$9</f>
        <v>4239.44378497541</v>
      </c>
    </row>
    <row r="5753" customFormat="false" ht="15" hidden="false" customHeight="false" outlineLevel="0" collapsed="false">
      <c r="A5753" s="0" t="n">
        <v>5749</v>
      </c>
      <c r="B5753" s="0" t="n">
        <v>8</v>
      </c>
      <c r="C5753" s="19" t="n">
        <v>1</v>
      </c>
      <c r="D5753" s="19" t="n">
        <v>1</v>
      </c>
      <c r="E5753" s="20" t="n">
        <f aca="false">Parametres!$B$5*C5753</f>
        <v>300</v>
      </c>
      <c r="F5753" s="20" t="n">
        <f aca="false">Parametres!$B$6*D5753</f>
        <v>200</v>
      </c>
      <c r="G5753" s="20" t="n">
        <f aca="false">E5753+F5753</f>
        <v>500</v>
      </c>
      <c r="H5753" s="20" t="n">
        <f aca="false">IF(G5753&lt;Parametres!$B$8*Parametres!$B$7,0,MIN(G5753,Parametres!$B$7))</f>
        <v>250</v>
      </c>
      <c r="I5753" s="20" t="n">
        <f aca="false">G5753-H5753</f>
        <v>250</v>
      </c>
      <c r="J5753" s="21" t="n">
        <f aca="false">H5753*1000/Parametres!$B$9</f>
        <v>4239.44378497541</v>
      </c>
    </row>
    <row r="5754" customFormat="false" ht="15" hidden="false" customHeight="false" outlineLevel="0" collapsed="false">
      <c r="A5754" s="0" t="n">
        <v>5750</v>
      </c>
      <c r="B5754" s="0" t="n">
        <v>8</v>
      </c>
      <c r="C5754" s="19" t="n">
        <v>0.9015</v>
      </c>
      <c r="D5754" s="19" t="n">
        <v>1</v>
      </c>
      <c r="E5754" s="20" t="n">
        <f aca="false">Parametres!$B$5*C5754</f>
        <v>270.45</v>
      </c>
      <c r="F5754" s="20" t="n">
        <f aca="false">Parametres!$B$6*D5754</f>
        <v>200</v>
      </c>
      <c r="G5754" s="20" t="n">
        <f aca="false">E5754+F5754</f>
        <v>470.45</v>
      </c>
      <c r="H5754" s="20" t="n">
        <f aca="false">IF(G5754&lt;Parametres!$B$8*Parametres!$B$7,0,MIN(G5754,Parametres!$B$7))</f>
        <v>250</v>
      </c>
      <c r="I5754" s="20" t="n">
        <f aca="false">G5754-H5754</f>
        <v>220.45</v>
      </c>
      <c r="J5754" s="21" t="n">
        <f aca="false">H5754*1000/Parametres!$B$9</f>
        <v>4239.44378497541</v>
      </c>
    </row>
    <row r="5755" customFormat="false" ht="15" hidden="false" customHeight="false" outlineLevel="0" collapsed="false">
      <c r="A5755" s="0" t="n">
        <v>5751</v>
      </c>
      <c r="B5755" s="0" t="n">
        <v>8</v>
      </c>
      <c r="C5755" s="19" t="n">
        <v>0.7975</v>
      </c>
      <c r="D5755" s="19" t="n">
        <v>1</v>
      </c>
      <c r="E5755" s="20" t="n">
        <f aca="false">Parametres!$B$5*C5755</f>
        <v>239.25</v>
      </c>
      <c r="F5755" s="20" t="n">
        <f aca="false">Parametres!$B$6*D5755</f>
        <v>200</v>
      </c>
      <c r="G5755" s="20" t="n">
        <f aca="false">E5755+F5755</f>
        <v>439.25</v>
      </c>
      <c r="H5755" s="20" t="n">
        <f aca="false">IF(G5755&lt;Parametres!$B$8*Parametres!$B$7,0,MIN(G5755,Parametres!$B$7))</f>
        <v>250</v>
      </c>
      <c r="I5755" s="20" t="n">
        <f aca="false">G5755-H5755</f>
        <v>189.25</v>
      </c>
      <c r="J5755" s="21" t="n">
        <f aca="false">H5755*1000/Parametres!$B$9</f>
        <v>4239.44378497541</v>
      </c>
    </row>
    <row r="5756" customFormat="false" ht="15" hidden="false" customHeight="false" outlineLevel="0" collapsed="false">
      <c r="A5756" s="0" t="n">
        <v>5752</v>
      </c>
      <c r="B5756" s="0" t="n">
        <v>8</v>
      </c>
      <c r="C5756" s="19" t="n">
        <v>0.6303</v>
      </c>
      <c r="D5756" s="19" t="n">
        <v>1</v>
      </c>
      <c r="E5756" s="20" t="n">
        <f aca="false">Parametres!$B$5*C5756</f>
        <v>189.09</v>
      </c>
      <c r="F5756" s="20" t="n">
        <f aca="false">Parametres!$B$6*D5756</f>
        <v>200</v>
      </c>
      <c r="G5756" s="20" t="n">
        <f aca="false">E5756+F5756</f>
        <v>389.09</v>
      </c>
      <c r="H5756" s="20" t="n">
        <f aca="false">IF(G5756&lt;Parametres!$B$8*Parametres!$B$7,0,MIN(G5756,Parametres!$B$7))</f>
        <v>250</v>
      </c>
      <c r="I5756" s="20" t="n">
        <f aca="false">G5756-H5756</f>
        <v>139.09</v>
      </c>
      <c r="J5756" s="21" t="n">
        <f aca="false">H5756*1000/Parametres!$B$9</f>
        <v>4239.44378497541</v>
      </c>
    </row>
    <row r="5757" customFormat="false" ht="15" hidden="false" customHeight="false" outlineLevel="0" collapsed="false">
      <c r="A5757" s="0" t="n">
        <v>5753</v>
      </c>
      <c r="B5757" s="0" t="n">
        <v>8</v>
      </c>
      <c r="C5757" s="19" t="n">
        <v>0.3853</v>
      </c>
      <c r="D5757" s="19" t="n">
        <v>1</v>
      </c>
      <c r="E5757" s="20" t="n">
        <f aca="false">Parametres!$B$5*C5757</f>
        <v>115.59</v>
      </c>
      <c r="F5757" s="20" t="n">
        <f aca="false">Parametres!$B$6*D5757</f>
        <v>200</v>
      </c>
      <c r="G5757" s="20" t="n">
        <f aca="false">E5757+F5757</f>
        <v>315.59</v>
      </c>
      <c r="H5757" s="20" t="n">
        <f aca="false">IF(G5757&lt;Parametres!$B$8*Parametres!$B$7,0,MIN(G5757,Parametres!$B$7))</f>
        <v>250</v>
      </c>
      <c r="I5757" s="20" t="n">
        <f aca="false">G5757-H5757</f>
        <v>65.59</v>
      </c>
      <c r="J5757" s="21" t="n">
        <f aca="false">H5757*1000/Parametres!$B$9</f>
        <v>4239.44378497541</v>
      </c>
    </row>
    <row r="5758" customFormat="false" ht="15" hidden="false" customHeight="false" outlineLevel="0" collapsed="false">
      <c r="A5758" s="0" t="n">
        <v>5754</v>
      </c>
      <c r="B5758" s="0" t="n">
        <v>8</v>
      </c>
      <c r="C5758" s="19" t="n">
        <v>0.1678</v>
      </c>
      <c r="D5758" s="19" t="n">
        <v>1</v>
      </c>
      <c r="E5758" s="20" t="n">
        <f aca="false">Parametres!$B$5*C5758</f>
        <v>50.34</v>
      </c>
      <c r="F5758" s="20" t="n">
        <f aca="false">Parametres!$B$6*D5758</f>
        <v>200</v>
      </c>
      <c r="G5758" s="20" t="n">
        <f aca="false">E5758+F5758</f>
        <v>250.34</v>
      </c>
      <c r="H5758" s="20" t="n">
        <f aca="false">IF(G5758&lt;Parametres!$B$8*Parametres!$B$7,0,MIN(G5758,Parametres!$B$7))</f>
        <v>250</v>
      </c>
      <c r="I5758" s="20" t="n">
        <f aca="false">G5758-H5758</f>
        <v>0.340000000000003</v>
      </c>
      <c r="J5758" s="21" t="n">
        <f aca="false">H5758*1000/Parametres!$B$9</f>
        <v>4239.44378497541</v>
      </c>
    </row>
    <row r="5759" customFormat="false" ht="15" hidden="false" customHeight="false" outlineLevel="0" collapsed="false">
      <c r="A5759" s="0" t="n">
        <v>5755</v>
      </c>
      <c r="B5759" s="0" t="n">
        <v>8</v>
      </c>
      <c r="C5759" s="19" t="n">
        <v>0</v>
      </c>
      <c r="D5759" s="19" t="n">
        <v>1</v>
      </c>
      <c r="E5759" s="20" t="n">
        <f aca="false">Parametres!$B$5*C5759</f>
        <v>0</v>
      </c>
      <c r="F5759" s="20" t="n">
        <f aca="false">Parametres!$B$6*D5759</f>
        <v>200</v>
      </c>
      <c r="G5759" s="20" t="n">
        <f aca="false">E5759+F5759</f>
        <v>200</v>
      </c>
      <c r="H5759" s="20" t="n">
        <f aca="false">IF(G5759&lt;Parametres!$B$8*Parametres!$B$7,0,MIN(G5759,Parametres!$B$7))</f>
        <v>200</v>
      </c>
      <c r="I5759" s="20" t="n">
        <f aca="false">G5759-H5759</f>
        <v>0</v>
      </c>
      <c r="J5759" s="21" t="n">
        <f aca="false">H5759*1000/Parametres!$B$9</f>
        <v>3391.55502798033</v>
      </c>
    </row>
    <row r="5760" customFormat="false" ht="15" hidden="false" customHeight="false" outlineLevel="0" collapsed="false">
      <c r="A5760" s="0" t="n">
        <v>5756</v>
      </c>
      <c r="B5760" s="0" t="n">
        <v>8</v>
      </c>
      <c r="C5760" s="19" t="n">
        <v>0</v>
      </c>
      <c r="D5760" s="19" t="n">
        <v>1</v>
      </c>
      <c r="E5760" s="20" t="n">
        <f aca="false">Parametres!$B$5*C5760</f>
        <v>0</v>
      </c>
      <c r="F5760" s="20" t="n">
        <f aca="false">Parametres!$B$6*D5760</f>
        <v>200</v>
      </c>
      <c r="G5760" s="20" t="n">
        <f aca="false">E5760+F5760</f>
        <v>200</v>
      </c>
      <c r="H5760" s="20" t="n">
        <f aca="false">IF(G5760&lt;Parametres!$B$8*Parametres!$B$7,0,MIN(G5760,Parametres!$B$7))</f>
        <v>200</v>
      </c>
      <c r="I5760" s="20" t="n">
        <f aca="false">G5760-H5760</f>
        <v>0</v>
      </c>
      <c r="J5760" s="21" t="n">
        <f aca="false">H5760*1000/Parametres!$B$9</f>
        <v>3391.55502798033</v>
      </c>
    </row>
    <row r="5761" customFormat="false" ht="15" hidden="false" customHeight="false" outlineLevel="0" collapsed="false">
      <c r="A5761" s="0" t="n">
        <v>5757</v>
      </c>
      <c r="B5761" s="0" t="n">
        <v>8</v>
      </c>
      <c r="C5761" s="19" t="n">
        <v>0</v>
      </c>
      <c r="D5761" s="19" t="n">
        <v>1</v>
      </c>
      <c r="E5761" s="20" t="n">
        <f aca="false">Parametres!$B$5*C5761</f>
        <v>0</v>
      </c>
      <c r="F5761" s="20" t="n">
        <f aca="false">Parametres!$B$6*D5761</f>
        <v>200</v>
      </c>
      <c r="G5761" s="20" t="n">
        <f aca="false">E5761+F5761</f>
        <v>200</v>
      </c>
      <c r="H5761" s="20" t="n">
        <f aca="false">IF(G5761&lt;Parametres!$B$8*Parametres!$B$7,0,MIN(G5761,Parametres!$B$7))</f>
        <v>200</v>
      </c>
      <c r="I5761" s="20" t="n">
        <f aca="false">G5761-H5761</f>
        <v>0</v>
      </c>
      <c r="J5761" s="21" t="n">
        <f aca="false">H5761*1000/Parametres!$B$9</f>
        <v>3391.55502798033</v>
      </c>
    </row>
    <row r="5762" customFormat="false" ht="15" hidden="false" customHeight="false" outlineLevel="0" collapsed="false">
      <c r="A5762" s="0" t="n">
        <v>5758</v>
      </c>
      <c r="B5762" s="0" t="n">
        <v>8</v>
      </c>
      <c r="C5762" s="19" t="n">
        <v>0</v>
      </c>
      <c r="D5762" s="19" t="n">
        <v>0.8785</v>
      </c>
      <c r="E5762" s="20" t="n">
        <f aca="false">Parametres!$B$5*C5762</f>
        <v>0</v>
      </c>
      <c r="F5762" s="20" t="n">
        <f aca="false">Parametres!$B$6*D5762</f>
        <v>175.7</v>
      </c>
      <c r="G5762" s="20" t="n">
        <f aca="false">E5762+F5762</f>
        <v>175.7</v>
      </c>
      <c r="H5762" s="20" t="n">
        <f aca="false">IF(G5762&lt;Parametres!$B$8*Parametres!$B$7,0,MIN(G5762,Parametres!$B$7))</f>
        <v>175.7</v>
      </c>
      <c r="I5762" s="20" t="n">
        <f aca="false">G5762-H5762</f>
        <v>0</v>
      </c>
      <c r="J5762" s="21" t="n">
        <f aca="false">H5762*1000/Parametres!$B$9</f>
        <v>2979.48109208072</v>
      </c>
    </row>
    <row r="5763" customFormat="false" ht="15" hidden="false" customHeight="false" outlineLevel="0" collapsed="false">
      <c r="A5763" s="0" t="n">
        <v>5759</v>
      </c>
      <c r="B5763" s="0" t="n">
        <v>8</v>
      </c>
      <c r="C5763" s="19" t="n">
        <v>0</v>
      </c>
      <c r="D5763" s="19" t="n">
        <v>0.5929</v>
      </c>
      <c r="E5763" s="20" t="n">
        <f aca="false">Parametres!$B$5*C5763</f>
        <v>0</v>
      </c>
      <c r="F5763" s="20" t="n">
        <f aca="false">Parametres!$B$6*D5763</f>
        <v>118.58</v>
      </c>
      <c r="G5763" s="20" t="n">
        <f aca="false">E5763+F5763</f>
        <v>118.58</v>
      </c>
      <c r="H5763" s="20" t="n">
        <f aca="false">IF(G5763&lt;Parametres!$B$8*Parametres!$B$7,0,MIN(G5763,Parametres!$B$7))</f>
        <v>118.58</v>
      </c>
      <c r="I5763" s="20" t="n">
        <f aca="false">G5763-H5763</f>
        <v>0</v>
      </c>
      <c r="J5763" s="21" t="n">
        <f aca="false">H5763*1000/Parametres!$B$9</f>
        <v>2010.85297608954</v>
      </c>
    </row>
    <row r="5764" customFormat="false" ht="15" hidden="false" customHeight="false" outlineLevel="0" collapsed="false">
      <c r="A5764" s="0" t="n">
        <v>5760</v>
      </c>
      <c r="B5764" s="0" t="n">
        <v>8</v>
      </c>
      <c r="C5764" s="19" t="n">
        <v>0</v>
      </c>
      <c r="D5764" s="19" t="n">
        <v>0.7002</v>
      </c>
      <c r="E5764" s="20" t="n">
        <f aca="false">Parametres!$B$5*C5764</f>
        <v>0</v>
      </c>
      <c r="F5764" s="20" t="n">
        <f aca="false">Parametres!$B$6*D5764</f>
        <v>140.04</v>
      </c>
      <c r="G5764" s="20" t="n">
        <f aca="false">E5764+F5764</f>
        <v>140.04</v>
      </c>
      <c r="H5764" s="20" t="n">
        <f aca="false">IF(G5764&lt;Parametres!$B$8*Parametres!$B$7,0,MIN(G5764,Parametres!$B$7))</f>
        <v>140.04</v>
      </c>
      <c r="I5764" s="20" t="n">
        <f aca="false">G5764-H5764</f>
        <v>0</v>
      </c>
      <c r="J5764" s="21" t="n">
        <f aca="false">H5764*1000/Parametres!$B$9</f>
        <v>2374.76683059183</v>
      </c>
    </row>
    <row r="5765" customFormat="false" ht="15" hidden="false" customHeight="false" outlineLevel="0" collapsed="false">
      <c r="A5765" s="0" t="n">
        <v>5761</v>
      </c>
      <c r="B5765" s="0" t="n">
        <v>8</v>
      </c>
      <c r="C5765" s="19" t="n">
        <v>0</v>
      </c>
      <c r="D5765" s="19" t="n">
        <v>0.5334</v>
      </c>
      <c r="E5765" s="20" t="n">
        <f aca="false">Parametres!$B$5*C5765</f>
        <v>0</v>
      </c>
      <c r="F5765" s="20" t="n">
        <f aca="false">Parametres!$B$6*D5765</f>
        <v>106.68</v>
      </c>
      <c r="G5765" s="20" t="n">
        <f aca="false">E5765+F5765</f>
        <v>106.68</v>
      </c>
      <c r="H5765" s="20" t="n">
        <f aca="false">IF(G5765&lt;Parametres!$B$8*Parametres!$B$7,0,MIN(G5765,Parametres!$B$7))</f>
        <v>106.68</v>
      </c>
      <c r="I5765" s="20" t="n">
        <f aca="false">G5765-H5765</f>
        <v>0</v>
      </c>
      <c r="J5765" s="21" t="n">
        <f aca="false">H5765*1000/Parametres!$B$9</f>
        <v>1809.05545192471</v>
      </c>
    </row>
    <row r="5766" customFormat="false" ht="15" hidden="false" customHeight="false" outlineLevel="0" collapsed="false">
      <c r="A5766" s="0" t="n">
        <v>5762</v>
      </c>
      <c r="B5766" s="0" t="n">
        <v>8</v>
      </c>
      <c r="C5766" s="19" t="n">
        <v>0</v>
      </c>
      <c r="D5766" s="19" t="n">
        <v>0.6008</v>
      </c>
      <c r="E5766" s="20" t="n">
        <f aca="false">Parametres!$B$5*C5766</f>
        <v>0</v>
      </c>
      <c r="F5766" s="20" t="n">
        <f aca="false">Parametres!$B$6*D5766</f>
        <v>120.16</v>
      </c>
      <c r="G5766" s="20" t="n">
        <f aca="false">E5766+F5766</f>
        <v>120.16</v>
      </c>
      <c r="H5766" s="20" t="n">
        <f aca="false">IF(G5766&lt;Parametres!$B$8*Parametres!$B$7,0,MIN(G5766,Parametres!$B$7))</f>
        <v>120.16</v>
      </c>
      <c r="I5766" s="20" t="n">
        <f aca="false">G5766-H5766</f>
        <v>0</v>
      </c>
      <c r="J5766" s="21" t="n">
        <f aca="false">H5766*1000/Parametres!$B$9</f>
        <v>2037.64626081058</v>
      </c>
    </row>
    <row r="5767" customFormat="false" ht="15" hidden="false" customHeight="false" outlineLevel="0" collapsed="false">
      <c r="A5767" s="0" t="n">
        <v>5763</v>
      </c>
      <c r="B5767" s="0" t="n">
        <v>8</v>
      </c>
      <c r="C5767" s="19" t="n">
        <v>0</v>
      </c>
      <c r="D5767" s="19" t="n">
        <v>0.7463</v>
      </c>
      <c r="E5767" s="20" t="n">
        <f aca="false">Parametres!$B$5*C5767</f>
        <v>0</v>
      </c>
      <c r="F5767" s="20" t="n">
        <f aca="false">Parametres!$B$6*D5767</f>
        <v>149.26</v>
      </c>
      <c r="G5767" s="20" t="n">
        <f aca="false">E5767+F5767</f>
        <v>149.26</v>
      </c>
      <c r="H5767" s="20" t="n">
        <f aca="false">IF(G5767&lt;Parametres!$B$8*Parametres!$B$7,0,MIN(G5767,Parametres!$B$7))</f>
        <v>149.26</v>
      </c>
      <c r="I5767" s="20" t="n">
        <f aca="false">G5767-H5767</f>
        <v>0</v>
      </c>
      <c r="J5767" s="21" t="n">
        <f aca="false">H5767*1000/Parametres!$B$9</f>
        <v>2531.11751738172</v>
      </c>
    </row>
    <row r="5768" customFormat="false" ht="15" hidden="false" customHeight="false" outlineLevel="0" collapsed="false">
      <c r="A5768" s="0" t="n">
        <v>5764</v>
      </c>
      <c r="B5768" s="0" t="n">
        <v>8</v>
      </c>
      <c r="C5768" s="19" t="n">
        <v>0</v>
      </c>
      <c r="D5768" s="19" t="n">
        <v>0.2717</v>
      </c>
      <c r="E5768" s="20" t="n">
        <f aca="false">Parametres!$B$5*C5768</f>
        <v>0</v>
      </c>
      <c r="F5768" s="20" t="n">
        <f aca="false">Parametres!$B$6*D5768</f>
        <v>54.34</v>
      </c>
      <c r="G5768" s="20" t="n">
        <f aca="false">E5768+F5768</f>
        <v>54.34</v>
      </c>
      <c r="H5768" s="20" t="n">
        <f aca="false">IF(G5768&lt;Parametres!$B$8*Parametres!$B$7,0,MIN(G5768,Parametres!$B$7))</f>
        <v>54.34</v>
      </c>
      <c r="I5768" s="20" t="n">
        <f aca="false">G5768-H5768</f>
        <v>0</v>
      </c>
      <c r="J5768" s="21" t="n">
        <f aca="false">H5768*1000/Parametres!$B$9</f>
        <v>921.485501102255</v>
      </c>
    </row>
    <row r="5769" customFormat="false" ht="15" hidden="false" customHeight="false" outlineLevel="0" collapsed="false">
      <c r="A5769" s="0" t="n">
        <v>5765</v>
      </c>
      <c r="B5769" s="0" t="n">
        <v>8</v>
      </c>
      <c r="C5769" s="19" t="n">
        <v>0</v>
      </c>
      <c r="D5769" s="19" t="n">
        <v>0.5264</v>
      </c>
      <c r="E5769" s="20" t="n">
        <f aca="false">Parametres!$B$5*C5769</f>
        <v>0</v>
      </c>
      <c r="F5769" s="20" t="n">
        <f aca="false">Parametres!$B$6*D5769</f>
        <v>105.28</v>
      </c>
      <c r="G5769" s="20" t="n">
        <f aca="false">E5769+F5769</f>
        <v>105.28</v>
      </c>
      <c r="H5769" s="20" t="n">
        <f aca="false">IF(G5769&lt;Parametres!$B$8*Parametres!$B$7,0,MIN(G5769,Parametres!$B$7))</f>
        <v>105.28</v>
      </c>
      <c r="I5769" s="20" t="n">
        <f aca="false">G5769-H5769</f>
        <v>0</v>
      </c>
      <c r="J5769" s="21" t="n">
        <f aca="false">H5769*1000/Parametres!$B$9</f>
        <v>1785.31456672885</v>
      </c>
    </row>
    <row r="5770" customFormat="false" ht="15" hidden="false" customHeight="false" outlineLevel="0" collapsed="false">
      <c r="A5770" s="0" t="n">
        <v>5766</v>
      </c>
      <c r="B5770" s="0" t="n">
        <v>8</v>
      </c>
      <c r="C5770" s="19" t="n">
        <v>0</v>
      </c>
      <c r="D5770" s="19" t="n">
        <v>0.6626</v>
      </c>
      <c r="E5770" s="20" t="n">
        <f aca="false">Parametres!$B$5*C5770</f>
        <v>0</v>
      </c>
      <c r="F5770" s="20" t="n">
        <f aca="false">Parametres!$B$6*D5770</f>
        <v>132.52</v>
      </c>
      <c r="G5770" s="20" t="n">
        <f aca="false">E5770+F5770</f>
        <v>132.52</v>
      </c>
      <c r="H5770" s="20" t="n">
        <f aca="false">IF(G5770&lt;Parametres!$B$8*Parametres!$B$7,0,MIN(G5770,Parametres!$B$7))</f>
        <v>132.52</v>
      </c>
      <c r="I5770" s="20" t="n">
        <f aca="false">G5770-H5770</f>
        <v>0</v>
      </c>
      <c r="J5770" s="21" t="n">
        <f aca="false">H5770*1000/Parametres!$B$9</f>
        <v>2247.24436153977</v>
      </c>
    </row>
    <row r="5771" customFormat="false" ht="15" hidden="false" customHeight="false" outlineLevel="0" collapsed="false">
      <c r="A5771" s="0" t="n">
        <v>5767</v>
      </c>
      <c r="B5771" s="0" t="n">
        <v>8</v>
      </c>
      <c r="C5771" s="19" t="n">
        <v>0.1927</v>
      </c>
      <c r="D5771" s="19" t="n">
        <v>0.8386</v>
      </c>
      <c r="E5771" s="20" t="n">
        <f aca="false">Parametres!$B$5*C5771</f>
        <v>57.81</v>
      </c>
      <c r="F5771" s="20" t="n">
        <f aca="false">Parametres!$B$6*D5771</f>
        <v>167.72</v>
      </c>
      <c r="G5771" s="20" t="n">
        <f aca="false">E5771+F5771</f>
        <v>225.53</v>
      </c>
      <c r="H5771" s="20" t="n">
        <f aca="false">IF(G5771&lt;Parametres!$B$8*Parametres!$B$7,0,MIN(G5771,Parametres!$B$7))</f>
        <v>225.53</v>
      </c>
      <c r="I5771" s="20" t="n">
        <f aca="false">G5771-H5771</f>
        <v>0</v>
      </c>
      <c r="J5771" s="21" t="n">
        <f aca="false">H5771*1000/Parametres!$B$9</f>
        <v>3824.48702730202</v>
      </c>
    </row>
    <row r="5772" customFormat="false" ht="15" hidden="false" customHeight="false" outlineLevel="0" collapsed="false">
      <c r="A5772" s="0" t="n">
        <v>5768</v>
      </c>
      <c r="B5772" s="0" t="n">
        <v>8</v>
      </c>
      <c r="C5772" s="19" t="n">
        <v>0.463</v>
      </c>
      <c r="D5772" s="19" t="n">
        <v>1</v>
      </c>
      <c r="E5772" s="20" t="n">
        <f aca="false">Parametres!$B$5*C5772</f>
        <v>138.9</v>
      </c>
      <c r="F5772" s="20" t="n">
        <f aca="false">Parametres!$B$6*D5772</f>
        <v>200</v>
      </c>
      <c r="G5772" s="20" t="n">
        <f aca="false">E5772+F5772</f>
        <v>338.9</v>
      </c>
      <c r="H5772" s="20" t="n">
        <f aca="false">IF(G5772&lt;Parametres!$B$8*Parametres!$B$7,0,MIN(G5772,Parametres!$B$7))</f>
        <v>250</v>
      </c>
      <c r="I5772" s="20" t="n">
        <f aca="false">G5772-H5772</f>
        <v>88.9</v>
      </c>
      <c r="J5772" s="21" t="n">
        <f aca="false">H5772*1000/Parametres!$B$9</f>
        <v>4239.44378497541</v>
      </c>
    </row>
    <row r="5773" customFormat="false" ht="15" hidden="false" customHeight="false" outlineLevel="0" collapsed="false">
      <c r="A5773" s="0" t="n">
        <v>5769</v>
      </c>
      <c r="B5773" s="0" t="n">
        <v>8</v>
      </c>
      <c r="C5773" s="19" t="n">
        <v>0.7437</v>
      </c>
      <c r="D5773" s="19" t="n">
        <v>1</v>
      </c>
      <c r="E5773" s="20" t="n">
        <f aca="false">Parametres!$B$5*C5773</f>
        <v>223.11</v>
      </c>
      <c r="F5773" s="20" t="n">
        <f aca="false">Parametres!$B$6*D5773</f>
        <v>200</v>
      </c>
      <c r="G5773" s="20" t="n">
        <f aca="false">E5773+F5773</f>
        <v>423.11</v>
      </c>
      <c r="H5773" s="20" t="n">
        <f aca="false">IF(G5773&lt;Parametres!$B$8*Parametres!$B$7,0,MIN(G5773,Parametres!$B$7))</f>
        <v>250</v>
      </c>
      <c r="I5773" s="20" t="n">
        <f aca="false">G5773-H5773</f>
        <v>173.11</v>
      </c>
      <c r="J5773" s="21" t="n">
        <f aca="false">H5773*1000/Parametres!$B$9</f>
        <v>4239.44378497541</v>
      </c>
    </row>
    <row r="5774" customFormat="false" ht="15" hidden="false" customHeight="false" outlineLevel="0" collapsed="false">
      <c r="A5774" s="0" t="n">
        <v>5770</v>
      </c>
      <c r="B5774" s="0" t="n">
        <v>8</v>
      </c>
      <c r="C5774" s="19" t="n">
        <v>0.9393</v>
      </c>
      <c r="D5774" s="19" t="n">
        <v>1</v>
      </c>
      <c r="E5774" s="20" t="n">
        <f aca="false">Parametres!$B$5*C5774</f>
        <v>281.79</v>
      </c>
      <c r="F5774" s="20" t="n">
        <f aca="false">Parametres!$B$6*D5774</f>
        <v>200</v>
      </c>
      <c r="G5774" s="20" t="n">
        <f aca="false">E5774+F5774</f>
        <v>481.79</v>
      </c>
      <c r="H5774" s="20" t="n">
        <f aca="false">IF(G5774&lt;Parametres!$B$8*Parametres!$B$7,0,MIN(G5774,Parametres!$B$7))</f>
        <v>250</v>
      </c>
      <c r="I5774" s="20" t="n">
        <f aca="false">G5774-H5774</f>
        <v>231.79</v>
      </c>
      <c r="J5774" s="21" t="n">
        <f aca="false">H5774*1000/Parametres!$B$9</f>
        <v>4239.44378497541</v>
      </c>
    </row>
    <row r="5775" customFormat="false" ht="15" hidden="false" customHeight="false" outlineLevel="0" collapsed="false">
      <c r="A5775" s="0" t="n">
        <v>5771</v>
      </c>
      <c r="B5775" s="0" t="n">
        <v>8</v>
      </c>
      <c r="C5775" s="19" t="n">
        <v>1</v>
      </c>
      <c r="D5775" s="19" t="n">
        <v>1</v>
      </c>
      <c r="E5775" s="20" t="n">
        <f aca="false">Parametres!$B$5*C5775</f>
        <v>300</v>
      </c>
      <c r="F5775" s="20" t="n">
        <f aca="false">Parametres!$B$6*D5775</f>
        <v>200</v>
      </c>
      <c r="G5775" s="20" t="n">
        <f aca="false">E5775+F5775</f>
        <v>500</v>
      </c>
      <c r="H5775" s="20" t="n">
        <f aca="false">IF(G5775&lt;Parametres!$B$8*Parametres!$B$7,0,MIN(G5775,Parametres!$B$7))</f>
        <v>250</v>
      </c>
      <c r="I5775" s="20" t="n">
        <f aca="false">G5775-H5775</f>
        <v>250</v>
      </c>
      <c r="J5775" s="21" t="n">
        <f aca="false">H5775*1000/Parametres!$B$9</f>
        <v>4239.44378497541</v>
      </c>
    </row>
    <row r="5776" customFormat="false" ht="15" hidden="false" customHeight="false" outlineLevel="0" collapsed="false">
      <c r="A5776" s="0" t="n">
        <v>5772</v>
      </c>
      <c r="B5776" s="0" t="n">
        <v>8</v>
      </c>
      <c r="C5776" s="19" t="n">
        <v>1</v>
      </c>
      <c r="D5776" s="19" t="n">
        <v>1</v>
      </c>
      <c r="E5776" s="20" t="n">
        <f aca="false">Parametres!$B$5*C5776</f>
        <v>300</v>
      </c>
      <c r="F5776" s="20" t="n">
        <f aca="false">Parametres!$B$6*D5776</f>
        <v>200</v>
      </c>
      <c r="G5776" s="20" t="n">
        <f aca="false">E5776+F5776</f>
        <v>500</v>
      </c>
      <c r="H5776" s="20" t="n">
        <f aca="false">IF(G5776&lt;Parametres!$B$8*Parametres!$B$7,0,MIN(G5776,Parametres!$B$7))</f>
        <v>250</v>
      </c>
      <c r="I5776" s="20" t="n">
        <f aca="false">G5776-H5776</f>
        <v>250</v>
      </c>
      <c r="J5776" s="21" t="n">
        <f aca="false">H5776*1000/Parametres!$B$9</f>
        <v>4239.44378497541</v>
      </c>
    </row>
    <row r="5777" customFormat="false" ht="15" hidden="false" customHeight="false" outlineLevel="0" collapsed="false">
      <c r="A5777" s="0" t="n">
        <v>5773</v>
      </c>
      <c r="B5777" s="0" t="n">
        <v>8</v>
      </c>
      <c r="C5777" s="19" t="n">
        <v>1</v>
      </c>
      <c r="D5777" s="19" t="n">
        <v>1</v>
      </c>
      <c r="E5777" s="20" t="n">
        <f aca="false">Parametres!$B$5*C5777</f>
        <v>300</v>
      </c>
      <c r="F5777" s="20" t="n">
        <f aca="false">Parametres!$B$6*D5777</f>
        <v>200</v>
      </c>
      <c r="G5777" s="20" t="n">
        <f aca="false">E5777+F5777</f>
        <v>500</v>
      </c>
      <c r="H5777" s="20" t="n">
        <f aca="false">IF(G5777&lt;Parametres!$B$8*Parametres!$B$7,0,MIN(G5777,Parametres!$B$7))</f>
        <v>250</v>
      </c>
      <c r="I5777" s="20" t="n">
        <f aca="false">G5777-H5777</f>
        <v>250</v>
      </c>
      <c r="J5777" s="21" t="n">
        <f aca="false">H5777*1000/Parametres!$B$9</f>
        <v>4239.44378497541</v>
      </c>
    </row>
    <row r="5778" customFormat="false" ht="15" hidden="false" customHeight="false" outlineLevel="0" collapsed="false">
      <c r="A5778" s="0" t="n">
        <v>5774</v>
      </c>
      <c r="B5778" s="0" t="n">
        <v>8</v>
      </c>
      <c r="C5778" s="19" t="n">
        <v>1</v>
      </c>
      <c r="D5778" s="19" t="n">
        <v>1</v>
      </c>
      <c r="E5778" s="20" t="n">
        <f aca="false">Parametres!$B$5*C5778</f>
        <v>300</v>
      </c>
      <c r="F5778" s="20" t="n">
        <f aca="false">Parametres!$B$6*D5778</f>
        <v>200</v>
      </c>
      <c r="G5778" s="20" t="n">
        <f aca="false">E5778+F5778</f>
        <v>500</v>
      </c>
      <c r="H5778" s="20" t="n">
        <f aca="false">IF(G5778&lt;Parametres!$B$8*Parametres!$B$7,0,MIN(G5778,Parametres!$B$7))</f>
        <v>250</v>
      </c>
      <c r="I5778" s="20" t="n">
        <f aca="false">G5778-H5778</f>
        <v>250</v>
      </c>
      <c r="J5778" s="21" t="n">
        <f aca="false">H5778*1000/Parametres!$B$9</f>
        <v>4239.44378497541</v>
      </c>
    </row>
    <row r="5779" customFormat="false" ht="15" hidden="false" customHeight="false" outlineLevel="0" collapsed="false">
      <c r="A5779" s="0" t="n">
        <v>5775</v>
      </c>
      <c r="B5779" s="0" t="n">
        <v>8</v>
      </c>
      <c r="C5779" s="19" t="n">
        <v>0.8738</v>
      </c>
      <c r="D5779" s="19" t="n">
        <v>1</v>
      </c>
      <c r="E5779" s="20" t="n">
        <f aca="false">Parametres!$B$5*C5779</f>
        <v>262.14</v>
      </c>
      <c r="F5779" s="20" t="n">
        <f aca="false">Parametres!$B$6*D5779</f>
        <v>200</v>
      </c>
      <c r="G5779" s="20" t="n">
        <f aca="false">E5779+F5779</f>
        <v>462.14</v>
      </c>
      <c r="H5779" s="20" t="n">
        <f aca="false">IF(G5779&lt;Parametres!$B$8*Parametres!$B$7,0,MIN(G5779,Parametres!$B$7))</f>
        <v>250</v>
      </c>
      <c r="I5779" s="20" t="n">
        <f aca="false">G5779-H5779</f>
        <v>212.14</v>
      </c>
      <c r="J5779" s="21" t="n">
        <f aca="false">H5779*1000/Parametres!$B$9</f>
        <v>4239.44378497541</v>
      </c>
    </row>
    <row r="5780" customFormat="false" ht="15" hidden="false" customHeight="false" outlineLevel="0" collapsed="false">
      <c r="A5780" s="0" t="n">
        <v>5776</v>
      </c>
      <c r="B5780" s="0" t="n">
        <v>8</v>
      </c>
      <c r="C5780" s="19" t="n">
        <v>0.7458</v>
      </c>
      <c r="D5780" s="19" t="n">
        <v>1</v>
      </c>
      <c r="E5780" s="20" t="n">
        <f aca="false">Parametres!$B$5*C5780</f>
        <v>223.74</v>
      </c>
      <c r="F5780" s="20" t="n">
        <f aca="false">Parametres!$B$6*D5780</f>
        <v>200</v>
      </c>
      <c r="G5780" s="20" t="n">
        <f aca="false">E5780+F5780</f>
        <v>423.74</v>
      </c>
      <c r="H5780" s="20" t="n">
        <f aca="false">IF(G5780&lt;Parametres!$B$8*Parametres!$B$7,0,MIN(G5780,Parametres!$B$7))</f>
        <v>250</v>
      </c>
      <c r="I5780" s="20" t="n">
        <f aca="false">G5780-H5780</f>
        <v>173.74</v>
      </c>
      <c r="J5780" s="21" t="n">
        <f aca="false">H5780*1000/Parametres!$B$9</f>
        <v>4239.44378497541</v>
      </c>
    </row>
    <row r="5781" customFormat="false" ht="15" hidden="false" customHeight="false" outlineLevel="0" collapsed="false">
      <c r="A5781" s="0" t="n">
        <v>5777</v>
      </c>
      <c r="B5781" s="0" t="n">
        <v>8</v>
      </c>
      <c r="C5781" s="19" t="n">
        <v>0.4322</v>
      </c>
      <c r="D5781" s="19" t="n">
        <v>1</v>
      </c>
      <c r="E5781" s="20" t="n">
        <f aca="false">Parametres!$B$5*C5781</f>
        <v>129.66</v>
      </c>
      <c r="F5781" s="20" t="n">
        <f aca="false">Parametres!$B$6*D5781</f>
        <v>200</v>
      </c>
      <c r="G5781" s="20" t="n">
        <f aca="false">E5781+F5781</f>
        <v>329.66</v>
      </c>
      <c r="H5781" s="20" t="n">
        <f aca="false">IF(G5781&lt;Parametres!$B$8*Parametres!$B$7,0,MIN(G5781,Parametres!$B$7))</f>
        <v>250</v>
      </c>
      <c r="I5781" s="20" t="n">
        <f aca="false">G5781-H5781</f>
        <v>79.66</v>
      </c>
      <c r="J5781" s="21" t="n">
        <f aca="false">H5781*1000/Parametres!$B$9</f>
        <v>4239.44378497541</v>
      </c>
    </row>
    <row r="5782" customFormat="false" ht="15" hidden="false" customHeight="false" outlineLevel="0" collapsed="false">
      <c r="A5782" s="0" t="n">
        <v>5778</v>
      </c>
      <c r="B5782" s="0" t="n">
        <v>8</v>
      </c>
      <c r="C5782" s="19" t="n">
        <v>0.1852</v>
      </c>
      <c r="D5782" s="19" t="n">
        <v>1</v>
      </c>
      <c r="E5782" s="20" t="n">
        <f aca="false">Parametres!$B$5*C5782</f>
        <v>55.56</v>
      </c>
      <c r="F5782" s="20" t="n">
        <f aca="false">Parametres!$B$6*D5782</f>
        <v>200</v>
      </c>
      <c r="G5782" s="20" t="n">
        <f aca="false">E5782+F5782</f>
        <v>255.56</v>
      </c>
      <c r="H5782" s="20" t="n">
        <f aca="false">IF(G5782&lt;Parametres!$B$8*Parametres!$B$7,0,MIN(G5782,Parametres!$B$7))</f>
        <v>250</v>
      </c>
      <c r="I5782" s="20" t="n">
        <f aca="false">G5782-H5782</f>
        <v>5.56</v>
      </c>
      <c r="J5782" s="21" t="n">
        <f aca="false">H5782*1000/Parametres!$B$9</f>
        <v>4239.44378497541</v>
      </c>
    </row>
    <row r="5783" customFormat="false" ht="15" hidden="false" customHeight="false" outlineLevel="0" collapsed="false">
      <c r="A5783" s="0" t="n">
        <v>5779</v>
      </c>
      <c r="B5783" s="0" t="n">
        <v>8</v>
      </c>
      <c r="C5783" s="19" t="n">
        <v>0</v>
      </c>
      <c r="D5783" s="19" t="n">
        <v>1</v>
      </c>
      <c r="E5783" s="20" t="n">
        <f aca="false">Parametres!$B$5*C5783</f>
        <v>0</v>
      </c>
      <c r="F5783" s="20" t="n">
        <f aca="false">Parametres!$B$6*D5783</f>
        <v>200</v>
      </c>
      <c r="G5783" s="20" t="n">
        <f aca="false">E5783+F5783</f>
        <v>200</v>
      </c>
      <c r="H5783" s="20" t="n">
        <f aca="false">IF(G5783&lt;Parametres!$B$8*Parametres!$B$7,0,MIN(G5783,Parametres!$B$7))</f>
        <v>200</v>
      </c>
      <c r="I5783" s="20" t="n">
        <f aca="false">G5783-H5783</f>
        <v>0</v>
      </c>
      <c r="J5783" s="21" t="n">
        <f aca="false">H5783*1000/Parametres!$B$9</f>
        <v>3391.55502798033</v>
      </c>
    </row>
    <row r="5784" customFormat="false" ht="15" hidden="false" customHeight="false" outlineLevel="0" collapsed="false">
      <c r="A5784" s="0" t="n">
        <v>5780</v>
      </c>
      <c r="B5784" s="0" t="n">
        <v>8</v>
      </c>
      <c r="C5784" s="19" t="n">
        <v>0</v>
      </c>
      <c r="D5784" s="19" t="n">
        <v>1</v>
      </c>
      <c r="E5784" s="20" t="n">
        <f aca="false">Parametres!$B$5*C5784</f>
        <v>0</v>
      </c>
      <c r="F5784" s="20" t="n">
        <f aca="false">Parametres!$B$6*D5784</f>
        <v>200</v>
      </c>
      <c r="G5784" s="20" t="n">
        <f aca="false">E5784+F5784</f>
        <v>200</v>
      </c>
      <c r="H5784" s="20" t="n">
        <f aca="false">IF(G5784&lt;Parametres!$B$8*Parametres!$B$7,0,MIN(G5784,Parametres!$B$7))</f>
        <v>200</v>
      </c>
      <c r="I5784" s="20" t="n">
        <f aca="false">G5784-H5784</f>
        <v>0</v>
      </c>
      <c r="J5784" s="21" t="n">
        <f aca="false">H5784*1000/Parametres!$B$9</f>
        <v>3391.55502798033</v>
      </c>
    </row>
    <row r="5785" customFormat="false" ht="15" hidden="false" customHeight="false" outlineLevel="0" collapsed="false">
      <c r="A5785" s="0" t="n">
        <v>5781</v>
      </c>
      <c r="B5785" s="0" t="n">
        <v>8</v>
      </c>
      <c r="C5785" s="19" t="n">
        <v>0</v>
      </c>
      <c r="D5785" s="19" t="n">
        <v>1</v>
      </c>
      <c r="E5785" s="20" t="n">
        <f aca="false">Parametres!$B$5*C5785</f>
        <v>0</v>
      </c>
      <c r="F5785" s="20" t="n">
        <f aca="false">Parametres!$B$6*D5785</f>
        <v>200</v>
      </c>
      <c r="G5785" s="20" t="n">
        <f aca="false">E5785+F5785</f>
        <v>200</v>
      </c>
      <c r="H5785" s="20" t="n">
        <f aca="false">IF(G5785&lt;Parametres!$B$8*Parametres!$B$7,0,MIN(G5785,Parametres!$B$7))</f>
        <v>200</v>
      </c>
      <c r="I5785" s="20" t="n">
        <f aca="false">G5785-H5785</f>
        <v>0</v>
      </c>
      <c r="J5785" s="21" t="n">
        <f aca="false">H5785*1000/Parametres!$B$9</f>
        <v>3391.55502798033</v>
      </c>
    </row>
    <row r="5786" customFormat="false" ht="15" hidden="false" customHeight="false" outlineLevel="0" collapsed="false">
      <c r="A5786" s="0" t="n">
        <v>5782</v>
      </c>
      <c r="B5786" s="0" t="n">
        <v>8</v>
      </c>
      <c r="C5786" s="19" t="n">
        <v>0</v>
      </c>
      <c r="D5786" s="19" t="n">
        <v>0.7941</v>
      </c>
      <c r="E5786" s="20" t="n">
        <f aca="false">Parametres!$B$5*C5786</f>
        <v>0</v>
      </c>
      <c r="F5786" s="20" t="n">
        <f aca="false">Parametres!$B$6*D5786</f>
        <v>158.82</v>
      </c>
      <c r="G5786" s="20" t="n">
        <f aca="false">E5786+F5786</f>
        <v>158.82</v>
      </c>
      <c r="H5786" s="20" t="n">
        <f aca="false">IF(G5786&lt;Parametres!$B$8*Parametres!$B$7,0,MIN(G5786,Parametres!$B$7))</f>
        <v>158.82</v>
      </c>
      <c r="I5786" s="20" t="n">
        <f aca="false">G5786-H5786</f>
        <v>0</v>
      </c>
      <c r="J5786" s="21" t="n">
        <f aca="false">H5786*1000/Parametres!$B$9</f>
        <v>2693.23384771918</v>
      </c>
    </row>
    <row r="5787" customFormat="false" ht="15" hidden="false" customHeight="false" outlineLevel="0" collapsed="false">
      <c r="A5787" s="0" t="n">
        <v>5783</v>
      </c>
      <c r="B5787" s="0" t="n">
        <v>8</v>
      </c>
      <c r="C5787" s="19" t="n">
        <v>0</v>
      </c>
      <c r="D5787" s="19" t="n">
        <v>0.8706</v>
      </c>
      <c r="E5787" s="20" t="n">
        <f aca="false">Parametres!$B$5*C5787</f>
        <v>0</v>
      </c>
      <c r="F5787" s="20" t="n">
        <f aca="false">Parametres!$B$6*D5787</f>
        <v>174.12</v>
      </c>
      <c r="G5787" s="20" t="n">
        <f aca="false">E5787+F5787</f>
        <v>174.12</v>
      </c>
      <c r="H5787" s="20" t="n">
        <f aca="false">IF(G5787&lt;Parametres!$B$8*Parametres!$B$7,0,MIN(G5787,Parametres!$B$7))</f>
        <v>174.12</v>
      </c>
      <c r="I5787" s="20" t="n">
        <f aca="false">G5787-H5787</f>
        <v>0</v>
      </c>
      <c r="J5787" s="21" t="n">
        <f aca="false">H5787*1000/Parametres!$B$9</f>
        <v>2952.68780735967</v>
      </c>
    </row>
    <row r="5788" customFormat="false" ht="15" hidden="false" customHeight="false" outlineLevel="0" collapsed="false">
      <c r="A5788" s="0" t="n">
        <v>5784</v>
      </c>
      <c r="B5788" s="0" t="n">
        <v>8</v>
      </c>
      <c r="C5788" s="19" t="n">
        <v>0</v>
      </c>
      <c r="D5788" s="19" t="n">
        <v>0.9817</v>
      </c>
      <c r="E5788" s="20" t="n">
        <f aca="false">Parametres!$B$5*C5788</f>
        <v>0</v>
      </c>
      <c r="F5788" s="20" t="n">
        <f aca="false">Parametres!$B$6*D5788</f>
        <v>196.34</v>
      </c>
      <c r="G5788" s="20" t="n">
        <f aca="false">E5788+F5788</f>
        <v>196.34</v>
      </c>
      <c r="H5788" s="20" t="n">
        <f aca="false">IF(G5788&lt;Parametres!$B$8*Parametres!$B$7,0,MIN(G5788,Parametres!$B$7))</f>
        <v>196.34</v>
      </c>
      <c r="I5788" s="20" t="n">
        <f aca="false">G5788-H5788</f>
        <v>0</v>
      </c>
      <c r="J5788" s="21" t="n">
        <f aca="false">H5788*1000/Parametres!$B$9</f>
        <v>3329.48957096829</v>
      </c>
    </row>
    <row r="5789" customFormat="false" ht="15" hidden="false" customHeight="false" outlineLevel="0" collapsed="false">
      <c r="A5789" s="0" t="n">
        <v>5785</v>
      </c>
      <c r="B5789" s="0" t="n">
        <v>8</v>
      </c>
      <c r="C5789" s="19" t="n">
        <v>0</v>
      </c>
      <c r="D5789" s="19" t="n">
        <v>0.7469</v>
      </c>
      <c r="E5789" s="20" t="n">
        <f aca="false">Parametres!$B$5*C5789</f>
        <v>0</v>
      </c>
      <c r="F5789" s="20" t="n">
        <f aca="false">Parametres!$B$6*D5789</f>
        <v>149.38</v>
      </c>
      <c r="G5789" s="20" t="n">
        <f aca="false">E5789+F5789</f>
        <v>149.38</v>
      </c>
      <c r="H5789" s="20" t="n">
        <f aca="false">IF(G5789&lt;Parametres!$B$8*Parametres!$B$7,0,MIN(G5789,Parametres!$B$7))</f>
        <v>149.38</v>
      </c>
      <c r="I5789" s="20" t="n">
        <f aca="false">G5789-H5789</f>
        <v>0</v>
      </c>
      <c r="J5789" s="21" t="n">
        <f aca="false">H5789*1000/Parametres!$B$9</f>
        <v>2533.15245039851</v>
      </c>
    </row>
    <row r="5790" customFormat="false" ht="15" hidden="false" customHeight="false" outlineLevel="0" collapsed="false">
      <c r="A5790" s="0" t="n">
        <v>5786</v>
      </c>
      <c r="B5790" s="0" t="n">
        <v>8</v>
      </c>
      <c r="C5790" s="19" t="n">
        <v>0</v>
      </c>
      <c r="D5790" s="19" t="n">
        <v>0.5319</v>
      </c>
      <c r="E5790" s="20" t="n">
        <f aca="false">Parametres!$B$5*C5790</f>
        <v>0</v>
      </c>
      <c r="F5790" s="20" t="n">
        <f aca="false">Parametres!$B$6*D5790</f>
        <v>106.38</v>
      </c>
      <c r="G5790" s="20" t="n">
        <f aca="false">E5790+F5790</f>
        <v>106.38</v>
      </c>
      <c r="H5790" s="20" t="n">
        <f aca="false">IF(G5790&lt;Parametres!$B$8*Parametres!$B$7,0,MIN(G5790,Parametres!$B$7))</f>
        <v>106.38</v>
      </c>
      <c r="I5790" s="20" t="n">
        <f aca="false">G5790-H5790</f>
        <v>0</v>
      </c>
      <c r="J5790" s="21" t="n">
        <f aca="false">H5790*1000/Parametres!$B$9</f>
        <v>1803.96811938274</v>
      </c>
    </row>
    <row r="5791" customFormat="false" ht="15" hidden="false" customHeight="false" outlineLevel="0" collapsed="false">
      <c r="A5791" s="0" t="n">
        <v>5787</v>
      </c>
      <c r="B5791" s="0" t="n">
        <v>8</v>
      </c>
      <c r="C5791" s="19" t="n">
        <v>0</v>
      </c>
      <c r="D5791" s="19" t="n">
        <v>0.2311</v>
      </c>
      <c r="E5791" s="20" t="n">
        <f aca="false">Parametres!$B$5*C5791</f>
        <v>0</v>
      </c>
      <c r="F5791" s="20" t="n">
        <f aca="false">Parametres!$B$6*D5791</f>
        <v>46.22</v>
      </c>
      <c r="G5791" s="20" t="n">
        <f aca="false">E5791+F5791</f>
        <v>46.22</v>
      </c>
      <c r="H5791" s="20" t="n">
        <f aca="false">IF(G5791&lt;Parametres!$B$8*Parametres!$B$7,0,MIN(G5791,Parametres!$B$7))</f>
        <v>46.22</v>
      </c>
      <c r="I5791" s="20" t="n">
        <f aca="false">G5791-H5791</f>
        <v>0</v>
      </c>
      <c r="J5791" s="21" t="n">
        <f aca="false">H5791*1000/Parametres!$B$9</f>
        <v>783.788366966254</v>
      </c>
    </row>
    <row r="5792" customFormat="false" ht="15" hidden="false" customHeight="false" outlineLevel="0" collapsed="false">
      <c r="A5792" s="0" t="n">
        <v>5788</v>
      </c>
      <c r="B5792" s="0" t="n">
        <v>8</v>
      </c>
      <c r="C5792" s="19" t="n">
        <v>0</v>
      </c>
      <c r="D5792" s="19" t="n">
        <v>0.1906</v>
      </c>
      <c r="E5792" s="20" t="n">
        <f aca="false">Parametres!$B$5*C5792</f>
        <v>0</v>
      </c>
      <c r="F5792" s="20" t="n">
        <f aca="false">Parametres!$B$6*D5792</f>
        <v>38.12</v>
      </c>
      <c r="G5792" s="20" t="n">
        <f aca="false">E5792+F5792</f>
        <v>38.12</v>
      </c>
      <c r="H5792" s="20" t="n">
        <f aca="false">IF(G5792&lt;Parametres!$B$8*Parametres!$B$7,0,MIN(G5792,Parametres!$B$7))</f>
        <v>38.12</v>
      </c>
      <c r="I5792" s="20" t="n">
        <f aca="false">G5792-H5792</f>
        <v>0</v>
      </c>
      <c r="J5792" s="21" t="n">
        <f aca="false">H5792*1000/Parametres!$B$9</f>
        <v>646.430388333051</v>
      </c>
    </row>
    <row r="5793" customFormat="false" ht="15" hidden="false" customHeight="false" outlineLevel="0" collapsed="false">
      <c r="A5793" s="0" t="n">
        <v>5789</v>
      </c>
      <c r="B5793" s="0" t="n">
        <v>8</v>
      </c>
      <c r="C5793" s="19" t="n">
        <v>0</v>
      </c>
      <c r="D5793" s="19" t="n">
        <v>0.1979</v>
      </c>
      <c r="E5793" s="20" t="n">
        <f aca="false">Parametres!$B$5*C5793</f>
        <v>0</v>
      </c>
      <c r="F5793" s="20" t="n">
        <f aca="false">Parametres!$B$6*D5793</f>
        <v>39.58</v>
      </c>
      <c r="G5793" s="20" t="n">
        <f aca="false">E5793+F5793</f>
        <v>39.58</v>
      </c>
      <c r="H5793" s="20" t="n">
        <f aca="false">IF(G5793&lt;Parametres!$B$8*Parametres!$B$7,0,MIN(G5793,Parametres!$B$7))</f>
        <v>39.58</v>
      </c>
      <c r="I5793" s="20" t="n">
        <f aca="false">G5793-H5793</f>
        <v>0</v>
      </c>
      <c r="J5793" s="21" t="n">
        <f aca="false">H5793*1000/Parametres!$B$9</f>
        <v>671.188740037307</v>
      </c>
    </row>
    <row r="5794" customFormat="false" ht="15" hidden="false" customHeight="false" outlineLevel="0" collapsed="false">
      <c r="A5794" s="0" t="n">
        <v>5790</v>
      </c>
      <c r="B5794" s="0" t="n">
        <v>8</v>
      </c>
      <c r="C5794" s="19" t="n">
        <v>0</v>
      </c>
      <c r="D5794" s="19" t="n">
        <v>0.1749</v>
      </c>
      <c r="E5794" s="20" t="n">
        <f aca="false">Parametres!$B$5*C5794</f>
        <v>0</v>
      </c>
      <c r="F5794" s="20" t="n">
        <f aca="false">Parametres!$B$6*D5794</f>
        <v>34.98</v>
      </c>
      <c r="G5794" s="20" t="n">
        <f aca="false">E5794+F5794</f>
        <v>34.98</v>
      </c>
      <c r="H5794" s="20" t="n">
        <f aca="false">IF(G5794&lt;Parametres!$B$8*Parametres!$B$7,0,MIN(G5794,Parametres!$B$7))</f>
        <v>34.98</v>
      </c>
      <c r="I5794" s="20" t="n">
        <f aca="false">G5794-H5794</f>
        <v>0</v>
      </c>
      <c r="J5794" s="21" t="n">
        <f aca="false">H5794*1000/Parametres!$B$9</f>
        <v>593.18297439376</v>
      </c>
    </row>
    <row r="5795" customFormat="false" ht="15" hidden="false" customHeight="false" outlineLevel="0" collapsed="false">
      <c r="A5795" s="0" t="n">
        <v>5791</v>
      </c>
      <c r="B5795" s="0" t="n">
        <v>8</v>
      </c>
      <c r="C5795" s="19" t="n">
        <v>0.1772</v>
      </c>
      <c r="D5795" s="19" t="n">
        <v>0.1585</v>
      </c>
      <c r="E5795" s="20" t="n">
        <f aca="false">Parametres!$B$5*C5795</f>
        <v>53.16</v>
      </c>
      <c r="F5795" s="20" t="n">
        <f aca="false">Parametres!$B$6*D5795</f>
        <v>31.7</v>
      </c>
      <c r="G5795" s="20" t="n">
        <f aca="false">E5795+F5795</f>
        <v>84.86</v>
      </c>
      <c r="H5795" s="20" t="n">
        <f aca="false">IF(G5795&lt;Parametres!$B$8*Parametres!$B$7,0,MIN(G5795,Parametres!$B$7))</f>
        <v>84.86</v>
      </c>
      <c r="I5795" s="20" t="n">
        <f aca="false">G5795-H5795</f>
        <v>0</v>
      </c>
      <c r="J5795" s="21" t="n">
        <f aca="false">H5795*1000/Parametres!$B$9</f>
        <v>1439.03679837205</v>
      </c>
    </row>
    <row r="5796" customFormat="false" ht="15" hidden="false" customHeight="false" outlineLevel="0" collapsed="false">
      <c r="A5796" s="0" t="n">
        <v>5792</v>
      </c>
      <c r="B5796" s="0" t="n">
        <v>8</v>
      </c>
      <c r="C5796" s="19" t="n">
        <v>0.4384</v>
      </c>
      <c r="D5796" s="19" t="n">
        <v>0.2572</v>
      </c>
      <c r="E5796" s="20" t="n">
        <f aca="false">Parametres!$B$5*C5796</f>
        <v>131.52</v>
      </c>
      <c r="F5796" s="20" t="n">
        <f aca="false">Parametres!$B$6*D5796</f>
        <v>51.44</v>
      </c>
      <c r="G5796" s="20" t="n">
        <f aca="false">E5796+F5796</f>
        <v>182.96</v>
      </c>
      <c r="H5796" s="20" t="n">
        <f aca="false">IF(G5796&lt;Parametres!$B$8*Parametres!$B$7,0,MIN(G5796,Parametres!$B$7))</f>
        <v>182.96</v>
      </c>
      <c r="I5796" s="20" t="n">
        <f aca="false">G5796-H5796</f>
        <v>0</v>
      </c>
      <c r="J5796" s="21" t="n">
        <f aca="false">H5796*1000/Parametres!$B$9</f>
        <v>3102.59453959641</v>
      </c>
    </row>
    <row r="5797" customFormat="false" ht="15" hidden="false" customHeight="false" outlineLevel="0" collapsed="false">
      <c r="A5797" s="0" t="n">
        <v>5793</v>
      </c>
      <c r="B5797" s="0" t="n">
        <v>8</v>
      </c>
      <c r="C5797" s="19" t="n">
        <v>0.729</v>
      </c>
      <c r="D5797" s="19" t="n">
        <v>0.3686</v>
      </c>
      <c r="E5797" s="20" t="n">
        <f aca="false">Parametres!$B$5*C5797</f>
        <v>218.7</v>
      </c>
      <c r="F5797" s="20" t="n">
        <f aca="false">Parametres!$B$6*D5797</f>
        <v>73.72</v>
      </c>
      <c r="G5797" s="20" t="n">
        <f aca="false">E5797+F5797</f>
        <v>292.42</v>
      </c>
      <c r="H5797" s="20" t="n">
        <f aca="false">IF(G5797&lt;Parametres!$B$8*Parametres!$B$7,0,MIN(G5797,Parametres!$B$7))</f>
        <v>250</v>
      </c>
      <c r="I5797" s="20" t="n">
        <f aca="false">G5797-H5797</f>
        <v>42.42</v>
      </c>
      <c r="J5797" s="21" t="n">
        <f aca="false">H5797*1000/Parametres!$B$9</f>
        <v>4239.44378497541</v>
      </c>
    </row>
    <row r="5798" customFormat="false" ht="15" hidden="false" customHeight="false" outlineLevel="0" collapsed="false">
      <c r="A5798" s="0" t="n">
        <v>5794</v>
      </c>
      <c r="B5798" s="0" t="n">
        <v>8</v>
      </c>
      <c r="C5798" s="19" t="n">
        <v>0.854</v>
      </c>
      <c r="D5798" s="19" t="n">
        <v>0.3477</v>
      </c>
      <c r="E5798" s="20" t="n">
        <f aca="false">Parametres!$B$5*C5798</f>
        <v>256.2</v>
      </c>
      <c r="F5798" s="20" t="n">
        <f aca="false">Parametres!$B$6*D5798</f>
        <v>69.54</v>
      </c>
      <c r="G5798" s="20" t="n">
        <f aca="false">E5798+F5798</f>
        <v>325.74</v>
      </c>
      <c r="H5798" s="20" t="n">
        <f aca="false">IF(G5798&lt;Parametres!$B$8*Parametres!$B$7,0,MIN(G5798,Parametres!$B$7))</f>
        <v>250</v>
      </c>
      <c r="I5798" s="20" t="n">
        <f aca="false">G5798-H5798</f>
        <v>75.74</v>
      </c>
      <c r="J5798" s="21" t="n">
        <f aca="false">H5798*1000/Parametres!$B$9</f>
        <v>4239.44378497541</v>
      </c>
    </row>
    <row r="5799" customFormat="false" ht="15" hidden="false" customHeight="false" outlineLevel="0" collapsed="false">
      <c r="A5799" s="0" t="n">
        <v>5795</v>
      </c>
      <c r="B5799" s="0" t="n">
        <v>8</v>
      </c>
      <c r="C5799" s="19" t="n">
        <v>1</v>
      </c>
      <c r="D5799" s="19" t="n">
        <v>0.7197</v>
      </c>
      <c r="E5799" s="20" t="n">
        <f aca="false">Parametres!$B$5*C5799</f>
        <v>300</v>
      </c>
      <c r="F5799" s="20" t="n">
        <f aca="false">Parametres!$B$6*D5799</f>
        <v>143.94</v>
      </c>
      <c r="G5799" s="20" t="n">
        <f aca="false">E5799+F5799</f>
        <v>443.94</v>
      </c>
      <c r="H5799" s="20" t="n">
        <f aca="false">IF(G5799&lt;Parametres!$B$8*Parametres!$B$7,0,MIN(G5799,Parametres!$B$7))</f>
        <v>250</v>
      </c>
      <c r="I5799" s="20" t="n">
        <f aca="false">G5799-H5799</f>
        <v>193.94</v>
      </c>
      <c r="J5799" s="21" t="n">
        <f aca="false">H5799*1000/Parametres!$B$9</f>
        <v>4239.44378497541</v>
      </c>
    </row>
    <row r="5800" customFormat="false" ht="15" hidden="false" customHeight="false" outlineLevel="0" collapsed="false">
      <c r="A5800" s="0" t="n">
        <v>5796</v>
      </c>
      <c r="B5800" s="0" t="n">
        <v>8</v>
      </c>
      <c r="C5800" s="19" t="n">
        <v>1</v>
      </c>
      <c r="D5800" s="19" t="n">
        <v>1</v>
      </c>
      <c r="E5800" s="20" t="n">
        <f aca="false">Parametres!$B$5*C5800</f>
        <v>300</v>
      </c>
      <c r="F5800" s="20" t="n">
        <f aca="false">Parametres!$B$6*D5800</f>
        <v>200</v>
      </c>
      <c r="G5800" s="20" t="n">
        <f aca="false">E5800+F5800</f>
        <v>500</v>
      </c>
      <c r="H5800" s="20" t="n">
        <f aca="false">IF(G5800&lt;Parametres!$B$8*Parametres!$B$7,0,MIN(G5800,Parametres!$B$7))</f>
        <v>250</v>
      </c>
      <c r="I5800" s="20" t="n">
        <f aca="false">G5800-H5800</f>
        <v>250</v>
      </c>
      <c r="J5800" s="21" t="n">
        <f aca="false">H5800*1000/Parametres!$B$9</f>
        <v>4239.44378497541</v>
      </c>
    </row>
    <row r="5801" customFormat="false" ht="15" hidden="false" customHeight="false" outlineLevel="0" collapsed="false">
      <c r="A5801" s="0" t="n">
        <v>5797</v>
      </c>
      <c r="B5801" s="0" t="n">
        <v>8</v>
      </c>
      <c r="C5801" s="19" t="n">
        <v>1</v>
      </c>
      <c r="D5801" s="19" t="n">
        <v>1</v>
      </c>
      <c r="E5801" s="20" t="n">
        <f aca="false">Parametres!$B$5*C5801</f>
        <v>300</v>
      </c>
      <c r="F5801" s="20" t="n">
        <f aca="false">Parametres!$B$6*D5801</f>
        <v>200</v>
      </c>
      <c r="G5801" s="20" t="n">
        <f aca="false">E5801+F5801</f>
        <v>500</v>
      </c>
      <c r="H5801" s="20" t="n">
        <f aca="false">IF(G5801&lt;Parametres!$B$8*Parametres!$B$7,0,MIN(G5801,Parametres!$B$7))</f>
        <v>250</v>
      </c>
      <c r="I5801" s="20" t="n">
        <f aca="false">G5801-H5801</f>
        <v>250</v>
      </c>
      <c r="J5801" s="21" t="n">
        <f aca="false">H5801*1000/Parametres!$B$9</f>
        <v>4239.44378497541</v>
      </c>
    </row>
    <row r="5802" customFormat="false" ht="15" hidden="false" customHeight="false" outlineLevel="0" collapsed="false">
      <c r="A5802" s="0" t="n">
        <v>5798</v>
      </c>
      <c r="B5802" s="0" t="n">
        <v>8</v>
      </c>
      <c r="C5802" s="19" t="n">
        <v>1</v>
      </c>
      <c r="D5802" s="19" t="n">
        <v>1</v>
      </c>
      <c r="E5802" s="20" t="n">
        <f aca="false">Parametres!$B$5*C5802</f>
        <v>300</v>
      </c>
      <c r="F5802" s="20" t="n">
        <f aca="false">Parametres!$B$6*D5802</f>
        <v>200</v>
      </c>
      <c r="G5802" s="20" t="n">
        <f aca="false">E5802+F5802</f>
        <v>500</v>
      </c>
      <c r="H5802" s="20" t="n">
        <f aca="false">IF(G5802&lt;Parametres!$B$8*Parametres!$B$7,0,MIN(G5802,Parametres!$B$7))</f>
        <v>250</v>
      </c>
      <c r="I5802" s="20" t="n">
        <f aca="false">G5802-H5802</f>
        <v>250</v>
      </c>
      <c r="J5802" s="21" t="n">
        <f aca="false">H5802*1000/Parametres!$B$9</f>
        <v>4239.44378497541</v>
      </c>
    </row>
    <row r="5803" customFormat="false" ht="15" hidden="false" customHeight="false" outlineLevel="0" collapsed="false">
      <c r="A5803" s="0" t="n">
        <v>5799</v>
      </c>
      <c r="B5803" s="0" t="n">
        <v>8</v>
      </c>
      <c r="C5803" s="19" t="n">
        <v>0.9425</v>
      </c>
      <c r="D5803" s="19" t="n">
        <v>1</v>
      </c>
      <c r="E5803" s="20" t="n">
        <f aca="false">Parametres!$B$5*C5803</f>
        <v>282.75</v>
      </c>
      <c r="F5803" s="20" t="n">
        <f aca="false">Parametres!$B$6*D5803</f>
        <v>200</v>
      </c>
      <c r="G5803" s="20" t="n">
        <f aca="false">E5803+F5803</f>
        <v>482.75</v>
      </c>
      <c r="H5803" s="20" t="n">
        <f aca="false">IF(G5803&lt;Parametres!$B$8*Parametres!$B$7,0,MIN(G5803,Parametres!$B$7))</f>
        <v>250</v>
      </c>
      <c r="I5803" s="20" t="n">
        <f aca="false">G5803-H5803</f>
        <v>232.75</v>
      </c>
      <c r="J5803" s="21" t="n">
        <f aca="false">H5803*1000/Parametres!$B$9</f>
        <v>4239.44378497541</v>
      </c>
    </row>
    <row r="5804" customFormat="false" ht="15" hidden="false" customHeight="false" outlineLevel="0" collapsed="false">
      <c r="A5804" s="0" t="n">
        <v>5800</v>
      </c>
      <c r="B5804" s="0" t="n">
        <v>8</v>
      </c>
      <c r="C5804" s="19" t="n">
        <v>0.7083</v>
      </c>
      <c r="D5804" s="19" t="n">
        <v>1</v>
      </c>
      <c r="E5804" s="20" t="n">
        <f aca="false">Parametres!$B$5*C5804</f>
        <v>212.49</v>
      </c>
      <c r="F5804" s="20" t="n">
        <f aca="false">Parametres!$B$6*D5804</f>
        <v>200</v>
      </c>
      <c r="G5804" s="20" t="n">
        <f aca="false">E5804+F5804</f>
        <v>412.49</v>
      </c>
      <c r="H5804" s="20" t="n">
        <f aca="false">IF(G5804&lt;Parametres!$B$8*Parametres!$B$7,0,MIN(G5804,Parametres!$B$7))</f>
        <v>250</v>
      </c>
      <c r="I5804" s="20" t="n">
        <f aca="false">G5804-H5804</f>
        <v>162.49</v>
      </c>
      <c r="J5804" s="21" t="n">
        <f aca="false">H5804*1000/Parametres!$B$9</f>
        <v>4239.44378497541</v>
      </c>
    </row>
    <row r="5805" customFormat="false" ht="15" hidden="false" customHeight="false" outlineLevel="0" collapsed="false">
      <c r="A5805" s="0" t="n">
        <v>5801</v>
      </c>
      <c r="B5805" s="0" t="n">
        <v>8</v>
      </c>
      <c r="C5805" s="19" t="n">
        <v>0.425</v>
      </c>
      <c r="D5805" s="19" t="n">
        <v>1</v>
      </c>
      <c r="E5805" s="20" t="n">
        <f aca="false">Parametres!$B$5*C5805</f>
        <v>127.5</v>
      </c>
      <c r="F5805" s="20" t="n">
        <f aca="false">Parametres!$B$6*D5805</f>
        <v>200</v>
      </c>
      <c r="G5805" s="20" t="n">
        <f aca="false">E5805+F5805</f>
        <v>327.5</v>
      </c>
      <c r="H5805" s="20" t="n">
        <f aca="false">IF(G5805&lt;Parametres!$B$8*Parametres!$B$7,0,MIN(G5805,Parametres!$B$7))</f>
        <v>250</v>
      </c>
      <c r="I5805" s="20" t="n">
        <f aca="false">G5805-H5805</f>
        <v>77.5</v>
      </c>
      <c r="J5805" s="21" t="n">
        <f aca="false">H5805*1000/Parametres!$B$9</f>
        <v>4239.44378497541</v>
      </c>
    </row>
    <row r="5806" customFormat="false" ht="15" hidden="false" customHeight="false" outlineLevel="0" collapsed="false">
      <c r="A5806" s="0" t="n">
        <v>5802</v>
      </c>
      <c r="B5806" s="0" t="n">
        <v>8</v>
      </c>
      <c r="C5806" s="19" t="n">
        <v>0.1839</v>
      </c>
      <c r="D5806" s="19" t="n">
        <v>1</v>
      </c>
      <c r="E5806" s="20" t="n">
        <f aca="false">Parametres!$B$5*C5806</f>
        <v>55.17</v>
      </c>
      <c r="F5806" s="20" t="n">
        <f aca="false">Parametres!$B$6*D5806</f>
        <v>200</v>
      </c>
      <c r="G5806" s="20" t="n">
        <f aca="false">E5806+F5806</f>
        <v>255.17</v>
      </c>
      <c r="H5806" s="20" t="n">
        <f aca="false">IF(G5806&lt;Parametres!$B$8*Parametres!$B$7,0,MIN(G5806,Parametres!$B$7))</f>
        <v>250</v>
      </c>
      <c r="I5806" s="20" t="n">
        <f aca="false">G5806-H5806</f>
        <v>5.17000000000002</v>
      </c>
      <c r="J5806" s="21" t="n">
        <f aca="false">H5806*1000/Parametres!$B$9</f>
        <v>4239.44378497541</v>
      </c>
    </row>
    <row r="5807" customFormat="false" ht="15" hidden="false" customHeight="false" outlineLevel="0" collapsed="false">
      <c r="A5807" s="0" t="n">
        <v>5803</v>
      </c>
      <c r="B5807" s="0" t="n">
        <v>8</v>
      </c>
      <c r="C5807" s="19" t="n">
        <v>0</v>
      </c>
      <c r="D5807" s="19" t="n">
        <v>1</v>
      </c>
      <c r="E5807" s="20" t="n">
        <f aca="false">Parametres!$B$5*C5807</f>
        <v>0</v>
      </c>
      <c r="F5807" s="20" t="n">
        <f aca="false">Parametres!$B$6*D5807</f>
        <v>200</v>
      </c>
      <c r="G5807" s="20" t="n">
        <f aca="false">E5807+F5807</f>
        <v>200</v>
      </c>
      <c r="H5807" s="20" t="n">
        <f aca="false">IF(G5807&lt;Parametres!$B$8*Parametres!$B$7,0,MIN(G5807,Parametres!$B$7))</f>
        <v>200</v>
      </c>
      <c r="I5807" s="20" t="n">
        <f aca="false">G5807-H5807</f>
        <v>0</v>
      </c>
      <c r="J5807" s="21" t="n">
        <f aca="false">H5807*1000/Parametres!$B$9</f>
        <v>3391.55502798033</v>
      </c>
    </row>
    <row r="5808" customFormat="false" ht="15" hidden="false" customHeight="false" outlineLevel="0" collapsed="false">
      <c r="A5808" s="0" t="n">
        <v>5804</v>
      </c>
      <c r="B5808" s="0" t="n">
        <v>8</v>
      </c>
      <c r="C5808" s="19" t="n">
        <v>0</v>
      </c>
      <c r="D5808" s="19" t="n">
        <v>1</v>
      </c>
      <c r="E5808" s="20" t="n">
        <f aca="false">Parametres!$B$5*C5808</f>
        <v>0</v>
      </c>
      <c r="F5808" s="20" t="n">
        <f aca="false">Parametres!$B$6*D5808</f>
        <v>200</v>
      </c>
      <c r="G5808" s="20" t="n">
        <f aca="false">E5808+F5808</f>
        <v>200</v>
      </c>
      <c r="H5808" s="20" t="n">
        <f aca="false">IF(G5808&lt;Parametres!$B$8*Parametres!$B$7,0,MIN(G5808,Parametres!$B$7))</f>
        <v>200</v>
      </c>
      <c r="I5808" s="20" t="n">
        <f aca="false">G5808-H5808</f>
        <v>0</v>
      </c>
      <c r="J5808" s="21" t="n">
        <f aca="false">H5808*1000/Parametres!$B$9</f>
        <v>3391.55502798033</v>
      </c>
    </row>
    <row r="5809" customFormat="false" ht="15" hidden="false" customHeight="false" outlineLevel="0" collapsed="false">
      <c r="A5809" s="0" t="n">
        <v>5805</v>
      </c>
      <c r="B5809" s="0" t="n">
        <v>8</v>
      </c>
      <c r="C5809" s="19" t="n">
        <v>0</v>
      </c>
      <c r="D5809" s="19" t="n">
        <v>0.9228</v>
      </c>
      <c r="E5809" s="20" t="n">
        <f aca="false">Parametres!$B$5*C5809</f>
        <v>0</v>
      </c>
      <c r="F5809" s="20" t="n">
        <f aca="false">Parametres!$B$6*D5809</f>
        <v>184.56</v>
      </c>
      <c r="G5809" s="20" t="n">
        <f aca="false">E5809+F5809</f>
        <v>184.56</v>
      </c>
      <c r="H5809" s="20" t="n">
        <f aca="false">IF(G5809&lt;Parametres!$B$8*Parametres!$B$7,0,MIN(G5809,Parametres!$B$7))</f>
        <v>184.56</v>
      </c>
      <c r="I5809" s="20" t="n">
        <f aca="false">G5809-H5809</f>
        <v>0</v>
      </c>
      <c r="J5809" s="21" t="n">
        <f aca="false">H5809*1000/Parametres!$B$9</f>
        <v>3129.72697982025</v>
      </c>
    </row>
    <row r="5810" customFormat="false" ht="15" hidden="false" customHeight="false" outlineLevel="0" collapsed="false">
      <c r="A5810" s="0" t="n">
        <v>5806</v>
      </c>
      <c r="B5810" s="0" t="n">
        <v>8</v>
      </c>
      <c r="C5810" s="19" t="n">
        <v>0</v>
      </c>
      <c r="D5810" s="19" t="n">
        <v>1</v>
      </c>
      <c r="E5810" s="20" t="n">
        <f aca="false">Parametres!$B$5*C5810</f>
        <v>0</v>
      </c>
      <c r="F5810" s="20" t="n">
        <f aca="false">Parametres!$B$6*D5810</f>
        <v>200</v>
      </c>
      <c r="G5810" s="20" t="n">
        <f aca="false">E5810+F5810</f>
        <v>200</v>
      </c>
      <c r="H5810" s="20" t="n">
        <f aca="false">IF(G5810&lt;Parametres!$B$8*Parametres!$B$7,0,MIN(G5810,Parametres!$B$7))</f>
        <v>200</v>
      </c>
      <c r="I5810" s="20" t="n">
        <f aca="false">G5810-H5810</f>
        <v>0</v>
      </c>
      <c r="J5810" s="21" t="n">
        <f aca="false">H5810*1000/Parametres!$B$9</f>
        <v>3391.55502798033</v>
      </c>
    </row>
    <row r="5811" customFormat="false" ht="15" hidden="false" customHeight="false" outlineLevel="0" collapsed="false">
      <c r="A5811" s="0" t="n">
        <v>5807</v>
      </c>
      <c r="B5811" s="0" t="n">
        <v>8</v>
      </c>
      <c r="C5811" s="19" t="n">
        <v>0</v>
      </c>
      <c r="D5811" s="19" t="n">
        <v>0.8627</v>
      </c>
      <c r="E5811" s="20" t="n">
        <f aca="false">Parametres!$B$5*C5811</f>
        <v>0</v>
      </c>
      <c r="F5811" s="20" t="n">
        <f aca="false">Parametres!$B$6*D5811</f>
        <v>172.54</v>
      </c>
      <c r="G5811" s="20" t="n">
        <f aca="false">E5811+F5811</f>
        <v>172.54</v>
      </c>
      <c r="H5811" s="20" t="n">
        <f aca="false">IF(G5811&lt;Parametres!$B$8*Parametres!$B$7,0,MIN(G5811,Parametres!$B$7))</f>
        <v>172.54</v>
      </c>
      <c r="I5811" s="20" t="n">
        <f aca="false">G5811-H5811</f>
        <v>0</v>
      </c>
      <c r="J5811" s="21" t="n">
        <f aca="false">H5811*1000/Parametres!$B$9</f>
        <v>2925.89452263863</v>
      </c>
    </row>
    <row r="5812" customFormat="false" ht="15" hidden="false" customHeight="false" outlineLevel="0" collapsed="false">
      <c r="A5812" s="0" t="n">
        <v>5808</v>
      </c>
      <c r="B5812" s="0" t="n">
        <v>8</v>
      </c>
      <c r="C5812" s="19" t="n">
        <v>0</v>
      </c>
      <c r="D5812" s="19" t="n">
        <v>0.871</v>
      </c>
      <c r="E5812" s="20" t="n">
        <f aca="false">Parametres!$B$5*C5812</f>
        <v>0</v>
      </c>
      <c r="F5812" s="20" t="n">
        <f aca="false">Parametres!$B$6*D5812</f>
        <v>174.2</v>
      </c>
      <c r="G5812" s="20" t="n">
        <f aca="false">E5812+F5812</f>
        <v>174.2</v>
      </c>
      <c r="H5812" s="20" t="n">
        <f aca="false">IF(G5812&lt;Parametres!$B$8*Parametres!$B$7,0,MIN(G5812,Parametres!$B$7))</f>
        <v>174.2</v>
      </c>
      <c r="I5812" s="20" t="n">
        <f aca="false">G5812-H5812</f>
        <v>0</v>
      </c>
      <c r="J5812" s="21" t="n">
        <f aca="false">H5812*1000/Parametres!$B$9</f>
        <v>2954.04442937087</v>
      </c>
    </row>
    <row r="5813" customFormat="false" ht="15" hidden="false" customHeight="false" outlineLevel="0" collapsed="false">
      <c r="A5813" s="0" t="n">
        <v>5809</v>
      </c>
      <c r="B5813" s="0" t="n">
        <v>8</v>
      </c>
      <c r="C5813" s="19" t="n">
        <v>0</v>
      </c>
      <c r="D5813" s="19" t="n">
        <v>0.6514</v>
      </c>
      <c r="E5813" s="20" t="n">
        <f aca="false">Parametres!$B$5*C5813</f>
        <v>0</v>
      </c>
      <c r="F5813" s="20" t="n">
        <f aca="false">Parametres!$B$6*D5813</f>
        <v>130.28</v>
      </c>
      <c r="G5813" s="20" t="n">
        <f aca="false">E5813+F5813</f>
        <v>130.28</v>
      </c>
      <c r="H5813" s="20" t="n">
        <f aca="false">IF(G5813&lt;Parametres!$B$8*Parametres!$B$7,0,MIN(G5813,Parametres!$B$7))</f>
        <v>130.28</v>
      </c>
      <c r="I5813" s="20" t="n">
        <f aca="false">G5813-H5813</f>
        <v>0</v>
      </c>
      <c r="J5813" s="21" t="n">
        <f aca="false">H5813*1000/Parametres!$B$9</f>
        <v>2209.25894522639</v>
      </c>
    </row>
    <row r="5814" customFormat="false" ht="15" hidden="false" customHeight="false" outlineLevel="0" collapsed="false">
      <c r="A5814" s="0" t="n">
        <v>5810</v>
      </c>
      <c r="B5814" s="0" t="n">
        <v>8</v>
      </c>
      <c r="C5814" s="19" t="n">
        <v>0</v>
      </c>
      <c r="D5814" s="19" t="n">
        <v>0.2895</v>
      </c>
      <c r="E5814" s="20" t="n">
        <f aca="false">Parametres!$B$5*C5814</f>
        <v>0</v>
      </c>
      <c r="F5814" s="20" t="n">
        <f aca="false">Parametres!$B$6*D5814</f>
        <v>57.9</v>
      </c>
      <c r="G5814" s="20" t="n">
        <f aca="false">E5814+F5814</f>
        <v>57.9</v>
      </c>
      <c r="H5814" s="20" t="n">
        <f aca="false">IF(G5814&lt;Parametres!$B$8*Parametres!$B$7,0,MIN(G5814,Parametres!$B$7))</f>
        <v>57.9</v>
      </c>
      <c r="I5814" s="20" t="n">
        <f aca="false">G5814-H5814</f>
        <v>0</v>
      </c>
      <c r="J5814" s="21" t="n">
        <f aca="false">H5814*1000/Parametres!$B$9</f>
        <v>981.855180600305</v>
      </c>
    </row>
    <row r="5815" customFormat="false" ht="15" hidden="false" customHeight="false" outlineLevel="0" collapsed="false">
      <c r="A5815" s="0" t="n">
        <v>5811</v>
      </c>
      <c r="B5815" s="0" t="n">
        <v>8</v>
      </c>
      <c r="C5815" s="19" t="n">
        <v>0</v>
      </c>
      <c r="D5815" s="19" t="n">
        <v>0.4885</v>
      </c>
      <c r="E5815" s="20" t="n">
        <f aca="false">Parametres!$B$5*C5815</f>
        <v>0</v>
      </c>
      <c r="F5815" s="20" t="n">
        <f aca="false">Parametres!$B$6*D5815</f>
        <v>97.7</v>
      </c>
      <c r="G5815" s="20" t="n">
        <f aca="false">E5815+F5815</f>
        <v>97.7</v>
      </c>
      <c r="H5815" s="20" t="n">
        <f aca="false">IF(G5815&lt;Parametres!$B$8*Parametres!$B$7,0,MIN(G5815,Parametres!$B$7))</f>
        <v>97.7</v>
      </c>
      <c r="I5815" s="20" t="n">
        <f aca="false">G5815-H5815</f>
        <v>0</v>
      </c>
      <c r="J5815" s="21" t="n">
        <f aca="false">H5815*1000/Parametres!$B$9</f>
        <v>1656.77463116839</v>
      </c>
    </row>
    <row r="5816" customFormat="false" ht="15" hidden="false" customHeight="false" outlineLevel="0" collapsed="false">
      <c r="A5816" s="0" t="n">
        <v>5812</v>
      </c>
      <c r="B5816" s="0" t="n">
        <v>8</v>
      </c>
      <c r="C5816" s="19" t="n">
        <v>0</v>
      </c>
      <c r="D5816" s="19" t="n">
        <v>0.5705</v>
      </c>
      <c r="E5816" s="20" t="n">
        <f aca="false">Parametres!$B$5*C5816</f>
        <v>0</v>
      </c>
      <c r="F5816" s="20" t="n">
        <f aca="false">Parametres!$B$6*D5816</f>
        <v>114.1</v>
      </c>
      <c r="G5816" s="20" t="n">
        <f aca="false">E5816+F5816</f>
        <v>114.1</v>
      </c>
      <c r="H5816" s="20" t="n">
        <f aca="false">IF(G5816&lt;Parametres!$B$8*Parametres!$B$7,0,MIN(G5816,Parametres!$B$7))</f>
        <v>114.1</v>
      </c>
      <c r="I5816" s="20" t="n">
        <f aca="false">G5816-H5816</f>
        <v>0</v>
      </c>
      <c r="J5816" s="21" t="n">
        <f aca="false">H5816*1000/Parametres!$B$9</f>
        <v>1934.88214346278</v>
      </c>
    </row>
    <row r="5817" customFormat="false" ht="15" hidden="false" customHeight="false" outlineLevel="0" collapsed="false">
      <c r="A5817" s="0" t="n">
        <v>5813</v>
      </c>
      <c r="B5817" s="0" t="n">
        <v>8</v>
      </c>
      <c r="C5817" s="19" t="n">
        <v>0</v>
      </c>
      <c r="D5817" s="19" t="n">
        <v>0.551</v>
      </c>
      <c r="E5817" s="20" t="n">
        <f aca="false">Parametres!$B$5*C5817</f>
        <v>0</v>
      </c>
      <c r="F5817" s="20" t="n">
        <f aca="false">Parametres!$B$6*D5817</f>
        <v>110.2</v>
      </c>
      <c r="G5817" s="20" t="n">
        <f aca="false">E5817+F5817</f>
        <v>110.2</v>
      </c>
      <c r="H5817" s="20" t="n">
        <f aca="false">IF(G5817&lt;Parametres!$B$8*Parametres!$B$7,0,MIN(G5817,Parametres!$B$7))</f>
        <v>110.2</v>
      </c>
      <c r="I5817" s="20" t="n">
        <f aca="false">G5817-H5817</f>
        <v>0</v>
      </c>
      <c r="J5817" s="21" t="n">
        <f aca="false">H5817*1000/Parametres!$B$9</f>
        <v>1868.74682041716</v>
      </c>
    </row>
    <row r="5818" customFormat="false" ht="15" hidden="false" customHeight="false" outlineLevel="0" collapsed="false">
      <c r="A5818" s="0" t="n">
        <v>5814</v>
      </c>
      <c r="B5818" s="0" t="n">
        <v>8</v>
      </c>
      <c r="C5818" s="19" t="n">
        <v>0</v>
      </c>
      <c r="D5818" s="19" t="n">
        <v>0.6211</v>
      </c>
      <c r="E5818" s="20" t="n">
        <f aca="false">Parametres!$B$5*C5818</f>
        <v>0</v>
      </c>
      <c r="F5818" s="20" t="n">
        <f aca="false">Parametres!$B$6*D5818</f>
        <v>124.22</v>
      </c>
      <c r="G5818" s="20" t="n">
        <f aca="false">E5818+F5818</f>
        <v>124.22</v>
      </c>
      <c r="H5818" s="20" t="n">
        <f aca="false">IF(G5818&lt;Parametres!$B$8*Parametres!$B$7,0,MIN(G5818,Parametres!$B$7))</f>
        <v>124.22</v>
      </c>
      <c r="I5818" s="20" t="n">
        <f aca="false">G5818-H5818</f>
        <v>0</v>
      </c>
      <c r="J5818" s="21" t="n">
        <f aca="false">H5818*1000/Parametres!$B$9</f>
        <v>2106.49482787858</v>
      </c>
    </row>
    <row r="5819" customFormat="false" ht="15" hidden="false" customHeight="false" outlineLevel="0" collapsed="false">
      <c r="A5819" s="0" t="n">
        <v>5815</v>
      </c>
      <c r="B5819" s="0" t="n">
        <v>8</v>
      </c>
      <c r="C5819" s="19" t="n">
        <v>0.1867</v>
      </c>
      <c r="D5819" s="19" t="n">
        <v>0.9814</v>
      </c>
      <c r="E5819" s="20" t="n">
        <f aca="false">Parametres!$B$5*C5819</f>
        <v>56.01</v>
      </c>
      <c r="F5819" s="20" t="n">
        <f aca="false">Parametres!$B$6*D5819</f>
        <v>196.28</v>
      </c>
      <c r="G5819" s="20" t="n">
        <f aca="false">E5819+F5819</f>
        <v>252.29</v>
      </c>
      <c r="H5819" s="20" t="n">
        <f aca="false">IF(G5819&lt;Parametres!$B$8*Parametres!$B$7,0,MIN(G5819,Parametres!$B$7))</f>
        <v>250</v>
      </c>
      <c r="I5819" s="20" t="n">
        <f aca="false">G5819-H5819</f>
        <v>2.28999999999999</v>
      </c>
      <c r="J5819" s="21" t="n">
        <f aca="false">H5819*1000/Parametres!$B$9</f>
        <v>4239.44378497541</v>
      </c>
    </row>
    <row r="5820" customFormat="false" ht="15" hidden="false" customHeight="false" outlineLevel="0" collapsed="false">
      <c r="A5820" s="0" t="n">
        <v>5816</v>
      </c>
      <c r="B5820" s="0" t="n">
        <v>8</v>
      </c>
      <c r="C5820" s="19" t="n">
        <v>0.4704</v>
      </c>
      <c r="D5820" s="19" t="n">
        <v>1</v>
      </c>
      <c r="E5820" s="20" t="n">
        <f aca="false">Parametres!$B$5*C5820</f>
        <v>141.12</v>
      </c>
      <c r="F5820" s="20" t="n">
        <f aca="false">Parametres!$B$6*D5820</f>
        <v>200</v>
      </c>
      <c r="G5820" s="20" t="n">
        <f aca="false">E5820+F5820</f>
        <v>341.12</v>
      </c>
      <c r="H5820" s="20" t="n">
        <f aca="false">IF(G5820&lt;Parametres!$B$8*Parametres!$B$7,0,MIN(G5820,Parametres!$B$7))</f>
        <v>250</v>
      </c>
      <c r="I5820" s="20" t="n">
        <f aca="false">G5820-H5820</f>
        <v>91.12</v>
      </c>
      <c r="J5820" s="21" t="n">
        <f aca="false">H5820*1000/Parametres!$B$9</f>
        <v>4239.44378497541</v>
      </c>
    </row>
    <row r="5821" customFormat="false" ht="15" hidden="false" customHeight="false" outlineLevel="0" collapsed="false">
      <c r="A5821" s="0" t="n">
        <v>5817</v>
      </c>
      <c r="B5821" s="0" t="n">
        <v>8</v>
      </c>
      <c r="C5821" s="19" t="n">
        <v>0.7452</v>
      </c>
      <c r="D5821" s="19" t="n">
        <v>1</v>
      </c>
      <c r="E5821" s="20" t="n">
        <f aca="false">Parametres!$B$5*C5821</f>
        <v>223.56</v>
      </c>
      <c r="F5821" s="20" t="n">
        <f aca="false">Parametres!$B$6*D5821</f>
        <v>200</v>
      </c>
      <c r="G5821" s="20" t="n">
        <f aca="false">E5821+F5821</f>
        <v>423.56</v>
      </c>
      <c r="H5821" s="20" t="n">
        <f aca="false">IF(G5821&lt;Parametres!$B$8*Parametres!$B$7,0,MIN(G5821,Parametres!$B$7))</f>
        <v>250</v>
      </c>
      <c r="I5821" s="20" t="n">
        <f aca="false">G5821-H5821</f>
        <v>173.56</v>
      </c>
      <c r="J5821" s="21" t="n">
        <f aca="false">H5821*1000/Parametres!$B$9</f>
        <v>4239.44378497541</v>
      </c>
    </row>
    <row r="5822" customFormat="false" ht="15" hidden="false" customHeight="false" outlineLevel="0" collapsed="false">
      <c r="A5822" s="0" t="n">
        <v>5818</v>
      </c>
      <c r="B5822" s="0" t="n">
        <v>8</v>
      </c>
      <c r="C5822" s="19" t="n">
        <v>0.9712</v>
      </c>
      <c r="D5822" s="19" t="n">
        <v>1</v>
      </c>
      <c r="E5822" s="20" t="n">
        <f aca="false">Parametres!$B$5*C5822</f>
        <v>291.36</v>
      </c>
      <c r="F5822" s="20" t="n">
        <f aca="false">Parametres!$B$6*D5822</f>
        <v>200</v>
      </c>
      <c r="G5822" s="20" t="n">
        <f aca="false">E5822+F5822</f>
        <v>491.36</v>
      </c>
      <c r="H5822" s="20" t="n">
        <f aca="false">IF(G5822&lt;Parametres!$B$8*Parametres!$B$7,0,MIN(G5822,Parametres!$B$7))</f>
        <v>250</v>
      </c>
      <c r="I5822" s="20" t="n">
        <f aca="false">G5822-H5822</f>
        <v>241.36</v>
      </c>
      <c r="J5822" s="21" t="n">
        <f aca="false">H5822*1000/Parametres!$B$9</f>
        <v>4239.44378497541</v>
      </c>
    </row>
    <row r="5823" customFormat="false" ht="15" hidden="false" customHeight="false" outlineLevel="0" collapsed="false">
      <c r="A5823" s="0" t="n">
        <v>5819</v>
      </c>
      <c r="B5823" s="0" t="n">
        <v>8</v>
      </c>
      <c r="C5823" s="19" t="n">
        <v>1</v>
      </c>
      <c r="D5823" s="19" t="n">
        <v>1</v>
      </c>
      <c r="E5823" s="20" t="n">
        <f aca="false">Parametres!$B$5*C5823</f>
        <v>300</v>
      </c>
      <c r="F5823" s="20" t="n">
        <f aca="false">Parametres!$B$6*D5823</f>
        <v>200</v>
      </c>
      <c r="G5823" s="20" t="n">
        <f aca="false">E5823+F5823</f>
        <v>500</v>
      </c>
      <c r="H5823" s="20" t="n">
        <f aca="false">IF(G5823&lt;Parametres!$B$8*Parametres!$B$7,0,MIN(G5823,Parametres!$B$7))</f>
        <v>250</v>
      </c>
      <c r="I5823" s="20" t="n">
        <f aca="false">G5823-H5823</f>
        <v>250</v>
      </c>
      <c r="J5823" s="21" t="n">
        <f aca="false">H5823*1000/Parametres!$B$9</f>
        <v>4239.44378497541</v>
      </c>
    </row>
    <row r="5824" customFormat="false" ht="15" hidden="false" customHeight="false" outlineLevel="0" collapsed="false">
      <c r="A5824" s="0" t="n">
        <v>5820</v>
      </c>
      <c r="B5824" s="0" t="n">
        <v>8</v>
      </c>
      <c r="C5824" s="19" t="n">
        <v>1</v>
      </c>
      <c r="D5824" s="19" t="n">
        <v>1</v>
      </c>
      <c r="E5824" s="20" t="n">
        <f aca="false">Parametres!$B$5*C5824</f>
        <v>300</v>
      </c>
      <c r="F5824" s="20" t="n">
        <f aca="false">Parametres!$B$6*D5824</f>
        <v>200</v>
      </c>
      <c r="G5824" s="20" t="n">
        <f aca="false">E5824+F5824</f>
        <v>500</v>
      </c>
      <c r="H5824" s="20" t="n">
        <f aca="false">IF(G5824&lt;Parametres!$B$8*Parametres!$B$7,0,MIN(G5824,Parametres!$B$7))</f>
        <v>250</v>
      </c>
      <c r="I5824" s="20" t="n">
        <f aca="false">G5824-H5824</f>
        <v>250</v>
      </c>
      <c r="J5824" s="21" t="n">
        <f aca="false">H5824*1000/Parametres!$B$9</f>
        <v>4239.44378497541</v>
      </c>
    </row>
    <row r="5825" customFormat="false" ht="15" hidden="false" customHeight="false" outlineLevel="0" collapsed="false">
      <c r="A5825" s="0" t="n">
        <v>5821</v>
      </c>
      <c r="B5825" s="0" t="n">
        <v>8</v>
      </c>
      <c r="C5825" s="19" t="n">
        <v>1</v>
      </c>
      <c r="D5825" s="19" t="n">
        <v>1</v>
      </c>
      <c r="E5825" s="20" t="n">
        <f aca="false">Parametres!$B$5*C5825</f>
        <v>300</v>
      </c>
      <c r="F5825" s="20" t="n">
        <f aca="false">Parametres!$B$6*D5825</f>
        <v>200</v>
      </c>
      <c r="G5825" s="20" t="n">
        <f aca="false">E5825+F5825</f>
        <v>500</v>
      </c>
      <c r="H5825" s="20" t="n">
        <f aca="false">IF(G5825&lt;Parametres!$B$8*Parametres!$B$7,0,MIN(G5825,Parametres!$B$7))</f>
        <v>250</v>
      </c>
      <c r="I5825" s="20" t="n">
        <f aca="false">G5825-H5825</f>
        <v>250</v>
      </c>
      <c r="J5825" s="21" t="n">
        <f aca="false">H5825*1000/Parametres!$B$9</f>
        <v>4239.44378497541</v>
      </c>
    </row>
    <row r="5826" customFormat="false" ht="15" hidden="false" customHeight="false" outlineLevel="0" collapsed="false">
      <c r="A5826" s="0" t="n">
        <v>5822</v>
      </c>
      <c r="B5826" s="0" t="n">
        <v>8</v>
      </c>
      <c r="C5826" s="19" t="n">
        <v>1</v>
      </c>
      <c r="D5826" s="19" t="n">
        <v>1</v>
      </c>
      <c r="E5826" s="20" t="n">
        <f aca="false">Parametres!$B$5*C5826</f>
        <v>300</v>
      </c>
      <c r="F5826" s="20" t="n">
        <f aca="false">Parametres!$B$6*D5826</f>
        <v>200</v>
      </c>
      <c r="G5826" s="20" t="n">
        <f aca="false">E5826+F5826</f>
        <v>500</v>
      </c>
      <c r="H5826" s="20" t="n">
        <f aca="false">IF(G5826&lt;Parametres!$B$8*Parametres!$B$7,0,MIN(G5826,Parametres!$B$7))</f>
        <v>250</v>
      </c>
      <c r="I5826" s="20" t="n">
        <f aca="false">G5826-H5826</f>
        <v>250</v>
      </c>
      <c r="J5826" s="21" t="n">
        <f aca="false">H5826*1000/Parametres!$B$9</f>
        <v>4239.44378497541</v>
      </c>
    </row>
    <row r="5827" customFormat="false" ht="15" hidden="false" customHeight="false" outlineLevel="0" collapsed="false">
      <c r="A5827" s="0" t="n">
        <v>5823</v>
      </c>
      <c r="B5827" s="0" t="n">
        <v>8</v>
      </c>
      <c r="C5827" s="19" t="n">
        <v>0.9375</v>
      </c>
      <c r="D5827" s="19" t="n">
        <v>1</v>
      </c>
      <c r="E5827" s="20" t="n">
        <f aca="false">Parametres!$B$5*C5827</f>
        <v>281.25</v>
      </c>
      <c r="F5827" s="20" t="n">
        <f aca="false">Parametres!$B$6*D5827</f>
        <v>200</v>
      </c>
      <c r="G5827" s="20" t="n">
        <f aca="false">E5827+F5827</f>
        <v>481.25</v>
      </c>
      <c r="H5827" s="20" t="n">
        <f aca="false">IF(G5827&lt;Parametres!$B$8*Parametres!$B$7,0,MIN(G5827,Parametres!$B$7))</f>
        <v>250</v>
      </c>
      <c r="I5827" s="20" t="n">
        <f aca="false">G5827-H5827</f>
        <v>231.25</v>
      </c>
      <c r="J5827" s="21" t="n">
        <f aca="false">H5827*1000/Parametres!$B$9</f>
        <v>4239.44378497541</v>
      </c>
    </row>
    <row r="5828" customFormat="false" ht="15" hidden="false" customHeight="false" outlineLevel="0" collapsed="false">
      <c r="A5828" s="0" t="n">
        <v>5824</v>
      </c>
      <c r="B5828" s="0" t="n">
        <v>8</v>
      </c>
      <c r="C5828" s="19" t="n">
        <v>0.7196</v>
      </c>
      <c r="D5828" s="19" t="n">
        <v>1</v>
      </c>
      <c r="E5828" s="20" t="n">
        <f aca="false">Parametres!$B$5*C5828</f>
        <v>215.88</v>
      </c>
      <c r="F5828" s="20" t="n">
        <f aca="false">Parametres!$B$6*D5828</f>
        <v>200</v>
      </c>
      <c r="G5828" s="20" t="n">
        <f aca="false">E5828+F5828</f>
        <v>415.88</v>
      </c>
      <c r="H5828" s="20" t="n">
        <f aca="false">IF(G5828&lt;Parametres!$B$8*Parametres!$B$7,0,MIN(G5828,Parametres!$B$7))</f>
        <v>250</v>
      </c>
      <c r="I5828" s="20" t="n">
        <f aca="false">G5828-H5828</f>
        <v>165.88</v>
      </c>
      <c r="J5828" s="21" t="n">
        <f aca="false">H5828*1000/Parametres!$B$9</f>
        <v>4239.44378497541</v>
      </c>
    </row>
    <row r="5829" customFormat="false" ht="15" hidden="false" customHeight="false" outlineLevel="0" collapsed="false">
      <c r="A5829" s="0" t="n">
        <v>5825</v>
      </c>
      <c r="B5829" s="0" t="n">
        <v>8</v>
      </c>
      <c r="C5829" s="19" t="n">
        <v>0.4619</v>
      </c>
      <c r="D5829" s="19" t="n">
        <v>0.9979</v>
      </c>
      <c r="E5829" s="20" t="n">
        <f aca="false">Parametres!$B$5*C5829</f>
        <v>138.57</v>
      </c>
      <c r="F5829" s="20" t="n">
        <f aca="false">Parametres!$B$6*D5829</f>
        <v>199.58</v>
      </c>
      <c r="G5829" s="20" t="n">
        <f aca="false">E5829+F5829</f>
        <v>338.15</v>
      </c>
      <c r="H5829" s="20" t="n">
        <f aca="false">IF(G5829&lt;Parametres!$B$8*Parametres!$B$7,0,MIN(G5829,Parametres!$B$7))</f>
        <v>250</v>
      </c>
      <c r="I5829" s="20" t="n">
        <f aca="false">G5829-H5829</f>
        <v>88.15</v>
      </c>
      <c r="J5829" s="21" t="n">
        <f aca="false">H5829*1000/Parametres!$B$9</f>
        <v>4239.44378497541</v>
      </c>
    </row>
    <row r="5830" customFormat="false" ht="15" hidden="false" customHeight="false" outlineLevel="0" collapsed="false">
      <c r="A5830" s="0" t="n">
        <v>5826</v>
      </c>
      <c r="B5830" s="0" t="n">
        <v>8</v>
      </c>
      <c r="C5830" s="19" t="n">
        <v>0.1812</v>
      </c>
      <c r="D5830" s="19" t="n">
        <v>0.898</v>
      </c>
      <c r="E5830" s="20" t="n">
        <f aca="false">Parametres!$B$5*C5830</f>
        <v>54.36</v>
      </c>
      <c r="F5830" s="20" t="n">
        <f aca="false">Parametres!$B$6*D5830</f>
        <v>179.6</v>
      </c>
      <c r="G5830" s="20" t="n">
        <f aca="false">E5830+F5830</f>
        <v>233.96</v>
      </c>
      <c r="H5830" s="20" t="n">
        <f aca="false">IF(G5830&lt;Parametres!$B$8*Parametres!$B$7,0,MIN(G5830,Parametres!$B$7))</f>
        <v>233.96</v>
      </c>
      <c r="I5830" s="20" t="n">
        <f aca="false">G5830-H5830</f>
        <v>0</v>
      </c>
      <c r="J5830" s="21" t="n">
        <f aca="false">H5830*1000/Parametres!$B$9</f>
        <v>3967.44107173139</v>
      </c>
    </row>
    <row r="5831" customFormat="false" ht="15" hidden="false" customHeight="false" outlineLevel="0" collapsed="false">
      <c r="A5831" s="0" t="n">
        <v>5827</v>
      </c>
      <c r="B5831" s="0" t="n">
        <v>8</v>
      </c>
      <c r="C5831" s="19" t="n">
        <v>0</v>
      </c>
      <c r="D5831" s="19" t="n">
        <v>0.8049</v>
      </c>
      <c r="E5831" s="20" t="n">
        <f aca="false">Parametres!$B$5*C5831</f>
        <v>0</v>
      </c>
      <c r="F5831" s="20" t="n">
        <f aca="false">Parametres!$B$6*D5831</f>
        <v>160.98</v>
      </c>
      <c r="G5831" s="20" t="n">
        <f aca="false">E5831+F5831</f>
        <v>160.98</v>
      </c>
      <c r="H5831" s="20" t="n">
        <f aca="false">IF(G5831&lt;Parametres!$B$8*Parametres!$B$7,0,MIN(G5831,Parametres!$B$7))</f>
        <v>160.98</v>
      </c>
      <c r="I5831" s="20" t="n">
        <f aca="false">G5831-H5831</f>
        <v>0</v>
      </c>
      <c r="J5831" s="21" t="n">
        <f aca="false">H5831*1000/Parametres!$B$9</f>
        <v>2729.86264202137</v>
      </c>
    </row>
    <row r="5832" customFormat="false" ht="15" hidden="false" customHeight="false" outlineLevel="0" collapsed="false">
      <c r="A5832" s="0" t="n">
        <v>5828</v>
      </c>
      <c r="B5832" s="0" t="n">
        <v>8</v>
      </c>
      <c r="C5832" s="19" t="n">
        <v>0</v>
      </c>
      <c r="D5832" s="19" t="n">
        <v>0.6536</v>
      </c>
      <c r="E5832" s="20" t="n">
        <f aca="false">Parametres!$B$5*C5832</f>
        <v>0</v>
      </c>
      <c r="F5832" s="20" t="n">
        <f aca="false">Parametres!$B$6*D5832</f>
        <v>130.72</v>
      </c>
      <c r="G5832" s="20" t="n">
        <f aca="false">E5832+F5832</f>
        <v>130.72</v>
      </c>
      <c r="H5832" s="20" t="n">
        <f aca="false">IF(G5832&lt;Parametres!$B$8*Parametres!$B$7,0,MIN(G5832,Parametres!$B$7))</f>
        <v>130.72</v>
      </c>
      <c r="I5832" s="20" t="n">
        <f aca="false">G5832-H5832</f>
        <v>0</v>
      </c>
      <c r="J5832" s="21" t="n">
        <f aca="false">H5832*1000/Parametres!$B$9</f>
        <v>2216.72036628794</v>
      </c>
    </row>
    <row r="5833" customFormat="false" ht="15" hidden="false" customHeight="false" outlineLevel="0" collapsed="false">
      <c r="A5833" s="0" t="n">
        <v>5829</v>
      </c>
      <c r="B5833" s="0" t="n">
        <v>8</v>
      </c>
      <c r="C5833" s="19" t="n">
        <v>0</v>
      </c>
      <c r="D5833" s="19" t="n">
        <v>0.8772</v>
      </c>
      <c r="E5833" s="20" t="n">
        <f aca="false">Parametres!$B$5*C5833</f>
        <v>0</v>
      </c>
      <c r="F5833" s="20" t="n">
        <f aca="false">Parametres!$B$6*D5833</f>
        <v>175.44</v>
      </c>
      <c r="G5833" s="20" t="n">
        <f aca="false">E5833+F5833</f>
        <v>175.44</v>
      </c>
      <c r="H5833" s="20" t="n">
        <f aca="false">IF(G5833&lt;Parametres!$B$8*Parametres!$B$7,0,MIN(G5833,Parametres!$B$7))</f>
        <v>175.44</v>
      </c>
      <c r="I5833" s="20" t="n">
        <f aca="false">G5833-H5833</f>
        <v>0</v>
      </c>
      <c r="J5833" s="21" t="n">
        <f aca="false">H5833*1000/Parametres!$B$9</f>
        <v>2975.07207054434</v>
      </c>
    </row>
    <row r="5834" customFormat="false" ht="15" hidden="false" customHeight="false" outlineLevel="0" collapsed="false">
      <c r="A5834" s="0" t="n">
        <v>5830</v>
      </c>
      <c r="B5834" s="0" t="n">
        <v>8</v>
      </c>
      <c r="C5834" s="19" t="n">
        <v>0</v>
      </c>
      <c r="D5834" s="19" t="n">
        <v>1</v>
      </c>
      <c r="E5834" s="20" t="n">
        <f aca="false">Parametres!$B$5*C5834</f>
        <v>0</v>
      </c>
      <c r="F5834" s="20" t="n">
        <f aca="false">Parametres!$B$6*D5834</f>
        <v>200</v>
      </c>
      <c r="G5834" s="20" t="n">
        <f aca="false">E5834+F5834</f>
        <v>200</v>
      </c>
      <c r="H5834" s="20" t="n">
        <f aca="false">IF(G5834&lt;Parametres!$B$8*Parametres!$B$7,0,MIN(G5834,Parametres!$B$7))</f>
        <v>200</v>
      </c>
      <c r="I5834" s="20" t="n">
        <f aca="false">G5834-H5834</f>
        <v>0</v>
      </c>
      <c r="J5834" s="21" t="n">
        <f aca="false">H5834*1000/Parametres!$B$9</f>
        <v>3391.55502798033</v>
      </c>
    </row>
    <row r="5835" customFormat="false" ht="15" hidden="false" customHeight="false" outlineLevel="0" collapsed="false">
      <c r="A5835" s="0" t="n">
        <v>5831</v>
      </c>
      <c r="B5835" s="0" t="n">
        <v>8</v>
      </c>
      <c r="C5835" s="19" t="n">
        <v>0</v>
      </c>
      <c r="D5835" s="19" t="n">
        <v>0.9263</v>
      </c>
      <c r="E5835" s="20" t="n">
        <f aca="false">Parametres!$B$5*C5835</f>
        <v>0</v>
      </c>
      <c r="F5835" s="20" t="n">
        <f aca="false">Parametres!$B$6*D5835</f>
        <v>185.26</v>
      </c>
      <c r="G5835" s="20" t="n">
        <f aca="false">E5835+F5835</f>
        <v>185.26</v>
      </c>
      <c r="H5835" s="20" t="n">
        <f aca="false">IF(G5835&lt;Parametres!$B$8*Parametres!$B$7,0,MIN(G5835,Parametres!$B$7))</f>
        <v>185.26</v>
      </c>
      <c r="I5835" s="20" t="n">
        <f aca="false">G5835-H5835</f>
        <v>0</v>
      </c>
      <c r="J5835" s="21" t="n">
        <f aca="false">H5835*1000/Parametres!$B$9</f>
        <v>3141.59742241818</v>
      </c>
    </row>
    <row r="5836" customFormat="false" ht="15" hidden="false" customHeight="false" outlineLevel="0" collapsed="false">
      <c r="A5836" s="0" t="n">
        <v>5832</v>
      </c>
      <c r="B5836" s="0" t="n">
        <v>8</v>
      </c>
      <c r="C5836" s="19" t="n">
        <v>0</v>
      </c>
      <c r="D5836" s="19" t="n">
        <v>0.6154</v>
      </c>
      <c r="E5836" s="20" t="n">
        <f aca="false">Parametres!$B$5*C5836</f>
        <v>0</v>
      </c>
      <c r="F5836" s="20" t="n">
        <f aca="false">Parametres!$B$6*D5836</f>
        <v>123.08</v>
      </c>
      <c r="G5836" s="20" t="n">
        <f aca="false">E5836+F5836</f>
        <v>123.08</v>
      </c>
      <c r="H5836" s="20" t="n">
        <f aca="false">IF(G5836&lt;Parametres!$B$8*Parametres!$B$7,0,MIN(G5836,Parametres!$B$7))</f>
        <v>123.08</v>
      </c>
      <c r="I5836" s="20" t="n">
        <f aca="false">G5836-H5836</f>
        <v>0</v>
      </c>
      <c r="J5836" s="21" t="n">
        <f aca="false">H5836*1000/Parametres!$B$9</f>
        <v>2087.16296421909</v>
      </c>
    </row>
    <row r="5837" customFormat="false" ht="15" hidden="false" customHeight="false" outlineLevel="0" collapsed="false">
      <c r="A5837" s="0" t="n">
        <v>5833</v>
      </c>
      <c r="B5837" s="0" t="n">
        <v>9</v>
      </c>
      <c r="C5837" s="19" t="n">
        <v>0</v>
      </c>
      <c r="D5837" s="19" t="n">
        <v>0.5798</v>
      </c>
      <c r="E5837" s="20" t="n">
        <f aca="false">Parametres!$B$5*C5837</f>
        <v>0</v>
      </c>
      <c r="F5837" s="20" t="n">
        <f aca="false">Parametres!$B$6*D5837</f>
        <v>115.96</v>
      </c>
      <c r="G5837" s="20" t="n">
        <f aca="false">E5837+F5837</f>
        <v>115.96</v>
      </c>
      <c r="H5837" s="20" t="n">
        <f aca="false">IF(G5837&lt;Parametres!$B$8*Parametres!$B$7,0,MIN(G5837,Parametres!$B$7))</f>
        <v>115.96</v>
      </c>
      <c r="I5837" s="20" t="n">
        <f aca="false">G5837-H5837</f>
        <v>0</v>
      </c>
      <c r="J5837" s="21" t="n">
        <f aca="false">H5837*1000/Parametres!$B$9</f>
        <v>1966.42360522299</v>
      </c>
    </row>
    <row r="5838" customFormat="false" ht="15" hidden="false" customHeight="false" outlineLevel="0" collapsed="false">
      <c r="A5838" s="0" t="n">
        <v>5834</v>
      </c>
      <c r="B5838" s="0" t="n">
        <v>9</v>
      </c>
      <c r="C5838" s="19" t="n">
        <v>0</v>
      </c>
      <c r="D5838" s="19" t="n">
        <v>1</v>
      </c>
      <c r="E5838" s="20" t="n">
        <f aca="false">Parametres!$B$5*C5838</f>
        <v>0</v>
      </c>
      <c r="F5838" s="20" t="n">
        <f aca="false">Parametres!$B$6*D5838</f>
        <v>200</v>
      </c>
      <c r="G5838" s="20" t="n">
        <f aca="false">E5838+F5838</f>
        <v>200</v>
      </c>
      <c r="H5838" s="20" t="n">
        <f aca="false">IF(G5838&lt;Parametres!$B$8*Parametres!$B$7,0,MIN(G5838,Parametres!$B$7))</f>
        <v>200</v>
      </c>
      <c r="I5838" s="20" t="n">
        <f aca="false">G5838-H5838</f>
        <v>0</v>
      </c>
      <c r="J5838" s="21" t="n">
        <f aca="false">H5838*1000/Parametres!$B$9</f>
        <v>3391.55502798033</v>
      </c>
    </row>
    <row r="5839" customFormat="false" ht="15" hidden="false" customHeight="false" outlineLevel="0" collapsed="false">
      <c r="A5839" s="0" t="n">
        <v>5835</v>
      </c>
      <c r="B5839" s="0" t="n">
        <v>9</v>
      </c>
      <c r="C5839" s="19" t="n">
        <v>0</v>
      </c>
      <c r="D5839" s="19" t="n">
        <v>1</v>
      </c>
      <c r="E5839" s="20" t="n">
        <f aca="false">Parametres!$B$5*C5839</f>
        <v>0</v>
      </c>
      <c r="F5839" s="20" t="n">
        <f aca="false">Parametres!$B$6*D5839</f>
        <v>200</v>
      </c>
      <c r="G5839" s="20" t="n">
        <f aca="false">E5839+F5839</f>
        <v>200</v>
      </c>
      <c r="H5839" s="20" t="n">
        <f aca="false">IF(G5839&lt;Parametres!$B$8*Parametres!$B$7,0,MIN(G5839,Parametres!$B$7))</f>
        <v>200</v>
      </c>
      <c r="I5839" s="20" t="n">
        <f aca="false">G5839-H5839</f>
        <v>0</v>
      </c>
      <c r="J5839" s="21" t="n">
        <f aca="false">H5839*1000/Parametres!$B$9</f>
        <v>3391.55502798033</v>
      </c>
    </row>
    <row r="5840" customFormat="false" ht="15" hidden="false" customHeight="false" outlineLevel="0" collapsed="false">
      <c r="A5840" s="0" t="n">
        <v>5836</v>
      </c>
      <c r="B5840" s="0" t="n">
        <v>9</v>
      </c>
      <c r="C5840" s="19" t="n">
        <v>0</v>
      </c>
      <c r="D5840" s="19" t="n">
        <v>1</v>
      </c>
      <c r="E5840" s="20" t="n">
        <f aca="false">Parametres!$B$5*C5840</f>
        <v>0</v>
      </c>
      <c r="F5840" s="20" t="n">
        <f aca="false">Parametres!$B$6*D5840</f>
        <v>200</v>
      </c>
      <c r="G5840" s="20" t="n">
        <f aca="false">E5840+F5840</f>
        <v>200</v>
      </c>
      <c r="H5840" s="20" t="n">
        <f aca="false">IF(G5840&lt;Parametres!$B$8*Parametres!$B$7,0,MIN(G5840,Parametres!$B$7))</f>
        <v>200</v>
      </c>
      <c r="I5840" s="20" t="n">
        <f aca="false">G5840-H5840</f>
        <v>0</v>
      </c>
      <c r="J5840" s="21" t="n">
        <f aca="false">H5840*1000/Parametres!$B$9</f>
        <v>3391.55502798033</v>
      </c>
    </row>
    <row r="5841" customFormat="false" ht="15" hidden="false" customHeight="false" outlineLevel="0" collapsed="false">
      <c r="A5841" s="0" t="n">
        <v>5837</v>
      </c>
      <c r="B5841" s="0" t="n">
        <v>9</v>
      </c>
      <c r="C5841" s="19" t="n">
        <v>0</v>
      </c>
      <c r="D5841" s="19" t="n">
        <v>1</v>
      </c>
      <c r="E5841" s="20" t="n">
        <f aca="false">Parametres!$B$5*C5841</f>
        <v>0</v>
      </c>
      <c r="F5841" s="20" t="n">
        <f aca="false">Parametres!$B$6*D5841</f>
        <v>200</v>
      </c>
      <c r="G5841" s="20" t="n">
        <f aca="false">E5841+F5841</f>
        <v>200</v>
      </c>
      <c r="H5841" s="20" t="n">
        <f aca="false">IF(G5841&lt;Parametres!$B$8*Parametres!$B$7,0,MIN(G5841,Parametres!$B$7))</f>
        <v>200</v>
      </c>
      <c r="I5841" s="20" t="n">
        <f aca="false">G5841-H5841</f>
        <v>0</v>
      </c>
      <c r="J5841" s="21" t="n">
        <f aca="false">H5841*1000/Parametres!$B$9</f>
        <v>3391.55502798033</v>
      </c>
    </row>
    <row r="5842" customFormat="false" ht="15" hidden="false" customHeight="false" outlineLevel="0" collapsed="false">
      <c r="A5842" s="0" t="n">
        <v>5838</v>
      </c>
      <c r="B5842" s="0" t="n">
        <v>9</v>
      </c>
      <c r="C5842" s="19" t="n">
        <v>0</v>
      </c>
      <c r="D5842" s="19" t="n">
        <v>1</v>
      </c>
      <c r="E5842" s="20" t="n">
        <f aca="false">Parametres!$B$5*C5842</f>
        <v>0</v>
      </c>
      <c r="F5842" s="20" t="n">
        <f aca="false">Parametres!$B$6*D5842</f>
        <v>200</v>
      </c>
      <c r="G5842" s="20" t="n">
        <f aca="false">E5842+F5842</f>
        <v>200</v>
      </c>
      <c r="H5842" s="20" t="n">
        <f aca="false">IF(G5842&lt;Parametres!$B$8*Parametres!$B$7,0,MIN(G5842,Parametres!$B$7))</f>
        <v>200</v>
      </c>
      <c r="I5842" s="20" t="n">
        <f aca="false">G5842-H5842</f>
        <v>0</v>
      </c>
      <c r="J5842" s="21" t="n">
        <f aca="false">H5842*1000/Parametres!$B$9</f>
        <v>3391.55502798033</v>
      </c>
    </row>
    <row r="5843" customFormat="false" ht="15" hidden="false" customHeight="false" outlineLevel="0" collapsed="false">
      <c r="A5843" s="0" t="n">
        <v>5839</v>
      </c>
      <c r="B5843" s="0" t="n">
        <v>9</v>
      </c>
      <c r="C5843" s="19" t="n">
        <v>0.1432</v>
      </c>
      <c r="D5843" s="19" t="n">
        <v>1</v>
      </c>
      <c r="E5843" s="20" t="n">
        <f aca="false">Parametres!$B$5*C5843</f>
        <v>42.96</v>
      </c>
      <c r="F5843" s="20" t="n">
        <f aca="false">Parametres!$B$6*D5843</f>
        <v>200</v>
      </c>
      <c r="G5843" s="20" t="n">
        <f aca="false">E5843+F5843</f>
        <v>242.96</v>
      </c>
      <c r="H5843" s="20" t="n">
        <f aca="false">IF(G5843&lt;Parametres!$B$8*Parametres!$B$7,0,MIN(G5843,Parametres!$B$7))</f>
        <v>242.96</v>
      </c>
      <c r="I5843" s="20" t="n">
        <f aca="false">G5843-H5843</f>
        <v>0</v>
      </c>
      <c r="J5843" s="21" t="n">
        <f aca="false">H5843*1000/Parametres!$B$9</f>
        <v>4120.0610479905</v>
      </c>
    </row>
    <row r="5844" customFormat="false" ht="15" hidden="false" customHeight="false" outlineLevel="0" collapsed="false">
      <c r="A5844" s="0" t="n">
        <v>5840</v>
      </c>
      <c r="B5844" s="0" t="n">
        <v>9</v>
      </c>
      <c r="C5844" s="19" t="n">
        <v>0.3262</v>
      </c>
      <c r="D5844" s="19" t="n">
        <v>0.9581</v>
      </c>
      <c r="E5844" s="20" t="n">
        <f aca="false">Parametres!$B$5*C5844</f>
        <v>97.86</v>
      </c>
      <c r="F5844" s="20" t="n">
        <f aca="false">Parametres!$B$6*D5844</f>
        <v>191.62</v>
      </c>
      <c r="G5844" s="20" t="n">
        <f aca="false">E5844+F5844</f>
        <v>289.48</v>
      </c>
      <c r="H5844" s="20" t="n">
        <f aca="false">IF(G5844&lt;Parametres!$B$8*Parametres!$B$7,0,MIN(G5844,Parametres!$B$7))</f>
        <v>250</v>
      </c>
      <c r="I5844" s="20" t="n">
        <f aca="false">G5844-H5844</f>
        <v>39.48</v>
      </c>
      <c r="J5844" s="21" t="n">
        <f aca="false">H5844*1000/Parametres!$B$9</f>
        <v>4239.44378497541</v>
      </c>
    </row>
    <row r="5845" customFormat="false" ht="15" hidden="false" customHeight="false" outlineLevel="0" collapsed="false">
      <c r="A5845" s="0" t="n">
        <v>5841</v>
      </c>
      <c r="B5845" s="0" t="n">
        <v>9</v>
      </c>
      <c r="C5845" s="19" t="n">
        <v>0.5282</v>
      </c>
      <c r="D5845" s="19" t="n">
        <v>1</v>
      </c>
      <c r="E5845" s="20" t="n">
        <f aca="false">Parametres!$B$5*C5845</f>
        <v>158.46</v>
      </c>
      <c r="F5845" s="20" t="n">
        <f aca="false">Parametres!$B$6*D5845</f>
        <v>200</v>
      </c>
      <c r="G5845" s="20" t="n">
        <f aca="false">E5845+F5845</f>
        <v>358.46</v>
      </c>
      <c r="H5845" s="20" t="n">
        <f aca="false">IF(G5845&lt;Parametres!$B$8*Parametres!$B$7,0,MIN(G5845,Parametres!$B$7))</f>
        <v>250</v>
      </c>
      <c r="I5845" s="20" t="n">
        <f aca="false">G5845-H5845</f>
        <v>108.46</v>
      </c>
      <c r="J5845" s="21" t="n">
        <f aca="false">H5845*1000/Parametres!$B$9</f>
        <v>4239.44378497541</v>
      </c>
    </row>
    <row r="5846" customFormat="false" ht="15" hidden="false" customHeight="false" outlineLevel="0" collapsed="false">
      <c r="A5846" s="0" t="n">
        <v>5842</v>
      </c>
      <c r="B5846" s="0" t="n">
        <v>9</v>
      </c>
      <c r="C5846" s="19" t="n">
        <v>0.6294</v>
      </c>
      <c r="D5846" s="19" t="n">
        <v>1</v>
      </c>
      <c r="E5846" s="20" t="n">
        <f aca="false">Parametres!$B$5*C5846</f>
        <v>188.82</v>
      </c>
      <c r="F5846" s="20" t="n">
        <f aca="false">Parametres!$B$6*D5846</f>
        <v>200</v>
      </c>
      <c r="G5846" s="20" t="n">
        <f aca="false">E5846+F5846</f>
        <v>388.82</v>
      </c>
      <c r="H5846" s="20" t="n">
        <f aca="false">IF(G5846&lt;Parametres!$B$8*Parametres!$B$7,0,MIN(G5846,Parametres!$B$7))</f>
        <v>250</v>
      </c>
      <c r="I5846" s="20" t="n">
        <f aca="false">G5846-H5846</f>
        <v>138.82</v>
      </c>
      <c r="J5846" s="21" t="n">
        <f aca="false">H5846*1000/Parametres!$B$9</f>
        <v>4239.44378497541</v>
      </c>
    </row>
    <row r="5847" customFormat="false" ht="15" hidden="false" customHeight="false" outlineLevel="0" collapsed="false">
      <c r="A5847" s="0" t="n">
        <v>5843</v>
      </c>
      <c r="B5847" s="0" t="n">
        <v>9</v>
      </c>
      <c r="C5847" s="19" t="n">
        <v>0.8283</v>
      </c>
      <c r="D5847" s="19" t="n">
        <v>1</v>
      </c>
      <c r="E5847" s="20" t="n">
        <f aca="false">Parametres!$B$5*C5847</f>
        <v>248.49</v>
      </c>
      <c r="F5847" s="20" t="n">
        <f aca="false">Parametres!$B$6*D5847</f>
        <v>200</v>
      </c>
      <c r="G5847" s="20" t="n">
        <f aca="false">E5847+F5847</f>
        <v>448.49</v>
      </c>
      <c r="H5847" s="20" t="n">
        <f aca="false">IF(G5847&lt;Parametres!$B$8*Parametres!$B$7,0,MIN(G5847,Parametres!$B$7))</f>
        <v>250</v>
      </c>
      <c r="I5847" s="20" t="n">
        <f aca="false">G5847-H5847</f>
        <v>198.49</v>
      </c>
      <c r="J5847" s="21" t="n">
        <f aca="false">H5847*1000/Parametres!$B$9</f>
        <v>4239.44378497541</v>
      </c>
    </row>
    <row r="5848" customFormat="false" ht="15" hidden="false" customHeight="false" outlineLevel="0" collapsed="false">
      <c r="A5848" s="0" t="n">
        <v>5844</v>
      </c>
      <c r="B5848" s="0" t="n">
        <v>9</v>
      </c>
      <c r="C5848" s="19" t="n">
        <v>0.8667</v>
      </c>
      <c r="D5848" s="19" t="n">
        <v>1</v>
      </c>
      <c r="E5848" s="20" t="n">
        <f aca="false">Parametres!$B$5*C5848</f>
        <v>260.01</v>
      </c>
      <c r="F5848" s="20" t="n">
        <f aca="false">Parametres!$B$6*D5848</f>
        <v>200</v>
      </c>
      <c r="G5848" s="20" t="n">
        <f aca="false">E5848+F5848</f>
        <v>460.01</v>
      </c>
      <c r="H5848" s="20" t="n">
        <f aca="false">IF(G5848&lt;Parametres!$B$8*Parametres!$B$7,0,MIN(G5848,Parametres!$B$7))</f>
        <v>250</v>
      </c>
      <c r="I5848" s="20" t="n">
        <f aca="false">G5848-H5848</f>
        <v>210.01</v>
      </c>
      <c r="J5848" s="21" t="n">
        <f aca="false">H5848*1000/Parametres!$B$9</f>
        <v>4239.44378497541</v>
      </c>
    </row>
    <row r="5849" customFormat="false" ht="15" hidden="false" customHeight="false" outlineLevel="0" collapsed="false">
      <c r="A5849" s="0" t="n">
        <v>5845</v>
      </c>
      <c r="B5849" s="0" t="n">
        <v>9</v>
      </c>
      <c r="C5849" s="19" t="n">
        <v>0.9279</v>
      </c>
      <c r="D5849" s="19" t="n">
        <v>1</v>
      </c>
      <c r="E5849" s="20" t="n">
        <f aca="false">Parametres!$B$5*C5849</f>
        <v>278.37</v>
      </c>
      <c r="F5849" s="20" t="n">
        <f aca="false">Parametres!$B$6*D5849</f>
        <v>200</v>
      </c>
      <c r="G5849" s="20" t="n">
        <f aca="false">E5849+F5849</f>
        <v>478.37</v>
      </c>
      <c r="H5849" s="20" t="n">
        <f aca="false">IF(G5849&lt;Parametres!$B$8*Parametres!$B$7,0,MIN(G5849,Parametres!$B$7))</f>
        <v>250</v>
      </c>
      <c r="I5849" s="20" t="n">
        <f aca="false">G5849-H5849</f>
        <v>228.37</v>
      </c>
      <c r="J5849" s="21" t="n">
        <f aca="false">H5849*1000/Parametres!$B$9</f>
        <v>4239.44378497541</v>
      </c>
    </row>
    <row r="5850" customFormat="false" ht="15" hidden="false" customHeight="false" outlineLevel="0" collapsed="false">
      <c r="A5850" s="0" t="n">
        <v>5846</v>
      </c>
      <c r="B5850" s="0" t="n">
        <v>9</v>
      </c>
      <c r="C5850" s="19" t="n">
        <v>0.8748</v>
      </c>
      <c r="D5850" s="19" t="n">
        <v>1</v>
      </c>
      <c r="E5850" s="20" t="n">
        <f aca="false">Parametres!$B$5*C5850</f>
        <v>262.44</v>
      </c>
      <c r="F5850" s="20" t="n">
        <f aca="false">Parametres!$B$6*D5850</f>
        <v>200</v>
      </c>
      <c r="G5850" s="20" t="n">
        <f aca="false">E5850+F5850</f>
        <v>462.44</v>
      </c>
      <c r="H5850" s="20" t="n">
        <f aca="false">IF(G5850&lt;Parametres!$B$8*Parametres!$B$7,0,MIN(G5850,Parametres!$B$7))</f>
        <v>250</v>
      </c>
      <c r="I5850" s="20" t="n">
        <f aca="false">G5850-H5850</f>
        <v>212.44</v>
      </c>
      <c r="J5850" s="21" t="n">
        <f aca="false">H5850*1000/Parametres!$B$9</f>
        <v>4239.44378497541</v>
      </c>
    </row>
    <row r="5851" customFormat="false" ht="15" hidden="false" customHeight="false" outlineLevel="0" collapsed="false">
      <c r="A5851" s="0" t="n">
        <v>5847</v>
      </c>
      <c r="B5851" s="0" t="n">
        <v>9</v>
      </c>
      <c r="C5851" s="19" t="n">
        <v>0.7192</v>
      </c>
      <c r="D5851" s="19" t="n">
        <v>1</v>
      </c>
      <c r="E5851" s="20" t="n">
        <f aca="false">Parametres!$B$5*C5851</f>
        <v>215.76</v>
      </c>
      <c r="F5851" s="20" t="n">
        <f aca="false">Parametres!$B$6*D5851</f>
        <v>200</v>
      </c>
      <c r="G5851" s="20" t="n">
        <f aca="false">E5851+F5851</f>
        <v>415.76</v>
      </c>
      <c r="H5851" s="20" t="n">
        <f aca="false">IF(G5851&lt;Parametres!$B$8*Parametres!$B$7,0,MIN(G5851,Parametres!$B$7))</f>
        <v>250</v>
      </c>
      <c r="I5851" s="20" t="n">
        <f aca="false">G5851-H5851</f>
        <v>165.76</v>
      </c>
      <c r="J5851" s="21" t="n">
        <f aca="false">H5851*1000/Parametres!$B$9</f>
        <v>4239.44378497541</v>
      </c>
    </row>
    <row r="5852" customFormat="false" ht="15" hidden="false" customHeight="false" outlineLevel="0" collapsed="false">
      <c r="A5852" s="0" t="n">
        <v>5848</v>
      </c>
      <c r="B5852" s="0" t="n">
        <v>9</v>
      </c>
      <c r="C5852" s="19" t="n">
        <v>0.5637</v>
      </c>
      <c r="D5852" s="19" t="n">
        <v>1</v>
      </c>
      <c r="E5852" s="20" t="n">
        <f aca="false">Parametres!$B$5*C5852</f>
        <v>169.11</v>
      </c>
      <c r="F5852" s="20" t="n">
        <f aca="false">Parametres!$B$6*D5852</f>
        <v>200</v>
      </c>
      <c r="G5852" s="20" t="n">
        <f aca="false">E5852+F5852</f>
        <v>369.11</v>
      </c>
      <c r="H5852" s="20" t="n">
        <f aca="false">IF(G5852&lt;Parametres!$B$8*Parametres!$B$7,0,MIN(G5852,Parametres!$B$7))</f>
        <v>250</v>
      </c>
      <c r="I5852" s="20" t="n">
        <f aca="false">G5852-H5852</f>
        <v>119.11</v>
      </c>
      <c r="J5852" s="21" t="n">
        <f aca="false">H5852*1000/Parametres!$B$9</f>
        <v>4239.44378497541</v>
      </c>
    </row>
    <row r="5853" customFormat="false" ht="15" hidden="false" customHeight="false" outlineLevel="0" collapsed="false">
      <c r="A5853" s="0" t="n">
        <v>5849</v>
      </c>
      <c r="B5853" s="0" t="n">
        <v>9</v>
      </c>
      <c r="C5853" s="19" t="n">
        <v>0.3338</v>
      </c>
      <c r="D5853" s="19" t="n">
        <v>1</v>
      </c>
      <c r="E5853" s="20" t="n">
        <f aca="false">Parametres!$B$5*C5853</f>
        <v>100.14</v>
      </c>
      <c r="F5853" s="20" t="n">
        <f aca="false">Parametres!$B$6*D5853</f>
        <v>200</v>
      </c>
      <c r="G5853" s="20" t="n">
        <f aca="false">E5853+F5853</f>
        <v>300.14</v>
      </c>
      <c r="H5853" s="20" t="n">
        <f aca="false">IF(G5853&lt;Parametres!$B$8*Parametres!$B$7,0,MIN(G5853,Parametres!$B$7))</f>
        <v>250</v>
      </c>
      <c r="I5853" s="20" t="n">
        <f aca="false">G5853-H5853</f>
        <v>50.14</v>
      </c>
      <c r="J5853" s="21" t="n">
        <f aca="false">H5853*1000/Parametres!$B$9</f>
        <v>4239.44378497541</v>
      </c>
    </row>
    <row r="5854" customFormat="false" ht="15" hidden="false" customHeight="false" outlineLevel="0" collapsed="false">
      <c r="A5854" s="0" t="n">
        <v>5850</v>
      </c>
      <c r="B5854" s="0" t="n">
        <v>9</v>
      </c>
      <c r="C5854" s="19" t="n">
        <v>0.1303</v>
      </c>
      <c r="D5854" s="19" t="n">
        <v>1</v>
      </c>
      <c r="E5854" s="20" t="n">
        <f aca="false">Parametres!$B$5*C5854</f>
        <v>39.09</v>
      </c>
      <c r="F5854" s="20" t="n">
        <f aca="false">Parametres!$B$6*D5854</f>
        <v>200</v>
      </c>
      <c r="G5854" s="20" t="n">
        <f aca="false">E5854+F5854</f>
        <v>239.09</v>
      </c>
      <c r="H5854" s="20" t="n">
        <f aca="false">IF(G5854&lt;Parametres!$B$8*Parametres!$B$7,0,MIN(G5854,Parametres!$B$7))</f>
        <v>239.09</v>
      </c>
      <c r="I5854" s="20" t="n">
        <f aca="false">G5854-H5854</f>
        <v>0</v>
      </c>
      <c r="J5854" s="21" t="n">
        <f aca="false">H5854*1000/Parametres!$B$9</f>
        <v>4054.43445819908</v>
      </c>
    </row>
    <row r="5855" customFormat="false" ht="15" hidden="false" customHeight="false" outlineLevel="0" collapsed="false">
      <c r="A5855" s="0" t="n">
        <v>5851</v>
      </c>
      <c r="B5855" s="0" t="n">
        <v>9</v>
      </c>
      <c r="C5855" s="19" t="n">
        <v>0</v>
      </c>
      <c r="D5855" s="19" t="n">
        <v>1</v>
      </c>
      <c r="E5855" s="20" t="n">
        <f aca="false">Parametres!$B$5*C5855</f>
        <v>0</v>
      </c>
      <c r="F5855" s="20" t="n">
        <f aca="false">Parametres!$B$6*D5855</f>
        <v>200</v>
      </c>
      <c r="G5855" s="20" t="n">
        <f aca="false">E5855+F5855</f>
        <v>200</v>
      </c>
      <c r="H5855" s="20" t="n">
        <f aca="false">IF(G5855&lt;Parametres!$B$8*Parametres!$B$7,0,MIN(G5855,Parametres!$B$7))</f>
        <v>200</v>
      </c>
      <c r="I5855" s="20" t="n">
        <f aca="false">G5855-H5855</f>
        <v>0</v>
      </c>
      <c r="J5855" s="21" t="n">
        <f aca="false">H5855*1000/Parametres!$B$9</f>
        <v>3391.55502798033</v>
      </c>
    </row>
    <row r="5856" customFormat="false" ht="15" hidden="false" customHeight="false" outlineLevel="0" collapsed="false">
      <c r="A5856" s="0" t="n">
        <v>5852</v>
      </c>
      <c r="B5856" s="0" t="n">
        <v>9</v>
      </c>
      <c r="C5856" s="19" t="n">
        <v>0</v>
      </c>
      <c r="D5856" s="19" t="n">
        <v>1</v>
      </c>
      <c r="E5856" s="20" t="n">
        <f aca="false">Parametres!$B$5*C5856</f>
        <v>0</v>
      </c>
      <c r="F5856" s="20" t="n">
        <f aca="false">Parametres!$B$6*D5856</f>
        <v>200</v>
      </c>
      <c r="G5856" s="20" t="n">
        <f aca="false">E5856+F5856</f>
        <v>200</v>
      </c>
      <c r="H5856" s="20" t="n">
        <f aca="false">IF(G5856&lt;Parametres!$B$8*Parametres!$B$7,0,MIN(G5856,Parametres!$B$7))</f>
        <v>200</v>
      </c>
      <c r="I5856" s="20" t="n">
        <f aca="false">G5856-H5856</f>
        <v>0</v>
      </c>
      <c r="J5856" s="21" t="n">
        <f aca="false">H5856*1000/Parametres!$B$9</f>
        <v>3391.55502798033</v>
      </c>
    </row>
    <row r="5857" customFormat="false" ht="15" hidden="false" customHeight="false" outlineLevel="0" collapsed="false">
      <c r="A5857" s="0" t="n">
        <v>5853</v>
      </c>
      <c r="B5857" s="0" t="n">
        <v>9</v>
      </c>
      <c r="C5857" s="19" t="n">
        <v>0</v>
      </c>
      <c r="D5857" s="19" t="n">
        <v>1</v>
      </c>
      <c r="E5857" s="20" t="n">
        <f aca="false">Parametres!$B$5*C5857</f>
        <v>0</v>
      </c>
      <c r="F5857" s="20" t="n">
        <f aca="false">Parametres!$B$6*D5857</f>
        <v>200</v>
      </c>
      <c r="G5857" s="20" t="n">
        <f aca="false">E5857+F5857</f>
        <v>200</v>
      </c>
      <c r="H5857" s="20" t="n">
        <f aca="false">IF(G5857&lt;Parametres!$B$8*Parametres!$B$7,0,MIN(G5857,Parametres!$B$7))</f>
        <v>200</v>
      </c>
      <c r="I5857" s="20" t="n">
        <f aca="false">G5857-H5857</f>
        <v>0</v>
      </c>
      <c r="J5857" s="21" t="n">
        <f aca="false">H5857*1000/Parametres!$B$9</f>
        <v>3391.55502798033</v>
      </c>
    </row>
    <row r="5858" customFormat="false" ht="15" hidden="false" customHeight="false" outlineLevel="0" collapsed="false">
      <c r="A5858" s="0" t="n">
        <v>5854</v>
      </c>
      <c r="B5858" s="0" t="n">
        <v>9</v>
      </c>
      <c r="C5858" s="19" t="n">
        <v>0</v>
      </c>
      <c r="D5858" s="19" t="n">
        <v>1</v>
      </c>
      <c r="E5858" s="20" t="n">
        <f aca="false">Parametres!$B$5*C5858</f>
        <v>0</v>
      </c>
      <c r="F5858" s="20" t="n">
        <f aca="false">Parametres!$B$6*D5858</f>
        <v>200</v>
      </c>
      <c r="G5858" s="20" t="n">
        <f aca="false">E5858+F5858</f>
        <v>200</v>
      </c>
      <c r="H5858" s="20" t="n">
        <f aca="false">IF(G5858&lt;Parametres!$B$8*Parametres!$B$7,0,MIN(G5858,Parametres!$B$7))</f>
        <v>200</v>
      </c>
      <c r="I5858" s="20" t="n">
        <f aca="false">G5858-H5858</f>
        <v>0</v>
      </c>
      <c r="J5858" s="21" t="n">
        <f aca="false">H5858*1000/Parametres!$B$9</f>
        <v>3391.55502798033</v>
      </c>
    </row>
    <row r="5859" customFormat="false" ht="15" hidden="false" customHeight="false" outlineLevel="0" collapsed="false">
      <c r="A5859" s="0" t="n">
        <v>5855</v>
      </c>
      <c r="B5859" s="0" t="n">
        <v>9</v>
      </c>
      <c r="C5859" s="19" t="n">
        <v>0</v>
      </c>
      <c r="D5859" s="19" t="n">
        <v>1</v>
      </c>
      <c r="E5859" s="20" t="n">
        <f aca="false">Parametres!$B$5*C5859</f>
        <v>0</v>
      </c>
      <c r="F5859" s="20" t="n">
        <f aca="false">Parametres!$B$6*D5859</f>
        <v>200</v>
      </c>
      <c r="G5859" s="20" t="n">
        <f aca="false">E5859+F5859</f>
        <v>200</v>
      </c>
      <c r="H5859" s="20" t="n">
        <f aca="false">IF(G5859&lt;Parametres!$B$8*Parametres!$B$7,0,MIN(G5859,Parametres!$B$7))</f>
        <v>200</v>
      </c>
      <c r="I5859" s="20" t="n">
        <f aca="false">G5859-H5859</f>
        <v>0</v>
      </c>
      <c r="J5859" s="21" t="n">
        <f aca="false">H5859*1000/Parametres!$B$9</f>
        <v>3391.55502798033</v>
      </c>
    </row>
    <row r="5860" customFormat="false" ht="15" hidden="false" customHeight="false" outlineLevel="0" collapsed="false">
      <c r="A5860" s="0" t="n">
        <v>5856</v>
      </c>
      <c r="B5860" s="0" t="n">
        <v>9</v>
      </c>
      <c r="C5860" s="19" t="n">
        <v>0</v>
      </c>
      <c r="D5860" s="19" t="n">
        <v>0.8263</v>
      </c>
      <c r="E5860" s="20" t="n">
        <f aca="false">Parametres!$B$5*C5860</f>
        <v>0</v>
      </c>
      <c r="F5860" s="20" t="n">
        <f aca="false">Parametres!$B$6*D5860</f>
        <v>165.26</v>
      </c>
      <c r="G5860" s="20" t="n">
        <f aca="false">E5860+F5860</f>
        <v>165.26</v>
      </c>
      <c r="H5860" s="20" t="n">
        <f aca="false">IF(G5860&lt;Parametres!$B$8*Parametres!$B$7,0,MIN(G5860,Parametres!$B$7))</f>
        <v>165.26</v>
      </c>
      <c r="I5860" s="20" t="n">
        <f aca="false">G5860-H5860</f>
        <v>0</v>
      </c>
      <c r="J5860" s="21" t="n">
        <f aca="false">H5860*1000/Parametres!$B$9</f>
        <v>2802.44191962015</v>
      </c>
    </row>
    <row r="5861" customFormat="false" ht="15" hidden="false" customHeight="false" outlineLevel="0" collapsed="false">
      <c r="A5861" s="0" t="n">
        <v>5857</v>
      </c>
      <c r="B5861" s="0" t="n">
        <v>9</v>
      </c>
      <c r="C5861" s="19" t="n">
        <v>0</v>
      </c>
      <c r="D5861" s="19" t="n">
        <v>1</v>
      </c>
      <c r="E5861" s="20" t="n">
        <f aca="false">Parametres!$B$5*C5861</f>
        <v>0</v>
      </c>
      <c r="F5861" s="20" t="n">
        <f aca="false">Parametres!$B$6*D5861</f>
        <v>200</v>
      </c>
      <c r="G5861" s="20" t="n">
        <f aca="false">E5861+F5861</f>
        <v>200</v>
      </c>
      <c r="H5861" s="20" t="n">
        <f aca="false">IF(G5861&lt;Parametres!$B$8*Parametres!$B$7,0,MIN(G5861,Parametres!$B$7))</f>
        <v>200</v>
      </c>
      <c r="I5861" s="20" t="n">
        <f aca="false">G5861-H5861</f>
        <v>0</v>
      </c>
      <c r="J5861" s="21" t="n">
        <f aca="false">H5861*1000/Parametres!$B$9</f>
        <v>3391.55502798033</v>
      </c>
    </row>
    <row r="5862" customFormat="false" ht="15" hidden="false" customHeight="false" outlineLevel="0" collapsed="false">
      <c r="A5862" s="0" t="n">
        <v>5858</v>
      </c>
      <c r="B5862" s="0" t="n">
        <v>9</v>
      </c>
      <c r="C5862" s="19" t="n">
        <v>0</v>
      </c>
      <c r="D5862" s="19" t="n">
        <v>0.6752</v>
      </c>
      <c r="E5862" s="20" t="n">
        <f aca="false">Parametres!$B$5*C5862</f>
        <v>0</v>
      </c>
      <c r="F5862" s="20" t="n">
        <f aca="false">Parametres!$B$6*D5862</f>
        <v>135.04</v>
      </c>
      <c r="G5862" s="20" t="n">
        <f aca="false">E5862+F5862</f>
        <v>135.04</v>
      </c>
      <c r="H5862" s="20" t="n">
        <f aca="false">IF(G5862&lt;Parametres!$B$8*Parametres!$B$7,0,MIN(G5862,Parametres!$B$7))</f>
        <v>135.04</v>
      </c>
      <c r="I5862" s="20" t="n">
        <f aca="false">G5862-H5862</f>
        <v>0</v>
      </c>
      <c r="J5862" s="21" t="n">
        <f aca="false">H5862*1000/Parametres!$B$9</f>
        <v>2289.97795489232</v>
      </c>
    </row>
    <row r="5863" customFormat="false" ht="15" hidden="false" customHeight="false" outlineLevel="0" collapsed="false">
      <c r="A5863" s="0" t="n">
        <v>5859</v>
      </c>
      <c r="B5863" s="0" t="n">
        <v>9</v>
      </c>
      <c r="C5863" s="19" t="n">
        <v>0</v>
      </c>
      <c r="D5863" s="19" t="n">
        <v>0.6514</v>
      </c>
      <c r="E5863" s="20" t="n">
        <f aca="false">Parametres!$B$5*C5863</f>
        <v>0</v>
      </c>
      <c r="F5863" s="20" t="n">
        <f aca="false">Parametres!$B$6*D5863</f>
        <v>130.28</v>
      </c>
      <c r="G5863" s="20" t="n">
        <f aca="false">E5863+F5863</f>
        <v>130.28</v>
      </c>
      <c r="H5863" s="20" t="n">
        <f aca="false">IF(G5863&lt;Parametres!$B$8*Parametres!$B$7,0,MIN(G5863,Parametres!$B$7))</f>
        <v>130.28</v>
      </c>
      <c r="I5863" s="20" t="n">
        <f aca="false">G5863-H5863</f>
        <v>0</v>
      </c>
      <c r="J5863" s="21" t="n">
        <f aca="false">H5863*1000/Parametres!$B$9</f>
        <v>2209.25894522639</v>
      </c>
    </row>
    <row r="5864" customFormat="false" ht="15" hidden="false" customHeight="false" outlineLevel="0" collapsed="false">
      <c r="A5864" s="0" t="n">
        <v>5860</v>
      </c>
      <c r="B5864" s="0" t="n">
        <v>9</v>
      </c>
      <c r="C5864" s="19" t="n">
        <v>0</v>
      </c>
      <c r="D5864" s="19" t="n">
        <v>0.457</v>
      </c>
      <c r="E5864" s="20" t="n">
        <f aca="false">Parametres!$B$5*C5864</f>
        <v>0</v>
      </c>
      <c r="F5864" s="20" t="n">
        <f aca="false">Parametres!$B$6*D5864</f>
        <v>91.4</v>
      </c>
      <c r="G5864" s="20" t="n">
        <f aca="false">E5864+F5864</f>
        <v>91.4</v>
      </c>
      <c r="H5864" s="20" t="n">
        <f aca="false">IF(G5864&lt;Parametres!$B$8*Parametres!$B$7,0,MIN(G5864,Parametres!$B$7))</f>
        <v>91.4</v>
      </c>
      <c r="I5864" s="20" t="n">
        <f aca="false">G5864-H5864</f>
        <v>0</v>
      </c>
      <c r="J5864" s="21" t="n">
        <f aca="false">H5864*1000/Parametres!$B$9</f>
        <v>1549.94064778701</v>
      </c>
    </row>
    <row r="5865" customFormat="false" ht="15" hidden="false" customHeight="false" outlineLevel="0" collapsed="false">
      <c r="A5865" s="0" t="n">
        <v>5861</v>
      </c>
      <c r="B5865" s="0" t="n">
        <v>9</v>
      </c>
      <c r="C5865" s="19" t="n">
        <v>0</v>
      </c>
      <c r="D5865" s="19" t="n">
        <v>0.8171</v>
      </c>
      <c r="E5865" s="20" t="n">
        <f aca="false">Parametres!$B$5*C5865</f>
        <v>0</v>
      </c>
      <c r="F5865" s="20" t="n">
        <f aca="false">Parametres!$B$6*D5865</f>
        <v>163.42</v>
      </c>
      <c r="G5865" s="20" t="n">
        <f aca="false">E5865+F5865</f>
        <v>163.42</v>
      </c>
      <c r="H5865" s="20" t="n">
        <f aca="false">IF(G5865&lt;Parametres!$B$8*Parametres!$B$7,0,MIN(G5865,Parametres!$B$7))</f>
        <v>163.42</v>
      </c>
      <c r="I5865" s="20" t="n">
        <f aca="false">G5865-H5865</f>
        <v>0</v>
      </c>
      <c r="J5865" s="21" t="n">
        <f aca="false">H5865*1000/Parametres!$B$9</f>
        <v>2771.23961336273</v>
      </c>
    </row>
    <row r="5866" customFormat="false" ht="15" hidden="false" customHeight="false" outlineLevel="0" collapsed="false">
      <c r="A5866" s="0" t="n">
        <v>5862</v>
      </c>
      <c r="B5866" s="0" t="n">
        <v>9</v>
      </c>
      <c r="C5866" s="19" t="n">
        <v>0</v>
      </c>
      <c r="D5866" s="19" t="n">
        <v>1</v>
      </c>
      <c r="E5866" s="20" t="n">
        <f aca="false">Parametres!$B$5*C5866</f>
        <v>0</v>
      </c>
      <c r="F5866" s="20" t="n">
        <f aca="false">Parametres!$B$6*D5866</f>
        <v>200</v>
      </c>
      <c r="G5866" s="20" t="n">
        <f aca="false">E5866+F5866</f>
        <v>200</v>
      </c>
      <c r="H5866" s="20" t="n">
        <f aca="false">IF(G5866&lt;Parametres!$B$8*Parametres!$B$7,0,MIN(G5866,Parametres!$B$7))</f>
        <v>200</v>
      </c>
      <c r="I5866" s="20" t="n">
        <f aca="false">G5866-H5866</f>
        <v>0</v>
      </c>
      <c r="J5866" s="21" t="n">
        <f aca="false">H5866*1000/Parametres!$B$9</f>
        <v>3391.55502798033</v>
      </c>
    </row>
    <row r="5867" customFormat="false" ht="15" hidden="false" customHeight="false" outlineLevel="0" collapsed="false">
      <c r="A5867" s="0" t="n">
        <v>5863</v>
      </c>
      <c r="B5867" s="0" t="n">
        <v>9</v>
      </c>
      <c r="C5867" s="19" t="n">
        <v>0.1941</v>
      </c>
      <c r="D5867" s="19" t="n">
        <v>1</v>
      </c>
      <c r="E5867" s="20" t="n">
        <f aca="false">Parametres!$B$5*C5867</f>
        <v>58.23</v>
      </c>
      <c r="F5867" s="20" t="n">
        <f aca="false">Parametres!$B$6*D5867</f>
        <v>200</v>
      </c>
      <c r="G5867" s="20" t="n">
        <f aca="false">E5867+F5867</f>
        <v>258.23</v>
      </c>
      <c r="H5867" s="20" t="n">
        <f aca="false">IF(G5867&lt;Parametres!$B$8*Parametres!$B$7,0,MIN(G5867,Parametres!$B$7))</f>
        <v>250</v>
      </c>
      <c r="I5867" s="20" t="n">
        <f aca="false">G5867-H5867</f>
        <v>8.23000000000002</v>
      </c>
      <c r="J5867" s="21" t="n">
        <f aca="false">H5867*1000/Parametres!$B$9</f>
        <v>4239.44378497541</v>
      </c>
    </row>
    <row r="5868" customFormat="false" ht="15" hidden="false" customHeight="false" outlineLevel="0" collapsed="false">
      <c r="A5868" s="0" t="n">
        <v>5864</v>
      </c>
      <c r="B5868" s="0" t="n">
        <v>9</v>
      </c>
      <c r="C5868" s="19" t="n">
        <v>0.4825</v>
      </c>
      <c r="D5868" s="19" t="n">
        <v>1</v>
      </c>
      <c r="E5868" s="20" t="n">
        <f aca="false">Parametres!$B$5*C5868</f>
        <v>144.75</v>
      </c>
      <c r="F5868" s="20" t="n">
        <f aca="false">Parametres!$B$6*D5868</f>
        <v>200</v>
      </c>
      <c r="G5868" s="20" t="n">
        <f aca="false">E5868+F5868</f>
        <v>344.75</v>
      </c>
      <c r="H5868" s="20" t="n">
        <f aca="false">IF(G5868&lt;Parametres!$B$8*Parametres!$B$7,0,MIN(G5868,Parametres!$B$7))</f>
        <v>250</v>
      </c>
      <c r="I5868" s="20" t="n">
        <f aca="false">G5868-H5868</f>
        <v>94.75</v>
      </c>
      <c r="J5868" s="21" t="n">
        <f aca="false">H5868*1000/Parametres!$B$9</f>
        <v>4239.44378497541</v>
      </c>
    </row>
    <row r="5869" customFormat="false" ht="15" hidden="false" customHeight="false" outlineLevel="0" collapsed="false">
      <c r="A5869" s="0" t="n">
        <v>5865</v>
      </c>
      <c r="B5869" s="0" t="n">
        <v>9</v>
      </c>
      <c r="C5869" s="19" t="n">
        <v>0.8387</v>
      </c>
      <c r="D5869" s="19" t="n">
        <v>1</v>
      </c>
      <c r="E5869" s="20" t="n">
        <f aca="false">Parametres!$B$5*C5869</f>
        <v>251.61</v>
      </c>
      <c r="F5869" s="20" t="n">
        <f aca="false">Parametres!$B$6*D5869</f>
        <v>200</v>
      </c>
      <c r="G5869" s="20" t="n">
        <f aca="false">E5869+F5869</f>
        <v>451.61</v>
      </c>
      <c r="H5869" s="20" t="n">
        <f aca="false">IF(G5869&lt;Parametres!$B$8*Parametres!$B$7,0,MIN(G5869,Parametres!$B$7))</f>
        <v>250</v>
      </c>
      <c r="I5869" s="20" t="n">
        <f aca="false">G5869-H5869</f>
        <v>201.61</v>
      </c>
      <c r="J5869" s="21" t="n">
        <f aca="false">H5869*1000/Parametres!$B$9</f>
        <v>4239.44378497541</v>
      </c>
    </row>
    <row r="5870" customFormat="false" ht="15" hidden="false" customHeight="false" outlineLevel="0" collapsed="false">
      <c r="A5870" s="0" t="n">
        <v>5866</v>
      </c>
      <c r="B5870" s="0" t="n">
        <v>9</v>
      </c>
      <c r="C5870" s="19" t="n">
        <v>1</v>
      </c>
      <c r="D5870" s="19" t="n">
        <v>1</v>
      </c>
      <c r="E5870" s="20" t="n">
        <f aca="false">Parametres!$B$5*C5870</f>
        <v>300</v>
      </c>
      <c r="F5870" s="20" t="n">
        <f aca="false">Parametres!$B$6*D5870</f>
        <v>200</v>
      </c>
      <c r="G5870" s="20" t="n">
        <f aca="false">E5870+F5870</f>
        <v>500</v>
      </c>
      <c r="H5870" s="20" t="n">
        <f aca="false">IF(G5870&lt;Parametres!$B$8*Parametres!$B$7,0,MIN(G5870,Parametres!$B$7))</f>
        <v>250</v>
      </c>
      <c r="I5870" s="20" t="n">
        <f aca="false">G5870-H5870</f>
        <v>250</v>
      </c>
      <c r="J5870" s="21" t="n">
        <f aca="false">H5870*1000/Parametres!$B$9</f>
        <v>4239.44378497541</v>
      </c>
    </row>
    <row r="5871" customFormat="false" ht="15" hidden="false" customHeight="false" outlineLevel="0" collapsed="false">
      <c r="A5871" s="0" t="n">
        <v>5867</v>
      </c>
      <c r="B5871" s="0" t="n">
        <v>9</v>
      </c>
      <c r="C5871" s="19" t="n">
        <v>1</v>
      </c>
      <c r="D5871" s="19" t="n">
        <v>1</v>
      </c>
      <c r="E5871" s="20" t="n">
        <f aca="false">Parametres!$B$5*C5871</f>
        <v>300</v>
      </c>
      <c r="F5871" s="20" t="n">
        <f aca="false">Parametres!$B$6*D5871</f>
        <v>200</v>
      </c>
      <c r="G5871" s="20" t="n">
        <f aca="false">E5871+F5871</f>
        <v>500</v>
      </c>
      <c r="H5871" s="20" t="n">
        <f aca="false">IF(G5871&lt;Parametres!$B$8*Parametres!$B$7,0,MIN(G5871,Parametres!$B$7))</f>
        <v>250</v>
      </c>
      <c r="I5871" s="20" t="n">
        <f aca="false">G5871-H5871</f>
        <v>250</v>
      </c>
      <c r="J5871" s="21" t="n">
        <f aca="false">H5871*1000/Parametres!$B$9</f>
        <v>4239.44378497541</v>
      </c>
    </row>
    <row r="5872" customFormat="false" ht="15" hidden="false" customHeight="false" outlineLevel="0" collapsed="false">
      <c r="A5872" s="0" t="n">
        <v>5868</v>
      </c>
      <c r="B5872" s="0" t="n">
        <v>9</v>
      </c>
      <c r="C5872" s="19" t="n">
        <v>1</v>
      </c>
      <c r="D5872" s="19" t="n">
        <v>1</v>
      </c>
      <c r="E5872" s="20" t="n">
        <f aca="false">Parametres!$B$5*C5872</f>
        <v>300</v>
      </c>
      <c r="F5872" s="20" t="n">
        <f aca="false">Parametres!$B$6*D5872</f>
        <v>200</v>
      </c>
      <c r="G5872" s="20" t="n">
        <f aca="false">E5872+F5872</f>
        <v>500</v>
      </c>
      <c r="H5872" s="20" t="n">
        <f aca="false">IF(G5872&lt;Parametres!$B$8*Parametres!$B$7,0,MIN(G5872,Parametres!$B$7))</f>
        <v>250</v>
      </c>
      <c r="I5872" s="20" t="n">
        <f aca="false">G5872-H5872</f>
        <v>250</v>
      </c>
      <c r="J5872" s="21" t="n">
        <f aca="false">H5872*1000/Parametres!$B$9</f>
        <v>4239.44378497541</v>
      </c>
    </row>
    <row r="5873" customFormat="false" ht="15" hidden="false" customHeight="false" outlineLevel="0" collapsed="false">
      <c r="A5873" s="0" t="n">
        <v>5869</v>
      </c>
      <c r="B5873" s="0" t="n">
        <v>9</v>
      </c>
      <c r="C5873" s="19" t="n">
        <v>1</v>
      </c>
      <c r="D5873" s="19" t="n">
        <v>1</v>
      </c>
      <c r="E5873" s="20" t="n">
        <f aca="false">Parametres!$B$5*C5873</f>
        <v>300</v>
      </c>
      <c r="F5873" s="20" t="n">
        <f aca="false">Parametres!$B$6*D5873</f>
        <v>200</v>
      </c>
      <c r="G5873" s="20" t="n">
        <f aca="false">E5873+F5873</f>
        <v>500</v>
      </c>
      <c r="H5873" s="20" t="n">
        <f aca="false">IF(G5873&lt;Parametres!$B$8*Parametres!$B$7,0,MIN(G5873,Parametres!$B$7))</f>
        <v>250</v>
      </c>
      <c r="I5873" s="20" t="n">
        <f aca="false">G5873-H5873</f>
        <v>250</v>
      </c>
      <c r="J5873" s="21" t="n">
        <f aca="false">H5873*1000/Parametres!$B$9</f>
        <v>4239.44378497541</v>
      </c>
    </row>
    <row r="5874" customFormat="false" ht="15" hidden="false" customHeight="false" outlineLevel="0" collapsed="false">
      <c r="A5874" s="0" t="n">
        <v>5870</v>
      </c>
      <c r="B5874" s="0" t="n">
        <v>9</v>
      </c>
      <c r="C5874" s="19" t="n">
        <v>1</v>
      </c>
      <c r="D5874" s="19" t="n">
        <v>1</v>
      </c>
      <c r="E5874" s="20" t="n">
        <f aca="false">Parametres!$B$5*C5874</f>
        <v>300</v>
      </c>
      <c r="F5874" s="20" t="n">
        <f aca="false">Parametres!$B$6*D5874</f>
        <v>200</v>
      </c>
      <c r="G5874" s="20" t="n">
        <f aca="false">E5874+F5874</f>
        <v>500</v>
      </c>
      <c r="H5874" s="20" t="n">
        <f aca="false">IF(G5874&lt;Parametres!$B$8*Parametres!$B$7,0,MIN(G5874,Parametres!$B$7))</f>
        <v>250</v>
      </c>
      <c r="I5874" s="20" t="n">
        <f aca="false">G5874-H5874</f>
        <v>250</v>
      </c>
      <c r="J5874" s="21" t="n">
        <f aca="false">H5874*1000/Parametres!$B$9</f>
        <v>4239.44378497541</v>
      </c>
    </row>
    <row r="5875" customFormat="false" ht="15" hidden="false" customHeight="false" outlineLevel="0" collapsed="false">
      <c r="A5875" s="0" t="n">
        <v>5871</v>
      </c>
      <c r="B5875" s="0" t="n">
        <v>9</v>
      </c>
      <c r="C5875" s="19" t="n">
        <v>0.9911</v>
      </c>
      <c r="D5875" s="19" t="n">
        <v>1</v>
      </c>
      <c r="E5875" s="20" t="n">
        <f aca="false">Parametres!$B$5*C5875</f>
        <v>297.33</v>
      </c>
      <c r="F5875" s="20" t="n">
        <f aca="false">Parametres!$B$6*D5875</f>
        <v>200</v>
      </c>
      <c r="G5875" s="20" t="n">
        <f aca="false">E5875+F5875</f>
        <v>497.33</v>
      </c>
      <c r="H5875" s="20" t="n">
        <f aca="false">IF(G5875&lt;Parametres!$B$8*Parametres!$B$7,0,MIN(G5875,Parametres!$B$7))</f>
        <v>250</v>
      </c>
      <c r="I5875" s="20" t="n">
        <f aca="false">G5875-H5875</f>
        <v>247.33</v>
      </c>
      <c r="J5875" s="21" t="n">
        <f aca="false">H5875*1000/Parametres!$B$9</f>
        <v>4239.44378497541</v>
      </c>
    </row>
    <row r="5876" customFormat="false" ht="15" hidden="false" customHeight="false" outlineLevel="0" collapsed="false">
      <c r="A5876" s="0" t="n">
        <v>5872</v>
      </c>
      <c r="B5876" s="0" t="n">
        <v>9</v>
      </c>
      <c r="C5876" s="19" t="n">
        <v>0.7843</v>
      </c>
      <c r="D5876" s="19" t="n">
        <v>1</v>
      </c>
      <c r="E5876" s="20" t="n">
        <f aca="false">Parametres!$B$5*C5876</f>
        <v>235.29</v>
      </c>
      <c r="F5876" s="20" t="n">
        <f aca="false">Parametres!$B$6*D5876</f>
        <v>200</v>
      </c>
      <c r="G5876" s="20" t="n">
        <f aca="false">E5876+F5876</f>
        <v>435.29</v>
      </c>
      <c r="H5876" s="20" t="n">
        <f aca="false">IF(G5876&lt;Parametres!$B$8*Parametres!$B$7,0,MIN(G5876,Parametres!$B$7))</f>
        <v>250</v>
      </c>
      <c r="I5876" s="20" t="n">
        <f aca="false">G5876-H5876</f>
        <v>185.29</v>
      </c>
      <c r="J5876" s="21" t="n">
        <f aca="false">H5876*1000/Parametres!$B$9</f>
        <v>4239.44378497541</v>
      </c>
    </row>
    <row r="5877" customFormat="false" ht="15" hidden="false" customHeight="false" outlineLevel="0" collapsed="false">
      <c r="A5877" s="0" t="n">
        <v>5873</v>
      </c>
      <c r="B5877" s="0" t="n">
        <v>9</v>
      </c>
      <c r="C5877" s="19" t="n">
        <v>0.4752</v>
      </c>
      <c r="D5877" s="19" t="n">
        <v>1</v>
      </c>
      <c r="E5877" s="20" t="n">
        <f aca="false">Parametres!$B$5*C5877</f>
        <v>142.56</v>
      </c>
      <c r="F5877" s="20" t="n">
        <f aca="false">Parametres!$B$6*D5877</f>
        <v>200</v>
      </c>
      <c r="G5877" s="20" t="n">
        <f aca="false">E5877+F5877</f>
        <v>342.56</v>
      </c>
      <c r="H5877" s="20" t="n">
        <f aca="false">IF(G5877&lt;Parametres!$B$8*Parametres!$B$7,0,MIN(G5877,Parametres!$B$7))</f>
        <v>250</v>
      </c>
      <c r="I5877" s="20" t="n">
        <f aca="false">G5877-H5877</f>
        <v>92.56</v>
      </c>
      <c r="J5877" s="21" t="n">
        <f aca="false">H5877*1000/Parametres!$B$9</f>
        <v>4239.44378497541</v>
      </c>
    </row>
    <row r="5878" customFormat="false" ht="15" hidden="false" customHeight="false" outlineLevel="0" collapsed="false">
      <c r="A5878" s="0" t="n">
        <v>5874</v>
      </c>
      <c r="B5878" s="0" t="n">
        <v>9</v>
      </c>
      <c r="C5878" s="19" t="n">
        <v>0.2022</v>
      </c>
      <c r="D5878" s="19" t="n">
        <v>1</v>
      </c>
      <c r="E5878" s="20" t="n">
        <f aca="false">Parametres!$B$5*C5878</f>
        <v>60.66</v>
      </c>
      <c r="F5878" s="20" t="n">
        <f aca="false">Parametres!$B$6*D5878</f>
        <v>200</v>
      </c>
      <c r="G5878" s="20" t="n">
        <f aca="false">E5878+F5878</f>
        <v>260.66</v>
      </c>
      <c r="H5878" s="20" t="n">
        <f aca="false">IF(G5878&lt;Parametres!$B$8*Parametres!$B$7,0,MIN(G5878,Parametres!$B$7))</f>
        <v>250</v>
      </c>
      <c r="I5878" s="20" t="n">
        <f aca="false">G5878-H5878</f>
        <v>10.66</v>
      </c>
      <c r="J5878" s="21" t="n">
        <f aca="false">H5878*1000/Parametres!$B$9</f>
        <v>4239.44378497541</v>
      </c>
    </row>
    <row r="5879" customFormat="false" ht="15" hidden="false" customHeight="false" outlineLevel="0" collapsed="false">
      <c r="A5879" s="0" t="n">
        <v>5875</v>
      </c>
      <c r="B5879" s="0" t="n">
        <v>9</v>
      </c>
      <c r="C5879" s="19" t="n">
        <v>0</v>
      </c>
      <c r="D5879" s="19" t="n">
        <v>1</v>
      </c>
      <c r="E5879" s="20" t="n">
        <f aca="false">Parametres!$B$5*C5879</f>
        <v>0</v>
      </c>
      <c r="F5879" s="20" t="n">
        <f aca="false">Parametres!$B$6*D5879</f>
        <v>200</v>
      </c>
      <c r="G5879" s="20" t="n">
        <f aca="false">E5879+F5879</f>
        <v>200</v>
      </c>
      <c r="H5879" s="20" t="n">
        <f aca="false">IF(G5879&lt;Parametres!$B$8*Parametres!$B$7,0,MIN(G5879,Parametres!$B$7))</f>
        <v>200</v>
      </c>
      <c r="I5879" s="20" t="n">
        <f aca="false">G5879-H5879</f>
        <v>0</v>
      </c>
      <c r="J5879" s="21" t="n">
        <f aca="false">H5879*1000/Parametres!$B$9</f>
        <v>3391.55502798033</v>
      </c>
    </row>
    <row r="5880" customFormat="false" ht="15" hidden="false" customHeight="false" outlineLevel="0" collapsed="false">
      <c r="A5880" s="0" t="n">
        <v>5876</v>
      </c>
      <c r="B5880" s="0" t="n">
        <v>9</v>
      </c>
      <c r="C5880" s="19" t="n">
        <v>0</v>
      </c>
      <c r="D5880" s="19" t="n">
        <v>1</v>
      </c>
      <c r="E5880" s="20" t="n">
        <f aca="false">Parametres!$B$5*C5880</f>
        <v>0</v>
      </c>
      <c r="F5880" s="20" t="n">
        <f aca="false">Parametres!$B$6*D5880</f>
        <v>200</v>
      </c>
      <c r="G5880" s="20" t="n">
        <f aca="false">E5880+F5880</f>
        <v>200</v>
      </c>
      <c r="H5880" s="20" t="n">
        <f aca="false">IF(G5880&lt;Parametres!$B$8*Parametres!$B$7,0,MIN(G5880,Parametres!$B$7))</f>
        <v>200</v>
      </c>
      <c r="I5880" s="20" t="n">
        <f aca="false">G5880-H5880</f>
        <v>0</v>
      </c>
      <c r="J5880" s="21" t="n">
        <f aca="false">H5880*1000/Parametres!$B$9</f>
        <v>3391.55502798033</v>
      </c>
    </row>
    <row r="5881" customFormat="false" ht="15" hidden="false" customHeight="false" outlineLevel="0" collapsed="false">
      <c r="A5881" s="0" t="n">
        <v>5877</v>
      </c>
      <c r="B5881" s="0" t="n">
        <v>9</v>
      </c>
      <c r="C5881" s="19" t="n">
        <v>0</v>
      </c>
      <c r="D5881" s="19" t="n">
        <v>1</v>
      </c>
      <c r="E5881" s="20" t="n">
        <f aca="false">Parametres!$B$5*C5881</f>
        <v>0</v>
      </c>
      <c r="F5881" s="20" t="n">
        <f aca="false">Parametres!$B$6*D5881</f>
        <v>200</v>
      </c>
      <c r="G5881" s="20" t="n">
        <f aca="false">E5881+F5881</f>
        <v>200</v>
      </c>
      <c r="H5881" s="20" t="n">
        <f aca="false">IF(G5881&lt;Parametres!$B$8*Parametres!$B$7,0,MIN(G5881,Parametres!$B$7))</f>
        <v>200</v>
      </c>
      <c r="I5881" s="20" t="n">
        <f aca="false">G5881-H5881</f>
        <v>0</v>
      </c>
      <c r="J5881" s="21" t="n">
        <f aca="false">H5881*1000/Parametres!$B$9</f>
        <v>3391.55502798033</v>
      </c>
    </row>
    <row r="5882" customFormat="false" ht="15" hidden="false" customHeight="false" outlineLevel="0" collapsed="false">
      <c r="A5882" s="0" t="n">
        <v>5878</v>
      </c>
      <c r="B5882" s="0" t="n">
        <v>9</v>
      </c>
      <c r="C5882" s="19" t="n">
        <v>0</v>
      </c>
      <c r="D5882" s="19" t="n">
        <v>1</v>
      </c>
      <c r="E5882" s="20" t="n">
        <f aca="false">Parametres!$B$5*C5882</f>
        <v>0</v>
      </c>
      <c r="F5882" s="20" t="n">
        <f aca="false">Parametres!$B$6*D5882</f>
        <v>200</v>
      </c>
      <c r="G5882" s="20" t="n">
        <f aca="false">E5882+F5882</f>
        <v>200</v>
      </c>
      <c r="H5882" s="20" t="n">
        <f aca="false">IF(G5882&lt;Parametres!$B$8*Parametres!$B$7,0,MIN(G5882,Parametres!$B$7))</f>
        <v>200</v>
      </c>
      <c r="I5882" s="20" t="n">
        <f aca="false">G5882-H5882</f>
        <v>0</v>
      </c>
      <c r="J5882" s="21" t="n">
        <f aca="false">H5882*1000/Parametres!$B$9</f>
        <v>3391.55502798033</v>
      </c>
    </row>
    <row r="5883" customFormat="false" ht="15" hidden="false" customHeight="false" outlineLevel="0" collapsed="false">
      <c r="A5883" s="0" t="n">
        <v>5879</v>
      </c>
      <c r="B5883" s="0" t="n">
        <v>9</v>
      </c>
      <c r="C5883" s="19" t="n">
        <v>0</v>
      </c>
      <c r="D5883" s="19" t="n">
        <v>1</v>
      </c>
      <c r="E5883" s="20" t="n">
        <f aca="false">Parametres!$B$5*C5883</f>
        <v>0</v>
      </c>
      <c r="F5883" s="20" t="n">
        <f aca="false">Parametres!$B$6*D5883</f>
        <v>200</v>
      </c>
      <c r="G5883" s="20" t="n">
        <f aca="false">E5883+F5883</f>
        <v>200</v>
      </c>
      <c r="H5883" s="20" t="n">
        <f aca="false">IF(G5883&lt;Parametres!$B$8*Parametres!$B$7,0,MIN(G5883,Parametres!$B$7))</f>
        <v>200</v>
      </c>
      <c r="I5883" s="20" t="n">
        <f aca="false">G5883-H5883</f>
        <v>0</v>
      </c>
      <c r="J5883" s="21" t="n">
        <f aca="false">H5883*1000/Parametres!$B$9</f>
        <v>3391.55502798033</v>
      </c>
    </row>
    <row r="5884" customFormat="false" ht="15" hidden="false" customHeight="false" outlineLevel="0" collapsed="false">
      <c r="A5884" s="0" t="n">
        <v>5880</v>
      </c>
      <c r="B5884" s="0" t="n">
        <v>9</v>
      </c>
      <c r="C5884" s="19" t="n">
        <v>0</v>
      </c>
      <c r="D5884" s="19" t="n">
        <v>1</v>
      </c>
      <c r="E5884" s="20" t="n">
        <f aca="false">Parametres!$B$5*C5884</f>
        <v>0</v>
      </c>
      <c r="F5884" s="20" t="n">
        <f aca="false">Parametres!$B$6*D5884</f>
        <v>200</v>
      </c>
      <c r="G5884" s="20" t="n">
        <f aca="false">E5884+F5884</f>
        <v>200</v>
      </c>
      <c r="H5884" s="20" t="n">
        <f aca="false">IF(G5884&lt;Parametres!$B$8*Parametres!$B$7,0,MIN(G5884,Parametres!$B$7))</f>
        <v>200</v>
      </c>
      <c r="I5884" s="20" t="n">
        <f aca="false">G5884-H5884</f>
        <v>0</v>
      </c>
      <c r="J5884" s="21" t="n">
        <f aca="false">H5884*1000/Parametres!$B$9</f>
        <v>3391.55502798033</v>
      </c>
    </row>
    <row r="5885" customFormat="false" ht="15" hidden="false" customHeight="false" outlineLevel="0" collapsed="false">
      <c r="A5885" s="0" t="n">
        <v>5881</v>
      </c>
      <c r="B5885" s="0" t="n">
        <v>9</v>
      </c>
      <c r="C5885" s="19" t="n">
        <v>0</v>
      </c>
      <c r="D5885" s="19" t="n">
        <v>1</v>
      </c>
      <c r="E5885" s="20" t="n">
        <f aca="false">Parametres!$B$5*C5885</f>
        <v>0</v>
      </c>
      <c r="F5885" s="20" t="n">
        <f aca="false">Parametres!$B$6*D5885</f>
        <v>200</v>
      </c>
      <c r="G5885" s="20" t="n">
        <f aca="false">E5885+F5885</f>
        <v>200</v>
      </c>
      <c r="H5885" s="20" t="n">
        <f aca="false">IF(G5885&lt;Parametres!$B$8*Parametres!$B$7,0,MIN(G5885,Parametres!$B$7))</f>
        <v>200</v>
      </c>
      <c r="I5885" s="20" t="n">
        <f aca="false">G5885-H5885</f>
        <v>0</v>
      </c>
      <c r="J5885" s="21" t="n">
        <f aca="false">H5885*1000/Parametres!$B$9</f>
        <v>3391.55502798033</v>
      </c>
    </row>
    <row r="5886" customFormat="false" ht="15" hidden="false" customHeight="false" outlineLevel="0" collapsed="false">
      <c r="A5886" s="0" t="n">
        <v>5882</v>
      </c>
      <c r="B5886" s="0" t="n">
        <v>9</v>
      </c>
      <c r="C5886" s="19" t="n">
        <v>0</v>
      </c>
      <c r="D5886" s="19" t="n">
        <v>1</v>
      </c>
      <c r="E5886" s="20" t="n">
        <f aca="false">Parametres!$B$5*C5886</f>
        <v>0</v>
      </c>
      <c r="F5886" s="20" t="n">
        <f aca="false">Parametres!$B$6*D5886</f>
        <v>200</v>
      </c>
      <c r="G5886" s="20" t="n">
        <f aca="false">E5886+F5886</f>
        <v>200</v>
      </c>
      <c r="H5886" s="20" t="n">
        <f aca="false">IF(G5886&lt;Parametres!$B$8*Parametres!$B$7,0,MIN(G5886,Parametres!$B$7))</f>
        <v>200</v>
      </c>
      <c r="I5886" s="20" t="n">
        <f aca="false">G5886-H5886</f>
        <v>0</v>
      </c>
      <c r="J5886" s="21" t="n">
        <f aca="false">H5886*1000/Parametres!$B$9</f>
        <v>3391.55502798033</v>
      </c>
    </row>
    <row r="5887" customFormat="false" ht="15" hidden="false" customHeight="false" outlineLevel="0" collapsed="false">
      <c r="A5887" s="0" t="n">
        <v>5883</v>
      </c>
      <c r="B5887" s="0" t="n">
        <v>9</v>
      </c>
      <c r="C5887" s="19" t="n">
        <v>0</v>
      </c>
      <c r="D5887" s="19" t="n">
        <v>1</v>
      </c>
      <c r="E5887" s="20" t="n">
        <f aca="false">Parametres!$B$5*C5887</f>
        <v>0</v>
      </c>
      <c r="F5887" s="20" t="n">
        <f aca="false">Parametres!$B$6*D5887</f>
        <v>200</v>
      </c>
      <c r="G5887" s="20" t="n">
        <f aca="false">E5887+F5887</f>
        <v>200</v>
      </c>
      <c r="H5887" s="20" t="n">
        <f aca="false">IF(G5887&lt;Parametres!$B$8*Parametres!$B$7,0,MIN(G5887,Parametres!$B$7))</f>
        <v>200</v>
      </c>
      <c r="I5887" s="20" t="n">
        <f aca="false">G5887-H5887</f>
        <v>0</v>
      </c>
      <c r="J5887" s="21" t="n">
        <f aca="false">H5887*1000/Parametres!$B$9</f>
        <v>3391.55502798033</v>
      </c>
    </row>
    <row r="5888" customFormat="false" ht="15" hidden="false" customHeight="false" outlineLevel="0" collapsed="false">
      <c r="A5888" s="0" t="n">
        <v>5884</v>
      </c>
      <c r="B5888" s="0" t="n">
        <v>9</v>
      </c>
      <c r="C5888" s="19" t="n">
        <v>0</v>
      </c>
      <c r="D5888" s="19" t="n">
        <v>1</v>
      </c>
      <c r="E5888" s="20" t="n">
        <f aca="false">Parametres!$B$5*C5888</f>
        <v>0</v>
      </c>
      <c r="F5888" s="20" t="n">
        <f aca="false">Parametres!$B$6*D5888</f>
        <v>200</v>
      </c>
      <c r="G5888" s="20" t="n">
        <f aca="false">E5888+F5888</f>
        <v>200</v>
      </c>
      <c r="H5888" s="20" t="n">
        <f aca="false">IF(G5888&lt;Parametres!$B$8*Parametres!$B$7,0,MIN(G5888,Parametres!$B$7))</f>
        <v>200</v>
      </c>
      <c r="I5888" s="20" t="n">
        <f aca="false">G5888-H5888</f>
        <v>0</v>
      </c>
      <c r="J5888" s="21" t="n">
        <f aca="false">H5888*1000/Parametres!$B$9</f>
        <v>3391.55502798033</v>
      </c>
    </row>
    <row r="5889" customFormat="false" ht="15" hidden="false" customHeight="false" outlineLevel="0" collapsed="false">
      <c r="A5889" s="0" t="n">
        <v>5885</v>
      </c>
      <c r="B5889" s="0" t="n">
        <v>9</v>
      </c>
      <c r="C5889" s="19" t="n">
        <v>0</v>
      </c>
      <c r="D5889" s="19" t="n">
        <v>0.8982</v>
      </c>
      <c r="E5889" s="20" t="n">
        <f aca="false">Parametres!$B$5*C5889</f>
        <v>0</v>
      </c>
      <c r="F5889" s="20" t="n">
        <f aca="false">Parametres!$B$6*D5889</f>
        <v>179.64</v>
      </c>
      <c r="G5889" s="20" t="n">
        <f aca="false">E5889+F5889</f>
        <v>179.64</v>
      </c>
      <c r="H5889" s="20" t="n">
        <f aca="false">IF(G5889&lt;Parametres!$B$8*Parametres!$B$7,0,MIN(G5889,Parametres!$B$7))</f>
        <v>179.64</v>
      </c>
      <c r="I5889" s="20" t="n">
        <f aca="false">G5889-H5889</f>
        <v>0</v>
      </c>
      <c r="J5889" s="21" t="n">
        <f aca="false">H5889*1000/Parametres!$B$9</f>
        <v>3046.29472613193</v>
      </c>
    </row>
    <row r="5890" customFormat="false" ht="15" hidden="false" customHeight="false" outlineLevel="0" collapsed="false">
      <c r="A5890" s="0" t="n">
        <v>5886</v>
      </c>
      <c r="B5890" s="0" t="n">
        <v>9</v>
      </c>
      <c r="C5890" s="19" t="n">
        <v>0</v>
      </c>
      <c r="D5890" s="19" t="n">
        <v>0.8619</v>
      </c>
      <c r="E5890" s="20" t="n">
        <f aca="false">Parametres!$B$5*C5890</f>
        <v>0</v>
      </c>
      <c r="F5890" s="20" t="n">
        <f aca="false">Parametres!$B$6*D5890</f>
        <v>172.38</v>
      </c>
      <c r="G5890" s="20" t="n">
        <f aca="false">E5890+F5890</f>
        <v>172.38</v>
      </c>
      <c r="H5890" s="20" t="n">
        <f aca="false">IF(G5890&lt;Parametres!$B$8*Parametres!$B$7,0,MIN(G5890,Parametres!$B$7))</f>
        <v>172.38</v>
      </c>
      <c r="I5890" s="20" t="n">
        <f aca="false">G5890-H5890</f>
        <v>0</v>
      </c>
      <c r="J5890" s="21" t="n">
        <f aca="false">H5890*1000/Parametres!$B$9</f>
        <v>2923.18127861625</v>
      </c>
    </row>
    <row r="5891" customFormat="false" ht="15" hidden="false" customHeight="false" outlineLevel="0" collapsed="false">
      <c r="A5891" s="0" t="n">
        <v>5887</v>
      </c>
      <c r="B5891" s="0" t="n">
        <v>9</v>
      </c>
      <c r="C5891" s="19" t="n">
        <v>0.154</v>
      </c>
      <c r="D5891" s="19" t="n">
        <v>1</v>
      </c>
      <c r="E5891" s="20" t="n">
        <f aca="false">Parametres!$B$5*C5891</f>
        <v>46.2</v>
      </c>
      <c r="F5891" s="20" t="n">
        <f aca="false">Parametres!$B$6*D5891</f>
        <v>200</v>
      </c>
      <c r="G5891" s="20" t="n">
        <f aca="false">E5891+F5891</f>
        <v>246.2</v>
      </c>
      <c r="H5891" s="20" t="n">
        <f aca="false">IF(G5891&lt;Parametres!$B$8*Parametres!$B$7,0,MIN(G5891,Parametres!$B$7))</f>
        <v>246.2</v>
      </c>
      <c r="I5891" s="20" t="n">
        <f aca="false">G5891-H5891</f>
        <v>0</v>
      </c>
      <c r="J5891" s="21" t="n">
        <f aca="false">H5891*1000/Parametres!$B$9</f>
        <v>4175.00423944379</v>
      </c>
    </row>
    <row r="5892" customFormat="false" ht="15" hidden="false" customHeight="false" outlineLevel="0" collapsed="false">
      <c r="A5892" s="0" t="n">
        <v>5888</v>
      </c>
      <c r="B5892" s="0" t="n">
        <v>9</v>
      </c>
      <c r="C5892" s="19" t="n">
        <v>0.3705</v>
      </c>
      <c r="D5892" s="19" t="n">
        <v>1</v>
      </c>
      <c r="E5892" s="20" t="n">
        <f aca="false">Parametres!$B$5*C5892</f>
        <v>111.15</v>
      </c>
      <c r="F5892" s="20" t="n">
        <f aca="false">Parametres!$B$6*D5892</f>
        <v>200</v>
      </c>
      <c r="G5892" s="20" t="n">
        <f aca="false">E5892+F5892</f>
        <v>311.15</v>
      </c>
      <c r="H5892" s="20" t="n">
        <f aca="false">IF(G5892&lt;Parametres!$B$8*Parametres!$B$7,0,MIN(G5892,Parametres!$B$7))</f>
        <v>250</v>
      </c>
      <c r="I5892" s="20" t="n">
        <f aca="false">G5892-H5892</f>
        <v>61.15</v>
      </c>
      <c r="J5892" s="21" t="n">
        <f aca="false">H5892*1000/Parametres!$B$9</f>
        <v>4239.44378497541</v>
      </c>
    </row>
    <row r="5893" customFormat="false" ht="15" hidden="false" customHeight="false" outlineLevel="0" collapsed="false">
      <c r="A5893" s="0" t="n">
        <v>5889</v>
      </c>
      <c r="B5893" s="0" t="n">
        <v>9</v>
      </c>
      <c r="C5893" s="19" t="n">
        <v>0.5708</v>
      </c>
      <c r="D5893" s="19" t="n">
        <v>1</v>
      </c>
      <c r="E5893" s="20" t="n">
        <f aca="false">Parametres!$B$5*C5893</f>
        <v>171.24</v>
      </c>
      <c r="F5893" s="20" t="n">
        <f aca="false">Parametres!$B$6*D5893</f>
        <v>200</v>
      </c>
      <c r="G5893" s="20" t="n">
        <f aca="false">E5893+F5893</f>
        <v>371.24</v>
      </c>
      <c r="H5893" s="20" t="n">
        <f aca="false">IF(G5893&lt;Parametres!$B$8*Parametres!$B$7,0,MIN(G5893,Parametres!$B$7))</f>
        <v>250</v>
      </c>
      <c r="I5893" s="20" t="n">
        <f aca="false">G5893-H5893</f>
        <v>121.24</v>
      </c>
      <c r="J5893" s="21" t="n">
        <f aca="false">H5893*1000/Parametres!$B$9</f>
        <v>4239.44378497541</v>
      </c>
    </row>
    <row r="5894" customFormat="false" ht="15" hidden="false" customHeight="false" outlineLevel="0" collapsed="false">
      <c r="A5894" s="0" t="n">
        <v>5890</v>
      </c>
      <c r="B5894" s="0" t="n">
        <v>9</v>
      </c>
      <c r="C5894" s="19" t="n">
        <v>0.8955</v>
      </c>
      <c r="D5894" s="19" t="n">
        <v>1</v>
      </c>
      <c r="E5894" s="20" t="n">
        <f aca="false">Parametres!$B$5*C5894</f>
        <v>268.65</v>
      </c>
      <c r="F5894" s="20" t="n">
        <f aca="false">Parametres!$B$6*D5894</f>
        <v>200</v>
      </c>
      <c r="G5894" s="20" t="n">
        <f aca="false">E5894+F5894</f>
        <v>468.65</v>
      </c>
      <c r="H5894" s="20" t="n">
        <f aca="false">IF(G5894&lt;Parametres!$B$8*Parametres!$B$7,0,MIN(G5894,Parametres!$B$7))</f>
        <v>250</v>
      </c>
      <c r="I5894" s="20" t="n">
        <f aca="false">G5894-H5894</f>
        <v>218.65</v>
      </c>
      <c r="J5894" s="21" t="n">
        <f aca="false">H5894*1000/Parametres!$B$9</f>
        <v>4239.44378497541</v>
      </c>
    </row>
    <row r="5895" customFormat="false" ht="15" hidden="false" customHeight="false" outlineLevel="0" collapsed="false">
      <c r="A5895" s="0" t="n">
        <v>5891</v>
      </c>
      <c r="B5895" s="0" t="n">
        <v>9</v>
      </c>
      <c r="C5895" s="19" t="n">
        <v>0.9929</v>
      </c>
      <c r="D5895" s="19" t="n">
        <v>1</v>
      </c>
      <c r="E5895" s="20" t="n">
        <f aca="false">Parametres!$B$5*C5895</f>
        <v>297.87</v>
      </c>
      <c r="F5895" s="20" t="n">
        <f aca="false">Parametres!$B$6*D5895</f>
        <v>200</v>
      </c>
      <c r="G5895" s="20" t="n">
        <f aca="false">E5895+F5895</f>
        <v>497.87</v>
      </c>
      <c r="H5895" s="20" t="n">
        <f aca="false">IF(G5895&lt;Parametres!$B$8*Parametres!$B$7,0,MIN(G5895,Parametres!$B$7))</f>
        <v>250</v>
      </c>
      <c r="I5895" s="20" t="n">
        <f aca="false">G5895-H5895</f>
        <v>247.87</v>
      </c>
      <c r="J5895" s="21" t="n">
        <f aca="false">H5895*1000/Parametres!$B$9</f>
        <v>4239.44378497541</v>
      </c>
    </row>
    <row r="5896" customFormat="false" ht="15" hidden="false" customHeight="false" outlineLevel="0" collapsed="false">
      <c r="A5896" s="0" t="n">
        <v>5892</v>
      </c>
      <c r="B5896" s="0" t="n">
        <v>9</v>
      </c>
      <c r="C5896" s="19" t="n">
        <v>1</v>
      </c>
      <c r="D5896" s="19" t="n">
        <v>1</v>
      </c>
      <c r="E5896" s="20" t="n">
        <f aca="false">Parametres!$B$5*C5896</f>
        <v>300</v>
      </c>
      <c r="F5896" s="20" t="n">
        <f aca="false">Parametres!$B$6*D5896</f>
        <v>200</v>
      </c>
      <c r="G5896" s="20" t="n">
        <f aca="false">E5896+F5896</f>
        <v>500</v>
      </c>
      <c r="H5896" s="20" t="n">
        <f aca="false">IF(G5896&lt;Parametres!$B$8*Parametres!$B$7,0,MIN(G5896,Parametres!$B$7))</f>
        <v>250</v>
      </c>
      <c r="I5896" s="20" t="n">
        <f aca="false">G5896-H5896</f>
        <v>250</v>
      </c>
      <c r="J5896" s="21" t="n">
        <f aca="false">H5896*1000/Parametres!$B$9</f>
        <v>4239.44378497541</v>
      </c>
    </row>
    <row r="5897" customFormat="false" ht="15" hidden="false" customHeight="false" outlineLevel="0" collapsed="false">
      <c r="A5897" s="0" t="n">
        <v>5893</v>
      </c>
      <c r="B5897" s="0" t="n">
        <v>9</v>
      </c>
      <c r="C5897" s="19" t="n">
        <v>1</v>
      </c>
      <c r="D5897" s="19" t="n">
        <v>1</v>
      </c>
      <c r="E5897" s="20" t="n">
        <f aca="false">Parametres!$B$5*C5897</f>
        <v>300</v>
      </c>
      <c r="F5897" s="20" t="n">
        <f aca="false">Parametres!$B$6*D5897</f>
        <v>200</v>
      </c>
      <c r="G5897" s="20" t="n">
        <f aca="false">E5897+F5897</f>
        <v>500</v>
      </c>
      <c r="H5897" s="20" t="n">
        <f aca="false">IF(G5897&lt;Parametres!$B$8*Parametres!$B$7,0,MIN(G5897,Parametres!$B$7))</f>
        <v>250</v>
      </c>
      <c r="I5897" s="20" t="n">
        <f aca="false">G5897-H5897</f>
        <v>250</v>
      </c>
      <c r="J5897" s="21" t="n">
        <f aca="false">H5897*1000/Parametres!$B$9</f>
        <v>4239.44378497541</v>
      </c>
    </row>
    <row r="5898" customFormat="false" ht="15" hidden="false" customHeight="false" outlineLevel="0" collapsed="false">
      <c r="A5898" s="0" t="n">
        <v>5894</v>
      </c>
      <c r="B5898" s="0" t="n">
        <v>9</v>
      </c>
      <c r="C5898" s="19" t="n">
        <v>0.9427</v>
      </c>
      <c r="D5898" s="19" t="n">
        <v>1</v>
      </c>
      <c r="E5898" s="20" t="n">
        <f aca="false">Parametres!$B$5*C5898</f>
        <v>282.81</v>
      </c>
      <c r="F5898" s="20" t="n">
        <f aca="false">Parametres!$B$6*D5898</f>
        <v>200</v>
      </c>
      <c r="G5898" s="20" t="n">
        <f aca="false">E5898+F5898</f>
        <v>482.81</v>
      </c>
      <c r="H5898" s="20" t="n">
        <f aca="false">IF(G5898&lt;Parametres!$B$8*Parametres!$B$7,0,MIN(G5898,Parametres!$B$7))</f>
        <v>250</v>
      </c>
      <c r="I5898" s="20" t="n">
        <f aca="false">G5898-H5898</f>
        <v>232.81</v>
      </c>
      <c r="J5898" s="21" t="n">
        <f aca="false">H5898*1000/Parametres!$B$9</f>
        <v>4239.44378497541</v>
      </c>
    </row>
    <row r="5899" customFormat="false" ht="15" hidden="false" customHeight="false" outlineLevel="0" collapsed="false">
      <c r="A5899" s="0" t="n">
        <v>5895</v>
      </c>
      <c r="B5899" s="0" t="n">
        <v>9</v>
      </c>
      <c r="C5899" s="19" t="n">
        <v>0.8779</v>
      </c>
      <c r="D5899" s="19" t="n">
        <v>1</v>
      </c>
      <c r="E5899" s="20" t="n">
        <f aca="false">Parametres!$B$5*C5899</f>
        <v>263.37</v>
      </c>
      <c r="F5899" s="20" t="n">
        <f aca="false">Parametres!$B$6*D5899</f>
        <v>200</v>
      </c>
      <c r="G5899" s="20" t="n">
        <f aca="false">E5899+F5899</f>
        <v>463.37</v>
      </c>
      <c r="H5899" s="20" t="n">
        <f aca="false">IF(G5899&lt;Parametres!$B$8*Parametres!$B$7,0,MIN(G5899,Parametres!$B$7))</f>
        <v>250</v>
      </c>
      <c r="I5899" s="20" t="n">
        <f aca="false">G5899-H5899</f>
        <v>213.37</v>
      </c>
      <c r="J5899" s="21" t="n">
        <f aca="false">H5899*1000/Parametres!$B$9</f>
        <v>4239.44378497541</v>
      </c>
    </row>
    <row r="5900" customFormat="false" ht="15" hidden="false" customHeight="false" outlineLevel="0" collapsed="false">
      <c r="A5900" s="0" t="n">
        <v>5896</v>
      </c>
      <c r="B5900" s="0" t="n">
        <v>9</v>
      </c>
      <c r="C5900" s="19" t="n">
        <v>0.6024</v>
      </c>
      <c r="D5900" s="19" t="n">
        <v>1</v>
      </c>
      <c r="E5900" s="20" t="n">
        <f aca="false">Parametres!$B$5*C5900</f>
        <v>180.72</v>
      </c>
      <c r="F5900" s="20" t="n">
        <f aca="false">Parametres!$B$6*D5900</f>
        <v>200</v>
      </c>
      <c r="G5900" s="20" t="n">
        <f aca="false">E5900+F5900</f>
        <v>380.72</v>
      </c>
      <c r="H5900" s="20" t="n">
        <f aca="false">IF(G5900&lt;Parametres!$B$8*Parametres!$B$7,0,MIN(G5900,Parametres!$B$7))</f>
        <v>250</v>
      </c>
      <c r="I5900" s="20" t="n">
        <f aca="false">G5900-H5900</f>
        <v>130.72</v>
      </c>
      <c r="J5900" s="21" t="n">
        <f aca="false">H5900*1000/Parametres!$B$9</f>
        <v>4239.44378497541</v>
      </c>
    </row>
    <row r="5901" customFormat="false" ht="15" hidden="false" customHeight="false" outlineLevel="0" collapsed="false">
      <c r="A5901" s="0" t="n">
        <v>5897</v>
      </c>
      <c r="B5901" s="0" t="n">
        <v>9</v>
      </c>
      <c r="C5901" s="19" t="n">
        <v>0.3895</v>
      </c>
      <c r="D5901" s="19" t="n">
        <v>1</v>
      </c>
      <c r="E5901" s="20" t="n">
        <f aca="false">Parametres!$B$5*C5901</f>
        <v>116.85</v>
      </c>
      <c r="F5901" s="20" t="n">
        <f aca="false">Parametres!$B$6*D5901</f>
        <v>200</v>
      </c>
      <c r="G5901" s="20" t="n">
        <f aca="false">E5901+F5901</f>
        <v>316.85</v>
      </c>
      <c r="H5901" s="20" t="n">
        <f aca="false">IF(G5901&lt;Parametres!$B$8*Parametres!$B$7,0,MIN(G5901,Parametres!$B$7))</f>
        <v>250</v>
      </c>
      <c r="I5901" s="20" t="n">
        <f aca="false">G5901-H5901</f>
        <v>66.85</v>
      </c>
      <c r="J5901" s="21" t="n">
        <f aca="false">H5901*1000/Parametres!$B$9</f>
        <v>4239.44378497541</v>
      </c>
    </row>
    <row r="5902" customFormat="false" ht="15" hidden="false" customHeight="false" outlineLevel="0" collapsed="false">
      <c r="A5902" s="0" t="n">
        <v>5898</v>
      </c>
      <c r="B5902" s="0" t="n">
        <v>9</v>
      </c>
      <c r="C5902" s="19" t="n">
        <v>0.1545</v>
      </c>
      <c r="D5902" s="19" t="n">
        <v>1</v>
      </c>
      <c r="E5902" s="20" t="n">
        <f aca="false">Parametres!$B$5*C5902</f>
        <v>46.35</v>
      </c>
      <c r="F5902" s="20" t="n">
        <f aca="false">Parametres!$B$6*D5902</f>
        <v>200</v>
      </c>
      <c r="G5902" s="20" t="n">
        <f aca="false">E5902+F5902</f>
        <v>246.35</v>
      </c>
      <c r="H5902" s="20" t="n">
        <f aca="false">IF(G5902&lt;Parametres!$B$8*Parametres!$B$7,0,MIN(G5902,Parametres!$B$7))</f>
        <v>246.35</v>
      </c>
      <c r="I5902" s="20" t="n">
        <f aca="false">G5902-H5902</f>
        <v>0</v>
      </c>
      <c r="J5902" s="21" t="n">
        <f aca="false">H5902*1000/Parametres!$B$9</f>
        <v>4177.54790571477</v>
      </c>
    </row>
    <row r="5903" customFormat="false" ht="15" hidden="false" customHeight="false" outlineLevel="0" collapsed="false">
      <c r="A5903" s="0" t="n">
        <v>5899</v>
      </c>
      <c r="B5903" s="0" t="n">
        <v>9</v>
      </c>
      <c r="C5903" s="19" t="n">
        <v>0</v>
      </c>
      <c r="D5903" s="19" t="n">
        <v>1</v>
      </c>
      <c r="E5903" s="20" t="n">
        <f aca="false">Parametres!$B$5*C5903</f>
        <v>0</v>
      </c>
      <c r="F5903" s="20" t="n">
        <f aca="false">Parametres!$B$6*D5903</f>
        <v>200</v>
      </c>
      <c r="G5903" s="20" t="n">
        <f aca="false">E5903+F5903</f>
        <v>200</v>
      </c>
      <c r="H5903" s="20" t="n">
        <f aca="false">IF(G5903&lt;Parametres!$B$8*Parametres!$B$7,0,MIN(G5903,Parametres!$B$7))</f>
        <v>200</v>
      </c>
      <c r="I5903" s="20" t="n">
        <f aca="false">G5903-H5903</f>
        <v>0</v>
      </c>
      <c r="J5903" s="21" t="n">
        <f aca="false">H5903*1000/Parametres!$B$9</f>
        <v>3391.55502798033</v>
      </c>
    </row>
    <row r="5904" customFormat="false" ht="15" hidden="false" customHeight="false" outlineLevel="0" collapsed="false">
      <c r="A5904" s="0" t="n">
        <v>5900</v>
      </c>
      <c r="B5904" s="0" t="n">
        <v>9</v>
      </c>
      <c r="C5904" s="19" t="n">
        <v>0</v>
      </c>
      <c r="D5904" s="19" t="n">
        <v>1</v>
      </c>
      <c r="E5904" s="20" t="n">
        <f aca="false">Parametres!$B$5*C5904</f>
        <v>0</v>
      </c>
      <c r="F5904" s="20" t="n">
        <f aca="false">Parametres!$B$6*D5904</f>
        <v>200</v>
      </c>
      <c r="G5904" s="20" t="n">
        <f aca="false">E5904+F5904</f>
        <v>200</v>
      </c>
      <c r="H5904" s="20" t="n">
        <f aca="false">IF(G5904&lt;Parametres!$B$8*Parametres!$B$7,0,MIN(G5904,Parametres!$B$7))</f>
        <v>200</v>
      </c>
      <c r="I5904" s="20" t="n">
        <f aca="false">G5904-H5904</f>
        <v>0</v>
      </c>
      <c r="J5904" s="21" t="n">
        <f aca="false">H5904*1000/Parametres!$B$9</f>
        <v>3391.55502798033</v>
      </c>
    </row>
    <row r="5905" customFormat="false" ht="15" hidden="false" customHeight="false" outlineLevel="0" collapsed="false">
      <c r="A5905" s="0" t="n">
        <v>5901</v>
      </c>
      <c r="B5905" s="0" t="n">
        <v>9</v>
      </c>
      <c r="C5905" s="19" t="n">
        <v>0</v>
      </c>
      <c r="D5905" s="19" t="n">
        <v>0.8745</v>
      </c>
      <c r="E5905" s="20" t="n">
        <f aca="false">Parametres!$B$5*C5905</f>
        <v>0</v>
      </c>
      <c r="F5905" s="20" t="n">
        <f aca="false">Parametres!$B$6*D5905</f>
        <v>174.9</v>
      </c>
      <c r="G5905" s="20" t="n">
        <f aca="false">E5905+F5905</f>
        <v>174.9</v>
      </c>
      <c r="H5905" s="20" t="n">
        <f aca="false">IF(G5905&lt;Parametres!$B$8*Parametres!$B$7,0,MIN(G5905,Parametres!$B$7))</f>
        <v>174.9</v>
      </c>
      <c r="I5905" s="20" t="n">
        <f aca="false">G5905-H5905</f>
        <v>0</v>
      </c>
      <c r="J5905" s="21" t="n">
        <f aca="false">H5905*1000/Parametres!$B$9</f>
        <v>2965.9148719688</v>
      </c>
    </row>
    <row r="5906" customFormat="false" ht="15" hidden="false" customHeight="false" outlineLevel="0" collapsed="false">
      <c r="A5906" s="0" t="n">
        <v>5902</v>
      </c>
      <c r="B5906" s="0" t="n">
        <v>9</v>
      </c>
      <c r="C5906" s="19" t="n">
        <v>0</v>
      </c>
      <c r="D5906" s="19" t="n">
        <v>0.9445</v>
      </c>
      <c r="E5906" s="20" t="n">
        <f aca="false">Parametres!$B$5*C5906</f>
        <v>0</v>
      </c>
      <c r="F5906" s="20" t="n">
        <f aca="false">Parametres!$B$6*D5906</f>
        <v>188.9</v>
      </c>
      <c r="G5906" s="20" t="n">
        <f aca="false">E5906+F5906</f>
        <v>188.9</v>
      </c>
      <c r="H5906" s="20" t="n">
        <f aca="false">IF(G5906&lt;Parametres!$B$8*Parametres!$B$7,0,MIN(G5906,Parametres!$B$7))</f>
        <v>188.9</v>
      </c>
      <c r="I5906" s="20" t="n">
        <f aca="false">G5906-H5906</f>
        <v>0</v>
      </c>
      <c r="J5906" s="21" t="n">
        <f aca="false">H5906*1000/Parametres!$B$9</f>
        <v>3203.32372392742</v>
      </c>
    </row>
    <row r="5907" customFormat="false" ht="15" hidden="false" customHeight="false" outlineLevel="0" collapsed="false">
      <c r="A5907" s="0" t="n">
        <v>5903</v>
      </c>
      <c r="B5907" s="0" t="n">
        <v>9</v>
      </c>
      <c r="C5907" s="19" t="n">
        <v>0</v>
      </c>
      <c r="D5907" s="19" t="n">
        <v>0.7785</v>
      </c>
      <c r="E5907" s="20" t="n">
        <f aca="false">Parametres!$B$5*C5907</f>
        <v>0</v>
      </c>
      <c r="F5907" s="20" t="n">
        <f aca="false">Parametres!$B$6*D5907</f>
        <v>155.7</v>
      </c>
      <c r="G5907" s="20" t="n">
        <f aca="false">E5907+F5907</f>
        <v>155.7</v>
      </c>
      <c r="H5907" s="20" t="n">
        <f aca="false">IF(G5907&lt;Parametres!$B$8*Parametres!$B$7,0,MIN(G5907,Parametres!$B$7))</f>
        <v>155.7</v>
      </c>
      <c r="I5907" s="20" t="n">
        <f aca="false">G5907-H5907</f>
        <v>0</v>
      </c>
      <c r="J5907" s="21" t="n">
        <f aca="false">H5907*1000/Parametres!$B$9</f>
        <v>2640.32558928269</v>
      </c>
    </row>
    <row r="5908" customFormat="false" ht="15" hidden="false" customHeight="false" outlineLevel="0" collapsed="false">
      <c r="A5908" s="0" t="n">
        <v>5904</v>
      </c>
      <c r="B5908" s="0" t="n">
        <v>9</v>
      </c>
      <c r="C5908" s="19" t="n">
        <v>0</v>
      </c>
      <c r="D5908" s="19" t="n">
        <v>0.5595</v>
      </c>
      <c r="E5908" s="20" t="n">
        <f aca="false">Parametres!$B$5*C5908</f>
        <v>0</v>
      </c>
      <c r="F5908" s="20" t="n">
        <f aca="false">Parametres!$B$6*D5908</f>
        <v>111.9</v>
      </c>
      <c r="G5908" s="20" t="n">
        <f aca="false">E5908+F5908</f>
        <v>111.9</v>
      </c>
      <c r="H5908" s="20" t="n">
        <f aca="false">IF(G5908&lt;Parametres!$B$8*Parametres!$B$7,0,MIN(G5908,Parametres!$B$7))</f>
        <v>111.9</v>
      </c>
      <c r="I5908" s="20" t="n">
        <f aca="false">G5908-H5908</f>
        <v>0</v>
      </c>
      <c r="J5908" s="21" t="n">
        <f aca="false">H5908*1000/Parametres!$B$9</f>
        <v>1897.57503815499</v>
      </c>
    </row>
    <row r="5909" customFormat="false" ht="15" hidden="false" customHeight="false" outlineLevel="0" collapsed="false">
      <c r="A5909" s="0" t="n">
        <v>5905</v>
      </c>
      <c r="B5909" s="0" t="n">
        <v>9</v>
      </c>
      <c r="C5909" s="19" t="n">
        <v>0</v>
      </c>
      <c r="D5909" s="19" t="n">
        <v>0.613</v>
      </c>
      <c r="E5909" s="20" t="n">
        <f aca="false">Parametres!$B$5*C5909</f>
        <v>0</v>
      </c>
      <c r="F5909" s="20" t="n">
        <f aca="false">Parametres!$B$6*D5909</f>
        <v>122.6</v>
      </c>
      <c r="G5909" s="20" t="n">
        <f aca="false">E5909+F5909</f>
        <v>122.6</v>
      </c>
      <c r="H5909" s="20" t="n">
        <f aca="false">IF(G5909&lt;Parametres!$B$8*Parametres!$B$7,0,MIN(G5909,Parametres!$B$7))</f>
        <v>122.6</v>
      </c>
      <c r="I5909" s="20" t="n">
        <f aca="false">G5909-H5909</f>
        <v>0</v>
      </c>
      <c r="J5909" s="21" t="n">
        <f aca="false">H5909*1000/Parametres!$B$9</f>
        <v>2079.02323215194</v>
      </c>
    </row>
    <row r="5910" customFormat="false" ht="15" hidden="false" customHeight="false" outlineLevel="0" collapsed="false">
      <c r="A5910" s="0" t="n">
        <v>5906</v>
      </c>
      <c r="B5910" s="0" t="n">
        <v>9</v>
      </c>
      <c r="C5910" s="19" t="n">
        <v>0</v>
      </c>
      <c r="D5910" s="19" t="n">
        <v>0.6479</v>
      </c>
      <c r="E5910" s="20" t="n">
        <f aca="false">Parametres!$B$5*C5910</f>
        <v>0</v>
      </c>
      <c r="F5910" s="20" t="n">
        <f aca="false">Parametres!$B$6*D5910</f>
        <v>129.58</v>
      </c>
      <c r="G5910" s="20" t="n">
        <f aca="false">E5910+F5910</f>
        <v>129.58</v>
      </c>
      <c r="H5910" s="20" t="n">
        <f aca="false">IF(G5910&lt;Parametres!$B$8*Parametres!$B$7,0,MIN(G5910,Parametres!$B$7))</f>
        <v>129.58</v>
      </c>
      <c r="I5910" s="20" t="n">
        <f aca="false">G5910-H5910</f>
        <v>0</v>
      </c>
      <c r="J5910" s="21" t="n">
        <f aca="false">H5910*1000/Parametres!$B$9</f>
        <v>2197.38850262846</v>
      </c>
    </row>
    <row r="5911" customFormat="false" ht="15" hidden="false" customHeight="false" outlineLevel="0" collapsed="false">
      <c r="A5911" s="0" t="n">
        <v>5907</v>
      </c>
      <c r="B5911" s="0" t="n">
        <v>9</v>
      </c>
      <c r="C5911" s="19" t="n">
        <v>0</v>
      </c>
      <c r="D5911" s="19" t="n">
        <v>1</v>
      </c>
      <c r="E5911" s="20" t="n">
        <f aca="false">Parametres!$B$5*C5911</f>
        <v>0</v>
      </c>
      <c r="F5911" s="20" t="n">
        <f aca="false">Parametres!$B$6*D5911</f>
        <v>200</v>
      </c>
      <c r="G5911" s="20" t="n">
        <f aca="false">E5911+F5911</f>
        <v>200</v>
      </c>
      <c r="H5911" s="20" t="n">
        <f aca="false">IF(G5911&lt;Parametres!$B$8*Parametres!$B$7,0,MIN(G5911,Parametres!$B$7))</f>
        <v>200</v>
      </c>
      <c r="I5911" s="20" t="n">
        <f aca="false">G5911-H5911</f>
        <v>0</v>
      </c>
      <c r="J5911" s="21" t="n">
        <f aca="false">H5911*1000/Parametres!$B$9</f>
        <v>3391.55502798033</v>
      </c>
    </row>
    <row r="5912" customFormat="false" ht="15" hidden="false" customHeight="false" outlineLevel="0" collapsed="false">
      <c r="A5912" s="0" t="n">
        <v>5908</v>
      </c>
      <c r="B5912" s="0" t="n">
        <v>9</v>
      </c>
      <c r="C5912" s="19" t="n">
        <v>0</v>
      </c>
      <c r="D5912" s="19" t="n">
        <v>1</v>
      </c>
      <c r="E5912" s="20" t="n">
        <f aca="false">Parametres!$B$5*C5912</f>
        <v>0</v>
      </c>
      <c r="F5912" s="20" t="n">
        <f aca="false">Parametres!$B$6*D5912</f>
        <v>200</v>
      </c>
      <c r="G5912" s="20" t="n">
        <f aca="false">E5912+F5912</f>
        <v>200</v>
      </c>
      <c r="H5912" s="20" t="n">
        <f aca="false">IF(G5912&lt;Parametres!$B$8*Parametres!$B$7,0,MIN(G5912,Parametres!$B$7))</f>
        <v>200</v>
      </c>
      <c r="I5912" s="20" t="n">
        <f aca="false">G5912-H5912</f>
        <v>0</v>
      </c>
      <c r="J5912" s="21" t="n">
        <f aca="false">H5912*1000/Parametres!$B$9</f>
        <v>3391.55502798033</v>
      </c>
    </row>
    <row r="5913" customFormat="false" ht="15" hidden="false" customHeight="false" outlineLevel="0" collapsed="false">
      <c r="A5913" s="0" t="n">
        <v>5909</v>
      </c>
      <c r="B5913" s="0" t="n">
        <v>9</v>
      </c>
      <c r="C5913" s="19" t="n">
        <v>0</v>
      </c>
      <c r="D5913" s="19" t="n">
        <v>1</v>
      </c>
      <c r="E5913" s="20" t="n">
        <f aca="false">Parametres!$B$5*C5913</f>
        <v>0</v>
      </c>
      <c r="F5913" s="20" t="n">
        <f aca="false">Parametres!$B$6*D5913</f>
        <v>200</v>
      </c>
      <c r="G5913" s="20" t="n">
        <f aca="false">E5913+F5913</f>
        <v>200</v>
      </c>
      <c r="H5913" s="20" t="n">
        <f aca="false">IF(G5913&lt;Parametres!$B$8*Parametres!$B$7,0,MIN(G5913,Parametres!$B$7))</f>
        <v>200</v>
      </c>
      <c r="I5913" s="20" t="n">
        <f aca="false">G5913-H5913</f>
        <v>0</v>
      </c>
      <c r="J5913" s="21" t="n">
        <f aca="false">H5913*1000/Parametres!$B$9</f>
        <v>3391.55502798033</v>
      </c>
    </row>
    <row r="5914" customFormat="false" ht="15" hidden="false" customHeight="false" outlineLevel="0" collapsed="false">
      <c r="A5914" s="0" t="n">
        <v>5910</v>
      </c>
      <c r="B5914" s="0" t="n">
        <v>9</v>
      </c>
      <c r="C5914" s="19" t="n">
        <v>0</v>
      </c>
      <c r="D5914" s="19" t="n">
        <v>1</v>
      </c>
      <c r="E5914" s="20" t="n">
        <f aca="false">Parametres!$B$5*C5914</f>
        <v>0</v>
      </c>
      <c r="F5914" s="20" t="n">
        <f aca="false">Parametres!$B$6*D5914</f>
        <v>200</v>
      </c>
      <c r="G5914" s="20" t="n">
        <f aca="false">E5914+F5914</f>
        <v>200</v>
      </c>
      <c r="H5914" s="20" t="n">
        <f aca="false">IF(G5914&lt;Parametres!$B$8*Parametres!$B$7,0,MIN(G5914,Parametres!$B$7))</f>
        <v>200</v>
      </c>
      <c r="I5914" s="20" t="n">
        <f aca="false">G5914-H5914</f>
        <v>0</v>
      </c>
      <c r="J5914" s="21" t="n">
        <f aca="false">H5914*1000/Parametres!$B$9</f>
        <v>3391.55502798033</v>
      </c>
    </row>
    <row r="5915" customFormat="false" ht="15" hidden="false" customHeight="false" outlineLevel="0" collapsed="false">
      <c r="A5915" s="0" t="n">
        <v>5911</v>
      </c>
      <c r="B5915" s="0" t="n">
        <v>9</v>
      </c>
      <c r="C5915" s="19" t="n">
        <v>0.1229</v>
      </c>
      <c r="D5915" s="19" t="n">
        <v>1</v>
      </c>
      <c r="E5915" s="20" t="n">
        <f aca="false">Parametres!$B$5*C5915</f>
        <v>36.87</v>
      </c>
      <c r="F5915" s="20" t="n">
        <f aca="false">Parametres!$B$6*D5915</f>
        <v>200</v>
      </c>
      <c r="G5915" s="20" t="n">
        <f aca="false">E5915+F5915</f>
        <v>236.87</v>
      </c>
      <c r="H5915" s="20" t="n">
        <f aca="false">IF(G5915&lt;Parametres!$B$8*Parametres!$B$7,0,MIN(G5915,Parametres!$B$7))</f>
        <v>236.87</v>
      </c>
      <c r="I5915" s="20" t="n">
        <f aca="false">G5915-H5915</f>
        <v>0</v>
      </c>
      <c r="J5915" s="21" t="n">
        <f aca="false">H5915*1000/Parametres!$B$9</f>
        <v>4016.7881973885</v>
      </c>
    </row>
    <row r="5916" customFormat="false" ht="15" hidden="false" customHeight="false" outlineLevel="0" collapsed="false">
      <c r="A5916" s="0" t="n">
        <v>5912</v>
      </c>
      <c r="B5916" s="0" t="n">
        <v>9</v>
      </c>
      <c r="C5916" s="19" t="n">
        <v>0.3221</v>
      </c>
      <c r="D5916" s="19" t="n">
        <v>0.8455</v>
      </c>
      <c r="E5916" s="20" t="n">
        <f aca="false">Parametres!$B$5*C5916</f>
        <v>96.63</v>
      </c>
      <c r="F5916" s="20" t="n">
        <f aca="false">Parametres!$B$6*D5916</f>
        <v>169.1</v>
      </c>
      <c r="G5916" s="20" t="n">
        <f aca="false">E5916+F5916</f>
        <v>265.73</v>
      </c>
      <c r="H5916" s="20" t="n">
        <f aca="false">IF(G5916&lt;Parametres!$B$8*Parametres!$B$7,0,MIN(G5916,Parametres!$B$7))</f>
        <v>250</v>
      </c>
      <c r="I5916" s="20" t="n">
        <f aca="false">G5916-H5916</f>
        <v>15.73</v>
      </c>
      <c r="J5916" s="21" t="n">
        <f aca="false">H5916*1000/Parametres!$B$9</f>
        <v>4239.44378497541</v>
      </c>
    </row>
    <row r="5917" customFormat="false" ht="15" hidden="false" customHeight="false" outlineLevel="0" collapsed="false">
      <c r="A5917" s="0" t="n">
        <v>5913</v>
      </c>
      <c r="B5917" s="0" t="n">
        <v>9</v>
      </c>
      <c r="C5917" s="19" t="n">
        <v>0.5407</v>
      </c>
      <c r="D5917" s="19" t="n">
        <v>0.8663</v>
      </c>
      <c r="E5917" s="20" t="n">
        <f aca="false">Parametres!$B$5*C5917</f>
        <v>162.21</v>
      </c>
      <c r="F5917" s="20" t="n">
        <f aca="false">Parametres!$B$6*D5917</f>
        <v>173.26</v>
      </c>
      <c r="G5917" s="20" t="n">
        <f aca="false">E5917+F5917</f>
        <v>335.47</v>
      </c>
      <c r="H5917" s="20" t="n">
        <f aca="false">IF(G5917&lt;Parametres!$B$8*Parametres!$B$7,0,MIN(G5917,Parametres!$B$7))</f>
        <v>250</v>
      </c>
      <c r="I5917" s="20" t="n">
        <f aca="false">G5917-H5917</f>
        <v>85.47</v>
      </c>
      <c r="J5917" s="21" t="n">
        <f aca="false">H5917*1000/Parametres!$B$9</f>
        <v>4239.44378497541</v>
      </c>
    </row>
    <row r="5918" customFormat="false" ht="15" hidden="false" customHeight="false" outlineLevel="0" collapsed="false">
      <c r="A5918" s="0" t="n">
        <v>5914</v>
      </c>
      <c r="B5918" s="0" t="n">
        <v>9</v>
      </c>
      <c r="C5918" s="19" t="n">
        <v>0.7227</v>
      </c>
      <c r="D5918" s="19" t="n">
        <v>0.8109</v>
      </c>
      <c r="E5918" s="20" t="n">
        <f aca="false">Parametres!$B$5*C5918</f>
        <v>216.81</v>
      </c>
      <c r="F5918" s="20" t="n">
        <f aca="false">Parametres!$B$6*D5918</f>
        <v>162.18</v>
      </c>
      <c r="G5918" s="20" t="n">
        <f aca="false">E5918+F5918</f>
        <v>378.99</v>
      </c>
      <c r="H5918" s="20" t="n">
        <f aca="false">IF(G5918&lt;Parametres!$B$8*Parametres!$B$7,0,MIN(G5918,Parametres!$B$7))</f>
        <v>250</v>
      </c>
      <c r="I5918" s="20" t="n">
        <f aca="false">G5918-H5918</f>
        <v>128.99</v>
      </c>
      <c r="J5918" s="21" t="n">
        <f aca="false">H5918*1000/Parametres!$B$9</f>
        <v>4239.44378497541</v>
      </c>
    </row>
    <row r="5919" customFormat="false" ht="15" hidden="false" customHeight="false" outlineLevel="0" collapsed="false">
      <c r="A5919" s="0" t="n">
        <v>5915</v>
      </c>
      <c r="B5919" s="0" t="n">
        <v>9</v>
      </c>
      <c r="C5919" s="19" t="n">
        <v>0.8141</v>
      </c>
      <c r="D5919" s="19" t="n">
        <v>0.9404</v>
      </c>
      <c r="E5919" s="20" t="n">
        <f aca="false">Parametres!$B$5*C5919</f>
        <v>244.23</v>
      </c>
      <c r="F5919" s="20" t="n">
        <f aca="false">Parametres!$B$6*D5919</f>
        <v>188.08</v>
      </c>
      <c r="G5919" s="20" t="n">
        <f aca="false">E5919+F5919</f>
        <v>432.31</v>
      </c>
      <c r="H5919" s="20" t="n">
        <f aca="false">IF(G5919&lt;Parametres!$B$8*Parametres!$B$7,0,MIN(G5919,Parametres!$B$7))</f>
        <v>250</v>
      </c>
      <c r="I5919" s="20" t="n">
        <f aca="false">G5919-H5919</f>
        <v>182.31</v>
      </c>
      <c r="J5919" s="21" t="n">
        <f aca="false">H5919*1000/Parametres!$B$9</f>
        <v>4239.44378497541</v>
      </c>
    </row>
    <row r="5920" customFormat="false" ht="15" hidden="false" customHeight="false" outlineLevel="0" collapsed="false">
      <c r="A5920" s="0" t="n">
        <v>5916</v>
      </c>
      <c r="B5920" s="0" t="n">
        <v>9</v>
      </c>
      <c r="C5920" s="19" t="n">
        <v>0.9125</v>
      </c>
      <c r="D5920" s="19" t="n">
        <v>1</v>
      </c>
      <c r="E5920" s="20" t="n">
        <f aca="false">Parametres!$B$5*C5920</f>
        <v>273.75</v>
      </c>
      <c r="F5920" s="20" t="n">
        <f aca="false">Parametres!$B$6*D5920</f>
        <v>200</v>
      </c>
      <c r="G5920" s="20" t="n">
        <f aca="false">E5920+F5920</f>
        <v>473.75</v>
      </c>
      <c r="H5920" s="20" t="n">
        <f aca="false">IF(G5920&lt;Parametres!$B$8*Parametres!$B$7,0,MIN(G5920,Parametres!$B$7))</f>
        <v>250</v>
      </c>
      <c r="I5920" s="20" t="n">
        <f aca="false">G5920-H5920</f>
        <v>223.75</v>
      </c>
      <c r="J5920" s="21" t="n">
        <f aca="false">H5920*1000/Parametres!$B$9</f>
        <v>4239.44378497541</v>
      </c>
    </row>
    <row r="5921" customFormat="false" ht="15" hidden="false" customHeight="false" outlineLevel="0" collapsed="false">
      <c r="A5921" s="0" t="n">
        <v>5917</v>
      </c>
      <c r="B5921" s="0" t="n">
        <v>9</v>
      </c>
      <c r="C5921" s="19" t="n">
        <v>0.9501</v>
      </c>
      <c r="D5921" s="19" t="n">
        <v>1</v>
      </c>
      <c r="E5921" s="20" t="n">
        <f aca="false">Parametres!$B$5*C5921</f>
        <v>285.03</v>
      </c>
      <c r="F5921" s="20" t="n">
        <f aca="false">Parametres!$B$6*D5921</f>
        <v>200</v>
      </c>
      <c r="G5921" s="20" t="n">
        <f aca="false">E5921+F5921</f>
        <v>485.03</v>
      </c>
      <c r="H5921" s="20" t="n">
        <f aca="false">IF(G5921&lt;Parametres!$B$8*Parametres!$B$7,0,MIN(G5921,Parametres!$B$7))</f>
        <v>250</v>
      </c>
      <c r="I5921" s="20" t="n">
        <f aca="false">G5921-H5921</f>
        <v>235.03</v>
      </c>
      <c r="J5921" s="21" t="n">
        <f aca="false">H5921*1000/Parametres!$B$9</f>
        <v>4239.44378497541</v>
      </c>
    </row>
    <row r="5922" customFormat="false" ht="15" hidden="false" customHeight="false" outlineLevel="0" collapsed="false">
      <c r="A5922" s="0" t="n">
        <v>5918</v>
      </c>
      <c r="B5922" s="0" t="n">
        <v>9</v>
      </c>
      <c r="C5922" s="19" t="n">
        <v>0.8891</v>
      </c>
      <c r="D5922" s="19" t="n">
        <v>1</v>
      </c>
      <c r="E5922" s="20" t="n">
        <f aca="false">Parametres!$B$5*C5922</f>
        <v>266.73</v>
      </c>
      <c r="F5922" s="20" t="n">
        <f aca="false">Parametres!$B$6*D5922</f>
        <v>200</v>
      </c>
      <c r="G5922" s="20" t="n">
        <f aca="false">E5922+F5922</f>
        <v>466.73</v>
      </c>
      <c r="H5922" s="20" t="n">
        <f aca="false">IF(G5922&lt;Parametres!$B$8*Parametres!$B$7,0,MIN(G5922,Parametres!$B$7))</f>
        <v>250</v>
      </c>
      <c r="I5922" s="20" t="n">
        <f aca="false">G5922-H5922</f>
        <v>216.73</v>
      </c>
      <c r="J5922" s="21" t="n">
        <f aca="false">H5922*1000/Parametres!$B$9</f>
        <v>4239.44378497541</v>
      </c>
    </row>
    <row r="5923" customFormat="false" ht="15" hidden="false" customHeight="false" outlineLevel="0" collapsed="false">
      <c r="A5923" s="0" t="n">
        <v>5919</v>
      </c>
      <c r="B5923" s="0" t="n">
        <v>9</v>
      </c>
      <c r="C5923" s="19" t="n">
        <v>0.7403</v>
      </c>
      <c r="D5923" s="19" t="n">
        <v>1</v>
      </c>
      <c r="E5923" s="20" t="n">
        <f aca="false">Parametres!$B$5*C5923</f>
        <v>222.09</v>
      </c>
      <c r="F5923" s="20" t="n">
        <f aca="false">Parametres!$B$6*D5923</f>
        <v>200</v>
      </c>
      <c r="G5923" s="20" t="n">
        <f aca="false">E5923+F5923</f>
        <v>422.09</v>
      </c>
      <c r="H5923" s="20" t="n">
        <f aca="false">IF(G5923&lt;Parametres!$B$8*Parametres!$B$7,0,MIN(G5923,Parametres!$B$7))</f>
        <v>250</v>
      </c>
      <c r="I5923" s="20" t="n">
        <f aca="false">G5923-H5923</f>
        <v>172.09</v>
      </c>
      <c r="J5923" s="21" t="n">
        <f aca="false">H5923*1000/Parametres!$B$9</f>
        <v>4239.44378497541</v>
      </c>
    </row>
    <row r="5924" customFormat="false" ht="15" hidden="false" customHeight="false" outlineLevel="0" collapsed="false">
      <c r="A5924" s="0" t="n">
        <v>5920</v>
      </c>
      <c r="B5924" s="0" t="n">
        <v>9</v>
      </c>
      <c r="C5924" s="19" t="n">
        <v>0.5342</v>
      </c>
      <c r="D5924" s="19" t="n">
        <v>1</v>
      </c>
      <c r="E5924" s="20" t="n">
        <f aca="false">Parametres!$B$5*C5924</f>
        <v>160.26</v>
      </c>
      <c r="F5924" s="20" t="n">
        <f aca="false">Parametres!$B$6*D5924</f>
        <v>200</v>
      </c>
      <c r="G5924" s="20" t="n">
        <f aca="false">E5924+F5924</f>
        <v>360.26</v>
      </c>
      <c r="H5924" s="20" t="n">
        <f aca="false">IF(G5924&lt;Parametres!$B$8*Parametres!$B$7,0,MIN(G5924,Parametres!$B$7))</f>
        <v>250</v>
      </c>
      <c r="I5924" s="20" t="n">
        <f aca="false">G5924-H5924</f>
        <v>110.26</v>
      </c>
      <c r="J5924" s="21" t="n">
        <f aca="false">H5924*1000/Parametres!$B$9</f>
        <v>4239.44378497541</v>
      </c>
    </row>
    <row r="5925" customFormat="false" ht="15" hidden="false" customHeight="false" outlineLevel="0" collapsed="false">
      <c r="A5925" s="0" t="n">
        <v>5921</v>
      </c>
      <c r="B5925" s="0" t="n">
        <v>9</v>
      </c>
      <c r="C5925" s="19" t="n">
        <v>0.3551</v>
      </c>
      <c r="D5925" s="19" t="n">
        <v>1</v>
      </c>
      <c r="E5925" s="20" t="n">
        <f aca="false">Parametres!$B$5*C5925</f>
        <v>106.53</v>
      </c>
      <c r="F5925" s="20" t="n">
        <f aca="false">Parametres!$B$6*D5925</f>
        <v>200</v>
      </c>
      <c r="G5925" s="20" t="n">
        <f aca="false">E5925+F5925</f>
        <v>306.53</v>
      </c>
      <c r="H5925" s="20" t="n">
        <f aca="false">IF(G5925&lt;Parametres!$B$8*Parametres!$B$7,0,MIN(G5925,Parametres!$B$7))</f>
        <v>250</v>
      </c>
      <c r="I5925" s="20" t="n">
        <f aca="false">G5925-H5925</f>
        <v>56.53</v>
      </c>
      <c r="J5925" s="21" t="n">
        <f aca="false">H5925*1000/Parametres!$B$9</f>
        <v>4239.44378497541</v>
      </c>
    </row>
    <row r="5926" customFormat="false" ht="15" hidden="false" customHeight="false" outlineLevel="0" collapsed="false">
      <c r="A5926" s="0" t="n">
        <v>5922</v>
      </c>
      <c r="B5926" s="0" t="n">
        <v>9</v>
      </c>
      <c r="C5926" s="19" t="n">
        <v>0.1288</v>
      </c>
      <c r="D5926" s="19" t="n">
        <v>1</v>
      </c>
      <c r="E5926" s="20" t="n">
        <f aca="false">Parametres!$B$5*C5926</f>
        <v>38.64</v>
      </c>
      <c r="F5926" s="20" t="n">
        <f aca="false">Parametres!$B$6*D5926</f>
        <v>200</v>
      </c>
      <c r="G5926" s="20" t="n">
        <f aca="false">E5926+F5926</f>
        <v>238.64</v>
      </c>
      <c r="H5926" s="20" t="n">
        <f aca="false">IF(G5926&lt;Parametres!$B$8*Parametres!$B$7,0,MIN(G5926,Parametres!$B$7))</f>
        <v>238.64</v>
      </c>
      <c r="I5926" s="20" t="n">
        <f aca="false">G5926-H5926</f>
        <v>0</v>
      </c>
      <c r="J5926" s="21" t="n">
        <f aca="false">H5926*1000/Parametres!$B$9</f>
        <v>4046.80345938613</v>
      </c>
    </row>
    <row r="5927" customFormat="false" ht="15" hidden="false" customHeight="false" outlineLevel="0" collapsed="false">
      <c r="A5927" s="0" t="n">
        <v>5923</v>
      </c>
      <c r="B5927" s="0" t="n">
        <v>9</v>
      </c>
      <c r="C5927" s="19" t="n">
        <v>0</v>
      </c>
      <c r="D5927" s="19" t="n">
        <v>1</v>
      </c>
      <c r="E5927" s="20" t="n">
        <f aca="false">Parametres!$B$5*C5927</f>
        <v>0</v>
      </c>
      <c r="F5927" s="20" t="n">
        <f aca="false">Parametres!$B$6*D5927</f>
        <v>200</v>
      </c>
      <c r="G5927" s="20" t="n">
        <f aca="false">E5927+F5927</f>
        <v>200</v>
      </c>
      <c r="H5927" s="20" t="n">
        <f aca="false">IF(G5927&lt;Parametres!$B$8*Parametres!$B$7,0,MIN(G5927,Parametres!$B$7))</f>
        <v>200</v>
      </c>
      <c r="I5927" s="20" t="n">
        <f aca="false">G5927-H5927</f>
        <v>0</v>
      </c>
      <c r="J5927" s="21" t="n">
        <f aca="false">H5927*1000/Parametres!$B$9</f>
        <v>3391.55502798033</v>
      </c>
    </row>
    <row r="5928" customFormat="false" ht="15" hidden="false" customHeight="false" outlineLevel="0" collapsed="false">
      <c r="A5928" s="0" t="n">
        <v>5924</v>
      </c>
      <c r="B5928" s="0" t="n">
        <v>9</v>
      </c>
      <c r="C5928" s="19" t="n">
        <v>0</v>
      </c>
      <c r="D5928" s="19" t="n">
        <v>1</v>
      </c>
      <c r="E5928" s="20" t="n">
        <f aca="false">Parametres!$B$5*C5928</f>
        <v>0</v>
      </c>
      <c r="F5928" s="20" t="n">
        <f aca="false">Parametres!$B$6*D5928</f>
        <v>200</v>
      </c>
      <c r="G5928" s="20" t="n">
        <f aca="false">E5928+F5928</f>
        <v>200</v>
      </c>
      <c r="H5928" s="20" t="n">
        <f aca="false">IF(G5928&lt;Parametres!$B$8*Parametres!$B$7,0,MIN(G5928,Parametres!$B$7))</f>
        <v>200</v>
      </c>
      <c r="I5928" s="20" t="n">
        <f aca="false">G5928-H5928</f>
        <v>0</v>
      </c>
      <c r="J5928" s="21" t="n">
        <f aca="false">H5928*1000/Parametres!$B$9</f>
        <v>3391.55502798033</v>
      </c>
    </row>
    <row r="5929" customFormat="false" ht="15" hidden="false" customHeight="false" outlineLevel="0" collapsed="false">
      <c r="A5929" s="0" t="n">
        <v>5925</v>
      </c>
      <c r="B5929" s="0" t="n">
        <v>9</v>
      </c>
      <c r="C5929" s="19" t="n">
        <v>0</v>
      </c>
      <c r="D5929" s="19" t="n">
        <v>1</v>
      </c>
      <c r="E5929" s="20" t="n">
        <f aca="false">Parametres!$B$5*C5929</f>
        <v>0</v>
      </c>
      <c r="F5929" s="20" t="n">
        <f aca="false">Parametres!$B$6*D5929</f>
        <v>200</v>
      </c>
      <c r="G5929" s="20" t="n">
        <f aca="false">E5929+F5929</f>
        <v>200</v>
      </c>
      <c r="H5929" s="20" t="n">
        <f aca="false">IF(G5929&lt;Parametres!$B$8*Parametres!$B$7,0,MIN(G5929,Parametres!$B$7))</f>
        <v>200</v>
      </c>
      <c r="I5929" s="20" t="n">
        <f aca="false">G5929-H5929</f>
        <v>0</v>
      </c>
      <c r="J5929" s="21" t="n">
        <f aca="false">H5929*1000/Parametres!$B$9</f>
        <v>3391.55502798033</v>
      </c>
    </row>
    <row r="5930" customFormat="false" ht="15" hidden="false" customHeight="false" outlineLevel="0" collapsed="false">
      <c r="A5930" s="0" t="n">
        <v>5926</v>
      </c>
      <c r="B5930" s="0" t="n">
        <v>9</v>
      </c>
      <c r="C5930" s="19" t="n">
        <v>0</v>
      </c>
      <c r="D5930" s="19" t="n">
        <v>1</v>
      </c>
      <c r="E5930" s="20" t="n">
        <f aca="false">Parametres!$B$5*C5930</f>
        <v>0</v>
      </c>
      <c r="F5930" s="20" t="n">
        <f aca="false">Parametres!$B$6*D5930</f>
        <v>200</v>
      </c>
      <c r="G5930" s="20" t="n">
        <f aca="false">E5930+F5930</f>
        <v>200</v>
      </c>
      <c r="H5930" s="20" t="n">
        <f aca="false">IF(G5930&lt;Parametres!$B$8*Parametres!$B$7,0,MIN(G5930,Parametres!$B$7))</f>
        <v>200</v>
      </c>
      <c r="I5930" s="20" t="n">
        <f aca="false">G5930-H5930</f>
        <v>0</v>
      </c>
      <c r="J5930" s="21" t="n">
        <f aca="false">H5930*1000/Parametres!$B$9</f>
        <v>3391.55502798033</v>
      </c>
    </row>
    <row r="5931" customFormat="false" ht="15" hidden="false" customHeight="false" outlineLevel="0" collapsed="false">
      <c r="A5931" s="0" t="n">
        <v>5927</v>
      </c>
      <c r="B5931" s="0" t="n">
        <v>9</v>
      </c>
      <c r="C5931" s="19" t="n">
        <v>0</v>
      </c>
      <c r="D5931" s="19" t="n">
        <v>1</v>
      </c>
      <c r="E5931" s="20" t="n">
        <f aca="false">Parametres!$B$5*C5931</f>
        <v>0</v>
      </c>
      <c r="F5931" s="20" t="n">
        <f aca="false">Parametres!$B$6*D5931</f>
        <v>200</v>
      </c>
      <c r="G5931" s="20" t="n">
        <f aca="false">E5931+F5931</f>
        <v>200</v>
      </c>
      <c r="H5931" s="20" t="n">
        <f aca="false">IF(G5931&lt;Parametres!$B$8*Parametres!$B$7,0,MIN(G5931,Parametres!$B$7))</f>
        <v>200</v>
      </c>
      <c r="I5931" s="20" t="n">
        <f aca="false">G5931-H5931</f>
        <v>0</v>
      </c>
      <c r="J5931" s="21" t="n">
        <f aca="false">H5931*1000/Parametres!$B$9</f>
        <v>3391.55502798033</v>
      </c>
    </row>
    <row r="5932" customFormat="false" ht="15" hidden="false" customHeight="false" outlineLevel="0" collapsed="false">
      <c r="A5932" s="0" t="n">
        <v>5928</v>
      </c>
      <c r="B5932" s="0" t="n">
        <v>9</v>
      </c>
      <c r="C5932" s="19" t="n">
        <v>0</v>
      </c>
      <c r="D5932" s="19" t="n">
        <v>1</v>
      </c>
      <c r="E5932" s="20" t="n">
        <f aca="false">Parametres!$B$5*C5932</f>
        <v>0</v>
      </c>
      <c r="F5932" s="20" t="n">
        <f aca="false">Parametres!$B$6*D5932</f>
        <v>200</v>
      </c>
      <c r="G5932" s="20" t="n">
        <f aca="false">E5932+F5932</f>
        <v>200</v>
      </c>
      <c r="H5932" s="20" t="n">
        <f aca="false">IF(G5932&lt;Parametres!$B$8*Parametres!$B$7,0,MIN(G5932,Parametres!$B$7))</f>
        <v>200</v>
      </c>
      <c r="I5932" s="20" t="n">
        <f aca="false">G5932-H5932</f>
        <v>0</v>
      </c>
      <c r="J5932" s="21" t="n">
        <f aca="false">H5932*1000/Parametres!$B$9</f>
        <v>3391.55502798033</v>
      </c>
    </row>
    <row r="5933" customFormat="false" ht="15" hidden="false" customHeight="false" outlineLevel="0" collapsed="false">
      <c r="A5933" s="0" t="n">
        <v>5929</v>
      </c>
      <c r="B5933" s="0" t="n">
        <v>9</v>
      </c>
      <c r="C5933" s="19" t="n">
        <v>0</v>
      </c>
      <c r="D5933" s="19" t="n">
        <v>1</v>
      </c>
      <c r="E5933" s="20" t="n">
        <f aca="false">Parametres!$B$5*C5933</f>
        <v>0</v>
      </c>
      <c r="F5933" s="20" t="n">
        <f aca="false">Parametres!$B$6*D5933</f>
        <v>200</v>
      </c>
      <c r="G5933" s="20" t="n">
        <f aca="false">E5933+F5933</f>
        <v>200</v>
      </c>
      <c r="H5933" s="20" t="n">
        <f aca="false">IF(G5933&lt;Parametres!$B$8*Parametres!$B$7,0,MIN(G5933,Parametres!$B$7))</f>
        <v>200</v>
      </c>
      <c r="I5933" s="20" t="n">
        <f aca="false">G5933-H5933</f>
        <v>0</v>
      </c>
      <c r="J5933" s="21" t="n">
        <f aca="false">H5933*1000/Parametres!$B$9</f>
        <v>3391.55502798033</v>
      </c>
    </row>
    <row r="5934" customFormat="false" ht="15" hidden="false" customHeight="false" outlineLevel="0" collapsed="false">
      <c r="A5934" s="0" t="n">
        <v>5930</v>
      </c>
      <c r="B5934" s="0" t="n">
        <v>9</v>
      </c>
      <c r="C5934" s="19" t="n">
        <v>0</v>
      </c>
      <c r="D5934" s="19" t="n">
        <v>1</v>
      </c>
      <c r="E5934" s="20" t="n">
        <f aca="false">Parametres!$B$5*C5934</f>
        <v>0</v>
      </c>
      <c r="F5934" s="20" t="n">
        <f aca="false">Parametres!$B$6*D5934</f>
        <v>200</v>
      </c>
      <c r="G5934" s="20" t="n">
        <f aca="false">E5934+F5934</f>
        <v>200</v>
      </c>
      <c r="H5934" s="20" t="n">
        <f aca="false">IF(G5934&lt;Parametres!$B$8*Parametres!$B$7,0,MIN(G5934,Parametres!$B$7))</f>
        <v>200</v>
      </c>
      <c r="I5934" s="20" t="n">
        <f aca="false">G5934-H5934</f>
        <v>0</v>
      </c>
      <c r="J5934" s="21" t="n">
        <f aca="false">H5934*1000/Parametres!$B$9</f>
        <v>3391.55502798033</v>
      </c>
    </row>
    <row r="5935" customFormat="false" ht="15" hidden="false" customHeight="false" outlineLevel="0" collapsed="false">
      <c r="A5935" s="0" t="n">
        <v>5931</v>
      </c>
      <c r="B5935" s="0" t="n">
        <v>9</v>
      </c>
      <c r="C5935" s="19" t="n">
        <v>0</v>
      </c>
      <c r="D5935" s="19" t="n">
        <v>1</v>
      </c>
      <c r="E5935" s="20" t="n">
        <f aca="false">Parametres!$B$5*C5935</f>
        <v>0</v>
      </c>
      <c r="F5935" s="20" t="n">
        <f aca="false">Parametres!$B$6*D5935</f>
        <v>200</v>
      </c>
      <c r="G5935" s="20" t="n">
        <f aca="false">E5935+F5935</f>
        <v>200</v>
      </c>
      <c r="H5935" s="20" t="n">
        <f aca="false">IF(G5935&lt;Parametres!$B$8*Parametres!$B$7,0,MIN(G5935,Parametres!$B$7))</f>
        <v>200</v>
      </c>
      <c r="I5935" s="20" t="n">
        <f aca="false">G5935-H5935</f>
        <v>0</v>
      </c>
      <c r="J5935" s="21" t="n">
        <f aca="false">H5935*1000/Parametres!$B$9</f>
        <v>3391.55502798033</v>
      </c>
    </row>
    <row r="5936" customFormat="false" ht="15" hidden="false" customHeight="false" outlineLevel="0" collapsed="false">
      <c r="A5936" s="0" t="n">
        <v>5932</v>
      </c>
      <c r="B5936" s="0" t="n">
        <v>9</v>
      </c>
      <c r="C5936" s="19" t="n">
        <v>0</v>
      </c>
      <c r="D5936" s="19" t="n">
        <v>1</v>
      </c>
      <c r="E5936" s="20" t="n">
        <f aca="false">Parametres!$B$5*C5936</f>
        <v>0</v>
      </c>
      <c r="F5936" s="20" t="n">
        <f aca="false">Parametres!$B$6*D5936</f>
        <v>200</v>
      </c>
      <c r="G5936" s="20" t="n">
        <f aca="false">E5936+F5936</f>
        <v>200</v>
      </c>
      <c r="H5936" s="20" t="n">
        <f aca="false">IF(G5936&lt;Parametres!$B$8*Parametres!$B$7,0,MIN(G5936,Parametres!$B$7))</f>
        <v>200</v>
      </c>
      <c r="I5936" s="20" t="n">
        <f aca="false">G5936-H5936</f>
        <v>0</v>
      </c>
      <c r="J5936" s="21" t="n">
        <f aca="false">H5936*1000/Parametres!$B$9</f>
        <v>3391.55502798033</v>
      </c>
    </row>
    <row r="5937" customFormat="false" ht="15" hidden="false" customHeight="false" outlineLevel="0" collapsed="false">
      <c r="A5937" s="0" t="n">
        <v>5933</v>
      </c>
      <c r="B5937" s="0" t="n">
        <v>9</v>
      </c>
      <c r="C5937" s="19" t="n">
        <v>0</v>
      </c>
      <c r="D5937" s="19" t="n">
        <v>1</v>
      </c>
      <c r="E5937" s="20" t="n">
        <f aca="false">Parametres!$B$5*C5937</f>
        <v>0</v>
      </c>
      <c r="F5937" s="20" t="n">
        <f aca="false">Parametres!$B$6*D5937</f>
        <v>200</v>
      </c>
      <c r="G5937" s="20" t="n">
        <f aca="false">E5937+F5937</f>
        <v>200</v>
      </c>
      <c r="H5937" s="20" t="n">
        <f aca="false">IF(G5937&lt;Parametres!$B$8*Parametres!$B$7,0,MIN(G5937,Parametres!$B$7))</f>
        <v>200</v>
      </c>
      <c r="I5937" s="20" t="n">
        <f aca="false">G5937-H5937</f>
        <v>0</v>
      </c>
      <c r="J5937" s="21" t="n">
        <f aca="false">H5937*1000/Parametres!$B$9</f>
        <v>3391.55502798033</v>
      </c>
    </row>
    <row r="5938" customFormat="false" ht="15" hidden="false" customHeight="false" outlineLevel="0" collapsed="false">
      <c r="A5938" s="0" t="n">
        <v>5934</v>
      </c>
      <c r="B5938" s="0" t="n">
        <v>9</v>
      </c>
      <c r="C5938" s="19" t="n">
        <v>0</v>
      </c>
      <c r="D5938" s="19" t="n">
        <v>1</v>
      </c>
      <c r="E5938" s="20" t="n">
        <f aca="false">Parametres!$B$5*C5938</f>
        <v>0</v>
      </c>
      <c r="F5938" s="20" t="n">
        <f aca="false">Parametres!$B$6*D5938</f>
        <v>200</v>
      </c>
      <c r="G5938" s="20" t="n">
        <f aca="false">E5938+F5938</f>
        <v>200</v>
      </c>
      <c r="H5938" s="20" t="n">
        <f aca="false">IF(G5938&lt;Parametres!$B$8*Parametres!$B$7,0,MIN(G5938,Parametres!$B$7))</f>
        <v>200</v>
      </c>
      <c r="I5938" s="20" t="n">
        <f aca="false">G5938-H5938</f>
        <v>0</v>
      </c>
      <c r="J5938" s="21" t="n">
        <f aca="false">H5938*1000/Parametres!$B$9</f>
        <v>3391.55502798033</v>
      </c>
    </row>
    <row r="5939" customFormat="false" ht="15" hidden="false" customHeight="false" outlineLevel="0" collapsed="false">
      <c r="A5939" s="0" t="n">
        <v>5935</v>
      </c>
      <c r="B5939" s="0" t="n">
        <v>9</v>
      </c>
      <c r="C5939" s="19" t="n">
        <v>0.1696</v>
      </c>
      <c r="D5939" s="19" t="n">
        <v>1</v>
      </c>
      <c r="E5939" s="20" t="n">
        <f aca="false">Parametres!$B$5*C5939</f>
        <v>50.88</v>
      </c>
      <c r="F5939" s="20" t="n">
        <f aca="false">Parametres!$B$6*D5939</f>
        <v>200</v>
      </c>
      <c r="G5939" s="20" t="n">
        <f aca="false">E5939+F5939</f>
        <v>250.88</v>
      </c>
      <c r="H5939" s="20" t="n">
        <f aca="false">IF(G5939&lt;Parametres!$B$8*Parametres!$B$7,0,MIN(G5939,Parametres!$B$7))</f>
        <v>250</v>
      </c>
      <c r="I5939" s="20" t="n">
        <f aca="false">G5939-H5939</f>
        <v>0.879999999999996</v>
      </c>
      <c r="J5939" s="21" t="n">
        <f aca="false">H5939*1000/Parametres!$B$9</f>
        <v>4239.44378497541</v>
      </c>
    </row>
    <row r="5940" customFormat="false" ht="15" hidden="false" customHeight="false" outlineLevel="0" collapsed="false">
      <c r="A5940" s="0" t="n">
        <v>5936</v>
      </c>
      <c r="B5940" s="0" t="n">
        <v>9</v>
      </c>
      <c r="C5940" s="19" t="n">
        <v>0.4819</v>
      </c>
      <c r="D5940" s="19" t="n">
        <v>1</v>
      </c>
      <c r="E5940" s="20" t="n">
        <f aca="false">Parametres!$B$5*C5940</f>
        <v>144.57</v>
      </c>
      <c r="F5940" s="20" t="n">
        <f aca="false">Parametres!$B$6*D5940</f>
        <v>200</v>
      </c>
      <c r="G5940" s="20" t="n">
        <f aca="false">E5940+F5940</f>
        <v>344.57</v>
      </c>
      <c r="H5940" s="20" t="n">
        <f aca="false">IF(G5940&lt;Parametres!$B$8*Parametres!$B$7,0,MIN(G5940,Parametres!$B$7))</f>
        <v>250</v>
      </c>
      <c r="I5940" s="20" t="n">
        <f aca="false">G5940-H5940</f>
        <v>94.57</v>
      </c>
      <c r="J5940" s="21" t="n">
        <f aca="false">H5940*1000/Parametres!$B$9</f>
        <v>4239.44378497541</v>
      </c>
    </row>
    <row r="5941" customFormat="false" ht="15" hidden="false" customHeight="false" outlineLevel="0" collapsed="false">
      <c r="A5941" s="0" t="n">
        <v>5937</v>
      </c>
      <c r="B5941" s="0" t="n">
        <v>9</v>
      </c>
      <c r="C5941" s="19" t="n">
        <v>0.7353</v>
      </c>
      <c r="D5941" s="19" t="n">
        <v>1</v>
      </c>
      <c r="E5941" s="20" t="n">
        <f aca="false">Parametres!$B$5*C5941</f>
        <v>220.59</v>
      </c>
      <c r="F5941" s="20" t="n">
        <f aca="false">Parametres!$B$6*D5941</f>
        <v>200</v>
      </c>
      <c r="G5941" s="20" t="n">
        <f aca="false">E5941+F5941</f>
        <v>420.59</v>
      </c>
      <c r="H5941" s="20" t="n">
        <f aca="false">IF(G5941&lt;Parametres!$B$8*Parametres!$B$7,0,MIN(G5941,Parametres!$B$7))</f>
        <v>250</v>
      </c>
      <c r="I5941" s="20" t="n">
        <f aca="false">G5941-H5941</f>
        <v>170.59</v>
      </c>
      <c r="J5941" s="21" t="n">
        <f aca="false">H5941*1000/Parametres!$B$9</f>
        <v>4239.44378497541</v>
      </c>
    </row>
    <row r="5942" customFormat="false" ht="15" hidden="false" customHeight="false" outlineLevel="0" collapsed="false">
      <c r="A5942" s="0" t="n">
        <v>5938</v>
      </c>
      <c r="B5942" s="0" t="n">
        <v>9</v>
      </c>
      <c r="C5942" s="19" t="n">
        <v>0.9629</v>
      </c>
      <c r="D5942" s="19" t="n">
        <v>1</v>
      </c>
      <c r="E5942" s="20" t="n">
        <f aca="false">Parametres!$B$5*C5942</f>
        <v>288.87</v>
      </c>
      <c r="F5942" s="20" t="n">
        <f aca="false">Parametres!$B$6*D5942</f>
        <v>200</v>
      </c>
      <c r="G5942" s="20" t="n">
        <f aca="false">E5942+F5942</f>
        <v>488.87</v>
      </c>
      <c r="H5942" s="20" t="n">
        <f aca="false">IF(G5942&lt;Parametres!$B$8*Parametres!$B$7,0,MIN(G5942,Parametres!$B$7))</f>
        <v>250</v>
      </c>
      <c r="I5942" s="20" t="n">
        <f aca="false">G5942-H5942</f>
        <v>238.87</v>
      </c>
      <c r="J5942" s="21" t="n">
        <f aca="false">H5942*1000/Parametres!$B$9</f>
        <v>4239.44378497541</v>
      </c>
    </row>
    <row r="5943" customFormat="false" ht="15" hidden="false" customHeight="false" outlineLevel="0" collapsed="false">
      <c r="A5943" s="0" t="n">
        <v>5939</v>
      </c>
      <c r="B5943" s="0" t="n">
        <v>9</v>
      </c>
      <c r="C5943" s="19" t="n">
        <v>1</v>
      </c>
      <c r="D5943" s="19" t="n">
        <v>1</v>
      </c>
      <c r="E5943" s="20" t="n">
        <f aca="false">Parametres!$B$5*C5943</f>
        <v>300</v>
      </c>
      <c r="F5943" s="20" t="n">
        <f aca="false">Parametres!$B$6*D5943</f>
        <v>200</v>
      </c>
      <c r="G5943" s="20" t="n">
        <f aca="false">E5943+F5943</f>
        <v>500</v>
      </c>
      <c r="H5943" s="20" t="n">
        <f aca="false">IF(G5943&lt;Parametres!$B$8*Parametres!$B$7,0,MIN(G5943,Parametres!$B$7))</f>
        <v>250</v>
      </c>
      <c r="I5943" s="20" t="n">
        <f aca="false">G5943-H5943</f>
        <v>250</v>
      </c>
      <c r="J5943" s="21" t="n">
        <f aca="false">H5943*1000/Parametres!$B$9</f>
        <v>4239.44378497541</v>
      </c>
    </row>
    <row r="5944" customFormat="false" ht="15" hidden="false" customHeight="false" outlineLevel="0" collapsed="false">
      <c r="A5944" s="0" t="n">
        <v>5940</v>
      </c>
      <c r="B5944" s="0" t="n">
        <v>9</v>
      </c>
      <c r="C5944" s="19" t="n">
        <v>1</v>
      </c>
      <c r="D5944" s="19" t="n">
        <v>1</v>
      </c>
      <c r="E5944" s="20" t="n">
        <f aca="false">Parametres!$B$5*C5944</f>
        <v>300</v>
      </c>
      <c r="F5944" s="20" t="n">
        <f aca="false">Parametres!$B$6*D5944</f>
        <v>200</v>
      </c>
      <c r="G5944" s="20" t="n">
        <f aca="false">E5944+F5944</f>
        <v>500</v>
      </c>
      <c r="H5944" s="20" t="n">
        <f aca="false">IF(G5944&lt;Parametres!$B$8*Parametres!$B$7,0,MIN(G5944,Parametres!$B$7))</f>
        <v>250</v>
      </c>
      <c r="I5944" s="20" t="n">
        <f aca="false">G5944-H5944</f>
        <v>250</v>
      </c>
      <c r="J5944" s="21" t="n">
        <f aca="false">H5944*1000/Parametres!$B$9</f>
        <v>4239.44378497541</v>
      </c>
    </row>
    <row r="5945" customFormat="false" ht="15" hidden="false" customHeight="false" outlineLevel="0" collapsed="false">
      <c r="A5945" s="0" t="n">
        <v>5941</v>
      </c>
      <c r="B5945" s="0" t="n">
        <v>9</v>
      </c>
      <c r="C5945" s="19" t="n">
        <v>1</v>
      </c>
      <c r="D5945" s="19" t="n">
        <v>1</v>
      </c>
      <c r="E5945" s="20" t="n">
        <f aca="false">Parametres!$B$5*C5945</f>
        <v>300</v>
      </c>
      <c r="F5945" s="20" t="n">
        <f aca="false">Parametres!$B$6*D5945</f>
        <v>200</v>
      </c>
      <c r="G5945" s="20" t="n">
        <f aca="false">E5945+F5945</f>
        <v>500</v>
      </c>
      <c r="H5945" s="20" t="n">
        <f aca="false">IF(G5945&lt;Parametres!$B$8*Parametres!$B$7,0,MIN(G5945,Parametres!$B$7))</f>
        <v>250</v>
      </c>
      <c r="I5945" s="20" t="n">
        <f aca="false">G5945-H5945</f>
        <v>250</v>
      </c>
      <c r="J5945" s="21" t="n">
        <f aca="false">H5945*1000/Parametres!$B$9</f>
        <v>4239.44378497541</v>
      </c>
    </row>
    <row r="5946" customFormat="false" ht="15" hidden="false" customHeight="false" outlineLevel="0" collapsed="false">
      <c r="A5946" s="0" t="n">
        <v>5942</v>
      </c>
      <c r="B5946" s="0" t="n">
        <v>9</v>
      </c>
      <c r="C5946" s="19" t="n">
        <v>1</v>
      </c>
      <c r="D5946" s="19" t="n">
        <v>1</v>
      </c>
      <c r="E5946" s="20" t="n">
        <f aca="false">Parametres!$B$5*C5946</f>
        <v>300</v>
      </c>
      <c r="F5946" s="20" t="n">
        <f aca="false">Parametres!$B$6*D5946</f>
        <v>200</v>
      </c>
      <c r="G5946" s="20" t="n">
        <f aca="false">E5946+F5946</f>
        <v>500</v>
      </c>
      <c r="H5946" s="20" t="n">
        <f aca="false">IF(G5946&lt;Parametres!$B$8*Parametres!$B$7,0,MIN(G5946,Parametres!$B$7))</f>
        <v>250</v>
      </c>
      <c r="I5946" s="20" t="n">
        <f aca="false">G5946-H5946</f>
        <v>250</v>
      </c>
      <c r="J5946" s="21" t="n">
        <f aca="false">H5946*1000/Parametres!$B$9</f>
        <v>4239.44378497541</v>
      </c>
    </row>
    <row r="5947" customFormat="false" ht="15" hidden="false" customHeight="false" outlineLevel="0" collapsed="false">
      <c r="A5947" s="0" t="n">
        <v>5943</v>
      </c>
      <c r="B5947" s="0" t="n">
        <v>9</v>
      </c>
      <c r="C5947" s="19" t="n">
        <v>0.9556</v>
      </c>
      <c r="D5947" s="19" t="n">
        <v>1</v>
      </c>
      <c r="E5947" s="20" t="n">
        <f aca="false">Parametres!$B$5*C5947</f>
        <v>286.68</v>
      </c>
      <c r="F5947" s="20" t="n">
        <f aca="false">Parametres!$B$6*D5947</f>
        <v>200</v>
      </c>
      <c r="G5947" s="20" t="n">
        <f aca="false">E5947+F5947</f>
        <v>486.68</v>
      </c>
      <c r="H5947" s="20" t="n">
        <f aca="false">IF(G5947&lt;Parametres!$B$8*Parametres!$B$7,0,MIN(G5947,Parametres!$B$7))</f>
        <v>250</v>
      </c>
      <c r="I5947" s="20" t="n">
        <f aca="false">G5947-H5947</f>
        <v>236.68</v>
      </c>
      <c r="J5947" s="21" t="n">
        <f aca="false">H5947*1000/Parametres!$B$9</f>
        <v>4239.44378497541</v>
      </c>
    </row>
    <row r="5948" customFormat="false" ht="15" hidden="false" customHeight="false" outlineLevel="0" collapsed="false">
      <c r="A5948" s="0" t="n">
        <v>5944</v>
      </c>
      <c r="B5948" s="0" t="n">
        <v>9</v>
      </c>
      <c r="C5948" s="19" t="n">
        <v>0.8127</v>
      </c>
      <c r="D5948" s="19" t="n">
        <v>1</v>
      </c>
      <c r="E5948" s="20" t="n">
        <f aca="false">Parametres!$B$5*C5948</f>
        <v>243.81</v>
      </c>
      <c r="F5948" s="20" t="n">
        <f aca="false">Parametres!$B$6*D5948</f>
        <v>200</v>
      </c>
      <c r="G5948" s="20" t="n">
        <f aca="false">E5948+F5948</f>
        <v>443.81</v>
      </c>
      <c r="H5948" s="20" t="n">
        <f aca="false">IF(G5948&lt;Parametres!$B$8*Parametres!$B$7,0,MIN(G5948,Parametres!$B$7))</f>
        <v>250</v>
      </c>
      <c r="I5948" s="20" t="n">
        <f aca="false">G5948-H5948</f>
        <v>193.81</v>
      </c>
      <c r="J5948" s="21" t="n">
        <f aca="false">H5948*1000/Parametres!$B$9</f>
        <v>4239.44378497541</v>
      </c>
    </row>
    <row r="5949" customFormat="false" ht="15" hidden="false" customHeight="false" outlineLevel="0" collapsed="false">
      <c r="A5949" s="0" t="n">
        <v>5945</v>
      </c>
      <c r="B5949" s="0" t="n">
        <v>9</v>
      </c>
      <c r="C5949" s="19" t="n">
        <v>0.4524</v>
      </c>
      <c r="D5949" s="19" t="n">
        <v>1</v>
      </c>
      <c r="E5949" s="20" t="n">
        <f aca="false">Parametres!$B$5*C5949</f>
        <v>135.72</v>
      </c>
      <c r="F5949" s="20" t="n">
        <f aca="false">Parametres!$B$6*D5949</f>
        <v>200</v>
      </c>
      <c r="G5949" s="20" t="n">
        <f aca="false">E5949+F5949</f>
        <v>335.72</v>
      </c>
      <c r="H5949" s="20" t="n">
        <f aca="false">IF(G5949&lt;Parametres!$B$8*Parametres!$B$7,0,MIN(G5949,Parametres!$B$7))</f>
        <v>250</v>
      </c>
      <c r="I5949" s="20" t="n">
        <f aca="false">G5949-H5949</f>
        <v>85.72</v>
      </c>
      <c r="J5949" s="21" t="n">
        <f aca="false">H5949*1000/Parametres!$B$9</f>
        <v>4239.44378497541</v>
      </c>
    </row>
    <row r="5950" customFormat="false" ht="15" hidden="false" customHeight="false" outlineLevel="0" collapsed="false">
      <c r="A5950" s="0" t="n">
        <v>5946</v>
      </c>
      <c r="B5950" s="0" t="n">
        <v>9</v>
      </c>
      <c r="C5950" s="19" t="n">
        <v>0.1684</v>
      </c>
      <c r="D5950" s="19" t="n">
        <v>1</v>
      </c>
      <c r="E5950" s="20" t="n">
        <f aca="false">Parametres!$B$5*C5950</f>
        <v>50.52</v>
      </c>
      <c r="F5950" s="20" t="n">
        <f aca="false">Parametres!$B$6*D5950</f>
        <v>200</v>
      </c>
      <c r="G5950" s="20" t="n">
        <f aca="false">E5950+F5950</f>
        <v>250.52</v>
      </c>
      <c r="H5950" s="20" t="n">
        <f aca="false">IF(G5950&lt;Parametres!$B$8*Parametres!$B$7,0,MIN(G5950,Parametres!$B$7))</f>
        <v>250</v>
      </c>
      <c r="I5950" s="20" t="n">
        <f aca="false">G5950-H5950</f>
        <v>0.519999999999982</v>
      </c>
      <c r="J5950" s="21" t="n">
        <f aca="false">H5950*1000/Parametres!$B$9</f>
        <v>4239.44378497541</v>
      </c>
    </row>
    <row r="5951" customFormat="false" ht="15" hidden="false" customHeight="false" outlineLevel="0" collapsed="false">
      <c r="A5951" s="0" t="n">
        <v>5947</v>
      </c>
      <c r="B5951" s="0" t="n">
        <v>9</v>
      </c>
      <c r="C5951" s="19" t="n">
        <v>0</v>
      </c>
      <c r="D5951" s="19" t="n">
        <v>1</v>
      </c>
      <c r="E5951" s="20" t="n">
        <f aca="false">Parametres!$B$5*C5951</f>
        <v>0</v>
      </c>
      <c r="F5951" s="20" t="n">
        <f aca="false">Parametres!$B$6*D5951</f>
        <v>200</v>
      </c>
      <c r="G5951" s="20" t="n">
        <f aca="false">E5951+F5951</f>
        <v>200</v>
      </c>
      <c r="H5951" s="20" t="n">
        <f aca="false">IF(G5951&lt;Parametres!$B$8*Parametres!$B$7,0,MIN(G5951,Parametres!$B$7))</f>
        <v>200</v>
      </c>
      <c r="I5951" s="20" t="n">
        <f aca="false">G5951-H5951</f>
        <v>0</v>
      </c>
      <c r="J5951" s="21" t="n">
        <f aca="false">H5951*1000/Parametres!$B$9</f>
        <v>3391.55502798033</v>
      </c>
    </row>
    <row r="5952" customFormat="false" ht="15" hidden="false" customHeight="false" outlineLevel="0" collapsed="false">
      <c r="A5952" s="0" t="n">
        <v>5948</v>
      </c>
      <c r="B5952" s="0" t="n">
        <v>9</v>
      </c>
      <c r="C5952" s="19" t="n">
        <v>0</v>
      </c>
      <c r="D5952" s="19" t="n">
        <v>0.9088</v>
      </c>
      <c r="E5952" s="20" t="n">
        <f aca="false">Parametres!$B$5*C5952</f>
        <v>0</v>
      </c>
      <c r="F5952" s="20" t="n">
        <f aca="false">Parametres!$B$6*D5952</f>
        <v>181.76</v>
      </c>
      <c r="G5952" s="20" t="n">
        <f aca="false">E5952+F5952</f>
        <v>181.76</v>
      </c>
      <c r="H5952" s="20" t="n">
        <f aca="false">IF(G5952&lt;Parametres!$B$8*Parametres!$B$7,0,MIN(G5952,Parametres!$B$7))</f>
        <v>181.76</v>
      </c>
      <c r="I5952" s="20" t="n">
        <f aca="false">G5952-H5952</f>
        <v>0</v>
      </c>
      <c r="J5952" s="21" t="n">
        <f aca="false">H5952*1000/Parametres!$B$9</f>
        <v>3082.24520942852</v>
      </c>
    </row>
    <row r="5953" customFormat="false" ht="15" hidden="false" customHeight="false" outlineLevel="0" collapsed="false">
      <c r="A5953" s="0" t="n">
        <v>5949</v>
      </c>
      <c r="B5953" s="0" t="n">
        <v>9</v>
      </c>
      <c r="C5953" s="19" t="n">
        <v>0</v>
      </c>
      <c r="D5953" s="19" t="n">
        <v>1</v>
      </c>
      <c r="E5953" s="20" t="n">
        <f aca="false">Parametres!$B$5*C5953</f>
        <v>0</v>
      </c>
      <c r="F5953" s="20" t="n">
        <f aca="false">Parametres!$B$6*D5953</f>
        <v>200</v>
      </c>
      <c r="G5953" s="20" t="n">
        <f aca="false">E5953+F5953</f>
        <v>200</v>
      </c>
      <c r="H5953" s="20" t="n">
        <f aca="false">IF(G5953&lt;Parametres!$B$8*Parametres!$B$7,0,MIN(G5953,Parametres!$B$7))</f>
        <v>200</v>
      </c>
      <c r="I5953" s="20" t="n">
        <f aca="false">G5953-H5953</f>
        <v>0</v>
      </c>
      <c r="J5953" s="21" t="n">
        <f aca="false">H5953*1000/Parametres!$B$9</f>
        <v>3391.55502798033</v>
      </c>
    </row>
    <row r="5954" customFormat="false" ht="15" hidden="false" customHeight="false" outlineLevel="0" collapsed="false">
      <c r="A5954" s="0" t="n">
        <v>5950</v>
      </c>
      <c r="B5954" s="0" t="n">
        <v>9</v>
      </c>
      <c r="C5954" s="19" t="n">
        <v>0</v>
      </c>
      <c r="D5954" s="19" t="n">
        <v>1</v>
      </c>
      <c r="E5954" s="20" t="n">
        <f aca="false">Parametres!$B$5*C5954</f>
        <v>0</v>
      </c>
      <c r="F5954" s="20" t="n">
        <f aca="false">Parametres!$B$6*D5954</f>
        <v>200</v>
      </c>
      <c r="G5954" s="20" t="n">
        <f aca="false">E5954+F5954</f>
        <v>200</v>
      </c>
      <c r="H5954" s="20" t="n">
        <f aca="false">IF(G5954&lt;Parametres!$B$8*Parametres!$B$7,0,MIN(G5954,Parametres!$B$7))</f>
        <v>200</v>
      </c>
      <c r="I5954" s="20" t="n">
        <f aca="false">G5954-H5954</f>
        <v>0</v>
      </c>
      <c r="J5954" s="21" t="n">
        <f aca="false">H5954*1000/Parametres!$B$9</f>
        <v>3391.55502798033</v>
      </c>
    </row>
    <row r="5955" customFormat="false" ht="15" hidden="false" customHeight="false" outlineLevel="0" collapsed="false">
      <c r="A5955" s="0" t="n">
        <v>5951</v>
      </c>
      <c r="B5955" s="0" t="n">
        <v>9</v>
      </c>
      <c r="C5955" s="19" t="n">
        <v>0</v>
      </c>
      <c r="D5955" s="19" t="n">
        <v>0.9138</v>
      </c>
      <c r="E5955" s="20" t="n">
        <f aca="false">Parametres!$B$5*C5955</f>
        <v>0</v>
      </c>
      <c r="F5955" s="20" t="n">
        <f aca="false">Parametres!$B$6*D5955</f>
        <v>182.76</v>
      </c>
      <c r="G5955" s="20" t="n">
        <f aca="false">E5955+F5955</f>
        <v>182.76</v>
      </c>
      <c r="H5955" s="20" t="n">
        <f aca="false">IF(G5955&lt;Parametres!$B$8*Parametres!$B$7,0,MIN(G5955,Parametres!$B$7))</f>
        <v>182.76</v>
      </c>
      <c r="I5955" s="20" t="n">
        <f aca="false">G5955-H5955</f>
        <v>0</v>
      </c>
      <c r="J5955" s="21" t="n">
        <f aca="false">H5955*1000/Parametres!$B$9</f>
        <v>3099.20298456842</v>
      </c>
    </row>
    <row r="5956" customFormat="false" ht="15" hidden="false" customHeight="false" outlineLevel="0" collapsed="false">
      <c r="A5956" s="0" t="n">
        <v>5952</v>
      </c>
      <c r="B5956" s="0" t="n">
        <v>9</v>
      </c>
      <c r="C5956" s="19" t="n">
        <v>0</v>
      </c>
      <c r="D5956" s="19" t="n">
        <v>1</v>
      </c>
      <c r="E5956" s="20" t="n">
        <f aca="false">Parametres!$B$5*C5956</f>
        <v>0</v>
      </c>
      <c r="F5956" s="20" t="n">
        <f aca="false">Parametres!$B$6*D5956</f>
        <v>200</v>
      </c>
      <c r="G5956" s="20" t="n">
        <f aca="false">E5956+F5956</f>
        <v>200</v>
      </c>
      <c r="H5956" s="20" t="n">
        <f aca="false">IF(G5956&lt;Parametres!$B$8*Parametres!$B$7,0,MIN(G5956,Parametres!$B$7))</f>
        <v>200</v>
      </c>
      <c r="I5956" s="20" t="n">
        <f aca="false">G5956-H5956</f>
        <v>0</v>
      </c>
      <c r="J5956" s="21" t="n">
        <f aca="false">H5956*1000/Parametres!$B$9</f>
        <v>3391.55502798033</v>
      </c>
    </row>
    <row r="5957" customFormat="false" ht="15" hidden="false" customHeight="false" outlineLevel="0" collapsed="false">
      <c r="A5957" s="0" t="n">
        <v>5953</v>
      </c>
      <c r="B5957" s="0" t="n">
        <v>9</v>
      </c>
      <c r="C5957" s="19" t="n">
        <v>0</v>
      </c>
      <c r="D5957" s="19" t="n">
        <v>1</v>
      </c>
      <c r="E5957" s="20" t="n">
        <f aca="false">Parametres!$B$5*C5957</f>
        <v>0</v>
      </c>
      <c r="F5957" s="20" t="n">
        <f aca="false">Parametres!$B$6*D5957</f>
        <v>200</v>
      </c>
      <c r="G5957" s="20" t="n">
        <f aca="false">E5957+F5957</f>
        <v>200</v>
      </c>
      <c r="H5957" s="20" t="n">
        <f aca="false">IF(G5957&lt;Parametres!$B$8*Parametres!$B$7,0,MIN(G5957,Parametres!$B$7))</f>
        <v>200</v>
      </c>
      <c r="I5957" s="20" t="n">
        <f aca="false">G5957-H5957</f>
        <v>0</v>
      </c>
      <c r="J5957" s="21" t="n">
        <f aca="false">H5957*1000/Parametres!$B$9</f>
        <v>3391.55502798033</v>
      </c>
    </row>
    <row r="5958" customFormat="false" ht="15" hidden="false" customHeight="false" outlineLevel="0" collapsed="false">
      <c r="A5958" s="0" t="n">
        <v>5954</v>
      </c>
      <c r="B5958" s="0" t="n">
        <v>9</v>
      </c>
      <c r="C5958" s="19" t="n">
        <v>0</v>
      </c>
      <c r="D5958" s="19" t="n">
        <v>1</v>
      </c>
      <c r="E5958" s="20" t="n">
        <f aca="false">Parametres!$B$5*C5958</f>
        <v>0</v>
      </c>
      <c r="F5958" s="20" t="n">
        <f aca="false">Parametres!$B$6*D5958</f>
        <v>200</v>
      </c>
      <c r="G5958" s="20" t="n">
        <f aca="false">E5958+F5958</f>
        <v>200</v>
      </c>
      <c r="H5958" s="20" t="n">
        <f aca="false">IF(G5958&lt;Parametres!$B$8*Parametres!$B$7,0,MIN(G5958,Parametres!$B$7))</f>
        <v>200</v>
      </c>
      <c r="I5958" s="20" t="n">
        <f aca="false">G5958-H5958</f>
        <v>0</v>
      </c>
      <c r="J5958" s="21" t="n">
        <f aca="false">H5958*1000/Parametres!$B$9</f>
        <v>3391.55502798033</v>
      </c>
    </row>
    <row r="5959" customFormat="false" ht="15" hidden="false" customHeight="false" outlineLevel="0" collapsed="false">
      <c r="A5959" s="0" t="n">
        <v>5955</v>
      </c>
      <c r="B5959" s="0" t="n">
        <v>9</v>
      </c>
      <c r="C5959" s="19" t="n">
        <v>0</v>
      </c>
      <c r="D5959" s="19" t="n">
        <v>1</v>
      </c>
      <c r="E5959" s="20" t="n">
        <f aca="false">Parametres!$B$5*C5959</f>
        <v>0</v>
      </c>
      <c r="F5959" s="20" t="n">
        <f aca="false">Parametres!$B$6*D5959</f>
        <v>200</v>
      </c>
      <c r="G5959" s="20" t="n">
        <f aca="false">E5959+F5959</f>
        <v>200</v>
      </c>
      <c r="H5959" s="20" t="n">
        <f aca="false">IF(G5959&lt;Parametres!$B$8*Parametres!$B$7,0,MIN(G5959,Parametres!$B$7))</f>
        <v>200</v>
      </c>
      <c r="I5959" s="20" t="n">
        <f aca="false">G5959-H5959</f>
        <v>0</v>
      </c>
      <c r="J5959" s="21" t="n">
        <f aca="false">H5959*1000/Parametres!$B$9</f>
        <v>3391.55502798033</v>
      </c>
    </row>
    <row r="5960" customFormat="false" ht="15" hidden="false" customHeight="false" outlineLevel="0" collapsed="false">
      <c r="A5960" s="0" t="n">
        <v>5956</v>
      </c>
      <c r="B5960" s="0" t="n">
        <v>9</v>
      </c>
      <c r="C5960" s="19" t="n">
        <v>0</v>
      </c>
      <c r="D5960" s="19" t="n">
        <v>1</v>
      </c>
      <c r="E5960" s="20" t="n">
        <f aca="false">Parametres!$B$5*C5960</f>
        <v>0</v>
      </c>
      <c r="F5960" s="20" t="n">
        <f aca="false">Parametres!$B$6*D5960</f>
        <v>200</v>
      </c>
      <c r="G5960" s="20" t="n">
        <f aca="false">E5960+F5960</f>
        <v>200</v>
      </c>
      <c r="H5960" s="20" t="n">
        <f aca="false">IF(G5960&lt;Parametres!$B$8*Parametres!$B$7,0,MIN(G5960,Parametres!$B$7))</f>
        <v>200</v>
      </c>
      <c r="I5960" s="20" t="n">
        <f aca="false">G5960-H5960</f>
        <v>0</v>
      </c>
      <c r="J5960" s="21" t="n">
        <f aca="false">H5960*1000/Parametres!$B$9</f>
        <v>3391.55502798033</v>
      </c>
    </row>
    <row r="5961" customFormat="false" ht="15" hidden="false" customHeight="false" outlineLevel="0" collapsed="false">
      <c r="A5961" s="0" t="n">
        <v>5957</v>
      </c>
      <c r="B5961" s="0" t="n">
        <v>9</v>
      </c>
      <c r="C5961" s="19" t="n">
        <v>0</v>
      </c>
      <c r="D5961" s="19" t="n">
        <v>0.7608</v>
      </c>
      <c r="E5961" s="20" t="n">
        <f aca="false">Parametres!$B$5*C5961</f>
        <v>0</v>
      </c>
      <c r="F5961" s="20" t="n">
        <f aca="false">Parametres!$B$6*D5961</f>
        <v>152.16</v>
      </c>
      <c r="G5961" s="20" t="n">
        <f aca="false">E5961+F5961</f>
        <v>152.16</v>
      </c>
      <c r="H5961" s="20" t="n">
        <f aca="false">IF(G5961&lt;Parametres!$B$8*Parametres!$B$7,0,MIN(G5961,Parametres!$B$7))</f>
        <v>152.16</v>
      </c>
      <c r="I5961" s="20" t="n">
        <f aca="false">G5961-H5961</f>
        <v>0</v>
      </c>
      <c r="J5961" s="21" t="n">
        <f aca="false">H5961*1000/Parametres!$B$9</f>
        <v>2580.29506528743</v>
      </c>
    </row>
    <row r="5962" customFormat="false" ht="15" hidden="false" customHeight="false" outlineLevel="0" collapsed="false">
      <c r="A5962" s="0" t="n">
        <v>5958</v>
      </c>
      <c r="B5962" s="0" t="n">
        <v>9</v>
      </c>
      <c r="C5962" s="19" t="n">
        <v>0</v>
      </c>
      <c r="D5962" s="19" t="n">
        <v>0.6551</v>
      </c>
      <c r="E5962" s="20" t="n">
        <f aca="false">Parametres!$B$5*C5962</f>
        <v>0</v>
      </c>
      <c r="F5962" s="20" t="n">
        <f aca="false">Parametres!$B$6*D5962</f>
        <v>131.02</v>
      </c>
      <c r="G5962" s="20" t="n">
        <f aca="false">E5962+F5962</f>
        <v>131.02</v>
      </c>
      <c r="H5962" s="20" t="n">
        <f aca="false">IF(G5962&lt;Parametres!$B$8*Parametres!$B$7,0,MIN(G5962,Parametres!$B$7))</f>
        <v>131.02</v>
      </c>
      <c r="I5962" s="20" t="n">
        <f aca="false">G5962-H5962</f>
        <v>0</v>
      </c>
      <c r="J5962" s="21" t="n">
        <f aca="false">H5962*1000/Parametres!$B$9</f>
        <v>2221.80769882991</v>
      </c>
    </row>
    <row r="5963" customFormat="false" ht="15" hidden="false" customHeight="false" outlineLevel="0" collapsed="false">
      <c r="A5963" s="0" t="n">
        <v>5959</v>
      </c>
      <c r="B5963" s="0" t="n">
        <v>9</v>
      </c>
      <c r="C5963" s="19" t="n">
        <v>0.1648</v>
      </c>
      <c r="D5963" s="19" t="n">
        <v>0.9757</v>
      </c>
      <c r="E5963" s="20" t="n">
        <f aca="false">Parametres!$B$5*C5963</f>
        <v>49.44</v>
      </c>
      <c r="F5963" s="20" t="n">
        <f aca="false">Parametres!$B$6*D5963</f>
        <v>195.14</v>
      </c>
      <c r="G5963" s="20" t="n">
        <f aca="false">E5963+F5963</f>
        <v>244.58</v>
      </c>
      <c r="H5963" s="20" t="n">
        <f aca="false">IF(G5963&lt;Parametres!$B$8*Parametres!$B$7,0,MIN(G5963,Parametres!$B$7))</f>
        <v>244.58</v>
      </c>
      <c r="I5963" s="20" t="n">
        <f aca="false">G5963-H5963</f>
        <v>0</v>
      </c>
      <c r="J5963" s="21" t="n">
        <f aca="false">H5963*1000/Parametres!$B$9</f>
        <v>4147.53264371714</v>
      </c>
    </row>
    <row r="5964" customFormat="false" ht="15" hidden="false" customHeight="false" outlineLevel="0" collapsed="false">
      <c r="A5964" s="0" t="n">
        <v>5960</v>
      </c>
      <c r="B5964" s="0" t="n">
        <v>9</v>
      </c>
      <c r="C5964" s="19" t="n">
        <v>0.4241</v>
      </c>
      <c r="D5964" s="19" t="n">
        <v>0.8185</v>
      </c>
      <c r="E5964" s="20" t="n">
        <f aca="false">Parametres!$B$5*C5964</f>
        <v>127.23</v>
      </c>
      <c r="F5964" s="20" t="n">
        <f aca="false">Parametres!$B$6*D5964</f>
        <v>163.7</v>
      </c>
      <c r="G5964" s="20" t="n">
        <f aca="false">E5964+F5964</f>
        <v>290.93</v>
      </c>
      <c r="H5964" s="20" t="n">
        <f aca="false">IF(G5964&lt;Parametres!$B$8*Parametres!$B$7,0,MIN(G5964,Parametres!$B$7))</f>
        <v>250</v>
      </c>
      <c r="I5964" s="20" t="n">
        <f aca="false">G5964-H5964</f>
        <v>40.93</v>
      </c>
      <c r="J5964" s="21" t="n">
        <f aca="false">H5964*1000/Parametres!$B$9</f>
        <v>4239.44378497541</v>
      </c>
    </row>
    <row r="5965" customFormat="false" ht="15" hidden="false" customHeight="false" outlineLevel="0" collapsed="false">
      <c r="A5965" s="0" t="n">
        <v>5961</v>
      </c>
      <c r="B5965" s="0" t="n">
        <v>9</v>
      </c>
      <c r="C5965" s="19" t="n">
        <v>0.6331</v>
      </c>
      <c r="D5965" s="19" t="n">
        <v>0.8824</v>
      </c>
      <c r="E5965" s="20" t="n">
        <f aca="false">Parametres!$B$5*C5965</f>
        <v>189.93</v>
      </c>
      <c r="F5965" s="20" t="n">
        <f aca="false">Parametres!$B$6*D5965</f>
        <v>176.48</v>
      </c>
      <c r="G5965" s="20" t="n">
        <f aca="false">E5965+F5965</f>
        <v>366.41</v>
      </c>
      <c r="H5965" s="20" t="n">
        <f aca="false">IF(G5965&lt;Parametres!$B$8*Parametres!$B$7,0,MIN(G5965,Parametres!$B$7))</f>
        <v>250</v>
      </c>
      <c r="I5965" s="20" t="n">
        <f aca="false">G5965-H5965</f>
        <v>116.41</v>
      </c>
      <c r="J5965" s="21" t="n">
        <f aca="false">H5965*1000/Parametres!$B$9</f>
        <v>4239.44378497541</v>
      </c>
    </row>
    <row r="5966" customFormat="false" ht="15" hidden="false" customHeight="false" outlineLevel="0" collapsed="false">
      <c r="A5966" s="0" t="n">
        <v>5962</v>
      </c>
      <c r="B5966" s="0" t="n">
        <v>9</v>
      </c>
      <c r="C5966" s="19" t="n">
        <v>0.8312</v>
      </c>
      <c r="D5966" s="19" t="n">
        <v>0.8237</v>
      </c>
      <c r="E5966" s="20" t="n">
        <f aca="false">Parametres!$B$5*C5966</f>
        <v>249.36</v>
      </c>
      <c r="F5966" s="20" t="n">
        <f aca="false">Parametres!$B$6*D5966</f>
        <v>164.74</v>
      </c>
      <c r="G5966" s="20" t="n">
        <f aca="false">E5966+F5966</f>
        <v>414.1</v>
      </c>
      <c r="H5966" s="20" t="n">
        <f aca="false">IF(G5966&lt;Parametres!$B$8*Parametres!$B$7,0,MIN(G5966,Parametres!$B$7))</f>
        <v>250</v>
      </c>
      <c r="I5966" s="20" t="n">
        <f aca="false">G5966-H5966</f>
        <v>164.1</v>
      </c>
      <c r="J5966" s="21" t="n">
        <f aca="false">H5966*1000/Parametres!$B$9</f>
        <v>4239.44378497541</v>
      </c>
    </row>
    <row r="5967" customFormat="false" ht="15" hidden="false" customHeight="false" outlineLevel="0" collapsed="false">
      <c r="A5967" s="0" t="n">
        <v>5963</v>
      </c>
      <c r="B5967" s="0" t="n">
        <v>9</v>
      </c>
      <c r="C5967" s="19" t="n">
        <v>1</v>
      </c>
      <c r="D5967" s="19" t="n">
        <v>0.9777</v>
      </c>
      <c r="E5967" s="20" t="n">
        <f aca="false">Parametres!$B$5*C5967</f>
        <v>300</v>
      </c>
      <c r="F5967" s="20" t="n">
        <f aca="false">Parametres!$B$6*D5967</f>
        <v>195.54</v>
      </c>
      <c r="G5967" s="20" t="n">
        <f aca="false">E5967+F5967</f>
        <v>495.54</v>
      </c>
      <c r="H5967" s="20" t="n">
        <f aca="false">IF(G5967&lt;Parametres!$B$8*Parametres!$B$7,0,MIN(G5967,Parametres!$B$7))</f>
        <v>250</v>
      </c>
      <c r="I5967" s="20" t="n">
        <f aca="false">G5967-H5967</f>
        <v>245.54</v>
      </c>
      <c r="J5967" s="21" t="n">
        <f aca="false">H5967*1000/Parametres!$B$9</f>
        <v>4239.44378497541</v>
      </c>
    </row>
    <row r="5968" customFormat="false" ht="15" hidden="false" customHeight="false" outlineLevel="0" collapsed="false">
      <c r="A5968" s="0" t="n">
        <v>5964</v>
      </c>
      <c r="B5968" s="0" t="n">
        <v>9</v>
      </c>
      <c r="C5968" s="19" t="n">
        <v>1</v>
      </c>
      <c r="D5968" s="19" t="n">
        <v>1</v>
      </c>
      <c r="E5968" s="20" t="n">
        <f aca="false">Parametres!$B$5*C5968</f>
        <v>300</v>
      </c>
      <c r="F5968" s="20" t="n">
        <f aca="false">Parametres!$B$6*D5968</f>
        <v>200</v>
      </c>
      <c r="G5968" s="20" t="n">
        <f aca="false">E5968+F5968</f>
        <v>500</v>
      </c>
      <c r="H5968" s="20" t="n">
        <f aca="false">IF(G5968&lt;Parametres!$B$8*Parametres!$B$7,0,MIN(G5968,Parametres!$B$7))</f>
        <v>250</v>
      </c>
      <c r="I5968" s="20" t="n">
        <f aca="false">G5968-H5968</f>
        <v>250</v>
      </c>
      <c r="J5968" s="21" t="n">
        <f aca="false">H5968*1000/Parametres!$B$9</f>
        <v>4239.44378497541</v>
      </c>
    </row>
    <row r="5969" customFormat="false" ht="15" hidden="false" customHeight="false" outlineLevel="0" collapsed="false">
      <c r="A5969" s="0" t="n">
        <v>5965</v>
      </c>
      <c r="B5969" s="0" t="n">
        <v>9</v>
      </c>
      <c r="C5969" s="19" t="n">
        <v>1</v>
      </c>
      <c r="D5969" s="19" t="n">
        <v>0.938</v>
      </c>
      <c r="E5969" s="20" t="n">
        <f aca="false">Parametres!$B$5*C5969</f>
        <v>300</v>
      </c>
      <c r="F5969" s="20" t="n">
        <f aca="false">Parametres!$B$6*D5969</f>
        <v>187.6</v>
      </c>
      <c r="G5969" s="20" t="n">
        <f aca="false">E5969+F5969</f>
        <v>487.6</v>
      </c>
      <c r="H5969" s="20" t="n">
        <f aca="false">IF(G5969&lt;Parametres!$B$8*Parametres!$B$7,0,MIN(G5969,Parametres!$B$7))</f>
        <v>250</v>
      </c>
      <c r="I5969" s="20" t="n">
        <f aca="false">G5969-H5969</f>
        <v>237.6</v>
      </c>
      <c r="J5969" s="21" t="n">
        <f aca="false">H5969*1000/Parametres!$B$9</f>
        <v>4239.44378497541</v>
      </c>
    </row>
    <row r="5970" customFormat="false" ht="15" hidden="false" customHeight="false" outlineLevel="0" collapsed="false">
      <c r="A5970" s="0" t="n">
        <v>5966</v>
      </c>
      <c r="B5970" s="0" t="n">
        <v>9</v>
      </c>
      <c r="C5970" s="19" t="n">
        <v>0.9689</v>
      </c>
      <c r="D5970" s="19" t="n">
        <v>1</v>
      </c>
      <c r="E5970" s="20" t="n">
        <f aca="false">Parametres!$B$5*C5970</f>
        <v>290.67</v>
      </c>
      <c r="F5970" s="20" t="n">
        <f aca="false">Parametres!$B$6*D5970</f>
        <v>200</v>
      </c>
      <c r="G5970" s="20" t="n">
        <f aca="false">E5970+F5970</f>
        <v>490.67</v>
      </c>
      <c r="H5970" s="20" t="n">
        <f aca="false">IF(G5970&lt;Parametres!$B$8*Parametres!$B$7,0,MIN(G5970,Parametres!$B$7))</f>
        <v>250</v>
      </c>
      <c r="I5970" s="20" t="n">
        <f aca="false">G5970-H5970</f>
        <v>240.67</v>
      </c>
      <c r="J5970" s="21" t="n">
        <f aca="false">H5970*1000/Parametres!$B$9</f>
        <v>4239.44378497541</v>
      </c>
    </row>
    <row r="5971" customFormat="false" ht="15" hidden="false" customHeight="false" outlineLevel="0" collapsed="false">
      <c r="A5971" s="0" t="n">
        <v>5967</v>
      </c>
      <c r="B5971" s="0" t="n">
        <v>9</v>
      </c>
      <c r="C5971" s="19" t="n">
        <v>0.8097</v>
      </c>
      <c r="D5971" s="19" t="n">
        <v>0.9617</v>
      </c>
      <c r="E5971" s="20" t="n">
        <f aca="false">Parametres!$B$5*C5971</f>
        <v>242.91</v>
      </c>
      <c r="F5971" s="20" t="n">
        <f aca="false">Parametres!$B$6*D5971</f>
        <v>192.34</v>
      </c>
      <c r="G5971" s="20" t="n">
        <f aca="false">E5971+F5971</f>
        <v>435.25</v>
      </c>
      <c r="H5971" s="20" t="n">
        <f aca="false">IF(G5971&lt;Parametres!$B$8*Parametres!$B$7,0,MIN(G5971,Parametres!$B$7))</f>
        <v>250</v>
      </c>
      <c r="I5971" s="20" t="n">
        <f aca="false">G5971-H5971</f>
        <v>185.25</v>
      </c>
      <c r="J5971" s="21" t="n">
        <f aca="false">H5971*1000/Parametres!$B$9</f>
        <v>4239.44378497541</v>
      </c>
    </row>
    <row r="5972" customFormat="false" ht="15" hidden="false" customHeight="false" outlineLevel="0" collapsed="false">
      <c r="A5972" s="0" t="n">
        <v>5968</v>
      </c>
      <c r="B5972" s="0" t="n">
        <v>9</v>
      </c>
      <c r="C5972" s="19" t="n">
        <v>0.607</v>
      </c>
      <c r="D5972" s="19" t="n">
        <v>1</v>
      </c>
      <c r="E5972" s="20" t="n">
        <f aca="false">Parametres!$B$5*C5972</f>
        <v>182.1</v>
      </c>
      <c r="F5972" s="20" t="n">
        <f aca="false">Parametres!$B$6*D5972</f>
        <v>200</v>
      </c>
      <c r="G5972" s="20" t="n">
        <f aca="false">E5972+F5972</f>
        <v>382.1</v>
      </c>
      <c r="H5972" s="20" t="n">
        <f aca="false">IF(G5972&lt;Parametres!$B$8*Parametres!$B$7,0,MIN(G5972,Parametres!$B$7))</f>
        <v>250</v>
      </c>
      <c r="I5972" s="20" t="n">
        <f aca="false">G5972-H5972</f>
        <v>132.1</v>
      </c>
      <c r="J5972" s="21" t="n">
        <f aca="false">H5972*1000/Parametres!$B$9</f>
        <v>4239.44378497541</v>
      </c>
    </row>
    <row r="5973" customFormat="false" ht="15" hidden="false" customHeight="false" outlineLevel="0" collapsed="false">
      <c r="A5973" s="0" t="n">
        <v>5969</v>
      </c>
      <c r="B5973" s="0" t="n">
        <v>9</v>
      </c>
      <c r="C5973" s="19" t="n">
        <v>0.3967</v>
      </c>
      <c r="D5973" s="19" t="n">
        <v>1</v>
      </c>
      <c r="E5973" s="20" t="n">
        <f aca="false">Parametres!$B$5*C5973</f>
        <v>119.01</v>
      </c>
      <c r="F5973" s="20" t="n">
        <f aca="false">Parametres!$B$6*D5973</f>
        <v>200</v>
      </c>
      <c r="G5973" s="20" t="n">
        <f aca="false">E5973+F5973</f>
        <v>319.01</v>
      </c>
      <c r="H5973" s="20" t="n">
        <f aca="false">IF(G5973&lt;Parametres!$B$8*Parametres!$B$7,0,MIN(G5973,Parametres!$B$7))</f>
        <v>250</v>
      </c>
      <c r="I5973" s="20" t="n">
        <f aca="false">G5973-H5973</f>
        <v>69.01</v>
      </c>
      <c r="J5973" s="21" t="n">
        <f aca="false">H5973*1000/Parametres!$B$9</f>
        <v>4239.44378497541</v>
      </c>
    </row>
    <row r="5974" customFormat="false" ht="15" hidden="false" customHeight="false" outlineLevel="0" collapsed="false">
      <c r="A5974" s="0" t="n">
        <v>5970</v>
      </c>
      <c r="B5974" s="0" t="n">
        <v>9</v>
      </c>
      <c r="C5974" s="19" t="n">
        <v>0.1458</v>
      </c>
      <c r="D5974" s="19" t="n">
        <v>1</v>
      </c>
      <c r="E5974" s="20" t="n">
        <f aca="false">Parametres!$B$5*C5974</f>
        <v>43.74</v>
      </c>
      <c r="F5974" s="20" t="n">
        <f aca="false">Parametres!$B$6*D5974</f>
        <v>200</v>
      </c>
      <c r="G5974" s="20" t="n">
        <f aca="false">E5974+F5974</f>
        <v>243.74</v>
      </c>
      <c r="H5974" s="20" t="n">
        <f aca="false">IF(G5974&lt;Parametres!$B$8*Parametres!$B$7,0,MIN(G5974,Parametres!$B$7))</f>
        <v>243.74</v>
      </c>
      <c r="I5974" s="20" t="n">
        <f aca="false">G5974-H5974</f>
        <v>0</v>
      </c>
      <c r="J5974" s="21" t="n">
        <f aca="false">H5974*1000/Parametres!$B$9</f>
        <v>4133.28811259963</v>
      </c>
    </row>
    <row r="5975" customFormat="false" ht="15" hidden="false" customHeight="false" outlineLevel="0" collapsed="false">
      <c r="A5975" s="0" t="n">
        <v>5971</v>
      </c>
      <c r="B5975" s="0" t="n">
        <v>9</v>
      </c>
      <c r="C5975" s="19" t="n">
        <v>0</v>
      </c>
      <c r="D5975" s="19" t="n">
        <v>1</v>
      </c>
      <c r="E5975" s="20" t="n">
        <f aca="false">Parametres!$B$5*C5975</f>
        <v>0</v>
      </c>
      <c r="F5975" s="20" t="n">
        <f aca="false">Parametres!$B$6*D5975</f>
        <v>200</v>
      </c>
      <c r="G5975" s="20" t="n">
        <f aca="false">E5975+F5975</f>
        <v>200</v>
      </c>
      <c r="H5975" s="20" t="n">
        <f aca="false">IF(G5975&lt;Parametres!$B$8*Parametres!$B$7,0,MIN(G5975,Parametres!$B$7))</f>
        <v>200</v>
      </c>
      <c r="I5975" s="20" t="n">
        <f aca="false">G5975-H5975</f>
        <v>0</v>
      </c>
      <c r="J5975" s="21" t="n">
        <f aca="false">H5975*1000/Parametres!$B$9</f>
        <v>3391.55502798033</v>
      </c>
    </row>
    <row r="5976" customFormat="false" ht="15" hidden="false" customHeight="false" outlineLevel="0" collapsed="false">
      <c r="A5976" s="0" t="n">
        <v>5972</v>
      </c>
      <c r="B5976" s="0" t="n">
        <v>9</v>
      </c>
      <c r="C5976" s="19" t="n">
        <v>0</v>
      </c>
      <c r="D5976" s="19" t="n">
        <v>1</v>
      </c>
      <c r="E5976" s="20" t="n">
        <f aca="false">Parametres!$B$5*C5976</f>
        <v>0</v>
      </c>
      <c r="F5976" s="20" t="n">
        <f aca="false">Parametres!$B$6*D5976</f>
        <v>200</v>
      </c>
      <c r="G5976" s="20" t="n">
        <f aca="false">E5976+F5976</f>
        <v>200</v>
      </c>
      <c r="H5976" s="20" t="n">
        <f aca="false">IF(G5976&lt;Parametres!$B$8*Parametres!$B$7,0,MIN(G5976,Parametres!$B$7))</f>
        <v>200</v>
      </c>
      <c r="I5976" s="20" t="n">
        <f aca="false">G5976-H5976</f>
        <v>0</v>
      </c>
      <c r="J5976" s="21" t="n">
        <f aca="false">H5976*1000/Parametres!$B$9</f>
        <v>3391.55502798033</v>
      </c>
    </row>
    <row r="5977" customFormat="false" ht="15" hidden="false" customHeight="false" outlineLevel="0" collapsed="false">
      <c r="A5977" s="0" t="n">
        <v>5973</v>
      </c>
      <c r="B5977" s="0" t="n">
        <v>9</v>
      </c>
      <c r="C5977" s="19" t="n">
        <v>0</v>
      </c>
      <c r="D5977" s="19" t="n">
        <v>1</v>
      </c>
      <c r="E5977" s="20" t="n">
        <f aca="false">Parametres!$B$5*C5977</f>
        <v>0</v>
      </c>
      <c r="F5977" s="20" t="n">
        <f aca="false">Parametres!$B$6*D5977</f>
        <v>200</v>
      </c>
      <c r="G5977" s="20" t="n">
        <f aca="false">E5977+F5977</f>
        <v>200</v>
      </c>
      <c r="H5977" s="20" t="n">
        <f aca="false">IF(G5977&lt;Parametres!$B$8*Parametres!$B$7,0,MIN(G5977,Parametres!$B$7))</f>
        <v>200</v>
      </c>
      <c r="I5977" s="20" t="n">
        <f aca="false">G5977-H5977</f>
        <v>0</v>
      </c>
      <c r="J5977" s="21" t="n">
        <f aca="false">H5977*1000/Parametres!$B$9</f>
        <v>3391.55502798033</v>
      </c>
    </row>
    <row r="5978" customFormat="false" ht="15" hidden="false" customHeight="false" outlineLevel="0" collapsed="false">
      <c r="A5978" s="0" t="n">
        <v>5974</v>
      </c>
      <c r="B5978" s="0" t="n">
        <v>9</v>
      </c>
      <c r="C5978" s="19" t="n">
        <v>0</v>
      </c>
      <c r="D5978" s="19" t="n">
        <v>1</v>
      </c>
      <c r="E5978" s="20" t="n">
        <f aca="false">Parametres!$B$5*C5978</f>
        <v>0</v>
      </c>
      <c r="F5978" s="20" t="n">
        <f aca="false">Parametres!$B$6*D5978</f>
        <v>200</v>
      </c>
      <c r="G5978" s="20" t="n">
        <f aca="false">E5978+F5978</f>
        <v>200</v>
      </c>
      <c r="H5978" s="20" t="n">
        <f aca="false">IF(G5978&lt;Parametres!$B$8*Parametres!$B$7,0,MIN(G5978,Parametres!$B$7))</f>
        <v>200</v>
      </c>
      <c r="I5978" s="20" t="n">
        <f aca="false">G5978-H5978</f>
        <v>0</v>
      </c>
      <c r="J5978" s="21" t="n">
        <f aca="false">H5978*1000/Parametres!$B$9</f>
        <v>3391.55502798033</v>
      </c>
    </row>
    <row r="5979" customFormat="false" ht="15" hidden="false" customHeight="false" outlineLevel="0" collapsed="false">
      <c r="A5979" s="0" t="n">
        <v>5975</v>
      </c>
      <c r="B5979" s="0" t="n">
        <v>9</v>
      </c>
      <c r="C5979" s="19" t="n">
        <v>0</v>
      </c>
      <c r="D5979" s="19" t="n">
        <v>1</v>
      </c>
      <c r="E5979" s="20" t="n">
        <f aca="false">Parametres!$B$5*C5979</f>
        <v>0</v>
      </c>
      <c r="F5979" s="20" t="n">
        <f aca="false">Parametres!$B$6*D5979</f>
        <v>200</v>
      </c>
      <c r="G5979" s="20" t="n">
        <f aca="false">E5979+F5979</f>
        <v>200</v>
      </c>
      <c r="H5979" s="20" t="n">
        <f aca="false">IF(G5979&lt;Parametres!$B$8*Parametres!$B$7,0,MIN(G5979,Parametres!$B$7))</f>
        <v>200</v>
      </c>
      <c r="I5979" s="20" t="n">
        <f aca="false">G5979-H5979</f>
        <v>0</v>
      </c>
      <c r="J5979" s="21" t="n">
        <f aca="false">H5979*1000/Parametres!$B$9</f>
        <v>3391.55502798033</v>
      </c>
    </row>
    <row r="5980" customFormat="false" ht="15" hidden="false" customHeight="false" outlineLevel="0" collapsed="false">
      <c r="A5980" s="0" t="n">
        <v>5976</v>
      </c>
      <c r="B5980" s="0" t="n">
        <v>9</v>
      </c>
      <c r="C5980" s="19" t="n">
        <v>0</v>
      </c>
      <c r="D5980" s="19" t="n">
        <v>1</v>
      </c>
      <c r="E5980" s="20" t="n">
        <f aca="false">Parametres!$B$5*C5980</f>
        <v>0</v>
      </c>
      <c r="F5980" s="20" t="n">
        <f aca="false">Parametres!$B$6*D5980</f>
        <v>200</v>
      </c>
      <c r="G5980" s="20" t="n">
        <f aca="false">E5980+F5980</f>
        <v>200</v>
      </c>
      <c r="H5980" s="20" t="n">
        <f aca="false">IF(G5980&lt;Parametres!$B$8*Parametres!$B$7,0,MIN(G5980,Parametres!$B$7))</f>
        <v>200</v>
      </c>
      <c r="I5980" s="20" t="n">
        <f aca="false">G5980-H5980</f>
        <v>0</v>
      </c>
      <c r="J5980" s="21" t="n">
        <f aca="false">H5980*1000/Parametres!$B$9</f>
        <v>3391.55502798033</v>
      </c>
    </row>
    <row r="5981" customFormat="false" ht="15" hidden="false" customHeight="false" outlineLevel="0" collapsed="false">
      <c r="A5981" s="0" t="n">
        <v>5977</v>
      </c>
      <c r="B5981" s="0" t="n">
        <v>9</v>
      </c>
      <c r="C5981" s="19" t="n">
        <v>0</v>
      </c>
      <c r="D5981" s="19" t="n">
        <v>1</v>
      </c>
      <c r="E5981" s="20" t="n">
        <f aca="false">Parametres!$B$5*C5981</f>
        <v>0</v>
      </c>
      <c r="F5981" s="20" t="n">
        <f aca="false">Parametres!$B$6*D5981</f>
        <v>200</v>
      </c>
      <c r="G5981" s="20" t="n">
        <f aca="false">E5981+F5981</f>
        <v>200</v>
      </c>
      <c r="H5981" s="20" t="n">
        <f aca="false">IF(G5981&lt;Parametres!$B$8*Parametres!$B$7,0,MIN(G5981,Parametres!$B$7))</f>
        <v>200</v>
      </c>
      <c r="I5981" s="20" t="n">
        <f aca="false">G5981-H5981</f>
        <v>0</v>
      </c>
      <c r="J5981" s="21" t="n">
        <f aca="false">H5981*1000/Parametres!$B$9</f>
        <v>3391.55502798033</v>
      </c>
    </row>
    <row r="5982" customFormat="false" ht="15" hidden="false" customHeight="false" outlineLevel="0" collapsed="false">
      <c r="A5982" s="0" t="n">
        <v>5978</v>
      </c>
      <c r="B5982" s="0" t="n">
        <v>9</v>
      </c>
      <c r="C5982" s="19" t="n">
        <v>0</v>
      </c>
      <c r="D5982" s="19" t="n">
        <v>1</v>
      </c>
      <c r="E5982" s="20" t="n">
        <f aca="false">Parametres!$B$5*C5982</f>
        <v>0</v>
      </c>
      <c r="F5982" s="20" t="n">
        <f aca="false">Parametres!$B$6*D5982</f>
        <v>200</v>
      </c>
      <c r="G5982" s="20" t="n">
        <f aca="false">E5982+F5982</f>
        <v>200</v>
      </c>
      <c r="H5982" s="20" t="n">
        <f aca="false">IF(G5982&lt;Parametres!$B$8*Parametres!$B$7,0,MIN(G5982,Parametres!$B$7))</f>
        <v>200</v>
      </c>
      <c r="I5982" s="20" t="n">
        <f aca="false">G5982-H5982</f>
        <v>0</v>
      </c>
      <c r="J5982" s="21" t="n">
        <f aca="false">H5982*1000/Parametres!$B$9</f>
        <v>3391.55502798033</v>
      </c>
    </row>
    <row r="5983" customFormat="false" ht="15" hidden="false" customHeight="false" outlineLevel="0" collapsed="false">
      <c r="A5983" s="0" t="n">
        <v>5979</v>
      </c>
      <c r="B5983" s="0" t="n">
        <v>9</v>
      </c>
      <c r="C5983" s="19" t="n">
        <v>0</v>
      </c>
      <c r="D5983" s="19" t="n">
        <v>1</v>
      </c>
      <c r="E5983" s="20" t="n">
        <f aca="false">Parametres!$B$5*C5983</f>
        <v>0</v>
      </c>
      <c r="F5983" s="20" t="n">
        <f aca="false">Parametres!$B$6*D5983</f>
        <v>200</v>
      </c>
      <c r="G5983" s="20" t="n">
        <f aca="false">E5983+F5983</f>
        <v>200</v>
      </c>
      <c r="H5983" s="20" t="n">
        <f aca="false">IF(G5983&lt;Parametres!$B$8*Parametres!$B$7,0,MIN(G5983,Parametres!$B$7))</f>
        <v>200</v>
      </c>
      <c r="I5983" s="20" t="n">
        <f aca="false">G5983-H5983</f>
        <v>0</v>
      </c>
      <c r="J5983" s="21" t="n">
        <f aca="false">H5983*1000/Parametres!$B$9</f>
        <v>3391.55502798033</v>
      </c>
    </row>
    <row r="5984" customFormat="false" ht="15" hidden="false" customHeight="false" outlineLevel="0" collapsed="false">
      <c r="A5984" s="0" t="n">
        <v>5980</v>
      </c>
      <c r="B5984" s="0" t="n">
        <v>9</v>
      </c>
      <c r="C5984" s="19" t="n">
        <v>0</v>
      </c>
      <c r="D5984" s="19" t="n">
        <v>1</v>
      </c>
      <c r="E5984" s="20" t="n">
        <f aca="false">Parametres!$B$5*C5984</f>
        <v>0</v>
      </c>
      <c r="F5984" s="20" t="n">
        <f aca="false">Parametres!$B$6*D5984</f>
        <v>200</v>
      </c>
      <c r="G5984" s="20" t="n">
        <f aca="false">E5984+F5984</f>
        <v>200</v>
      </c>
      <c r="H5984" s="20" t="n">
        <f aca="false">IF(G5984&lt;Parametres!$B$8*Parametres!$B$7,0,MIN(G5984,Parametres!$B$7))</f>
        <v>200</v>
      </c>
      <c r="I5984" s="20" t="n">
        <f aca="false">G5984-H5984</f>
        <v>0</v>
      </c>
      <c r="J5984" s="21" t="n">
        <f aca="false">H5984*1000/Parametres!$B$9</f>
        <v>3391.55502798033</v>
      </c>
    </row>
    <row r="5985" customFormat="false" ht="15" hidden="false" customHeight="false" outlineLevel="0" collapsed="false">
      <c r="A5985" s="0" t="n">
        <v>5981</v>
      </c>
      <c r="B5985" s="0" t="n">
        <v>9</v>
      </c>
      <c r="C5985" s="19" t="n">
        <v>0</v>
      </c>
      <c r="D5985" s="19" t="n">
        <v>1</v>
      </c>
      <c r="E5985" s="20" t="n">
        <f aca="false">Parametres!$B$5*C5985</f>
        <v>0</v>
      </c>
      <c r="F5985" s="20" t="n">
        <f aca="false">Parametres!$B$6*D5985</f>
        <v>200</v>
      </c>
      <c r="G5985" s="20" t="n">
        <f aca="false">E5985+F5985</f>
        <v>200</v>
      </c>
      <c r="H5985" s="20" t="n">
        <f aca="false">IF(G5985&lt;Parametres!$B$8*Parametres!$B$7,0,MIN(G5985,Parametres!$B$7))</f>
        <v>200</v>
      </c>
      <c r="I5985" s="20" t="n">
        <f aca="false">G5985-H5985</f>
        <v>0</v>
      </c>
      <c r="J5985" s="21" t="n">
        <f aca="false">H5985*1000/Parametres!$B$9</f>
        <v>3391.55502798033</v>
      </c>
    </row>
    <row r="5986" customFormat="false" ht="15" hidden="false" customHeight="false" outlineLevel="0" collapsed="false">
      <c r="A5986" s="0" t="n">
        <v>5982</v>
      </c>
      <c r="B5986" s="0" t="n">
        <v>9</v>
      </c>
      <c r="C5986" s="19" t="n">
        <v>0</v>
      </c>
      <c r="D5986" s="19" t="n">
        <v>1</v>
      </c>
      <c r="E5986" s="20" t="n">
        <f aca="false">Parametres!$B$5*C5986</f>
        <v>0</v>
      </c>
      <c r="F5986" s="20" t="n">
        <f aca="false">Parametres!$B$6*D5986</f>
        <v>200</v>
      </c>
      <c r="G5986" s="20" t="n">
        <f aca="false">E5986+F5986</f>
        <v>200</v>
      </c>
      <c r="H5986" s="20" t="n">
        <f aca="false">IF(G5986&lt;Parametres!$B$8*Parametres!$B$7,0,MIN(G5986,Parametres!$B$7))</f>
        <v>200</v>
      </c>
      <c r="I5986" s="20" t="n">
        <f aca="false">G5986-H5986</f>
        <v>0</v>
      </c>
      <c r="J5986" s="21" t="n">
        <f aca="false">H5986*1000/Parametres!$B$9</f>
        <v>3391.55502798033</v>
      </c>
    </row>
    <row r="5987" customFormat="false" ht="15" hidden="false" customHeight="false" outlineLevel="0" collapsed="false">
      <c r="A5987" s="0" t="n">
        <v>5983</v>
      </c>
      <c r="B5987" s="0" t="n">
        <v>9</v>
      </c>
      <c r="C5987" s="19" t="n">
        <v>0.1608</v>
      </c>
      <c r="D5987" s="19" t="n">
        <v>1</v>
      </c>
      <c r="E5987" s="20" t="n">
        <f aca="false">Parametres!$B$5*C5987</f>
        <v>48.24</v>
      </c>
      <c r="F5987" s="20" t="n">
        <f aca="false">Parametres!$B$6*D5987</f>
        <v>200</v>
      </c>
      <c r="G5987" s="20" t="n">
        <f aca="false">E5987+F5987</f>
        <v>248.24</v>
      </c>
      <c r="H5987" s="20" t="n">
        <f aca="false">IF(G5987&lt;Parametres!$B$8*Parametres!$B$7,0,MIN(G5987,Parametres!$B$7))</f>
        <v>248.24</v>
      </c>
      <c r="I5987" s="20" t="n">
        <f aca="false">G5987-H5987</f>
        <v>0</v>
      </c>
      <c r="J5987" s="21" t="n">
        <f aca="false">H5987*1000/Parametres!$B$9</f>
        <v>4209.59810072919</v>
      </c>
    </row>
    <row r="5988" customFormat="false" ht="15" hidden="false" customHeight="false" outlineLevel="0" collapsed="false">
      <c r="A5988" s="0" t="n">
        <v>5984</v>
      </c>
      <c r="B5988" s="0" t="n">
        <v>9</v>
      </c>
      <c r="C5988" s="19" t="n">
        <v>0.4257</v>
      </c>
      <c r="D5988" s="19" t="n">
        <v>1</v>
      </c>
      <c r="E5988" s="20" t="n">
        <f aca="false">Parametres!$B$5*C5988</f>
        <v>127.71</v>
      </c>
      <c r="F5988" s="20" t="n">
        <f aca="false">Parametres!$B$6*D5988</f>
        <v>200</v>
      </c>
      <c r="G5988" s="20" t="n">
        <f aca="false">E5988+F5988</f>
        <v>327.71</v>
      </c>
      <c r="H5988" s="20" t="n">
        <f aca="false">IF(G5988&lt;Parametres!$B$8*Parametres!$B$7,0,MIN(G5988,Parametres!$B$7))</f>
        <v>250</v>
      </c>
      <c r="I5988" s="20" t="n">
        <f aca="false">G5988-H5988</f>
        <v>77.71</v>
      </c>
      <c r="J5988" s="21" t="n">
        <f aca="false">H5988*1000/Parametres!$B$9</f>
        <v>4239.44378497541</v>
      </c>
    </row>
    <row r="5989" customFormat="false" ht="15" hidden="false" customHeight="false" outlineLevel="0" collapsed="false">
      <c r="A5989" s="0" t="n">
        <v>5985</v>
      </c>
      <c r="B5989" s="0" t="n">
        <v>9</v>
      </c>
      <c r="C5989" s="19" t="n">
        <v>0.6919</v>
      </c>
      <c r="D5989" s="19" t="n">
        <v>1</v>
      </c>
      <c r="E5989" s="20" t="n">
        <f aca="false">Parametres!$B$5*C5989</f>
        <v>207.57</v>
      </c>
      <c r="F5989" s="20" t="n">
        <f aca="false">Parametres!$B$6*D5989</f>
        <v>200</v>
      </c>
      <c r="G5989" s="20" t="n">
        <f aca="false">E5989+F5989</f>
        <v>407.57</v>
      </c>
      <c r="H5989" s="20" t="n">
        <f aca="false">IF(G5989&lt;Parametres!$B$8*Parametres!$B$7,0,MIN(G5989,Parametres!$B$7))</f>
        <v>250</v>
      </c>
      <c r="I5989" s="20" t="n">
        <f aca="false">G5989-H5989</f>
        <v>157.57</v>
      </c>
      <c r="J5989" s="21" t="n">
        <f aca="false">H5989*1000/Parametres!$B$9</f>
        <v>4239.44378497541</v>
      </c>
    </row>
    <row r="5990" customFormat="false" ht="15" hidden="false" customHeight="false" outlineLevel="0" collapsed="false">
      <c r="A5990" s="0" t="n">
        <v>5986</v>
      </c>
      <c r="B5990" s="0" t="n">
        <v>9</v>
      </c>
      <c r="C5990" s="19" t="n">
        <v>0.9736</v>
      </c>
      <c r="D5990" s="19" t="n">
        <v>1</v>
      </c>
      <c r="E5990" s="20" t="n">
        <f aca="false">Parametres!$B$5*C5990</f>
        <v>292.08</v>
      </c>
      <c r="F5990" s="20" t="n">
        <f aca="false">Parametres!$B$6*D5990</f>
        <v>200</v>
      </c>
      <c r="G5990" s="20" t="n">
        <f aca="false">E5990+F5990</f>
        <v>492.08</v>
      </c>
      <c r="H5990" s="20" t="n">
        <f aca="false">IF(G5990&lt;Parametres!$B$8*Parametres!$B$7,0,MIN(G5990,Parametres!$B$7))</f>
        <v>250</v>
      </c>
      <c r="I5990" s="20" t="n">
        <f aca="false">G5990-H5990</f>
        <v>242.08</v>
      </c>
      <c r="J5990" s="21" t="n">
        <f aca="false">H5990*1000/Parametres!$B$9</f>
        <v>4239.44378497541</v>
      </c>
    </row>
    <row r="5991" customFormat="false" ht="15" hidden="false" customHeight="false" outlineLevel="0" collapsed="false">
      <c r="A5991" s="0" t="n">
        <v>5987</v>
      </c>
      <c r="B5991" s="0" t="n">
        <v>9</v>
      </c>
      <c r="C5991" s="19" t="n">
        <v>1</v>
      </c>
      <c r="D5991" s="19" t="n">
        <v>1</v>
      </c>
      <c r="E5991" s="20" t="n">
        <f aca="false">Parametres!$B$5*C5991</f>
        <v>300</v>
      </c>
      <c r="F5991" s="20" t="n">
        <f aca="false">Parametres!$B$6*D5991</f>
        <v>200</v>
      </c>
      <c r="G5991" s="20" t="n">
        <f aca="false">E5991+F5991</f>
        <v>500</v>
      </c>
      <c r="H5991" s="20" t="n">
        <f aca="false">IF(G5991&lt;Parametres!$B$8*Parametres!$B$7,0,MIN(G5991,Parametres!$B$7))</f>
        <v>250</v>
      </c>
      <c r="I5991" s="20" t="n">
        <f aca="false">G5991-H5991</f>
        <v>250</v>
      </c>
      <c r="J5991" s="21" t="n">
        <f aca="false">H5991*1000/Parametres!$B$9</f>
        <v>4239.44378497541</v>
      </c>
    </row>
    <row r="5992" customFormat="false" ht="15" hidden="false" customHeight="false" outlineLevel="0" collapsed="false">
      <c r="A5992" s="0" t="n">
        <v>5988</v>
      </c>
      <c r="B5992" s="0" t="n">
        <v>9</v>
      </c>
      <c r="C5992" s="19" t="n">
        <v>1</v>
      </c>
      <c r="D5992" s="19" t="n">
        <v>1</v>
      </c>
      <c r="E5992" s="20" t="n">
        <f aca="false">Parametres!$B$5*C5992</f>
        <v>300</v>
      </c>
      <c r="F5992" s="20" t="n">
        <f aca="false">Parametres!$B$6*D5992</f>
        <v>200</v>
      </c>
      <c r="G5992" s="20" t="n">
        <f aca="false">E5992+F5992</f>
        <v>500</v>
      </c>
      <c r="H5992" s="20" t="n">
        <f aca="false">IF(G5992&lt;Parametres!$B$8*Parametres!$B$7,0,MIN(G5992,Parametres!$B$7))</f>
        <v>250</v>
      </c>
      <c r="I5992" s="20" t="n">
        <f aca="false">G5992-H5992</f>
        <v>250</v>
      </c>
      <c r="J5992" s="21" t="n">
        <f aca="false">H5992*1000/Parametres!$B$9</f>
        <v>4239.44378497541</v>
      </c>
    </row>
    <row r="5993" customFormat="false" ht="15" hidden="false" customHeight="false" outlineLevel="0" collapsed="false">
      <c r="A5993" s="0" t="n">
        <v>5989</v>
      </c>
      <c r="B5993" s="0" t="n">
        <v>9</v>
      </c>
      <c r="C5993" s="19" t="n">
        <v>1</v>
      </c>
      <c r="D5993" s="19" t="n">
        <v>1</v>
      </c>
      <c r="E5993" s="20" t="n">
        <f aca="false">Parametres!$B$5*C5993</f>
        <v>300</v>
      </c>
      <c r="F5993" s="20" t="n">
        <f aca="false">Parametres!$B$6*D5993</f>
        <v>200</v>
      </c>
      <c r="G5993" s="20" t="n">
        <f aca="false">E5993+F5993</f>
        <v>500</v>
      </c>
      <c r="H5993" s="20" t="n">
        <f aca="false">IF(G5993&lt;Parametres!$B$8*Parametres!$B$7,0,MIN(G5993,Parametres!$B$7))</f>
        <v>250</v>
      </c>
      <c r="I5993" s="20" t="n">
        <f aca="false">G5993-H5993</f>
        <v>250</v>
      </c>
      <c r="J5993" s="21" t="n">
        <f aca="false">H5993*1000/Parametres!$B$9</f>
        <v>4239.44378497541</v>
      </c>
    </row>
    <row r="5994" customFormat="false" ht="15" hidden="false" customHeight="false" outlineLevel="0" collapsed="false">
      <c r="A5994" s="0" t="n">
        <v>5990</v>
      </c>
      <c r="B5994" s="0" t="n">
        <v>9</v>
      </c>
      <c r="C5994" s="19" t="n">
        <v>1</v>
      </c>
      <c r="D5994" s="19" t="n">
        <v>1</v>
      </c>
      <c r="E5994" s="20" t="n">
        <f aca="false">Parametres!$B$5*C5994</f>
        <v>300</v>
      </c>
      <c r="F5994" s="20" t="n">
        <f aca="false">Parametres!$B$6*D5994</f>
        <v>200</v>
      </c>
      <c r="G5994" s="20" t="n">
        <f aca="false">E5994+F5994</f>
        <v>500</v>
      </c>
      <c r="H5994" s="20" t="n">
        <f aca="false">IF(G5994&lt;Parametres!$B$8*Parametres!$B$7,0,MIN(G5994,Parametres!$B$7))</f>
        <v>250</v>
      </c>
      <c r="I5994" s="20" t="n">
        <f aca="false">G5994-H5994</f>
        <v>250</v>
      </c>
      <c r="J5994" s="21" t="n">
        <f aca="false">H5994*1000/Parametres!$B$9</f>
        <v>4239.44378497541</v>
      </c>
    </row>
    <row r="5995" customFormat="false" ht="15" hidden="false" customHeight="false" outlineLevel="0" collapsed="false">
      <c r="A5995" s="0" t="n">
        <v>5991</v>
      </c>
      <c r="B5995" s="0" t="n">
        <v>9</v>
      </c>
      <c r="C5995" s="19" t="n">
        <v>0.9252</v>
      </c>
      <c r="D5995" s="19" t="n">
        <v>1</v>
      </c>
      <c r="E5995" s="20" t="n">
        <f aca="false">Parametres!$B$5*C5995</f>
        <v>277.56</v>
      </c>
      <c r="F5995" s="20" t="n">
        <f aca="false">Parametres!$B$6*D5995</f>
        <v>200</v>
      </c>
      <c r="G5995" s="20" t="n">
        <f aca="false">E5995+F5995</f>
        <v>477.56</v>
      </c>
      <c r="H5995" s="20" t="n">
        <f aca="false">IF(G5995&lt;Parametres!$B$8*Parametres!$B$7,0,MIN(G5995,Parametres!$B$7))</f>
        <v>250</v>
      </c>
      <c r="I5995" s="20" t="n">
        <f aca="false">G5995-H5995</f>
        <v>227.56</v>
      </c>
      <c r="J5995" s="21" t="n">
        <f aca="false">H5995*1000/Parametres!$B$9</f>
        <v>4239.44378497541</v>
      </c>
    </row>
    <row r="5996" customFormat="false" ht="15" hidden="false" customHeight="false" outlineLevel="0" collapsed="false">
      <c r="A5996" s="0" t="n">
        <v>5992</v>
      </c>
      <c r="B5996" s="0" t="n">
        <v>9</v>
      </c>
      <c r="C5996" s="19" t="n">
        <v>0.7137</v>
      </c>
      <c r="D5996" s="19" t="n">
        <v>1</v>
      </c>
      <c r="E5996" s="20" t="n">
        <f aca="false">Parametres!$B$5*C5996</f>
        <v>214.11</v>
      </c>
      <c r="F5996" s="20" t="n">
        <f aca="false">Parametres!$B$6*D5996</f>
        <v>200</v>
      </c>
      <c r="G5996" s="20" t="n">
        <f aca="false">E5996+F5996</f>
        <v>414.11</v>
      </c>
      <c r="H5996" s="20" t="n">
        <f aca="false">IF(G5996&lt;Parametres!$B$8*Parametres!$B$7,0,MIN(G5996,Parametres!$B$7))</f>
        <v>250</v>
      </c>
      <c r="I5996" s="20" t="n">
        <f aca="false">G5996-H5996</f>
        <v>164.11</v>
      </c>
      <c r="J5996" s="21" t="n">
        <f aca="false">H5996*1000/Parametres!$B$9</f>
        <v>4239.44378497541</v>
      </c>
    </row>
    <row r="5997" customFormat="false" ht="15" hidden="false" customHeight="false" outlineLevel="0" collapsed="false">
      <c r="A5997" s="0" t="n">
        <v>5993</v>
      </c>
      <c r="B5997" s="0" t="n">
        <v>9</v>
      </c>
      <c r="C5997" s="19" t="n">
        <v>0.441</v>
      </c>
      <c r="D5997" s="19" t="n">
        <v>1</v>
      </c>
      <c r="E5997" s="20" t="n">
        <f aca="false">Parametres!$B$5*C5997</f>
        <v>132.3</v>
      </c>
      <c r="F5997" s="20" t="n">
        <f aca="false">Parametres!$B$6*D5997</f>
        <v>200</v>
      </c>
      <c r="G5997" s="20" t="n">
        <f aca="false">E5997+F5997</f>
        <v>332.3</v>
      </c>
      <c r="H5997" s="20" t="n">
        <f aca="false">IF(G5997&lt;Parametres!$B$8*Parametres!$B$7,0,MIN(G5997,Parametres!$B$7))</f>
        <v>250</v>
      </c>
      <c r="I5997" s="20" t="n">
        <f aca="false">G5997-H5997</f>
        <v>82.3</v>
      </c>
      <c r="J5997" s="21" t="n">
        <f aca="false">H5997*1000/Parametres!$B$9</f>
        <v>4239.44378497541</v>
      </c>
    </row>
    <row r="5998" customFormat="false" ht="15" hidden="false" customHeight="false" outlineLevel="0" collapsed="false">
      <c r="A5998" s="0" t="n">
        <v>5994</v>
      </c>
      <c r="B5998" s="0" t="n">
        <v>9</v>
      </c>
      <c r="C5998" s="19" t="n">
        <v>0.1585</v>
      </c>
      <c r="D5998" s="19" t="n">
        <v>1</v>
      </c>
      <c r="E5998" s="20" t="n">
        <f aca="false">Parametres!$B$5*C5998</f>
        <v>47.55</v>
      </c>
      <c r="F5998" s="20" t="n">
        <f aca="false">Parametres!$B$6*D5998</f>
        <v>200</v>
      </c>
      <c r="G5998" s="20" t="n">
        <f aca="false">E5998+F5998</f>
        <v>247.55</v>
      </c>
      <c r="H5998" s="20" t="n">
        <f aca="false">IF(G5998&lt;Parametres!$B$8*Parametres!$B$7,0,MIN(G5998,Parametres!$B$7))</f>
        <v>247.55</v>
      </c>
      <c r="I5998" s="20" t="n">
        <f aca="false">G5998-H5998</f>
        <v>0</v>
      </c>
      <c r="J5998" s="21" t="n">
        <f aca="false">H5998*1000/Parametres!$B$9</f>
        <v>4197.89723588265</v>
      </c>
    </row>
    <row r="5999" customFormat="false" ht="15" hidden="false" customHeight="false" outlineLevel="0" collapsed="false">
      <c r="A5999" s="0" t="n">
        <v>5995</v>
      </c>
      <c r="B5999" s="0" t="n">
        <v>9</v>
      </c>
      <c r="C5999" s="19" t="n">
        <v>0</v>
      </c>
      <c r="D5999" s="19" t="n">
        <v>1</v>
      </c>
      <c r="E5999" s="20" t="n">
        <f aca="false">Parametres!$B$5*C5999</f>
        <v>0</v>
      </c>
      <c r="F5999" s="20" t="n">
        <f aca="false">Parametres!$B$6*D5999</f>
        <v>200</v>
      </c>
      <c r="G5999" s="20" t="n">
        <f aca="false">E5999+F5999</f>
        <v>200</v>
      </c>
      <c r="H5999" s="20" t="n">
        <f aca="false">IF(G5999&lt;Parametres!$B$8*Parametres!$B$7,0,MIN(G5999,Parametres!$B$7))</f>
        <v>200</v>
      </c>
      <c r="I5999" s="20" t="n">
        <f aca="false">G5999-H5999</f>
        <v>0</v>
      </c>
      <c r="J5999" s="21" t="n">
        <f aca="false">H5999*1000/Parametres!$B$9</f>
        <v>3391.55502798033</v>
      </c>
    </row>
    <row r="6000" customFormat="false" ht="15" hidden="false" customHeight="false" outlineLevel="0" collapsed="false">
      <c r="A6000" s="0" t="n">
        <v>5996</v>
      </c>
      <c r="B6000" s="0" t="n">
        <v>9</v>
      </c>
      <c r="C6000" s="19" t="n">
        <v>0</v>
      </c>
      <c r="D6000" s="19" t="n">
        <v>1</v>
      </c>
      <c r="E6000" s="20" t="n">
        <f aca="false">Parametres!$B$5*C6000</f>
        <v>0</v>
      </c>
      <c r="F6000" s="20" t="n">
        <f aca="false">Parametres!$B$6*D6000</f>
        <v>200</v>
      </c>
      <c r="G6000" s="20" t="n">
        <f aca="false">E6000+F6000</f>
        <v>200</v>
      </c>
      <c r="H6000" s="20" t="n">
        <f aca="false">IF(G6000&lt;Parametres!$B$8*Parametres!$B$7,0,MIN(G6000,Parametres!$B$7))</f>
        <v>200</v>
      </c>
      <c r="I6000" s="20" t="n">
        <f aca="false">G6000-H6000</f>
        <v>0</v>
      </c>
      <c r="J6000" s="21" t="n">
        <f aca="false">H6000*1000/Parametres!$B$9</f>
        <v>3391.55502798033</v>
      </c>
    </row>
    <row r="6001" customFormat="false" ht="15" hidden="false" customHeight="false" outlineLevel="0" collapsed="false">
      <c r="A6001" s="0" t="n">
        <v>5997</v>
      </c>
      <c r="B6001" s="0" t="n">
        <v>9</v>
      </c>
      <c r="C6001" s="19" t="n">
        <v>0</v>
      </c>
      <c r="D6001" s="19" t="n">
        <v>1</v>
      </c>
      <c r="E6001" s="20" t="n">
        <f aca="false">Parametres!$B$5*C6001</f>
        <v>0</v>
      </c>
      <c r="F6001" s="20" t="n">
        <f aca="false">Parametres!$B$6*D6001</f>
        <v>200</v>
      </c>
      <c r="G6001" s="20" t="n">
        <f aca="false">E6001+F6001</f>
        <v>200</v>
      </c>
      <c r="H6001" s="20" t="n">
        <f aca="false">IF(G6001&lt;Parametres!$B$8*Parametres!$B$7,0,MIN(G6001,Parametres!$B$7))</f>
        <v>200</v>
      </c>
      <c r="I6001" s="20" t="n">
        <f aca="false">G6001-H6001</f>
        <v>0</v>
      </c>
      <c r="J6001" s="21" t="n">
        <f aca="false">H6001*1000/Parametres!$B$9</f>
        <v>3391.55502798033</v>
      </c>
    </row>
    <row r="6002" customFormat="false" ht="15" hidden="false" customHeight="false" outlineLevel="0" collapsed="false">
      <c r="A6002" s="0" t="n">
        <v>5998</v>
      </c>
      <c r="B6002" s="0" t="n">
        <v>9</v>
      </c>
      <c r="C6002" s="19" t="n">
        <v>0</v>
      </c>
      <c r="D6002" s="19" t="n">
        <v>1</v>
      </c>
      <c r="E6002" s="20" t="n">
        <f aca="false">Parametres!$B$5*C6002</f>
        <v>0</v>
      </c>
      <c r="F6002" s="20" t="n">
        <f aca="false">Parametres!$B$6*D6002</f>
        <v>200</v>
      </c>
      <c r="G6002" s="20" t="n">
        <f aca="false">E6002+F6002</f>
        <v>200</v>
      </c>
      <c r="H6002" s="20" t="n">
        <f aca="false">IF(G6002&lt;Parametres!$B$8*Parametres!$B$7,0,MIN(G6002,Parametres!$B$7))</f>
        <v>200</v>
      </c>
      <c r="I6002" s="20" t="n">
        <f aca="false">G6002-H6002</f>
        <v>0</v>
      </c>
      <c r="J6002" s="21" t="n">
        <f aca="false">H6002*1000/Parametres!$B$9</f>
        <v>3391.55502798033</v>
      </c>
    </row>
    <row r="6003" customFormat="false" ht="15" hidden="false" customHeight="false" outlineLevel="0" collapsed="false">
      <c r="A6003" s="0" t="n">
        <v>5999</v>
      </c>
      <c r="B6003" s="0" t="n">
        <v>9</v>
      </c>
      <c r="C6003" s="19" t="n">
        <v>0</v>
      </c>
      <c r="D6003" s="19" t="n">
        <v>0.6979</v>
      </c>
      <c r="E6003" s="20" t="n">
        <f aca="false">Parametres!$B$5*C6003</f>
        <v>0</v>
      </c>
      <c r="F6003" s="20" t="n">
        <f aca="false">Parametres!$B$6*D6003</f>
        <v>139.58</v>
      </c>
      <c r="G6003" s="20" t="n">
        <f aca="false">E6003+F6003</f>
        <v>139.58</v>
      </c>
      <c r="H6003" s="20" t="n">
        <f aca="false">IF(G6003&lt;Parametres!$B$8*Parametres!$B$7,0,MIN(G6003,Parametres!$B$7))</f>
        <v>139.58</v>
      </c>
      <c r="I6003" s="20" t="n">
        <f aca="false">G6003-H6003</f>
        <v>0</v>
      </c>
      <c r="J6003" s="21" t="n">
        <f aca="false">H6003*1000/Parametres!$B$9</f>
        <v>2366.96625402747</v>
      </c>
    </row>
    <row r="6004" customFormat="false" ht="15" hidden="false" customHeight="false" outlineLevel="0" collapsed="false">
      <c r="A6004" s="0" t="n">
        <v>6000</v>
      </c>
      <c r="B6004" s="0" t="n">
        <v>9</v>
      </c>
      <c r="C6004" s="19" t="n">
        <v>0</v>
      </c>
      <c r="D6004" s="19" t="n">
        <v>0.5633</v>
      </c>
      <c r="E6004" s="20" t="n">
        <f aca="false">Parametres!$B$5*C6004</f>
        <v>0</v>
      </c>
      <c r="F6004" s="20" t="n">
        <f aca="false">Parametres!$B$6*D6004</f>
        <v>112.66</v>
      </c>
      <c r="G6004" s="20" t="n">
        <f aca="false">E6004+F6004</f>
        <v>112.66</v>
      </c>
      <c r="H6004" s="20" t="n">
        <f aca="false">IF(G6004&lt;Parametres!$B$8*Parametres!$B$7,0,MIN(G6004,Parametres!$B$7))</f>
        <v>112.66</v>
      </c>
      <c r="I6004" s="20" t="n">
        <f aca="false">G6004-H6004</f>
        <v>0</v>
      </c>
      <c r="J6004" s="21" t="n">
        <f aca="false">H6004*1000/Parametres!$B$9</f>
        <v>1910.46294726132</v>
      </c>
    </row>
    <row r="6005" customFormat="false" ht="15" hidden="false" customHeight="false" outlineLevel="0" collapsed="false">
      <c r="A6005" s="0" t="n">
        <v>6001</v>
      </c>
      <c r="B6005" s="0" t="n">
        <v>9</v>
      </c>
      <c r="C6005" s="19" t="n">
        <v>0</v>
      </c>
      <c r="D6005" s="19" t="n">
        <v>0.306</v>
      </c>
      <c r="E6005" s="20" t="n">
        <f aca="false">Parametres!$B$5*C6005</f>
        <v>0</v>
      </c>
      <c r="F6005" s="20" t="n">
        <f aca="false">Parametres!$B$6*D6005</f>
        <v>61.2</v>
      </c>
      <c r="G6005" s="20" t="n">
        <f aca="false">E6005+F6005</f>
        <v>61.2</v>
      </c>
      <c r="H6005" s="20" t="n">
        <f aca="false">IF(G6005&lt;Parametres!$B$8*Parametres!$B$7,0,MIN(G6005,Parametres!$B$7))</f>
        <v>61.2</v>
      </c>
      <c r="I6005" s="20" t="n">
        <f aca="false">G6005-H6005</f>
        <v>0</v>
      </c>
      <c r="J6005" s="21" t="n">
        <f aca="false">H6005*1000/Parametres!$B$9</f>
        <v>1037.81583856198</v>
      </c>
    </row>
    <row r="6006" customFormat="false" ht="15" hidden="false" customHeight="false" outlineLevel="0" collapsed="false">
      <c r="A6006" s="0" t="n">
        <v>6002</v>
      </c>
      <c r="B6006" s="0" t="n">
        <v>9</v>
      </c>
      <c r="C6006" s="19" t="n">
        <v>0</v>
      </c>
      <c r="D6006" s="19" t="n">
        <v>0.315</v>
      </c>
      <c r="E6006" s="20" t="n">
        <f aca="false">Parametres!$B$5*C6006</f>
        <v>0</v>
      </c>
      <c r="F6006" s="20" t="n">
        <f aca="false">Parametres!$B$6*D6006</f>
        <v>63</v>
      </c>
      <c r="G6006" s="20" t="n">
        <f aca="false">E6006+F6006</f>
        <v>63</v>
      </c>
      <c r="H6006" s="20" t="n">
        <f aca="false">IF(G6006&lt;Parametres!$B$8*Parametres!$B$7,0,MIN(G6006,Parametres!$B$7))</f>
        <v>63</v>
      </c>
      <c r="I6006" s="20" t="n">
        <f aca="false">G6006-H6006</f>
        <v>0</v>
      </c>
      <c r="J6006" s="21" t="n">
        <f aca="false">H6006*1000/Parametres!$B$9</f>
        <v>1068.3398338138</v>
      </c>
    </row>
    <row r="6007" customFormat="false" ht="15" hidden="false" customHeight="false" outlineLevel="0" collapsed="false">
      <c r="A6007" s="0" t="n">
        <v>6003</v>
      </c>
      <c r="B6007" s="0" t="n">
        <v>9</v>
      </c>
      <c r="C6007" s="19" t="n">
        <v>0</v>
      </c>
      <c r="D6007" s="19" t="n">
        <v>0.433</v>
      </c>
      <c r="E6007" s="20" t="n">
        <f aca="false">Parametres!$B$5*C6007</f>
        <v>0</v>
      </c>
      <c r="F6007" s="20" t="n">
        <f aca="false">Parametres!$B$6*D6007</f>
        <v>86.6</v>
      </c>
      <c r="G6007" s="20" t="n">
        <f aca="false">E6007+F6007</f>
        <v>86.6</v>
      </c>
      <c r="H6007" s="20" t="n">
        <f aca="false">IF(G6007&lt;Parametres!$B$8*Parametres!$B$7,0,MIN(G6007,Parametres!$B$7))</f>
        <v>86.6</v>
      </c>
      <c r="I6007" s="20" t="n">
        <f aca="false">G6007-H6007</f>
        <v>0</v>
      </c>
      <c r="J6007" s="21" t="n">
        <f aca="false">H6007*1000/Parametres!$B$9</f>
        <v>1468.54332711548</v>
      </c>
    </row>
    <row r="6008" customFormat="false" ht="15" hidden="false" customHeight="false" outlineLevel="0" collapsed="false">
      <c r="A6008" s="0" t="n">
        <v>6004</v>
      </c>
      <c r="B6008" s="0" t="n">
        <v>9</v>
      </c>
      <c r="C6008" s="19" t="n">
        <v>0</v>
      </c>
      <c r="D6008" s="19" t="n">
        <v>0.6317</v>
      </c>
      <c r="E6008" s="20" t="n">
        <f aca="false">Parametres!$B$5*C6008</f>
        <v>0</v>
      </c>
      <c r="F6008" s="20" t="n">
        <f aca="false">Parametres!$B$6*D6008</f>
        <v>126.34</v>
      </c>
      <c r="G6008" s="20" t="n">
        <f aca="false">E6008+F6008</f>
        <v>126.34</v>
      </c>
      <c r="H6008" s="20" t="n">
        <f aca="false">IF(G6008&lt;Parametres!$B$8*Parametres!$B$7,0,MIN(G6008,Parametres!$B$7))</f>
        <v>126.34</v>
      </c>
      <c r="I6008" s="20" t="n">
        <f aca="false">G6008-H6008</f>
        <v>0</v>
      </c>
      <c r="J6008" s="21" t="n">
        <f aca="false">H6008*1000/Parametres!$B$9</f>
        <v>2142.44531117517</v>
      </c>
    </row>
    <row r="6009" customFormat="false" ht="15" hidden="false" customHeight="false" outlineLevel="0" collapsed="false">
      <c r="A6009" s="0" t="n">
        <v>6005</v>
      </c>
      <c r="B6009" s="0" t="n">
        <v>9</v>
      </c>
      <c r="C6009" s="19" t="n">
        <v>0</v>
      </c>
      <c r="D6009" s="19" t="n">
        <v>0.86</v>
      </c>
      <c r="E6009" s="20" t="n">
        <f aca="false">Parametres!$B$5*C6009</f>
        <v>0</v>
      </c>
      <c r="F6009" s="20" t="n">
        <f aca="false">Parametres!$B$6*D6009</f>
        <v>172</v>
      </c>
      <c r="G6009" s="20" t="n">
        <f aca="false">E6009+F6009</f>
        <v>172</v>
      </c>
      <c r="H6009" s="20" t="n">
        <f aca="false">IF(G6009&lt;Parametres!$B$8*Parametres!$B$7,0,MIN(G6009,Parametres!$B$7))</f>
        <v>172</v>
      </c>
      <c r="I6009" s="20" t="n">
        <f aca="false">G6009-H6009</f>
        <v>0</v>
      </c>
      <c r="J6009" s="21" t="n">
        <f aca="false">H6009*1000/Parametres!$B$9</f>
        <v>2916.73732406308</v>
      </c>
    </row>
    <row r="6010" customFormat="false" ht="15" hidden="false" customHeight="false" outlineLevel="0" collapsed="false">
      <c r="A6010" s="0" t="n">
        <v>6006</v>
      </c>
      <c r="B6010" s="0" t="n">
        <v>9</v>
      </c>
      <c r="C6010" s="19" t="n">
        <v>0</v>
      </c>
      <c r="D6010" s="19" t="n">
        <v>0.72</v>
      </c>
      <c r="E6010" s="20" t="n">
        <f aca="false">Parametres!$B$5*C6010</f>
        <v>0</v>
      </c>
      <c r="F6010" s="20" t="n">
        <f aca="false">Parametres!$B$6*D6010</f>
        <v>144</v>
      </c>
      <c r="G6010" s="20" t="n">
        <f aca="false">E6010+F6010</f>
        <v>144</v>
      </c>
      <c r="H6010" s="20" t="n">
        <f aca="false">IF(G6010&lt;Parametres!$B$8*Parametres!$B$7,0,MIN(G6010,Parametres!$B$7))</f>
        <v>144</v>
      </c>
      <c r="I6010" s="20" t="n">
        <f aca="false">G6010-H6010</f>
        <v>0</v>
      </c>
      <c r="J6010" s="21" t="n">
        <f aca="false">H6010*1000/Parametres!$B$9</f>
        <v>2441.91962014584</v>
      </c>
    </row>
    <row r="6011" customFormat="false" ht="15" hidden="false" customHeight="false" outlineLevel="0" collapsed="false">
      <c r="A6011" s="0" t="n">
        <v>6007</v>
      </c>
      <c r="B6011" s="0" t="n">
        <v>9</v>
      </c>
      <c r="C6011" s="19" t="n">
        <v>0.1463</v>
      </c>
      <c r="D6011" s="19" t="n">
        <v>0.689</v>
      </c>
      <c r="E6011" s="20" t="n">
        <f aca="false">Parametres!$B$5*C6011</f>
        <v>43.89</v>
      </c>
      <c r="F6011" s="20" t="n">
        <f aca="false">Parametres!$B$6*D6011</f>
        <v>137.8</v>
      </c>
      <c r="G6011" s="20" t="n">
        <f aca="false">E6011+F6011</f>
        <v>181.69</v>
      </c>
      <c r="H6011" s="20" t="n">
        <f aca="false">IF(G6011&lt;Parametres!$B$8*Parametres!$B$7,0,MIN(G6011,Parametres!$B$7))</f>
        <v>181.69</v>
      </c>
      <c r="I6011" s="20" t="n">
        <f aca="false">G6011-H6011</f>
        <v>0</v>
      </c>
      <c r="J6011" s="21" t="n">
        <f aca="false">H6011*1000/Parametres!$B$9</f>
        <v>3081.05816516873</v>
      </c>
    </row>
    <row r="6012" customFormat="false" ht="15" hidden="false" customHeight="false" outlineLevel="0" collapsed="false">
      <c r="A6012" s="0" t="n">
        <v>6008</v>
      </c>
      <c r="B6012" s="0" t="n">
        <v>9</v>
      </c>
      <c r="C6012" s="19" t="n">
        <v>0.3948</v>
      </c>
      <c r="D6012" s="19" t="n">
        <v>0.8089</v>
      </c>
      <c r="E6012" s="20" t="n">
        <f aca="false">Parametres!$B$5*C6012</f>
        <v>118.44</v>
      </c>
      <c r="F6012" s="20" t="n">
        <f aca="false">Parametres!$B$6*D6012</f>
        <v>161.78</v>
      </c>
      <c r="G6012" s="20" t="n">
        <f aca="false">E6012+F6012</f>
        <v>280.22</v>
      </c>
      <c r="H6012" s="20" t="n">
        <f aca="false">IF(G6012&lt;Parametres!$B$8*Parametres!$B$7,0,MIN(G6012,Parametres!$B$7))</f>
        <v>250</v>
      </c>
      <c r="I6012" s="20" t="n">
        <f aca="false">G6012-H6012</f>
        <v>30.22</v>
      </c>
      <c r="J6012" s="21" t="n">
        <f aca="false">H6012*1000/Parametres!$B$9</f>
        <v>4239.44378497541</v>
      </c>
    </row>
    <row r="6013" customFormat="false" ht="15" hidden="false" customHeight="false" outlineLevel="0" collapsed="false">
      <c r="A6013" s="0" t="n">
        <v>6009</v>
      </c>
      <c r="B6013" s="0" t="n">
        <v>9</v>
      </c>
      <c r="C6013" s="19" t="n">
        <v>0.6335</v>
      </c>
      <c r="D6013" s="19" t="n">
        <v>0.8877</v>
      </c>
      <c r="E6013" s="20" t="n">
        <f aca="false">Parametres!$B$5*C6013</f>
        <v>190.05</v>
      </c>
      <c r="F6013" s="20" t="n">
        <f aca="false">Parametres!$B$6*D6013</f>
        <v>177.54</v>
      </c>
      <c r="G6013" s="20" t="n">
        <f aca="false">E6013+F6013</f>
        <v>367.59</v>
      </c>
      <c r="H6013" s="20" t="n">
        <f aca="false">IF(G6013&lt;Parametres!$B$8*Parametres!$B$7,0,MIN(G6013,Parametres!$B$7))</f>
        <v>250</v>
      </c>
      <c r="I6013" s="20" t="n">
        <f aca="false">G6013-H6013</f>
        <v>117.59</v>
      </c>
      <c r="J6013" s="21" t="n">
        <f aca="false">H6013*1000/Parametres!$B$9</f>
        <v>4239.44378497541</v>
      </c>
    </row>
    <row r="6014" customFormat="false" ht="15" hidden="false" customHeight="false" outlineLevel="0" collapsed="false">
      <c r="A6014" s="0" t="n">
        <v>6010</v>
      </c>
      <c r="B6014" s="0" t="n">
        <v>9</v>
      </c>
      <c r="C6014" s="19" t="n">
        <v>0.8668</v>
      </c>
      <c r="D6014" s="19" t="n">
        <v>0.865</v>
      </c>
      <c r="E6014" s="20" t="n">
        <f aca="false">Parametres!$B$5*C6014</f>
        <v>260.04</v>
      </c>
      <c r="F6014" s="20" t="n">
        <f aca="false">Parametres!$B$6*D6014</f>
        <v>173</v>
      </c>
      <c r="G6014" s="20" t="n">
        <f aca="false">E6014+F6014</f>
        <v>433.04</v>
      </c>
      <c r="H6014" s="20" t="n">
        <f aca="false">IF(G6014&lt;Parametres!$B$8*Parametres!$B$7,0,MIN(G6014,Parametres!$B$7))</f>
        <v>250</v>
      </c>
      <c r="I6014" s="20" t="n">
        <f aca="false">G6014-H6014</f>
        <v>183.04</v>
      </c>
      <c r="J6014" s="21" t="n">
        <f aca="false">H6014*1000/Parametres!$B$9</f>
        <v>4239.44378497541</v>
      </c>
    </row>
    <row r="6015" customFormat="false" ht="15" hidden="false" customHeight="false" outlineLevel="0" collapsed="false">
      <c r="A6015" s="0" t="n">
        <v>6011</v>
      </c>
      <c r="B6015" s="0" t="n">
        <v>9</v>
      </c>
      <c r="C6015" s="19" t="n">
        <v>1</v>
      </c>
      <c r="D6015" s="19" t="n">
        <v>0.4524</v>
      </c>
      <c r="E6015" s="20" t="n">
        <f aca="false">Parametres!$B$5*C6015</f>
        <v>300</v>
      </c>
      <c r="F6015" s="20" t="n">
        <f aca="false">Parametres!$B$6*D6015</f>
        <v>90.48</v>
      </c>
      <c r="G6015" s="20" t="n">
        <f aca="false">E6015+F6015</f>
        <v>390.48</v>
      </c>
      <c r="H6015" s="20" t="n">
        <f aca="false">IF(G6015&lt;Parametres!$B$8*Parametres!$B$7,0,MIN(G6015,Parametres!$B$7))</f>
        <v>250</v>
      </c>
      <c r="I6015" s="20" t="n">
        <f aca="false">G6015-H6015</f>
        <v>140.48</v>
      </c>
      <c r="J6015" s="21" t="n">
        <f aca="false">H6015*1000/Parametres!$B$9</f>
        <v>4239.44378497541</v>
      </c>
    </row>
    <row r="6016" customFormat="false" ht="15" hidden="false" customHeight="false" outlineLevel="0" collapsed="false">
      <c r="A6016" s="0" t="n">
        <v>6012</v>
      </c>
      <c r="B6016" s="0" t="n">
        <v>9</v>
      </c>
      <c r="C6016" s="19" t="n">
        <v>1</v>
      </c>
      <c r="D6016" s="19" t="n">
        <v>0.4138</v>
      </c>
      <c r="E6016" s="20" t="n">
        <f aca="false">Parametres!$B$5*C6016</f>
        <v>300</v>
      </c>
      <c r="F6016" s="20" t="n">
        <f aca="false">Parametres!$B$6*D6016</f>
        <v>82.76</v>
      </c>
      <c r="G6016" s="20" t="n">
        <f aca="false">E6016+F6016</f>
        <v>382.76</v>
      </c>
      <c r="H6016" s="20" t="n">
        <f aca="false">IF(G6016&lt;Parametres!$B$8*Parametres!$B$7,0,MIN(G6016,Parametres!$B$7))</f>
        <v>250</v>
      </c>
      <c r="I6016" s="20" t="n">
        <f aca="false">G6016-H6016</f>
        <v>132.76</v>
      </c>
      <c r="J6016" s="21" t="n">
        <f aca="false">H6016*1000/Parametres!$B$9</f>
        <v>4239.44378497541</v>
      </c>
    </row>
    <row r="6017" customFormat="false" ht="15" hidden="false" customHeight="false" outlineLevel="0" collapsed="false">
      <c r="A6017" s="0" t="n">
        <v>6013</v>
      </c>
      <c r="B6017" s="0" t="n">
        <v>9</v>
      </c>
      <c r="C6017" s="19" t="n">
        <v>1</v>
      </c>
      <c r="D6017" s="19" t="n">
        <v>0.5425</v>
      </c>
      <c r="E6017" s="20" t="n">
        <f aca="false">Parametres!$B$5*C6017</f>
        <v>300</v>
      </c>
      <c r="F6017" s="20" t="n">
        <f aca="false">Parametres!$B$6*D6017</f>
        <v>108.5</v>
      </c>
      <c r="G6017" s="20" t="n">
        <f aca="false">E6017+F6017</f>
        <v>408.5</v>
      </c>
      <c r="H6017" s="20" t="n">
        <f aca="false">IF(G6017&lt;Parametres!$B$8*Parametres!$B$7,0,MIN(G6017,Parametres!$B$7))</f>
        <v>250</v>
      </c>
      <c r="I6017" s="20" t="n">
        <f aca="false">G6017-H6017</f>
        <v>158.5</v>
      </c>
      <c r="J6017" s="21" t="n">
        <f aca="false">H6017*1000/Parametres!$B$9</f>
        <v>4239.44378497541</v>
      </c>
    </row>
    <row r="6018" customFormat="false" ht="15" hidden="false" customHeight="false" outlineLevel="0" collapsed="false">
      <c r="A6018" s="0" t="n">
        <v>6014</v>
      </c>
      <c r="B6018" s="0" t="n">
        <v>9</v>
      </c>
      <c r="C6018" s="19" t="n">
        <v>1</v>
      </c>
      <c r="D6018" s="19" t="n">
        <v>0.5726</v>
      </c>
      <c r="E6018" s="20" t="n">
        <f aca="false">Parametres!$B$5*C6018</f>
        <v>300</v>
      </c>
      <c r="F6018" s="20" t="n">
        <f aca="false">Parametres!$B$6*D6018</f>
        <v>114.52</v>
      </c>
      <c r="G6018" s="20" t="n">
        <f aca="false">E6018+F6018</f>
        <v>414.52</v>
      </c>
      <c r="H6018" s="20" t="n">
        <f aca="false">IF(G6018&lt;Parametres!$B$8*Parametres!$B$7,0,MIN(G6018,Parametres!$B$7))</f>
        <v>250</v>
      </c>
      <c r="I6018" s="20" t="n">
        <f aca="false">G6018-H6018</f>
        <v>164.52</v>
      </c>
      <c r="J6018" s="21" t="n">
        <f aca="false">H6018*1000/Parametres!$B$9</f>
        <v>4239.44378497541</v>
      </c>
    </row>
    <row r="6019" customFormat="false" ht="15" hidden="false" customHeight="false" outlineLevel="0" collapsed="false">
      <c r="A6019" s="0" t="n">
        <v>6015</v>
      </c>
      <c r="B6019" s="0" t="n">
        <v>9</v>
      </c>
      <c r="C6019" s="19" t="n">
        <v>0.8547</v>
      </c>
      <c r="D6019" s="19" t="n">
        <v>1</v>
      </c>
      <c r="E6019" s="20" t="n">
        <f aca="false">Parametres!$B$5*C6019</f>
        <v>256.41</v>
      </c>
      <c r="F6019" s="20" t="n">
        <f aca="false">Parametres!$B$6*D6019</f>
        <v>200</v>
      </c>
      <c r="G6019" s="20" t="n">
        <f aca="false">E6019+F6019</f>
        <v>456.41</v>
      </c>
      <c r="H6019" s="20" t="n">
        <f aca="false">IF(G6019&lt;Parametres!$B$8*Parametres!$B$7,0,MIN(G6019,Parametres!$B$7))</f>
        <v>250</v>
      </c>
      <c r="I6019" s="20" t="n">
        <f aca="false">G6019-H6019</f>
        <v>206.41</v>
      </c>
      <c r="J6019" s="21" t="n">
        <f aca="false">H6019*1000/Parametres!$B$9</f>
        <v>4239.44378497541</v>
      </c>
    </row>
    <row r="6020" customFormat="false" ht="15" hidden="false" customHeight="false" outlineLevel="0" collapsed="false">
      <c r="A6020" s="0" t="n">
        <v>6016</v>
      </c>
      <c r="B6020" s="0" t="n">
        <v>9</v>
      </c>
      <c r="C6020" s="19" t="n">
        <v>0.6359</v>
      </c>
      <c r="D6020" s="19" t="n">
        <v>0.424</v>
      </c>
      <c r="E6020" s="20" t="n">
        <f aca="false">Parametres!$B$5*C6020</f>
        <v>190.77</v>
      </c>
      <c r="F6020" s="20" t="n">
        <f aca="false">Parametres!$B$6*D6020</f>
        <v>84.8</v>
      </c>
      <c r="G6020" s="20" t="n">
        <f aca="false">E6020+F6020</f>
        <v>275.57</v>
      </c>
      <c r="H6020" s="20" t="n">
        <f aca="false">IF(G6020&lt;Parametres!$B$8*Parametres!$B$7,0,MIN(G6020,Parametres!$B$7))</f>
        <v>250</v>
      </c>
      <c r="I6020" s="20" t="n">
        <f aca="false">G6020-H6020</f>
        <v>25.57</v>
      </c>
      <c r="J6020" s="21" t="n">
        <f aca="false">H6020*1000/Parametres!$B$9</f>
        <v>4239.44378497541</v>
      </c>
    </row>
    <row r="6021" customFormat="false" ht="15" hidden="false" customHeight="false" outlineLevel="0" collapsed="false">
      <c r="A6021" s="0" t="n">
        <v>6017</v>
      </c>
      <c r="B6021" s="0" t="n">
        <v>9</v>
      </c>
      <c r="C6021" s="19" t="n">
        <v>0.3777</v>
      </c>
      <c r="D6021" s="19" t="n">
        <v>0.2092</v>
      </c>
      <c r="E6021" s="20" t="n">
        <f aca="false">Parametres!$B$5*C6021</f>
        <v>113.31</v>
      </c>
      <c r="F6021" s="20" t="n">
        <f aca="false">Parametres!$B$6*D6021</f>
        <v>41.84</v>
      </c>
      <c r="G6021" s="20" t="n">
        <f aca="false">E6021+F6021</f>
        <v>155.15</v>
      </c>
      <c r="H6021" s="20" t="n">
        <f aca="false">IF(G6021&lt;Parametres!$B$8*Parametres!$B$7,0,MIN(G6021,Parametres!$B$7))</f>
        <v>155.15</v>
      </c>
      <c r="I6021" s="20" t="n">
        <f aca="false">G6021-H6021</f>
        <v>0</v>
      </c>
      <c r="J6021" s="21" t="n">
        <f aca="false">H6021*1000/Parametres!$B$9</f>
        <v>2630.99881295574</v>
      </c>
    </row>
    <row r="6022" customFormat="false" ht="15" hidden="false" customHeight="false" outlineLevel="0" collapsed="false">
      <c r="A6022" s="0" t="n">
        <v>6018</v>
      </c>
      <c r="B6022" s="0" t="n">
        <v>9</v>
      </c>
      <c r="C6022" s="19" t="n">
        <v>0.1562</v>
      </c>
      <c r="D6022" s="19" t="n">
        <v>0.0998</v>
      </c>
      <c r="E6022" s="20" t="n">
        <f aca="false">Parametres!$B$5*C6022</f>
        <v>46.86</v>
      </c>
      <c r="F6022" s="20" t="n">
        <f aca="false">Parametres!$B$6*D6022</f>
        <v>19.96</v>
      </c>
      <c r="G6022" s="20" t="n">
        <f aca="false">E6022+F6022</f>
        <v>66.82</v>
      </c>
      <c r="H6022" s="20" t="n">
        <f aca="false">IF(G6022&lt;Parametres!$B$8*Parametres!$B$7,0,MIN(G6022,Parametres!$B$7))</f>
        <v>66.82</v>
      </c>
      <c r="I6022" s="20" t="n">
        <f aca="false">G6022-H6022</f>
        <v>0</v>
      </c>
      <c r="J6022" s="21" t="n">
        <f aca="false">H6022*1000/Parametres!$B$9</f>
        <v>1133.11853484823</v>
      </c>
    </row>
    <row r="6023" customFormat="false" ht="15" hidden="false" customHeight="false" outlineLevel="0" collapsed="false">
      <c r="A6023" s="0" t="n">
        <v>6019</v>
      </c>
      <c r="B6023" s="0" t="n">
        <v>9</v>
      </c>
      <c r="C6023" s="19" t="n">
        <v>0</v>
      </c>
      <c r="D6023" s="19" t="n">
        <v>0.1528</v>
      </c>
      <c r="E6023" s="20" t="n">
        <f aca="false">Parametres!$B$5*C6023</f>
        <v>0</v>
      </c>
      <c r="F6023" s="20" t="n">
        <f aca="false">Parametres!$B$6*D6023</f>
        <v>30.56</v>
      </c>
      <c r="G6023" s="20" t="n">
        <f aca="false">E6023+F6023</f>
        <v>30.56</v>
      </c>
      <c r="H6023" s="20" t="n">
        <f aca="false">IF(G6023&lt;Parametres!$B$8*Parametres!$B$7,0,MIN(G6023,Parametres!$B$7))</f>
        <v>30.56</v>
      </c>
      <c r="I6023" s="20" t="n">
        <f aca="false">G6023-H6023</f>
        <v>0</v>
      </c>
      <c r="J6023" s="21" t="n">
        <f aca="false">H6023*1000/Parametres!$B$9</f>
        <v>518.229608275394</v>
      </c>
    </row>
    <row r="6024" customFormat="false" ht="15" hidden="false" customHeight="false" outlineLevel="0" collapsed="false">
      <c r="A6024" s="0" t="n">
        <v>6020</v>
      </c>
      <c r="B6024" s="0" t="n">
        <v>9</v>
      </c>
      <c r="C6024" s="19" t="n">
        <v>0</v>
      </c>
      <c r="D6024" s="19" t="n">
        <v>0.274</v>
      </c>
      <c r="E6024" s="20" t="n">
        <f aca="false">Parametres!$B$5*C6024</f>
        <v>0</v>
      </c>
      <c r="F6024" s="20" t="n">
        <f aca="false">Parametres!$B$6*D6024</f>
        <v>54.8</v>
      </c>
      <c r="G6024" s="20" t="n">
        <f aca="false">E6024+F6024</f>
        <v>54.8</v>
      </c>
      <c r="H6024" s="20" t="n">
        <f aca="false">IF(G6024&lt;Parametres!$B$8*Parametres!$B$7,0,MIN(G6024,Parametres!$B$7))</f>
        <v>54.8</v>
      </c>
      <c r="I6024" s="20" t="n">
        <f aca="false">G6024-H6024</f>
        <v>0</v>
      </c>
      <c r="J6024" s="21" t="n">
        <f aca="false">H6024*1000/Parametres!$B$9</f>
        <v>929.28607766661</v>
      </c>
    </row>
    <row r="6025" customFormat="false" ht="15" hidden="false" customHeight="false" outlineLevel="0" collapsed="false">
      <c r="A6025" s="0" t="n">
        <v>6021</v>
      </c>
      <c r="B6025" s="0" t="n">
        <v>9</v>
      </c>
      <c r="C6025" s="19" t="n">
        <v>0</v>
      </c>
      <c r="D6025" s="19" t="n">
        <v>0.1499</v>
      </c>
      <c r="E6025" s="20" t="n">
        <f aca="false">Parametres!$B$5*C6025</f>
        <v>0</v>
      </c>
      <c r="F6025" s="20" t="n">
        <f aca="false">Parametres!$B$6*D6025</f>
        <v>29.98</v>
      </c>
      <c r="G6025" s="20" t="n">
        <f aca="false">E6025+F6025</f>
        <v>29.98</v>
      </c>
      <c r="H6025" s="20" t="n">
        <f aca="false">IF(G6025&lt;Parametres!$B$8*Parametres!$B$7,0,MIN(G6025,Parametres!$B$7))</f>
        <v>29.98</v>
      </c>
      <c r="I6025" s="20" t="n">
        <f aca="false">G6025-H6025</f>
        <v>0</v>
      </c>
      <c r="J6025" s="21" t="n">
        <f aca="false">H6025*1000/Parametres!$B$9</f>
        <v>508.394098694251</v>
      </c>
    </row>
    <row r="6026" customFormat="false" ht="15" hidden="false" customHeight="false" outlineLevel="0" collapsed="false">
      <c r="A6026" s="0" t="n">
        <v>6022</v>
      </c>
      <c r="B6026" s="0" t="n">
        <v>9</v>
      </c>
      <c r="C6026" s="19" t="n">
        <v>0</v>
      </c>
      <c r="D6026" s="19" t="n">
        <v>0.1325</v>
      </c>
      <c r="E6026" s="20" t="n">
        <f aca="false">Parametres!$B$5*C6026</f>
        <v>0</v>
      </c>
      <c r="F6026" s="20" t="n">
        <f aca="false">Parametres!$B$6*D6026</f>
        <v>26.5</v>
      </c>
      <c r="G6026" s="20" t="n">
        <f aca="false">E6026+F6026</f>
        <v>26.5</v>
      </c>
      <c r="H6026" s="20" t="n">
        <f aca="false">IF(G6026&lt;Parametres!$B$8*Parametres!$B$7,0,MIN(G6026,Parametres!$B$7))</f>
        <v>26.5</v>
      </c>
      <c r="I6026" s="20" t="n">
        <f aca="false">G6026-H6026</f>
        <v>0</v>
      </c>
      <c r="J6026" s="21" t="n">
        <f aca="false">H6026*1000/Parametres!$B$9</f>
        <v>449.381041207394</v>
      </c>
    </row>
    <row r="6027" customFormat="false" ht="15" hidden="false" customHeight="false" outlineLevel="0" collapsed="false">
      <c r="A6027" s="0" t="n">
        <v>6023</v>
      </c>
      <c r="B6027" s="0" t="n">
        <v>9</v>
      </c>
      <c r="C6027" s="19" t="n">
        <v>0</v>
      </c>
      <c r="D6027" s="19" t="n">
        <v>0.153</v>
      </c>
      <c r="E6027" s="20" t="n">
        <f aca="false">Parametres!$B$5*C6027</f>
        <v>0</v>
      </c>
      <c r="F6027" s="20" t="n">
        <f aca="false">Parametres!$B$6*D6027</f>
        <v>30.6</v>
      </c>
      <c r="G6027" s="20" t="n">
        <f aca="false">E6027+F6027</f>
        <v>30.6</v>
      </c>
      <c r="H6027" s="20" t="n">
        <f aca="false">IF(G6027&lt;Parametres!$B$8*Parametres!$B$7,0,MIN(G6027,Parametres!$B$7))</f>
        <v>30.6</v>
      </c>
      <c r="I6027" s="20" t="n">
        <f aca="false">G6027-H6027</f>
        <v>0</v>
      </c>
      <c r="J6027" s="21" t="n">
        <f aca="false">H6027*1000/Parametres!$B$9</f>
        <v>518.90791928099</v>
      </c>
    </row>
    <row r="6028" customFormat="false" ht="15" hidden="false" customHeight="false" outlineLevel="0" collapsed="false">
      <c r="A6028" s="0" t="n">
        <v>6024</v>
      </c>
      <c r="B6028" s="0" t="n">
        <v>9</v>
      </c>
      <c r="C6028" s="19" t="n">
        <v>0</v>
      </c>
      <c r="D6028" s="19" t="n">
        <v>0.1514</v>
      </c>
      <c r="E6028" s="20" t="n">
        <f aca="false">Parametres!$B$5*C6028</f>
        <v>0</v>
      </c>
      <c r="F6028" s="20" t="n">
        <f aca="false">Parametres!$B$6*D6028</f>
        <v>30.28</v>
      </c>
      <c r="G6028" s="20" t="n">
        <f aca="false">E6028+F6028</f>
        <v>30.28</v>
      </c>
      <c r="H6028" s="20" t="n">
        <f aca="false">IF(G6028&lt;Parametres!$B$8*Parametres!$B$7,0,MIN(G6028,Parametres!$B$7))</f>
        <v>30.28</v>
      </c>
      <c r="I6028" s="20" t="n">
        <f aca="false">G6028-H6028</f>
        <v>0</v>
      </c>
      <c r="J6028" s="21" t="n">
        <f aca="false">H6028*1000/Parametres!$B$9</f>
        <v>513.481431236222</v>
      </c>
    </row>
    <row r="6029" customFormat="false" ht="15" hidden="false" customHeight="false" outlineLevel="0" collapsed="false">
      <c r="A6029" s="0" t="n">
        <v>6025</v>
      </c>
      <c r="B6029" s="0" t="n">
        <v>9</v>
      </c>
      <c r="C6029" s="19" t="n">
        <v>0</v>
      </c>
      <c r="D6029" s="19" t="n">
        <v>0.1425</v>
      </c>
      <c r="E6029" s="20" t="n">
        <f aca="false">Parametres!$B$5*C6029</f>
        <v>0</v>
      </c>
      <c r="F6029" s="20" t="n">
        <f aca="false">Parametres!$B$6*D6029</f>
        <v>28.5</v>
      </c>
      <c r="G6029" s="20" t="n">
        <f aca="false">E6029+F6029</f>
        <v>28.5</v>
      </c>
      <c r="H6029" s="20" t="n">
        <f aca="false">IF(G6029&lt;Parametres!$B$8*Parametres!$B$7,0,MIN(G6029,Parametres!$B$7))</f>
        <v>28.5</v>
      </c>
      <c r="I6029" s="20" t="n">
        <f aca="false">G6029-H6029</f>
        <v>0</v>
      </c>
      <c r="J6029" s="21" t="n">
        <f aca="false">H6029*1000/Parametres!$B$9</f>
        <v>483.296591487197</v>
      </c>
    </row>
    <row r="6030" customFormat="false" ht="15" hidden="false" customHeight="false" outlineLevel="0" collapsed="false">
      <c r="A6030" s="0" t="n">
        <v>6026</v>
      </c>
      <c r="B6030" s="0" t="n">
        <v>9</v>
      </c>
      <c r="C6030" s="19" t="n">
        <v>0</v>
      </c>
      <c r="D6030" s="19" t="n">
        <v>0.0848</v>
      </c>
      <c r="E6030" s="20" t="n">
        <f aca="false">Parametres!$B$5*C6030</f>
        <v>0</v>
      </c>
      <c r="F6030" s="20" t="n">
        <f aca="false">Parametres!$B$6*D6030</f>
        <v>16.96</v>
      </c>
      <c r="G6030" s="20" t="n">
        <f aca="false">E6030+F6030</f>
        <v>16.96</v>
      </c>
      <c r="H6030" s="20" t="n">
        <f aca="false">IF(G6030&lt;Parametres!$B$8*Parametres!$B$7,0,MIN(G6030,Parametres!$B$7))</f>
        <v>0</v>
      </c>
      <c r="I6030" s="20" t="n">
        <f aca="false">G6030-H6030</f>
        <v>16.96</v>
      </c>
      <c r="J6030" s="21" t="n">
        <f aca="false">H6030*1000/Parametres!$B$9</f>
        <v>0</v>
      </c>
    </row>
    <row r="6031" customFormat="false" ht="15" hidden="false" customHeight="false" outlineLevel="0" collapsed="false">
      <c r="A6031" s="0" t="n">
        <v>6027</v>
      </c>
      <c r="B6031" s="0" t="n">
        <v>9</v>
      </c>
      <c r="C6031" s="19" t="n">
        <v>0</v>
      </c>
      <c r="D6031" s="19" t="n">
        <v>0.0422</v>
      </c>
      <c r="E6031" s="20" t="n">
        <f aca="false">Parametres!$B$5*C6031</f>
        <v>0</v>
      </c>
      <c r="F6031" s="20" t="n">
        <f aca="false">Parametres!$B$6*D6031</f>
        <v>8.44</v>
      </c>
      <c r="G6031" s="20" t="n">
        <f aca="false">E6031+F6031</f>
        <v>8.44</v>
      </c>
      <c r="H6031" s="20" t="n">
        <f aca="false">IF(G6031&lt;Parametres!$B$8*Parametres!$B$7,0,MIN(G6031,Parametres!$B$7))</f>
        <v>0</v>
      </c>
      <c r="I6031" s="20" t="n">
        <f aca="false">G6031-H6031</f>
        <v>8.44</v>
      </c>
      <c r="J6031" s="21" t="n">
        <f aca="false">H6031*1000/Parametres!$B$9</f>
        <v>0</v>
      </c>
    </row>
    <row r="6032" customFormat="false" ht="15" hidden="false" customHeight="false" outlineLevel="0" collapsed="false">
      <c r="A6032" s="0" t="n">
        <v>6028</v>
      </c>
      <c r="B6032" s="0" t="n">
        <v>9</v>
      </c>
      <c r="C6032" s="19" t="n">
        <v>0</v>
      </c>
      <c r="D6032" s="19" t="n">
        <v>0.0135</v>
      </c>
      <c r="E6032" s="20" t="n">
        <f aca="false">Parametres!$B$5*C6032</f>
        <v>0</v>
      </c>
      <c r="F6032" s="20" t="n">
        <f aca="false">Parametres!$B$6*D6032</f>
        <v>2.7</v>
      </c>
      <c r="G6032" s="20" t="n">
        <f aca="false">E6032+F6032</f>
        <v>2.7</v>
      </c>
      <c r="H6032" s="20" t="n">
        <f aca="false">IF(G6032&lt;Parametres!$B$8*Parametres!$B$7,0,MIN(G6032,Parametres!$B$7))</f>
        <v>0</v>
      </c>
      <c r="I6032" s="20" t="n">
        <f aca="false">G6032-H6032</f>
        <v>2.7</v>
      </c>
      <c r="J6032" s="21" t="n">
        <f aca="false">H6032*1000/Parametres!$B$9</f>
        <v>0</v>
      </c>
    </row>
    <row r="6033" customFormat="false" ht="15" hidden="false" customHeight="false" outlineLevel="0" collapsed="false">
      <c r="A6033" s="0" t="n">
        <v>6029</v>
      </c>
      <c r="B6033" s="0" t="n">
        <v>9</v>
      </c>
      <c r="C6033" s="19" t="n">
        <v>0</v>
      </c>
      <c r="D6033" s="19" t="n">
        <v>0.0036</v>
      </c>
      <c r="E6033" s="20" t="n">
        <f aca="false">Parametres!$B$5*C6033</f>
        <v>0</v>
      </c>
      <c r="F6033" s="20" t="n">
        <f aca="false">Parametres!$B$6*D6033</f>
        <v>0.72</v>
      </c>
      <c r="G6033" s="20" t="n">
        <f aca="false">E6033+F6033</f>
        <v>0.72</v>
      </c>
      <c r="H6033" s="20" t="n">
        <f aca="false">IF(G6033&lt;Parametres!$B$8*Parametres!$B$7,0,MIN(G6033,Parametres!$B$7))</f>
        <v>0</v>
      </c>
      <c r="I6033" s="20" t="n">
        <f aca="false">G6033-H6033</f>
        <v>0.72</v>
      </c>
      <c r="J6033" s="21" t="n">
        <f aca="false">H6033*1000/Parametres!$B$9</f>
        <v>0</v>
      </c>
    </row>
    <row r="6034" customFormat="false" ht="15" hidden="false" customHeight="false" outlineLevel="0" collapsed="false">
      <c r="A6034" s="0" t="n">
        <v>6030</v>
      </c>
      <c r="B6034" s="0" t="n">
        <v>9</v>
      </c>
      <c r="C6034" s="19" t="n">
        <v>0</v>
      </c>
      <c r="D6034" s="19" t="n">
        <v>0.008</v>
      </c>
      <c r="E6034" s="20" t="n">
        <f aca="false">Parametres!$B$5*C6034</f>
        <v>0</v>
      </c>
      <c r="F6034" s="20" t="n">
        <f aca="false">Parametres!$B$6*D6034</f>
        <v>1.6</v>
      </c>
      <c r="G6034" s="20" t="n">
        <f aca="false">E6034+F6034</f>
        <v>1.6</v>
      </c>
      <c r="H6034" s="20" t="n">
        <f aca="false">IF(G6034&lt;Parametres!$B$8*Parametres!$B$7,0,MIN(G6034,Parametres!$B$7))</f>
        <v>0</v>
      </c>
      <c r="I6034" s="20" t="n">
        <f aca="false">G6034-H6034</f>
        <v>1.6</v>
      </c>
      <c r="J6034" s="21" t="n">
        <f aca="false">H6034*1000/Parametres!$B$9</f>
        <v>0</v>
      </c>
    </row>
    <row r="6035" customFormat="false" ht="15" hidden="false" customHeight="false" outlineLevel="0" collapsed="false">
      <c r="A6035" s="0" t="n">
        <v>6031</v>
      </c>
      <c r="B6035" s="0" t="n">
        <v>9</v>
      </c>
      <c r="C6035" s="19" t="n">
        <v>0.1472</v>
      </c>
      <c r="D6035" s="19" t="n">
        <v>0.0071</v>
      </c>
      <c r="E6035" s="20" t="n">
        <f aca="false">Parametres!$B$5*C6035</f>
        <v>44.16</v>
      </c>
      <c r="F6035" s="20" t="n">
        <f aca="false">Parametres!$B$6*D6035</f>
        <v>1.42</v>
      </c>
      <c r="G6035" s="20" t="n">
        <f aca="false">E6035+F6035</f>
        <v>45.58</v>
      </c>
      <c r="H6035" s="20" t="n">
        <f aca="false">IF(G6035&lt;Parametres!$B$8*Parametres!$B$7,0,MIN(G6035,Parametres!$B$7))</f>
        <v>45.58</v>
      </c>
      <c r="I6035" s="20" t="n">
        <f aca="false">G6035-H6035</f>
        <v>0</v>
      </c>
      <c r="J6035" s="21" t="n">
        <f aca="false">H6035*1000/Parametres!$B$9</f>
        <v>772.935390876717</v>
      </c>
    </row>
    <row r="6036" customFormat="false" ht="15" hidden="false" customHeight="false" outlineLevel="0" collapsed="false">
      <c r="A6036" s="0" t="n">
        <v>6032</v>
      </c>
      <c r="B6036" s="0" t="n">
        <v>9</v>
      </c>
      <c r="C6036" s="19" t="n">
        <v>0.3939</v>
      </c>
      <c r="D6036" s="19" t="n">
        <v>0.0057</v>
      </c>
      <c r="E6036" s="20" t="n">
        <f aca="false">Parametres!$B$5*C6036</f>
        <v>118.17</v>
      </c>
      <c r="F6036" s="20" t="n">
        <f aca="false">Parametres!$B$6*D6036</f>
        <v>1.14</v>
      </c>
      <c r="G6036" s="20" t="n">
        <f aca="false">E6036+F6036</f>
        <v>119.31</v>
      </c>
      <c r="H6036" s="20" t="n">
        <f aca="false">IF(G6036&lt;Parametres!$B$8*Parametres!$B$7,0,MIN(G6036,Parametres!$B$7))</f>
        <v>119.31</v>
      </c>
      <c r="I6036" s="20" t="n">
        <f aca="false">G6036-H6036</f>
        <v>0</v>
      </c>
      <c r="J6036" s="21" t="n">
        <f aca="false">H6036*1000/Parametres!$B$9</f>
        <v>2023.23215194167</v>
      </c>
    </row>
    <row r="6037" customFormat="false" ht="15" hidden="false" customHeight="false" outlineLevel="0" collapsed="false">
      <c r="A6037" s="0" t="n">
        <v>6033</v>
      </c>
      <c r="B6037" s="0" t="n">
        <v>9</v>
      </c>
      <c r="C6037" s="19" t="n">
        <v>0.6142</v>
      </c>
      <c r="D6037" s="19" t="n">
        <v>0.0019</v>
      </c>
      <c r="E6037" s="20" t="n">
        <f aca="false">Parametres!$B$5*C6037</f>
        <v>184.26</v>
      </c>
      <c r="F6037" s="20" t="n">
        <f aca="false">Parametres!$B$6*D6037</f>
        <v>0.38</v>
      </c>
      <c r="G6037" s="20" t="n">
        <f aca="false">E6037+F6037</f>
        <v>184.64</v>
      </c>
      <c r="H6037" s="20" t="n">
        <f aca="false">IF(G6037&lt;Parametres!$B$8*Parametres!$B$7,0,MIN(G6037,Parametres!$B$7))</f>
        <v>184.64</v>
      </c>
      <c r="I6037" s="20" t="n">
        <f aca="false">G6037-H6037</f>
        <v>0</v>
      </c>
      <c r="J6037" s="21" t="n">
        <f aca="false">H6037*1000/Parametres!$B$9</f>
        <v>3131.08360183144</v>
      </c>
    </row>
    <row r="6038" customFormat="false" ht="15" hidden="false" customHeight="false" outlineLevel="0" collapsed="false">
      <c r="A6038" s="0" t="n">
        <v>6034</v>
      </c>
      <c r="B6038" s="0" t="n">
        <v>9</v>
      </c>
      <c r="C6038" s="19" t="n">
        <v>0.8973</v>
      </c>
      <c r="D6038" s="19" t="n">
        <v>0.0032</v>
      </c>
      <c r="E6038" s="20" t="n">
        <f aca="false">Parametres!$B$5*C6038</f>
        <v>269.19</v>
      </c>
      <c r="F6038" s="20" t="n">
        <f aca="false">Parametres!$B$6*D6038</f>
        <v>0.64</v>
      </c>
      <c r="G6038" s="20" t="n">
        <f aca="false">E6038+F6038</f>
        <v>269.83</v>
      </c>
      <c r="H6038" s="20" t="n">
        <f aca="false">IF(G6038&lt;Parametres!$B$8*Parametres!$B$7,0,MIN(G6038,Parametres!$B$7))</f>
        <v>250</v>
      </c>
      <c r="I6038" s="20" t="n">
        <f aca="false">G6038-H6038</f>
        <v>19.83</v>
      </c>
      <c r="J6038" s="21" t="n">
        <f aca="false">H6038*1000/Parametres!$B$9</f>
        <v>4239.44378497541</v>
      </c>
    </row>
    <row r="6039" customFormat="false" ht="15" hidden="false" customHeight="false" outlineLevel="0" collapsed="false">
      <c r="A6039" s="0" t="n">
        <v>6035</v>
      </c>
      <c r="B6039" s="0" t="n">
        <v>9</v>
      </c>
      <c r="C6039" s="19" t="n">
        <v>0.9784</v>
      </c>
      <c r="D6039" s="19" t="n">
        <v>0.0132</v>
      </c>
      <c r="E6039" s="20" t="n">
        <f aca="false">Parametres!$B$5*C6039</f>
        <v>293.52</v>
      </c>
      <c r="F6039" s="20" t="n">
        <f aca="false">Parametres!$B$6*D6039</f>
        <v>2.64</v>
      </c>
      <c r="G6039" s="20" t="n">
        <f aca="false">E6039+F6039</f>
        <v>296.16</v>
      </c>
      <c r="H6039" s="20" t="n">
        <f aca="false">IF(G6039&lt;Parametres!$B$8*Parametres!$B$7,0,MIN(G6039,Parametres!$B$7))</f>
        <v>250</v>
      </c>
      <c r="I6039" s="20" t="n">
        <f aca="false">G6039-H6039</f>
        <v>46.16</v>
      </c>
      <c r="J6039" s="21" t="n">
        <f aca="false">H6039*1000/Parametres!$B$9</f>
        <v>4239.44378497541</v>
      </c>
    </row>
    <row r="6040" customFormat="false" ht="15" hidden="false" customHeight="false" outlineLevel="0" collapsed="false">
      <c r="A6040" s="0" t="n">
        <v>6036</v>
      </c>
      <c r="B6040" s="0" t="n">
        <v>9</v>
      </c>
      <c r="C6040" s="19" t="n">
        <v>1</v>
      </c>
      <c r="D6040" s="19" t="n">
        <v>0.0052</v>
      </c>
      <c r="E6040" s="20" t="n">
        <f aca="false">Parametres!$B$5*C6040</f>
        <v>300</v>
      </c>
      <c r="F6040" s="20" t="n">
        <f aca="false">Parametres!$B$6*D6040</f>
        <v>1.04</v>
      </c>
      <c r="G6040" s="20" t="n">
        <f aca="false">E6040+F6040</f>
        <v>301.04</v>
      </c>
      <c r="H6040" s="20" t="n">
        <f aca="false">IF(G6040&lt;Parametres!$B$8*Parametres!$B$7,0,MIN(G6040,Parametres!$B$7))</f>
        <v>250</v>
      </c>
      <c r="I6040" s="20" t="n">
        <f aca="false">G6040-H6040</f>
        <v>51.04</v>
      </c>
      <c r="J6040" s="21" t="n">
        <f aca="false">H6040*1000/Parametres!$B$9</f>
        <v>4239.44378497541</v>
      </c>
    </row>
    <row r="6041" customFormat="false" ht="15" hidden="false" customHeight="false" outlineLevel="0" collapsed="false">
      <c r="A6041" s="0" t="n">
        <v>6037</v>
      </c>
      <c r="B6041" s="0" t="n">
        <v>9</v>
      </c>
      <c r="C6041" s="19" t="n">
        <v>1</v>
      </c>
      <c r="D6041" s="19" t="n">
        <v>0.0268</v>
      </c>
      <c r="E6041" s="20" t="n">
        <f aca="false">Parametres!$B$5*C6041</f>
        <v>300</v>
      </c>
      <c r="F6041" s="20" t="n">
        <f aca="false">Parametres!$B$6*D6041</f>
        <v>5.36</v>
      </c>
      <c r="G6041" s="20" t="n">
        <f aca="false">E6041+F6041</f>
        <v>305.36</v>
      </c>
      <c r="H6041" s="20" t="n">
        <f aca="false">IF(G6041&lt;Parametres!$B$8*Parametres!$B$7,0,MIN(G6041,Parametres!$B$7))</f>
        <v>250</v>
      </c>
      <c r="I6041" s="20" t="n">
        <f aca="false">G6041-H6041</f>
        <v>55.36</v>
      </c>
      <c r="J6041" s="21" t="n">
        <f aca="false">H6041*1000/Parametres!$B$9</f>
        <v>4239.44378497541</v>
      </c>
    </row>
    <row r="6042" customFormat="false" ht="15" hidden="false" customHeight="false" outlineLevel="0" collapsed="false">
      <c r="A6042" s="0" t="n">
        <v>6038</v>
      </c>
      <c r="B6042" s="0" t="n">
        <v>9</v>
      </c>
      <c r="C6042" s="19" t="n">
        <v>1</v>
      </c>
      <c r="D6042" s="19" t="n">
        <v>0.0455</v>
      </c>
      <c r="E6042" s="20" t="n">
        <f aca="false">Parametres!$B$5*C6042</f>
        <v>300</v>
      </c>
      <c r="F6042" s="20" t="n">
        <f aca="false">Parametres!$B$6*D6042</f>
        <v>9.1</v>
      </c>
      <c r="G6042" s="20" t="n">
        <f aca="false">E6042+F6042</f>
        <v>309.1</v>
      </c>
      <c r="H6042" s="20" t="n">
        <f aca="false">IF(G6042&lt;Parametres!$B$8*Parametres!$B$7,0,MIN(G6042,Parametres!$B$7))</f>
        <v>250</v>
      </c>
      <c r="I6042" s="20" t="n">
        <f aca="false">G6042-H6042</f>
        <v>59.1</v>
      </c>
      <c r="J6042" s="21" t="n">
        <f aca="false">H6042*1000/Parametres!$B$9</f>
        <v>4239.44378497541</v>
      </c>
    </row>
    <row r="6043" customFormat="false" ht="15" hidden="false" customHeight="false" outlineLevel="0" collapsed="false">
      <c r="A6043" s="0" t="n">
        <v>6039</v>
      </c>
      <c r="B6043" s="0" t="n">
        <v>9</v>
      </c>
      <c r="C6043" s="19" t="n">
        <v>0.8369</v>
      </c>
      <c r="D6043" s="19" t="n">
        <v>0.0046</v>
      </c>
      <c r="E6043" s="20" t="n">
        <f aca="false">Parametres!$B$5*C6043</f>
        <v>251.07</v>
      </c>
      <c r="F6043" s="20" t="n">
        <f aca="false">Parametres!$B$6*D6043</f>
        <v>0.92</v>
      </c>
      <c r="G6043" s="20" t="n">
        <f aca="false">E6043+F6043</f>
        <v>251.99</v>
      </c>
      <c r="H6043" s="20" t="n">
        <f aca="false">IF(G6043&lt;Parametres!$B$8*Parametres!$B$7,0,MIN(G6043,Parametres!$B$7))</f>
        <v>250</v>
      </c>
      <c r="I6043" s="20" t="n">
        <f aca="false">G6043-H6043</f>
        <v>1.98999999999998</v>
      </c>
      <c r="J6043" s="21" t="n">
        <f aca="false">H6043*1000/Parametres!$B$9</f>
        <v>4239.44378497541</v>
      </c>
    </row>
    <row r="6044" customFormat="false" ht="15" hidden="false" customHeight="false" outlineLevel="0" collapsed="false">
      <c r="A6044" s="0" t="n">
        <v>6040</v>
      </c>
      <c r="B6044" s="0" t="n">
        <v>9</v>
      </c>
      <c r="C6044" s="19" t="n">
        <v>0.6322</v>
      </c>
      <c r="D6044" s="19" t="n">
        <v>0.0069</v>
      </c>
      <c r="E6044" s="20" t="n">
        <f aca="false">Parametres!$B$5*C6044</f>
        <v>189.66</v>
      </c>
      <c r="F6044" s="20" t="n">
        <f aca="false">Parametres!$B$6*D6044</f>
        <v>1.38</v>
      </c>
      <c r="G6044" s="20" t="n">
        <f aca="false">E6044+F6044</f>
        <v>191.04</v>
      </c>
      <c r="H6044" s="20" t="n">
        <f aca="false">IF(G6044&lt;Parametres!$B$8*Parametres!$B$7,0,MIN(G6044,Parametres!$B$7))</f>
        <v>191.04</v>
      </c>
      <c r="I6044" s="20" t="n">
        <f aca="false">G6044-H6044</f>
        <v>0</v>
      </c>
      <c r="J6044" s="21" t="n">
        <f aca="false">H6044*1000/Parametres!$B$9</f>
        <v>3239.61336272681</v>
      </c>
    </row>
    <row r="6045" customFormat="false" ht="15" hidden="false" customHeight="false" outlineLevel="0" collapsed="false">
      <c r="A6045" s="0" t="n">
        <v>6041</v>
      </c>
      <c r="B6045" s="0" t="n">
        <v>9</v>
      </c>
      <c r="C6045" s="19" t="n">
        <v>0.3953</v>
      </c>
      <c r="D6045" s="19" t="n">
        <v>0.0103</v>
      </c>
      <c r="E6045" s="20" t="n">
        <f aca="false">Parametres!$B$5*C6045</f>
        <v>118.59</v>
      </c>
      <c r="F6045" s="20" t="n">
        <f aca="false">Parametres!$B$6*D6045</f>
        <v>2.06</v>
      </c>
      <c r="G6045" s="20" t="n">
        <f aca="false">E6045+F6045</f>
        <v>120.65</v>
      </c>
      <c r="H6045" s="20" t="n">
        <f aca="false">IF(G6045&lt;Parametres!$B$8*Parametres!$B$7,0,MIN(G6045,Parametres!$B$7))</f>
        <v>120.65</v>
      </c>
      <c r="I6045" s="20" t="n">
        <f aca="false">G6045-H6045</f>
        <v>0</v>
      </c>
      <c r="J6045" s="21" t="n">
        <f aca="false">H6045*1000/Parametres!$B$9</f>
        <v>2045.95557062913</v>
      </c>
    </row>
    <row r="6046" customFormat="false" ht="15" hidden="false" customHeight="false" outlineLevel="0" collapsed="false">
      <c r="A6046" s="0" t="n">
        <v>6042</v>
      </c>
      <c r="B6046" s="0" t="n">
        <v>9</v>
      </c>
      <c r="C6046" s="19" t="n">
        <v>0.1484</v>
      </c>
      <c r="D6046" s="19" t="n">
        <v>0.0353</v>
      </c>
      <c r="E6046" s="20" t="n">
        <f aca="false">Parametres!$B$5*C6046</f>
        <v>44.52</v>
      </c>
      <c r="F6046" s="20" t="n">
        <f aca="false">Parametres!$B$6*D6046</f>
        <v>7.06</v>
      </c>
      <c r="G6046" s="20" t="n">
        <f aca="false">E6046+F6046</f>
        <v>51.58</v>
      </c>
      <c r="H6046" s="20" t="n">
        <f aca="false">IF(G6046&lt;Parametres!$B$8*Parametres!$B$7,0,MIN(G6046,Parametres!$B$7))</f>
        <v>51.58</v>
      </c>
      <c r="I6046" s="20" t="n">
        <f aca="false">G6046-H6046</f>
        <v>0</v>
      </c>
      <c r="J6046" s="21" t="n">
        <f aca="false">H6046*1000/Parametres!$B$9</f>
        <v>874.682041716127</v>
      </c>
    </row>
    <row r="6047" customFormat="false" ht="15" hidden="false" customHeight="false" outlineLevel="0" collapsed="false">
      <c r="A6047" s="0" t="n">
        <v>6043</v>
      </c>
      <c r="B6047" s="0" t="n">
        <v>9</v>
      </c>
      <c r="C6047" s="19" t="n">
        <v>0</v>
      </c>
      <c r="D6047" s="19" t="n">
        <v>0.0302</v>
      </c>
      <c r="E6047" s="20" t="n">
        <f aca="false">Parametres!$B$5*C6047</f>
        <v>0</v>
      </c>
      <c r="F6047" s="20" t="n">
        <f aca="false">Parametres!$B$6*D6047</f>
        <v>6.04</v>
      </c>
      <c r="G6047" s="20" t="n">
        <f aca="false">E6047+F6047</f>
        <v>6.04</v>
      </c>
      <c r="H6047" s="20" t="n">
        <f aca="false">IF(G6047&lt;Parametres!$B$8*Parametres!$B$7,0,MIN(G6047,Parametres!$B$7))</f>
        <v>0</v>
      </c>
      <c r="I6047" s="20" t="n">
        <f aca="false">G6047-H6047</f>
        <v>6.04</v>
      </c>
      <c r="J6047" s="21" t="n">
        <f aca="false">H6047*1000/Parametres!$B$9</f>
        <v>0</v>
      </c>
    </row>
    <row r="6048" customFormat="false" ht="15" hidden="false" customHeight="false" outlineLevel="0" collapsed="false">
      <c r="A6048" s="0" t="n">
        <v>6044</v>
      </c>
      <c r="B6048" s="0" t="n">
        <v>9</v>
      </c>
      <c r="C6048" s="19" t="n">
        <v>0</v>
      </c>
      <c r="D6048" s="19" t="n">
        <v>0.002</v>
      </c>
      <c r="E6048" s="20" t="n">
        <f aca="false">Parametres!$B$5*C6048</f>
        <v>0</v>
      </c>
      <c r="F6048" s="20" t="n">
        <f aca="false">Parametres!$B$6*D6048</f>
        <v>0.4</v>
      </c>
      <c r="G6048" s="20" t="n">
        <f aca="false">E6048+F6048</f>
        <v>0.4</v>
      </c>
      <c r="H6048" s="20" t="n">
        <f aca="false">IF(G6048&lt;Parametres!$B$8*Parametres!$B$7,0,MIN(G6048,Parametres!$B$7))</f>
        <v>0</v>
      </c>
      <c r="I6048" s="20" t="n">
        <f aca="false">G6048-H6048</f>
        <v>0.4</v>
      </c>
      <c r="J6048" s="21" t="n">
        <f aca="false">H6048*1000/Parametres!$B$9</f>
        <v>0</v>
      </c>
    </row>
    <row r="6049" customFormat="false" ht="15" hidden="false" customHeight="false" outlineLevel="0" collapsed="false">
      <c r="A6049" s="0" t="n">
        <v>6045</v>
      </c>
      <c r="B6049" s="0" t="n">
        <v>9</v>
      </c>
      <c r="C6049" s="19" t="n">
        <v>0</v>
      </c>
      <c r="D6049" s="19" t="n">
        <v>0</v>
      </c>
      <c r="E6049" s="20" t="n">
        <f aca="false">Parametres!$B$5*C6049</f>
        <v>0</v>
      </c>
      <c r="F6049" s="20" t="n">
        <f aca="false">Parametres!$B$6*D6049</f>
        <v>0</v>
      </c>
      <c r="G6049" s="20" t="n">
        <f aca="false">E6049+F6049</f>
        <v>0</v>
      </c>
      <c r="H6049" s="20" t="n">
        <f aca="false">IF(G6049&lt;Parametres!$B$8*Parametres!$B$7,0,MIN(G6049,Parametres!$B$7))</f>
        <v>0</v>
      </c>
      <c r="I6049" s="20" t="n">
        <f aca="false">G6049-H6049</f>
        <v>0</v>
      </c>
      <c r="J6049" s="21" t="n">
        <f aca="false">H6049*1000/Parametres!$B$9</f>
        <v>0</v>
      </c>
    </row>
    <row r="6050" customFormat="false" ht="15" hidden="false" customHeight="false" outlineLevel="0" collapsed="false">
      <c r="A6050" s="0" t="n">
        <v>6046</v>
      </c>
      <c r="B6050" s="0" t="n">
        <v>9</v>
      </c>
      <c r="C6050" s="19" t="n">
        <v>0</v>
      </c>
      <c r="D6050" s="19" t="n">
        <v>0</v>
      </c>
      <c r="E6050" s="20" t="n">
        <f aca="false">Parametres!$B$5*C6050</f>
        <v>0</v>
      </c>
      <c r="F6050" s="20" t="n">
        <f aca="false">Parametres!$B$6*D6050</f>
        <v>0</v>
      </c>
      <c r="G6050" s="20" t="n">
        <f aca="false">E6050+F6050</f>
        <v>0</v>
      </c>
      <c r="H6050" s="20" t="n">
        <f aca="false">IF(G6050&lt;Parametres!$B$8*Parametres!$B$7,0,MIN(G6050,Parametres!$B$7))</f>
        <v>0</v>
      </c>
      <c r="I6050" s="20" t="n">
        <f aca="false">G6050-H6050</f>
        <v>0</v>
      </c>
      <c r="J6050" s="21" t="n">
        <f aca="false">H6050*1000/Parametres!$B$9</f>
        <v>0</v>
      </c>
    </row>
    <row r="6051" customFormat="false" ht="15" hidden="false" customHeight="false" outlineLevel="0" collapsed="false">
      <c r="A6051" s="0" t="n">
        <v>6047</v>
      </c>
      <c r="B6051" s="0" t="n">
        <v>9</v>
      </c>
      <c r="C6051" s="19" t="n">
        <v>0</v>
      </c>
      <c r="D6051" s="19" t="n">
        <v>0</v>
      </c>
      <c r="E6051" s="20" t="n">
        <f aca="false">Parametres!$B$5*C6051</f>
        <v>0</v>
      </c>
      <c r="F6051" s="20" t="n">
        <f aca="false">Parametres!$B$6*D6051</f>
        <v>0</v>
      </c>
      <c r="G6051" s="20" t="n">
        <f aca="false">E6051+F6051</f>
        <v>0</v>
      </c>
      <c r="H6051" s="20" t="n">
        <f aca="false">IF(G6051&lt;Parametres!$B$8*Parametres!$B$7,0,MIN(G6051,Parametres!$B$7))</f>
        <v>0</v>
      </c>
      <c r="I6051" s="20" t="n">
        <f aca="false">G6051-H6051</f>
        <v>0</v>
      </c>
      <c r="J6051" s="21" t="n">
        <f aca="false">H6051*1000/Parametres!$B$9</f>
        <v>0</v>
      </c>
    </row>
    <row r="6052" customFormat="false" ht="15" hidden="false" customHeight="false" outlineLevel="0" collapsed="false">
      <c r="A6052" s="0" t="n">
        <v>6048</v>
      </c>
      <c r="B6052" s="0" t="n">
        <v>9</v>
      </c>
      <c r="C6052" s="19" t="n">
        <v>0</v>
      </c>
      <c r="D6052" s="19" t="n">
        <v>0</v>
      </c>
      <c r="E6052" s="20" t="n">
        <f aca="false">Parametres!$B$5*C6052</f>
        <v>0</v>
      </c>
      <c r="F6052" s="20" t="n">
        <f aca="false">Parametres!$B$6*D6052</f>
        <v>0</v>
      </c>
      <c r="G6052" s="20" t="n">
        <f aca="false">E6052+F6052</f>
        <v>0</v>
      </c>
      <c r="H6052" s="20" t="n">
        <f aca="false">IF(G6052&lt;Parametres!$B$8*Parametres!$B$7,0,MIN(G6052,Parametres!$B$7))</f>
        <v>0</v>
      </c>
      <c r="I6052" s="20" t="n">
        <f aca="false">G6052-H6052</f>
        <v>0</v>
      </c>
      <c r="J6052" s="21" t="n">
        <f aca="false">H6052*1000/Parametres!$B$9</f>
        <v>0</v>
      </c>
    </row>
    <row r="6053" customFormat="false" ht="15" hidden="false" customHeight="false" outlineLevel="0" collapsed="false">
      <c r="A6053" s="0" t="n">
        <v>6049</v>
      </c>
      <c r="B6053" s="0" t="n">
        <v>9</v>
      </c>
      <c r="C6053" s="19" t="n">
        <v>0</v>
      </c>
      <c r="D6053" s="19" t="n">
        <v>0</v>
      </c>
      <c r="E6053" s="20" t="n">
        <f aca="false">Parametres!$B$5*C6053</f>
        <v>0</v>
      </c>
      <c r="F6053" s="20" t="n">
        <f aca="false">Parametres!$B$6*D6053</f>
        <v>0</v>
      </c>
      <c r="G6053" s="20" t="n">
        <f aca="false">E6053+F6053</f>
        <v>0</v>
      </c>
      <c r="H6053" s="20" t="n">
        <f aca="false">IF(G6053&lt;Parametres!$B$8*Parametres!$B$7,0,MIN(G6053,Parametres!$B$7))</f>
        <v>0</v>
      </c>
      <c r="I6053" s="20" t="n">
        <f aca="false">G6053-H6053</f>
        <v>0</v>
      </c>
      <c r="J6053" s="21" t="n">
        <f aca="false">H6053*1000/Parametres!$B$9</f>
        <v>0</v>
      </c>
    </row>
    <row r="6054" customFormat="false" ht="15" hidden="false" customHeight="false" outlineLevel="0" collapsed="false">
      <c r="A6054" s="0" t="n">
        <v>6050</v>
      </c>
      <c r="B6054" s="0" t="n">
        <v>9</v>
      </c>
      <c r="C6054" s="19" t="n">
        <v>0</v>
      </c>
      <c r="D6054" s="19" t="n">
        <v>0</v>
      </c>
      <c r="E6054" s="20" t="n">
        <f aca="false">Parametres!$B$5*C6054</f>
        <v>0</v>
      </c>
      <c r="F6054" s="20" t="n">
        <f aca="false">Parametres!$B$6*D6054</f>
        <v>0</v>
      </c>
      <c r="G6054" s="20" t="n">
        <f aca="false">E6054+F6054</f>
        <v>0</v>
      </c>
      <c r="H6054" s="20" t="n">
        <f aca="false">IF(G6054&lt;Parametres!$B$8*Parametres!$B$7,0,MIN(G6054,Parametres!$B$7))</f>
        <v>0</v>
      </c>
      <c r="I6054" s="20" t="n">
        <f aca="false">G6054-H6054</f>
        <v>0</v>
      </c>
      <c r="J6054" s="21" t="n">
        <f aca="false">H6054*1000/Parametres!$B$9</f>
        <v>0</v>
      </c>
    </row>
    <row r="6055" customFormat="false" ht="15" hidden="false" customHeight="false" outlineLevel="0" collapsed="false">
      <c r="A6055" s="0" t="n">
        <v>6051</v>
      </c>
      <c r="B6055" s="0" t="n">
        <v>9</v>
      </c>
      <c r="C6055" s="19" t="n">
        <v>0</v>
      </c>
      <c r="D6055" s="19" t="n">
        <v>0</v>
      </c>
      <c r="E6055" s="20" t="n">
        <f aca="false">Parametres!$B$5*C6055</f>
        <v>0</v>
      </c>
      <c r="F6055" s="20" t="n">
        <f aca="false">Parametres!$B$6*D6055</f>
        <v>0</v>
      </c>
      <c r="G6055" s="20" t="n">
        <f aca="false">E6055+F6055</f>
        <v>0</v>
      </c>
      <c r="H6055" s="20" t="n">
        <f aca="false">IF(G6055&lt;Parametres!$B$8*Parametres!$B$7,0,MIN(G6055,Parametres!$B$7))</f>
        <v>0</v>
      </c>
      <c r="I6055" s="20" t="n">
        <f aca="false">G6055-H6055</f>
        <v>0</v>
      </c>
      <c r="J6055" s="21" t="n">
        <f aca="false">H6055*1000/Parametres!$B$9</f>
        <v>0</v>
      </c>
    </row>
    <row r="6056" customFormat="false" ht="15" hidden="false" customHeight="false" outlineLevel="0" collapsed="false">
      <c r="A6056" s="0" t="n">
        <v>6052</v>
      </c>
      <c r="B6056" s="0" t="n">
        <v>9</v>
      </c>
      <c r="C6056" s="19" t="n">
        <v>0</v>
      </c>
      <c r="D6056" s="19" t="n">
        <v>0</v>
      </c>
      <c r="E6056" s="20" t="n">
        <f aca="false">Parametres!$B$5*C6056</f>
        <v>0</v>
      </c>
      <c r="F6056" s="20" t="n">
        <f aca="false">Parametres!$B$6*D6056</f>
        <v>0</v>
      </c>
      <c r="G6056" s="20" t="n">
        <f aca="false">E6056+F6056</f>
        <v>0</v>
      </c>
      <c r="H6056" s="20" t="n">
        <f aca="false">IF(G6056&lt;Parametres!$B$8*Parametres!$B$7,0,MIN(G6056,Parametres!$B$7))</f>
        <v>0</v>
      </c>
      <c r="I6056" s="20" t="n">
        <f aca="false">G6056-H6056</f>
        <v>0</v>
      </c>
      <c r="J6056" s="21" t="n">
        <f aca="false">H6056*1000/Parametres!$B$9</f>
        <v>0</v>
      </c>
    </row>
    <row r="6057" customFormat="false" ht="15" hidden="false" customHeight="false" outlineLevel="0" collapsed="false">
      <c r="A6057" s="0" t="n">
        <v>6053</v>
      </c>
      <c r="B6057" s="0" t="n">
        <v>9</v>
      </c>
      <c r="C6057" s="19" t="n">
        <v>0</v>
      </c>
      <c r="D6057" s="19" t="n">
        <v>0</v>
      </c>
      <c r="E6057" s="20" t="n">
        <f aca="false">Parametres!$B$5*C6057</f>
        <v>0</v>
      </c>
      <c r="F6057" s="20" t="n">
        <f aca="false">Parametres!$B$6*D6057</f>
        <v>0</v>
      </c>
      <c r="G6057" s="20" t="n">
        <f aca="false">E6057+F6057</f>
        <v>0</v>
      </c>
      <c r="H6057" s="20" t="n">
        <f aca="false">IF(G6057&lt;Parametres!$B$8*Parametres!$B$7,0,MIN(G6057,Parametres!$B$7))</f>
        <v>0</v>
      </c>
      <c r="I6057" s="20" t="n">
        <f aca="false">G6057-H6057</f>
        <v>0</v>
      </c>
      <c r="J6057" s="21" t="n">
        <f aca="false">H6057*1000/Parametres!$B$9</f>
        <v>0</v>
      </c>
    </row>
    <row r="6058" customFormat="false" ht="15" hidden="false" customHeight="false" outlineLevel="0" collapsed="false">
      <c r="A6058" s="0" t="n">
        <v>6054</v>
      </c>
      <c r="B6058" s="0" t="n">
        <v>9</v>
      </c>
      <c r="C6058" s="19" t="n">
        <v>0</v>
      </c>
      <c r="D6058" s="19" t="n">
        <v>0</v>
      </c>
      <c r="E6058" s="20" t="n">
        <f aca="false">Parametres!$B$5*C6058</f>
        <v>0</v>
      </c>
      <c r="F6058" s="20" t="n">
        <f aca="false">Parametres!$B$6*D6058</f>
        <v>0</v>
      </c>
      <c r="G6058" s="20" t="n">
        <f aca="false">E6058+F6058</f>
        <v>0</v>
      </c>
      <c r="H6058" s="20" t="n">
        <f aca="false">IF(G6058&lt;Parametres!$B$8*Parametres!$B$7,0,MIN(G6058,Parametres!$B$7))</f>
        <v>0</v>
      </c>
      <c r="I6058" s="20" t="n">
        <f aca="false">G6058-H6058</f>
        <v>0</v>
      </c>
      <c r="J6058" s="21" t="n">
        <f aca="false">H6058*1000/Parametres!$B$9</f>
        <v>0</v>
      </c>
    </row>
    <row r="6059" customFormat="false" ht="15" hidden="false" customHeight="false" outlineLevel="0" collapsed="false">
      <c r="A6059" s="0" t="n">
        <v>6055</v>
      </c>
      <c r="B6059" s="0" t="n">
        <v>9</v>
      </c>
      <c r="C6059" s="19" t="n">
        <v>0.1472</v>
      </c>
      <c r="D6059" s="19" t="n">
        <v>0</v>
      </c>
      <c r="E6059" s="20" t="n">
        <f aca="false">Parametres!$B$5*C6059</f>
        <v>44.16</v>
      </c>
      <c r="F6059" s="20" t="n">
        <f aca="false">Parametres!$B$6*D6059</f>
        <v>0</v>
      </c>
      <c r="G6059" s="20" t="n">
        <f aca="false">E6059+F6059</f>
        <v>44.16</v>
      </c>
      <c r="H6059" s="20" t="n">
        <f aca="false">IF(G6059&lt;Parametres!$B$8*Parametres!$B$7,0,MIN(G6059,Parametres!$B$7))</f>
        <v>44.16</v>
      </c>
      <c r="I6059" s="20" t="n">
        <f aca="false">G6059-H6059</f>
        <v>0</v>
      </c>
      <c r="J6059" s="21" t="n">
        <f aca="false">H6059*1000/Parametres!$B$9</f>
        <v>748.855350178057</v>
      </c>
    </row>
    <row r="6060" customFormat="false" ht="15" hidden="false" customHeight="false" outlineLevel="0" collapsed="false">
      <c r="A6060" s="0" t="n">
        <v>6056</v>
      </c>
      <c r="B6060" s="0" t="n">
        <v>9</v>
      </c>
      <c r="C6060" s="19" t="n">
        <v>0.4075</v>
      </c>
      <c r="D6060" s="19" t="n">
        <v>0</v>
      </c>
      <c r="E6060" s="20" t="n">
        <f aca="false">Parametres!$B$5*C6060</f>
        <v>122.25</v>
      </c>
      <c r="F6060" s="20" t="n">
        <f aca="false">Parametres!$B$6*D6060</f>
        <v>0</v>
      </c>
      <c r="G6060" s="20" t="n">
        <f aca="false">E6060+F6060</f>
        <v>122.25</v>
      </c>
      <c r="H6060" s="20" t="n">
        <f aca="false">IF(G6060&lt;Parametres!$B$8*Parametres!$B$7,0,MIN(G6060,Parametres!$B$7))</f>
        <v>122.25</v>
      </c>
      <c r="I6060" s="20" t="n">
        <f aca="false">G6060-H6060</f>
        <v>0</v>
      </c>
      <c r="J6060" s="21" t="n">
        <f aca="false">H6060*1000/Parametres!$B$9</f>
        <v>2073.08801085298</v>
      </c>
    </row>
    <row r="6061" customFormat="false" ht="15" hidden="false" customHeight="false" outlineLevel="0" collapsed="false">
      <c r="A6061" s="0" t="n">
        <v>6057</v>
      </c>
      <c r="B6061" s="0" t="n">
        <v>9</v>
      </c>
      <c r="C6061" s="19" t="n">
        <v>0.6879</v>
      </c>
      <c r="D6061" s="19" t="n">
        <v>0.0006</v>
      </c>
      <c r="E6061" s="20" t="n">
        <f aca="false">Parametres!$B$5*C6061</f>
        <v>206.37</v>
      </c>
      <c r="F6061" s="20" t="n">
        <f aca="false">Parametres!$B$6*D6061</f>
        <v>0.12</v>
      </c>
      <c r="G6061" s="20" t="n">
        <f aca="false">E6061+F6061</f>
        <v>206.49</v>
      </c>
      <c r="H6061" s="20" t="n">
        <f aca="false">IF(G6061&lt;Parametres!$B$8*Parametres!$B$7,0,MIN(G6061,Parametres!$B$7))</f>
        <v>206.49</v>
      </c>
      <c r="I6061" s="20" t="n">
        <f aca="false">G6061-H6061</f>
        <v>0</v>
      </c>
      <c r="J6061" s="21" t="n">
        <f aca="false">H6061*1000/Parametres!$B$9</f>
        <v>3501.61098863829</v>
      </c>
    </row>
    <row r="6062" customFormat="false" ht="15" hidden="false" customHeight="false" outlineLevel="0" collapsed="false">
      <c r="A6062" s="0" t="n">
        <v>6058</v>
      </c>
      <c r="B6062" s="0" t="n">
        <v>9</v>
      </c>
      <c r="C6062" s="19" t="n">
        <v>0.9001</v>
      </c>
      <c r="D6062" s="19" t="n">
        <v>0.0038</v>
      </c>
      <c r="E6062" s="20" t="n">
        <f aca="false">Parametres!$B$5*C6062</f>
        <v>270.03</v>
      </c>
      <c r="F6062" s="20" t="n">
        <f aca="false">Parametres!$B$6*D6062</f>
        <v>0.76</v>
      </c>
      <c r="G6062" s="20" t="n">
        <f aca="false">E6062+F6062</f>
        <v>270.79</v>
      </c>
      <c r="H6062" s="20" t="n">
        <f aca="false">IF(G6062&lt;Parametres!$B$8*Parametres!$B$7,0,MIN(G6062,Parametres!$B$7))</f>
        <v>250</v>
      </c>
      <c r="I6062" s="20" t="n">
        <f aca="false">G6062-H6062</f>
        <v>20.79</v>
      </c>
      <c r="J6062" s="21" t="n">
        <f aca="false">H6062*1000/Parametres!$B$9</f>
        <v>4239.44378497541</v>
      </c>
    </row>
    <row r="6063" customFormat="false" ht="15" hidden="false" customHeight="false" outlineLevel="0" collapsed="false">
      <c r="A6063" s="0" t="n">
        <v>6059</v>
      </c>
      <c r="B6063" s="0" t="n">
        <v>9</v>
      </c>
      <c r="C6063" s="19" t="n">
        <v>1</v>
      </c>
      <c r="D6063" s="19" t="n">
        <v>0.0027</v>
      </c>
      <c r="E6063" s="20" t="n">
        <f aca="false">Parametres!$B$5*C6063</f>
        <v>300</v>
      </c>
      <c r="F6063" s="20" t="n">
        <f aca="false">Parametres!$B$6*D6063</f>
        <v>0.54</v>
      </c>
      <c r="G6063" s="20" t="n">
        <f aca="false">E6063+F6063</f>
        <v>300.54</v>
      </c>
      <c r="H6063" s="20" t="n">
        <f aca="false">IF(G6063&lt;Parametres!$B$8*Parametres!$B$7,0,MIN(G6063,Parametres!$B$7))</f>
        <v>250</v>
      </c>
      <c r="I6063" s="20" t="n">
        <f aca="false">G6063-H6063</f>
        <v>50.54</v>
      </c>
      <c r="J6063" s="21" t="n">
        <f aca="false">H6063*1000/Parametres!$B$9</f>
        <v>4239.44378497541</v>
      </c>
    </row>
    <row r="6064" customFormat="false" ht="15" hidden="false" customHeight="false" outlineLevel="0" collapsed="false">
      <c r="A6064" s="0" t="n">
        <v>6060</v>
      </c>
      <c r="B6064" s="0" t="n">
        <v>9</v>
      </c>
      <c r="C6064" s="19" t="n">
        <v>1</v>
      </c>
      <c r="D6064" s="19" t="n">
        <v>0.0321</v>
      </c>
      <c r="E6064" s="20" t="n">
        <f aca="false">Parametres!$B$5*C6064</f>
        <v>300</v>
      </c>
      <c r="F6064" s="20" t="n">
        <f aca="false">Parametres!$B$6*D6064</f>
        <v>6.42</v>
      </c>
      <c r="G6064" s="20" t="n">
        <f aca="false">E6064+F6064</f>
        <v>306.42</v>
      </c>
      <c r="H6064" s="20" t="n">
        <f aca="false">IF(G6064&lt;Parametres!$B$8*Parametres!$B$7,0,MIN(G6064,Parametres!$B$7))</f>
        <v>250</v>
      </c>
      <c r="I6064" s="20" t="n">
        <f aca="false">G6064-H6064</f>
        <v>56.42</v>
      </c>
      <c r="J6064" s="21" t="n">
        <f aca="false">H6064*1000/Parametres!$B$9</f>
        <v>4239.44378497541</v>
      </c>
    </row>
    <row r="6065" customFormat="false" ht="15" hidden="false" customHeight="false" outlineLevel="0" collapsed="false">
      <c r="A6065" s="0" t="n">
        <v>6061</v>
      </c>
      <c r="B6065" s="0" t="n">
        <v>9</v>
      </c>
      <c r="C6065" s="19" t="n">
        <v>1</v>
      </c>
      <c r="D6065" s="19" t="n">
        <v>0.0655</v>
      </c>
      <c r="E6065" s="20" t="n">
        <f aca="false">Parametres!$B$5*C6065</f>
        <v>300</v>
      </c>
      <c r="F6065" s="20" t="n">
        <f aca="false">Parametres!$B$6*D6065</f>
        <v>13.1</v>
      </c>
      <c r="G6065" s="20" t="n">
        <f aca="false">E6065+F6065</f>
        <v>313.1</v>
      </c>
      <c r="H6065" s="20" t="n">
        <f aca="false">IF(G6065&lt;Parametres!$B$8*Parametres!$B$7,0,MIN(G6065,Parametres!$B$7))</f>
        <v>250</v>
      </c>
      <c r="I6065" s="20" t="n">
        <f aca="false">G6065-H6065</f>
        <v>63.1</v>
      </c>
      <c r="J6065" s="21" t="n">
        <f aca="false">H6065*1000/Parametres!$B$9</f>
        <v>4239.44378497541</v>
      </c>
    </row>
    <row r="6066" customFormat="false" ht="15" hidden="false" customHeight="false" outlineLevel="0" collapsed="false">
      <c r="A6066" s="0" t="n">
        <v>6062</v>
      </c>
      <c r="B6066" s="0" t="n">
        <v>9</v>
      </c>
      <c r="C6066" s="19" t="n">
        <v>1</v>
      </c>
      <c r="D6066" s="19" t="n">
        <v>0.0782</v>
      </c>
      <c r="E6066" s="20" t="n">
        <f aca="false">Parametres!$B$5*C6066</f>
        <v>300</v>
      </c>
      <c r="F6066" s="20" t="n">
        <f aca="false">Parametres!$B$6*D6066</f>
        <v>15.64</v>
      </c>
      <c r="G6066" s="20" t="n">
        <f aca="false">E6066+F6066</f>
        <v>315.64</v>
      </c>
      <c r="H6066" s="20" t="n">
        <f aca="false">IF(G6066&lt;Parametres!$B$8*Parametres!$B$7,0,MIN(G6066,Parametres!$B$7))</f>
        <v>250</v>
      </c>
      <c r="I6066" s="20" t="n">
        <f aca="false">G6066-H6066</f>
        <v>65.64</v>
      </c>
      <c r="J6066" s="21" t="n">
        <f aca="false">H6066*1000/Parametres!$B$9</f>
        <v>4239.44378497541</v>
      </c>
    </row>
    <row r="6067" customFormat="false" ht="15" hidden="false" customHeight="false" outlineLevel="0" collapsed="false">
      <c r="A6067" s="0" t="n">
        <v>6063</v>
      </c>
      <c r="B6067" s="0" t="n">
        <v>9</v>
      </c>
      <c r="C6067" s="19" t="n">
        <v>0.9684</v>
      </c>
      <c r="D6067" s="19" t="n">
        <v>0.0719</v>
      </c>
      <c r="E6067" s="20" t="n">
        <f aca="false">Parametres!$B$5*C6067</f>
        <v>290.52</v>
      </c>
      <c r="F6067" s="20" t="n">
        <f aca="false">Parametres!$B$6*D6067</f>
        <v>14.38</v>
      </c>
      <c r="G6067" s="20" t="n">
        <f aca="false">E6067+F6067</f>
        <v>304.9</v>
      </c>
      <c r="H6067" s="20" t="n">
        <f aca="false">IF(G6067&lt;Parametres!$B$8*Parametres!$B$7,0,MIN(G6067,Parametres!$B$7))</f>
        <v>250</v>
      </c>
      <c r="I6067" s="20" t="n">
        <f aca="false">G6067-H6067</f>
        <v>54.9</v>
      </c>
      <c r="J6067" s="21" t="n">
        <f aca="false">H6067*1000/Parametres!$B$9</f>
        <v>4239.44378497541</v>
      </c>
    </row>
    <row r="6068" customFormat="false" ht="15" hidden="false" customHeight="false" outlineLevel="0" collapsed="false">
      <c r="A6068" s="0" t="n">
        <v>6064</v>
      </c>
      <c r="B6068" s="0" t="n">
        <v>9</v>
      </c>
      <c r="C6068" s="19" t="n">
        <v>0.6471</v>
      </c>
      <c r="D6068" s="19" t="n">
        <v>0.1118</v>
      </c>
      <c r="E6068" s="20" t="n">
        <f aca="false">Parametres!$B$5*C6068</f>
        <v>194.13</v>
      </c>
      <c r="F6068" s="20" t="n">
        <f aca="false">Parametres!$B$6*D6068</f>
        <v>22.36</v>
      </c>
      <c r="G6068" s="20" t="n">
        <f aca="false">E6068+F6068</f>
        <v>216.49</v>
      </c>
      <c r="H6068" s="20" t="n">
        <f aca="false">IF(G6068&lt;Parametres!$B$8*Parametres!$B$7,0,MIN(G6068,Parametres!$B$7))</f>
        <v>216.49</v>
      </c>
      <c r="I6068" s="20" t="n">
        <f aca="false">G6068-H6068</f>
        <v>0</v>
      </c>
      <c r="J6068" s="21" t="n">
        <f aca="false">H6068*1000/Parametres!$B$9</f>
        <v>3671.18874003731</v>
      </c>
    </row>
    <row r="6069" customFormat="false" ht="15" hidden="false" customHeight="false" outlineLevel="0" collapsed="false">
      <c r="A6069" s="0" t="n">
        <v>6065</v>
      </c>
      <c r="B6069" s="0" t="n">
        <v>9</v>
      </c>
      <c r="C6069" s="19" t="n">
        <v>0.4328</v>
      </c>
      <c r="D6069" s="19" t="n">
        <v>0.0877</v>
      </c>
      <c r="E6069" s="20" t="n">
        <f aca="false">Parametres!$B$5*C6069</f>
        <v>129.84</v>
      </c>
      <c r="F6069" s="20" t="n">
        <f aca="false">Parametres!$B$6*D6069</f>
        <v>17.54</v>
      </c>
      <c r="G6069" s="20" t="n">
        <f aca="false">E6069+F6069</f>
        <v>147.38</v>
      </c>
      <c r="H6069" s="20" t="n">
        <f aca="false">IF(G6069&lt;Parametres!$B$8*Parametres!$B$7,0,MIN(G6069,Parametres!$B$7))</f>
        <v>147.38</v>
      </c>
      <c r="I6069" s="20" t="n">
        <f aca="false">G6069-H6069</f>
        <v>0</v>
      </c>
      <c r="J6069" s="21" t="n">
        <f aca="false">H6069*1000/Parametres!$B$9</f>
        <v>2499.2369001187</v>
      </c>
    </row>
    <row r="6070" customFormat="false" ht="15" hidden="false" customHeight="false" outlineLevel="0" collapsed="false">
      <c r="A6070" s="0" t="n">
        <v>6066</v>
      </c>
      <c r="B6070" s="0" t="n">
        <v>9</v>
      </c>
      <c r="C6070" s="19" t="n">
        <v>0.1506</v>
      </c>
      <c r="D6070" s="19" t="n">
        <v>0.0866</v>
      </c>
      <c r="E6070" s="20" t="n">
        <f aca="false">Parametres!$B$5*C6070</f>
        <v>45.18</v>
      </c>
      <c r="F6070" s="20" t="n">
        <f aca="false">Parametres!$B$6*D6070</f>
        <v>17.32</v>
      </c>
      <c r="G6070" s="20" t="n">
        <f aca="false">E6070+F6070</f>
        <v>62.5</v>
      </c>
      <c r="H6070" s="20" t="n">
        <f aca="false">IF(G6070&lt;Parametres!$B$8*Parametres!$B$7,0,MIN(G6070,Parametres!$B$7))</f>
        <v>62.5</v>
      </c>
      <c r="I6070" s="20" t="n">
        <f aca="false">G6070-H6070</f>
        <v>0</v>
      </c>
      <c r="J6070" s="21" t="n">
        <f aca="false">H6070*1000/Parametres!$B$9</f>
        <v>1059.86094624385</v>
      </c>
    </row>
    <row r="6071" customFormat="false" ht="15" hidden="false" customHeight="false" outlineLevel="0" collapsed="false">
      <c r="A6071" s="0" t="n">
        <v>6067</v>
      </c>
      <c r="B6071" s="0" t="n">
        <v>9</v>
      </c>
      <c r="C6071" s="19" t="n">
        <v>0</v>
      </c>
      <c r="D6071" s="19" t="n">
        <v>0.163</v>
      </c>
      <c r="E6071" s="20" t="n">
        <f aca="false">Parametres!$B$5*C6071</f>
        <v>0</v>
      </c>
      <c r="F6071" s="20" t="n">
        <f aca="false">Parametres!$B$6*D6071</f>
        <v>32.6</v>
      </c>
      <c r="G6071" s="20" t="n">
        <f aca="false">E6071+F6071</f>
        <v>32.6</v>
      </c>
      <c r="H6071" s="20" t="n">
        <f aca="false">IF(G6071&lt;Parametres!$B$8*Parametres!$B$7,0,MIN(G6071,Parametres!$B$7))</f>
        <v>32.6</v>
      </c>
      <c r="I6071" s="20" t="n">
        <f aca="false">G6071-H6071</f>
        <v>0</v>
      </c>
      <c r="J6071" s="21" t="n">
        <f aca="false">H6071*1000/Parametres!$B$9</f>
        <v>552.823469560794</v>
      </c>
    </row>
    <row r="6072" customFormat="false" ht="15" hidden="false" customHeight="false" outlineLevel="0" collapsed="false">
      <c r="A6072" s="0" t="n">
        <v>6068</v>
      </c>
      <c r="B6072" s="0" t="n">
        <v>9</v>
      </c>
      <c r="C6072" s="19" t="n">
        <v>0</v>
      </c>
      <c r="D6072" s="19" t="n">
        <v>0.1968</v>
      </c>
      <c r="E6072" s="20" t="n">
        <f aca="false">Parametres!$B$5*C6072</f>
        <v>0</v>
      </c>
      <c r="F6072" s="20" t="n">
        <f aca="false">Parametres!$B$6*D6072</f>
        <v>39.36</v>
      </c>
      <c r="G6072" s="20" t="n">
        <f aca="false">E6072+F6072</f>
        <v>39.36</v>
      </c>
      <c r="H6072" s="20" t="n">
        <f aca="false">IF(G6072&lt;Parametres!$B$8*Parametres!$B$7,0,MIN(G6072,Parametres!$B$7))</f>
        <v>39.36</v>
      </c>
      <c r="I6072" s="20" t="n">
        <f aca="false">G6072-H6072</f>
        <v>0</v>
      </c>
      <c r="J6072" s="21" t="n">
        <f aca="false">H6072*1000/Parametres!$B$9</f>
        <v>667.458029506529</v>
      </c>
    </row>
    <row r="6073" customFormat="false" ht="15" hidden="false" customHeight="false" outlineLevel="0" collapsed="false">
      <c r="A6073" s="0" t="n">
        <v>6069</v>
      </c>
      <c r="B6073" s="0" t="n">
        <v>9</v>
      </c>
      <c r="C6073" s="19" t="n">
        <v>0</v>
      </c>
      <c r="D6073" s="19" t="n">
        <v>0.0981</v>
      </c>
      <c r="E6073" s="20" t="n">
        <f aca="false">Parametres!$B$5*C6073</f>
        <v>0</v>
      </c>
      <c r="F6073" s="20" t="n">
        <f aca="false">Parametres!$B$6*D6073</f>
        <v>19.62</v>
      </c>
      <c r="G6073" s="20" t="n">
        <f aca="false">E6073+F6073</f>
        <v>19.62</v>
      </c>
      <c r="H6073" s="20" t="n">
        <f aca="false">IF(G6073&lt;Parametres!$B$8*Parametres!$B$7,0,MIN(G6073,Parametres!$B$7))</f>
        <v>0</v>
      </c>
      <c r="I6073" s="20" t="n">
        <f aca="false">G6073-H6073</f>
        <v>19.62</v>
      </c>
      <c r="J6073" s="21" t="n">
        <f aca="false">H6073*1000/Parametres!$B$9</f>
        <v>0</v>
      </c>
    </row>
    <row r="6074" customFormat="false" ht="15" hidden="false" customHeight="false" outlineLevel="0" collapsed="false">
      <c r="A6074" s="0" t="n">
        <v>6070</v>
      </c>
      <c r="B6074" s="0" t="n">
        <v>9</v>
      </c>
      <c r="C6074" s="19" t="n">
        <v>0</v>
      </c>
      <c r="D6074" s="19" t="n">
        <v>0.0998</v>
      </c>
      <c r="E6074" s="20" t="n">
        <f aca="false">Parametres!$B$5*C6074</f>
        <v>0</v>
      </c>
      <c r="F6074" s="20" t="n">
        <f aca="false">Parametres!$B$6*D6074</f>
        <v>19.96</v>
      </c>
      <c r="G6074" s="20" t="n">
        <f aca="false">E6074+F6074</f>
        <v>19.96</v>
      </c>
      <c r="H6074" s="20" t="n">
        <f aca="false">IF(G6074&lt;Parametres!$B$8*Parametres!$B$7,0,MIN(G6074,Parametres!$B$7))</f>
        <v>0</v>
      </c>
      <c r="I6074" s="20" t="n">
        <f aca="false">G6074-H6074</f>
        <v>19.96</v>
      </c>
      <c r="J6074" s="21" t="n">
        <f aca="false">H6074*1000/Parametres!$B$9</f>
        <v>0</v>
      </c>
    </row>
    <row r="6075" customFormat="false" ht="15" hidden="false" customHeight="false" outlineLevel="0" collapsed="false">
      <c r="A6075" s="0" t="n">
        <v>6071</v>
      </c>
      <c r="B6075" s="0" t="n">
        <v>9</v>
      </c>
      <c r="C6075" s="19" t="n">
        <v>0</v>
      </c>
      <c r="D6075" s="19" t="n">
        <v>0.0706</v>
      </c>
      <c r="E6075" s="20" t="n">
        <f aca="false">Parametres!$B$5*C6075</f>
        <v>0</v>
      </c>
      <c r="F6075" s="20" t="n">
        <f aca="false">Parametres!$B$6*D6075</f>
        <v>14.12</v>
      </c>
      <c r="G6075" s="20" t="n">
        <f aca="false">E6075+F6075</f>
        <v>14.12</v>
      </c>
      <c r="H6075" s="20" t="n">
        <f aca="false">IF(G6075&lt;Parametres!$B$8*Parametres!$B$7,0,MIN(G6075,Parametres!$B$7))</f>
        <v>0</v>
      </c>
      <c r="I6075" s="20" t="n">
        <f aca="false">G6075-H6075</f>
        <v>14.12</v>
      </c>
      <c r="J6075" s="21" t="n">
        <f aca="false">H6075*1000/Parametres!$B$9</f>
        <v>0</v>
      </c>
    </row>
    <row r="6076" customFormat="false" ht="15" hidden="false" customHeight="false" outlineLevel="0" collapsed="false">
      <c r="A6076" s="0" t="n">
        <v>6072</v>
      </c>
      <c r="B6076" s="0" t="n">
        <v>9</v>
      </c>
      <c r="C6076" s="19" t="n">
        <v>0</v>
      </c>
      <c r="D6076" s="19" t="n">
        <v>0.0357</v>
      </c>
      <c r="E6076" s="20" t="n">
        <f aca="false">Parametres!$B$5*C6076</f>
        <v>0</v>
      </c>
      <c r="F6076" s="20" t="n">
        <f aca="false">Parametres!$B$6*D6076</f>
        <v>7.14</v>
      </c>
      <c r="G6076" s="20" t="n">
        <f aca="false">E6076+F6076</f>
        <v>7.14</v>
      </c>
      <c r="H6076" s="20" t="n">
        <f aca="false">IF(G6076&lt;Parametres!$B$8*Parametres!$B$7,0,MIN(G6076,Parametres!$B$7))</f>
        <v>0</v>
      </c>
      <c r="I6076" s="20" t="n">
        <f aca="false">G6076-H6076</f>
        <v>7.14</v>
      </c>
      <c r="J6076" s="21" t="n">
        <f aca="false">H6076*1000/Parametres!$B$9</f>
        <v>0</v>
      </c>
    </row>
    <row r="6077" customFormat="false" ht="15" hidden="false" customHeight="false" outlineLevel="0" collapsed="false">
      <c r="A6077" s="0" t="n">
        <v>6073</v>
      </c>
      <c r="B6077" s="0" t="n">
        <v>9</v>
      </c>
      <c r="C6077" s="19" t="n">
        <v>0</v>
      </c>
      <c r="D6077" s="19" t="n">
        <v>0.0142</v>
      </c>
      <c r="E6077" s="20" t="n">
        <f aca="false">Parametres!$B$5*C6077</f>
        <v>0</v>
      </c>
      <c r="F6077" s="20" t="n">
        <f aca="false">Parametres!$B$6*D6077</f>
        <v>2.84</v>
      </c>
      <c r="G6077" s="20" t="n">
        <f aca="false">E6077+F6077</f>
        <v>2.84</v>
      </c>
      <c r="H6077" s="20" t="n">
        <f aca="false">IF(G6077&lt;Parametres!$B$8*Parametres!$B$7,0,MIN(G6077,Parametres!$B$7))</f>
        <v>0</v>
      </c>
      <c r="I6077" s="20" t="n">
        <f aca="false">G6077-H6077</f>
        <v>2.84</v>
      </c>
      <c r="J6077" s="21" t="n">
        <f aca="false">H6077*1000/Parametres!$B$9</f>
        <v>0</v>
      </c>
    </row>
    <row r="6078" customFormat="false" ht="15" hidden="false" customHeight="false" outlineLevel="0" collapsed="false">
      <c r="A6078" s="0" t="n">
        <v>6074</v>
      </c>
      <c r="B6078" s="0" t="n">
        <v>9</v>
      </c>
      <c r="C6078" s="19" t="n">
        <v>0</v>
      </c>
      <c r="D6078" s="19" t="n">
        <v>0.0051</v>
      </c>
      <c r="E6078" s="20" t="n">
        <f aca="false">Parametres!$B$5*C6078</f>
        <v>0</v>
      </c>
      <c r="F6078" s="20" t="n">
        <f aca="false">Parametres!$B$6*D6078</f>
        <v>1.02</v>
      </c>
      <c r="G6078" s="20" t="n">
        <f aca="false">E6078+F6078</f>
        <v>1.02</v>
      </c>
      <c r="H6078" s="20" t="n">
        <f aca="false">IF(G6078&lt;Parametres!$B$8*Parametres!$B$7,0,MIN(G6078,Parametres!$B$7))</f>
        <v>0</v>
      </c>
      <c r="I6078" s="20" t="n">
        <f aca="false">G6078-H6078</f>
        <v>1.02</v>
      </c>
      <c r="J6078" s="21" t="n">
        <f aca="false">H6078*1000/Parametres!$B$9</f>
        <v>0</v>
      </c>
    </row>
    <row r="6079" customFormat="false" ht="15" hidden="false" customHeight="false" outlineLevel="0" collapsed="false">
      <c r="A6079" s="0" t="n">
        <v>6075</v>
      </c>
      <c r="B6079" s="0" t="n">
        <v>9</v>
      </c>
      <c r="C6079" s="19" t="n">
        <v>0</v>
      </c>
      <c r="D6079" s="19" t="n">
        <v>0.0057</v>
      </c>
      <c r="E6079" s="20" t="n">
        <f aca="false">Parametres!$B$5*C6079</f>
        <v>0</v>
      </c>
      <c r="F6079" s="20" t="n">
        <f aca="false">Parametres!$B$6*D6079</f>
        <v>1.14</v>
      </c>
      <c r="G6079" s="20" t="n">
        <f aca="false">E6079+F6079</f>
        <v>1.14</v>
      </c>
      <c r="H6079" s="20" t="n">
        <f aca="false">IF(G6079&lt;Parametres!$B$8*Parametres!$B$7,0,MIN(G6079,Parametres!$B$7))</f>
        <v>0</v>
      </c>
      <c r="I6079" s="20" t="n">
        <f aca="false">G6079-H6079</f>
        <v>1.14</v>
      </c>
      <c r="J6079" s="21" t="n">
        <f aca="false">H6079*1000/Parametres!$B$9</f>
        <v>0</v>
      </c>
    </row>
    <row r="6080" customFormat="false" ht="15" hidden="false" customHeight="false" outlineLevel="0" collapsed="false">
      <c r="A6080" s="0" t="n">
        <v>6076</v>
      </c>
      <c r="B6080" s="0" t="n">
        <v>9</v>
      </c>
      <c r="C6080" s="19" t="n">
        <v>0</v>
      </c>
      <c r="D6080" s="19" t="n">
        <v>0.0175</v>
      </c>
      <c r="E6080" s="20" t="n">
        <f aca="false">Parametres!$B$5*C6080</f>
        <v>0</v>
      </c>
      <c r="F6080" s="20" t="n">
        <f aca="false">Parametres!$B$6*D6080</f>
        <v>3.5</v>
      </c>
      <c r="G6080" s="20" t="n">
        <f aca="false">E6080+F6080</f>
        <v>3.5</v>
      </c>
      <c r="H6080" s="20" t="n">
        <f aca="false">IF(G6080&lt;Parametres!$B$8*Parametres!$B$7,0,MIN(G6080,Parametres!$B$7))</f>
        <v>0</v>
      </c>
      <c r="I6080" s="20" t="n">
        <f aca="false">G6080-H6080</f>
        <v>3.5</v>
      </c>
      <c r="J6080" s="21" t="n">
        <f aca="false">H6080*1000/Parametres!$B$9</f>
        <v>0</v>
      </c>
    </row>
    <row r="6081" customFormat="false" ht="15" hidden="false" customHeight="false" outlineLevel="0" collapsed="false">
      <c r="A6081" s="0" t="n">
        <v>6077</v>
      </c>
      <c r="B6081" s="0" t="n">
        <v>9</v>
      </c>
      <c r="C6081" s="19" t="n">
        <v>0</v>
      </c>
      <c r="D6081" s="19" t="n">
        <v>0.0152</v>
      </c>
      <c r="E6081" s="20" t="n">
        <f aca="false">Parametres!$B$5*C6081</f>
        <v>0</v>
      </c>
      <c r="F6081" s="20" t="n">
        <f aca="false">Parametres!$B$6*D6081</f>
        <v>3.04</v>
      </c>
      <c r="G6081" s="20" t="n">
        <f aca="false">E6081+F6081</f>
        <v>3.04</v>
      </c>
      <c r="H6081" s="20" t="n">
        <f aca="false">IF(G6081&lt;Parametres!$B$8*Parametres!$B$7,0,MIN(G6081,Parametres!$B$7))</f>
        <v>0</v>
      </c>
      <c r="I6081" s="20" t="n">
        <f aca="false">G6081-H6081</f>
        <v>3.04</v>
      </c>
      <c r="J6081" s="21" t="n">
        <f aca="false">H6081*1000/Parametres!$B$9</f>
        <v>0</v>
      </c>
    </row>
    <row r="6082" customFormat="false" ht="15" hidden="false" customHeight="false" outlineLevel="0" collapsed="false">
      <c r="A6082" s="0" t="n">
        <v>6078</v>
      </c>
      <c r="B6082" s="0" t="n">
        <v>9</v>
      </c>
      <c r="C6082" s="19" t="n">
        <v>0</v>
      </c>
      <c r="D6082" s="19" t="n">
        <v>0.0451</v>
      </c>
      <c r="E6082" s="20" t="n">
        <f aca="false">Parametres!$B$5*C6082</f>
        <v>0</v>
      </c>
      <c r="F6082" s="20" t="n">
        <f aca="false">Parametres!$B$6*D6082</f>
        <v>9.02</v>
      </c>
      <c r="G6082" s="20" t="n">
        <f aca="false">E6082+F6082</f>
        <v>9.02</v>
      </c>
      <c r="H6082" s="20" t="n">
        <f aca="false">IF(G6082&lt;Parametres!$B$8*Parametres!$B$7,0,MIN(G6082,Parametres!$B$7))</f>
        <v>0</v>
      </c>
      <c r="I6082" s="20" t="n">
        <f aca="false">G6082-H6082</f>
        <v>9.02</v>
      </c>
      <c r="J6082" s="21" t="n">
        <f aca="false">H6082*1000/Parametres!$B$9</f>
        <v>0</v>
      </c>
    </row>
    <row r="6083" customFormat="false" ht="15" hidden="false" customHeight="false" outlineLevel="0" collapsed="false">
      <c r="A6083" s="0" t="n">
        <v>6079</v>
      </c>
      <c r="B6083" s="0" t="n">
        <v>9</v>
      </c>
      <c r="C6083" s="19" t="n">
        <v>0.1247</v>
      </c>
      <c r="D6083" s="19" t="n">
        <v>0.0291</v>
      </c>
      <c r="E6083" s="20" t="n">
        <f aca="false">Parametres!$B$5*C6083</f>
        <v>37.41</v>
      </c>
      <c r="F6083" s="20" t="n">
        <f aca="false">Parametres!$B$6*D6083</f>
        <v>5.82</v>
      </c>
      <c r="G6083" s="20" t="n">
        <f aca="false">E6083+F6083</f>
        <v>43.23</v>
      </c>
      <c r="H6083" s="20" t="n">
        <f aca="false">IF(G6083&lt;Parametres!$B$8*Parametres!$B$7,0,MIN(G6083,Parametres!$B$7))</f>
        <v>43.23</v>
      </c>
      <c r="I6083" s="20" t="n">
        <f aca="false">G6083-H6083</f>
        <v>0</v>
      </c>
      <c r="J6083" s="21" t="n">
        <f aca="false">H6083*1000/Parametres!$B$9</f>
        <v>733.084619297948</v>
      </c>
    </row>
    <row r="6084" customFormat="false" ht="15" hidden="false" customHeight="false" outlineLevel="0" collapsed="false">
      <c r="A6084" s="0" t="n">
        <v>6080</v>
      </c>
      <c r="B6084" s="0" t="n">
        <v>9</v>
      </c>
      <c r="C6084" s="19" t="n">
        <v>0.365</v>
      </c>
      <c r="D6084" s="19" t="n">
        <v>0.0297</v>
      </c>
      <c r="E6084" s="20" t="n">
        <f aca="false">Parametres!$B$5*C6084</f>
        <v>109.5</v>
      </c>
      <c r="F6084" s="20" t="n">
        <f aca="false">Parametres!$B$6*D6084</f>
        <v>5.94</v>
      </c>
      <c r="G6084" s="20" t="n">
        <f aca="false">E6084+F6084</f>
        <v>115.44</v>
      </c>
      <c r="H6084" s="20" t="n">
        <f aca="false">IF(G6084&lt;Parametres!$B$8*Parametres!$B$7,0,MIN(G6084,Parametres!$B$7))</f>
        <v>115.44</v>
      </c>
      <c r="I6084" s="20" t="n">
        <f aca="false">G6084-H6084</f>
        <v>0</v>
      </c>
      <c r="J6084" s="21" t="n">
        <f aca="false">H6084*1000/Parametres!$B$9</f>
        <v>1957.60556215025</v>
      </c>
    </row>
    <row r="6085" customFormat="false" ht="15" hidden="false" customHeight="false" outlineLevel="0" collapsed="false">
      <c r="A6085" s="0" t="n">
        <v>6081</v>
      </c>
      <c r="B6085" s="0" t="n">
        <v>9</v>
      </c>
      <c r="C6085" s="19" t="n">
        <v>0.5856</v>
      </c>
      <c r="D6085" s="19" t="n">
        <v>0.0918</v>
      </c>
      <c r="E6085" s="20" t="n">
        <f aca="false">Parametres!$B$5*C6085</f>
        <v>175.68</v>
      </c>
      <c r="F6085" s="20" t="n">
        <f aca="false">Parametres!$B$6*D6085</f>
        <v>18.36</v>
      </c>
      <c r="G6085" s="20" t="n">
        <f aca="false">E6085+F6085</f>
        <v>194.04</v>
      </c>
      <c r="H6085" s="20" t="n">
        <f aca="false">IF(G6085&lt;Parametres!$B$8*Parametres!$B$7,0,MIN(G6085,Parametres!$B$7))</f>
        <v>194.04</v>
      </c>
      <c r="I6085" s="20" t="n">
        <f aca="false">G6085-H6085</f>
        <v>0</v>
      </c>
      <c r="J6085" s="21" t="n">
        <f aca="false">H6085*1000/Parametres!$B$9</f>
        <v>3290.48668814652</v>
      </c>
    </row>
    <row r="6086" customFormat="false" ht="15" hidden="false" customHeight="false" outlineLevel="0" collapsed="false">
      <c r="A6086" s="0" t="n">
        <v>6082</v>
      </c>
      <c r="B6086" s="0" t="n">
        <v>9</v>
      </c>
      <c r="C6086" s="19" t="n">
        <v>0.7446</v>
      </c>
      <c r="D6086" s="19" t="n">
        <v>0.1199</v>
      </c>
      <c r="E6086" s="20" t="n">
        <f aca="false">Parametres!$B$5*C6086</f>
        <v>223.38</v>
      </c>
      <c r="F6086" s="20" t="n">
        <f aca="false">Parametres!$B$6*D6086</f>
        <v>23.98</v>
      </c>
      <c r="G6086" s="20" t="n">
        <f aca="false">E6086+F6086</f>
        <v>247.36</v>
      </c>
      <c r="H6086" s="20" t="n">
        <f aca="false">IF(G6086&lt;Parametres!$B$8*Parametres!$B$7,0,MIN(G6086,Parametres!$B$7))</f>
        <v>247.36</v>
      </c>
      <c r="I6086" s="20" t="n">
        <f aca="false">G6086-H6086</f>
        <v>0</v>
      </c>
      <c r="J6086" s="21" t="n">
        <f aca="false">H6086*1000/Parametres!$B$9</f>
        <v>4194.67525860607</v>
      </c>
    </row>
    <row r="6087" customFormat="false" ht="15" hidden="false" customHeight="false" outlineLevel="0" collapsed="false">
      <c r="A6087" s="0" t="n">
        <v>6083</v>
      </c>
      <c r="B6087" s="0" t="n">
        <v>9</v>
      </c>
      <c r="C6087" s="19" t="n">
        <v>0.8871</v>
      </c>
      <c r="D6087" s="19" t="n">
        <v>0.1655</v>
      </c>
      <c r="E6087" s="20" t="n">
        <f aca="false">Parametres!$B$5*C6087</f>
        <v>266.13</v>
      </c>
      <c r="F6087" s="20" t="n">
        <f aca="false">Parametres!$B$6*D6087</f>
        <v>33.1</v>
      </c>
      <c r="G6087" s="20" t="n">
        <f aca="false">E6087+F6087</f>
        <v>299.23</v>
      </c>
      <c r="H6087" s="20" t="n">
        <f aca="false">IF(G6087&lt;Parametres!$B$8*Parametres!$B$7,0,MIN(G6087,Parametres!$B$7))</f>
        <v>250</v>
      </c>
      <c r="I6087" s="20" t="n">
        <f aca="false">G6087-H6087</f>
        <v>49.23</v>
      </c>
      <c r="J6087" s="21" t="n">
        <f aca="false">H6087*1000/Parametres!$B$9</f>
        <v>4239.44378497541</v>
      </c>
    </row>
    <row r="6088" customFormat="false" ht="15" hidden="false" customHeight="false" outlineLevel="0" collapsed="false">
      <c r="A6088" s="0" t="n">
        <v>6084</v>
      </c>
      <c r="B6088" s="0" t="n">
        <v>9</v>
      </c>
      <c r="C6088" s="19" t="n">
        <v>0.9465</v>
      </c>
      <c r="D6088" s="19" t="n">
        <v>0.2274</v>
      </c>
      <c r="E6088" s="20" t="n">
        <f aca="false">Parametres!$B$5*C6088</f>
        <v>283.95</v>
      </c>
      <c r="F6088" s="20" t="n">
        <f aca="false">Parametres!$B$6*D6088</f>
        <v>45.48</v>
      </c>
      <c r="G6088" s="20" t="n">
        <f aca="false">E6088+F6088</f>
        <v>329.43</v>
      </c>
      <c r="H6088" s="20" t="n">
        <f aca="false">IF(G6088&lt;Parametres!$B$8*Parametres!$B$7,0,MIN(G6088,Parametres!$B$7))</f>
        <v>250</v>
      </c>
      <c r="I6088" s="20" t="n">
        <f aca="false">G6088-H6088</f>
        <v>79.43</v>
      </c>
      <c r="J6088" s="21" t="n">
        <f aca="false">H6088*1000/Parametres!$B$9</f>
        <v>4239.44378497541</v>
      </c>
    </row>
    <row r="6089" customFormat="false" ht="15" hidden="false" customHeight="false" outlineLevel="0" collapsed="false">
      <c r="A6089" s="0" t="n">
        <v>6085</v>
      </c>
      <c r="B6089" s="0" t="n">
        <v>9</v>
      </c>
      <c r="C6089" s="19" t="n">
        <v>1</v>
      </c>
      <c r="D6089" s="19" t="n">
        <v>0.2049</v>
      </c>
      <c r="E6089" s="20" t="n">
        <f aca="false">Parametres!$B$5*C6089</f>
        <v>300</v>
      </c>
      <c r="F6089" s="20" t="n">
        <f aca="false">Parametres!$B$6*D6089</f>
        <v>40.98</v>
      </c>
      <c r="G6089" s="20" t="n">
        <f aca="false">E6089+F6089</f>
        <v>340.98</v>
      </c>
      <c r="H6089" s="20" t="n">
        <f aca="false">IF(G6089&lt;Parametres!$B$8*Parametres!$B$7,0,MIN(G6089,Parametres!$B$7))</f>
        <v>250</v>
      </c>
      <c r="I6089" s="20" t="n">
        <f aca="false">G6089-H6089</f>
        <v>90.98</v>
      </c>
      <c r="J6089" s="21" t="n">
        <f aca="false">H6089*1000/Parametres!$B$9</f>
        <v>4239.44378497541</v>
      </c>
    </row>
    <row r="6090" customFormat="false" ht="15" hidden="false" customHeight="false" outlineLevel="0" collapsed="false">
      <c r="A6090" s="0" t="n">
        <v>6086</v>
      </c>
      <c r="B6090" s="0" t="n">
        <v>9</v>
      </c>
      <c r="C6090" s="19" t="n">
        <v>0.9997</v>
      </c>
      <c r="D6090" s="19" t="n">
        <v>0.5957</v>
      </c>
      <c r="E6090" s="20" t="n">
        <f aca="false">Parametres!$B$5*C6090</f>
        <v>299.91</v>
      </c>
      <c r="F6090" s="20" t="n">
        <f aca="false">Parametres!$B$6*D6090</f>
        <v>119.14</v>
      </c>
      <c r="G6090" s="20" t="n">
        <f aca="false">E6090+F6090</f>
        <v>419.05</v>
      </c>
      <c r="H6090" s="20" t="n">
        <f aca="false">IF(G6090&lt;Parametres!$B$8*Parametres!$B$7,0,MIN(G6090,Parametres!$B$7))</f>
        <v>250</v>
      </c>
      <c r="I6090" s="20" t="n">
        <f aca="false">G6090-H6090</f>
        <v>169.05</v>
      </c>
      <c r="J6090" s="21" t="n">
        <f aca="false">H6090*1000/Parametres!$B$9</f>
        <v>4239.44378497541</v>
      </c>
    </row>
    <row r="6091" customFormat="false" ht="15" hidden="false" customHeight="false" outlineLevel="0" collapsed="false">
      <c r="A6091" s="0" t="n">
        <v>6087</v>
      </c>
      <c r="B6091" s="0" t="n">
        <v>9</v>
      </c>
      <c r="C6091" s="19" t="n">
        <v>0.8294</v>
      </c>
      <c r="D6091" s="19" t="n">
        <v>0.6497</v>
      </c>
      <c r="E6091" s="20" t="n">
        <f aca="false">Parametres!$B$5*C6091</f>
        <v>248.82</v>
      </c>
      <c r="F6091" s="20" t="n">
        <f aca="false">Parametres!$B$6*D6091</f>
        <v>129.94</v>
      </c>
      <c r="G6091" s="20" t="n">
        <f aca="false">E6091+F6091</f>
        <v>378.76</v>
      </c>
      <c r="H6091" s="20" t="n">
        <f aca="false">IF(G6091&lt;Parametres!$B$8*Parametres!$B$7,0,MIN(G6091,Parametres!$B$7))</f>
        <v>250</v>
      </c>
      <c r="I6091" s="20" t="n">
        <f aca="false">G6091-H6091</f>
        <v>128.76</v>
      </c>
      <c r="J6091" s="21" t="n">
        <f aca="false">H6091*1000/Parametres!$B$9</f>
        <v>4239.44378497541</v>
      </c>
    </row>
    <row r="6092" customFormat="false" ht="15" hidden="false" customHeight="false" outlineLevel="0" collapsed="false">
      <c r="A6092" s="0" t="n">
        <v>6088</v>
      </c>
      <c r="B6092" s="0" t="n">
        <v>9</v>
      </c>
      <c r="C6092" s="19" t="n">
        <v>0.5848</v>
      </c>
      <c r="D6092" s="19" t="n">
        <v>0.9262</v>
      </c>
      <c r="E6092" s="20" t="n">
        <f aca="false">Parametres!$B$5*C6092</f>
        <v>175.44</v>
      </c>
      <c r="F6092" s="20" t="n">
        <f aca="false">Parametres!$B$6*D6092</f>
        <v>185.24</v>
      </c>
      <c r="G6092" s="20" t="n">
        <f aca="false">E6092+F6092</f>
        <v>360.68</v>
      </c>
      <c r="H6092" s="20" t="n">
        <f aca="false">IF(G6092&lt;Parametres!$B$8*Parametres!$B$7,0,MIN(G6092,Parametres!$B$7))</f>
        <v>250</v>
      </c>
      <c r="I6092" s="20" t="n">
        <f aca="false">G6092-H6092</f>
        <v>110.68</v>
      </c>
      <c r="J6092" s="21" t="n">
        <f aca="false">H6092*1000/Parametres!$B$9</f>
        <v>4239.44378497541</v>
      </c>
    </row>
    <row r="6093" customFormat="false" ht="15" hidden="false" customHeight="false" outlineLevel="0" collapsed="false">
      <c r="A6093" s="0" t="n">
        <v>6089</v>
      </c>
      <c r="B6093" s="0" t="n">
        <v>9</v>
      </c>
      <c r="C6093" s="19" t="n">
        <v>0.3574</v>
      </c>
      <c r="D6093" s="19" t="n">
        <v>1</v>
      </c>
      <c r="E6093" s="20" t="n">
        <f aca="false">Parametres!$B$5*C6093</f>
        <v>107.22</v>
      </c>
      <c r="F6093" s="20" t="n">
        <f aca="false">Parametres!$B$6*D6093</f>
        <v>200</v>
      </c>
      <c r="G6093" s="20" t="n">
        <f aca="false">E6093+F6093</f>
        <v>307.22</v>
      </c>
      <c r="H6093" s="20" t="n">
        <f aca="false">IF(G6093&lt;Parametres!$B$8*Parametres!$B$7,0,MIN(G6093,Parametres!$B$7))</f>
        <v>250</v>
      </c>
      <c r="I6093" s="20" t="n">
        <f aca="false">G6093-H6093</f>
        <v>57.22</v>
      </c>
      <c r="J6093" s="21" t="n">
        <f aca="false">H6093*1000/Parametres!$B$9</f>
        <v>4239.44378497541</v>
      </c>
    </row>
    <row r="6094" customFormat="false" ht="15" hidden="false" customHeight="false" outlineLevel="0" collapsed="false">
      <c r="A6094" s="0" t="n">
        <v>6090</v>
      </c>
      <c r="B6094" s="0" t="n">
        <v>9</v>
      </c>
      <c r="C6094" s="19" t="n">
        <v>0.1312</v>
      </c>
      <c r="D6094" s="19" t="n">
        <v>1</v>
      </c>
      <c r="E6094" s="20" t="n">
        <f aca="false">Parametres!$B$5*C6094</f>
        <v>39.36</v>
      </c>
      <c r="F6094" s="20" t="n">
        <f aca="false">Parametres!$B$6*D6094</f>
        <v>200</v>
      </c>
      <c r="G6094" s="20" t="n">
        <f aca="false">E6094+F6094</f>
        <v>239.36</v>
      </c>
      <c r="H6094" s="20" t="n">
        <f aca="false">IF(G6094&lt;Parametres!$B$8*Parametres!$B$7,0,MIN(G6094,Parametres!$B$7))</f>
        <v>239.36</v>
      </c>
      <c r="I6094" s="20" t="n">
        <f aca="false">G6094-H6094</f>
        <v>0</v>
      </c>
      <c r="J6094" s="21" t="n">
        <f aca="false">H6094*1000/Parametres!$B$9</f>
        <v>4059.01305748686</v>
      </c>
    </row>
    <row r="6095" customFormat="false" ht="15" hidden="false" customHeight="false" outlineLevel="0" collapsed="false">
      <c r="A6095" s="0" t="n">
        <v>6091</v>
      </c>
      <c r="B6095" s="0" t="n">
        <v>9</v>
      </c>
      <c r="C6095" s="19" t="n">
        <v>0</v>
      </c>
      <c r="D6095" s="19" t="n">
        <v>1</v>
      </c>
      <c r="E6095" s="20" t="n">
        <f aca="false">Parametres!$B$5*C6095</f>
        <v>0</v>
      </c>
      <c r="F6095" s="20" t="n">
        <f aca="false">Parametres!$B$6*D6095</f>
        <v>200</v>
      </c>
      <c r="G6095" s="20" t="n">
        <f aca="false">E6095+F6095</f>
        <v>200</v>
      </c>
      <c r="H6095" s="20" t="n">
        <f aca="false">IF(G6095&lt;Parametres!$B$8*Parametres!$B$7,0,MIN(G6095,Parametres!$B$7))</f>
        <v>200</v>
      </c>
      <c r="I6095" s="20" t="n">
        <f aca="false">G6095-H6095</f>
        <v>0</v>
      </c>
      <c r="J6095" s="21" t="n">
        <f aca="false">H6095*1000/Parametres!$B$9</f>
        <v>3391.55502798033</v>
      </c>
    </row>
    <row r="6096" customFormat="false" ht="15" hidden="false" customHeight="false" outlineLevel="0" collapsed="false">
      <c r="A6096" s="0" t="n">
        <v>6092</v>
      </c>
      <c r="B6096" s="0" t="n">
        <v>9</v>
      </c>
      <c r="C6096" s="19" t="n">
        <v>0</v>
      </c>
      <c r="D6096" s="19" t="n">
        <v>1</v>
      </c>
      <c r="E6096" s="20" t="n">
        <f aca="false">Parametres!$B$5*C6096</f>
        <v>0</v>
      </c>
      <c r="F6096" s="20" t="n">
        <f aca="false">Parametres!$B$6*D6096</f>
        <v>200</v>
      </c>
      <c r="G6096" s="20" t="n">
        <f aca="false">E6096+F6096</f>
        <v>200</v>
      </c>
      <c r="H6096" s="20" t="n">
        <f aca="false">IF(G6096&lt;Parametres!$B$8*Parametres!$B$7,0,MIN(G6096,Parametres!$B$7))</f>
        <v>200</v>
      </c>
      <c r="I6096" s="20" t="n">
        <f aca="false">G6096-H6096</f>
        <v>0</v>
      </c>
      <c r="J6096" s="21" t="n">
        <f aca="false">H6096*1000/Parametres!$B$9</f>
        <v>3391.55502798033</v>
      </c>
    </row>
    <row r="6097" customFormat="false" ht="15" hidden="false" customHeight="false" outlineLevel="0" collapsed="false">
      <c r="A6097" s="0" t="n">
        <v>6093</v>
      </c>
      <c r="B6097" s="0" t="n">
        <v>9</v>
      </c>
      <c r="C6097" s="19" t="n">
        <v>0</v>
      </c>
      <c r="D6097" s="19" t="n">
        <v>0.5679</v>
      </c>
      <c r="E6097" s="20" t="n">
        <f aca="false">Parametres!$B$5*C6097</f>
        <v>0</v>
      </c>
      <c r="F6097" s="20" t="n">
        <f aca="false">Parametres!$B$6*D6097</f>
        <v>113.58</v>
      </c>
      <c r="G6097" s="20" t="n">
        <f aca="false">E6097+F6097</f>
        <v>113.58</v>
      </c>
      <c r="H6097" s="20" t="n">
        <f aca="false">IF(G6097&lt;Parametres!$B$8*Parametres!$B$7,0,MIN(G6097,Parametres!$B$7))</f>
        <v>113.58</v>
      </c>
      <c r="I6097" s="20" t="n">
        <f aca="false">G6097-H6097</f>
        <v>0</v>
      </c>
      <c r="J6097" s="21" t="n">
        <f aca="false">H6097*1000/Parametres!$B$9</f>
        <v>1926.06410039003</v>
      </c>
    </row>
    <row r="6098" customFormat="false" ht="15" hidden="false" customHeight="false" outlineLevel="0" collapsed="false">
      <c r="A6098" s="0" t="n">
        <v>6094</v>
      </c>
      <c r="B6098" s="0" t="n">
        <v>9</v>
      </c>
      <c r="C6098" s="19" t="n">
        <v>0</v>
      </c>
      <c r="D6098" s="19" t="n">
        <v>0.2132</v>
      </c>
      <c r="E6098" s="20" t="n">
        <f aca="false">Parametres!$B$5*C6098</f>
        <v>0</v>
      </c>
      <c r="F6098" s="20" t="n">
        <f aca="false">Parametres!$B$6*D6098</f>
        <v>42.64</v>
      </c>
      <c r="G6098" s="20" t="n">
        <f aca="false">E6098+F6098</f>
        <v>42.64</v>
      </c>
      <c r="H6098" s="20" t="n">
        <f aca="false">IF(G6098&lt;Parametres!$B$8*Parametres!$B$7,0,MIN(G6098,Parametres!$B$7))</f>
        <v>42.64</v>
      </c>
      <c r="I6098" s="20" t="n">
        <f aca="false">G6098-H6098</f>
        <v>0</v>
      </c>
      <c r="J6098" s="21" t="n">
        <f aca="false">H6098*1000/Parametres!$B$9</f>
        <v>723.079531965406</v>
      </c>
    </row>
    <row r="6099" customFormat="false" ht="15" hidden="false" customHeight="false" outlineLevel="0" collapsed="false">
      <c r="A6099" s="0" t="n">
        <v>6095</v>
      </c>
      <c r="B6099" s="0" t="n">
        <v>9</v>
      </c>
      <c r="C6099" s="19" t="n">
        <v>0</v>
      </c>
      <c r="D6099" s="19" t="n">
        <v>0.1235</v>
      </c>
      <c r="E6099" s="20" t="n">
        <f aca="false">Parametres!$B$5*C6099</f>
        <v>0</v>
      </c>
      <c r="F6099" s="20" t="n">
        <f aca="false">Parametres!$B$6*D6099</f>
        <v>24.7</v>
      </c>
      <c r="G6099" s="20" t="n">
        <f aca="false">E6099+F6099</f>
        <v>24.7</v>
      </c>
      <c r="H6099" s="20" t="n">
        <f aca="false">IF(G6099&lt;Parametres!$B$8*Parametres!$B$7,0,MIN(G6099,Parametres!$B$7))</f>
        <v>0</v>
      </c>
      <c r="I6099" s="20" t="n">
        <f aca="false">G6099-H6099</f>
        <v>24.7</v>
      </c>
      <c r="J6099" s="21" t="n">
        <f aca="false">H6099*1000/Parametres!$B$9</f>
        <v>0</v>
      </c>
    </row>
    <row r="6100" customFormat="false" ht="15" hidden="false" customHeight="false" outlineLevel="0" collapsed="false">
      <c r="A6100" s="0" t="n">
        <v>6096</v>
      </c>
      <c r="B6100" s="0" t="n">
        <v>9</v>
      </c>
      <c r="C6100" s="19" t="n">
        <v>0</v>
      </c>
      <c r="D6100" s="19" t="n">
        <v>0.0965</v>
      </c>
      <c r="E6100" s="20" t="n">
        <f aca="false">Parametres!$B$5*C6100</f>
        <v>0</v>
      </c>
      <c r="F6100" s="20" t="n">
        <f aca="false">Parametres!$B$6*D6100</f>
        <v>19.3</v>
      </c>
      <c r="G6100" s="20" t="n">
        <f aca="false">E6100+F6100</f>
        <v>19.3</v>
      </c>
      <c r="H6100" s="20" t="n">
        <f aca="false">IF(G6100&lt;Parametres!$B$8*Parametres!$B$7,0,MIN(G6100,Parametres!$B$7))</f>
        <v>0</v>
      </c>
      <c r="I6100" s="20" t="n">
        <f aca="false">G6100-H6100</f>
        <v>19.3</v>
      </c>
      <c r="J6100" s="21" t="n">
        <f aca="false">H6100*1000/Parametres!$B$9</f>
        <v>0</v>
      </c>
    </row>
    <row r="6101" customFormat="false" ht="15" hidden="false" customHeight="false" outlineLevel="0" collapsed="false">
      <c r="A6101" s="0" t="n">
        <v>6097</v>
      </c>
      <c r="B6101" s="0" t="n">
        <v>9</v>
      </c>
      <c r="C6101" s="19" t="n">
        <v>0</v>
      </c>
      <c r="D6101" s="19" t="n">
        <v>0.0965</v>
      </c>
      <c r="E6101" s="20" t="n">
        <f aca="false">Parametres!$B$5*C6101</f>
        <v>0</v>
      </c>
      <c r="F6101" s="20" t="n">
        <f aca="false">Parametres!$B$6*D6101</f>
        <v>19.3</v>
      </c>
      <c r="G6101" s="20" t="n">
        <f aca="false">E6101+F6101</f>
        <v>19.3</v>
      </c>
      <c r="H6101" s="20" t="n">
        <f aca="false">IF(G6101&lt;Parametres!$B$8*Parametres!$B$7,0,MIN(G6101,Parametres!$B$7))</f>
        <v>0</v>
      </c>
      <c r="I6101" s="20" t="n">
        <f aca="false">G6101-H6101</f>
        <v>19.3</v>
      </c>
      <c r="J6101" s="21" t="n">
        <f aca="false">H6101*1000/Parametres!$B$9</f>
        <v>0</v>
      </c>
    </row>
    <row r="6102" customFormat="false" ht="15" hidden="false" customHeight="false" outlineLevel="0" collapsed="false">
      <c r="A6102" s="0" t="n">
        <v>6098</v>
      </c>
      <c r="B6102" s="0" t="n">
        <v>9</v>
      </c>
      <c r="C6102" s="19" t="n">
        <v>0</v>
      </c>
      <c r="D6102" s="19" t="n">
        <v>0.063</v>
      </c>
      <c r="E6102" s="20" t="n">
        <f aca="false">Parametres!$B$5*C6102</f>
        <v>0</v>
      </c>
      <c r="F6102" s="20" t="n">
        <f aca="false">Parametres!$B$6*D6102</f>
        <v>12.6</v>
      </c>
      <c r="G6102" s="20" t="n">
        <f aca="false">E6102+F6102</f>
        <v>12.6</v>
      </c>
      <c r="H6102" s="20" t="n">
        <f aca="false">IF(G6102&lt;Parametres!$B$8*Parametres!$B$7,0,MIN(G6102,Parametres!$B$7))</f>
        <v>0</v>
      </c>
      <c r="I6102" s="20" t="n">
        <f aca="false">G6102-H6102</f>
        <v>12.6</v>
      </c>
      <c r="J6102" s="21" t="n">
        <f aca="false">H6102*1000/Parametres!$B$9</f>
        <v>0</v>
      </c>
    </row>
    <row r="6103" customFormat="false" ht="15" hidden="false" customHeight="false" outlineLevel="0" collapsed="false">
      <c r="A6103" s="0" t="n">
        <v>6099</v>
      </c>
      <c r="B6103" s="0" t="n">
        <v>9</v>
      </c>
      <c r="C6103" s="19" t="n">
        <v>0</v>
      </c>
      <c r="D6103" s="19" t="n">
        <v>0.0784</v>
      </c>
      <c r="E6103" s="20" t="n">
        <f aca="false">Parametres!$B$5*C6103</f>
        <v>0</v>
      </c>
      <c r="F6103" s="20" t="n">
        <f aca="false">Parametres!$B$6*D6103</f>
        <v>15.68</v>
      </c>
      <c r="G6103" s="20" t="n">
        <f aca="false">E6103+F6103</f>
        <v>15.68</v>
      </c>
      <c r="H6103" s="20" t="n">
        <f aca="false">IF(G6103&lt;Parametres!$B$8*Parametres!$B$7,0,MIN(G6103,Parametres!$B$7))</f>
        <v>0</v>
      </c>
      <c r="I6103" s="20" t="n">
        <f aca="false">G6103-H6103</f>
        <v>15.68</v>
      </c>
      <c r="J6103" s="21" t="n">
        <f aca="false">H6103*1000/Parametres!$B$9</f>
        <v>0</v>
      </c>
    </row>
    <row r="6104" customFormat="false" ht="15" hidden="false" customHeight="false" outlineLevel="0" collapsed="false">
      <c r="A6104" s="0" t="n">
        <v>6100</v>
      </c>
      <c r="B6104" s="0" t="n">
        <v>9</v>
      </c>
      <c r="C6104" s="19" t="n">
        <v>0</v>
      </c>
      <c r="D6104" s="19" t="n">
        <v>0.1069</v>
      </c>
      <c r="E6104" s="20" t="n">
        <f aca="false">Parametres!$B$5*C6104</f>
        <v>0</v>
      </c>
      <c r="F6104" s="20" t="n">
        <f aca="false">Parametres!$B$6*D6104</f>
        <v>21.38</v>
      </c>
      <c r="G6104" s="20" t="n">
        <f aca="false">E6104+F6104</f>
        <v>21.38</v>
      </c>
      <c r="H6104" s="20" t="n">
        <f aca="false">IF(G6104&lt;Parametres!$B$8*Parametres!$B$7,0,MIN(G6104,Parametres!$B$7))</f>
        <v>0</v>
      </c>
      <c r="I6104" s="20" t="n">
        <f aca="false">G6104-H6104</f>
        <v>21.38</v>
      </c>
      <c r="J6104" s="21" t="n">
        <f aca="false">H6104*1000/Parametres!$B$9</f>
        <v>0</v>
      </c>
    </row>
    <row r="6105" customFormat="false" ht="15" hidden="false" customHeight="false" outlineLevel="0" collapsed="false">
      <c r="A6105" s="0" t="n">
        <v>6101</v>
      </c>
      <c r="B6105" s="0" t="n">
        <v>9</v>
      </c>
      <c r="C6105" s="19" t="n">
        <v>0</v>
      </c>
      <c r="D6105" s="19" t="n">
        <v>0.1109</v>
      </c>
      <c r="E6105" s="20" t="n">
        <f aca="false">Parametres!$B$5*C6105</f>
        <v>0</v>
      </c>
      <c r="F6105" s="20" t="n">
        <f aca="false">Parametres!$B$6*D6105</f>
        <v>22.18</v>
      </c>
      <c r="G6105" s="20" t="n">
        <f aca="false">E6105+F6105</f>
        <v>22.18</v>
      </c>
      <c r="H6105" s="20" t="n">
        <f aca="false">IF(G6105&lt;Parametres!$B$8*Parametres!$B$7,0,MIN(G6105,Parametres!$B$7))</f>
        <v>0</v>
      </c>
      <c r="I6105" s="20" t="n">
        <f aca="false">G6105-H6105</f>
        <v>22.18</v>
      </c>
      <c r="J6105" s="21" t="n">
        <f aca="false">H6105*1000/Parametres!$B$9</f>
        <v>0</v>
      </c>
    </row>
    <row r="6106" customFormat="false" ht="15" hidden="false" customHeight="false" outlineLevel="0" collapsed="false">
      <c r="A6106" s="0" t="n">
        <v>6102</v>
      </c>
      <c r="B6106" s="0" t="n">
        <v>9</v>
      </c>
      <c r="C6106" s="19" t="n">
        <v>0</v>
      </c>
      <c r="D6106" s="19" t="n">
        <v>0.0631</v>
      </c>
      <c r="E6106" s="20" t="n">
        <f aca="false">Parametres!$B$5*C6106</f>
        <v>0</v>
      </c>
      <c r="F6106" s="20" t="n">
        <f aca="false">Parametres!$B$6*D6106</f>
        <v>12.62</v>
      </c>
      <c r="G6106" s="20" t="n">
        <f aca="false">E6106+F6106</f>
        <v>12.62</v>
      </c>
      <c r="H6106" s="20" t="n">
        <f aca="false">IF(G6106&lt;Parametres!$B$8*Parametres!$B$7,0,MIN(G6106,Parametres!$B$7))</f>
        <v>0</v>
      </c>
      <c r="I6106" s="20" t="n">
        <f aca="false">G6106-H6106</f>
        <v>12.62</v>
      </c>
      <c r="J6106" s="21" t="n">
        <f aca="false">H6106*1000/Parametres!$B$9</f>
        <v>0</v>
      </c>
    </row>
    <row r="6107" customFormat="false" ht="15" hidden="false" customHeight="false" outlineLevel="0" collapsed="false">
      <c r="A6107" s="0" t="n">
        <v>6103</v>
      </c>
      <c r="B6107" s="0" t="n">
        <v>9</v>
      </c>
      <c r="C6107" s="19" t="n">
        <v>0.1557</v>
      </c>
      <c r="D6107" s="19" t="n">
        <v>0.049</v>
      </c>
      <c r="E6107" s="20" t="n">
        <f aca="false">Parametres!$B$5*C6107</f>
        <v>46.71</v>
      </c>
      <c r="F6107" s="20" t="n">
        <f aca="false">Parametres!$B$6*D6107</f>
        <v>9.8</v>
      </c>
      <c r="G6107" s="20" t="n">
        <f aca="false">E6107+F6107</f>
        <v>56.51</v>
      </c>
      <c r="H6107" s="20" t="n">
        <f aca="false">IF(G6107&lt;Parametres!$B$8*Parametres!$B$7,0,MIN(G6107,Parametres!$B$7))</f>
        <v>56.51</v>
      </c>
      <c r="I6107" s="20" t="n">
        <f aca="false">G6107-H6107</f>
        <v>0</v>
      </c>
      <c r="J6107" s="21" t="n">
        <f aca="false">H6107*1000/Parametres!$B$9</f>
        <v>958.283873155842</v>
      </c>
    </row>
    <row r="6108" customFormat="false" ht="15" hidden="false" customHeight="false" outlineLevel="0" collapsed="false">
      <c r="A6108" s="0" t="n">
        <v>6104</v>
      </c>
      <c r="B6108" s="0" t="n">
        <v>9</v>
      </c>
      <c r="C6108" s="19" t="n">
        <v>0.4401</v>
      </c>
      <c r="D6108" s="19" t="n">
        <v>0.0504</v>
      </c>
      <c r="E6108" s="20" t="n">
        <f aca="false">Parametres!$B$5*C6108</f>
        <v>132.03</v>
      </c>
      <c r="F6108" s="20" t="n">
        <f aca="false">Parametres!$B$6*D6108</f>
        <v>10.08</v>
      </c>
      <c r="G6108" s="20" t="n">
        <f aca="false">E6108+F6108</f>
        <v>142.11</v>
      </c>
      <c r="H6108" s="20" t="n">
        <f aca="false">IF(G6108&lt;Parametres!$B$8*Parametres!$B$7,0,MIN(G6108,Parametres!$B$7))</f>
        <v>142.11</v>
      </c>
      <c r="I6108" s="20" t="n">
        <f aca="false">G6108-H6108</f>
        <v>0</v>
      </c>
      <c r="J6108" s="21" t="n">
        <f aca="false">H6108*1000/Parametres!$B$9</f>
        <v>2409.86942513142</v>
      </c>
    </row>
    <row r="6109" customFormat="false" ht="15" hidden="false" customHeight="false" outlineLevel="0" collapsed="false">
      <c r="A6109" s="0" t="n">
        <v>6105</v>
      </c>
      <c r="B6109" s="0" t="n">
        <v>9</v>
      </c>
      <c r="C6109" s="19" t="n">
        <v>0.7333</v>
      </c>
      <c r="D6109" s="19" t="n">
        <v>0.0911</v>
      </c>
      <c r="E6109" s="20" t="n">
        <f aca="false">Parametres!$B$5*C6109</f>
        <v>219.99</v>
      </c>
      <c r="F6109" s="20" t="n">
        <f aca="false">Parametres!$B$6*D6109</f>
        <v>18.22</v>
      </c>
      <c r="G6109" s="20" t="n">
        <f aca="false">E6109+F6109</f>
        <v>238.21</v>
      </c>
      <c r="H6109" s="20" t="n">
        <f aca="false">IF(G6109&lt;Parametres!$B$8*Parametres!$B$7,0,MIN(G6109,Parametres!$B$7))</f>
        <v>238.21</v>
      </c>
      <c r="I6109" s="20" t="n">
        <f aca="false">G6109-H6109</f>
        <v>0</v>
      </c>
      <c r="J6109" s="21" t="n">
        <f aca="false">H6109*1000/Parametres!$B$9</f>
        <v>4039.51161607597</v>
      </c>
    </row>
    <row r="6110" customFormat="false" ht="15" hidden="false" customHeight="false" outlineLevel="0" collapsed="false">
      <c r="A6110" s="0" t="n">
        <v>6106</v>
      </c>
      <c r="B6110" s="0" t="n">
        <v>9</v>
      </c>
      <c r="C6110" s="19" t="n">
        <v>1</v>
      </c>
      <c r="D6110" s="19" t="n">
        <v>0.0999</v>
      </c>
      <c r="E6110" s="20" t="n">
        <f aca="false">Parametres!$B$5*C6110</f>
        <v>300</v>
      </c>
      <c r="F6110" s="20" t="n">
        <f aca="false">Parametres!$B$6*D6110</f>
        <v>19.98</v>
      </c>
      <c r="G6110" s="20" t="n">
        <f aca="false">E6110+F6110</f>
        <v>319.98</v>
      </c>
      <c r="H6110" s="20" t="n">
        <f aca="false">IF(G6110&lt;Parametres!$B$8*Parametres!$B$7,0,MIN(G6110,Parametres!$B$7))</f>
        <v>250</v>
      </c>
      <c r="I6110" s="20" t="n">
        <f aca="false">G6110-H6110</f>
        <v>69.98</v>
      </c>
      <c r="J6110" s="21" t="n">
        <f aca="false">H6110*1000/Parametres!$B$9</f>
        <v>4239.44378497541</v>
      </c>
    </row>
    <row r="6111" customFormat="false" ht="15" hidden="false" customHeight="false" outlineLevel="0" collapsed="false">
      <c r="A6111" s="0" t="n">
        <v>6107</v>
      </c>
      <c r="B6111" s="0" t="n">
        <v>9</v>
      </c>
      <c r="C6111" s="19" t="n">
        <v>1</v>
      </c>
      <c r="D6111" s="19" t="n">
        <v>0.1418</v>
      </c>
      <c r="E6111" s="20" t="n">
        <f aca="false">Parametres!$B$5*C6111</f>
        <v>300</v>
      </c>
      <c r="F6111" s="20" t="n">
        <f aca="false">Parametres!$B$6*D6111</f>
        <v>28.36</v>
      </c>
      <c r="G6111" s="20" t="n">
        <f aca="false">E6111+F6111</f>
        <v>328.36</v>
      </c>
      <c r="H6111" s="20" t="n">
        <f aca="false">IF(G6111&lt;Parametres!$B$8*Parametres!$B$7,0,MIN(G6111,Parametres!$B$7))</f>
        <v>250</v>
      </c>
      <c r="I6111" s="20" t="n">
        <f aca="false">G6111-H6111</f>
        <v>78.36</v>
      </c>
      <c r="J6111" s="21" t="n">
        <f aca="false">H6111*1000/Parametres!$B$9</f>
        <v>4239.44378497541</v>
      </c>
    </row>
    <row r="6112" customFormat="false" ht="15" hidden="false" customHeight="false" outlineLevel="0" collapsed="false">
      <c r="A6112" s="0" t="n">
        <v>6108</v>
      </c>
      <c r="B6112" s="0" t="n">
        <v>9</v>
      </c>
      <c r="C6112" s="19" t="n">
        <v>1</v>
      </c>
      <c r="D6112" s="19" t="n">
        <v>0.0671</v>
      </c>
      <c r="E6112" s="20" t="n">
        <f aca="false">Parametres!$B$5*C6112</f>
        <v>300</v>
      </c>
      <c r="F6112" s="20" t="n">
        <f aca="false">Parametres!$B$6*D6112</f>
        <v>13.42</v>
      </c>
      <c r="G6112" s="20" t="n">
        <f aca="false">E6112+F6112</f>
        <v>313.42</v>
      </c>
      <c r="H6112" s="20" t="n">
        <f aca="false">IF(G6112&lt;Parametres!$B$8*Parametres!$B$7,0,MIN(G6112,Parametres!$B$7))</f>
        <v>250</v>
      </c>
      <c r="I6112" s="20" t="n">
        <f aca="false">G6112-H6112</f>
        <v>63.42</v>
      </c>
      <c r="J6112" s="21" t="n">
        <f aca="false">H6112*1000/Parametres!$B$9</f>
        <v>4239.44378497541</v>
      </c>
    </row>
    <row r="6113" customFormat="false" ht="15" hidden="false" customHeight="false" outlineLevel="0" collapsed="false">
      <c r="A6113" s="0" t="n">
        <v>6109</v>
      </c>
      <c r="B6113" s="0" t="n">
        <v>9</v>
      </c>
      <c r="C6113" s="19" t="n">
        <v>1</v>
      </c>
      <c r="D6113" s="19" t="n">
        <v>0.0087</v>
      </c>
      <c r="E6113" s="20" t="n">
        <f aca="false">Parametres!$B$5*C6113</f>
        <v>300</v>
      </c>
      <c r="F6113" s="20" t="n">
        <f aca="false">Parametres!$B$6*D6113</f>
        <v>1.74</v>
      </c>
      <c r="G6113" s="20" t="n">
        <f aca="false">E6113+F6113</f>
        <v>301.74</v>
      </c>
      <c r="H6113" s="20" t="n">
        <f aca="false">IF(G6113&lt;Parametres!$B$8*Parametres!$B$7,0,MIN(G6113,Parametres!$B$7))</f>
        <v>250</v>
      </c>
      <c r="I6113" s="20" t="n">
        <f aca="false">G6113-H6113</f>
        <v>51.74</v>
      </c>
      <c r="J6113" s="21" t="n">
        <f aca="false">H6113*1000/Parametres!$B$9</f>
        <v>4239.44378497541</v>
      </c>
    </row>
    <row r="6114" customFormat="false" ht="15" hidden="false" customHeight="false" outlineLevel="0" collapsed="false">
      <c r="A6114" s="0" t="n">
        <v>6110</v>
      </c>
      <c r="B6114" s="0" t="n">
        <v>9</v>
      </c>
      <c r="C6114" s="19" t="n">
        <v>1</v>
      </c>
      <c r="D6114" s="19" t="n">
        <v>0.0127</v>
      </c>
      <c r="E6114" s="20" t="n">
        <f aca="false">Parametres!$B$5*C6114</f>
        <v>300</v>
      </c>
      <c r="F6114" s="20" t="n">
        <f aca="false">Parametres!$B$6*D6114</f>
        <v>2.54</v>
      </c>
      <c r="G6114" s="20" t="n">
        <f aca="false">E6114+F6114</f>
        <v>302.54</v>
      </c>
      <c r="H6114" s="20" t="n">
        <f aca="false">IF(G6114&lt;Parametres!$B$8*Parametres!$B$7,0,MIN(G6114,Parametres!$B$7))</f>
        <v>250</v>
      </c>
      <c r="I6114" s="20" t="n">
        <f aca="false">G6114-H6114</f>
        <v>52.54</v>
      </c>
      <c r="J6114" s="21" t="n">
        <f aca="false">H6114*1000/Parametres!$B$9</f>
        <v>4239.44378497541</v>
      </c>
    </row>
    <row r="6115" customFormat="false" ht="15" hidden="false" customHeight="false" outlineLevel="0" collapsed="false">
      <c r="A6115" s="0" t="n">
        <v>6111</v>
      </c>
      <c r="B6115" s="0" t="n">
        <v>9</v>
      </c>
      <c r="C6115" s="19" t="n">
        <v>0.9138</v>
      </c>
      <c r="D6115" s="19" t="n">
        <v>0.0172</v>
      </c>
      <c r="E6115" s="20" t="n">
        <f aca="false">Parametres!$B$5*C6115</f>
        <v>274.14</v>
      </c>
      <c r="F6115" s="20" t="n">
        <f aca="false">Parametres!$B$6*D6115</f>
        <v>3.44</v>
      </c>
      <c r="G6115" s="20" t="n">
        <f aca="false">E6115+F6115</f>
        <v>277.58</v>
      </c>
      <c r="H6115" s="20" t="n">
        <f aca="false">IF(G6115&lt;Parametres!$B$8*Parametres!$B$7,0,MIN(G6115,Parametres!$B$7))</f>
        <v>250</v>
      </c>
      <c r="I6115" s="20" t="n">
        <f aca="false">G6115-H6115</f>
        <v>27.58</v>
      </c>
      <c r="J6115" s="21" t="n">
        <f aca="false">H6115*1000/Parametres!$B$9</f>
        <v>4239.44378497541</v>
      </c>
    </row>
    <row r="6116" customFormat="false" ht="15" hidden="false" customHeight="false" outlineLevel="0" collapsed="false">
      <c r="A6116" s="0" t="n">
        <v>6112</v>
      </c>
      <c r="B6116" s="0" t="n">
        <v>9</v>
      </c>
      <c r="C6116" s="19" t="n">
        <v>0.6904</v>
      </c>
      <c r="D6116" s="19" t="n">
        <v>0.0075</v>
      </c>
      <c r="E6116" s="20" t="n">
        <f aca="false">Parametres!$B$5*C6116</f>
        <v>207.12</v>
      </c>
      <c r="F6116" s="20" t="n">
        <f aca="false">Parametres!$B$6*D6116</f>
        <v>1.5</v>
      </c>
      <c r="G6116" s="20" t="n">
        <f aca="false">E6116+F6116</f>
        <v>208.62</v>
      </c>
      <c r="H6116" s="20" t="n">
        <f aca="false">IF(G6116&lt;Parametres!$B$8*Parametres!$B$7,0,MIN(G6116,Parametres!$B$7))</f>
        <v>208.62</v>
      </c>
      <c r="I6116" s="20" t="n">
        <f aca="false">G6116-H6116</f>
        <v>0</v>
      </c>
      <c r="J6116" s="21" t="n">
        <f aca="false">H6116*1000/Parametres!$B$9</f>
        <v>3537.73104968628</v>
      </c>
    </row>
    <row r="6117" customFormat="false" ht="15" hidden="false" customHeight="false" outlineLevel="0" collapsed="false">
      <c r="A6117" s="0" t="n">
        <v>6113</v>
      </c>
      <c r="B6117" s="0" t="n">
        <v>9</v>
      </c>
      <c r="C6117" s="19" t="n">
        <v>0.4145</v>
      </c>
      <c r="D6117" s="19" t="n">
        <v>0.0051</v>
      </c>
      <c r="E6117" s="20" t="n">
        <f aca="false">Parametres!$B$5*C6117</f>
        <v>124.35</v>
      </c>
      <c r="F6117" s="20" t="n">
        <f aca="false">Parametres!$B$6*D6117</f>
        <v>1.02</v>
      </c>
      <c r="G6117" s="20" t="n">
        <f aca="false">E6117+F6117</f>
        <v>125.37</v>
      </c>
      <c r="H6117" s="20" t="n">
        <f aca="false">IF(G6117&lt;Parametres!$B$8*Parametres!$B$7,0,MIN(G6117,Parametres!$B$7))</f>
        <v>125.37</v>
      </c>
      <c r="I6117" s="20" t="n">
        <f aca="false">G6117-H6117</f>
        <v>0</v>
      </c>
      <c r="J6117" s="21" t="n">
        <f aca="false">H6117*1000/Parametres!$B$9</f>
        <v>2125.99626928947</v>
      </c>
    </row>
    <row r="6118" customFormat="false" ht="15" hidden="false" customHeight="false" outlineLevel="0" collapsed="false">
      <c r="A6118" s="0" t="n">
        <v>6114</v>
      </c>
      <c r="B6118" s="0" t="n">
        <v>9</v>
      </c>
      <c r="C6118" s="19" t="n">
        <v>0.1493</v>
      </c>
      <c r="D6118" s="19" t="n">
        <v>0.0103</v>
      </c>
      <c r="E6118" s="20" t="n">
        <f aca="false">Parametres!$B$5*C6118</f>
        <v>44.79</v>
      </c>
      <c r="F6118" s="20" t="n">
        <f aca="false">Parametres!$B$6*D6118</f>
        <v>2.06</v>
      </c>
      <c r="G6118" s="20" t="n">
        <f aca="false">E6118+F6118</f>
        <v>46.85</v>
      </c>
      <c r="H6118" s="20" t="n">
        <f aca="false">IF(G6118&lt;Parametres!$B$8*Parametres!$B$7,0,MIN(G6118,Parametres!$B$7))</f>
        <v>46.85</v>
      </c>
      <c r="I6118" s="20" t="n">
        <f aca="false">G6118-H6118</f>
        <v>0</v>
      </c>
      <c r="J6118" s="21" t="n">
        <f aca="false">H6118*1000/Parametres!$B$9</f>
        <v>794.471765304392</v>
      </c>
    </row>
    <row r="6119" customFormat="false" ht="15" hidden="false" customHeight="false" outlineLevel="0" collapsed="false">
      <c r="A6119" s="0" t="n">
        <v>6115</v>
      </c>
      <c r="B6119" s="0" t="n">
        <v>9</v>
      </c>
      <c r="C6119" s="19" t="n">
        <v>0</v>
      </c>
      <c r="D6119" s="19" t="n">
        <v>0.0181</v>
      </c>
      <c r="E6119" s="20" t="n">
        <f aca="false">Parametres!$B$5*C6119</f>
        <v>0</v>
      </c>
      <c r="F6119" s="20" t="n">
        <f aca="false">Parametres!$B$6*D6119</f>
        <v>3.62</v>
      </c>
      <c r="G6119" s="20" t="n">
        <f aca="false">E6119+F6119</f>
        <v>3.62</v>
      </c>
      <c r="H6119" s="20" t="n">
        <f aca="false">IF(G6119&lt;Parametres!$B$8*Parametres!$B$7,0,MIN(G6119,Parametres!$B$7))</f>
        <v>0</v>
      </c>
      <c r="I6119" s="20" t="n">
        <f aca="false">G6119-H6119</f>
        <v>3.62</v>
      </c>
      <c r="J6119" s="21" t="n">
        <f aca="false">H6119*1000/Parametres!$B$9</f>
        <v>0</v>
      </c>
    </row>
    <row r="6120" customFormat="false" ht="15" hidden="false" customHeight="false" outlineLevel="0" collapsed="false">
      <c r="A6120" s="0" t="n">
        <v>6116</v>
      </c>
      <c r="B6120" s="0" t="n">
        <v>9</v>
      </c>
      <c r="C6120" s="19" t="n">
        <v>0</v>
      </c>
      <c r="D6120" s="19" t="n">
        <v>0.046</v>
      </c>
      <c r="E6120" s="20" t="n">
        <f aca="false">Parametres!$B$5*C6120</f>
        <v>0</v>
      </c>
      <c r="F6120" s="20" t="n">
        <f aca="false">Parametres!$B$6*D6120</f>
        <v>9.2</v>
      </c>
      <c r="G6120" s="20" t="n">
        <f aca="false">E6120+F6120</f>
        <v>9.2</v>
      </c>
      <c r="H6120" s="20" t="n">
        <f aca="false">IF(G6120&lt;Parametres!$B$8*Parametres!$B$7,0,MIN(G6120,Parametres!$B$7))</f>
        <v>0</v>
      </c>
      <c r="I6120" s="20" t="n">
        <f aca="false">G6120-H6120</f>
        <v>9.2</v>
      </c>
      <c r="J6120" s="21" t="n">
        <f aca="false">H6120*1000/Parametres!$B$9</f>
        <v>0</v>
      </c>
    </row>
    <row r="6121" customFormat="false" ht="15" hidden="false" customHeight="false" outlineLevel="0" collapsed="false">
      <c r="A6121" s="0" t="n">
        <v>6117</v>
      </c>
      <c r="B6121" s="0" t="n">
        <v>9</v>
      </c>
      <c r="C6121" s="19" t="n">
        <v>0</v>
      </c>
      <c r="D6121" s="19" t="n">
        <v>0.068</v>
      </c>
      <c r="E6121" s="20" t="n">
        <f aca="false">Parametres!$B$5*C6121</f>
        <v>0</v>
      </c>
      <c r="F6121" s="20" t="n">
        <f aca="false">Parametres!$B$6*D6121</f>
        <v>13.6</v>
      </c>
      <c r="G6121" s="20" t="n">
        <f aca="false">E6121+F6121</f>
        <v>13.6</v>
      </c>
      <c r="H6121" s="20" t="n">
        <f aca="false">IF(G6121&lt;Parametres!$B$8*Parametres!$B$7,0,MIN(G6121,Parametres!$B$7))</f>
        <v>0</v>
      </c>
      <c r="I6121" s="20" t="n">
        <f aca="false">G6121-H6121</f>
        <v>13.6</v>
      </c>
      <c r="J6121" s="21" t="n">
        <f aca="false">H6121*1000/Parametres!$B$9</f>
        <v>0</v>
      </c>
    </row>
    <row r="6122" customFormat="false" ht="15" hidden="false" customHeight="false" outlineLevel="0" collapsed="false">
      <c r="A6122" s="0" t="n">
        <v>6118</v>
      </c>
      <c r="B6122" s="0" t="n">
        <v>9</v>
      </c>
      <c r="C6122" s="19" t="n">
        <v>0</v>
      </c>
      <c r="D6122" s="19" t="n">
        <v>0.0501</v>
      </c>
      <c r="E6122" s="20" t="n">
        <f aca="false">Parametres!$B$5*C6122</f>
        <v>0</v>
      </c>
      <c r="F6122" s="20" t="n">
        <f aca="false">Parametres!$B$6*D6122</f>
        <v>10.02</v>
      </c>
      <c r="G6122" s="20" t="n">
        <f aca="false">E6122+F6122</f>
        <v>10.02</v>
      </c>
      <c r="H6122" s="20" t="n">
        <f aca="false">IF(G6122&lt;Parametres!$B$8*Parametres!$B$7,0,MIN(G6122,Parametres!$B$7))</f>
        <v>0</v>
      </c>
      <c r="I6122" s="20" t="n">
        <f aca="false">G6122-H6122</f>
        <v>10.02</v>
      </c>
      <c r="J6122" s="21" t="n">
        <f aca="false">H6122*1000/Parametres!$B$9</f>
        <v>0</v>
      </c>
    </row>
    <row r="6123" customFormat="false" ht="15" hidden="false" customHeight="false" outlineLevel="0" collapsed="false">
      <c r="A6123" s="0" t="n">
        <v>6119</v>
      </c>
      <c r="B6123" s="0" t="n">
        <v>9</v>
      </c>
      <c r="C6123" s="19" t="n">
        <v>0</v>
      </c>
      <c r="D6123" s="19" t="n">
        <v>0.0609</v>
      </c>
      <c r="E6123" s="20" t="n">
        <f aca="false">Parametres!$B$5*C6123</f>
        <v>0</v>
      </c>
      <c r="F6123" s="20" t="n">
        <f aca="false">Parametres!$B$6*D6123</f>
        <v>12.18</v>
      </c>
      <c r="G6123" s="20" t="n">
        <f aca="false">E6123+F6123</f>
        <v>12.18</v>
      </c>
      <c r="H6123" s="20" t="n">
        <f aca="false">IF(G6123&lt;Parametres!$B$8*Parametres!$B$7,0,MIN(G6123,Parametres!$B$7))</f>
        <v>0</v>
      </c>
      <c r="I6123" s="20" t="n">
        <f aca="false">G6123-H6123</f>
        <v>12.18</v>
      </c>
      <c r="J6123" s="21" t="n">
        <f aca="false">H6123*1000/Parametres!$B$9</f>
        <v>0</v>
      </c>
    </row>
    <row r="6124" customFormat="false" ht="15" hidden="false" customHeight="false" outlineLevel="0" collapsed="false">
      <c r="A6124" s="0" t="n">
        <v>6120</v>
      </c>
      <c r="B6124" s="0" t="n">
        <v>9</v>
      </c>
      <c r="C6124" s="19" t="n">
        <v>0</v>
      </c>
      <c r="D6124" s="19" t="n">
        <v>0.1615</v>
      </c>
      <c r="E6124" s="20" t="n">
        <f aca="false">Parametres!$B$5*C6124</f>
        <v>0</v>
      </c>
      <c r="F6124" s="20" t="n">
        <f aca="false">Parametres!$B$6*D6124</f>
        <v>32.3</v>
      </c>
      <c r="G6124" s="20" t="n">
        <f aca="false">E6124+F6124</f>
        <v>32.3</v>
      </c>
      <c r="H6124" s="20" t="n">
        <f aca="false">IF(G6124&lt;Parametres!$B$8*Parametres!$B$7,0,MIN(G6124,Parametres!$B$7))</f>
        <v>32.3</v>
      </c>
      <c r="I6124" s="20" t="n">
        <f aca="false">G6124-H6124</f>
        <v>0</v>
      </c>
      <c r="J6124" s="21" t="n">
        <f aca="false">H6124*1000/Parametres!$B$9</f>
        <v>547.736137018823</v>
      </c>
    </row>
    <row r="6125" customFormat="false" ht="15" hidden="false" customHeight="false" outlineLevel="0" collapsed="false">
      <c r="A6125" s="0" t="n">
        <v>6121</v>
      </c>
      <c r="B6125" s="0" t="n">
        <v>9</v>
      </c>
      <c r="C6125" s="19" t="n">
        <v>0</v>
      </c>
      <c r="D6125" s="19" t="n">
        <v>0.2879</v>
      </c>
      <c r="E6125" s="20" t="n">
        <f aca="false">Parametres!$B$5*C6125</f>
        <v>0</v>
      </c>
      <c r="F6125" s="20" t="n">
        <f aca="false">Parametres!$B$6*D6125</f>
        <v>57.58</v>
      </c>
      <c r="G6125" s="20" t="n">
        <f aca="false">E6125+F6125</f>
        <v>57.58</v>
      </c>
      <c r="H6125" s="20" t="n">
        <f aca="false">IF(G6125&lt;Parametres!$B$8*Parametres!$B$7,0,MIN(G6125,Parametres!$B$7))</f>
        <v>57.58</v>
      </c>
      <c r="I6125" s="20" t="n">
        <f aca="false">G6125-H6125</f>
        <v>0</v>
      </c>
      <c r="J6125" s="21" t="n">
        <f aca="false">H6125*1000/Parametres!$B$9</f>
        <v>976.428692555537</v>
      </c>
    </row>
    <row r="6126" customFormat="false" ht="15" hidden="false" customHeight="false" outlineLevel="0" collapsed="false">
      <c r="A6126" s="0" t="n">
        <v>6122</v>
      </c>
      <c r="B6126" s="0" t="n">
        <v>9</v>
      </c>
      <c r="C6126" s="19" t="n">
        <v>0</v>
      </c>
      <c r="D6126" s="19" t="n">
        <v>0.1777</v>
      </c>
      <c r="E6126" s="20" t="n">
        <f aca="false">Parametres!$B$5*C6126</f>
        <v>0</v>
      </c>
      <c r="F6126" s="20" t="n">
        <f aca="false">Parametres!$B$6*D6126</f>
        <v>35.54</v>
      </c>
      <c r="G6126" s="20" t="n">
        <f aca="false">E6126+F6126</f>
        <v>35.54</v>
      </c>
      <c r="H6126" s="20" t="n">
        <f aca="false">IF(G6126&lt;Parametres!$B$8*Parametres!$B$7,0,MIN(G6126,Parametres!$B$7))</f>
        <v>35.54</v>
      </c>
      <c r="I6126" s="20" t="n">
        <f aca="false">G6126-H6126</f>
        <v>0</v>
      </c>
      <c r="J6126" s="21" t="n">
        <f aca="false">H6126*1000/Parametres!$B$9</f>
        <v>602.679328472104</v>
      </c>
    </row>
    <row r="6127" customFormat="false" ht="15" hidden="false" customHeight="false" outlineLevel="0" collapsed="false">
      <c r="A6127" s="0" t="n">
        <v>6123</v>
      </c>
      <c r="B6127" s="0" t="n">
        <v>9</v>
      </c>
      <c r="C6127" s="19" t="n">
        <v>0</v>
      </c>
      <c r="D6127" s="19" t="n">
        <v>0.1871</v>
      </c>
      <c r="E6127" s="20" t="n">
        <f aca="false">Parametres!$B$5*C6127</f>
        <v>0</v>
      </c>
      <c r="F6127" s="20" t="n">
        <f aca="false">Parametres!$B$6*D6127</f>
        <v>37.42</v>
      </c>
      <c r="G6127" s="20" t="n">
        <f aca="false">E6127+F6127</f>
        <v>37.42</v>
      </c>
      <c r="H6127" s="20" t="n">
        <f aca="false">IF(G6127&lt;Parametres!$B$8*Parametres!$B$7,0,MIN(G6127,Parametres!$B$7))</f>
        <v>37.42</v>
      </c>
      <c r="I6127" s="20" t="n">
        <f aca="false">G6127-H6127</f>
        <v>0</v>
      </c>
      <c r="J6127" s="21" t="n">
        <f aca="false">H6127*1000/Parametres!$B$9</f>
        <v>634.559945735119</v>
      </c>
    </row>
    <row r="6128" customFormat="false" ht="15" hidden="false" customHeight="false" outlineLevel="0" collapsed="false">
      <c r="A6128" s="0" t="n">
        <v>6124</v>
      </c>
      <c r="B6128" s="0" t="n">
        <v>9</v>
      </c>
      <c r="C6128" s="19" t="n">
        <v>0</v>
      </c>
      <c r="D6128" s="19" t="n">
        <v>0.3159</v>
      </c>
      <c r="E6128" s="20" t="n">
        <f aca="false">Parametres!$B$5*C6128</f>
        <v>0</v>
      </c>
      <c r="F6128" s="20" t="n">
        <f aca="false">Parametres!$B$6*D6128</f>
        <v>63.18</v>
      </c>
      <c r="G6128" s="20" t="n">
        <f aca="false">E6128+F6128</f>
        <v>63.18</v>
      </c>
      <c r="H6128" s="20" t="n">
        <f aca="false">IF(G6128&lt;Parametres!$B$8*Parametres!$B$7,0,MIN(G6128,Parametres!$B$7))</f>
        <v>63.18</v>
      </c>
      <c r="I6128" s="20" t="n">
        <f aca="false">G6128-H6128</f>
        <v>0</v>
      </c>
      <c r="J6128" s="21" t="n">
        <f aca="false">H6128*1000/Parametres!$B$9</f>
        <v>1071.39223333899</v>
      </c>
    </row>
    <row r="6129" customFormat="false" ht="15" hidden="false" customHeight="false" outlineLevel="0" collapsed="false">
      <c r="A6129" s="0" t="n">
        <v>6125</v>
      </c>
      <c r="B6129" s="0" t="n">
        <v>9</v>
      </c>
      <c r="C6129" s="19" t="n">
        <v>0</v>
      </c>
      <c r="D6129" s="19" t="n">
        <v>0.3237</v>
      </c>
      <c r="E6129" s="20" t="n">
        <f aca="false">Parametres!$B$5*C6129</f>
        <v>0</v>
      </c>
      <c r="F6129" s="20" t="n">
        <f aca="false">Parametres!$B$6*D6129</f>
        <v>64.74</v>
      </c>
      <c r="G6129" s="20" t="n">
        <f aca="false">E6129+F6129</f>
        <v>64.74</v>
      </c>
      <c r="H6129" s="20" t="n">
        <f aca="false">IF(G6129&lt;Parametres!$B$8*Parametres!$B$7,0,MIN(G6129,Parametres!$B$7))</f>
        <v>64.74</v>
      </c>
      <c r="I6129" s="20" t="n">
        <f aca="false">G6129-H6129</f>
        <v>0</v>
      </c>
      <c r="J6129" s="21" t="n">
        <f aca="false">H6129*1000/Parametres!$B$9</f>
        <v>1097.84636255723</v>
      </c>
    </row>
    <row r="6130" customFormat="false" ht="15" hidden="false" customHeight="false" outlineLevel="0" collapsed="false">
      <c r="A6130" s="0" t="n">
        <v>6126</v>
      </c>
      <c r="B6130" s="0" t="n">
        <v>9</v>
      </c>
      <c r="C6130" s="19" t="n">
        <v>0</v>
      </c>
      <c r="D6130" s="19" t="n">
        <v>0.406</v>
      </c>
      <c r="E6130" s="20" t="n">
        <f aca="false">Parametres!$B$5*C6130</f>
        <v>0</v>
      </c>
      <c r="F6130" s="20" t="n">
        <f aca="false">Parametres!$B$6*D6130</f>
        <v>81.2</v>
      </c>
      <c r="G6130" s="20" t="n">
        <f aca="false">E6130+F6130</f>
        <v>81.2</v>
      </c>
      <c r="H6130" s="20" t="n">
        <f aca="false">IF(G6130&lt;Parametres!$B$8*Parametres!$B$7,0,MIN(G6130,Parametres!$B$7))</f>
        <v>81.2</v>
      </c>
      <c r="I6130" s="20" t="n">
        <f aca="false">G6130-H6130</f>
        <v>0</v>
      </c>
      <c r="J6130" s="21" t="n">
        <f aca="false">H6130*1000/Parametres!$B$9</f>
        <v>1376.97134136001</v>
      </c>
    </row>
    <row r="6131" customFormat="false" ht="15" hidden="false" customHeight="false" outlineLevel="0" collapsed="false">
      <c r="A6131" s="0" t="n">
        <v>6127</v>
      </c>
      <c r="B6131" s="0" t="n">
        <v>9</v>
      </c>
      <c r="C6131" s="19" t="n">
        <v>0.1222</v>
      </c>
      <c r="D6131" s="19" t="n">
        <v>0.6446</v>
      </c>
      <c r="E6131" s="20" t="n">
        <f aca="false">Parametres!$B$5*C6131</f>
        <v>36.66</v>
      </c>
      <c r="F6131" s="20" t="n">
        <f aca="false">Parametres!$B$6*D6131</f>
        <v>128.92</v>
      </c>
      <c r="G6131" s="20" t="n">
        <f aca="false">E6131+F6131</f>
        <v>165.58</v>
      </c>
      <c r="H6131" s="20" t="n">
        <f aca="false">IF(G6131&lt;Parametres!$B$8*Parametres!$B$7,0,MIN(G6131,Parametres!$B$7))</f>
        <v>165.58</v>
      </c>
      <c r="I6131" s="20" t="n">
        <f aca="false">G6131-H6131</f>
        <v>0</v>
      </c>
      <c r="J6131" s="21" t="n">
        <f aca="false">H6131*1000/Parametres!$B$9</f>
        <v>2807.86840766491</v>
      </c>
    </row>
    <row r="6132" customFormat="false" ht="15" hidden="false" customHeight="false" outlineLevel="0" collapsed="false">
      <c r="A6132" s="0" t="n">
        <v>6128</v>
      </c>
      <c r="B6132" s="0" t="n">
        <v>9</v>
      </c>
      <c r="C6132" s="19" t="n">
        <v>0.3706</v>
      </c>
      <c r="D6132" s="19" t="n">
        <v>0.7521</v>
      </c>
      <c r="E6132" s="20" t="n">
        <f aca="false">Parametres!$B$5*C6132</f>
        <v>111.18</v>
      </c>
      <c r="F6132" s="20" t="n">
        <f aca="false">Parametres!$B$6*D6132</f>
        <v>150.42</v>
      </c>
      <c r="G6132" s="20" t="n">
        <f aca="false">E6132+F6132</f>
        <v>261.6</v>
      </c>
      <c r="H6132" s="20" t="n">
        <f aca="false">IF(G6132&lt;Parametres!$B$8*Parametres!$B$7,0,MIN(G6132,Parametres!$B$7))</f>
        <v>250</v>
      </c>
      <c r="I6132" s="20" t="n">
        <f aca="false">G6132-H6132</f>
        <v>11.6</v>
      </c>
      <c r="J6132" s="21" t="n">
        <f aca="false">H6132*1000/Parametres!$B$9</f>
        <v>4239.44378497541</v>
      </c>
    </row>
    <row r="6133" customFormat="false" ht="15" hidden="false" customHeight="false" outlineLevel="0" collapsed="false">
      <c r="A6133" s="0" t="n">
        <v>6129</v>
      </c>
      <c r="B6133" s="0" t="n">
        <v>9</v>
      </c>
      <c r="C6133" s="19" t="n">
        <v>0.6647</v>
      </c>
      <c r="D6133" s="19" t="n">
        <v>0.9411</v>
      </c>
      <c r="E6133" s="20" t="n">
        <f aca="false">Parametres!$B$5*C6133</f>
        <v>199.41</v>
      </c>
      <c r="F6133" s="20" t="n">
        <f aca="false">Parametres!$B$6*D6133</f>
        <v>188.22</v>
      </c>
      <c r="G6133" s="20" t="n">
        <f aca="false">E6133+F6133</f>
        <v>387.63</v>
      </c>
      <c r="H6133" s="20" t="n">
        <f aca="false">IF(G6133&lt;Parametres!$B$8*Parametres!$B$7,0,MIN(G6133,Parametres!$B$7))</f>
        <v>250</v>
      </c>
      <c r="I6133" s="20" t="n">
        <f aca="false">G6133-H6133</f>
        <v>137.63</v>
      </c>
      <c r="J6133" s="21" t="n">
        <f aca="false">H6133*1000/Parametres!$B$9</f>
        <v>4239.44378497541</v>
      </c>
    </row>
    <row r="6134" customFormat="false" ht="15" hidden="false" customHeight="false" outlineLevel="0" collapsed="false">
      <c r="A6134" s="0" t="n">
        <v>6130</v>
      </c>
      <c r="B6134" s="0" t="n">
        <v>9</v>
      </c>
      <c r="C6134" s="19" t="n">
        <v>0.7769</v>
      </c>
      <c r="D6134" s="19" t="n">
        <v>0.9362</v>
      </c>
      <c r="E6134" s="20" t="n">
        <f aca="false">Parametres!$B$5*C6134</f>
        <v>233.07</v>
      </c>
      <c r="F6134" s="20" t="n">
        <f aca="false">Parametres!$B$6*D6134</f>
        <v>187.24</v>
      </c>
      <c r="G6134" s="20" t="n">
        <f aca="false">E6134+F6134</f>
        <v>420.31</v>
      </c>
      <c r="H6134" s="20" t="n">
        <f aca="false">IF(G6134&lt;Parametres!$B$8*Parametres!$B$7,0,MIN(G6134,Parametres!$B$7))</f>
        <v>250</v>
      </c>
      <c r="I6134" s="20" t="n">
        <f aca="false">G6134-H6134</f>
        <v>170.31</v>
      </c>
      <c r="J6134" s="21" t="n">
        <f aca="false">H6134*1000/Parametres!$B$9</f>
        <v>4239.44378497541</v>
      </c>
    </row>
    <row r="6135" customFormat="false" ht="15" hidden="false" customHeight="false" outlineLevel="0" collapsed="false">
      <c r="A6135" s="0" t="n">
        <v>6131</v>
      </c>
      <c r="B6135" s="0" t="n">
        <v>9</v>
      </c>
      <c r="C6135" s="19" t="n">
        <v>0.9615</v>
      </c>
      <c r="D6135" s="19" t="n">
        <v>0.7779</v>
      </c>
      <c r="E6135" s="20" t="n">
        <f aca="false">Parametres!$B$5*C6135</f>
        <v>288.45</v>
      </c>
      <c r="F6135" s="20" t="n">
        <f aca="false">Parametres!$B$6*D6135</f>
        <v>155.58</v>
      </c>
      <c r="G6135" s="20" t="n">
        <f aca="false">E6135+F6135</f>
        <v>444.03</v>
      </c>
      <c r="H6135" s="20" t="n">
        <f aca="false">IF(G6135&lt;Parametres!$B$8*Parametres!$B$7,0,MIN(G6135,Parametres!$B$7))</f>
        <v>250</v>
      </c>
      <c r="I6135" s="20" t="n">
        <f aca="false">G6135-H6135</f>
        <v>194.03</v>
      </c>
      <c r="J6135" s="21" t="n">
        <f aca="false">H6135*1000/Parametres!$B$9</f>
        <v>4239.44378497541</v>
      </c>
    </row>
    <row r="6136" customFormat="false" ht="15" hidden="false" customHeight="false" outlineLevel="0" collapsed="false">
      <c r="A6136" s="0" t="n">
        <v>6132</v>
      </c>
      <c r="B6136" s="0" t="n">
        <v>9</v>
      </c>
      <c r="C6136" s="19" t="n">
        <v>1</v>
      </c>
      <c r="D6136" s="19" t="n">
        <v>0.7443</v>
      </c>
      <c r="E6136" s="20" t="n">
        <f aca="false">Parametres!$B$5*C6136</f>
        <v>300</v>
      </c>
      <c r="F6136" s="20" t="n">
        <f aca="false">Parametres!$B$6*D6136</f>
        <v>148.86</v>
      </c>
      <c r="G6136" s="20" t="n">
        <f aca="false">E6136+F6136</f>
        <v>448.86</v>
      </c>
      <c r="H6136" s="20" t="n">
        <f aca="false">IF(G6136&lt;Parametres!$B$8*Parametres!$B$7,0,MIN(G6136,Parametres!$B$7))</f>
        <v>250</v>
      </c>
      <c r="I6136" s="20" t="n">
        <f aca="false">G6136-H6136</f>
        <v>198.86</v>
      </c>
      <c r="J6136" s="21" t="n">
        <f aca="false">H6136*1000/Parametres!$B$9</f>
        <v>4239.44378497541</v>
      </c>
    </row>
    <row r="6137" customFormat="false" ht="15" hidden="false" customHeight="false" outlineLevel="0" collapsed="false">
      <c r="A6137" s="0" t="n">
        <v>6133</v>
      </c>
      <c r="B6137" s="0" t="n">
        <v>9</v>
      </c>
      <c r="C6137" s="19" t="n">
        <v>1</v>
      </c>
      <c r="D6137" s="19" t="n">
        <v>1</v>
      </c>
      <c r="E6137" s="20" t="n">
        <f aca="false">Parametres!$B$5*C6137</f>
        <v>300</v>
      </c>
      <c r="F6137" s="20" t="n">
        <f aca="false">Parametres!$B$6*D6137</f>
        <v>200</v>
      </c>
      <c r="G6137" s="20" t="n">
        <f aca="false">E6137+F6137</f>
        <v>500</v>
      </c>
      <c r="H6137" s="20" t="n">
        <f aca="false">IF(G6137&lt;Parametres!$B$8*Parametres!$B$7,0,MIN(G6137,Parametres!$B$7))</f>
        <v>250</v>
      </c>
      <c r="I6137" s="20" t="n">
        <f aca="false">G6137-H6137</f>
        <v>250</v>
      </c>
      <c r="J6137" s="21" t="n">
        <f aca="false">H6137*1000/Parametres!$B$9</f>
        <v>4239.44378497541</v>
      </c>
    </row>
    <row r="6138" customFormat="false" ht="15" hidden="false" customHeight="false" outlineLevel="0" collapsed="false">
      <c r="A6138" s="0" t="n">
        <v>6134</v>
      </c>
      <c r="B6138" s="0" t="n">
        <v>9</v>
      </c>
      <c r="C6138" s="19" t="n">
        <v>0.9575</v>
      </c>
      <c r="D6138" s="19" t="n">
        <v>1</v>
      </c>
      <c r="E6138" s="20" t="n">
        <f aca="false">Parametres!$B$5*C6138</f>
        <v>287.25</v>
      </c>
      <c r="F6138" s="20" t="n">
        <f aca="false">Parametres!$B$6*D6138</f>
        <v>200</v>
      </c>
      <c r="G6138" s="20" t="n">
        <f aca="false">E6138+F6138</f>
        <v>487.25</v>
      </c>
      <c r="H6138" s="20" t="n">
        <f aca="false">IF(G6138&lt;Parametres!$B$8*Parametres!$B$7,0,MIN(G6138,Parametres!$B$7))</f>
        <v>250</v>
      </c>
      <c r="I6138" s="20" t="n">
        <f aca="false">G6138-H6138</f>
        <v>237.25</v>
      </c>
      <c r="J6138" s="21" t="n">
        <f aca="false">H6138*1000/Parametres!$B$9</f>
        <v>4239.44378497541</v>
      </c>
    </row>
    <row r="6139" customFormat="false" ht="15" hidden="false" customHeight="false" outlineLevel="0" collapsed="false">
      <c r="A6139" s="0" t="n">
        <v>6135</v>
      </c>
      <c r="B6139" s="0" t="n">
        <v>9</v>
      </c>
      <c r="C6139" s="19" t="n">
        <v>0.8114</v>
      </c>
      <c r="D6139" s="19" t="n">
        <v>1</v>
      </c>
      <c r="E6139" s="20" t="n">
        <f aca="false">Parametres!$B$5*C6139</f>
        <v>243.42</v>
      </c>
      <c r="F6139" s="20" t="n">
        <f aca="false">Parametres!$B$6*D6139</f>
        <v>200</v>
      </c>
      <c r="G6139" s="20" t="n">
        <f aca="false">E6139+F6139</f>
        <v>443.42</v>
      </c>
      <c r="H6139" s="20" t="n">
        <f aca="false">IF(G6139&lt;Parametres!$B$8*Parametres!$B$7,0,MIN(G6139,Parametres!$B$7))</f>
        <v>250</v>
      </c>
      <c r="I6139" s="20" t="n">
        <f aca="false">G6139-H6139</f>
        <v>193.42</v>
      </c>
      <c r="J6139" s="21" t="n">
        <f aca="false">H6139*1000/Parametres!$B$9</f>
        <v>4239.44378497541</v>
      </c>
    </row>
    <row r="6140" customFormat="false" ht="15" hidden="false" customHeight="false" outlineLevel="0" collapsed="false">
      <c r="A6140" s="0" t="n">
        <v>6136</v>
      </c>
      <c r="B6140" s="0" t="n">
        <v>9</v>
      </c>
      <c r="C6140" s="19" t="n">
        <v>0.6191</v>
      </c>
      <c r="D6140" s="19" t="n">
        <v>1</v>
      </c>
      <c r="E6140" s="20" t="n">
        <f aca="false">Parametres!$B$5*C6140</f>
        <v>185.73</v>
      </c>
      <c r="F6140" s="20" t="n">
        <f aca="false">Parametres!$B$6*D6140</f>
        <v>200</v>
      </c>
      <c r="G6140" s="20" t="n">
        <f aca="false">E6140+F6140</f>
        <v>385.73</v>
      </c>
      <c r="H6140" s="20" t="n">
        <f aca="false">IF(G6140&lt;Parametres!$B$8*Parametres!$B$7,0,MIN(G6140,Parametres!$B$7))</f>
        <v>250</v>
      </c>
      <c r="I6140" s="20" t="n">
        <f aca="false">G6140-H6140</f>
        <v>135.73</v>
      </c>
      <c r="J6140" s="21" t="n">
        <f aca="false">H6140*1000/Parametres!$B$9</f>
        <v>4239.44378497541</v>
      </c>
    </row>
    <row r="6141" customFormat="false" ht="15" hidden="false" customHeight="false" outlineLevel="0" collapsed="false">
      <c r="A6141" s="0" t="n">
        <v>6137</v>
      </c>
      <c r="B6141" s="0" t="n">
        <v>9</v>
      </c>
      <c r="C6141" s="19" t="n">
        <v>0.365</v>
      </c>
      <c r="D6141" s="19" t="n">
        <v>1</v>
      </c>
      <c r="E6141" s="20" t="n">
        <f aca="false">Parametres!$B$5*C6141</f>
        <v>109.5</v>
      </c>
      <c r="F6141" s="20" t="n">
        <f aca="false">Parametres!$B$6*D6141</f>
        <v>200</v>
      </c>
      <c r="G6141" s="20" t="n">
        <f aca="false">E6141+F6141</f>
        <v>309.5</v>
      </c>
      <c r="H6141" s="20" t="n">
        <f aca="false">IF(G6141&lt;Parametres!$B$8*Parametres!$B$7,0,MIN(G6141,Parametres!$B$7))</f>
        <v>250</v>
      </c>
      <c r="I6141" s="20" t="n">
        <f aca="false">G6141-H6141</f>
        <v>59.5</v>
      </c>
      <c r="J6141" s="21" t="n">
        <f aca="false">H6141*1000/Parametres!$B$9</f>
        <v>4239.44378497541</v>
      </c>
    </row>
    <row r="6142" customFormat="false" ht="15" hidden="false" customHeight="false" outlineLevel="0" collapsed="false">
      <c r="A6142" s="0" t="n">
        <v>6138</v>
      </c>
      <c r="B6142" s="0" t="n">
        <v>9</v>
      </c>
      <c r="C6142" s="19" t="n">
        <v>0.1255</v>
      </c>
      <c r="D6142" s="19" t="n">
        <v>1</v>
      </c>
      <c r="E6142" s="20" t="n">
        <f aca="false">Parametres!$B$5*C6142</f>
        <v>37.65</v>
      </c>
      <c r="F6142" s="20" t="n">
        <f aca="false">Parametres!$B$6*D6142</f>
        <v>200</v>
      </c>
      <c r="G6142" s="20" t="n">
        <f aca="false">E6142+F6142</f>
        <v>237.65</v>
      </c>
      <c r="H6142" s="20" t="n">
        <f aca="false">IF(G6142&lt;Parametres!$B$8*Parametres!$B$7,0,MIN(G6142,Parametres!$B$7))</f>
        <v>237.65</v>
      </c>
      <c r="I6142" s="20" t="n">
        <f aca="false">G6142-H6142</f>
        <v>0</v>
      </c>
      <c r="J6142" s="21" t="n">
        <f aca="false">H6142*1000/Parametres!$B$9</f>
        <v>4030.01526199763</v>
      </c>
    </row>
    <row r="6143" customFormat="false" ht="15" hidden="false" customHeight="false" outlineLevel="0" collapsed="false">
      <c r="A6143" s="0" t="n">
        <v>6139</v>
      </c>
      <c r="B6143" s="0" t="n">
        <v>9</v>
      </c>
      <c r="C6143" s="19" t="n">
        <v>0</v>
      </c>
      <c r="D6143" s="19" t="n">
        <v>1</v>
      </c>
      <c r="E6143" s="20" t="n">
        <f aca="false">Parametres!$B$5*C6143</f>
        <v>0</v>
      </c>
      <c r="F6143" s="20" t="n">
        <f aca="false">Parametres!$B$6*D6143</f>
        <v>200</v>
      </c>
      <c r="G6143" s="20" t="n">
        <f aca="false">E6143+F6143</f>
        <v>200</v>
      </c>
      <c r="H6143" s="20" t="n">
        <f aca="false">IF(G6143&lt;Parametres!$B$8*Parametres!$B$7,0,MIN(G6143,Parametres!$B$7))</f>
        <v>200</v>
      </c>
      <c r="I6143" s="20" t="n">
        <f aca="false">G6143-H6143</f>
        <v>0</v>
      </c>
      <c r="J6143" s="21" t="n">
        <f aca="false">H6143*1000/Parametres!$B$9</f>
        <v>3391.55502798033</v>
      </c>
    </row>
    <row r="6144" customFormat="false" ht="15" hidden="false" customHeight="false" outlineLevel="0" collapsed="false">
      <c r="A6144" s="0" t="n">
        <v>6140</v>
      </c>
      <c r="B6144" s="0" t="n">
        <v>9</v>
      </c>
      <c r="C6144" s="19" t="n">
        <v>0</v>
      </c>
      <c r="D6144" s="19" t="n">
        <v>1</v>
      </c>
      <c r="E6144" s="20" t="n">
        <f aca="false">Parametres!$B$5*C6144</f>
        <v>0</v>
      </c>
      <c r="F6144" s="20" t="n">
        <f aca="false">Parametres!$B$6*D6144</f>
        <v>200</v>
      </c>
      <c r="G6144" s="20" t="n">
        <f aca="false">E6144+F6144</f>
        <v>200</v>
      </c>
      <c r="H6144" s="20" t="n">
        <f aca="false">IF(G6144&lt;Parametres!$B$8*Parametres!$B$7,0,MIN(G6144,Parametres!$B$7))</f>
        <v>200</v>
      </c>
      <c r="I6144" s="20" t="n">
        <f aca="false">G6144-H6144</f>
        <v>0</v>
      </c>
      <c r="J6144" s="21" t="n">
        <f aca="false">H6144*1000/Parametres!$B$9</f>
        <v>3391.55502798033</v>
      </c>
    </row>
    <row r="6145" customFormat="false" ht="15" hidden="false" customHeight="false" outlineLevel="0" collapsed="false">
      <c r="A6145" s="0" t="n">
        <v>6141</v>
      </c>
      <c r="B6145" s="0" t="n">
        <v>9</v>
      </c>
      <c r="C6145" s="19" t="n">
        <v>0</v>
      </c>
      <c r="D6145" s="19" t="n">
        <v>1</v>
      </c>
      <c r="E6145" s="20" t="n">
        <f aca="false">Parametres!$B$5*C6145</f>
        <v>0</v>
      </c>
      <c r="F6145" s="20" t="n">
        <f aca="false">Parametres!$B$6*D6145</f>
        <v>200</v>
      </c>
      <c r="G6145" s="20" t="n">
        <f aca="false">E6145+F6145</f>
        <v>200</v>
      </c>
      <c r="H6145" s="20" t="n">
        <f aca="false">IF(G6145&lt;Parametres!$B$8*Parametres!$B$7,0,MIN(G6145,Parametres!$B$7))</f>
        <v>200</v>
      </c>
      <c r="I6145" s="20" t="n">
        <f aca="false">G6145-H6145</f>
        <v>0</v>
      </c>
      <c r="J6145" s="21" t="n">
        <f aca="false">H6145*1000/Parametres!$B$9</f>
        <v>3391.55502798033</v>
      </c>
    </row>
    <row r="6146" customFormat="false" ht="15" hidden="false" customHeight="false" outlineLevel="0" collapsed="false">
      <c r="A6146" s="0" t="n">
        <v>6142</v>
      </c>
      <c r="B6146" s="0" t="n">
        <v>9</v>
      </c>
      <c r="C6146" s="19" t="n">
        <v>0</v>
      </c>
      <c r="D6146" s="19" t="n">
        <v>1</v>
      </c>
      <c r="E6146" s="20" t="n">
        <f aca="false">Parametres!$B$5*C6146</f>
        <v>0</v>
      </c>
      <c r="F6146" s="20" t="n">
        <f aca="false">Parametres!$B$6*D6146</f>
        <v>200</v>
      </c>
      <c r="G6146" s="20" t="n">
        <f aca="false">E6146+F6146</f>
        <v>200</v>
      </c>
      <c r="H6146" s="20" t="n">
        <f aca="false">IF(G6146&lt;Parametres!$B$8*Parametres!$B$7,0,MIN(G6146,Parametres!$B$7))</f>
        <v>200</v>
      </c>
      <c r="I6146" s="20" t="n">
        <f aca="false">G6146-H6146</f>
        <v>0</v>
      </c>
      <c r="J6146" s="21" t="n">
        <f aca="false">H6146*1000/Parametres!$B$9</f>
        <v>3391.55502798033</v>
      </c>
    </row>
    <row r="6147" customFormat="false" ht="15" hidden="false" customHeight="false" outlineLevel="0" collapsed="false">
      <c r="A6147" s="0" t="n">
        <v>6143</v>
      </c>
      <c r="B6147" s="0" t="n">
        <v>9</v>
      </c>
      <c r="C6147" s="19" t="n">
        <v>0</v>
      </c>
      <c r="D6147" s="19" t="n">
        <v>1</v>
      </c>
      <c r="E6147" s="20" t="n">
        <f aca="false">Parametres!$B$5*C6147</f>
        <v>0</v>
      </c>
      <c r="F6147" s="20" t="n">
        <f aca="false">Parametres!$B$6*D6147</f>
        <v>200</v>
      </c>
      <c r="G6147" s="20" t="n">
        <f aca="false">E6147+F6147</f>
        <v>200</v>
      </c>
      <c r="H6147" s="20" t="n">
        <f aca="false">IF(G6147&lt;Parametres!$B$8*Parametres!$B$7,0,MIN(G6147,Parametres!$B$7))</f>
        <v>200</v>
      </c>
      <c r="I6147" s="20" t="n">
        <f aca="false">G6147-H6147</f>
        <v>0</v>
      </c>
      <c r="J6147" s="21" t="n">
        <f aca="false">H6147*1000/Parametres!$B$9</f>
        <v>3391.55502798033</v>
      </c>
    </row>
    <row r="6148" customFormat="false" ht="15" hidden="false" customHeight="false" outlineLevel="0" collapsed="false">
      <c r="A6148" s="0" t="n">
        <v>6144</v>
      </c>
      <c r="B6148" s="0" t="n">
        <v>9</v>
      </c>
      <c r="C6148" s="19" t="n">
        <v>0</v>
      </c>
      <c r="D6148" s="19" t="n">
        <v>1</v>
      </c>
      <c r="E6148" s="20" t="n">
        <f aca="false">Parametres!$B$5*C6148</f>
        <v>0</v>
      </c>
      <c r="F6148" s="20" t="n">
        <f aca="false">Parametres!$B$6*D6148</f>
        <v>200</v>
      </c>
      <c r="G6148" s="20" t="n">
        <f aca="false">E6148+F6148</f>
        <v>200</v>
      </c>
      <c r="H6148" s="20" t="n">
        <f aca="false">IF(G6148&lt;Parametres!$B$8*Parametres!$B$7,0,MIN(G6148,Parametres!$B$7))</f>
        <v>200</v>
      </c>
      <c r="I6148" s="20" t="n">
        <f aca="false">G6148-H6148</f>
        <v>0</v>
      </c>
      <c r="J6148" s="21" t="n">
        <f aca="false">H6148*1000/Parametres!$B$9</f>
        <v>3391.55502798033</v>
      </c>
    </row>
    <row r="6149" customFormat="false" ht="15" hidden="false" customHeight="false" outlineLevel="0" collapsed="false">
      <c r="A6149" s="0" t="n">
        <v>6145</v>
      </c>
      <c r="B6149" s="0" t="n">
        <v>9</v>
      </c>
      <c r="C6149" s="19" t="n">
        <v>0</v>
      </c>
      <c r="D6149" s="19" t="n">
        <v>1</v>
      </c>
      <c r="E6149" s="20" t="n">
        <f aca="false">Parametres!$B$5*C6149</f>
        <v>0</v>
      </c>
      <c r="F6149" s="20" t="n">
        <f aca="false">Parametres!$B$6*D6149</f>
        <v>200</v>
      </c>
      <c r="G6149" s="20" t="n">
        <f aca="false">E6149+F6149</f>
        <v>200</v>
      </c>
      <c r="H6149" s="20" t="n">
        <f aca="false">IF(G6149&lt;Parametres!$B$8*Parametres!$B$7,0,MIN(G6149,Parametres!$B$7))</f>
        <v>200</v>
      </c>
      <c r="I6149" s="20" t="n">
        <f aca="false">G6149-H6149</f>
        <v>0</v>
      </c>
      <c r="J6149" s="21" t="n">
        <f aca="false">H6149*1000/Parametres!$B$9</f>
        <v>3391.55502798033</v>
      </c>
    </row>
    <row r="6150" customFormat="false" ht="15" hidden="false" customHeight="false" outlineLevel="0" collapsed="false">
      <c r="A6150" s="0" t="n">
        <v>6146</v>
      </c>
      <c r="B6150" s="0" t="n">
        <v>9</v>
      </c>
      <c r="C6150" s="19" t="n">
        <v>0</v>
      </c>
      <c r="D6150" s="19" t="n">
        <v>1</v>
      </c>
      <c r="E6150" s="20" t="n">
        <f aca="false">Parametres!$B$5*C6150</f>
        <v>0</v>
      </c>
      <c r="F6150" s="20" t="n">
        <f aca="false">Parametres!$B$6*D6150</f>
        <v>200</v>
      </c>
      <c r="G6150" s="20" t="n">
        <f aca="false">E6150+F6150</f>
        <v>200</v>
      </c>
      <c r="H6150" s="20" t="n">
        <f aca="false">IF(G6150&lt;Parametres!$B$8*Parametres!$B$7,0,MIN(G6150,Parametres!$B$7))</f>
        <v>200</v>
      </c>
      <c r="I6150" s="20" t="n">
        <f aca="false">G6150-H6150</f>
        <v>0</v>
      </c>
      <c r="J6150" s="21" t="n">
        <f aca="false">H6150*1000/Parametres!$B$9</f>
        <v>3391.55502798033</v>
      </c>
    </row>
    <row r="6151" customFormat="false" ht="15" hidden="false" customHeight="false" outlineLevel="0" collapsed="false">
      <c r="A6151" s="0" t="n">
        <v>6147</v>
      </c>
      <c r="B6151" s="0" t="n">
        <v>9</v>
      </c>
      <c r="C6151" s="19" t="n">
        <v>0</v>
      </c>
      <c r="D6151" s="19" t="n">
        <v>0.4599</v>
      </c>
      <c r="E6151" s="20" t="n">
        <f aca="false">Parametres!$B$5*C6151</f>
        <v>0</v>
      </c>
      <c r="F6151" s="20" t="n">
        <f aca="false">Parametres!$B$6*D6151</f>
        <v>91.98</v>
      </c>
      <c r="G6151" s="20" t="n">
        <f aca="false">E6151+F6151</f>
        <v>91.98</v>
      </c>
      <c r="H6151" s="20" t="n">
        <f aca="false">IF(G6151&lt;Parametres!$B$8*Parametres!$B$7,0,MIN(G6151,Parametres!$B$7))</f>
        <v>91.98</v>
      </c>
      <c r="I6151" s="20" t="n">
        <f aca="false">G6151-H6151</f>
        <v>0</v>
      </c>
      <c r="J6151" s="21" t="n">
        <f aca="false">H6151*1000/Parametres!$B$9</f>
        <v>1559.77615736815</v>
      </c>
    </row>
    <row r="6152" customFormat="false" ht="15" hidden="false" customHeight="false" outlineLevel="0" collapsed="false">
      <c r="A6152" s="0" t="n">
        <v>6148</v>
      </c>
      <c r="B6152" s="0" t="n">
        <v>9</v>
      </c>
      <c r="C6152" s="19" t="n">
        <v>0</v>
      </c>
      <c r="D6152" s="19" t="n">
        <v>0.4923</v>
      </c>
      <c r="E6152" s="20" t="n">
        <f aca="false">Parametres!$B$5*C6152</f>
        <v>0</v>
      </c>
      <c r="F6152" s="20" t="n">
        <f aca="false">Parametres!$B$6*D6152</f>
        <v>98.46</v>
      </c>
      <c r="G6152" s="20" t="n">
        <f aca="false">E6152+F6152</f>
        <v>98.46</v>
      </c>
      <c r="H6152" s="20" t="n">
        <f aca="false">IF(G6152&lt;Parametres!$B$8*Parametres!$B$7,0,MIN(G6152,Parametres!$B$7))</f>
        <v>98.46</v>
      </c>
      <c r="I6152" s="20" t="n">
        <f aca="false">G6152-H6152</f>
        <v>0</v>
      </c>
      <c r="J6152" s="21" t="n">
        <f aca="false">H6152*1000/Parametres!$B$9</f>
        <v>1669.66254027472</v>
      </c>
    </row>
    <row r="6153" customFormat="false" ht="15" hidden="false" customHeight="false" outlineLevel="0" collapsed="false">
      <c r="A6153" s="0" t="n">
        <v>6149</v>
      </c>
      <c r="B6153" s="0" t="n">
        <v>9</v>
      </c>
      <c r="C6153" s="19" t="n">
        <v>0</v>
      </c>
      <c r="D6153" s="19" t="n">
        <v>0.3148</v>
      </c>
      <c r="E6153" s="20" t="n">
        <f aca="false">Parametres!$B$5*C6153</f>
        <v>0</v>
      </c>
      <c r="F6153" s="20" t="n">
        <f aca="false">Parametres!$B$6*D6153</f>
        <v>62.96</v>
      </c>
      <c r="G6153" s="20" t="n">
        <f aca="false">E6153+F6153</f>
        <v>62.96</v>
      </c>
      <c r="H6153" s="20" t="n">
        <f aca="false">IF(G6153&lt;Parametres!$B$8*Parametres!$B$7,0,MIN(G6153,Parametres!$B$7))</f>
        <v>62.96</v>
      </c>
      <c r="I6153" s="20" t="n">
        <f aca="false">G6153-H6153</f>
        <v>0</v>
      </c>
      <c r="J6153" s="21" t="n">
        <f aca="false">H6153*1000/Parametres!$B$9</f>
        <v>1067.66152280821</v>
      </c>
    </row>
    <row r="6154" customFormat="false" ht="15" hidden="false" customHeight="false" outlineLevel="0" collapsed="false">
      <c r="A6154" s="0" t="n">
        <v>6150</v>
      </c>
      <c r="B6154" s="0" t="n">
        <v>9</v>
      </c>
      <c r="C6154" s="19" t="n">
        <v>0</v>
      </c>
      <c r="D6154" s="19" t="n">
        <v>0.318</v>
      </c>
      <c r="E6154" s="20" t="n">
        <f aca="false">Parametres!$B$5*C6154</f>
        <v>0</v>
      </c>
      <c r="F6154" s="20" t="n">
        <f aca="false">Parametres!$B$6*D6154</f>
        <v>63.6</v>
      </c>
      <c r="G6154" s="20" t="n">
        <f aca="false">E6154+F6154</f>
        <v>63.6</v>
      </c>
      <c r="H6154" s="20" t="n">
        <f aca="false">IF(G6154&lt;Parametres!$B$8*Parametres!$B$7,0,MIN(G6154,Parametres!$B$7))</f>
        <v>63.6</v>
      </c>
      <c r="I6154" s="20" t="n">
        <f aca="false">G6154-H6154</f>
        <v>0</v>
      </c>
      <c r="J6154" s="21" t="n">
        <f aca="false">H6154*1000/Parametres!$B$9</f>
        <v>1078.51449889774</v>
      </c>
    </row>
    <row r="6155" customFormat="false" ht="15" hidden="false" customHeight="false" outlineLevel="0" collapsed="false">
      <c r="A6155" s="0" t="n">
        <v>6151</v>
      </c>
      <c r="B6155" s="0" t="n">
        <v>9</v>
      </c>
      <c r="C6155" s="19" t="n">
        <v>0.1242</v>
      </c>
      <c r="D6155" s="19" t="n">
        <v>0.2016</v>
      </c>
      <c r="E6155" s="20" t="n">
        <f aca="false">Parametres!$B$5*C6155</f>
        <v>37.26</v>
      </c>
      <c r="F6155" s="20" t="n">
        <f aca="false">Parametres!$B$6*D6155</f>
        <v>40.32</v>
      </c>
      <c r="G6155" s="20" t="n">
        <f aca="false">E6155+F6155</f>
        <v>77.58</v>
      </c>
      <c r="H6155" s="20" t="n">
        <f aca="false">IF(G6155&lt;Parametres!$B$8*Parametres!$B$7,0,MIN(G6155,Parametres!$B$7))</f>
        <v>77.58</v>
      </c>
      <c r="I6155" s="20" t="n">
        <f aca="false">G6155-H6155</f>
        <v>0</v>
      </c>
      <c r="J6155" s="21" t="n">
        <f aca="false">H6155*1000/Parametres!$B$9</f>
        <v>1315.58419535357</v>
      </c>
    </row>
    <row r="6156" customFormat="false" ht="15" hidden="false" customHeight="false" outlineLevel="0" collapsed="false">
      <c r="A6156" s="0" t="n">
        <v>6152</v>
      </c>
      <c r="B6156" s="0" t="n">
        <v>9</v>
      </c>
      <c r="C6156" s="19" t="n">
        <v>0.3199</v>
      </c>
      <c r="D6156" s="19" t="n">
        <v>0.2466</v>
      </c>
      <c r="E6156" s="20" t="n">
        <f aca="false">Parametres!$B$5*C6156</f>
        <v>95.97</v>
      </c>
      <c r="F6156" s="20" t="n">
        <f aca="false">Parametres!$B$6*D6156</f>
        <v>49.32</v>
      </c>
      <c r="G6156" s="20" t="n">
        <f aca="false">E6156+F6156</f>
        <v>145.29</v>
      </c>
      <c r="H6156" s="20" t="n">
        <f aca="false">IF(G6156&lt;Parametres!$B$8*Parametres!$B$7,0,MIN(G6156,Parametres!$B$7))</f>
        <v>145.29</v>
      </c>
      <c r="I6156" s="20" t="n">
        <f aca="false">G6156-H6156</f>
        <v>0</v>
      </c>
      <c r="J6156" s="21" t="n">
        <f aca="false">H6156*1000/Parametres!$B$9</f>
        <v>2463.79515007631</v>
      </c>
    </row>
    <row r="6157" customFormat="false" ht="15" hidden="false" customHeight="false" outlineLevel="0" collapsed="false">
      <c r="A6157" s="0" t="n">
        <v>6153</v>
      </c>
      <c r="B6157" s="0" t="n">
        <v>9</v>
      </c>
      <c r="C6157" s="19" t="n">
        <v>0.5327</v>
      </c>
      <c r="D6157" s="19" t="n">
        <v>0.2725</v>
      </c>
      <c r="E6157" s="20" t="n">
        <f aca="false">Parametres!$B$5*C6157</f>
        <v>159.81</v>
      </c>
      <c r="F6157" s="20" t="n">
        <f aca="false">Parametres!$B$6*D6157</f>
        <v>54.5</v>
      </c>
      <c r="G6157" s="20" t="n">
        <f aca="false">E6157+F6157</f>
        <v>214.31</v>
      </c>
      <c r="H6157" s="20" t="n">
        <f aca="false">IF(G6157&lt;Parametres!$B$8*Parametres!$B$7,0,MIN(G6157,Parametres!$B$7))</f>
        <v>214.31</v>
      </c>
      <c r="I6157" s="20" t="n">
        <f aca="false">G6157-H6157</f>
        <v>0</v>
      </c>
      <c r="J6157" s="21" t="n">
        <f aca="false">H6157*1000/Parametres!$B$9</f>
        <v>3634.22079023232</v>
      </c>
    </row>
    <row r="6158" customFormat="false" ht="15" hidden="false" customHeight="false" outlineLevel="0" collapsed="false">
      <c r="A6158" s="0" t="n">
        <v>6154</v>
      </c>
      <c r="B6158" s="0" t="n">
        <v>9</v>
      </c>
      <c r="C6158" s="19" t="n">
        <v>0.7713</v>
      </c>
      <c r="D6158" s="19" t="n">
        <v>0.7691</v>
      </c>
      <c r="E6158" s="20" t="n">
        <f aca="false">Parametres!$B$5*C6158</f>
        <v>231.39</v>
      </c>
      <c r="F6158" s="20" t="n">
        <f aca="false">Parametres!$B$6*D6158</f>
        <v>153.82</v>
      </c>
      <c r="G6158" s="20" t="n">
        <f aca="false">E6158+F6158</f>
        <v>385.21</v>
      </c>
      <c r="H6158" s="20" t="n">
        <f aca="false">IF(G6158&lt;Parametres!$B$8*Parametres!$B$7,0,MIN(G6158,Parametres!$B$7))</f>
        <v>250</v>
      </c>
      <c r="I6158" s="20" t="n">
        <f aca="false">G6158-H6158</f>
        <v>135.21</v>
      </c>
      <c r="J6158" s="21" t="n">
        <f aca="false">H6158*1000/Parametres!$B$9</f>
        <v>4239.44378497541</v>
      </c>
    </row>
    <row r="6159" customFormat="false" ht="15" hidden="false" customHeight="false" outlineLevel="0" collapsed="false">
      <c r="A6159" s="0" t="n">
        <v>6155</v>
      </c>
      <c r="B6159" s="0" t="n">
        <v>9</v>
      </c>
      <c r="C6159" s="19" t="n">
        <v>0.8966</v>
      </c>
      <c r="D6159" s="19" t="n">
        <v>1</v>
      </c>
      <c r="E6159" s="20" t="n">
        <f aca="false">Parametres!$B$5*C6159</f>
        <v>268.98</v>
      </c>
      <c r="F6159" s="20" t="n">
        <f aca="false">Parametres!$B$6*D6159</f>
        <v>200</v>
      </c>
      <c r="G6159" s="20" t="n">
        <f aca="false">E6159+F6159</f>
        <v>468.98</v>
      </c>
      <c r="H6159" s="20" t="n">
        <f aca="false">IF(G6159&lt;Parametres!$B$8*Parametres!$B$7,0,MIN(G6159,Parametres!$B$7))</f>
        <v>250</v>
      </c>
      <c r="I6159" s="20" t="n">
        <f aca="false">G6159-H6159</f>
        <v>218.98</v>
      </c>
      <c r="J6159" s="21" t="n">
        <f aca="false">H6159*1000/Parametres!$B$9</f>
        <v>4239.44378497541</v>
      </c>
    </row>
    <row r="6160" customFormat="false" ht="15" hidden="false" customHeight="false" outlineLevel="0" collapsed="false">
      <c r="A6160" s="0" t="n">
        <v>6156</v>
      </c>
      <c r="B6160" s="0" t="n">
        <v>9</v>
      </c>
      <c r="C6160" s="19" t="n">
        <v>0.9592</v>
      </c>
      <c r="D6160" s="19" t="n">
        <v>1</v>
      </c>
      <c r="E6160" s="20" t="n">
        <f aca="false">Parametres!$B$5*C6160</f>
        <v>287.76</v>
      </c>
      <c r="F6160" s="20" t="n">
        <f aca="false">Parametres!$B$6*D6160</f>
        <v>200</v>
      </c>
      <c r="G6160" s="20" t="n">
        <f aca="false">E6160+F6160</f>
        <v>487.76</v>
      </c>
      <c r="H6160" s="20" t="n">
        <f aca="false">IF(G6160&lt;Parametres!$B$8*Parametres!$B$7,0,MIN(G6160,Parametres!$B$7))</f>
        <v>250</v>
      </c>
      <c r="I6160" s="20" t="n">
        <f aca="false">G6160-H6160</f>
        <v>237.76</v>
      </c>
      <c r="J6160" s="21" t="n">
        <f aca="false">H6160*1000/Parametres!$B$9</f>
        <v>4239.44378497541</v>
      </c>
    </row>
    <row r="6161" customFormat="false" ht="15" hidden="false" customHeight="false" outlineLevel="0" collapsed="false">
      <c r="A6161" s="0" t="n">
        <v>6157</v>
      </c>
      <c r="B6161" s="0" t="n">
        <v>9</v>
      </c>
      <c r="C6161" s="19" t="n">
        <v>0.9536</v>
      </c>
      <c r="D6161" s="19" t="n">
        <v>1</v>
      </c>
      <c r="E6161" s="20" t="n">
        <f aca="false">Parametres!$B$5*C6161</f>
        <v>286.08</v>
      </c>
      <c r="F6161" s="20" t="n">
        <f aca="false">Parametres!$B$6*D6161</f>
        <v>200</v>
      </c>
      <c r="G6161" s="20" t="n">
        <f aca="false">E6161+F6161</f>
        <v>486.08</v>
      </c>
      <c r="H6161" s="20" t="n">
        <f aca="false">IF(G6161&lt;Parametres!$B$8*Parametres!$B$7,0,MIN(G6161,Parametres!$B$7))</f>
        <v>250</v>
      </c>
      <c r="I6161" s="20" t="n">
        <f aca="false">G6161-H6161</f>
        <v>236.08</v>
      </c>
      <c r="J6161" s="21" t="n">
        <f aca="false">H6161*1000/Parametres!$B$9</f>
        <v>4239.44378497541</v>
      </c>
    </row>
    <row r="6162" customFormat="false" ht="15" hidden="false" customHeight="false" outlineLevel="0" collapsed="false">
      <c r="A6162" s="0" t="n">
        <v>6158</v>
      </c>
      <c r="B6162" s="0" t="n">
        <v>9</v>
      </c>
      <c r="C6162" s="19" t="n">
        <v>0.894</v>
      </c>
      <c r="D6162" s="19" t="n">
        <v>0.9906</v>
      </c>
      <c r="E6162" s="20" t="n">
        <f aca="false">Parametres!$B$5*C6162</f>
        <v>268.2</v>
      </c>
      <c r="F6162" s="20" t="n">
        <f aca="false">Parametres!$B$6*D6162</f>
        <v>198.12</v>
      </c>
      <c r="G6162" s="20" t="n">
        <f aca="false">E6162+F6162</f>
        <v>466.32</v>
      </c>
      <c r="H6162" s="20" t="n">
        <f aca="false">IF(G6162&lt;Parametres!$B$8*Parametres!$B$7,0,MIN(G6162,Parametres!$B$7))</f>
        <v>250</v>
      </c>
      <c r="I6162" s="20" t="n">
        <f aca="false">G6162-H6162</f>
        <v>216.32</v>
      </c>
      <c r="J6162" s="21" t="n">
        <f aca="false">H6162*1000/Parametres!$B$9</f>
        <v>4239.44378497541</v>
      </c>
    </row>
    <row r="6163" customFormat="false" ht="15" hidden="false" customHeight="false" outlineLevel="0" collapsed="false">
      <c r="A6163" s="0" t="n">
        <v>6159</v>
      </c>
      <c r="B6163" s="0" t="n">
        <v>9</v>
      </c>
      <c r="C6163" s="19" t="n">
        <v>0.6838</v>
      </c>
      <c r="D6163" s="19" t="n">
        <v>1</v>
      </c>
      <c r="E6163" s="20" t="n">
        <f aca="false">Parametres!$B$5*C6163</f>
        <v>205.14</v>
      </c>
      <c r="F6163" s="20" t="n">
        <f aca="false">Parametres!$B$6*D6163</f>
        <v>200</v>
      </c>
      <c r="G6163" s="20" t="n">
        <f aca="false">E6163+F6163</f>
        <v>405.14</v>
      </c>
      <c r="H6163" s="20" t="n">
        <f aca="false">IF(G6163&lt;Parametres!$B$8*Parametres!$B$7,0,MIN(G6163,Parametres!$B$7))</f>
        <v>250</v>
      </c>
      <c r="I6163" s="20" t="n">
        <f aca="false">G6163-H6163</f>
        <v>155.14</v>
      </c>
      <c r="J6163" s="21" t="n">
        <f aca="false">H6163*1000/Parametres!$B$9</f>
        <v>4239.44378497541</v>
      </c>
    </row>
    <row r="6164" customFormat="false" ht="15" hidden="false" customHeight="false" outlineLevel="0" collapsed="false">
      <c r="A6164" s="0" t="n">
        <v>6160</v>
      </c>
      <c r="B6164" s="0" t="n">
        <v>9</v>
      </c>
      <c r="C6164" s="19" t="n">
        <v>0.6246</v>
      </c>
      <c r="D6164" s="19" t="n">
        <v>1</v>
      </c>
      <c r="E6164" s="20" t="n">
        <f aca="false">Parametres!$B$5*C6164</f>
        <v>187.38</v>
      </c>
      <c r="F6164" s="20" t="n">
        <f aca="false">Parametres!$B$6*D6164</f>
        <v>200</v>
      </c>
      <c r="G6164" s="20" t="n">
        <f aca="false">E6164+F6164</f>
        <v>387.38</v>
      </c>
      <c r="H6164" s="20" t="n">
        <f aca="false">IF(G6164&lt;Parametres!$B$8*Parametres!$B$7,0,MIN(G6164,Parametres!$B$7))</f>
        <v>250</v>
      </c>
      <c r="I6164" s="20" t="n">
        <f aca="false">G6164-H6164</f>
        <v>137.38</v>
      </c>
      <c r="J6164" s="21" t="n">
        <f aca="false">H6164*1000/Parametres!$B$9</f>
        <v>4239.44378497541</v>
      </c>
    </row>
    <row r="6165" customFormat="false" ht="15" hidden="false" customHeight="false" outlineLevel="0" collapsed="false">
      <c r="A6165" s="0" t="n">
        <v>6161</v>
      </c>
      <c r="B6165" s="0" t="n">
        <v>9</v>
      </c>
      <c r="C6165" s="19" t="n">
        <v>0.339</v>
      </c>
      <c r="D6165" s="19" t="n">
        <v>1</v>
      </c>
      <c r="E6165" s="20" t="n">
        <f aca="false">Parametres!$B$5*C6165</f>
        <v>101.7</v>
      </c>
      <c r="F6165" s="20" t="n">
        <f aca="false">Parametres!$B$6*D6165</f>
        <v>200</v>
      </c>
      <c r="G6165" s="20" t="n">
        <f aca="false">E6165+F6165</f>
        <v>301.7</v>
      </c>
      <c r="H6165" s="20" t="n">
        <f aca="false">IF(G6165&lt;Parametres!$B$8*Parametres!$B$7,0,MIN(G6165,Parametres!$B$7))</f>
        <v>250</v>
      </c>
      <c r="I6165" s="20" t="n">
        <f aca="false">G6165-H6165</f>
        <v>51.7</v>
      </c>
      <c r="J6165" s="21" t="n">
        <f aca="false">H6165*1000/Parametres!$B$9</f>
        <v>4239.44378497541</v>
      </c>
    </row>
    <row r="6166" customFormat="false" ht="15" hidden="false" customHeight="false" outlineLevel="0" collapsed="false">
      <c r="A6166" s="0" t="n">
        <v>6162</v>
      </c>
      <c r="B6166" s="0" t="n">
        <v>9</v>
      </c>
      <c r="C6166" s="19" t="n">
        <v>0.1141</v>
      </c>
      <c r="D6166" s="19" t="n">
        <v>1</v>
      </c>
      <c r="E6166" s="20" t="n">
        <f aca="false">Parametres!$B$5*C6166</f>
        <v>34.23</v>
      </c>
      <c r="F6166" s="20" t="n">
        <f aca="false">Parametres!$B$6*D6166</f>
        <v>200</v>
      </c>
      <c r="G6166" s="20" t="n">
        <f aca="false">E6166+F6166</f>
        <v>234.23</v>
      </c>
      <c r="H6166" s="20" t="n">
        <f aca="false">IF(G6166&lt;Parametres!$B$8*Parametres!$B$7,0,MIN(G6166,Parametres!$B$7))</f>
        <v>234.23</v>
      </c>
      <c r="I6166" s="20" t="n">
        <f aca="false">G6166-H6166</f>
        <v>0</v>
      </c>
      <c r="J6166" s="21" t="n">
        <f aca="false">H6166*1000/Parametres!$B$9</f>
        <v>3972.01967101916</v>
      </c>
    </row>
    <row r="6167" customFormat="false" ht="15" hidden="false" customHeight="false" outlineLevel="0" collapsed="false">
      <c r="A6167" s="0" t="n">
        <v>6163</v>
      </c>
      <c r="B6167" s="0" t="n">
        <v>9</v>
      </c>
      <c r="C6167" s="19" t="n">
        <v>0</v>
      </c>
      <c r="D6167" s="19" t="n">
        <v>0.8777</v>
      </c>
      <c r="E6167" s="20" t="n">
        <f aca="false">Parametres!$B$5*C6167</f>
        <v>0</v>
      </c>
      <c r="F6167" s="20" t="n">
        <f aca="false">Parametres!$B$6*D6167</f>
        <v>175.54</v>
      </c>
      <c r="G6167" s="20" t="n">
        <f aca="false">E6167+F6167</f>
        <v>175.54</v>
      </c>
      <c r="H6167" s="20" t="n">
        <f aca="false">IF(G6167&lt;Parametres!$B$8*Parametres!$B$7,0,MIN(G6167,Parametres!$B$7))</f>
        <v>175.54</v>
      </c>
      <c r="I6167" s="20" t="n">
        <f aca="false">G6167-H6167</f>
        <v>0</v>
      </c>
      <c r="J6167" s="21" t="n">
        <f aca="false">H6167*1000/Parametres!$B$9</f>
        <v>2976.76784805834</v>
      </c>
    </row>
    <row r="6168" customFormat="false" ht="15" hidden="false" customHeight="false" outlineLevel="0" collapsed="false">
      <c r="A6168" s="0" t="n">
        <v>6164</v>
      </c>
      <c r="B6168" s="0" t="n">
        <v>9</v>
      </c>
      <c r="C6168" s="19" t="n">
        <v>0</v>
      </c>
      <c r="D6168" s="19" t="n">
        <v>0.9194</v>
      </c>
      <c r="E6168" s="20" t="n">
        <f aca="false">Parametres!$B$5*C6168</f>
        <v>0</v>
      </c>
      <c r="F6168" s="20" t="n">
        <f aca="false">Parametres!$B$6*D6168</f>
        <v>183.88</v>
      </c>
      <c r="G6168" s="20" t="n">
        <f aca="false">E6168+F6168</f>
        <v>183.88</v>
      </c>
      <c r="H6168" s="20" t="n">
        <f aca="false">IF(G6168&lt;Parametres!$B$8*Parametres!$B$7,0,MIN(G6168,Parametres!$B$7))</f>
        <v>183.88</v>
      </c>
      <c r="I6168" s="20" t="n">
        <f aca="false">G6168-H6168</f>
        <v>0</v>
      </c>
      <c r="J6168" s="21" t="n">
        <f aca="false">H6168*1000/Parametres!$B$9</f>
        <v>3118.19569272511</v>
      </c>
    </row>
    <row r="6169" customFormat="false" ht="15" hidden="false" customHeight="false" outlineLevel="0" collapsed="false">
      <c r="A6169" s="0" t="n">
        <v>6165</v>
      </c>
      <c r="B6169" s="0" t="n">
        <v>9</v>
      </c>
      <c r="C6169" s="19" t="n">
        <v>0</v>
      </c>
      <c r="D6169" s="19" t="n">
        <v>1</v>
      </c>
      <c r="E6169" s="20" t="n">
        <f aca="false">Parametres!$B$5*C6169</f>
        <v>0</v>
      </c>
      <c r="F6169" s="20" t="n">
        <f aca="false">Parametres!$B$6*D6169</f>
        <v>200</v>
      </c>
      <c r="G6169" s="20" t="n">
        <f aca="false">E6169+F6169</f>
        <v>200</v>
      </c>
      <c r="H6169" s="20" t="n">
        <f aca="false">IF(G6169&lt;Parametres!$B$8*Parametres!$B$7,0,MIN(G6169,Parametres!$B$7))</f>
        <v>200</v>
      </c>
      <c r="I6169" s="20" t="n">
        <f aca="false">G6169-H6169</f>
        <v>0</v>
      </c>
      <c r="J6169" s="21" t="n">
        <f aca="false">H6169*1000/Parametres!$B$9</f>
        <v>3391.55502798033</v>
      </c>
    </row>
    <row r="6170" customFormat="false" ht="15" hidden="false" customHeight="false" outlineLevel="0" collapsed="false">
      <c r="A6170" s="0" t="n">
        <v>6166</v>
      </c>
      <c r="B6170" s="0" t="n">
        <v>9</v>
      </c>
      <c r="C6170" s="19" t="n">
        <v>0</v>
      </c>
      <c r="D6170" s="19" t="n">
        <v>0.6356</v>
      </c>
      <c r="E6170" s="20" t="n">
        <f aca="false">Parametres!$B$5*C6170</f>
        <v>0</v>
      </c>
      <c r="F6170" s="20" t="n">
        <f aca="false">Parametres!$B$6*D6170</f>
        <v>127.12</v>
      </c>
      <c r="G6170" s="20" t="n">
        <f aca="false">E6170+F6170</f>
        <v>127.12</v>
      </c>
      <c r="H6170" s="20" t="n">
        <f aca="false">IF(G6170&lt;Parametres!$B$8*Parametres!$B$7,0,MIN(G6170,Parametres!$B$7))</f>
        <v>127.12</v>
      </c>
      <c r="I6170" s="20" t="n">
        <f aca="false">G6170-H6170</f>
        <v>0</v>
      </c>
      <c r="J6170" s="21" t="n">
        <f aca="false">H6170*1000/Parametres!$B$9</f>
        <v>2155.6723757843</v>
      </c>
    </row>
    <row r="6171" customFormat="false" ht="15" hidden="false" customHeight="false" outlineLevel="0" collapsed="false">
      <c r="A6171" s="0" t="n">
        <v>6167</v>
      </c>
      <c r="B6171" s="0" t="n">
        <v>9</v>
      </c>
      <c r="C6171" s="19" t="n">
        <v>0</v>
      </c>
      <c r="D6171" s="19" t="n">
        <v>0.6977</v>
      </c>
      <c r="E6171" s="20" t="n">
        <f aca="false">Parametres!$B$5*C6171</f>
        <v>0</v>
      </c>
      <c r="F6171" s="20" t="n">
        <f aca="false">Parametres!$B$6*D6171</f>
        <v>139.54</v>
      </c>
      <c r="G6171" s="20" t="n">
        <f aca="false">E6171+F6171</f>
        <v>139.54</v>
      </c>
      <c r="H6171" s="20" t="n">
        <f aca="false">IF(G6171&lt;Parametres!$B$8*Parametres!$B$7,0,MIN(G6171,Parametres!$B$7))</f>
        <v>139.54</v>
      </c>
      <c r="I6171" s="20" t="n">
        <f aca="false">G6171-H6171</f>
        <v>0</v>
      </c>
      <c r="J6171" s="21" t="n">
        <f aca="false">H6171*1000/Parametres!$B$9</f>
        <v>2366.28794302188</v>
      </c>
    </row>
    <row r="6172" customFormat="false" ht="15" hidden="false" customHeight="false" outlineLevel="0" collapsed="false">
      <c r="A6172" s="0" t="n">
        <v>6168</v>
      </c>
      <c r="B6172" s="0" t="n">
        <v>9</v>
      </c>
      <c r="C6172" s="19" t="n">
        <v>0</v>
      </c>
      <c r="D6172" s="19" t="n">
        <v>0.423</v>
      </c>
      <c r="E6172" s="20" t="n">
        <f aca="false">Parametres!$B$5*C6172</f>
        <v>0</v>
      </c>
      <c r="F6172" s="20" t="n">
        <f aca="false">Parametres!$B$6*D6172</f>
        <v>84.6</v>
      </c>
      <c r="G6172" s="20" t="n">
        <f aca="false">E6172+F6172</f>
        <v>84.6</v>
      </c>
      <c r="H6172" s="20" t="n">
        <f aca="false">IF(G6172&lt;Parametres!$B$8*Parametres!$B$7,0,MIN(G6172,Parametres!$B$7))</f>
        <v>84.6</v>
      </c>
      <c r="I6172" s="20" t="n">
        <f aca="false">G6172-H6172</f>
        <v>0</v>
      </c>
      <c r="J6172" s="21" t="n">
        <f aca="false">H6172*1000/Parametres!$B$9</f>
        <v>1434.62777683568</v>
      </c>
    </row>
    <row r="6173" customFormat="false" ht="15" hidden="false" customHeight="false" outlineLevel="0" collapsed="false">
      <c r="A6173" s="0" t="n">
        <v>6169</v>
      </c>
      <c r="B6173" s="0" t="n">
        <v>9</v>
      </c>
      <c r="C6173" s="19" t="n">
        <v>0</v>
      </c>
      <c r="D6173" s="19" t="n">
        <v>0.6225</v>
      </c>
      <c r="E6173" s="20" t="n">
        <f aca="false">Parametres!$B$5*C6173</f>
        <v>0</v>
      </c>
      <c r="F6173" s="20" t="n">
        <f aca="false">Parametres!$B$6*D6173</f>
        <v>124.5</v>
      </c>
      <c r="G6173" s="20" t="n">
        <f aca="false">E6173+F6173</f>
        <v>124.5</v>
      </c>
      <c r="H6173" s="20" t="n">
        <f aca="false">IF(G6173&lt;Parametres!$B$8*Parametres!$B$7,0,MIN(G6173,Parametres!$B$7))</f>
        <v>124.5</v>
      </c>
      <c r="I6173" s="20" t="n">
        <f aca="false">G6173-H6173</f>
        <v>0</v>
      </c>
      <c r="J6173" s="21" t="n">
        <f aca="false">H6173*1000/Parametres!$B$9</f>
        <v>2111.24300491776</v>
      </c>
    </row>
    <row r="6174" customFormat="false" ht="15" hidden="false" customHeight="false" outlineLevel="0" collapsed="false">
      <c r="A6174" s="0" t="n">
        <v>6170</v>
      </c>
      <c r="B6174" s="0" t="n">
        <v>9</v>
      </c>
      <c r="C6174" s="19" t="n">
        <v>0</v>
      </c>
      <c r="D6174" s="19" t="n">
        <v>0.2543</v>
      </c>
      <c r="E6174" s="20" t="n">
        <f aca="false">Parametres!$B$5*C6174</f>
        <v>0</v>
      </c>
      <c r="F6174" s="20" t="n">
        <f aca="false">Parametres!$B$6*D6174</f>
        <v>50.86</v>
      </c>
      <c r="G6174" s="20" t="n">
        <f aca="false">E6174+F6174</f>
        <v>50.86</v>
      </c>
      <c r="H6174" s="20" t="n">
        <f aca="false">IF(G6174&lt;Parametres!$B$8*Parametres!$B$7,0,MIN(G6174,Parametres!$B$7))</f>
        <v>50.86</v>
      </c>
      <c r="I6174" s="20" t="n">
        <f aca="false">G6174-H6174</f>
        <v>0</v>
      </c>
      <c r="J6174" s="21" t="n">
        <f aca="false">H6174*1000/Parametres!$B$9</f>
        <v>862.472443615398</v>
      </c>
    </row>
    <row r="6175" customFormat="false" ht="15" hidden="false" customHeight="false" outlineLevel="0" collapsed="false">
      <c r="A6175" s="0" t="n">
        <v>6171</v>
      </c>
      <c r="B6175" s="0" t="n">
        <v>9</v>
      </c>
      <c r="C6175" s="19" t="n">
        <v>0</v>
      </c>
      <c r="D6175" s="19" t="n">
        <v>0.2104</v>
      </c>
      <c r="E6175" s="20" t="n">
        <f aca="false">Parametres!$B$5*C6175</f>
        <v>0</v>
      </c>
      <c r="F6175" s="20" t="n">
        <f aca="false">Parametres!$B$6*D6175</f>
        <v>42.08</v>
      </c>
      <c r="G6175" s="20" t="n">
        <f aca="false">E6175+F6175</f>
        <v>42.08</v>
      </c>
      <c r="H6175" s="20" t="n">
        <f aca="false">IF(G6175&lt;Parametres!$B$8*Parametres!$B$7,0,MIN(G6175,Parametres!$B$7))</f>
        <v>42.08</v>
      </c>
      <c r="I6175" s="20" t="n">
        <f aca="false">G6175-H6175</f>
        <v>0</v>
      </c>
      <c r="J6175" s="21" t="n">
        <f aca="false">H6175*1000/Parametres!$B$9</f>
        <v>713.583177887061</v>
      </c>
    </row>
    <row r="6176" customFormat="false" ht="15" hidden="false" customHeight="false" outlineLevel="0" collapsed="false">
      <c r="A6176" s="0" t="n">
        <v>6172</v>
      </c>
      <c r="B6176" s="0" t="n">
        <v>9</v>
      </c>
      <c r="C6176" s="19" t="n">
        <v>0</v>
      </c>
      <c r="D6176" s="19" t="n">
        <v>0.2909</v>
      </c>
      <c r="E6176" s="20" t="n">
        <f aca="false">Parametres!$B$5*C6176</f>
        <v>0</v>
      </c>
      <c r="F6176" s="20" t="n">
        <f aca="false">Parametres!$B$6*D6176</f>
        <v>58.18</v>
      </c>
      <c r="G6176" s="20" t="n">
        <f aca="false">E6176+F6176</f>
        <v>58.18</v>
      </c>
      <c r="H6176" s="20" t="n">
        <f aca="false">IF(G6176&lt;Parametres!$B$8*Parametres!$B$7,0,MIN(G6176,Parametres!$B$7))</f>
        <v>58.18</v>
      </c>
      <c r="I6176" s="20" t="n">
        <f aca="false">G6176-H6176</f>
        <v>0</v>
      </c>
      <c r="J6176" s="21" t="n">
        <f aca="false">H6176*1000/Parametres!$B$9</f>
        <v>986.603357639478</v>
      </c>
    </row>
    <row r="6177" customFormat="false" ht="15" hidden="false" customHeight="false" outlineLevel="0" collapsed="false">
      <c r="A6177" s="0" t="n">
        <v>6173</v>
      </c>
      <c r="B6177" s="0" t="n">
        <v>9</v>
      </c>
      <c r="C6177" s="19" t="n">
        <v>0</v>
      </c>
      <c r="D6177" s="19" t="n">
        <v>0.176</v>
      </c>
      <c r="E6177" s="20" t="n">
        <f aca="false">Parametres!$B$5*C6177</f>
        <v>0</v>
      </c>
      <c r="F6177" s="20" t="n">
        <f aca="false">Parametres!$B$6*D6177</f>
        <v>35.2</v>
      </c>
      <c r="G6177" s="20" t="n">
        <f aca="false">E6177+F6177</f>
        <v>35.2</v>
      </c>
      <c r="H6177" s="20" t="n">
        <f aca="false">IF(G6177&lt;Parametres!$B$8*Parametres!$B$7,0,MIN(G6177,Parametres!$B$7))</f>
        <v>35.2</v>
      </c>
      <c r="I6177" s="20" t="n">
        <f aca="false">G6177-H6177</f>
        <v>0</v>
      </c>
      <c r="J6177" s="21" t="n">
        <f aca="false">H6177*1000/Parametres!$B$9</f>
        <v>596.913684924538</v>
      </c>
    </row>
    <row r="6178" customFormat="false" ht="15" hidden="false" customHeight="false" outlineLevel="0" collapsed="false">
      <c r="A6178" s="0" t="n">
        <v>6174</v>
      </c>
      <c r="B6178" s="0" t="n">
        <v>9</v>
      </c>
      <c r="C6178" s="19" t="n">
        <v>0</v>
      </c>
      <c r="D6178" s="19" t="n">
        <v>0.1331</v>
      </c>
      <c r="E6178" s="20" t="n">
        <f aca="false">Parametres!$B$5*C6178</f>
        <v>0</v>
      </c>
      <c r="F6178" s="20" t="n">
        <f aca="false">Parametres!$B$6*D6178</f>
        <v>26.62</v>
      </c>
      <c r="G6178" s="20" t="n">
        <f aca="false">E6178+F6178</f>
        <v>26.62</v>
      </c>
      <c r="H6178" s="20" t="n">
        <f aca="false">IF(G6178&lt;Parametres!$B$8*Parametres!$B$7,0,MIN(G6178,Parametres!$B$7))</f>
        <v>26.62</v>
      </c>
      <c r="I6178" s="20" t="n">
        <f aca="false">G6178-H6178</f>
        <v>0</v>
      </c>
      <c r="J6178" s="21" t="n">
        <f aca="false">H6178*1000/Parametres!$B$9</f>
        <v>451.415974224182</v>
      </c>
    </row>
    <row r="6179" customFormat="false" ht="15" hidden="false" customHeight="false" outlineLevel="0" collapsed="false">
      <c r="A6179" s="0" t="n">
        <v>6175</v>
      </c>
      <c r="B6179" s="0" t="n">
        <v>9</v>
      </c>
      <c r="C6179" s="19" t="n">
        <v>0.1221</v>
      </c>
      <c r="D6179" s="19" t="n">
        <v>0.148</v>
      </c>
      <c r="E6179" s="20" t="n">
        <f aca="false">Parametres!$B$5*C6179</f>
        <v>36.63</v>
      </c>
      <c r="F6179" s="20" t="n">
        <f aca="false">Parametres!$B$6*D6179</f>
        <v>29.6</v>
      </c>
      <c r="G6179" s="20" t="n">
        <f aca="false">E6179+F6179</f>
        <v>66.23</v>
      </c>
      <c r="H6179" s="20" t="n">
        <f aca="false">IF(G6179&lt;Parametres!$B$8*Parametres!$B$7,0,MIN(G6179,Parametres!$B$7))</f>
        <v>66.23</v>
      </c>
      <c r="I6179" s="20" t="n">
        <f aca="false">G6179-H6179</f>
        <v>0</v>
      </c>
      <c r="J6179" s="21" t="n">
        <f aca="false">H6179*1000/Parametres!$B$9</f>
        <v>1123.11344751569</v>
      </c>
    </row>
    <row r="6180" customFormat="false" ht="15" hidden="false" customHeight="false" outlineLevel="0" collapsed="false">
      <c r="A6180" s="0" t="n">
        <v>6176</v>
      </c>
      <c r="B6180" s="0" t="n">
        <v>9</v>
      </c>
      <c r="C6180" s="19" t="n">
        <v>0.3696</v>
      </c>
      <c r="D6180" s="19" t="n">
        <v>0.157</v>
      </c>
      <c r="E6180" s="20" t="n">
        <f aca="false">Parametres!$B$5*C6180</f>
        <v>110.88</v>
      </c>
      <c r="F6180" s="20" t="n">
        <f aca="false">Parametres!$B$6*D6180</f>
        <v>31.4</v>
      </c>
      <c r="G6180" s="20" t="n">
        <f aca="false">E6180+F6180</f>
        <v>142.28</v>
      </c>
      <c r="H6180" s="20" t="n">
        <f aca="false">IF(G6180&lt;Parametres!$B$8*Parametres!$B$7,0,MIN(G6180,Parametres!$B$7))</f>
        <v>142.28</v>
      </c>
      <c r="I6180" s="20" t="n">
        <f aca="false">G6180-H6180</f>
        <v>0</v>
      </c>
      <c r="J6180" s="21" t="n">
        <f aca="false">H6180*1000/Parametres!$B$9</f>
        <v>2412.75224690521</v>
      </c>
    </row>
    <row r="6181" customFormat="false" ht="15" hidden="false" customHeight="false" outlineLevel="0" collapsed="false">
      <c r="A6181" s="0" t="n">
        <v>6177</v>
      </c>
      <c r="B6181" s="0" t="n">
        <v>9</v>
      </c>
      <c r="C6181" s="19" t="n">
        <v>0.6306</v>
      </c>
      <c r="D6181" s="19" t="n">
        <v>0.1276</v>
      </c>
      <c r="E6181" s="20" t="n">
        <f aca="false">Parametres!$B$5*C6181</f>
        <v>189.18</v>
      </c>
      <c r="F6181" s="20" t="n">
        <f aca="false">Parametres!$B$6*D6181</f>
        <v>25.52</v>
      </c>
      <c r="G6181" s="20" t="n">
        <f aca="false">E6181+F6181</f>
        <v>214.7</v>
      </c>
      <c r="H6181" s="20" t="n">
        <f aca="false">IF(G6181&lt;Parametres!$B$8*Parametres!$B$7,0,MIN(G6181,Parametres!$B$7))</f>
        <v>214.7</v>
      </c>
      <c r="I6181" s="20" t="n">
        <f aca="false">G6181-H6181</f>
        <v>0</v>
      </c>
      <c r="J6181" s="21" t="n">
        <f aca="false">H6181*1000/Parametres!$B$9</f>
        <v>3640.83432253688</v>
      </c>
    </row>
    <row r="6182" customFormat="false" ht="15" hidden="false" customHeight="false" outlineLevel="0" collapsed="false">
      <c r="A6182" s="0" t="n">
        <v>6178</v>
      </c>
      <c r="B6182" s="0" t="n">
        <v>9</v>
      </c>
      <c r="C6182" s="19" t="n">
        <v>0.8906</v>
      </c>
      <c r="D6182" s="19" t="n">
        <v>0.1045</v>
      </c>
      <c r="E6182" s="20" t="n">
        <f aca="false">Parametres!$B$5*C6182</f>
        <v>267.18</v>
      </c>
      <c r="F6182" s="20" t="n">
        <f aca="false">Parametres!$B$6*D6182</f>
        <v>20.9</v>
      </c>
      <c r="G6182" s="20" t="n">
        <f aca="false">E6182+F6182</f>
        <v>288.08</v>
      </c>
      <c r="H6182" s="20" t="n">
        <f aca="false">IF(G6182&lt;Parametres!$B$8*Parametres!$B$7,0,MIN(G6182,Parametres!$B$7))</f>
        <v>250</v>
      </c>
      <c r="I6182" s="20" t="n">
        <f aca="false">G6182-H6182</f>
        <v>38.08</v>
      </c>
      <c r="J6182" s="21" t="n">
        <f aca="false">H6182*1000/Parametres!$B$9</f>
        <v>4239.44378497541</v>
      </c>
    </row>
    <row r="6183" customFormat="false" ht="15" hidden="false" customHeight="false" outlineLevel="0" collapsed="false">
      <c r="A6183" s="0" t="n">
        <v>6179</v>
      </c>
      <c r="B6183" s="0" t="n">
        <v>9</v>
      </c>
      <c r="C6183" s="19" t="n">
        <v>1</v>
      </c>
      <c r="D6183" s="19" t="n">
        <v>0.1016</v>
      </c>
      <c r="E6183" s="20" t="n">
        <f aca="false">Parametres!$B$5*C6183</f>
        <v>300</v>
      </c>
      <c r="F6183" s="20" t="n">
        <f aca="false">Parametres!$B$6*D6183</f>
        <v>20.32</v>
      </c>
      <c r="G6183" s="20" t="n">
        <f aca="false">E6183+F6183</f>
        <v>320.32</v>
      </c>
      <c r="H6183" s="20" t="n">
        <f aca="false">IF(G6183&lt;Parametres!$B$8*Parametres!$B$7,0,MIN(G6183,Parametres!$B$7))</f>
        <v>250</v>
      </c>
      <c r="I6183" s="20" t="n">
        <f aca="false">G6183-H6183</f>
        <v>70.32</v>
      </c>
      <c r="J6183" s="21" t="n">
        <f aca="false">H6183*1000/Parametres!$B$9</f>
        <v>4239.44378497541</v>
      </c>
    </row>
    <row r="6184" customFormat="false" ht="15" hidden="false" customHeight="false" outlineLevel="0" collapsed="false">
      <c r="A6184" s="0" t="n">
        <v>6180</v>
      </c>
      <c r="B6184" s="0" t="n">
        <v>9</v>
      </c>
      <c r="C6184" s="19" t="n">
        <v>1</v>
      </c>
      <c r="D6184" s="19" t="n">
        <v>0.102</v>
      </c>
      <c r="E6184" s="20" t="n">
        <f aca="false">Parametres!$B$5*C6184</f>
        <v>300</v>
      </c>
      <c r="F6184" s="20" t="n">
        <f aca="false">Parametres!$B$6*D6184</f>
        <v>20.4</v>
      </c>
      <c r="G6184" s="20" t="n">
        <f aca="false">E6184+F6184</f>
        <v>320.4</v>
      </c>
      <c r="H6184" s="20" t="n">
        <f aca="false">IF(G6184&lt;Parametres!$B$8*Parametres!$B$7,0,MIN(G6184,Parametres!$B$7))</f>
        <v>250</v>
      </c>
      <c r="I6184" s="20" t="n">
        <f aca="false">G6184-H6184</f>
        <v>70.4</v>
      </c>
      <c r="J6184" s="21" t="n">
        <f aca="false">H6184*1000/Parametres!$B$9</f>
        <v>4239.44378497541</v>
      </c>
    </row>
    <row r="6185" customFormat="false" ht="15" hidden="false" customHeight="false" outlineLevel="0" collapsed="false">
      <c r="A6185" s="0" t="n">
        <v>6181</v>
      </c>
      <c r="B6185" s="0" t="n">
        <v>9</v>
      </c>
      <c r="C6185" s="19" t="n">
        <v>1</v>
      </c>
      <c r="D6185" s="19" t="n">
        <v>0.0919</v>
      </c>
      <c r="E6185" s="20" t="n">
        <f aca="false">Parametres!$B$5*C6185</f>
        <v>300</v>
      </c>
      <c r="F6185" s="20" t="n">
        <f aca="false">Parametres!$B$6*D6185</f>
        <v>18.38</v>
      </c>
      <c r="G6185" s="20" t="n">
        <f aca="false">E6185+F6185</f>
        <v>318.38</v>
      </c>
      <c r="H6185" s="20" t="n">
        <f aca="false">IF(G6185&lt;Parametres!$B$8*Parametres!$B$7,0,MIN(G6185,Parametres!$B$7))</f>
        <v>250</v>
      </c>
      <c r="I6185" s="20" t="n">
        <f aca="false">G6185-H6185</f>
        <v>68.38</v>
      </c>
      <c r="J6185" s="21" t="n">
        <f aca="false">H6185*1000/Parametres!$B$9</f>
        <v>4239.44378497541</v>
      </c>
    </row>
    <row r="6186" customFormat="false" ht="15" hidden="false" customHeight="false" outlineLevel="0" collapsed="false">
      <c r="A6186" s="0" t="n">
        <v>6182</v>
      </c>
      <c r="B6186" s="0" t="n">
        <v>9</v>
      </c>
      <c r="C6186" s="19" t="n">
        <v>1</v>
      </c>
      <c r="D6186" s="19" t="n">
        <v>0.17</v>
      </c>
      <c r="E6186" s="20" t="n">
        <f aca="false">Parametres!$B$5*C6186</f>
        <v>300</v>
      </c>
      <c r="F6186" s="20" t="n">
        <f aca="false">Parametres!$B$6*D6186</f>
        <v>34</v>
      </c>
      <c r="G6186" s="20" t="n">
        <f aca="false">E6186+F6186</f>
        <v>334</v>
      </c>
      <c r="H6186" s="20" t="n">
        <f aca="false">IF(G6186&lt;Parametres!$B$8*Parametres!$B$7,0,MIN(G6186,Parametres!$B$7))</f>
        <v>250</v>
      </c>
      <c r="I6186" s="20" t="n">
        <f aca="false">G6186-H6186</f>
        <v>84</v>
      </c>
      <c r="J6186" s="21" t="n">
        <f aca="false">H6186*1000/Parametres!$B$9</f>
        <v>4239.44378497541</v>
      </c>
    </row>
    <row r="6187" customFormat="false" ht="15" hidden="false" customHeight="false" outlineLevel="0" collapsed="false">
      <c r="A6187" s="0" t="n">
        <v>6183</v>
      </c>
      <c r="B6187" s="0" t="n">
        <v>9</v>
      </c>
      <c r="C6187" s="19" t="n">
        <v>0.9496</v>
      </c>
      <c r="D6187" s="19" t="n">
        <v>0.2056</v>
      </c>
      <c r="E6187" s="20" t="n">
        <f aca="false">Parametres!$B$5*C6187</f>
        <v>284.88</v>
      </c>
      <c r="F6187" s="20" t="n">
        <f aca="false">Parametres!$B$6*D6187</f>
        <v>41.12</v>
      </c>
      <c r="G6187" s="20" t="n">
        <f aca="false">E6187+F6187</f>
        <v>326</v>
      </c>
      <c r="H6187" s="20" t="n">
        <f aca="false">IF(G6187&lt;Parametres!$B$8*Parametres!$B$7,0,MIN(G6187,Parametres!$B$7))</f>
        <v>250</v>
      </c>
      <c r="I6187" s="20" t="n">
        <f aca="false">G6187-H6187</f>
        <v>76</v>
      </c>
      <c r="J6187" s="21" t="n">
        <f aca="false">H6187*1000/Parametres!$B$9</f>
        <v>4239.44378497541</v>
      </c>
    </row>
    <row r="6188" customFormat="false" ht="15" hidden="false" customHeight="false" outlineLevel="0" collapsed="false">
      <c r="A6188" s="0" t="n">
        <v>6184</v>
      </c>
      <c r="B6188" s="0" t="n">
        <v>9</v>
      </c>
      <c r="C6188" s="19" t="n">
        <v>0.6801</v>
      </c>
      <c r="D6188" s="19" t="n">
        <v>0.2715</v>
      </c>
      <c r="E6188" s="20" t="n">
        <f aca="false">Parametres!$B$5*C6188</f>
        <v>204.03</v>
      </c>
      <c r="F6188" s="20" t="n">
        <f aca="false">Parametres!$B$6*D6188</f>
        <v>54.3</v>
      </c>
      <c r="G6188" s="20" t="n">
        <f aca="false">E6188+F6188</f>
        <v>258.33</v>
      </c>
      <c r="H6188" s="20" t="n">
        <f aca="false">IF(G6188&lt;Parametres!$B$8*Parametres!$B$7,0,MIN(G6188,Parametres!$B$7))</f>
        <v>250</v>
      </c>
      <c r="I6188" s="20" t="n">
        <f aca="false">G6188-H6188</f>
        <v>8.32999999999998</v>
      </c>
      <c r="J6188" s="21" t="n">
        <f aca="false">H6188*1000/Parametres!$B$9</f>
        <v>4239.44378497541</v>
      </c>
    </row>
    <row r="6189" customFormat="false" ht="15" hidden="false" customHeight="false" outlineLevel="0" collapsed="false">
      <c r="A6189" s="0" t="n">
        <v>6185</v>
      </c>
      <c r="B6189" s="0" t="n">
        <v>9</v>
      </c>
      <c r="C6189" s="19" t="n">
        <v>0.4024</v>
      </c>
      <c r="D6189" s="19" t="n">
        <v>0.3548</v>
      </c>
      <c r="E6189" s="20" t="n">
        <f aca="false">Parametres!$B$5*C6189</f>
        <v>120.72</v>
      </c>
      <c r="F6189" s="20" t="n">
        <f aca="false">Parametres!$B$6*D6189</f>
        <v>70.96</v>
      </c>
      <c r="G6189" s="20" t="n">
        <f aca="false">E6189+F6189</f>
        <v>191.68</v>
      </c>
      <c r="H6189" s="20" t="n">
        <f aca="false">IF(G6189&lt;Parametres!$B$8*Parametres!$B$7,0,MIN(G6189,Parametres!$B$7))</f>
        <v>191.68</v>
      </c>
      <c r="I6189" s="20" t="n">
        <f aca="false">G6189-H6189</f>
        <v>0</v>
      </c>
      <c r="J6189" s="21" t="n">
        <f aca="false">H6189*1000/Parametres!$B$9</f>
        <v>3250.46633881635</v>
      </c>
    </row>
    <row r="6190" customFormat="false" ht="15" hidden="false" customHeight="false" outlineLevel="0" collapsed="false">
      <c r="A6190" s="0" t="n">
        <v>6186</v>
      </c>
      <c r="B6190" s="0" t="n">
        <v>9</v>
      </c>
      <c r="C6190" s="19" t="n">
        <v>0.1317</v>
      </c>
      <c r="D6190" s="19" t="n">
        <v>0.1957</v>
      </c>
      <c r="E6190" s="20" t="n">
        <f aca="false">Parametres!$B$5*C6190</f>
        <v>39.51</v>
      </c>
      <c r="F6190" s="20" t="n">
        <f aca="false">Parametres!$B$6*D6190</f>
        <v>39.14</v>
      </c>
      <c r="G6190" s="20" t="n">
        <f aca="false">E6190+F6190</f>
        <v>78.65</v>
      </c>
      <c r="H6190" s="20" t="n">
        <f aca="false">IF(G6190&lt;Parametres!$B$8*Parametres!$B$7,0,MIN(G6190,Parametres!$B$7))</f>
        <v>78.65</v>
      </c>
      <c r="I6190" s="20" t="n">
        <f aca="false">G6190-H6190</f>
        <v>0</v>
      </c>
      <c r="J6190" s="21" t="n">
        <f aca="false">H6190*1000/Parametres!$B$9</f>
        <v>1333.72901475326</v>
      </c>
    </row>
    <row r="6191" customFormat="false" ht="15" hidden="false" customHeight="false" outlineLevel="0" collapsed="false">
      <c r="A6191" s="0" t="n">
        <v>6187</v>
      </c>
      <c r="B6191" s="0" t="n">
        <v>9</v>
      </c>
      <c r="C6191" s="19" t="n">
        <v>0</v>
      </c>
      <c r="D6191" s="19" t="n">
        <v>0.1051</v>
      </c>
      <c r="E6191" s="20" t="n">
        <f aca="false">Parametres!$B$5*C6191</f>
        <v>0</v>
      </c>
      <c r="F6191" s="20" t="n">
        <f aca="false">Parametres!$B$6*D6191</f>
        <v>21.02</v>
      </c>
      <c r="G6191" s="20" t="n">
        <f aca="false">E6191+F6191</f>
        <v>21.02</v>
      </c>
      <c r="H6191" s="20" t="n">
        <f aca="false">IF(G6191&lt;Parametres!$B$8*Parametres!$B$7,0,MIN(G6191,Parametres!$B$7))</f>
        <v>0</v>
      </c>
      <c r="I6191" s="20" t="n">
        <f aca="false">G6191-H6191</f>
        <v>21.02</v>
      </c>
      <c r="J6191" s="21" t="n">
        <f aca="false">H6191*1000/Parametres!$B$9</f>
        <v>0</v>
      </c>
    </row>
    <row r="6192" customFormat="false" ht="15" hidden="false" customHeight="false" outlineLevel="0" collapsed="false">
      <c r="A6192" s="0" t="n">
        <v>6188</v>
      </c>
      <c r="B6192" s="0" t="n">
        <v>9</v>
      </c>
      <c r="C6192" s="19" t="n">
        <v>0</v>
      </c>
      <c r="D6192" s="19" t="n">
        <v>0.2608</v>
      </c>
      <c r="E6192" s="20" t="n">
        <f aca="false">Parametres!$B$5*C6192</f>
        <v>0</v>
      </c>
      <c r="F6192" s="20" t="n">
        <f aca="false">Parametres!$B$6*D6192</f>
        <v>52.16</v>
      </c>
      <c r="G6192" s="20" t="n">
        <f aca="false">E6192+F6192</f>
        <v>52.16</v>
      </c>
      <c r="H6192" s="20" t="n">
        <f aca="false">IF(G6192&lt;Parametres!$B$8*Parametres!$B$7,0,MIN(G6192,Parametres!$B$7))</f>
        <v>52.16</v>
      </c>
      <c r="I6192" s="20" t="n">
        <f aca="false">G6192-H6192</f>
        <v>0</v>
      </c>
      <c r="J6192" s="21" t="n">
        <f aca="false">H6192*1000/Parametres!$B$9</f>
        <v>884.51755129727</v>
      </c>
    </row>
    <row r="6193" customFormat="false" ht="15" hidden="false" customHeight="false" outlineLevel="0" collapsed="false">
      <c r="A6193" s="0" t="n">
        <v>6189</v>
      </c>
      <c r="B6193" s="0" t="n">
        <v>9</v>
      </c>
      <c r="C6193" s="19" t="n">
        <v>0</v>
      </c>
      <c r="D6193" s="19" t="n">
        <v>0.0802</v>
      </c>
      <c r="E6193" s="20" t="n">
        <f aca="false">Parametres!$B$5*C6193</f>
        <v>0</v>
      </c>
      <c r="F6193" s="20" t="n">
        <f aca="false">Parametres!$B$6*D6193</f>
        <v>16.04</v>
      </c>
      <c r="G6193" s="20" t="n">
        <f aca="false">E6193+F6193</f>
        <v>16.04</v>
      </c>
      <c r="H6193" s="20" t="n">
        <f aca="false">IF(G6193&lt;Parametres!$B$8*Parametres!$B$7,0,MIN(G6193,Parametres!$B$7))</f>
        <v>0</v>
      </c>
      <c r="I6193" s="20" t="n">
        <f aca="false">G6193-H6193</f>
        <v>16.04</v>
      </c>
      <c r="J6193" s="21" t="n">
        <f aca="false">H6193*1000/Parametres!$B$9</f>
        <v>0</v>
      </c>
    </row>
    <row r="6194" customFormat="false" ht="15" hidden="false" customHeight="false" outlineLevel="0" collapsed="false">
      <c r="A6194" s="0" t="n">
        <v>6190</v>
      </c>
      <c r="B6194" s="0" t="n">
        <v>9</v>
      </c>
      <c r="C6194" s="19" t="n">
        <v>0</v>
      </c>
      <c r="D6194" s="19" t="n">
        <v>0.0451</v>
      </c>
      <c r="E6194" s="20" t="n">
        <f aca="false">Parametres!$B$5*C6194</f>
        <v>0</v>
      </c>
      <c r="F6194" s="20" t="n">
        <f aca="false">Parametres!$B$6*D6194</f>
        <v>9.02</v>
      </c>
      <c r="G6194" s="20" t="n">
        <f aca="false">E6194+F6194</f>
        <v>9.02</v>
      </c>
      <c r="H6194" s="20" t="n">
        <f aca="false">IF(G6194&lt;Parametres!$B$8*Parametres!$B$7,0,MIN(G6194,Parametres!$B$7))</f>
        <v>0</v>
      </c>
      <c r="I6194" s="20" t="n">
        <f aca="false">G6194-H6194</f>
        <v>9.02</v>
      </c>
      <c r="J6194" s="21" t="n">
        <f aca="false">H6194*1000/Parametres!$B$9</f>
        <v>0</v>
      </c>
    </row>
    <row r="6195" customFormat="false" ht="15" hidden="false" customHeight="false" outlineLevel="0" collapsed="false">
      <c r="A6195" s="0" t="n">
        <v>6191</v>
      </c>
      <c r="B6195" s="0" t="n">
        <v>9</v>
      </c>
      <c r="C6195" s="19" t="n">
        <v>0</v>
      </c>
      <c r="D6195" s="19" t="n">
        <v>0.0588</v>
      </c>
      <c r="E6195" s="20" t="n">
        <f aca="false">Parametres!$B$5*C6195</f>
        <v>0</v>
      </c>
      <c r="F6195" s="20" t="n">
        <f aca="false">Parametres!$B$6*D6195</f>
        <v>11.76</v>
      </c>
      <c r="G6195" s="20" t="n">
        <f aca="false">E6195+F6195</f>
        <v>11.76</v>
      </c>
      <c r="H6195" s="20" t="n">
        <f aca="false">IF(G6195&lt;Parametres!$B$8*Parametres!$B$7,0,MIN(G6195,Parametres!$B$7))</f>
        <v>0</v>
      </c>
      <c r="I6195" s="20" t="n">
        <f aca="false">G6195-H6195</f>
        <v>11.76</v>
      </c>
      <c r="J6195" s="21" t="n">
        <f aca="false">H6195*1000/Parametres!$B$9</f>
        <v>0</v>
      </c>
    </row>
    <row r="6196" customFormat="false" ht="15" hidden="false" customHeight="false" outlineLevel="0" collapsed="false">
      <c r="A6196" s="0" t="n">
        <v>6192</v>
      </c>
      <c r="B6196" s="0" t="n">
        <v>9</v>
      </c>
      <c r="C6196" s="19" t="n">
        <v>0</v>
      </c>
      <c r="D6196" s="19" t="n">
        <v>0.0441</v>
      </c>
      <c r="E6196" s="20" t="n">
        <f aca="false">Parametres!$B$5*C6196</f>
        <v>0</v>
      </c>
      <c r="F6196" s="20" t="n">
        <f aca="false">Parametres!$B$6*D6196</f>
        <v>8.82</v>
      </c>
      <c r="G6196" s="20" t="n">
        <f aca="false">E6196+F6196</f>
        <v>8.82</v>
      </c>
      <c r="H6196" s="20" t="n">
        <f aca="false">IF(G6196&lt;Parametres!$B$8*Parametres!$B$7,0,MIN(G6196,Parametres!$B$7))</f>
        <v>0</v>
      </c>
      <c r="I6196" s="20" t="n">
        <f aca="false">G6196-H6196</f>
        <v>8.82</v>
      </c>
      <c r="J6196" s="21" t="n">
        <f aca="false">H6196*1000/Parametres!$B$9</f>
        <v>0</v>
      </c>
    </row>
    <row r="6197" customFormat="false" ht="15" hidden="false" customHeight="false" outlineLevel="0" collapsed="false">
      <c r="A6197" s="0" t="n">
        <v>6193</v>
      </c>
      <c r="B6197" s="0" t="n">
        <v>9</v>
      </c>
      <c r="C6197" s="19" t="n">
        <v>0</v>
      </c>
      <c r="D6197" s="19" t="n">
        <v>0.0299</v>
      </c>
      <c r="E6197" s="20" t="n">
        <f aca="false">Parametres!$B$5*C6197</f>
        <v>0</v>
      </c>
      <c r="F6197" s="20" t="n">
        <f aca="false">Parametres!$B$6*D6197</f>
        <v>5.98</v>
      </c>
      <c r="G6197" s="20" t="n">
        <f aca="false">E6197+F6197</f>
        <v>5.98</v>
      </c>
      <c r="H6197" s="20" t="n">
        <f aca="false">IF(G6197&lt;Parametres!$B$8*Parametres!$B$7,0,MIN(G6197,Parametres!$B$7))</f>
        <v>0</v>
      </c>
      <c r="I6197" s="20" t="n">
        <f aca="false">G6197-H6197</f>
        <v>5.98</v>
      </c>
      <c r="J6197" s="21" t="n">
        <f aca="false">H6197*1000/Parametres!$B$9</f>
        <v>0</v>
      </c>
    </row>
    <row r="6198" customFormat="false" ht="15" hidden="false" customHeight="false" outlineLevel="0" collapsed="false">
      <c r="A6198" s="0" t="n">
        <v>6194</v>
      </c>
      <c r="B6198" s="0" t="n">
        <v>9</v>
      </c>
      <c r="C6198" s="19" t="n">
        <v>0</v>
      </c>
      <c r="D6198" s="19" t="n">
        <v>0.0745</v>
      </c>
      <c r="E6198" s="20" t="n">
        <f aca="false">Parametres!$B$5*C6198</f>
        <v>0</v>
      </c>
      <c r="F6198" s="20" t="n">
        <f aca="false">Parametres!$B$6*D6198</f>
        <v>14.9</v>
      </c>
      <c r="G6198" s="20" t="n">
        <f aca="false">E6198+F6198</f>
        <v>14.9</v>
      </c>
      <c r="H6198" s="20" t="n">
        <f aca="false">IF(G6198&lt;Parametres!$B$8*Parametres!$B$7,0,MIN(G6198,Parametres!$B$7))</f>
        <v>0</v>
      </c>
      <c r="I6198" s="20" t="n">
        <f aca="false">G6198-H6198</f>
        <v>14.9</v>
      </c>
      <c r="J6198" s="21" t="n">
        <f aca="false">H6198*1000/Parametres!$B$9</f>
        <v>0</v>
      </c>
    </row>
    <row r="6199" customFormat="false" ht="15" hidden="false" customHeight="false" outlineLevel="0" collapsed="false">
      <c r="A6199" s="0" t="n">
        <v>6195</v>
      </c>
      <c r="B6199" s="0" t="n">
        <v>9</v>
      </c>
      <c r="C6199" s="19" t="n">
        <v>0</v>
      </c>
      <c r="D6199" s="19" t="n">
        <v>0.0343</v>
      </c>
      <c r="E6199" s="20" t="n">
        <f aca="false">Parametres!$B$5*C6199</f>
        <v>0</v>
      </c>
      <c r="F6199" s="20" t="n">
        <f aca="false">Parametres!$B$6*D6199</f>
        <v>6.86</v>
      </c>
      <c r="G6199" s="20" t="n">
        <f aca="false">E6199+F6199</f>
        <v>6.86</v>
      </c>
      <c r="H6199" s="20" t="n">
        <f aca="false">IF(G6199&lt;Parametres!$B$8*Parametres!$B$7,0,MIN(G6199,Parametres!$B$7))</f>
        <v>0</v>
      </c>
      <c r="I6199" s="20" t="n">
        <f aca="false">G6199-H6199</f>
        <v>6.86</v>
      </c>
      <c r="J6199" s="21" t="n">
        <f aca="false">H6199*1000/Parametres!$B$9</f>
        <v>0</v>
      </c>
    </row>
    <row r="6200" customFormat="false" ht="15" hidden="false" customHeight="false" outlineLevel="0" collapsed="false">
      <c r="A6200" s="0" t="n">
        <v>6196</v>
      </c>
      <c r="B6200" s="0" t="n">
        <v>9</v>
      </c>
      <c r="C6200" s="19" t="n">
        <v>0</v>
      </c>
      <c r="D6200" s="19" t="n">
        <v>0.0643</v>
      </c>
      <c r="E6200" s="20" t="n">
        <f aca="false">Parametres!$B$5*C6200</f>
        <v>0</v>
      </c>
      <c r="F6200" s="20" t="n">
        <f aca="false">Parametres!$B$6*D6200</f>
        <v>12.86</v>
      </c>
      <c r="G6200" s="20" t="n">
        <f aca="false">E6200+F6200</f>
        <v>12.86</v>
      </c>
      <c r="H6200" s="20" t="n">
        <f aca="false">IF(G6200&lt;Parametres!$B$8*Parametres!$B$7,0,MIN(G6200,Parametres!$B$7))</f>
        <v>0</v>
      </c>
      <c r="I6200" s="20" t="n">
        <f aca="false">G6200-H6200</f>
        <v>12.86</v>
      </c>
      <c r="J6200" s="21" t="n">
        <f aca="false">H6200*1000/Parametres!$B$9</f>
        <v>0</v>
      </c>
    </row>
    <row r="6201" customFormat="false" ht="15" hidden="false" customHeight="false" outlineLevel="0" collapsed="false">
      <c r="A6201" s="0" t="n">
        <v>6197</v>
      </c>
      <c r="B6201" s="0" t="n">
        <v>9</v>
      </c>
      <c r="C6201" s="19" t="n">
        <v>0</v>
      </c>
      <c r="D6201" s="19" t="n">
        <v>0.0243</v>
      </c>
      <c r="E6201" s="20" t="n">
        <f aca="false">Parametres!$B$5*C6201</f>
        <v>0</v>
      </c>
      <c r="F6201" s="20" t="n">
        <f aca="false">Parametres!$B$6*D6201</f>
        <v>4.86</v>
      </c>
      <c r="G6201" s="20" t="n">
        <f aca="false">E6201+F6201</f>
        <v>4.86</v>
      </c>
      <c r="H6201" s="20" t="n">
        <f aca="false">IF(G6201&lt;Parametres!$B$8*Parametres!$B$7,0,MIN(G6201,Parametres!$B$7))</f>
        <v>0</v>
      </c>
      <c r="I6201" s="20" t="n">
        <f aca="false">G6201-H6201</f>
        <v>4.86</v>
      </c>
      <c r="J6201" s="21" t="n">
        <f aca="false">H6201*1000/Parametres!$B$9</f>
        <v>0</v>
      </c>
    </row>
    <row r="6202" customFormat="false" ht="15" hidden="false" customHeight="false" outlineLevel="0" collapsed="false">
      <c r="A6202" s="0" t="n">
        <v>6198</v>
      </c>
      <c r="B6202" s="0" t="n">
        <v>9</v>
      </c>
      <c r="C6202" s="19" t="n">
        <v>0</v>
      </c>
      <c r="D6202" s="19" t="n">
        <v>0.0062</v>
      </c>
      <c r="E6202" s="20" t="n">
        <f aca="false">Parametres!$B$5*C6202</f>
        <v>0</v>
      </c>
      <c r="F6202" s="20" t="n">
        <f aca="false">Parametres!$B$6*D6202</f>
        <v>1.24</v>
      </c>
      <c r="G6202" s="20" t="n">
        <f aca="false">E6202+F6202</f>
        <v>1.24</v>
      </c>
      <c r="H6202" s="20" t="n">
        <f aca="false">IF(G6202&lt;Parametres!$B$8*Parametres!$B$7,0,MIN(G6202,Parametres!$B$7))</f>
        <v>0</v>
      </c>
      <c r="I6202" s="20" t="n">
        <f aca="false">G6202-H6202</f>
        <v>1.24</v>
      </c>
      <c r="J6202" s="21" t="n">
        <f aca="false">H6202*1000/Parametres!$B$9</f>
        <v>0</v>
      </c>
    </row>
    <row r="6203" customFormat="false" ht="15" hidden="false" customHeight="false" outlineLevel="0" collapsed="false">
      <c r="A6203" s="0" t="n">
        <v>6199</v>
      </c>
      <c r="B6203" s="0" t="n">
        <v>9</v>
      </c>
      <c r="C6203" s="19" t="n">
        <v>0.1346</v>
      </c>
      <c r="D6203" s="19" t="n">
        <v>0.0052</v>
      </c>
      <c r="E6203" s="20" t="n">
        <f aca="false">Parametres!$B$5*C6203</f>
        <v>40.38</v>
      </c>
      <c r="F6203" s="20" t="n">
        <f aca="false">Parametres!$B$6*D6203</f>
        <v>1.04</v>
      </c>
      <c r="G6203" s="20" t="n">
        <f aca="false">E6203+F6203</f>
        <v>41.42</v>
      </c>
      <c r="H6203" s="20" t="n">
        <f aca="false">IF(G6203&lt;Parametres!$B$8*Parametres!$B$7,0,MIN(G6203,Parametres!$B$7))</f>
        <v>41.42</v>
      </c>
      <c r="I6203" s="20" t="n">
        <f aca="false">G6203-H6203</f>
        <v>0</v>
      </c>
      <c r="J6203" s="21" t="n">
        <f aca="false">H6203*1000/Parametres!$B$9</f>
        <v>702.391046294726</v>
      </c>
    </row>
    <row r="6204" customFormat="false" ht="15" hidden="false" customHeight="false" outlineLevel="0" collapsed="false">
      <c r="A6204" s="0" t="n">
        <v>6200</v>
      </c>
      <c r="B6204" s="0" t="n">
        <v>9</v>
      </c>
      <c r="C6204" s="19" t="n">
        <v>0.3932</v>
      </c>
      <c r="D6204" s="19" t="n">
        <v>0.0086</v>
      </c>
      <c r="E6204" s="20" t="n">
        <f aca="false">Parametres!$B$5*C6204</f>
        <v>117.96</v>
      </c>
      <c r="F6204" s="20" t="n">
        <f aca="false">Parametres!$B$6*D6204</f>
        <v>1.72</v>
      </c>
      <c r="G6204" s="20" t="n">
        <f aca="false">E6204+F6204</f>
        <v>119.68</v>
      </c>
      <c r="H6204" s="20" t="n">
        <f aca="false">IF(G6204&lt;Parametres!$B$8*Parametres!$B$7,0,MIN(G6204,Parametres!$B$7))</f>
        <v>119.68</v>
      </c>
      <c r="I6204" s="20" t="n">
        <f aca="false">G6204-H6204</f>
        <v>0</v>
      </c>
      <c r="J6204" s="21" t="n">
        <f aca="false">H6204*1000/Parametres!$B$9</f>
        <v>2029.50652874343</v>
      </c>
    </row>
    <row r="6205" customFormat="false" ht="15" hidden="false" customHeight="false" outlineLevel="0" collapsed="false">
      <c r="A6205" s="0" t="n">
        <v>6201</v>
      </c>
      <c r="B6205" s="0" t="n">
        <v>9</v>
      </c>
      <c r="C6205" s="19" t="n">
        <v>0.639</v>
      </c>
      <c r="D6205" s="19" t="n">
        <v>0.0627</v>
      </c>
      <c r="E6205" s="20" t="n">
        <f aca="false">Parametres!$B$5*C6205</f>
        <v>191.7</v>
      </c>
      <c r="F6205" s="20" t="n">
        <f aca="false">Parametres!$B$6*D6205</f>
        <v>12.54</v>
      </c>
      <c r="G6205" s="20" t="n">
        <f aca="false">E6205+F6205</f>
        <v>204.24</v>
      </c>
      <c r="H6205" s="20" t="n">
        <f aca="false">IF(G6205&lt;Parametres!$B$8*Parametres!$B$7,0,MIN(G6205,Parametres!$B$7))</f>
        <v>204.24</v>
      </c>
      <c r="I6205" s="20" t="n">
        <f aca="false">G6205-H6205</f>
        <v>0</v>
      </c>
      <c r="J6205" s="21" t="n">
        <f aca="false">H6205*1000/Parametres!$B$9</f>
        <v>3463.45599457351</v>
      </c>
    </row>
    <row r="6206" customFormat="false" ht="15" hidden="false" customHeight="false" outlineLevel="0" collapsed="false">
      <c r="A6206" s="0" t="n">
        <v>6202</v>
      </c>
      <c r="B6206" s="0" t="n">
        <v>9</v>
      </c>
      <c r="C6206" s="19" t="n">
        <v>0.9</v>
      </c>
      <c r="D6206" s="19" t="n">
        <v>0.0935</v>
      </c>
      <c r="E6206" s="20" t="n">
        <f aca="false">Parametres!$B$5*C6206</f>
        <v>270</v>
      </c>
      <c r="F6206" s="20" t="n">
        <f aca="false">Parametres!$B$6*D6206</f>
        <v>18.7</v>
      </c>
      <c r="G6206" s="20" t="n">
        <f aca="false">E6206+F6206</f>
        <v>288.7</v>
      </c>
      <c r="H6206" s="20" t="n">
        <f aca="false">IF(G6206&lt;Parametres!$B$8*Parametres!$B$7,0,MIN(G6206,Parametres!$B$7))</f>
        <v>250</v>
      </c>
      <c r="I6206" s="20" t="n">
        <f aca="false">G6206-H6206</f>
        <v>38.7</v>
      </c>
      <c r="J6206" s="21" t="n">
        <f aca="false">H6206*1000/Parametres!$B$9</f>
        <v>4239.44378497541</v>
      </c>
    </row>
    <row r="6207" customFormat="false" ht="15" hidden="false" customHeight="false" outlineLevel="0" collapsed="false">
      <c r="A6207" s="0" t="n">
        <v>6203</v>
      </c>
      <c r="B6207" s="0" t="n">
        <v>9</v>
      </c>
      <c r="C6207" s="19" t="n">
        <v>1</v>
      </c>
      <c r="D6207" s="19" t="n">
        <v>0.1261</v>
      </c>
      <c r="E6207" s="20" t="n">
        <f aca="false">Parametres!$B$5*C6207</f>
        <v>300</v>
      </c>
      <c r="F6207" s="20" t="n">
        <f aca="false">Parametres!$B$6*D6207</f>
        <v>25.22</v>
      </c>
      <c r="G6207" s="20" t="n">
        <f aca="false">E6207+F6207</f>
        <v>325.22</v>
      </c>
      <c r="H6207" s="20" t="n">
        <f aca="false">IF(G6207&lt;Parametres!$B$8*Parametres!$B$7,0,MIN(G6207,Parametres!$B$7))</f>
        <v>250</v>
      </c>
      <c r="I6207" s="20" t="n">
        <f aca="false">G6207-H6207</f>
        <v>75.22</v>
      </c>
      <c r="J6207" s="21" t="n">
        <f aca="false">H6207*1000/Parametres!$B$9</f>
        <v>4239.44378497541</v>
      </c>
    </row>
    <row r="6208" customFormat="false" ht="15" hidden="false" customHeight="false" outlineLevel="0" collapsed="false">
      <c r="A6208" s="0" t="n">
        <v>6204</v>
      </c>
      <c r="B6208" s="0" t="n">
        <v>9</v>
      </c>
      <c r="C6208" s="19" t="n">
        <v>1</v>
      </c>
      <c r="D6208" s="19" t="n">
        <v>0.2095</v>
      </c>
      <c r="E6208" s="20" t="n">
        <f aca="false">Parametres!$B$5*C6208</f>
        <v>300</v>
      </c>
      <c r="F6208" s="20" t="n">
        <f aca="false">Parametres!$B$6*D6208</f>
        <v>41.9</v>
      </c>
      <c r="G6208" s="20" t="n">
        <f aca="false">E6208+F6208</f>
        <v>341.9</v>
      </c>
      <c r="H6208" s="20" t="n">
        <f aca="false">IF(G6208&lt;Parametres!$B$8*Parametres!$B$7,0,MIN(G6208,Parametres!$B$7))</f>
        <v>250</v>
      </c>
      <c r="I6208" s="20" t="n">
        <f aca="false">G6208-H6208</f>
        <v>91.9</v>
      </c>
      <c r="J6208" s="21" t="n">
        <f aca="false">H6208*1000/Parametres!$B$9</f>
        <v>4239.44378497541</v>
      </c>
    </row>
    <row r="6209" customFormat="false" ht="15" hidden="false" customHeight="false" outlineLevel="0" collapsed="false">
      <c r="A6209" s="0" t="n">
        <v>6205</v>
      </c>
      <c r="B6209" s="0" t="n">
        <v>9</v>
      </c>
      <c r="C6209" s="19" t="n">
        <v>1</v>
      </c>
      <c r="D6209" s="19" t="n">
        <v>0.2399</v>
      </c>
      <c r="E6209" s="20" t="n">
        <f aca="false">Parametres!$B$5*C6209</f>
        <v>300</v>
      </c>
      <c r="F6209" s="20" t="n">
        <f aca="false">Parametres!$B$6*D6209</f>
        <v>47.98</v>
      </c>
      <c r="G6209" s="20" t="n">
        <f aca="false">E6209+F6209</f>
        <v>347.98</v>
      </c>
      <c r="H6209" s="20" t="n">
        <f aca="false">IF(G6209&lt;Parametres!$B$8*Parametres!$B$7,0,MIN(G6209,Parametres!$B$7))</f>
        <v>250</v>
      </c>
      <c r="I6209" s="20" t="n">
        <f aca="false">G6209-H6209</f>
        <v>97.98</v>
      </c>
      <c r="J6209" s="21" t="n">
        <f aca="false">H6209*1000/Parametres!$B$9</f>
        <v>4239.44378497541</v>
      </c>
    </row>
    <row r="6210" customFormat="false" ht="15" hidden="false" customHeight="false" outlineLevel="0" collapsed="false">
      <c r="A6210" s="0" t="n">
        <v>6206</v>
      </c>
      <c r="B6210" s="0" t="n">
        <v>9</v>
      </c>
      <c r="C6210" s="19" t="n">
        <v>1</v>
      </c>
      <c r="D6210" s="19" t="n">
        <v>0.1975</v>
      </c>
      <c r="E6210" s="20" t="n">
        <f aca="false">Parametres!$B$5*C6210</f>
        <v>300</v>
      </c>
      <c r="F6210" s="20" t="n">
        <f aca="false">Parametres!$B$6*D6210</f>
        <v>39.5</v>
      </c>
      <c r="G6210" s="20" t="n">
        <f aca="false">E6210+F6210</f>
        <v>339.5</v>
      </c>
      <c r="H6210" s="20" t="n">
        <f aca="false">IF(G6210&lt;Parametres!$B$8*Parametres!$B$7,0,MIN(G6210,Parametres!$B$7))</f>
        <v>250</v>
      </c>
      <c r="I6210" s="20" t="n">
        <f aca="false">G6210-H6210</f>
        <v>89.5</v>
      </c>
      <c r="J6210" s="21" t="n">
        <f aca="false">H6210*1000/Parametres!$B$9</f>
        <v>4239.44378497541</v>
      </c>
    </row>
    <row r="6211" customFormat="false" ht="15" hidden="false" customHeight="false" outlineLevel="0" collapsed="false">
      <c r="A6211" s="0" t="n">
        <v>6207</v>
      </c>
      <c r="B6211" s="0" t="n">
        <v>9</v>
      </c>
      <c r="C6211" s="19" t="n">
        <v>0.8947</v>
      </c>
      <c r="D6211" s="19" t="n">
        <v>0.1693</v>
      </c>
      <c r="E6211" s="20" t="n">
        <f aca="false">Parametres!$B$5*C6211</f>
        <v>268.41</v>
      </c>
      <c r="F6211" s="20" t="n">
        <f aca="false">Parametres!$B$6*D6211</f>
        <v>33.86</v>
      </c>
      <c r="G6211" s="20" t="n">
        <f aca="false">E6211+F6211</f>
        <v>302.27</v>
      </c>
      <c r="H6211" s="20" t="n">
        <f aca="false">IF(G6211&lt;Parametres!$B$8*Parametres!$B$7,0,MIN(G6211,Parametres!$B$7))</f>
        <v>250</v>
      </c>
      <c r="I6211" s="20" t="n">
        <f aca="false">G6211-H6211</f>
        <v>52.27</v>
      </c>
      <c r="J6211" s="21" t="n">
        <f aca="false">H6211*1000/Parametres!$B$9</f>
        <v>4239.44378497541</v>
      </c>
    </row>
    <row r="6212" customFormat="false" ht="15" hidden="false" customHeight="false" outlineLevel="0" collapsed="false">
      <c r="A6212" s="0" t="n">
        <v>6208</v>
      </c>
      <c r="B6212" s="0" t="n">
        <v>9</v>
      </c>
      <c r="C6212" s="19" t="n">
        <v>0.6665</v>
      </c>
      <c r="D6212" s="19" t="n">
        <v>0.2411</v>
      </c>
      <c r="E6212" s="20" t="n">
        <f aca="false">Parametres!$B$5*C6212</f>
        <v>199.95</v>
      </c>
      <c r="F6212" s="20" t="n">
        <f aca="false">Parametres!$B$6*D6212</f>
        <v>48.22</v>
      </c>
      <c r="G6212" s="20" t="n">
        <f aca="false">E6212+F6212</f>
        <v>248.17</v>
      </c>
      <c r="H6212" s="20" t="n">
        <f aca="false">IF(G6212&lt;Parametres!$B$8*Parametres!$B$7,0,MIN(G6212,Parametres!$B$7))</f>
        <v>248.17</v>
      </c>
      <c r="I6212" s="20" t="n">
        <f aca="false">G6212-H6212</f>
        <v>0</v>
      </c>
      <c r="J6212" s="21" t="n">
        <f aca="false">H6212*1000/Parametres!$B$9</f>
        <v>4208.41105646939</v>
      </c>
    </row>
    <row r="6213" customFormat="false" ht="15" hidden="false" customHeight="false" outlineLevel="0" collapsed="false">
      <c r="A6213" s="0" t="n">
        <v>6209</v>
      </c>
      <c r="B6213" s="0" t="n">
        <v>9</v>
      </c>
      <c r="C6213" s="19" t="n">
        <v>0.4041</v>
      </c>
      <c r="D6213" s="19" t="n">
        <v>0.2024</v>
      </c>
      <c r="E6213" s="20" t="n">
        <f aca="false">Parametres!$B$5*C6213</f>
        <v>121.23</v>
      </c>
      <c r="F6213" s="20" t="n">
        <f aca="false">Parametres!$B$6*D6213</f>
        <v>40.48</v>
      </c>
      <c r="G6213" s="20" t="n">
        <f aca="false">E6213+F6213</f>
        <v>161.71</v>
      </c>
      <c r="H6213" s="20" t="n">
        <f aca="false">IF(G6213&lt;Parametres!$B$8*Parametres!$B$7,0,MIN(G6213,Parametres!$B$7))</f>
        <v>161.71</v>
      </c>
      <c r="I6213" s="20" t="n">
        <f aca="false">G6213-H6213</f>
        <v>0</v>
      </c>
      <c r="J6213" s="21" t="n">
        <f aca="false">H6213*1000/Parametres!$B$9</f>
        <v>2742.2418178735</v>
      </c>
    </row>
    <row r="6214" customFormat="false" ht="15" hidden="false" customHeight="false" outlineLevel="0" collapsed="false">
      <c r="A6214" s="0" t="n">
        <v>6210</v>
      </c>
      <c r="B6214" s="0" t="n">
        <v>9</v>
      </c>
      <c r="C6214" s="19" t="n">
        <v>0.1324</v>
      </c>
      <c r="D6214" s="19" t="n">
        <v>0.0887</v>
      </c>
      <c r="E6214" s="20" t="n">
        <f aca="false">Parametres!$B$5*C6214</f>
        <v>39.72</v>
      </c>
      <c r="F6214" s="20" t="n">
        <f aca="false">Parametres!$B$6*D6214</f>
        <v>17.74</v>
      </c>
      <c r="G6214" s="20" t="n">
        <f aca="false">E6214+F6214</f>
        <v>57.46</v>
      </c>
      <c r="H6214" s="20" t="n">
        <f aca="false">IF(G6214&lt;Parametres!$B$8*Parametres!$B$7,0,MIN(G6214,Parametres!$B$7))</f>
        <v>57.46</v>
      </c>
      <c r="I6214" s="20" t="n">
        <f aca="false">G6214-H6214</f>
        <v>0</v>
      </c>
      <c r="J6214" s="21" t="n">
        <f aca="false">H6214*1000/Parametres!$B$9</f>
        <v>974.393759538749</v>
      </c>
    </row>
    <row r="6215" customFormat="false" ht="15" hidden="false" customHeight="false" outlineLevel="0" collapsed="false">
      <c r="A6215" s="0" t="n">
        <v>6211</v>
      </c>
      <c r="B6215" s="0" t="n">
        <v>9</v>
      </c>
      <c r="C6215" s="19" t="n">
        <v>0</v>
      </c>
      <c r="D6215" s="19" t="n">
        <v>0.0561</v>
      </c>
      <c r="E6215" s="20" t="n">
        <f aca="false">Parametres!$B$5*C6215</f>
        <v>0</v>
      </c>
      <c r="F6215" s="20" t="n">
        <f aca="false">Parametres!$B$6*D6215</f>
        <v>11.22</v>
      </c>
      <c r="G6215" s="20" t="n">
        <f aca="false">E6215+F6215</f>
        <v>11.22</v>
      </c>
      <c r="H6215" s="20" t="n">
        <f aca="false">IF(G6215&lt;Parametres!$B$8*Parametres!$B$7,0,MIN(G6215,Parametres!$B$7))</f>
        <v>0</v>
      </c>
      <c r="I6215" s="20" t="n">
        <f aca="false">G6215-H6215</f>
        <v>11.22</v>
      </c>
      <c r="J6215" s="21" t="n">
        <f aca="false">H6215*1000/Parametres!$B$9</f>
        <v>0</v>
      </c>
    </row>
    <row r="6216" customFormat="false" ht="15" hidden="false" customHeight="false" outlineLevel="0" collapsed="false">
      <c r="A6216" s="0" t="n">
        <v>6212</v>
      </c>
      <c r="B6216" s="0" t="n">
        <v>9</v>
      </c>
      <c r="C6216" s="19" t="n">
        <v>0</v>
      </c>
      <c r="D6216" s="19" t="n">
        <v>0.0134</v>
      </c>
      <c r="E6216" s="20" t="n">
        <f aca="false">Parametres!$B$5*C6216</f>
        <v>0</v>
      </c>
      <c r="F6216" s="20" t="n">
        <f aca="false">Parametres!$B$6*D6216</f>
        <v>2.68</v>
      </c>
      <c r="G6216" s="20" t="n">
        <f aca="false">E6216+F6216</f>
        <v>2.68</v>
      </c>
      <c r="H6216" s="20" t="n">
        <f aca="false">IF(G6216&lt;Parametres!$B$8*Parametres!$B$7,0,MIN(G6216,Parametres!$B$7))</f>
        <v>0</v>
      </c>
      <c r="I6216" s="20" t="n">
        <f aca="false">G6216-H6216</f>
        <v>2.68</v>
      </c>
      <c r="J6216" s="21" t="n">
        <f aca="false">H6216*1000/Parametres!$B$9</f>
        <v>0</v>
      </c>
    </row>
    <row r="6217" customFormat="false" ht="15" hidden="false" customHeight="false" outlineLevel="0" collapsed="false">
      <c r="A6217" s="0" t="n">
        <v>6213</v>
      </c>
      <c r="B6217" s="0" t="n">
        <v>9</v>
      </c>
      <c r="C6217" s="19" t="n">
        <v>0</v>
      </c>
      <c r="D6217" s="19" t="n">
        <v>0.0388</v>
      </c>
      <c r="E6217" s="20" t="n">
        <f aca="false">Parametres!$B$5*C6217</f>
        <v>0</v>
      </c>
      <c r="F6217" s="20" t="n">
        <f aca="false">Parametres!$B$6*D6217</f>
        <v>7.76</v>
      </c>
      <c r="G6217" s="20" t="n">
        <f aca="false">E6217+F6217</f>
        <v>7.76</v>
      </c>
      <c r="H6217" s="20" t="n">
        <f aca="false">IF(G6217&lt;Parametres!$B$8*Parametres!$B$7,0,MIN(G6217,Parametres!$B$7))</f>
        <v>0</v>
      </c>
      <c r="I6217" s="20" t="n">
        <f aca="false">G6217-H6217</f>
        <v>7.76</v>
      </c>
      <c r="J6217" s="21" t="n">
        <f aca="false">H6217*1000/Parametres!$B$9</f>
        <v>0</v>
      </c>
    </row>
    <row r="6218" customFormat="false" ht="15" hidden="false" customHeight="false" outlineLevel="0" collapsed="false">
      <c r="A6218" s="0" t="n">
        <v>6214</v>
      </c>
      <c r="B6218" s="0" t="n">
        <v>9</v>
      </c>
      <c r="C6218" s="19" t="n">
        <v>0</v>
      </c>
      <c r="D6218" s="19" t="n">
        <v>0.0075</v>
      </c>
      <c r="E6218" s="20" t="n">
        <f aca="false">Parametres!$B$5*C6218</f>
        <v>0</v>
      </c>
      <c r="F6218" s="20" t="n">
        <f aca="false">Parametres!$B$6*D6218</f>
        <v>1.5</v>
      </c>
      <c r="G6218" s="20" t="n">
        <f aca="false">E6218+F6218</f>
        <v>1.5</v>
      </c>
      <c r="H6218" s="20" t="n">
        <f aca="false">IF(G6218&lt;Parametres!$B$8*Parametres!$B$7,0,MIN(G6218,Parametres!$B$7))</f>
        <v>0</v>
      </c>
      <c r="I6218" s="20" t="n">
        <f aca="false">G6218-H6218</f>
        <v>1.5</v>
      </c>
      <c r="J6218" s="21" t="n">
        <f aca="false">H6218*1000/Parametres!$B$9</f>
        <v>0</v>
      </c>
    </row>
    <row r="6219" customFormat="false" ht="15" hidden="false" customHeight="false" outlineLevel="0" collapsed="false">
      <c r="A6219" s="0" t="n">
        <v>6215</v>
      </c>
      <c r="B6219" s="0" t="n">
        <v>9</v>
      </c>
      <c r="C6219" s="19" t="n">
        <v>0</v>
      </c>
      <c r="D6219" s="19" t="n">
        <v>0.0119</v>
      </c>
      <c r="E6219" s="20" t="n">
        <f aca="false">Parametres!$B$5*C6219</f>
        <v>0</v>
      </c>
      <c r="F6219" s="20" t="n">
        <f aca="false">Parametres!$B$6*D6219</f>
        <v>2.38</v>
      </c>
      <c r="G6219" s="20" t="n">
        <f aca="false">E6219+F6219</f>
        <v>2.38</v>
      </c>
      <c r="H6219" s="20" t="n">
        <f aca="false">IF(G6219&lt;Parametres!$B$8*Parametres!$B$7,0,MIN(G6219,Parametres!$B$7))</f>
        <v>0</v>
      </c>
      <c r="I6219" s="20" t="n">
        <f aca="false">G6219-H6219</f>
        <v>2.38</v>
      </c>
      <c r="J6219" s="21" t="n">
        <f aca="false">H6219*1000/Parametres!$B$9</f>
        <v>0</v>
      </c>
    </row>
    <row r="6220" customFormat="false" ht="15" hidden="false" customHeight="false" outlineLevel="0" collapsed="false">
      <c r="A6220" s="0" t="n">
        <v>6216</v>
      </c>
      <c r="B6220" s="0" t="n">
        <v>9</v>
      </c>
      <c r="C6220" s="19" t="n">
        <v>0</v>
      </c>
      <c r="D6220" s="19" t="n">
        <v>0.0076</v>
      </c>
      <c r="E6220" s="20" t="n">
        <f aca="false">Parametres!$B$5*C6220</f>
        <v>0</v>
      </c>
      <c r="F6220" s="20" t="n">
        <f aca="false">Parametres!$B$6*D6220</f>
        <v>1.52</v>
      </c>
      <c r="G6220" s="20" t="n">
        <f aca="false">E6220+F6220</f>
        <v>1.52</v>
      </c>
      <c r="H6220" s="20" t="n">
        <f aca="false">IF(G6220&lt;Parametres!$B$8*Parametres!$B$7,0,MIN(G6220,Parametres!$B$7))</f>
        <v>0</v>
      </c>
      <c r="I6220" s="20" t="n">
        <f aca="false">G6220-H6220</f>
        <v>1.52</v>
      </c>
      <c r="J6220" s="21" t="n">
        <f aca="false">H6220*1000/Parametres!$B$9</f>
        <v>0</v>
      </c>
    </row>
    <row r="6221" customFormat="false" ht="15" hidden="false" customHeight="false" outlineLevel="0" collapsed="false">
      <c r="A6221" s="0" t="n">
        <v>6217</v>
      </c>
      <c r="B6221" s="0" t="n">
        <v>9</v>
      </c>
      <c r="C6221" s="19" t="n">
        <v>0</v>
      </c>
      <c r="D6221" s="19" t="n">
        <v>0.0204</v>
      </c>
      <c r="E6221" s="20" t="n">
        <f aca="false">Parametres!$B$5*C6221</f>
        <v>0</v>
      </c>
      <c r="F6221" s="20" t="n">
        <f aca="false">Parametres!$B$6*D6221</f>
        <v>4.08</v>
      </c>
      <c r="G6221" s="20" t="n">
        <f aca="false">E6221+F6221</f>
        <v>4.08</v>
      </c>
      <c r="H6221" s="20" t="n">
        <f aca="false">IF(G6221&lt;Parametres!$B$8*Parametres!$B$7,0,MIN(G6221,Parametres!$B$7))</f>
        <v>0</v>
      </c>
      <c r="I6221" s="20" t="n">
        <f aca="false">G6221-H6221</f>
        <v>4.08</v>
      </c>
      <c r="J6221" s="21" t="n">
        <f aca="false">H6221*1000/Parametres!$B$9</f>
        <v>0</v>
      </c>
    </row>
    <row r="6222" customFormat="false" ht="15" hidden="false" customHeight="false" outlineLevel="0" collapsed="false">
      <c r="A6222" s="0" t="n">
        <v>6218</v>
      </c>
      <c r="B6222" s="0" t="n">
        <v>9</v>
      </c>
      <c r="C6222" s="19" t="n">
        <v>0</v>
      </c>
      <c r="D6222" s="19" t="n">
        <v>0.0609</v>
      </c>
      <c r="E6222" s="20" t="n">
        <f aca="false">Parametres!$B$5*C6222</f>
        <v>0</v>
      </c>
      <c r="F6222" s="20" t="n">
        <f aca="false">Parametres!$B$6*D6222</f>
        <v>12.18</v>
      </c>
      <c r="G6222" s="20" t="n">
        <f aca="false">E6222+F6222</f>
        <v>12.18</v>
      </c>
      <c r="H6222" s="20" t="n">
        <f aca="false">IF(G6222&lt;Parametres!$B$8*Parametres!$B$7,0,MIN(G6222,Parametres!$B$7))</f>
        <v>0</v>
      </c>
      <c r="I6222" s="20" t="n">
        <f aca="false">G6222-H6222</f>
        <v>12.18</v>
      </c>
      <c r="J6222" s="21" t="n">
        <f aca="false">H6222*1000/Parametres!$B$9</f>
        <v>0</v>
      </c>
    </row>
    <row r="6223" customFormat="false" ht="15" hidden="false" customHeight="false" outlineLevel="0" collapsed="false">
      <c r="A6223" s="0" t="n">
        <v>6219</v>
      </c>
      <c r="B6223" s="0" t="n">
        <v>9</v>
      </c>
      <c r="C6223" s="19" t="n">
        <v>0</v>
      </c>
      <c r="D6223" s="19" t="n">
        <v>0.0444</v>
      </c>
      <c r="E6223" s="20" t="n">
        <f aca="false">Parametres!$B$5*C6223</f>
        <v>0</v>
      </c>
      <c r="F6223" s="20" t="n">
        <f aca="false">Parametres!$B$6*D6223</f>
        <v>8.88</v>
      </c>
      <c r="G6223" s="20" t="n">
        <f aca="false">E6223+F6223</f>
        <v>8.88</v>
      </c>
      <c r="H6223" s="20" t="n">
        <f aca="false">IF(G6223&lt;Parametres!$B$8*Parametres!$B$7,0,MIN(G6223,Parametres!$B$7))</f>
        <v>0</v>
      </c>
      <c r="I6223" s="20" t="n">
        <f aca="false">G6223-H6223</f>
        <v>8.88</v>
      </c>
      <c r="J6223" s="21" t="n">
        <f aca="false">H6223*1000/Parametres!$B$9</f>
        <v>0</v>
      </c>
    </row>
    <row r="6224" customFormat="false" ht="15" hidden="false" customHeight="false" outlineLevel="0" collapsed="false">
      <c r="A6224" s="0" t="n">
        <v>6220</v>
      </c>
      <c r="B6224" s="0" t="n">
        <v>9</v>
      </c>
      <c r="C6224" s="19" t="n">
        <v>0</v>
      </c>
      <c r="D6224" s="19" t="n">
        <v>0.0622</v>
      </c>
      <c r="E6224" s="20" t="n">
        <f aca="false">Parametres!$B$5*C6224</f>
        <v>0</v>
      </c>
      <c r="F6224" s="20" t="n">
        <f aca="false">Parametres!$B$6*D6224</f>
        <v>12.44</v>
      </c>
      <c r="G6224" s="20" t="n">
        <f aca="false">E6224+F6224</f>
        <v>12.44</v>
      </c>
      <c r="H6224" s="20" t="n">
        <f aca="false">IF(G6224&lt;Parametres!$B$8*Parametres!$B$7,0,MIN(G6224,Parametres!$B$7))</f>
        <v>0</v>
      </c>
      <c r="I6224" s="20" t="n">
        <f aca="false">G6224-H6224</f>
        <v>12.44</v>
      </c>
      <c r="J6224" s="21" t="n">
        <f aca="false">H6224*1000/Parametres!$B$9</f>
        <v>0</v>
      </c>
    </row>
    <row r="6225" customFormat="false" ht="15" hidden="false" customHeight="false" outlineLevel="0" collapsed="false">
      <c r="A6225" s="0" t="n">
        <v>6221</v>
      </c>
      <c r="B6225" s="0" t="n">
        <v>9</v>
      </c>
      <c r="C6225" s="19" t="n">
        <v>0</v>
      </c>
      <c r="D6225" s="19" t="n">
        <v>0.0696</v>
      </c>
      <c r="E6225" s="20" t="n">
        <f aca="false">Parametres!$B$5*C6225</f>
        <v>0</v>
      </c>
      <c r="F6225" s="20" t="n">
        <f aca="false">Parametres!$B$6*D6225</f>
        <v>13.92</v>
      </c>
      <c r="G6225" s="20" t="n">
        <f aca="false">E6225+F6225</f>
        <v>13.92</v>
      </c>
      <c r="H6225" s="20" t="n">
        <f aca="false">IF(G6225&lt;Parametres!$B$8*Parametres!$B$7,0,MIN(G6225,Parametres!$B$7))</f>
        <v>0</v>
      </c>
      <c r="I6225" s="20" t="n">
        <f aca="false">G6225-H6225</f>
        <v>13.92</v>
      </c>
      <c r="J6225" s="21" t="n">
        <f aca="false">H6225*1000/Parametres!$B$9</f>
        <v>0</v>
      </c>
    </row>
    <row r="6226" customFormat="false" ht="15" hidden="false" customHeight="false" outlineLevel="0" collapsed="false">
      <c r="A6226" s="0" t="n">
        <v>6222</v>
      </c>
      <c r="B6226" s="0" t="n">
        <v>9</v>
      </c>
      <c r="C6226" s="19" t="n">
        <v>0</v>
      </c>
      <c r="D6226" s="19" t="n">
        <v>0.0278</v>
      </c>
      <c r="E6226" s="20" t="n">
        <f aca="false">Parametres!$B$5*C6226</f>
        <v>0</v>
      </c>
      <c r="F6226" s="20" t="n">
        <f aca="false">Parametres!$B$6*D6226</f>
        <v>5.56</v>
      </c>
      <c r="G6226" s="20" t="n">
        <f aca="false">E6226+F6226</f>
        <v>5.56</v>
      </c>
      <c r="H6226" s="20" t="n">
        <f aca="false">IF(G6226&lt;Parametres!$B$8*Parametres!$B$7,0,MIN(G6226,Parametres!$B$7))</f>
        <v>0</v>
      </c>
      <c r="I6226" s="20" t="n">
        <f aca="false">G6226-H6226</f>
        <v>5.56</v>
      </c>
      <c r="J6226" s="21" t="n">
        <f aca="false">H6226*1000/Parametres!$B$9</f>
        <v>0</v>
      </c>
    </row>
    <row r="6227" customFormat="false" ht="15" hidden="false" customHeight="false" outlineLevel="0" collapsed="false">
      <c r="A6227" s="0" t="n">
        <v>6223</v>
      </c>
      <c r="B6227" s="0" t="n">
        <v>9</v>
      </c>
      <c r="C6227" s="19" t="n">
        <v>0.1133</v>
      </c>
      <c r="D6227" s="19" t="n">
        <v>0.0781</v>
      </c>
      <c r="E6227" s="20" t="n">
        <f aca="false">Parametres!$B$5*C6227</f>
        <v>33.99</v>
      </c>
      <c r="F6227" s="20" t="n">
        <f aca="false">Parametres!$B$6*D6227</f>
        <v>15.62</v>
      </c>
      <c r="G6227" s="20" t="n">
        <f aca="false">E6227+F6227</f>
        <v>49.61</v>
      </c>
      <c r="H6227" s="20" t="n">
        <f aca="false">IF(G6227&lt;Parametres!$B$8*Parametres!$B$7,0,MIN(G6227,Parametres!$B$7))</f>
        <v>49.61</v>
      </c>
      <c r="I6227" s="20" t="n">
        <f aca="false">G6227-H6227</f>
        <v>0</v>
      </c>
      <c r="J6227" s="21" t="n">
        <f aca="false">H6227*1000/Parametres!$B$9</f>
        <v>841.275224690521</v>
      </c>
    </row>
    <row r="6228" customFormat="false" ht="15" hidden="false" customHeight="false" outlineLevel="0" collapsed="false">
      <c r="A6228" s="0" t="n">
        <v>6224</v>
      </c>
      <c r="B6228" s="0" t="n">
        <v>9</v>
      </c>
      <c r="C6228" s="19" t="n">
        <v>0.3805</v>
      </c>
      <c r="D6228" s="19" t="n">
        <v>0.1321</v>
      </c>
      <c r="E6228" s="20" t="n">
        <f aca="false">Parametres!$B$5*C6228</f>
        <v>114.15</v>
      </c>
      <c r="F6228" s="20" t="n">
        <f aca="false">Parametres!$B$6*D6228</f>
        <v>26.42</v>
      </c>
      <c r="G6228" s="20" t="n">
        <f aca="false">E6228+F6228</f>
        <v>140.57</v>
      </c>
      <c r="H6228" s="20" t="n">
        <f aca="false">IF(G6228&lt;Parametres!$B$8*Parametres!$B$7,0,MIN(G6228,Parametres!$B$7))</f>
        <v>140.57</v>
      </c>
      <c r="I6228" s="20" t="n">
        <f aca="false">G6228-H6228</f>
        <v>0</v>
      </c>
      <c r="J6228" s="21" t="n">
        <f aca="false">H6228*1000/Parametres!$B$9</f>
        <v>2383.75445141597</v>
      </c>
    </row>
    <row r="6229" customFormat="false" ht="15" hidden="false" customHeight="false" outlineLevel="0" collapsed="false">
      <c r="A6229" s="0" t="n">
        <v>6225</v>
      </c>
      <c r="B6229" s="0" t="n">
        <v>9</v>
      </c>
      <c r="C6229" s="19" t="n">
        <v>0.5988</v>
      </c>
      <c r="D6229" s="19" t="n">
        <v>0.1989</v>
      </c>
      <c r="E6229" s="20" t="n">
        <f aca="false">Parametres!$B$5*C6229</f>
        <v>179.64</v>
      </c>
      <c r="F6229" s="20" t="n">
        <f aca="false">Parametres!$B$6*D6229</f>
        <v>39.78</v>
      </c>
      <c r="G6229" s="20" t="n">
        <f aca="false">E6229+F6229</f>
        <v>219.42</v>
      </c>
      <c r="H6229" s="20" t="n">
        <f aca="false">IF(G6229&lt;Parametres!$B$8*Parametres!$B$7,0,MIN(G6229,Parametres!$B$7))</f>
        <v>219.42</v>
      </c>
      <c r="I6229" s="20" t="n">
        <f aca="false">G6229-H6229</f>
        <v>0</v>
      </c>
      <c r="J6229" s="21" t="n">
        <f aca="false">H6229*1000/Parametres!$B$9</f>
        <v>3720.87502119722</v>
      </c>
    </row>
    <row r="6230" customFormat="false" ht="15" hidden="false" customHeight="false" outlineLevel="0" collapsed="false">
      <c r="A6230" s="0" t="n">
        <v>6226</v>
      </c>
      <c r="B6230" s="0" t="n">
        <v>9</v>
      </c>
      <c r="C6230" s="19" t="n">
        <v>0.849</v>
      </c>
      <c r="D6230" s="19" t="n">
        <v>0.3184</v>
      </c>
      <c r="E6230" s="20" t="n">
        <f aca="false">Parametres!$B$5*C6230</f>
        <v>254.7</v>
      </c>
      <c r="F6230" s="20" t="n">
        <f aca="false">Parametres!$B$6*D6230</f>
        <v>63.68</v>
      </c>
      <c r="G6230" s="20" t="n">
        <f aca="false">E6230+F6230</f>
        <v>318.38</v>
      </c>
      <c r="H6230" s="20" t="n">
        <f aca="false">IF(G6230&lt;Parametres!$B$8*Parametres!$B$7,0,MIN(G6230,Parametres!$B$7))</f>
        <v>250</v>
      </c>
      <c r="I6230" s="20" t="n">
        <f aca="false">G6230-H6230</f>
        <v>68.38</v>
      </c>
      <c r="J6230" s="21" t="n">
        <f aca="false">H6230*1000/Parametres!$B$9</f>
        <v>4239.44378497541</v>
      </c>
    </row>
    <row r="6231" customFormat="false" ht="15" hidden="false" customHeight="false" outlineLevel="0" collapsed="false">
      <c r="A6231" s="0" t="n">
        <v>6227</v>
      </c>
      <c r="B6231" s="0" t="n">
        <v>9</v>
      </c>
      <c r="C6231" s="19" t="n">
        <v>1</v>
      </c>
      <c r="D6231" s="19" t="n">
        <v>0.4152</v>
      </c>
      <c r="E6231" s="20" t="n">
        <f aca="false">Parametres!$B$5*C6231</f>
        <v>300</v>
      </c>
      <c r="F6231" s="20" t="n">
        <f aca="false">Parametres!$B$6*D6231</f>
        <v>83.04</v>
      </c>
      <c r="G6231" s="20" t="n">
        <f aca="false">E6231+F6231</f>
        <v>383.04</v>
      </c>
      <c r="H6231" s="20" t="n">
        <f aca="false">IF(G6231&lt;Parametres!$B$8*Parametres!$B$7,0,MIN(G6231,Parametres!$B$7))</f>
        <v>250</v>
      </c>
      <c r="I6231" s="20" t="n">
        <f aca="false">G6231-H6231</f>
        <v>133.04</v>
      </c>
      <c r="J6231" s="21" t="n">
        <f aca="false">H6231*1000/Parametres!$B$9</f>
        <v>4239.44378497541</v>
      </c>
    </row>
    <row r="6232" customFormat="false" ht="15" hidden="false" customHeight="false" outlineLevel="0" collapsed="false">
      <c r="A6232" s="0" t="n">
        <v>6228</v>
      </c>
      <c r="B6232" s="0" t="n">
        <v>9</v>
      </c>
      <c r="C6232" s="19" t="n">
        <v>1</v>
      </c>
      <c r="D6232" s="19" t="n">
        <v>0.3617</v>
      </c>
      <c r="E6232" s="20" t="n">
        <f aca="false">Parametres!$B$5*C6232</f>
        <v>300</v>
      </c>
      <c r="F6232" s="20" t="n">
        <f aca="false">Parametres!$B$6*D6232</f>
        <v>72.34</v>
      </c>
      <c r="G6232" s="20" t="n">
        <f aca="false">E6232+F6232</f>
        <v>372.34</v>
      </c>
      <c r="H6232" s="20" t="n">
        <f aca="false">IF(G6232&lt;Parametres!$B$8*Parametres!$B$7,0,MIN(G6232,Parametres!$B$7))</f>
        <v>250</v>
      </c>
      <c r="I6232" s="20" t="n">
        <f aca="false">G6232-H6232</f>
        <v>122.34</v>
      </c>
      <c r="J6232" s="21" t="n">
        <f aca="false">H6232*1000/Parametres!$B$9</f>
        <v>4239.44378497541</v>
      </c>
    </row>
    <row r="6233" customFormat="false" ht="15" hidden="false" customHeight="false" outlineLevel="0" collapsed="false">
      <c r="A6233" s="0" t="n">
        <v>6229</v>
      </c>
      <c r="B6233" s="0" t="n">
        <v>9</v>
      </c>
      <c r="C6233" s="19" t="n">
        <v>1</v>
      </c>
      <c r="D6233" s="19" t="n">
        <v>0.462</v>
      </c>
      <c r="E6233" s="20" t="n">
        <f aca="false">Parametres!$B$5*C6233</f>
        <v>300</v>
      </c>
      <c r="F6233" s="20" t="n">
        <f aca="false">Parametres!$B$6*D6233</f>
        <v>92.4</v>
      </c>
      <c r="G6233" s="20" t="n">
        <f aca="false">E6233+F6233</f>
        <v>392.4</v>
      </c>
      <c r="H6233" s="20" t="n">
        <f aca="false">IF(G6233&lt;Parametres!$B$8*Parametres!$B$7,0,MIN(G6233,Parametres!$B$7))</f>
        <v>250</v>
      </c>
      <c r="I6233" s="20" t="n">
        <f aca="false">G6233-H6233</f>
        <v>142.4</v>
      </c>
      <c r="J6233" s="21" t="n">
        <f aca="false">H6233*1000/Parametres!$B$9</f>
        <v>4239.44378497541</v>
      </c>
    </row>
    <row r="6234" customFormat="false" ht="15" hidden="false" customHeight="false" outlineLevel="0" collapsed="false">
      <c r="A6234" s="0" t="n">
        <v>6230</v>
      </c>
      <c r="B6234" s="0" t="n">
        <v>9</v>
      </c>
      <c r="C6234" s="19" t="n">
        <v>1</v>
      </c>
      <c r="D6234" s="19" t="n">
        <v>0.3201</v>
      </c>
      <c r="E6234" s="20" t="n">
        <f aca="false">Parametres!$B$5*C6234</f>
        <v>300</v>
      </c>
      <c r="F6234" s="20" t="n">
        <f aca="false">Parametres!$B$6*D6234</f>
        <v>64.02</v>
      </c>
      <c r="G6234" s="20" t="n">
        <f aca="false">E6234+F6234</f>
        <v>364.02</v>
      </c>
      <c r="H6234" s="20" t="n">
        <f aca="false">IF(G6234&lt;Parametres!$B$8*Parametres!$B$7,0,MIN(G6234,Parametres!$B$7))</f>
        <v>250</v>
      </c>
      <c r="I6234" s="20" t="n">
        <f aca="false">G6234-H6234</f>
        <v>114.02</v>
      </c>
      <c r="J6234" s="21" t="n">
        <f aca="false">H6234*1000/Parametres!$B$9</f>
        <v>4239.44378497541</v>
      </c>
    </row>
    <row r="6235" customFormat="false" ht="15" hidden="false" customHeight="false" outlineLevel="0" collapsed="false">
      <c r="A6235" s="0" t="n">
        <v>6231</v>
      </c>
      <c r="B6235" s="0" t="n">
        <v>9</v>
      </c>
      <c r="C6235" s="19" t="n">
        <v>0.8013</v>
      </c>
      <c r="D6235" s="19" t="n">
        <v>0.7982</v>
      </c>
      <c r="E6235" s="20" t="n">
        <f aca="false">Parametres!$B$5*C6235</f>
        <v>240.39</v>
      </c>
      <c r="F6235" s="20" t="n">
        <f aca="false">Parametres!$B$6*D6235</f>
        <v>159.64</v>
      </c>
      <c r="G6235" s="20" t="n">
        <f aca="false">E6235+F6235</f>
        <v>400.03</v>
      </c>
      <c r="H6235" s="20" t="n">
        <f aca="false">IF(G6235&lt;Parametres!$B$8*Parametres!$B$7,0,MIN(G6235,Parametres!$B$7))</f>
        <v>250</v>
      </c>
      <c r="I6235" s="20" t="n">
        <f aca="false">G6235-H6235</f>
        <v>150.03</v>
      </c>
      <c r="J6235" s="21" t="n">
        <f aca="false">H6235*1000/Parametres!$B$9</f>
        <v>4239.44378497541</v>
      </c>
    </row>
    <row r="6236" customFormat="false" ht="15" hidden="false" customHeight="false" outlineLevel="0" collapsed="false">
      <c r="A6236" s="0" t="n">
        <v>6232</v>
      </c>
      <c r="B6236" s="0" t="n">
        <v>9</v>
      </c>
      <c r="C6236" s="19" t="n">
        <v>0.5896</v>
      </c>
      <c r="D6236" s="19" t="n">
        <v>0.5391</v>
      </c>
      <c r="E6236" s="20" t="n">
        <f aca="false">Parametres!$B$5*C6236</f>
        <v>176.88</v>
      </c>
      <c r="F6236" s="20" t="n">
        <f aca="false">Parametres!$B$6*D6236</f>
        <v>107.82</v>
      </c>
      <c r="G6236" s="20" t="n">
        <f aca="false">E6236+F6236</f>
        <v>284.7</v>
      </c>
      <c r="H6236" s="20" t="n">
        <f aca="false">IF(G6236&lt;Parametres!$B$8*Parametres!$B$7,0,MIN(G6236,Parametres!$B$7))</f>
        <v>250</v>
      </c>
      <c r="I6236" s="20" t="n">
        <f aca="false">G6236-H6236</f>
        <v>34.7</v>
      </c>
      <c r="J6236" s="21" t="n">
        <f aca="false">H6236*1000/Parametres!$B$9</f>
        <v>4239.44378497541</v>
      </c>
    </row>
    <row r="6237" customFormat="false" ht="15" hidden="false" customHeight="false" outlineLevel="0" collapsed="false">
      <c r="A6237" s="0" t="n">
        <v>6233</v>
      </c>
      <c r="B6237" s="0" t="n">
        <v>9</v>
      </c>
      <c r="C6237" s="19" t="n">
        <v>0.3901</v>
      </c>
      <c r="D6237" s="19" t="n">
        <v>0.8017</v>
      </c>
      <c r="E6237" s="20" t="n">
        <f aca="false">Parametres!$B$5*C6237</f>
        <v>117.03</v>
      </c>
      <c r="F6237" s="20" t="n">
        <f aca="false">Parametres!$B$6*D6237</f>
        <v>160.34</v>
      </c>
      <c r="G6237" s="20" t="n">
        <f aca="false">E6237+F6237</f>
        <v>277.37</v>
      </c>
      <c r="H6237" s="20" t="n">
        <f aca="false">IF(G6237&lt;Parametres!$B$8*Parametres!$B$7,0,MIN(G6237,Parametres!$B$7))</f>
        <v>250</v>
      </c>
      <c r="I6237" s="20" t="n">
        <f aca="false">G6237-H6237</f>
        <v>27.37</v>
      </c>
      <c r="J6237" s="21" t="n">
        <f aca="false">H6237*1000/Parametres!$B$9</f>
        <v>4239.44378497541</v>
      </c>
    </row>
    <row r="6238" customFormat="false" ht="15" hidden="false" customHeight="false" outlineLevel="0" collapsed="false">
      <c r="A6238" s="0" t="n">
        <v>6234</v>
      </c>
      <c r="B6238" s="0" t="n">
        <v>9</v>
      </c>
      <c r="C6238" s="19" t="n">
        <v>0.1215</v>
      </c>
      <c r="D6238" s="19" t="n">
        <v>0.6314</v>
      </c>
      <c r="E6238" s="20" t="n">
        <f aca="false">Parametres!$B$5*C6238</f>
        <v>36.45</v>
      </c>
      <c r="F6238" s="20" t="n">
        <f aca="false">Parametres!$B$6*D6238</f>
        <v>126.28</v>
      </c>
      <c r="G6238" s="20" t="n">
        <f aca="false">E6238+F6238</f>
        <v>162.73</v>
      </c>
      <c r="H6238" s="20" t="n">
        <f aca="false">IF(G6238&lt;Parametres!$B$8*Parametres!$B$7,0,MIN(G6238,Parametres!$B$7))</f>
        <v>162.73</v>
      </c>
      <c r="I6238" s="20" t="n">
        <f aca="false">G6238-H6238</f>
        <v>0</v>
      </c>
      <c r="J6238" s="21" t="n">
        <f aca="false">H6238*1000/Parametres!$B$9</f>
        <v>2759.53874851619</v>
      </c>
    </row>
    <row r="6239" customFormat="false" ht="15" hidden="false" customHeight="false" outlineLevel="0" collapsed="false">
      <c r="A6239" s="0" t="n">
        <v>6235</v>
      </c>
      <c r="B6239" s="0" t="n">
        <v>9</v>
      </c>
      <c r="C6239" s="19" t="n">
        <v>0</v>
      </c>
      <c r="D6239" s="19" t="n">
        <v>0.6297</v>
      </c>
      <c r="E6239" s="20" t="n">
        <f aca="false">Parametres!$B$5*C6239</f>
        <v>0</v>
      </c>
      <c r="F6239" s="20" t="n">
        <f aca="false">Parametres!$B$6*D6239</f>
        <v>125.94</v>
      </c>
      <c r="G6239" s="20" t="n">
        <f aca="false">E6239+F6239</f>
        <v>125.94</v>
      </c>
      <c r="H6239" s="20" t="n">
        <f aca="false">IF(G6239&lt;Parametres!$B$8*Parametres!$B$7,0,MIN(G6239,Parametres!$B$7))</f>
        <v>125.94</v>
      </c>
      <c r="I6239" s="20" t="n">
        <f aca="false">G6239-H6239</f>
        <v>0</v>
      </c>
      <c r="J6239" s="21" t="n">
        <f aca="false">H6239*1000/Parametres!$B$9</f>
        <v>2135.66220111921</v>
      </c>
    </row>
    <row r="6240" customFormat="false" ht="15" hidden="false" customHeight="false" outlineLevel="0" collapsed="false">
      <c r="A6240" s="0" t="n">
        <v>6236</v>
      </c>
      <c r="B6240" s="0" t="n">
        <v>9</v>
      </c>
      <c r="C6240" s="19" t="n">
        <v>0</v>
      </c>
      <c r="D6240" s="19" t="n">
        <v>0.709</v>
      </c>
      <c r="E6240" s="20" t="n">
        <f aca="false">Parametres!$B$5*C6240</f>
        <v>0</v>
      </c>
      <c r="F6240" s="20" t="n">
        <f aca="false">Parametres!$B$6*D6240</f>
        <v>141.8</v>
      </c>
      <c r="G6240" s="20" t="n">
        <f aca="false">E6240+F6240</f>
        <v>141.8</v>
      </c>
      <c r="H6240" s="20" t="n">
        <f aca="false">IF(G6240&lt;Parametres!$B$8*Parametres!$B$7,0,MIN(G6240,Parametres!$B$7))</f>
        <v>141.8</v>
      </c>
      <c r="I6240" s="20" t="n">
        <f aca="false">G6240-H6240</f>
        <v>0</v>
      </c>
      <c r="J6240" s="21" t="n">
        <f aca="false">H6240*1000/Parametres!$B$9</f>
        <v>2404.61251483805</v>
      </c>
    </row>
    <row r="6241" customFormat="false" ht="15" hidden="false" customHeight="false" outlineLevel="0" collapsed="false">
      <c r="A6241" s="0" t="n">
        <v>6237</v>
      </c>
      <c r="B6241" s="0" t="n">
        <v>9</v>
      </c>
      <c r="C6241" s="19" t="n">
        <v>0</v>
      </c>
      <c r="D6241" s="19" t="n">
        <v>0.4526</v>
      </c>
      <c r="E6241" s="20" t="n">
        <f aca="false">Parametres!$B$5*C6241</f>
        <v>0</v>
      </c>
      <c r="F6241" s="20" t="n">
        <f aca="false">Parametres!$B$6*D6241</f>
        <v>90.52</v>
      </c>
      <c r="G6241" s="20" t="n">
        <f aca="false">E6241+F6241</f>
        <v>90.52</v>
      </c>
      <c r="H6241" s="20" t="n">
        <f aca="false">IF(G6241&lt;Parametres!$B$8*Parametres!$B$7,0,MIN(G6241,Parametres!$B$7))</f>
        <v>90.52</v>
      </c>
      <c r="I6241" s="20" t="n">
        <f aca="false">G6241-H6241</f>
        <v>0</v>
      </c>
      <c r="J6241" s="21" t="n">
        <f aca="false">H6241*1000/Parametres!$B$9</f>
        <v>1535.0178056639</v>
      </c>
    </row>
    <row r="6242" customFormat="false" ht="15" hidden="false" customHeight="false" outlineLevel="0" collapsed="false">
      <c r="A6242" s="0" t="n">
        <v>6238</v>
      </c>
      <c r="B6242" s="0" t="n">
        <v>9</v>
      </c>
      <c r="C6242" s="19" t="n">
        <v>0</v>
      </c>
      <c r="D6242" s="19" t="n">
        <v>0.4177</v>
      </c>
      <c r="E6242" s="20" t="n">
        <f aca="false">Parametres!$B$5*C6242</f>
        <v>0</v>
      </c>
      <c r="F6242" s="20" t="n">
        <f aca="false">Parametres!$B$6*D6242</f>
        <v>83.54</v>
      </c>
      <c r="G6242" s="20" t="n">
        <f aca="false">E6242+F6242</f>
        <v>83.54</v>
      </c>
      <c r="H6242" s="20" t="n">
        <f aca="false">IF(G6242&lt;Parametres!$B$8*Parametres!$B$7,0,MIN(G6242,Parametres!$B$7))</f>
        <v>83.54</v>
      </c>
      <c r="I6242" s="20" t="n">
        <f aca="false">G6242-H6242</f>
        <v>0</v>
      </c>
      <c r="J6242" s="21" t="n">
        <f aca="false">H6242*1000/Parametres!$B$9</f>
        <v>1416.65253518738</v>
      </c>
    </row>
    <row r="6243" customFormat="false" ht="15" hidden="false" customHeight="false" outlineLevel="0" collapsed="false">
      <c r="A6243" s="0" t="n">
        <v>6239</v>
      </c>
      <c r="B6243" s="0" t="n">
        <v>9</v>
      </c>
      <c r="C6243" s="19" t="n">
        <v>0</v>
      </c>
      <c r="D6243" s="19" t="n">
        <v>0.1032</v>
      </c>
      <c r="E6243" s="20" t="n">
        <f aca="false">Parametres!$B$5*C6243</f>
        <v>0</v>
      </c>
      <c r="F6243" s="20" t="n">
        <f aca="false">Parametres!$B$6*D6243</f>
        <v>20.64</v>
      </c>
      <c r="G6243" s="20" t="n">
        <f aca="false">E6243+F6243</f>
        <v>20.64</v>
      </c>
      <c r="H6243" s="20" t="n">
        <f aca="false">IF(G6243&lt;Parametres!$B$8*Parametres!$B$7,0,MIN(G6243,Parametres!$B$7))</f>
        <v>0</v>
      </c>
      <c r="I6243" s="20" t="n">
        <f aca="false">G6243-H6243</f>
        <v>20.64</v>
      </c>
      <c r="J6243" s="21" t="n">
        <f aca="false">H6243*1000/Parametres!$B$9</f>
        <v>0</v>
      </c>
    </row>
    <row r="6244" customFormat="false" ht="15" hidden="false" customHeight="false" outlineLevel="0" collapsed="false">
      <c r="A6244" s="0" t="n">
        <v>6240</v>
      </c>
      <c r="B6244" s="0" t="n">
        <v>9</v>
      </c>
      <c r="C6244" s="19" t="n">
        <v>0</v>
      </c>
      <c r="D6244" s="19" t="n">
        <v>0.0967</v>
      </c>
      <c r="E6244" s="20" t="n">
        <f aca="false">Parametres!$B$5*C6244</f>
        <v>0</v>
      </c>
      <c r="F6244" s="20" t="n">
        <f aca="false">Parametres!$B$6*D6244</f>
        <v>19.34</v>
      </c>
      <c r="G6244" s="20" t="n">
        <f aca="false">E6244+F6244</f>
        <v>19.34</v>
      </c>
      <c r="H6244" s="20" t="n">
        <f aca="false">IF(G6244&lt;Parametres!$B$8*Parametres!$B$7,0,MIN(G6244,Parametres!$B$7))</f>
        <v>0</v>
      </c>
      <c r="I6244" s="20" t="n">
        <f aca="false">G6244-H6244</f>
        <v>19.34</v>
      </c>
      <c r="J6244" s="21" t="n">
        <f aca="false">H6244*1000/Parametres!$B$9</f>
        <v>0</v>
      </c>
    </row>
    <row r="6245" customFormat="false" ht="15" hidden="false" customHeight="false" outlineLevel="0" collapsed="false">
      <c r="A6245" s="0" t="n">
        <v>6241</v>
      </c>
      <c r="B6245" s="0" t="n">
        <v>9</v>
      </c>
      <c r="C6245" s="19" t="n">
        <v>0</v>
      </c>
      <c r="D6245" s="19" t="n">
        <v>0.1598</v>
      </c>
      <c r="E6245" s="20" t="n">
        <f aca="false">Parametres!$B$5*C6245</f>
        <v>0</v>
      </c>
      <c r="F6245" s="20" t="n">
        <f aca="false">Parametres!$B$6*D6245</f>
        <v>31.96</v>
      </c>
      <c r="G6245" s="20" t="n">
        <f aca="false">E6245+F6245</f>
        <v>31.96</v>
      </c>
      <c r="H6245" s="20" t="n">
        <f aca="false">IF(G6245&lt;Parametres!$B$8*Parametres!$B$7,0,MIN(G6245,Parametres!$B$7))</f>
        <v>31.96</v>
      </c>
      <c r="I6245" s="20" t="n">
        <f aca="false">G6245-H6245</f>
        <v>0</v>
      </c>
      <c r="J6245" s="21" t="n">
        <f aca="false">H6245*1000/Parametres!$B$9</f>
        <v>541.970493471257</v>
      </c>
    </row>
    <row r="6246" customFormat="false" ht="15" hidden="false" customHeight="false" outlineLevel="0" collapsed="false">
      <c r="A6246" s="0" t="n">
        <v>6242</v>
      </c>
      <c r="B6246" s="0" t="n">
        <v>9</v>
      </c>
      <c r="C6246" s="19" t="n">
        <v>0</v>
      </c>
      <c r="D6246" s="19" t="n">
        <v>0.125</v>
      </c>
      <c r="E6246" s="20" t="n">
        <f aca="false">Parametres!$B$5*C6246</f>
        <v>0</v>
      </c>
      <c r="F6246" s="20" t="n">
        <f aca="false">Parametres!$B$6*D6246</f>
        <v>25</v>
      </c>
      <c r="G6246" s="20" t="n">
        <f aca="false">E6246+F6246</f>
        <v>25</v>
      </c>
      <c r="H6246" s="20" t="n">
        <f aca="false">IF(G6246&lt;Parametres!$B$8*Parametres!$B$7,0,MIN(G6246,Parametres!$B$7))</f>
        <v>25</v>
      </c>
      <c r="I6246" s="20" t="n">
        <f aca="false">G6246-H6246</f>
        <v>0</v>
      </c>
      <c r="J6246" s="21" t="n">
        <f aca="false">H6246*1000/Parametres!$B$9</f>
        <v>423.944378497541</v>
      </c>
    </row>
    <row r="6247" customFormat="false" ht="15" hidden="false" customHeight="false" outlineLevel="0" collapsed="false">
      <c r="A6247" s="0" t="n">
        <v>6243</v>
      </c>
      <c r="B6247" s="0" t="n">
        <v>9</v>
      </c>
      <c r="C6247" s="19" t="n">
        <v>0</v>
      </c>
      <c r="D6247" s="19" t="n">
        <v>0.0748</v>
      </c>
      <c r="E6247" s="20" t="n">
        <f aca="false">Parametres!$B$5*C6247</f>
        <v>0</v>
      </c>
      <c r="F6247" s="20" t="n">
        <f aca="false">Parametres!$B$6*D6247</f>
        <v>14.96</v>
      </c>
      <c r="G6247" s="20" t="n">
        <f aca="false">E6247+F6247</f>
        <v>14.96</v>
      </c>
      <c r="H6247" s="20" t="n">
        <f aca="false">IF(G6247&lt;Parametres!$B$8*Parametres!$B$7,0,MIN(G6247,Parametres!$B$7))</f>
        <v>0</v>
      </c>
      <c r="I6247" s="20" t="n">
        <f aca="false">G6247-H6247</f>
        <v>14.96</v>
      </c>
      <c r="J6247" s="21" t="n">
        <f aca="false">H6247*1000/Parametres!$B$9</f>
        <v>0</v>
      </c>
    </row>
    <row r="6248" customFormat="false" ht="15" hidden="false" customHeight="false" outlineLevel="0" collapsed="false">
      <c r="A6248" s="0" t="n">
        <v>6244</v>
      </c>
      <c r="B6248" s="0" t="n">
        <v>9</v>
      </c>
      <c r="C6248" s="19" t="n">
        <v>0</v>
      </c>
      <c r="D6248" s="19" t="n">
        <v>0.0438</v>
      </c>
      <c r="E6248" s="20" t="n">
        <f aca="false">Parametres!$B$5*C6248</f>
        <v>0</v>
      </c>
      <c r="F6248" s="20" t="n">
        <f aca="false">Parametres!$B$6*D6248</f>
        <v>8.76</v>
      </c>
      <c r="G6248" s="20" t="n">
        <f aca="false">E6248+F6248</f>
        <v>8.76</v>
      </c>
      <c r="H6248" s="20" t="n">
        <f aca="false">IF(G6248&lt;Parametres!$B$8*Parametres!$B$7,0,MIN(G6248,Parametres!$B$7))</f>
        <v>0</v>
      </c>
      <c r="I6248" s="20" t="n">
        <f aca="false">G6248-H6248</f>
        <v>8.76</v>
      </c>
      <c r="J6248" s="21" t="n">
        <f aca="false">H6248*1000/Parametres!$B$9</f>
        <v>0</v>
      </c>
    </row>
    <row r="6249" customFormat="false" ht="15" hidden="false" customHeight="false" outlineLevel="0" collapsed="false">
      <c r="A6249" s="0" t="n">
        <v>6245</v>
      </c>
      <c r="B6249" s="0" t="n">
        <v>9</v>
      </c>
      <c r="C6249" s="19" t="n">
        <v>0</v>
      </c>
      <c r="D6249" s="19" t="n">
        <v>0.0054</v>
      </c>
      <c r="E6249" s="20" t="n">
        <f aca="false">Parametres!$B$5*C6249</f>
        <v>0</v>
      </c>
      <c r="F6249" s="20" t="n">
        <f aca="false">Parametres!$B$6*D6249</f>
        <v>1.08</v>
      </c>
      <c r="G6249" s="20" t="n">
        <f aca="false">E6249+F6249</f>
        <v>1.08</v>
      </c>
      <c r="H6249" s="20" t="n">
        <f aca="false">IF(G6249&lt;Parametres!$B$8*Parametres!$B$7,0,MIN(G6249,Parametres!$B$7))</f>
        <v>0</v>
      </c>
      <c r="I6249" s="20" t="n">
        <f aca="false">G6249-H6249</f>
        <v>1.08</v>
      </c>
      <c r="J6249" s="21" t="n">
        <f aca="false">H6249*1000/Parametres!$B$9</f>
        <v>0</v>
      </c>
    </row>
    <row r="6250" customFormat="false" ht="15" hidden="false" customHeight="false" outlineLevel="0" collapsed="false">
      <c r="A6250" s="0" t="n">
        <v>6246</v>
      </c>
      <c r="B6250" s="0" t="n">
        <v>9</v>
      </c>
      <c r="C6250" s="19" t="n">
        <v>0</v>
      </c>
      <c r="D6250" s="19" t="n">
        <v>0.0009</v>
      </c>
      <c r="E6250" s="20" t="n">
        <f aca="false">Parametres!$B$5*C6250</f>
        <v>0</v>
      </c>
      <c r="F6250" s="20" t="n">
        <f aca="false">Parametres!$B$6*D6250</f>
        <v>0.18</v>
      </c>
      <c r="G6250" s="20" t="n">
        <f aca="false">E6250+F6250</f>
        <v>0.18</v>
      </c>
      <c r="H6250" s="20" t="n">
        <f aca="false">IF(G6250&lt;Parametres!$B$8*Parametres!$B$7,0,MIN(G6250,Parametres!$B$7))</f>
        <v>0</v>
      </c>
      <c r="I6250" s="20" t="n">
        <f aca="false">G6250-H6250</f>
        <v>0.18</v>
      </c>
      <c r="J6250" s="21" t="n">
        <f aca="false">H6250*1000/Parametres!$B$9</f>
        <v>0</v>
      </c>
    </row>
    <row r="6251" customFormat="false" ht="15" hidden="false" customHeight="false" outlineLevel="0" collapsed="false">
      <c r="A6251" s="0" t="n">
        <v>6247</v>
      </c>
      <c r="B6251" s="0" t="n">
        <v>9</v>
      </c>
      <c r="C6251" s="19" t="n">
        <v>0.1032</v>
      </c>
      <c r="D6251" s="19" t="n">
        <v>0.0021</v>
      </c>
      <c r="E6251" s="20" t="n">
        <f aca="false">Parametres!$B$5*C6251</f>
        <v>30.96</v>
      </c>
      <c r="F6251" s="20" t="n">
        <f aca="false">Parametres!$B$6*D6251</f>
        <v>0.42</v>
      </c>
      <c r="G6251" s="20" t="n">
        <f aca="false">E6251+F6251</f>
        <v>31.38</v>
      </c>
      <c r="H6251" s="20" t="n">
        <f aca="false">IF(G6251&lt;Parametres!$B$8*Parametres!$B$7,0,MIN(G6251,Parametres!$B$7))</f>
        <v>31.38</v>
      </c>
      <c r="I6251" s="20" t="n">
        <f aca="false">G6251-H6251</f>
        <v>0</v>
      </c>
      <c r="J6251" s="21" t="n">
        <f aca="false">H6251*1000/Parametres!$B$9</f>
        <v>532.134983890114</v>
      </c>
    </row>
    <row r="6252" customFormat="false" ht="15" hidden="false" customHeight="false" outlineLevel="0" collapsed="false">
      <c r="A6252" s="0" t="n">
        <v>6248</v>
      </c>
      <c r="B6252" s="0" t="n">
        <v>9</v>
      </c>
      <c r="C6252" s="19" t="n">
        <v>0.3378</v>
      </c>
      <c r="D6252" s="19" t="n">
        <v>0.0182</v>
      </c>
      <c r="E6252" s="20" t="n">
        <f aca="false">Parametres!$B$5*C6252</f>
        <v>101.34</v>
      </c>
      <c r="F6252" s="20" t="n">
        <f aca="false">Parametres!$B$6*D6252</f>
        <v>3.64</v>
      </c>
      <c r="G6252" s="20" t="n">
        <f aca="false">E6252+F6252</f>
        <v>104.98</v>
      </c>
      <c r="H6252" s="20" t="n">
        <f aca="false">IF(G6252&lt;Parametres!$B$8*Parametres!$B$7,0,MIN(G6252,Parametres!$B$7))</f>
        <v>104.98</v>
      </c>
      <c r="I6252" s="20" t="n">
        <f aca="false">G6252-H6252</f>
        <v>0</v>
      </c>
      <c r="J6252" s="21" t="n">
        <f aca="false">H6252*1000/Parametres!$B$9</f>
        <v>1780.22723418687</v>
      </c>
    </row>
    <row r="6253" customFormat="false" ht="15" hidden="false" customHeight="false" outlineLevel="0" collapsed="false">
      <c r="A6253" s="0" t="n">
        <v>6249</v>
      </c>
      <c r="B6253" s="0" t="n">
        <v>9</v>
      </c>
      <c r="C6253" s="19" t="n">
        <v>0.5376</v>
      </c>
      <c r="D6253" s="19" t="n">
        <v>0.0385</v>
      </c>
      <c r="E6253" s="20" t="n">
        <f aca="false">Parametres!$B$5*C6253</f>
        <v>161.28</v>
      </c>
      <c r="F6253" s="20" t="n">
        <f aca="false">Parametres!$B$6*D6253</f>
        <v>7.7</v>
      </c>
      <c r="G6253" s="20" t="n">
        <f aca="false">E6253+F6253</f>
        <v>168.98</v>
      </c>
      <c r="H6253" s="20" t="n">
        <f aca="false">IF(G6253&lt;Parametres!$B$8*Parametres!$B$7,0,MIN(G6253,Parametres!$B$7))</f>
        <v>168.98</v>
      </c>
      <c r="I6253" s="20" t="n">
        <f aca="false">G6253-H6253</f>
        <v>0</v>
      </c>
      <c r="J6253" s="21" t="n">
        <f aca="false">H6253*1000/Parametres!$B$9</f>
        <v>2865.52484314058</v>
      </c>
    </row>
    <row r="6254" customFormat="false" ht="15" hidden="false" customHeight="false" outlineLevel="0" collapsed="false">
      <c r="A6254" s="0" t="n">
        <v>6250</v>
      </c>
      <c r="B6254" s="0" t="n">
        <v>9</v>
      </c>
      <c r="C6254" s="19" t="n">
        <v>0.7774</v>
      </c>
      <c r="D6254" s="19" t="n">
        <v>0.0466</v>
      </c>
      <c r="E6254" s="20" t="n">
        <f aca="false">Parametres!$B$5*C6254</f>
        <v>233.22</v>
      </c>
      <c r="F6254" s="20" t="n">
        <f aca="false">Parametres!$B$6*D6254</f>
        <v>9.32</v>
      </c>
      <c r="G6254" s="20" t="n">
        <f aca="false">E6254+F6254</f>
        <v>242.54</v>
      </c>
      <c r="H6254" s="20" t="n">
        <f aca="false">IF(G6254&lt;Parametres!$B$8*Parametres!$B$7,0,MIN(G6254,Parametres!$B$7))</f>
        <v>242.54</v>
      </c>
      <c r="I6254" s="20" t="n">
        <f aca="false">G6254-H6254</f>
        <v>0</v>
      </c>
      <c r="J6254" s="21" t="n">
        <f aca="false">H6254*1000/Parametres!$B$9</f>
        <v>4112.93878243175</v>
      </c>
    </row>
    <row r="6255" customFormat="false" ht="15" hidden="false" customHeight="false" outlineLevel="0" collapsed="false">
      <c r="A6255" s="0" t="n">
        <v>6251</v>
      </c>
      <c r="B6255" s="0" t="n">
        <v>9</v>
      </c>
      <c r="C6255" s="19" t="n">
        <v>0.8446</v>
      </c>
      <c r="D6255" s="19" t="n">
        <v>0.0551</v>
      </c>
      <c r="E6255" s="20" t="n">
        <f aca="false">Parametres!$B$5*C6255</f>
        <v>253.38</v>
      </c>
      <c r="F6255" s="20" t="n">
        <f aca="false">Parametres!$B$6*D6255</f>
        <v>11.02</v>
      </c>
      <c r="G6255" s="20" t="n">
        <f aca="false">E6255+F6255</f>
        <v>264.4</v>
      </c>
      <c r="H6255" s="20" t="n">
        <f aca="false">IF(G6255&lt;Parametres!$B$8*Parametres!$B$7,0,MIN(G6255,Parametres!$B$7))</f>
        <v>250</v>
      </c>
      <c r="I6255" s="20" t="n">
        <f aca="false">G6255-H6255</f>
        <v>14.4</v>
      </c>
      <c r="J6255" s="21" t="n">
        <f aca="false">H6255*1000/Parametres!$B$9</f>
        <v>4239.44378497541</v>
      </c>
    </row>
    <row r="6256" customFormat="false" ht="15" hidden="false" customHeight="false" outlineLevel="0" collapsed="false">
      <c r="A6256" s="0" t="n">
        <v>6252</v>
      </c>
      <c r="B6256" s="0" t="n">
        <v>9</v>
      </c>
      <c r="C6256" s="19" t="n">
        <v>0.9517</v>
      </c>
      <c r="D6256" s="19" t="n">
        <v>0.0886</v>
      </c>
      <c r="E6256" s="20" t="n">
        <f aca="false">Parametres!$B$5*C6256</f>
        <v>285.51</v>
      </c>
      <c r="F6256" s="20" t="n">
        <f aca="false">Parametres!$B$6*D6256</f>
        <v>17.72</v>
      </c>
      <c r="G6256" s="20" t="n">
        <f aca="false">E6256+F6256</f>
        <v>303.23</v>
      </c>
      <c r="H6256" s="20" t="n">
        <f aca="false">IF(G6256&lt;Parametres!$B$8*Parametres!$B$7,0,MIN(G6256,Parametres!$B$7))</f>
        <v>250</v>
      </c>
      <c r="I6256" s="20" t="n">
        <f aca="false">G6256-H6256</f>
        <v>53.23</v>
      </c>
      <c r="J6256" s="21" t="n">
        <f aca="false">H6256*1000/Parametres!$B$9</f>
        <v>4239.44378497541</v>
      </c>
    </row>
    <row r="6257" customFormat="false" ht="15" hidden="false" customHeight="false" outlineLevel="0" collapsed="false">
      <c r="A6257" s="0" t="n">
        <v>6253</v>
      </c>
      <c r="B6257" s="0" t="n">
        <v>9</v>
      </c>
      <c r="C6257" s="19" t="n">
        <v>0.9597</v>
      </c>
      <c r="D6257" s="19" t="n">
        <v>0.2483</v>
      </c>
      <c r="E6257" s="20" t="n">
        <f aca="false">Parametres!$B$5*C6257</f>
        <v>287.91</v>
      </c>
      <c r="F6257" s="20" t="n">
        <f aca="false">Parametres!$B$6*D6257</f>
        <v>49.66</v>
      </c>
      <c r="G6257" s="20" t="n">
        <f aca="false">E6257+F6257</f>
        <v>337.57</v>
      </c>
      <c r="H6257" s="20" t="n">
        <f aca="false">IF(G6257&lt;Parametres!$B$8*Parametres!$B$7,0,MIN(G6257,Parametres!$B$7))</f>
        <v>250</v>
      </c>
      <c r="I6257" s="20" t="n">
        <f aca="false">G6257-H6257</f>
        <v>87.5700000000001</v>
      </c>
      <c r="J6257" s="21" t="n">
        <f aca="false">H6257*1000/Parametres!$B$9</f>
        <v>4239.44378497541</v>
      </c>
    </row>
    <row r="6258" customFormat="false" ht="15" hidden="false" customHeight="false" outlineLevel="0" collapsed="false">
      <c r="A6258" s="0" t="n">
        <v>6254</v>
      </c>
      <c r="B6258" s="0" t="n">
        <v>9</v>
      </c>
      <c r="C6258" s="19" t="n">
        <v>0.8579</v>
      </c>
      <c r="D6258" s="19" t="n">
        <v>0.2573</v>
      </c>
      <c r="E6258" s="20" t="n">
        <f aca="false">Parametres!$B$5*C6258</f>
        <v>257.37</v>
      </c>
      <c r="F6258" s="20" t="n">
        <f aca="false">Parametres!$B$6*D6258</f>
        <v>51.46</v>
      </c>
      <c r="G6258" s="20" t="n">
        <f aca="false">E6258+F6258</f>
        <v>308.83</v>
      </c>
      <c r="H6258" s="20" t="n">
        <f aca="false">IF(G6258&lt;Parametres!$B$8*Parametres!$B$7,0,MIN(G6258,Parametres!$B$7))</f>
        <v>250</v>
      </c>
      <c r="I6258" s="20" t="n">
        <f aca="false">G6258-H6258</f>
        <v>58.83</v>
      </c>
      <c r="J6258" s="21" t="n">
        <f aca="false">H6258*1000/Parametres!$B$9</f>
        <v>4239.44378497541</v>
      </c>
    </row>
    <row r="6259" customFormat="false" ht="15" hidden="false" customHeight="false" outlineLevel="0" collapsed="false">
      <c r="A6259" s="0" t="n">
        <v>6255</v>
      </c>
      <c r="B6259" s="0" t="n">
        <v>9</v>
      </c>
      <c r="C6259" s="19" t="n">
        <v>0.7317</v>
      </c>
      <c r="D6259" s="19" t="n">
        <v>0.284</v>
      </c>
      <c r="E6259" s="20" t="n">
        <f aca="false">Parametres!$B$5*C6259</f>
        <v>219.51</v>
      </c>
      <c r="F6259" s="20" t="n">
        <f aca="false">Parametres!$B$6*D6259</f>
        <v>56.8</v>
      </c>
      <c r="G6259" s="20" t="n">
        <f aca="false">E6259+F6259</f>
        <v>276.31</v>
      </c>
      <c r="H6259" s="20" t="n">
        <f aca="false">IF(G6259&lt;Parametres!$B$8*Parametres!$B$7,0,MIN(G6259,Parametres!$B$7))</f>
        <v>250</v>
      </c>
      <c r="I6259" s="20" t="n">
        <f aca="false">G6259-H6259</f>
        <v>26.31</v>
      </c>
      <c r="J6259" s="21" t="n">
        <f aca="false">H6259*1000/Parametres!$B$9</f>
        <v>4239.44378497541</v>
      </c>
    </row>
    <row r="6260" customFormat="false" ht="15" hidden="false" customHeight="false" outlineLevel="0" collapsed="false">
      <c r="A6260" s="0" t="n">
        <v>6256</v>
      </c>
      <c r="B6260" s="0" t="n">
        <v>9</v>
      </c>
      <c r="C6260" s="19" t="n">
        <v>0.5491</v>
      </c>
      <c r="D6260" s="19" t="n">
        <v>0.3557</v>
      </c>
      <c r="E6260" s="20" t="n">
        <f aca="false">Parametres!$B$5*C6260</f>
        <v>164.73</v>
      </c>
      <c r="F6260" s="20" t="n">
        <f aca="false">Parametres!$B$6*D6260</f>
        <v>71.14</v>
      </c>
      <c r="G6260" s="20" t="n">
        <f aca="false">E6260+F6260</f>
        <v>235.87</v>
      </c>
      <c r="H6260" s="20" t="n">
        <f aca="false">IF(G6260&lt;Parametres!$B$8*Parametres!$B$7,0,MIN(G6260,Parametres!$B$7))</f>
        <v>235.87</v>
      </c>
      <c r="I6260" s="20" t="n">
        <f aca="false">G6260-H6260</f>
        <v>0</v>
      </c>
      <c r="J6260" s="21" t="n">
        <f aca="false">H6260*1000/Parametres!$B$9</f>
        <v>3999.8304222486</v>
      </c>
    </row>
    <row r="6261" customFormat="false" ht="15" hidden="false" customHeight="false" outlineLevel="0" collapsed="false">
      <c r="A6261" s="0" t="n">
        <v>6257</v>
      </c>
      <c r="B6261" s="0" t="n">
        <v>9</v>
      </c>
      <c r="C6261" s="19" t="n">
        <v>0.3432</v>
      </c>
      <c r="D6261" s="19" t="n">
        <v>0.459</v>
      </c>
      <c r="E6261" s="20" t="n">
        <f aca="false">Parametres!$B$5*C6261</f>
        <v>102.96</v>
      </c>
      <c r="F6261" s="20" t="n">
        <f aca="false">Parametres!$B$6*D6261</f>
        <v>91.8</v>
      </c>
      <c r="G6261" s="20" t="n">
        <f aca="false">E6261+F6261</f>
        <v>194.76</v>
      </c>
      <c r="H6261" s="20" t="n">
        <f aca="false">IF(G6261&lt;Parametres!$B$8*Parametres!$B$7,0,MIN(G6261,Parametres!$B$7))</f>
        <v>194.76</v>
      </c>
      <c r="I6261" s="20" t="n">
        <f aca="false">G6261-H6261</f>
        <v>0</v>
      </c>
      <c r="J6261" s="21" t="n">
        <f aca="false">H6261*1000/Parametres!$B$9</f>
        <v>3302.69628624724</v>
      </c>
    </row>
    <row r="6262" customFormat="false" ht="15" hidden="false" customHeight="false" outlineLevel="0" collapsed="false">
      <c r="A6262" s="0" t="n">
        <v>6258</v>
      </c>
      <c r="B6262" s="0" t="n">
        <v>9</v>
      </c>
      <c r="C6262" s="19" t="n">
        <v>0.1057</v>
      </c>
      <c r="D6262" s="19" t="n">
        <v>0.4984</v>
      </c>
      <c r="E6262" s="20" t="n">
        <f aca="false">Parametres!$B$5*C6262</f>
        <v>31.71</v>
      </c>
      <c r="F6262" s="20" t="n">
        <f aca="false">Parametres!$B$6*D6262</f>
        <v>99.68</v>
      </c>
      <c r="G6262" s="20" t="n">
        <f aca="false">E6262+F6262</f>
        <v>131.39</v>
      </c>
      <c r="H6262" s="20" t="n">
        <f aca="false">IF(G6262&lt;Parametres!$B$8*Parametres!$B$7,0,MIN(G6262,Parametres!$B$7))</f>
        <v>131.39</v>
      </c>
      <c r="I6262" s="20" t="n">
        <f aca="false">G6262-H6262</f>
        <v>0</v>
      </c>
      <c r="J6262" s="21" t="n">
        <f aca="false">H6262*1000/Parametres!$B$9</f>
        <v>2228.08207563168</v>
      </c>
    </row>
    <row r="6263" customFormat="false" ht="15" hidden="false" customHeight="false" outlineLevel="0" collapsed="false">
      <c r="A6263" s="0" t="n">
        <v>6259</v>
      </c>
      <c r="B6263" s="0" t="n">
        <v>9</v>
      </c>
      <c r="C6263" s="19" t="n">
        <v>0</v>
      </c>
      <c r="D6263" s="19" t="n">
        <v>0.268</v>
      </c>
      <c r="E6263" s="20" t="n">
        <f aca="false">Parametres!$B$5*C6263</f>
        <v>0</v>
      </c>
      <c r="F6263" s="20" t="n">
        <f aca="false">Parametres!$B$6*D6263</f>
        <v>53.6</v>
      </c>
      <c r="G6263" s="20" t="n">
        <f aca="false">E6263+F6263</f>
        <v>53.6</v>
      </c>
      <c r="H6263" s="20" t="n">
        <f aca="false">IF(G6263&lt;Parametres!$B$8*Parametres!$B$7,0,MIN(G6263,Parametres!$B$7))</f>
        <v>53.6</v>
      </c>
      <c r="I6263" s="20" t="n">
        <f aca="false">G6263-H6263</f>
        <v>0</v>
      </c>
      <c r="J6263" s="21" t="n">
        <f aca="false">H6263*1000/Parametres!$B$9</f>
        <v>908.936747498728</v>
      </c>
    </row>
    <row r="6264" customFormat="false" ht="15" hidden="false" customHeight="false" outlineLevel="0" collapsed="false">
      <c r="A6264" s="0" t="n">
        <v>6260</v>
      </c>
      <c r="B6264" s="0" t="n">
        <v>9</v>
      </c>
      <c r="C6264" s="19" t="n">
        <v>0</v>
      </c>
      <c r="D6264" s="19" t="n">
        <v>0.1052</v>
      </c>
      <c r="E6264" s="20" t="n">
        <f aca="false">Parametres!$B$5*C6264</f>
        <v>0</v>
      </c>
      <c r="F6264" s="20" t="n">
        <f aca="false">Parametres!$B$6*D6264</f>
        <v>21.04</v>
      </c>
      <c r="G6264" s="20" t="n">
        <f aca="false">E6264+F6264</f>
        <v>21.04</v>
      </c>
      <c r="H6264" s="20" t="n">
        <f aca="false">IF(G6264&lt;Parametres!$B$8*Parametres!$B$7,0,MIN(G6264,Parametres!$B$7))</f>
        <v>0</v>
      </c>
      <c r="I6264" s="20" t="n">
        <f aca="false">G6264-H6264</f>
        <v>21.04</v>
      </c>
      <c r="J6264" s="21" t="n">
        <f aca="false">H6264*1000/Parametres!$B$9</f>
        <v>0</v>
      </c>
    </row>
    <row r="6265" customFormat="false" ht="15" hidden="false" customHeight="false" outlineLevel="0" collapsed="false">
      <c r="A6265" s="0" t="n">
        <v>6261</v>
      </c>
      <c r="B6265" s="0" t="n">
        <v>9</v>
      </c>
      <c r="C6265" s="19" t="n">
        <v>0</v>
      </c>
      <c r="D6265" s="19" t="n">
        <v>0.0928</v>
      </c>
      <c r="E6265" s="20" t="n">
        <f aca="false">Parametres!$B$5*C6265</f>
        <v>0</v>
      </c>
      <c r="F6265" s="20" t="n">
        <f aca="false">Parametres!$B$6*D6265</f>
        <v>18.56</v>
      </c>
      <c r="G6265" s="20" t="n">
        <f aca="false">E6265+F6265</f>
        <v>18.56</v>
      </c>
      <c r="H6265" s="20" t="n">
        <f aca="false">IF(G6265&lt;Parametres!$B$8*Parametres!$B$7,0,MIN(G6265,Parametres!$B$7))</f>
        <v>0</v>
      </c>
      <c r="I6265" s="20" t="n">
        <f aca="false">G6265-H6265</f>
        <v>18.56</v>
      </c>
      <c r="J6265" s="21" t="n">
        <f aca="false">H6265*1000/Parametres!$B$9</f>
        <v>0</v>
      </c>
    </row>
    <row r="6266" customFormat="false" ht="15" hidden="false" customHeight="false" outlineLevel="0" collapsed="false">
      <c r="A6266" s="0" t="n">
        <v>6262</v>
      </c>
      <c r="B6266" s="0" t="n">
        <v>9</v>
      </c>
      <c r="C6266" s="19" t="n">
        <v>0</v>
      </c>
      <c r="D6266" s="19" t="n">
        <v>0.1285</v>
      </c>
      <c r="E6266" s="20" t="n">
        <f aca="false">Parametres!$B$5*C6266</f>
        <v>0</v>
      </c>
      <c r="F6266" s="20" t="n">
        <f aca="false">Parametres!$B$6*D6266</f>
        <v>25.7</v>
      </c>
      <c r="G6266" s="20" t="n">
        <f aca="false">E6266+F6266</f>
        <v>25.7</v>
      </c>
      <c r="H6266" s="20" t="n">
        <f aca="false">IF(G6266&lt;Parametres!$B$8*Parametres!$B$7,0,MIN(G6266,Parametres!$B$7))</f>
        <v>25.7</v>
      </c>
      <c r="I6266" s="20" t="n">
        <f aca="false">G6266-H6266</f>
        <v>0</v>
      </c>
      <c r="J6266" s="21" t="n">
        <f aca="false">H6266*1000/Parametres!$B$9</f>
        <v>435.814821095472</v>
      </c>
    </row>
    <row r="6267" customFormat="false" ht="15" hidden="false" customHeight="false" outlineLevel="0" collapsed="false">
      <c r="A6267" s="0" t="n">
        <v>6263</v>
      </c>
      <c r="B6267" s="0" t="n">
        <v>9</v>
      </c>
      <c r="C6267" s="19" t="n">
        <v>0</v>
      </c>
      <c r="D6267" s="19" t="n">
        <v>0.2759</v>
      </c>
      <c r="E6267" s="20" t="n">
        <f aca="false">Parametres!$B$5*C6267</f>
        <v>0</v>
      </c>
      <c r="F6267" s="20" t="n">
        <f aca="false">Parametres!$B$6*D6267</f>
        <v>55.18</v>
      </c>
      <c r="G6267" s="20" t="n">
        <f aca="false">E6267+F6267</f>
        <v>55.18</v>
      </c>
      <c r="H6267" s="20" t="n">
        <f aca="false">IF(G6267&lt;Parametres!$B$8*Parametres!$B$7,0,MIN(G6267,Parametres!$B$7))</f>
        <v>55.18</v>
      </c>
      <c r="I6267" s="20" t="n">
        <f aca="false">G6267-H6267</f>
        <v>0</v>
      </c>
      <c r="J6267" s="21" t="n">
        <f aca="false">H6267*1000/Parametres!$B$9</f>
        <v>935.730032219773</v>
      </c>
    </row>
    <row r="6268" customFormat="false" ht="15" hidden="false" customHeight="false" outlineLevel="0" collapsed="false">
      <c r="A6268" s="0" t="n">
        <v>6264</v>
      </c>
      <c r="B6268" s="0" t="n">
        <v>9</v>
      </c>
      <c r="C6268" s="19" t="n">
        <v>0</v>
      </c>
      <c r="D6268" s="19" t="n">
        <v>0.2805</v>
      </c>
      <c r="E6268" s="20" t="n">
        <f aca="false">Parametres!$B$5*C6268</f>
        <v>0</v>
      </c>
      <c r="F6268" s="20" t="n">
        <f aca="false">Parametres!$B$6*D6268</f>
        <v>56.1</v>
      </c>
      <c r="G6268" s="20" t="n">
        <f aca="false">E6268+F6268</f>
        <v>56.1</v>
      </c>
      <c r="H6268" s="20" t="n">
        <f aca="false">IF(G6268&lt;Parametres!$B$8*Parametres!$B$7,0,MIN(G6268,Parametres!$B$7))</f>
        <v>56.1</v>
      </c>
      <c r="I6268" s="20" t="n">
        <f aca="false">G6268-H6268</f>
        <v>0</v>
      </c>
      <c r="J6268" s="21" t="n">
        <f aca="false">H6268*1000/Parametres!$B$9</f>
        <v>951.331185348482</v>
      </c>
    </row>
    <row r="6269" customFormat="false" ht="15" hidden="false" customHeight="false" outlineLevel="0" collapsed="false">
      <c r="A6269" s="0" t="n">
        <v>6265</v>
      </c>
      <c r="B6269" s="0" t="n">
        <v>9</v>
      </c>
      <c r="C6269" s="19" t="n">
        <v>0</v>
      </c>
      <c r="D6269" s="19" t="n">
        <v>0.1443</v>
      </c>
      <c r="E6269" s="20" t="n">
        <f aca="false">Parametres!$B$5*C6269</f>
        <v>0</v>
      </c>
      <c r="F6269" s="20" t="n">
        <f aca="false">Parametres!$B$6*D6269</f>
        <v>28.86</v>
      </c>
      <c r="G6269" s="20" t="n">
        <f aca="false">E6269+F6269</f>
        <v>28.86</v>
      </c>
      <c r="H6269" s="20" t="n">
        <f aca="false">IF(G6269&lt;Parametres!$B$8*Parametres!$B$7,0,MIN(G6269,Parametres!$B$7))</f>
        <v>28.86</v>
      </c>
      <c r="I6269" s="20" t="n">
        <f aca="false">G6269-H6269</f>
        <v>0</v>
      </c>
      <c r="J6269" s="21" t="n">
        <f aca="false">H6269*1000/Parametres!$B$9</f>
        <v>489.401390537562</v>
      </c>
    </row>
    <row r="6270" customFormat="false" ht="15" hidden="false" customHeight="false" outlineLevel="0" collapsed="false">
      <c r="A6270" s="0" t="n">
        <v>6266</v>
      </c>
      <c r="B6270" s="0" t="n">
        <v>9</v>
      </c>
      <c r="C6270" s="19" t="n">
        <v>0</v>
      </c>
      <c r="D6270" s="19" t="n">
        <v>0.1038</v>
      </c>
      <c r="E6270" s="20" t="n">
        <f aca="false">Parametres!$B$5*C6270</f>
        <v>0</v>
      </c>
      <c r="F6270" s="20" t="n">
        <f aca="false">Parametres!$B$6*D6270</f>
        <v>20.76</v>
      </c>
      <c r="G6270" s="20" t="n">
        <f aca="false">E6270+F6270</f>
        <v>20.76</v>
      </c>
      <c r="H6270" s="20" t="n">
        <f aca="false">IF(G6270&lt;Parametres!$B$8*Parametres!$B$7,0,MIN(G6270,Parametres!$B$7))</f>
        <v>0</v>
      </c>
      <c r="I6270" s="20" t="n">
        <f aca="false">G6270-H6270</f>
        <v>20.76</v>
      </c>
      <c r="J6270" s="21" t="n">
        <f aca="false">H6270*1000/Parametres!$B$9</f>
        <v>0</v>
      </c>
    </row>
    <row r="6271" customFormat="false" ht="15" hidden="false" customHeight="false" outlineLevel="0" collapsed="false">
      <c r="A6271" s="0" t="n">
        <v>6267</v>
      </c>
      <c r="B6271" s="0" t="n">
        <v>9</v>
      </c>
      <c r="C6271" s="19" t="n">
        <v>0</v>
      </c>
      <c r="D6271" s="19" t="n">
        <v>0.0377</v>
      </c>
      <c r="E6271" s="20" t="n">
        <f aca="false">Parametres!$B$5*C6271</f>
        <v>0</v>
      </c>
      <c r="F6271" s="20" t="n">
        <f aca="false">Parametres!$B$6*D6271</f>
        <v>7.54</v>
      </c>
      <c r="G6271" s="20" t="n">
        <f aca="false">E6271+F6271</f>
        <v>7.54</v>
      </c>
      <c r="H6271" s="20" t="n">
        <f aca="false">IF(G6271&lt;Parametres!$B$8*Parametres!$B$7,0,MIN(G6271,Parametres!$B$7))</f>
        <v>0</v>
      </c>
      <c r="I6271" s="20" t="n">
        <f aca="false">G6271-H6271</f>
        <v>7.54</v>
      </c>
      <c r="J6271" s="21" t="n">
        <f aca="false">H6271*1000/Parametres!$B$9</f>
        <v>0</v>
      </c>
    </row>
    <row r="6272" customFormat="false" ht="15" hidden="false" customHeight="false" outlineLevel="0" collapsed="false">
      <c r="A6272" s="0" t="n">
        <v>6268</v>
      </c>
      <c r="B6272" s="0" t="n">
        <v>9</v>
      </c>
      <c r="C6272" s="19" t="n">
        <v>0</v>
      </c>
      <c r="D6272" s="19" t="n">
        <v>0.031</v>
      </c>
      <c r="E6272" s="20" t="n">
        <f aca="false">Parametres!$B$5*C6272</f>
        <v>0</v>
      </c>
      <c r="F6272" s="20" t="n">
        <f aca="false">Parametres!$B$6*D6272</f>
        <v>6.2</v>
      </c>
      <c r="G6272" s="20" t="n">
        <f aca="false">E6272+F6272</f>
        <v>6.2</v>
      </c>
      <c r="H6272" s="20" t="n">
        <f aca="false">IF(G6272&lt;Parametres!$B$8*Parametres!$B$7,0,MIN(G6272,Parametres!$B$7))</f>
        <v>0</v>
      </c>
      <c r="I6272" s="20" t="n">
        <f aca="false">G6272-H6272</f>
        <v>6.2</v>
      </c>
      <c r="J6272" s="21" t="n">
        <f aca="false">H6272*1000/Parametres!$B$9</f>
        <v>0</v>
      </c>
    </row>
    <row r="6273" customFormat="false" ht="15" hidden="false" customHeight="false" outlineLevel="0" collapsed="false">
      <c r="A6273" s="0" t="n">
        <v>6269</v>
      </c>
      <c r="B6273" s="0" t="n">
        <v>9</v>
      </c>
      <c r="C6273" s="19" t="n">
        <v>0</v>
      </c>
      <c r="D6273" s="19" t="n">
        <v>0.0615</v>
      </c>
      <c r="E6273" s="20" t="n">
        <f aca="false">Parametres!$B$5*C6273</f>
        <v>0</v>
      </c>
      <c r="F6273" s="20" t="n">
        <f aca="false">Parametres!$B$6*D6273</f>
        <v>12.3</v>
      </c>
      <c r="G6273" s="20" t="n">
        <f aca="false">E6273+F6273</f>
        <v>12.3</v>
      </c>
      <c r="H6273" s="20" t="n">
        <f aca="false">IF(G6273&lt;Parametres!$B$8*Parametres!$B$7,0,MIN(G6273,Parametres!$B$7))</f>
        <v>0</v>
      </c>
      <c r="I6273" s="20" t="n">
        <f aca="false">G6273-H6273</f>
        <v>12.3</v>
      </c>
      <c r="J6273" s="21" t="n">
        <f aca="false">H6273*1000/Parametres!$B$9</f>
        <v>0</v>
      </c>
    </row>
    <row r="6274" customFormat="false" ht="15" hidden="false" customHeight="false" outlineLevel="0" collapsed="false">
      <c r="A6274" s="0" t="n">
        <v>6270</v>
      </c>
      <c r="B6274" s="0" t="n">
        <v>9</v>
      </c>
      <c r="C6274" s="19" t="n">
        <v>0</v>
      </c>
      <c r="D6274" s="19" t="n">
        <v>0.0689</v>
      </c>
      <c r="E6274" s="20" t="n">
        <f aca="false">Parametres!$B$5*C6274</f>
        <v>0</v>
      </c>
      <c r="F6274" s="20" t="n">
        <f aca="false">Parametres!$B$6*D6274</f>
        <v>13.78</v>
      </c>
      <c r="G6274" s="20" t="n">
        <f aca="false">E6274+F6274</f>
        <v>13.78</v>
      </c>
      <c r="H6274" s="20" t="n">
        <f aca="false">IF(G6274&lt;Parametres!$B$8*Parametres!$B$7,0,MIN(G6274,Parametres!$B$7))</f>
        <v>0</v>
      </c>
      <c r="I6274" s="20" t="n">
        <f aca="false">G6274-H6274</f>
        <v>13.78</v>
      </c>
      <c r="J6274" s="21" t="n">
        <f aca="false">H6274*1000/Parametres!$B$9</f>
        <v>0</v>
      </c>
    </row>
    <row r="6275" customFormat="false" ht="15" hidden="false" customHeight="false" outlineLevel="0" collapsed="false">
      <c r="A6275" s="0" t="n">
        <v>6271</v>
      </c>
      <c r="B6275" s="0" t="n">
        <v>9</v>
      </c>
      <c r="C6275" s="19" t="n">
        <v>0.1181</v>
      </c>
      <c r="D6275" s="19" t="n">
        <v>0.2068</v>
      </c>
      <c r="E6275" s="20" t="n">
        <f aca="false">Parametres!$B$5*C6275</f>
        <v>35.43</v>
      </c>
      <c r="F6275" s="20" t="n">
        <f aca="false">Parametres!$B$6*D6275</f>
        <v>41.36</v>
      </c>
      <c r="G6275" s="20" t="n">
        <f aca="false">E6275+F6275</f>
        <v>76.79</v>
      </c>
      <c r="H6275" s="20" t="n">
        <f aca="false">IF(G6275&lt;Parametres!$B$8*Parametres!$B$7,0,MIN(G6275,Parametres!$B$7))</f>
        <v>76.79</v>
      </c>
      <c r="I6275" s="20" t="n">
        <f aca="false">G6275-H6275</f>
        <v>0</v>
      </c>
      <c r="J6275" s="21" t="n">
        <f aca="false">H6275*1000/Parametres!$B$9</f>
        <v>1302.18755299305</v>
      </c>
    </row>
    <row r="6276" customFormat="false" ht="15" hidden="false" customHeight="false" outlineLevel="0" collapsed="false">
      <c r="A6276" s="0" t="n">
        <v>6272</v>
      </c>
      <c r="B6276" s="0" t="n">
        <v>9</v>
      </c>
      <c r="C6276" s="19" t="n">
        <v>0.4025</v>
      </c>
      <c r="D6276" s="19" t="n">
        <v>0.2047</v>
      </c>
      <c r="E6276" s="20" t="n">
        <f aca="false">Parametres!$B$5*C6276</f>
        <v>120.75</v>
      </c>
      <c r="F6276" s="20" t="n">
        <f aca="false">Parametres!$B$6*D6276</f>
        <v>40.94</v>
      </c>
      <c r="G6276" s="20" t="n">
        <f aca="false">E6276+F6276</f>
        <v>161.69</v>
      </c>
      <c r="H6276" s="20" t="n">
        <f aca="false">IF(G6276&lt;Parametres!$B$8*Parametres!$B$7,0,MIN(G6276,Parametres!$B$7))</f>
        <v>161.69</v>
      </c>
      <c r="I6276" s="20" t="n">
        <f aca="false">G6276-H6276</f>
        <v>0</v>
      </c>
      <c r="J6276" s="21" t="n">
        <f aca="false">H6276*1000/Parametres!$B$9</f>
        <v>2741.9026623707</v>
      </c>
    </row>
    <row r="6277" customFormat="false" ht="15" hidden="false" customHeight="false" outlineLevel="0" collapsed="false">
      <c r="A6277" s="0" t="n">
        <v>6273</v>
      </c>
      <c r="B6277" s="0" t="n">
        <v>9</v>
      </c>
      <c r="C6277" s="19" t="n">
        <v>0.6857</v>
      </c>
      <c r="D6277" s="19" t="n">
        <v>0.2385</v>
      </c>
      <c r="E6277" s="20" t="n">
        <f aca="false">Parametres!$B$5*C6277</f>
        <v>205.71</v>
      </c>
      <c r="F6277" s="20" t="n">
        <f aca="false">Parametres!$B$6*D6277</f>
        <v>47.7</v>
      </c>
      <c r="G6277" s="20" t="n">
        <f aca="false">E6277+F6277</f>
        <v>253.41</v>
      </c>
      <c r="H6277" s="20" t="n">
        <f aca="false">IF(G6277&lt;Parametres!$B$8*Parametres!$B$7,0,MIN(G6277,Parametres!$B$7))</f>
        <v>250</v>
      </c>
      <c r="I6277" s="20" t="n">
        <f aca="false">G6277-H6277</f>
        <v>3.40999999999997</v>
      </c>
      <c r="J6277" s="21" t="n">
        <f aca="false">H6277*1000/Parametres!$B$9</f>
        <v>4239.44378497541</v>
      </c>
    </row>
    <row r="6278" customFormat="false" ht="15" hidden="false" customHeight="false" outlineLevel="0" collapsed="false">
      <c r="A6278" s="0" t="n">
        <v>6274</v>
      </c>
      <c r="B6278" s="0" t="n">
        <v>9</v>
      </c>
      <c r="C6278" s="19" t="n">
        <v>0.909</v>
      </c>
      <c r="D6278" s="19" t="n">
        <v>0.3103</v>
      </c>
      <c r="E6278" s="20" t="n">
        <f aca="false">Parametres!$B$5*C6278</f>
        <v>272.7</v>
      </c>
      <c r="F6278" s="20" t="n">
        <f aca="false">Parametres!$B$6*D6278</f>
        <v>62.06</v>
      </c>
      <c r="G6278" s="20" t="n">
        <f aca="false">E6278+F6278</f>
        <v>334.76</v>
      </c>
      <c r="H6278" s="20" t="n">
        <f aca="false">IF(G6278&lt;Parametres!$B$8*Parametres!$B$7,0,MIN(G6278,Parametres!$B$7))</f>
        <v>250</v>
      </c>
      <c r="I6278" s="20" t="n">
        <f aca="false">G6278-H6278</f>
        <v>84.76</v>
      </c>
      <c r="J6278" s="21" t="n">
        <f aca="false">H6278*1000/Parametres!$B$9</f>
        <v>4239.44378497541</v>
      </c>
    </row>
    <row r="6279" customFormat="false" ht="15" hidden="false" customHeight="false" outlineLevel="0" collapsed="false">
      <c r="A6279" s="0" t="n">
        <v>6275</v>
      </c>
      <c r="B6279" s="0" t="n">
        <v>9</v>
      </c>
      <c r="C6279" s="19" t="n">
        <v>1</v>
      </c>
      <c r="D6279" s="19" t="n">
        <v>0.4185</v>
      </c>
      <c r="E6279" s="20" t="n">
        <f aca="false">Parametres!$B$5*C6279</f>
        <v>300</v>
      </c>
      <c r="F6279" s="20" t="n">
        <f aca="false">Parametres!$B$6*D6279</f>
        <v>83.7</v>
      </c>
      <c r="G6279" s="20" t="n">
        <f aca="false">E6279+F6279</f>
        <v>383.7</v>
      </c>
      <c r="H6279" s="20" t="n">
        <f aca="false">IF(G6279&lt;Parametres!$B$8*Parametres!$B$7,0,MIN(G6279,Parametres!$B$7))</f>
        <v>250</v>
      </c>
      <c r="I6279" s="20" t="n">
        <f aca="false">G6279-H6279</f>
        <v>133.7</v>
      </c>
      <c r="J6279" s="21" t="n">
        <f aca="false">H6279*1000/Parametres!$B$9</f>
        <v>4239.44378497541</v>
      </c>
    </row>
    <row r="6280" customFormat="false" ht="15" hidden="false" customHeight="false" outlineLevel="0" collapsed="false">
      <c r="A6280" s="0" t="n">
        <v>6276</v>
      </c>
      <c r="B6280" s="0" t="n">
        <v>9</v>
      </c>
      <c r="C6280" s="19" t="n">
        <v>1</v>
      </c>
      <c r="D6280" s="19" t="n">
        <v>0.5012</v>
      </c>
      <c r="E6280" s="20" t="n">
        <f aca="false">Parametres!$B$5*C6280</f>
        <v>300</v>
      </c>
      <c r="F6280" s="20" t="n">
        <f aca="false">Parametres!$B$6*D6280</f>
        <v>100.24</v>
      </c>
      <c r="G6280" s="20" t="n">
        <f aca="false">E6280+F6280</f>
        <v>400.24</v>
      </c>
      <c r="H6280" s="20" t="n">
        <f aca="false">IF(G6280&lt;Parametres!$B$8*Parametres!$B$7,0,MIN(G6280,Parametres!$B$7))</f>
        <v>250</v>
      </c>
      <c r="I6280" s="20" t="n">
        <f aca="false">G6280-H6280</f>
        <v>150.24</v>
      </c>
      <c r="J6280" s="21" t="n">
        <f aca="false">H6280*1000/Parametres!$B$9</f>
        <v>4239.44378497541</v>
      </c>
    </row>
    <row r="6281" customFormat="false" ht="15" hidden="false" customHeight="false" outlineLevel="0" collapsed="false">
      <c r="A6281" s="0" t="n">
        <v>6277</v>
      </c>
      <c r="B6281" s="0" t="n">
        <v>9</v>
      </c>
      <c r="C6281" s="19" t="n">
        <v>1</v>
      </c>
      <c r="D6281" s="19" t="n">
        <v>0.6203</v>
      </c>
      <c r="E6281" s="20" t="n">
        <f aca="false">Parametres!$B$5*C6281</f>
        <v>300</v>
      </c>
      <c r="F6281" s="20" t="n">
        <f aca="false">Parametres!$B$6*D6281</f>
        <v>124.06</v>
      </c>
      <c r="G6281" s="20" t="n">
        <f aca="false">E6281+F6281</f>
        <v>424.06</v>
      </c>
      <c r="H6281" s="20" t="n">
        <f aca="false">IF(G6281&lt;Parametres!$B$8*Parametres!$B$7,0,MIN(G6281,Parametres!$B$7))</f>
        <v>250</v>
      </c>
      <c r="I6281" s="20" t="n">
        <f aca="false">G6281-H6281</f>
        <v>174.06</v>
      </c>
      <c r="J6281" s="21" t="n">
        <f aca="false">H6281*1000/Parametres!$B$9</f>
        <v>4239.44378497541</v>
      </c>
    </row>
    <row r="6282" customFormat="false" ht="15" hidden="false" customHeight="false" outlineLevel="0" collapsed="false">
      <c r="A6282" s="0" t="n">
        <v>6278</v>
      </c>
      <c r="B6282" s="0" t="n">
        <v>9</v>
      </c>
      <c r="C6282" s="19" t="n">
        <v>1</v>
      </c>
      <c r="D6282" s="19" t="n">
        <v>0.9096</v>
      </c>
      <c r="E6282" s="20" t="n">
        <f aca="false">Parametres!$B$5*C6282</f>
        <v>300</v>
      </c>
      <c r="F6282" s="20" t="n">
        <f aca="false">Parametres!$B$6*D6282</f>
        <v>181.92</v>
      </c>
      <c r="G6282" s="20" t="n">
        <f aca="false">E6282+F6282</f>
        <v>481.92</v>
      </c>
      <c r="H6282" s="20" t="n">
        <f aca="false">IF(G6282&lt;Parametres!$B$8*Parametres!$B$7,0,MIN(G6282,Parametres!$B$7))</f>
        <v>250</v>
      </c>
      <c r="I6282" s="20" t="n">
        <f aca="false">G6282-H6282</f>
        <v>231.92</v>
      </c>
      <c r="J6282" s="21" t="n">
        <f aca="false">H6282*1000/Parametres!$B$9</f>
        <v>4239.44378497541</v>
      </c>
    </row>
    <row r="6283" customFormat="false" ht="15" hidden="false" customHeight="false" outlineLevel="0" collapsed="false">
      <c r="A6283" s="0" t="n">
        <v>6279</v>
      </c>
      <c r="B6283" s="0" t="n">
        <v>9</v>
      </c>
      <c r="C6283" s="19" t="n">
        <v>0.9634</v>
      </c>
      <c r="D6283" s="19" t="n">
        <v>0.806</v>
      </c>
      <c r="E6283" s="20" t="n">
        <f aca="false">Parametres!$B$5*C6283</f>
        <v>289.02</v>
      </c>
      <c r="F6283" s="20" t="n">
        <f aca="false">Parametres!$B$6*D6283</f>
        <v>161.2</v>
      </c>
      <c r="G6283" s="20" t="n">
        <f aca="false">E6283+F6283</f>
        <v>450.22</v>
      </c>
      <c r="H6283" s="20" t="n">
        <f aca="false">IF(G6283&lt;Parametres!$B$8*Parametres!$B$7,0,MIN(G6283,Parametres!$B$7))</f>
        <v>250</v>
      </c>
      <c r="I6283" s="20" t="n">
        <f aca="false">G6283-H6283</f>
        <v>200.22</v>
      </c>
      <c r="J6283" s="21" t="n">
        <f aca="false">H6283*1000/Parametres!$B$9</f>
        <v>4239.44378497541</v>
      </c>
    </row>
    <row r="6284" customFormat="false" ht="15" hidden="false" customHeight="false" outlineLevel="0" collapsed="false">
      <c r="A6284" s="0" t="n">
        <v>6280</v>
      </c>
      <c r="B6284" s="0" t="n">
        <v>9</v>
      </c>
      <c r="C6284" s="19" t="n">
        <v>0.6684</v>
      </c>
      <c r="D6284" s="19" t="n">
        <v>0.8383</v>
      </c>
      <c r="E6284" s="20" t="n">
        <f aca="false">Parametres!$B$5*C6284</f>
        <v>200.52</v>
      </c>
      <c r="F6284" s="20" t="n">
        <f aca="false">Parametres!$B$6*D6284</f>
        <v>167.66</v>
      </c>
      <c r="G6284" s="20" t="n">
        <f aca="false">E6284+F6284</f>
        <v>368.18</v>
      </c>
      <c r="H6284" s="20" t="n">
        <f aca="false">IF(G6284&lt;Parametres!$B$8*Parametres!$B$7,0,MIN(G6284,Parametres!$B$7))</f>
        <v>250</v>
      </c>
      <c r="I6284" s="20" t="n">
        <f aca="false">G6284-H6284</f>
        <v>118.18</v>
      </c>
      <c r="J6284" s="21" t="n">
        <f aca="false">H6284*1000/Parametres!$B$9</f>
        <v>4239.44378497541</v>
      </c>
    </row>
    <row r="6285" customFormat="false" ht="15" hidden="false" customHeight="false" outlineLevel="0" collapsed="false">
      <c r="A6285" s="0" t="n">
        <v>6281</v>
      </c>
      <c r="B6285" s="0" t="n">
        <v>9</v>
      </c>
      <c r="C6285" s="19" t="n">
        <v>0.3954</v>
      </c>
      <c r="D6285" s="19" t="n">
        <v>0.962</v>
      </c>
      <c r="E6285" s="20" t="n">
        <f aca="false">Parametres!$B$5*C6285</f>
        <v>118.62</v>
      </c>
      <c r="F6285" s="20" t="n">
        <f aca="false">Parametres!$B$6*D6285</f>
        <v>192.4</v>
      </c>
      <c r="G6285" s="20" t="n">
        <f aca="false">E6285+F6285</f>
        <v>311.02</v>
      </c>
      <c r="H6285" s="20" t="n">
        <f aca="false">IF(G6285&lt;Parametres!$B$8*Parametres!$B$7,0,MIN(G6285,Parametres!$B$7))</f>
        <v>250</v>
      </c>
      <c r="I6285" s="20" t="n">
        <f aca="false">G6285-H6285</f>
        <v>61.02</v>
      </c>
      <c r="J6285" s="21" t="n">
        <f aca="false">H6285*1000/Parametres!$B$9</f>
        <v>4239.44378497541</v>
      </c>
    </row>
    <row r="6286" customFormat="false" ht="15" hidden="false" customHeight="false" outlineLevel="0" collapsed="false">
      <c r="A6286" s="0" t="n">
        <v>6282</v>
      </c>
      <c r="B6286" s="0" t="n">
        <v>9</v>
      </c>
      <c r="C6286" s="19" t="n">
        <v>0.1139</v>
      </c>
      <c r="D6286" s="19" t="n">
        <v>0.8345</v>
      </c>
      <c r="E6286" s="20" t="n">
        <f aca="false">Parametres!$B$5*C6286</f>
        <v>34.17</v>
      </c>
      <c r="F6286" s="20" t="n">
        <f aca="false">Parametres!$B$6*D6286</f>
        <v>166.9</v>
      </c>
      <c r="G6286" s="20" t="n">
        <f aca="false">E6286+F6286</f>
        <v>201.07</v>
      </c>
      <c r="H6286" s="20" t="n">
        <f aca="false">IF(G6286&lt;Parametres!$B$8*Parametres!$B$7,0,MIN(G6286,Parametres!$B$7))</f>
        <v>201.07</v>
      </c>
      <c r="I6286" s="20" t="n">
        <f aca="false">G6286-H6286</f>
        <v>0</v>
      </c>
      <c r="J6286" s="21" t="n">
        <f aca="false">H6286*1000/Parametres!$B$9</f>
        <v>3409.69984738002</v>
      </c>
    </row>
    <row r="6287" customFormat="false" ht="15" hidden="false" customHeight="false" outlineLevel="0" collapsed="false">
      <c r="A6287" s="0" t="n">
        <v>6283</v>
      </c>
      <c r="B6287" s="0" t="n">
        <v>9</v>
      </c>
      <c r="C6287" s="19" t="n">
        <v>0</v>
      </c>
      <c r="D6287" s="19" t="n">
        <v>0.5478</v>
      </c>
      <c r="E6287" s="20" t="n">
        <f aca="false">Parametres!$B$5*C6287</f>
        <v>0</v>
      </c>
      <c r="F6287" s="20" t="n">
        <f aca="false">Parametres!$B$6*D6287</f>
        <v>109.56</v>
      </c>
      <c r="G6287" s="20" t="n">
        <f aca="false">E6287+F6287</f>
        <v>109.56</v>
      </c>
      <c r="H6287" s="20" t="n">
        <f aca="false">IF(G6287&lt;Parametres!$B$8*Parametres!$B$7,0,MIN(G6287,Parametres!$B$7))</f>
        <v>109.56</v>
      </c>
      <c r="I6287" s="20" t="n">
        <f aca="false">G6287-H6287</f>
        <v>0</v>
      </c>
      <c r="J6287" s="21" t="n">
        <f aca="false">H6287*1000/Parametres!$B$9</f>
        <v>1857.89384432762</v>
      </c>
    </row>
    <row r="6288" customFormat="false" ht="15" hidden="false" customHeight="false" outlineLevel="0" collapsed="false">
      <c r="A6288" s="0" t="n">
        <v>6284</v>
      </c>
      <c r="B6288" s="0" t="n">
        <v>9</v>
      </c>
      <c r="C6288" s="19" t="n">
        <v>0</v>
      </c>
      <c r="D6288" s="19" t="n">
        <v>0.5767</v>
      </c>
      <c r="E6288" s="20" t="n">
        <f aca="false">Parametres!$B$5*C6288</f>
        <v>0</v>
      </c>
      <c r="F6288" s="20" t="n">
        <f aca="false">Parametres!$B$6*D6288</f>
        <v>115.34</v>
      </c>
      <c r="G6288" s="20" t="n">
        <f aca="false">E6288+F6288</f>
        <v>115.34</v>
      </c>
      <c r="H6288" s="20" t="n">
        <f aca="false">IF(G6288&lt;Parametres!$B$8*Parametres!$B$7,0,MIN(G6288,Parametres!$B$7))</f>
        <v>115.34</v>
      </c>
      <c r="I6288" s="20" t="n">
        <f aca="false">G6288-H6288</f>
        <v>0</v>
      </c>
      <c r="J6288" s="21" t="n">
        <f aca="false">H6288*1000/Parametres!$B$9</f>
        <v>1955.90978463626</v>
      </c>
    </row>
    <row r="6289" customFormat="false" ht="15" hidden="false" customHeight="false" outlineLevel="0" collapsed="false">
      <c r="A6289" s="0" t="n">
        <v>6285</v>
      </c>
      <c r="B6289" s="0" t="n">
        <v>9</v>
      </c>
      <c r="C6289" s="19" t="n">
        <v>0</v>
      </c>
      <c r="D6289" s="19" t="n">
        <v>0.5904</v>
      </c>
      <c r="E6289" s="20" t="n">
        <f aca="false">Parametres!$B$5*C6289</f>
        <v>0</v>
      </c>
      <c r="F6289" s="20" t="n">
        <f aca="false">Parametres!$B$6*D6289</f>
        <v>118.08</v>
      </c>
      <c r="G6289" s="20" t="n">
        <f aca="false">E6289+F6289</f>
        <v>118.08</v>
      </c>
      <c r="H6289" s="20" t="n">
        <f aca="false">IF(G6289&lt;Parametres!$B$8*Parametres!$B$7,0,MIN(G6289,Parametres!$B$7))</f>
        <v>118.08</v>
      </c>
      <c r="I6289" s="20" t="n">
        <f aca="false">G6289-H6289</f>
        <v>0</v>
      </c>
      <c r="J6289" s="21" t="n">
        <f aca="false">H6289*1000/Parametres!$B$9</f>
        <v>2002.37408851959</v>
      </c>
    </row>
    <row r="6290" customFormat="false" ht="15" hidden="false" customHeight="false" outlineLevel="0" collapsed="false">
      <c r="A6290" s="0" t="n">
        <v>6286</v>
      </c>
      <c r="B6290" s="0" t="n">
        <v>9</v>
      </c>
      <c r="C6290" s="19" t="n">
        <v>0</v>
      </c>
      <c r="D6290" s="19" t="n">
        <v>0.3945</v>
      </c>
      <c r="E6290" s="20" t="n">
        <f aca="false">Parametres!$B$5*C6290</f>
        <v>0</v>
      </c>
      <c r="F6290" s="20" t="n">
        <f aca="false">Parametres!$B$6*D6290</f>
        <v>78.9</v>
      </c>
      <c r="G6290" s="20" t="n">
        <f aca="false">E6290+F6290</f>
        <v>78.9</v>
      </c>
      <c r="H6290" s="20" t="n">
        <f aca="false">IF(G6290&lt;Parametres!$B$8*Parametres!$B$7,0,MIN(G6290,Parametres!$B$7))</f>
        <v>78.9</v>
      </c>
      <c r="I6290" s="20" t="n">
        <f aca="false">G6290-H6290</f>
        <v>0</v>
      </c>
      <c r="J6290" s="21" t="n">
        <f aca="false">H6290*1000/Parametres!$B$9</f>
        <v>1337.96845853824</v>
      </c>
    </row>
    <row r="6291" customFormat="false" ht="15" hidden="false" customHeight="false" outlineLevel="0" collapsed="false">
      <c r="A6291" s="0" t="n">
        <v>6287</v>
      </c>
      <c r="B6291" s="0" t="n">
        <v>9</v>
      </c>
      <c r="C6291" s="19" t="n">
        <v>0</v>
      </c>
      <c r="D6291" s="19" t="n">
        <v>0.2302</v>
      </c>
      <c r="E6291" s="20" t="n">
        <f aca="false">Parametres!$B$5*C6291</f>
        <v>0</v>
      </c>
      <c r="F6291" s="20" t="n">
        <f aca="false">Parametres!$B$6*D6291</f>
        <v>46.04</v>
      </c>
      <c r="G6291" s="20" t="n">
        <f aca="false">E6291+F6291</f>
        <v>46.04</v>
      </c>
      <c r="H6291" s="20" t="n">
        <f aca="false">IF(G6291&lt;Parametres!$B$8*Parametres!$B$7,0,MIN(G6291,Parametres!$B$7))</f>
        <v>46.04</v>
      </c>
      <c r="I6291" s="20" t="n">
        <f aca="false">G6291-H6291</f>
        <v>0</v>
      </c>
      <c r="J6291" s="21" t="n">
        <f aca="false">H6291*1000/Parametres!$B$9</f>
        <v>780.735967441072</v>
      </c>
    </row>
    <row r="6292" customFormat="false" ht="15" hidden="false" customHeight="false" outlineLevel="0" collapsed="false">
      <c r="A6292" s="0" t="n">
        <v>6288</v>
      </c>
      <c r="B6292" s="0" t="n">
        <v>9</v>
      </c>
      <c r="C6292" s="19" t="n">
        <v>0</v>
      </c>
      <c r="D6292" s="19" t="n">
        <v>0.0657</v>
      </c>
      <c r="E6292" s="20" t="n">
        <f aca="false">Parametres!$B$5*C6292</f>
        <v>0</v>
      </c>
      <c r="F6292" s="20" t="n">
        <f aca="false">Parametres!$B$6*D6292</f>
        <v>13.14</v>
      </c>
      <c r="G6292" s="20" t="n">
        <f aca="false">E6292+F6292</f>
        <v>13.14</v>
      </c>
      <c r="H6292" s="20" t="n">
        <f aca="false">IF(G6292&lt;Parametres!$B$8*Parametres!$B$7,0,MIN(G6292,Parametres!$B$7))</f>
        <v>0</v>
      </c>
      <c r="I6292" s="20" t="n">
        <f aca="false">G6292-H6292</f>
        <v>13.14</v>
      </c>
      <c r="J6292" s="21" t="n">
        <f aca="false">H6292*1000/Parametres!$B$9</f>
        <v>0</v>
      </c>
    </row>
    <row r="6293" customFormat="false" ht="15" hidden="false" customHeight="false" outlineLevel="0" collapsed="false">
      <c r="A6293" s="0" t="n">
        <v>6289</v>
      </c>
      <c r="B6293" s="0" t="n">
        <v>9</v>
      </c>
      <c r="C6293" s="19" t="n">
        <v>0</v>
      </c>
      <c r="D6293" s="19" t="n">
        <v>0.0235</v>
      </c>
      <c r="E6293" s="20" t="n">
        <f aca="false">Parametres!$B$5*C6293</f>
        <v>0</v>
      </c>
      <c r="F6293" s="20" t="n">
        <f aca="false">Parametres!$B$6*D6293</f>
        <v>4.7</v>
      </c>
      <c r="G6293" s="20" t="n">
        <f aca="false">E6293+F6293</f>
        <v>4.7</v>
      </c>
      <c r="H6293" s="20" t="n">
        <f aca="false">IF(G6293&lt;Parametres!$B$8*Parametres!$B$7,0,MIN(G6293,Parametres!$B$7))</f>
        <v>0</v>
      </c>
      <c r="I6293" s="20" t="n">
        <f aca="false">G6293-H6293</f>
        <v>4.7</v>
      </c>
      <c r="J6293" s="21" t="n">
        <f aca="false">H6293*1000/Parametres!$B$9</f>
        <v>0</v>
      </c>
    </row>
    <row r="6294" customFormat="false" ht="15" hidden="false" customHeight="false" outlineLevel="0" collapsed="false">
      <c r="A6294" s="0" t="n">
        <v>6290</v>
      </c>
      <c r="B6294" s="0" t="n">
        <v>9</v>
      </c>
      <c r="C6294" s="19" t="n">
        <v>0</v>
      </c>
      <c r="D6294" s="19" t="n">
        <v>0.0242</v>
      </c>
      <c r="E6294" s="20" t="n">
        <f aca="false">Parametres!$B$5*C6294</f>
        <v>0</v>
      </c>
      <c r="F6294" s="20" t="n">
        <f aca="false">Parametres!$B$6*D6294</f>
        <v>4.84</v>
      </c>
      <c r="G6294" s="20" t="n">
        <f aca="false">E6294+F6294</f>
        <v>4.84</v>
      </c>
      <c r="H6294" s="20" t="n">
        <f aca="false">IF(G6294&lt;Parametres!$B$8*Parametres!$B$7,0,MIN(G6294,Parametres!$B$7))</f>
        <v>0</v>
      </c>
      <c r="I6294" s="20" t="n">
        <f aca="false">G6294-H6294</f>
        <v>4.84</v>
      </c>
      <c r="J6294" s="21" t="n">
        <f aca="false">H6294*1000/Parametres!$B$9</f>
        <v>0</v>
      </c>
    </row>
    <row r="6295" customFormat="false" ht="15" hidden="false" customHeight="false" outlineLevel="0" collapsed="false">
      <c r="A6295" s="0" t="n">
        <v>6291</v>
      </c>
      <c r="B6295" s="0" t="n">
        <v>9</v>
      </c>
      <c r="C6295" s="19" t="n">
        <v>0</v>
      </c>
      <c r="D6295" s="19" t="n">
        <v>0.0021</v>
      </c>
      <c r="E6295" s="20" t="n">
        <f aca="false">Parametres!$B$5*C6295</f>
        <v>0</v>
      </c>
      <c r="F6295" s="20" t="n">
        <f aca="false">Parametres!$B$6*D6295</f>
        <v>0.42</v>
      </c>
      <c r="G6295" s="20" t="n">
        <f aca="false">E6295+F6295</f>
        <v>0.42</v>
      </c>
      <c r="H6295" s="20" t="n">
        <f aca="false">IF(G6295&lt;Parametres!$B$8*Parametres!$B$7,0,MIN(G6295,Parametres!$B$7))</f>
        <v>0</v>
      </c>
      <c r="I6295" s="20" t="n">
        <f aca="false">G6295-H6295</f>
        <v>0.42</v>
      </c>
      <c r="J6295" s="21" t="n">
        <f aca="false">H6295*1000/Parametres!$B$9</f>
        <v>0</v>
      </c>
    </row>
    <row r="6296" customFormat="false" ht="15" hidden="false" customHeight="false" outlineLevel="0" collapsed="false">
      <c r="A6296" s="0" t="n">
        <v>6292</v>
      </c>
      <c r="B6296" s="0" t="n">
        <v>9</v>
      </c>
      <c r="C6296" s="19" t="n">
        <v>0</v>
      </c>
      <c r="D6296" s="19" t="n">
        <v>0.0013</v>
      </c>
      <c r="E6296" s="20" t="n">
        <f aca="false">Parametres!$B$5*C6296</f>
        <v>0</v>
      </c>
      <c r="F6296" s="20" t="n">
        <f aca="false">Parametres!$B$6*D6296</f>
        <v>0.26</v>
      </c>
      <c r="G6296" s="20" t="n">
        <f aca="false">E6296+F6296</f>
        <v>0.26</v>
      </c>
      <c r="H6296" s="20" t="n">
        <f aca="false">IF(G6296&lt;Parametres!$B$8*Parametres!$B$7,0,MIN(G6296,Parametres!$B$7))</f>
        <v>0</v>
      </c>
      <c r="I6296" s="20" t="n">
        <f aca="false">G6296-H6296</f>
        <v>0.26</v>
      </c>
      <c r="J6296" s="21" t="n">
        <f aca="false">H6296*1000/Parametres!$B$9</f>
        <v>0</v>
      </c>
    </row>
    <row r="6297" customFormat="false" ht="15" hidden="false" customHeight="false" outlineLevel="0" collapsed="false">
      <c r="A6297" s="0" t="n">
        <v>6293</v>
      </c>
      <c r="B6297" s="0" t="n">
        <v>9</v>
      </c>
      <c r="C6297" s="19" t="n">
        <v>0</v>
      </c>
      <c r="D6297" s="19" t="n">
        <v>0.0016</v>
      </c>
      <c r="E6297" s="20" t="n">
        <f aca="false">Parametres!$B$5*C6297</f>
        <v>0</v>
      </c>
      <c r="F6297" s="20" t="n">
        <f aca="false">Parametres!$B$6*D6297</f>
        <v>0.32</v>
      </c>
      <c r="G6297" s="20" t="n">
        <f aca="false">E6297+F6297</f>
        <v>0.32</v>
      </c>
      <c r="H6297" s="20" t="n">
        <f aca="false">IF(G6297&lt;Parametres!$B$8*Parametres!$B$7,0,MIN(G6297,Parametres!$B$7))</f>
        <v>0</v>
      </c>
      <c r="I6297" s="20" t="n">
        <f aca="false">G6297-H6297</f>
        <v>0.32</v>
      </c>
      <c r="J6297" s="21" t="n">
        <f aca="false">H6297*1000/Parametres!$B$9</f>
        <v>0</v>
      </c>
    </row>
    <row r="6298" customFormat="false" ht="15" hidden="false" customHeight="false" outlineLevel="0" collapsed="false">
      <c r="A6298" s="0" t="n">
        <v>6294</v>
      </c>
      <c r="B6298" s="0" t="n">
        <v>9</v>
      </c>
      <c r="C6298" s="19" t="n">
        <v>0</v>
      </c>
      <c r="D6298" s="19" t="n">
        <v>0.0007</v>
      </c>
      <c r="E6298" s="20" t="n">
        <f aca="false">Parametres!$B$5*C6298</f>
        <v>0</v>
      </c>
      <c r="F6298" s="20" t="n">
        <f aca="false">Parametres!$B$6*D6298</f>
        <v>0.14</v>
      </c>
      <c r="G6298" s="20" t="n">
        <f aca="false">E6298+F6298</f>
        <v>0.14</v>
      </c>
      <c r="H6298" s="20" t="n">
        <f aca="false">IF(G6298&lt;Parametres!$B$8*Parametres!$B$7,0,MIN(G6298,Parametres!$B$7))</f>
        <v>0</v>
      </c>
      <c r="I6298" s="20" t="n">
        <f aca="false">G6298-H6298</f>
        <v>0.14</v>
      </c>
      <c r="J6298" s="21" t="n">
        <f aca="false">H6298*1000/Parametres!$B$9</f>
        <v>0</v>
      </c>
    </row>
    <row r="6299" customFormat="false" ht="15" hidden="false" customHeight="false" outlineLevel="0" collapsed="false">
      <c r="A6299" s="0" t="n">
        <v>6295</v>
      </c>
      <c r="B6299" s="0" t="n">
        <v>9</v>
      </c>
      <c r="C6299" s="19" t="n">
        <v>0.0838</v>
      </c>
      <c r="D6299" s="19" t="n">
        <v>0.0002</v>
      </c>
      <c r="E6299" s="20" t="n">
        <f aca="false">Parametres!$B$5*C6299</f>
        <v>25.14</v>
      </c>
      <c r="F6299" s="20" t="n">
        <f aca="false">Parametres!$B$6*D6299</f>
        <v>0.04</v>
      </c>
      <c r="G6299" s="20" t="n">
        <f aca="false">E6299+F6299</f>
        <v>25.18</v>
      </c>
      <c r="H6299" s="20" t="n">
        <f aca="false">IF(G6299&lt;Parametres!$B$8*Parametres!$B$7,0,MIN(G6299,Parametres!$B$7))</f>
        <v>25.18</v>
      </c>
      <c r="I6299" s="20" t="n">
        <f aca="false">G6299-H6299</f>
        <v>0</v>
      </c>
      <c r="J6299" s="21" t="n">
        <f aca="false">H6299*1000/Parametres!$B$9</f>
        <v>426.996778022723</v>
      </c>
    </row>
    <row r="6300" customFormat="false" ht="15" hidden="false" customHeight="false" outlineLevel="0" collapsed="false">
      <c r="A6300" s="0" t="n">
        <v>6296</v>
      </c>
      <c r="B6300" s="0" t="n">
        <v>9</v>
      </c>
      <c r="C6300" s="19" t="n">
        <v>0.3064</v>
      </c>
      <c r="D6300" s="19" t="n">
        <v>0.0021</v>
      </c>
      <c r="E6300" s="20" t="n">
        <f aca="false">Parametres!$B$5*C6300</f>
        <v>91.92</v>
      </c>
      <c r="F6300" s="20" t="n">
        <f aca="false">Parametres!$B$6*D6300</f>
        <v>0.42</v>
      </c>
      <c r="G6300" s="20" t="n">
        <f aca="false">E6300+F6300</f>
        <v>92.34</v>
      </c>
      <c r="H6300" s="20" t="n">
        <f aca="false">IF(G6300&lt;Parametres!$B$8*Parametres!$B$7,0,MIN(G6300,Parametres!$B$7))</f>
        <v>92.34</v>
      </c>
      <c r="I6300" s="20" t="n">
        <f aca="false">G6300-H6300</f>
        <v>0</v>
      </c>
      <c r="J6300" s="21" t="n">
        <f aca="false">H6300*1000/Parametres!$B$9</f>
        <v>1565.88095641852</v>
      </c>
    </row>
    <row r="6301" customFormat="false" ht="15" hidden="false" customHeight="false" outlineLevel="0" collapsed="false">
      <c r="A6301" s="0" t="n">
        <v>6297</v>
      </c>
      <c r="B6301" s="0" t="n">
        <v>9</v>
      </c>
      <c r="C6301" s="19" t="n">
        <v>0.4452</v>
      </c>
      <c r="D6301" s="19" t="n">
        <v>0.0051</v>
      </c>
      <c r="E6301" s="20" t="n">
        <f aca="false">Parametres!$B$5*C6301</f>
        <v>133.56</v>
      </c>
      <c r="F6301" s="20" t="n">
        <f aca="false">Parametres!$B$6*D6301</f>
        <v>1.02</v>
      </c>
      <c r="G6301" s="20" t="n">
        <f aca="false">E6301+F6301</f>
        <v>134.58</v>
      </c>
      <c r="H6301" s="20" t="n">
        <f aca="false">IF(G6301&lt;Parametres!$B$8*Parametres!$B$7,0,MIN(G6301,Parametres!$B$7))</f>
        <v>134.58</v>
      </c>
      <c r="I6301" s="20" t="n">
        <f aca="false">G6301-H6301</f>
        <v>0</v>
      </c>
      <c r="J6301" s="21" t="n">
        <f aca="false">H6301*1000/Parametres!$B$9</f>
        <v>2282.17737832796</v>
      </c>
    </row>
    <row r="6302" customFormat="false" ht="15" hidden="false" customHeight="false" outlineLevel="0" collapsed="false">
      <c r="A6302" s="0" t="n">
        <v>6298</v>
      </c>
      <c r="B6302" s="0" t="n">
        <v>9</v>
      </c>
      <c r="C6302" s="19" t="n">
        <v>0.6456</v>
      </c>
      <c r="D6302" s="19" t="n">
        <v>0.0017</v>
      </c>
      <c r="E6302" s="20" t="n">
        <f aca="false">Parametres!$B$5*C6302</f>
        <v>193.68</v>
      </c>
      <c r="F6302" s="20" t="n">
        <f aca="false">Parametres!$B$6*D6302</f>
        <v>0.34</v>
      </c>
      <c r="G6302" s="20" t="n">
        <f aca="false">E6302+F6302</f>
        <v>194.02</v>
      </c>
      <c r="H6302" s="20" t="n">
        <f aca="false">IF(G6302&lt;Parametres!$B$8*Parametres!$B$7,0,MIN(G6302,Parametres!$B$7))</f>
        <v>194.02</v>
      </c>
      <c r="I6302" s="20" t="n">
        <f aca="false">G6302-H6302</f>
        <v>0</v>
      </c>
      <c r="J6302" s="21" t="n">
        <f aca="false">H6302*1000/Parametres!$B$9</f>
        <v>3290.14753264372</v>
      </c>
    </row>
    <row r="6303" customFormat="false" ht="15" hidden="false" customHeight="false" outlineLevel="0" collapsed="false">
      <c r="A6303" s="0" t="n">
        <v>6299</v>
      </c>
      <c r="B6303" s="0" t="n">
        <v>9</v>
      </c>
      <c r="C6303" s="19" t="n">
        <v>0.7817</v>
      </c>
      <c r="D6303" s="19" t="n">
        <v>0.0088</v>
      </c>
      <c r="E6303" s="20" t="n">
        <f aca="false">Parametres!$B$5*C6303</f>
        <v>234.51</v>
      </c>
      <c r="F6303" s="20" t="n">
        <f aca="false">Parametres!$B$6*D6303</f>
        <v>1.76</v>
      </c>
      <c r="G6303" s="20" t="n">
        <f aca="false">E6303+F6303</f>
        <v>236.27</v>
      </c>
      <c r="H6303" s="20" t="n">
        <f aca="false">IF(G6303&lt;Parametres!$B$8*Parametres!$B$7,0,MIN(G6303,Parametres!$B$7))</f>
        <v>236.27</v>
      </c>
      <c r="I6303" s="20" t="n">
        <f aca="false">G6303-H6303</f>
        <v>0</v>
      </c>
      <c r="J6303" s="21" t="n">
        <f aca="false">H6303*1000/Parametres!$B$9</f>
        <v>4006.61353230456</v>
      </c>
    </row>
    <row r="6304" customFormat="false" ht="15" hidden="false" customHeight="false" outlineLevel="0" collapsed="false">
      <c r="A6304" s="0" t="n">
        <v>6300</v>
      </c>
      <c r="B6304" s="0" t="n">
        <v>9</v>
      </c>
      <c r="C6304" s="19" t="n">
        <v>0.8296</v>
      </c>
      <c r="D6304" s="19" t="n">
        <v>0.0462</v>
      </c>
      <c r="E6304" s="20" t="n">
        <f aca="false">Parametres!$B$5*C6304</f>
        <v>248.88</v>
      </c>
      <c r="F6304" s="20" t="n">
        <f aca="false">Parametres!$B$6*D6304</f>
        <v>9.24</v>
      </c>
      <c r="G6304" s="20" t="n">
        <f aca="false">E6304+F6304</f>
        <v>258.12</v>
      </c>
      <c r="H6304" s="20" t="n">
        <f aca="false">IF(G6304&lt;Parametres!$B$8*Parametres!$B$7,0,MIN(G6304,Parametres!$B$7))</f>
        <v>250</v>
      </c>
      <c r="I6304" s="20" t="n">
        <f aca="false">G6304-H6304</f>
        <v>8.12000000000001</v>
      </c>
      <c r="J6304" s="21" t="n">
        <f aca="false">H6304*1000/Parametres!$B$9</f>
        <v>4239.44378497541</v>
      </c>
    </row>
    <row r="6305" customFormat="false" ht="15" hidden="false" customHeight="false" outlineLevel="0" collapsed="false">
      <c r="A6305" s="0" t="n">
        <v>6301</v>
      </c>
      <c r="B6305" s="0" t="n">
        <v>9</v>
      </c>
      <c r="C6305" s="19" t="n">
        <v>0.8263</v>
      </c>
      <c r="D6305" s="19" t="n">
        <v>0.0297</v>
      </c>
      <c r="E6305" s="20" t="n">
        <f aca="false">Parametres!$B$5*C6305</f>
        <v>247.89</v>
      </c>
      <c r="F6305" s="20" t="n">
        <f aca="false">Parametres!$B$6*D6305</f>
        <v>5.94</v>
      </c>
      <c r="G6305" s="20" t="n">
        <f aca="false">E6305+F6305</f>
        <v>253.83</v>
      </c>
      <c r="H6305" s="20" t="n">
        <f aca="false">IF(G6305&lt;Parametres!$B$8*Parametres!$B$7,0,MIN(G6305,Parametres!$B$7))</f>
        <v>250</v>
      </c>
      <c r="I6305" s="20" t="n">
        <f aca="false">G6305-H6305</f>
        <v>3.83000000000001</v>
      </c>
      <c r="J6305" s="21" t="n">
        <f aca="false">H6305*1000/Parametres!$B$9</f>
        <v>4239.44378497541</v>
      </c>
    </row>
    <row r="6306" customFormat="false" ht="15" hidden="false" customHeight="false" outlineLevel="0" collapsed="false">
      <c r="A6306" s="0" t="n">
        <v>6302</v>
      </c>
      <c r="B6306" s="0" t="n">
        <v>9</v>
      </c>
      <c r="C6306" s="19" t="n">
        <v>0.7503</v>
      </c>
      <c r="D6306" s="19" t="n">
        <v>0.015</v>
      </c>
      <c r="E6306" s="20" t="n">
        <f aca="false">Parametres!$B$5*C6306</f>
        <v>225.09</v>
      </c>
      <c r="F6306" s="20" t="n">
        <f aca="false">Parametres!$B$6*D6306</f>
        <v>3</v>
      </c>
      <c r="G6306" s="20" t="n">
        <f aca="false">E6306+F6306</f>
        <v>228.09</v>
      </c>
      <c r="H6306" s="20" t="n">
        <f aca="false">IF(G6306&lt;Parametres!$B$8*Parametres!$B$7,0,MIN(G6306,Parametres!$B$7))</f>
        <v>228.09</v>
      </c>
      <c r="I6306" s="20" t="n">
        <f aca="false">G6306-H6306</f>
        <v>0</v>
      </c>
      <c r="J6306" s="21" t="n">
        <f aca="false">H6306*1000/Parametres!$B$9</f>
        <v>3867.89893166017</v>
      </c>
    </row>
    <row r="6307" customFormat="false" ht="15" hidden="false" customHeight="false" outlineLevel="0" collapsed="false">
      <c r="A6307" s="0" t="n">
        <v>6303</v>
      </c>
      <c r="B6307" s="0" t="n">
        <v>9</v>
      </c>
      <c r="C6307" s="19" t="n">
        <v>0.6683</v>
      </c>
      <c r="D6307" s="19" t="n">
        <v>0.0101</v>
      </c>
      <c r="E6307" s="20" t="n">
        <f aca="false">Parametres!$B$5*C6307</f>
        <v>200.49</v>
      </c>
      <c r="F6307" s="20" t="n">
        <f aca="false">Parametres!$B$6*D6307</f>
        <v>2.02</v>
      </c>
      <c r="G6307" s="20" t="n">
        <f aca="false">E6307+F6307</f>
        <v>202.51</v>
      </c>
      <c r="H6307" s="20" t="n">
        <f aca="false">IF(G6307&lt;Parametres!$B$8*Parametres!$B$7,0,MIN(G6307,Parametres!$B$7))</f>
        <v>202.51</v>
      </c>
      <c r="I6307" s="20" t="n">
        <f aca="false">G6307-H6307</f>
        <v>0</v>
      </c>
      <c r="J6307" s="21" t="n">
        <f aca="false">H6307*1000/Parametres!$B$9</f>
        <v>3434.11904358148</v>
      </c>
    </row>
    <row r="6308" customFormat="false" ht="15" hidden="false" customHeight="false" outlineLevel="0" collapsed="false">
      <c r="A6308" s="0" t="n">
        <v>6304</v>
      </c>
      <c r="B6308" s="0" t="n">
        <v>9</v>
      </c>
      <c r="C6308" s="19" t="n">
        <v>0.4398</v>
      </c>
      <c r="D6308" s="19" t="n">
        <v>0.0164</v>
      </c>
      <c r="E6308" s="20" t="n">
        <f aca="false">Parametres!$B$5*C6308</f>
        <v>131.94</v>
      </c>
      <c r="F6308" s="20" t="n">
        <f aca="false">Parametres!$B$6*D6308</f>
        <v>3.28</v>
      </c>
      <c r="G6308" s="20" t="n">
        <f aca="false">E6308+F6308</f>
        <v>135.22</v>
      </c>
      <c r="H6308" s="20" t="n">
        <f aca="false">IF(G6308&lt;Parametres!$B$8*Parametres!$B$7,0,MIN(G6308,Parametres!$B$7))</f>
        <v>135.22</v>
      </c>
      <c r="I6308" s="20" t="n">
        <f aca="false">G6308-H6308</f>
        <v>0</v>
      </c>
      <c r="J6308" s="21" t="n">
        <f aca="false">H6308*1000/Parametres!$B$9</f>
        <v>2293.0303544175</v>
      </c>
    </row>
    <row r="6309" customFormat="false" ht="15" hidden="false" customHeight="false" outlineLevel="0" collapsed="false">
      <c r="A6309" s="0" t="n">
        <v>6305</v>
      </c>
      <c r="B6309" s="0" t="n">
        <v>9</v>
      </c>
      <c r="C6309" s="19" t="n">
        <v>0.2667</v>
      </c>
      <c r="D6309" s="19" t="n">
        <v>0.017</v>
      </c>
      <c r="E6309" s="20" t="n">
        <f aca="false">Parametres!$B$5*C6309</f>
        <v>80.01</v>
      </c>
      <c r="F6309" s="20" t="n">
        <f aca="false">Parametres!$B$6*D6309</f>
        <v>3.4</v>
      </c>
      <c r="G6309" s="20" t="n">
        <f aca="false">E6309+F6309</f>
        <v>83.41</v>
      </c>
      <c r="H6309" s="20" t="n">
        <f aca="false">IF(G6309&lt;Parametres!$B$8*Parametres!$B$7,0,MIN(G6309,Parametres!$B$7))</f>
        <v>83.41</v>
      </c>
      <c r="I6309" s="20" t="n">
        <f aca="false">G6309-H6309</f>
        <v>0</v>
      </c>
      <c r="J6309" s="21" t="n">
        <f aca="false">H6309*1000/Parametres!$B$9</f>
        <v>1414.4480244192</v>
      </c>
    </row>
    <row r="6310" customFormat="false" ht="15" hidden="false" customHeight="false" outlineLevel="0" collapsed="false">
      <c r="A6310" s="0" t="n">
        <v>6306</v>
      </c>
      <c r="B6310" s="0" t="n">
        <v>9</v>
      </c>
      <c r="C6310" s="19" t="n">
        <v>0.079</v>
      </c>
      <c r="D6310" s="19" t="n">
        <v>0.0127</v>
      </c>
      <c r="E6310" s="20" t="n">
        <f aca="false">Parametres!$B$5*C6310</f>
        <v>23.7</v>
      </c>
      <c r="F6310" s="20" t="n">
        <f aca="false">Parametres!$B$6*D6310</f>
        <v>2.54</v>
      </c>
      <c r="G6310" s="20" t="n">
        <f aca="false">E6310+F6310</f>
        <v>26.24</v>
      </c>
      <c r="H6310" s="20" t="n">
        <f aca="false">IF(G6310&lt;Parametres!$B$8*Parametres!$B$7,0,MIN(G6310,Parametres!$B$7))</f>
        <v>26.24</v>
      </c>
      <c r="I6310" s="20" t="n">
        <f aca="false">G6310-H6310</f>
        <v>0</v>
      </c>
      <c r="J6310" s="21" t="n">
        <f aca="false">H6310*1000/Parametres!$B$9</f>
        <v>444.972019671019</v>
      </c>
    </row>
    <row r="6311" customFormat="false" ht="15" hidden="false" customHeight="false" outlineLevel="0" collapsed="false">
      <c r="A6311" s="0" t="n">
        <v>6307</v>
      </c>
      <c r="B6311" s="0" t="n">
        <v>9</v>
      </c>
      <c r="C6311" s="19" t="n">
        <v>0</v>
      </c>
      <c r="D6311" s="19" t="n">
        <v>0.0034</v>
      </c>
      <c r="E6311" s="20" t="n">
        <f aca="false">Parametres!$B$5*C6311</f>
        <v>0</v>
      </c>
      <c r="F6311" s="20" t="n">
        <f aca="false">Parametres!$B$6*D6311</f>
        <v>0.68</v>
      </c>
      <c r="G6311" s="20" t="n">
        <f aca="false">E6311+F6311</f>
        <v>0.68</v>
      </c>
      <c r="H6311" s="20" t="n">
        <f aca="false">IF(G6311&lt;Parametres!$B$8*Parametres!$B$7,0,MIN(G6311,Parametres!$B$7))</f>
        <v>0</v>
      </c>
      <c r="I6311" s="20" t="n">
        <f aca="false">G6311-H6311</f>
        <v>0.68</v>
      </c>
      <c r="J6311" s="21" t="n">
        <f aca="false">H6311*1000/Parametres!$B$9</f>
        <v>0</v>
      </c>
    </row>
    <row r="6312" customFormat="false" ht="15" hidden="false" customHeight="false" outlineLevel="0" collapsed="false">
      <c r="A6312" s="0" t="n">
        <v>6308</v>
      </c>
      <c r="B6312" s="0" t="n">
        <v>9</v>
      </c>
      <c r="C6312" s="19" t="n">
        <v>0</v>
      </c>
      <c r="D6312" s="19" t="n">
        <v>0.008</v>
      </c>
      <c r="E6312" s="20" t="n">
        <f aca="false">Parametres!$B$5*C6312</f>
        <v>0</v>
      </c>
      <c r="F6312" s="20" t="n">
        <f aca="false">Parametres!$B$6*D6312</f>
        <v>1.6</v>
      </c>
      <c r="G6312" s="20" t="n">
        <f aca="false">E6312+F6312</f>
        <v>1.6</v>
      </c>
      <c r="H6312" s="20" t="n">
        <f aca="false">IF(G6312&lt;Parametres!$B$8*Parametres!$B$7,0,MIN(G6312,Parametres!$B$7))</f>
        <v>0</v>
      </c>
      <c r="I6312" s="20" t="n">
        <f aca="false">G6312-H6312</f>
        <v>1.6</v>
      </c>
      <c r="J6312" s="21" t="n">
        <f aca="false">H6312*1000/Parametres!$B$9</f>
        <v>0</v>
      </c>
    </row>
    <row r="6313" customFormat="false" ht="15" hidden="false" customHeight="false" outlineLevel="0" collapsed="false">
      <c r="A6313" s="0" t="n">
        <v>6309</v>
      </c>
      <c r="B6313" s="0" t="n">
        <v>9</v>
      </c>
      <c r="C6313" s="19" t="n">
        <v>0</v>
      </c>
      <c r="D6313" s="19" t="n">
        <v>0.007</v>
      </c>
      <c r="E6313" s="20" t="n">
        <f aca="false">Parametres!$B$5*C6313</f>
        <v>0</v>
      </c>
      <c r="F6313" s="20" t="n">
        <f aca="false">Parametres!$B$6*D6313</f>
        <v>1.4</v>
      </c>
      <c r="G6313" s="20" t="n">
        <f aca="false">E6313+F6313</f>
        <v>1.4</v>
      </c>
      <c r="H6313" s="20" t="n">
        <f aca="false">IF(G6313&lt;Parametres!$B$8*Parametres!$B$7,0,MIN(G6313,Parametres!$B$7))</f>
        <v>0</v>
      </c>
      <c r="I6313" s="20" t="n">
        <f aca="false">G6313-H6313</f>
        <v>1.4</v>
      </c>
      <c r="J6313" s="21" t="n">
        <f aca="false">H6313*1000/Parametres!$B$9</f>
        <v>0</v>
      </c>
    </row>
    <row r="6314" customFormat="false" ht="15" hidden="false" customHeight="false" outlineLevel="0" collapsed="false">
      <c r="A6314" s="0" t="n">
        <v>6310</v>
      </c>
      <c r="B6314" s="0" t="n">
        <v>9</v>
      </c>
      <c r="C6314" s="19" t="n">
        <v>0</v>
      </c>
      <c r="D6314" s="19" t="n">
        <v>0.0067</v>
      </c>
      <c r="E6314" s="20" t="n">
        <f aca="false">Parametres!$B$5*C6314</f>
        <v>0</v>
      </c>
      <c r="F6314" s="20" t="n">
        <f aca="false">Parametres!$B$6*D6314</f>
        <v>1.34</v>
      </c>
      <c r="G6314" s="20" t="n">
        <f aca="false">E6314+F6314</f>
        <v>1.34</v>
      </c>
      <c r="H6314" s="20" t="n">
        <f aca="false">IF(G6314&lt;Parametres!$B$8*Parametres!$B$7,0,MIN(G6314,Parametres!$B$7))</f>
        <v>0</v>
      </c>
      <c r="I6314" s="20" t="n">
        <f aca="false">G6314-H6314</f>
        <v>1.34</v>
      </c>
      <c r="J6314" s="21" t="n">
        <f aca="false">H6314*1000/Parametres!$B$9</f>
        <v>0</v>
      </c>
    </row>
    <row r="6315" customFormat="false" ht="15" hidden="false" customHeight="false" outlineLevel="0" collapsed="false">
      <c r="A6315" s="0" t="n">
        <v>6311</v>
      </c>
      <c r="B6315" s="0" t="n">
        <v>9</v>
      </c>
      <c r="C6315" s="19" t="n">
        <v>0</v>
      </c>
      <c r="D6315" s="19" t="n">
        <v>0.0055</v>
      </c>
      <c r="E6315" s="20" t="n">
        <f aca="false">Parametres!$B$5*C6315</f>
        <v>0</v>
      </c>
      <c r="F6315" s="20" t="n">
        <f aca="false">Parametres!$B$6*D6315</f>
        <v>1.1</v>
      </c>
      <c r="G6315" s="20" t="n">
        <f aca="false">E6315+F6315</f>
        <v>1.1</v>
      </c>
      <c r="H6315" s="20" t="n">
        <f aca="false">IF(G6315&lt;Parametres!$B$8*Parametres!$B$7,0,MIN(G6315,Parametres!$B$7))</f>
        <v>0</v>
      </c>
      <c r="I6315" s="20" t="n">
        <f aca="false">G6315-H6315</f>
        <v>1.1</v>
      </c>
      <c r="J6315" s="21" t="n">
        <f aca="false">H6315*1000/Parametres!$B$9</f>
        <v>0</v>
      </c>
    </row>
    <row r="6316" customFormat="false" ht="15" hidden="false" customHeight="false" outlineLevel="0" collapsed="false">
      <c r="A6316" s="0" t="n">
        <v>6312</v>
      </c>
      <c r="B6316" s="0" t="n">
        <v>9</v>
      </c>
      <c r="C6316" s="19" t="n">
        <v>0</v>
      </c>
      <c r="D6316" s="19" t="n">
        <v>0.0064</v>
      </c>
      <c r="E6316" s="20" t="n">
        <f aca="false">Parametres!$B$5*C6316</f>
        <v>0</v>
      </c>
      <c r="F6316" s="20" t="n">
        <f aca="false">Parametres!$B$6*D6316</f>
        <v>1.28</v>
      </c>
      <c r="G6316" s="20" t="n">
        <f aca="false">E6316+F6316</f>
        <v>1.28</v>
      </c>
      <c r="H6316" s="20" t="n">
        <f aca="false">IF(G6316&lt;Parametres!$B$8*Parametres!$B$7,0,MIN(G6316,Parametres!$B$7))</f>
        <v>0</v>
      </c>
      <c r="I6316" s="20" t="n">
        <f aca="false">G6316-H6316</f>
        <v>1.28</v>
      </c>
      <c r="J6316" s="21" t="n">
        <f aca="false">H6316*1000/Parametres!$B$9</f>
        <v>0</v>
      </c>
    </row>
    <row r="6317" customFormat="false" ht="15" hidden="false" customHeight="false" outlineLevel="0" collapsed="false">
      <c r="A6317" s="0" t="n">
        <v>6313</v>
      </c>
      <c r="B6317" s="0" t="n">
        <v>9</v>
      </c>
      <c r="C6317" s="19" t="n">
        <v>0</v>
      </c>
      <c r="D6317" s="19" t="n">
        <v>0.0004</v>
      </c>
      <c r="E6317" s="20" t="n">
        <f aca="false">Parametres!$B$5*C6317</f>
        <v>0</v>
      </c>
      <c r="F6317" s="20" t="n">
        <f aca="false">Parametres!$B$6*D6317</f>
        <v>0.08</v>
      </c>
      <c r="G6317" s="20" t="n">
        <f aca="false">E6317+F6317</f>
        <v>0.08</v>
      </c>
      <c r="H6317" s="20" t="n">
        <f aca="false">IF(G6317&lt;Parametres!$B$8*Parametres!$B$7,0,MIN(G6317,Parametres!$B$7))</f>
        <v>0</v>
      </c>
      <c r="I6317" s="20" t="n">
        <f aca="false">G6317-H6317</f>
        <v>0.08</v>
      </c>
      <c r="J6317" s="21" t="n">
        <f aca="false">H6317*1000/Parametres!$B$9</f>
        <v>0</v>
      </c>
    </row>
    <row r="6318" customFormat="false" ht="15" hidden="false" customHeight="false" outlineLevel="0" collapsed="false">
      <c r="A6318" s="0" t="n">
        <v>6314</v>
      </c>
      <c r="B6318" s="0" t="n">
        <v>9</v>
      </c>
      <c r="C6318" s="19" t="n">
        <v>0</v>
      </c>
      <c r="D6318" s="19" t="n">
        <v>0.0001</v>
      </c>
      <c r="E6318" s="20" t="n">
        <f aca="false">Parametres!$B$5*C6318</f>
        <v>0</v>
      </c>
      <c r="F6318" s="20" t="n">
        <f aca="false">Parametres!$B$6*D6318</f>
        <v>0.02</v>
      </c>
      <c r="G6318" s="20" t="n">
        <f aca="false">E6318+F6318</f>
        <v>0.02</v>
      </c>
      <c r="H6318" s="20" t="n">
        <f aca="false">IF(G6318&lt;Parametres!$B$8*Parametres!$B$7,0,MIN(G6318,Parametres!$B$7))</f>
        <v>0</v>
      </c>
      <c r="I6318" s="20" t="n">
        <f aca="false">G6318-H6318</f>
        <v>0.02</v>
      </c>
      <c r="J6318" s="21" t="n">
        <f aca="false">H6318*1000/Parametres!$B$9</f>
        <v>0</v>
      </c>
    </row>
    <row r="6319" customFormat="false" ht="15" hidden="false" customHeight="false" outlineLevel="0" collapsed="false">
      <c r="A6319" s="0" t="n">
        <v>6315</v>
      </c>
      <c r="B6319" s="0" t="n">
        <v>9</v>
      </c>
      <c r="C6319" s="19" t="n">
        <v>0</v>
      </c>
      <c r="D6319" s="19" t="n">
        <v>0.0001</v>
      </c>
      <c r="E6319" s="20" t="n">
        <f aca="false">Parametres!$B$5*C6319</f>
        <v>0</v>
      </c>
      <c r="F6319" s="20" t="n">
        <f aca="false">Parametres!$B$6*D6319</f>
        <v>0.02</v>
      </c>
      <c r="G6319" s="20" t="n">
        <f aca="false">E6319+F6319</f>
        <v>0.02</v>
      </c>
      <c r="H6319" s="20" t="n">
        <f aca="false">IF(G6319&lt;Parametres!$B$8*Parametres!$B$7,0,MIN(G6319,Parametres!$B$7))</f>
        <v>0</v>
      </c>
      <c r="I6319" s="20" t="n">
        <f aca="false">G6319-H6319</f>
        <v>0.02</v>
      </c>
      <c r="J6319" s="21" t="n">
        <f aca="false">H6319*1000/Parametres!$B$9</f>
        <v>0</v>
      </c>
    </row>
    <row r="6320" customFormat="false" ht="15" hidden="false" customHeight="false" outlineLevel="0" collapsed="false">
      <c r="A6320" s="0" t="n">
        <v>6316</v>
      </c>
      <c r="B6320" s="0" t="n">
        <v>9</v>
      </c>
      <c r="C6320" s="19" t="n">
        <v>0</v>
      </c>
      <c r="D6320" s="19" t="n">
        <v>0.0002</v>
      </c>
      <c r="E6320" s="20" t="n">
        <f aca="false">Parametres!$B$5*C6320</f>
        <v>0</v>
      </c>
      <c r="F6320" s="20" t="n">
        <f aca="false">Parametres!$B$6*D6320</f>
        <v>0.04</v>
      </c>
      <c r="G6320" s="20" t="n">
        <f aca="false">E6320+F6320</f>
        <v>0.04</v>
      </c>
      <c r="H6320" s="20" t="n">
        <f aca="false">IF(G6320&lt;Parametres!$B$8*Parametres!$B$7,0,MIN(G6320,Parametres!$B$7))</f>
        <v>0</v>
      </c>
      <c r="I6320" s="20" t="n">
        <f aca="false">G6320-H6320</f>
        <v>0.04</v>
      </c>
      <c r="J6320" s="21" t="n">
        <f aca="false">H6320*1000/Parametres!$B$9</f>
        <v>0</v>
      </c>
    </row>
    <row r="6321" customFormat="false" ht="15" hidden="false" customHeight="false" outlineLevel="0" collapsed="false">
      <c r="A6321" s="0" t="n">
        <v>6317</v>
      </c>
      <c r="B6321" s="0" t="n">
        <v>9</v>
      </c>
      <c r="C6321" s="19" t="n">
        <v>0</v>
      </c>
      <c r="D6321" s="19" t="n">
        <v>0.0007</v>
      </c>
      <c r="E6321" s="20" t="n">
        <f aca="false">Parametres!$B$5*C6321</f>
        <v>0</v>
      </c>
      <c r="F6321" s="20" t="n">
        <f aca="false">Parametres!$B$6*D6321</f>
        <v>0.14</v>
      </c>
      <c r="G6321" s="20" t="n">
        <f aca="false">E6321+F6321</f>
        <v>0.14</v>
      </c>
      <c r="H6321" s="20" t="n">
        <f aca="false">IF(G6321&lt;Parametres!$B$8*Parametres!$B$7,0,MIN(G6321,Parametres!$B$7))</f>
        <v>0</v>
      </c>
      <c r="I6321" s="20" t="n">
        <f aca="false">G6321-H6321</f>
        <v>0.14</v>
      </c>
      <c r="J6321" s="21" t="n">
        <f aca="false">H6321*1000/Parametres!$B$9</f>
        <v>0</v>
      </c>
    </row>
    <row r="6322" customFormat="false" ht="15" hidden="false" customHeight="false" outlineLevel="0" collapsed="false">
      <c r="A6322" s="0" t="n">
        <v>6318</v>
      </c>
      <c r="B6322" s="0" t="n">
        <v>9</v>
      </c>
      <c r="C6322" s="19" t="n">
        <v>0</v>
      </c>
      <c r="D6322" s="19" t="n">
        <v>0.0037</v>
      </c>
      <c r="E6322" s="20" t="n">
        <f aca="false">Parametres!$B$5*C6322</f>
        <v>0</v>
      </c>
      <c r="F6322" s="20" t="n">
        <f aca="false">Parametres!$B$6*D6322</f>
        <v>0.74</v>
      </c>
      <c r="G6322" s="20" t="n">
        <f aca="false">E6322+F6322</f>
        <v>0.74</v>
      </c>
      <c r="H6322" s="20" t="n">
        <f aca="false">IF(G6322&lt;Parametres!$B$8*Parametres!$B$7,0,MIN(G6322,Parametres!$B$7))</f>
        <v>0</v>
      </c>
      <c r="I6322" s="20" t="n">
        <f aca="false">G6322-H6322</f>
        <v>0.74</v>
      </c>
      <c r="J6322" s="21" t="n">
        <f aca="false">H6322*1000/Parametres!$B$9</f>
        <v>0</v>
      </c>
    </row>
    <row r="6323" customFormat="false" ht="15" hidden="false" customHeight="false" outlineLevel="0" collapsed="false">
      <c r="A6323" s="0" t="n">
        <v>6319</v>
      </c>
      <c r="B6323" s="0" t="n">
        <v>9</v>
      </c>
      <c r="C6323" s="19" t="n">
        <v>0.0929</v>
      </c>
      <c r="D6323" s="19" t="n">
        <v>0.0043</v>
      </c>
      <c r="E6323" s="20" t="n">
        <f aca="false">Parametres!$B$5*C6323</f>
        <v>27.87</v>
      </c>
      <c r="F6323" s="20" t="n">
        <f aca="false">Parametres!$B$6*D6323</f>
        <v>0.86</v>
      </c>
      <c r="G6323" s="20" t="n">
        <f aca="false">E6323+F6323</f>
        <v>28.73</v>
      </c>
      <c r="H6323" s="20" t="n">
        <f aca="false">IF(G6323&lt;Parametres!$B$8*Parametres!$B$7,0,MIN(G6323,Parametres!$B$7))</f>
        <v>28.73</v>
      </c>
      <c r="I6323" s="20" t="n">
        <f aca="false">G6323-H6323</f>
        <v>0</v>
      </c>
      <c r="J6323" s="21" t="n">
        <f aca="false">H6323*1000/Parametres!$B$9</f>
        <v>487.196879769374</v>
      </c>
    </row>
    <row r="6324" customFormat="false" ht="15" hidden="false" customHeight="false" outlineLevel="0" collapsed="false">
      <c r="A6324" s="0" t="n">
        <v>6320</v>
      </c>
      <c r="B6324" s="0" t="n">
        <v>9</v>
      </c>
      <c r="C6324" s="19" t="n">
        <v>0.3226</v>
      </c>
      <c r="D6324" s="19" t="n">
        <v>0.0123</v>
      </c>
      <c r="E6324" s="20" t="n">
        <f aca="false">Parametres!$B$5*C6324</f>
        <v>96.78</v>
      </c>
      <c r="F6324" s="20" t="n">
        <f aca="false">Parametres!$B$6*D6324</f>
        <v>2.46</v>
      </c>
      <c r="G6324" s="20" t="n">
        <f aca="false">E6324+F6324</f>
        <v>99.24</v>
      </c>
      <c r="H6324" s="20" t="n">
        <f aca="false">IF(G6324&lt;Parametres!$B$8*Parametres!$B$7,0,MIN(G6324,Parametres!$B$7))</f>
        <v>99.24</v>
      </c>
      <c r="I6324" s="20" t="n">
        <f aca="false">G6324-H6324</f>
        <v>0</v>
      </c>
      <c r="J6324" s="21" t="n">
        <f aca="false">H6324*1000/Parametres!$B$9</f>
        <v>1682.88960488384</v>
      </c>
    </row>
    <row r="6325" customFormat="false" ht="15" hidden="false" customHeight="false" outlineLevel="0" collapsed="false">
      <c r="A6325" s="0" t="n">
        <v>6321</v>
      </c>
      <c r="B6325" s="0" t="n">
        <v>9</v>
      </c>
      <c r="C6325" s="19" t="n">
        <v>0.5377</v>
      </c>
      <c r="D6325" s="19" t="n">
        <v>0.0264</v>
      </c>
      <c r="E6325" s="20" t="n">
        <f aca="false">Parametres!$B$5*C6325</f>
        <v>161.31</v>
      </c>
      <c r="F6325" s="20" t="n">
        <f aca="false">Parametres!$B$6*D6325</f>
        <v>5.28</v>
      </c>
      <c r="G6325" s="20" t="n">
        <f aca="false">E6325+F6325</f>
        <v>166.59</v>
      </c>
      <c r="H6325" s="20" t="n">
        <f aca="false">IF(G6325&lt;Parametres!$B$8*Parametres!$B$7,0,MIN(G6325,Parametres!$B$7))</f>
        <v>166.59</v>
      </c>
      <c r="I6325" s="20" t="n">
        <f aca="false">G6325-H6325</f>
        <v>0</v>
      </c>
      <c r="J6325" s="21" t="n">
        <f aca="false">H6325*1000/Parametres!$B$9</f>
        <v>2824.99576055621</v>
      </c>
    </row>
    <row r="6326" customFormat="false" ht="15" hidden="false" customHeight="false" outlineLevel="0" collapsed="false">
      <c r="A6326" s="0" t="n">
        <v>6322</v>
      </c>
      <c r="B6326" s="0" t="n">
        <v>9</v>
      </c>
      <c r="C6326" s="19" t="n">
        <v>0.7487</v>
      </c>
      <c r="D6326" s="19" t="n">
        <v>0.0417</v>
      </c>
      <c r="E6326" s="20" t="n">
        <f aca="false">Parametres!$B$5*C6326</f>
        <v>224.61</v>
      </c>
      <c r="F6326" s="20" t="n">
        <f aca="false">Parametres!$B$6*D6326</f>
        <v>8.34</v>
      </c>
      <c r="G6326" s="20" t="n">
        <f aca="false">E6326+F6326</f>
        <v>232.95</v>
      </c>
      <c r="H6326" s="20" t="n">
        <f aca="false">IF(G6326&lt;Parametres!$B$8*Parametres!$B$7,0,MIN(G6326,Parametres!$B$7))</f>
        <v>232.95</v>
      </c>
      <c r="I6326" s="20" t="n">
        <f aca="false">G6326-H6326</f>
        <v>0</v>
      </c>
      <c r="J6326" s="21" t="n">
        <f aca="false">H6326*1000/Parametres!$B$9</f>
        <v>3950.31371884009</v>
      </c>
    </row>
    <row r="6327" customFormat="false" ht="15" hidden="false" customHeight="false" outlineLevel="0" collapsed="false">
      <c r="A6327" s="0" t="n">
        <v>6323</v>
      </c>
      <c r="B6327" s="0" t="n">
        <v>9</v>
      </c>
      <c r="C6327" s="19" t="n">
        <v>0.8699</v>
      </c>
      <c r="D6327" s="19" t="n">
        <v>0.0463</v>
      </c>
      <c r="E6327" s="20" t="n">
        <f aca="false">Parametres!$B$5*C6327</f>
        <v>260.97</v>
      </c>
      <c r="F6327" s="20" t="n">
        <f aca="false">Parametres!$B$6*D6327</f>
        <v>9.26</v>
      </c>
      <c r="G6327" s="20" t="n">
        <f aca="false">E6327+F6327</f>
        <v>270.23</v>
      </c>
      <c r="H6327" s="20" t="n">
        <f aca="false">IF(G6327&lt;Parametres!$B$8*Parametres!$B$7,0,MIN(G6327,Parametres!$B$7))</f>
        <v>250</v>
      </c>
      <c r="I6327" s="20" t="n">
        <f aca="false">G6327-H6327</f>
        <v>20.23</v>
      </c>
      <c r="J6327" s="21" t="n">
        <f aca="false">H6327*1000/Parametres!$B$9</f>
        <v>4239.44378497541</v>
      </c>
    </row>
    <row r="6328" customFormat="false" ht="15" hidden="false" customHeight="false" outlineLevel="0" collapsed="false">
      <c r="A6328" s="0" t="n">
        <v>6324</v>
      </c>
      <c r="B6328" s="0" t="n">
        <v>9</v>
      </c>
      <c r="C6328" s="19" t="n">
        <v>0.9631</v>
      </c>
      <c r="D6328" s="19" t="n">
        <v>0.0463</v>
      </c>
      <c r="E6328" s="20" t="n">
        <f aca="false">Parametres!$B$5*C6328</f>
        <v>288.93</v>
      </c>
      <c r="F6328" s="20" t="n">
        <f aca="false">Parametres!$B$6*D6328</f>
        <v>9.26</v>
      </c>
      <c r="G6328" s="20" t="n">
        <f aca="false">E6328+F6328</f>
        <v>298.19</v>
      </c>
      <c r="H6328" s="20" t="n">
        <f aca="false">IF(G6328&lt;Parametres!$B$8*Parametres!$B$7,0,MIN(G6328,Parametres!$B$7))</f>
        <v>250</v>
      </c>
      <c r="I6328" s="20" t="n">
        <f aca="false">G6328-H6328</f>
        <v>48.19</v>
      </c>
      <c r="J6328" s="21" t="n">
        <f aca="false">H6328*1000/Parametres!$B$9</f>
        <v>4239.44378497541</v>
      </c>
    </row>
    <row r="6329" customFormat="false" ht="15" hidden="false" customHeight="false" outlineLevel="0" collapsed="false">
      <c r="A6329" s="0" t="n">
        <v>6325</v>
      </c>
      <c r="B6329" s="0" t="n">
        <v>9</v>
      </c>
      <c r="C6329" s="19" t="n">
        <v>0.9509</v>
      </c>
      <c r="D6329" s="19" t="n">
        <v>0.0568</v>
      </c>
      <c r="E6329" s="20" t="n">
        <f aca="false">Parametres!$B$5*C6329</f>
        <v>285.27</v>
      </c>
      <c r="F6329" s="20" t="n">
        <f aca="false">Parametres!$B$6*D6329</f>
        <v>11.36</v>
      </c>
      <c r="G6329" s="20" t="n">
        <f aca="false">E6329+F6329</f>
        <v>296.63</v>
      </c>
      <c r="H6329" s="20" t="n">
        <f aca="false">IF(G6329&lt;Parametres!$B$8*Parametres!$B$7,0,MIN(G6329,Parametres!$B$7))</f>
        <v>250</v>
      </c>
      <c r="I6329" s="20" t="n">
        <f aca="false">G6329-H6329</f>
        <v>46.63</v>
      </c>
      <c r="J6329" s="21" t="n">
        <f aca="false">H6329*1000/Parametres!$B$9</f>
        <v>4239.44378497541</v>
      </c>
    </row>
    <row r="6330" customFormat="false" ht="15" hidden="false" customHeight="false" outlineLevel="0" collapsed="false">
      <c r="A6330" s="0" t="n">
        <v>6326</v>
      </c>
      <c r="B6330" s="0" t="n">
        <v>9</v>
      </c>
      <c r="C6330" s="19" t="n">
        <v>0.8282</v>
      </c>
      <c r="D6330" s="19" t="n">
        <v>0.1051</v>
      </c>
      <c r="E6330" s="20" t="n">
        <f aca="false">Parametres!$B$5*C6330</f>
        <v>248.46</v>
      </c>
      <c r="F6330" s="20" t="n">
        <f aca="false">Parametres!$B$6*D6330</f>
        <v>21.02</v>
      </c>
      <c r="G6330" s="20" t="n">
        <f aca="false">E6330+F6330</f>
        <v>269.48</v>
      </c>
      <c r="H6330" s="20" t="n">
        <f aca="false">IF(G6330&lt;Parametres!$B$8*Parametres!$B$7,0,MIN(G6330,Parametres!$B$7))</f>
        <v>250</v>
      </c>
      <c r="I6330" s="20" t="n">
        <f aca="false">G6330-H6330</f>
        <v>19.48</v>
      </c>
      <c r="J6330" s="21" t="n">
        <f aca="false">H6330*1000/Parametres!$B$9</f>
        <v>4239.44378497541</v>
      </c>
    </row>
    <row r="6331" customFormat="false" ht="15" hidden="false" customHeight="false" outlineLevel="0" collapsed="false">
      <c r="A6331" s="0" t="n">
        <v>6327</v>
      </c>
      <c r="B6331" s="0" t="n">
        <v>9</v>
      </c>
      <c r="C6331" s="19" t="n">
        <v>0.6775</v>
      </c>
      <c r="D6331" s="19" t="n">
        <v>0.0755</v>
      </c>
      <c r="E6331" s="20" t="n">
        <f aca="false">Parametres!$B$5*C6331</f>
        <v>203.25</v>
      </c>
      <c r="F6331" s="20" t="n">
        <f aca="false">Parametres!$B$6*D6331</f>
        <v>15.1</v>
      </c>
      <c r="G6331" s="20" t="n">
        <f aca="false">E6331+F6331</f>
        <v>218.35</v>
      </c>
      <c r="H6331" s="20" t="n">
        <f aca="false">IF(G6331&lt;Parametres!$B$8*Parametres!$B$7,0,MIN(G6331,Parametres!$B$7))</f>
        <v>218.35</v>
      </c>
      <c r="I6331" s="20" t="n">
        <f aca="false">G6331-H6331</f>
        <v>0</v>
      </c>
      <c r="J6331" s="21" t="n">
        <f aca="false">H6331*1000/Parametres!$B$9</f>
        <v>3702.73020179752</v>
      </c>
    </row>
    <row r="6332" customFormat="false" ht="15" hidden="false" customHeight="false" outlineLevel="0" collapsed="false">
      <c r="A6332" s="0" t="n">
        <v>6328</v>
      </c>
      <c r="B6332" s="0" t="n">
        <v>9</v>
      </c>
      <c r="C6332" s="19" t="n">
        <v>0.5712</v>
      </c>
      <c r="D6332" s="19" t="n">
        <v>0.049</v>
      </c>
      <c r="E6332" s="20" t="n">
        <f aca="false">Parametres!$B$5*C6332</f>
        <v>171.36</v>
      </c>
      <c r="F6332" s="20" t="n">
        <f aca="false">Parametres!$B$6*D6332</f>
        <v>9.8</v>
      </c>
      <c r="G6332" s="20" t="n">
        <f aca="false">E6332+F6332</f>
        <v>181.16</v>
      </c>
      <c r="H6332" s="20" t="n">
        <f aca="false">IF(G6332&lt;Parametres!$B$8*Parametres!$B$7,0,MIN(G6332,Parametres!$B$7))</f>
        <v>181.16</v>
      </c>
      <c r="I6332" s="20" t="n">
        <f aca="false">G6332-H6332</f>
        <v>0</v>
      </c>
      <c r="J6332" s="21" t="n">
        <f aca="false">H6332*1000/Parametres!$B$9</f>
        <v>3072.07054434458</v>
      </c>
    </row>
    <row r="6333" customFormat="false" ht="15" hidden="false" customHeight="false" outlineLevel="0" collapsed="false">
      <c r="A6333" s="0" t="n">
        <v>6329</v>
      </c>
      <c r="B6333" s="0" t="n">
        <v>9</v>
      </c>
      <c r="C6333" s="19" t="n">
        <v>0.3016</v>
      </c>
      <c r="D6333" s="19" t="n">
        <v>0.0708</v>
      </c>
      <c r="E6333" s="20" t="n">
        <f aca="false">Parametres!$B$5*C6333</f>
        <v>90.48</v>
      </c>
      <c r="F6333" s="20" t="n">
        <f aca="false">Parametres!$B$6*D6333</f>
        <v>14.16</v>
      </c>
      <c r="G6333" s="20" t="n">
        <f aca="false">E6333+F6333</f>
        <v>104.64</v>
      </c>
      <c r="H6333" s="20" t="n">
        <f aca="false">IF(G6333&lt;Parametres!$B$8*Parametres!$B$7,0,MIN(G6333,Parametres!$B$7))</f>
        <v>104.64</v>
      </c>
      <c r="I6333" s="20" t="n">
        <f aca="false">G6333-H6333</f>
        <v>0</v>
      </c>
      <c r="J6333" s="21" t="n">
        <f aca="false">H6333*1000/Parametres!$B$9</f>
        <v>1774.46159063931</v>
      </c>
    </row>
    <row r="6334" customFormat="false" ht="15" hidden="false" customHeight="false" outlineLevel="0" collapsed="false">
      <c r="A6334" s="0" t="n">
        <v>6330</v>
      </c>
      <c r="B6334" s="0" t="n">
        <v>9</v>
      </c>
      <c r="C6334" s="19" t="n">
        <v>0.0877</v>
      </c>
      <c r="D6334" s="19" t="n">
        <v>0.083</v>
      </c>
      <c r="E6334" s="20" t="n">
        <f aca="false">Parametres!$B$5*C6334</f>
        <v>26.31</v>
      </c>
      <c r="F6334" s="20" t="n">
        <f aca="false">Parametres!$B$6*D6334</f>
        <v>16.6</v>
      </c>
      <c r="G6334" s="20" t="n">
        <f aca="false">E6334+F6334</f>
        <v>42.91</v>
      </c>
      <c r="H6334" s="20" t="n">
        <f aca="false">IF(G6334&lt;Parametres!$B$8*Parametres!$B$7,0,MIN(G6334,Parametres!$B$7))</f>
        <v>42.91</v>
      </c>
      <c r="I6334" s="20" t="n">
        <f aca="false">G6334-H6334</f>
        <v>0</v>
      </c>
      <c r="J6334" s="21" t="n">
        <f aca="false">H6334*1000/Parametres!$B$9</f>
        <v>727.65813125318</v>
      </c>
    </row>
    <row r="6335" customFormat="false" ht="15" hidden="false" customHeight="false" outlineLevel="0" collapsed="false">
      <c r="A6335" s="0" t="n">
        <v>6331</v>
      </c>
      <c r="B6335" s="0" t="n">
        <v>9</v>
      </c>
      <c r="C6335" s="19" t="n">
        <v>0</v>
      </c>
      <c r="D6335" s="19" t="n">
        <v>0.1406</v>
      </c>
      <c r="E6335" s="20" t="n">
        <f aca="false">Parametres!$B$5*C6335</f>
        <v>0</v>
      </c>
      <c r="F6335" s="20" t="n">
        <f aca="false">Parametres!$B$6*D6335</f>
        <v>28.12</v>
      </c>
      <c r="G6335" s="20" t="n">
        <f aca="false">E6335+F6335</f>
        <v>28.12</v>
      </c>
      <c r="H6335" s="20" t="n">
        <f aca="false">IF(G6335&lt;Parametres!$B$8*Parametres!$B$7,0,MIN(G6335,Parametres!$B$7))</f>
        <v>28.12</v>
      </c>
      <c r="I6335" s="20" t="n">
        <f aca="false">G6335-H6335</f>
        <v>0</v>
      </c>
      <c r="J6335" s="21" t="n">
        <f aca="false">H6335*1000/Parametres!$B$9</f>
        <v>476.852636934034</v>
      </c>
    </row>
    <row r="6336" customFormat="false" ht="15" hidden="false" customHeight="false" outlineLevel="0" collapsed="false">
      <c r="A6336" s="0" t="n">
        <v>6332</v>
      </c>
      <c r="B6336" s="0" t="n">
        <v>9</v>
      </c>
      <c r="C6336" s="19" t="n">
        <v>0</v>
      </c>
      <c r="D6336" s="19" t="n">
        <v>0.2387</v>
      </c>
      <c r="E6336" s="20" t="n">
        <f aca="false">Parametres!$B$5*C6336</f>
        <v>0</v>
      </c>
      <c r="F6336" s="20" t="n">
        <f aca="false">Parametres!$B$6*D6336</f>
        <v>47.74</v>
      </c>
      <c r="G6336" s="20" t="n">
        <f aca="false">E6336+F6336</f>
        <v>47.74</v>
      </c>
      <c r="H6336" s="20" t="n">
        <f aca="false">IF(G6336&lt;Parametres!$B$8*Parametres!$B$7,0,MIN(G6336,Parametres!$B$7))</f>
        <v>47.74</v>
      </c>
      <c r="I6336" s="20" t="n">
        <f aca="false">G6336-H6336</f>
        <v>0</v>
      </c>
      <c r="J6336" s="21" t="n">
        <f aca="false">H6336*1000/Parametres!$B$9</f>
        <v>809.564185178905</v>
      </c>
    </row>
    <row r="6337" customFormat="false" ht="15" hidden="false" customHeight="false" outlineLevel="0" collapsed="false">
      <c r="A6337" s="0" t="n">
        <v>6333</v>
      </c>
      <c r="B6337" s="0" t="n">
        <v>9</v>
      </c>
      <c r="C6337" s="19" t="n">
        <v>0</v>
      </c>
      <c r="D6337" s="19" t="n">
        <v>0.266</v>
      </c>
      <c r="E6337" s="20" t="n">
        <f aca="false">Parametres!$B$5*C6337</f>
        <v>0</v>
      </c>
      <c r="F6337" s="20" t="n">
        <f aca="false">Parametres!$B$6*D6337</f>
        <v>53.2</v>
      </c>
      <c r="G6337" s="20" t="n">
        <f aca="false">E6337+F6337</f>
        <v>53.2</v>
      </c>
      <c r="H6337" s="20" t="n">
        <f aca="false">IF(G6337&lt;Parametres!$B$8*Parametres!$B$7,0,MIN(G6337,Parametres!$B$7))</f>
        <v>53.2</v>
      </c>
      <c r="I6337" s="20" t="n">
        <f aca="false">G6337-H6337</f>
        <v>0</v>
      </c>
      <c r="J6337" s="21" t="n">
        <f aca="false">H6337*1000/Parametres!$B$9</f>
        <v>902.153637442768</v>
      </c>
    </row>
    <row r="6338" customFormat="false" ht="15" hidden="false" customHeight="false" outlineLevel="0" collapsed="false">
      <c r="A6338" s="0" t="n">
        <v>6334</v>
      </c>
      <c r="B6338" s="0" t="n">
        <v>9</v>
      </c>
      <c r="C6338" s="19" t="n">
        <v>0</v>
      </c>
      <c r="D6338" s="19" t="n">
        <v>0.1135</v>
      </c>
      <c r="E6338" s="20" t="n">
        <f aca="false">Parametres!$B$5*C6338</f>
        <v>0</v>
      </c>
      <c r="F6338" s="20" t="n">
        <f aca="false">Parametres!$B$6*D6338</f>
        <v>22.7</v>
      </c>
      <c r="G6338" s="20" t="n">
        <f aca="false">E6338+F6338</f>
        <v>22.7</v>
      </c>
      <c r="H6338" s="20" t="n">
        <f aca="false">IF(G6338&lt;Parametres!$B$8*Parametres!$B$7,0,MIN(G6338,Parametres!$B$7))</f>
        <v>0</v>
      </c>
      <c r="I6338" s="20" t="n">
        <f aca="false">G6338-H6338</f>
        <v>22.7</v>
      </c>
      <c r="J6338" s="21" t="n">
        <f aca="false">H6338*1000/Parametres!$B$9</f>
        <v>0</v>
      </c>
    </row>
    <row r="6339" customFormat="false" ht="15" hidden="false" customHeight="false" outlineLevel="0" collapsed="false">
      <c r="A6339" s="0" t="n">
        <v>6335</v>
      </c>
      <c r="B6339" s="0" t="n">
        <v>9</v>
      </c>
      <c r="C6339" s="19" t="n">
        <v>0</v>
      </c>
      <c r="D6339" s="19" t="n">
        <v>0.1655</v>
      </c>
      <c r="E6339" s="20" t="n">
        <f aca="false">Parametres!$B$5*C6339</f>
        <v>0</v>
      </c>
      <c r="F6339" s="20" t="n">
        <f aca="false">Parametres!$B$6*D6339</f>
        <v>33.1</v>
      </c>
      <c r="G6339" s="20" t="n">
        <f aca="false">E6339+F6339</f>
        <v>33.1</v>
      </c>
      <c r="H6339" s="20" t="n">
        <f aca="false">IF(G6339&lt;Parametres!$B$8*Parametres!$B$7,0,MIN(G6339,Parametres!$B$7))</f>
        <v>33.1</v>
      </c>
      <c r="I6339" s="20" t="n">
        <f aca="false">G6339-H6339</f>
        <v>0</v>
      </c>
      <c r="J6339" s="21" t="n">
        <f aca="false">H6339*1000/Parametres!$B$9</f>
        <v>561.302357130744</v>
      </c>
    </row>
    <row r="6340" customFormat="false" ht="15" hidden="false" customHeight="false" outlineLevel="0" collapsed="false">
      <c r="A6340" s="0" t="n">
        <v>6336</v>
      </c>
      <c r="B6340" s="0" t="n">
        <v>9</v>
      </c>
      <c r="C6340" s="19" t="n">
        <v>0</v>
      </c>
      <c r="D6340" s="19" t="n">
        <v>0.1764</v>
      </c>
      <c r="E6340" s="20" t="n">
        <f aca="false">Parametres!$B$5*C6340</f>
        <v>0</v>
      </c>
      <c r="F6340" s="20" t="n">
        <f aca="false">Parametres!$B$6*D6340</f>
        <v>35.28</v>
      </c>
      <c r="G6340" s="20" t="n">
        <f aca="false">E6340+F6340</f>
        <v>35.28</v>
      </c>
      <c r="H6340" s="20" t="n">
        <f aca="false">IF(G6340&lt;Parametres!$B$8*Parametres!$B$7,0,MIN(G6340,Parametres!$B$7))</f>
        <v>35.28</v>
      </c>
      <c r="I6340" s="20" t="n">
        <f aca="false">G6340-H6340</f>
        <v>0</v>
      </c>
      <c r="J6340" s="21" t="n">
        <f aca="false">H6340*1000/Parametres!$B$9</f>
        <v>598.27030693573</v>
      </c>
    </row>
    <row r="6341" customFormat="false" ht="15" hidden="false" customHeight="false" outlineLevel="0" collapsed="false">
      <c r="A6341" s="0" t="n">
        <v>6337</v>
      </c>
      <c r="B6341" s="0" t="n">
        <v>9</v>
      </c>
      <c r="C6341" s="19" t="n">
        <v>0</v>
      </c>
      <c r="D6341" s="19" t="n">
        <v>0.2137</v>
      </c>
      <c r="E6341" s="20" t="n">
        <f aca="false">Parametres!$B$5*C6341</f>
        <v>0</v>
      </c>
      <c r="F6341" s="20" t="n">
        <f aca="false">Parametres!$B$6*D6341</f>
        <v>42.74</v>
      </c>
      <c r="G6341" s="20" t="n">
        <f aca="false">E6341+F6341</f>
        <v>42.74</v>
      </c>
      <c r="H6341" s="20" t="n">
        <f aca="false">IF(G6341&lt;Parametres!$B$8*Parametres!$B$7,0,MIN(G6341,Parametres!$B$7))</f>
        <v>42.74</v>
      </c>
      <c r="I6341" s="20" t="n">
        <f aca="false">G6341-H6341</f>
        <v>0</v>
      </c>
      <c r="J6341" s="21" t="n">
        <f aca="false">H6341*1000/Parametres!$B$9</f>
        <v>724.775309479396</v>
      </c>
    </row>
    <row r="6342" customFormat="false" ht="15" hidden="false" customHeight="false" outlineLevel="0" collapsed="false">
      <c r="A6342" s="0" t="n">
        <v>6338</v>
      </c>
      <c r="B6342" s="0" t="n">
        <v>9</v>
      </c>
      <c r="C6342" s="19" t="n">
        <v>0</v>
      </c>
      <c r="D6342" s="19" t="n">
        <v>0.2361</v>
      </c>
      <c r="E6342" s="20" t="n">
        <f aca="false">Parametres!$B$5*C6342</f>
        <v>0</v>
      </c>
      <c r="F6342" s="20" t="n">
        <f aca="false">Parametres!$B$6*D6342</f>
        <v>47.22</v>
      </c>
      <c r="G6342" s="20" t="n">
        <f aca="false">E6342+F6342</f>
        <v>47.22</v>
      </c>
      <c r="H6342" s="20" t="n">
        <f aca="false">IF(G6342&lt;Parametres!$B$8*Parametres!$B$7,0,MIN(G6342,Parametres!$B$7))</f>
        <v>47.22</v>
      </c>
      <c r="I6342" s="20" t="n">
        <f aca="false">G6342-H6342</f>
        <v>0</v>
      </c>
      <c r="J6342" s="21" t="n">
        <f aca="false">H6342*1000/Parametres!$B$9</f>
        <v>800.746142106156</v>
      </c>
    </row>
    <row r="6343" customFormat="false" ht="15" hidden="false" customHeight="false" outlineLevel="0" collapsed="false">
      <c r="A6343" s="0" t="n">
        <v>6339</v>
      </c>
      <c r="B6343" s="0" t="n">
        <v>9</v>
      </c>
      <c r="C6343" s="19" t="n">
        <v>0</v>
      </c>
      <c r="D6343" s="19" t="n">
        <v>0.2159</v>
      </c>
      <c r="E6343" s="20" t="n">
        <f aca="false">Parametres!$B$5*C6343</f>
        <v>0</v>
      </c>
      <c r="F6343" s="20" t="n">
        <f aca="false">Parametres!$B$6*D6343</f>
        <v>43.18</v>
      </c>
      <c r="G6343" s="20" t="n">
        <f aca="false">E6343+F6343</f>
        <v>43.18</v>
      </c>
      <c r="H6343" s="20" t="n">
        <f aca="false">IF(G6343&lt;Parametres!$B$8*Parametres!$B$7,0,MIN(G6343,Parametres!$B$7))</f>
        <v>43.18</v>
      </c>
      <c r="I6343" s="20" t="n">
        <f aca="false">G6343-H6343</f>
        <v>0</v>
      </c>
      <c r="J6343" s="21" t="n">
        <f aca="false">H6343*1000/Parametres!$B$9</f>
        <v>732.236730540953</v>
      </c>
    </row>
    <row r="6344" customFormat="false" ht="15" hidden="false" customHeight="false" outlineLevel="0" collapsed="false">
      <c r="A6344" s="0" t="n">
        <v>6340</v>
      </c>
      <c r="B6344" s="0" t="n">
        <v>9</v>
      </c>
      <c r="C6344" s="19" t="n">
        <v>0</v>
      </c>
      <c r="D6344" s="19" t="n">
        <v>0.2431</v>
      </c>
      <c r="E6344" s="20" t="n">
        <f aca="false">Parametres!$B$5*C6344</f>
        <v>0</v>
      </c>
      <c r="F6344" s="20" t="n">
        <f aca="false">Parametres!$B$6*D6344</f>
        <v>48.62</v>
      </c>
      <c r="G6344" s="20" t="n">
        <f aca="false">E6344+F6344</f>
        <v>48.62</v>
      </c>
      <c r="H6344" s="20" t="n">
        <f aca="false">IF(G6344&lt;Parametres!$B$8*Parametres!$B$7,0,MIN(G6344,Parametres!$B$7))</f>
        <v>48.62</v>
      </c>
      <c r="I6344" s="20" t="n">
        <f aca="false">G6344-H6344</f>
        <v>0</v>
      </c>
      <c r="J6344" s="21" t="n">
        <f aca="false">H6344*1000/Parametres!$B$9</f>
        <v>824.487027302018</v>
      </c>
    </row>
    <row r="6345" customFormat="false" ht="15" hidden="false" customHeight="false" outlineLevel="0" collapsed="false">
      <c r="A6345" s="0" t="n">
        <v>6341</v>
      </c>
      <c r="B6345" s="0" t="n">
        <v>9</v>
      </c>
      <c r="C6345" s="19" t="n">
        <v>0</v>
      </c>
      <c r="D6345" s="19" t="n">
        <v>0.1437</v>
      </c>
      <c r="E6345" s="20" t="n">
        <f aca="false">Parametres!$B$5*C6345</f>
        <v>0</v>
      </c>
      <c r="F6345" s="20" t="n">
        <f aca="false">Parametres!$B$6*D6345</f>
        <v>28.74</v>
      </c>
      <c r="G6345" s="20" t="n">
        <f aca="false">E6345+F6345</f>
        <v>28.74</v>
      </c>
      <c r="H6345" s="20" t="n">
        <f aca="false">IF(G6345&lt;Parametres!$B$8*Parametres!$B$7,0,MIN(G6345,Parametres!$B$7))</f>
        <v>28.74</v>
      </c>
      <c r="I6345" s="20" t="n">
        <f aca="false">G6345-H6345</f>
        <v>0</v>
      </c>
      <c r="J6345" s="21" t="n">
        <f aca="false">H6345*1000/Parametres!$B$9</f>
        <v>487.366457520773</v>
      </c>
    </row>
    <row r="6346" customFormat="false" ht="15" hidden="false" customHeight="false" outlineLevel="0" collapsed="false">
      <c r="A6346" s="0" t="n">
        <v>6342</v>
      </c>
      <c r="B6346" s="0" t="n">
        <v>9</v>
      </c>
      <c r="C6346" s="19" t="n">
        <v>0</v>
      </c>
      <c r="D6346" s="19" t="n">
        <v>0.0878</v>
      </c>
      <c r="E6346" s="20" t="n">
        <f aca="false">Parametres!$B$5*C6346</f>
        <v>0</v>
      </c>
      <c r="F6346" s="20" t="n">
        <f aca="false">Parametres!$B$6*D6346</f>
        <v>17.56</v>
      </c>
      <c r="G6346" s="20" t="n">
        <f aca="false">E6346+F6346</f>
        <v>17.56</v>
      </c>
      <c r="H6346" s="20" t="n">
        <f aca="false">IF(G6346&lt;Parametres!$B$8*Parametres!$B$7,0,MIN(G6346,Parametres!$B$7))</f>
        <v>0</v>
      </c>
      <c r="I6346" s="20" t="n">
        <f aca="false">G6346-H6346</f>
        <v>17.56</v>
      </c>
      <c r="J6346" s="21" t="n">
        <f aca="false">H6346*1000/Parametres!$B$9</f>
        <v>0</v>
      </c>
    </row>
    <row r="6347" customFormat="false" ht="15" hidden="false" customHeight="false" outlineLevel="0" collapsed="false">
      <c r="A6347" s="0" t="n">
        <v>6343</v>
      </c>
      <c r="B6347" s="0" t="n">
        <v>9</v>
      </c>
      <c r="C6347" s="19" t="n">
        <v>0.0963</v>
      </c>
      <c r="D6347" s="19" t="n">
        <v>0.0961</v>
      </c>
      <c r="E6347" s="20" t="n">
        <f aca="false">Parametres!$B$5*C6347</f>
        <v>28.89</v>
      </c>
      <c r="F6347" s="20" t="n">
        <f aca="false">Parametres!$B$6*D6347</f>
        <v>19.22</v>
      </c>
      <c r="G6347" s="20" t="n">
        <f aca="false">E6347+F6347</f>
        <v>48.11</v>
      </c>
      <c r="H6347" s="20" t="n">
        <f aca="false">IF(G6347&lt;Parametres!$B$8*Parametres!$B$7,0,MIN(G6347,Parametres!$B$7))</f>
        <v>48.11</v>
      </c>
      <c r="I6347" s="20" t="n">
        <f aca="false">G6347-H6347</f>
        <v>0</v>
      </c>
      <c r="J6347" s="21" t="n">
        <f aca="false">H6347*1000/Parametres!$B$9</f>
        <v>815.838561980668</v>
      </c>
    </row>
    <row r="6348" customFormat="false" ht="15" hidden="false" customHeight="false" outlineLevel="0" collapsed="false">
      <c r="A6348" s="0" t="n">
        <v>6344</v>
      </c>
      <c r="B6348" s="0" t="n">
        <v>9</v>
      </c>
      <c r="C6348" s="19" t="n">
        <v>0.3517</v>
      </c>
      <c r="D6348" s="19" t="n">
        <v>0.2111</v>
      </c>
      <c r="E6348" s="20" t="n">
        <f aca="false">Parametres!$B$5*C6348</f>
        <v>105.51</v>
      </c>
      <c r="F6348" s="20" t="n">
        <f aca="false">Parametres!$B$6*D6348</f>
        <v>42.22</v>
      </c>
      <c r="G6348" s="20" t="n">
        <f aca="false">E6348+F6348</f>
        <v>147.73</v>
      </c>
      <c r="H6348" s="20" t="n">
        <f aca="false">IF(G6348&lt;Parametres!$B$8*Parametres!$B$7,0,MIN(G6348,Parametres!$B$7))</f>
        <v>147.73</v>
      </c>
      <c r="I6348" s="20" t="n">
        <f aca="false">G6348-H6348</f>
        <v>0</v>
      </c>
      <c r="J6348" s="21" t="n">
        <f aca="false">H6348*1000/Parametres!$B$9</f>
        <v>2505.17212141767</v>
      </c>
    </row>
    <row r="6349" customFormat="false" ht="15" hidden="false" customHeight="false" outlineLevel="0" collapsed="false">
      <c r="A6349" s="0" t="n">
        <v>6345</v>
      </c>
      <c r="B6349" s="0" t="n">
        <v>9</v>
      </c>
      <c r="C6349" s="19" t="n">
        <v>0.6343</v>
      </c>
      <c r="D6349" s="19" t="n">
        <v>0.2675</v>
      </c>
      <c r="E6349" s="20" t="n">
        <f aca="false">Parametres!$B$5*C6349</f>
        <v>190.29</v>
      </c>
      <c r="F6349" s="20" t="n">
        <f aca="false">Parametres!$B$6*D6349</f>
        <v>53.5</v>
      </c>
      <c r="G6349" s="20" t="n">
        <f aca="false">E6349+F6349</f>
        <v>243.79</v>
      </c>
      <c r="H6349" s="20" t="n">
        <f aca="false">IF(G6349&lt;Parametres!$B$8*Parametres!$B$7,0,MIN(G6349,Parametres!$B$7))</f>
        <v>243.79</v>
      </c>
      <c r="I6349" s="20" t="n">
        <f aca="false">G6349-H6349</f>
        <v>0</v>
      </c>
      <c r="J6349" s="21" t="n">
        <f aca="false">H6349*1000/Parametres!$B$9</f>
        <v>4134.13600135662</v>
      </c>
    </row>
    <row r="6350" customFormat="false" ht="15" hidden="false" customHeight="false" outlineLevel="0" collapsed="false">
      <c r="A6350" s="0" t="n">
        <v>6346</v>
      </c>
      <c r="B6350" s="0" t="n">
        <v>9</v>
      </c>
      <c r="C6350" s="19" t="n">
        <v>0.8863</v>
      </c>
      <c r="D6350" s="19" t="n">
        <v>0.4869</v>
      </c>
      <c r="E6350" s="20" t="n">
        <f aca="false">Parametres!$B$5*C6350</f>
        <v>265.89</v>
      </c>
      <c r="F6350" s="20" t="n">
        <f aca="false">Parametres!$B$6*D6350</f>
        <v>97.38</v>
      </c>
      <c r="G6350" s="20" t="n">
        <f aca="false">E6350+F6350</f>
        <v>363.27</v>
      </c>
      <c r="H6350" s="20" t="n">
        <f aca="false">IF(G6350&lt;Parametres!$B$8*Parametres!$B$7,0,MIN(G6350,Parametres!$B$7))</f>
        <v>250</v>
      </c>
      <c r="I6350" s="20" t="n">
        <f aca="false">G6350-H6350</f>
        <v>113.27</v>
      </c>
      <c r="J6350" s="21" t="n">
        <f aca="false">H6350*1000/Parametres!$B$9</f>
        <v>4239.44378497541</v>
      </c>
    </row>
    <row r="6351" customFormat="false" ht="15" hidden="false" customHeight="false" outlineLevel="0" collapsed="false">
      <c r="A6351" s="0" t="n">
        <v>6347</v>
      </c>
      <c r="B6351" s="0" t="n">
        <v>9</v>
      </c>
      <c r="C6351" s="19" t="n">
        <v>1</v>
      </c>
      <c r="D6351" s="19" t="n">
        <v>0.5538</v>
      </c>
      <c r="E6351" s="20" t="n">
        <f aca="false">Parametres!$B$5*C6351</f>
        <v>300</v>
      </c>
      <c r="F6351" s="20" t="n">
        <f aca="false">Parametres!$B$6*D6351</f>
        <v>110.76</v>
      </c>
      <c r="G6351" s="20" t="n">
        <f aca="false">E6351+F6351</f>
        <v>410.76</v>
      </c>
      <c r="H6351" s="20" t="n">
        <f aca="false">IF(G6351&lt;Parametres!$B$8*Parametres!$B$7,0,MIN(G6351,Parametres!$B$7))</f>
        <v>250</v>
      </c>
      <c r="I6351" s="20" t="n">
        <f aca="false">G6351-H6351</f>
        <v>160.76</v>
      </c>
      <c r="J6351" s="21" t="n">
        <f aca="false">H6351*1000/Parametres!$B$9</f>
        <v>4239.44378497541</v>
      </c>
    </row>
    <row r="6352" customFormat="false" ht="15" hidden="false" customHeight="false" outlineLevel="0" collapsed="false">
      <c r="A6352" s="0" t="n">
        <v>6348</v>
      </c>
      <c r="B6352" s="0" t="n">
        <v>9</v>
      </c>
      <c r="C6352" s="19" t="n">
        <v>1</v>
      </c>
      <c r="D6352" s="19" t="n">
        <v>0.6641</v>
      </c>
      <c r="E6352" s="20" t="n">
        <f aca="false">Parametres!$B$5*C6352</f>
        <v>300</v>
      </c>
      <c r="F6352" s="20" t="n">
        <f aca="false">Parametres!$B$6*D6352</f>
        <v>132.82</v>
      </c>
      <c r="G6352" s="20" t="n">
        <f aca="false">E6352+F6352</f>
        <v>432.82</v>
      </c>
      <c r="H6352" s="20" t="n">
        <f aca="false">IF(G6352&lt;Parametres!$B$8*Parametres!$B$7,0,MIN(G6352,Parametres!$B$7))</f>
        <v>250</v>
      </c>
      <c r="I6352" s="20" t="n">
        <f aca="false">G6352-H6352</f>
        <v>182.82</v>
      </c>
      <c r="J6352" s="21" t="n">
        <f aca="false">H6352*1000/Parametres!$B$9</f>
        <v>4239.44378497541</v>
      </c>
    </row>
    <row r="6353" customFormat="false" ht="15" hidden="false" customHeight="false" outlineLevel="0" collapsed="false">
      <c r="A6353" s="0" t="n">
        <v>6349</v>
      </c>
      <c r="B6353" s="0" t="n">
        <v>9</v>
      </c>
      <c r="C6353" s="19" t="n">
        <v>1</v>
      </c>
      <c r="D6353" s="19" t="n">
        <v>1</v>
      </c>
      <c r="E6353" s="20" t="n">
        <f aca="false">Parametres!$B$5*C6353</f>
        <v>300</v>
      </c>
      <c r="F6353" s="20" t="n">
        <f aca="false">Parametres!$B$6*D6353</f>
        <v>200</v>
      </c>
      <c r="G6353" s="20" t="n">
        <f aca="false">E6353+F6353</f>
        <v>500</v>
      </c>
      <c r="H6353" s="20" t="n">
        <f aca="false">IF(G6353&lt;Parametres!$B$8*Parametres!$B$7,0,MIN(G6353,Parametres!$B$7))</f>
        <v>250</v>
      </c>
      <c r="I6353" s="20" t="n">
        <f aca="false">G6353-H6353</f>
        <v>250</v>
      </c>
      <c r="J6353" s="21" t="n">
        <f aca="false">H6353*1000/Parametres!$B$9</f>
        <v>4239.44378497541</v>
      </c>
    </row>
    <row r="6354" customFormat="false" ht="15" hidden="false" customHeight="false" outlineLevel="0" collapsed="false">
      <c r="A6354" s="0" t="n">
        <v>6350</v>
      </c>
      <c r="B6354" s="0" t="n">
        <v>9</v>
      </c>
      <c r="C6354" s="19" t="n">
        <v>1</v>
      </c>
      <c r="D6354" s="19" t="n">
        <v>1</v>
      </c>
      <c r="E6354" s="20" t="n">
        <f aca="false">Parametres!$B$5*C6354</f>
        <v>300</v>
      </c>
      <c r="F6354" s="20" t="n">
        <f aca="false">Parametres!$B$6*D6354</f>
        <v>200</v>
      </c>
      <c r="G6354" s="20" t="n">
        <f aca="false">E6354+F6354</f>
        <v>500</v>
      </c>
      <c r="H6354" s="20" t="n">
        <f aca="false">IF(G6354&lt;Parametres!$B$8*Parametres!$B$7,0,MIN(G6354,Parametres!$B$7))</f>
        <v>250</v>
      </c>
      <c r="I6354" s="20" t="n">
        <f aca="false">G6354-H6354</f>
        <v>250</v>
      </c>
      <c r="J6354" s="21" t="n">
        <f aca="false">H6354*1000/Parametres!$B$9</f>
        <v>4239.44378497541</v>
      </c>
    </row>
    <row r="6355" customFormat="false" ht="15" hidden="false" customHeight="false" outlineLevel="0" collapsed="false">
      <c r="A6355" s="0" t="n">
        <v>6351</v>
      </c>
      <c r="B6355" s="0" t="n">
        <v>9</v>
      </c>
      <c r="C6355" s="19" t="n">
        <v>0.8239</v>
      </c>
      <c r="D6355" s="19" t="n">
        <v>1</v>
      </c>
      <c r="E6355" s="20" t="n">
        <f aca="false">Parametres!$B$5*C6355</f>
        <v>247.17</v>
      </c>
      <c r="F6355" s="20" t="n">
        <f aca="false">Parametres!$B$6*D6355</f>
        <v>200</v>
      </c>
      <c r="G6355" s="20" t="n">
        <f aca="false">E6355+F6355</f>
        <v>447.17</v>
      </c>
      <c r="H6355" s="20" t="n">
        <f aca="false">IF(G6355&lt;Parametres!$B$8*Parametres!$B$7,0,MIN(G6355,Parametres!$B$7))</f>
        <v>250</v>
      </c>
      <c r="I6355" s="20" t="n">
        <f aca="false">G6355-H6355</f>
        <v>197.17</v>
      </c>
      <c r="J6355" s="21" t="n">
        <f aca="false">H6355*1000/Parametres!$B$9</f>
        <v>4239.44378497541</v>
      </c>
    </row>
    <row r="6356" customFormat="false" ht="15" hidden="false" customHeight="false" outlineLevel="0" collapsed="false">
      <c r="A6356" s="0" t="n">
        <v>6352</v>
      </c>
      <c r="B6356" s="0" t="n">
        <v>9</v>
      </c>
      <c r="C6356" s="19" t="n">
        <v>0.6359</v>
      </c>
      <c r="D6356" s="19" t="n">
        <v>1</v>
      </c>
      <c r="E6356" s="20" t="n">
        <f aca="false">Parametres!$B$5*C6356</f>
        <v>190.77</v>
      </c>
      <c r="F6356" s="20" t="n">
        <f aca="false">Parametres!$B$6*D6356</f>
        <v>200</v>
      </c>
      <c r="G6356" s="20" t="n">
        <f aca="false">E6356+F6356</f>
        <v>390.77</v>
      </c>
      <c r="H6356" s="20" t="n">
        <f aca="false">IF(G6356&lt;Parametres!$B$8*Parametres!$B$7,0,MIN(G6356,Parametres!$B$7))</f>
        <v>250</v>
      </c>
      <c r="I6356" s="20" t="n">
        <f aca="false">G6356-H6356</f>
        <v>140.77</v>
      </c>
      <c r="J6356" s="21" t="n">
        <f aca="false">H6356*1000/Parametres!$B$9</f>
        <v>4239.44378497541</v>
      </c>
    </row>
    <row r="6357" customFormat="false" ht="15" hidden="false" customHeight="false" outlineLevel="0" collapsed="false">
      <c r="A6357" s="0" t="n">
        <v>6353</v>
      </c>
      <c r="B6357" s="0" t="n">
        <v>9</v>
      </c>
      <c r="C6357" s="19" t="n">
        <v>0.3686</v>
      </c>
      <c r="D6357" s="19" t="n">
        <v>1</v>
      </c>
      <c r="E6357" s="20" t="n">
        <f aca="false">Parametres!$B$5*C6357</f>
        <v>110.58</v>
      </c>
      <c r="F6357" s="20" t="n">
        <f aca="false">Parametres!$B$6*D6357</f>
        <v>200</v>
      </c>
      <c r="G6357" s="20" t="n">
        <f aca="false">E6357+F6357</f>
        <v>310.58</v>
      </c>
      <c r="H6357" s="20" t="n">
        <f aca="false">IF(G6357&lt;Parametres!$B$8*Parametres!$B$7,0,MIN(G6357,Parametres!$B$7))</f>
        <v>250</v>
      </c>
      <c r="I6357" s="20" t="n">
        <f aca="false">G6357-H6357</f>
        <v>60.58</v>
      </c>
      <c r="J6357" s="21" t="n">
        <f aca="false">H6357*1000/Parametres!$B$9</f>
        <v>4239.44378497541</v>
      </c>
    </row>
    <row r="6358" customFormat="false" ht="15" hidden="false" customHeight="false" outlineLevel="0" collapsed="false">
      <c r="A6358" s="0" t="n">
        <v>6354</v>
      </c>
      <c r="B6358" s="0" t="n">
        <v>9</v>
      </c>
      <c r="C6358" s="19" t="n">
        <v>0.1111</v>
      </c>
      <c r="D6358" s="19" t="n">
        <v>1</v>
      </c>
      <c r="E6358" s="20" t="n">
        <f aca="false">Parametres!$B$5*C6358</f>
        <v>33.33</v>
      </c>
      <c r="F6358" s="20" t="n">
        <f aca="false">Parametres!$B$6*D6358</f>
        <v>200</v>
      </c>
      <c r="G6358" s="20" t="n">
        <f aca="false">E6358+F6358</f>
        <v>233.33</v>
      </c>
      <c r="H6358" s="20" t="n">
        <f aca="false">IF(G6358&lt;Parametres!$B$8*Parametres!$B$7,0,MIN(G6358,Parametres!$B$7))</f>
        <v>233.33</v>
      </c>
      <c r="I6358" s="20" t="n">
        <f aca="false">G6358-H6358</f>
        <v>0</v>
      </c>
      <c r="J6358" s="21" t="n">
        <f aca="false">H6358*1000/Parametres!$B$9</f>
        <v>3956.75767339325</v>
      </c>
    </row>
    <row r="6359" customFormat="false" ht="15" hidden="false" customHeight="false" outlineLevel="0" collapsed="false">
      <c r="A6359" s="0" t="n">
        <v>6355</v>
      </c>
      <c r="B6359" s="0" t="n">
        <v>9</v>
      </c>
      <c r="C6359" s="19" t="n">
        <v>0</v>
      </c>
      <c r="D6359" s="19" t="n">
        <v>1</v>
      </c>
      <c r="E6359" s="20" t="n">
        <f aca="false">Parametres!$B$5*C6359</f>
        <v>0</v>
      </c>
      <c r="F6359" s="20" t="n">
        <f aca="false">Parametres!$B$6*D6359</f>
        <v>200</v>
      </c>
      <c r="G6359" s="20" t="n">
        <f aca="false">E6359+F6359</f>
        <v>200</v>
      </c>
      <c r="H6359" s="20" t="n">
        <f aca="false">IF(G6359&lt;Parametres!$B$8*Parametres!$B$7,0,MIN(G6359,Parametres!$B$7))</f>
        <v>200</v>
      </c>
      <c r="I6359" s="20" t="n">
        <f aca="false">G6359-H6359</f>
        <v>0</v>
      </c>
      <c r="J6359" s="21" t="n">
        <f aca="false">H6359*1000/Parametres!$B$9</f>
        <v>3391.55502798033</v>
      </c>
    </row>
    <row r="6360" customFormat="false" ht="15" hidden="false" customHeight="false" outlineLevel="0" collapsed="false">
      <c r="A6360" s="0" t="n">
        <v>6356</v>
      </c>
      <c r="B6360" s="0" t="n">
        <v>9</v>
      </c>
      <c r="C6360" s="19" t="n">
        <v>0</v>
      </c>
      <c r="D6360" s="19" t="n">
        <v>1</v>
      </c>
      <c r="E6360" s="20" t="n">
        <f aca="false">Parametres!$B$5*C6360</f>
        <v>0</v>
      </c>
      <c r="F6360" s="20" t="n">
        <f aca="false">Parametres!$B$6*D6360</f>
        <v>200</v>
      </c>
      <c r="G6360" s="20" t="n">
        <f aca="false">E6360+F6360</f>
        <v>200</v>
      </c>
      <c r="H6360" s="20" t="n">
        <f aca="false">IF(G6360&lt;Parametres!$B$8*Parametres!$B$7,0,MIN(G6360,Parametres!$B$7))</f>
        <v>200</v>
      </c>
      <c r="I6360" s="20" t="n">
        <f aca="false">G6360-H6360</f>
        <v>0</v>
      </c>
      <c r="J6360" s="21" t="n">
        <f aca="false">H6360*1000/Parametres!$B$9</f>
        <v>3391.55502798033</v>
      </c>
    </row>
    <row r="6361" customFormat="false" ht="15" hidden="false" customHeight="false" outlineLevel="0" collapsed="false">
      <c r="A6361" s="0" t="n">
        <v>6357</v>
      </c>
      <c r="B6361" s="0" t="n">
        <v>9</v>
      </c>
      <c r="C6361" s="19" t="n">
        <v>0</v>
      </c>
      <c r="D6361" s="19" t="n">
        <v>1</v>
      </c>
      <c r="E6361" s="20" t="n">
        <f aca="false">Parametres!$B$5*C6361</f>
        <v>0</v>
      </c>
      <c r="F6361" s="20" t="n">
        <f aca="false">Parametres!$B$6*D6361</f>
        <v>200</v>
      </c>
      <c r="G6361" s="20" t="n">
        <f aca="false">E6361+F6361</f>
        <v>200</v>
      </c>
      <c r="H6361" s="20" t="n">
        <f aca="false">IF(G6361&lt;Parametres!$B$8*Parametres!$B$7,0,MIN(G6361,Parametres!$B$7))</f>
        <v>200</v>
      </c>
      <c r="I6361" s="20" t="n">
        <f aca="false">G6361-H6361</f>
        <v>0</v>
      </c>
      <c r="J6361" s="21" t="n">
        <f aca="false">H6361*1000/Parametres!$B$9</f>
        <v>3391.55502798033</v>
      </c>
    </row>
    <row r="6362" customFormat="false" ht="15" hidden="false" customHeight="false" outlineLevel="0" collapsed="false">
      <c r="A6362" s="0" t="n">
        <v>6358</v>
      </c>
      <c r="B6362" s="0" t="n">
        <v>9</v>
      </c>
      <c r="C6362" s="19" t="n">
        <v>0</v>
      </c>
      <c r="D6362" s="19" t="n">
        <v>1</v>
      </c>
      <c r="E6362" s="20" t="n">
        <f aca="false">Parametres!$B$5*C6362</f>
        <v>0</v>
      </c>
      <c r="F6362" s="20" t="n">
        <f aca="false">Parametres!$B$6*D6362</f>
        <v>200</v>
      </c>
      <c r="G6362" s="20" t="n">
        <f aca="false">E6362+F6362</f>
        <v>200</v>
      </c>
      <c r="H6362" s="20" t="n">
        <f aca="false">IF(G6362&lt;Parametres!$B$8*Parametres!$B$7,0,MIN(G6362,Parametres!$B$7))</f>
        <v>200</v>
      </c>
      <c r="I6362" s="20" t="n">
        <f aca="false">G6362-H6362</f>
        <v>0</v>
      </c>
      <c r="J6362" s="21" t="n">
        <f aca="false">H6362*1000/Parametres!$B$9</f>
        <v>3391.55502798033</v>
      </c>
    </row>
    <row r="6363" customFormat="false" ht="15" hidden="false" customHeight="false" outlineLevel="0" collapsed="false">
      <c r="A6363" s="0" t="n">
        <v>6359</v>
      </c>
      <c r="B6363" s="0" t="n">
        <v>9</v>
      </c>
      <c r="C6363" s="19" t="n">
        <v>0</v>
      </c>
      <c r="D6363" s="19" t="n">
        <v>1</v>
      </c>
      <c r="E6363" s="20" t="n">
        <f aca="false">Parametres!$B$5*C6363</f>
        <v>0</v>
      </c>
      <c r="F6363" s="20" t="n">
        <f aca="false">Parametres!$B$6*D6363</f>
        <v>200</v>
      </c>
      <c r="G6363" s="20" t="n">
        <f aca="false">E6363+F6363</f>
        <v>200</v>
      </c>
      <c r="H6363" s="20" t="n">
        <f aca="false">IF(G6363&lt;Parametres!$B$8*Parametres!$B$7,0,MIN(G6363,Parametres!$B$7))</f>
        <v>200</v>
      </c>
      <c r="I6363" s="20" t="n">
        <f aca="false">G6363-H6363</f>
        <v>0</v>
      </c>
      <c r="J6363" s="21" t="n">
        <f aca="false">H6363*1000/Parametres!$B$9</f>
        <v>3391.55502798033</v>
      </c>
    </row>
    <row r="6364" customFormat="false" ht="15" hidden="false" customHeight="false" outlineLevel="0" collapsed="false">
      <c r="A6364" s="0" t="n">
        <v>6360</v>
      </c>
      <c r="B6364" s="0" t="n">
        <v>9</v>
      </c>
      <c r="C6364" s="19" t="n">
        <v>0</v>
      </c>
      <c r="D6364" s="19" t="n">
        <v>0.4936</v>
      </c>
      <c r="E6364" s="20" t="n">
        <f aca="false">Parametres!$B$5*C6364</f>
        <v>0</v>
      </c>
      <c r="F6364" s="20" t="n">
        <f aca="false">Parametres!$B$6*D6364</f>
        <v>98.72</v>
      </c>
      <c r="G6364" s="20" t="n">
        <f aca="false">E6364+F6364</f>
        <v>98.72</v>
      </c>
      <c r="H6364" s="20" t="n">
        <f aca="false">IF(G6364&lt;Parametres!$B$8*Parametres!$B$7,0,MIN(G6364,Parametres!$B$7))</f>
        <v>98.72</v>
      </c>
      <c r="I6364" s="20" t="n">
        <f aca="false">G6364-H6364</f>
        <v>0</v>
      </c>
      <c r="J6364" s="21" t="n">
        <f aca="false">H6364*1000/Parametres!$B$9</f>
        <v>1674.07156181109</v>
      </c>
    </row>
    <row r="6365" customFormat="false" ht="15" hidden="false" customHeight="false" outlineLevel="0" collapsed="false">
      <c r="A6365" s="0" t="n">
        <v>6361</v>
      </c>
      <c r="B6365" s="0" t="n">
        <v>9</v>
      </c>
      <c r="C6365" s="19" t="n">
        <v>0</v>
      </c>
      <c r="D6365" s="19" t="n">
        <v>0.3799</v>
      </c>
      <c r="E6365" s="20" t="n">
        <f aca="false">Parametres!$B$5*C6365</f>
        <v>0</v>
      </c>
      <c r="F6365" s="20" t="n">
        <f aca="false">Parametres!$B$6*D6365</f>
        <v>75.98</v>
      </c>
      <c r="G6365" s="20" t="n">
        <f aca="false">E6365+F6365</f>
        <v>75.98</v>
      </c>
      <c r="H6365" s="20" t="n">
        <f aca="false">IF(G6365&lt;Parametres!$B$8*Parametres!$B$7,0,MIN(G6365,Parametres!$B$7))</f>
        <v>75.98</v>
      </c>
      <c r="I6365" s="20" t="n">
        <f aca="false">G6365-H6365</f>
        <v>0</v>
      </c>
      <c r="J6365" s="21" t="n">
        <f aca="false">H6365*1000/Parametres!$B$9</f>
        <v>1288.45175512973</v>
      </c>
    </row>
    <row r="6366" customFormat="false" ht="15" hidden="false" customHeight="false" outlineLevel="0" collapsed="false">
      <c r="A6366" s="0" t="n">
        <v>6362</v>
      </c>
      <c r="B6366" s="0" t="n">
        <v>9</v>
      </c>
      <c r="C6366" s="19" t="n">
        <v>0</v>
      </c>
      <c r="D6366" s="19" t="n">
        <v>0.2091</v>
      </c>
      <c r="E6366" s="20" t="n">
        <f aca="false">Parametres!$B$5*C6366</f>
        <v>0</v>
      </c>
      <c r="F6366" s="20" t="n">
        <f aca="false">Parametres!$B$6*D6366</f>
        <v>41.82</v>
      </c>
      <c r="G6366" s="20" t="n">
        <f aca="false">E6366+F6366</f>
        <v>41.82</v>
      </c>
      <c r="H6366" s="20" t="n">
        <f aca="false">IF(G6366&lt;Parametres!$B$8*Parametres!$B$7,0,MIN(G6366,Parametres!$B$7))</f>
        <v>41.82</v>
      </c>
      <c r="I6366" s="20" t="n">
        <f aca="false">G6366-H6366</f>
        <v>0</v>
      </c>
      <c r="J6366" s="21" t="n">
        <f aca="false">H6366*1000/Parametres!$B$9</f>
        <v>709.174156350687</v>
      </c>
    </row>
    <row r="6367" customFormat="false" ht="15" hidden="false" customHeight="false" outlineLevel="0" collapsed="false">
      <c r="A6367" s="0" t="n">
        <v>6363</v>
      </c>
      <c r="B6367" s="0" t="n">
        <v>9</v>
      </c>
      <c r="C6367" s="19" t="n">
        <v>0</v>
      </c>
      <c r="D6367" s="19" t="n">
        <v>0.1594</v>
      </c>
      <c r="E6367" s="20" t="n">
        <f aca="false">Parametres!$B$5*C6367</f>
        <v>0</v>
      </c>
      <c r="F6367" s="20" t="n">
        <f aca="false">Parametres!$B$6*D6367</f>
        <v>31.88</v>
      </c>
      <c r="G6367" s="20" t="n">
        <f aca="false">E6367+F6367</f>
        <v>31.88</v>
      </c>
      <c r="H6367" s="20" t="n">
        <f aca="false">IF(G6367&lt;Parametres!$B$8*Parametres!$B$7,0,MIN(G6367,Parametres!$B$7))</f>
        <v>31.88</v>
      </c>
      <c r="I6367" s="20" t="n">
        <f aca="false">G6367-H6367</f>
        <v>0</v>
      </c>
      <c r="J6367" s="21" t="n">
        <f aca="false">H6367*1000/Parametres!$B$9</f>
        <v>540.613871460064</v>
      </c>
    </row>
    <row r="6368" customFormat="false" ht="15" hidden="false" customHeight="false" outlineLevel="0" collapsed="false">
      <c r="A6368" s="0" t="n">
        <v>6364</v>
      </c>
      <c r="B6368" s="0" t="n">
        <v>9</v>
      </c>
      <c r="C6368" s="19" t="n">
        <v>0</v>
      </c>
      <c r="D6368" s="19" t="n">
        <v>0.1207</v>
      </c>
      <c r="E6368" s="20" t="n">
        <f aca="false">Parametres!$B$5*C6368</f>
        <v>0</v>
      </c>
      <c r="F6368" s="20" t="n">
        <f aca="false">Parametres!$B$6*D6368</f>
        <v>24.14</v>
      </c>
      <c r="G6368" s="20" t="n">
        <f aca="false">E6368+F6368</f>
        <v>24.14</v>
      </c>
      <c r="H6368" s="20" t="n">
        <f aca="false">IF(G6368&lt;Parametres!$B$8*Parametres!$B$7,0,MIN(G6368,Parametres!$B$7))</f>
        <v>0</v>
      </c>
      <c r="I6368" s="20" t="n">
        <f aca="false">G6368-H6368</f>
        <v>24.14</v>
      </c>
      <c r="J6368" s="21" t="n">
        <f aca="false">H6368*1000/Parametres!$B$9</f>
        <v>0</v>
      </c>
    </row>
    <row r="6369" customFormat="false" ht="15" hidden="false" customHeight="false" outlineLevel="0" collapsed="false">
      <c r="A6369" s="0" t="n">
        <v>6365</v>
      </c>
      <c r="B6369" s="0" t="n">
        <v>9</v>
      </c>
      <c r="C6369" s="19" t="n">
        <v>0</v>
      </c>
      <c r="D6369" s="19" t="n">
        <v>0.0669</v>
      </c>
      <c r="E6369" s="20" t="n">
        <f aca="false">Parametres!$B$5*C6369</f>
        <v>0</v>
      </c>
      <c r="F6369" s="20" t="n">
        <f aca="false">Parametres!$B$6*D6369</f>
        <v>13.38</v>
      </c>
      <c r="G6369" s="20" t="n">
        <f aca="false">E6369+F6369</f>
        <v>13.38</v>
      </c>
      <c r="H6369" s="20" t="n">
        <f aca="false">IF(G6369&lt;Parametres!$B$8*Parametres!$B$7,0,MIN(G6369,Parametres!$B$7))</f>
        <v>0</v>
      </c>
      <c r="I6369" s="20" t="n">
        <f aca="false">G6369-H6369</f>
        <v>13.38</v>
      </c>
      <c r="J6369" s="21" t="n">
        <f aca="false">H6369*1000/Parametres!$B$9</f>
        <v>0</v>
      </c>
    </row>
    <row r="6370" customFormat="false" ht="15" hidden="false" customHeight="false" outlineLevel="0" collapsed="false">
      <c r="A6370" s="0" t="n">
        <v>6366</v>
      </c>
      <c r="B6370" s="0" t="n">
        <v>9</v>
      </c>
      <c r="C6370" s="19" t="n">
        <v>0</v>
      </c>
      <c r="D6370" s="19" t="n">
        <v>0.0747</v>
      </c>
      <c r="E6370" s="20" t="n">
        <f aca="false">Parametres!$B$5*C6370</f>
        <v>0</v>
      </c>
      <c r="F6370" s="20" t="n">
        <f aca="false">Parametres!$B$6*D6370</f>
        <v>14.94</v>
      </c>
      <c r="G6370" s="20" t="n">
        <f aca="false">E6370+F6370</f>
        <v>14.94</v>
      </c>
      <c r="H6370" s="20" t="n">
        <f aca="false">IF(G6370&lt;Parametres!$B$8*Parametres!$B$7,0,MIN(G6370,Parametres!$B$7))</f>
        <v>0</v>
      </c>
      <c r="I6370" s="20" t="n">
        <f aca="false">G6370-H6370</f>
        <v>14.94</v>
      </c>
      <c r="J6370" s="21" t="n">
        <f aca="false">H6370*1000/Parametres!$B$9</f>
        <v>0</v>
      </c>
    </row>
    <row r="6371" customFormat="false" ht="15" hidden="false" customHeight="false" outlineLevel="0" collapsed="false">
      <c r="A6371" s="0" t="n">
        <v>6367</v>
      </c>
      <c r="B6371" s="0" t="n">
        <v>9</v>
      </c>
      <c r="C6371" s="19" t="n">
        <v>0.0787</v>
      </c>
      <c r="D6371" s="19" t="n">
        <v>0.0388</v>
      </c>
      <c r="E6371" s="20" t="n">
        <f aca="false">Parametres!$B$5*C6371</f>
        <v>23.61</v>
      </c>
      <c r="F6371" s="20" t="n">
        <f aca="false">Parametres!$B$6*D6371</f>
        <v>7.76</v>
      </c>
      <c r="G6371" s="20" t="n">
        <f aca="false">E6371+F6371</f>
        <v>31.37</v>
      </c>
      <c r="H6371" s="20" t="n">
        <f aca="false">IF(G6371&lt;Parametres!$B$8*Parametres!$B$7,0,MIN(G6371,Parametres!$B$7))</f>
        <v>31.37</v>
      </c>
      <c r="I6371" s="20" t="n">
        <f aca="false">G6371-H6371</f>
        <v>0</v>
      </c>
      <c r="J6371" s="21" t="n">
        <f aca="false">H6371*1000/Parametres!$B$9</f>
        <v>531.965406138715</v>
      </c>
    </row>
    <row r="6372" customFormat="false" ht="15" hidden="false" customHeight="false" outlineLevel="0" collapsed="false">
      <c r="A6372" s="0" t="n">
        <v>6368</v>
      </c>
      <c r="B6372" s="0" t="n">
        <v>9</v>
      </c>
      <c r="C6372" s="19" t="n">
        <v>0.2777</v>
      </c>
      <c r="D6372" s="19" t="n">
        <v>0.0247</v>
      </c>
      <c r="E6372" s="20" t="n">
        <f aca="false">Parametres!$B$5*C6372</f>
        <v>83.31</v>
      </c>
      <c r="F6372" s="20" t="n">
        <f aca="false">Parametres!$B$6*D6372</f>
        <v>4.94</v>
      </c>
      <c r="G6372" s="20" t="n">
        <f aca="false">E6372+F6372</f>
        <v>88.25</v>
      </c>
      <c r="H6372" s="20" t="n">
        <f aca="false">IF(G6372&lt;Parametres!$B$8*Parametres!$B$7,0,MIN(G6372,Parametres!$B$7))</f>
        <v>88.25</v>
      </c>
      <c r="I6372" s="20" t="n">
        <f aca="false">G6372-H6372</f>
        <v>0</v>
      </c>
      <c r="J6372" s="21" t="n">
        <f aca="false">H6372*1000/Parametres!$B$9</f>
        <v>1496.52365609632</v>
      </c>
    </row>
    <row r="6373" customFormat="false" ht="15" hidden="false" customHeight="false" outlineLevel="0" collapsed="false">
      <c r="A6373" s="0" t="n">
        <v>6369</v>
      </c>
      <c r="B6373" s="0" t="n">
        <v>9</v>
      </c>
      <c r="C6373" s="19" t="n">
        <v>0.5322</v>
      </c>
      <c r="D6373" s="19" t="n">
        <v>0.0098</v>
      </c>
      <c r="E6373" s="20" t="n">
        <f aca="false">Parametres!$B$5*C6373</f>
        <v>159.66</v>
      </c>
      <c r="F6373" s="20" t="n">
        <f aca="false">Parametres!$B$6*D6373</f>
        <v>1.96</v>
      </c>
      <c r="G6373" s="20" t="n">
        <f aca="false">E6373+F6373</f>
        <v>161.62</v>
      </c>
      <c r="H6373" s="20" t="n">
        <f aca="false">IF(G6373&lt;Parametres!$B$8*Parametres!$B$7,0,MIN(G6373,Parametres!$B$7))</f>
        <v>161.62</v>
      </c>
      <c r="I6373" s="20" t="n">
        <f aca="false">G6373-H6373</f>
        <v>0</v>
      </c>
      <c r="J6373" s="21" t="n">
        <f aca="false">H6373*1000/Parametres!$B$9</f>
        <v>2740.7156181109</v>
      </c>
    </row>
    <row r="6374" customFormat="false" ht="15" hidden="false" customHeight="false" outlineLevel="0" collapsed="false">
      <c r="A6374" s="0" t="n">
        <v>6370</v>
      </c>
      <c r="B6374" s="0" t="n">
        <v>9</v>
      </c>
      <c r="C6374" s="19" t="n">
        <v>0.6613</v>
      </c>
      <c r="D6374" s="19" t="n">
        <v>0.0062</v>
      </c>
      <c r="E6374" s="20" t="n">
        <f aca="false">Parametres!$B$5*C6374</f>
        <v>198.39</v>
      </c>
      <c r="F6374" s="20" t="n">
        <f aca="false">Parametres!$B$6*D6374</f>
        <v>1.24</v>
      </c>
      <c r="G6374" s="20" t="n">
        <f aca="false">E6374+F6374</f>
        <v>199.63</v>
      </c>
      <c r="H6374" s="20" t="n">
        <f aca="false">IF(G6374&lt;Parametres!$B$8*Parametres!$B$7,0,MIN(G6374,Parametres!$B$7))</f>
        <v>199.63</v>
      </c>
      <c r="I6374" s="20" t="n">
        <f aca="false">G6374-H6374</f>
        <v>0</v>
      </c>
      <c r="J6374" s="21" t="n">
        <f aca="false">H6374*1000/Parametres!$B$9</f>
        <v>3385.28065117857</v>
      </c>
    </row>
    <row r="6375" customFormat="false" ht="15" hidden="false" customHeight="false" outlineLevel="0" collapsed="false">
      <c r="A6375" s="0" t="n">
        <v>6371</v>
      </c>
      <c r="B6375" s="0" t="n">
        <v>9</v>
      </c>
      <c r="C6375" s="19" t="n">
        <v>0.8616</v>
      </c>
      <c r="D6375" s="19" t="n">
        <v>0.0138</v>
      </c>
      <c r="E6375" s="20" t="n">
        <f aca="false">Parametres!$B$5*C6375</f>
        <v>258.48</v>
      </c>
      <c r="F6375" s="20" t="n">
        <f aca="false">Parametres!$B$6*D6375</f>
        <v>2.76</v>
      </c>
      <c r="G6375" s="20" t="n">
        <f aca="false">E6375+F6375</f>
        <v>261.24</v>
      </c>
      <c r="H6375" s="20" t="n">
        <f aca="false">IF(G6375&lt;Parametres!$B$8*Parametres!$B$7,0,MIN(G6375,Parametres!$B$7))</f>
        <v>250</v>
      </c>
      <c r="I6375" s="20" t="n">
        <f aca="false">G6375-H6375</f>
        <v>11.24</v>
      </c>
      <c r="J6375" s="21" t="n">
        <f aca="false">H6375*1000/Parametres!$B$9</f>
        <v>4239.44378497541</v>
      </c>
    </row>
    <row r="6376" customFormat="false" ht="15" hidden="false" customHeight="false" outlineLevel="0" collapsed="false">
      <c r="A6376" s="0" t="n">
        <v>6372</v>
      </c>
      <c r="B6376" s="0" t="n">
        <v>9</v>
      </c>
      <c r="C6376" s="19" t="n">
        <v>0.8714</v>
      </c>
      <c r="D6376" s="19" t="n">
        <v>0.0129</v>
      </c>
      <c r="E6376" s="20" t="n">
        <f aca="false">Parametres!$B$5*C6376</f>
        <v>261.42</v>
      </c>
      <c r="F6376" s="20" t="n">
        <f aca="false">Parametres!$B$6*D6376</f>
        <v>2.58</v>
      </c>
      <c r="G6376" s="20" t="n">
        <f aca="false">E6376+F6376</f>
        <v>264</v>
      </c>
      <c r="H6376" s="20" t="n">
        <f aca="false">IF(G6376&lt;Parametres!$B$8*Parametres!$B$7,0,MIN(G6376,Parametres!$B$7))</f>
        <v>250</v>
      </c>
      <c r="I6376" s="20" t="n">
        <f aca="false">G6376-H6376</f>
        <v>13.9999999999999</v>
      </c>
      <c r="J6376" s="21" t="n">
        <f aca="false">H6376*1000/Parametres!$B$9</f>
        <v>4239.44378497541</v>
      </c>
    </row>
    <row r="6377" customFormat="false" ht="15" hidden="false" customHeight="false" outlineLevel="0" collapsed="false">
      <c r="A6377" s="0" t="n">
        <v>6373</v>
      </c>
      <c r="B6377" s="0" t="n">
        <v>9</v>
      </c>
      <c r="C6377" s="19" t="n">
        <v>0.8913</v>
      </c>
      <c r="D6377" s="19" t="n">
        <v>0.0437</v>
      </c>
      <c r="E6377" s="20" t="n">
        <f aca="false">Parametres!$B$5*C6377</f>
        <v>267.39</v>
      </c>
      <c r="F6377" s="20" t="n">
        <f aca="false">Parametres!$B$6*D6377</f>
        <v>8.74</v>
      </c>
      <c r="G6377" s="20" t="n">
        <f aca="false">E6377+F6377</f>
        <v>276.13</v>
      </c>
      <c r="H6377" s="20" t="n">
        <f aca="false">IF(G6377&lt;Parametres!$B$8*Parametres!$B$7,0,MIN(G6377,Parametres!$B$7))</f>
        <v>250</v>
      </c>
      <c r="I6377" s="20" t="n">
        <f aca="false">G6377-H6377</f>
        <v>26.13</v>
      </c>
      <c r="J6377" s="21" t="n">
        <f aca="false">H6377*1000/Parametres!$B$9</f>
        <v>4239.44378497541</v>
      </c>
    </row>
    <row r="6378" customFormat="false" ht="15" hidden="false" customHeight="false" outlineLevel="0" collapsed="false">
      <c r="A6378" s="0" t="n">
        <v>6374</v>
      </c>
      <c r="B6378" s="0" t="n">
        <v>9</v>
      </c>
      <c r="C6378" s="19" t="n">
        <v>0.8337</v>
      </c>
      <c r="D6378" s="19" t="n">
        <v>0.0443</v>
      </c>
      <c r="E6378" s="20" t="n">
        <f aca="false">Parametres!$B$5*C6378</f>
        <v>250.11</v>
      </c>
      <c r="F6378" s="20" t="n">
        <f aca="false">Parametres!$B$6*D6378</f>
        <v>8.86</v>
      </c>
      <c r="G6378" s="20" t="n">
        <f aca="false">E6378+F6378</f>
        <v>258.97</v>
      </c>
      <c r="H6378" s="20" t="n">
        <f aca="false">IF(G6378&lt;Parametres!$B$8*Parametres!$B$7,0,MIN(G6378,Parametres!$B$7))</f>
        <v>250</v>
      </c>
      <c r="I6378" s="20" t="n">
        <f aca="false">G6378-H6378</f>
        <v>8.96999999999997</v>
      </c>
      <c r="J6378" s="21" t="n">
        <f aca="false">H6378*1000/Parametres!$B$9</f>
        <v>4239.44378497541</v>
      </c>
    </row>
    <row r="6379" customFormat="false" ht="15" hidden="false" customHeight="false" outlineLevel="0" collapsed="false">
      <c r="A6379" s="0" t="n">
        <v>6375</v>
      </c>
      <c r="B6379" s="0" t="n">
        <v>9</v>
      </c>
      <c r="C6379" s="19" t="n">
        <v>0.658</v>
      </c>
      <c r="D6379" s="19" t="n">
        <v>0.0326</v>
      </c>
      <c r="E6379" s="20" t="n">
        <f aca="false">Parametres!$B$5*C6379</f>
        <v>197.4</v>
      </c>
      <c r="F6379" s="20" t="n">
        <f aca="false">Parametres!$B$6*D6379</f>
        <v>6.52</v>
      </c>
      <c r="G6379" s="20" t="n">
        <f aca="false">E6379+F6379</f>
        <v>203.92</v>
      </c>
      <c r="H6379" s="20" t="n">
        <f aca="false">IF(G6379&lt;Parametres!$B$8*Parametres!$B$7,0,MIN(G6379,Parametres!$B$7))</f>
        <v>203.92</v>
      </c>
      <c r="I6379" s="20" t="n">
        <f aca="false">G6379-H6379</f>
        <v>0</v>
      </c>
      <c r="J6379" s="21" t="n">
        <f aca="false">H6379*1000/Parametres!$B$9</f>
        <v>3458.02950652874</v>
      </c>
    </row>
    <row r="6380" customFormat="false" ht="15" hidden="false" customHeight="false" outlineLevel="0" collapsed="false">
      <c r="A6380" s="0" t="n">
        <v>6376</v>
      </c>
      <c r="B6380" s="0" t="n">
        <v>9</v>
      </c>
      <c r="C6380" s="19" t="n">
        <v>0.4811</v>
      </c>
      <c r="D6380" s="19" t="n">
        <v>0.0774</v>
      </c>
      <c r="E6380" s="20" t="n">
        <f aca="false">Parametres!$B$5*C6380</f>
        <v>144.33</v>
      </c>
      <c r="F6380" s="20" t="n">
        <f aca="false">Parametres!$B$6*D6380</f>
        <v>15.48</v>
      </c>
      <c r="G6380" s="20" t="n">
        <f aca="false">E6380+F6380</f>
        <v>159.81</v>
      </c>
      <c r="H6380" s="20" t="n">
        <f aca="false">IF(G6380&lt;Parametres!$B$8*Parametres!$B$7,0,MIN(G6380,Parametres!$B$7))</f>
        <v>159.81</v>
      </c>
      <c r="I6380" s="20" t="n">
        <f aca="false">G6380-H6380</f>
        <v>0</v>
      </c>
      <c r="J6380" s="21" t="n">
        <f aca="false">H6380*1000/Parametres!$B$9</f>
        <v>2710.02204510768</v>
      </c>
    </row>
    <row r="6381" customFormat="false" ht="15" hidden="false" customHeight="false" outlineLevel="0" collapsed="false">
      <c r="A6381" s="0" t="n">
        <v>6377</v>
      </c>
      <c r="B6381" s="0" t="n">
        <v>9</v>
      </c>
      <c r="C6381" s="19" t="n">
        <v>0.2903</v>
      </c>
      <c r="D6381" s="19" t="n">
        <v>0.1003</v>
      </c>
      <c r="E6381" s="20" t="n">
        <f aca="false">Parametres!$B$5*C6381</f>
        <v>87.09</v>
      </c>
      <c r="F6381" s="20" t="n">
        <f aca="false">Parametres!$B$6*D6381</f>
        <v>20.06</v>
      </c>
      <c r="G6381" s="20" t="n">
        <f aca="false">E6381+F6381</f>
        <v>107.15</v>
      </c>
      <c r="H6381" s="20" t="n">
        <f aca="false">IF(G6381&lt;Parametres!$B$8*Parametres!$B$7,0,MIN(G6381,Parametres!$B$7))</f>
        <v>107.15</v>
      </c>
      <c r="I6381" s="20" t="n">
        <f aca="false">G6381-H6381</f>
        <v>0</v>
      </c>
      <c r="J6381" s="21" t="n">
        <f aca="false">H6381*1000/Parametres!$B$9</f>
        <v>1817.02560624046</v>
      </c>
    </row>
    <row r="6382" customFormat="false" ht="15" hidden="false" customHeight="false" outlineLevel="0" collapsed="false">
      <c r="A6382" s="0" t="n">
        <v>6378</v>
      </c>
      <c r="B6382" s="0" t="n">
        <v>9</v>
      </c>
      <c r="C6382" s="19" t="n">
        <v>0.081</v>
      </c>
      <c r="D6382" s="19" t="n">
        <v>0.1545</v>
      </c>
      <c r="E6382" s="20" t="n">
        <f aca="false">Parametres!$B$5*C6382</f>
        <v>24.3</v>
      </c>
      <c r="F6382" s="20" t="n">
        <f aca="false">Parametres!$B$6*D6382</f>
        <v>30.9</v>
      </c>
      <c r="G6382" s="20" t="n">
        <f aca="false">E6382+F6382</f>
        <v>55.2</v>
      </c>
      <c r="H6382" s="20" t="n">
        <f aca="false">IF(G6382&lt;Parametres!$B$8*Parametres!$B$7,0,MIN(G6382,Parametres!$B$7))</f>
        <v>55.2</v>
      </c>
      <c r="I6382" s="20" t="n">
        <f aca="false">G6382-H6382</f>
        <v>0</v>
      </c>
      <c r="J6382" s="21" t="n">
        <f aca="false">H6382*1000/Parametres!$B$9</f>
        <v>936.069187722571</v>
      </c>
    </row>
    <row r="6383" customFormat="false" ht="15" hidden="false" customHeight="false" outlineLevel="0" collapsed="false">
      <c r="A6383" s="0" t="n">
        <v>6379</v>
      </c>
      <c r="B6383" s="0" t="n">
        <v>9</v>
      </c>
      <c r="C6383" s="19" t="n">
        <v>0</v>
      </c>
      <c r="D6383" s="19" t="n">
        <v>0.1876</v>
      </c>
      <c r="E6383" s="20" t="n">
        <f aca="false">Parametres!$B$5*C6383</f>
        <v>0</v>
      </c>
      <c r="F6383" s="20" t="n">
        <f aca="false">Parametres!$B$6*D6383</f>
        <v>37.52</v>
      </c>
      <c r="G6383" s="20" t="n">
        <f aca="false">E6383+F6383</f>
        <v>37.52</v>
      </c>
      <c r="H6383" s="20" t="n">
        <f aca="false">IF(G6383&lt;Parametres!$B$8*Parametres!$B$7,0,MIN(G6383,Parametres!$B$7))</f>
        <v>37.52</v>
      </c>
      <c r="I6383" s="20" t="n">
        <f aca="false">G6383-H6383</f>
        <v>0</v>
      </c>
      <c r="J6383" s="21" t="n">
        <f aca="false">H6383*1000/Parametres!$B$9</f>
        <v>636.25572324911</v>
      </c>
    </row>
    <row r="6384" customFormat="false" ht="15" hidden="false" customHeight="false" outlineLevel="0" collapsed="false">
      <c r="A6384" s="0" t="n">
        <v>6380</v>
      </c>
      <c r="B6384" s="0" t="n">
        <v>9</v>
      </c>
      <c r="C6384" s="19" t="n">
        <v>0</v>
      </c>
      <c r="D6384" s="19" t="n">
        <v>0.3298</v>
      </c>
      <c r="E6384" s="20" t="n">
        <f aca="false">Parametres!$B$5*C6384</f>
        <v>0</v>
      </c>
      <c r="F6384" s="20" t="n">
        <f aca="false">Parametres!$B$6*D6384</f>
        <v>65.96</v>
      </c>
      <c r="G6384" s="20" t="n">
        <f aca="false">E6384+F6384</f>
        <v>65.96</v>
      </c>
      <c r="H6384" s="20" t="n">
        <f aca="false">IF(G6384&lt;Parametres!$B$8*Parametres!$B$7,0,MIN(G6384,Parametres!$B$7))</f>
        <v>65.96</v>
      </c>
      <c r="I6384" s="20" t="n">
        <f aca="false">G6384-H6384</f>
        <v>0</v>
      </c>
      <c r="J6384" s="21" t="n">
        <f aca="false">H6384*1000/Parametres!$B$9</f>
        <v>1118.53484822791</v>
      </c>
    </row>
    <row r="6385" customFormat="false" ht="15" hidden="false" customHeight="false" outlineLevel="0" collapsed="false">
      <c r="A6385" s="0" t="n">
        <v>6381</v>
      </c>
      <c r="B6385" s="0" t="n">
        <v>9</v>
      </c>
      <c r="C6385" s="19" t="n">
        <v>0</v>
      </c>
      <c r="D6385" s="19" t="n">
        <v>0.4251</v>
      </c>
      <c r="E6385" s="20" t="n">
        <f aca="false">Parametres!$B$5*C6385</f>
        <v>0</v>
      </c>
      <c r="F6385" s="20" t="n">
        <f aca="false">Parametres!$B$6*D6385</f>
        <v>85.02</v>
      </c>
      <c r="G6385" s="20" t="n">
        <f aca="false">E6385+F6385</f>
        <v>85.02</v>
      </c>
      <c r="H6385" s="20" t="n">
        <f aca="false">IF(G6385&lt;Parametres!$B$8*Parametres!$B$7,0,MIN(G6385,Parametres!$B$7))</f>
        <v>85.02</v>
      </c>
      <c r="I6385" s="20" t="n">
        <f aca="false">G6385-H6385</f>
        <v>0</v>
      </c>
      <c r="J6385" s="21" t="n">
        <f aca="false">H6385*1000/Parametres!$B$9</f>
        <v>1441.75004239444</v>
      </c>
    </row>
    <row r="6386" customFormat="false" ht="15" hidden="false" customHeight="false" outlineLevel="0" collapsed="false">
      <c r="A6386" s="0" t="n">
        <v>6382</v>
      </c>
      <c r="B6386" s="0" t="n">
        <v>9</v>
      </c>
      <c r="C6386" s="19" t="n">
        <v>0</v>
      </c>
      <c r="D6386" s="19" t="n">
        <v>0.5867</v>
      </c>
      <c r="E6386" s="20" t="n">
        <f aca="false">Parametres!$B$5*C6386</f>
        <v>0</v>
      </c>
      <c r="F6386" s="20" t="n">
        <f aca="false">Parametres!$B$6*D6386</f>
        <v>117.34</v>
      </c>
      <c r="G6386" s="20" t="n">
        <f aca="false">E6386+F6386</f>
        <v>117.34</v>
      </c>
      <c r="H6386" s="20" t="n">
        <f aca="false">IF(G6386&lt;Parametres!$B$8*Parametres!$B$7,0,MIN(G6386,Parametres!$B$7))</f>
        <v>117.34</v>
      </c>
      <c r="I6386" s="20" t="n">
        <f aca="false">G6386-H6386</f>
        <v>0</v>
      </c>
      <c r="J6386" s="21" t="n">
        <f aca="false">H6386*1000/Parametres!$B$9</f>
        <v>1989.82533491606</v>
      </c>
    </row>
    <row r="6387" customFormat="false" ht="15" hidden="false" customHeight="false" outlineLevel="0" collapsed="false">
      <c r="A6387" s="0" t="n">
        <v>6383</v>
      </c>
      <c r="B6387" s="0" t="n">
        <v>9</v>
      </c>
      <c r="C6387" s="19" t="n">
        <v>0</v>
      </c>
      <c r="D6387" s="19" t="n">
        <v>0.3774</v>
      </c>
      <c r="E6387" s="20" t="n">
        <f aca="false">Parametres!$B$5*C6387</f>
        <v>0</v>
      </c>
      <c r="F6387" s="20" t="n">
        <f aca="false">Parametres!$B$6*D6387</f>
        <v>75.48</v>
      </c>
      <c r="G6387" s="20" t="n">
        <f aca="false">E6387+F6387</f>
        <v>75.48</v>
      </c>
      <c r="H6387" s="20" t="n">
        <f aca="false">IF(G6387&lt;Parametres!$B$8*Parametres!$B$7,0,MIN(G6387,Parametres!$B$7))</f>
        <v>75.48</v>
      </c>
      <c r="I6387" s="20" t="n">
        <f aca="false">G6387-H6387</f>
        <v>0</v>
      </c>
      <c r="J6387" s="21" t="n">
        <f aca="false">H6387*1000/Parametres!$B$9</f>
        <v>1279.97286755978</v>
      </c>
    </row>
    <row r="6388" customFormat="false" ht="15" hidden="false" customHeight="false" outlineLevel="0" collapsed="false">
      <c r="A6388" s="0" t="n">
        <v>6384</v>
      </c>
      <c r="B6388" s="0" t="n">
        <v>9</v>
      </c>
      <c r="C6388" s="19" t="n">
        <v>0</v>
      </c>
      <c r="D6388" s="19" t="n">
        <v>0.4085</v>
      </c>
      <c r="E6388" s="20" t="n">
        <f aca="false">Parametres!$B$5*C6388</f>
        <v>0</v>
      </c>
      <c r="F6388" s="20" t="n">
        <f aca="false">Parametres!$B$6*D6388</f>
        <v>81.7</v>
      </c>
      <c r="G6388" s="20" t="n">
        <f aca="false">E6388+F6388</f>
        <v>81.7</v>
      </c>
      <c r="H6388" s="20" t="n">
        <f aca="false">IF(G6388&lt;Parametres!$B$8*Parametres!$B$7,0,MIN(G6388,Parametres!$B$7))</f>
        <v>81.7</v>
      </c>
      <c r="I6388" s="20" t="n">
        <f aca="false">G6388-H6388</f>
        <v>0</v>
      </c>
      <c r="J6388" s="21" t="n">
        <f aca="false">H6388*1000/Parametres!$B$9</f>
        <v>1385.45022892996</v>
      </c>
    </row>
    <row r="6389" customFormat="false" ht="15" hidden="false" customHeight="false" outlineLevel="0" collapsed="false">
      <c r="A6389" s="0" t="n">
        <v>6385</v>
      </c>
      <c r="B6389" s="0" t="n">
        <v>9</v>
      </c>
      <c r="C6389" s="19" t="n">
        <v>0</v>
      </c>
      <c r="D6389" s="19" t="n">
        <v>0.4786</v>
      </c>
      <c r="E6389" s="20" t="n">
        <f aca="false">Parametres!$B$5*C6389</f>
        <v>0</v>
      </c>
      <c r="F6389" s="20" t="n">
        <f aca="false">Parametres!$B$6*D6389</f>
        <v>95.72</v>
      </c>
      <c r="G6389" s="20" t="n">
        <f aca="false">E6389+F6389</f>
        <v>95.72</v>
      </c>
      <c r="H6389" s="20" t="n">
        <f aca="false">IF(G6389&lt;Parametres!$B$8*Parametres!$B$7,0,MIN(G6389,Parametres!$B$7))</f>
        <v>95.72</v>
      </c>
      <c r="I6389" s="20" t="n">
        <f aca="false">G6389-H6389</f>
        <v>0</v>
      </c>
      <c r="J6389" s="21" t="n">
        <f aca="false">H6389*1000/Parametres!$B$9</f>
        <v>1623.19823639139</v>
      </c>
    </row>
    <row r="6390" customFormat="false" ht="15" hidden="false" customHeight="false" outlineLevel="0" collapsed="false">
      <c r="A6390" s="0" t="n">
        <v>6386</v>
      </c>
      <c r="B6390" s="0" t="n">
        <v>9</v>
      </c>
      <c r="C6390" s="19" t="n">
        <v>0</v>
      </c>
      <c r="D6390" s="19" t="n">
        <v>0.4284</v>
      </c>
      <c r="E6390" s="20" t="n">
        <f aca="false">Parametres!$B$5*C6390</f>
        <v>0</v>
      </c>
      <c r="F6390" s="20" t="n">
        <f aca="false">Parametres!$B$6*D6390</f>
        <v>85.68</v>
      </c>
      <c r="G6390" s="20" t="n">
        <f aca="false">E6390+F6390</f>
        <v>85.68</v>
      </c>
      <c r="H6390" s="20" t="n">
        <f aca="false">IF(G6390&lt;Parametres!$B$8*Parametres!$B$7,0,MIN(G6390,Parametres!$B$7))</f>
        <v>85.68</v>
      </c>
      <c r="I6390" s="20" t="n">
        <f aca="false">G6390-H6390</f>
        <v>0</v>
      </c>
      <c r="J6390" s="21" t="n">
        <f aca="false">H6390*1000/Parametres!$B$9</f>
        <v>1452.94217398677</v>
      </c>
    </row>
    <row r="6391" customFormat="false" ht="15" hidden="false" customHeight="false" outlineLevel="0" collapsed="false">
      <c r="A6391" s="0" t="n">
        <v>6387</v>
      </c>
      <c r="B6391" s="0" t="n">
        <v>9</v>
      </c>
      <c r="C6391" s="19" t="n">
        <v>0</v>
      </c>
      <c r="D6391" s="19" t="n">
        <v>0.574</v>
      </c>
      <c r="E6391" s="20" t="n">
        <f aca="false">Parametres!$B$5*C6391</f>
        <v>0</v>
      </c>
      <c r="F6391" s="20" t="n">
        <f aca="false">Parametres!$B$6*D6391</f>
        <v>114.8</v>
      </c>
      <c r="G6391" s="20" t="n">
        <f aca="false">E6391+F6391</f>
        <v>114.8</v>
      </c>
      <c r="H6391" s="20" t="n">
        <f aca="false">IF(G6391&lt;Parametres!$B$8*Parametres!$B$7,0,MIN(G6391,Parametres!$B$7))</f>
        <v>114.8</v>
      </c>
      <c r="I6391" s="20" t="n">
        <f aca="false">G6391-H6391</f>
        <v>0</v>
      </c>
      <c r="J6391" s="21" t="n">
        <f aca="false">H6391*1000/Parametres!$B$9</f>
        <v>1946.75258606071</v>
      </c>
    </row>
    <row r="6392" customFormat="false" ht="15" hidden="false" customHeight="false" outlineLevel="0" collapsed="false">
      <c r="A6392" s="0" t="n">
        <v>6388</v>
      </c>
      <c r="B6392" s="0" t="n">
        <v>9</v>
      </c>
      <c r="C6392" s="19" t="n">
        <v>0</v>
      </c>
      <c r="D6392" s="19" t="n">
        <v>0.5592</v>
      </c>
      <c r="E6392" s="20" t="n">
        <f aca="false">Parametres!$B$5*C6392</f>
        <v>0</v>
      </c>
      <c r="F6392" s="20" t="n">
        <f aca="false">Parametres!$B$6*D6392</f>
        <v>111.84</v>
      </c>
      <c r="G6392" s="20" t="n">
        <f aca="false">E6392+F6392</f>
        <v>111.84</v>
      </c>
      <c r="H6392" s="20" t="n">
        <f aca="false">IF(G6392&lt;Parametres!$B$8*Parametres!$B$7,0,MIN(G6392,Parametres!$B$7))</f>
        <v>111.84</v>
      </c>
      <c r="I6392" s="20" t="n">
        <f aca="false">G6392-H6392</f>
        <v>0</v>
      </c>
      <c r="J6392" s="21" t="n">
        <f aca="false">H6392*1000/Parametres!$B$9</f>
        <v>1896.5575716466</v>
      </c>
    </row>
    <row r="6393" customFormat="false" ht="15" hidden="false" customHeight="false" outlineLevel="0" collapsed="false">
      <c r="A6393" s="0" t="n">
        <v>6389</v>
      </c>
      <c r="B6393" s="0" t="n">
        <v>9</v>
      </c>
      <c r="C6393" s="19" t="n">
        <v>0</v>
      </c>
      <c r="D6393" s="19" t="n">
        <v>0.5099</v>
      </c>
      <c r="E6393" s="20" t="n">
        <f aca="false">Parametres!$B$5*C6393</f>
        <v>0</v>
      </c>
      <c r="F6393" s="20" t="n">
        <f aca="false">Parametres!$B$6*D6393</f>
        <v>101.98</v>
      </c>
      <c r="G6393" s="20" t="n">
        <f aca="false">E6393+F6393</f>
        <v>101.98</v>
      </c>
      <c r="H6393" s="20" t="n">
        <f aca="false">IF(G6393&lt;Parametres!$B$8*Parametres!$B$7,0,MIN(G6393,Parametres!$B$7))</f>
        <v>101.98</v>
      </c>
      <c r="I6393" s="20" t="n">
        <f aca="false">G6393-H6393</f>
        <v>0</v>
      </c>
      <c r="J6393" s="21" t="n">
        <f aca="false">H6393*1000/Parametres!$B$9</f>
        <v>1729.35390876717</v>
      </c>
    </row>
    <row r="6394" customFormat="false" ht="15" hidden="false" customHeight="false" outlineLevel="0" collapsed="false">
      <c r="A6394" s="0" t="n">
        <v>6390</v>
      </c>
      <c r="B6394" s="0" t="n">
        <v>9</v>
      </c>
      <c r="C6394" s="19" t="n">
        <v>0</v>
      </c>
      <c r="D6394" s="19" t="n">
        <v>0.6033</v>
      </c>
      <c r="E6394" s="20" t="n">
        <f aca="false">Parametres!$B$5*C6394</f>
        <v>0</v>
      </c>
      <c r="F6394" s="20" t="n">
        <f aca="false">Parametres!$B$6*D6394</f>
        <v>120.66</v>
      </c>
      <c r="G6394" s="20" t="n">
        <f aca="false">E6394+F6394</f>
        <v>120.66</v>
      </c>
      <c r="H6394" s="20" t="n">
        <f aca="false">IF(G6394&lt;Parametres!$B$8*Parametres!$B$7,0,MIN(G6394,Parametres!$B$7))</f>
        <v>120.66</v>
      </c>
      <c r="I6394" s="20" t="n">
        <f aca="false">G6394-H6394</f>
        <v>0</v>
      </c>
      <c r="J6394" s="21" t="n">
        <f aca="false">H6394*1000/Parametres!$B$9</f>
        <v>2046.12514838053</v>
      </c>
    </row>
    <row r="6395" customFormat="false" ht="15" hidden="false" customHeight="false" outlineLevel="0" collapsed="false">
      <c r="A6395" s="0" t="n">
        <v>6391</v>
      </c>
      <c r="B6395" s="0" t="n">
        <v>9</v>
      </c>
      <c r="C6395" s="19" t="n">
        <v>0.0936</v>
      </c>
      <c r="D6395" s="19" t="n">
        <v>0.4333</v>
      </c>
      <c r="E6395" s="20" t="n">
        <f aca="false">Parametres!$B$5*C6395</f>
        <v>28.08</v>
      </c>
      <c r="F6395" s="20" t="n">
        <f aca="false">Parametres!$B$6*D6395</f>
        <v>86.66</v>
      </c>
      <c r="G6395" s="20" t="n">
        <f aca="false">E6395+F6395</f>
        <v>114.74</v>
      </c>
      <c r="H6395" s="20" t="n">
        <f aca="false">IF(G6395&lt;Parametres!$B$8*Parametres!$B$7,0,MIN(G6395,Parametres!$B$7))</f>
        <v>114.74</v>
      </c>
      <c r="I6395" s="20" t="n">
        <f aca="false">G6395-H6395</f>
        <v>0</v>
      </c>
      <c r="J6395" s="21" t="n">
        <f aca="false">H6395*1000/Parametres!$B$9</f>
        <v>1945.73511955231</v>
      </c>
    </row>
    <row r="6396" customFormat="false" ht="15" hidden="false" customHeight="false" outlineLevel="0" collapsed="false">
      <c r="A6396" s="0" t="n">
        <v>6392</v>
      </c>
      <c r="B6396" s="0" t="n">
        <v>9</v>
      </c>
      <c r="C6396" s="19" t="n">
        <v>0.3662</v>
      </c>
      <c r="D6396" s="19" t="n">
        <v>0.2791</v>
      </c>
      <c r="E6396" s="20" t="n">
        <f aca="false">Parametres!$B$5*C6396</f>
        <v>109.86</v>
      </c>
      <c r="F6396" s="20" t="n">
        <f aca="false">Parametres!$B$6*D6396</f>
        <v>55.82</v>
      </c>
      <c r="G6396" s="20" t="n">
        <f aca="false">E6396+F6396</f>
        <v>165.68</v>
      </c>
      <c r="H6396" s="20" t="n">
        <f aca="false">IF(G6396&lt;Parametres!$B$8*Parametres!$B$7,0,MIN(G6396,Parametres!$B$7))</f>
        <v>165.68</v>
      </c>
      <c r="I6396" s="20" t="n">
        <f aca="false">G6396-H6396</f>
        <v>0</v>
      </c>
      <c r="J6396" s="21" t="n">
        <f aca="false">H6396*1000/Parametres!$B$9</f>
        <v>2809.5641851789</v>
      </c>
    </row>
    <row r="6397" customFormat="false" ht="15" hidden="false" customHeight="false" outlineLevel="0" collapsed="false">
      <c r="A6397" s="0" t="n">
        <v>6393</v>
      </c>
      <c r="B6397" s="0" t="n">
        <v>9</v>
      </c>
      <c r="C6397" s="19" t="n">
        <v>0.6072</v>
      </c>
      <c r="D6397" s="19" t="n">
        <v>0.2924</v>
      </c>
      <c r="E6397" s="20" t="n">
        <f aca="false">Parametres!$B$5*C6397</f>
        <v>182.16</v>
      </c>
      <c r="F6397" s="20" t="n">
        <f aca="false">Parametres!$B$6*D6397</f>
        <v>58.48</v>
      </c>
      <c r="G6397" s="20" t="n">
        <f aca="false">E6397+F6397</f>
        <v>240.64</v>
      </c>
      <c r="H6397" s="20" t="n">
        <f aca="false">IF(G6397&lt;Parametres!$B$8*Parametres!$B$7,0,MIN(G6397,Parametres!$B$7))</f>
        <v>240.64</v>
      </c>
      <c r="I6397" s="20" t="n">
        <f aca="false">G6397-H6397</f>
        <v>0</v>
      </c>
      <c r="J6397" s="21" t="n">
        <f aca="false">H6397*1000/Parametres!$B$9</f>
        <v>4080.71900966593</v>
      </c>
    </row>
    <row r="6398" customFormat="false" ht="15" hidden="false" customHeight="false" outlineLevel="0" collapsed="false">
      <c r="A6398" s="0" t="n">
        <v>6394</v>
      </c>
      <c r="B6398" s="0" t="n">
        <v>9</v>
      </c>
      <c r="C6398" s="19" t="n">
        <v>0.8044</v>
      </c>
      <c r="D6398" s="19" t="n">
        <v>0.1301</v>
      </c>
      <c r="E6398" s="20" t="n">
        <f aca="false">Parametres!$B$5*C6398</f>
        <v>241.32</v>
      </c>
      <c r="F6398" s="20" t="n">
        <f aca="false">Parametres!$B$6*D6398</f>
        <v>26.02</v>
      </c>
      <c r="G6398" s="20" t="n">
        <f aca="false">E6398+F6398</f>
        <v>267.34</v>
      </c>
      <c r="H6398" s="20" t="n">
        <f aca="false">IF(G6398&lt;Parametres!$B$8*Parametres!$B$7,0,MIN(G6398,Parametres!$B$7))</f>
        <v>250</v>
      </c>
      <c r="I6398" s="20" t="n">
        <f aca="false">G6398-H6398</f>
        <v>17.34</v>
      </c>
      <c r="J6398" s="21" t="n">
        <f aca="false">H6398*1000/Parametres!$B$9</f>
        <v>4239.44378497541</v>
      </c>
    </row>
    <row r="6399" customFormat="false" ht="15" hidden="false" customHeight="false" outlineLevel="0" collapsed="false">
      <c r="A6399" s="0" t="n">
        <v>6395</v>
      </c>
      <c r="B6399" s="0" t="n">
        <v>9</v>
      </c>
      <c r="C6399" s="19" t="n">
        <v>0.9953</v>
      </c>
      <c r="D6399" s="19" t="n">
        <v>0.2439</v>
      </c>
      <c r="E6399" s="20" t="n">
        <f aca="false">Parametres!$B$5*C6399</f>
        <v>298.59</v>
      </c>
      <c r="F6399" s="20" t="n">
        <f aca="false">Parametres!$B$6*D6399</f>
        <v>48.78</v>
      </c>
      <c r="G6399" s="20" t="n">
        <f aca="false">E6399+F6399</f>
        <v>347.37</v>
      </c>
      <c r="H6399" s="20" t="n">
        <f aca="false">IF(G6399&lt;Parametres!$B$8*Parametres!$B$7,0,MIN(G6399,Parametres!$B$7))</f>
        <v>250</v>
      </c>
      <c r="I6399" s="20" t="n">
        <f aca="false">G6399-H6399</f>
        <v>97.37</v>
      </c>
      <c r="J6399" s="21" t="n">
        <f aca="false">H6399*1000/Parametres!$B$9</f>
        <v>4239.44378497541</v>
      </c>
    </row>
    <row r="6400" customFormat="false" ht="15" hidden="false" customHeight="false" outlineLevel="0" collapsed="false">
      <c r="A6400" s="0" t="n">
        <v>6396</v>
      </c>
      <c r="B6400" s="0" t="n">
        <v>9</v>
      </c>
      <c r="C6400" s="19" t="n">
        <v>1</v>
      </c>
      <c r="D6400" s="19" t="n">
        <v>0.2236</v>
      </c>
      <c r="E6400" s="20" t="n">
        <f aca="false">Parametres!$B$5*C6400</f>
        <v>300</v>
      </c>
      <c r="F6400" s="20" t="n">
        <f aca="false">Parametres!$B$6*D6400</f>
        <v>44.72</v>
      </c>
      <c r="G6400" s="20" t="n">
        <f aca="false">E6400+F6400</f>
        <v>344.72</v>
      </c>
      <c r="H6400" s="20" t="n">
        <f aca="false">IF(G6400&lt;Parametres!$B$8*Parametres!$B$7,0,MIN(G6400,Parametres!$B$7))</f>
        <v>250</v>
      </c>
      <c r="I6400" s="20" t="n">
        <f aca="false">G6400-H6400</f>
        <v>94.72</v>
      </c>
      <c r="J6400" s="21" t="n">
        <f aca="false">H6400*1000/Parametres!$B$9</f>
        <v>4239.44378497541</v>
      </c>
    </row>
    <row r="6401" customFormat="false" ht="15" hidden="false" customHeight="false" outlineLevel="0" collapsed="false">
      <c r="A6401" s="0" t="n">
        <v>6397</v>
      </c>
      <c r="B6401" s="0" t="n">
        <v>9</v>
      </c>
      <c r="C6401" s="19" t="n">
        <v>1</v>
      </c>
      <c r="D6401" s="19" t="n">
        <v>0.4725</v>
      </c>
      <c r="E6401" s="20" t="n">
        <f aca="false">Parametres!$B$5*C6401</f>
        <v>300</v>
      </c>
      <c r="F6401" s="20" t="n">
        <f aca="false">Parametres!$B$6*D6401</f>
        <v>94.5</v>
      </c>
      <c r="G6401" s="20" t="n">
        <f aca="false">E6401+F6401</f>
        <v>394.5</v>
      </c>
      <c r="H6401" s="20" t="n">
        <f aca="false">IF(G6401&lt;Parametres!$B$8*Parametres!$B$7,0,MIN(G6401,Parametres!$B$7))</f>
        <v>250</v>
      </c>
      <c r="I6401" s="20" t="n">
        <f aca="false">G6401-H6401</f>
        <v>144.5</v>
      </c>
      <c r="J6401" s="21" t="n">
        <f aca="false">H6401*1000/Parametres!$B$9</f>
        <v>4239.44378497541</v>
      </c>
    </row>
    <row r="6402" customFormat="false" ht="15" hidden="false" customHeight="false" outlineLevel="0" collapsed="false">
      <c r="A6402" s="0" t="n">
        <v>6398</v>
      </c>
      <c r="B6402" s="0" t="n">
        <v>9</v>
      </c>
      <c r="C6402" s="19" t="n">
        <v>1</v>
      </c>
      <c r="D6402" s="19" t="n">
        <v>0.5545</v>
      </c>
      <c r="E6402" s="20" t="n">
        <f aca="false">Parametres!$B$5*C6402</f>
        <v>300</v>
      </c>
      <c r="F6402" s="20" t="n">
        <f aca="false">Parametres!$B$6*D6402</f>
        <v>110.9</v>
      </c>
      <c r="G6402" s="20" t="n">
        <f aca="false">E6402+F6402</f>
        <v>410.9</v>
      </c>
      <c r="H6402" s="20" t="n">
        <f aca="false">IF(G6402&lt;Parametres!$B$8*Parametres!$B$7,0,MIN(G6402,Parametres!$B$7))</f>
        <v>250</v>
      </c>
      <c r="I6402" s="20" t="n">
        <f aca="false">G6402-H6402</f>
        <v>160.9</v>
      </c>
      <c r="J6402" s="21" t="n">
        <f aca="false">H6402*1000/Parametres!$B$9</f>
        <v>4239.44378497541</v>
      </c>
    </row>
    <row r="6403" customFormat="false" ht="15" hidden="false" customHeight="false" outlineLevel="0" collapsed="false">
      <c r="A6403" s="0" t="n">
        <v>6399</v>
      </c>
      <c r="B6403" s="0" t="n">
        <v>9</v>
      </c>
      <c r="C6403" s="19" t="n">
        <v>0.7949</v>
      </c>
      <c r="D6403" s="19" t="n">
        <v>0.4686</v>
      </c>
      <c r="E6403" s="20" t="n">
        <f aca="false">Parametres!$B$5*C6403</f>
        <v>238.47</v>
      </c>
      <c r="F6403" s="20" t="n">
        <f aca="false">Parametres!$B$6*D6403</f>
        <v>93.72</v>
      </c>
      <c r="G6403" s="20" t="n">
        <f aca="false">E6403+F6403</f>
        <v>332.19</v>
      </c>
      <c r="H6403" s="20" t="n">
        <f aca="false">IF(G6403&lt;Parametres!$B$8*Parametres!$B$7,0,MIN(G6403,Parametres!$B$7))</f>
        <v>250</v>
      </c>
      <c r="I6403" s="20" t="n">
        <f aca="false">G6403-H6403</f>
        <v>82.1900000000001</v>
      </c>
      <c r="J6403" s="21" t="n">
        <f aca="false">H6403*1000/Parametres!$B$9</f>
        <v>4239.44378497541</v>
      </c>
    </row>
    <row r="6404" customFormat="false" ht="15" hidden="false" customHeight="false" outlineLevel="0" collapsed="false">
      <c r="A6404" s="0" t="n">
        <v>6400</v>
      </c>
      <c r="B6404" s="0" t="n">
        <v>9</v>
      </c>
      <c r="C6404" s="19" t="n">
        <v>0.6506</v>
      </c>
      <c r="D6404" s="19" t="n">
        <v>0.4002</v>
      </c>
      <c r="E6404" s="20" t="n">
        <f aca="false">Parametres!$B$5*C6404</f>
        <v>195.18</v>
      </c>
      <c r="F6404" s="20" t="n">
        <f aca="false">Parametres!$B$6*D6404</f>
        <v>80.04</v>
      </c>
      <c r="G6404" s="20" t="n">
        <f aca="false">E6404+F6404</f>
        <v>275.22</v>
      </c>
      <c r="H6404" s="20" t="n">
        <f aca="false">IF(G6404&lt;Parametres!$B$8*Parametres!$B$7,0,MIN(G6404,Parametres!$B$7))</f>
        <v>250</v>
      </c>
      <c r="I6404" s="20" t="n">
        <f aca="false">G6404-H6404</f>
        <v>25.22</v>
      </c>
      <c r="J6404" s="21" t="n">
        <f aca="false">H6404*1000/Parametres!$B$9</f>
        <v>4239.44378497541</v>
      </c>
    </row>
    <row r="6405" customFormat="false" ht="15" hidden="false" customHeight="false" outlineLevel="0" collapsed="false">
      <c r="A6405" s="0" t="n">
        <v>6401</v>
      </c>
      <c r="B6405" s="0" t="n">
        <v>9</v>
      </c>
      <c r="C6405" s="19" t="n">
        <v>0.3156</v>
      </c>
      <c r="D6405" s="19" t="n">
        <v>0.5123</v>
      </c>
      <c r="E6405" s="20" t="n">
        <f aca="false">Parametres!$B$5*C6405</f>
        <v>94.68</v>
      </c>
      <c r="F6405" s="20" t="n">
        <f aca="false">Parametres!$B$6*D6405</f>
        <v>102.46</v>
      </c>
      <c r="G6405" s="20" t="n">
        <f aca="false">E6405+F6405</f>
        <v>197.14</v>
      </c>
      <c r="H6405" s="20" t="n">
        <f aca="false">IF(G6405&lt;Parametres!$B$8*Parametres!$B$7,0,MIN(G6405,Parametres!$B$7))</f>
        <v>197.14</v>
      </c>
      <c r="I6405" s="20" t="n">
        <f aca="false">G6405-H6405</f>
        <v>0</v>
      </c>
      <c r="J6405" s="21" t="n">
        <f aca="false">H6405*1000/Parametres!$B$9</f>
        <v>3343.05579108021</v>
      </c>
    </row>
    <row r="6406" customFormat="false" ht="15" hidden="false" customHeight="false" outlineLevel="0" collapsed="false">
      <c r="A6406" s="0" t="n">
        <v>6402</v>
      </c>
      <c r="B6406" s="0" t="n">
        <v>9</v>
      </c>
      <c r="C6406" s="19" t="n">
        <v>0.0905</v>
      </c>
      <c r="D6406" s="19" t="n">
        <v>0.7082</v>
      </c>
      <c r="E6406" s="20" t="n">
        <f aca="false">Parametres!$B$5*C6406</f>
        <v>27.15</v>
      </c>
      <c r="F6406" s="20" t="n">
        <f aca="false">Parametres!$B$6*D6406</f>
        <v>141.64</v>
      </c>
      <c r="G6406" s="20" t="n">
        <f aca="false">E6406+F6406</f>
        <v>168.79</v>
      </c>
      <c r="H6406" s="20" t="n">
        <f aca="false">IF(G6406&lt;Parametres!$B$8*Parametres!$B$7,0,MIN(G6406,Parametres!$B$7))</f>
        <v>168.79</v>
      </c>
      <c r="I6406" s="20" t="n">
        <f aca="false">G6406-H6406</f>
        <v>0</v>
      </c>
      <c r="J6406" s="21" t="n">
        <f aca="false">H6406*1000/Parametres!$B$9</f>
        <v>2862.302865864</v>
      </c>
    </row>
    <row r="6407" customFormat="false" ht="15" hidden="false" customHeight="false" outlineLevel="0" collapsed="false">
      <c r="A6407" s="0" t="n">
        <v>6403</v>
      </c>
      <c r="B6407" s="0" t="n">
        <v>9</v>
      </c>
      <c r="C6407" s="19" t="n">
        <v>0</v>
      </c>
      <c r="D6407" s="19" t="n">
        <v>0.6383</v>
      </c>
      <c r="E6407" s="20" t="n">
        <f aca="false">Parametres!$B$5*C6407</f>
        <v>0</v>
      </c>
      <c r="F6407" s="20" t="n">
        <f aca="false">Parametres!$B$6*D6407</f>
        <v>127.66</v>
      </c>
      <c r="G6407" s="20" t="n">
        <f aca="false">E6407+F6407</f>
        <v>127.66</v>
      </c>
      <c r="H6407" s="20" t="n">
        <f aca="false">IF(G6407&lt;Parametres!$B$8*Parametres!$B$7,0,MIN(G6407,Parametres!$B$7))</f>
        <v>127.66</v>
      </c>
      <c r="I6407" s="20" t="n">
        <f aca="false">G6407-H6407</f>
        <v>0</v>
      </c>
      <c r="J6407" s="21" t="n">
        <f aca="false">H6407*1000/Parametres!$B$9</f>
        <v>2164.82957435984</v>
      </c>
    </row>
    <row r="6408" customFormat="false" ht="15" hidden="false" customHeight="false" outlineLevel="0" collapsed="false">
      <c r="A6408" s="0" t="n">
        <v>6404</v>
      </c>
      <c r="B6408" s="0" t="n">
        <v>9</v>
      </c>
      <c r="C6408" s="19" t="n">
        <v>0</v>
      </c>
      <c r="D6408" s="19" t="n">
        <v>0.3694</v>
      </c>
      <c r="E6408" s="20" t="n">
        <f aca="false">Parametres!$B$5*C6408</f>
        <v>0</v>
      </c>
      <c r="F6408" s="20" t="n">
        <f aca="false">Parametres!$B$6*D6408</f>
        <v>73.88</v>
      </c>
      <c r="G6408" s="20" t="n">
        <f aca="false">E6408+F6408</f>
        <v>73.88</v>
      </c>
      <c r="H6408" s="20" t="n">
        <f aca="false">IF(G6408&lt;Parametres!$B$8*Parametres!$B$7,0,MIN(G6408,Parametres!$B$7))</f>
        <v>73.88</v>
      </c>
      <c r="I6408" s="20" t="n">
        <f aca="false">G6408-H6408</f>
        <v>0</v>
      </c>
      <c r="J6408" s="21" t="n">
        <f aca="false">H6408*1000/Parametres!$B$9</f>
        <v>1252.84042733593</v>
      </c>
    </row>
    <row r="6409" customFormat="false" ht="15" hidden="false" customHeight="false" outlineLevel="0" collapsed="false">
      <c r="A6409" s="0" t="n">
        <v>6405</v>
      </c>
      <c r="B6409" s="0" t="n">
        <v>9</v>
      </c>
      <c r="C6409" s="19" t="n">
        <v>0</v>
      </c>
      <c r="D6409" s="19" t="n">
        <v>0.3644</v>
      </c>
      <c r="E6409" s="20" t="n">
        <f aca="false">Parametres!$B$5*C6409</f>
        <v>0</v>
      </c>
      <c r="F6409" s="20" t="n">
        <f aca="false">Parametres!$B$6*D6409</f>
        <v>72.88</v>
      </c>
      <c r="G6409" s="20" t="n">
        <f aca="false">E6409+F6409</f>
        <v>72.88</v>
      </c>
      <c r="H6409" s="20" t="n">
        <f aca="false">IF(G6409&lt;Parametres!$B$8*Parametres!$B$7,0,MIN(G6409,Parametres!$B$7))</f>
        <v>72.88</v>
      </c>
      <c r="I6409" s="20" t="n">
        <f aca="false">G6409-H6409</f>
        <v>0</v>
      </c>
      <c r="J6409" s="21" t="n">
        <f aca="false">H6409*1000/Parametres!$B$9</f>
        <v>1235.88265219603</v>
      </c>
    </row>
    <row r="6410" customFormat="false" ht="15" hidden="false" customHeight="false" outlineLevel="0" collapsed="false">
      <c r="A6410" s="0" t="n">
        <v>6406</v>
      </c>
      <c r="B6410" s="0" t="n">
        <v>9</v>
      </c>
      <c r="C6410" s="19" t="n">
        <v>0</v>
      </c>
      <c r="D6410" s="19" t="n">
        <v>0.4036</v>
      </c>
      <c r="E6410" s="20" t="n">
        <f aca="false">Parametres!$B$5*C6410</f>
        <v>0</v>
      </c>
      <c r="F6410" s="20" t="n">
        <f aca="false">Parametres!$B$6*D6410</f>
        <v>80.72</v>
      </c>
      <c r="G6410" s="20" t="n">
        <f aca="false">E6410+F6410</f>
        <v>80.72</v>
      </c>
      <c r="H6410" s="20" t="n">
        <f aca="false">IF(G6410&lt;Parametres!$B$8*Parametres!$B$7,0,MIN(G6410,Parametres!$B$7))</f>
        <v>80.72</v>
      </c>
      <c r="I6410" s="20" t="n">
        <f aca="false">G6410-H6410</f>
        <v>0</v>
      </c>
      <c r="J6410" s="21" t="n">
        <f aca="false">H6410*1000/Parametres!$B$9</f>
        <v>1368.83160929286</v>
      </c>
    </row>
    <row r="6411" customFormat="false" ht="15" hidden="false" customHeight="false" outlineLevel="0" collapsed="false">
      <c r="A6411" s="0" t="n">
        <v>6407</v>
      </c>
      <c r="B6411" s="0" t="n">
        <v>9</v>
      </c>
      <c r="C6411" s="19" t="n">
        <v>0</v>
      </c>
      <c r="D6411" s="19" t="n">
        <v>0.4602</v>
      </c>
      <c r="E6411" s="20" t="n">
        <f aca="false">Parametres!$B$5*C6411</f>
        <v>0</v>
      </c>
      <c r="F6411" s="20" t="n">
        <f aca="false">Parametres!$B$6*D6411</f>
        <v>92.04</v>
      </c>
      <c r="G6411" s="20" t="n">
        <f aca="false">E6411+F6411</f>
        <v>92.04</v>
      </c>
      <c r="H6411" s="20" t="n">
        <f aca="false">IF(G6411&lt;Parametres!$B$8*Parametres!$B$7,0,MIN(G6411,Parametres!$B$7))</f>
        <v>92.04</v>
      </c>
      <c r="I6411" s="20" t="n">
        <f aca="false">G6411-H6411</f>
        <v>0</v>
      </c>
      <c r="J6411" s="21" t="n">
        <f aca="false">H6411*1000/Parametres!$B$9</f>
        <v>1560.79362387655</v>
      </c>
    </row>
    <row r="6412" customFormat="false" ht="15" hidden="false" customHeight="false" outlineLevel="0" collapsed="false">
      <c r="A6412" s="0" t="n">
        <v>6408</v>
      </c>
      <c r="B6412" s="0" t="n">
        <v>9</v>
      </c>
      <c r="C6412" s="19" t="n">
        <v>0</v>
      </c>
      <c r="D6412" s="19" t="n">
        <v>0.2511</v>
      </c>
      <c r="E6412" s="20" t="n">
        <f aca="false">Parametres!$B$5*C6412</f>
        <v>0</v>
      </c>
      <c r="F6412" s="20" t="n">
        <f aca="false">Parametres!$B$6*D6412</f>
        <v>50.22</v>
      </c>
      <c r="G6412" s="20" t="n">
        <f aca="false">E6412+F6412</f>
        <v>50.22</v>
      </c>
      <c r="H6412" s="20" t="n">
        <f aca="false">IF(G6412&lt;Parametres!$B$8*Parametres!$B$7,0,MIN(G6412,Parametres!$B$7))</f>
        <v>50.22</v>
      </c>
      <c r="I6412" s="20" t="n">
        <f aca="false">G6412-H6412</f>
        <v>0</v>
      </c>
      <c r="J6412" s="21" t="n">
        <f aca="false">H6412*1000/Parametres!$B$9</f>
        <v>851.619467525861</v>
      </c>
    </row>
    <row r="6413" customFormat="false" ht="15" hidden="false" customHeight="false" outlineLevel="0" collapsed="false">
      <c r="A6413" s="0" t="n">
        <v>6409</v>
      </c>
      <c r="B6413" s="0" t="n">
        <v>9</v>
      </c>
      <c r="C6413" s="19" t="n">
        <v>0</v>
      </c>
      <c r="D6413" s="19" t="n">
        <v>0.173</v>
      </c>
      <c r="E6413" s="20" t="n">
        <f aca="false">Parametres!$B$5*C6413</f>
        <v>0</v>
      </c>
      <c r="F6413" s="20" t="n">
        <f aca="false">Parametres!$B$6*D6413</f>
        <v>34.6</v>
      </c>
      <c r="G6413" s="20" t="n">
        <f aca="false">E6413+F6413</f>
        <v>34.6</v>
      </c>
      <c r="H6413" s="20" t="n">
        <f aca="false">IF(G6413&lt;Parametres!$B$8*Parametres!$B$7,0,MIN(G6413,Parametres!$B$7))</f>
        <v>34.6</v>
      </c>
      <c r="I6413" s="20" t="n">
        <f aca="false">G6413-H6413</f>
        <v>0</v>
      </c>
      <c r="J6413" s="21" t="n">
        <f aca="false">H6413*1000/Parametres!$B$9</f>
        <v>586.739019840597</v>
      </c>
    </row>
    <row r="6414" customFormat="false" ht="15" hidden="false" customHeight="false" outlineLevel="0" collapsed="false">
      <c r="A6414" s="0" t="n">
        <v>6410</v>
      </c>
      <c r="B6414" s="0" t="n">
        <v>9</v>
      </c>
      <c r="C6414" s="19" t="n">
        <v>0</v>
      </c>
      <c r="D6414" s="19" t="n">
        <v>0.2049</v>
      </c>
      <c r="E6414" s="20" t="n">
        <f aca="false">Parametres!$B$5*C6414</f>
        <v>0</v>
      </c>
      <c r="F6414" s="20" t="n">
        <f aca="false">Parametres!$B$6*D6414</f>
        <v>40.98</v>
      </c>
      <c r="G6414" s="20" t="n">
        <f aca="false">E6414+F6414</f>
        <v>40.98</v>
      </c>
      <c r="H6414" s="20" t="n">
        <f aca="false">IF(G6414&lt;Parametres!$B$8*Parametres!$B$7,0,MIN(G6414,Parametres!$B$7))</f>
        <v>40.98</v>
      </c>
      <c r="I6414" s="20" t="n">
        <f aca="false">G6414-H6414</f>
        <v>0</v>
      </c>
      <c r="J6414" s="21" t="n">
        <f aca="false">H6414*1000/Parametres!$B$9</f>
        <v>694.929625233169</v>
      </c>
    </row>
    <row r="6415" customFormat="false" ht="15" hidden="false" customHeight="false" outlineLevel="0" collapsed="false">
      <c r="A6415" s="0" t="n">
        <v>6411</v>
      </c>
      <c r="B6415" s="0" t="n">
        <v>9</v>
      </c>
      <c r="C6415" s="19" t="n">
        <v>0</v>
      </c>
      <c r="D6415" s="19" t="n">
        <v>0.3719</v>
      </c>
      <c r="E6415" s="20" t="n">
        <f aca="false">Parametres!$B$5*C6415</f>
        <v>0</v>
      </c>
      <c r="F6415" s="20" t="n">
        <f aca="false">Parametres!$B$6*D6415</f>
        <v>74.38</v>
      </c>
      <c r="G6415" s="20" t="n">
        <f aca="false">E6415+F6415</f>
        <v>74.38</v>
      </c>
      <c r="H6415" s="20" t="n">
        <f aca="false">IF(G6415&lt;Parametres!$B$8*Parametres!$B$7,0,MIN(G6415,Parametres!$B$7))</f>
        <v>74.38</v>
      </c>
      <c r="I6415" s="20" t="n">
        <f aca="false">G6415-H6415</f>
        <v>0</v>
      </c>
      <c r="J6415" s="21" t="n">
        <f aca="false">H6415*1000/Parametres!$B$9</f>
        <v>1261.31931490588</v>
      </c>
    </row>
    <row r="6416" customFormat="false" ht="15" hidden="false" customHeight="false" outlineLevel="0" collapsed="false">
      <c r="A6416" s="0" t="n">
        <v>6412</v>
      </c>
      <c r="B6416" s="0" t="n">
        <v>9</v>
      </c>
      <c r="C6416" s="19" t="n">
        <v>0</v>
      </c>
      <c r="D6416" s="19" t="n">
        <v>0.351</v>
      </c>
      <c r="E6416" s="20" t="n">
        <f aca="false">Parametres!$B$5*C6416</f>
        <v>0</v>
      </c>
      <c r="F6416" s="20" t="n">
        <f aca="false">Parametres!$B$6*D6416</f>
        <v>70.2</v>
      </c>
      <c r="G6416" s="20" t="n">
        <f aca="false">E6416+F6416</f>
        <v>70.2</v>
      </c>
      <c r="H6416" s="20" t="n">
        <f aca="false">IF(G6416&lt;Parametres!$B$8*Parametres!$B$7,0,MIN(G6416,Parametres!$B$7))</f>
        <v>70.2</v>
      </c>
      <c r="I6416" s="20" t="n">
        <f aca="false">G6416-H6416</f>
        <v>0</v>
      </c>
      <c r="J6416" s="21" t="n">
        <f aca="false">H6416*1000/Parametres!$B$9</f>
        <v>1190.4358148211</v>
      </c>
    </row>
    <row r="6417" customFormat="false" ht="15" hidden="false" customHeight="false" outlineLevel="0" collapsed="false">
      <c r="A6417" s="0" t="n">
        <v>6413</v>
      </c>
      <c r="B6417" s="0" t="n">
        <v>9</v>
      </c>
      <c r="C6417" s="19" t="n">
        <v>0</v>
      </c>
      <c r="D6417" s="19" t="n">
        <v>0.2256</v>
      </c>
      <c r="E6417" s="20" t="n">
        <f aca="false">Parametres!$B$5*C6417</f>
        <v>0</v>
      </c>
      <c r="F6417" s="20" t="n">
        <f aca="false">Parametres!$B$6*D6417</f>
        <v>45.12</v>
      </c>
      <c r="G6417" s="20" t="n">
        <f aca="false">E6417+F6417</f>
        <v>45.12</v>
      </c>
      <c r="H6417" s="20" t="n">
        <f aca="false">IF(G6417&lt;Parametres!$B$8*Parametres!$B$7,0,MIN(G6417,Parametres!$B$7))</f>
        <v>45.12</v>
      </c>
      <c r="I6417" s="20" t="n">
        <f aca="false">G6417-H6417</f>
        <v>0</v>
      </c>
      <c r="J6417" s="21" t="n">
        <f aca="false">H6417*1000/Parametres!$B$9</f>
        <v>765.134814312362</v>
      </c>
    </row>
    <row r="6418" customFormat="false" ht="15" hidden="false" customHeight="false" outlineLevel="0" collapsed="false">
      <c r="A6418" s="0" t="n">
        <v>6414</v>
      </c>
      <c r="B6418" s="0" t="n">
        <v>9</v>
      </c>
      <c r="C6418" s="19" t="n">
        <v>0</v>
      </c>
      <c r="D6418" s="19" t="n">
        <v>0.2857</v>
      </c>
      <c r="E6418" s="20" t="n">
        <f aca="false">Parametres!$B$5*C6418</f>
        <v>0</v>
      </c>
      <c r="F6418" s="20" t="n">
        <f aca="false">Parametres!$B$6*D6418</f>
        <v>57.14</v>
      </c>
      <c r="G6418" s="20" t="n">
        <f aca="false">E6418+F6418</f>
        <v>57.14</v>
      </c>
      <c r="H6418" s="20" t="n">
        <f aca="false">IF(G6418&lt;Parametres!$B$8*Parametres!$B$7,0,MIN(G6418,Parametres!$B$7))</f>
        <v>57.14</v>
      </c>
      <c r="I6418" s="20" t="n">
        <f aca="false">G6418-H6418</f>
        <v>0</v>
      </c>
      <c r="J6418" s="21" t="n">
        <f aca="false">H6418*1000/Parametres!$B$9</f>
        <v>968.96727149398</v>
      </c>
    </row>
    <row r="6419" customFormat="false" ht="15" hidden="false" customHeight="false" outlineLevel="0" collapsed="false">
      <c r="A6419" s="0" t="n">
        <v>6415</v>
      </c>
      <c r="B6419" s="0" t="n">
        <v>9</v>
      </c>
      <c r="C6419" s="19" t="n">
        <v>0.0956</v>
      </c>
      <c r="D6419" s="19" t="n">
        <v>0.0796</v>
      </c>
      <c r="E6419" s="20" t="n">
        <f aca="false">Parametres!$B$5*C6419</f>
        <v>28.68</v>
      </c>
      <c r="F6419" s="20" t="n">
        <f aca="false">Parametres!$B$6*D6419</f>
        <v>15.92</v>
      </c>
      <c r="G6419" s="20" t="n">
        <f aca="false">E6419+F6419</f>
        <v>44.6</v>
      </c>
      <c r="H6419" s="20" t="n">
        <f aca="false">IF(G6419&lt;Parametres!$B$8*Parametres!$B$7,0,MIN(G6419,Parametres!$B$7))</f>
        <v>44.6</v>
      </c>
      <c r="I6419" s="20" t="n">
        <f aca="false">G6419-H6419</f>
        <v>0</v>
      </c>
      <c r="J6419" s="21" t="n">
        <f aca="false">H6419*1000/Parametres!$B$9</f>
        <v>756.316771239613</v>
      </c>
    </row>
    <row r="6420" customFormat="false" ht="15" hidden="false" customHeight="false" outlineLevel="0" collapsed="false">
      <c r="A6420" s="0" t="n">
        <v>6416</v>
      </c>
      <c r="B6420" s="0" t="n">
        <v>9</v>
      </c>
      <c r="C6420" s="19" t="n">
        <v>0.3384</v>
      </c>
      <c r="D6420" s="19" t="n">
        <v>0.0969</v>
      </c>
      <c r="E6420" s="20" t="n">
        <f aca="false">Parametres!$B$5*C6420</f>
        <v>101.52</v>
      </c>
      <c r="F6420" s="20" t="n">
        <f aca="false">Parametres!$B$6*D6420</f>
        <v>19.38</v>
      </c>
      <c r="G6420" s="20" t="n">
        <f aca="false">E6420+F6420</f>
        <v>120.9</v>
      </c>
      <c r="H6420" s="20" t="n">
        <f aca="false">IF(G6420&lt;Parametres!$B$8*Parametres!$B$7,0,MIN(G6420,Parametres!$B$7))</f>
        <v>120.9</v>
      </c>
      <c r="I6420" s="20" t="n">
        <f aca="false">G6420-H6420</f>
        <v>0</v>
      </c>
      <c r="J6420" s="21" t="n">
        <f aca="false">H6420*1000/Parametres!$B$9</f>
        <v>2050.19501441411</v>
      </c>
    </row>
    <row r="6421" customFormat="false" ht="15" hidden="false" customHeight="false" outlineLevel="0" collapsed="false">
      <c r="A6421" s="0" t="n">
        <v>6417</v>
      </c>
      <c r="B6421" s="0" t="n">
        <v>9</v>
      </c>
      <c r="C6421" s="19" t="n">
        <v>0.5724</v>
      </c>
      <c r="D6421" s="19" t="n">
        <v>0.0887</v>
      </c>
      <c r="E6421" s="20" t="n">
        <f aca="false">Parametres!$B$5*C6421</f>
        <v>171.72</v>
      </c>
      <c r="F6421" s="20" t="n">
        <f aca="false">Parametres!$B$6*D6421</f>
        <v>17.74</v>
      </c>
      <c r="G6421" s="20" t="n">
        <f aca="false">E6421+F6421</f>
        <v>189.46</v>
      </c>
      <c r="H6421" s="20" t="n">
        <f aca="false">IF(G6421&lt;Parametres!$B$8*Parametres!$B$7,0,MIN(G6421,Parametres!$B$7))</f>
        <v>189.46</v>
      </c>
      <c r="I6421" s="20" t="n">
        <f aca="false">G6421-H6421</f>
        <v>0</v>
      </c>
      <c r="J6421" s="21" t="n">
        <f aca="false">H6421*1000/Parametres!$B$9</f>
        <v>3212.82007800577</v>
      </c>
    </row>
    <row r="6422" customFormat="false" ht="15" hidden="false" customHeight="false" outlineLevel="0" collapsed="false">
      <c r="A6422" s="0" t="n">
        <v>6418</v>
      </c>
      <c r="B6422" s="0" t="n">
        <v>9</v>
      </c>
      <c r="C6422" s="19" t="n">
        <v>0.8152</v>
      </c>
      <c r="D6422" s="19" t="n">
        <v>0.2303</v>
      </c>
      <c r="E6422" s="20" t="n">
        <f aca="false">Parametres!$B$5*C6422</f>
        <v>244.56</v>
      </c>
      <c r="F6422" s="20" t="n">
        <f aca="false">Parametres!$B$6*D6422</f>
        <v>46.06</v>
      </c>
      <c r="G6422" s="20" t="n">
        <f aca="false">E6422+F6422</f>
        <v>290.62</v>
      </c>
      <c r="H6422" s="20" t="n">
        <f aca="false">IF(G6422&lt;Parametres!$B$8*Parametres!$B$7,0,MIN(G6422,Parametres!$B$7))</f>
        <v>250</v>
      </c>
      <c r="I6422" s="20" t="n">
        <f aca="false">G6422-H6422</f>
        <v>40.62</v>
      </c>
      <c r="J6422" s="21" t="n">
        <f aca="false">H6422*1000/Parametres!$B$9</f>
        <v>4239.44378497541</v>
      </c>
    </row>
    <row r="6423" customFormat="false" ht="15" hidden="false" customHeight="false" outlineLevel="0" collapsed="false">
      <c r="A6423" s="0" t="n">
        <v>6419</v>
      </c>
      <c r="B6423" s="0" t="n">
        <v>9</v>
      </c>
      <c r="C6423" s="19" t="n">
        <v>0.9687</v>
      </c>
      <c r="D6423" s="19" t="n">
        <v>0.2218</v>
      </c>
      <c r="E6423" s="20" t="n">
        <f aca="false">Parametres!$B$5*C6423</f>
        <v>290.61</v>
      </c>
      <c r="F6423" s="20" t="n">
        <f aca="false">Parametres!$B$6*D6423</f>
        <v>44.36</v>
      </c>
      <c r="G6423" s="20" t="n">
        <f aca="false">E6423+F6423</f>
        <v>334.97</v>
      </c>
      <c r="H6423" s="20" t="n">
        <f aca="false">IF(G6423&lt;Parametres!$B$8*Parametres!$B$7,0,MIN(G6423,Parametres!$B$7))</f>
        <v>250</v>
      </c>
      <c r="I6423" s="20" t="n">
        <f aca="false">G6423-H6423</f>
        <v>84.97</v>
      </c>
      <c r="J6423" s="21" t="n">
        <f aca="false">H6423*1000/Parametres!$B$9</f>
        <v>4239.44378497541</v>
      </c>
    </row>
    <row r="6424" customFormat="false" ht="15" hidden="false" customHeight="false" outlineLevel="0" collapsed="false">
      <c r="A6424" s="0" t="n">
        <v>6420</v>
      </c>
      <c r="B6424" s="0" t="n">
        <v>9</v>
      </c>
      <c r="C6424" s="19" t="n">
        <v>1</v>
      </c>
      <c r="D6424" s="19" t="n">
        <v>0.1508</v>
      </c>
      <c r="E6424" s="20" t="n">
        <f aca="false">Parametres!$B$5*C6424</f>
        <v>300</v>
      </c>
      <c r="F6424" s="20" t="n">
        <f aca="false">Parametres!$B$6*D6424</f>
        <v>30.16</v>
      </c>
      <c r="G6424" s="20" t="n">
        <f aca="false">E6424+F6424</f>
        <v>330.16</v>
      </c>
      <c r="H6424" s="20" t="n">
        <f aca="false">IF(G6424&lt;Parametres!$B$8*Parametres!$B$7,0,MIN(G6424,Parametres!$B$7))</f>
        <v>250</v>
      </c>
      <c r="I6424" s="20" t="n">
        <f aca="false">G6424-H6424</f>
        <v>80.16</v>
      </c>
      <c r="J6424" s="21" t="n">
        <f aca="false">H6424*1000/Parametres!$B$9</f>
        <v>4239.44378497541</v>
      </c>
    </row>
    <row r="6425" customFormat="false" ht="15" hidden="false" customHeight="false" outlineLevel="0" collapsed="false">
      <c r="A6425" s="0" t="n">
        <v>6421</v>
      </c>
      <c r="B6425" s="0" t="n">
        <v>9</v>
      </c>
      <c r="C6425" s="19" t="n">
        <v>1</v>
      </c>
      <c r="D6425" s="19" t="n">
        <v>0.4959</v>
      </c>
      <c r="E6425" s="20" t="n">
        <f aca="false">Parametres!$B$5*C6425</f>
        <v>300</v>
      </c>
      <c r="F6425" s="20" t="n">
        <f aca="false">Parametres!$B$6*D6425</f>
        <v>99.18</v>
      </c>
      <c r="G6425" s="20" t="n">
        <f aca="false">E6425+F6425</f>
        <v>399.18</v>
      </c>
      <c r="H6425" s="20" t="n">
        <f aca="false">IF(G6425&lt;Parametres!$B$8*Parametres!$B$7,0,MIN(G6425,Parametres!$B$7))</f>
        <v>250</v>
      </c>
      <c r="I6425" s="20" t="n">
        <f aca="false">G6425-H6425</f>
        <v>149.18</v>
      </c>
      <c r="J6425" s="21" t="n">
        <f aca="false">H6425*1000/Parametres!$B$9</f>
        <v>4239.44378497541</v>
      </c>
    </row>
    <row r="6426" customFormat="false" ht="15" hidden="false" customHeight="false" outlineLevel="0" collapsed="false">
      <c r="A6426" s="0" t="n">
        <v>6422</v>
      </c>
      <c r="B6426" s="0" t="n">
        <v>9</v>
      </c>
      <c r="C6426" s="19" t="n">
        <v>0.9775</v>
      </c>
      <c r="D6426" s="19" t="n">
        <v>0.6239</v>
      </c>
      <c r="E6426" s="20" t="n">
        <f aca="false">Parametres!$B$5*C6426</f>
        <v>293.25</v>
      </c>
      <c r="F6426" s="20" t="n">
        <f aca="false">Parametres!$B$6*D6426</f>
        <v>124.78</v>
      </c>
      <c r="G6426" s="20" t="n">
        <f aca="false">E6426+F6426</f>
        <v>418.03</v>
      </c>
      <c r="H6426" s="20" t="n">
        <f aca="false">IF(G6426&lt;Parametres!$B$8*Parametres!$B$7,0,MIN(G6426,Parametres!$B$7))</f>
        <v>250</v>
      </c>
      <c r="I6426" s="20" t="n">
        <f aca="false">G6426-H6426</f>
        <v>168.03</v>
      </c>
      <c r="J6426" s="21" t="n">
        <f aca="false">H6426*1000/Parametres!$B$9</f>
        <v>4239.44378497541</v>
      </c>
    </row>
    <row r="6427" customFormat="false" ht="15" hidden="false" customHeight="false" outlineLevel="0" collapsed="false">
      <c r="A6427" s="0" t="n">
        <v>6423</v>
      </c>
      <c r="B6427" s="0" t="n">
        <v>9</v>
      </c>
      <c r="C6427" s="19" t="n">
        <v>0.8699</v>
      </c>
      <c r="D6427" s="19" t="n">
        <v>0.6792</v>
      </c>
      <c r="E6427" s="20" t="n">
        <f aca="false">Parametres!$B$5*C6427</f>
        <v>260.97</v>
      </c>
      <c r="F6427" s="20" t="n">
        <f aca="false">Parametres!$B$6*D6427</f>
        <v>135.84</v>
      </c>
      <c r="G6427" s="20" t="n">
        <f aca="false">E6427+F6427</f>
        <v>396.81</v>
      </c>
      <c r="H6427" s="20" t="n">
        <f aca="false">IF(G6427&lt;Parametres!$B$8*Parametres!$B$7,0,MIN(G6427,Parametres!$B$7))</f>
        <v>250</v>
      </c>
      <c r="I6427" s="20" t="n">
        <f aca="false">G6427-H6427</f>
        <v>146.81</v>
      </c>
      <c r="J6427" s="21" t="n">
        <f aca="false">H6427*1000/Parametres!$B$9</f>
        <v>4239.44378497541</v>
      </c>
    </row>
    <row r="6428" customFormat="false" ht="15" hidden="false" customHeight="false" outlineLevel="0" collapsed="false">
      <c r="A6428" s="0" t="n">
        <v>6424</v>
      </c>
      <c r="B6428" s="0" t="n">
        <v>9</v>
      </c>
      <c r="C6428" s="19" t="n">
        <v>0.537</v>
      </c>
      <c r="D6428" s="19" t="n">
        <v>0.5726</v>
      </c>
      <c r="E6428" s="20" t="n">
        <f aca="false">Parametres!$B$5*C6428</f>
        <v>161.1</v>
      </c>
      <c r="F6428" s="20" t="n">
        <f aca="false">Parametres!$B$6*D6428</f>
        <v>114.52</v>
      </c>
      <c r="G6428" s="20" t="n">
        <f aca="false">E6428+F6428</f>
        <v>275.62</v>
      </c>
      <c r="H6428" s="20" t="n">
        <f aca="false">IF(G6428&lt;Parametres!$B$8*Parametres!$B$7,0,MIN(G6428,Parametres!$B$7))</f>
        <v>250</v>
      </c>
      <c r="I6428" s="20" t="n">
        <f aca="false">G6428-H6428</f>
        <v>25.62</v>
      </c>
      <c r="J6428" s="21" t="n">
        <f aca="false">H6428*1000/Parametres!$B$9</f>
        <v>4239.44378497541</v>
      </c>
    </row>
    <row r="6429" customFormat="false" ht="15" hidden="false" customHeight="false" outlineLevel="0" collapsed="false">
      <c r="A6429" s="0" t="n">
        <v>6425</v>
      </c>
      <c r="B6429" s="0" t="n">
        <v>9</v>
      </c>
      <c r="C6429" s="19" t="n">
        <v>0.3111</v>
      </c>
      <c r="D6429" s="19" t="n">
        <v>0.4157</v>
      </c>
      <c r="E6429" s="20" t="n">
        <f aca="false">Parametres!$B$5*C6429</f>
        <v>93.33</v>
      </c>
      <c r="F6429" s="20" t="n">
        <f aca="false">Parametres!$B$6*D6429</f>
        <v>83.14</v>
      </c>
      <c r="G6429" s="20" t="n">
        <f aca="false">E6429+F6429</f>
        <v>176.47</v>
      </c>
      <c r="H6429" s="20" t="n">
        <f aca="false">IF(G6429&lt;Parametres!$B$8*Parametres!$B$7,0,MIN(G6429,Parametres!$B$7))</f>
        <v>176.47</v>
      </c>
      <c r="I6429" s="20" t="n">
        <f aca="false">G6429-H6429</f>
        <v>0</v>
      </c>
      <c r="J6429" s="21" t="n">
        <f aca="false">H6429*1000/Parametres!$B$9</f>
        <v>2992.53857893844</v>
      </c>
    </row>
    <row r="6430" customFormat="false" ht="15" hidden="false" customHeight="false" outlineLevel="0" collapsed="false">
      <c r="A6430" s="0" t="n">
        <v>6426</v>
      </c>
      <c r="B6430" s="0" t="n">
        <v>9</v>
      </c>
      <c r="C6430" s="19" t="n">
        <v>0.0895</v>
      </c>
      <c r="D6430" s="19" t="n">
        <v>0.1981</v>
      </c>
      <c r="E6430" s="20" t="n">
        <f aca="false">Parametres!$B$5*C6430</f>
        <v>26.85</v>
      </c>
      <c r="F6430" s="20" t="n">
        <f aca="false">Parametres!$B$6*D6430</f>
        <v>39.62</v>
      </c>
      <c r="G6430" s="20" t="n">
        <f aca="false">E6430+F6430</f>
        <v>66.47</v>
      </c>
      <c r="H6430" s="20" t="n">
        <f aca="false">IF(G6430&lt;Parametres!$B$8*Parametres!$B$7,0,MIN(G6430,Parametres!$B$7))</f>
        <v>66.47</v>
      </c>
      <c r="I6430" s="20" t="n">
        <f aca="false">G6430-H6430</f>
        <v>0</v>
      </c>
      <c r="J6430" s="21" t="n">
        <f aca="false">H6430*1000/Parametres!$B$9</f>
        <v>1127.18331354926</v>
      </c>
    </row>
    <row r="6431" customFormat="false" ht="15" hidden="false" customHeight="false" outlineLevel="0" collapsed="false">
      <c r="A6431" s="0" t="n">
        <v>6427</v>
      </c>
      <c r="B6431" s="0" t="n">
        <v>9</v>
      </c>
      <c r="C6431" s="19" t="n">
        <v>0</v>
      </c>
      <c r="D6431" s="19" t="n">
        <v>0.2516</v>
      </c>
      <c r="E6431" s="20" t="n">
        <f aca="false">Parametres!$B$5*C6431</f>
        <v>0</v>
      </c>
      <c r="F6431" s="20" t="n">
        <f aca="false">Parametres!$B$6*D6431</f>
        <v>50.32</v>
      </c>
      <c r="G6431" s="20" t="n">
        <f aca="false">E6431+F6431</f>
        <v>50.32</v>
      </c>
      <c r="H6431" s="20" t="n">
        <f aca="false">IF(G6431&lt;Parametres!$B$8*Parametres!$B$7,0,MIN(G6431,Parametres!$B$7))</f>
        <v>50.32</v>
      </c>
      <c r="I6431" s="20" t="n">
        <f aca="false">G6431-H6431</f>
        <v>0</v>
      </c>
      <c r="J6431" s="21" t="n">
        <f aca="false">H6431*1000/Parametres!$B$9</f>
        <v>853.315245039851</v>
      </c>
    </row>
    <row r="6432" customFormat="false" ht="15" hidden="false" customHeight="false" outlineLevel="0" collapsed="false">
      <c r="A6432" s="0" t="n">
        <v>6428</v>
      </c>
      <c r="B6432" s="0" t="n">
        <v>9</v>
      </c>
      <c r="C6432" s="19" t="n">
        <v>0</v>
      </c>
      <c r="D6432" s="19" t="n">
        <v>0.1597</v>
      </c>
      <c r="E6432" s="20" t="n">
        <f aca="false">Parametres!$B$5*C6432</f>
        <v>0</v>
      </c>
      <c r="F6432" s="20" t="n">
        <f aca="false">Parametres!$B$6*D6432</f>
        <v>31.94</v>
      </c>
      <c r="G6432" s="20" t="n">
        <f aca="false">E6432+F6432</f>
        <v>31.94</v>
      </c>
      <c r="H6432" s="20" t="n">
        <f aca="false">IF(G6432&lt;Parametres!$B$8*Parametres!$B$7,0,MIN(G6432,Parametres!$B$7))</f>
        <v>31.94</v>
      </c>
      <c r="I6432" s="20" t="n">
        <f aca="false">G6432-H6432</f>
        <v>0</v>
      </c>
      <c r="J6432" s="21" t="n">
        <f aca="false">H6432*1000/Parametres!$B$9</f>
        <v>541.631337968459</v>
      </c>
    </row>
    <row r="6433" customFormat="false" ht="15" hidden="false" customHeight="false" outlineLevel="0" collapsed="false">
      <c r="A6433" s="0" t="n">
        <v>6429</v>
      </c>
      <c r="B6433" s="0" t="n">
        <v>9</v>
      </c>
      <c r="C6433" s="19" t="n">
        <v>0</v>
      </c>
      <c r="D6433" s="19" t="n">
        <v>0.21</v>
      </c>
      <c r="E6433" s="20" t="n">
        <f aca="false">Parametres!$B$5*C6433</f>
        <v>0</v>
      </c>
      <c r="F6433" s="20" t="n">
        <f aca="false">Parametres!$B$6*D6433</f>
        <v>42</v>
      </c>
      <c r="G6433" s="20" t="n">
        <f aca="false">E6433+F6433</f>
        <v>42</v>
      </c>
      <c r="H6433" s="20" t="n">
        <f aca="false">IF(G6433&lt;Parametres!$B$8*Parametres!$B$7,0,MIN(G6433,Parametres!$B$7))</f>
        <v>42</v>
      </c>
      <c r="I6433" s="20" t="n">
        <f aca="false">G6433-H6433</f>
        <v>0</v>
      </c>
      <c r="J6433" s="21" t="n">
        <f aca="false">H6433*1000/Parametres!$B$9</f>
        <v>712.226555875869</v>
      </c>
    </row>
    <row r="6434" customFormat="false" ht="15" hidden="false" customHeight="false" outlineLevel="0" collapsed="false">
      <c r="A6434" s="0" t="n">
        <v>6430</v>
      </c>
      <c r="B6434" s="0" t="n">
        <v>9</v>
      </c>
      <c r="C6434" s="19" t="n">
        <v>0</v>
      </c>
      <c r="D6434" s="19" t="n">
        <v>0.2274</v>
      </c>
      <c r="E6434" s="20" t="n">
        <f aca="false">Parametres!$B$5*C6434</f>
        <v>0</v>
      </c>
      <c r="F6434" s="20" t="n">
        <f aca="false">Parametres!$B$6*D6434</f>
        <v>45.48</v>
      </c>
      <c r="G6434" s="20" t="n">
        <f aca="false">E6434+F6434</f>
        <v>45.48</v>
      </c>
      <c r="H6434" s="20" t="n">
        <f aca="false">IF(G6434&lt;Parametres!$B$8*Parametres!$B$7,0,MIN(G6434,Parametres!$B$7))</f>
        <v>45.48</v>
      </c>
      <c r="I6434" s="20" t="n">
        <f aca="false">G6434-H6434</f>
        <v>0</v>
      </c>
      <c r="J6434" s="21" t="n">
        <f aca="false">H6434*1000/Parametres!$B$9</f>
        <v>771.239613362727</v>
      </c>
    </row>
    <row r="6435" customFormat="false" ht="15" hidden="false" customHeight="false" outlineLevel="0" collapsed="false">
      <c r="A6435" s="0" t="n">
        <v>6431</v>
      </c>
      <c r="B6435" s="0" t="n">
        <v>9</v>
      </c>
      <c r="C6435" s="19" t="n">
        <v>0</v>
      </c>
      <c r="D6435" s="19" t="n">
        <v>0.2915</v>
      </c>
      <c r="E6435" s="20" t="n">
        <f aca="false">Parametres!$B$5*C6435</f>
        <v>0</v>
      </c>
      <c r="F6435" s="20" t="n">
        <f aca="false">Parametres!$B$6*D6435</f>
        <v>58.3</v>
      </c>
      <c r="G6435" s="20" t="n">
        <f aca="false">E6435+F6435</f>
        <v>58.3</v>
      </c>
      <c r="H6435" s="20" t="n">
        <f aca="false">IF(G6435&lt;Parametres!$B$8*Parametres!$B$7,0,MIN(G6435,Parametres!$B$7))</f>
        <v>58.3</v>
      </c>
      <c r="I6435" s="20" t="n">
        <f aca="false">G6435-H6435</f>
        <v>0</v>
      </c>
      <c r="J6435" s="21" t="n">
        <f aca="false">H6435*1000/Parametres!$B$9</f>
        <v>988.638290656266</v>
      </c>
    </row>
    <row r="6436" customFormat="false" ht="15" hidden="false" customHeight="false" outlineLevel="0" collapsed="false">
      <c r="A6436" s="0" t="n">
        <v>6432</v>
      </c>
      <c r="B6436" s="0" t="n">
        <v>9</v>
      </c>
      <c r="C6436" s="19" t="n">
        <v>0</v>
      </c>
      <c r="D6436" s="19" t="n">
        <v>0.2228</v>
      </c>
      <c r="E6436" s="20" t="n">
        <f aca="false">Parametres!$B$5*C6436</f>
        <v>0</v>
      </c>
      <c r="F6436" s="20" t="n">
        <f aca="false">Parametres!$B$6*D6436</f>
        <v>44.56</v>
      </c>
      <c r="G6436" s="20" t="n">
        <f aca="false">E6436+F6436</f>
        <v>44.56</v>
      </c>
      <c r="H6436" s="20" t="n">
        <f aca="false">IF(G6436&lt;Parametres!$B$8*Parametres!$B$7,0,MIN(G6436,Parametres!$B$7))</f>
        <v>44.56</v>
      </c>
      <c r="I6436" s="20" t="n">
        <f aca="false">G6436-H6436</f>
        <v>0</v>
      </c>
      <c r="J6436" s="21" t="n">
        <f aca="false">H6436*1000/Parametres!$B$9</f>
        <v>755.638460234017</v>
      </c>
    </row>
    <row r="6437" customFormat="false" ht="15" hidden="false" customHeight="false" outlineLevel="0" collapsed="false">
      <c r="A6437" s="0" t="n">
        <v>6433</v>
      </c>
      <c r="B6437" s="0" t="n">
        <v>9</v>
      </c>
      <c r="C6437" s="19" t="n">
        <v>0</v>
      </c>
      <c r="D6437" s="19" t="n">
        <v>0.2032</v>
      </c>
      <c r="E6437" s="20" t="n">
        <f aca="false">Parametres!$B$5*C6437</f>
        <v>0</v>
      </c>
      <c r="F6437" s="20" t="n">
        <f aca="false">Parametres!$B$6*D6437</f>
        <v>40.64</v>
      </c>
      <c r="G6437" s="20" t="n">
        <f aca="false">E6437+F6437</f>
        <v>40.64</v>
      </c>
      <c r="H6437" s="20" t="n">
        <f aca="false">IF(G6437&lt;Parametres!$B$8*Parametres!$B$7,0,MIN(G6437,Parametres!$B$7))</f>
        <v>40.64</v>
      </c>
      <c r="I6437" s="20" t="n">
        <f aca="false">G6437-H6437</f>
        <v>0</v>
      </c>
      <c r="J6437" s="21" t="n">
        <f aca="false">H6437*1000/Parametres!$B$9</f>
        <v>689.163981685603</v>
      </c>
    </row>
    <row r="6438" customFormat="false" ht="15" hidden="false" customHeight="false" outlineLevel="0" collapsed="false">
      <c r="A6438" s="0" t="n">
        <v>6434</v>
      </c>
      <c r="B6438" s="0" t="n">
        <v>9</v>
      </c>
      <c r="C6438" s="19" t="n">
        <v>0</v>
      </c>
      <c r="D6438" s="19" t="n">
        <v>0.1393</v>
      </c>
      <c r="E6438" s="20" t="n">
        <f aca="false">Parametres!$B$5*C6438</f>
        <v>0</v>
      </c>
      <c r="F6438" s="20" t="n">
        <f aca="false">Parametres!$B$6*D6438</f>
        <v>27.86</v>
      </c>
      <c r="G6438" s="20" t="n">
        <f aca="false">E6438+F6438</f>
        <v>27.86</v>
      </c>
      <c r="H6438" s="20" t="n">
        <f aca="false">IF(G6438&lt;Parametres!$B$8*Parametres!$B$7,0,MIN(G6438,Parametres!$B$7))</f>
        <v>27.86</v>
      </c>
      <c r="I6438" s="20" t="n">
        <f aca="false">G6438-H6438</f>
        <v>0</v>
      </c>
      <c r="J6438" s="21" t="n">
        <f aca="false">H6438*1000/Parametres!$B$9</f>
        <v>472.44361539766</v>
      </c>
    </row>
    <row r="6439" customFormat="false" ht="15" hidden="false" customHeight="false" outlineLevel="0" collapsed="false">
      <c r="A6439" s="0" t="n">
        <v>6435</v>
      </c>
      <c r="B6439" s="0" t="n">
        <v>9</v>
      </c>
      <c r="C6439" s="19" t="n">
        <v>0</v>
      </c>
      <c r="D6439" s="19" t="n">
        <v>0.1116</v>
      </c>
      <c r="E6439" s="20" t="n">
        <f aca="false">Parametres!$B$5*C6439</f>
        <v>0</v>
      </c>
      <c r="F6439" s="20" t="n">
        <f aca="false">Parametres!$B$6*D6439</f>
        <v>22.32</v>
      </c>
      <c r="G6439" s="20" t="n">
        <f aca="false">E6439+F6439</f>
        <v>22.32</v>
      </c>
      <c r="H6439" s="20" t="n">
        <f aca="false">IF(G6439&lt;Parametres!$B$8*Parametres!$B$7,0,MIN(G6439,Parametres!$B$7))</f>
        <v>0</v>
      </c>
      <c r="I6439" s="20" t="n">
        <f aca="false">G6439-H6439</f>
        <v>22.32</v>
      </c>
      <c r="J6439" s="21" t="n">
        <f aca="false">H6439*1000/Parametres!$B$9</f>
        <v>0</v>
      </c>
    </row>
    <row r="6440" customFormat="false" ht="15" hidden="false" customHeight="false" outlineLevel="0" collapsed="false">
      <c r="A6440" s="0" t="n">
        <v>6436</v>
      </c>
      <c r="B6440" s="0" t="n">
        <v>9</v>
      </c>
      <c r="C6440" s="19" t="n">
        <v>0</v>
      </c>
      <c r="D6440" s="19" t="n">
        <v>0.0669</v>
      </c>
      <c r="E6440" s="20" t="n">
        <f aca="false">Parametres!$B$5*C6440</f>
        <v>0</v>
      </c>
      <c r="F6440" s="20" t="n">
        <f aca="false">Parametres!$B$6*D6440</f>
        <v>13.38</v>
      </c>
      <c r="G6440" s="20" t="n">
        <f aca="false">E6440+F6440</f>
        <v>13.38</v>
      </c>
      <c r="H6440" s="20" t="n">
        <f aca="false">IF(G6440&lt;Parametres!$B$8*Parametres!$B$7,0,MIN(G6440,Parametres!$B$7))</f>
        <v>0</v>
      </c>
      <c r="I6440" s="20" t="n">
        <f aca="false">G6440-H6440</f>
        <v>13.38</v>
      </c>
      <c r="J6440" s="21" t="n">
        <f aca="false">H6440*1000/Parametres!$B$9</f>
        <v>0</v>
      </c>
    </row>
    <row r="6441" customFormat="false" ht="15" hidden="false" customHeight="false" outlineLevel="0" collapsed="false">
      <c r="A6441" s="0" t="n">
        <v>6437</v>
      </c>
      <c r="B6441" s="0" t="n">
        <v>9</v>
      </c>
      <c r="C6441" s="19" t="n">
        <v>0</v>
      </c>
      <c r="D6441" s="19" t="n">
        <v>0.015</v>
      </c>
      <c r="E6441" s="20" t="n">
        <f aca="false">Parametres!$B$5*C6441</f>
        <v>0</v>
      </c>
      <c r="F6441" s="20" t="n">
        <f aca="false">Parametres!$B$6*D6441</f>
        <v>3</v>
      </c>
      <c r="G6441" s="20" t="n">
        <f aca="false">E6441+F6441</f>
        <v>3</v>
      </c>
      <c r="H6441" s="20" t="n">
        <f aca="false">IF(G6441&lt;Parametres!$B$8*Parametres!$B$7,0,MIN(G6441,Parametres!$B$7))</f>
        <v>0</v>
      </c>
      <c r="I6441" s="20" t="n">
        <f aca="false">G6441-H6441</f>
        <v>3</v>
      </c>
      <c r="J6441" s="21" t="n">
        <f aca="false">H6441*1000/Parametres!$B$9</f>
        <v>0</v>
      </c>
    </row>
    <row r="6442" customFormat="false" ht="15" hidden="false" customHeight="false" outlineLevel="0" collapsed="false">
      <c r="A6442" s="0" t="n">
        <v>6438</v>
      </c>
      <c r="B6442" s="0" t="n">
        <v>9</v>
      </c>
      <c r="C6442" s="19" t="n">
        <v>0</v>
      </c>
      <c r="D6442" s="19" t="n">
        <v>0.0191</v>
      </c>
      <c r="E6442" s="20" t="n">
        <f aca="false">Parametres!$B$5*C6442</f>
        <v>0</v>
      </c>
      <c r="F6442" s="20" t="n">
        <f aca="false">Parametres!$B$6*D6442</f>
        <v>3.82</v>
      </c>
      <c r="G6442" s="20" t="n">
        <f aca="false">E6442+F6442</f>
        <v>3.82</v>
      </c>
      <c r="H6442" s="20" t="n">
        <f aca="false">IF(G6442&lt;Parametres!$B$8*Parametres!$B$7,0,MIN(G6442,Parametres!$B$7))</f>
        <v>0</v>
      </c>
      <c r="I6442" s="20" t="n">
        <f aca="false">G6442-H6442</f>
        <v>3.82</v>
      </c>
      <c r="J6442" s="21" t="n">
        <f aca="false">H6442*1000/Parametres!$B$9</f>
        <v>0</v>
      </c>
    </row>
    <row r="6443" customFormat="false" ht="15" hidden="false" customHeight="false" outlineLevel="0" collapsed="false">
      <c r="A6443" s="0" t="n">
        <v>6439</v>
      </c>
      <c r="B6443" s="0" t="n">
        <v>9</v>
      </c>
      <c r="C6443" s="19" t="n">
        <v>0.1032</v>
      </c>
      <c r="D6443" s="19" t="n">
        <v>0.0077</v>
      </c>
      <c r="E6443" s="20" t="n">
        <f aca="false">Parametres!$B$5*C6443</f>
        <v>30.96</v>
      </c>
      <c r="F6443" s="20" t="n">
        <f aca="false">Parametres!$B$6*D6443</f>
        <v>1.54</v>
      </c>
      <c r="G6443" s="20" t="n">
        <f aca="false">E6443+F6443</f>
        <v>32.5</v>
      </c>
      <c r="H6443" s="20" t="n">
        <f aca="false">IF(G6443&lt;Parametres!$B$8*Parametres!$B$7,0,MIN(G6443,Parametres!$B$7))</f>
        <v>32.5</v>
      </c>
      <c r="I6443" s="20" t="n">
        <f aca="false">G6443-H6443</f>
        <v>0</v>
      </c>
      <c r="J6443" s="21" t="n">
        <f aca="false">H6443*1000/Parametres!$B$9</f>
        <v>551.127692046803</v>
      </c>
    </row>
    <row r="6444" customFormat="false" ht="15" hidden="false" customHeight="false" outlineLevel="0" collapsed="false">
      <c r="A6444" s="0" t="n">
        <v>6440</v>
      </c>
      <c r="B6444" s="0" t="n">
        <v>9</v>
      </c>
      <c r="C6444" s="19" t="n">
        <v>0.381</v>
      </c>
      <c r="D6444" s="19" t="n">
        <v>0.0518</v>
      </c>
      <c r="E6444" s="20" t="n">
        <f aca="false">Parametres!$B$5*C6444</f>
        <v>114.3</v>
      </c>
      <c r="F6444" s="20" t="n">
        <f aca="false">Parametres!$B$6*D6444</f>
        <v>10.36</v>
      </c>
      <c r="G6444" s="20" t="n">
        <f aca="false">E6444+F6444</f>
        <v>124.66</v>
      </c>
      <c r="H6444" s="20" t="n">
        <f aca="false">IF(G6444&lt;Parametres!$B$8*Parametres!$B$7,0,MIN(G6444,Parametres!$B$7))</f>
        <v>124.66</v>
      </c>
      <c r="I6444" s="20" t="n">
        <f aca="false">G6444-H6444</f>
        <v>0</v>
      </c>
      <c r="J6444" s="21" t="n">
        <f aca="false">H6444*1000/Parametres!$B$9</f>
        <v>2113.95624894014</v>
      </c>
    </row>
    <row r="6445" customFormat="false" ht="15" hidden="false" customHeight="false" outlineLevel="0" collapsed="false">
      <c r="A6445" s="0" t="n">
        <v>6441</v>
      </c>
      <c r="B6445" s="0" t="n">
        <v>9</v>
      </c>
      <c r="C6445" s="19" t="n">
        <v>0.6642</v>
      </c>
      <c r="D6445" s="19" t="n">
        <v>0.0615</v>
      </c>
      <c r="E6445" s="20" t="n">
        <f aca="false">Parametres!$B$5*C6445</f>
        <v>199.26</v>
      </c>
      <c r="F6445" s="20" t="n">
        <f aca="false">Parametres!$B$6*D6445</f>
        <v>12.3</v>
      </c>
      <c r="G6445" s="20" t="n">
        <f aca="false">E6445+F6445</f>
        <v>211.56</v>
      </c>
      <c r="H6445" s="20" t="n">
        <f aca="false">IF(G6445&lt;Parametres!$B$8*Parametres!$B$7,0,MIN(G6445,Parametres!$B$7))</f>
        <v>211.56</v>
      </c>
      <c r="I6445" s="20" t="n">
        <f aca="false">G6445-H6445</f>
        <v>0</v>
      </c>
      <c r="J6445" s="21" t="n">
        <f aca="false">H6445*1000/Parametres!$B$9</f>
        <v>3587.58690859759</v>
      </c>
    </row>
    <row r="6446" customFormat="false" ht="15" hidden="false" customHeight="false" outlineLevel="0" collapsed="false">
      <c r="A6446" s="0" t="n">
        <v>6442</v>
      </c>
      <c r="B6446" s="0" t="n">
        <v>9</v>
      </c>
      <c r="C6446" s="19" t="n">
        <v>0.9366</v>
      </c>
      <c r="D6446" s="19" t="n">
        <v>0.0264</v>
      </c>
      <c r="E6446" s="20" t="n">
        <f aca="false">Parametres!$B$5*C6446</f>
        <v>280.98</v>
      </c>
      <c r="F6446" s="20" t="n">
        <f aca="false">Parametres!$B$6*D6446</f>
        <v>5.28</v>
      </c>
      <c r="G6446" s="20" t="n">
        <f aca="false">E6446+F6446</f>
        <v>286.26</v>
      </c>
      <c r="H6446" s="20" t="n">
        <f aca="false">IF(G6446&lt;Parametres!$B$8*Parametres!$B$7,0,MIN(G6446,Parametres!$B$7))</f>
        <v>250</v>
      </c>
      <c r="I6446" s="20" t="n">
        <f aca="false">G6446-H6446</f>
        <v>36.26</v>
      </c>
      <c r="J6446" s="21" t="n">
        <f aca="false">H6446*1000/Parametres!$B$9</f>
        <v>4239.44378497541</v>
      </c>
    </row>
    <row r="6447" customFormat="false" ht="15" hidden="false" customHeight="false" outlineLevel="0" collapsed="false">
      <c r="A6447" s="0" t="n">
        <v>6443</v>
      </c>
      <c r="B6447" s="0" t="n">
        <v>9</v>
      </c>
      <c r="C6447" s="19" t="n">
        <v>1</v>
      </c>
      <c r="D6447" s="19" t="n">
        <v>0.0286</v>
      </c>
      <c r="E6447" s="20" t="n">
        <f aca="false">Parametres!$B$5*C6447</f>
        <v>300</v>
      </c>
      <c r="F6447" s="20" t="n">
        <f aca="false">Parametres!$B$6*D6447</f>
        <v>5.72</v>
      </c>
      <c r="G6447" s="20" t="n">
        <f aca="false">E6447+F6447</f>
        <v>305.72</v>
      </c>
      <c r="H6447" s="20" t="n">
        <f aca="false">IF(G6447&lt;Parametres!$B$8*Parametres!$B$7,0,MIN(G6447,Parametres!$B$7))</f>
        <v>250</v>
      </c>
      <c r="I6447" s="20" t="n">
        <f aca="false">G6447-H6447</f>
        <v>55.72</v>
      </c>
      <c r="J6447" s="21" t="n">
        <f aca="false">H6447*1000/Parametres!$B$9</f>
        <v>4239.44378497541</v>
      </c>
    </row>
    <row r="6448" customFormat="false" ht="15" hidden="false" customHeight="false" outlineLevel="0" collapsed="false">
      <c r="A6448" s="0" t="n">
        <v>6444</v>
      </c>
      <c r="B6448" s="0" t="n">
        <v>9</v>
      </c>
      <c r="C6448" s="19" t="n">
        <v>1</v>
      </c>
      <c r="D6448" s="19" t="n">
        <v>0.0536</v>
      </c>
      <c r="E6448" s="20" t="n">
        <f aca="false">Parametres!$B$5*C6448</f>
        <v>300</v>
      </c>
      <c r="F6448" s="20" t="n">
        <f aca="false">Parametres!$B$6*D6448</f>
        <v>10.72</v>
      </c>
      <c r="G6448" s="20" t="n">
        <f aca="false">E6448+F6448</f>
        <v>310.72</v>
      </c>
      <c r="H6448" s="20" t="n">
        <f aca="false">IF(G6448&lt;Parametres!$B$8*Parametres!$B$7,0,MIN(G6448,Parametres!$B$7))</f>
        <v>250</v>
      </c>
      <c r="I6448" s="20" t="n">
        <f aca="false">G6448-H6448</f>
        <v>60.72</v>
      </c>
      <c r="J6448" s="21" t="n">
        <f aca="false">H6448*1000/Parametres!$B$9</f>
        <v>4239.44378497541</v>
      </c>
    </row>
    <row r="6449" customFormat="false" ht="15" hidden="false" customHeight="false" outlineLevel="0" collapsed="false">
      <c r="A6449" s="0" t="n">
        <v>6445</v>
      </c>
      <c r="B6449" s="0" t="n">
        <v>9</v>
      </c>
      <c r="C6449" s="19" t="n">
        <v>1</v>
      </c>
      <c r="D6449" s="19" t="n">
        <v>0.0839</v>
      </c>
      <c r="E6449" s="20" t="n">
        <f aca="false">Parametres!$B$5*C6449</f>
        <v>300</v>
      </c>
      <c r="F6449" s="20" t="n">
        <f aca="false">Parametres!$B$6*D6449</f>
        <v>16.78</v>
      </c>
      <c r="G6449" s="20" t="n">
        <f aca="false">E6449+F6449</f>
        <v>316.78</v>
      </c>
      <c r="H6449" s="20" t="n">
        <f aca="false">IF(G6449&lt;Parametres!$B$8*Parametres!$B$7,0,MIN(G6449,Parametres!$B$7))</f>
        <v>250</v>
      </c>
      <c r="I6449" s="20" t="n">
        <f aca="false">G6449-H6449</f>
        <v>66.78</v>
      </c>
      <c r="J6449" s="21" t="n">
        <f aca="false">H6449*1000/Parametres!$B$9</f>
        <v>4239.44378497541</v>
      </c>
    </row>
    <row r="6450" customFormat="false" ht="15" hidden="false" customHeight="false" outlineLevel="0" collapsed="false">
      <c r="A6450" s="0" t="n">
        <v>6446</v>
      </c>
      <c r="B6450" s="0" t="n">
        <v>9</v>
      </c>
      <c r="C6450" s="19" t="n">
        <v>1</v>
      </c>
      <c r="D6450" s="19" t="n">
        <v>0.0628</v>
      </c>
      <c r="E6450" s="20" t="n">
        <f aca="false">Parametres!$B$5*C6450</f>
        <v>300</v>
      </c>
      <c r="F6450" s="20" t="n">
        <f aca="false">Parametres!$B$6*D6450</f>
        <v>12.56</v>
      </c>
      <c r="G6450" s="20" t="n">
        <f aca="false">E6450+F6450</f>
        <v>312.56</v>
      </c>
      <c r="H6450" s="20" t="n">
        <f aca="false">IF(G6450&lt;Parametres!$B$8*Parametres!$B$7,0,MIN(G6450,Parametres!$B$7))</f>
        <v>250</v>
      </c>
      <c r="I6450" s="20" t="n">
        <f aca="false">G6450-H6450</f>
        <v>62.56</v>
      </c>
      <c r="J6450" s="21" t="n">
        <f aca="false">H6450*1000/Parametres!$B$9</f>
        <v>4239.44378497541</v>
      </c>
    </row>
    <row r="6451" customFormat="false" ht="15" hidden="false" customHeight="false" outlineLevel="0" collapsed="false">
      <c r="A6451" s="0" t="n">
        <v>6447</v>
      </c>
      <c r="B6451" s="0" t="n">
        <v>9</v>
      </c>
      <c r="C6451" s="19" t="n">
        <v>0.9167</v>
      </c>
      <c r="D6451" s="19" t="n">
        <v>0.0844</v>
      </c>
      <c r="E6451" s="20" t="n">
        <f aca="false">Parametres!$B$5*C6451</f>
        <v>275.01</v>
      </c>
      <c r="F6451" s="20" t="n">
        <f aca="false">Parametres!$B$6*D6451</f>
        <v>16.88</v>
      </c>
      <c r="G6451" s="20" t="n">
        <f aca="false">E6451+F6451</f>
        <v>291.89</v>
      </c>
      <c r="H6451" s="20" t="n">
        <f aca="false">IF(G6451&lt;Parametres!$B$8*Parametres!$B$7,0,MIN(G6451,Parametres!$B$7))</f>
        <v>250</v>
      </c>
      <c r="I6451" s="20" t="n">
        <f aca="false">G6451-H6451</f>
        <v>41.89</v>
      </c>
      <c r="J6451" s="21" t="n">
        <f aca="false">H6451*1000/Parametres!$B$9</f>
        <v>4239.44378497541</v>
      </c>
    </row>
    <row r="6452" customFormat="false" ht="15" hidden="false" customHeight="false" outlineLevel="0" collapsed="false">
      <c r="A6452" s="0" t="n">
        <v>6448</v>
      </c>
      <c r="B6452" s="0" t="n">
        <v>9</v>
      </c>
      <c r="C6452" s="19" t="n">
        <v>0.653</v>
      </c>
      <c r="D6452" s="19" t="n">
        <v>0.1027</v>
      </c>
      <c r="E6452" s="20" t="n">
        <f aca="false">Parametres!$B$5*C6452</f>
        <v>195.9</v>
      </c>
      <c r="F6452" s="20" t="n">
        <f aca="false">Parametres!$B$6*D6452</f>
        <v>20.54</v>
      </c>
      <c r="G6452" s="20" t="n">
        <f aca="false">E6452+F6452</f>
        <v>216.44</v>
      </c>
      <c r="H6452" s="20" t="n">
        <f aca="false">IF(G6452&lt;Parametres!$B$8*Parametres!$B$7,0,MIN(G6452,Parametres!$B$7))</f>
        <v>216.44</v>
      </c>
      <c r="I6452" s="20" t="n">
        <f aca="false">G6452-H6452</f>
        <v>0</v>
      </c>
      <c r="J6452" s="21" t="n">
        <f aca="false">H6452*1000/Parametres!$B$9</f>
        <v>3670.34085128031</v>
      </c>
    </row>
    <row r="6453" customFormat="false" ht="15" hidden="false" customHeight="false" outlineLevel="0" collapsed="false">
      <c r="A6453" s="0" t="n">
        <v>6449</v>
      </c>
      <c r="B6453" s="0" t="n">
        <v>9</v>
      </c>
      <c r="C6453" s="19" t="n">
        <v>0.3768</v>
      </c>
      <c r="D6453" s="19" t="n">
        <v>0.0851</v>
      </c>
      <c r="E6453" s="20" t="n">
        <f aca="false">Parametres!$B$5*C6453</f>
        <v>113.04</v>
      </c>
      <c r="F6453" s="20" t="n">
        <f aca="false">Parametres!$B$6*D6453</f>
        <v>17.02</v>
      </c>
      <c r="G6453" s="20" t="n">
        <f aca="false">E6453+F6453</f>
        <v>130.06</v>
      </c>
      <c r="H6453" s="20" t="n">
        <f aca="false">IF(G6453&lt;Parametres!$B$8*Parametres!$B$7,0,MIN(G6453,Parametres!$B$7))</f>
        <v>130.06</v>
      </c>
      <c r="I6453" s="20" t="n">
        <f aca="false">G6453-H6453</f>
        <v>0</v>
      </c>
      <c r="J6453" s="21" t="n">
        <f aca="false">H6453*1000/Parametres!$B$9</f>
        <v>2205.52823469561</v>
      </c>
    </row>
    <row r="6454" customFormat="false" ht="15" hidden="false" customHeight="false" outlineLevel="0" collapsed="false">
      <c r="A6454" s="0" t="n">
        <v>6450</v>
      </c>
      <c r="B6454" s="0" t="n">
        <v>9</v>
      </c>
      <c r="C6454" s="19" t="n">
        <v>0.0971</v>
      </c>
      <c r="D6454" s="19" t="n">
        <v>0.0757</v>
      </c>
      <c r="E6454" s="20" t="n">
        <f aca="false">Parametres!$B$5*C6454</f>
        <v>29.13</v>
      </c>
      <c r="F6454" s="20" t="n">
        <f aca="false">Parametres!$B$6*D6454</f>
        <v>15.14</v>
      </c>
      <c r="G6454" s="20" t="n">
        <f aca="false">E6454+F6454</f>
        <v>44.27</v>
      </c>
      <c r="H6454" s="20" t="n">
        <f aca="false">IF(G6454&lt;Parametres!$B$8*Parametres!$B$7,0,MIN(G6454,Parametres!$B$7))</f>
        <v>44.27</v>
      </c>
      <c r="I6454" s="20" t="n">
        <f aca="false">G6454-H6454</f>
        <v>0</v>
      </c>
      <c r="J6454" s="21" t="n">
        <f aca="false">H6454*1000/Parametres!$B$9</f>
        <v>750.720705443446</v>
      </c>
    </row>
    <row r="6455" customFormat="false" ht="15" hidden="false" customHeight="false" outlineLevel="0" collapsed="false">
      <c r="A6455" s="0" t="n">
        <v>6451</v>
      </c>
      <c r="B6455" s="0" t="n">
        <v>9</v>
      </c>
      <c r="C6455" s="19" t="n">
        <v>0</v>
      </c>
      <c r="D6455" s="19" t="n">
        <v>0.086</v>
      </c>
      <c r="E6455" s="20" t="n">
        <f aca="false">Parametres!$B$5*C6455</f>
        <v>0</v>
      </c>
      <c r="F6455" s="20" t="n">
        <f aca="false">Parametres!$B$6*D6455</f>
        <v>17.2</v>
      </c>
      <c r="G6455" s="20" t="n">
        <f aca="false">E6455+F6455</f>
        <v>17.2</v>
      </c>
      <c r="H6455" s="20" t="n">
        <f aca="false">IF(G6455&lt;Parametres!$B$8*Parametres!$B$7,0,MIN(G6455,Parametres!$B$7))</f>
        <v>0</v>
      </c>
      <c r="I6455" s="20" t="n">
        <f aca="false">G6455-H6455</f>
        <v>17.2</v>
      </c>
      <c r="J6455" s="21" t="n">
        <f aca="false">H6455*1000/Parametres!$B$9</f>
        <v>0</v>
      </c>
    </row>
    <row r="6456" customFormat="false" ht="15" hidden="false" customHeight="false" outlineLevel="0" collapsed="false">
      <c r="A6456" s="0" t="n">
        <v>6452</v>
      </c>
      <c r="B6456" s="0" t="n">
        <v>9</v>
      </c>
      <c r="C6456" s="19" t="n">
        <v>0</v>
      </c>
      <c r="D6456" s="19" t="n">
        <v>0.0817</v>
      </c>
      <c r="E6456" s="20" t="n">
        <f aca="false">Parametres!$B$5*C6456</f>
        <v>0</v>
      </c>
      <c r="F6456" s="20" t="n">
        <f aca="false">Parametres!$B$6*D6456</f>
        <v>16.34</v>
      </c>
      <c r="G6456" s="20" t="n">
        <f aca="false">E6456+F6456</f>
        <v>16.34</v>
      </c>
      <c r="H6456" s="20" t="n">
        <f aca="false">IF(G6456&lt;Parametres!$B$8*Parametres!$B$7,0,MIN(G6456,Parametres!$B$7))</f>
        <v>0</v>
      </c>
      <c r="I6456" s="20" t="n">
        <f aca="false">G6456-H6456</f>
        <v>16.34</v>
      </c>
      <c r="J6456" s="21" t="n">
        <f aca="false">H6456*1000/Parametres!$B$9</f>
        <v>0</v>
      </c>
    </row>
    <row r="6457" customFormat="false" ht="15" hidden="false" customHeight="false" outlineLevel="0" collapsed="false">
      <c r="A6457" s="0" t="n">
        <v>6453</v>
      </c>
      <c r="B6457" s="0" t="n">
        <v>9</v>
      </c>
      <c r="C6457" s="19" t="n">
        <v>0</v>
      </c>
      <c r="D6457" s="19" t="n">
        <v>0.1002</v>
      </c>
      <c r="E6457" s="20" t="n">
        <f aca="false">Parametres!$B$5*C6457</f>
        <v>0</v>
      </c>
      <c r="F6457" s="20" t="n">
        <f aca="false">Parametres!$B$6*D6457</f>
        <v>20.04</v>
      </c>
      <c r="G6457" s="20" t="n">
        <f aca="false">E6457+F6457</f>
        <v>20.04</v>
      </c>
      <c r="H6457" s="20" t="n">
        <f aca="false">IF(G6457&lt;Parametres!$B$8*Parametres!$B$7,0,MIN(G6457,Parametres!$B$7))</f>
        <v>0</v>
      </c>
      <c r="I6457" s="20" t="n">
        <f aca="false">G6457-H6457</f>
        <v>20.04</v>
      </c>
      <c r="J6457" s="21" t="n">
        <f aca="false">H6457*1000/Parametres!$B$9</f>
        <v>0</v>
      </c>
    </row>
    <row r="6458" customFormat="false" ht="15" hidden="false" customHeight="false" outlineLevel="0" collapsed="false">
      <c r="A6458" s="0" t="n">
        <v>6454</v>
      </c>
      <c r="B6458" s="0" t="n">
        <v>9</v>
      </c>
      <c r="C6458" s="19" t="n">
        <v>0</v>
      </c>
      <c r="D6458" s="19" t="n">
        <v>0.1456</v>
      </c>
      <c r="E6458" s="20" t="n">
        <f aca="false">Parametres!$B$5*C6458</f>
        <v>0</v>
      </c>
      <c r="F6458" s="20" t="n">
        <f aca="false">Parametres!$B$6*D6458</f>
        <v>29.12</v>
      </c>
      <c r="G6458" s="20" t="n">
        <f aca="false">E6458+F6458</f>
        <v>29.12</v>
      </c>
      <c r="H6458" s="20" t="n">
        <f aca="false">IF(G6458&lt;Parametres!$B$8*Parametres!$B$7,0,MIN(G6458,Parametres!$B$7))</f>
        <v>29.12</v>
      </c>
      <c r="I6458" s="20" t="n">
        <f aca="false">G6458-H6458</f>
        <v>0</v>
      </c>
      <c r="J6458" s="21" t="n">
        <f aca="false">H6458*1000/Parametres!$B$9</f>
        <v>493.810412073936</v>
      </c>
    </row>
    <row r="6459" customFormat="false" ht="15" hidden="false" customHeight="false" outlineLevel="0" collapsed="false">
      <c r="A6459" s="0" t="n">
        <v>6455</v>
      </c>
      <c r="B6459" s="0" t="n">
        <v>9</v>
      </c>
      <c r="C6459" s="19" t="n">
        <v>0</v>
      </c>
      <c r="D6459" s="19" t="n">
        <v>0.2296</v>
      </c>
      <c r="E6459" s="20" t="n">
        <f aca="false">Parametres!$B$5*C6459</f>
        <v>0</v>
      </c>
      <c r="F6459" s="20" t="n">
        <f aca="false">Parametres!$B$6*D6459</f>
        <v>45.92</v>
      </c>
      <c r="G6459" s="20" t="n">
        <f aca="false">E6459+F6459</f>
        <v>45.92</v>
      </c>
      <c r="H6459" s="20" t="n">
        <f aca="false">IF(G6459&lt;Parametres!$B$8*Parametres!$B$7,0,MIN(G6459,Parametres!$B$7))</f>
        <v>45.92</v>
      </c>
      <c r="I6459" s="20" t="n">
        <f aca="false">G6459-H6459</f>
        <v>0</v>
      </c>
      <c r="J6459" s="21" t="n">
        <f aca="false">H6459*1000/Parametres!$B$9</f>
        <v>778.701034424284</v>
      </c>
    </row>
    <row r="6460" customFormat="false" ht="15" hidden="false" customHeight="false" outlineLevel="0" collapsed="false">
      <c r="A6460" s="0" t="n">
        <v>6456</v>
      </c>
      <c r="B6460" s="0" t="n">
        <v>9</v>
      </c>
      <c r="C6460" s="19" t="n">
        <v>0</v>
      </c>
      <c r="D6460" s="19" t="n">
        <v>0.1225</v>
      </c>
      <c r="E6460" s="20" t="n">
        <f aca="false">Parametres!$B$5*C6460</f>
        <v>0</v>
      </c>
      <c r="F6460" s="20" t="n">
        <f aca="false">Parametres!$B$6*D6460</f>
        <v>24.5</v>
      </c>
      <c r="G6460" s="20" t="n">
        <f aca="false">E6460+F6460</f>
        <v>24.5</v>
      </c>
      <c r="H6460" s="20" t="n">
        <f aca="false">IF(G6460&lt;Parametres!$B$8*Parametres!$B$7,0,MIN(G6460,Parametres!$B$7))</f>
        <v>0</v>
      </c>
      <c r="I6460" s="20" t="n">
        <f aca="false">G6460-H6460</f>
        <v>24.5</v>
      </c>
      <c r="J6460" s="21" t="n">
        <f aca="false">H6460*1000/Parametres!$B$9</f>
        <v>0</v>
      </c>
    </row>
    <row r="6461" customFormat="false" ht="15" hidden="false" customHeight="false" outlineLevel="0" collapsed="false">
      <c r="A6461" s="0" t="n">
        <v>6457</v>
      </c>
      <c r="B6461" s="0" t="n">
        <v>9</v>
      </c>
      <c r="C6461" s="19" t="n">
        <v>0</v>
      </c>
      <c r="D6461" s="19" t="n">
        <v>0.0869</v>
      </c>
      <c r="E6461" s="20" t="n">
        <f aca="false">Parametres!$B$5*C6461</f>
        <v>0</v>
      </c>
      <c r="F6461" s="20" t="n">
        <f aca="false">Parametres!$B$6*D6461</f>
        <v>17.38</v>
      </c>
      <c r="G6461" s="20" t="n">
        <f aca="false">E6461+F6461</f>
        <v>17.38</v>
      </c>
      <c r="H6461" s="20" t="n">
        <f aca="false">IF(G6461&lt;Parametres!$B$8*Parametres!$B$7,0,MIN(G6461,Parametres!$B$7))</f>
        <v>0</v>
      </c>
      <c r="I6461" s="20" t="n">
        <f aca="false">G6461-H6461</f>
        <v>17.38</v>
      </c>
      <c r="J6461" s="21" t="n">
        <f aca="false">H6461*1000/Parametres!$B$9</f>
        <v>0</v>
      </c>
    </row>
    <row r="6462" customFormat="false" ht="15" hidden="false" customHeight="false" outlineLevel="0" collapsed="false">
      <c r="A6462" s="0" t="n">
        <v>6458</v>
      </c>
      <c r="B6462" s="0" t="n">
        <v>9</v>
      </c>
      <c r="C6462" s="19" t="n">
        <v>0</v>
      </c>
      <c r="D6462" s="19" t="n">
        <v>0.091</v>
      </c>
      <c r="E6462" s="20" t="n">
        <f aca="false">Parametres!$B$5*C6462</f>
        <v>0</v>
      </c>
      <c r="F6462" s="20" t="n">
        <f aca="false">Parametres!$B$6*D6462</f>
        <v>18.2</v>
      </c>
      <c r="G6462" s="20" t="n">
        <f aca="false">E6462+F6462</f>
        <v>18.2</v>
      </c>
      <c r="H6462" s="20" t="n">
        <f aca="false">IF(G6462&lt;Parametres!$B$8*Parametres!$B$7,0,MIN(G6462,Parametres!$B$7))</f>
        <v>0</v>
      </c>
      <c r="I6462" s="20" t="n">
        <f aca="false">G6462-H6462</f>
        <v>18.2</v>
      </c>
      <c r="J6462" s="21" t="n">
        <f aca="false">H6462*1000/Parametres!$B$9</f>
        <v>0</v>
      </c>
    </row>
    <row r="6463" customFormat="false" ht="15" hidden="false" customHeight="false" outlineLevel="0" collapsed="false">
      <c r="A6463" s="0" t="n">
        <v>6459</v>
      </c>
      <c r="B6463" s="0" t="n">
        <v>9</v>
      </c>
      <c r="C6463" s="19" t="n">
        <v>0</v>
      </c>
      <c r="D6463" s="19" t="n">
        <v>0.0961</v>
      </c>
      <c r="E6463" s="20" t="n">
        <f aca="false">Parametres!$B$5*C6463</f>
        <v>0</v>
      </c>
      <c r="F6463" s="20" t="n">
        <f aca="false">Parametres!$B$6*D6463</f>
        <v>19.22</v>
      </c>
      <c r="G6463" s="20" t="n">
        <f aca="false">E6463+F6463</f>
        <v>19.22</v>
      </c>
      <c r="H6463" s="20" t="n">
        <f aca="false">IF(G6463&lt;Parametres!$B$8*Parametres!$B$7,0,MIN(G6463,Parametres!$B$7))</f>
        <v>0</v>
      </c>
      <c r="I6463" s="20" t="n">
        <f aca="false">G6463-H6463</f>
        <v>19.22</v>
      </c>
      <c r="J6463" s="21" t="n">
        <f aca="false">H6463*1000/Parametres!$B$9</f>
        <v>0</v>
      </c>
    </row>
    <row r="6464" customFormat="false" ht="15" hidden="false" customHeight="false" outlineLevel="0" collapsed="false">
      <c r="A6464" s="0" t="n">
        <v>6460</v>
      </c>
      <c r="B6464" s="0" t="n">
        <v>9</v>
      </c>
      <c r="C6464" s="19" t="n">
        <v>0</v>
      </c>
      <c r="D6464" s="19" t="n">
        <v>0.0656</v>
      </c>
      <c r="E6464" s="20" t="n">
        <f aca="false">Parametres!$B$5*C6464</f>
        <v>0</v>
      </c>
      <c r="F6464" s="20" t="n">
        <f aca="false">Parametres!$B$6*D6464</f>
        <v>13.12</v>
      </c>
      <c r="G6464" s="20" t="n">
        <f aca="false">E6464+F6464</f>
        <v>13.12</v>
      </c>
      <c r="H6464" s="20" t="n">
        <f aca="false">IF(G6464&lt;Parametres!$B$8*Parametres!$B$7,0,MIN(G6464,Parametres!$B$7))</f>
        <v>0</v>
      </c>
      <c r="I6464" s="20" t="n">
        <f aca="false">G6464-H6464</f>
        <v>13.12</v>
      </c>
      <c r="J6464" s="21" t="n">
        <f aca="false">H6464*1000/Parametres!$B$9</f>
        <v>0</v>
      </c>
    </row>
    <row r="6465" customFormat="false" ht="15" hidden="false" customHeight="false" outlineLevel="0" collapsed="false">
      <c r="A6465" s="0" t="n">
        <v>6461</v>
      </c>
      <c r="B6465" s="0" t="n">
        <v>9</v>
      </c>
      <c r="C6465" s="19" t="n">
        <v>0</v>
      </c>
      <c r="D6465" s="19" t="n">
        <v>0.0616</v>
      </c>
      <c r="E6465" s="20" t="n">
        <f aca="false">Parametres!$B$5*C6465</f>
        <v>0</v>
      </c>
      <c r="F6465" s="20" t="n">
        <f aca="false">Parametres!$B$6*D6465</f>
        <v>12.32</v>
      </c>
      <c r="G6465" s="20" t="n">
        <f aca="false">E6465+F6465</f>
        <v>12.32</v>
      </c>
      <c r="H6465" s="20" t="n">
        <f aca="false">IF(G6465&lt;Parametres!$B$8*Parametres!$B$7,0,MIN(G6465,Parametres!$B$7))</f>
        <v>0</v>
      </c>
      <c r="I6465" s="20" t="n">
        <f aca="false">G6465-H6465</f>
        <v>12.32</v>
      </c>
      <c r="J6465" s="21" t="n">
        <f aca="false">H6465*1000/Parametres!$B$9</f>
        <v>0</v>
      </c>
    </row>
    <row r="6466" customFormat="false" ht="15" hidden="false" customHeight="false" outlineLevel="0" collapsed="false">
      <c r="A6466" s="0" t="n">
        <v>6462</v>
      </c>
      <c r="B6466" s="0" t="n">
        <v>9</v>
      </c>
      <c r="C6466" s="19" t="n">
        <v>0</v>
      </c>
      <c r="D6466" s="19" t="n">
        <v>0.0623</v>
      </c>
      <c r="E6466" s="20" t="n">
        <f aca="false">Parametres!$B$5*C6466</f>
        <v>0</v>
      </c>
      <c r="F6466" s="20" t="n">
        <f aca="false">Parametres!$B$6*D6466</f>
        <v>12.46</v>
      </c>
      <c r="G6466" s="20" t="n">
        <f aca="false">E6466+F6466</f>
        <v>12.46</v>
      </c>
      <c r="H6466" s="20" t="n">
        <f aca="false">IF(G6466&lt;Parametres!$B$8*Parametres!$B$7,0,MIN(G6466,Parametres!$B$7))</f>
        <v>0</v>
      </c>
      <c r="I6466" s="20" t="n">
        <f aca="false">G6466-H6466</f>
        <v>12.46</v>
      </c>
      <c r="J6466" s="21" t="n">
        <f aca="false">H6466*1000/Parametres!$B$9</f>
        <v>0</v>
      </c>
    </row>
    <row r="6467" customFormat="false" ht="15" hidden="false" customHeight="false" outlineLevel="0" collapsed="false">
      <c r="A6467" s="0" t="n">
        <v>6463</v>
      </c>
      <c r="B6467" s="0" t="n">
        <v>9</v>
      </c>
      <c r="C6467" s="19" t="n">
        <v>0.0756</v>
      </c>
      <c r="D6467" s="19" t="n">
        <v>0.0753</v>
      </c>
      <c r="E6467" s="20" t="n">
        <f aca="false">Parametres!$B$5*C6467</f>
        <v>22.68</v>
      </c>
      <c r="F6467" s="20" t="n">
        <f aca="false">Parametres!$B$6*D6467</f>
        <v>15.06</v>
      </c>
      <c r="G6467" s="20" t="n">
        <f aca="false">E6467+F6467</f>
        <v>37.74</v>
      </c>
      <c r="H6467" s="20" t="n">
        <f aca="false">IF(G6467&lt;Parametres!$B$8*Parametres!$B$7,0,MIN(G6467,Parametres!$B$7))</f>
        <v>37.74</v>
      </c>
      <c r="I6467" s="20" t="n">
        <f aca="false">G6467-H6467</f>
        <v>0</v>
      </c>
      <c r="J6467" s="21" t="n">
        <f aca="false">H6467*1000/Parametres!$B$9</f>
        <v>639.986433779888</v>
      </c>
    </row>
    <row r="6468" customFormat="false" ht="15" hidden="false" customHeight="false" outlineLevel="0" collapsed="false">
      <c r="A6468" s="0" t="n">
        <v>6464</v>
      </c>
      <c r="B6468" s="0" t="n">
        <v>9</v>
      </c>
      <c r="C6468" s="19" t="n">
        <v>0.29</v>
      </c>
      <c r="D6468" s="19" t="n">
        <v>0.116</v>
      </c>
      <c r="E6468" s="20" t="n">
        <f aca="false">Parametres!$B$5*C6468</f>
        <v>87</v>
      </c>
      <c r="F6468" s="20" t="n">
        <f aca="false">Parametres!$B$6*D6468</f>
        <v>23.2</v>
      </c>
      <c r="G6468" s="20" t="n">
        <f aca="false">E6468+F6468</f>
        <v>110.2</v>
      </c>
      <c r="H6468" s="20" t="n">
        <f aca="false">IF(G6468&lt;Parametres!$B$8*Parametres!$B$7,0,MIN(G6468,Parametres!$B$7))</f>
        <v>110.2</v>
      </c>
      <c r="I6468" s="20" t="n">
        <f aca="false">G6468-H6468</f>
        <v>0</v>
      </c>
      <c r="J6468" s="21" t="n">
        <f aca="false">H6468*1000/Parametres!$B$9</f>
        <v>1868.74682041716</v>
      </c>
    </row>
    <row r="6469" customFormat="false" ht="15" hidden="false" customHeight="false" outlineLevel="0" collapsed="false">
      <c r="A6469" s="0" t="n">
        <v>6465</v>
      </c>
      <c r="B6469" s="0" t="n">
        <v>9</v>
      </c>
      <c r="C6469" s="19" t="n">
        <v>0.5227</v>
      </c>
      <c r="D6469" s="19" t="n">
        <v>0.1072</v>
      </c>
      <c r="E6469" s="20" t="n">
        <f aca="false">Parametres!$B$5*C6469</f>
        <v>156.81</v>
      </c>
      <c r="F6469" s="20" t="n">
        <f aca="false">Parametres!$B$6*D6469</f>
        <v>21.44</v>
      </c>
      <c r="G6469" s="20" t="n">
        <f aca="false">E6469+F6469</f>
        <v>178.25</v>
      </c>
      <c r="H6469" s="20" t="n">
        <f aca="false">IF(G6469&lt;Parametres!$B$8*Parametres!$B$7,0,MIN(G6469,Parametres!$B$7))</f>
        <v>178.25</v>
      </c>
      <c r="I6469" s="20" t="n">
        <f aca="false">G6469-H6469</f>
        <v>0</v>
      </c>
      <c r="J6469" s="21" t="n">
        <f aca="false">H6469*1000/Parametres!$B$9</f>
        <v>3022.72341868747</v>
      </c>
    </row>
    <row r="6470" customFormat="false" ht="15" hidden="false" customHeight="false" outlineLevel="0" collapsed="false">
      <c r="A6470" s="0" t="n">
        <v>6466</v>
      </c>
      <c r="B6470" s="0" t="n">
        <v>9</v>
      </c>
      <c r="C6470" s="19" t="n">
        <v>0.6577</v>
      </c>
      <c r="D6470" s="19" t="n">
        <v>0.0485</v>
      </c>
      <c r="E6470" s="20" t="n">
        <f aca="false">Parametres!$B$5*C6470</f>
        <v>197.31</v>
      </c>
      <c r="F6470" s="20" t="n">
        <f aca="false">Parametres!$B$6*D6470</f>
        <v>9.7</v>
      </c>
      <c r="G6470" s="20" t="n">
        <f aca="false">E6470+F6470</f>
        <v>207.01</v>
      </c>
      <c r="H6470" s="20" t="n">
        <f aca="false">IF(G6470&lt;Parametres!$B$8*Parametres!$B$7,0,MIN(G6470,Parametres!$B$7))</f>
        <v>207.01</v>
      </c>
      <c r="I6470" s="20" t="n">
        <f aca="false">G6470-H6470</f>
        <v>0</v>
      </c>
      <c r="J6470" s="21" t="n">
        <f aca="false">H6470*1000/Parametres!$B$9</f>
        <v>3510.42903171104</v>
      </c>
    </row>
    <row r="6471" customFormat="false" ht="15" hidden="false" customHeight="false" outlineLevel="0" collapsed="false">
      <c r="A6471" s="0" t="n">
        <v>6467</v>
      </c>
      <c r="B6471" s="0" t="n">
        <v>9</v>
      </c>
      <c r="C6471" s="19" t="n">
        <v>0.8662</v>
      </c>
      <c r="D6471" s="19" t="n">
        <v>0.0484</v>
      </c>
      <c r="E6471" s="20" t="n">
        <f aca="false">Parametres!$B$5*C6471</f>
        <v>259.86</v>
      </c>
      <c r="F6471" s="20" t="n">
        <f aca="false">Parametres!$B$6*D6471</f>
        <v>9.68</v>
      </c>
      <c r="G6471" s="20" t="n">
        <f aca="false">E6471+F6471</f>
        <v>269.54</v>
      </c>
      <c r="H6471" s="20" t="n">
        <f aca="false">IF(G6471&lt;Parametres!$B$8*Parametres!$B$7,0,MIN(G6471,Parametres!$B$7))</f>
        <v>250</v>
      </c>
      <c r="I6471" s="20" t="n">
        <f aca="false">G6471-H6471</f>
        <v>19.54</v>
      </c>
      <c r="J6471" s="21" t="n">
        <f aca="false">H6471*1000/Parametres!$B$9</f>
        <v>4239.44378497541</v>
      </c>
    </row>
    <row r="6472" customFormat="false" ht="15" hidden="false" customHeight="false" outlineLevel="0" collapsed="false">
      <c r="A6472" s="0" t="n">
        <v>6468</v>
      </c>
      <c r="B6472" s="0" t="n">
        <v>9</v>
      </c>
      <c r="C6472" s="19" t="n">
        <v>0.8994</v>
      </c>
      <c r="D6472" s="19" t="n">
        <v>0.0519</v>
      </c>
      <c r="E6472" s="20" t="n">
        <f aca="false">Parametres!$B$5*C6472</f>
        <v>269.82</v>
      </c>
      <c r="F6472" s="20" t="n">
        <f aca="false">Parametres!$B$6*D6472</f>
        <v>10.38</v>
      </c>
      <c r="G6472" s="20" t="n">
        <f aca="false">E6472+F6472</f>
        <v>280.2</v>
      </c>
      <c r="H6472" s="20" t="n">
        <f aca="false">IF(G6472&lt;Parametres!$B$8*Parametres!$B$7,0,MIN(G6472,Parametres!$B$7))</f>
        <v>250</v>
      </c>
      <c r="I6472" s="20" t="n">
        <f aca="false">G6472-H6472</f>
        <v>30.2</v>
      </c>
      <c r="J6472" s="21" t="n">
        <f aca="false">H6472*1000/Parametres!$B$9</f>
        <v>4239.44378497541</v>
      </c>
    </row>
    <row r="6473" customFormat="false" ht="15" hidden="false" customHeight="false" outlineLevel="0" collapsed="false">
      <c r="A6473" s="0" t="n">
        <v>6469</v>
      </c>
      <c r="B6473" s="0" t="n">
        <v>9</v>
      </c>
      <c r="C6473" s="19" t="n">
        <v>0.9557</v>
      </c>
      <c r="D6473" s="19" t="n">
        <v>0.0558</v>
      </c>
      <c r="E6473" s="20" t="n">
        <f aca="false">Parametres!$B$5*C6473</f>
        <v>286.71</v>
      </c>
      <c r="F6473" s="20" t="n">
        <f aca="false">Parametres!$B$6*D6473</f>
        <v>11.16</v>
      </c>
      <c r="G6473" s="20" t="n">
        <f aca="false">E6473+F6473</f>
        <v>297.87</v>
      </c>
      <c r="H6473" s="20" t="n">
        <f aca="false">IF(G6473&lt;Parametres!$B$8*Parametres!$B$7,0,MIN(G6473,Parametres!$B$7))</f>
        <v>250</v>
      </c>
      <c r="I6473" s="20" t="n">
        <f aca="false">G6473-H6473</f>
        <v>47.87</v>
      </c>
      <c r="J6473" s="21" t="n">
        <f aca="false">H6473*1000/Parametres!$B$9</f>
        <v>4239.44378497541</v>
      </c>
    </row>
    <row r="6474" customFormat="false" ht="15" hidden="false" customHeight="false" outlineLevel="0" collapsed="false">
      <c r="A6474" s="0" t="n">
        <v>6470</v>
      </c>
      <c r="B6474" s="0" t="n">
        <v>9</v>
      </c>
      <c r="C6474" s="19" t="n">
        <v>0.8772</v>
      </c>
      <c r="D6474" s="19" t="n">
        <v>0.1122</v>
      </c>
      <c r="E6474" s="20" t="n">
        <f aca="false">Parametres!$B$5*C6474</f>
        <v>263.16</v>
      </c>
      <c r="F6474" s="20" t="n">
        <f aca="false">Parametres!$B$6*D6474</f>
        <v>22.44</v>
      </c>
      <c r="G6474" s="20" t="n">
        <f aca="false">E6474+F6474</f>
        <v>285.6</v>
      </c>
      <c r="H6474" s="20" t="n">
        <f aca="false">IF(G6474&lt;Parametres!$B$8*Parametres!$B$7,0,MIN(G6474,Parametres!$B$7))</f>
        <v>250</v>
      </c>
      <c r="I6474" s="20" t="n">
        <f aca="false">G6474-H6474</f>
        <v>35.6</v>
      </c>
      <c r="J6474" s="21" t="n">
        <f aca="false">H6474*1000/Parametres!$B$9</f>
        <v>4239.44378497541</v>
      </c>
    </row>
    <row r="6475" customFormat="false" ht="15" hidden="false" customHeight="false" outlineLevel="0" collapsed="false">
      <c r="A6475" s="0" t="n">
        <v>6471</v>
      </c>
      <c r="B6475" s="0" t="n">
        <v>9</v>
      </c>
      <c r="C6475" s="19" t="n">
        <v>0.6865</v>
      </c>
      <c r="D6475" s="19" t="n">
        <v>0.0719</v>
      </c>
      <c r="E6475" s="20" t="n">
        <f aca="false">Parametres!$B$5*C6475</f>
        <v>205.95</v>
      </c>
      <c r="F6475" s="20" t="n">
        <f aca="false">Parametres!$B$6*D6475</f>
        <v>14.38</v>
      </c>
      <c r="G6475" s="20" t="n">
        <f aca="false">E6475+F6475</f>
        <v>220.33</v>
      </c>
      <c r="H6475" s="20" t="n">
        <f aca="false">IF(G6475&lt;Parametres!$B$8*Parametres!$B$7,0,MIN(G6475,Parametres!$B$7))</f>
        <v>220.33</v>
      </c>
      <c r="I6475" s="20" t="n">
        <f aca="false">G6475-H6475</f>
        <v>0</v>
      </c>
      <c r="J6475" s="21" t="n">
        <f aca="false">H6475*1000/Parametres!$B$9</f>
        <v>3736.30659657453</v>
      </c>
    </row>
    <row r="6476" customFormat="false" ht="15" hidden="false" customHeight="false" outlineLevel="0" collapsed="false">
      <c r="A6476" s="0" t="n">
        <v>6472</v>
      </c>
      <c r="B6476" s="0" t="n">
        <v>9</v>
      </c>
      <c r="C6476" s="19" t="n">
        <v>0.5475</v>
      </c>
      <c r="D6476" s="19" t="n">
        <v>0.1078</v>
      </c>
      <c r="E6476" s="20" t="n">
        <f aca="false">Parametres!$B$5*C6476</f>
        <v>164.25</v>
      </c>
      <c r="F6476" s="20" t="n">
        <f aca="false">Parametres!$B$6*D6476</f>
        <v>21.56</v>
      </c>
      <c r="G6476" s="20" t="n">
        <f aca="false">E6476+F6476</f>
        <v>185.81</v>
      </c>
      <c r="H6476" s="20" t="n">
        <f aca="false">IF(G6476&lt;Parametres!$B$8*Parametres!$B$7,0,MIN(G6476,Parametres!$B$7))</f>
        <v>185.81</v>
      </c>
      <c r="I6476" s="20" t="n">
        <f aca="false">G6476-H6476</f>
        <v>0</v>
      </c>
      <c r="J6476" s="21" t="n">
        <f aca="false">H6476*1000/Parametres!$B$9</f>
        <v>3150.92419874512</v>
      </c>
    </row>
    <row r="6477" customFormat="false" ht="15" hidden="false" customHeight="false" outlineLevel="0" collapsed="false">
      <c r="A6477" s="0" t="n">
        <v>6473</v>
      </c>
      <c r="B6477" s="0" t="n">
        <v>9</v>
      </c>
      <c r="C6477" s="19" t="n">
        <v>0.2928</v>
      </c>
      <c r="D6477" s="19" t="n">
        <v>0.2594</v>
      </c>
      <c r="E6477" s="20" t="n">
        <f aca="false">Parametres!$B$5*C6477</f>
        <v>87.84</v>
      </c>
      <c r="F6477" s="20" t="n">
        <f aca="false">Parametres!$B$6*D6477</f>
        <v>51.88</v>
      </c>
      <c r="G6477" s="20" t="n">
        <f aca="false">E6477+F6477</f>
        <v>139.72</v>
      </c>
      <c r="H6477" s="20" t="n">
        <f aca="false">IF(G6477&lt;Parametres!$B$8*Parametres!$B$7,0,MIN(G6477,Parametres!$B$7))</f>
        <v>139.72</v>
      </c>
      <c r="I6477" s="20" t="n">
        <f aca="false">G6477-H6477</f>
        <v>0</v>
      </c>
      <c r="J6477" s="21" t="n">
        <f aca="false">H6477*1000/Parametres!$B$9</f>
        <v>2369.34034254706</v>
      </c>
    </row>
    <row r="6478" customFormat="false" ht="15" hidden="false" customHeight="false" outlineLevel="0" collapsed="false">
      <c r="A6478" s="0" t="n">
        <v>6474</v>
      </c>
      <c r="B6478" s="0" t="n">
        <v>9</v>
      </c>
      <c r="C6478" s="19" t="n">
        <v>0.0744</v>
      </c>
      <c r="D6478" s="19" t="n">
        <v>0.1513</v>
      </c>
      <c r="E6478" s="20" t="n">
        <f aca="false">Parametres!$B$5*C6478</f>
        <v>22.32</v>
      </c>
      <c r="F6478" s="20" t="n">
        <f aca="false">Parametres!$B$6*D6478</f>
        <v>30.26</v>
      </c>
      <c r="G6478" s="20" t="n">
        <f aca="false">E6478+F6478</f>
        <v>52.58</v>
      </c>
      <c r="H6478" s="20" t="n">
        <f aca="false">IF(G6478&lt;Parametres!$B$8*Parametres!$B$7,0,MIN(G6478,Parametres!$B$7))</f>
        <v>52.58</v>
      </c>
      <c r="I6478" s="20" t="n">
        <f aca="false">G6478-H6478</f>
        <v>0</v>
      </c>
      <c r="J6478" s="21" t="n">
        <f aca="false">H6478*1000/Parametres!$B$9</f>
        <v>891.639816856029</v>
      </c>
    </row>
    <row r="6479" customFormat="false" ht="15" hidden="false" customHeight="false" outlineLevel="0" collapsed="false">
      <c r="A6479" s="0" t="n">
        <v>6475</v>
      </c>
      <c r="B6479" s="0" t="n">
        <v>9</v>
      </c>
      <c r="C6479" s="19" t="n">
        <v>0</v>
      </c>
      <c r="D6479" s="19" t="n">
        <v>0.1344</v>
      </c>
      <c r="E6479" s="20" t="n">
        <f aca="false">Parametres!$B$5*C6479</f>
        <v>0</v>
      </c>
      <c r="F6479" s="20" t="n">
        <f aca="false">Parametres!$B$6*D6479</f>
        <v>26.88</v>
      </c>
      <c r="G6479" s="20" t="n">
        <f aca="false">E6479+F6479</f>
        <v>26.88</v>
      </c>
      <c r="H6479" s="20" t="n">
        <f aca="false">IF(G6479&lt;Parametres!$B$8*Parametres!$B$7,0,MIN(G6479,Parametres!$B$7))</f>
        <v>26.88</v>
      </c>
      <c r="I6479" s="20" t="n">
        <f aca="false">G6479-H6479</f>
        <v>0</v>
      </c>
      <c r="J6479" s="21" t="n">
        <f aca="false">H6479*1000/Parametres!$B$9</f>
        <v>455.824995760556</v>
      </c>
    </row>
    <row r="6480" customFormat="false" ht="15" hidden="false" customHeight="false" outlineLevel="0" collapsed="false">
      <c r="A6480" s="0" t="n">
        <v>6476</v>
      </c>
      <c r="B6480" s="0" t="n">
        <v>9</v>
      </c>
      <c r="C6480" s="19" t="n">
        <v>0</v>
      </c>
      <c r="D6480" s="19" t="n">
        <v>0.1248</v>
      </c>
      <c r="E6480" s="20" t="n">
        <f aca="false">Parametres!$B$5*C6480</f>
        <v>0</v>
      </c>
      <c r="F6480" s="20" t="n">
        <f aca="false">Parametres!$B$6*D6480</f>
        <v>24.96</v>
      </c>
      <c r="G6480" s="20" t="n">
        <f aca="false">E6480+F6480</f>
        <v>24.96</v>
      </c>
      <c r="H6480" s="20" t="n">
        <f aca="false">IF(G6480&lt;Parametres!$B$8*Parametres!$B$7,0,MIN(G6480,Parametres!$B$7))</f>
        <v>0</v>
      </c>
      <c r="I6480" s="20" t="n">
        <f aca="false">G6480-H6480</f>
        <v>24.96</v>
      </c>
      <c r="J6480" s="21" t="n">
        <f aca="false">H6480*1000/Parametres!$B$9</f>
        <v>0</v>
      </c>
    </row>
    <row r="6481" customFormat="false" ht="15" hidden="false" customHeight="false" outlineLevel="0" collapsed="false">
      <c r="A6481" s="0" t="n">
        <v>6477</v>
      </c>
      <c r="B6481" s="0" t="n">
        <v>9</v>
      </c>
      <c r="C6481" s="19" t="n">
        <v>0</v>
      </c>
      <c r="D6481" s="19" t="n">
        <v>0.1595</v>
      </c>
      <c r="E6481" s="20" t="n">
        <f aca="false">Parametres!$B$5*C6481</f>
        <v>0</v>
      </c>
      <c r="F6481" s="20" t="n">
        <f aca="false">Parametres!$B$6*D6481</f>
        <v>31.9</v>
      </c>
      <c r="G6481" s="20" t="n">
        <f aca="false">E6481+F6481</f>
        <v>31.9</v>
      </c>
      <c r="H6481" s="20" t="n">
        <f aca="false">IF(G6481&lt;Parametres!$B$8*Parametres!$B$7,0,MIN(G6481,Parametres!$B$7))</f>
        <v>31.9</v>
      </c>
      <c r="I6481" s="20" t="n">
        <f aca="false">G6481-H6481</f>
        <v>0</v>
      </c>
      <c r="J6481" s="21" t="n">
        <f aca="false">H6481*1000/Parametres!$B$9</f>
        <v>540.953026962863</v>
      </c>
    </row>
    <row r="6482" customFormat="false" ht="15" hidden="false" customHeight="false" outlineLevel="0" collapsed="false">
      <c r="A6482" s="0" t="n">
        <v>6478</v>
      </c>
      <c r="B6482" s="0" t="n">
        <v>9</v>
      </c>
      <c r="C6482" s="19" t="n">
        <v>0</v>
      </c>
      <c r="D6482" s="19" t="n">
        <v>0.1858</v>
      </c>
      <c r="E6482" s="20" t="n">
        <f aca="false">Parametres!$B$5*C6482</f>
        <v>0</v>
      </c>
      <c r="F6482" s="20" t="n">
        <f aca="false">Parametres!$B$6*D6482</f>
        <v>37.16</v>
      </c>
      <c r="G6482" s="20" t="n">
        <f aca="false">E6482+F6482</f>
        <v>37.16</v>
      </c>
      <c r="H6482" s="20" t="n">
        <f aca="false">IF(G6482&lt;Parametres!$B$8*Parametres!$B$7,0,MIN(G6482,Parametres!$B$7))</f>
        <v>37.16</v>
      </c>
      <c r="I6482" s="20" t="n">
        <f aca="false">G6482-H6482</f>
        <v>0</v>
      </c>
      <c r="J6482" s="21" t="n">
        <f aca="false">H6482*1000/Parametres!$B$9</f>
        <v>630.150924198745</v>
      </c>
    </row>
    <row r="6483" customFormat="false" ht="15" hidden="false" customHeight="false" outlineLevel="0" collapsed="false">
      <c r="A6483" s="0" t="n">
        <v>6479</v>
      </c>
      <c r="B6483" s="0" t="n">
        <v>9</v>
      </c>
      <c r="C6483" s="19" t="n">
        <v>0</v>
      </c>
      <c r="D6483" s="19" t="n">
        <v>0.1258</v>
      </c>
      <c r="E6483" s="20" t="n">
        <f aca="false">Parametres!$B$5*C6483</f>
        <v>0</v>
      </c>
      <c r="F6483" s="20" t="n">
        <f aca="false">Parametres!$B$6*D6483</f>
        <v>25.16</v>
      </c>
      <c r="G6483" s="20" t="n">
        <f aca="false">E6483+F6483</f>
        <v>25.16</v>
      </c>
      <c r="H6483" s="20" t="n">
        <f aca="false">IF(G6483&lt;Parametres!$B$8*Parametres!$B$7,0,MIN(G6483,Parametres!$B$7))</f>
        <v>25.16</v>
      </c>
      <c r="I6483" s="20" t="n">
        <f aca="false">G6483-H6483</f>
        <v>0</v>
      </c>
      <c r="J6483" s="21" t="n">
        <f aca="false">H6483*1000/Parametres!$B$9</f>
        <v>426.657622519925</v>
      </c>
    </row>
    <row r="6484" customFormat="false" ht="15" hidden="false" customHeight="false" outlineLevel="0" collapsed="false">
      <c r="A6484" s="0" t="n">
        <v>6480</v>
      </c>
      <c r="B6484" s="0" t="n">
        <v>9</v>
      </c>
      <c r="C6484" s="19" t="n">
        <v>0</v>
      </c>
      <c r="D6484" s="19" t="n">
        <v>0.3456</v>
      </c>
      <c r="E6484" s="20" t="n">
        <f aca="false">Parametres!$B$5*C6484</f>
        <v>0</v>
      </c>
      <c r="F6484" s="20" t="n">
        <f aca="false">Parametres!$B$6*D6484</f>
        <v>69.12</v>
      </c>
      <c r="G6484" s="20" t="n">
        <f aca="false">E6484+F6484</f>
        <v>69.12</v>
      </c>
      <c r="H6484" s="20" t="n">
        <f aca="false">IF(G6484&lt;Parametres!$B$8*Parametres!$B$7,0,MIN(G6484,Parametres!$B$7))</f>
        <v>69.12</v>
      </c>
      <c r="I6484" s="20" t="n">
        <f aca="false">G6484-H6484</f>
        <v>0</v>
      </c>
      <c r="J6484" s="21" t="n">
        <f aca="false">H6484*1000/Parametres!$B$9</f>
        <v>1172.12141767</v>
      </c>
    </row>
    <row r="6485" customFormat="false" ht="15" hidden="false" customHeight="false" outlineLevel="0" collapsed="false">
      <c r="A6485" s="0" t="n">
        <v>6481</v>
      </c>
      <c r="B6485" s="0" t="n">
        <v>9</v>
      </c>
      <c r="C6485" s="19" t="n">
        <v>0</v>
      </c>
      <c r="D6485" s="19" t="n">
        <v>0.2754</v>
      </c>
      <c r="E6485" s="20" t="n">
        <f aca="false">Parametres!$B$5*C6485</f>
        <v>0</v>
      </c>
      <c r="F6485" s="20" t="n">
        <f aca="false">Parametres!$B$6*D6485</f>
        <v>55.08</v>
      </c>
      <c r="G6485" s="20" t="n">
        <f aca="false">E6485+F6485</f>
        <v>55.08</v>
      </c>
      <c r="H6485" s="20" t="n">
        <f aca="false">IF(G6485&lt;Parametres!$B$8*Parametres!$B$7,0,MIN(G6485,Parametres!$B$7))</f>
        <v>55.08</v>
      </c>
      <c r="I6485" s="20" t="n">
        <f aca="false">G6485-H6485</f>
        <v>0</v>
      </c>
      <c r="J6485" s="21" t="n">
        <f aca="false">H6485*1000/Parametres!$B$9</f>
        <v>934.034254705783</v>
      </c>
    </row>
    <row r="6486" customFormat="false" ht="15" hidden="false" customHeight="false" outlineLevel="0" collapsed="false">
      <c r="A6486" s="0" t="n">
        <v>6482</v>
      </c>
      <c r="B6486" s="0" t="n">
        <v>9</v>
      </c>
      <c r="C6486" s="19" t="n">
        <v>0</v>
      </c>
      <c r="D6486" s="19" t="n">
        <v>0.2651</v>
      </c>
      <c r="E6486" s="20" t="n">
        <f aca="false">Parametres!$B$5*C6486</f>
        <v>0</v>
      </c>
      <c r="F6486" s="20" t="n">
        <f aca="false">Parametres!$B$6*D6486</f>
        <v>53.02</v>
      </c>
      <c r="G6486" s="20" t="n">
        <f aca="false">E6486+F6486</f>
        <v>53.02</v>
      </c>
      <c r="H6486" s="20" t="n">
        <f aca="false">IF(G6486&lt;Parametres!$B$8*Parametres!$B$7,0,MIN(G6486,Parametres!$B$7))</f>
        <v>53.02</v>
      </c>
      <c r="I6486" s="20" t="n">
        <f aca="false">G6486-H6486</f>
        <v>0</v>
      </c>
      <c r="J6486" s="21" t="n">
        <f aca="false">H6486*1000/Parametres!$B$9</f>
        <v>899.101237917585</v>
      </c>
    </row>
    <row r="6487" customFormat="false" ht="15" hidden="false" customHeight="false" outlineLevel="0" collapsed="false">
      <c r="A6487" s="0" t="n">
        <v>6483</v>
      </c>
      <c r="B6487" s="0" t="n">
        <v>9</v>
      </c>
      <c r="C6487" s="19" t="n">
        <v>0</v>
      </c>
      <c r="D6487" s="19" t="n">
        <v>0.2949</v>
      </c>
      <c r="E6487" s="20" t="n">
        <f aca="false">Parametres!$B$5*C6487</f>
        <v>0</v>
      </c>
      <c r="F6487" s="20" t="n">
        <f aca="false">Parametres!$B$6*D6487</f>
        <v>58.98</v>
      </c>
      <c r="G6487" s="20" t="n">
        <f aca="false">E6487+F6487</f>
        <v>58.98</v>
      </c>
      <c r="H6487" s="20" t="n">
        <f aca="false">IF(G6487&lt;Parametres!$B$8*Parametres!$B$7,0,MIN(G6487,Parametres!$B$7))</f>
        <v>58.98</v>
      </c>
      <c r="I6487" s="20" t="n">
        <f aca="false">G6487-H6487</f>
        <v>0</v>
      </c>
      <c r="J6487" s="21" t="n">
        <f aca="false">H6487*1000/Parametres!$B$9</f>
        <v>1000.1695777514</v>
      </c>
    </row>
    <row r="6488" customFormat="false" ht="15" hidden="false" customHeight="false" outlineLevel="0" collapsed="false">
      <c r="A6488" s="0" t="n">
        <v>6484</v>
      </c>
      <c r="B6488" s="0" t="n">
        <v>9</v>
      </c>
      <c r="C6488" s="19" t="n">
        <v>0</v>
      </c>
      <c r="D6488" s="19" t="n">
        <v>0.3087</v>
      </c>
      <c r="E6488" s="20" t="n">
        <f aca="false">Parametres!$B$5*C6488</f>
        <v>0</v>
      </c>
      <c r="F6488" s="20" t="n">
        <f aca="false">Parametres!$B$6*D6488</f>
        <v>61.74</v>
      </c>
      <c r="G6488" s="20" t="n">
        <f aca="false">E6488+F6488</f>
        <v>61.74</v>
      </c>
      <c r="H6488" s="20" t="n">
        <f aca="false">IF(G6488&lt;Parametres!$B$8*Parametres!$B$7,0,MIN(G6488,Parametres!$B$7))</f>
        <v>61.74</v>
      </c>
      <c r="I6488" s="20" t="n">
        <f aca="false">G6488-H6488</f>
        <v>0</v>
      </c>
      <c r="J6488" s="21" t="n">
        <f aca="false">H6488*1000/Parametres!$B$9</f>
        <v>1046.97303713753</v>
      </c>
    </row>
    <row r="6489" customFormat="false" ht="15" hidden="false" customHeight="false" outlineLevel="0" collapsed="false">
      <c r="A6489" s="0" t="n">
        <v>6485</v>
      </c>
      <c r="B6489" s="0" t="n">
        <v>9</v>
      </c>
      <c r="C6489" s="19" t="n">
        <v>0</v>
      </c>
      <c r="D6489" s="19" t="n">
        <v>0.3048</v>
      </c>
      <c r="E6489" s="20" t="n">
        <f aca="false">Parametres!$B$5*C6489</f>
        <v>0</v>
      </c>
      <c r="F6489" s="20" t="n">
        <f aca="false">Parametres!$B$6*D6489</f>
        <v>60.96</v>
      </c>
      <c r="G6489" s="20" t="n">
        <f aca="false">E6489+F6489</f>
        <v>60.96</v>
      </c>
      <c r="H6489" s="20" t="n">
        <f aca="false">IF(G6489&lt;Parametres!$B$8*Parametres!$B$7,0,MIN(G6489,Parametres!$B$7))</f>
        <v>60.96</v>
      </c>
      <c r="I6489" s="20" t="n">
        <f aca="false">G6489-H6489</f>
        <v>0</v>
      </c>
      <c r="J6489" s="21" t="n">
        <f aca="false">H6489*1000/Parametres!$B$9</f>
        <v>1033.7459725284</v>
      </c>
    </row>
    <row r="6490" customFormat="false" ht="15" hidden="false" customHeight="false" outlineLevel="0" collapsed="false">
      <c r="A6490" s="0" t="n">
        <v>6486</v>
      </c>
      <c r="B6490" s="0" t="n">
        <v>9</v>
      </c>
      <c r="C6490" s="19" t="n">
        <v>0</v>
      </c>
      <c r="D6490" s="19" t="n">
        <v>0.2555</v>
      </c>
      <c r="E6490" s="20" t="n">
        <f aca="false">Parametres!$B$5*C6490</f>
        <v>0</v>
      </c>
      <c r="F6490" s="20" t="n">
        <f aca="false">Parametres!$B$6*D6490</f>
        <v>51.1</v>
      </c>
      <c r="G6490" s="20" t="n">
        <f aca="false">E6490+F6490</f>
        <v>51.1</v>
      </c>
      <c r="H6490" s="20" t="n">
        <f aca="false">IF(G6490&lt;Parametres!$B$8*Parametres!$B$7,0,MIN(G6490,Parametres!$B$7))</f>
        <v>51.1</v>
      </c>
      <c r="I6490" s="20" t="n">
        <f aca="false">G6490-H6490</f>
        <v>0</v>
      </c>
      <c r="J6490" s="21" t="n">
        <f aca="false">H6490*1000/Parametres!$B$9</f>
        <v>866.542309648974</v>
      </c>
    </row>
    <row r="6491" customFormat="false" ht="15" hidden="false" customHeight="false" outlineLevel="0" collapsed="false">
      <c r="A6491" s="0" t="n">
        <v>6487</v>
      </c>
      <c r="B6491" s="0" t="n">
        <v>9</v>
      </c>
      <c r="C6491" s="19" t="n">
        <v>0.0792</v>
      </c>
      <c r="D6491" s="19" t="n">
        <v>0.2382</v>
      </c>
      <c r="E6491" s="20" t="n">
        <f aca="false">Parametres!$B$5*C6491</f>
        <v>23.76</v>
      </c>
      <c r="F6491" s="20" t="n">
        <f aca="false">Parametres!$B$6*D6491</f>
        <v>47.64</v>
      </c>
      <c r="G6491" s="20" t="n">
        <f aca="false">E6491+F6491</f>
        <v>71.4</v>
      </c>
      <c r="H6491" s="20" t="n">
        <f aca="false">IF(G6491&lt;Parametres!$B$8*Parametres!$B$7,0,MIN(G6491,Parametres!$B$7))</f>
        <v>71.4</v>
      </c>
      <c r="I6491" s="20" t="n">
        <f aca="false">G6491-H6491</f>
        <v>0</v>
      </c>
      <c r="J6491" s="21" t="n">
        <f aca="false">H6491*1000/Parametres!$B$9</f>
        <v>1210.78514498898</v>
      </c>
    </row>
    <row r="6492" customFormat="false" ht="15" hidden="false" customHeight="false" outlineLevel="0" collapsed="false">
      <c r="A6492" s="0" t="n">
        <v>6488</v>
      </c>
      <c r="B6492" s="0" t="n">
        <v>9</v>
      </c>
      <c r="C6492" s="19" t="n">
        <v>0.311</v>
      </c>
      <c r="D6492" s="19" t="n">
        <v>0.2431</v>
      </c>
      <c r="E6492" s="20" t="n">
        <f aca="false">Parametres!$B$5*C6492</f>
        <v>93.3</v>
      </c>
      <c r="F6492" s="20" t="n">
        <f aca="false">Parametres!$B$6*D6492</f>
        <v>48.62</v>
      </c>
      <c r="G6492" s="20" t="n">
        <f aca="false">E6492+F6492</f>
        <v>141.92</v>
      </c>
      <c r="H6492" s="20" t="n">
        <f aca="false">IF(G6492&lt;Parametres!$B$8*Parametres!$B$7,0,MIN(G6492,Parametres!$B$7))</f>
        <v>141.92</v>
      </c>
      <c r="I6492" s="20" t="n">
        <f aca="false">G6492-H6492</f>
        <v>0</v>
      </c>
      <c r="J6492" s="21" t="n">
        <f aca="false">H6492*1000/Parametres!$B$9</f>
        <v>2406.64744785484</v>
      </c>
    </row>
    <row r="6493" customFormat="false" ht="15" hidden="false" customHeight="false" outlineLevel="0" collapsed="false">
      <c r="A6493" s="0" t="n">
        <v>6489</v>
      </c>
      <c r="B6493" s="0" t="n">
        <v>9</v>
      </c>
      <c r="C6493" s="19" t="n">
        <v>0.5287</v>
      </c>
      <c r="D6493" s="19" t="n">
        <v>0.443</v>
      </c>
      <c r="E6493" s="20" t="n">
        <f aca="false">Parametres!$B$5*C6493</f>
        <v>158.61</v>
      </c>
      <c r="F6493" s="20" t="n">
        <f aca="false">Parametres!$B$6*D6493</f>
        <v>88.6</v>
      </c>
      <c r="G6493" s="20" t="n">
        <f aca="false">E6493+F6493</f>
        <v>247.21</v>
      </c>
      <c r="H6493" s="20" t="n">
        <f aca="false">IF(G6493&lt;Parametres!$B$8*Parametres!$B$7,0,MIN(G6493,Parametres!$B$7))</f>
        <v>247.21</v>
      </c>
      <c r="I6493" s="20" t="n">
        <f aca="false">G6493-H6493</f>
        <v>0</v>
      </c>
      <c r="J6493" s="21" t="n">
        <f aca="false">H6493*1000/Parametres!$B$9</f>
        <v>4192.13159233509</v>
      </c>
    </row>
    <row r="6494" customFormat="false" ht="15" hidden="false" customHeight="false" outlineLevel="0" collapsed="false">
      <c r="A6494" s="0" t="n">
        <v>6490</v>
      </c>
      <c r="B6494" s="0" t="n">
        <v>9</v>
      </c>
      <c r="C6494" s="19" t="n">
        <v>0.7872</v>
      </c>
      <c r="D6494" s="19" t="n">
        <v>0.3025</v>
      </c>
      <c r="E6494" s="20" t="n">
        <f aca="false">Parametres!$B$5*C6494</f>
        <v>236.16</v>
      </c>
      <c r="F6494" s="20" t="n">
        <f aca="false">Parametres!$B$6*D6494</f>
        <v>60.5</v>
      </c>
      <c r="G6494" s="20" t="n">
        <f aca="false">E6494+F6494</f>
        <v>296.66</v>
      </c>
      <c r="H6494" s="20" t="n">
        <f aca="false">IF(G6494&lt;Parametres!$B$8*Parametres!$B$7,0,MIN(G6494,Parametres!$B$7))</f>
        <v>250</v>
      </c>
      <c r="I6494" s="20" t="n">
        <f aca="false">G6494-H6494</f>
        <v>46.66</v>
      </c>
      <c r="J6494" s="21" t="n">
        <f aca="false">H6494*1000/Parametres!$B$9</f>
        <v>4239.44378497541</v>
      </c>
    </row>
    <row r="6495" customFormat="false" ht="15" hidden="false" customHeight="false" outlineLevel="0" collapsed="false">
      <c r="A6495" s="0" t="n">
        <v>6491</v>
      </c>
      <c r="B6495" s="0" t="n">
        <v>9</v>
      </c>
      <c r="C6495" s="19" t="n">
        <v>0.826</v>
      </c>
      <c r="D6495" s="19" t="n">
        <v>0.2933</v>
      </c>
      <c r="E6495" s="20" t="n">
        <f aca="false">Parametres!$B$5*C6495</f>
        <v>247.8</v>
      </c>
      <c r="F6495" s="20" t="n">
        <f aca="false">Parametres!$B$6*D6495</f>
        <v>58.66</v>
      </c>
      <c r="G6495" s="20" t="n">
        <f aca="false">E6495+F6495</f>
        <v>306.46</v>
      </c>
      <c r="H6495" s="20" t="n">
        <f aca="false">IF(G6495&lt;Parametres!$B$8*Parametres!$B$7,0,MIN(G6495,Parametres!$B$7))</f>
        <v>250</v>
      </c>
      <c r="I6495" s="20" t="n">
        <f aca="false">G6495-H6495</f>
        <v>56.46</v>
      </c>
      <c r="J6495" s="21" t="n">
        <f aca="false">H6495*1000/Parametres!$B$9</f>
        <v>4239.44378497541</v>
      </c>
    </row>
    <row r="6496" customFormat="false" ht="15" hidden="false" customHeight="false" outlineLevel="0" collapsed="false">
      <c r="A6496" s="0" t="n">
        <v>6492</v>
      </c>
      <c r="B6496" s="0" t="n">
        <v>9</v>
      </c>
      <c r="C6496" s="19" t="n">
        <v>0.959</v>
      </c>
      <c r="D6496" s="19" t="n">
        <v>0.2891</v>
      </c>
      <c r="E6496" s="20" t="n">
        <f aca="false">Parametres!$B$5*C6496</f>
        <v>287.7</v>
      </c>
      <c r="F6496" s="20" t="n">
        <f aca="false">Parametres!$B$6*D6496</f>
        <v>57.82</v>
      </c>
      <c r="G6496" s="20" t="n">
        <f aca="false">E6496+F6496</f>
        <v>345.52</v>
      </c>
      <c r="H6496" s="20" t="n">
        <f aca="false">IF(G6496&lt;Parametres!$B$8*Parametres!$B$7,0,MIN(G6496,Parametres!$B$7))</f>
        <v>250</v>
      </c>
      <c r="I6496" s="20" t="n">
        <f aca="false">G6496-H6496</f>
        <v>95.52</v>
      </c>
      <c r="J6496" s="21" t="n">
        <f aca="false">H6496*1000/Parametres!$B$9</f>
        <v>4239.44378497541</v>
      </c>
    </row>
    <row r="6497" customFormat="false" ht="15" hidden="false" customHeight="false" outlineLevel="0" collapsed="false">
      <c r="A6497" s="0" t="n">
        <v>6493</v>
      </c>
      <c r="B6497" s="0" t="n">
        <v>9</v>
      </c>
      <c r="C6497" s="19" t="n">
        <v>0.993</v>
      </c>
      <c r="D6497" s="19" t="n">
        <v>0.2357</v>
      </c>
      <c r="E6497" s="20" t="n">
        <f aca="false">Parametres!$B$5*C6497</f>
        <v>297.9</v>
      </c>
      <c r="F6497" s="20" t="n">
        <f aca="false">Parametres!$B$6*D6497</f>
        <v>47.14</v>
      </c>
      <c r="G6497" s="20" t="n">
        <f aca="false">E6497+F6497</f>
        <v>345.04</v>
      </c>
      <c r="H6497" s="20" t="n">
        <f aca="false">IF(G6497&lt;Parametres!$B$8*Parametres!$B$7,0,MIN(G6497,Parametres!$B$7))</f>
        <v>250</v>
      </c>
      <c r="I6497" s="20" t="n">
        <f aca="false">G6497-H6497</f>
        <v>95.04</v>
      </c>
      <c r="J6497" s="21" t="n">
        <f aca="false">H6497*1000/Parametres!$B$9</f>
        <v>4239.44378497541</v>
      </c>
    </row>
    <row r="6498" customFormat="false" ht="15" hidden="false" customHeight="false" outlineLevel="0" collapsed="false">
      <c r="A6498" s="0" t="n">
        <v>6494</v>
      </c>
      <c r="B6498" s="0" t="n">
        <v>9</v>
      </c>
      <c r="C6498" s="19" t="n">
        <v>0.8348</v>
      </c>
      <c r="D6498" s="19" t="n">
        <v>0.3745</v>
      </c>
      <c r="E6498" s="20" t="n">
        <f aca="false">Parametres!$B$5*C6498</f>
        <v>250.44</v>
      </c>
      <c r="F6498" s="20" t="n">
        <f aca="false">Parametres!$B$6*D6498</f>
        <v>74.9</v>
      </c>
      <c r="G6498" s="20" t="n">
        <f aca="false">E6498+F6498</f>
        <v>325.34</v>
      </c>
      <c r="H6498" s="20" t="n">
        <f aca="false">IF(G6498&lt;Parametres!$B$8*Parametres!$B$7,0,MIN(G6498,Parametres!$B$7))</f>
        <v>250</v>
      </c>
      <c r="I6498" s="20" t="n">
        <f aca="false">G6498-H6498</f>
        <v>75.34</v>
      </c>
      <c r="J6498" s="21" t="n">
        <f aca="false">H6498*1000/Parametres!$B$9</f>
        <v>4239.44378497541</v>
      </c>
    </row>
    <row r="6499" customFormat="false" ht="15" hidden="false" customHeight="false" outlineLevel="0" collapsed="false">
      <c r="A6499" s="0" t="n">
        <v>6495</v>
      </c>
      <c r="B6499" s="0" t="n">
        <v>9</v>
      </c>
      <c r="C6499" s="19" t="n">
        <v>0.7492</v>
      </c>
      <c r="D6499" s="19" t="n">
        <v>0.3664</v>
      </c>
      <c r="E6499" s="20" t="n">
        <f aca="false">Parametres!$B$5*C6499</f>
        <v>224.76</v>
      </c>
      <c r="F6499" s="20" t="n">
        <f aca="false">Parametres!$B$6*D6499</f>
        <v>73.28</v>
      </c>
      <c r="G6499" s="20" t="n">
        <f aca="false">E6499+F6499</f>
        <v>298.04</v>
      </c>
      <c r="H6499" s="20" t="n">
        <f aca="false">IF(G6499&lt;Parametres!$B$8*Parametres!$B$7,0,MIN(G6499,Parametres!$B$7))</f>
        <v>250</v>
      </c>
      <c r="I6499" s="20" t="n">
        <f aca="false">G6499-H6499</f>
        <v>48.04</v>
      </c>
      <c r="J6499" s="21" t="n">
        <f aca="false">H6499*1000/Parametres!$B$9</f>
        <v>4239.44378497541</v>
      </c>
    </row>
    <row r="6500" customFormat="false" ht="15" hidden="false" customHeight="false" outlineLevel="0" collapsed="false">
      <c r="A6500" s="0" t="n">
        <v>6496</v>
      </c>
      <c r="B6500" s="0" t="n">
        <v>9</v>
      </c>
      <c r="C6500" s="19" t="n">
        <v>0.5311</v>
      </c>
      <c r="D6500" s="19" t="n">
        <v>0.3055</v>
      </c>
      <c r="E6500" s="20" t="n">
        <f aca="false">Parametres!$B$5*C6500</f>
        <v>159.33</v>
      </c>
      <c r="F6500" s="20" t="n">
        <f aca="false">Parametres!$B$6*D6500</f>
        <v>61.1</v>
      </c>
      <c r="G6500" s="20" t="n">
        <f aca="false">E6500+F6500</f>
        <v>220.43</v>
      </c>
      <c r="H6500" s="20" t="n">
        <f aca="false">IF(G6500&lt;Parametres!$B$8*Parametres!$B$7,0,MIN(G6500,Parametres!$B$7))</f>
        <v>220.43</v>
      </c>
      <c r="I6500" s="20" t="n">
        <f aca="false">G6500-H6500</f>
        <v>0</v>
      </c>
      <c r="J6500" s="21" t="n">
        <f aca="false">H6500*1000/Parametres!$B$9</f>
        <v>3738.00237408852</v>
      </c>
    </row>
    <row r="6501" customFormat="false" ht="15" hidden="false" customHeight="false" outlineLevel="0" collapsed="false">
      <c r="A6501" s="0" t="n">
        <v>6497</v>
      </c>
      <c r="B6501" s="0" t="n">
        <v>9</v>
      </c>
      <c r="C6501" s="19" t="n">
        <v>0.3253</v>
      </c>
      <c r="D6501" s="19" t="n">
        <v>0.2436</v>
      </c>
      <c r="E6501" s="20" t="n">
        <f aca="false">Parametres!$B$5*C6501</f>
        <v>97.59</v>
      </c>
      <c r="F6501" s="20" t="n">
        <f aca="false">Parametres!$B$6*D6501</f>
        <v>48.72</v>
      </c>
      <c r="G6501" s="20" t="n">
        <f aca="false">E6501+F6501</f>
        <v>146.31</v>
      </c>
      <c r="H6501" s="20" t="n">
        <f aca="false">IF(G6501&lt;Parametres!$B$8*Parametres!$B$7,0,MIN(G6501,Parametres!$B$7))</f>
        <v>146.31</v>
      </c>
      <c r="I6501" s="20" t="n">
        <f aca="false">G6501-H6501</f>
        <v>0</v>
      </c>
      <c r="J6501" s="21" t="n">
        <f aca="false">H6501*1000/Parametres!$B$9</f>
        <v>2481.09208071901</v>
      </c>
    </row>
    <row r="6502" customFormat="false" ht="15" hidden="false" customHeight="false" outlineLevel="0" collapsed="false">
      <c r="A6502" s="0" t="n">
        <v>6498</v>
      </c>
      <c r="B6502" s="0" t="n">
        <v>9</v>
      </c>
      <c r="C6502" s="19" t="n">
        <v>0.0781</v>
      </c>
      <c r="D6502" s="19" t="n">
        <v>0.3516</v>
      </c>
      <c r="E6502" s="20" t="n">
        <f aca="false">Parametres!$B$5*C6502</f>
        <v>23.43</v>
      </c>
      <c r="F6502" s="20" t="n">
        <f aca="false">Parametres!$B$6*D6502</f>
        <v>70.32</v>
      </c>
      <c r="G6502" s="20" t="n">
        <f aca="false">E6502+F6502</f>
        <v>93.75</v>
      </c>
      <c r="H6502" s="20" t="n">
        <f aca="false">IF(G6502&lt;Parametres!$B$8*Parametres!$B$7,0,MIN(G6502,Parametres!$B$7))</f>
        <v>93.75</v>
      </c>
      <c r="I6502" s="20" t="n">
        <f aca="false">G6502-H6502</f>
        <v>0</v>
      </c>
      <c r="J6502" s="21" t="n">
        <f aca="false">H6502*1000/Parametres!$B$9</f>
        <v>1589.79141936578</v>
      </c>
    </row>
    <row r="6503" customFormat="false" ht="15" hidden="false" customHeight="false" outlineLevel="0" collapsed="false">
      <c r="A6503" s="0" t="n">
        <v>6499</v>
      </c>
      <c r="B6503" s="0" t="n">
        <v>9</v>
      </c>
      <c r="C6503" s="19" t="n">
        <v>0</v>
      </c>
      <c r="D6503" s="19" t="n">
        <v>0.4094</v>
      </c>
      <c r="E6503" s="20" t="n">
        <f aca="false">Parametres!$B$5*C6503</f>
        <v>0</v>
      </c>
      <c r="F6503" s="20" t="n">
        <f aca="false">Parametres!$B$6*D6503</f>
        <v>81.88</v>
      </c>
      <c r="G6503" s="20" t="n">
        <f aca="false">E6503+F6503</f>
        <v>81.88</v>
      </c>
      <c r="H6503" s="20" t="n">
        <f aca="false">IF(G6503&lt;Parametres!$B$8*Parametres!$B$7,0,MIN(G6503,Parametres!$B$7))</f>
        <v>81.88</v>
      </c>
      <c r="I6503" s="20" t="n">
        <f aca="false">G6503-H6503</f>
        <v>0</v>
      </c>
      <c r="J6503" s="21" t="n">
        <f aca="false">H6503*1000/Parametres!$B$9</f>
        <v>1388.50262845515</v>
      </c>
    </row>
    <row r="6504" customFormat="false" ht="15" hidden="false" customHeight="false" outlineLevel="0" collapsed="false">
      <c r="A6504" s="0" t="n">
        <v>6500</v>
      </c>
      <c r="B6504" s="0" t="n">
        <v>9</v>
      </c>
      <c r="C6504" s="19" t="n">
        <v>0</v>
      </c>
      <c r="D6504" s="19" t="n">
        <v>0.3082</v>
      </c>
      <c r="E6504" s="20" t="n">
        <f aca="false">Parametres!$B$5*C6504</f>
        <v>0</v>
      </c>
      <c r="F6504" s="20" t="n">
        <f aca="false">Parametres!$B$6*D6504</f>
        <v>61.64</v>
      </c>
      <c r="G6504" s="20" t="n">
        <f aca="false">E6504+F6504</f>
        <v>61.64</v>
      </c>
      <c r="H6504" s="20" t="n">
        <f aca="false">IF(G6504&lt;Parametres!$B$8*Parametres!$B$7,0,MIN(G6504,Parametres!$B$7))</f>
        <v>61.64</v>
      </c>
      <c r="I6504" s="20" t="n">
        <f aca="false">G6504-H6504</f>
        <v>0</v>
      </c>
      <c r="J6504" s="21" t="n">
        <f aca="false">H6504*1000/Parametres!$B$9</f>
        <v>1045.27725962354</v>
      </c>
    </row>
    <row r="6505" customFormat="false" ht="15" hidden="false" customHeight="false" outlineLevel="0" collapsed="false">
      <c r="A6505" s="0" t="n">
        <v>6501</v>
      </c>
      <c r="B6505" s="0" t="n">
        <v>9</v>
      </c>
      <c r="C6505" s="19" t="n">
        <v>0</v>
      </c>
      <c r="D6505" s="19" t="n">
        <v>0.3224</v>
      </c>
      <c r="E6505" s="20" t="n">
        <f aca="false">Parametres!$B$5*C6505</f>
        <v>0</v>
      </c>
      <c r="F6505" s="20" t="n">
        <f aca="false">Parametres!$B$6*D6505</f>
        <v>64.48</v>
      </c>
      <c r="G6505" s="20" t="n">
        <f aca="false">E6505+F6505</f>
        <v>64.48</v>
      </c>
      <c r="H6505" s="20" t="n">
        <f aca="false">IF(G6505&lt;Parametres!$B$8*Parametres!$B$7,0,MIN(G6505,Parametres!$B$7))</f>
        <v>64.48</v>
      </c>
      <c r="I6505" s="20" t="n">
        <f aca="false">G6505-H6505</f>
        <v>0</v>
      </c>
      <c r="J6505" s="21" t="n">
        <f aca="false">H6505*1000/Parametres!$B$9</f>
        <v>1093.43734102086</v>
      </c>
    </row>
    <row r="6506" customFormat="false" ht="15" hidden="false" customHeight="false" outlineLevel="0" collapsed="false">
      <c r="A6506" s="0" t="n">
        <v>6502</v>
      </c>
      <c r="B6506" s="0" t="n">
        <v>9</v>
      </c>
      <c r="C6506" s="19" t="n">
        <v>0</v>
      </c>
      <c r="D6506" s="19" t="n">
        <v>0.2975</v>
      </c>
      <c r="E6506" s="20" t="n">
        <f aca="false">Parametres!$B$5*C6506</f>
        <v>0</v>
      </c>
      <c r="F6506" s="20" t="n">
        <f aca="false">Parametres!$B$6*D6506</f>
        <v>59.5</v>
      </c>
      <c r="G6506" s="20" t="n">
        <f aca="false">E6506+F6506</f>
        <v>59.5</v>
      </c>
      <c r="H6506" s="20" t="n">
        <f aca="false">IF(G6506&lt;Parametres!$B$8*Parametres!$B$7,0,MIN(G6506,Parametres!$B$7))</f>
        <v>59.5</v>
      </c>
      <c r="I6506" s="20" t="n">
        <f aca="false">G6506-H6506</f>
        <v>0</v>
      </c>
      <c r="J6506" s="21" t="n">
        <f aca="false">H6506*1000/Parametres!$B$9</f>
        <v>1008.98762082415</v>
      </c>
    </row>
    <row r="6507" customFormat="false" ht="15" hidden="false" customHeight="false" outlineLevel="0" collapsed="false">
      <c r="A6507" s="0" t="n">
        <v>6503</v>
      </c>
      <c r="B6507" s="0" t="n">
        <v>9</v>
      </c>
      <c r="C6507" s="19" t="n">
        <v>0</v>
      </c>
      <c r="D6507" s="19" t="n">
        <v>0.4491</v>
      </c>
      <c r="E6507" s="20" t="n">
        <f aca="false">Parametres!$B$5*C6507</f>
        <v>0</v>
      </c>
      <c r="F6507" s="20" t="n">
        <f aca="false">Parametres!$B$6*D6507</f>
        <v>89.82</v>
      </c>
      <c r="G6507" s="20" t="n">
        <f aca="false">E6507+F6507</f>
        <v>89.82</v>
      </c>
      <c r="H6507" s="20" t="n">
        <f aca="false">IF(G6507&lt;Parametres!$B$8*Parametres!$B$7,0,MIN(G6507,Parametres!$B$7))</f>
        <v>89.82</v>
      </c>
      <c r="I6507" s="20" t="n">
        <f aca="false">G6507-H6507</f>
        <v>0</v>
      </c>
      <c r="J6507" s="21" t="n">
        <f aca="false">H6507*1000/Parametres!$B$9</f>
        <v>1523.14736306597</v>
      </c>
    </row>
    <row r="6508" customFormat="false" ht="15" hidden="false" customHeight="false" outlineLevel="0" collapsed="false">
      <c r="A6508" s="0" t="n">
        <v>6504</v>
      </c>
      <c r="B6508" s="0" t="n">
        <v>9</v>
      </c>
      <c r="C6508" s="19" t="n">
        <v>0</v>
      </c>
      <c r="D6508" s="19" t="n">
        <v>0.2611</v>
      </c>
      <c r="E6508" s="20" t="n">
        <f aca="false">Parametres!$B$5*C6508</f>
        <v>0</v>
      </c>
      <c r="F6508" s="20" t="n">
        <f aca="false">Parametres!$B$6*D6508</f>
        <v>52.22</v>
      </c>
      <c r="G6508" s="20" t="n">
        <f aca="false">E6508+F6508</f>
        <v>52.22</v>
      </c>
      <c r="H6508" s="20" t="n">
        <f aca="false">IF(G6508&lt;Parametres!$B$8*Parametres!$B$7,0,MIN(G6508,Parametres!$B$7))</f>
        <v>52.22</v>
      </c>
      <c r="I6508" s="20" t="n">
        <f aca="false">G6508-H6508</f>
        <v>0</v>
      </c>
      <c r="J6508" s="21" t="n">
        <f aca="false">H6508*1000/Parametres!$B$9</f>
        <v>885.535017805664</v>
      </c>
    </row>
    <row r="6509" customFormat="false" ht="15" hidden="false" customHeight="false" outlineLevel="0" collapsed="false">
      <c r="A6509" s="0" t="n">
        <v>6505</v>
      </c>
      <c r="B6509" s="0" t="n">
        <v>9</v>
      </c>
      <c r="C6509" s="19" t="n">
        <v>0</v>
      </c>
      <c r="D6509" s="19" t="n">
        <v>0.0956</v>
      </c>
      <c r="E6509" s="20" t="n">
        <f aca="false">Parametres!$B$5*C6509</f>
        <v>0</v>
      </c>
      <c r="F6509" s="20" t="n">
        <f aca="false">Parametres!$B$6*D6509</f>
        <v>19.12</v>
      </c>
      <c r="G6509" s="20" t="n">
        <f aca="false">E6509+F6509</f>
        <v>19.12</v>
      </c>
      <c r="H6509" s="20" t="n">
        <f aca="false">IF(G6509&lt;Parametres!$B$8*Parametres!$B$7,0,MIN(G6509,Parametres!$B$7))</f>
        <v>0</v>
      </c>
      <c r="I6509" s="20" t="n">
        <f aca="false">G6509-H6509</f>
        <v>19.12</v>
      </c>
      <c r="J6509" s="21" t="n">
        <f aca="false">H6509*1000/Parametres!$B$9</f>
        <v>0</v>
      </c>
    </row>
    <row r="6510" customFormat="false" ht="15" hidden="false" customHeight="false" outlineLevel="0" collapsed="false">
      <c r="A6510" s="0" t="n">
        <v>6506</v>
      </c>
      <c r="B6510" s="0" t="n">
        <v>9</v>
      </c>
      <c r="C6510" s="19" t="n">
        <v>0</v>
      </c>
      <c r="D6510" s="19" t="n">
        <v>0.0666</v>
      </c>
      <c r="E6510" s="20" t="n">
        <f aca="false">Parametres!$B$5*C6510</f>
        <v>0</v>
      </c>
      <c r="F6510" s="20" t="n">
        <f aca="false">Parametres!$B$6*D6510</f>
        <v>13.32</v>
      </c>
      <c r="G6510" s="20" t="n">
        <f aca="false">E6510+F6510</f>
        <v>13.32</v>
      </c>
      <c r="H6510" s="20" t="n">
        <f aca="false">IF(G6510&lt;Parametres!$B$8*Parametres!$B$7,0,MIN(G6510,Parametres!$B$7))</f>
        <v>0</v>
      </c>
      <c r="I6510" s="20" t="n">
        <f aca="false">G6510-H6510</f>
        <v>13.32</v>
      </c>
      <c r="J6510" s="21" t="n">
        <f aca="false">H6510*1000/Parametres!$B$9</f>
        <v>0</v>
      </c>
    </row>
    <row r="6511" customFormat="false" ht="15" hidden="false" customHeight="false" outlineLevel="0" collapsed="false">
      <c r="A6511" s="0" t="n">
        <v>6507</v>
      </c>
      <c r="B6511" s="0" t="n">
        <v>9</v>
      </c>
      <c r="C6511" s="19" t="n">
        <v>0</v>
      </c>
      <c r="D6511" s="19" t="n">
        <v>0.04</v>
      </c>
      <c r="E6511" s="20" t="n">
        <f aca="false">Parametres!$B$5*C6511</f>
        <v>0</v>
      </c>
      <c r="F6511" s="20" t="n">
        <f aca="false">Parametres!$B$6*D6511</f>
        <v>8</v>
      </c>
      <c r="G6511" s="20" t="n">
        <f aca="false">E6511+F6511</f>
        <v>8</v>
      </c>
      <c r="H6511" s="20" t="n">
        <f aca="false">IF(G6511&lt;Parametres!$B$8*Parametres!$B$7,0,MIN(G6511,Parametres!$B$7))</f>
        <v>0</v>
      </c>
      <c r="I6511" s="20" t="n">
        <f aca="false">G6511-H6511</f>
        <v>8</v>
      </c>
      <c r="J6511" s="21" t="n">
        <f aca="false">H6511*1000/Parametres!$B$9</f>
        <v>0</v>
      </c>
    </row>
    <row r="6512" customFormat="false" ht="15" hidden="false" customHeight="false" outlineLevel="0" collapsed="false">
      <c r="A6512" s="0" t="n">
        <v>6508</v>
      </c>
      <c r="B6512" s="0" t="n">
        <v>9</v>
      </c>
      <c r="C6512" s="19" t="n">
        <v>0</v>
      </c>
      <c r="D6512" s="19" t="n">
        <v>0.0213</v>
      </c>
      <c r="E6512" s="20" t="n">
        <f aca="false">Parametres!$B$5*C6512</f>
        <v>0</v>
      </c>
      <c r="F6512" s="20" t="n">
        <f aca="false">Parametres!$B$6*D6512</f>
        <v>4.26</v>
      </c>
      <c r="G6512" s="20" t="n">
        <f aca="false">E6512+F6512</f>
        <v>4.26</v>
      </c>
      <c r="H6512" s="20" t="n">
        <f aca="false">IF(G6512&lt;Parametres!$B$8*Parametres!$B$7,0,MIN(G6512,Parametres!$B$7))</f>
        <v>0</v>
      </c>
      <c r="I6512" s="20" t="n">
        <f aca="false">G6512-H6512</f>
        <v>4.26</v>
      </c>
      <c r="J6512" s="21" t="n">
        <f aca="false">H6512*1000/Parametres!$B$9</f>
        <v>0</v>
      </c>
    </row>
    <row r="6513" customFormat="false" ht="15" hidden="false" customHeight="false" outlineLevel="0" collapsed="false">
      <c r="A6513" s="0" t="n">
        <v>6509</v>
      </c>
      <c r="B6513" s="0" t="n">
        <v>9</v>
      </c>
      <c r="C6513" s="19" t="n">
        <v>0</v>
      </c>
      <c r="D6513" s="19" t="n">
        <v>0.0203</v>
      </c>
      <c r="E6513" s="20" t="n">
        <f aca="false">Parametres!$B$5*C6513</f>
        <v>0</v>
      </c>
      <c r="F6513" s="20" t="n">
        <f aca="false">Parametres!$B$6*D6513</f>
        <v>4.06</v>
      </c>
      <c r="G6513" s="20" t="n">
        <f aca="false">E6513+F6513</f>
        <v>4.06</v>
      </c>
      <c r="H6513" s="20" t="n">
        <f aca="false">IF(G6513&lt;Parametres!$B$8*Parametres!$B$7,0,MIN(G6513,Parametres!$B$7))</f>
        <v>0</v>
      </c>
      <c r="I6513" s="20" t="n">
        <f aca="false">G6513-H6513</f>
        <v>4.06</v>
      </c>
      <c r="J6513" s="21" t="n">
        <f aca="false">H6513*1000/Parametres!$B$9</f>
        <v>0</v>
      </c>
    </row>
    <row r="6514" customFormat="false" ht="15" hidden="false" customHeight="false" outlineLevel="0" collapsed="false">
      <c r="A6514" s="0" t="n">
        <v>6510</v>
      </c>
      <c r="B6514" s="0" t="n">
        <v>9</v>
      </c>
      <c r="C6514" s="19" t="n">
        <v>0</v>
      </c>
      <c r="D6514" s="19" t="n">
        <v>0.0265</v>
      </c>
      <c r="E6514" s="20" t="n">
        <f aca="false">Parametres!$B$5*C6514</f>
        <v>0</v>
      </c>
      <c r="F6514" s="20" t="n">
        <f aca="false">Parametres!$B$6*D6514</f>
        <v>5.3</v>
      </c>
      <c r="G6514" s="20" t="n">
        <f aca="false">E6514+F6514</f>
        <v>5.3</v>
      </c>
      <c r="H6514" s="20" t="n">
        <f aca="false">IF(G6514&lt;Parametres!$B$8*Parametres!$B$7,0,MIN(G6514,Parametres!$B$7))</f>
        <v>0</v>
      </c>
      <c r="I6514" s="20" t="n">
        <f aca="false">G6514-H6514</f>
        <v>5.3</v>
      </c>
      <c r="J6514" s="21" t="n">
        <f aca="false">H6514*1000/Parametres!$B$9</f>
        <v>0</v>
      </c>
    </row>
    <row r="6515" customFormat="false" ht="15" hidden="false" customHeight="false" outlineLevel="0" collapsed="false">
      <c r="A6515" s="0" t="n">
        <v>6511</v>
      </c>
      <c r="B6515" s="0" t="n">
        <v>9</v>
      </c>
      <c r="C6515" s="19" t="n">
        <v>0.0853</v>
      </c>
      <c r="D6515" s="19" t="n">
        <v>0.0342</v>
      </c>
      <c r="E6515" s="20" t="n">
        <f aca="false">Parametres!$B$5*C6515</f>
        <v>25.59</v>
      </c>
      <c r="F6515" s="20" t="n">
        <f aca="false">Parametres!$B$6*D6515</f>
        <v>6.84</v>
      </c>
      <c r="G6515" s="20" t="n">
        <f aca="false">E6515+F6515</f>
        <v>32.43</v>
      </c>
      <c r="H6515" s="20" t="n">
        <f aca="false">IF(G6515&lt;Parametres!$B$8*Parametres!$B$7,0,MIN(G6515,Parametres!$B$7))</f>
        <v>32.43</v>
      </c>
      <c r="I6515" s="20" t="n">
        <f aca="false">G6515-H6515</f>
        <v>0</v>
      </c>
      <c r="J6515" s="21" t="n">
        <f aca="false">H6515*1000/Parametres!$B$9</f>
        <v>549.94064778701</v>
      </c>
    </row>
    <row r="6516" customFormat="false" ht="15" hidden="false" customHeight="false" outlineLevel="0" collapsed="false">
      <c r="A6516" s="0" t="n">
        <v>6512</v>
      </c>
      <c r="B6516" s="0" t="n">
        <v>9</v>
      </c>
      <c r="C6516" s="19" t="n">
        <v>0.3238</v>
      </c>
      <c r="D6516" s="19" t="n">
        <v>0.0441</v>
      </c>
      <c r="E6516" s="20" t="n">
        <f aca="false">Parametres!$B$5*C6516</f>
        <v>97.14</v>
      </c>
      <c r="F6516" s="20" t="n">
        <f aca="false">Parametres!$B$6*D6516</f>
        <v>8.82</v>
      </c>
      <c r="G6516" s="20" t="n">
        <f aca="false">E6516+F6516</f>
        <v>105.96</v>
      </c>
      <c r="H6516" s="20" t="n">
        <f aca="false">IF(G6516&lt;Parametres!$B$8*Parametres!$B$7,0,MIN(G6516,Parametres!$B$7))</f>
        <v>105.96</v>
      </c>
      <c r="I6516" s="20" t="n">
        <f aca="false">G6516-H6516</f>
        <v>0</v>
      </c>
      <c r="J6516" s="21" t="n">
        <f aca="false">H6516*1000/Parametres!$B$9</f>
        <v>1796.84585382398</v>
      </c>
    </row>
    <row r="6517" customFormat="false" ht="15" hidden="false" customHeight="false" outlineLevel="0" collapsed="false">
      <c r="A6517" s="0" t="n">
        <v>6513</v>
      </c>
      <c r="B6517" s="0" t="n">
        <v>9</v>
      </c>
      <c r="C6517" s="19" t="n">
        <v>0.5401</v>
      </c>
      <c r="D6517" s="19" t="n">
        <v>0.0328</v>
      </c>
      <c r="E6517" s="20" t="n">
        <f aca="false">Parametres!$B$5*C6517</f>
        <v>162.03</v>
      </c>
      <c r="F6517" s="20" t="n">
        <f aca="false">Parametres!$B$6*D6517</f>
        <v>6.56</v>
      </c>
      <c r="G6517" s="20" t="n">
        <f aca="false">E6517+F6517</f>
        <v>168.59</v>
      </c>
      <c r="H6517" s="20" t="n">
        <f aca="false">IF(G6517&lt;Parametres!$B$8*Parametres!$B$7,0,MIN(G6517,Parametres!$B$7))</f>
        <v>168.59</v>
      </c>
      <c r="I6517" s="20" t="n">
        <f aca="false">G6517-H6517</f>
        <v>0</v>
      </c>
      <c r="J6517" s="21" t="n">
        <f aca="false">H6517*1000/Parametres!$B$9</f>
        <v>2858.91131083602</v>
      </c>
    </row>
    <row r="6518" customFormat="false" ht="15" hidden="false" customHeight="false" outlineLevel="0" collapsed="false">
      <c r="A6518" s="0" t="n">
        <v>6514</v>
      </c>
      <c r="B6518" s="0" t="n">
        <v>9</v>
      </c>
      <c r="C6518" s="19" t="n">
        <v>0.9055</v>
      </c>
      <c r="D6518" s="19" t="n">
        <v>0.105</v>
      </c>
      <c r="E6518" s="20" t="n">
        <f aca="false">Parametres!$B$5*C6518</f>
        <v>271.65</v>
      </c>
      <c r="F6518" s="20" t="n">
        <f aca="false">Parametres!$B$6*D6518</f>
        <v>21</v>
      </c>
      <c r="G6518" s="20" t="n">
        <f aca="false">E6518+F6518</f>
        <v>292.65</v>
      </c>
      <c r="H6518" s="20" t="n">
        <f aca="false">IF(G6518&lt;Parametres!$B$8*Parametres!$B$7,0,MIN(G6518,Parametres!$B$7))</f>
        <v>250</v>
      </c>
      <c r="I6518" s="20" t="n">
        <f aca="false">G6518-H6518</f>
        <v>42.65</v>
      </c>
      <c r="J6518" s="21" t="n">
        <f aca="false">H6518*1000/Parametres!$B$9</f>
        <v>4239.44378497541</v>
      </c>
    </row>
    <row r="6519" customFormat="false" ht="15" hidden="false" customHeight="false" outlineLevel="0" collapsed="false">
      <c r="A6519" s="0" t="n">
        <v>6515</v>
      </c>
      <c r="B6519" s="0" t="n">
        <v>9</v>
      </c>
      <c r="C6519" s="19" t="n">
        <v>0.9828</v>
      </c>
      <c r="D6519" s="19" t="n">
        <v>0.1008</v>
      </c>
      <c r="E6519" s="20" t="n">
        <f aca="false">Parametres!$B$5*C6519</f>
        <v>294.84</v>
      </c>
      <c r="F6519" s="20" t="n">
        <f aca="false">Parametres!$B$6*D6519</f>
        <v>20.16</v>
      </c>
      <c r="G6519" s="20" t="n">
        <f aca="false">E6519+F6519</f>
        <v>315</v>
      </c>
      <c r="H6519" s="20" t="n">
        <f aca="false">IF(G6519&lt;Parametres!$B$8*Parametres!$B$7,0,MIN(G6519,Parametres!$B$7))</f>
        <v>250</v>
      </c>
      <c r="I6519" s="20" t="n">
        <f aca="false">G6519-H6519</f>
        <v>65</v>
      </c>
      <c r="J6519" s="21" t="n">
        <f aca="false">H6519*1000/Parametres!$B$9</f>
        <v>4239.44378497541</v>
      </c>
    </row>
    <row r="6520" customFormat="false" ht="15" hidden="false" customHeight="false" outlineLevel="0" collapsed="false">
      <c r="A6520" s="0" t="n">
        <v>6516</v>
      </c>
      <c r="B6520" s="0" t="n">
        <v>9</v>
      </c>
      <c r="C6520" s="19" t="n">
        <v>1</v>
      </c>
      <c r="D6520" s="19" t="n">
        <v>0.0683</v>
      </c>
      <c r="E6520" s="20" t="n">
        <f aca="false">Parametres!$B$5*C6520</f>
        <v>300</v>
      </c>
      <c r="F6520" s="20" t="n">
        <f aca="false">Parametres!$B$6*D6520</f>
        <v>13.66</v>
      </c>
      <c r="G6520" s="20" t="n">
        <f aca="false">E6520+F6520</f>
        <v>313.66</v>
      </c>
      <c r="H6520" s="20" t="n">
        <f aca="false">IF(G6520&lt;Parametres!$B$8*Parametres!$B$7,0,MIN(G6520,Parametres!$B$7))</f>
        <v>250</v>
      </c>
      <c r="I6520" s="20" t="n">
        <f aca="false">G6520-H6520</f>
        <v>63.66</v>
      </c>
      <c r="J6520" s="21" t="n">
        <f aca="false">H6520*1000/Parametres!$B$9</f>
        <v>4239.44378497541</v>
      </c>
    </row>
    <row r="6521" customFormat="false" ht="15" hidden="false" customHeight="false" outlineLevel="0" collapsed="false">
      <c r="A6521" s="0" t="n">
        <v>6517</v>
      </c>
      <c r="B6521" s="0" t="n">
        <v>9</v>
      </c>
      <c r="C6521" s="19" t="n">
        <v>1</v>
      </c>
      <c r="D6521" s="19" t="n">
        <v>0.0811</v>
      </c>
      <c r="E6521" s="20" t="n">
        <f aca="false">Parametres!$B$5*C6521</f>
        <v>300</v>
      </c>
      <c r="F6521" s="20" t="n">
        <f aca="false">Parametres!$B$6*D6521</f>
        <v>16.22</v>
      </c>
      <c r="G6521" s="20" t="n">
        <f aca="false">E6521+F6521</f>
        <v>316.22</v>
      </c>
      <c r="H6521" s="20" t="n">
        <f aca="false">IF(G6521&lt;Parametres!$B$8*Parametres!$B$7,0,MIN(G6521,Parametres!$B$7))</f>
        <v>250</v>
      </c>
      <c r="I6521" s="20" t="n">
        <f aca="false">G6521-H6521</f>
        <v>66.22</v>
      </c>
      <c r="J6521" s="21" t="n">
        <f aca="false">H6521*1000/Parametres!$B$9</f>
        <v>4239.44378497541</v>
      </c>
    </row>
    <row r="6522" customFormat="false" ht="15" hidden="false" customHeight="false" outlineLevel="0" collapsed="false">
      <c r="A6522" s="0" t="n">
        <v>6518</v>
      </c>
      <c r="B6522" s="0" t="n">
        <v>9</v>
      </c>
      <c r="C6522" s="19" t="n">
        <v>1</v>
      </c>
      <c r="D6522" s="19" t="n">
        <v>0.1205</v>
      </c>
      <c r="E6522" s="20" t="n">
        <f aca="false">Parametres!$B$5*C6522</f>
        <v>300</v>
      </c>
      <c r="F6522" s="20" t="n">
        <f aca="false">Parametres!$B$6*D6522</f>
        <v>24.1</v>
      </c>
      <c r="G6522" s="20" t="n">
        <f aca="false">E6522+F6522</f>
        <v>324.1</v>
      </c>
      <c r="H6522" s="20" t="n">
        <f aca="false">IF(G6522&lt;Parametres!$B$8*Parametres!$B$7,0,MIN(G6522,Parametres!$B$7))</f>
        <v>250</v>
      </c>
      <c r="I6522" s="20" t="n">
        <f aca="false">G6522-H6522</f>
        <v>74.1</v>
      </c>
      <c r="J6522" s="21" t="n">
        <f aca="false">H6522*1000/Parametres!$B$9</f>
        <v>4239.44378497541</v>
      </c>
    </row>
    <row r="6523" customFormat="false" ht="15" hidden="false" customHeight="false" outlineLevel="0" collapsed="false">
      <c r="A6523" s="0" t="n">
        <v>6519</v>
      </c>
      <c r="B6523" s="0" t="n">
        <v>9</v>
      </c>
      <c r="C6523" s="19" t="n">
        <v>0.8575</v>
      </c>
      <c r="D6523" s="19" t="n">
        <v>0.048</v>
      </c>
      <c r="E6523" s="20" t="n">
        <f aca="false">Parametres!$B$5*C6523</f>
        <v>257.25</v>
      </c>
      <c r="F6523" s="20" t="n">
        <f aca="false">Parametres!$B$6*D6523</f>
        <v>9.6</v>
      </c>
      <c r="G6523" s="20" t="n">
        <f aca="false">E6523+F6523</f>
        <v>266.85</v>
      </c>
      <c r="H6523" s="20" t="n">
        <f aca="false">IF(G6523&lt;Parametres!$B$8*Parametres!$B$7,0,MIN(G6523,Parametres!$B$7))</f>
        <v>250</v>
      </c>
      <c r="I6523" s="20" t="n">
        <f aca="false">G6523-H6523</f>
        <v>16.85</v>
      </c>
      <c r="J6523" s="21" t="n">
        <f aca="false">H6523*1000/Parametres!$B$9</f>
        <v>4239.44378497541</v>
      </c>
    </row>
    <row r="6524" customFormat="false" ht="15" hidden="false" customHeight="false" outlineLevel="0" collapsed="false">
      <c r="A6524" s="0" t="n">
        <v>6520</v>
      </c>
      <c r="B6524" s="0" t="n">
        <v>9</v>
      </c>
      <c r="C6524" s="19" t="n">
        <v>0.626</v>
      </c>
      <c r="D6524" s="19" t="n">
        <v>0.0822</v>
      </c>
      <c r="E6524" s="20" t="n">
        <f aca="false">Parametres!$B$5*C6524</f>
        <v>187.8</v>
      </c>
      <c r="F6524" s="20" t="n">
        <f aca="false">Parametres!$B$6*D6524</f>
        <v>16.44</v>
      </c>
      <c r="G6524" s="20" t="n">
        <f aca="false">E6524+F6524</f>
        <v>204.24</v>
      </c>
      <c r="H6524" s="20" t="n">
        <f aca="false">IF(G6524&lt;Parametres!$B$8*Parametres!$B$7,0,MIN(G6524,Parametres!$B$7))</f>
        <v>204.24</v>
      </c>
      <c r="I6524" s="20" t="n">
        <f aca="false">G6524-H6524</f>
        <v>0</v>
      </c>
      <c r="J6524" s="21" t="n">
        <f aca="false">H6524*1000/Parametres!$B$9</f>
        <v>3463.45599457351</v>
      </c>
    </row>
    <row r="6525" customFormat="false" ht="15" hidden="false" customHeight="false" outlineLevel="0" collapsed="false">
      <c r="A6525" s="0" t="n">
        <v>6521</v>
      </c>
      <c r="B6525" s="0" t="n">
        <v>9</v>
      </c>
      <c r="C6525" s="19" t="n">
        <v>0.3512</v>
      </c>
      <c r="D6525" s="19" t="n">
        <v>0.1046</v>
      </c>
      <c r="E6525" s="20" t="n">
        <f aca="false">Parametres!$B$5*C6525</f>
        <v>105.36</v>
      </c>
      <c r="F6525" s="20" t="n">
        <f aca="false">Parametres!$B$6*D6525</f>
        <v>20.92</v>
      </c>
      <c r="G6525" s="20" t="n">
        <f aca="false">E6525+F6525</f>
        <v>126.28</v>
      </c>
      <c r="H6525" s="20" t="n">
        <f aca="false">IF(G6525&lt;Parametres!$B$8*Parametres!$B$7,0,MIN(G6525,Parametres!$B$7))</f>
        <v>126.28</v>
      </c>
      <c r="I6525" s="20" t="n">
        <f aca="false">G6525-H6525</f>
        <v>0</v>
      </c>
      <c r="J6525" s="21" t="n">
        <f aca="false">H6525*1000/Parametres!$B$9</f>
        <v>2141.42784466678</v>
      </c>
    </row>
    <row r="6526" customFormat="false" ht="15" hidden="false" customHeight="false" outlineLevel="0" collapsed="false">
      <c r="A6526" s="0" t="n">
        <v>6522</v>
      </c>
      <c r="B6526" s="0" t="n">
        <v>9</v>
      </c>
      <c r="C6526" s="19" t="n">
        <v>0.0857</v>
      </c>
      <c r="D6526" s="19" t="n">
        <v>0.112</v>
      </c>
      <c r="E6526" s="20" t="n">
        <f aca="false">Parametres!$B$5*C6526</f>
        <v>25.71</v>
      </c>
      <c r="F6526" s="20" t="n">
        <f aca="false">Parametres!$B$6*D6526</f>
        <v>22.4</v>
      </c>
      <c r="G6526" s="20" t="n">
        <f aca="false">E6526+F6526</f>
        <v>48.11</v>
      </c>
      <c r="H6526" s="20" t="n">
        <f aca="false">IF(G6526&lt;Parametres!$B$8*Parametres!$B$7,0,MIN(G6526,Parametres!$B$7))</f>
        <v>48.11</v>
      </c>
      <c r="I6526" s="20" t="n">
        <f aca="false">G6526-H6526</f>
        <v>0</v>
      </c>
      <c r="J6526" s="21" t="n">
        <f aca="false">H6526*1000/Parametres!$B$9</f>
        <v>815.838561980668</v>
      </c>
    </row>
    <row r="6527" customFormat="false" ht="15" hidden="false" customHeight="false" outlineLevel="0" collapsed="false">
      <c r="A6527" s="0" t="n">
        <v>6523</v>
      </c>
      <c r="B6527" s="0" t="n">
        <v>9</v>
      </c>
      <c r="C6527" s="19" t="n">
        <v>0</v>
      </c>
      <c r="D6527" s="19" t="n">
        <v>0.1038</v>
      </c>
      <c r="E6527" s="20" t="n">
        <f aca="false">Parametres!$B$5*C6527</f>
        <v>0</v>
      </c>
      <c r="F6527" s="20" t="n">
        <f aca="false">Parametres!$B$6*D6527</f>
        <v>20.76</v>
      </c>
      <c r="G6527" s="20" t="n">
        <f aca="false">E6527+F6527</f>
        <v>20.76</v>
      </c>
      <c r="H6527" s="20" t="n">
        <f aca="false">IF(G6527&lt;Parametres!$B$8*Parametres!$B$7,0,MIN(G6527,Parametres!$B$7))</f>
        <v>0</v>
      </c>
      <c r="I6527" s="20" t="n">
        <f aca="false">G6527-H6527</f>
        <v>20.76</v>
      </c>
      <c r="J6527" s="21" t="n">
        <f aca="false">H6527*1000/Parametres!$B$9</f>
        <v>0</v>
      </c>
    </row>
    <row r="6528" customFormat="false" ht="15" hidden="false" customHeight="false" outlineLevel="0" collapsed="false">
      <c r="A6528" s="0" t="n">
        <v>6524</v>
      </c>
      <c r="B6528" s="0" t="n">
        <v>9</v>
      </c>
      <c r="C6528" s="19" t="n">
        <v>0</v>
      </c>
      <c r="D6528" s="19" t="n">
        <v>0.2233</v>
      </c>
      <c r="E6528" s="20" t="n">
        <f aca="false">Parametres!$B$5*C6528</f>
        <v>0</v>
      </c>
      <c r="F6528" s="20" t="n">
        <f aca="false">Parametres!$B$6*D6528</f>
        <v>44.66</v>
      </c>
      <c r="G6528" s="20" t="n">
        <f aca="false">E6528+F6528</f>
        <v>44.66</v>
      </c>
      <c r="H6528" s="20" t="n">
        <f aca="false">IF(G6528&lt;Parametres!$B$8*Parametres!$B$7,0,MIN(G6528,Parametres!$B$7))</f>
        <v>44.66</v>
      </c>
      <c r="I6528" s="20" t="n">
        <f aca="false">G6528-H6528</f>
        <v>0</v>
      </c>
      <c r="J6528" s="21" t="n">
        <f aca="false">H6528*1000/Parametres!$B$9</f>
        <v>757.334237748008</v>
      </c>
    </row>
    <row r="6529" customFormat="false" ht="15" hidden="false" customHeight="false" outlineLevel="0" collapsed="false">
      <c r="A6529" s="0" t="n">
        <v>6525</v>
      </c>
      <c r="B6529" s="0" t="n">
        <v>9</v>
      </c>
      <c r="C6529" s="19" t="n">
        <v>0</v>
      </c>
      <c r="D6529" s="19" t="n">
        <v>0.438</v>
      </c>
      <c r="E6529" s="20" t="n">
        <f aca="false">Parametres!$B$5*C6529</f>
        <v>0</v>
      </c>
      <c r="F6529" s="20" t="n">
        <f aca="false">Parametres!$B$6*D6529</f>
        <v>87.6</v>
      </c>
      <c r="G6529" s="20" t="n">
        <f aca="false">E6529+F6529</f>
        <v>87.6</v>
      </c>
      <c r="H6529" s="20" t="n">
        <f aca="false">IF(G6529&lt;Parametres!$B$8*Parametres!$B$7,0,MIN(G6529,Parametres!$B$7))</f>
        <v>87.6</v>
      </c>
      <c r="I6529" s="20" t="n">
        <f aca="false">G6529-H6529</f>
        <v>0</v>
      </c>
      <c r="J6529" s="21" t="n">
        <f aca="false">H6529*1000/Parametres!$B$9</f>
        <v>1485.50110225538</v>
      </c>
    </row>
    <row r="6530" customFormat="false" ht="15" hidden="false" customHeight="false" outlineLevel="0" collapsed="false">
      <c r="A6530" s="0" t="n">
        <v>6526</v>
      </c>
      <c r="B6530" s="0" t="n">
        <v>9</v>
      </c>
      <c r="C6530" s="19" t="n">
        <v>0</v>
      </c>
      <c r="D6530" s="19" t="n">
        <v>0.241</v>
      </c>
      <c r="E6530" s="20" t="n">
        <f aca="false">Parametres!$B$5*C6530</f>
        <v>0</v>
      </c>
      <c r="F6530" s="20" t="n">
        <f aca="false">Parametres!$B$6*D6530</f>
        <v>48.2</v>
      </c>
      <c r="G6530" s="20" t="n">
        <f aca="false">E6530+F6530</f>
        <v>48.2</v>
      </c>
      <c r="H6530" s="20" t="n">
        <f aca="false">IF(G6530&lt;Parametres!$B$8*Parametres!$B$7,0,MIN(G6530,Parametres!$B$7))</f>
        <v>48.2</v>
      </c>
      <c r="I6530" s="20" t="n">
        <f aca="false">G6530-H6530</f>
        <v>0</v>
      </c>
      <c r="J6530" s="21" t="n">
        <f aca="false">H6530*1000/Parametres!$B$9</f>
        <v>817.364761743259</v>
      </c>
    </row>
    <row r="6531" customFormat="false" ht="15" hidden="false" customHeight="false" outlineLevel="0" collapsed="false">
      <c r="A6531" s="0" t="n">
        <v>6527</v>
      </c>
      <c r="B6531" s="0" t="n">
        <v>9</v>
      </c>
      <c r="C6531" s="19" t="n">
        <v>0</v>
      </c>
      <c r="D6531" s="19" t="n">
        <v>0.175</v>
      </c>
      <c r="E6531" s="20" t="n">
        <f aca="false">Parametres!$B$5*C6531</f>
        <v>0</v>
      </c>
      <c r="F6531" s="20" t="n">
        <f aca="false">Parametres!$B$6*D6531</f>
        <v>35</v>
      </c>
      <c r="G6531" s="20" t="n">
        <f aca="false">E6531+F6531</f>
        <v>35</v>
      </c>
      <c r="H6531" s="20" t="n">
        <f aca="false">IF(G6531&lt;Parametres!$B$8*Parametres!$B$7,0,MIN(G6531,Parametres!$B$7))</f>
        <v>35</v>
      </c>
      <c r="I6531" s="20" t="n">
        <f aca="false">G6531-H6531</f>
        <v>0</v>
      </c>
      <c r="J6531" s="21" t="n">
        <f aca="false">H6531*1000/Parametres!$B$9</f>
        <v>593.522129896558</v>
      </c>
    </row>
    <row r="6532" customFormat="false" ht="15" hidden="false" customHeight="false" outlineLevel="0" collapsed="false">
      <c r="A6532" s="0" t="n">
        <v>6528</v>
      </c>
      <c r="B6532" s="0" t="n">
        <v>9</v>
      </c>
      <c r="C6532" s="19" t="n">
        <v>0</v>
      </c>
      <c r="D6532" s="19" t="n">
        <v>0.1125</v>
      </c>
      <c r="E6532" s="20" t="n">
        <f aca="false">Parametres!$B$5*C6532</f>
        <v>0</v>
      </c>
      <c r="F6532" s="20" t="n">
        <f aca="false">Parametres!$B$6*D6532</f>
        <v>22.5</v>
      </c>
      <c r="G6532" s="20" t="n">
        <f aca="false">E6532+F6532</f>
        <v>22.5</v>
      </c>
      <c r="H6532" s="20" t="n">
        <f aca="false">IF(G6532&lt;Parametres!$B$8*Parametres!$B$7,0,MIN(G6532,Parametres!$B$7))</f>
        <v>0</v>
      </c>
      <c r="I6532" s="20" t="n">
        <f aca="false">G6532-H6532</f>
        <v>22.5</v>
      </c>
      <c r="J6532" s="21" t="n">
        <f aca="false">H6532*1000/Parametres!$B$9</f>
        <v>0</v>
      </c>
    </row>
    <row r="6533" customFormat="false" ht="15" hidden="false" customHeight="false" outlineLevel="0" collapsed="false">
      <c r="A6533" s="0" t="n">
        <v>6529</v>
      </c>
      <c r="B6533" s="0" t="n">
        <v>9</v>
      </c>
      <c r="C6533" s="19" t="n">
        <v>0</v>
      </c>
      <c r="D6533" s="19" t="n">
        <v>0.0888</v>
      </c>
      <c r="E6533" s="20" t="n">
        <f aca="false">Parametres!$B$5*C6533</f>
        <v>0</v>
      </c>
      <c r="F6533" s="20" t="n">
        <f aca="false">Parametres!$B$6*D6533</f>
        <v>17.76</v>
      </c>
      <c r="G6533" s="20" t="n">
        <f aca="false">E6533+F6533</f>
        <v>17.76</v>
      </c>
      <c r="H6533" s="20" t="n">
        <f aca="false">IF(G6533&lt;Parametres!$B$8*Parametres!$B$7,0,MIN(G6533,Parametres!$B$7))</f>
        <v>0</v>
      </c>
      <c r="I6533" s="20" t="n">
        <f aca="false">G6533-H6533</f>
        <v>17.76</v>
      </c>
      <c r="J6533" s="21" t="n">
        <f aca="false">H6533*1000/Parametres!$B$9</f>
        <v>0</v>
      </c>
    </row>
    <row r="6534" customFormat="false" ht="15" hidden="false" customHeight="false" outlineLevel="0" collapsed="false">
      <c r="A6534" s="0" t="n">
        <v>6530</v>
      </c>
      <c r="B6534" s="0" t="n">
        <v>9</v>
      </c>
      <c r="C6534" s="19" t="n">
        <v>0</v>
      </c>
      <c r="D6534" s="19" t="n">
        <v>0.0445</v>
      </c>
      <c r="E6534" s="20" t="n">
        <f aca="false">Parametres!$B$5*C6534</f>
        <v>0</v>
      </c>
      <c r="F6534" s="20" t="n">
        <f aca="false">Parametres!$B$6*D6534</f>
        <v>8.9</v>
      </c>
      <c r="G6534" s="20" t="n">
        <f aca="false">E6534+F6534</f>
        <v>8.9</v>
      </c>
      <c r="H6534" s="20" t="n">
        <f aca="false">IF(G6534&lt;Parametres!$B$8*Parametres!$B$7,0,MIN(G6534,Parametres!$B$7))</f>
        <v>0</v>
      </c>
      <c r="I6534" s="20" t="n">
        <f aca="false">G6534-H6534</f>
        <v>8.9</v>
      </c>
      <c r="J6534" s="21" t="n">
        <f aca="false">H6534*1000/Parametres!$B$9</f>
        <v>0</v>
      </c>
    </row>
    <row r="6535" customFormat="false" ht="15" hidden="false" customHeight="false" outlineLevel="0" collapsed="false">
      <c r="A6535" s="0" t="n">
        <v>6531</v>
      </c>
      <c r="B6535" s="0" t="n">
        <v>9</v>
      </c>
      <c r="C6535" s="19" t="n">
        <v>0</v>
      </c>
      <c r="D6535" s="19" t="n">
        <v>0.0171</v>
      </c>
      <c r="E6535" s="20" t="n">
        <f aca="false">Parametres!$B$5*C6535</f>
        <v>0</v>
      </c>
      <c r="F6535" s="20" t="n">
        <f aca="false">Parametres!$B$6*D6535</f>
        <v>3.42</v>
      </c>
      <c r="G6535" s="20" t="n">
        <f aca="false">E6535+F6535</f>
        <v>3.42</v>
      </c>
      <c r="H6535" s="20" t="n">
        <f aca="false">IF(G6535&lt;Parametres!$B$8*Parametres!$B$7,0,MIN(G6535,Parametres!$B$7))</f>
        <v>0</v>
      </c>
      <c r="I6535" s="20" t="n">
        <f aca="false">G6535-H6535</f>
        <v>3.42</v>
      </c>
      <c r="J6535" s="21" t="n">
        <f aca="false">H6535*1000/Parametres!$B$9</f>
        <v>0</v>
      </c>
    </row>
    <row r="6536" customFormat="false" ht="15" hidden="false" customHeight="false" outlineLevel="0" collapsed="false">
      <c r="A6536" s="0" t="n">
        <v>6532</v>
      </c>
      <c r="B6536" s="0" t="n">
        <v>9</v>
      </c>
      <c r="C6536" s="19" t="n">
        <v>0</v>
      </c>
      <c r="D6536" s="19" t="n">
        <v>0.0113</v>
      </c>
      <c r="E6536" s="20" t="n">
        <f aca="false">Parametres!$B$5*C6536</f>
        <v>0</v>
      </c>
      <c r="F6536" s="20" t="n">
        <f aca="false">Parametres!$B$6*D6536</f>
        <v>2.26</v>
      </c>
      <c r="G6536" s="20" t="n">
        <f aca="false">E6536+F6536</f>
        <v>2.26</v>
      </c>
      <c r="H6536" s="20" t="n">
        <f aca="false">IF(G6536&lt;Parametres!$B$8*Parametres!$B$7,0,MIN(G6536,Parametres!$B$7))</f>
        <v>0</v>
      </c>
      <c r="I6536" s="20" t="n">
        <f aca="false">G6536-H6536</f>
        <v>2.26</v>
      </c>
      <c r="J6536" s="21" t="n">
        <f aca="false">H6536*1000/Parametres!$B$9</f>
        <v>0</v>
      </c>
    </row>
    <row r="6537" customFormat="false" ht="15" hidden="false" customHeight="false" outlineLevel="0" collapsed="false">
      <c r="A6537" s="0" t="n">
        <v>6533</v>
      </c>
      <c r="B6537" s="0" t="n">
        <v>9</v>
      </c>
      <c r="C6537" s="19" t="n">
        <v>0</v>
      </c>
      <c r="D6537" s="19" t="n">
        <v>0.0081</v>
      </c>
      <c r="E6537" s="20" t="n">
        <f aca="false">Parametres!$B$5*C6537</f>
        <v>0</v>
      </c>
      <c r="F6537" s="20" t="n">
        <f aca="false">Parametres!$B$6*D6537</f>
        <v>1.62</v>
      </c>
      <c r="G6537" s="20" t="n">
        <f aca="false">E6537+F6537</f>
        <v>1.62</v>
      </c>
      <c r="H6537" s="20" t="n">
        <f aca="false">IF(G6537&lt;Parametres!$B$8*Parametres!$B$7,0,MIN(G6537,Parametres!$B$7))</f>
        <v>0</v>
      </c>
      <c r="I6537" s="20" t="n">
        <f aca="false">G6537-H6537</f>
        <v>1.62</v>
      </c>
      <c r="J6537" s="21" t="n">
        <f aca="false">H6537*1000/Parametres!$B$9</f>
        <v>0</v>
      </c>
    </row>
    <row r="6538" customFormat="false" ht="15" hidden="false" customHeight="false" outlineLevel="0" collapsed="false">
      <c r="A6538" s="0" t="n">
        <v>6534</v>
      </c>
      <c r="B6538" s="0" t="n">
        <v>9</v>
      </c>
      <c r="C6538" s="19" t="n">
        <v>0</v>
      </c>
      <c r="D6538" s="19" t="n">
        <v>0.0182</v>
      </c>
      <c r="E6538" s="20" t="n">
        <f aca="false">Parametres!$B$5*C6538</f>
        <v>0</v>
      </c>
      <c r="F6538" s="20" t="n">
        <f aca="false">Parametres!$B$6*D6538</f>
        <v>3.64</v>
      </c>
      <c r="G6538" s="20" t="n">
        <f aca="false">E6538+F6538</f>
        <v>3.64</v>
      </c>
      <c r="H6538" s="20" t="n">
        <f aca="false">IF(G6538&lt;Parametres!$B$8*Parametres!$B$7,0,MIN(G6538,Parametres!$B$7))</f>
        <v>0</v>
      </c>
      <c r="I6538" s="20" t="n">
        <f aca="false">G6538-H6538</f>
        <v>3.64</v>
      </c>
      <c r="J6538" s="21" t="n">
        <f aca="false">H6538*1000/Parametres!$B$9</f>
        <v>0</v>
      </c>
    </row>
    <row r="6539" customFormat="false" ht="15" hidden="false" customHeight="false" outlineLevel="0" collapsed="false">
      <c r="A6539" s="0" t="n">
        <v>6535</v>
      </c>
      <c r="B6539" s="0" t="n">
        <v>9</v>
      </c>
      <c r="C6539" s="19" t="n">
        <v>0.0529</v>
      </c>
      <c r="D6539" s="19" t="n">
        <v>0.0364</v>
      </c>
      <c r="E6539" s="20" t="n">
        <f aca="false">Parametres!$B$5*C6539</f>
        <v>15.87</v>
      </c>
      <c r="F6539" s="20" t="n">
        <f aca="false">Parametres!$B$6*D6539</f>
        <v>7.28</v>
      </c>
      <c r="G6539" s="20" t="n">
        <f aca="false">E6539+F6539</f>
        <v>23.15</v>
      </c>
      <c r="H6539" s="20" t="n">
        <f aca="false">IF(G6539&lt;Parametres!$B$8*Parametres!$B$7,0,MIN(G6539,Parametres!$B$7))</f>
        <v>0</v>
      </c>
      <c r="I6539" s="20" t="n">
        <f aca="false">G6539-H6539</f>
        <v>23.15</v>
      </c>
      <c r="J6539" s="21" t="n">
        <f aca="false">H6539*1000/Parametres!$B$9</f>
        <v>0</v>
      </c>
    </row>
    <row r="6540" customFormat="false" ht="15" hidden="false" customHeight="false" outlineLevel="0" collapsed="false">
      <c r="A6540" s="0" t="n">
        <v>6536</v>
      </c>
      <c r="B6540" s="0" t="n">
        <v>9</v>
      </c>
      <c r="C6540" s="19" t="n">
        <v>0.2218</v>
      </c>
      <c r="D6540" s="19" t="n">
        <v>0.0607</v>
      </c>
      <c r="E6540" s="20" t="n">
        <f aca="false">Parametres!$B$5*C6540</f>
        <v>66.54</v>
      </c>
      <c r="F6540" s="20" t="n">
        <f aca="false">Parametres!$B$6*D6540</f>
        <v>12.14</v>
      </c>
      <c r="G6540" s="20" t="n">
        <f aca="false">E6540+F6540</f>
        <v>78.68</v>
      </c>
      <c r="H6540" s="20" t="n">
        <f aca="false">IF(G6540&lt;Parametres!$B$8*Parametres!$B$7,0,MIN(G6540,Parametres!$B$7))</f>
        <v>78.68</v>
      </c>
      <c r="I6540" s="20" t="n">
        <f aca="false">G6540-H6540</f>
        <v>0</v>
      </c>
      <c r="J6540" s="21" t="n">
        <f aca="false">H6540*1000/Parametres!$B$9</f>
        <v>1334.23774800746</v>
      </c>
    </row>
    <row r="6541" customFormat="false" ht="15" hidden="false" customHeight="false" outlineLevel="0" collapsed="false">
      <c r="A6541" s="0" t="n">
        <v>6537</v>
      </c>
      <c r="B6541" s="0" t="n">
        <v>9</v>
      </c>
      <c r="C6541" s="19" t="n">
        <v>0.3719</v>
      </c>
      <c r="D6541" s="19" t="n">
        <v>0.0914</v>
      </c>
      <c r="E6541" s="20" t="n">
        <f aca="false">Parametres!$B$5*C6541</f>
        <v>111.57</v>
      </c>
      <c r="F6541" s="20" t="n">
        <f aca="false">Parametres!$B$6*D6541</f>
        <v>18.28</v>
      </c>
      <c r="G6541" s="20" t="n">
        <f aca="false">E6541+F6541</f>
        <v>129.85</v>
      </c>
      <c r="H6541" s="20" t="n">
        <f aca="false">IF(G6541&lt;Parametres!$B$8*Parametres!$B$7,0,MIN(G6541,Parametres!$B$7))</f>
        <v>129.85</v>
      </c>
      <c r="I6541" s="20" t="n">
        <f aca="false">G6541-H6541</f>
        <v>0</v>
      </c>
      <c r="J6541" s="21" t="n">
        <f aca="false">H6541*1000/Parametres!$B$9</f>
        <v>2201.96710191623</v>
      </c>
    </row>
    <row r="6542" customFormat="false" ht="15" hidden="false" customHeight="false" outlineLevel="0" collapsed="false">
      <c r="A6542" s="0" t="n">
        <v>6538</v>
      </c>
      <c r="B6542" s="0" t="n">
        <v>9</v>
      </c>
      <c r="C6542" s="19" t="n">
        <v>0.4983</v>
      </c>
      <c r="D6542" s="19" t="n">
        <v>0.2207</v>
      </c>
      <c r="E6542" s="20" t="n">
        <f aca="false">Parametres!$B$5*C6542</f>
        <v>149.49</v>
      </c>
      <c r="F6542" s="20" t="n">
        <f aca="false">Parametres!$B$6*D6542</f>
        <v>44.14</v>
      </c>
      <c r="G6542" s="20" t="n">
        <f aca="false">E6542+F6542</f>
        <v>193.63</v>
      </c>
      <c r="H6542" s="20" t="n">
        <f aca="false">IF(G6542&lt;Parametres!$B$8*Parametres!$B$7,0,MIN(G6542,Parametres!$B$7))</f>
        <v>193.63</v>
      </c>
      <c r="I6542" s="20" t="n">
        <f aca="false">G6542-H6542</f>
        <v>0</v>
      </c>
      <c r="J6542" s="21" t="n">
        <f aca="false">H6542*1000/Parametres!$B$9</f>
        <v>3283.53400033916</v>
      </c>
    </row>
    <row r="6543" customFormat="false" ht="15" hidden="false" customHeight="false" outlineLevel="0" collapsed="false">
      <c r="A6543" s="0" t="n">
        <v>6539</v>
      </c>
      <c r="B6543" s="0" t="n">
        <v>9</v>
      </c>
      <c r="C6543" s="19" t="n">
        <v>0.6246</v>
      </c>
      <c r="D6543" s="19" t="n">
        <v>0.182</v>
      </c>
      <c r="E6543" s="20" t="n">
        <f aca="false">Parametres!$B$5*C6543</f>
        <v>187.38</v>
      </c>
      <c r="F6543" s="20" t="n">
        <f aca="false">Parametres!$B$6*D6543</f>
        <v>36.4</v>
      </c>
      <c r="G6543" s="20" t="n">
        <f aca="false">E6543+F6543</f>
        <v>223.78</v>
      </c>
      <c r="H6543" s="20" t="n">
        <f aca="false">IF(G6543&lt;Parametres!$B$8*Parametres!$B$7,0,MIN(G6543,Parametres!$B$7))</f>
        <v>223.78</v>
      </c>
      <c r="I6543" s="20" t="n">
        <f aca="false">G6543-H6543</f>
        <v>0</v>
      </c>
      <c r="J6543" s="21" t="n">
        <f aca="false">H6543*1000/Parametres!$B$9</f>
        <v>3794.81092080719</v>
      </c>
    </row>
    <row r="6544" customFormat="false" ht="15" hidden="false" customHeight="false" outlineLevel="0" collapsed="false">
      <c r="A6544" s="0" t="n">
        <v>6540</v>
      </c>
      <c r="B6544" s="0" t="n">
        <v>9</v>
      </c>
      <c r="C6544" s="19" t="n">
        <v>0.6699</v>
      </c>
      <c r="D6544" s="19" t="n">
        <v>0.1845</v>
      </c>
      <c r="E6544" s="20" t="n">
        <f aca="false">Parametres!$B$5*C6544</f>
        <v>200.97</v>
      </c>
      <c r="F6544" s="20" t="n">
        <f aca="false">Parametres!$B$6*D6544</f>
        <v>36.9</v>
      </c>
      <c r="G6544" s="20" t="n">
        <f aca="false">E6544+F6544</f>
        <v>237.87</v>
      </c>
      <c r="H6544" s="20" t="n">
        <f aca="false">IF(G6544&lt;Parametres!$B$8*Parametres!$B$7,0,MIN(G6544,Parametres!$B$7))</f>
        <v>237.87</v>
      </c>
      <c r="I6544" s="20" t="n">
        <f aca="false">G6544-H6544</f>
        <v>0</v>
      </c>
      <c r="J6544" s="21" t="n">
        <f aca="false">H6544*1000/Parametres!$B$9</f>
        <v>4033.7459725284</v>
      </c>
    </row>
    <row r="6545" customFormat="false" ht="15" hidden="false" customHeight="false" outlineLevel="0" collapsed="false">
      <c r="A6545" s="0" t="n">
        <v>6541</v>
      </c>
      <c r="B6545" s="0" t="n">
        <v>9</v>
      </c>
      <c r="C6545" s="19" t="n">
        <v>0.695</v>
      </c>
      <c r="D6545" s="19" t="n">
        <v>0.2817</v>
      </c>
      <c r="E6545" s="20" t="n">
        <f aca="false">Parametres!$B$5*C6545</f>
        <v>208.5</v>
      </c>
      <c r="F6545" s="20" t="n">
        <f aca="false">Parametres!$B$6*D6545</f>
        <v>56.34</v>
      </c>
      <c r="G6545" s="20" t="n">
        <f aca="false">E6545+F6545</f>
        <v>264.84</v>
      </c>
      <c r="H6545" s="20" t="n">
        <f aca="false">IF(G6545&lt;Parametres!$B$8*Parametres!$B$7,0,MIN(G6545,Parametres!$B$7))</f>
        <v>250</v>
      </c>
      <c r="I6545" s="20" t="n">
        <f aca="false">G6545-H6545</f>
        <v>14.84</v>
      </c>
      <c r="J6545" s="21" t="n">
        <f aca="false">H6545*1000/Parametres!$B$9</f>
        <v>4239.44378497541</v>
      </c>
    </row>
    <row r="6546" customFormat="false" ht="15" hidden="false" customHeight="false" outlineLevel="0" collapsed="false">
      <c r="A6546" s="0" t="n">
        <v>6542</v>
      </c>
      <c r="B6546" s="0" t="n">
        <v>9</v>
      </c>
      <c r="C6546" s="19" t="n">
        <v>0.6766</v>
      </c>
      <c r="D6546" s="19" t="n">
        <v>0.2158</v>
      </c>
      <c r="E6546" s="20" t="n">
        <f aca="false">Parametres!$B$5*C6546</f>
        <v>202.98</v>
      </c>
      <c r="F6546" s="20" t="n">
        <f aca="false">Parametres!$B$6*D6546</f>
        <v>43.16</v>
      </c>
      <c r="G6546" s="20" t="n">
        <f aca="false">E6546+F6546</f>
        <v>246.14</v>
      </c>
      <c r="H6546" s="20" t="n">
        <f aca="false">IF(G6546&lt;Parametres!$B$8*Parametres!$B$7,0,MIN(G6546,Parametres!$B$7))</f>
        <v>246.14</v>
      </c>
      <c r="I6546" s="20" t="n">
        <f aca="false">G6546-H6546</f>
        <v>0</v>
      </c>
      <c r="J6546" s="21" t="n">
        <f aca="false">H6546*1000/Parametres!$B$9</f>
        <v>4173.98677293539</v>
      </c>
    </row>
    <row r="6547" customFormat="false" ht="15" hidden="false" customHeight="false" outlineLevel="0" collapsed="false">
      <c r="A6547" s="0" t="n">
        <v>6543</v>
      </c>
      <c r="B6547" s="0" t="n">
        <v>9</v>
      </c>
      <c r="C6547" s="19" t="n">
        <v>0.5452</v>
      </c>
      <c r="D6547" s="19" t="n">
        <v>0.3137</v>
      </c>
      <c r="E6547" s="20" t="n">
        <f aca="false">Parametres!$B$5*C6547</f>
        <v>163.56</v>
      </c>
      <c r="F6547" s="20" t="n">
        <f aca="false">Parametres!$B$6*D6547</f>
        <v>62.74</v>
      </c>
      <c r="G6547" s="20" t="n">
        <f aca="false">E6547+F6547</f>
        <v>226.3</v>
      </c>
      <c r="H6547" s="20" t="n">
        <f aca="false">IF(G6547&lt;Parametres!$B$8*Parametres!$B$7,0,MIN(G6547,Parametres!$B$7))</f>
        <v>226.3</v>
      </c>
      <c r="I6547" s="20" t="n">
        <f aca="false">G6547-H6547</f>
        <v>0</v>
      </c>
      <c r="J6547" s="21" t="n">
        <f aca="false">H6547*1000/Parametres!$B$9</f>
        <v>3837.54451415974</v>
      </c>
    </row>
    <row r="6548" customFormat="false" ht="15" hidden="false" customHeight="false" outlineLevel="0" collapsed="false">
      <c r="A6548" s="0" t="n">
        <v>6544</v>
      </c>
      <c r="B6548" s="0" t="n">
        <v>9</v>
      </c>
      <c r="C6548" s="19" t="n">
        <v>0.3892</v>
      </c>
      <c r="D6548" s="19" t="n">
        <v>0.2349</v>
      </c>
      <c r="E6548" s="20" t="n">
        <f aca="false">Parametres!$B$5*C6548</f>
        <v>116.76</v>
      </c>
      <c r="F6548" s="20" t="n">
        <f aca="false">Parametres!$B$6*D6548</f>
        <v>46.98</v>
      </c>
      <c r="G6548" s="20" t="n">
        <f aca="false">E6548+F6548</f>
        <v>163.74</v>
      </c>
      <c r="H6548" s="20" t="n">
        <f aca="false">IF(G6548&lt;Parametres!$B$8*Parametres!$B$7,0,MIN(G6548,Parametres!$B$7))</f>
        <v>163.74</v>
      </c>
      <c r="I6548" s="20" t="n">
        <f aca="false">G6548-H6548</f>
        <v>0</v>
      </c>
      <c r="J6548" s="21" t="n">
        <f aca="false">H6548*1000/Parametres!$B$9</f>
        <v>2776.6661014075</v>
      </c>
    </row>
    <row r="6549" customFormat="false" ht="15" hidden="false" customHeight="false" outlineLevel="0" collapsed="false">
      <c r="A6549" s="0" t="n">
        <v>6545</v>
      </c>
      <c r="B6549" s="0" t="n">
        <v>9</v>
      </c>
      <c r="C6549" s="19" t="n">
        <v>0.2199</v>
      </c>
      <c r="D6549" s="19" t="n">
        <v>0.2053</v>
      </c>
      <c r="E6549" s="20" t="n">
        <f aca="false">Parametres!$B$5*C6549</f>
        <v>65.97</v>
      </c>
      <c r="F6549" s="20" t="n">
        <f aca="false">Parametres!$B$6*D6549</f>
        <v>41.06</v>
      </c>
      <c r="G6549" s="20" t="n">
        <f aca="false">E6549+F6549</f>
        <v>107.03</v>
      </c>
      <c r="H6549" s="20" t="n">
        <f aca="false">IF(G6549&lt;Parametres!$B$8*Parametres!$B$7,0,MIN(G6549,Parametres!$B$7))</f>
        <v>107.03</v>
      </c>
      <c r="I6549" s="20" t="n">
        <f aca="false">G6549-H6549</f>
        <v>0</v>
      </c>
      <c r="J6549" s="21" t="n">
        <f aca="false">H6549*1000/Parametres!$B$9</f>
        <v>1814.99067322367</v>
      </c>
    </row>
    <row r="6550" customFormat="false" ht="15" hidden="false" customHeight="false" outlineLevel="0" collapsed="false">
      <c r="A6550" s="0" t="n">
        <v>6546</v>
      </c>
      <c r="B6550" s="0" t="n">
        <v>9</v>
      </c>
      <c r="C6550" s="19" t="n">
        <v>0.0473</v>
      </c>
      <c r="D6550" s="19" t="n">
        <v>0.1481</v>
      </c>
      <c r="E6550" s="20" t="n">
        <f aca="false">Parametres!$B$5*C6550</f>
        <v>14.19</v>
      </c>
      <c r="F6550" s="20" t="n">
        <f aca="false">Parametres!$B$6*D6550</f>
        <v>29.62</v>
      </c>
      <c r="G6550" s="20" t="n">
        <f aca="false">E6550+F6550</f>
        <v>43.81</v>
      </c>
      <c r="H6550" s="20" t="n">
        <f aca="false">IF(G6550&lt;Parametres!$B$8*Parametres!$B$7,0,MIN(G6550,Parametres!$B$7))</f>
        <v>43.81</v>
      </c>
      <c r="I6550" s="20" t="n">
        <f aca="false">G6550-H6550</f>
        <v>0</v>
      </c>
      <c r="J6550" s="21" t="n">
        <f aca="false">H6550*1000/Parametres!$B$9</f>
        <v>742.920128879091</v>
      </c>
    </row>
    <row r="6551" customFormat="false" ht="15" hidden="false" customHeight="false" outlineLevel="0" collapsed="false">
      <c r="A6551" s="0" t="n">
        <v>6547</v>
      </c>
      <c r="B6551" s="0" t="n">
        <v>9</v>
      </c>
      <c r="C6551" s="19" t="n">
        <v>0</v>
      </c>
      <c r="D6551" s="19" t="n">
        <v>0.2019</v>
      </c>
      <c r="E6551" s="20" t="n">
        <f aca="false">Parametres!$B$5*C6551</f>
        <v>0</v>
      </c>
      <c r="F6551" s="20" t="n">
        <f aca="false">Parametres!$B$6*D6551</f>
        <v>40.38</v>
      </c>
      <c r="G6551" s="20" t="n">
        <f aca="false">E6551+F6551</f>
        <v>40.38</v>
      </c>
      <c r="H6551" s="20" t="n">
        <f aca="false">IF(G6551&lt;Parametres!$B$8*Parametres!$B$7,0,MIN(G6551,Parametres!$B$7))</f>
        <v>40.38</v>
      </c>
      <c r="I6551" s="20" t="n">
        <f aca="false">G6551-H6551</f>
        <v>0</v>
      </c>
      <c r="J6551" s="21" t="n">
        <f aca="false">H6551*1000/Parametres!$B$9</f>
        <v>684.754960149228</v>
      </c>
    </row>
    <row r="6552" customFormat="false" ht="15" hidden="false" customHeight="false" outlineLevel="0" collapsed="false">
      <c r="A6552" s="0" t="n">
        <v>6548</v>
      </c>
      <c r="B6552" s="0" t="n">
        <v>9</v>
      </c>
      <c r="C6552" s="19" t="n">
        <v>0</v>
      </c>
      <c r="D6552" s="19" t="n">
        <v>0.132</v>
      </c>
      <c r="E6552" s="20" t="n">
        <f aca="false">Parametres!$B$5*C6552</f>
        <v>0</v>
      </c>
      <c r="F6552" s="20" t="n">
        <f aca="false">Parametres!$B$6*D6552</f>
        <v>26.4</v>
      </c>
      <c r="G6552" s="20" t="n">
        <f aca="false">E6552+F6552</f>
        <v>26.4</v>
      </c>
      <c r="H6552" s="20" t="n">
        <f aca="false">IF(G6552&lt;Parametres!$B$8*Parametres!$B$7,0,MIN(G6552,Parametres!$B$7))</f>
        <v>26.4</v>
      </c>
      <c r="I6552" s="20" t="n">
        <f aca="false">G6552-H6552</f>
        <v>0</v>
      </c>
      <c r="J6552" s="21" t="n">
        <f aca="false">H6552*1000/Parametres!$B$9</f>
        <v>447.685263693404</v>
      </c>
    </row>
    <row r="6553" customFormat="false" ht="15" hidden="false" customHeight="false" outlineLevel="0" collapsed="false">
      <c r="A6553" s="0" t="n">
        <v>6549</v>
      </c>
      <c r="B6553" s="0" t="n">
        <v>9</v>
      </c>
      <c r="C6553" s="19" t="n">
        <v>0</v>
      </c>
      <c r="D6553" s="19" t="n">
        <v>0.1264</v>
      </c>
      <c r="E6553" s="20" t="n">
        <f aca="false">Parametres!$B$5*C6553</f>
        <v>0</v>
      </c>
      <c r="F6553" s="20" t="n">
        <f aca="false">Parametres!$B$6*D6553</f>
        <v>25.28</v>
      </c>
      <c r="G6553" s="20" t="n">
        <f aca="false">E6553+F6553</f>
        <v>25.28</v>
      </c>
      <c r="H6553" s="20" t="n">
        <f aca="false">IF(G6553&lt;Parametres!$B$8*Parametres!$B$7,0,MIN(G6553,Parametres!$B$7))</f>
        <v>25.28</v>
      </c>
      <c r="I6553" s="20" t="n">
        <f aca="false">G6553-H6553</f>
        <v>0</v>
      </c>
      <c r="J6553" s="21" t="n">
        <f aca="false">H6553*1000/Parametres!$B$9</f>
        <v>428.692555536714</v>
      </c>
    </row>
    <row r="6554" customFormat="false" ht="15" hidden="false" customHeight="false" outlineLevel="0" collapsed="false">
      <c r="A6554" s="0" t="n">
        <v>6550</v>
      </c>
      <c r="B6554" s="0" t="n">
        <v>9</v>
      </c>
      <c r="C6554" s="19" t="n">
        <v>0</v>
      </c>
      <c r="D6554" s="19" t="n">
        <v>0.1587</v>
      </c>
      <c r="E6554" s="20" t="n">
        <f aca="false">Parametres!$B$5*C6554</f>
        <v>0</v>
      </c>
      <c r="F6554" s="20" t="n">
        <f aca="false">Parametres!$B$6*D6554</f>
        <v>31.74</v>
      </c>
      <c r="G6554" s="20" t="n">
        <f aca="false">E6554+F6554</f>
        <v>31.74</v>
      </c>
      <c r="H6554" s="20" t="n">
        <f aca="false">IF(G6554&lt;Parametres!$B$8*Parametres!$B$7,0,MIN(G6554,Parametres!$B$7))</f>
        <v>31.74</v>
      </c>
      <c r="I6554" s="20" t="n">
        <f aca="false">G6554-H6554</f>
        <v>0</v>
      </c>
      <c r="J6554" s="21" t="n">
        <f aca="false">H6554*1000/Parametres!$B$9</f>
        <v>538.239782940478</v>
      </c>
    </row>
    <row r="6555" customFormat="false" ht="15" hidden="false" customHeight="false" outlineLevel="0" collapsed="false">
      <c r="A6555" s="0" t="n">
        <v>6551</v>
      </c>
      <c r="B6555" s="0" t="n">
        <v>9</v>
      </c>
      <c r="C6555" s="19" t="n">
        <v>0</v>
      </c>
      <c r="D6555" s="19" t="n">
        <v>0.1804</v>
      </c>
      <c r="E6555" s="20" t="n">
        <f aca="false">Parametres!$B$5*C6555</f>
        <v>0</v>
      </c>
      <c r="F6555" s="20" t="n">
        <f aca="false">Parametres!$B$6*D6555</f>
        <v>36.08</v>
      </c>
      <c r="G6555" s="20" t="n">
        <f aca="false">E6555+F6555</f>
        <v>36.08</v>
      </c>
      <c r="H6555" s="20" t="n">
        <f aca="false">IF(G6555&lt;Parametres!$B$8*Parametres!$B$7,0,MIN(G6555,Parametres!$B$7))</f>
        <v>36.08</v>
      </c>
      <c r="I6555" s="20" t="n">
        <f aca="false">G6555-H6555</f>
        <v>0</v>
      </c>
      <c r="J6555" s="21" t="n">
        <f aca="false">H6555*1000/Parametres!$B$9</f>
        <v>611.836527047651</v>
      </c>
    </row>
    <row r="6556" customFormat="false" ht="15" hidden="false" customHeight="false" outlineLevel="0" collapsed="false">
      <c r="A6556" s="0" t="n">
        <v>6552</v>
      </c>
      <c r="B6556" s="0" t="n">
        <v>9</v>
      </c>
      <c r="C6556" s="19" t="n">
        <v>0</v>
      </c>
      <c r="D6556" s="19" t="n">
        <v>0.1575</v>
      </c>
      <c r="E6556" s="20" t="n">
        <f aca="false">Parametres!$B$5*C6556</f>
        <v>0</v>
      </c>
      <c r="F6556" s="20" t="n">
        <f aca="false">Parametres!$B$6*D6556</f>
        <v>31.5</v>
      </c>
      <c r="G6556" s="20" t="n">
        <f aca="false">E6556+F6556</f>
        <v>31.5</v>
      </c>
      <c r="H6556" s="20" t="n">
        <f aca="false">IF(G6556&lt;Parametres!$B$8*Parametres!$B$7,0,MIN(G6556,Parametres!$B$7))</f>
        <v>31.5</v>
      </c>
      <c r="I6556" s="20" t="n">
        <f aca="false">G6556-H6556</f>
        <v>0</v>
      </c>
      <c r="J6556" s="21" t="n">
        <f aca="false">H6556*1000/Parametres!$B$9</f>
        <v>534.169916906902</v>
      </c>
    </row>
    <row r="6557" customFormat="false" ht="15" hidden="false" customHeight="false" outlineLevel="0" collapsed="false">
      <c r="A6557" s="0" t="n">
        <v>6553</v>
      </c>
      <c r="B6557" s="0" t="n">
        <v>10</v>
      </c>
      <c r="C6557" s="19" t="n">
        <v>0</v>
      </c>
      <c r="D6557" s="19" t="n">
        <v>0.0787</v>
      </c>
      <c r="E6557" s="20" t="n">
        <f aca="false">Parametres!$B$5*C6557</f>
        <v>0</v>
      </c>
      <c r="F6557" s="20" t="n">
        <f aca="false">Parametres!$B$6*D6557</f>
        <v>15.74</v>
      </c>
      <c r="G6557" s="20" t="n">
        <f aca="false">E6557+F6557</f>
        <v>15.74</v>
      </c>
      <c r="H6557" s="20" t="n">
        <f aca="false">IF(G6557&lt;Parametres!$B$8*Parametres!$B$7,0,MIN(G6557,Parametres!$B$7))</f>
        <v>0</v>
      </c>
      <c r="I6557" s="20" t="n">
        <f aca="false">G6557-H6557</f>
        <v>15.74</v>
      </c>
      <c r="J6557" s="21" t="n">
        <f aca="false">H6557*1000/Parametres!$B$9</f>
        <v>0</v>
      </c>
    </row>
    <row r="6558" customFormat="false" ht="15" hidden="false" customHeight="false" outlineLevel="0" collapsed="false">
      <c r="A6558" s="0" t="n">
        <v>6554</v>
      </c>
      <c r="B6558" s="0" t="n">
        <v>10</v>
      </c>
      <c r="C6558" s="19" t="n">
        <v>0</v>
      </c>
      <c r="D6558" s="19" t="n">
        <v>0.0924</v>
      </c>
      <c r="E6558" s="20" t="n">
        <f aca="false">Parametres!$B$5*C6558</f>
        <v>0</v>
      </c>
      <c r="F6558" s="20" t="n">
        <f aca="false">Parametres!$B$6*D6558</f>
        <v>18.48</v>
      </c>
      <c r="G6558" s="20" t="n">
        <f aca="false">E6558+F6558</f>
        <v>18.48</v>
      </c>
      <c r="H6558" s="20" t="n">
        <f aca="false">IF(G6558&lt;Parametres!$B$8*Parametres!$B$7,0,MIN(G6558,Parametres!$B$7))</f>
        <v>0</v>
      </c>
      <c r="I6558" s="20" t="n">
        <f aca="false">G6558-H6558</f>
        <v>18.48</v>
      </c>
      <c r="J6558" s="21" t="n">
        <f aca="false">H6558*1000/Parametres!$B$9</f>
        <v>0</v>
      </c>
    </row>
    <row r="6559" customFormat="false" ht="15" hidden="false" customHeight="false" outlineLevel="0" collapsed="false">
      <c r="A6559" s="0" t="n">
        <v>6555</v>
      </c>
      <c r="B6559" s="0" t="n">
        <v>10</v>
      </c>
      <c r="C6559" s="19" t="n">
        <v>0</v>
      </c>
      <c r="D6559" s="19" t="n">
        <v>0.0522</v>
      </c>
      <c r="E6559" s="20" t="n">
        <f aca="false">Parametres!$B$5*C6559</f>
        <v>0</v>
      </c>
      <c r="F6559" s="20" t="n">
        <f aca="false">Parametres!$B$6*D6559</f>
        <v>10.44</v>
      </c>
      <c r="G6559" s="20" t="n">
        <f aca="false">E6559+F6559</f>
        <v>10.44</v>
      </c>
      <c r="H6559" s="20" t="n">
        <f aca="false">IF(G6559&lt;Parametres!$B$8*Parametres!$B$7,0,MIN(G6559,Parametres!$B$7))</f>
        <v>0</v>
      </c>
      <c r="I6559" s="20" t="n">
        <f aca="false">G6559-H6559</f>
        <v>10.44</v>
      </c>
      <c r="J6559" s="21" t="n">
        <f aca="false">H6559*1000/Parametres!$B$9</f>
        <v>0</v>
      </c>
    </row>
    <row r="6560" customFormat="false" ht="15" hidden="false" customHeight="false" outlineLevel="0" collapsed="false">
      <c r="A6560" s="0" t="n">
        <v>6556</v>
      </c>
      <c r="B6560" s="0" t="n">
        <v>10</v>
      </c>
      <c r="C6560" s="19" t="n">
        <v>0</v>
      </c>
      <c r="D6560" s="19" t="n">
        <v>0.0746</v>
      </c>
      <c r="E6560" s="20" t="n">
        <f aca="false">Parametres!$B$5*C6560</f>
        <v>0</v>
      </c>
      <c r="F6560" s="20" t="n">
        <f aca="false">Parametres!$B$6*D6560</f>
        <v>14.92</v>
      </c>
      <c r="G6560" s="20" t="n">
        <f aca="false">E6560+F6560</f>
        <v>14.92</v>
      </c>
      <c r="H6560" s="20" t="n">
        <f aca="false">IF(G6560&lt;Parametres!$B$8*Parametres!$B$7,0,MIN(G6560,Parametres!$B$7))</f>
        <v>0</v>
      </c>
      <c r="I6560" s="20" t="n">
        <f aca="false">G6560-H6560</f>
        <v>14.92</v>
      </c>
      <c r="J6560" s="21" t="n">
        <f aca="false">H6560*1000/Parametres!$B$9</f>
        <v>0</v>
      </c>
    </row>
    <row r="6561" customFormat="false" ht="15" hidden="false" customHeight="false" outlineLevel="0" collapsed="false">
      <c r="A6561" s="0" t="n">
        <v>6557</v>
      </c>
      <c r="B6561" s="0" t="n">
        <v>10</v>
      </c>
      <c r="C6561" s="19" t="n">
        <v>0</v>
      </c>
      <c r="D6561" s="19" t="n">
        <v>0.0632</v>
      </c>
      <c r="E6561" s="20" t="n">
        <f aca="false">Parametres!$B$5*C6561</f>
        <v>0</v>
      </c>
      <c r="F6561" s="20" t="n">
        <f aca="false">Parametres!$B$6*D6561</f>
        <v>12.64</v>
      </c>
      <c r="G6561" s="20" t="n">
        <f aca="false">E6561+F6561</f>
        <v>12.64</v>
      </c>
      <c r="H6561" s="20" t="n">
        <f aca="false">IF(G6561&lt;Parametres!$B$8*Parametres!$B$7,0,MIN(G6561,Parametres!$B$7))</f>
        <v>0</v>
      </c>
      <c r="I6561" s="20" t="n">
        <f aca="false">G6561-H6561</f>
        <v>12.64</v>
      </c>
      <c r="J6561" s="21" t="n">
        <f aca="false">H6561*1000/Parametres!$B$9</f>
        <v>0</v>
      </c>
    </row>
    <row r="6562" customFormat="false" ht="15" hidden="false" customHeight="false" outlineLevel="0" collapsed="false">
      <c r="A6562" s="0" t="n">
        <v>6558</v>
      </c>
      <c r="B6562" s="0" t="n">
        <v>10</v>
      </c>
      <c r="C6562" s="19" t="n">
        <v>0</v>
      </c>
      <c r="D6562" s="19" t="n">
        <v>0.1076</v>
      </c>
      <c r="E6562" s="20" t="n">
        <f aca="false">Parametres!$B$5*C6562</f>
        <v>0</v>
      </c>
      <c r="F6562" s="20" t="n">
        <f aca="false">Parametres!$B$6*D6562</f>
        <v>21.52</v>
      </c>
      <c r="G6562" s="20" t="n">
        <f aca="false">E6562+F6562</f>
        <v>21.52</v>
      </c>
      <c r="H6562" s="20" t="n">
        <f aca="false">IF(G6562&lt;Parametres!$B$8*Parametres!$B$7,0,MIN(G6562,Parametres!$B$7))</f>
        <v>0</v>
      </c>
      <c r="I6562" s="20" t="n">
        <f aca="false">G6562-H6562</f>
        <v>21.52</v>
      </c>
      <c r="J6562" s="21" t="n">
        <f aca="false">H6562*1000/Parametres!$B$9</f>
        <v>0</v>
      </c>
    </row>
    <row r="6563" customFormat="false" ht="15" hidden="false" customHeight="false" outlineLevel="0" collapsed="false">
      <c r="A6563" s="0" t="n">
        <v>6559</v>
      </c>
      <c r="B6563" s="0" t="n">
        <v>10</v>
      </c>
      <c r="C6563" s="19" t="n">
        <v>0.0824</v>
      </c>
      <c r="D6563" s="19" t="n">
        <v>0.1105</v>
      </c>
      <c r="E6563" s="20" t="n">
        <f aca="false">Parametres!$B$5*C6563</f>
        <v>24.72</v>
      </c>
      <c r="F6563" s="20" t="n">
        <f aca="false">Parametres!$B$6*D6563</f>
        <v>22.1</v>
      </c>
      <c r="G6563" s="20" t="n">
        <f aca="false">E6563+F6563</f>
        <v>46.82</v>
      </c>
      <c r="H6563" s="20" t="n">
        <f aca="false">IF(G6563&lt;Parametres!$B$8*Parametres!$B$7,0,MIN(G6563,Parametres!$B$7))</f>
        <v>46.82</v>
      </c>
      <c r="I6563" s="20" t="n">
        <f aca="false">G6563-H6563</f>
        <v>0</v>
      </c>
      <c r="J6563" s="21" t="n">
        <f aca="false">H6563*1000/Parametres!$B$9</f>
        <v>793.963032050195</v>
      </c>
    </row>
    <row r="6564" customFormat="false" ht="15" hidden="false" customHeight="false" outlineLevel="0" collapsed="false">
      <c r="A6564" s="0" t="n">
        <v>6560</v>
      </c>
      <c r="B6564" s="0" t="n">
        <v>10</v>
      </c>
      <c r="C6564" s="19" t="n">
        <v>0.3503</v>
      </c>
      <c r="D6564" s="19" t="n">
        <v>0.125</v>
      </c>
      <c r="E6564" s="20" t="n">
        <f aca="false">Parametres!$B$5*C6564</f>
        <v>105.09</v>
      </c>
      <c r="F6564" s="20" t="n">
        <f aca="false">Parametres!$B$6*D6564</f>
        <v>25</v>
      </c>
      <c r="G6564" s="20" t="n">
        <f aca="false">E6564+F6564</f>
        <v>130.09</v>
      </c>
      <c r="H6564" s="20" t="n">
        <f aca="false">IF(G6564&lt;Parametres!$B$8*Parametres!$B$7,0,MIN(G6564,Parametres!$B$7))</f>
        <v>130.09</v>
      </c>
      <c r="I6564" s="20" t="n">
        <f aca="false">G6564-H6564</f>
        <v>0</v>
      </c>
      <c r="J6564" s="21" t="n">
        <f aca="false">H6564*1000/Parametres!$B$9</f>
        <v>2206.03696794981</v>
      </c>
    </row>
    <row r="6565" customFormat="false" ht="15" hidden="false" customHeight="false" outlineLevel="0" collapsed="false">
      <c r="A6565" s="0" t="n">
        <v>6561</v>
      </c>
      <c r="B6565" s="0" t="n">
        <v>10</v>
      </c>
      <c r="C6565" s="19" t="n">
        <v>0.6812</v>
      </c>
      <c r="D6565" s="19" t="n">
        <v>0.086</v>
      </c>
      <c r="E6565" s="20" t="n">
        <f aca="false">Parametres!$B$5*C6565</f>
        <v>204.36</v>
      </c>
      <c r="F6565" s="20" t="n">
        <f aca="false">Parametres!$B$6*D6565</f>
        <v>17.2</v>
      </c>
      <c r="G6565" s="20" t="n">
        <f aca="false">E6565+F6565</f>
        <v>221.56</v>
      </c>
      <c r="H6565" s="20" t="n">
        <f aca="false">IF(G6565&lt;Parametres!$B$8*Parametres!$B$7,0,MIN(G6565,Parametres!$B$7))</f>
        <v>221.56</v>
      </c>
      <c r="I6565" s="20" t="n">
        <f aca="false">G6565-H6565</f>
        <v>0</v>
      </c>
      <c r="J6565" s="21" t="n">
        <f aca="false">H6565*1000/Parametres!$B$9</f>
        <v>3757.16465999661</v>
      </c>
    </row>
    <row r="6566" customFormat="false" ht="15" hidden="false" customHeight="false" outlineLevel="0" collapsed="false">
      <c r="A6566" s="0" t="n">
        <v>6562</v>
      </c>
      <c r="B6566" s="0" t="n">
        <v>10</v>
      </c>
      <c r="C6566" s="19" t="n">
        <v>0.8961</v>
      </c>
      <c r="D6566" s="19" t="n">
        <v>0.1074</v>
      </c>
      <c r="E6566" s="20" t="n">
        <f aca="false">Parametres!$B$5*C6566</f>
        <v>268.83</v>
      </c>
      <c r="F6566" s="20" t="n">
        <f aca="false">Parametres!$B$6*D6566</f>
        <v>21.48</v>
      </c>
      <c r="G6566" s="20" t="n">
        <f aca="false">E6566+F6566</f>
        <v>290.31</v>
      </c>
      <c r="H6566" s="20" t="n">
        <f aca="false">IF(G6566&lt;Parametres!$B$8*Parametres!$B$7,0,MIN(G6566,Parametres!$B$7))</f>
        <v>250</v>
      </c>
      <c r="I6566" s="20" t="n">
        <f aca="false">G6566-H6566</f>
        <v>40.31</v>
      </c>
      <c r="J6566" s="21" t="n">
        <f aca="false">H6566*1000/Parametres!$B$9</f>
        <v>4239.44378497541</v>
      </c>
    </row>
    <row r="6567" customFormat="false" ht="15" hidden="false" customHeight="false" outlineLevel="0" collapsed="false">
      <c r="A6567" s="0" t="n">
        <v>6563</v>
      </c>
      <c r="B6567" s="0" t="n">
        <v>10</v>
      </c>
      <c r="C6567" s="19" t="n">
        <v>1</v>
      </c>
      <c r="D6567" s="19" t="n">
        <v>0.212</v>
      </c>
      <c r="E6567" s="20" t="n">
        <f aca="false">Parametres!$B$5*C6567</f>
        <v>300</v>
      </c>
      <c r="F6567" s="20" t="n">
        <f aca="false">Parametres!$B$6*D6567</f>
        <v>42.4</v>
      </c>
      <c r="G6567" s="20" t="n">
        <f aca="false">E6567+F6567</f>
        <v>342.4</v>
      </c>
      <c r="H6567" s="20" t="n">
        <f aca="false">IF(G6567&lt;Parametres!$B$8*Parametres!$B$7,0,MIN(G6567,Parametres!$B$7))</f>
        <v>250</v>
      </c>
      <c r="I6567" s="20" t="n">
        <f aca="false">G6567-H6567</f>
        <v>92.4</v>
      </c>
      <c r="J6567" s="21" t="n">
        <f aca="false">H6567*1000/Parametres!$B$9</f>
        <v>4239.44378497541</v>
      </c>
    </row>
    <row r="6568" customFormat="false" ht="15" hidden="false" customHeight="false" outlineLevel="0" collapsed="false">
      <c r="A6568" s="0" t="n">
        <v>6564</v>
      </c>
      <c r="B6568" s="0" t="n">
        <v>10</v>
      </c>
      <c r="C6568" s="19" t="n">
        <v>1</v>
      </c>
      <c r="D6568" s="19" t="n">
        <v>0.2578</v>
      </c>
      <c r="E6568" s="20" t="n">
        <f aca="false">Parametres!$B$5*C6568</f>
        <v>300</v>
      </c>
      <c r="F6568" s="20" t="n">
        <f aca="false">Parametres!$B$6*D6568</f>
        <v>51.56</v>
      </c>
      <c r="G6568" s="20" t="n">
        <f aca="false">E6568+F6568</f>
        <v>351.56</v>
      </c>
      <c r="H6568" s="20" t="n">
        <f aca="false">IF(G6568&lt;Parametres!$B$8*Parametres!$B$7,0,MIN(G6568,Parametres!$B$7))</f>
        <v>250</v>
      </c>
      <c r="I6568" s="20" t="n">
        <f aca="false">G6568-H6568</f>
        <v>101.56</v>
      </c>
      <c r="J6568" s="21" t="n">
        <f aca="false">H6568*1000/Parametres!$B$9</f>
        <v>4239.44378497541</v>
      </c>
    </row>
    <row r="6569" customFormat="false" ht="15" hidden="false" customHeight="false" outlineLevel="0" collapsed="false">
      <c r="A6569" s="0" t="n">
        <v>6565</v>
      </c>
      <c r="B6569" s="0" t="n">
        <v>10</v>
      </c>
      <c r="C6569" s="19" t="n">
        <v>1</v>
      </c>
      <c r="D6569" s="19" t="n">
        <v>0.3365</v>
      </c>
      <c r="E6569" s="20" t="n">
        <f aca="false">Parametres!$B$5*C6569</f>
        <v>300</v>
      </c>
      <c r="F6569" s="20" t="n">
        <f aca="false">Parametres!$B$6*D6569</f>
        <v>67.3</v>
      </c>
      <c r="G6569" s="20" t="n">
        <f aca="false">E6569+F6569</f>
        <v>367.3</v>
      </c>
      <c r="H6569" s="20" t="n">
        <f aca="false">IF(G6569&lt;Parametres!$B$8*Parametres!$B$7,0,MIN(G6569,Parametres!$B$7))</f>
        <v>250</v>
      </c>
      <c r="I6569" s="20" t="n">
        <f aca="false">G6569-H6569</f>
        <v>117.3</v>
      </c>
      <c r="J6569" s="21" t="n">
        <f aca="false">H6569*1000/Parametres!$B$9</f>
        <v>4239.44378497541</v>
      </c>
    </row>
    <row r="6570" customFormat="false" ht="15" hidden="false" customHeight="false" outlineLevel="0" collapsed="false">
      <c r="A6570" s="0" t="n">
        <v>6566</v>
      </c>
      <c r="B6570" s="0" t="n">
        <v>10</v>
      </c>
      <c r="C6570" s="19" t="n">
        <v>1</v>
      </c>
      <c r="D6570" s="19" t="n">
        <v>0.2578</v>
      </c>
      <c r="E6570" s="20" t="n">
        <f aca="false">Parametres!$B$5*C6570</f>
        <v>300</v>
      </c>
      <c r="F6570" s="20" t="n">
        <f aca="false">Parametres!$B$6*D6570</f>
        <v>51.56</v>
      </c>
      <c r="G6570" s="20" t="n">
        <f aca="false">E6570+F6570</f>
        <v>351.56</v>
      </c>
      <c r="H6570" s="20" t="n">
        <f aca="false">IF(G6570&lt;Parametres!$B$8*Parametres!$B$7,0,MIN(G6570,Parametres!$B$7))</f>
        <v>250</v>
      </c>
      <c r="I6570" s="20" t="n">
        <f aca="false">G6570-H6570</f>
        <v>101.56</v>
      </c>
      <c r="J6570" s="21" t="n">
        <f aca="false">H6570*1000/Parametres!$B$9</f>
        <v>4239.44378497541</v>
      </c>
    </row>
    <row r="6571" customFormat="false" ht="15" hidden="false" customHeight="false" outlineLevel="0" collapsed="false">
      <c r="A6571" s="0" t="n">
        <v>6567</v>
      </c>
      <c r="B6571" s="0" t="n">
        <v>10</v>
      </c>
      <c r="C6571" s="19" t="n">
        <v>0.8809</v>
      </c>
      <c r="D6571" s="19" t="n">
        <v>0.4985</v>
      </c>
      <c r="E6571" s="20" t="n">
        <f aca="false">Parametres!$B$5*C6571</f>
        <v>264.27</v>
      </c>
      <c r="F6571" s="20" t="n">
        <f aca="false">Parametres!$B$6*D6571</f>
        <v>99.7</v>
      </c>
      <c r="G6571" s="20" t="n">
        <f aca="false">E6571+F6571</f>
        <v>363.97</v>
      </c>
      <c r="H6571" s="20" t="n">
        <f aca="false">IF(G6571&lt;Parametres!$B$8*Parametres!$B$7,0,MIN(G6571,Parametres!$B$7))</f>
        <v>250</v>
      </c>
      <c r="I6571" s="20" t="n">
        <f aca="false">G6571-H6571</f>
        <v>113.97</v>
      </c>
      <c r="J6571" s="21" t="n">
        <f aca="false">H6571*1000/Parametres!$B$9</f>
        <v>4239.44378497541</v>
      </c>
    </row>
    <row r="6572" customFormat="false" ht="15" hidden="false" customHeight="false" outlineLevel="0" collapsed="false">
      <c r="A6572" s="0" t="n">
        <v>6568</v>
      </c>
      <c r="B6572" s="0" t="n">
        <v>10</v>
      </c>
      <c r="C6572" s="19" t="n">
        <v>0.6179</v>
      </c>
      <c r="D6572" s="19" t="n">
        <v>0.3322</v>
      </c>
      <c r="E6572" s="20" t="n">
        <f aca="false">Parametres!$B$5*C6572</f>
        <v>185.37</v>
      </c>
      <c r="F6572" s="20" t="n">
        <f aca="false">Parametres!$B$6*D6572</f>
        <v>66.44</v>
      </c>
      <c r="G6572" s="20" t="n">
        <f aca="false">E6572+F6572</f>
        <v>251.81</v>
      </c>
      <c r="H6572" s="20" t="n">
        <f aca="false">IF(G6572&lt;Parametres!$B$8*Parametres!$B$7,0,MIN(G6572,Parametres!$B$7))</f>
        <v>250</v>
      </c>
      <c r="I6572" s="20" t="n">
        <f aca="false">G6572-H6572</f>
        <v>1.81</v>
      </c>
      <c r="J6572" s="21" t="n">
        <f aca="false">H6572*1000/Parametres!$B$9</f>
        <v>4239.44378497541</v>
      </c>
    </row>
    <row r="6573" customFormat="false" ht="15" hidden="false" customHeight="false" outlineLevel="0" collapsed="false">
      <c r="A6573" s="0" t="n">
        <v>6569</v>
      </c>
      <c r="B6573" s="0" t="n">
        <v>10</v>
      </c>
      <c r="C6573" s="19" t="n">
        <v>0.361</v>
      </c>
      <c r="D6573" s="19" t="n">
        <v>0.5951</v>
      </c>
      <c r="E6573" s="20" t="n">
        <f aca="false">Parametres!$B$5*C6573</f>
        <v>108.3</v>
      </c>
      <c r="F6573" s="20" t="n">
        <f aca="false">Parametres!$B$6*D6573</f>
        <v>119.02</v>
      </c>
      <c r="G6573" s="20" t="n">
        <f aca="false">E6573+F6573</f>
        <v>227.32</v>
      </c>
      <c r="H6573" s="20" t="n">
        <f aca="false">IF(G6573&lt;Parametres!$B$8*Parametres!$B$7,0,MIN(G6573,Parametres!$B$7))</f>
        <v>227.32</v>
      </c>
      <c r="I6573" s="20" t="n">
        <f aca="false">G6573-H6573</f>
        <v>0</v>
      </c>
      <c r="J6573" s="21" t="n">
        <f aca="false">H6573*1000/Parametres!$B$9</f>
        <v>3854.84144480244</v>
      </c>
    </row>
    <row r="6574" customFormat="false" ht="15" hidden="false" customHeight="false" outlineLevel="0" collapsed="false">
      <c r="A6574" s="0" t="n">
        <v>6570</v>
      </c>
      <c r="B6574" s="0" t="n">
        <v>10</v>
      </c>
      <c r="C6574" s="19" t="n">
        <v>0.0848</v>
      </c>
      <c r="D6574" s="19" t="n">
        <v>0.5026</v>
      </c>
      <c r="E6574" s="20" t="n">
        <f aca="false">Parametres!$B$5*C6574</f>
        <v>25.44</v>
      </c>
      <c r="F6574" s="20" t="n">
        <f aca="false">Parametres!$B$6*D6574</f>
        <v>100.52</v>
      </c>
      <c r="G6574" s="20" t="n">
        <f aca="false">E6574+F6574</f>
        <v>125.96</v>
      </c>
      <c r="H6574" s="20" t="n">
        <f aca="false">IF(G6574&lt;Parametres!$B$8*Parametres!$B$7,0,MIN(G6574,Parametres!$B$7))</f>
        <v>125.96</v>
      </c>
      <c r="I6574" s="20" t="n">
        <f aca="false">G6574-H6574</f>
        <v>0</v>
      </c>
      <c r="J6574" s="21" t="n">
        <f aca="false">H6574*1000/Parametres!$B$9</f>
        <v>2136.00135662201</v>
      </c>
    </row>
    <row r="6575" customFormat="false" ht="15" hidden="false" customHeight="false" outlineLevel="0" collapsed="false">
      <c r="A6575" s="0" t="n">
        <v>6571</v>
      </c>
      <c r="B6575" s="0" t="n">
        <v>10</v>
      </c>
      <c r="C6575" s="19" t="n">
        <v>0</v>
      </c>
      <c r="D6575" s="19" t="n">
        <v>0.1793</v>
      </c>
      <c r="E6575" s="20" t="n">
        <f aca="false">Parametres!$B$5*C6575</f>
        <v>0</v>
      </c>
      <c r="F6575" s="20" t="n">
        <f aca="false">Parametres!$B$6*D6575</f>
        <v>35.86</v>
      </c>
      <c r="G6575" s="20" t="n">
        <f aca="false">E6575+F6575</f>
        <v>35.86</v>
      </c>
      <c r="H6575" s="20" t="n">
        <f aca="false">IF(G6575&lt;Parametres!$B$8*Parametres!$B$7,0,MIN(G6575,Parametres!$B$7))</f>
        <v>35.86</v>
      </c>
      <c r="I6575" s="20" t="n">
        <f aca="false">G6575-H6575</f>
        <v>0</v>
      </c>
      <c r="J6575" s="21" t="n">
        <f aca="false">H6575*1000/Parametres!$B$9</f>
        <v>608.105816516873</v>
      </c>
    </row>
    <row r="6576" customFormat="false" ht="15" hidden="false" customHeight="false" outlineLevel="0" collapsed="false">
      <c r="A6576" s="0" t="n">
        <v>6572</v>
      </c>
      <c r="B6576" s="0" t="n">
        <v>10</v>
      </c>
      <c r="C6576" s="19" t="n">
        <v>0</v>
      </c>
      <c r="D6576" s="19" t="n">
        <v>0.1824</v>
      </c>
      <c r="E6576" s="20" t="n">
        <f aca="false">Parametres!$B$5*C6576</f>
        <v>0</v>
      </c>
      <c r="F6576" s="20" t="n">
        <f aca="false">Parametres!$B$6*D6576</f>
        <v>36.48</v>
      </c>
      <c r="G6576" s="20" t="n">
        <f aca="false">E6576+F6576</f>
        <v>36.48</v>
      </c>
      <c r="H6576" s="20" t="n">
        <f aca="false">IF(G6576&lt;Parametres!$B$8*Parametres!$B$7,0,MIN(G6576,Parametres!$B$7))</f>
        <v>36.48</v>
      </c>
      <c r="I6576" s="20" t="n">
        <f aca="false">G6576-H6576</f>
        <v>0</v>
      </c>
      <c r="J6576" s="21" t="n">
        <f aca="false">H6576*1000/Parametres!$B$9</f>
        <v>618.619637103612</v>
      </c>
    </row>
    <row r="6577" customFormat="false" ht="15" hidden="false" customHeight="false" outlineLevel="0" collapsed="false">
      <c r="A6577" s="0" t="n">
        <v>6573</v>
      </c>
      <c r="B6577" s="0" t="n">
        <v>10</v>
      </c>
      <c r="C6577" s="19" t="n">
        <v>0</v>
      </c>
      <c r="D6577" s="19" t="n">
        <v>0.1527</v>
      </c>
      <c r="E6577" s="20" t="n">
        <f aca="false">Parametres!$B$5*C6577</f>
        <v>0</v>
      </c>
      <c r="F6577" s="20" t="n">
        <f aca="false">Parametres!$B$6*D6577</f>
        <v>30.54</v>
      </c>
      <c r="G6577" s="20" t="n">
        <f aca="false">E6577+F6577</f>
        <v>30.54</v>
      </c>
      <c r="H6577" s="20" t="n">
        <f aca="false">IF(G6577&lt;Parametres!$B$8*Parametres!$B$7,0,MIN(G6577,Parametres!$B$7))</f>
        <v>30.54</v>
      </c>
      <c r="I6577" s="20" t="n">
        <f aca="false">G6577-H6577</f>
        <v>0</v>
      </c>
      <c r="J6577" s="21" t="n">
        <f aca="false">H6577*1000/Parametres!$B$9</f>
        <v>517.890452772596</v>
      </c>
    </row>
    <row r="6578" customFormat="false" ht="15" hidden="false" customHeight="false" outlineLevel="0" collapsed="false">
      <c r="A6578" s="0" t="n">
        <v>6574</v>
      </c>
      <c r="B6578" s="0" t="n">
        <v>10</v>
      </c>
      <c r="C6578" s="19" t="n">
        <v>0</v>
      </c>
      <c r="D6578" s="19" t="n">
        <v>0.0835</v>
      </c>
      <c r="E6578" s="20" t="n">
        <f aca="false">Parametres!$B$5*C6578</f>
        <v>0</v>
      </c>
      <c r="F6578" s="20" t="n">
        <f aca="false">Parametres!$B$6*D6578</f>
        <v>16.7</v>
      </c>
      <c r="G6578" s="20" t="n">
        <f aca="false">E6578+F6578</f>
        <v>16.7</v>
      </c>
      <c r="H6578" s="20" t="n">
        <f aca="false">IF(G6578&lt;Parametres!$B$8*Parametres!$B$7,0,MIN(G6578,Parametres!$B$7))</f>
        <v>0</v>
      </c>
      <c r="I6578" s="20" t="n">
        <f aca="false">G6578-H6578</f>
        <v>16.7</v>
      </c>
      <c r="J6578" s="21" t="n">
        <f aca="false">H6578*1000/Parametres!$B$9</f>
        <v>0</v>
      </c>
    </row>
    <row r="6579" customFormat="false" ht="15" hidden="false" customHeight="false" outlineLevel="0" collapsed="false">
      <c r="A6579" s="0" t="n">
        <v>6575</v>
      </c>
      <c r="B6579" s="0" t="n">
        <v>10</v>
      </c>
      <c r="C6579" s="19" t="n">
        <v>0</v>
      </c>
      <c r="D6579" s="19" t="n">
        <v>0.0313</v>
      </c>
      <c r="E6579" s="20" t="n">
        <f aca="false">Parametres!$B$5*C6579</f>
        <v>0</v>
      </c>
      <c r="F6579" s="20" t="n">
        <f aca="false">Parametres!$B$6*D6579</f>
        <v>6.26</v>
      </c>
      <c r="G6579" s="20" t="n">
        <f aca="false">E6579+F6579</f>
        <v>6.26</v>
      </c>
      <c r="H6579" s="20" t="n">
        <f aca="false">IF(G6579&lt;Parametres!$B$8*Parametres!$B$7,0,MIN(G6579,Parametres!$B$7))</f>
        <v>0</v>
      </c>
      <c r="I6579" s="20" t="n">
        <f aca="false">G6579-H6579</f>
        <v>6.26</v>
      </c>
      <c r="J6579" s="21" t="n">
        <f aca="false">H6579*1000/Parametres!$B$9</f>
        <v>0</v>
      </c>
    </row>
    <row r="6580" customFormat="false" ht="15" hidden="false" customHeight="false" outlineLevel="0" collapsed="false">
      <c r="A6580" s="0" t="n">
        <v>6576</v>
      </c>
      <c r="B6580" s="0" t="n">
        <v>10</v>
      </c>
      <c r="C6580" s="19" t="n">
        <v>0</v>
      </c>
      <c r="D6580" s="19" t="n">
        <v>0.0322</v>
      </c>
      <c r="E6580" s="20" t="n">
        <f aca="false">Parametres!$B$5*C6580</f>
        <v>0</v>
      </c>
      <c r="F6580" s="20" t="n">
        <f aca="false">Parametres!$B$6*D6580</f>
        <v>6.44</v>
      </c>
      <c r="G6580" s="20" t="n">
        <f aca="false">E6580+F6580</f>
        <v>6.44</v>
      </c>
      <c r="H6580" s="20" t="n">
        <f aca="false">IF(G6580&lt;Parametres!$B$8*Parametres!$B$7,0,MIN(G6580,Parametres!$B$7))</f>
        <v>0</v>
      </c>
      <c r="I6580" s="20" t="n">
        <f aca="false">G6580-H6580</f>
        <v>6.44</v>
      </c>
      <c r="J6580" s="21" t="n">
        <f aca="false">H6580*1000/Parametres!$B$9</f>
        <v>0</v>
      </c>
    </row>
    <row r="6581" customFormat="false" ht="15" hidden="false" customHeight="false" outlineLevel="0" collapsed="false">
      <c r="A6581" s="0" t="n">
        <v>6577</v>
      </c>
      <c r="B6581" s="0" t="n">
        <v>10</v>
      </c>
      <c r="C6581" s="19" t="n">
        <v>0</v>
      </c>
      <c r="D6581" s="19" t="n">
        <v>0.0269</v>
      </c>
      <c r="E6581" s="20" t="n">
        <f aca="false">Parametres!$B$5*C6581</f>
        <v>0</v>
      </c>
      <c r="F6581" s="20" t="n">
        <f aca="false">Parametres!$B$6*D6581</f>
        <v>5.38</v>
      </c>
      <c r="G6581" s="20" t="n">
        <f aca="false">E6581+F6581</f>
        <v>5.38</v>
      </c>
      <c r="H6581" s="20" t="n">
        <f aca="false">IF(G6581&lt;Parametres!$B$8*Parametres!$B$7,0,MIN(G6581,Parametres!$B$7))</f>
        <v>0</v>
      </c>
      <c r="I6581" s="20" t="n">
        <f aca="false">G6581-H6581</f>
        <v>5.38</v>
      </c>
      <c r="J6581" s="21" t="n">
        <f aca="false">H6581*1000/Parametres!$B$9</f>
        <v>0</v>
      </c>
    </row>
    <row r="6582" customFormat="false" ht="15" hidden="false" customHeight="false" outlineLevel="0" collapsed="false">
      <c r="A6582" s="0" t="n">
        <v>6578</v>
      </c>
      <c r="B6582" s="0" t="n">
        <v>10</v>
      </c>
      <c r="C6582" s="19" t="n">
        <v>0</v>
      </c>
      <c r="D6582" s="19" t="n">
        <v>0.0202</v>
      </c>
      <c r="E6582" s="20" t="n">
        <f aca="false">Parametres!$B$5*C6582</f>
        <v>0</v>
      </c>
      <c r="F6582" s="20" t="n">
        <f aca="false">Parametres!$B$6*D6582</f>
        <v>4.04</v>
      </c>
      <c r="G6582" s="20" t="n">
        <f aca="false">E6582+F6582</f>
        <v>4.04</v>
      </c>
      <c r="H6582" s="20" t="n">
        <f aca="false">IF(G6582&lt;Parametres!$B$8*Parametres!$B$7,0,MIN(G6582,Parametres!$B$7))</f>
        <v>0</v>
      </c>
      <c r="I6582" s="20" t="n">
        <f aca="false">G6582-H6582</f>
        <v>4.04</v>
      </c>
      <c r="J6582" s="21" t="n">
        <f aca="false">H6582*1000/Parametres!$B$9</f>
        <v>0</v>
      </c>
    </row>
    <row r="6583" customFormat="false" ht="15" hidden="false" customHeight="false" outlineLevel="0" collapsed="false">
      <c r="A6583" s="0" t="n">
        <v>6579</v>
      </c>
      <c r="B6583" s="0" t="n">
        <v>10</v>
      </c>
      <c r="C6583" s="19" t="n">
        <v>0</v>
      </c>
      <c r="D6583" s="19" t="n">
        <v>0.0442</v>
      </c>
      <c r="E6583" s="20" t="n">
        <f aca="false">Parametres!$B$5*C6583</f>
        <v>0</v>
      </c>
      <c r="F6583" s="20" t="n">
        <f aca="false">Parametres!$B$6*D6583</f>
        <v>8.84</v>
      </c>
      <c r="G6583" s="20" t="n">
        <f aca="false">E6583+F6583</f>
        <v>8.84</v>
      </c>
      <c r="H6583" s="20" t="n">
        <f aca="false">IF(G6583&lt;Parametres!$B$8*Parametres!$B$7,0,MIN(G6583,Parametres!$B$7))</f>
        <v>0</v>
      </c>
      <c r="I6583" s="20" t="n">
        <f aca="false">G6583-H6583</f>
        <v>8.84</v>
      </c>
      <c r="J6583" s="21" t="n">
        <f aca="false">H6583*1000/Parametres!$B$9</f>
        <v>0</v>
      </c>
    </row>
    <row r="6584" customFormat="false" ht="15" hidden="false" customHeight="false" outlineLevel="0" collapsed="false">
      <c r="A6584" s="0" t="n">
        <v>6580</v>
      </c>
      <c r="B6584" s="0" t="n">
        <v>10</v>
      </c>
      <c r="C6584" s="19" t="n">
        <v>0</v>
      </c>
      <c r="D6584" s="19" t="n">
        <v>0.0414</v>
      </c>
      <c r="E6584" s="20" t="n">
        <f aca="false">Parametres!$B$5*C6584</f>
        <v>0</v>
      </c>
      <c r="F6584" s="20" t="n">
        <f aca="false">Parametres!$B$6*D6584</f>
        <v>8.28</v>
      </c>
      <c r="G6584" s="20" t="n">
        <f aca="false">E6584+F6584</f>
        <v>8.28</v>
      </c>
      <c r="H6584" s="20" t="n">
        <f aca="false">IF(G6584&lt;Parametres!$B$8*Parametres!$B$7,0,MIN(G6584,Parametres!$B$7))</f>
        <v>0</v>
      </c>
      <c r="I6584" s="20" t="n">
        <f aca="false">G6584-H6584</f>
        <v>8.28</v>
      </c>
      <c r="J6584" s="21" t="n">
        <f aca="false">H6584*1000/Parametres!$B$9</f>
        <v>0</v>
      </c>
    </row>
    <row r="6585" customFormat="false" ht="15" hidden="false" customHeight="false" outlineLevel="0" collapsed="false">
      <c r="A6585" s="0" t="n">
        <v>6581</v>
      </c>
      <c r="B6585" s="0" t="n">
        <v>10</v>
      </c>
      <c r="C6585" s="19" t="n">
        <v>0</v>
      </c>
      <c r="D6585" s="19" t="n">
        <v>0.0315</v>
      </c>
      <c r="E6585" s="20" t="n">
        <f aca="false">Parametres!$B$5*C6585</f>
        <v>0</v>
      </c>
      <c r="F6585" s="20" t="n">
        <f aca="false">Parametres!$B$6*D6585</f>
        <v>6.3</v>
      </c>
      <c r="G6585" s="20" t="n">
        <f aca="false">E6585+F6585</f>
        <v>6.3</v>
      </c>
      <c r="H6585" s="20" t="n">
        <f aca="false">IF(G6585&lt;Parametres!$B$8*Parametres!$B$7,0,MIN(G6585,Parametres!$B$7))</f>
        <v>0</v>
      </c>
      <c r="I6585" s="20" t="n">
        <f aca="false">G6585-H6585</f>
        <v>6.3</v>
      </c>
      <c r="J6585" s="21" t="n">
        <f aca="false">H6585*1000/Parametres!$B$9</f>
        <v>0</v>
      </c>
    </row>
    <row r="6586" customFormat="false" ht="15" hidden="false" customHeight="false" outlineLevel="0" collapsed="false">
      <c r="A6586" s="0" t="n">
        <v>6582</v>
      </c>
      <c r="B6586" s="0" t="n">
        <v>10</v>
      </c>
      <c r="C6586" s="19" t="n">
        <v>0</v>
      </c>
      <c r="D6586" s="19" t="n">
        <v>0.0103</v>
      </c>
      <c r="E6586" s="20" t="n">
        <f aca="false">Parametres!$B$5*C6586</f>
        <v>0</v>
      </c>
      <c r="F6586" s="20" t="n">
        <f aca="false">Parametres!$B$6*D6586</f>
        <v>2.06</v>
      </c>
      <c r="G6586" s="20" t="n">
        <f aca="false">E6586+F6586</f>
        <v>2.06</v>
      </c>
      <c r="H6586" s="20" t="n">
        <f aca="false">IF(G6586&lt;Parametres!$B$8*Parametres!$B$7,0,MIN(G6586,Parametres!$B$7))</f>
        <v>0</v>
      </c>
      <c r="I6586" s="20" t="n">
        <f aca="false">G6586-H6586</f>
        <v>2.06</v>
      </c>
      <c r="J6586" s="21" t="n">
        <f aca="false">H6586*1000/Parametres!$B$9</f>
        <v>0</v>
      </c>
    </row>
    <row r="6587" customFormat="false" ht="15" hidden="false" customHeight="false" outlineLevel="0" collapsed="false">
      <c r="A6587" s="0" t="n">
        <v>6583</v>
      </c>
      <c r="B6587" s="0" t="n">
        <v>10</v>
      </c>
      <c r="C6587" s="19" t="n">
        <v>0.0596</v>
      </c>
      <c r="D6587" s="19" t="n">
        <v>0.0083</v>
      </c>
      <c r="E6587" s="20" t="n">
        <f aca="false">Parametres!$B$5*C6587</f>
        <v>17.88</v>
      </c>
      <c r="F6587" s="20" t="n">
        <f aca="false">Parametres!$B$6*D6587</f>
        <v>1.66</v>
      </c>
      <c r="G6587" s="20" t="n">
        <f aca="false">E6587+F6587</f>
        <v>19.54</v>
      </c>
      <c r="H6587" s="20" t="n">
        <f aca="false">IF(G6587&lt;Parametres!$B$8*Parametres!$B$7,0,MIN(G6587,Parametres!$B$7))</f>
        <v>0</v>
      </c>
      <c r="I6587" s="20" t="n">
        <f aca="false">G6587-H6587</f>
        <v>19.54</v>
      </c>
      <c r="J6587" s="21" t="n">
        <f aca="false">H6587*1000/Parametres!$B$9</f>
        <v>0</v>
      </c>
    </row>
    <row r="6588" customFormat="false" ht="15" hidden="false" customHeight="false" outlineLevel="0" collapsed="false">
      <c r="A6588" s="0" t="n">
        <v>6584</v>
      </c>
      <c r="B6588" s="0" t="n">
        <v>10</v>
      </c>
      <c r="C6588" s="19" t="n">
        <v>0.2834</v>
      </c>
      <c r="D6588" s="19" t="n">
        <v>0.0164</v>
      </c>
      <c r="E6588" s="20" t="n">
        <f aca="false">Parametres!$B$5*C6588</f>
        <v>85.02</v>
      </c>
      <c r="F6588" s="20" t="n">
        <f aca="false">Parametres!$B$6*D6588</f>
        <v>3.28</v>
      </c>
      <c r="G6588" s="20" t="n">
        <f aca="false">E6588+F6588</f>
        <v>88.3</v>
      </c>
      <c r="H6588" s="20" t="n">
        <f aca="false">IF(G6588&lt;Parametres!$B$8*Parametres!$B$7,0,MIN(G6588,Parametres!$B$7))</f>
        <v>88.3</v>
      </c>
      <c r="I6588" s="20" t="n">
        <f aca="false">G6588-H6588</f>
        <v>0</v>
      </c>
      <c r="J6588" s="21" t="n">
        <f aca="false">H6588*1000/Parametres!$B$9</f>
        <v>1497.37154485332</v>
      </c>
    </row>
    <row r="6589" customFormat="false" ht="15" hidden="false" customHeight="false" outlineLevel="0" collapsed="false">
      <c r="A6589" s="0" t="n">
        <v>6585</v>
      </c>
      <c r="B6589" s="0" t="n">
        <v>10</v>
      </c>
      <c r="C6589" s="19" t="n">
        <v>0.5168</v>
      </c>
      <c r="D6589" s="19" t="n">
        <v>0.0295</v>
      </c>
      <c r="E6589" s="20" t="n">
        <f aca="false">Parametres!$B$5*C6589</f>
        <v>155.04</v>
      </c>
      <c r="F6589" s="20" t="n">
        <f aca="false">Parametres!$B$6*D6589</f>
        <v>5.9</v>
      </c>
      <c r="G6589" s="20" t="n">
        <f aca="false">E6589+F6589</f>
        <v>160.94</v>
      </c>
      <c r="H6589" s="20" t="n">
        <f aca="false">IF(G6589&lt;Parametres!$B$8*Parametres!$B$7,0,MIN(G6589,Parametres!$B$7))</f>
        <v>160.94</v>
      </c>
      <c r="I6589" s="20" t="n">
        <f aca="false">G6589-H6589</f>
        <v>0</v>
      </c>
      <c r="J6589" s="21" t="n">
        <f aca="false">H6589*1000/Parametres!$B$9</f>
        <v>2729.18433101577</v>
      </c>
    </row>
    <row r="6590" customFormat="false" ht="15" hidden="false" customHeight="false" outlineLevel="0" collapsed="false">
      <c r="A6590" s="0" t="n">
        <v>6586</v>
      </c>
      <c r="B6590" s="0" t="n">
        <v>10</v>
      </c>
      <c r="C6590" s="19" t="n">
        <v>0.7474</v>
      </c>
      <c r="D6590" s="19" t="n">
        <v>0.0515</v>
      </c>
      <c r="E6590" s="20" t="n">
        <f aca="false">Parametres!$B$5*C6590</f>
        <v>224.22</v>
      </c>
      <c r="F6590" s="20" t="n">
        <f aca="false">Parametres!$B$6*D6590</f>
        <v>10.3</v>
      </c>
      <c r="G6590" s="20" t="n">
        <f aca="false">E6590+F6590</f>
        <v>234.52</v>
      </c>
      <c r="H6590" s="20" t="n">
        <f aca="false">IF(G6590&lt;Parametres!$B$8*Parametres!$B$7,0,MIN(G6590,Parametres!$B$7))</f>
        <v>234.52</v>
      </c>
      <c r="I6590" s="20" t="n">
        <f aca="false">G6590-H6590</f>
        <v>0</v>
      </c>
      <c r="J6590" s="21" t="n">
        <f aca="false">H6590*1000/Parametres!$B$9</f>
        <v>3976.93742580973</v>
      </c>
    </row>
    <row r="6591" customFormat="false" ht="15" hidden="false" customHeight="false" outlineLevel="0" collapsed="false">
      <c r="A6591" s="0" t="n">
        <v>6587</v>
      </c>
      <c r="B6591" s="0" t="n">
        <v>10</v>
      </c>
      <c r="C6591" s="19" t="n">
        <v>0.8546</v>
      </c>
      <c r="D6591" s="19" t="n">
        <v>0.0538</v>
      </c>
      <c r="E6591" s="20" t="n">
        <f aca="false">Parametres!$B$5*C6591</f>
        <v>256.38</v>
      </c>
      <c r="F6591" s="20" t="n">
        <f aca="false">Parametres!$B$6*D6591</f>
        <v>10.76</v>
      </c>
      <c r="G6591" s="20" t="n">
        <f aca="false">E6591+F6591</f>
        <v>267.14</v>
      </c>
      <c r="H6591" s="20" t="n">
        <f aca="false">IF(G6591&lt;Parametres!$B$8*Parametres!$B$7,0,MIN(G6591,Parametres!$B$7))</f>
        <v>250</v>
      </c>
      <c r="I6591" s="20" t="n">
        <f aca="false">G6591-H6591</f>
        <v>17.14</v>
      </c>
      <c r="J6591" s="21" t="n">
        <f aca="false">H6591*1000/Parametres!$B$9</f>
        <v>4239.44378497541</v>
      </c>
    </row>
    <row r="6592" customFormat="false" ht="15" hidden="false" customHeight="false" outlineLevel="0" collapsed="false">
      <c r="A6592" s="0" t="n">
        <v>6588</v>
      </c>
      <c r="B6592" s="0" t="n">
        <v>10</v>
      </c>
      <c r="C6592" s="19" t="n">
        <v>0.9129</v>
      </c>
      <c r="D6592" s="19" t="n">
        <v>0.0855</v>
      </c>
      <c r="E6592" s="20" t="n">
        <f aca="false">Parametres!$B$5*C6592</f>
        <v>273.87</v>
      </c>
      <c r="F6592" s="20" t="n">
        <f aca="false">Parametres!$B$6*D6592</f>
        <v>17.1</v>
      </c>
      <c r="G6592" s="20" t="n">
        <f aca="false">E6592+F6592</f>
        <v>290.97</v>
      </c>
      <c r="H6592" s="20" t="n">
        <f aca="false">IF(G6592&lt;Parametres!$B$8*Parametres!$B$7,0,MIN(G6592,Parametres!$B$7))</f>
        <v>250</v>
      </c>
      <c r="I6592" s="20" t="n">
        <f aca="false">G6592-H6592</f>
        <v>40.97</v>
      </c>
      <c r="J6592" s="21" t="n">
        <f aca="false">H6592*1000/Parametres!$B$9</f>
        <v>4239.44378497541</v>
      </c>
    </row>
    <row r="6593" customFormat="false" ht="15" hidden="false" customHeight="false" outlineLevel="0" collapsed="false">
      <c r="A6593" s="0" t="n">
        <v>6589</v>
      </c>
      <c r="B6593" s="0" t="n">
        <v>10</v>
      </c>
      <c r="C6593" s="19" t="n">
        <v>0.9119</v>
      </c>
      <c r="D6593" s="19" t="n">
        <v>0.029</v>
      </c>
      <c r="E6593" s="20" t="n">
        <f aca="false">Parametres!$B$5*C6593</f>
        <v>273.57</v>
      </c>
      <c r="F6593" s="20" t="n">
        <f aca="false">Parametres!$B$6*D6593</f>
        <v>5.8</v>
      </c>
      <c r="G6593" s="20" t="n">
        <f aca="false">E6593+F6593</f>
        <v>279.37</v>
      </c>
      <c r="H6593" s="20" t="n">
        <f aca="false">IF(G6593&lt;Parametres!$B$8*Parametres!$B$7,0,MIN(G6593,Parametres!$B$7))</f>
        <v>250</v>
      </c>
      <c r="I6593" s="20" t="n">
        <f aca="false">G6593-H6593</f>
        <v>29.37</v>
      </c>
      <c r="J6593" s="21" t="n">
        <f aca="false">H6593*1000/Parametres!$B$9</f>
        <v>4239.44378497541</v>
      </c>
    </row>
    <row r="6594" customFormat="false" ht="15" hidden="false" customHeight="false" outlineLevel="0" collapsed="false">
      <c r="A6594" s="0" t="n">
        <v>6590</v>
      </c>
      <c r="B6594" s="0" t="n">
        <v>10</v>
      </c>
      <c r="C6594" s="19" t="n">
        <v>0.8565</v>
      </c>
      <c r="D6594" s="19" t="n">
        <v>0.0271</v>
      </c>
      <c r="E6594" s="20" t="n">
        <f aca="false">Parametres!$B$5*C6594</f>
        <v>256.95</v>
      </c>
      <c r="F6594" s="20" t="n">
        <f aca="false">Parametres!$B$6*D6594</f>
        <v>5.42</v>
      </c>
      <c r="G6594" s="20" t="n">
        <f aca="false">E6594+F6594</f>
        <v>262.37</v>
      </c>
      <c r="H6594" s="20" t="n">
        <f aca="false">IF(G6594&lt;Parametres!$B$8*Parametres!$B$7,0,MIN(G6594,Parametres!$B$7))</f>
        <v>250</v>
      </c>
      <c r="I6594" s="20" t="n">
        <f aca="false">G6594-H6594</f>
        <v>12.37</v>
      </c>
      <c r="J6594" s="21" t="n">
        <f aca="false">H6594*1000/Parametres!$B$9</f>
        <v>4239.44378497541</v>
      </c>
    </row>
    <row r="6595" customFormat="false" ht="15" hidden="false" customHeight="false" outlineLevel="0" collapsed="false">
      <c r="A6595" s="0" t="n">
        <v>6591</v>
      </c>
      <c r="B6595" s="0" t="n">
        <v>10</v>
      </c>
      <c r="C6595" s="19" t="n">
        <v>0.7225</v>
      </c>
      <c r="D6595" s="19" t="n">
        <v>0.1309</v>
      </c>
      <c r="E6595" s="20" t="n">
        <f aca="false">Parametres!$B$5*C6595</f>
        <v>216.75</v>
      </c>
      <c r="F6595" s="20" t="n">
        <f aca="false">Parametres!$B$6*D6595</f>
        <v>26.18</v>
      </c>
      <c r="G6595" s="20" t="n">
        <f aca="false">E6595+F6595</f>
        <v>242.93</v>
      </c>
      <c r="H6595" s="20" t="n">
        <f aca="false">IF(G6595&lt;Parametres!$B$8*Parametres!$B$7,0,MIN(G6595,Parametres!$B$7))</f>
        <v>242.93</v>
      </c>
      <c r="I6595" s="20" t="n">
        <f aca="false">G6595-H6595</f>
        <v>0</v>
      </c>
      <c r="J6595" s="21" t="n">
        <f aca="false">H6595*1000/Parametres!$B$9</f>
        <v>4119.55231473631</v>
      </c>
    </row>
    <row r="6596" customFormat="false" ht="15" hidden="false" customHeight="false" outlineLevel="0" collapsed="false">
      <c r="A6596" s="0" t="n">
        <v>6592</v>
      </c>
      <c r="B6596" s="0" t="n">
        <v>10</v>
      </c>
      <c r="C6596" s="19" t="n">
        <v>0.4931</v>
      </c>
      <c r="D6596" s="19" t="n">
        <v>0.1946</v>
      </c>
      <c r="E6596" s="20" t="n">
        <f aca="false">Parametres!$B$5*C6596</f>
        <v>147.93</v>
      </c>
      <c r="F6596" s="20" t="n">
        <f aca="false">Parametres!$B$6*D6596</f>
        <v>38.92</v>
      </c>
      <c r="G6596" s="20" t="n">
        <f aca="false">E6596+F6596</f>
        <v>186.85</v>
      </c>
      <c r="H6596" s="20" t="n">
        <f aca="false">IF(G6596&lt;Parametres!$B$8*Parametres!$B$7,0,MIN(G6596,Parametres!$B$7))</f>
        <v>186.85</v>
      </c>
      <c r="I6596" s="20" t="n">
        <f aca="false">G6596-H6596</f>
        <v>0</v>
      </c>
      <c r="J6596" s="21" t="n">
        <f aca="false">H6596*1000/Parametres!$B$9</f>
        <v>3168.56028489062</v>
      </c>
    </row>
    <row r="6597" customFormat="false" ht="15" hidden="false" customHeight="false" outlineLevel="0" collapsed="false">
      <c r="A6597" s="0" t="n">
        <v>6593</v>
      </c>
      <c r="B6597" s="0" t="n">
        <v>10</v>
      </c>
      <c r="C6597" s="19" t="n">
        <v>0.2848</v>
      </c>
      <c r="D6597" s="19" t="n">
        <v>0.2154</v>
      </c>
      <c r="E6597" s="20" t="n">
        <f aca="false">Parametres!$B$5*C6597</f>
        <v>85.44</v>
      </c>
      <c r="F6597" s="20" t="n">
        <f aca="false">Parametres!$B$6*D6597</f>
        <v>43.08</v>
      </c>
      <c r="G6597" s="20" t="n">
        <f aca="false">E6597+F6597</f>
        <v>128.52</v>
      </c>
      <c r="H6597" s="20" t="n">
        <f aca="false">IF(G6597&lt;Parametres!$B$8*Parametres!$B$7,0,MIN(G6597,Parametres!$B$7))</f>
        <v>128.52</v>
      </c>
      <c r="I6597" s="20" t="n">
        <f aca="false">G6597-H6597</f>
        <v>0</v>
      </c>
      <c r="J6597" s="21" t="n">
        <f aca="false">H6597*1000/Parametres!$B$9</f>
        <v>2179.41326098016</v>
      </c>
    </row>
    <row r="6598" customFormat="false" ht="15" hidden="false" customHeight="false" outlineLevel="0" collapsed="false">
      <c r="A6598" s="0" t="n">
        <v>6594</v>
      </c>
      <c r="B6598" s="0" t="n">
        <v>10</v>
      </c>
      <c r="C6598" s="19" t="n">
        <v>0.0644</v>
      </c>
      <c r="D6598" s="19" t="n">
        <v>0.285</v>
      </c>
      <c r="E6598" s="20" t="n">
        <f aca="false">Parametres!$B$5*C6598</f>
        <v>19.32</v>
      </c>
      <c r="F6598" s="20" t="n">
        <f aca="false">Parametres!$B$6*D6598</f>
        <v>57</v>
      </c>
      <c r="G6598" s="20" t="n">
        <f aca="false">E6598+F6598</f>
        <v>76.32</v>
      </c>
      <c r="H6598" s="20" t="n">
        <f aca="false">IF(G6598&lt;Parametres!$B$8*Parametres!$B$7,0,MIN(G6598,Parametres!$B$7))</f>
        <v>76.32</v>
      </c>
      <c r="I6598" s="20" t="n">
        <f aca="false">G6598-H6598</f>
        <v>0</v>
      </c>
      <c r="J6598" s="21" t="n">
        <f aca="false">H6598*1000/Parametres!$B$9</f>
        <v>1294.21739867729</v>
      </c>
    </row>
    <row r="6599" customFormat="false" ht="15" hidden="false" customHeight="false" outlineLevel="0" collapsed="false">
      <c r="A6599" s="0" t="n">
        <v>6595</v>
      </c>
      <c r="B6599" s="0" t="n">
        <v>10</v>
      </c>
      <c r="C6599" s="19" t="n">
        <v>0</v>
      </c>
      <c r="D6599" s="19" t="n">
        <v>0.5362</v>
      </c>
      <c r="E6599" s="20" t="n">
        <f aca="false">Parametres!$B$5*C6599</f>
        <v>0</v>
      </c>
      <c r="F6599" s="20" t="n">
        <f aca="false">Parametres!$B$6*D6599</f>
        <v>107.24</v>
      </c>
      <c r="G6599" s="20" t="n">
        <f aca="false">E6599+F6599</f>
        <v>107.24</v>
      </c>
      <c r="H6599" s="20" t="n">
        <f aca="false">IF(G6599&lt;Parametres!$B$8*Parametres!$B$7,0,MIN(G6599,Parametres!$B$7))</f>
        <v>107.24</v>
      </c>
      <c r="I6599" s="20" t="n">
        <f aca="false">G6599-H6599</f>
        <v>0</v>
      </c>
      <c r="J6599" s="21" t="n">
        <f aca="false">H6599*1000/Parametres!$B$9</f>
        <v>1818.55180600305</v>
      </c>
    </row>
    <row r="6600" customFormat="false" ht="15" hidden="false" customHeight="false" outlineLevel="0" collapsed="false">
      <c r="A6600" s="0" t="n">
        <v>6596</v>
      </c>
      <c r="B6600" s="0" t="n">
        <v>10</v>
      </c>
      <c r="C6600" s="19" t="n">
        <v>0</v>
      </c>
      <c r="D6600" s="19" t="n">
        <v>0.4931</v>
      </c>
      <c r="E6600" s="20" t="n">
        <f aca="false">Parametres!$B$5*C6600</f>
        <v>0</v>
      </c>
      <c r="F6600" s="20" t="n">
        <f aca="false">Parametres!$B$6*D6600</f>
        <v>98.62</v>
      </c>
      <c r="G6600" s="20" t="n">
        <f aca="false">E6600+F6600</f>
        <v>98.62</v>
      </c>
      <c r="H6600" s="20" t="n">
        <f aca="false">IF(G6600&lt;Parametres!$B$8*Parametres!$B$7,0,MIN(G6600,Parametres!$B$7))</f>
        <v>98.62</v>
      </c>
      <c r="I6600" s="20" t="n">
        <f aca="false">G6600-H6600</f>
        <v>0</v>
      </c>
      <c r="J6600" s="21" t="n">
        <f aca="false">H6600*1000/Parametres!$B$9</f>
        <v>1672.3757842971</v>
      </c>
    </row>
    <row r="6601" customFormat="false" ht="15" hidden="false" customHeight="false" outlineLevel="0" collapsed="false">
      <c r="A6601" s="0" t="n">
        <v>6597</v>
      </c>
      <c r="B6601" s="0" t="n">
        <v>10</v>
      </c>
      <c r="C6601" s="19" t="n">
        <v>0</v>
      </c>
      <c r="D6601" s="19" t="n">
        <v>0.5252</v>
      </c>
      <c r="E6601" s="20" t="n">
        <f aca="false">Parametres!$B$5*C6601</f>
        <v>0</v>
      </c>
      <c r="F6601" s="20" t="n">
        <f aca="false">Parametres!$B$6*D6601</f>
        <v>105.04</v>
      </c>
      <c r="G6601" s="20" t="n">
        <f aca="false">E6601+F6601</f>
        <v>105.04</v>
      </c>
      <c r="H6601" s="20" t="n">
        <f aca="false">IF(G6601&lt;Parametres!$B$8*Parametres!$B$7,0,MIN(G6601,Parametres!$B$7))</f>
        <v>105.04</v>
      </c>
      <c r="I6601" s="20" t="n">
        <f aca="false">G6601-H6601</f>
        <v>0</v>
      </c>
      <c r="J6601" s="21" t="n">
        <f aca="false">H6601*1000/Parametres!$B$9</f>
        <v>1781.24470069527</v>
      </c>
    </row>
    <row r="6602" customFormat="false" ht="15" hidden="false" customHeight="false" outlineLevel="0" collapsed="false">
      <c r="A6602" s="0" t="n">
        <v>6598</v>
      </c>
      <c r="B6602" s="0" t="n">
        <v>10</v>
      </c>
      <c r="C6602" s="19" t="n">
        <v>0</v>
      </c>
      <c r="D6602" s="19" t="n">
        <v>0.6286</v>
      </c>
      <c r="E6602" s="20" t="n">
        <f aca="false">Parametres!$B$5*C6602</f>
        <v>0</v>
      </c>
      <c r="F6602" s="20" t="n">
        <f aca="false">Parametres!$B$6*D6602</f>
        <v>125.72</v>
      </c>
      <c r="G6602" s="20" t="n">
        <f aca="false">E6602+F6602</f>
        <v>125.72</v>
      </c>
      <c r="H6602" s="20" t="n">
        <f aca="false">IF(G6602&lt;Parametres!$B$8*Parametres!$B$7,0,MIN(G6602,Parametres!$B$7))</f>
        <v>125.72</v>
      </c>
      <c r="I6602" s="20" t="n">
        <f aca="false">G6602-H6602</f>
        <v>0</v>
      </c>
      <c r="J6602" s="21" t="n">
        <f aca="false">H6602*1000/Parametres!$B$9</f>
        <v>2131.93149058844</v>
      </c>
    </row>
    <row r="6603" customFormat="false" ht="15" hidden="false" customHeight="false" outlineLevel="0" collapsed="false">
      <c r="A6603" s="0" t="n">
        <v>6599</v>
      </c>
      <c r="B6603" s="0" t="n">
        <v>10</v>
      </c>
      <c r="C6603" s="19" t="n">
        <v>0</v>
      </c>
      <c r="D6603" s="19" t="n">
        <v>0.5532</v>
      </c>
      <c r="E6603" s="20" t="n">
        <f aca="false">Parametres!$B$5*C6603</f>
        <v>0</v>
      </c>
      <c r="F6603" s="20" t="n">
        <f aca="false">Parametres!$B$6*D6603</f>
        <v>110.64</v>
      </c>
      <c r="G6603" s="20" t="n">
        <f aca="false">E6603+F6603</f>
        <v>110.64</v>
      </c>
      <c r="H6603" s="20" t="n">
        <f aca="false">IF(G6603&lt;Parametres!$B$8*Parametres!$B$7,0,MIN(G6603,Parametres!$B$7))</f>
        <v>110.64</v>
      </c>
      <c r="I6603" s="20" t="n">
        <f aca="false">G6603-H6603</f>
        <v>0</v>
      </c>
      <c r="J6603" s="21" t="n">
        <f aca="false">H6603*1000/Parametres!$B$9</f>
        <v>1876.20824147872</v>
      </c>
    </row>
    <row r="6604" customFormat="false" ht="15" hidden="false" customHeight="false" outlineLevel="0" collapsed="false">
      <c r="A6604" s="0" t="n">
        <v>6600</v>
      </c>
      <c r="B6604" s="0" t="n">
        <v>10</v>
      </c>
      <c r="C6604" s="19" t="n">
        <v>0</v>
      </c>
      <c r="D6604" s="19" t="n">
        <v>0.619</v>
      </c>
      <c r="E6604" s="20" t="n">
        <f aca="false">Parametres!$B$5*C6604</f>
        <v>0</v>
      </c>
      <c r="F6604" s="20" t="n">
        <f aca="false">Parametres!$B$6*D6604</f>
        <v>123.8</v>
      </c>
      <c r="G6604" s="20" t="n">
        <f aca="false">E6604+F6604</f>
        <v>123.8</v>
      </c>
      <c r="H6604" s="20" t="n">
        <f aca="false">IF(G6604&lt;Parametres!$B$8*Parametres!$B$7,0,MIN(G6604,Parametres!$B$7))</f>
        <v>123.8</v>
      </c>
      <c r="I6604" s="20" t="n">
        <f aca="false">G6604-H6604</f>
        <v>0</v>
      </c>
      <c r="J6604" s="21" t="n">
        <f aca="false">H6604*1000/Parametres!$B$9</f>
        <v>2099.37256231982</v>
      </c>
    </row>
    <row r="6605" customFormat="false" ht="15" hidden="false" customHeight="false" outlineLevel="0" collapsed="false">
      <c r="A6605" s="0" t="n">
        <v>6601</v>
      </c>
      <c r="B6605" s="0" t="n">
        <v>10</v>
      </c>
      <c r="C6605" s="19" t="n">
        <v>0</v>
      </c>
      <c r="D6605" s="19" t="n">
        <v>0.427</v>
      </c>
      <c r="E6605" s="20" t="n">
        <f aca="false">Parametres!$B$5*C6605</f>
        <v>0</v>
      </c>
      <c r="F6605" s="20" t="n">
        <f aca="false">Parametres!$B$6*D6605</f>
        <v>85.4</v>
      </c>
      <c r="G6605" s="20" t="n">
        <f aca="false">E6605+F6605</f>
        <v>85.4</v>
      </c>
      <c r="H6605" s="20" t="n">
        <f aca="false">IF(G6605&lt;Parametres!$B$8*Parametres!$B$7,0,MIN(G6605,Parametres!$B$7))</f>
        <v>85.4</v>
      </c>
      <c r="I6605" s="20" t="n">
        <f aca="false">G6605-H6605</f>
        <v>0</v>
      </c>
      <c r="J6605" s="21" t="n">
        <f aca="false">H6605*1000/Parametres!$B$9</f>
        <v>1448.1939969476</v>
      </c>
    </row>
    <row r="6606" customFormat="false" ht="15" hidden="false" customHeight="false" outlineLevel="0" collapsed="false">
      <c r="A6606" s="0" t="n">
        <v>6602</v>
      </c>
      <c r="B6606" s="0" t="n">
        <v>10</v>
      </c>
      <c r="C6606" s="19" t="n">
        <v>0</v>
      </c>
      <c r="D6606" s="19" t="n">
        <v>0.7829</v>
      </c>
      <c r="E6606" s="20" t="n">
        <f aca="false">Parametres!$B$5*C6606</f>
        <v>0</v>
      </c>
      <c r="F6606" s="20" t="n">
        <f aca="false">Parametres!$B$6*D6606</f>
        <v>156.58</v>
      </c>
      <c r="G6606" s="20" t="n">
        <f aca="false">E6606+F6606</f>
        <v>156.58</v>
      </c>
      <c r="H6606" s="20" t="n">
        <f aca="false">IF(G6606&lt;Parametres!$B$8*Parametres!$B$7,0,MIN(G6606,Parametres!$B$7))</f>
        <v>156.58</v>
      </c>
      <c r="I6606" s="20" t="n">
        <f aca="false">G6606-H6606</f>
        <v>0</v>
      </c>
      <c r="J6606" s="21" t="n">
        <f aca="false">H6606*1000/Parametres!$B$9</f>
        <v>2655.2484314058</v>
      </c>
    </row>
    <row r="6607" customFormat="false" ht="15" hidden="false" customHeight="false" outlineLevel="0" collapsed="false">
      <c r="A6607" s="0" t="n">
        <v>6603</v>
      </c>
      <c r="B6607" s="0" t="n">
        <v>10</v>
      </c>
      <c r="C6607" s="19" t="n">
        <v>0</v>
      </c>
      <c r="D6607" s="19" t="n">
        <v>0.6581</v>
      </c>
      <c r="E6607" s="20" t="n">
        <f aca="false">Parametres!$B$5*C6607</f>
        <v>0</v>
      </c>
      <c r="F6607" s="20" t="n">
        <f aca="false">Parametres!$B$6*D6607</f>
        <v>131.62</v>
      </c>
      <c r="G6607" s="20" t="n">
        <f aca="false">E6607+F6607</f>
        <v>131.62</v>
      </c>
      <c r="H6607" s="20" t="n">
        <f aca="false">IF(G6607&lt;Parametres!$B$8*Parametres!$B$7,0,MIN(G6607,Parametres!$B$7))</f>
        <v>131.62</v>
      </c>
      <c r="I6607" s="20" t="n">
        <f aca="false">G6607-H6607</f>
        <v>0</v>
      </c>
      <c r="J6607" s="21" t="n">
        <f aca="false">H6607*1000/Parametres!$B$9</f>
        <v>2231.98236391385</v>
      </c>
    </row>
    <row r="6608" customFormat="false" ht="15" hidden="false" customHeight="false" outlineLevel="0" collapsed="false">
      <c r="A6608" s="0" t="n">
        <v>6604</v>
      </c>
      <c r="B6608" s="0" t="n">
        <v>10</v>
      </c>
      <c r="C6608" s="19" t="n">
        <v>0</v>
      </c>
      <c r="D6608" s="19" t="n">
        <v>0.6574</v>
      </c>
      <c r="E6608" s="20" t="n">
        <f aca="false">Parametres!$B$5*C6608</f>
        <v>0</v>
      </c>
      <c r="F6608" s="20" t="n">
        <f aca="false">Parametres!$B$6*D6608</f>
        <v>131.48</v>
      </c>
      <c r="G6608" s="20" t="n">
        <f aca="false">E6608+F6608</f>
        <v>131.48</v>
      </c>
      <c r="H6608" s="20" t="n">
        <f aca="false">IF(G6608&lt;Parametres!$B$8*Parametres!$B$7,0,MIN(G6608,Parametres!$B$7))</f>
        <v>131.48</v>
      </c>
      <c r="I6608" s="20" t="n">
        <f aca="false">G6608-H6608</f>
        <v>0</v>
      </c>
      <c r="J6608" s="21" t="n">
        <f aca="false">H6608*1000/Parametres!$B$9</f>
        <v>2229.60827539427</v>
      </c>
    </row>
    <row r="6609" customFormat="false" ht="15" hidden="false" customHeight="false" outlineLevel="0" collapsed="false">
      <c r="A6609" s="0" t="n">
        <v>6605</v>
      </c>
      <c r="B6609" s="0" t="n">
        <v>10</v>
      </c>
      <c r="C6609" s="19" t="n">
        <v>0</v>
      </c>
      <c r="D6609" s="19" t="n">
        <v>1</v>
      </c>
      <c r="E6609" s="20" t="n">
        <f aca="false">Parametres!$B$5*C6609</f>
        <v>0</v>
      </c>
      <c r="F6609" s="20" t="n">
        <f aca="false">Parametres!$B$6*D6609</f>
        <v>200</v>
      </c>
      <c r="G6609" s="20" t="n">
        <f aca="false">E6609+F6609</f>
        <v>200</v>
      </c>
      <c r="H6609" s="20" t="n">
        <f aca="false">IF(G6609&lt;Parametres!$B$8*Parametres!$B$7,0,MIN(G6609,Parametres!$B$7))</f>
        <v>200</v>
      </c>
      <c r="I6609" s="20" t="n">
        <f aca="false">G6609-H6609</f>
        <v>0</v>
      </c>
      <c r="J6609" s="21" t="n">
        <f aca="false">H6609*1000/Parametres!$B$9</f>
        <v>3391.55502798033</v>
      </c>
    </row>
    <row r="6610" customFormat="false" ht="15" hidden="false" customHeight="false" outlineLevel="0" collapsed="false">
      <c r="A6610" s="0" t="n">
        <v>6606</v>
      </c>
      <c r="B6610" s="0" t="n">
        <v>10</v>
      </c>
      <c r="C6610" s="19" t="n">
        <v>0</v>
      </c>
      <c r="D6610" s="19" t="n">
        <v>1</v>
      </c>
      <c r="E6610" s="20" t="n">
        <f aca="false">Parametres!$B$5*C6610</f>
        <v>0</v>
      </c>
      <c r="F6610" s="20" t="n">
        <f aca="false">Parametres!$B$6*D6610</f>
        <v>200</v>
      </c>
      <c r="G6610" s="20" t="n">
        <f aca="false">E6610+F6610</f>
        <v>200</v>
      </c>
      <c r="H6610" s="20" t="n">
        <f aca="false">IF(G6610&lt;Parametres!$B$8*Parametres!$B$7,0,MIN(G6610,Parametres!$B$7))</f>
        <v>200</v>
      </c>
      <c r="I6610" s="20" t="n">
        <f aca="false">G6610-H6610</f>
        <v>0</v>
      </c>
      <c r="J6610" s="21" t="n">
        <f aca="false">H6610*1000/Parametres!$B$9</f>
        <v>3391.55502798033</v>
      </c>
    </row>
    <row r="6611" customFormat="false" ht="15" hidden="false" customHeight="false" outlineLevel="0" collapsed="false">
      <c r="A6611" s="0" t="n">
        <v>6607</v>
      </c>
      <c r="B6611" s="0" t="n">
        <v>10</v>
      </c>
      <c r="C6611" s="19" t="n">
        <v>0.0585</v>
      </c>
      <c r="D6611" s="19" t="n">
        <v>1</v>
      </c>
      <c r="E6611" s="20" t="n">
        <f aca="false">Parametres!$B$5*C6611</f>
        <v>17.55</v>
      </c>
      <c r="F6611" s="20" t="n">
        <f aca="false">Parametres!$B$6*D6611</f>
        <v>200</v>
      </c>
      <c r="G6611" s="20" t="n">
        <f aca="false">E6611+F6611</f>
        <v>217.55</v>
      </c>
      <c r="H6611" s="20" t="n">
        <f aca="false">IF(G6611&lt;Parametres!$B$8*Parametres!$B$7,0,MIN(G6611,Parametres!$B$7))</f>
        <v>217.55</v>
      </c>
      <c r="I6611" s="20" t="n">
        <f aca="false">G6611-H6611</f>
        <v>0</v>
      </c>
      <c r="J6611" s="21" t="n">
        <f aca="false">H6611*1000/Parametres!$B$9</f>
        <v>3689.1639816856</v>
      </c>
    </row>
    <row r="6612" customFormat="false" ht="15" hidden="false" customHeight="false" outlineLevel="0" collapsed="false">
      <c r="A6612" s="0" t="n">
        <v>6608</v>
      </c>
      <c r="B6612" s="0" t="n">
        <v>10</v>
      </c>
      <c r="C6612" s="19" t="n">
        <v>0.2696</v>
      </c>
      <c r="D6612" s="19" t="n">
        <v>1</v>
      </c>
      <c r="E6612" s="20" t="n">
        <f aca="false">Parametres!$B$5*C6612</f>
        <v>80.88</v>
      </c>
      <c r="F6612" s="20" t="n">
        <f aca="false">Parametres!$B$6*D6612</f>
        <v>200</v>
      </c>
      <c r="G6612" s="20" t="n">
        <f aca="false">E6612+F6612</f>
        <v>280.88</v>
      </c>
      <c r="H6612" s="20" t="n">
        <f aca="false">IF(G6612&lt;Parametres!$B$8*Parametres!$B$7,0,MIN(G6612,Parametres!$B$7))</f>
        <v>250</v>
      </c>
      <c r="I6612" s="20" t="n">
        <f aca="false">G6612-H6612</f>
        <v>30.88</v>
      </c>
      <c r="J6612" s="21" t="n">
        <f aca="false">H6612*1000/Parametres!$B$9</f>
        <v>4239.44378497541</v>
      </c>
    </row>
    <row r="6613" customFormat="false" ht="15" hidden="false" customHeight="false" outlineLevel="0" collapsed="false">
      <c r="A6613" s="0" t="n">
        <v>6609</v>
      </c>
      <c r="B6613" s="0" t="n">
        <v>10</v>
      </c>
      <c r="C6613" s="19" t="n">
        <v>0.5076</v>
      </c>
      <c r="D6613" s="19" t="n">
        <v>1</v>
      </c>
      <c r="E6613" s="20" t="n">
        <f aca="false">Parametres!$B$5*C6613</f>
        <v>152.28</v>
      </c>
      <c r="F6613" s="20" t="n">
        <f aca="false">Parametres!$B$6*D6613</f>
        <v>200</v>
      </c>
      <c r="G6613" s="20" t="n">
        <f aca="false">E6613+F6613</f>
        <v>352.28</v>
      </c>
      <c r="H6613" s="20" t="n">
        <f aca="false">IF(G6613&lt;Parametres!$B$8*Parametres!$B$7,0,MIN(G6613,Parametres!$B$7))</f>
        <v>250</v>
      </c>
      <c r="I6613" s="20" t="n">
        <f aca="false">G6613-H6613</f>
        <v>102.28</v>
      </c>
      <c r="J6613" s="21" t="n">
        <f aca="false">H6613*1000/Parametres!$B$9</f>
        <v>4239.44378497541</v>
      </c>
    </row>
    <row r="6614" customFormat="false" ht="15" hidden="false" customHeight="false" outlineLevel="0" collapsed="false">
      <c r="A6614" s="0" t="n">
        <v>6610</v>
      </c>
      <c r="B6614" s="0" t="n">
        <v>10</v>
      </c>
      <c r="C6614" s="19" t="n">
        <v>0.6819</v>
      </c>
      <c r="D6614" s="19" t="n">
        <v>1</v>
      </c>
      <c r="E6614" s="20" t="n">
        <f aca="false">Parametres!$B$5*C6614</f>
        <v>204.57</v>
      </c>
      <c r="F6614" s="20" t="n">
        <f aca="false">Parametres!$B$6*D6614</f>
        <v>200</v>
      </c>
      <c r="G6614" s="20" t="n">
        <f aca="false">E6614+F6614</f>
        <v>404.57</v>
      </c>
      <c r="H6614" s="20" t="n">
        <f aca="false">IF(G6614&lt;Parametres!$B$8*Parametres!$B$7,0,MIN(G6614,Parametres!$B$7))</f>
        <v>250</v>
      </c>
      <c r="I6614" s="20" t="n">
        <f aca="false">G6614-H6614</f>
        <v>154.57</v>
      </c>
      <c r="J6614" s="21" t="n">
        <f aca="false">H6614*1000/Parametres!$B$9</f>
        <v>4239.44378497541</v>
      </c>
    </row>
    <row r="6615" customFormat="false" ht="15" hidden="false" customHeight="false" outlineLevel="0" collapsed="false">
      <c r="A6615" s="0" t="n">
        <v>6611</v>
      </c>
      <c r="B6615" s="0" t="n">
        <v>10</v>
      </c>
      <c r="C6615" s="19" t="n">
        <v>0.843</v>
      </c>
      <c r="D6615" s="19" t="n">
        <v>1</v>
      </c>
      <c r="E6615" s="20" t="n">
        <f aca="false">Parametres!$B$5*C6615</f>
        <v>252.9</v>
      </c>
      <c r="F6615" s="20" t="n">
        <f aca="false">Parametres!$B$6*D6615</f>
        <v>200</v>
      </c>
      <c r="G6615" s="20" t="n">
        <f aca="false">E6615+F6615</f>
        <v>452.9</v>
      </c>
      <c r="H6615" s="20" t="n">
        <f aca="false">IF(G6615&lt;Parametres!$B$8*Parametres!$B$7,0,MIN(G6615,Parametres!$B$7))</f>
        <v>250</v>
      </c>
      <c r="I6615" s="20" t="n">
        <f aca="false">G6615-H6615</f>
        <v>202.9</v>
      </c>
      <c r="J6615" s="21" t="n">
        <f aca="false">H6615*1000/Parametres!$B$9</f>
        <v>4239.44378497541</v>
      </c>
    </row>
    <row r="6616" customFormat="false" ht="15" hidden="false" customHeight="false" outlineLevel="0" collapsed="false">
      <c r="A6616" s="0" t="n">
        <v>6612</v>
      </c>
      <c r="B6616" s="0" t="n">
        <v>10</v>
      </c>
      <c r="C6616" s="19" t="n">
        <v>0.8787</v>
      </c>
      <c r="D6616" s="19" t="n">
        <v>1</v>
      </c>
      <c r="E6616" s="20" t="n">
        <f aca="false">Parametres!$B$5*C6616</f>
        <v>263.61</v>
      </c>
      <c r="F6616" s="20" t="n">
        <f aca="false">Parametres!$B$6*D6616</f>
        <v>200</v>
      </c>
      <c r="G6616" s="20" t="n">
        <f aca="false">E6616+F6616</f>
        <v>463.61</v>
      </c>
      <c r="H6616" s="20" t="n">
        <f aca="false">IF(G6616&lt;Parametres!$B$8*Parametres!$B$7,0,MIN(G6616,Parametres!$B$7))</f>
        <v>250</v>
      </c>
      <c r="I6616" s="20" t="n">
        <f aca="false">G6616-H6616</f>
        <v>213.61</v>
      </c>
      <c r="J6616" s="21" t="n">
        <f aca="false">H6616*1000/Parametres!$B$9</f>
        <v>4239.44378497541</v>
      </c>
    </row>
    <row r="6617" customFormat="false" ht="15" hidden="false" customHeight="false" outlineLevel="0" collapsed="false">
      <c r="A6617" s="0" t="n">
        <v>6613</v>
      </c>
      <c r="B6617" s="0" t="n">
        <v>10</v>
      </c>
      <c r="C6617" s="19" t="n">
        <v>0.9763</v>
      </c>
      <c r="D6617" s="19" t="n">
        <v>1</v>
      </c>
      <c r="E6617" s="20" t="n">
        <f aca="false">Parametres!$B$5*C6617</f>
        <v>292.89</v>
      </c>
      <c r="F6617" s="20" t="n">
        <f aca="false">Parametres!$B$6*D6617</f>
        <v>200</v>
      </c>
      <c r="G6617" s="20" t="n">
        <f aca="false">E6617+F6617</f>
        <v>492.89</v>
      </c>
      <c r="H6617" s="20" t="n">
        <f aca="false">IF(G6617&lt;Parametres!$B$8*Parametres!$B$7,0,MIN(G6617,Parametres!$B$7))</f>
        <v>250</v>
      </c>
      <c r="I6617" s="20" t="n">
        <f aca="false">G6617-H6617</f>
        <v>242.89</v>
      </c>
      <c r="J6617" s="21" t="n">
        <f aca="false">H6617*1000/Parametres!$B$9</f>
        <v>4239.44378497541</v>
      </c>
    </row>
    <row r="6618" customFormat="false" ht="15" hidden="false" customHeight="false" outlineLevel="0" collapsed="false">
      <c r="A6618" s="0" t="n">
        <v>6614</v>
      </c>
      <c r="B6618" s="0" t="n">
        <v>10</v>
      </c>
      <c r="C6618" s="19" t="n">
        <v>0.8606</v>
      </c>
      <c r="D6618" s="19" t="n">
        <v>1</v>
      </c>
      <c r="E6618" s="20" t="n">
        <f aca="false">Parametres!$B$5*C6618</f>
        <v>258.18</v>
      </c>
      <c r="F6618" s="20" t="n">
        <f aca="false">Parametres!$B$6*D6618</f>
        <v>200</v>
      </c>
      <c r="G6618" s="20" t="n">
        <f aca="false">E6618+F6618</f>
        <v>458.18</v>
      </c>
      <c r="H6618" s="20" t="n">
        <f aca="false">IF(G6618&lt;Parametres!$B$8*Parametres!$B$7,0,MIN(G6618,Parametres!$B$7))</f>
        <v>250</v>
      </c>
      <c r="I6618" s="20" t="n">
        <f aca="false">G6618-H6618</f>
        <v>208.18</v>
      </c>
      <c r="J6618" s="21" t="n">
        <f aca="false">H6618*1000/Parametres!$B$9</f>
        <v>4239.44378497541</v>
      </c>
    </row>
    <row r="6619" customFormat="false" ht="15" hidden="false" customHeight="false" outlineLevel="0" collapsed="false">
      <c r="A6619" s="0" t="n">
        <v>6615</v>
      </c>
      <c r="B6619" s="0" t="n">
        <v>10</v>
      </c>
      <c r="C6619" s="19" t="n">
        <v>0.7395</v>
      </c>
      <c r="D6619" s="19" t="n">
        <v>1</v>
      </c>
      <c r="E6619" s="20" t="n">
        <f aca="false">Parametres!$B$5*C6619</f>
        <v>221.85</v>
      </c>
      <c r="F6619" s="20" t="n">
        <f aca="false">Parametres!$B$6*D6619</f>
        <v>200</v>
      </c>
      <c r="G6619" s="20" t="n">
        <f aca="false">E6619+F6619</f>
        <v>421.85</v>
      </c>
      <c r="H6619" s="20" t="n">
        <f aca="false">IF(G6619&lt;Parametres!$B$8*Parametres!$B$7,0,MIN(G6619,Parametres!$B$7))</f>
        <v>250</v>
      </c>
      <c r="I6619" s="20" t="n">
        <f aca="false">G6619-H6619</f>
        <v>171.85</v>
      </c>
      <c r="J6619" s="21" t="n">
        <f aca="false">H6619*1000/Parametres!$B$9</f>
        <v>4239.44378497541</v>
      </c>
    </row>
    <row r="6620" customFormat="false" ht="15" hidden="false" customHeight="false" outlineLevel="0" collapsed="false">
      <c r="A6620" s="0" t="n">
        <v>6616</v>
      </c>
      <c r="B6620" s="0" t="n">
        <v>10</v>
      </c>
      <c r="C6620" s="19" t="n">
        <v>0.4939</v>
      </c>
      <c r="D6620" s="19" t="n">
        <v>1</v>
      </c>
      <c r="E6620" s="20" t="n">
        <f aca="false">Parametres!$B$5*C6620</f>
        <v>148.17</v>
      </c>
      <c r="F6620" s="20" t="n">
        <f aca="false">Parametres!$B$6*D6620</f>
        <v>200</v>
      </c>
      <c r="G6620" s="20" t="n">
        <f aca="false">E6620+F6620</f>
        <v>348.17</v>
      </c>
      <c r="H6620" s="20" t="n">
        <f aca="false">IF(G6620&lt;Parametres!$B$8*Parametres!$B$7,0,MIN(G6620,Parametres!$B$7))</f>
        <v>250</v>
      </c>
      <c r="I6620" s="20" t="n">
        <f aca="false">G6620-H6620</f>
        <v>98.17</v>
      </c>
      <c r="J6620" s="21" t="n">
        <f aca="false">H6620*1000/Parametres!$B$9</f>
        <v>4239.44378497541</v>
      </c>
    </row>
    <row r="6621" customFormat="false" ht="15" hidden="false" customHeight="false" outlineLevel="0" collapsed="false">
      <c r="A6621" s="0" t="n">
        <v>6617</v>
      </c>
      <c r="B6621" s="0" t="n">
        <v>10</v>
      </c>
      <c r="C6621" s="19" t="n">
        <v>0.2777</v>
      </c>
      <c r="D6621" s="19" t="n">
        <v>1</v>
      </c>
      <c r="E6621" s="20" t="n">
        <f aca="false">Parametres!$B$5*C6621</f>
        <v>83.31</v>
      </c>
      <c r="F6621" s="20" t="n">
        <f aca="false">Parametres!$B$6*D6621</f>
        <v>200</v>
      </c>
      <c r="G6621" s="20" t="n">
        <f aca="false">E6621+F6621</f>
        <v>283.31</v>
      </c>
      <c r="H6621" s="20" t="n">
        <f aca="false">IF(G6621&lt;Parametres!$B$8*Parametres!$B$7,0,MIN(G6621,Parametres!$B$7))</f>
        <v>250</v>
      </c>
      <c r="I6621" s="20" t="n">
        <f aca="false">G6621-H6621</f>
        <v>33.31</v>
      </c>
      <c r="J6621" s="21" t="n">
        <f aca="false">H6621*1000/Parametres!$B$9</f>
        <v>4239.44378497541</v>
      </c>
    </row>
    <row r="6622" customFormat="false" ht="15" hidden="false" customHeight="false" outlineLevel="0" collapsed="false">
      <c r="A6622" s="0" t="n">
        <v>6618</v>
      </c>
      <c r="B6622" s="0" t="n">
        <v>10</v>
      </c>
      <c r="C6622" s="19" t="n">
        <v>0.0605</v>
      </c>
      <c r="D6622" s="19" t="n">
        <v>1</v>
      </c>
      <c r="E6622" s="20" t="n">
        <f aca="false">Parametres!$B$5*C6622</f>
        <v>18.15</v>
      </c>
      <c r="F6622" s="20" t="n">
        <f aca="false">Parametres!$B$6*D6622</f>
        <v>200</v>
      </c>
      <c r="G6622" s="20" t="n">
        <f aca="false">E6622+F6622</f>
        <v>218.15</v>
      </c>
      <c r="H6622" s="20" t="n">
        <f aca="false">IF(G6622&lt;Parametres!$B$8*Parametres!$B$7,0,MIN(G6622,Parametres!$B$7))</f>
        <v>218.15</v>
      </c>
      <c r="I6622" s="20" t="n">
        <f aca="false">G6622-H6622</f>
        <v>0</v>
      </c>
      <c r="J6622" s="21" t="n">
        <f aca="false">H6622*1000/Parametres!$B$9</f>
        <v>3699.33864676954</v>
      </c>
    </row>
    <row r="6623" customFormat="false" ht="15" hidden="false" customHeight="false" outlineLevel="0" collapsed="false">
      <c r="A6623" s="0" t="n">
        <v>6619</v>
      </c>
      <c r="B6623" s="0" t="n">
        <v>10</v>
      </c>
      <c r="C6623" s="19" t="n">
        <v>0</v>
      </c>
      <c r="D6623" s="19" t="n">
        <v>1</v>
      </c>
      <c r="E6623" s="20" t="n">
        <f aca="false">Parametres!$B$5*C6623</f>
        <v>0</v>
      </c>
      <c r="F6623" s="20" t="n">
        <f aca="false">Parametres!$B$6*D6623</f>
        <v>200</v>
      </c>
      <c r="G6623" s="20" t="n">
        <f aca="false">E6623+F6623</f>
        <v>200</v>
      </c>
      <c r="H6623" s="20" t="n">
        <f aca="false">IF(G6623&lt;Parametres!$B$8*Parametres!$B$7,0,MIN(G6623,Parametres!$B$7))</f>
        <v>200</v>
      </c>
      <c r="I6623" s="20" t="n">
        <f aca="false">G6623-H6623</f>
        <v>0</v>
      </c>
      <c r="J6623" s="21" t="n">
        <f aca="false">H6623*1000/Parametres!$B$9</f>
        <v>3391.55502798033</v>
      </c>
    </row>
    <row r="6624" customFormat="false" ht="15" hidden="false" customHeight="false" outlineLevel="0" collapsed="false">
      <c r="A6624" s="0" t="n">
        <v>6620</v>
      </c>
      <c r="B6624" s="0" t="n">
        <v>10</v>
      </c>
      <c r="C6624" s="19" t="n">
        <v>0</v>
      </c>
      <c r="D6624" s="19" t="n">
        <v>1</v>
      </c>
      <c r="E6624" s="20" t="n">
        <f aca="false">Parametres!$B$5*C6624</f>
        <v>0</v>
      </c>
      <c r="F6624" s="20" t="n">
        <f aca="false">Parametres!$B$6*D6624</f>
        <v>200</v>
      </c>
      <c r="G6624" s="20" t="n">
        <f aca="false">E6624+F6624</f>
        <v>200</v>
      </c>
      <c r="H6624" s="20" t="n">
        <f aca="false">IF(G6624&lt;Parametres!$B$8*Parametres!$B$7,0,MIN(G6624,Parametres!$B$7))</f>
        <v>200</v>
      </c>
      <c r="I6624" s="20" t="n">
        <f aca="false">G6624-H6624</f>
        <v>0</v>
      </c>
      <c r="J6624" s="21" t="n">
        <f aca="false">H6624*1000/Parametres!$B$9</f>
        <v>3391.55502798033</v>
      </c>
    </row>
    <row r="6625" customFormat="false" ht="15" hidden="false" customHeight="false" outlineLevel="0" collapsed="false">
      <c r="A6625" s="0" t="n">
        <v>6621</v>
      </c>
      <c r="B6625" s="0" t="n">
        <v>10</v>
      </c>
      <c r="C6625" s="19" t="n">
        <v>0</v>
      </c>
      <c r="D6625" s="19" t="n">
        <v>1</v>
      </c>
      <c r="E6625" s="20" t="n">
        <f aca="false">Parametres!$B$5*C6625</f>
        <v>0</v>
      </c>
      <c r="F6625" s="20" t="n">
        <f aca="false">Parametres!$B$6*D6625</f>
        <v>200</v>
      </c>
      <c r="G6625" s="20" t="n">
        <f aca="false">E6625+F6625</f>
        <v>200</v>
      </c>
      <c r="H6625" s="20" t="n">
        <f aca="false">IF(G6625&lt;Parametres!$B$8*Parametres!$B$7,0,MIN(G6625,Parametres!$B$7))</f>
        <v>200</v>
      </c>
      <c r="I6625" s="20" t="n">
        <f aca="false">G6625-H6625</f>
        <v>0</v>
      </c>
      <c r="J6625" s="21" t="n">
        <f aca="false">H6625*1000/Parametres!$B$9</f>
        <v>3391.55502798033</v>
      </c>
    </row>
    <row r="6626" customFormat="false" ht="15" hidden="false" customHeight="false" outlineLevel="0" collapsed="false">
      <c r="A6626" s="0" t="n">
        <v>6622</v>
      </c>
      <c r="B6626" s="0" t="n">
        <v>10</v>
      </c>
      <c r="C6626" s="19" t="n">
        <v>0</v>
      </c>
      <c r="D6626" s="19" t="n">
        <v>1</v>
      </c>
      <c r="E6626" s="20" t="n">
        <f aca="false">Parametres!$B$5*C6626</f>
        <v>0</v>
      </c>
      <c r="F6626" s="20" t="n">
        <f aca="false">Parametres!$B$6*D6626</f>
        <v>200</v>
      </c>
      <c r="G6626" s="20" t="n">
        <f aca="false">E6626+F6626</f>
        <v>200</v>
      </c>
      <c r="H6626" s="20" t="n">
        <f aca="false">IF(G6626&lt;Parametres!$B$8*Parametres!$B$7,0,MIN(G6626,Parametres!$B$7))</f>
        <v>200</v>
      </c>
      <c r="I6626" s="20" t="n">
        <f aca="false">G6626-H6626</f>
        <v>0</v>
      </c>
      <c r="J6626" s="21" t="n">
        <f aca="false">H6626*1000/Parametres!$B$9</f>
        <v>3391.55502798033</v>
      </c>
    </row>
    <row r="6627" customFormat="false" ht="15" hidden="false" customHeight="false" outlineLevel="0" collapsed="false">
      <c r="A6627" s="0" t="n">
        <v>6623</v>
      </c>
      <c r="B6627" s="0" t="n">
        <v>10</v>
      </c>
      <c r="C6627" s="19" t="n">
        <v>0</v>
      </c>
      <c r="D6627" s="19" t="n">
        <v>1</v>
      </c>
      <c r="E6627" s="20" t="n">
        <f aca="false">Parametres!$B$5*C6627</f>
        <v>0</v>
      </c>
      <c r="F6627" s="20" t="n">
        <f aca="false">Parametres!$B$6*D6627</f>
        <v>200</v>
      </c>
      <c r="G6627" s="20" t="n">
        <f aca="false">E6627+F6627</f>
        <v>200</v>
      </c>
      <c r="H6627" s="20" t="n">
        <f aca="false">IF(G6627&lt;Parametres!$B$8*Parametres!$B$7,0,MIN(G6627,Parametres!$B$7))</f>
        <v>200</v>
      </c>
      <c r="I6627" s="20" t="n">
        <f aca="false">G6627-H6627</f>
        <v>0</v>
      </c>
      <c r="J6627" s="21" t="n">
        <f aca="false">H6627*1000/Parametres!$B$9</f>
        <v>3391.55502798033</v>
      </c>
    </row>
    <row r="6628" customFormat="false" ht="15" hidden="false" customHeight="false" outlineLevel="0" collapsed="false">
      <c r="A6628" s="0" t="n">
        <v>6624</v>
      </c>
      <c r="B6628" s="0" t="n">
        <v>10</v>
      </c>
      <c r="C6628" s="19" t="n">
        <v>0</v>
      </c>
      <c r="D6628" s="19" t="n">
        <v>1</v>
      </c>
      <c r="E6628" s="20" t="n">
        <f aca="false">Parametres!$B$5*C6628</f>
        <v>0</v>
      </c>
      <c r="F6628" s="20" t="n">
        <f aca="false">Parametres!$B$6*D6628</f>
        <v>200</v>
      </c>
      <c r="G6628" s="20" t="n">
        <f aca="false">E6628+F6628</f>
        <v>200</v>
      </c>
      <c r="H6628" s="20" t="n">
        <f aca="false">IF(G6628&lt;Parametres!$B$8*Parametres!$B$7,0,MIN(G6628,Parametres!$B$7))</f>
        <v>200</v>
      </c>
      <c r="I6628" s="20" t="n">
        <f aca="false">G6628-H6628</f>
        <v>0</v>
      </c>
      <c r="J6628" s="21" t="n">
        <f aca="false">H6628*1000/Parametres!$B$9</f>
        <v>3391.55502798033</v>
      </c>
    </row>
    <row r="6629" customFormat="false" ht="15" hidden="false" customHeight="false" outlineLevel="0" collapsed="false">
      <c r="A6629" s="0" t="n">
        <v>6625</v>
      </c>
      <c r="B6629" s="0" t="n">
        <v>10</v>
      </c>
      <c r="C6629" s="19" t="n">
        <v>0</v>
      </c>
      <c r="D6629" s="19" t="n">
        <v>1</v>
      </c>
      <c r="E6629" s="20" t="n">
        <f aca="false">Parametres!$B$5*C6629</f>
        <v>0</v>
      </c>
      <c r="F6629" s="20" t="n">
        <f aca="false">Parametres!$B$6*D6629</f>
        <v>200</v>
      </c>
      <c r="G6629" s="20" t="n">
        <f aca="false">E6629+F6629</f>
        <v>200</v>
      </c>
      <c r="H6629" s="20" t="n">
        <f aca="false">IF(G6629&lt;Parametres!$B$8*Parametres!$B$7,0,MIN(G6629,Parametres!$B$7))</f>
        <v>200</v>
      </c>
      <c r="I6629" s="20" t="n">
        <f aca="false">G6629-H6629</f>
        <v>0</v>
      </c>
      <c r="J6629" s="21" t="n">
        <f aca="false">H6629*1000/Parametres!$B$9</f>
        <v>3391.55502798033</v>
      </c>
    </row>
    <row r="6630" customFormat="false" ht="15" hidden="false" customHeight="false" outlineLevel="0" collapsed="false">
      <c r="A6630" s="0" t="n">
        <v>6626</v>
      </c>
      <c r="B6630" s="0" t="n">
        <v>10</v>
      </c>
      <c r="C6630" s="19" t="n">
        <v>0</v>
      </c>
      <c r="D6630" s="19" t="n">
        <v>1</v>
      </c>
      <c r="E6630" s="20" t="n">
        <f aca="false">Parametres!$B$5*C6630</f>
        <v>0</v>
      </c>
      <c r="F6630" s="20" t="n">
        <f aca="false">Parametres!$B$6*D6630</f>
        <v>200</v>
      </c>
      <c r="G6630" s="20" t="n">
        <f aca="false">E6630+F6630</f>
        <v>200</v>
      </c>
      <c r="H6630" s="20" t="n">
        <f aca="false">IF(G6630&lt;Parametres!$B$8*Parametres!$B$7,0,MIN(G6630,Parametres!$B$7))</f>
        <v>200</v>
      </c>
      <c r="I6630" s="20" t="n">
        <f aca="false">G6630-H6630</f>
        <v>0</v>
      </c>
      <c r="J6630" s="21" t="n">
        <f aca="false">H6630*1000/Parametres!$B$9</f>
        <v>3391.55502798033</v>
      </c>
    </row>
    <row r="6631" customFormat="false" ht="15" hidden="false" customHeight="false" outlineLevel="0" collapsed="false">
      <c r="A6631" s="0" t="n">
        <v>6627</v>
      </c>
      <c r="B6631" s="0" t="n">
        <v>10</v>
      </c>
      <c r="C6631" s="19" t="n">
        <v>0</v>
      </c>
      <c r="D6631" s="19" t="n">
        <v>1</v>
      </c>
      <c r="E6631" s="20" t="n">
        <f aca="false">Parametres!$B$5*C6631</f>
        <v>0</v>
      </c>
      <c r="F6631" s="20" t="n">
        <f aca="false">Parametres!$B$6*D6631</f>
        <v>200</v>
      </c>
      <c r="G6631" s="20" t="n">
        <f aca="false">E6631+F6631</f>
        <v>200</v>
      </c>
      <c r="H6631" s="20" t="n">
        <f aca="false">IF(G6631&lt;Parametres!$B$8*Parametres!$B$7,0,MIN(G6631,Parametres!$B$7))</f>
        <v>200</v>
      </c>
      <c r="I6631" s="20" t="n">
        <f aca="false">G6631-H6631</f>
        <v>0</v>
      </c>
      <c r="J6631" s="21" t="n">
        <f aca="false">H6631*1000/Parametres!$B$9</f>
        <v>3391.55502798033</v>
      </c>
    </row>
    <row r="6632" customFormat="false" ht="15" hidden="false" customHeight="false" outlineLevel="0" collapsed="false">
      <c r="A6632" s="0" t="n">
        <v>6628</v>
      </c>
      <c r="B6632" s="0" t="n">
        <v>10</v>
      </c>
      <c r="C6632" s="19" t="n">
        <v>0</v>
      </c>
      <c r="D6632" s="19" t="n">
        <v>1</v>
      </c>
      <c r="E6632" s="20" t="n">
        <f aca="false">Parametres!$B$5*C6632</f>
        <v>0</v>
      </c>
      <c r="F6632" s="20" t="n">
        <f aca="false">Parametres!$B$6*D6632</f>
        <v>200</v>
      </c>
      <c r="G6632" s="20" t="n">
        <f aca="false">E6632+F6632</f>
        <v>200</v>
      </c>
      <c r="H6632" s="20" t="n">
        <f aca="false">IF(G6632&lt;Parametres!$B$8*Parametres!$B$7,0,MIN(G6632,Parametres!$B$7))</f>
        <v>200</v>
      </c>
      <c r="I6632" s="20" t="n">
        <f aca="false">G6632-H6632</f>
        <v>0</v>
      </c>
      <c r="J6632" s="21" t="n">
        <f aca="false">H6632*1000/Parametres!$B$9</f>
        <v>3391.55502798033</v>
      </c>
    </row>
    <row r="6633" customFormat="false" ht="15" hidden="false" customHeight="false" outlineLevel="0" collapsed="false">
      <c r="A6633" s="0" t="n">
        <v>6629</v>
      </c>
      <c r="B6633" s="0" t="n">
        <v>10</v>
      </c>
      <c r="C6633" s="19" t="n">
        <v>0</v>
      </c>
      <c r="D6633" s="19" t="n">
        <v>1</v>
      </c>
      <c r="E6633" s="20" t="n">
        <f aca="false">Parametres!$B$5*C6633</f>
        <v>0</v>
      </c>
      <c r="F6633" s="20" t="n">
        <f aca="false">Parametres!$B$6*D6633</f>
        <v>200</v>
      </c>
      <c r="G6633" s="20" t="n">
        <f aca="false">E6633+F6633</f>
        <v>200</v>
      </c>
      <c r="H6633" s="20" t="n">
        <f aca="false">IF(G6633&lt;Parametres!$B$8*Parametres!$B$7,0,MIN(G6633,Parametres!$B$7))</f>
        <v>200</v>
      </c>
      <c r="I6633" s="20" t="n">
        <f aca="false">G6633-H6633</f>
        <v>0</v>
      </c>
      <c r="J6633" s="21" t="n">
        <f aca="false">H6633*1000/Parametres!$B$9</f>
        <v>3391.55502798033</v>
      </c>
    </row>
    <row r="6634" customFormat="false" ht="15" hidden="false" customHeight="false" outlineLevel="0" collapsed="false">
      <c r="A6634" s="0" t="n">
        <v>6630</v>
      </c>
      <c r="B6634" s="0" t="n">
        <v>10</v>
      </c>
      <c r="C6634" s="19" t="n">
        <v>0</v>
      </c>
      <c r="D6634" s="19" t="n">
        <v>1</v>
      </c>
      <c r="E6634" s="20" t="n">
        <f aca="false">Parametres!$B$5*C6634</f>
        <v>0</v>
      </c>
      <c r="F6634" s="20" t="n">
        <f aca="false">Parametres!$B$6*D6634</f>
        <v>200</v>
      </c>
      <c r="G6634" s="20" t="n">
        <f aca="false">E6634+F6634</f>
        <v>200</v>
      </c>
      <c r="H6634" s="20" t="n">
        <f aca="false">IF(G6634&lt;Parametres!$B$8*Parametres!$B$7,0,MIN(G6634,Parametres!$B$7))</f>
        <v>200</v>
      </c>
      <c r="I6634" s="20" t="n">
        <f aca="false">G6634-H6634</f>
        <v>0</v>
      </c>
      <c r="J6634" s="21" t="n">
        <f aca="false">H6634*1000/Parametres!$B$9</f>
        <v>3391.55502798033</v>
      </c>
    </row>
    <row r="6635" customFormat="false" ht="15" hidden="false" customHeight="false" outlineLevel="0" collapsed="false">
      <c r="A6635" s="0" t="n">
        <v>6631</v>
      </c>
      <c r="B6635" s="0" t="n">
        <v>10</v>
      </c>
      <c r="C6635" s="19" t="n">
        <v>0.0697</v>
      </c>
      <c r="D6635" s="19" t="n">
        <v>1</v>
      </c>
      <c r="E6635" s="20" t="n">
        <f aca="false">Parametres!$B$5*C6635</f>
        <v>20.91</v>
      </c>
      <c r="F6635" s="20" t="n">
        <f aca="false">Parametres!$B$6*D6635</f>
        <v>200</v>
      </c>
      <c r="G6635" s="20" t="n">
        <f aca="false">E6635+F6635</f>
        <v>220.91</v>
      </c>
      <c r="H6635" s="20" t="n">
        <f aca="false">IF(G6635&lt;Parametres!$B$8*Parametres!$B$7,0,MIN(G6635,Parametres!$B$7))</f>
        <v>220.91</v>
      </c>
      <c r="I6635" s="20" t="n">
        <f aca="false">G6635-H6635</f>
        <v>0</v>
      </c>
      <c r="J6635" s="21" t="n">
        <f aca="false">H6635*1000/Parametres!$B$9</f>
        <v>3746.14210615567</v>
      </c>
    </row>
    <row r="6636" customFormat="false" ht="15" hidden="false" customHeight="false" outlineLevel="0" collapsed="false">
      <c r="A6636" s="0" t="n">
        <v>6632</v>
      </c>
      <c r="B6636" s="0" t="n">
        <v>10</v>
      </c>
      <c r="C6636" s="19" t="n">
        <v>0.3505</v>
      </c>
      <c r="D6636" s="19" t="n">
        <v>1</v>
      </c>
      <c r="E6636" s="20" t="n">
        <f aca="false">Parametres!$B$5*C6636</f>
        <v>105.15</v>
      </c>
      <c r="F6636" s="20" t="n">
        <f aca="false">Parametres!$B$6*D6636</f>
        <v>200</v>
      </c>
      <c r="G6636" s="20" t="n">
        <f aca="false">E6636+F6636</f>
        <v>305.15</v>
      </c>
      <c r="H6636" s="20" t="n">
        <f aca="false">IF(G6636&lt;Parametres!$B$8*Parametres!$B$7,0,MIN(G6636,Parametres!$B$7))</f>
        <v>250</v>
      </c>
      <c r="I6636" s="20" t="n">
        <f aca="false">G6636-H6636</f>
        <v>55.15</v>
      </c>
      <c r="J6636" s="21" t="n">
        <f aca="false">H6636*1000/Parametres!$B$9</f>
        <v>4239.44378497541</v>
      </c>
    </row>
    <row r="6637" customFormat="false" ht="15" hidden="false" customHeight="false" outlineLevel="0" collapsed="false">
      <c r="A6637" s="0" t="n">
        <v>6633</v>
      </c>
      <c r="B6637" s="0" t="n">
        <v>10</v>
      </c>
      <c r="C6637" s="19" t="n">
        <v>0.5986</v>
      </c>
      <c r="D6637" s="19" t="n">
        <v>1</v>
      </c>
      <c r="E6637" s="20" t="n">
        <f aca="false">Parametres!$B$5*C6637</f>
        <v>179.58</v>
      </c>
      <c r="F6637" s="20" t="n">
        <f aca="false">Parametres!$B$6*D6637</f>
        <v>200</v>
      </c>
      <c r="G6637" s="20" t="n">
        <f aca="false">E6637+F6637</f>
        <v>379.58</v>
      </c>
      <c r="H6637" s="20" t="n">
        <f aca="false">IF(G6637&lt;Parametres!$B$8*Parametres!$B$7,0,MIN(G6637,Parametres!$B$7))</f>
        <v>250</v>
      </c>
      <c r="I6637" s="20" t="n">
        <f aca="false">G6637-H6637</f>
        <v>129.58</v>
      </c>
      <c r="J6637" s="21" t="n">
        <f aca="false">H6637*1000/Parametres!$B$9</f>
        <v>4239.44378497541</v>
      </c>
    </row>
    <row r="6638" customFormat="false" ht="15" hidden="false" customHeight="false" outlineLevel="0" collapsed="false">
      <c r="A6638" s="0" t="n">
        <v>6634</v>
      </c>
      <c r="B6638" s="0" t="n">
        <v>10</v>
      </c>
      <c r="C6638" s="19" t="n">
        <v>0.844</v>
      </c>
      <c r="D6638" s="19" t="n">
        <v>1</v>
      </c>
      <c r="E6638" s="20" t="n">
        <f aca="false">Parametres!$B$5*C6638</f>
        <v>253.2</v>
      </c>
      <c r="F6638" s="20" t="n">
        <f aca="false">Parametres!$B$6*D6638</f>
        <v>200</v>
      </c>
      <c r="G6638" s="20" t="n">
        <f aca="false">E6638+F6638</f>
        <v>453.2</v>
      </c>
      <c r="H6638" s="20" t="n">
        <f aca="false">IF(G6638&lt;Parametres!$B$8*Parametres!$B$7,0,MIN(G6638,Parametres!$B$7))</f>
        <v>250</v>
      </c>
      <c r="I6638" s="20" t="n">
        <f aca="false">G6638-H6638</f>
        <v>203.2</v>
      </c>
      <c r="J6638" s="21" t="n">
        <f aca="false">H6638*1000/Parametres!$B$9</f>
        <v>4239.44378497541</v>
      </c>
    </row>
    <row r="6639" customFormat="false" ht="15" hidden="false" customHeight="false" outlineLevel="0" collapsed="false">
      <c r="A6639" s="0" t="n">
        <v>6635</v>
      </c>
      <c r="B6639" s="0" t="n">
        <v>10</v>
      </c>
      <c r="C6639" s="19" t="n">
        <v>1</v>
      </c>
      <c r="D6639" s="19" t="n">
        <v>1</v>
      </c>
      <c r="E6639" s="20" t="n">
        <f aca="false">Parametres!$B$5*C6639</f>
        <v>300</v>
      </c>
      <c r="F6639" s="20" t="n">
        <f aca="false">Parametres!$B$6*D6639</f>
        <v>200</v>
      </c>
      <c r="G6639" s="20" t="n">
        <f aca="false">E6639+F6639</f>
        <v>500</v>
      </c>
      <c r="H6639" s="20" t="n">
        <f aca="false">IF(G6639&lt;Parametres!$B$8*Parametres!$B$7,0,MIN(G6639,Parametres!$B$7))</f>
        <v>250</v>
      </c>
      <c r="I6639" s="20" t="n">
        <f aca="false">G6639-H6639</f>
        <v>250</v>
      </c>
      <c r="J6639" s="21" t="n">
        <f aca="false">H6639*1000/Parametres!$B$9</f>
        <v>4239.44378497541</v>
      </c>
    </row>
    <row r="6640" customFormat="false" ht="15" hidden="false" customHeight="false" outlineLevel="0" collapsed="false">
      <c r="A6640" s="0" t="n">
        <v>6636</v>
      </c>
      <c r="B6640" s="0" t="n">
        <v>10</v>
      </c>
      <c r="C6640" s="19" t="n">
        <v>1</v>
      </c>
      <c r="D6640" s="19" t="n">
        <v>1</v>
      </c>
      <c r="E6640" s="20" t="n">
        <f aca="false">Parametres!$B$5*C6640</f>
        <v>300</v>
      </c>
      <c r="F6640" s="20" t="n">
        <f aca="false">Parametres!$B$6*D6640</f>
        <v>200</v>
      </c>
      <c r="G6640" s="20" t="n">
        <f aca="false">E6640+F6640</f>
        <v>500</v>
      </c>
      <c r="H6640" s="20" t="n">
        <f aca="false">IF(G6640&lt;Parametres!$B$8*Parametres!$B$7,0,MIN(G6640,Parametres!$B$7))</f>
        <v>250</v>
      </c>
      <c r="I6640" s="20" t="n">
        <f aca="false">G6640-H6640</f>
        <v>250</v>
      </c>
      <c r="J6640" s="21" t="n">
        <f aca="false">H6640*1000/Parametres!$B$9</f>
        <v>4239.44378497541</v>
      </c>
    </row>
    <row r="6641" customFormat="false" ht="15" hidden="false" customHeight="false" outlineLevel="0" collapsed="false">
      <c r="A6641" s="0" t="n">
        <v>6637</v>
      </c>
      <c r="B6641" s="0" t="n">
        <v>10</v>
      </c>
      <c r="C6641" s="19" t="n">
        <v>1</v>
      </c>
      <c r="D6641" s="19" t="n">
        <v>1</v>
      </c>
      <c r="E6641" s="20" t="n">
        <f aca="false">Parametres!$B$5*C6641</f>
        <v>300</v>
      </c>
      <c r="F6641" s="20" t="n">
        <f aca="false">Parametres!$B$6*D6641</f>
        <v>200</v>
      </c>
      <c r="G6641" s="20" t="n">
        <f aca="false">E6641+F6641</f>
        <v>500</v>
      </c>
      <c r="H6641" s="20" t="n">
        <f aca="false">IF(G6641&lt;Parametres!$B$8*Parametres!$B$7,0,MIN(G6641,Parametres!$B$7))</f>
        <v>250</v>
      </c>
      <c r="I6641" s="20" t="n">
        <f aca="false">G6641-H6641</f>
        <v>250</v>
      </c>
      <c r="J6641" s="21" t="n">
        <f aca="false">H6641*1000/Parametres!$B$9</f>
        <v>4239.44378497541</v>
      </c>
    </row>
    <row r="6642" customFormat="false" ht="15" hidden="false" customHeight="false" outlineLevel="0" collapsed="false">
      <c r="A6642" s="0" t="n">
        <v>6638</v>
      </c>
      <c r="B6642" s="0" t="n">
        <v>10</v>
      </c>
      <c r="C6642" s="19" t="n">
        <v>1</v>
      </c>
      <c r="D6642" s="19" t="n">
        <v>1</v>
      </c>
      <c r="E6642" s="20" t="n">
        <f aca="false">Parametres!$B$5*C6642</f>
        <v>300</v>
      </c>
      <c r="F6642" s="20" t="n">
        <f aca="false">Parametres!$B$6*D6642</f>
        <v>200</v>
      </c>
      <c r="G6642" s="20" t="n">
        <f aca="false">E6642+F6642</f>
        <v>500</v>
      </c>
      <c r="H6642" s="20" t="n">
        <f aca="false">IF(G6642&lt;Parametres!$B$8*Parametres!$B$7,0,MIN(G6642,Parametres!$B$7))</f>
        <v>250</v>
      </c>
      <c r="I6642" s="20" t="n">
        <f aca="false">G6642-H6642</f>
        <v>250</v>
      </c>
      <c r="J6642" s="21" t="n">
        <f aca="false">H6642*1000/Parametres!$B$9</f>
        <v>4239.44378497541</v>
      </c>
    </row>
    <row r="6643" customFormat="false" ht="15" hidden="false" customHeight="false" outlineLevel="0" collapsed="false">
      <c r="A6643" s="0" t="n">
        <v>6639</v>
      </c>
      <c r="B6643" s="0" t="n">
        <v>10</v>
      </c>
      <c r="C6643" s="19" t="n">
        <v>0.8715</v>
      </c>
      <c r="D6643" s="19" t="n">
        <v>1</v>
      </c>
      <c r="E6643" s="20" t="n">
        <f aca="false">Parametres!$B$5*C6643</f>
        <v>261.45</v>
      </c>
      <c r="F6643" s="20" t="n">
        <f aca="false">Parametres!$B$6*D6643</f>
        <v>200</v>
      </c>
      <c r="G6643" s="20" t="n">
        <f aca="false">E6643+F6643</f>
        <v>461.45</v>
      </c>
      <c r="H6643" s="20" t="n">
        <f aca="false">IF(G6643&lt;Parametres!$B$8*Parametres!$B$7,0,MIN(G6643,Parametres!$B$7))</f>
        <v>250</v>
      </c>
      <c r="I6643" s="20" t="n">
        <f aca="false">G6643-H6643</f>
        <v>211.45</v>
      </c>
      <c r="J6643" s="21" t="n">
        <f aca="false">H6643*1000/Parametres!$B$9</f>
        <v>4239.44378497541</v>
      </c>
    </row>
    <row r="6644" customFormat="false" ht="15" hidden="false" customHeight="false" outlineLevel="0" collapsed="false">
      <c r="A6644" s="0" t="n">
        <v>6640</v>
      </c>
      <c r="B6644" s="0" t="n">
        <v>10</v>
      </c>
      <c r="C6644" s="19" t="n">
        <v>0.61</v>
      </c>
      <c r="D6644" s="19" t="n">
        <v>1</v>
      </c>
      <c r="E6644" s="20" t="n">
        <f aca="false">Parametres!$B$5*C6644</f>
        <v>183</v>
      </c>
      <c r="F6644" s="20" t="n">
        <f aca="false">Parametres!$B$6*D6644</f>
        <v>200</v>
      </c>
      <c r="G6644" s="20" t="n">
        <f aca="false">E6644+F6644</f>
        <v>383</v>
      </c>
      <c r="H6644" s="20" t="n">
        <f aca="false">IF(G6644&lt;Parametres!$B$8*Parametres!$B$7,0,MIN(G6644,Parametres!$B$7))</f>
        <v>250</v>
      </c>
      <c r="I6644" s="20" t="n">
        <f aca="false">G6644-H6644</f>
        <v>133</v>
      </c>
      <c r="J6644" s="21" t="n">
        <f aca="false">H6644*1000/Parametres!$B$9</f>
        <v>4239.44378497541</v>
      </c>
    </row>
    <row r="6645" customFormat="false" ht="15" hidden="false" customHeight="false" outlineLevel="0" collapsed="false">
      <c r="A6645" s="0" t="n">
        <v>6641</v>
      </c>
      <c r="B6645" s="0" t="n">
        <v>10</v>
      </c>
      <c r="C6645" s="19" t="n">
        <v>0.3345</v>
      </c>
      <c r="D6645" s="19" t="n">
        <v>1</v>
      </c>
      <c r="E6645" s="20" t="n">
        <f aca="false">Parametres!$B$5*C6645</f>
        <v>100.35</v>
      </c>
      <c r="F6645" s="20" t="n">
        <f aca="false">Parametres!$B$6*D6645</f>
        <v>200</v>
      </c>
      <c r="G6645" s="20" t="n">
        <f aca="false">E6645+F6645</f>
        <v>300.35</v>
      </c>
      <c r="H6645" s="20" t="n">
        <f aca="false">IF(G6645&lt;Parametres!$B$8*Parametres!$B$7,0,MIN(G6645,Parametres!$B$7))</f>
        <v>250</v>
      </c>
      <c r="I6645" s="20" t="n">
        <f aca="false">G6645-H6645</f>
        <v>50.35</v>
      </c>
      <c r="J6645" s="21" t="n">
        <f aca="false">H6645*1000/Parametres!$B$9</f>
        <v>4239.44378497541</v>
      </c>
    </row>
    <row r="6646" customFormat="false" ht="15" hidden="false" customHeight="false" outlineLevel="0" collapsed="false">
      <c r="A6646" s="0" t="n">
        <v>6642</v>
      </c>
      <c r="B6646" s="0" t="n">
        <v>10</v>
      </c>
      <c r="C6646" s="19" t="n">
        <v>0.0715</v>
      </c>
      <c r="D6646" s="19" t="n">
        <v>1</v>
      </c>
      <c r="E6646" s="20" t="n">
        <f aca="false">Parametres!$B$5*C6646</f>
        <v>21.45</v>
      </c>
      <c r="F6646" s="20" t="n">
        <f aca="false">Parametres!$B$6*D6646</f>
        <v>200</v>
      </c>
      <c r="G6646" s="20" t="n">
        <f aca="false">E6646+F6646</f>
        <v>221.45</v>
      </c>
      <c r="H6646" s="20" t="n">
        <f aca="false">IF(G6646&lt;Parametres!$B$8*Parametres!$B$7,0,MIN(G6646,Parametres!$B$7))</f>
        <v>221.45</v>
      </c>
      <c r="I6646" s="20" t="n">
        <f aca="false">G6646-H6646</f>
        <v>0</v>
      </c>
      <c r="J6646" s="21" t="n">
        <f aca="false">H6646*1000/Parametres!$B$9</f>
        <v>3755.29930473122</v>
      </c>
    </row>
    <row r="6647" customFormat="false" ht="15" hidden="false" customHeight="false" outlineLevel="0" collapsed="false">
      <c r="A6647" s="0" t="n">
        <v>6643</v>
      </c>
      <c r="B6647" s="0" t="n">
        <v>10</v>
      </c>
      <c r="C6647" s="19" t="n">
        <v>0</v>
      </c>
      <c r="D6647" s="19" t="n">
        <v>1</v>
      </c>
      <c r="E6647" s="20" t="n">
        <f aca="false">Parametres!$B$5*C6647</f>
        <v>0</v>
      </c>
      <c r="F6647" s="20" t="n">
        <f aca="false">Parametres!$B$6*D6647</f>
        <v>200</v>
      </c>
      <c r="G6647" s="20" t="n">
        <f aca="false">E6647+F6647</f>
        <v>200</v>
      </c>
      <c r="H6647" s="20" t="n">
        <f aca="false">IF(G6647&lt;Parametres!$B$8*Parametres!$B$7,0,MIN(G6647,Parametres!$B$7))</f>
        <v>200</v>
      </c>
      <c r="I6647" s="20" t="n">
        <f aca="false">G6647-H6647</f>
        <v>0</v>
      </c>
      <c r="J6647" s="21" t="n">
        <f aca="false">H6647*1000/Parametres!$B$9</f>
        <v>3391.55502798033</v>
      </c>
    </row>
    <row r="6648" customFormat="false" ht="15" hidden="false" customHeight="false" outlineLevel="0" collapsed="false">
      <c r="A6648" s="0" t="n">
        <v>6644</v>
      </c>
      <c r="B6648" s="0" t="n">
        <v>10</v>
      </c>
      <c r="C6648" s="19" t="n">
        <v>0</v>
      </c>
      <c r="D6648" s="19" t="n">
        <v>1</v>
      </c>
      <c r="E6648" s="20" t="n">
        <f aca="false">Parametres!$B$5*C6648</f>
        <v>0</v>
      </c>
      <c r="F6648" s="20" t="n">
        <f aca="false">Parametres!$B$6*D6648</f>
        <v>200</v>
      </c>
      <c r="G6648" s="20" t="n">
        <f aca="false">E6648+F6648</f>
        <v>200</v>
      </c>
      <c r="H6648" s="20" t="n">
        <f aca="false">IF(G6648&lt;Parametres!$B$8*Parametres!$B$7,0,MIN(G6648,Parametres!$B$7))</f>
        <v>200</v>
      </c>
      <c r="I6648" s="20" t="n">
        <f aca="false">G6648-H6648</f>
        <v>0</v>
      </c>
      <c r="J6648" s="21" t="n">
        <f aca="false">H6648*1000/Parametres!$B$9</f>
        <v>3391.55502798033</v>
      </c>
    </row>
    <row r="6649" customFormat="false" ht="15" hidden="false" customHeight="false" outlineLevel="0" collapsed="false">
      <c r="A6649" s="0" t="n">
        <v>6645</v>
      </c>
      <c r="B6649" s="0" t="n">
        <v>10</v>
      </c>
      <c r="C6649" s="19" t="n">
        <v>0</v>
      </c>
      <c r="D6649" s="19" t="n">
        <v>1</v>
      </c>
      <c r="E6649" s="20" t="n">
        <f aca="false">Parametres!$B$5*C6649</f>
        <v>0</v>
      </c>
      <c r="F6649" s="20" t="n">
        <f aca="false">Parametres!$B$6*D6649</f>
        <v>200</v>
      </c>
      <c r="G6649" s="20" t="n">
        <f aca="false">E6649+F6649</f>
        <v>200</v>
      </c>
      <c r="H6649" s="20" t="n">
        <f aca="false">IF(G6649&lt;Parametres!$B$8*Parametres!$B$7,0,MIN(G6649,Parametres!$B$7))</f>
        <v>200</v>
      </c>
      <c r="I6649" s="20" t="n">
        <f aca="false">G6649-H6649</f>
        <v>0</v>
      </c>
      <c r="J6649" s="21" t="n">
        <f aca="false">H6649*1000/Parametres!$B$9</f>
        <v>3391.55502798033</v>
      </c>
    </row>
    <row r="6650" customFormat="false" ht="15" hidden="false" customHeight="false" outlineLevel="0" collapsed="false">
      <c r="A6650" s="0" t="n">
        <v>6646</v>
      </c>
      <c r="B6650" s="0" t="n">
        <v>10</v>
      </c>
      <c r="C6650" s="19" t="n">
        <v>0</v>
      </c>
      <c r="D6650" s="19" t="n">
        <v>1</v>
      </c>
      <c r="E6650" s="20" t="n">
        <f aca="false">Parametres!$B$5*C6650</f>
        <v>0</v>
      </c>
      <c r="F6650" s="20" t="n">
        <f aca="false">Parametres!$B$6*D6650</f>
        <v>200</v>
      </c>
      <c r="G6650" s="20" t="n">
        <f aca="false">E6650+F6650</f>
        <v>200</v>
      </c>
      <c r="H6650" s="20" t="n">
        <f aca="false">IF(G6650&lt;Parametres!$B$8*Parametres!$B$7,0,MIN(G6650,Parametres!$B$7))</f>
        <v>200</v>
      </c>
      <c r="I6650" s="20" t="n">
        <f aca="false">G6650-H6650</f>
        <v>0</v>
      </c>
      <c r="J6650" s="21" t="n">
        <f aca="false">H6650*1000/Parametres!$B$9</f>
        <v>3391.55502798033</v>
      </c>
    </row>
    <row r="6651" customFormat="false" ht="15" hidden="false" customHeight="false" outlineLevel="0" collapsed="false">
      <c r="A6651" s="0" t="n">
        <v>6647</v>
      </c>
      <c r="B6651" s="0" t="n">
        <v>10</v>
      </c>
      <c r="C6651" s="19" t="n">
        <v>0</v>
      </c>
      <c r="D6651" s="19" t="n">
        <v>1</v>
      </c>
      <c r="E6651" s="20" t="n">
        <f aca="false">Parametres!$B$5*C6651</f>
        <v>0</v>
      </c>
      <c r="F6651" s="20" t="n">
        <f aca="false">Parametres!$B$6*D6651</f>
        <v>200</v>
      </c>
      <c r="G6651" s="20" t="n">
        <f aca="false">E6651+F6651</f>
        <v>200</v>
      </c>
      <c r="H6651" s="20" t="n">
        <f aca="false">IF(G6651&lt;Parametres!$B$8*Parametres!$B$7,0,MIN(G6651,Parametres!$B$7))</f>
        <v>200</v>
      </c>
      <c r="I6651" s="20" t="n">
        <f aca="false">G6651-H6651</f>
        <v>0</v>
      </c>
      <c r="J6651" s="21" t="n">
        <f aca="false">H6651*1000/Parametres!$B$9</f>
        <v>3391.55502798033</v>
      </c>
    </row>
    <row r="6652" customFormat="false" ht="15" hidden="false" customHeight="false" outlineLevel="0" collapsed="false">
      <c r="A6652" s="0" t="n">
        <v>6648</v>
      </c>
      <c r="B6652" s="0" t="n">
        <v>10</v>
      </c>
      <c r="C6652" s="19" t="n">
        <v>0</v>
      </c>
      <c r="D6652" s="19" t="n">
        <v>1</v>
      </c>
      <c r="E6652" s="20" t="n">
        <f aca="false">Parametres!$B$5*C6652</f>
        <v>0</v>
      </c>
      <c r="F6652" s="20" t="n">
        <f aca="false">Parametres!$B$6*D6652</f>
        <v>200</v>
      </c>
      <c r="G6652" s="20" t="n">
        <f aca="false">E6652+F6652</f>
        <v>200</v>
      </c>
      <c r="H6652" s="20" t="n">
        <f aca="false">IF(G6652&lt;Parametres!$B$8*Parametres!$B$7,0,MIN(G6652,Parametres!$B$7))</f>
        <v>200</v>
      </c>
      <c r="I6652" s="20" t="n">
        <f aca="false">G6652-H6652</f>
        <v>0</v>
      </c>
      <c r="J6652" s="21" t="n">
        <f aca="false">H6652*1000/Parametres!$B$9</f>
        <v>3391.55502798033</v>
      </c>
    </row>
    <row r="6653" customFormat="false" ht="15" hidden="false" customHeight="false" outlineLevel="0" collapsed="false">
      <c r="A6653" s="0" t="n">
        <v>6649</v>
      </c>
      <c r="B6653" s="0" t="n">
        <v>10</v>
      </c>
      <c r="C6653" s="19" t="n">
        <v>0</v>
      </c>
      <c r="D6653" s="19" t="n">
        <v>1</v>
      </c>
      <c r="E6653" s="20" t="n">
        <f aca="false">Parametres!$B$5*C6653</f>
        <v>0</v>
      </c>
      <c r="F6653" s="20" t="n">
        <f aca="false">Parametres!$B$6*D6653</f>
        <v>200</v>
      </c>
      <c r="G6653" s="20" t="n">
        <f aca="false">E6653+F6653</f>
        <v>200</v>
      </c>
      <c r="H6653" s="20" t="n">
        <f aca="false">IF(G6653&lt;Parametres!$B$8*Parametres!$B$7,0,MIN(G6653,Parametres!$B$7))</f>
        <v>200</v>
      </c>
      <c r="I6653" s="20" t="n">
        <f aca="false">G6653-H6653</f>
        <v>0</v>
      </c>
      <c r="J6653" s="21" t="n">
        <f aca="false">H6653*1000/Parametres!$B$9</f>
        <v>3391.55502798033</v>
      </c>
    </row>
    <row r="6654" customFormat="false" ht="15" hidden="false" customHeight="false" outlineLevel="0" collapsed="false">
      <c r="A6654" s="0" t="n">
        <v>6650</v>
      </c>
      <c r="B6654" s="0" t="n">
        <v>10</v>
      </c>
      <c r="C6654" s="19" t="n">
        <v>0</v>
      </c>
      <c r="D6654" s="19" t="n">
        <v>1</v>
      </c>
      <c r="E6654" s="20" t="n">
        <f aca="false">Parametres!$B$5*C6654</f>
        <v>0</v>
      </c>
      <c r="F6654" s="20" t="n">
        <f aca="false">Parametres!$B$6*D6654</f>
        <v>200</v>
      </c>
      <c r="G6654" s="20" t="n">
        <f aca="false">E6654+F6654</f>
        <v>200</v>
      </c>
      <c r="H6654" s="20" t="n">
        <f aca="false">IF(G6654&lt;Parametres!$B$8*Parametres!$B$7,0,MIN(G6654,Parametres!$B$7))</f>
        <v>200</v>
      </c>
      <c r="I6654" s="20" t="n">
        <f aca="false">G6654-H6654</f>
        <v>0</v>
      </c>
      <c r="J6654" s="21" t="n">
        <f aca="false">H6654*1000/Parametres!$B$9</f>
        <v>3391.55502798033</v>
      </c>
    </row>
    <row r="6655" customFormat="false" ht="15" hidden="false" customHeight="false" outlineLevel="0" collapsed="false">
      <c r="A6655" s="0" t="n">
        <v>6651</v>
      </c>
      <c r="B6655" s="0" t="n">
        <v>10</v>
      </c>
      <c r="C6655" s="19" t="n">
        <v>0</v>
      </c>
      <c r="D6655" s="19" t="n">
        <v>1</v>
      </c>
      <c r="E6655" s="20" t="n">
        <f aca="false">Parametres!$B$5*C6655</f>
        <v>0</v>
      </c>
      <c r="F6655" s="20" t="n">
        <f aca="false">Parametres!$B$6*D6655</f>
        <v>200</v>
      </c>
      <c r="G6655" s="20" t="n">
        <f aca="false">E6655+F6655</f>
        <v>200</v>
      </c>
      <c r="H6655" s="20" t="n">
        <f aca="false">IF(G6655&lt;Parametres!$B$8*Parametres!$B$7,0,MIN(G6655,Parametres!$B$7))</f>
        <v>200</v>
      </c>
      <c r="I6655" s="20" t="n">
        <f aca="false">G6655-H6655</f>
        <v>0</v>
      </c>
      <c r="J6655" s="21" t="n">
        <f aca="false">H6655*1000/Parametres!$B$9</f>
        <v>3391.55502798033</v>
      </c>
    </row>
    <row r="6656" customFormat="false" ht="15" hidden="false" customHeight="false" outlineLevel="0" collapsed="false">
      <c r="A6656" s="0" t="n">
        <v>6652</v>
      </c>
      <c r="B6656" s="0" t="n">
        <v>10</v>
      </c>
      <c r="C6656" s="19" t="n">
        <v>0</v>
      </c>
      <c r="D6656" s="19" t="n">
        <v>1</v>
      </c>
      <c r="E6656" s="20" t="n">
        <f aca="false">Parametres!$B$5*C6656</f>
        <v>0</v>
      </c>
      <c r="F6656" s="20" t="n">
        <f aca="false">Parametres!$B$6*D6656</f>
        <v>200</v>
      </c>
      <c r="G6656" s="20" t="n">
        <f aca="false">E6656+F6656</f>
        <v>200</v>
      </c>
      <c r="H6656" s="20" t="n">
        <f aca="false">IF(G6656&lt;Parametres!$B$8*Parametres!$B$7,0,MIN(G6656,Parametres!$B$7))</f>
        <v>200</v>
      </c>
      <c r="I6656" s="20" t="n">
        <f aca="false">G6656-H6656</f>
        <v>0</v>
      </c>
      <c r="J6656" s="21" t="n">
        <f aca="false">H6656*1000/Parametres!$B$9</f>
        <v>3391.55502798033</v>
      </c>
    </row>
    <row r="6657" customFormat="false" ht="15" hidden="false" customHeight="false" outlineLevel="0" collapsed="false">
      <c r="A6657" s="0" t="n">
        <v>6653</v>
      </c>
      <c r="B6657" s="0" t="n">
        <v>10</v>
      </c>
      <c r="C6657" s="19" t="n">
        <v>0</v>
      </c>
      <c r="D6657" s="19" t="n">
        <v>1</v>
      </c>
      <c r="E6657" s="20" t="n">
        <f aca="false">Parametres!$B$5*C6657</f>
        <v>0</v>
      </c>
      <c r="F6657" s="20" t="n">
        <f aca="false">Parametres!$B$6*D6657</f>
        <v>200</v>
      </c>
      <c r="G6657" s="20" t="n">
        <f aca="false">E6657+F6657</f>
        <v>200</v>
      </c>
      <c r="H6657" s="20" t="n">
        <f aca="false">IF(G6657&lt;Parametres!$B$8*Parametres!$B$7,0,MIN(G6657,Parametres!$B$7))</f>
        <v>200</v>
      </c>
      <c r="I6657" s="20" t="n">
        <f aca="false">G6657-H6657</f>
        <v>0</v>
      </c>
      <c r="J6657" s="21" t="n">
        <f aca="false">H6657*1000/Parametres!$B$9</f>
        <v>3391.55502798033</v>
      </c>
    </row>
    <row r="6658" customFormat="false" ht="15" hidden="false" customHeight="false" outlineLevel="0" collapsed="false">
      <c r="A6658" s="0" t="n">
        <v>6654</v>
      </c>
      <c r="B6658" s="0" t="n">
        <v>10</v>
      </c>
      <c r="C6658" s="19" t="n">
        <v>0</v>
      </c>
      <c r="D6658" s="19" t="n">
        <v>1</v>
      </c>
      <c r="E6658" s="20" t="n">
        <f aca="false">Parametres!$B$5*C6658</f>
        <v>0</v>
      </c>
      <c r="F6658" s="20" t="n">
        <f aca="false">Parametres!$B$6*D6658</f>
        <v>200</v>
      </c>
      <c r="G6658" s="20" t="n">
        <f aca="false">E6658+F6658</f>
        <v>200</v>
      </c>
      <c r="H6658" s="20" t="n">
        <f aca="false">IF(G6658&lt;Parametres!$B$8*Parametres!$B$7,0,MIN(G6658,Parametres!$B$7))</f>
        <v>200</v>
      </c>
      <c r="I6658" s="20" t="n">
        <f aca="false">G6658-H6658</f>
        <v>0</v>
      </c>
      <c r="J6658" s="21" t="n">
        <f aca="false">H6658*1000/Parametres!$B$9</f>
        <v>3391.55502798033</v>
      </c>
    </row>
    <row r="6659" customFormat="false" ht="15" hidden="false" customHeight="false" outlineLevel="0" collapsed="false">
      <c r="A6659" s="0" t="n">
        <v>6655</v>
      </c>
      <c r="B6659" s="0" t="n">
        <v>10</v>
      </c>
      <c r="C6659" s="19" t="n">
        <v>0.0608</v>
      </c>
      <c r="D6659" s="19" t="n">
        <v>1</v>
      </c>
      <c r="E6659" s="20" t="n">
        <f aca="false">Parametres!$B$5*C6659</f>
        <v>18.24</v>
      </c>
      <c r="F6659" s="20" t="n">
        <f aca="false">Parametres!$B$6*D6659</f>
        <v>200</v>
      </c>
      <c r="G6659" s="20" t="n">
        <f aca="false">E6659+F6659</f>
        <v>218.24</v>
      </c>
      <c r="H6659" s="20" t="n">
        <f aca="false">IF(G6659&lt;Parametres!$B$8*Parametres!$B$7,0,MIN(G6659,Parametres!$B$7))</f>
        <v>218.24</v>
      </c>
      <c r="I6659" s="20" t="n">
        <f aca="false">G6659-H6659</f>
        <v>0</v>
      </c>
      <c r="J6659" s="21" t="n">
        <f aca="false">H6659*1000/Parametres!$B$9</f>
        <v>3700.86484653214</v>
      </c>
    </row>
    <row r="6660" customFormat="false" ht="15" hidden="false" customHeight="false" outlineLevel="0" collapsed="false">
      <c r="A6660" s="0" t="n">
        <v>6656</v>
      </c>
      <c r="B6660" s="0" t="n">
        <v>10</v>
      </c>
      <c r="C6660" s="19" t="n">
        <v>0.2944</v>
      </c>
      <c r="D6660" s="19" t="n">
        <v>1</v>
      </c>
      <c r="E6660" s="20" t="n">
        <f aca="false">Parametres!$B$5*C6660</f>
        <v>88.32</v>
      </c>
      <c r="F6660" s="20" t="n">
        <f aca="false">Parametres!$B$6*D6660</f>
        <v>200</v>
      </c>
      <c r="G6660" s="20" t="n">
        <f aca="false">E6660+F6660</f>
        <v>288.32</v>
      </c>
      <c r="H6660" s="20" t="n">
        <f aca="false">IF(G6660&lt;Parametres!$B$8*Parametres!$B$7,0,MIN(G6660,Parametres!$B$7))</f>
        <v>250</v>
      </c>
      <c r="I6660" s="20" t="n">
        <f aca="false">G6660-H6660</f>
        <v>38.32</v>
      </c>
      <c r="J6660" s="21" t="n">
        <f aca="false">H6660*1000/Parametres!$B$9</f>
        <v>4239.44378497541</v>
      </c>
    </row>
    <row r="6661" customFormat="false" ht="15" hidden="false" customHeight="false" outlineLevel="0" collapsed="false">
      <c r="A6661" s="0" t="n">
        <v>6657</v>
      </c>
      <c r="B6661" s="0" t="n">
        <v>10</v>
      </c>
      <c r="C6661" s="19" t="n">
        <v>0.5412</v>
      </c>
      <c r="D6661" s="19" t="n">
        <v>1</v>
      </c>
      <c r="E6661" s="20" t="n">
        <f aca="false">Parametres!$B$5*C6661</f>
        <v>162.36</v>
      </c>
      <c r="F6661" s="20" t="n">
        <f aca="false">Parametres!$B$6*D6661</f>
        <v>200</v>
      </c>
      <c r="G6661" s="20" t="n">
        <f aca="false">E6661+F6661</f>
        <v>362.36</v>
      </c>
      <c r="H6661" s="20" t="n">
        <f aca="false">IF(G6661&lt;Parametres!$B$8*Parametres!$B$7,0,MIN(G6661,Parametres!$B$7))</f>
        <v>250</v>
      </c>
      <c r="I6661" s="20" t="n">
        <f aca="false">G6661-H6661</f>
        <v>112.36</v>
      </c>
      <c r="J6661" s="21" t="n">
        <f aca="false">H6661*1000/Parametres!$B$9</f>
        <v>4239.44378497541</v>
      </c>
    </row>
    <row r="6662" customFormat="false" ht="15" hidden="false" customHeight="false" outlineLevel="0" collapsed="false">
      <c r="A6662" s="0" t="n">
        <v>6658</v>
      </c>
      <c r="B6662" s="0" t="n">
        <v>10</v>
      </c>
      <c r="C6662" s="19" t="n">
        <v>0.7511</v>
      </c>
      <c r="D6662" s="19" t="n">
        <v>1</v>
      </c>
      <c r="E6662" s="20" t="n">
        <f aca="false">Parametres!$B$5*C6662</f>
        <v>225.33</v>
      </c>
      <c r="F6662" s="20" t="n">
        <f aca="false">Parametres!$B$6*D6662</f>
        <v>200</v>
      </c>
      <c r="G6662" s="20" t="n">
        <f aca="false">E6662+F6662</f>
        <v>425.33</v>
      </c>
      <c r="H6662" s="20" t="n">
        <f aca="false">IF(G6662&lt;Parametres!$B$8*Parametres!$B$7,0,MIN(G6662,Parametres!$B$7))</f>
        <v>250</v>
      </c>
      <c r="I6662" s="20" t="n">
        <f aca="false">G6662-H6662</f>
        <v>175.33</v>
      </c>
      <c r="J6662" s="21" t="n">
        <f aca="false">H6662*1000/Parametres!$B$9</f>
        <v>4239.44378497541</v>
      </c>
    </row>
    <row r="6663" customFormat="false" ht="15" hidden="false" customHeight="false" outlineLevel="0" collapsed="false">
      <c r="A6663" s="0" t="n">
        <v>6659</v>
      </c>
      <c r="B6663" s="0" t="n">
        <v>10</v>
      </c>
      <c r="C6663" s="19" t="n">
        <v>0.9183</v>
      </c>
      <c r="D6663" s="19" t="n">
        <v>1</v>
      </c>
      <c r="E6663" s="20" t="n">
        <f aca="false">Parametres!$B$5*C6663</f>
        <v>275.49</v>
      </c>
      <c r="F6663" s="20" t="n">
        <f aca="false">Parametres!$B$6*D6663</f>
        <v>200</v>
      </c>
      <c r="G6663" s="20" t="n">
        <f aca="false">E6663+F6663</f>
        <v>475.49</v>
      </c>
      <c r="H6663" s="20" t="n">
        <f aca="false">IF(G6663&lt;Parametres!$B$8*Parametres!$B$7,0,MIN(G6663,Parametres!$B$7))</f>
        <v>250</v>
      </c>
      <c r="I6663" s="20" t="n">
        <f aca="false">G6663-H6663</f>
        <v>225.49</v>
      </c>
      <c r="J6663" s="21" t="n">
        <f aca="false">H6663*1000/Parametres!$B$9</f>
        <v>4239.44378497541</v>
      </c>
    </row>
    <row r="6664" customFormat="false" ht="15" hidden="false" customHeight="false" outlineLevel="0" collapsed="false">
      <c r="A6664" s="0" t="n">
        <v>6660</v>
      </c>
      <c r="B6664" s="0" t="n">
        <v>10</v>
      </c>
      <c r="C6664" s="19" t="n">
        <v>1</v>
      </c>
      <c r="D6664" s="19" t="n">
        <v>1</v>
      </c>
      <c r="E6664" s="20" t="n">
        <f aca="false">Parametres!$B$5*C6664</f>
        <v>300</v>
      </c>
      <c r="F6664" s="20" t="n">
        <f aca="false">Parametres!$B$6*D6664</f>
        <v>200</v>
      </c>
      <c r="G6664" s="20" t="n">
        <f aca="false">E6664+F6664</f>
        <v>500</v>
      </c>
      <c r="H6664" s="20" t="n">
        <f aca="false">IF(G6664&lt;Parametres!$B$8*Parametres!$B$7,0,MIN(G6664,Parametres!$B$7))</f>
        <v>250</v>
      </c>
      <c r="I6664" s="20" t="n">
        <f aca="false">G6664-H6664</f>
        <v>250</v>
      </c>
      <c r="J6664" s="21" t="n">
        <f aca="false">H6664*1000/Parametres!$B$9</f>
        <v>4239.44378497541</v>
      </c>
    </row>
    <row r="6665" customFormat="false" ht="15" hidden="false" customHeight="false" outlineLevel="0" collapsed="false">
      <c r="A6665" s="0" t="n">
        <v>6661</v>
      </c>
      <c r="B6665" s="0" t="n">
        <v>10</v>
      </c>
      <c r="C6665" s="19" t="n">
        <v>1</v>
      </c>
      <c r="D6665" s="19" t="n">
        <v>1</v>
      </c>
      <c r="E6665" s="20" t="n">
        <f aca="false">Parametres!$B$5*C6665</f>
        <v>300</v>
      </c>
      <c r="F6665" s="20" t="n">
        <f aca="false">Parametres!$B$6*D6665</f>
        <v>200</v>
      </c>
      <c r="G6665" s="20" t="n">
        <f aca="false">E6665+F6665</f>
        <v>500</v>
      </c>
      <c r="H6665" s="20" t="n">
        <f aca="false">IF(G6665&lt;Parametres!$B$8*Parametres!$B$7,0,MIN(G6665,Parametres!$B$7))</f>
        <v>250</v>
      </c>
      <c r="I6665" s="20" t="n">
        <f aca="false">G6665-H6665</f>
        <v>250</v>
      </c>
      <c r="J6665" s="21" t="n">
        <f aca="false">H6665*1000/Parametres!$B$9</f>
        <v>4239.44378497541</v>
      </c>
    </row>
    <row r="6666" customFormat="false" ht="15" hidden="false" customHeight="false" outlineLevel="0" collapsed="false">
      <c r="A6666" s="0" t="n">
        <v>6662</v>
      </c>
      <c r="B6666" s="0" t="n">
        <v>10</v>
      </c>
      <c r="C6666" s="19" t="n">
        <v>0.8686</v>
      </c>
      <c r="D6666" s="19" t="n">
        <v>1</v>
      </c>
      <c r="E6666" s="20" t="n">
        <f aca="false">Parametres!$B$5*C6666</f>
        <v>260.58</v>
      </c>
      <c r="F6666" s="20" t="n">
        <f aca="false">Parametres!$B$6*D6666</f>
        <v>200</v>
      </c>
      <c r="G6666" s="20" t="n">
        <f aca="false">E6666+F6666</f>
        <v>460.58</v>
      </c>
      <c r="H6666" s="20" t="n">
        <f aca="false">IF(G6666&lt;Parametres!$B$8*Parametres!$B$7,0,MIN(G6666,Parametres!$B$7))</f>
        <v>250</v>
      </c>
      <c r="I6666" s="20" t="n">
        <f aca="false">G6666-H6666</f>
        <v>210.58</v>
      </c>
      <c r="J6666" s="21" t="n">
        <f aca="false">H6666*1000/Parametres!$B$9</f>
        <v>4239.44378497541</v>
      </c>
    </row>
    <row r="6667" customFormat="false" ht="15" hidden="false" customHeight="false" outlineLevel="0" collapsed="false">
      <c r="A6667" s="0" t="n">
        <v>6663</v>
      </c>
      <c r="B6667" s="0" t="n">
        <v>10</v>
      </c>
      <c r="C6667" s="19" t="n">
        <v>0.7546</v>
      </c>
      <c r="D6667" s="19" t="n">
        <v>1</v>
      </c>
      <c r="E6667" s="20" t="n">
        <f aca="false">Parametres!$B$5*C6667</f>
        <v>226.38</v>
      </c>
      <c r="F6667" s="20" t="n">
        <f aca="false">Parametres!$B$6*D6667</f>
        <v>200</v>
      </c>
      <c r="G6667" s="20" t="n">
        <f aca="false">E6667+F6667</f>
        <v>426.38</v>
      </c>
      <c r="H6667" s="20" t="n">
        <f aca="false">IF(G6667&lt;Parametres!$B$8*Parametres!$B$7,0,MIN(G6667,Parametres!$B$7))</f>
        <v>250</v>
      </c>
      <c r="I6667" s="20" t="n">
        <f aca="false">G6667-H6667</f>
        <v>176.38</v>
      </c>
      <c r="J6667" s="21" t="n">
        <f aca="false">H6667*1000/Parametres!$B$9</f>
        <v>4239.44378497541</v>
      </c>
    </row>
    <row r="6668" customFormat="false" ht="15" hidden="false" customHeight="false" outlineLevel="0" collapsed="false">
      <c r="A6668" s="0" t="n">
        <v>6664</v>
      </c>
      <c r="B6668" s="0" t="n">
        <v>10</v>
      </c>
      <c r="C6668" s="19" t="n">
        <v>0.5286</v>
      </c>
      <c r="D6668" s="19" t="n">
        <v>1</v>
      </c>
      <c r="E6668" s="20" t="n">
        <f aca="false">Parametres!$B$5*C6668</f>
        <v>158.58</v>
      </c>
      <c r="F6668" s="20" t="n">
        <f aca="false">Parametres!$B$6*D6668</f>
        <v>200</v>
      </c>
      <c r="G6668" s="20" t="n">
        <f aca="false">E6668+F6668</f>
        <v>358.58</v>
      </c>
      <c r="H6668" s="20" t="n">
        <f aca="false">IF(G6668&lt;Parametres!$B$8*Parametres!$B$7,0,MIN(G6668,Parametres!$B$7))</f>
        <v>250</v>
      </c>
      <c r="I6668" s="20" t="n">
        <f aca="false">G6668-H6668</f>
        <v>108.58</v>
      </c>
      <c r="J6668" s="21" t="n">
        <f aca="false">H6668*1000/Parametres!$B$9</f>
        <v>4239.44378497541</v>
      </c>
    </row>
    <row r="6669" customFormat="false" ht="15" hidden="false" customHeight="false" outlineLevel="0" collapsed="false">
      <c r="A6669" s="0" t="n">
        <v>6665</v>
      </c>
      <c r="B6669" s="0" t="n">
        <v>10</v>
      </c>
      <c r="C6669" s="19" t="n">
        <v>0.3068</v>
      </c>
      <c r="D6669" s="19" t="n">
        <v>1</v>
      </c>
      <c r="E6669" s="20" t="n">
        <f aca="false">Parametres!$B$5*C6669</f>
        <v>92.04</v>
      </c>
      <c r="F6669" s="20" t="n">
        <f aca="false">Parametres!$B$6*D6669</f>
        <v>200</v>
      </c>
      <c r="G6669" s="20" t="n">
        <f aca="false">E6669+F6669</f>
        <v>292.04</v>
      </c>
      <c r="H6669" s="20" t="n">
        <f aca="false">IF(G6669&lt;Parametres!$B$8*Parametres!$B$7,0,MIN(G6669,Parametres!$B$7))</f>
        <v>250</v>
      </c>
      <c r="I6669" s="20" t="n">
        <f aca="false">G6669-H6669</f>
        <v>42.04</v>
      </c>
      <c r="J6669" s="21" t="n">
        <f aca="false">H6669*1000/Parametres!$B$9</f>
        <v>4239.44378497541</v>
      </c>
    </row>
    <row r="6670" customFormat="false" ht="15" hidden="false" customHeight="false" outlineLevel="0" collapsed="false">
      <c r="A6670" s="0" t="n">
        <v>6666</v>
      </c>
      <c r="B6670" s="0" t="n">
        <v>10</v>
      </c>
      <c r="C6670" s="19" t="n">
        <v>0.058</v>
      </c>
      <c r="D6670" s="19" t="n">
        <v>1</v>
      </c>
      <c r="E6670" s="20" t="n">
        <f aca="false">Parametres!$B$5*C6670</f>
        <v>17.4</v>
      </c>
      <c r="F6670" s="20" t="n">
        <f aca="false">Parametres!$B$6*D6670</f>
        <v>200</v>
      </c>
      <c r="G6670" s="20" t="n">
        <f aca="false">E6670+F6670</f>
        <v>217.4</v>
      </c>
      <c r="H6670" s="20" t="n">
        <f aca="false">IF(G6670&lt;Parametres!$B$8*Parametres!$B$7,0,MIN(G6670,Parametres!$B$7))</f>
        <v>217.4</v>
      </c>
      <c r="I6670" s="20" t="n">
        <f aca="false">G6670-H6670</f>
        <v>0</v>
      </c>
      <c r="J6670" s="21" t="n">
        <f aca="false">H6670*1000/Parametres!$B$9</f>
        <v>3686.62031541462</v>
      </c>
    </row>
    <row r="6671" customFormat="false" ht="15" hidden="false" customHeight="false" outlineLevel="0" collapsed="false">
      <c r="A6671" s="0" t="n">
        <v>6667</v>
      </c>
      <c r="B6671" s="0" t="n">
        <v>10</v>
      </c>
      <c r="C6671" s="19" t="n">
        <v>0</v>
      </c>
      <c r="D6671" s="19" t="n">
        <v>1</v>
      </c>
      <c r="E6671" s="20" t="n">
        <f aca="false">Parametres!$B$5*C6671</f>
        <v>0</v>
      </c>
      <c r="F6671" s="20" t="n">
        <f aca="false">Parametres!$B$6*D6671</f>
        <v>200</v>
      </c>
      <c r="G6671" s="20" t="n">
        <f aca="false">E6671+F6671</f>
        <v>200</v>
      </c>
      <c r="H6671" s="20" t="n">
        <f aca="false">IF(G6671&lt;Parametres!$B$8*Parametres!$B$7,0,MIN(G6671,Parametres!$B$7))</f>
        <v>200</v>
      </c>
      <c r="I6671" s="20" t="n">
        <f aca="false">G6671-H6671</f>
        <v>0</v>
      </c>
      <c r="J6671" s="21" t="n">
        <f aca="false">H6671*1000/Parametres!$B$9</f>
        <v>3391.55502798033</v>
      </c>
    </row>
    <row r="6672" customFormat="false" ht="15" hidden="false" customHeight="false" outlineLevel="0" collapsed="false">
      <c r="A6672" s="0" t="n">
        <v>6668</v>
      </c>
      <c r="B6672" s="0" t="n">
        <v>10</v>
      </c>
      <c r="C6672" s="19" t="n">
        <v>0</v>
      </c>
      <c r="D6672" s="19" t="n">
        <v>1</v>
      </c>
      <c r="E6672" s="20" t="n">
        <f aca="false">Parametres!$B$5*C6672</f>
        <v>0</v>
      </c>
      <c r="F6672" s="20" t="n">
        <f aca="false">Parametres!$B$6*D6672</f>
        <v>200</v>
      </c>
      <c r="G6672" s="20" t="n">
        <f aca="false">E6672+F6672</f>
        <v>200</v>
      </c>
      <c r="H6672" s="20" t="n">
        <f aca="false">IF(G6672&lt;Parametres!$B$8*Parametres!$B$7,0,MIN(G6672,Parametres!$B$7))</f>
        <v>200</v>
      </c>
      <c r="I6672" s="20" t="n">
        <f aca="false">G6672-H6672</f>
        <v>0</v>
      </c>
      <c r="J6672" s="21" t="n">
        <f aca="false">H6672*1000/Parametres!$B$9</f>
        <v>3391.55502798033</v>
      </c>
    </row>
    <row r="6673" customFormat="false" ht="15" hidden="false" customHeight="false" outlineLevel="0" collapsed="false">
      <c r="A6673" s="0" t="n">
        <v>6669</v>
      </c>
      <c r="B6673" s="0" t="n">
        <v>10</v>
      </c>
      <c r="C6673" s="19" t="n">
        <v>0</v>
      </c>
      <c r="D6673" s="19" t="n">
        <v>1</v>
      </c>
      <c r="E6673" s="20" t="n">
        <f aca="false">Parametres!$B$5*C6673</f>
        <v>0</v>
      </c>
      <c r="F6673" s="20" t="n">
        <f aca="false">Parametres!$B$6*D6673</f>
        <v>200</v>
      </c>
      <c r="G6673" s="20" t="n">
        <f aca="false">E6673+F6673</f>
        <v>200</v>
      </c>
      <c r="H6673" s="20" t="n">
        <f aca="false">IF(G6673&lt;Parametres!$B$8*Parametres!$B$7,0,MIN(G6673,Parametres!$B$7))</f>
        <v>200</v>
      </c>
      <c r="I6673" s="20" t="n">
        <f aca="false">G6673-H6673</f>
        <v>0</v>
      </c>
      <c r="J6673" s="21" t="n">
        <f aca="false">H6673*1000/Parametres!$B$9</f>
        <v>3391.55502798033</v>
      </c>
    </row>
    <row r="6674" customFormat="false" ht="15" hidden="false" customHeight="false" outlineLevel="0" collapsed="false">
      <c r="A6674" s="0" t="n">
        <v>6670</v>
      </c>
      <c r="B6674" s="0" t="n">
        <v>10</v>
      </c>
      <c r="C6674" s="19" t="n">
        <v>0</v>
      </c>
      <c r="D6674" s="19" t="n">
        <v>1</v>
      </c>
      <c r="E6674" s="20" t="n">
        <f aca="false">Parametres!$B$5*C6674</f>
        <v>0</v>
      </c>
      <c r="F6674" s="20" t="n">
        <f aca="false">Parametres!$B$6*D6674</f>
        <v>200</v>
      </c>
      <c r="G6674" s="20" t="n">
        <f aca="false">E6674+F6674</f>
        <v>200</v>
      </c>
      <c r="H6674" s="20" t="n">
        <f aca="false">IF(G6674&lt;Parametres!$B$8*Parametres!$B$7,0,MIN(G6674,Parametres!$B$7))</f>
        <v>200</v>
      </c>
      <c r="I6674" s="20" t="n">
        <f aca="false">G6674-H6674</f>
        <v>0</v>
      </c>
      <c r="J6674" s="21" t="n">
        <f aca="false">H6674*1000/Parametres!$B$9</f>
        <v>3391.55502798033</v>
      </c>
    </row>
    <row r="6675" customFormat="false" ht="15" hidden="false" customHeight="false" outlineLevel="0" collapsed="false">
      <c r="A6675" s="0" t="n">
        <v>6671</v>
      </c>
      <c r="B6675" s="0" t="n">
        <v>10</v>
      </c>
      <c r="C6675" s="19" t="n">
        <v>0</v>
      </c>
      <c r="D6675" s="19" t="n">
        <v>1</v>
      </c>
      <c r="E6675" s="20" t="n">
        <f aca="false">Parametres!$B$5*C6675</f>
        <v>0</v>
      </c>
      <c r="F6675" s="20" t="n">
        <f aca="false">Parametres!$B$6*D6675</f>
        <v>200</v>
      </c>
      <c r="G6675" s="20" t="n">
        <f aca="false">E6675+F6675</f>
        <v>200</v>
      </c>
      <c r="H6675" s="20" t="n">
        <f aca="false">IF(G6675&lt;Parametres!$B$8*Parametres!$B$7,0,MIN(G6675,Parametres!$B$7))</f>
        <v>200</v>
      </c>
      <c r="I6675" s="20" t="n">
        <f aca="false">G6675-H6675</f>
        <v>0</v>
      </c>
      <c r="J6675" s="21" t="n">
        <f aca="false">H6675*1000/Parametres!$B$9</f>
        <v>3391.55502798033</v>
      </c>
    </row>
    <row r="6676" customFormat="false" ht="15" hidden="false" customHeight="false" outlineLevel="0" collapsed="false">
      <c r="A6676" s="0" t="n">
        <v>6672</v>
      </c>
      <c r="B6676" s="0" t="n">
        <v>10</v>
      </c>
      <c r="C6676" s="19" t="n">
        <v>0</v>
      </c>
      <c r="D6676" s="19" t="n">
        <v>1</v>
      </c>
      <c r="E6676" s="20" t="n">
        <f aca="false">Parametres!$B$5*C6676</f>
        <v>0</v>
      </c>
      <c r="F6676" s="20" t="n">
        <f aca="false">Parametres!$B$6*D6676</f>
        <v>200</v>
      </c>
      <c r="G6676" s="20" t="n">
        <f aca="false">E6676+F6676</f>
        <v>200</v>
      </c>
      <c r="H6676" s="20" t="n">
        <f aca="false">IF(G6676&lt;Parametres!$B$8*Parametres!$B$7,0,MIN(G6676,Parametres!$B$7))</f>
        <v>200</v>
      </c>
      <c r="I6676" s="20" t="n">
        <f aca="false">G6676-H6676</f>
        <v>0</v>
      </c>
      <c r="J6676" s="21" t="n">
        <f aca="false">H6676*1000/Parametres!$B$9</f>
        <v>3391.55502798033</v>
      </c>
    </row>
    <row r="6677" customFormat="false" ht="15" hidden="false" customHeight="false" outlineLevel="0" collapsed="false">
      <c r="A6677" s="0" t="n">
        <v>6673</v>
      </c>
      <c r="B6677" s="0" t="n">
        <v>10</v>
      </c>
      <c r="C6677" s="19" t="n">
        <v>0</v>
      </c>
      <c r="D6677" s="19" t="n">
        <v>1</v>
      </c>
      <c r="E6677" s="20" t="n">
        <f aca="false">Parametres!$B$5*C6677</f>
        <v>0</v>
      </c>
      <c r="F6677" s="20" t="n">
        <f aca="false">Parametres!$B$6*D6677</f>
        <v>200</v>
      </c>
      <c r="G6677" s="20" t="n">
        <f aca="false">E6677+F6677</f>
        <v>200</v>
      </c>
      <c r="H6677" s="20" t="n">
        <f aca="false">IF(G6677&lt;Parametres!$B$8*Parametres!$B$7,0,MIN(G6677,Parametres!$B$7))</f>
        <v>200</v>
      </c>
      <c r="I6677" s="20" t="n">
        <f aca="false">G6677-H6677</f>
        <v>0</v>
      </c>
      <c r="J6677" s="21" t="n">
        <f aca="false">H6677*1000/Parametres!$B$9</f>
        <v>3391.55502798033</v>
      </c>
    </row>
    <row r="6678" customFormat="false" ht="15" hidden="false" customHeight="false" outlineLevel="0" collapsed="false">
      <c r="A6678" s="0" t="n">
        <v>6674</v>
      </c>
      <c r="B6678" s="0" t="n">
        <v>10</v>
      </c>
      <c r="C6678" s="19" t="n">
        <v>0</v>
      </c>
      <c r="D6678" s="19" t="n">
        <v>1</v>
      </c>
      <c r="E6678" s="20" t="n">
        <f aca="false">Parametres!$B$5*C6678</f>
        <v>0</v>
      </c>
      <c r="F6678" s="20" t="n">
        <f aca="false">Parametres!$B$6*D6678</f>
        <v>200</v>
      </c>
      <c r="G6678" s="20" t="n">
        <f aca="false">E6678+F6678</f>
        <v>200</v>
      </c>
      <c r="H6678" s="20" t="n">
        <f aca="false">IF(G6678&lt;Parametres!$B$8*Parametres!$B$7,0,MIN(G6678,Parametres!$B$7))</f>
        <v>200</v>
      </c>
      <c r="I6678" s="20" t="n">
        <f aca="false">G6678-H6678</f>
        <v>0</v>
      </c>
      <c r="J6678" s="21" t="n">
        <f aca="false">H6678*1000/Parametres!$B$9</f>
        <v>3391.55502798033</v>
      </c>
    </row>
    <row r="6679" customFormat="false" ht="15" hidden="false" customHeight="false" outlineLevel="0" collapsed="false">
      <c r="A6679" s="0" t="n">
        <v>6675</v>
      </c>
      <c r="B6679" s="0" t="n">
        <v>10</v>
      </c>
      <c r="C6679" s="19" t="n">
        <v>0</v>
      </c>
      <c r="D6679" s="19" t="n">
        <v>1</v>
      </c>
      <c r="E6679" s="20" t="n">
        <f aca="false">Parametres!$B$5*C6679</f>
        <v>0</v>
      </c>
      <c r="F6679" s="20" t="n">
        <f aca="false">Parametres!$B$6*D6679</f>
        <v>200</v>
      </c>
      <c r="G6679" s="20" t="n">
        <f aca="false">E6679+F6679</f>
        <v>200</v>
      </c>
      <c r="H6679" s="20" t="n">
        <f aca="false">IF(G6679&lt;Parametres!$B$8*Parametres!$B$7,0,MIN(G6679,Parametres!$B$7))</f>
        <v>200</v>
      </c>
      <c r="I6679" s="20" t="n">
        <f aca="false">G6679-H6679</f>
        <v>0</v>
      </c>
      <c r="J6679" s="21" t="n">
        <f aca="false">H6679*1000/Parametres!$B$9</f>
        <v>3391.55502798033</v>
      </c>
    </row>
    <row r="6680" customFormat="false" ht="15" hidden="false" customHeight="false" outlineLevel="0" collapsed="false">
      <c r="A6680" s="0" t="n">
        <v>6676</v>
      </c>
      <c r="B6680" s="0" t="n">
        <v>10</v>
      </c>
      <c r="C6680" s="19" t="n">
        <v>0</v>
      </c>
      <c r="D6680" s="19" t="n">
        <v>1</v>
      </c>
      <c r="E6680" s="20" t="n">
        <f aca="false">Parametres!$B$5*C6680</f>
        <v>0</v>
      </c>
      <c r="F6680" s="20" t="n">
        <f aca="false">Parametres!$B$6*D6680</f>
        <v>200</v>
      </c>
      <c r="G6680" s="20" t="n">
        <f aca="false">E6680+F6680</f>
        <v>200</v>
      </c>
      <c r="H6680" s="20" t="n">
        <f aca="false">IF(G6680&lt;Parametres!$B$8*Parametres!$B$7,0,MIN(G6680,Parametres!$B$7))</f>
        <v>200</v>
      </c>
      <c r="I6680" s="20" t="n">
        <f aca="false">G6680-H6680</f>
        <v>0</v>
      </c>
      <c r="J6680" s="21" t="n">
        <f aca="false">H6680*1000/Parametres!$B$9</f>
        <v>3391.55502798033</v>
      </c>
    </row>
    <row r="6681" customFormat="false" ht="15" hidden="false" customHeight="false" outlineLevel="0" collapsed="false">
      <c r="A6681" s="0" t="n">
        <v>6677</v>
      </c>
      <c r="B6681" s="0" t="n">
        <v>10</v>
      </c>
      <c r="C6681" s="19" t="n">
        <v>0</v>
      </c>
      <c r="D6681" s="19" t="n">
        <v>1</v>
      </c>
      <c r="E6681" s="20" t="n">
        <f aca="false">Parametres!$B$5*C6681</f>
        <v>0</v>
      </c>
      <c r="F6681" s="20" t="n">
        <f aca="false">Parametres!$B$6*D6681</f>
        <v>200</v>
      </c>
      <c r="G6681" s="20" t="n">
        <f aca="false">E6681+F6681</f>
        <v>200</v>
      </c>
      <c r="H6681" s="20" t="n">
        <f aca="false">IF(G6681&lt;Parametres!$B$8*Parametres!$B$7,0,MIN(G6681,Parametres!$B$7))</f>
        <v>200</v>
      </c>
      <c r="I6681" s="20" t="n">
        <f aca="false">G6681-H6681</f>
        <v>0</v>
      </c>
      <c r="J6681" s="21" t="n">
        <f aca="false">H6681*1000/Parametres!$B$9</f>
        <v>3391.55502798033</v>
      </c>
    </row>
    <row r="6682" customFormat="false" ht="15" hidden="false" customHeight="false" outlineLevel="0" collapsed="false">
      <c r="A6682" s="0" t="n">
        <v>6678</v>
      </c>
      <c r="B6682" s="0" t="n">
        <v>10</v>
      </c>
      <c r="C6682" s="19" t="n">
        <v>0</v>
      </c>
      <c r="D6682" s="19" t="n">
        <v>1</v>
      </c>
      <c r="E6682" s="20" t="n">
        <f aca="false">Parametres!$B$5*C6682</f>
        <v>0</v>
      </c>
      <c r="F6682" s="20" t="n">
        <f aca="false">Parametres!$B$6*D6682</f>
        <v>200</v>
      </c>
      <c r="G6682" s="20" t="n">
        <f aca="false">E6682+F6682</f>
        <v>200</v>
      </c>
      <c r="H6682" s="20" t="n">
        <f aca="false">IF(G6682&lt;Parametres!$B$8*Parametres!$B$7,0,MIN(G6682,Parametres!$B$7))</f>
        <v>200</v>
      </c>
      <c r="I6682" s="20" t="n">
        <f aca="false">G6682-H6682</f>
        <v>0</v>
      </c>
      <c r="J6682" s="21" t="n">
        <f aca="false">H6682*1000/Parametres!$B$9</f>
        <v>3391.55502798033</v>
      </c>
    </row>
    <row r="6683" customFormat="false" ht="15" hidden="false" customHeight="false" outlineLevel="0" collapsed="false">
      <c r="A6683" s="0" t="n">
        <v>6679</v>
      </c>
      <c r="B6683" s="0" t="n">
        <v>10</v>
      </c>
      <c r="C6683" s="19" t="n">
        <v>0.0415</v>
      </c>
      <c r="D6683" s="19" t="n">
        <v>1</v>
      </c>
      <c r="E6683" s="20" t="n">
        <f aca="false">Parametres!$B$5*C6683</f>
        <v>12.45</v>
      </c>
      <c r="F6683" s="20" t="n">
        <f aca="false">Parametres!$B$6*D6683</f>
        <v>200</v>
      </c>
      <c r="G6683" s="20" t="n">
        <f aca="false">E6683+F6683</f>
        <v>212.45</v>
      </c>
      <c r="H6683" s="20" t="n">
        <f aca="false">IF(G6683&lt;Parametres!$B$8*Parametres!$B$7,0,MIN(G6683,Parametres!$B$7))</f>
        <v>212.45</v>
      </c>
      <c r="I6683" s="20" t="n">
        <f aca="false">G6683-H6683</f>
        <v>0</v>
      </c>
      <c r="J6683" s="21" t="n">
        <f aca="false">H6683*1000/Parametres!$B$9</f>
        <v>3602.6793284721</v>
      </c>
    </row>
    <row r="6684" customFormat="false" ht="15" hidden="false" customHeight="false" outlineLevel="0" collapsed="false">
      <c r="A6684" s="0" t="n">
        <v>6680</v>
      </c>
      <c r="B6684" s="0" t="n">
        <v>10</v>
      </c>
      <c r="C6684" s="19" t="n">
        <v>0.2277</v>
      </c>
      <c r="D6684" s="19" t="n">
        <v>1</v>
      </c>
      <c r="E6684" s="20" t="n">
        <f aca="false">Parametres!$B$5*C6684</f>
        <v>68.31</v>
      </c>
      <c r="F6684" s="20" t="n">
        <f aca="false">Parametres!$B$6*D6684</f>
        <v>200</v>
      </c>
      <c r="G6684" s="20" t="n">
        <f aca="false">E6684+F6684</f>
        <v>268.31</v>
      </c>
      <c r="H6684" s="20" t="n">
        <f aca="false">IF(G6684&lt;Parametres!$B$8*Parametres!$B$7,0,MIN(G6684,Parametres!$B$7))</f>
        <v>250</v>
      </c>
      <c r="I6684" s="20" t="n">
        <f aca="false">G6684-H6684</f>
        <v>18.31</v>
      </c>
      <c r="J6684" s="21" t="n">
        <f aca="false">H6684*1000/Parametres!$B$9</f>
        <v>4239.44378497541</v>
      </c>
    </row>
    <row r="6685" customFormat="false" ht="15" hidden="false" customHeight="false" outlineLevel="0" collapsed="false">
      <c r="A6685" s="0" t="n">
        <v>6681</v>
      </c>
      <c r="B6685" s="0" t="n">
        <v>10</v>
      </c>
      <c r="C6685" s="19" t="n">
        <v>0.3915</v>
      </c>
      <c r="D6685" s="19" t="n">
        <v>1</v>
      </c>
      <c r="E6685" s="20" t="n">
        <f aca="false">Parametres!$B$5*C6685</f>
        <v>117.45</v>
      </c>
      <c r="F6685" s="20" t="n">
        <f aca="false">Parametres!$B$6*D6685</f>
        <v>200</v>
      </c>
      <c r="G6685" s="20" t="n">
        <f aca="false">E6685+F6685</f>
        <v>317.45</v>
      </c>
      <c r="H6685" s="20" t="n">
        <f aca="false">IF(G6685&lt;Parametres!$B$8*Parametres!$B$7,0,MIN(G6685,Parametres!$B$7))</f>
        <v>250</v>
      </c>
      <c r="I6685" s="20" t="n">
        <f aca="false">G6685-H6685</f>
        <v>67.45</v>
      </c>
      <c r="J6685" s="21" t="n">
        <f aca="false">H6685*1000/Parametres!$B$9</f>
        <v>4239.44378497541</v>
      </c>
    </row>
    <row r="6686" customFormat="false" ht="15" hidden="false" customHeight="false" outlineLevel="0" collapsed="false">
      <c r="A6686" s="0" t="n">
        <v>6682</v>
      </c>
      <c r="B6686" s="0" t="n">
        <v>10</v>
      </c>
      <c r="C6686" s="19" t="n">
        <v>0.5458</v>
      </c>
      <c r="D6686" s="19" t="n">
        <v>1</v>
      </c>
      <c r="E6686" s="20" t="n">
        <f aca="false">Parametres!$B$5*C6686</f>
        <v>163.74</v>
      </c>
      <c r="F6686" s="20" t="n">
        <f aca="false">Parametres!$B$6*D6686</f>
        <v>200</v>
      </c>
      <c r="G6686" s="20" t="n">
        <f aca="false">E6686+F6686</f>
        <v>363.74</v>
      </c>
      <c r="H6686" s="20" t="n">
        <f aca="false">IF(G6686&lt;Parametres!$B$8*Parametres!$B$7,0,MIN(G6686,Parametres!$B$7))</f>
        <v>250</v>
      </c>
      <c r="I6686" s="20" t="n">
        <f aca="false">G6686-H6686</f>
        <v>113.74</v>
      </c>
      <c r="J6686" s="21" t="n">
        <f aca="false">H6686*1000/Parametres!$B$9</f>
        <v>4239.44378497541</v>
      </c>
    </row>
    <row r="6687" customFormat="false" ht="15" hidden="false" customHeight="false" outlineLevel="0" collapsed="false">
      <c r="A6687" s="0" t="n">
        <v>6683</v>
      </c>
      <c r="B6687" s="0" t="n">
        <v>10</v>
      </c>
      <c r="C6687" s="19" t="n">
        <v>0.7306</v>
      </c>
      <c r="D6687" s="19" t="n">
        <v>1</v>
      </c>
      <c r="E6687" s="20" t="n">
        <f aca="false">Parametres!$B$5*C6687</f>
        <v>219.18</v>
      </c>
      <c r="F6687" s="20" t="n">
        <f aca="false">Parametres!$B$6*D6687</f>
        <v>200</v>
      </c>
      <c r="G6687" s="20" t="n">
        <f aca="false">E6687+F6687</f>
        <v>419.18</v>
      </c>
      <c r="H6687" s="20" t="n">
        <f aca="false">IF(G6687&lt;Parametres!$B$8*Parametres!$B$7,0,MIN(G6687,Parametres!$B$7))</f>
        <v>250</v>
      </c>
      <c r="I6687" s="20" t="n">
        <f aca="false">G6687-H6687</f>
        <v>169.18</v>
      </c>
      <c r="J6687" s="21" t="n">
        <f aca="false">H6687*1000/Parametres!$B$9</f>
        <v>4239.44378497541</v>
      </c>
    </row>
    <row r="6688" customFormat="false" ht="15" hidden="false" customHeight="false" outlineLevel="0" collapsed="false">
      <c r="A6688" s="0" t="n">
        <v>6684</v>
      </c>
      <c r="B6688" s="0" t="n">
        <v>10</v>
      </c>
      <c r="C6688" s="19" t="n">
        <v>0.7777</v>
      </c>
      <c r="D6688" s="19" t="n">
        <v>1</v>
      </c>
      <c r="E6688" s="20" t="n">
        <f aca="false">Parametres!$B$5*C6688</f>
        <v>233.31</v>
      </c>
      <c r="F6688" s="20" t="n">
        <f aca="false">Parametres!$B$6*D6688</f>
        <v>200</v>
      </c>
      <c r="G6688" s="20" t="n">
        <f aca="false">E6688+F6688</f>
        <v>433.31</v>
      </c>
      <c r="H6688" s="20" t="n">
        <f aca="false">IF(G6688&lt;Parametres!$B$8*Parametres!$B$7,0,MIN(G6688,Parametres!$B$7))</f>
        <v>250</v>
      </c>
      <c r="I6688" s="20" t="n">
        <f aca="false">G6688-H6688</f>
        <v>183.31</v>
      </c>
      <c r="J6688" s="21" t="n">
        <f aca="false">H6688*1000/Parametres!$B$9</f>
        <v>4239.44378497541</v>
      </c>
    </row>
    <row r="6689" customFormat="false" ht="15" hidden="false" customHeight="false" outlineLevel="0" collapsed="false">
      <c r="A6689" s="0" t="n">
        <v>6685</v>
      </c>
      <c r="B6689" s="0" t="n">
        <v>10</v>
      </c>
      <c r="C6689" s="19" t="n">
        <v>0.7563</v>
      </c>
      <c r="D6689" s="19" t="n">
        <v>1</v>
      </c>
      <c r="E6689" s="20" t="n">
        <f aca="false">Parametres!$B$5*C6689</f>
        <v>226.89</v>
      </c>
      <c r="F6689" s="20" t="n">
        <f aca="false">Parametres!$B$6*D6689</f>
        <v>200</v>
      </c>
      <c r="G6689" s="20" t="n">
        <f aca="false">E6689+F6689</f>
        <v>426.89</v>
      </c>
      <c r="H6689" s="20" t="n">
        <f aca="false">IF(G6689&lt;Parametres!$B$8*Parametres!$B$7,0,MIN(G6689,Parametres!$B$7))</f>
        <v>250</v>
      </c>
      <c r="I6689" s="20" t="n">
        <f aca="false">G6689-H6689</f>
        <v>176.89</v>
      </c>
      <c r="J6689" s="21" t="n">
        <f aca="false">H6689*1000/Parametres!$B$9</f>
        <v>4239.44378497541</v>
      </c>
    </row>
    <row r="6690" customFormat="false" ht="15" hidden="false" customHeight="false" outlineLevel="0" collapsed="false">
      <c r="A6690" s="0" t="n">
        <v>6686</v>
      </c>
      <c r="B6690" s="0" t="n">
        <v>10</v>
      </c>
      <c r="C6690" s="19" t="n">
        <v>0.6993</v>
      </c>
      <c r="D6690" s="19" t="n">
        <v>1</v>
      </c>
      <c r="E6690" s="20" t="n">
        <f aca="false">Parametres!$B$5*C6690</f>
        <v>209.79</v>
      </c>
      <c r="F6690" s="20" t="n">
        <f aca="false">Parametres!$B$6*D6690</f>
        <v>200</v>
      </c>
      <c r="G6690" s="20" t="n">
        <f aca="false">E6690+F6690</f>
        <v>409.79</v>
      </c>
      <c r="H6690" s="20" t="n">
        <f aca="false">IF(G6690&lt;Parametres!$B$8*Parametres!$B$7,0,MIN(G6690,Parametres!$B$7))</f>
        <v>250</v>
      </c>
      <c r="I6690" s="20" t="n">
        <f aca="false">G6690-H6690</f>
        <v>159.79</v>
      </c>
      <c r="J6690" s="21" t="n">
        <f aca="false">H6690*1000/Parametres!$B$9</f>
        <v>4239.44378497541</v>
      </c>
    </row>
    <row r="6691" customFormat="false" ht="15" hidden="false" customHeight="false" outlineLevel="0" collapsed="false">
      <c r="A6691" s="0" t="n">
        <v>6687</v>
      </c>
      <c r="B6691" s="0" t="n">
        <v>10</v>
      </c>
      <c r="C6691" s="19" t="n">
        <v>0.5846</v>
      </c>
      <c r="D6691" s="19" t="n">
        <v>1</v>
      </c>
      <c r="E6691" s="20" t="n">
        <f aca="false">Parametres!$B$5*C6691</f>
        <v>175.38</v>
      </c>
      <c r="F6691" s="20" t="n">
        <f aca="false">Parametres!$B$6*D6691</f>
        <v>200</v>
      </c>
      <c r="G6691" s="20" t="n">
        <f aca="false">E6691+F6691</f>
        <v>375.38</v>
      </c>
      <c r="H6691" s="20" t="n">
        <f aca="false">IF(G6691&lt;Parametres!$B$8*Parametres!$B$7,0,MIN(G6691,Parametres!$B$7))</f>
        <v>250</v>
      </c>
      <c r="I6691" s="20" t="n">
        <f aca="false">G6691-H6691</f>
        <v>125.38</v>
      </c>
      <c r="J6691" s="21" t="n">
        <f aca="false">H6691*1000/Parametres!$B$9</f>
        <v>4239.44378497541</v>
      </c>
    </row>
    <row r="6692" customFormat="false" ht="15" hidden="false" customHeight="false" outlineLevel="0" collapsed="false">
      <c r="A6692" s="0" t="n">
        <v>6688</v>
      </c>
      <c r="B6692" s="0" t="n">
        <v>10</v>
      </c>
      <c r="C6692" s="19" t="n">
        <v>0.4157</v>
      </c>
      <c r="D6692" s="19" t="n">
        <v>1</v>
      </c>
      <c r="E6692" s="20" t="n">
        <f aca="false">Parametres!$B$5*C6692</f>
        <v>124.71</v>
      </c>
      <c r="F6692" s="20" t="n">
        <f aca="false">Parametres!$B$6*D6692</f>
        <v>200</v>
      </c>
      <c r="G6692" s="20" t="n">
        <f aca="false">E6692+F6692</f>
        <v>324.71</v>
      </c>
      <c r="H6692" s="20" t="n">
        <f aca="false">IF(G6692&lt;Parametres!$B$8*Parametres!$B$7,0,MIN(G6692,Parametres!$B$7))</f>
        <v>250</v>
      </c>
      <c r="I6692" s="20" t="n">
        <f aca="false">G6692-H6692</f>
        <v>74.71</v>
      </c>
      <c r="J6692" s="21" t="n">
        <f aca="false">H6692*1000/Parametres!$B$9</f>
        <v>4239.44378497541</v>
      </c>
    </row>
    <row r="6693" customFormat="false" ht="15" hidden="false" customHeight="false" outlineLevel="0" collapsed="false">
      <c r="A6693" s="0" t="n">
        <v>6689</v>
      </c>
      <c r="B6693" s="0" t="n">
        <v>10</v>
      </c>
      <c r="C6693" s="19" t="n">
        <v>0.2485</v>
      </c>
      <c r="D6693" s="19" t="n">
        <v>1</v>
      </c>
      <c r="E6693" s="20" t="n">
        <f aca="false">Parametres!$B$5*C6693</f>
        <v>74.55</v>
      </c>
      <c r="F6693" s="20" t="n">
        <f aca="false">Parametres!$B$6*D6693</f>
        <v>200</v>
      </c>
      <c r="G6693" s="20" t="n">
        <f aca="false">E6693+F6693</f>
        <v>274.55</v>
      </c>
      <c r="H6693" s="20" t="n">
        <f aca="false">IF(G6693&lt;Parametres!$B$8*Parametres!$B$7,0,MIN(G6693,Parametres!$B$7))</f>
        <v>250</v>
      </c>
      <c r="I6693" s="20" t="n">
        <f aca="false">G6693-H6693</f>
        <v>24.55</v>
      </c>
      <c r="J6693" s="21" t="n">
        <f aca="false">H6693*1000/Parametres!$B$9</f>
        <v>4239.44378497541</v>
      </c>
    </row>
    <row r="6694" customFormat="false" ht="15" hidden="false" customHeight="false" outlineLevel="0" collapsed="false">
      <c r="A6694" s="0" t="n">
        <v>6690</v>
      </c>
      <c r="B6694" s="0" t="n">
        <v>10</v>
      </c>
      <c r="C6694" s="19" t="n">
        <v>0.0416</v>
      </c>
      <c r="D6694" s="19" t="n">
        <v>1</v>
      </c>
      <c r="E6694" s="20" t="n">
        <f aca="false">Parametres!$B$5*C6694</f>
        <v>12.48</v>
      </c>
      <c r="F6694" s="20" t="n">
        <f aca="false">Parametres!$B$6*D6694</f>
        <v>200</v>
      </c>
      <c r="G6694" s="20" t="n">
        <f aca="false">E6694+F6694</f>
        <v>212.48</v>
      </c>
      <c r="H6694" s="20" t="n">
        <f aca="false">IF(G6694&lt;Parametres!$B$8*Parametres!$B$7,0,MIN(G6694,Parametres!$B$7))</f>
        <v>212.48</v>
      </c>
      <c r="I6694" s="20" t="n">
        <f aca="false">G6694-H6694</f>
        <v>0</v>
      </c>
      <c r="J6694" s="21" t="n">
        <f aca="false">H6694*1000/Parametres!$B$9</f>
        <v>3603.1880617263</v>
      </c>
    </row>
    <row r="6695" customFormat="false" ht="15" hidden="false" customHeight="false" outlineLevel="0" collapsed="false">
      <c r="A6695" s="0" t="n">
        <v>6691</v>
      </c>
      <c r="B6695" s="0" t="n">
        <v>10</v>
      </c>
      <c r="C6695" s="19" t="n">
        <v>0</v>
      </c>
      <c r="D6695" s="19" t="n">
        <v>1</v>
      </c>
      <c r="E6695" s="20" t="n">
        <f aca="false">Parametres!$B$5*C6695</f>
        <v>0</v>
      </c>
      <c r="F6695" s="20" t="n">
        <f aca="false">Parametres!$B$6*D6695</f>
        <v>200</v>
      </c>
      <c r="G6695" s="20" t="n">
        <f aca="false">E6695+F6695</f>
        <v>200</v>
      </c>
      <c r="H6695" s="20" t="n">
        <f aca="false">IF(G6695&lt;Parametres!$B$8*Parametres!$B$7,0,MIN(G6695,Parametres!$B$7))</f>
        <v>200</v>
      </c>
      <c r="I6695" s="20" t="n">
        <f aca="false">G6695-H6695</f>
        <v>0</v>
      </c>
      <c r="J6695" s="21" t="n">
        <f aca="false">H6695*1000/Parametres!$B$9</f>
        <v>3391.55502798033</v>
      </c>
    </row>
    <row r="6696" customFormat="false" ht="15" hidden="false" customHeight="false" outlineLevel="0" collapsed="false">
      <c r="A6696" s="0" t="n">
        <v>6692</v>
      </c>
      <c r="B6696" s="0" t="n">
        <v>10</v>
      </c>
      <c r="C6696" s="19" t="n">
        <v>0</v>
      </c>
      <c r="D6696" s="19" t="n">
        <v>1</v>
      </c>
      <c r="E6696" s="20" t="n">
        <f aca="false">Parametres!$B$5*C6696</f>
        <v>0</v>
      </c>
      <c r="F6696" s="20" t="n">
        <f aca="false">Parametres!$B$6*D6696</f>
        <v>200</v>
      </c>
      <c r="G6696" s="20" t="n">
        <f aca="false">E6696+F6696</f>
        <v>200</v>
      </c>
      <c r="H6696" s="20" t="n">
        <f aca="false">IF(G6696&lt;Parametres!$B$8*Parametres!$B$7,0,MIN(G6696,Parametres!$B$7))</f>
        <v>200</v>
      </c>
      <c r="I6696" s="20" t="n">
        <f aca="false">G6696-H6696</f>
        <v>0</v>
      </c>
      <c r="J6696" s="21" t="n">
        <f aca="false">H6696*1000/Parametres!$B$9</f>
        <v>3391.55502798033</v>
      </c>
    </row>
    <row r="6697" customFormat="false" ht="15" hidden="false" customHeight="false" outlineLevel="0" collapsed="false">
      <c r="A6697" s="0" t="n">
        <v>6693</v>
      </c>
      <c r="B6697" s="0" t="n">
        <v>10</v>
      </c>
      <c r="C6697" s="19" t="n">
        <v>0</v>
      </c>
      <c r="D6697" s="19" t="n">
        <v>1</v>
      </c>
      <c r="E6697" s="20" t="n">
        <f aca="false">Parametres!$B$5*C6697</f>
        <v>0</v>
      </c>
      <c r="F6697" s="20" t="n">
        <f aca="false">Parametres!$B$6*D6697</f>
        <v>200</v>
      </c>
      <c r="G6697" s="20" t="n">
        <f aca="false">E6697+F6697</f>
        <v>200</v>
      </c>
      <c r="H6697" s="20" t="n">
        <f aca="false">IF(G6697&lt;Parametres!$B$8*Parametres!$B$7,0,MIN(G6697,Parametres!$B$7))</f>
        <v>200</v>
      </c>
      <c r="I6697" s="20" t="n">
        <f aca="false">G6697-H6697</f>
        <v>0</v>
      </c>
      <c r="J6697" s="21" t="n">
        <f aca="false">H6697*1000/Parametres!$B$9</f>
        <v>3391.55502798033</v>
      </c>
    </row>
    <row r="6698" customFormat="false" ht="15" hidden="false" customHeight="false" outlineLevel="0" collapsed="false">
      <c r="A6698" s="0" t="n">
        <v>6694</v>
      </c>
      <c r="B6698" s="0" t="n">
        <v>10</v>
      </c>
      <c r="C6698" s="19" t="n">
        <v>0</v>
      </c>
      <c r="D6698" s="19" t="n">
        <v>1</v>
      </c>
      <c r="E6698" s="20" t="n">
        <f aca="false">Parametres!$B$5*C6698</f>
        <v>0</v>
      </c>
      <c r="F6698" s="20" t="n">
        <f aca="false">Parametres!$B$6*D6698</f>
        <v>200</v>
      </c>
      <c r="G6698" s="20" t="n">
        <f aca="false">E6698+F6698</f>
        <v>200</v>
      </c>
      <c r="H6698" s="20" t="n">
        <f aca="false">IF(G6698&lt;Parametres!$B$8*Parametres!$B$7,0,MIN(G6698,Parametres!$B$7))</f>
        <v>200</v>
      </c>
      <c r="I6698" s="20" t="n">
        <f aca="false">G6698-H6698</f>
        <v>0</v>
      </c>
      <c r="J6698" s="21" t="n">
        <f aca="false">H6698*1000/Parametres!$B$9</f>
        <v>3391.55502798033</v>
      </c>
    </row>
    <row r="6699" customFormat="false" ht="15" hidden="false" customHeight="false" outlineLevel="0" collapsed="false">
      <c r="A6699" s="0" t="n">
        <v>6695</v>
      </c>
      <c r="B6699" s="0" t="n">
        <v>10</v>
      </c>
      <c r="C6699" s="19" t="n">
        <v>0</v>
      </c>
      <c r="D6699" s="19" t="n">
        <v>1</v>
      </c>
      <c r="E6699" s="20" t="n">
        <f aca="false">Parametres!$B$5*C6699</f>
        <v>0</v>
      </c>
      <c r="F6699" s="20" t="n">
        <f aca="false">Parametres!$B$6*D6699</f>
        <v>200</v>
      </c>
      <c r="G6699" s="20" t="n">
        <f aca="false">E6699+F6699</f>
        <v>200</v>
      </c>
      <c r="H6699" s="20" t="n">
        <f aca="false">IF(G6699&lt;Parametres!$B$8*Parametres!$B$7,0,MIN(G6699,Parametres!$B$7))</f>
        <v>200</v>
      </c>
      <c r="I6699" s="20" t="n">
        <f aca="false">G6699-H6699</f>
        <v>0</v>
      </c>
      <c r="J6699" s="21" t="n">
        <f aca="false">H6699*1000/Parametres!$B$9</f>
        <v>3391.55502798033</v>
      </c>
    </row>
    <row r="6700" customFormat="false" ht="15" hidden="false" customHeight="false" outlineLevel="0" collapsed="false">
      <c r="A6700" s="0" t="n">
        <v>6696</v>
      </c>
      <c r="B6700" s="0" t="n">
        <v>10</v>
      </c>
      <c r="C6700" s="19" t="n">
        <v>0</v>
      </c>
      <c r="D6700" s="19" t="n">
        <v>1</v>
      </c>
      <c r="E6700" s="20" t="n">
        <f aca="false">Parametres!$B$5*C6700</f>
        <v>0</v>
      </c>
      <c r="F6700" s="20" t="n">
        <f aca="false">Parametres!$B$6*D6700</f>
        <v>200</v>
      </c>
      <c r="G6700" s="20" t="n">
        <f aca="false">E6700+F6700</f>
        <v>200</v>
      </c>
      <c r="H6700" s="20" t="n">
        <f aca="false">IF(G6700&lt;Parametres!$B$8*Parametres!$B$7,0,MIN(G6700,Parametres!$B$7))</f>
        <v>200</v>
      </c>
      <c r="I6700" s="20" t="n">
        <f aca="false">G6700-H6700</f>
        <v>0</v>
      </c>
      <c r="J6700" s="21" t="n">
        <f aca="false">H6700*1000/Parametres!$B$9</f>
        <v>3391.55502798033</v>
      </c>
    </row>
    <row r="6701" customFormat="false" ht="15" hidden="false" customHeight="false" outlineLevel="0" collapsed="false">
      <c r="A6701" s="0" t="n">
        <v>6697</v>
      </c>
      <c r="B6701" s="0" t="n">
        <v>10</v>
      </c>
      <c r="C6701" s="19" t="n">
        <v>0</v>
      </c>
      <c r="D6701" s="19" t="n">
        <v>0.8753</v>
      </c>
      <c r="E6701" s="20" t="n">
        <f aca="false">Parametres!$B$5*C6701</f>
        <v>0</v>
      </c>
      <c r="F6701" s="20" t="n">
        <f aca="false">Parametres!$B$6*D6701</f>
        <v>175.06</v>
      </c>
      <c r="G6701" s="20" t="n">
        <f aca="false">E6701+F6701</f>
        <v>175.06</v>
      </c>
      <c r="H6701" s="20" t="n">
        <f aca="false">IF(G6701&lt;Parametres!$B$8*Parametres!$B$7,0,MIN(G6701,Parametres!$B$7))</f>
        <v>175.06</v>
      </c>
      <c r="I6701" s="20" t="n">
        <f aca="false">G6701-H6701</f>
        <v>0</v>
      </c>
      <c r="J6701" s="21" t="n">
        <f aca="false">H6701*1000/Parametres!$B$9</f>
        <v>2968.62811599118</v>
      </c>
    </row>
    <row r="6702" customFormat="false" ht="15" hidden="false" customHeight="false" outlineLevel="0" collapsed="false">
      <c r="A6702" s="0" t="n">
        <v>6698</v>
      </c>
      <c r="B6702" s="0" t="n">
        <v>10</v>
      </c>
      <c r="C6702" s="19" t="n">
        <v>0</v>
      </c>
      <c r="D6702" s="19" t="n">
        <v>0.8057</v>
      </c>
      <c r="E6702" s="20" t="n">
        <f aca="false">Parametres!$B$5*C6702</f>
        <v>0</v>
      </c>
      <c r="F6702" s="20" t="n">
        <f aca="false">Parametres!$B$6*D6702</f>
        <v>161.14</v>
      </c>
      <c r="G6702" s="20" t="n">
        <f aca="false">E6702+F6702</f>
        <v>161.14</v>
      </c>
      <c r="H6702" s="20" t="n">
        <f aca="false">IF(G6702&lt;Parametres!$B$8*Parametres!$B$7,0,MIN(G6702,Parametres!$B$7))</f>
        <v>161.14</v>
      </c>
      <c r="I6702" s="20" t="n">
        <f aca="false">G6702-H6702</f>
        <v>0</v>
      </c>
      <c r="J6702" s="21" t="n">
        <f aca="false">H6702*1000/Parametres!$B$9</f>
        <v>2732.57588604375</v>
      </c>
    </row>
    <row r="6703" customFormat="false" ht="15" hidden="false" customHeight="false" outlineLevel="0" collapsed="false">
      <c r="A6703" s="0" t="n">
        <v>6699</v>
      </c>
      <c r="B6703" s="0" t="n">
        <v>10</v>
      </c>
      <c r="C6703" s="19" t="n">
        <v>0</v>
      </c>
      <c r="D6703" s="19" t="n">
        <v>0.7501</v>
      </c>
      <c r="E6703" s="20" t="n">
        <f aca="false">Parametres!$B$5*C6703</f>
        <v>0</v>
      </c>
      <c r="F6703" s="20" t="n">
        <f aca="false">Parametres!$B$6*D6703</f>
        <v>150.02</v>
      </c>
      <c r="G6703" s="20" t="n">
        <f aca="false">E6703+F6703</f>
        <v>150.02</v>
      </c>
      <c r="H6703" s="20" t="n">
        <f aca="false">IF(G6703&lt;Parametres!$B$8*Parametres!$B$7,0,MIN(G6703,Parametres!$B$7))</f>
        <v>150.02</v>
      </c>
      <c r="I6703" s="20" t="n">
        <f aca="false">G6703-H6703</f>
        <v>0</v>
      </c>
      <c r="J6703" s="21" t="n">
        <f aca="false">H6703*1000/Parametres!$B$9</f>
        <v>2544.00542648805</v>
      </c>
    </row>
    <row r="6704" customFormat="false" ht="15" hidden="false" customHeight="false" outlineLevel="0" collapsed="false">
      <c r="A6704" s="0" t="n">
        <v>6700</v>
      </c>
      <c r="B6704" s="0" t="n">
        <v>10</v>
      </c>
      <c r="C6704" s="19" t="n">
        <v>0</v>
      </c>
      <c r="D6704" s="19" t="n">
        <v>1</v>
      </c>
      <c r="E6704" s="20" t="n">
        <f aca="false">Parametres!$B$5*C6704</f>
        <v>0</v>
      </c>
      <c r="F6704" s="20" t="n">
        <f aca="false">Parametres!$B$6*D6704</f>
        <v>200</v>
      </c>
      <c r="G6704" s="20" t="n">
        <f aca="false">E6704+F6704</f>
        <v>200</v>
      </c>
      <c r="H6704" s="20" t="n">
        <f aca="false">IF(G6704&lt;Parametres!$B$8*Parametres!$B$7,0,MIN(G6704,Parametres!$B$7))</f>
        <v>200</v>
      </c>
      <c r="I6704" s="20" t="n">
        <f aca="false">G6704-H6704</f>
        <v>0</v>
      </c>
      <c r="J6704" s="21" t="n">
        <f aca="false">H6704*1000/Parametres!$B$9</f>
        <v>3391.55502798033</v>
      </c>
    </row>
    <row r="6705" customFormat="false" ht="15" hidden="false" customHeight="false" outlineLevel="0" collapsed="false">
      <c r="A6705" s="0" t="n">
        <v>6701</v>
      </c>
      <c r="B6705" s="0" t="n">
        <v>10</v>
      </c>
      <c r="C6705" s="19" t="n">
        <v>0</v>
      </c>
      <c r="D6705" s="19" t="n">
        <v>1</v>
      </c>
      <c r="E6705" s="20" t="n">
        <f aca="false">Parametres!$B$5*C6705</f>
        <v>0</v>
      </c>
      <c r="F6705" s="20" t="n">
        <f aca="false">Parametres!$B$6*D6705</f>
        <v>200</v>
      </c>
      <c r="G6705" s="20" t="n">
        <f aca="false">E6705+F6705</f>
        <v>200</v>
      </c>
      <c r="H6705" s="20" t="n">
        <f aca="false">IF(G6705&lt;Parametres!$B$8*Parametres!$B$7,0,MIN(G6705,Parametres!$B$7))</f>
        <v>200</v>
      </c>
      <c r="I6705" s="20" t="n">
        <f aca="false">G6705-H6705</f>
        <v>0</v>
      </c>
      <c r="J6705" s="21" t="n">
        <f aca="false">H6705*1000/Parametres!$B$9</f>
        <v>3391.55502798033</v>
      </c>
    </row>
    <row r="6706" customFormat="false" ht="15" hidden="false" customHeight="false" outlineLevel="0" collapsed="false">
      <c r="A6706" s="0" t="n">
        <v>6702</v>
      </c>
      <c r="B6706" s="0" t="n">
        <v>10</v>
      </c>
      <c r="C6706" s="19" t="n">
        <v>0</v>
      </c>
      <c r="D6706" s="19" t="n">
        <v>0.8339</v>
      </c>
      <c r="E6706" s="20" t="n">
        <f aca="false">Parametres!$B$5*C6706</f>
        <v>0</v>
      </c>
      <c r="F6706" s="20" t="n">
        <f aca="false">Parametres!$B$6*D6706</f>
        <v>166.78</v>
      </c>
      <c r="G6706" s="20" t="n">
        <f aca="false">E6706+F6706</f>
        <v>166.78</v>
      </c>
      <c r="H6706" s="20" t="n">
        <f aca="false">IF(G6706&lt;Parametres!$B$8*Parametres!$B$7,0,MIN(G6706,Parametres!$B$7))</f>
        <v>166.78</v>
      </c>
      <c r="I6706" s="20" t="n">
        <f aca="false">G6706-H6706</f>
        <v>0</v>
      </c>
      <c r="J6706" s="21" t="n">
        <f aca="false">H6706*1000/Parametres!$B$9</f>
        <v>2828.2177378328</v>
      </c>
    </row>
    <row r="6707" customFormat="false" ht="15" hidden="false" customHeight="false" outlineLevel="0" collapsed="false">
      <c r="A6707" s="0" t="n">
        <v>6703</v>
      </c>
      <c r="B6707" s="0" t="n">
        <v>10</v>
      </c>
      <c r="C6707" s="19" t="n">
        <v>0.0578</v>
      </c>
      <c r="D6707" s="19" t="n">
        <v>0.798</v>
      </c>
      <c r="E6707" s="20" t="n">
        <f aca="false">Parametres!$B$5*C6707</f>
        <v>17.34</v>
      </c>
      <c r="F6707" s="20" t="n">
        <f aca="false">Parametres!$B$6*D6707</f>
        <v>159.6</v>
      </c>
      <c r="G6707" s="20" t="n">
        <f aca="false">E6707+F6707</f>
        <v>176.94</v>
      </c>
      <c r="H6707" s="20" t="n">
        <f aca="false">IF(G6707&lt;Parametres!$B$8*Parametres!$B$7,0,MIN(G6707,Parametres!$B$7))</f>
        <v>176.94</v>
      </c>
      <c r="I6707" s="20" t="n">
        <f aca="false">G6707-H6707</f>
        <v>0</v>
      </c>
      <c r="J6707" s="21" t="n">
        <f aca="false">H6707*1000/Parametres!$B$9</f>
        <v>3000.5087332542</v>
      </c>
    </row>
    <row r="6708" customFormat="false" ht="15" hidden="false" customHeight="false" outlineLevel="0" collapsed="false">
      <c r="A6708" s="0" t="n">
        <v>6704</v>
      </c>
      <c r="B6708" s="0" t="n">
        <v>10</v>
      </c>
      <c r="C6708" s="19" t="n">
        <v>0.3389</v>
      </c>
      <c r="D6708" s="19" t="n">
        <v>0.9966</v>
      </c>
      <c r="E6708" s="20" t="n">
        <f aca="false">Parametres!$B$5*C6708</f>
        <v>101.67</v>
      </c>
      <c r="F6708" s="20" t="n">
        <f aca="false">Parametres!$B$6*D6708</f>
        <v>199.32</v>
      </c>
      <c r="G6708" s="20" t="n">
        <f aca="false">E6708+F6708</f>
        <v>300.99</v>
      </c>
      <c r="H6708" s="20" t="n">
        <f aca="false">IF(G6708&lt;Parametres!$B$8*Parametres!$B$7,0,MIN(G6708,Parametres!$B$7))</f>
        <v>250</v>
      </c>
      <c r="I6708" s="20" t="n">
        <f aca="false">G6708-H6708</f>
        <v>50.99</v>
      </c>
      <c r="J6708" s="21" t="n">
        <f aca="false">H6708*1000/Parametres!$B$9</f>
        <v>4239.44378497541</v>
      </c>
    </row>
    <row r="6709" customFormat="false" ht="15" hidden="false" customHeight="false" outlineLevel="0" collapsed="false">
      <c r="A6709" s="0" t="n">
        <v>6705</v>
      </c>
      <c r="B6709" s="0" t="n">
        <v>10</v>
      </c>
      <c r="C6709" s="19" t="n">
        <v>0.571</v>
      </c>
      <c r="D6709" s="19" t="n">
        <v>1</v>
      </c>
      <c r="E6709" s="20" t="n">
        <f aca="false">Parametres!$B$5*C6709</f>
        <v>171.3</v>
      </c>
      <c r="F6709" s="20" t="n">
        <f aca="false">Parametres!$B$6*D6709</f>
        <v>200</v>
      </c>
      <c r="G6709" s="20" t="n">
        <f aca="false">E6709+F6709</f>
        <v>371.3</v>
      </c>
      <c r="H6709" s="20" t="n">
        <f aca="false">IF(G6709&lt;Parametres!$B$8*Parametres!$B$7,0,MIN(G6709,Parametres!$B$7))</f>
        <v>250</v>
      </c>
      <c r="I6709" s="20" t="n">
        <f aca="false">G6709-H6709</f>
        <v>121.3</v>
      </c>
      <c r="J6709" s="21" t="n">
        <f aca="false">H6709*1000/Parametres!$B$9</f>
        <v>4239.44378497541</v>
      </c>
    </row>
    <row r="6710" customFormat="false" ht="15" hidden="false" customHeight="false" outlineLevel="0" collapsed="false">
      <c r="A6710" s="0" t="n">
        <v>6706</v>
      </c>
      <c r="B6710" s="0" t="n">
        <v>10</v>
      </c>
      <c r="C6710" s="19" t="n">
        <v>0.8139</v>
      </c>
      <c r="D6710" s="19" t="n">
        <v>1</v>
      </c>
      <c r="E6710" s="20" t="n">
        <f aca="false">Parametres!$B$5*C6710</f>
        <v>244.17</v>
      </c>
      <c r="F6710" s="20" t="n">
        <f aca="false">Parametres!$B$6*D6710</f>
        <v>200</v>
      </c>
      <c r="G6710" s="20" t="n">
        <f aca="false">E6710+F6710</f>
        <v>444.17</v>
      </c>
      <c r="H6710" s="20" t="n">
        <f aca="false">IF(G6710&lt;Parametres!$B$8*Parametres!$B$7,0,MIN(G6710,Parametres!$B$7))</f>
        <v>250</v>
      </c>
      <c r="I6710" s="20" t="n">
        <f aca="false">G6710-H6710</f>
        <v>194.17</v>
      </c>
      <c r="J6710" s="21" t="n">
        <f aca="false">H6710*1000/Parametres!$B$9</f>
        <v>4239.44378497541</v>
      </c>
    </row>
    <row r="6711" customFormat="false" ht="15" hidden="false" customHeight="false" outlineLevel="0" collapsed="false">
      <c r="A6711" s="0" t="n">
        <v>6707</v>
      </c>
      <c r="B6711" s="0" t="n">
        <v>10</v>
      </c>
      <c r="C6711" s="19" t="n">
        <v>0.9944</v>
      </c>
      <c r="D6711" s="19" t="n">
        <v>1</v>
      </c>
      <c r="E6711" s="20" t="n">
        <f aca="false">Parametres!$B$5*C6711</f>
        <v>298.32</v>
      </c>
      <c r="F6711" s="20" t="n">
        <f aca="false">Parametres!$B$6*D6711</f>
        <v>200</v>
      </c>
      <c r="G6711" s="20" t="n">
        <f aca="false">E6711+F6711</f>
        <v>498.32</v>
      </c>
      <c r="H6711" s="20" t="n">
        <f aca="false">IF(G6711&lt;Parametres!$B$8*Parametres!$B$7,0,MIN(G6711,Parametres!$B$7))</f>
        <v>250</v>
      </c>
      <c r="I6711" s="20" t="n">
        <f aca="false">G6711-H6711</f>
        <v>248.32</v>
      </c>
      <c r="J6711" s="21" t="n">
        <f aca="false">H6711*1000/Parametres!$B$9</f>
        <v>4239.44378497541</v>
      </c>
    </row>
    <row r="6712" customFormat="false" ht="15" hidden="false" customHeight="false" outlineLevel="0" collapsed="false">
      <c r="A6712" s="0" t="n">
        <v>6708</v>
      </c>
      <c r="B6712" s="0" t="n">
        <v>10</v>
      </c>
      <c r="C6712" s="19" t="n">
        <v>1</v>
      </c>
      <c r="D6712" s="19" t="n">
        <v>1</v>
      </c>
      <c r="E6712" s="20" t="n">
        <f aca="false">Parametres!$B$5*C6712</f>
        <v>300</v>
      </c>
      <c r="F6712" s="20" t="n">
        <f aca="false">Parametres!$B$6*D6712</f>
        <v>200</v>
      </c>
      <c r="G6712" s="20" t="n">
        <f aca="false">E6712+F6712</f>
        <v>500</v>
      </c>
      <c r="H6712" s="20" t="n">
        <f aca="false">IF(G6712&lt;Parametres!$B$8*Parametres!$B$7,0,MIN(G6712,Parametres!$B$7))</f>
        <v>250</v>
      </c>
      <c r="I6712" s="20" t="n">
        <f aca="false">G6712-H6712</f>
        <v>250</v>
      </c>
      <c r="J6712" s="21" t="n">
        <f aca="false">H6712*1000/Parametres!$B$9</f>
        <v>4239.44378497541</v>
      </c>
    </row>
    <row r="6713" customFormat="false" ht="15" hidden="false" customHeight="false" outlineLevel="0" collapsed="false">
      <c r="A6713" s="0" t="n">
        <v>6709</v>
      </c>
      <c r="B6713" s="0" t="n">
        <v>10</v>
      </c>
      <c r="C6713" s="19" t="n">
        <v>1</v>
      </c>
      <c r="D6713" s="19" t="n">
        <v>1</v>
      </c>
      <c r="E6713" s="20" t="n">
        <f aca="false">Parametres!$B$5*C6713</f>
        <v>300</v>
      </c>
      <c r="F6713" s="20" t="n">
        <f aca="false">Parametres!$B$6*D6713</f>
        <v>200</v>
      </c>
      <c r="G6713" s="20" t="n">
        <f aca="false">E6713+F6713</f>
        <v>500</v>
      </c>
      <c r="H6713" s="20" t="n">
        <f aca="false">IF(G6713&lt;Parametres!$B$8*Parametres!$B$7,0,MIN(G6713,Parametres!$B$7))</f>
        <v>250</v>
      </c>
      <c r="I6713" s="20" t="n">
        <f aca="false">G6713-H6713</f>
        <v>250</v>
      </c>
      <c r="J6713" s="21" t="n">
        <f aca="false">H6713*1000/Parametres!$B$9</f>
        <v>4239.44378497541</v>
      </c>
    </row>
    <row r="6714" customFormat="false" ht="15" hidden="false" customHeight="false" outlineLevel="0" collapsed="false">
      <c r="A6714" s="0" t="n">
        <v>6710</v>
      </c>
      <c r="B6714" s="0" t="n">
        <v>10</v>
      </c>
      <c r="C6714" s="19" t="n">
        <v>1</v>
      </c>
      <c r="D6714" s="19" t="n">
        <v>1</v>
      </c>
      <c r="E6714" s="20" t="n">
        <f aca="false">Parametres!$B$5*C6714</f>
        <v>300</v>
      </c>
      <c r="F6714" s="20" t="n">
        <f aca="false">Parametres!$B$6*D6714</f>
        <v>200</v>
      </c>
      <c r="G6714" s="20" t="n">
        <f aca="false">E6714+F6714</f>
        <v>500</v>
      </c>
      <c r="H6714" s="20" t="n">
        <f aca="false">IF(G6714&lt;Parametres!$B$8*Parametres!$B$7,0,MIN(G6714,Parametres!$B$7))</f>
        <v>250</v>
      </c>
      <c r="I6714" s="20" t="n">
        <f aca="false">G6714-H6714</f>
        <v>250</v>
      </c>
      <c r="J6714" s="21" t="n">
        <f aca="false">H6714*1000/Parametres!$B$9</f>
        <v>4239.44378497541</v>
      </c>
    </row>
    <row r="6715" customFormat="false" ht="15" hidden="false" customHeight="false" outlineLevel="0" collapsed="false">
      <c r="A6715" s="0" t="n">
        <v>6711</v>
      </c>
      <c r="B6715" s="0" t="n">
        <v>10</v>
      </c>
      <c r="C6715" s="19" t="n">
        <v>0.889</v>
      </c>
      <c r="D6715" s="19" t="n">
        <v>1</v>
      </c>
      <c r="E6715" s="20" t="n">
        <f aca="false">Parametres!$B$5*C6715</f>
        <v>266.7</v>
      </c>
      <c r="F6715" s="20" t="n">
        <f aca="false">Parametres!$B$6*D6715</f>
        <v>200</v>
      </c>
      <c r="G6715" s="20" t="n">
        <f aca="false">E6715+F6715</f>
        <v>466.7</v>
      </c>
      <c r="H6715" s="20" t="n">
        <f aca="false">IF(G6715&lt;Parametres!$B$8*Parametres!$B$7,0,MIN(G6715,Parametres!$B$7))</f>
        <v>250</v>
      </c>
      <c r="I6715" s="20" t="n">
        <f aca="false">G6715-H6715</f>
        <v>216.7</v>
      </c>
      <c r="J6715" s="21" t="n">
        <f aca="false">H6715*1000/Parametres!$B$9</f>
        <v>4239.44378497541</v>
      </c>
    </row>
    <row r="6716" customFormat="false" ht="15" hidden="false" customHeight="false" outlineLevel="0" collapsed="false">
      <c r="A6716" s="0" t="n">
        <v>6712</v>
      </c>
      <c r="B6716" s="0" t="n">
        <v>10</v>
      </c>
      <c r="C6716" s="19" t="n">
        <v>0.569</v>
      </c>
      <c r="D6716" s="19" t="n">
        <v>1</v>
      </c>
      <c r="E6716" s="20" t="n">
        <f aca="false">Parametres!$B$5*C6716</f>
        <v>170.7</v>
      </c>
      <c r="F6716" s="20" t="n">
        <f aca="false">Parametres!$B$6*D6716</f>
        <v>200</v>
      </c>
      <c r="G6716" s="20" t="n">
        <f aca="false">E6716+F6716</f>
        <v>370.7</v>
      </c>
      <c r="H6716" s="20" t="n">
        <f aca="false">IF(G6716&lt;Parametres!$B$8*Parametres!$B$7,0,MIN(G6716,Parametres!$B$7))</f>
        <v>250</v>
      </c>
      <c r="I6716" s="20" t="n">
        <f aca="false">G6716-H6716</f>
        <v>120.7</v>
      </c>
      <c r="J6716" s="21" t="n">
        <f aca="false">H6716*1000/Parametres!$B$9</f>
        <v>4239.44378497541</v>
      </c>
    </row>
    <row r="6717" customFormat="false" ht="15" hidden="false" customHeight="false" outlineLevel="0" collapsed="false">
      <c r="A6717" s="0" t="n">
        <v>6713</v>
      </c>
      <c r="B6717" s="0" t="n">
        <v>10</v>
      </c>
      <c r="C6717" s="19" t="n">
        <v>0.3227</v>
      </c>
      <c r="D6717" s="19" t="n">
        <v>1</v>
      </c>
      <c r="E6717" s="20" t="n">
        <f aca="false">Parametres!$B$5*C6717</f>
        <v>96.81</v>
      </c>
      <c r="F6717" s="20" t="n">
        <f aca="false">Parametres!$B$6*D6717</f>
        <v>200</v>
      </c>
      <c r="G6717" s="20" t="n">
        <f aca="false">E6717+F6717</f>
        <v>296.81</v>
      </c>
      <c r="H6717" s="20" t="n">
        <f aca="false">IF(G6717&lt;Parametres!$B$8*Parametres!$B$7,0,MIN(G6717,Parametres!$B$7))</f>
        <v>250</v>
      </c>
      <c r="I6717" s="20" t="n">
        <f aca="false">G6717-H6717</f>
        <v>46.81</v>
      </c>
      <c r="J6717" s="21" t="n">
        <f aca="false">H6717*1000/Parametres!$B$9</f>
        <v>4239.44378497541</v>
      </c>
    </row>
    <row r="6718" customFormat="false" ht="15" hidden="false" customHeight="false" outlineLevel="0" collapsed="false">
      <c r="A6718" s="0" t="n">
        <v>6714</v>
      </c>
      <c r="B6718" s="0" t="n">
        <v>10</v>
      </c>
      <c r="C6718" s="19" t="n">
        <v>0.0585</v>
      </c>
      <c r="D6718" s="19" t="n">
        <v>1</v>
      </c>
      <c r="E6718" s="20" t="n">
        <f aca="false">Parametres!$B$5*C6718</f>
        <v>17.55</v>
      </c>
      <c r="F6718" s="20" t="n">
        <f aca="false">Parametres!$B$6*D6718</f>
        <v>200</v>
      </c>
      <c r="G6718" s="20" t="n">
        <f aca="false">E6718+F6718</f>
        <v>217.55</v>
      </c>
      <c r="H6718" s="20" t="n">
        <f aca="false">IF(G6718&lt;Parametres!$B$8*Parametres!$B$7,0,MIN(G6718,Parametres!$B$7))</f>
        <v>217.55</v>
      </c>
      <c r="I6718" s="20" t="n">
        <f aca="false">G6718-H6718</f>
        <v>0</v>
      </c>
      <c r="J6718" s="21" t="n">
        <f aca="false">H6718*1000/Parametres!$B$9</f>
        <v>3689.1639816856</v>
      </c>
    </row>
    <row r="6719" customFormat="false" ht="15" hidden="false" customHeight="false" outlineLevel="0" collapsed="false">
      <c r="A6719" s="0" t="n">
        <v>6715</v>
      </c>
      <c r="B6719" s="0" t="n">
        <v>10</v>
      </c>
      <c r="C6719" s="19" t="n">
        <v>0</v>
      </c>
      <c r="D6719" s="19" t="n">
        <v>1</v>
      </c>
      <c r="E6719" s="20" t="n">
        <f aca="false">Parametres!$B$5*C6719</f>
        <v>0</v>
      </c>
      <c r="F6719" s="20" t="n">
        <f aca="false">Parametres!$B$6*D6719</f>
        <v>200</v>
      </c>
      <c r="G6719" s="20" t="n">
        <f aca="false">E6719+F6719</f>
        <v>200</v>
      </c>
      <c r="H6719" s="20" t="n">
        <f aca="false">IF(G6719&lt;Parametres!$B$8*Parametres!$B$7,0,MIN(G6719,Parametres!$B$7))</f>
        <v>200</v>
      </c>
      <c r="I6719" s="20" t="n">
        <f aca="false">G6719-H6719</f>
        <v>0</v>
      </c>
      <c r="J6719" s="21" t="n">
        <f aca="false">H6719*1000/Parametres!$B$9</f>
        <v>3391.55502798033</v>
      </c>
    </row>
    <row r="6720" customFormat="false" ht="15" hidden="false" customHeight="false" outlineLevel="0" collapsed="false">
      <c r="A6720" s="0" t="n">
        <v>6716</v>
      </c>
      <c r="B6720" s="0" t="n">
        <v>10</v>
      </c>
      <c r="C6720" s="19" t="n">
        <v>0</v>
      </c>
      <c r="D6720" s="19" t="n">
        <v>1</v>
      </c>
      <c r="E6720" s="20" t="n">
        <f aca="false">Parametres!$B$5*C6720</f>
        <v>0</v>
      </c>
      <c r="F6720" s="20" t="n">
        <f aca="false">Parametres!$B$6*D6720</f>
        <v>200</v>
      </c>
      <c r="G6720" s="20" t="n">
        <f aca="false">E6720+F6720</f>
        <v>200</v>
      </c>
      <c r="H6720" s="20" t="n">
        <f aca="false">IF(G6720&lt;Parametres!$B$8*Parametres!$B$7,0,MIN(G6720,Parametres!$B$7))</f>
        <v>200</v>
      </c>
      <c r="I6720" s="20" t="n">
        <f aca="false">G6720-H6720</f>
        <v>0</v>
      </c>
      <c r="J6720" s="21" t="n">
        <f aca="false">H6720*1000/Parametres!$B$9</f>
        <v>3391.55502798033</v>
      </c>
    </row>
    <row r="6721" customFormat="false" ht="15" hidden="false" customHeight="false" outlineLevel="0" collapsed="false">
      <c r="A6721" s="0" t="n">
        <v>6717</v>
      </c>
      <c r="B6721" s="0" t="n">
        <v>10</v>
      </c>
      <c r="C6721" s="19" t="n">
        <v>0</v>
      </c>
      <c r="D6721" s="19" t="n">
        <v>0.7904</v>
      </c>
      <c r="E6721" s="20" t="n">
        <f aca="false">Parametres!$B$5*C6721</f>
        <v>0</v>
      </c>
      <c r="F6721" s="20" t="n">
        <f aca="false">Parametres!$B$6*D6721</f>
        <v>158.08</v>
      </c>
      <c r="G6721" s="20" t="n">
        <f aca="false">E6721+F6721</f>
        <v>158.08</v>
      </c>
      <c r="H6721" s="20" t="n">
        <f aca="false">IF(G6721&lt;Parametres!$B$8*Parametres!$B$7,0,MIN(G6721,Parametres!$B$7))</f>
        <v>158.08</v>
      </c>
      <c r="I6721" s="20" t="n">
        <f aca="false">G6721-H6721</f>
        <v>0</v>
      </c>
      <c r="J6721" s="21" t="n">
        <f aca="false">H6721*1000/Parametres!$B$9</f>
        <v>2680.68509411565</v>
      </c>
    </row>
    <row r="6722" customFormat="false" ht="15" hidden="false" customHeight="false" outlineLevel="0" collapsed="false">
      <c r="A6722" s="0" t="n">
        <v>6718</v>
      </c>
      <c r="B6722" s="0" t="n">
        <v>10</v>
      </c>
      <c r="C6722" s="19" t="n">
        <v>0</v>
      </c>
      <c r="D6722" s="19" t="n">
        <v>0.707</v>
      </c>
      <c r="E6722" s="20" t="n">
        <f aca="false">Parametres!$B$5*C6722</f>
        <v>0</v>
      </c>
      <c r="F6722" s="20" t="n">
        <f aca="false">Parametres!$B$6*D6722</f>
        <v>141.4</v>
      </c>
      <c r="G6722" s="20" t="n">
        <f aca="false">E6722+F6722</f>
        <v>141.4</v>
      </c>
      <c r="H6722" s="20" t="n">
        <f aca="false">IF(G6722&lt;Parametres!$B$8*Parametres!$B$7,0,MIN(G6722,Parametres!$B$7))</f>
        <v>141.4</v>
      </c>
      <c r="I6722" s="20" t="n">
        <f aca="false">G6722-H6722</f>
        <v>0</v>
      </c>
      <c r="J6722" s="21" t="n">
        <f aca="false">H6722*1000/Parametres!$B$9</f>
        <v>2397.82940478209</v>
      </c>
    </row>
    <row r="6723" customFormat="false" ht="15" hidden="false" customHeight="false" outlineLevel="0" collapsed="false">
      <c r="A6723" s="0" t="n">
        <v>6719</v>
      </c>
      <c r="B6723" s="0" t="n">
        <v>10</v>
      </c>
      <c r="C6723" s="19" t="n">
        <v>0</v>
      </c>
      <c r="D6723" s="19" t="n">
        <v>0.5472</v>
      </c>
      <c r="E6723" s="20" t="n">
        <f aca="false">Parametres!$B$5*C6723</f>
        <v>0</v>
      </c>
      <c r="F6723" s="20" t="n">
        <f aca="false">Parametres!$B$6*D6723</f>
        <v>109.44</v>
      </c>
      <c r="G6723" s="20" t="n">
        <f aca="false">E6723+F6723</f>
        <v>109.44</v>
      </c>
      <c r="H6723" s="20" t="n">
        <f aca="false">IF(G6723&lt;Parametres!$B$8*Parametres!$B$7,0,MIN(G6723,Parametres!$B$7))</f>
        <v>109.44</v>
      </c>
      <c r="I6723" s="20" t="n">
        <f aca="false">G6723-H6723</f>
        <v>0</v>
      </c>
      <c r="J6723" s="21" t="n">
        <f aca="false">H6723*1000/Parametres!$B$9</f>
        <v>1855.85891131084</v>
      </c>
    </row>
    <row r="6724" customFormat="false" ht="15" hidden="false" customHeight="false" outlineLevel="0" collapsed="false">
      <c r="A6724" s="0" t="n">
        <v>6720</v>
      </c>
      <c r="B6724" s="0" t="n">
        <v>10</v>
      </c>
      <c r="C6724" s="19" t="n">
        <v>0</v>
      </c>
      <c r="D6724" s="19" t="n">
        <v>0.4427</v>
      </c>
      <c r="E6724" s="20" t="n">
        <f aca="false">Parametres!$B$5*C6724</f>
        <v>0</v>
      </c>
      <c r="F6724" s="20" t="n">
        <f aca="false">Parametres!$B$6*D6724</f>
        <v>88.54</v>
      </c>
      <c r="G6724" s="20" t="n">
        <f aca="false">E6724+F6724</f>
        <v>88.54</v>
      </c>
      <c r="H6724" s="20" t="n">
        <f aca="false">IF(G6724&lt;Parametres!$B$8*Parametres!$B$7,0,MIN(G6724,Parametres!$B$7))</f>
        <v>88.54</v>
      </c>
      <c r="I6724" s="20" t="n">
        <f aca="false">G6724-H6724</f>
        <v>0</v>
      </c>
      <c r="J6724" s="21" t="n">
        <f aca="false">H6724*1000/Parametres!$B$9</f>
        <v>1501.44141088689</v>
      </c>
    </row>
    <row r="6725" customFormat="false" ht="15" hidden="false" customHeight="false" outlineLevel="0" collapsed="false">
      <c r="A6725" s="0" t="n">
        <v>6721</v>
      </c>
      <c r="B6725" s="0" t="n">
        <v>10</v>
      </c>
      <c r="C6725" s="19" t="n">
        <v>0</v>
      </c>
      <c r="D6725" s="19" t="n">
        <v>0.3102</v>
      </c>
      <c r="E6725" s="20" t="n">
        <f aca="false">Parametres!$B$5*C6725</f>
        <v>0</v>
      </c>
      <c r="F6725" s="20" t="n">
        <f aca="false">Parametres!$B$6*D6725</f>
        <v>62.04</v>
      </c>
      <c r="G6725" s="20" t="n">
        <f aca="false">E6725+F6725</f>
        <v>62.04</v>
      </c>
      <c r="H6725" s="20" t="n">
        <f aca="false">IF(G6725&lt;Parametres!$B$8*Parametres!$B$7,0,MIN(G6725,Parametres!$B$7))</f>
        <v>62.04</v>
      </c>
      <c r="I6725" s="20" t="n">
        <f aca="false">G6725-H6725</f>
        <v>0</v>
      </c>
      <c r="J6725" s="21" t="n">
        <f aca="false">H6725*1000/Parametres!$B$9</f>
        <v>1052.0603696795</v>
      </c>
    </row>
    <row r="6726" customFormat="false" ht="15" hidden="false" customHeight="false" outlineLevel="0" collapsed="false">
      <c r="A6726" s="0" t="n">
        <v>6722</v>
      </c>
      <c r="B6726" s="0" t="n">
        <v>10</v>
      </c>
      <c r="C6726" s="19" t="n">
        <v>0</v>
      </c>
      <c r="D6726" s="19" t="n">
        <v>0.2387</v>
      </c>
      <c r="E6726" s="20" t="n">
        <f aca="false">Parametres!$B$5*C6726</f>
        <v>0</v>
      </c>
      <c r="F6726" s="20" t="n">
        <f aca="false">Parametres!$B$6*D6726</f>
        <v>47.74</v>
      </c>
      <c r="G6726" s="20" t="n">
        <f aca="false">E6726+F6726</f>
        <v>47.74</v>
      </c>
      <c r="H6726" s="20" t="n">
        <f aca="false">IF(G6726&lt;Parametres!$B$8*Parametres!$B$7,0,MIN(G6726,Parametres!$B$7))</f>
        <v>47.74</v>
      </c>
      <c r="I6726" s="20" t="n">
        <f aca="false">G6726-H6726</f>
        <v>0</v>
      </c>
      <c r="J6726" s="21" t="n">
        <f aca="false">H6726*1000/Parametres!$B$9</f>
        <v>809.564185178905</v>
      </c>
    </row>
    <row r="6727" customFormat="false" ht="15" hidden="false" customHeight="false" outlineLevel="0" collapsed="false">
      <c r="A6727" s="0" t="n">
        <v>6723</v>
      </c>
      <c r="B6727" s="0" t="n">
        <v>10</v>
      </c>
      <c r="C6727" s="19" t="n">
        <v>0</v>
      </c>
      <c r="D6727" s="19" t="n">
        <v>0.3283</v>
      </c>
      <c r="E6727" s="20" t="n">
        <f aca="false">Parametres!$B$5*C6727</f>
        <v>0</v>
      </c>
      <c r="F6727" s="20" t="n">
        <f aca="false">Parametres!$B$6*D6727</f>
        <v>65.66</v>
      </c>
      <c r="G6727" s="20" t="n">
        <f aca="false">E6727+F6727</f>
        <v>65.66</v>
      </c>
      <c r="H6727" s="20" t="n">
        <f aca="false">IF(G6727&lt;Parametres!$B$8*Parametres!$B$7,0,MIN(G6727,Parametres!$B$7))</f>
        <v>65.66</v>
      </c>
      <c r="I6727" s="20" t="n">
        <f aca="false">G6727-H6727</f>
        <v>0</v>
      </c>
      <c r="J6727" s="21" t="n">
        <f aca="false">H6727*1000/Parametres!$B$9</f>
        <v>1113.44751568594</v>
      </c>
    </row>
    <row r="6728" customFormat="false" ht="15" hidden="false" customHeight="false" outlineLevel="0" collapsed="false">
      <c r="A6728" s="0" t="n">
        <v>6724</v>
      </c>
      <c r="B6728" s="0" t="n">
        <v>10</v>
      </c>
      <c r="C6728" s="19" t="n">
        <v>0</v>
      </c>
      <c r="D6728" s="19" t="n">
        <v>0.337</v>
      </c>
      <c r="E6728" s="20" t="n">
        <f aca="false">Parametres!$B$5*C6728</f>
        <v>0</v>
      </c>
      <c r="F6728" s="20" t="n">
        <f aca="false">Parametres!$B$6*D6728</f>
        <v>67.4</v>
      </c>
      <c r="G6728" s="20" t="n">
        <f aca="false">E6728+F6728</f>
        <v>67.4</v>
      </c>
      <c r="H6728" s="20" t="n">
        <f aca="false">IF(G6728&lt;Parametres!$B$8*Parametres!$B$7,0,MIN(G6728,Parametres!$B$7))</f>
        <v>67.4</v>
      </c>
      <c r="I6728" s="20" t="n">
        <f aca="false">G6728-H6728</f>
        <v>0</v>
      </c>
      <c r="J6728" s="21" t="n">
        <f aca="false">H6728*1000/Parametres!$B$9</f>
        <v>1142.95404442937</v>
      </c>
    </row>
    <row r="6729" customFormat="false" ht="15" hidden="false" customHeight="false" outlineLevel="0" collapsed="false">
      <c r="A6729" s="0" t="n">
        <v>6725</v>
      </c>
      <c r="B6729" s="0" t="n">
        <v>10</v>
      </c>
      <c r="C6729" s="19" t="n">
        <v>0</v>
      </c>
      <c r="D6729" s="19" t="n">
        <v>0.4348</v>
      </c>
      <c r="E6729" s="20" t="n">
        <f aca="false">Parametres!$B$5*C6729</f>
        <v>0</v>
      </c>
      <c r="F6729" s="20" t="n">
        <f aca="false">Parametres!$B$6*D6729</f>
        <v>86.96</v>
      </c>
      <c r="G6729" s="20" t="n">
        <f aca="false">E6729+F6729</f>
        <v>86.96</v>
      </c>
      <c r="H6729" s="20" t="n">
        <f aca="false">IF(G6729&lt;Parametres!$B$8*Parametres!$B$7,0,MIN(G6729,Parametres!$B$7))</f>
        <v>86.96</v>
      </c>
      <c r="I6729" s="20" t="n">
        <f aca="false">G6729-H6729</f>
        <v>0</v>
      </c>
      <c r="J6729" s="21" t="n">
        <f aca="false">H6729*1000/Parametres!$B$9</f>
        <v>1474.64812616585</v>
      </c>
    </row>
    <row r="6730" customFormat="false" ht="15" hidden="false" customHeight="false" outlineLevel="0" collapsed="false">
      <c r="A6730" s="0" t="n">
        <v>6726</v>
      </c>
      <c r="B6730" s="0" t="n">
        <v>10</v>
      </c>
      <c r="C6730" s="19" t="n">
        <v>0</v>
      </c>
      <c r="D6730" s="19" t="n">
        <v>0.3777</v>
      </c>
      <c r="E6730" s="20" t="n">
        <f aca="false">Parametres!$B$5*C6730</f>
        <v>0</v>
      </c>
      <c r="F6730" s="20" t="n">
        <f aca="false">Parametres!$B$6*D6730</f>
        <v>75.54</v>
      </c>
      <c r="G6730" s="20" t="n">
        <f aca="false">E6730+F6730</f>
        <v>75.54</v>
      </c>
      <c r="H6730" s="20" t="n">
        <f aca="false">IF(G6730&lt;Parametres!$B$8*Parametres!$B$7,0,MIN(G6730,Parametres!$B$7))</f>
        <v>75.54</v>
      </c>
      <c r="I6730" s="20" t="n">
        <f aca="false">G6730-H6730</f>
        <v>0</v>
      </c>
      <c r="J6730" s="21" t="n">
        <f aca="false">H6730*1000/Parametres!$B$9</f>
        <v>1280.99033406817</v>
      </c>
    </row>
    <row r="6731" customFormat="false" ht="15" hidden="false" customHeight="false" outlineLevel="0" collapsed="false">
      <c r="A6731" s="0" t="n">
        <v>6727</v>
      </c>
      <c r="B6731" s="0" t="n">
        <v>10</v>
      </c>
      <c r="C6731" s="19" t="n">
        <v>0.0603</v>
      </c>
      <c r="D6731" s="19" t="n">
        <v>0.36</v>
      </c>
      <c r="E6731" s="20" t="n">
        <f aca="false">Parametres!$B$5*C6731</f>
        <v>18.09</v>
      </c>
      <c r="F6731" s="20" t="n">
        <f aca="false">Parametres!$B$6*D6731</f>
        <v>72</v>
      </c>
      <c r="G6731" s="20" t="n">
        <f aca="false">E6731+F6731</f>
        <v>90.09</v>
      </c>
      <c r="H6731" s="20" t="n">
        <f aca="false">IF(G6731&lt;Parametres!$B$8*Parametres!$B$7,0,MIN(G6731,Parametres!$B$7))</f>
        <v>90.09</v>
      </c>
      <c r="I6731" s="20" t="n">
        <f aca="false">G6731-H6731</f>
        <v>0</v>
      </c>
      <c r="J6731" s="21" t="n">
        <f aca="false">H6731*1000/Parametres!$B$9</f>
        <v>1527.72596235374</v>
      </c>
    </row>
    <row r="6732" customFormat="false" ht="15" hidden="false" customHeight="false" outlineLevel="0" collapsed="false">
      <c r="A6732" s="0" t="n">
        <v>6728</v>
      </c>
      <c r="B6732" s="0" t="n">
        <v>10</v>
      </c>
      <c r="C6732" s="19" t="n">
        <v>0.3268</v>
      </c>
      <c r="D6732" s="19" t="n">
        <v>0.2952</v>
      </c>
      <c r="E6732" s="20" t="n">
        <f aca="false">Parametres!$B$5*C6732</f>
        <v>98.04</v>
      </c>
      <c r="F6732" s="20" t="n">
        <f aca="false">Parametres!$B$6*D6732</f>
        <v>59.04</v>
      </c>
      <c r="G6732" s="20" t="n">
        <f aca="false">E6732+F6732</f>
        <v>157.08</v>
      </c>
      <c r="H6732" s="20" t="n">
        <f aca="false">IF(G6732&lt;Parametres!$B$8*Parametres!$B$7,0,MIN(G6732,Parametres!$B$7))</f>
        <v>157.08</v>
      </c>
      <c r="I6732" s="20" t="n">
        <f aca="false">G6732-H6732</f>
        <v>0</v>
      </c>
      <c r="J6732" s="21" t="n">
        <f aca="false">H6732*1000/Parametres!$B$9</f>
        <v>2663.72731897575</v>
      </c>
    </row>
    <row r="6733" customFormat="false" ht="15" hidden="false" customHeight="false" outlineLevel="0" collapsed="false">
      <c r="A6733" s="0" t="n">
        <v>6729</v>
      </c>
      <c r="B6733" s="0" t="n">
        <v>10</v>
      </c>
      <c r="C6733" s="19" t="n">
        <v>0.5643</v>
      </c>
      <c r="D6733" s="19" t="n">
        <v>0.374</v>
      </c>
      <c r="E6733" s="20" t="n">
        <f aca="false">Parametres!$B$5*C6733</f>
        <v>169.29</v>
      </c>
      <c r="F6733" s="20" t="n">
        <f aca="false">Parametres!$B$6*D6733</f>
        <v>74.8</v>
      </c>
      <c r="G6733" s="20" t="n">
        <f aca="false">E6733+F6733</f>
        <v>244.09</v>
      </c>
      <c r="H6733" s="20" t="n">
        <f aca="false">IF(G6733&lt;Parametres!$B$8*Parametres!$B$7,0,MIN(G6733,Parametres!$B$7))</f>
        <v>244.09</v>
      </c>
      <c r="I6733" s="20" t="n">
        <f aca="false">G6733-H6733</f>
        <v>0</v>
      </c>
      <c r="J6733" s="21" t="n">
        <f aca="false">H6733*1000/Parametres!$B$9</f>
        <v>4139.22333389859</v>
      </c>
    </row>
    <row r="6734" customFormat="false" ht="15" hidden="false" customHeight="false" outlineLevel="0" collapsed="false">
      <c r="A6734" s="0" t="n">
        <v>6730</v>
      </c>
      <c r="B6734" s="0" t="n">
        <v>10</v>
      </c>
      <c r="C6734" s="19" t="n">
        <v>0.8775</v>
      </c>
      <c r="D6734" s="19" t="n">
        <v>0.3844</v>
      </c>
      <c r="E6734" s="20" t="n">
        <f aca="false">Parametres!$B$5*C6734</f>
        <v>263.25</v>
      </c>
      <c r="F6734" s="20" t="n">
        <f aca="false">Parametres!$B$6*D6734</f>
        <v>76.88</v>
      </c>
      <c r="G6734" s="20" t="n">
        <f aca="false">E6734+F6734</f>
        <v>340.13</v>
      </c>
      <c r="H6734" s="20" t="n">
        <f aca="false">IF(G6734&lt;Parametres!$B$8*Parametres!$B$7,0,MIN(G6734,Parametres!$B$7))</f>
        <v>250</v>
      </c>
      <c r="I6734" s="20" t="n">
        <f aca="false">G6734-H6734</f>
        <v>90.13</v>
      </c>
      <c r="J6734" s="21" t="n">
        <f aca="false">H6734*1000/Parametres!$B$9</f>
        <v>4239.44378497541</v>
      </c>
    </row>
    <row r="6735" customFormat="false" ht="15" hidden="false" customHeight="false" outlineLevel="0" collapsed="false">
      <c r="A6735" s="0" t="n">
        <v>6731</v>
      </c>
      <c r="B6735" s="0" t="n">
        <v>10</v>
      </c>
      <c r="C6735" s="19" t="n">
        <v>1</v>
      </c>
      <c r="D6735" s="19" t="n">
        <v>0.3772</v>
      </c>
      <c r="E6735" s="20" t="n">
        <f aca="false">Parametres!$B$5*C6735</f>
        <v>300</v>
      </c>
      <c r="F6735" s="20" t="n">
        <f aca="false">Parametres!$B$6*D6735</f>
        <v>75.44</v>
      </c>
      <c r="G6735" s="20" t="n">
        <f aca="false">E6735+F6735</f>
        <v>375.44</v>
      </c>
      <c r="H6735" s="20" t="n">
        <f aca="false">IF(G6735&lt;Parametres!$B$8*Parametres!$B$7,0,MIN(G6735,Parametres!$B$7))</f>
        <v>250</v>
      </c>
      <c r="I6735" s="20" t="n">
        <f aca="false">G6735-H6735</f>
        <v>125.44</v>
      </c>
      <c r="J6735" s="21" t="n">
        <f aca="false">H6735*1000/Parametres!$B$9</f>
        <v>4239.44378497541</v>
      </c>
    </row>
    <row r="6736" customFormat="false" ht="15" hidden="false" customHeight="false" outlineLevel="0" collapsed="false">
      <c r="A6736" s="0" t="n">
        <v>6732</v>
      </c>
      <c r="B6736" s="0" t="n">
        <v>10</v>
      </c>
      <c r="C6736" s="19" t="n">
        <v>1</v>
      </c>
      <c r="D6736" s="19" t="n">
        <v>0.3847</v>
      </c>
      <c r="E6736" s="20" t="n">
        <f aca="false">Parametres!$B$5*C6736</f>
        <v>300</v>
      </c>
      <c r="F6736" s="20" t="n">
        <f aca="false">Parametres!$B$6*D6736</f>
        <v>76.94</v>
      </c>
      <c r="G6736" s="20" t="n">
        <f aca="false">E6736+F6736</f>
        <v>376.94</v>
      </c>
      <c r="H6736" s="20" t="n">
        <f aca="false">IF(G6736&lt;Parametres!$B$8*Parametres!$B$7,0,MIN(G6736,Parametres!$B$7))</f>
        <v>250</v>
      </c>
      <c r="I6736" s="20" t="n">
        <f aca="false">G6736-H6736</f>
        <v>126.94</v>
      </c>
      <c r="J6736" s="21" t="n">
        <f aca="false">H6736*1000/Parametres!$B$9</f>
        <v>4239.44378497541</v>
      </c>
    </row>
    <row r="6737" customFormat="false" ht="15" hidden="false" customHeight="false" outlineLevel="0" collapsed="false">
      <c r="A6737" s="0" t="n">
        <v>6733</v>
      </c>
      <c r="B6737" s="0" t="n">
        <v>10</v>
      </c>
      <c r="C6737" s="19" t="n">
        <v>1</v>
      </c>
      <c r="D6737" s="19" t="n">
        <v>0.3257</v>
      </c>
      <c r="E6737" s="20" t="n">
        <f aca="false">Parametres!$B$5*C6737</f>
        <v>300</v>
      </c>
      <c r="F6737" s="20" t="n">
        <f aca="false">Parametres!$B$6*D6737</f>
        <v>65.14</v>
      </c>
      <c r="G6737" s="20" t="n">
        <f aca="false">E6737+F6737</f>
        <v>365.14</v>
      </c>
      <c r="H6737" s="20" t="n">
        <f aca="false">IF(G6737&lt;Parametres!$B$8*Parametres!$B$7,0,MIN(G6737,Parametres!$B$7))</f>
        <v>250</v>
      </c>
      <c r="I6737" s="20" t="n">
        <f aca="false">G6737-H6737</f>
        <v>115.14</v>
      </c>
      <c r="J6737" s="21" t="n">
        <f aca="false">H6737*1000/Parametres!$B$9</f>
        <v>4239.44378497541</v>
      </c>
    </row>
    <row r="6738" customFormat="false" ht="15" hidden="false" customHeight="false" outlineLevel="0" collapsed="false">
      <c r="A6738" s="0" t="n">
        <v>6734</v>
      </c>
      <c r="B6738" s="0" t="n">
        <v>10</v>
      </c>
      <c r="C6738" s="19" t="n">
        <v>1</v>
      </c>
      <c r="D6738" s="19" t="n">
        <v>0.5071</v>
      </c>
      <c r="E6738" s="20" t="n">
        <f aca="false">Parametres!$B$5*C6738</f>
        <v>300</v>
      </c>
      <c r="F6738" s="20" t="n">
        <f aca="false">Parametres!$B$6*D6738</f>
        <v>101.42</v>
      </c>
      <c r="G6738" s="20" t="n">
        <f aca="false">E6738+F6738</f>
        <v>401.42</v>
      </c>
      <c r="H6738" s="20" t="n">
        <f aca="false">IF(G6738&lt;Parametres!$B$8*Parametres!$B$7,0,MIN(G6738,Parametres!$B$7))</f>
        <v>250</v>
      </c>
      <c r="I6738" s="20" t="n">
        <f aca="false">G6738-H6738</f>
        <v>151.42</v>
      </c>
      <c r="J6738" s="21" t="n">
        <f aca="false">H6738*1000/Parametres!$B$9</f>
        <v>4239.44378497541</v>
      </c>
    </row>
    <row r="6739" customFormat="false" ht="15" hidden="false" customHeight="false" outlineLevel="0" collapsed="false">
      <c r="A6739" s="0" t="n">
        <v>6735</v>
      </c>
      <c r="B6739" s="0" t="n">
        <v>10</v>
      </c>
      <c r="C6739" s="19" t="n">
        <v>0.8087</v>
      </c>
      <c r="D6739" s="19" t="n">
        <v>0.3751</v>
      </c>
      <c r="E6739" s="20" t="n">
        <f aca="false">Parametres!$B$5*C6739</f>
        <v>242.61</v>
      </c>
      <c r="F6739" s="20" t="n">
        <f aca="false">Parametres!$B$6*D6739</f>
        <v>75.02</v>
      </c>
      <c r="G6739" s="20" t="n">
        <f aca="false">E6739+F6739</f>
        <v>317.63</v>
      </c>
      <c r="H6739" s="20" t="n">
        <f aca="false">IF(G6739&lt;Parametres!$B$8*Parametres!$B$7,0,MIN(G6739,Parametres!$B$7))</f>
        <v>250</v>
      </c>
      <c r="I6739" s="20" t="n">
        <f aca="false">G6739-H6739</f>
        <v>67.63</v>
      </c>
      <c r="J6739" s="21" t="n">
        <f aca="false">H6739*1000/Parametres!$B$9</f>
        <v>4239.44378497541</v>
      </c>
    </row>
    <row r="6740" customFormat="false" ht="15" hidden="false" customHeight="false" outlineLevel="0" collapsed="false">
      <c r="A6740" s="0" t="n">
        <v>6736</v>
      </c>
      <c r="B6740" s="0" t="n">
        <v>10</v>
      </c>
      <c r="C6740" s="19" t="n">
        <v>0.587</v>
      </c>
      <c r="D6740" s="19" t="n">
        <v>0.6512</v>
      </c>
      <c r="E6740" s="20" t="n">
        <f aca="false">Parametres!$B$5*C6740</f>
        <v>176.1</v>
      </c>
      <c r="F6740" s="20" t="n">
        <f aca="false">Parametres!$B$6*D6740</f>
        <v>130.24</v>
      </c>
      <c r="G6740" s="20" t="n">
        <f aca="false">E6740+F6740</f>
        <v>306.34</v>
      </c>
      <c r="H6740" s="20" t="n">
        <f aca="false">IF(G6740&lt;Parametres!$B$8*Parametres!$B$7,0,MIN(G6740,Parametres!$B$7))</f>
        <v>250</v>
      </c>
      <c r="I6740" s="20" t="n">
        <f aca="false">G6740-H6740</f>
        <v>56.34</v>
      </c>
      <c r="J6740" s="21" t="n">
        <f aca="false">H6740*1000/Parametres!$B$9</f>
        <v>4239.44378497541</v>
      </c>
    </row>
    <row r="6741" customFormat="false" ht="15" hidden="false" customHeight="false" outlineLevel="0" collapsed="false">
      <c r="A6741" s="0" t="n">
        <v>6737</v>
      </c>
      <c r="B6741" s="0" t="n">
        <v>10</v>
      </c>
      <c r="C6741" s="19" t="n">
        <v>0.3321</v>
      </c>
      <c r="D6741" s="19" t="n">
        <v>0.7116</v>
      </c>
      <c r="E6741" s="20" t="n">
        <f aca="false">Parametres!$B$5*C6741</f>
        <v>99.63</v>
      </c>
      <c r="F6741" s="20" t="n">
        <f aca="false">Parametres!$B$6*D6741</f>
        <v>142.32</v>
      </c>
      <c r="G6741" s="20" t="n">
        <f aca="false">E6741+F6741</f>
        <v>241.95</v>
      </c>
      <c r="H6741" s="20" t="n">
        <f aca="false">IF(G6741&lt;Parametres!$B$8*Parametres!$B$7,0,MIN(G6741,Parametres!$B$7))</f>
        <v>241.95</v>
      </c>
      <c r="I6741" s="20" t="n">
        <f aca="false">G6741-H6741</f>
        <v>0</v>
      </c>
      <c r="J6741" s="21" t="n">
        <f aca="false">H6741*1000/Parametres!$B$9</f>
        <v>4102.9336950992</v>
      </c>
    </row>
    <row r="6742" customFormat="false" ht="15" hidden="false" customHeight="false" outlineLevel="0" collapsed="false">
      <c r="A6742" s="0" t="n">
        <v>6738</v>
      </c>
      <c r="B6742" s="0" t="n">
        <v>10</v>
      </c>
      <c r="C6742" s="19" t="n">
        <v>0.0596</v>
      </c>
      <c r="D6742" s="19" t="n">
        <v>1</v>
      </c>
      <c r="E6742" s="20" t="n">
        <f aca="false">Parametres!$B$5*C6742</f>
        <v>17.88</v>
      </c>
      <c r="F6742" s="20" t="n">
        <f aca="false">Parametres!$B$6*D6742</f>
        <v>200</v>
      </c>
      <c r="G6742" s="20" t="n">
        <f aca="false">E6742+F6742</f>
        <v>217.88</v>
      </c>
      <c r="H6742" s="20" t="n">
        <f aca="false">IF(G6742&lt;Parametres!$B$8*Parametres!$B$7,0,MIN(G6742,Parametres!$B$7))</f>
        <v>217.88</v>
      </c>
      <c r="I6742" s="20" t="n">
        <f aca="false">G6742-H6742</f>
        <v>0</v>
      </c>
      <c r="J6742" s="21" t="n">
        <f aca="false">H6742*1000/Parametres!$B$9</f>
        <v>3694.76004748177</v>
      </c>
    </row>
    <row r="6743" customFormat="false" ht="15" hidden="false" customHeight="false" outlineLevel="0" collapsed="false">
      <c r="A6743" s="0" t="n">
        <v>6739</v>
      </c>
      <c r="B6743" s="0" t="n">
        <v>10</v>
      </c>
      <c r="C6743" s="19" t="n">
        <v>0</v>
      </c>
      <c r="D6743" s="19" t="n">
        <v>1</v>
      </c>
      <c r="E6743" s="20" t="n">
        <f aca="false">Parametres!$B$5*C6743</f>
        <v>0</v>
      </c>
      <c r="F6743" s="20" t="n">
        <f aca="false">Parametres!$B$6*D6743</f>
        <v>200</v>
      </c>
      <c r="G6743" s="20" t="n">
        <f aca="false">E6743+F6743</f>
        <v>200</v>
      </c>
      <c r="H6743" s="20" t="n">
        <f aca="false">IF(G6743&lt;Parametres!$B$8*Parametres!$B$7,0,MIN(G6743,Parametres!$B$7))</f>
        <v>200</v>
      </c>
      <c r="I6743" s="20" t="n">
        <f aca="false">G6743-H6743</f>
        <v>0</v>
      </c>
      <c r="J6743" s="21" t="n">
        <f aca="false">H6743*1000/Parametres!$B$9</f>
        <v>3391.55502798033</v>
      </c>
    </row>
    <row r="6744" customFormat="false" ht="15" hidden="false" customHeight="false" outlineLevel="0" collapsed="false">
      <c r="A6744" s="0" t="n">
        <v>6740</v>
      </c>
      <c r="B6744" s="0" t="n">
        <v>10</v>
      </c>
      <c r="C6744" s="19" t="n">
        <v>0</v>
      </c>
      <c r="D6744" s="19" t="n">
        <v>1</v>
      </c>
      <c r="E6744" s="20" t="n">
        <f aca="false">Parametres!$B$5*C6744</f>
        <v>0</v>
      </c>
      <c r="F6744" s="20" t="n">
        <f aca="false">Parametres!$B$6*D6744</f>
        <v>200</v>
      </c>
      <c r="G6744" s="20" t="n">
        <f aca="false">E6744+F6744</f>
        <v>200</v>
      </c>
      <c r="H6744" s="20" t="n">
        <f aca="false">IF(G6744&lt;Parametres!$B$8*Parametres!$B$7,0,MIN(G6744,Parametres!$B$7))</f>
        <v>200</v>
      </c>
      <c r="I6744" s="20" t="n">
        <f aca="false">G6744-H6744</f>
        <v>0</v>
      </c>
      <c r="J6744" s="21" t="n">
        <f aca="false">H6744*1000/Parametres!$B$9</f>
        <v>3391.55502798033</v>
      </c>
    </row>
    <row r="6745" customFormat="false" ht="15" hidden="false" customHeight="false" outlineLevel="0" collapsed="false">
      <c r="A6745" s="0" t="n">
        <v>6741</v>
      </c>
      <c r="B6745" s="0" t="n">
        <v>10</v>
      </c>
      <c r="C6745" s="19" t="n">
        <v>0</v>
      </c>
      <c r="D6745" s="19" t="n">
        <v>1</v>
      </c>
      <c r="E6745" s="20" t="n">
        <f aca="false">Parametres!$B$5*C6745</f>
        <v>0</v>
      </c>
      <c r="F6745" s="20" t="n">
        <f aca="false">Parametres!$B$6*D6745</f>
        <v>200</v>
      </c>
      <c r="G6745" s="20" t="n">
        <f aca="false">E6745+F6745</f>
        <v>200</v>
      </c>
      <c r="H6745" s="20" t="n">
        <f aca="false">IF(G6745&lt;Parametres!$B$8*Parametres!$B$7,0,MIN(G6745,Parametres!$B$7))</f>
        <v>200</v>
      </c>
      <c r="I6745" s="20" t="n">
        <f aca="false">G6745-H6745</f>
        <v>0</v>
      </c>
      <c r="J6745" s="21" t="n">
        <f aca="false">H6745*1000/Parametres!$B$9</f>
        <v>3391.55502798033</v>
      </c>
    </row>
    <row r="6746" customFormat="false" ht="15" hidden="false" customHeight="false" outlineLevel="0" collapsed="false">
      <c r="A6746" s="0" t="n">
        <v>6742</v>
      </c>
      <c r="B6746" s="0" t="n">
        <v>10</v>
      </c>
      <c r="C6746" s="19" t="n">
        <v>0</v>
      </c>
      <c r="D6746" s="19" t="n">
        <v>1</v>
      </c>
      <c r="E6746" s="20" t="n">
        <f aca="false">Parametres!$B$5*C6746</f>
        <v>0</v>
      </c>
      <c r="F6746" s="20" t="n">
        <f aca="false">Parametres!$B$6*D6746</f>
        <v>200</v>
      </c>
      <c r="G6746" s="20" t="n">
        <f aca="false">E6746+F6746</f>
        <v>200</v>
      </c>
      <c r="H6746" s="20" t="n">
        <f aca="false">IF(G6746&lt;Parametres!$B$8*Parametres!$B$7,0,MIN(G6746,Parametres!$B$7))</f>
        <v>200</v>
      </c>
      <c r="I6746" s="20" t="n">
        <f aca="false">G6746-H6746</f>
        <v>0</v>
      </c>
      <c r="J6746" s="21" t="n">
        <f aca="false">H6746*1000/Parametres!$B$9</f>
        <v>3391.55502798033</v>
      </c>
    </row>
    <row r="6747" customFormat="false" ht="15" hidden="false" customHeight="false" outlineLevel="0" collapsed="false">
      <c r="A6747" s="0" t="n">
        <v>6743</v>
      </c>
      <c r="B6747" s="0" t="n">
        <v>10</v>
      </c>
      <c r="C6747" s="19" t="n">
        <v>0</v>
      </c>
      <c r="D6747" s="19" t="n">
        <v>1</v>
      </c>
      <c r="E6747" s="20" t="n">
        <f aca="false">Parametres!$B$5*C6747</f>
        <v>0</v>
      </c>
      <c r="F6747" s="20" t="n">
        <f aca="false">Parametres!$B$6*D6747</f>
        <v>200</v>
      </c>
      <c r="G6747" s="20" t="n">
        <f aca="false">E6747+F6747</f>
        <v>200</v>
      </c>
      <c r="H6747" s="20" t="n">
        <f aca="false">IF(G6747&lt;Parametres!$B$8*Parametres!$B$7,0,MIN(G6747,Parametres!$B$7))</f>
        <v>200</v>
      </c>
      <c r="I6747" s="20" t="n">
        <f aca="false">G6747-H6747</f>
        <v>0</v>
      </c>
      <c r="J6747" s="21" t="n">
        <f aca="false">H6747*1000/Parametres!$B$9</f>
        <v>3391.55502798033</v>
      </c>
    </row>
    <row r="6748" customFormat="false" ht="15" hidden="false" customHeight="false" outlineLevel="0" collapsed="false">
      <c r="A6748" s="0" t="n">
        <v>6744</v>
      </c>
      <c r="B6748" s="0" t="n">
        <v>10</v>
      </c>
      <c r="C6748" s="19" t="n">
        <v>0</v>
      </c>
      <c r="D6748" s="19" t="n">
        <v>1</v>
      </c>
      <c r="E6748" s="20" t="n">
        <f aca="false">Parametres!$B$5*C6748</f>
        <v>0</v>
      </c>
      <c r="F6748" s="20" t="n">
        <f aca="false">Parametres!$B$6*D6748</f>
        <v>200</v>
      </c>
      <c r="G6748" s="20" t="n">
        <f aca="false">E6748+F6748</f>
        <v>200</v>
      </c>
      <c r="H6748" s="20" t="n">
        <f aca="false">IF(G6748&lt;Parametres!$B$8*Parametres!$B$7,0,MIN(G6748,Parametres!$B$7))</f>
        <v>200</v>
      </c>
      <c r="I6748" s="20" t="n">
        <f aca="false">G6748-H6748</f>
        <v>0</v>
      </c>
      <c r="J6748" s="21" t="n">
        <f aca="false">H6748*1000/Parametres!$B$9</f>
        <v>3391.55502798033</v>
      </c>
    </row>
    <row r="6749" customFormat="false" ht="15" hidden="false" customHeight="false" outlineLevel="0" collapsed="false">
      <c r="A6749" s="0" t="n">
        <v>6745</v>
      </c>
      <c r="B6749" s="0" t="n">
        <v>10</v>
      </c>
      <c r="C6749" s="19" t="n">
        <v>0</v>
      </c>
      <c r="D6749" s="19" t="n">
        <v>1</v>
      </c>
      <c r="E6749" s="20" t="n">
        <f aca="false">Parametres!$B$5*C6749</f>
        <v>0</v>
      </c>
      <c r="F6749" s="20" t="n">
        <f aca="false">Parametres!$B$6*D6749</f>
        <v>200</v>
      </c>
      <c r="G6749" s="20" t="n">
        <f aca="false">E6749+F6749</f>
        <v>200</v>
      </c>
      <c r="H6749" s="20" t="n">
        <f aca="false">IF(G6749&lt;Parametres!$B$8*Parametres!$B$7,0,MIN(G6749,Parametres!$B$7))</f>
        <v>200</v>
      </c>
      <c r="I6749" s="20" t="n">
        <f aca="false">G6749-H6749</f>
        <v>0</v>
      </c>
      <c r="J6749" s="21" t="n">
        <f aca="false">H6749*1000/Parametres!$B$9</f>
        <v>3391.55502798033</v>
      </c>
    </row>
    <row r="6750" customFormat="false" ht="15" hidden="false" customHeight="false" outlineLevel="0" collapsed="false">
      <c r="A6750" s="0" t="n">
        <v>6746</v>
      </c>
      <c r="B6750" s="0" t="n">
        <v>10</v>
      </c>
      <c r="C6750" s="19" t="n">
        <v>0</v>
      </c>
      <c r="D6750" s="19" t="n">
        <v>1</v>
      </c>
      <c r="E6750" s="20" t="n">
        <f aca="false">Parametres!$B$5*C6750</f>
        <v>0</v>
      </c>
      <c r="F6750" s="20" t="n">
        <f aca="false">Parametres!$B$6*D6750</f>
        <v>200</v>
      </c>
      <c r="G6750" s="20" t="n">
        <f aca="false">E6750+F6750</f>
        <v>200</v>
      </c>
      <c r="H6750" s="20" t="n">
        <f aca="false">IF(G6750&lt;Parametres!$B$8*Parametres!$B$7,0,MIN(G6750,Parametres!$B$7))</f>
        <v>200</v>
      </c>
      <c r="I6750" s="20" t="n">
        <f aca="false">G6750-H6750</f>
        <v>0</v>
      </c>
      <c r="J6750" s="21" t="n">
        <f aca="false">H6750*1000/Parametres!$B$9</f>
        <v>3391.55502798033</v>
      </c>
    </row>
    <row r="6751" customFormat="false" ht="15" hidden="false" customHeight="false" outlineLevel="0" collapsed="false">
      <c r="A6751" s="0" t="n">
        <v>6747</v>
      </c>
      <c r="B6751" s="0" t="n">
        <v>10</v>
      </c>
      <c r="C6751" s="19" t="n">
        <v>0</v>
      </c>
      <c r="D6751" s="19" t="n">
        <v>1</v>
      </c>
      <c r="E6751" s="20" t="n">
        <f aca="false">Parametres!$B$5*C6751</f>
        <v>0</v>
      </c>
      <c r="F6751" s="20" t="n">
        <f aca="false">Parametres!$B$6*D6751</f>
        <v>200</v>
      </c>
      <c r="G6751" s="20" t="n">
        <f aca="false">E6751+F6751</f>
        <v>200</v>
      </c>
      <c r="H6751" s="20" t="n">
        <f aca="false">IF(G6751&lt;Parametres!$B$8*Parametres!$B$7,0,MIN(G6751,Parametres!$B$7))</f>
        <v>200</v>
      </c>
      <c r="I6751" s="20" t="n">
        <f aca="false">G6751-H6751</f>
        <v>0</v>
      </c>
      <c r="J6751" s="21" t="n">
        <f aca="false">H6751*1000/Parametres!$B$9</f>
        <v>3391.55502798033</v>
      </c>
    </row>
    <row r="6752" customFormat="false" ht="15" hidden="false" customHeight="false" outlineLevel="0" collapsed="false">
      <c r="A6752" s="0" t="n">
        <v>6748</v>
      </c>
      <c r="B6752" s="0" t="n">
        <v>10</v>
      </c>
      <c r="C6752" s="19" t="n">
        <v>0</v>
      </c>
      <c r="D6752" s="19" t="n">
        <v>1</v>
      </c>
      <c r="E6752" s="20" t="n">
        <f aca="false">Parametres!$B$5*C6752</f>
        <v>0</v>
      </c>
      <c r="F6752" s="20" t="n">
        <f aca="false">Parametres!$B$6*D6752</f>
        <v>200</v>
      </c>
      <c r="G6752" s="20" t="n">
        <f aca="false">E6752+F6752</f>
        <v>200</v>
      </c>
      <c r="H6752" s="20" t="n">
        <f aca="false">IF(G6752&lt;Parametres!$B$8*Parametres!$B$7,0,MIN(G6752,Parametres!$B$7))</f>
        <v>200</v>
      </c>
      <c r="I6752" s="20" t="n">
        <f aca="false">G6752-H6752</f>
        <v>0</v>
      </c>
      <c r="J6752" s="21" t="n">
        <f aca="false">H6752*1000/Parametres!$B$9</f>
        <v>3391.55502798033</v>
      </c>
    </row>
    <row r="6753" customFormat="false" ht="15" hidden="false" customHeight="false" outlineLevel="0" collapsed="false">
      <c r="A6753" s="0" t="n">
        <v>6749</v>
      </c>
      <c r="B6753" s="0" t="n">
        <v>10</v>
      </c>
      <c r="C6753" s="19" t="n">
        <v>0</v>
      </c>
      <c r="D6753" s="19" t="n">
        <v>1</v>
      </c>
      <c r="E6753" s="20" t="n">
        <f aca="false">Parametres!$B$5*C6753</f>
        <v>0</v>
      </c>
      <c r="F6753" s="20" t="n">
        <f aca="false">Parametres!$B$6*D6753</f>
        <v>200</v>
      </c>
      <c r="G6753" s="20" t="n">
        <f aca="false">E6753+F6753</f>
        <v>200</v>
      </c>
      <c r="H6753" s="20" t="n">
        <f aca="false">IF(G6753&lt;Parametres!$B$8*Parametres!$B$7,0,MIN(G6753,Parametres!$B$7))</f>
        <v>200</v>
      </c>
      <c r="I6753" s="20" t="n">
        <f aca="false">G6753-H6753</f>
        <v>0</v>
      </c>
      <c r="J6753" s="21" t="n">
        <f aca="false">H6753*1000/Parametres!$B$9</f>
        <v>3391.55502798033</v>
      </c>
    </row>
    <row r="6754" customFormat="false" ht="15" hidden="false" customHeight="false" outlineLevel="0" collapsed="false">
      <c r="A6754" s="0" t="n">
        <v>6750</v>
      </c>
      <c r="B6754" s="0" t="n">
        <v>10</v>
      </c>
      <c r="C6754" s="19" t="n">
        <v>0</v>
      </c>
      <c r="D6754" s="19" t="n">
        <v>1</v>
      </c>
      <c r="E6754" s="20" t="n">
        <f aca="false">Parametres!$B$5*C6754</f>
        <v>0</v>
      </c>
      <c r="F6754" s="20" t="n">
        <f aca="false">Parametres!$B$6*D6754</f>
        <v>200</v>
      </c>
      <c r="G6754" s="20" t="n">
        <f aca="false">E6754+F6754</f>
        <v>200</v>
      </c>
      <c r="H6754" s="20" t="n">
        <f aca="false">IF(G6754&lt;Parametres!$B$8*Parametres!$B$7,0,MIN(G6754,Parametres!$B$7))</f>
        <v>200</v>
      </c>
      <c r="I6754" s="20" t="n">
        <f aca="false">G6754-H6754</f>
        <v>0</v>
      </c>
      <c r="J6754" s="21" t="n">
        <f aca="false">H6754*1000/Parametres!$B$9</f>
        <v>3391.55502798033</v>
      </c>
    </row>
    <row r="6755" customFormat="false" ht="15" hidden="false" customHeight="false" outlineLevel="0" collapsed="false">
      <c r="A6755" s="0" t="n">
        <v>6751</v>
      </c>
      <c r="B6755" s="0" t="n">
        <v>10</v>
      </c>
      <c r="C6755" s="19" t="n">
        <v>0.0469</v>
      </c>
      <c r="D6755" s="19" t="n">
        <v>1</v>
      </c>
      <c r="E6755" s="20" t="n">
        <f aca="false">Parametres!$B$5*C6755</f>
        <v>14.07</v>
      </c>
      <c r="F6755" s="20" t="n">
        <f aca="false">Parametres!$B$6*D6755</f>
        <v>200</v>
      </c>
      <c r="G6755" s="20" t="n">
        <f aca="false">E6755+F6755</f>
        <v>214.07</v>
      </c>
      <c r="H6755" s="20" t="n">
        <f aca="false">IF(G6755&lt;Parametres!$B$8*Parametres!$B$7,0,MIN(G6755,Parametres!$B$7))</f>
        <v>214.07</v>
      </c>
      <c r="I6755" s="20" t="n">
        <f aca="false">G6755-H6755</f>
        <v>0</v>
      </c>
      <c r="J6755" s="21" t="n">
        <f aca="false">H6755*1000/Parametres!$B$9</f>
        <v>3630.15092419875</v>
      </c>
    </row>
    <row r="6756" customFormat="false" ht="15" hidden="false" customHeight="false" outlineLevel="0" collapsed="false">
      <c r="A6756" s="0" t="n">
        <v>6752</v>
      </c>
      <c r="B6756" s="0" t="n">
        <v>10</v>
      </c>
      <c r="C6756" s="19" t="n">
        <v>0.2778</v>
      </c>
      <c r="D6756" s="19" t="n">
        <v>1</v>
      </c>
      <c r="E6756" s="20" t="n">
        <f aca="false">Parametres!$B$5*C6756</f>
        <v>83.34</v>
      </c>
      <c r="F6756" s="20" t="n">
        <f aca="false">Parametres!$B$6*D6756</f>
        <v>200</v>
      </c>
      <c r="G6756" s="20" t="n">
        <f aca="false">E6756+F6756</f>
        <v>283.34</v>
      </c>
      <c r="H6756" s="20" t="n">
        <f aca="false">IF(G6756&lt;Parametres!$B$8*Parametres!$B$7,0,MIN(G6756,Parametres!$B$7))</f>
        <v>250</v>
      </c>
      <c r="I6756" s="20" t="n">
        <f aca="false">G6756-H6756</f>
        <v>33.34</v>
      </c>
      <c r="J6756" s="21" t="n">
        <f aca="false">H6756*1000/Parametres!$B$9</f>
        <v>4239.44378497541</v>
      </c>
    </row>
    <row r="6757" customFormat="false" ht="15" hidden="false" customHeight="false" outlineLevel="0" collapsed="false">
      <c r="A6757" s="0" t="n">
        <v>6753</v>
      </c>
      <c r="B6757" s="0" t="n">
        <v>10</v>
      </c>
      <c r="C6757" s="19" t="n">
        <v>0.4878</v>
      </c>
      <c r="D6757" s="19" t="n">
        <v>1</v>
      </c>
      <c r="E6757" s="20" t="n">
        <f aca="false">Parametres!$B$5*C6757</f>
        <v>146.34</v>
      </c>
      <c r="F6757" s="20" t="n">
        <f aca="false">Parametres!$B$6*D6757</f>
        <v>200</v>
      </c>
      <c r="G6757" s="20" t="n">
        <f aca="false">E6757+F6757</f>
        <v>346.34</v>
      </c>
      <c r="H6757" s="20" t="n">
        <f aca="false">IF(G6757&lt;Parametres!$B$8*Parametres!$B$7,0,MIN(G6757,Parametres!$B$7))</f>
        <v>250</v>
      </c>
      <c r="I6757" s="20" t="n">
        <f aca="false">G6757-H6757</f>
        <v>96.34</v>
      </c>
      <c r="J6757" s="21" t="n">
        <f aca="false">H6757*1000/Parametres!$B$9</f>
        <v>4239.44378497541</v>
      </c>
    </row>
    <row r="6758" customFormat="false" ht="15" hidden="false" customHeight="false" outlineLevel="0" collapsed="false">
      <c r="A6758" s="0" t="n">
        <v>6754</v>
      </c>
      <c r="B6758" s="0" t="n">
        <v>10</v>
      </c>
      <c r="C6758" s="19" t="n">
        <v>0.7013</v>
      </c>
      <c r="D6758" s="19" t="n">
        <v>1</v>
      </c>
      <c r="E6758" s="20" t="n">
        <f aca="false">Parametres!$B$5*C6758</f>
        <v>210.39</v>
      </c>
      <c r="F6758" s="20" t="n">
        <f aca="false">Parametres!$B$6*D6758</f>
        <v>200</v>
      </c>
      <c r="G6758" s="20" t="n">
        <f aca="false">E6758+F6758</f>
        <v>410.39</v>
      </c>
      <c r="H6758" s="20" t="n">
        <f aca="false">IF(G6758&lt;Parametres!$B$8*Parametres!$B$7,0,MIN(G6758,Parametres!$B$7))</f>
        <v>250</v>
      </c>
      <c r="I6758" s="20" t="n">
        <f aca="false">G6758-H6758</f>
        <v>160.39</v>
      </c>
      <c r="J6758" s="21" t="n">
        <f aca="false">H6758*1000/Parametres!$B$9</f>
        <v>4239.44378497541</v>
      </c>
    </row>
    <row r="6759" customFormat="false" ht="15" hidden="false" customHeight="false" outlineLevel="0" collapsed="false">
      <c r="A6759" s="0" t="n">
        <v>6755</v>
      </c>
      <c r="B6759" s="0" t="n">
        <v>10</v>
      </c>
      <c r="C6759" s="19" t="n">
        <v>0.9148</v>
      </c>
      <c r="D6759" s="19" t="n">
        <v>1</v>
      </c>
      <c r="E6759" s="20" t="n">
        <f aca="false">Parametres!$B$5*C6759</f>
        <v>274.44</v>
      </c>
      <c r="F6759" s="20" t="n">
        <f aca="false">Parametres!$B$6*D6759</f>
        <v>200</v>
      </c>
      <c r="G6759" s="20" t="n">
        <f aca="false">E6759+F6759</f>
        <v>474.44</v>
      </c>
      <c r="H6759" s="20" t="n">
        <f aca="false">IF(G6759&lt;Parametres!$B$8*Parametres!$B$7,0,MIN(G6759,Parametres!$B$7))</f>
        <v>250</v>
      </c>
      <c r="I6759" s="20" t="n">
        <f aca="false">G6759-H6759</f>
        <v>224.44</v>
      </c>
      <c r="J6759" s="21" t="n">
        <f aca="false">H6759*1000/Parametres!$B$9</f>
        <v>4239.44378497541</v>
      </c>
    </row>
    <row r="6760" customFormat="false" ht="15" hidden="false" customHeight="false" outlineLevel="0" collapsed="false">
      <c r="A6760" s="0" t="n">
        <v>6756</v>
      </c>
      <c r="B6760" s="0" t="n">
        <v>10</v>
      </c>
      <c r="C6760" s="19" t="n">
        <v>0.884</v>
      </c>
      <c r="D6760" s="19" t="n">
        <v>1</v>
      </c>
      <c r="E6760" s="20" t="n">
        <f aca="false">Parametres!$B$5*C6760</f>
        <v>265.2</v>
      </c>
      <c r="F6760" s="20" t="n">
        <f aca="false">Parametres!$B$6*D6760</f>
        <v>200</v>
      </c>
      <c r="G6760" s="20" t="n">
        <f aca="false">E6760+F6760</f>
        <v>465.2</v>
      </c>
      <c r="H6760" s="20" t="n">
        <f aca="false">IF(G6760&lt;Parametres!$B$8*Parametres!$B$7,0,MIN(G6760,Parametres!$B$7))</f>
        <v>250</v>
      </c>
      <c r="I6760" s="20" t="n">
        <f aca="false">G6760-H6760</f>
        <v>215.2</v>
      </c>
      <c r="J6760" s="21" t="n">
        <f aca="false">H6760*1000/Parametres!$B$9</f>
        <v>4239.44378497541</v>
      </c>
    </row>
    <row r="6761" customFormat="false" ht="15" hidden="false" customHeight="false" outlineLevel="0" collapsed="false">
      <c r="A6761" s="0" t="n">
        <v>6757</v>
      </c>
      <c r="B6761" s="0" t="n">
        <v>10</v>
      </c>
      <c r="C6761" s="19" t="n">
        <v>0.9634</v>
      </c>
      <c r="D6761" s="19" t="n">
        <v>1</v>
      </c>
      <c r="E6761" s="20" t="n">
        <f aca="false">Parametres!$B$5*C6761</f>
        <v>289.02</v>
      </c>
      <c r="F6761" s="20" t="n">
        <f aca="false">Parametres!$B$6*D6761</f>
        <v>200</v>
      </c>
      <c r="G6761" s="20" t="n">
        <f aca="false">E6761+F6761</f>
        <v>489.02</v>
      </c>
      <c r="H6761" s="20" t="n">
        <f aca="false">IF(G6761&lt;Parametres!$B$8*Parametres!$B$7,0,MIN(G6761,Parametres!$B$7))</f>
        <v>250</v>
      </c>
      <c r="I6761" s="20" t="n">
        <f aca="false">G6761-H6761</f>
        <v>239.02</v>
      </c>
      <c r="J6761" s="21" t="n">
        <f aca="false">H6761*1000/Parametres!$B$9</f>
        <v>4239.44378497541</v>
      </c>
    </row>
    <row r="6762" customFormat="false" ht="15" hidden="false" customHeight="false" outlineLevel="0" collapsed="false">
      <c r="A6762" s="0" t="n">
        <v>6758</v>
      </c>
      <c r="B6762" s="0" t="n">
        <v>10</v>
      </c>
      <c r="C6762" s="19" t="n">
        <v>0.8685</v>
      </c>
      <c r="D6762" s="19" t="n">
        <v>1</v>
      </c>
      <c r="E6762" s="20" t="n">
        <f aca="false">Parametres!$B$5*C6762</f>
        <v>260.55</v>
      </c>
      <c r="F6762" s="20" t="n">
        <f aca="false">Parametres!$B$6*D6762</f>
        <v>200</v>
      </c>
      <c r="G6762" s="20" t="n">
        <f aca="false">E6762+F6762</f>
        <v>460.55</v>
      </c>
      <c r="H6762" s="20" t="n">
        <f aca="false">IF(G6762&lt;Parametres!$B$8*Parametres!$B$7,0,MIN(G6762,Parametres!$B$7))</f>
        <v>250</v>
      </c>
      <c r="I6762" s="20" t="n">
        <f aca="false">G6762-H6762</f>
        <v>210.55</v>
      </c>
      <c r="J6762" s="21" t="n">
        <f aca="false">H6762*1000/Parametres!$B$9</f>
        <v>4239.44378497541</v>
      </c>
    </row>
    <row r="6763" customFormat="false" ht="15" hidden="false" customHeight="false" outlineLevel="0" collapsed="false">
      <c r="A6763" s="0" t="n">
        <v>6759</v>
      </c>
      <c r="B6763" s="0" t="n">
        <v>10</v>
      </c>
      <c r="C6763" s="19" t="n">
        <v>0.7134</v>
      </c>
      <c r="D6763" s="19" t="n">
        <v>1</v>
      </c>
      <c r="E6763" s="20" t="n">
        <f aca="false">Parametres!$B$5*C6763</f>
        <v>214.02</v>
      </c>
      <c r="F6763" s="20" t="n">
        <f aca="false">Parametres!$B$6*D6763</f>
        <v>200</v>
      </c>
      <c r="G6763" s="20" t="n">
        <f aca="false">E6763+F6763</f>
        <v>414.02</v>
      </c>
      <c r="H6763" s="20" t="n">
        <f aca="false">IF(G6763&lt;Parametres!$B$8*Parametres!$B$7,0,MIN(G6763,Parametres!$B$7))</f>
        <v>250</v>
      </c>
      <c r="I6763" s="20" t="n">
        <f aca="false">G6763-H6763</f>
        <v>164.02</v>
      </c>
      <c r="J6763" s="21" t="n">
        <f aca="false">H6763*1000/Parametres!$B$9</f>
        <v>4239.44378497541</v>
      </c>
    </row>
    <row r="6764" customFormat="false" ht="15" hidden="false" customHeight="false" outlineLevel="0" collapsed="false">
      <c r="A6764" s="0" t="n">
        <v>6760</v>
      </c>
      <c r="B6764" s="0" t="n">
        <v>10</v>
      </c>
      <c r="C6764" s="19" t="n">
        <v>0.501</v>
      </c>
      <c r="D6764" s="19" t="n">
        <v>1</v>
      </c>
      <c r="E6764" s="20" t="n">
        <f aca="false">Parametres!$B$5*C6764</f>
        <v>150.3</v>
      </c>
      <c r="F6764" s="20" t="n">
        <f aca="false">Parametres!$B$6*D6764</f>
        <v>200</v>
      </c>
      <c r="G6764" s="20" t="n">
        <f aca="false">E6764+F6764</f>
        <v>350.3</v>
      </c>
      <c r="H6764" s="20" t="n">
        <f aca="false">IF(G6764&lt;Parametres!$B$8*Parametres!$B$7,0,MIN(G6764,Parametres!$B$7))</f>
        <v>250</v>
      </c>
      <c r="I6764" s="20" t="n">
        <f aca="false">G6764-H6764</f>
        <v>100.3</v>
      </c>
      <c r="J6764" s="21" t="n">
        <f aca="false">H6764*1000/Parametres!$B$9</f>
        <v>4239.44378497541</v>
      </c>
    </row>
    <row r="6765" customFormat="false" ht="15" hidden="false" customHeight="false" outlineLevel="0" collapsed="false">
      <c r="A6765" s="0" t="n">
        <v>6761</v>
      </c>
      <c r="B6765" s="0" t="n">
        <v>10</v>
      </c>
      <c r="C6765" s="19" t="n">
        <v>0.2793</v>
      </c>
      <c r="D6765" s="19" t="n">
        <v>1</v>
      </c>
      <c r="E6765" s="20" t="n">
        <f aca="false">Parametres!$B$5*C6765</f>
        <v>83.79</v>
      </c>
      <c r="F6765" s="20" t="n">
        <f aca="false">Parametres!$B$6*D6765</f>
        <v>200</v>
      </c>
      <c r="G6765" s="20" t="n">
        <f aca="false">E6765+F6765</f>
        <v>283.79</v>
      </c>
      <c r="H6765" s="20" t="n">
        <f aca="false">IF(G6765&lt;Parametres!$B$8*Parametres!$B$7,0,MIN(G6765,Parametres!$B$7))</f>
        <v>250</v>
      </c>
      <c r="I6765" s="20" t="n">
        <f aca="false">G6765-H6765</f>
        <v>33.79</v>
      </c>
      <c r="J6765" s="21" t="n">
        <f aca="false">H6765*1000/Parametres!$B$9</f>
        <v>4239.44378497541</v>
      </c>
    </row>
    <row r="6766" customFormat="false" ht="15" hidden="false" customHeight="false" outlineLevel="0" collapsed="false">
      <c r="A6766" s="0" t="n">
        <v>6762</v>
      </c>
      <c r="B6766" s="0" t="n">
        <v>10</v>
      </c>
      <c r="C6766" s="19" t="n">
        <v>0.0426</v>
      </c>
      <c r="D6766" s="19" t="n">
        <v>1</v>
      </c>
      <c r="E6766" s="20" t="n">
        <f aca="false">Parametres!$B$5*C6766</f>
        <v>12.78</v>
      </c>
      <c r="F6766" s="20" t="n">
        <f aca="false">Parametres!$B$6*D6766</f>
        <v>200</v>
      </c>
      <c r="G6766" s="20" t="n">
        <f aca="false">E6766+F6766</f>
        <v>212.78</v>
      </c>
      <c r="H6766" s="20" t="n">
        <f aca="false">IF(G6766&lt;Parametres!$B$8*Parametres!$B$7,0,MIN(G6766,Parametres!$B$7))</f>
        <v>212.78</v>
      </c>
      <c r="I6766" s="20" t="n">
        <f aca="false">G6766-H6766</f>
        <v>0</v>
      </c>
      <c r="J6766" s="21" t="n">
        <f aca="false">H6766*1000/Parametres!$B$9</f>
        <v>3608.27539426827</v>
      </c>
    </row>
    <row r="6767" customFormat="false" ht="15" hidden="false" customHeight="false" outlineLevel="0" collapsed="false">
      <c r="A6767" s="0" t="n">
        <v>6763</v>
      </c>
      <c r="B6767" s="0" t="n">
        <v>10</v>
      </c>
      <c r="C6767" s="19" t="n">
        <v>0</v>
      </c>
      <c r="D6767" s="19" t="n">
        <v>1</v>
      </c>
      <c r="E6767" s="20" t="n">
        <f aca="false">Parametres!$B$5*C6767</f>
        <v>0</v>
      </c>
      <c r="F6767" s="20" t="n">
        <f aca="false">Parametres!$B$6*D6767</f>
        <v>200</v>
      </c>
      <c r="G6767" s="20" t="n">
        <f aca="false">E6767+F6767</f>
        <v>200</v>
      </c>
      <c r="H6767" s="20" t="n">
        <f aca="false">IF(G6767&lt;Parametres!$B$8*Parametres!$B$7,0,MIN(G6767,Parametres!$B$7))</f>
        <v>200</v>
      </c>
      <c r="I6767" s="20" t="n">
        <f aca="false">G6767-H6767</f>
        <v>0</v>
      </c>
      <c r="J6767" s="21" t="n">
        <f aca="false">H6767*1000/Parametres!$B$9</f>
        <v>3391.55502798033</v>
      </c>
    </row>
    <row r="6768" customFormat="false" ht="15" hidden="false" customHeight="false" outlineLevel="0" collapsed="false">
      <c r="A6768" s="0" t="n">
        <v>6764</v>
      </c>
      <c r="B6768" s="0" t="n">
        <v>10</v>
      </c>
      <c r="C6768" s="19" t="n">
        <v>0</v>
      </c>
      <c r="D6768" s="19" t="n">
        <v>1</v>
      </c>
      <c r="E6768" s="20" t="n">
        <f aca="false">Parametres!$B$5*C6768</f>
        <v>0</v>
      </c>
      <c r="F6768" s="20" t="n">
        <f aca="false">Parametres!$B$6*D6768</f>
        <v>200</v>
      </c>
      <c r="G6768" s="20" t="n">
        <f aca="false">E6768+F6768</f>
        <v>200</v>
      </c>
      <c r="H6768" s="20" t="n">
        <f aca="false">IF(G6768&lt;Parametres!$B$8*Parametres!$B$7,0,MIN(G6768,Parametres!$B$7))</f>
        <v>200</v>
      </c>
      <c r="I6768" s="20" t="n">
        <f aca="false">G6768-H6768</f>
        <v>0</v>
      </c>
      <c r="J6768" s="21" t="n">
        <f aca="false">H6768*1000/Parametres!$B$9</f>
        <v>3391.55502798033</v>
      </c>
    </row>
    <row r="6769" customFormat="false" ht="15" hidden="false" customHeight="false" outlineLevel="0" collapsed="false">
      <c r="A6769" s="0" t="n">
        <v>6765</v>
      </c>
      <c r="B6769" s="0" t="n">
        <v>10</v>
      </c>
      <c r="C6769" s="19" t="n">
        <v>0</v>
      </c>
      <c r="D6769" s="19" t="n">
        <v>1</v>
      </c>
      <c r="E6769" s="20" t="n">
        <f aca="false">Parametres!$B$5*C6769</f>
        <v>0</v>
      </c>
      <c r="F6769" s="20" t="n">
        <f aca="false">Parametres!$B$6*D6769</f>
        <v>200</v>
      </c>
      <c r="G6769" s="20" t="n">
        <f aca="false">E6769+F6769</f>
        <v>200</v>
      </c>
      <c r="H6769" s="20" t="n">
        <f aca="false">IF(G6769&lt;Parametres!$B$8*Parametres!$B$7,0,MIN(G6769,Parametres!$B$7))</f>
        <v>200</v>
      </c>
      <c r="I6769" s="20" t="n">
        <f aca="false">G6769-H6769</f>
        <v>0</v>
      </c>
      <c r="J6769" s="21" t="n">
        <f aca="false">H6769*1000/Parametres!$B$9</f>
        <v>3391.55502798033</v>
      </c>
    </row>
    <row r="6770" customFormat="false" ht="15" hidden="false" customHeight="false" outlineLevel="0" collapsed="false">
      <c r="A6770" s="0" t="n">
        <v>6766</v>
      </c>
      <c r="B6770" s="0" t="n">
        <v>10</v>
      </c>
      <c r="C6770" s="19" t="n">
        <v>0</v>
      </c>
      <c r="D6770" s="19" t="n">
        <v>1</v>
      </c>
      <c r="E6770" s="20" t="n">
        <f aca="false">Parametres!$B$5*C6770</f>
        <v>0</v>
      </c>
      <c r="F6770" s="20" t="n">
        <f aca="false">Parametres!$B$6*D6770</f>
        <v>200</v>
      </c>
      <c r="G6770" s="20" t="n">
        <f aca="false">E6770+F6770</f>
        <v>200</v>
      </c>
      <c r="H6770" s="20" t="n">
        <f aca="false">IF(G6770&lt;Parametres!$B$8*Parametres!$B$7,0,MIN(G6770,Parametres!$B$7))</f>
        <v>200</v>
      </c>
      <c r="I6770" s="20" t="n">
        <f aca="false">G6770-H6770</f>
        <v>0</v>
      </c>
      <c r="J6770" s="21" t="n">
        <f aca="false">H6770*1000/Parametres!$B$9</f>
        <v>3391.55502798033</v>
      </c>
    </row>
    <row r="6771" customFormat="false" ht="15" hidden="false" customHeight="false" outlineLevel="0" collapsed="false">
      <c r="A6771" s="0" t="n">
        <v>6767</v>
      </c>
      <c r="B6771" s="0" t="n">
        <v>10</v>
      </c>
      <c r="C6771" s="19" t="n">
        <v>0</v>
      </c>
      <c r="D6771" s="19" t="n">
        <v>1</v>
      </c>
      <c r="E6771" s="20" t="n">
        <f aca="false">Parametres!$B$5*C6771</f>
        <v>0</v>
      </c>
      <c r="F6771" s="20" t="n">
        <f aca="false">Parametres!$B$6*D6771</f>
        <v>200</v>
      </c>
      <c r="G6771" s="20" t="n">
        <f aca="false">E6771+F6771</f>
        <v>200</v>
      </c>
      <c r="H6771" s="20" t="n">
        <f aca="false">IF(G6771&lt;Parametres!$B$8*Parametres!$B$7,0,MIN(G6771,Parametres!$B$7))</f>
        <v>200</v>
      </c>
      <c r="I6771" s="20" t="n">
        <f aca="false">G6771-H6771</f>
        <v>0</v>
      </c>
      <c r="J6771" s="21" t="n">
        <f aca="false">H6771*1000/Parametres!$B$9</f>
        <v>3391.55502798033</v>
      </c>
    </row>
    <row r="6772" customFormat="false" ht="15" hidden="false" customHeight="false" outlineLevel="0" collapsed="false">
      <c r="A6772" s="0" t="n">
        <v>6768</v>
      </c>
      <c r="B6772" s="0" t="n">
        <v>10</v>
      </c>
      <c r="C6772" s="19" t="n">
        <v>0</v>
      </c>
      <c r="D6772" s="19" t="n">
        <v>1</v>
      </c>
      <c r="E6772" s="20" t="n">
        <f aca="false">Parametres!$B$5*C6772</f>
        <v>0</v>
      </c>
      <c r="F6772" s="20" t="n">
        <f aca="false">Parametres!$B$6*D6772</f>
        <v>200</v>
      </c>
      <c r="G6772" s="20" t="n">
        <f aca="false">E6772+F6772</f>
        <v>200</v>
      </c>
      <c r="H6772" s="20" t="n">
        <f aca="false">IF(G6772&lt;Parametres!$B$8*Parametres!$B$7,0,MIN(G6772,Parametres!$B$7))</f>
        <v>200</v>
      </c>
      <c r="I6772" s="20" t="n">
        <f aca="false">G6772-H6772</f>
        <v>0</v>
      </c>
      <c r="J6772" s="21" t="n">
        <f aca="false">H6772*1000/Parametres!$B$9</f>
        <v>3391.55502798033</v>
      </c>
    </row>
    <row r="6773" customFormat="false" ht="15" hidden="false" customHeight="false" outlineLevel="0" collapsed="false">
      <c r="A6773" s="0" t="n">
        <v>6769</v>
      </c>
      <c r="B6773" s="0" t="n">
        <v>10</v>
      </c>
      <c r="C6773" s="19" t="n">
        <v>0</v>
      </c>
      <c r="D6773" s="19" t="n">
        <v>1</v>
      </c>
      <c r="E6773" s="20" t="n">
        <f aca="false">Parametres!$B$5*C6773</f>
        <v>0</v>
      </c>
      <c r="F6773" s="20" t="n">
        <f aca="false">Parametres!$B$6*D6773</f>
        <v>200</v>
      </c>
      <c r="G6773" s="20" t="n">
        <f aca="false">E6773+F6773</f>
        <v>200</v>
      </c>
      <c r="H6773" s="20" t="n">
        <f aca="false">IF(G6773&lt;Parametres!$B$8*Parametres!$B$7,0,MIN(G6773,Parametres!$B$7))</f>
        <v>200</v>
      </c>
      <c r="I6773" s="20" t="n">
        <f aca="false">G6773-H6773</f>
        <v>0</v>
      </c>
      <c r="J6773" s="21" t="n">
        <f aca="false">H6773*1000/Parametres!$B$9</f>
        <v>3391.55502798033</v>
      </c>
    </row>
    <row r="6774" customFormat="false" ht="15" hidden="false" customHeight="false" outlineLevel="0" collapsed="false">
      <c r="A6774" s="0" t="n">
        <v>6770</v>
      </c>
      <c r="B6774" s="0" t="n">
        <v>10</v>
      </c>
      <c r="C6774" s="19" t="n">
        <v>0</v>
      </c>
      <c r="D6774" s="19" t="n">
        <v>1</v>
      </c>
      <c r="E6774" s="20" t="n">
        <f aca="false">Parametres!$B$5*C6774</f>
        <v>0</v>
      </c>
      <c r="F6774" s="20" t="n">
        <f aca="false">Parametres!$B$6*D6774</f>
        <v>200</v>
      </c>
      <c r="G6774" s="20" t="n">
        <f aca="false">E6774+F6774</f>
        <v>200</v>
      </c>
      <c r="H6774" s="20" t="n">
        <f aca="false">IF(G6774&lt;Parametres!$B$8*Parametres!$B$7,0,MIN(G6774,Parametres!$B$7))</f>
        <v>200</v>
      </c>
      <c r="I6774" s="20" t="n">
        <f aca="false">G6774-H6774</f>
        <v>0</v>
      </c>
      <c r="J6774" s="21" t="n">
        <f aca="false">H6774*1000/Parametres!$B$9</f>
        <v>3391.55502798033</v>
      </c>
    </row>
    <row r="6775" customFormat="false" ht="15" hidden="false" customHeight="false" outlineLevel="0" collapsed="false">
      <c r="A6775" s="0" t="n">
        <v>6771</v>
      </c>
      <c r="B6775" s="0" t="n">
        <v>10</v>
      </c>
      <c r="C6775" s="19" t="n">
        <v>0</v>
      </c>
      <c r="D6775" s="19" t="n">
        <v>1</v>
      </c>
      <c r="E6775" s="20" t="n">
        <f aca="false">Parametres!$B$5*C6775</f>
        <v>0</v>
      </c>
      <c r="F6775" s="20" t="n">
        <f aca="false">Parametres!$B$6*D6775</f>
        <v>200</v>
      </c>
      <c r="G6775" s="20" t="n">
        <f aca="false">E6775+F6775</f>
        <v>200</v>
      </c>
      <c r="H6775" s="20" t="n">
        <f aca="false">IF(G6775&lt;Parametres!$B$8*Parametres!$B$7,0,MIN(G6775,Parametres!$B$7))</f>
        <v>200</v>
      </c>
      <c r="I6775" s="20" t="n">
        <f aca="false">G6775-H6775</f>
        <v>0</v>
      </c>
      <c r="J6775" s="21" t="n">
        <f aca="false">H6775*1000/Parametres!$B$9</f>
        <v>3391.55502798033</v>
      </c>
    </row>
    <row r="6776" customFormat="false" ht="15" hidden="false" customHeight="false" outlineLevel="0" collapsed="false">
      <c r="A6776" s="0" t="n">
        <v>6772</v>
      </c>
      <c r="B6776" s="0" t="n">
        <v>10</v>
      </c>
      <c r="C6776" s="19" t="n">
        <v>0</v>
      </c>
      <c r="D6776" s="19" t="n">
        <v>1</v>
      </c>
      <c r="E6776" s="20" t="n">
        <f aca="false">Parametres!$B$5*C6776</f>
        <v>0</v>
      </c>
      <c r="F6776" s="20" t="n">
        <f aca="false">Parametres!$B$6*D6776</f>
        <v>200</v>
      </c>
      <c r="G6776" s="20" t="n">
        <f aca="false">E6776+F6776</f>
        <v>200</v>
      </c>
      <c r="H6776" s="20" t="n">
        <f aca="false">IF(G6776&lt;Parametres!$B$8*Parametres!$B$7,0,MIN(G6776,Parametres!$B$7))</f>
        <v>200</v>
      </c>
      <c r="I6776" s="20" t="n">
        <f aca="false">G6776-H6776</f>
        <v>0</v>
      </c>
      <c r="J6776" s="21" t="n">
        <f aca="false">H6776*1000/Parametres!$B$9</f>
        <v>3391.55502798033</v>
      </c>
    </row>
    <row r="6777" customFormat="false" ht="15" hidden="false" customHeight="false" outlineLevel="0" collapsed="false">
      <c r="A6777" s="0" t="n">
        <v>6773</v>
      </c>
      <c r="B6777" s="0" t="n">
        <v>10</v>
      </c>
      <c r="C6777" s="19" t="n">
        <v>0</v>
      </c>
      <c r="D6777" s="19" t="n">
        <v>1</v>
      </c>
      <c r="E6777" s="20" t="n">
        <f aca="false">Parametres!$B$5*C6777</f>
        <v>0</v>
      </c>
      <c r="F6777" s="20" t="n">
        <f aca="false">Parametres!$B$6*D6777</f>
        <v>200</v>
      </c>
      <c r="G6777" s="20" t="n">
        <f aca="false">E6777+F6777</f>
        <v>200</v>
      </c>
      <c r="H6777" s="20" t="n">
        <f aca="false">IF(G6777&lt;Parametres!$B$8*Parametres!$B$7,0,MIN(G6777,Parametres!$B$7))</f>
        <v>200</v>
      </c>
      <c r="I6777" s="20" t="n">
        <f aca="false">G6777-H6777</f>
        <v>0</v>
      </c>
      <c r="J6777" s="21" t="n">
        <f aca="false">H6777*1000/Parametres!$B$9</f>
        <v>3391.55502798033</v>
      </c>
    </row>
    <row r="6778" customFormat="false" ht="15" hidden="false" customHeight="false" outlineLevel="0" collapsed="false">
      <c r="A6778" s="0" t="n">
        <v>6774</v>
      </c>
      <c r="B6778" s="0" t="n">
        <v>10</v>
      </c>
      <c r="C6778" s="19" t="n">
        <v>0</v>
      </c>
      <c r="D6778" s="19" t="n">
        <v>1</v>
      </c>
      <c r="E6778" s="20" t="n">
        <f aca="false">Parametres!$B$5*C6778</f>
        <v>0</v>
      </c>
      <c r="F6778" s="20" t="n">
        <f aca="false">Parametres!$B$6*D6778</f>
        <v>200</v>
      </c>
      <c r="G6778" s="20" t="n">
        <f aca="false">E6778+F6778</f>
        <v>200</v>
      </c>
      <c r="H6778" s="20" t="n">
        <f aca="false">IF(G6778&lt;Parametres!$B$8*Parametres!$B$7,0,MIN(G6778,Parametres!$B$7))</f>
        <v>200</v>
      </c>
      <c r="I6778" s="20" t="n">
        <f aca="false">G6778-H6778</f>
        <v>0</v>
      </c>
      <c r="J6778" s="21" t="n">
        <f aca="false">H6778*1000/Parametres!$B$9</f>
        <v>3391.55502798033</v>
      </c>
    </row>
    <row r="6779" customFormat="false" ht="15" hidden="false" customHeight="false" outlineLevel="0" collapsed="false">
      <c r="A6779" s="0" t="n">
        <v>6775</v>
      </c>
      <c r="B6779" s="0" t="n">
        <v>10</v>
      </c>
      <c r="C6779" s="19" t="n">
        <v>0.0437</v>
      </c>
      <c r="D6779" s="19" t="n">
        <v>1</v>
      </c>
      <c r="E6779" s="20" t="n">
        <f aca="false">Parametres!$B$5*C6779</f>
        <v>13.11</v>
      </c>
      <c r="F6779" s="20" t="n">
        <f aca="false">Parametres!$B$6*D6779</f>
        <v>200</v>
      </c>
      <c r="G6779" s="20" t="n">
        <f aca="false">E6779+F6779</f>
        <v>213.11</v>
      </c>
      <c r="H6779" s="20" t="n">
        <f aca="false">IF(G6779&lt;Parametres!$B$8*Parametres!$B$7,0,MIN(G6779,Parametres!$B$7))</f>
        <v>213.11</v>
      </c>
      <c r="I6779" s="20" t="n">
        <f aca="false">G6779-H6779</f>
        <v>0</v>
      </c>
      <c r="J6779" s="21" t="n">
        <f aca="false">H6779*1000/Parametres!$B$9</f>
        <v>3613.87146006444</v>
      </c>
    </row>
    <row r="6780" customFormat="false" ht="15" hidden="false" customHeight="false" outlineLevel="0" collapsed="false">
      <c r="A6780" s="0" t="n">
        <v>6776</v>
      </c>
      <c r="B6780" s="0" t="n">
        <v>10</v>
      </c>
      <c r="C6780" s="19" t="n">
        <v>0.2728</v>
      </c>
      <c r="D6780" s="19" t="n">
        <v>1</v>
      </c>
      <c r="E6780" s="20" t="n">
        <f aca="false">Parametres!$B$5*C6780</f>
        <v>81.84</v>
      </c>
      <c r="F6780" s="20" t="n">
        <f aca="false">Parametres!$B$6*D6780</f>
        <v>200</v>
      </c>
      <c r="G6780" s="20" t="n">
        <f aca="false">E6780+F6780</f>
        <v>281.84</v>
      </c>
      <c r="H6780" s="20" t="n">
        <f aca="false">IF(G6780&lt;Parametres!$B$8*Parametres!$B$7,0,MIN(G6780,Parametres!$B$7))</f>
        <v>250</v>
      </c>
      <c r="I6780" s="20" t="n">
        <f aca="false">G6780-H6780</f>
        <v>31.84</v>
      </c>
      <c r="J6780" s="21" t="n">
        <f aca="false">H6780*1000/Parametres!$B$9</f>
        <v>4239.44378497541</v>
      </c>
    </row>
    <row r="6781" customFormat="false" ht="15" hidden="false" customHeight="false" outlineLevel="0" collapsed="false">
      <c r="A6781" s="0" t="n">
        <v>6777</v>
      </c>
      <c r="B6781" s="0" t="n">
        <v>10</v>
      </c>
      <c r="C6781" s="19" t="n">
        <v>0.4992</v>
      </c>
      <c r="D6781" s="19" t="n">
        <v>1</v>
      </c>
      <c r="E6781" s="20" t="n">
        <f aca="false">Parametres!$B$5*C6781</f>
        <v>149.76</v>
      </c>
      <c r="F6781" s="20" t="n">
        <f aca="false">Parametres!$B$6*D6781</f>
        <v>200</v>
      </c>
      <c r="G6781" s="20" t="n">
        <f aca="false">E6781+F6781</f>
        <v>349.76</v>
      </c>
      <c r="H6781" s="20" t="n">
        <f aca="false">IF(G6781&lt;Parametres!$B$8*Parametres!$B$7,0,MIN(G6781,Parametres!$B$7))</f>
        <v>250</v>
      </c>
      <c r="I6781" s="20" t="n">
        <f aca="false">G6781-H6781</f>
        <v>99.76</v>
      </c>
      <c r="J6781" s="21" t="n">
        <f aca="false">H6781*1000/Parametres!$B$9</f>
        <v>4239.44378497541</v>
      </c>
    </row>
    <row r="6782" customFormat="false" ht="15" hidden="false" customHeight="false" outlineLevel="0" collapsed="false">
      <c r="A6782" s="0" t="n">
        <v>6778</v>
      </c>
      <c r="B6782" s="0" t="n">
        <v>10</v>
      </c>
      <c r="C6782" s="19" t="n">
        <v>0.6904</v>
      </c>
      <c r="D6782" s="19" t="n">
        <v>1</v>
      </c>
      <c r="E6782" s="20" t="n">
        <f aca="false">Parametres!$B$5*C6782</f>
        <v>207.12</v>
      </c>
      <c r="F6782" s="20" t="n">
        <f aca="false">Parametres!$B$6*D6782</f>
        <v>200</v>
      </c>
      <c r="G6782" s="20" t="n">
        <f aca="false">E6782+F6782</f>
        <v>407.12</v>
      </c>
      <c r="H6782" s="20" t="n">
        <f aca="false">IF(G6782&lt;Parametres!$B$8*Parametres!$B$7,0,MIN(G6782,Parametres!$B$7))</f>
        <v>250</v>
      </c>
      <c r="I6782" s="20" t="n">
        <f aca="false">G6782-H6782</f>
        <v>157.12</v>
      </c>
      <c r="J6782" s="21" t="n">
        <f aca="false">H6782*1000/Parametres!$B$9</f>
        <v>4239.44378497541</v>
      </c>
    </row>
    <row r="6783" customFormat="false" ht="15" hidden="false" customHeight="false" outlineLevel="0" collapsed="false">
      <c r="A6783" s="0" t="n">
        <v>6779</v>
      </c>
      <c r="B6783" s="0" t="n">
        <v>10</v>
      </c>
      <c r="C6783" s="19" t="n">
        <v>0.814</v>
      </c>
      <c r="D6783" s="19" t="n">
        <v>1</v>
      </c>
      <c r="E6783" s="20" t="n">
        <f aca="false">Parametres!$B$5*C6783</f>
        <v>244.2</v>
      </c>
      <c r="F6783" s="20" t="n">
        <f aca="false">Parametres!$B$6*D6783</f>
        <v>200</v>
      </c>
      <c r="G6783" s="20" t="n">
        <f aca="false">E6783+F6783</f>
        <v>444.2</v>
      </c>
      <c r="H6783" s="20" t="n">
        <f aca="false">IF(G6783&lt;Parametres!$B$8*Parametres!$B$7,0,MIN(G6783,Parametres!$B$7))</f>
        <v>250</v>
      </c>
      <c r="I6783" s="20" t="n">
        <f aca="false">G6783-H6783</f>
        <v>194.2</v>
      </c>
      <c r="J6783" s="21" t="n">
        <f aca="false">H6783*1000/Parametres!$B$9</f>
        <v>4239.44378497541</v>
      </c>
    </row>
    <row r="6784" customFormat="false" ht="15" hidden="false" customHeight="false" outlineLevel="0" collapsed="false">
      <c r="A6784" s="0" t="n">
        <v>6780</v>
      </c>
      <c r="B6784" s="0" t="n">
        <v>10</v>
      </c>
      <c r="C6784" s="19" t="n">
        <v>0.8534</v>
      </c>
      <c r="D6784" s="19" t="n">
        <v>1</v>
      </c>
      <c r="E6784" s="20" t="n">
        <f aca="false">Parametres!$B$5*C6784</f>
        <v>256.02</v>
      </c>
      <c r="F6784" s="20" t="n">
        <f aca="false">Parametres!$B$6*D6784</f>
        <v>200</v>
      </c>
      <c r="G6784" s="20" t="n">
        <f aca="false">E6784+F6784</f>
        <v>456.02</v>
      </c>
      <c r="H6784" s="20" t="n">
        <f aca="false">IF(G6784&lt;Parametres!$B$8*Parametres!$B$7,0,MIN(G6784,Parametres!$B$7))</f>
        <v>250</v>
      </c>
      <c r="I6784" s="20" t="n">
        <f aca="false">G6784-H6784</f>
        <v>206.02</v>
      </c>
      <c r="J6784" s="21" t="n">
        <f aca="false">H6784*1000/Parametres!$B$9</f>
        <v>4239.44378497541</v>
      </c>
    </row>
    <row r="6785" customFormat="false" ht="15" hidden="false" customHeight="false" outlineLevel="0" collapsed="false">
      <c r="A6785" s="0" t="n">
        <v>6781</v>
      </c>
      <c r="B6785" s="0" t="n">
        <v>10</v>
      </c>
      <c r="C6785" s="19" t="n">
        <v>0.9295</v>
      </c>
      <c r="D6785" s="19" t="n">
        <v>1</v>
      </c>
      <c r="E6785" s="20" t="n">
        <f aca="false">Parametres!$B$5*C6785</f>
        <v>278.85</v>
      </c>
      <c r="F6785" s="20" t="n">
        <f aca="false">Parametres!$B$6*D6785</f>
        <v>200</v>
      </c>
      <c r="G6785" s="20" t="n">
        <f aca="false">E6785+F6785</f>
        <v>478.85</v>
      </c>
      <c r="H6785" s="20" t="n">
        <f aca="false">IF(G6785&lt;Parametres!$B$8*Parametres!$B$7,0,MIN(G6785,Parametres!$B$7))</f>
        <v>250</v>
      </c>
      <c r="I6785" s="20" t="n">
        <f aca="false">G6785-H6785</f>
        <v>228.85</v>
      </c>
      <c r="J6785" s="21" t="n">
        <f aca="false">H6785*1000/Parametres!$B$9</f>
        <v>4239.44378497541</v>
      </c>
    </row>
    <row r="6786" customFormat="false" ht="15" hidden="false" customHeight="false" outlineLevel="0" collapsed="false">
      <c r="A6786" s="0" t="n">
        <v>6782</v>
      </c>
      <c r="B6786" s="0" t="n">
        <v>10</v>
      </c>
      <c r="C6786" s="19" t="n">
        <v>0.8501</v>
      </c>
      <c r="D6786" s="19" t="n">
        <v>1</v>
      </c>
      <c r="E6786" s="20" t="n">
        <f aca="false">Parametres!$B$5*C6786</f>
        <v>255.03</v>
      </c>
      <c r="F6786" s="20" t="n">
        <f aca="false">Parametres!$B$6*D6786</f>
        <v>200</v>
      </c>
      <c r="G6786" s="20" t="n">
        <f aca="false">E6786+F6786</f>
        <v>455.03</v>
      </c>
      <c r="H6786" s="20" t="n">
        <f aca="false">IF(G6786&lt;Parametres!$B$8*Parametres!$B$7,0,MIN(G6786,Parametres!$B$7))</f>
        <v>250</v>
      </c>
      <c r="I6786" s="20" t="n">
        <f aca="false">G6786-H6786</f>
        <v>205.03</v>
      </c>
      <c r="J6786" s="21" t="n">
        <f aca="false">H6786*1000/Parametres!$B$9</f>
        <v>4239.44378497541</v>
      </c>
    </row>
    <row r="6787" customFormat="false" ht="15" hidden="false" customHeight="false" outlineLevel="0" collapsed="false">
      <c r="A6787" s="0" t="n">
        <v>6783</v>
      </c>
      <c r="B6787" s="0" t="n">
        <v>10</v>
      </c>
      <c r="C6787" s="19" t="n">
        <v>0.7858</v>
      </c>
      <c r="D6787" s="19" t="n">
        <v>1</v>
      </c>
      <c r="E6787" s="20" t="n">
        <f aca="false">Parametres!$B$5*C6787</f>
        <v>235.74</v>
      </c>
      <c r="F6787" s="20" t="n">
        <f aca="false">Parametres!$B$6*D6787</f>
        <v>200</v>
      </c>
      <c r="G6787" s="20" t="n">
        <f aca="false">E6787+F6787</f>
        <v>435.74</v>
      </c>
      <c r="H6787" s="20" t="n">
        <f aca="false">IF(G6787&lt;Parametres!$B$8*Parametres!$B$7,0,MIN(G6787,Parametres!$B$7))</f>
        <v>250</v>
      </c>
      <c r="I6787" s="20" t="n">
        <f aca="false">G6787-H6787</f>
        <v>185.74</v>
      </c>
      <c r="J6787" s="21" t="n">
        <f aca="false">H6787*1000/Parametres!$B$9</f>
        <v>4239.44378497541</v>
      </c>
    </row>
    <row r="6788" customFormat="false" ht="15" hidden="false" customHeight="false" outlineLevel="0" collapsed="false">
      <c r="A6788" s="0" t="n">
        <v>6784</v>
      </c>
      <c r="B6788" s="0" t="n">
        <v>10</v>
      </c>
      <c r="C6788" s="19" t="n">
        <v>0.4976</v>
      </c>
      <c r="D6788" s="19" t="n">
        <v>1</v>
      </c>
      <c r="E6788" s="20" t="n">
        <f aca="false">Parametres!$B$5*C6788</f>
        <v>149.28</v>
      </c>
      <c r="F6788" s="20" t="n">
        <f aca="false">Parametres!$B$6*D6788</f>
        <v>200</v>
      </c>
      <c r="G6788" s="20" t="n">
        <f aca="false">E6788+F6788</f>
        <v>349.28</v>
      </c>
      <c r="H6788" s="20" t="n">
        <f aca="false">IF(G6788&lt;Parametres!$B$8*Parametres!$B$7,0,MIN(G6788,Parametres!$B$7))</f>
        <v>250</v>
      </c>
      <c r="I6788" s="20" t="n">
        <f aca="false">G6788-H6788</f>
        <v>99.28</v>
      </c>
      <c r="J6788" s="21" t="n">
        <f aca="false">H6788*1000/Parametres!$B$9</f>
        <v>4239.44378497541</v>
      </c>
    </row>
    <row r="6789" customFormat="false" ht="15" hidden="false" customHeight="false" outlineLevel="0" collapsed="false">
      <c r="A6789" s="0" t="n">
        <v>6785</v>
      </c>
      <c r="B6789" s="0" t="n">
        <v>10</v>
      </c>
      <c r="C6789" s="19" t="n">
        <v>0.2612</v>
      </c>
      <c r="D6789" s="19" t="n">
        <v>1</v>
      </c>
      <c r="E6789" s="20" t="n">
        <f aca="false">Parametres!$B$5*C6789</f>
        <v>78.36</v>
      </c>
      <c r="F6789" s="20" t="n">
        <f aca="false">Parametres!$B$6*D6789</f>
        <v>200</v>
      </c>
      <c r="G6789" s="20" t="n">
        <f aca="false">E6789+F6789</f>
        <v>278.36</v>
      </c>
      <c r="H6789" s="20" t="n">
        <f aca="false">IF(G6789&lt;Parametres!$B$8*Parametres!$B$7,0,MIN(G6789,Parametres!$B$7))</f>
        <v>250</v>
      </c>
      <c r="I6789" s="20" t="n">
        <f aca="false">G6789-H6789</f>
        <v>28.36</v>
      </c>
      <c r="J6789" s="21" t="n">
        <f aca="false">H6789*1000/Parametres!$B$9</f>
        <v>4239.44378497541</v>
      </c>
    </row>
    <row r="6790" customFormat="false" ht="15" hidden="false" customHeight="false" outlineLevel="0" collapsed="false">
      <c r="A6790" s="0" t="n">
        <v>6786</v>
      </c>
      <c r="B6790" s="0" t="n">
        <v>10</v>
      </c>
      <c r="C6790" s="19" t="n">
        <v>0.0455</v>
      </c>
      <c r="D6790" s="19" t="n">
        <v>1</v>
      </c>
      <c r="E6790" s="20" t="n">
        <f aca="false">Parametres!$B$5*C6790</f>
        <v>13.65</v>
      </c>
      <c r="F6790" s="20" t="n">
        <f aca="false">Parametres!$B$6*D6790</f>
        <v>200</v>
      </c>
      <c r="G6790" s="20" t="n">
        <f aca="false">E6790+F6790</f>
        <v>213.65</v>
      </c>
      <c r="H6790" s="20" t="n">
        <f aca="false">IF(G6790&lt;Parametres!$B$8*Parametres!$B$7,0,MIN(G6790,Parametres!$B$7))</f>
        <v>213.65</v>
      </c>
      <c r="I6790" s="20" t="n">
        <f aca="false">G6790-H6790</f>
        <v>0</v>
      </c>
      <c r="J6790" s="21" t="n">
        <f aca="false">H6790*1000/Parametres!$B$9</f>
        <v>3623.02865863999</v>
      </c>
    </row>
    <row r="6791" customFormat="false" ht="15" hidden="false" customHeight="false" outlineLevel="0" collapsed="false">
      <c r="A6791" s="0" t="n">
        <v>6787</v>
      </c>
      <c r="B6791" s="0" t="n">
        <v>10</v>
      </c>
      <c r="C6791" s="19" t="n">
        <v>0</v>
      </c>
      <c r="D6791" s="19" t="n">
        <v>1</v>
      </c>
      <c r="E6791" s="20" t="n">
        <f aca="false">Parametres!$B$5*C6791</f>
        <v>0</v>
      </c>
      <c r="F6791" s="20" t="n">
        <f aca="false">Parametres!$B$6*D6791</f>
        <v>200</v>
      </c>
      <c r="G6791" s="20" t="n">
        <f aca="false">E6791+F6791</f>
        <v>200</v>
      </c>
      <c r="H6791" s="20" t="n">
        <f aca="false">IF(G6791&lt;Parametres!$B$8*Parametres!$B$7,0,MIN(G6791,Parametres!$B$7))</f>
        <v>200</v>
      </c>
      <c r="I6791" s="20" t="n">
        <f aca="false">G6791-H6791</f>
        <v>0</v>
      </c>
      <c r="J6791" s="21" t="n">
        <f aca="false">H6791*1000/Parametres!$B$9</f>
        <v>3391.55502798033</v>
      </c>
    </row>
    <row r="6792" customFormat="false" ht="15" hidden="false" customHeight="false" outlineLevel="0" collapsed="false">
      <c r="A6792" s="0" t="n">
        <v>6788</v>
      </c>
      <c r="B6792" s="0" t="n">
        <v>10</v>
      </c>
      <c r="C6792" s="19" t="n">
        <v>0</v>
      </c>
      <c r="D6792" s="19" t="n">
        <v>1</v>
      </c>
      <c r="E6792" s="20" t="n">
        <f aca="false">Parametres!$B$5*C6792</f>
        <v>0</v>
      </c>
      <c r="F6792" s="20" t="n">
        <f aca="false">Parametres!$B$6*D6792</f>
        <v>200</v>
      </c>
      <c r="G6792" s="20" t="n">
        <f aca="false">E6792+F6792</f>
        <v>200</v>
      </c>
      <c r="H6792" s="20" t="n">
        <f aca="false">IF(G6792&lt;Parametres!$B$8*Parametres!$B$7,0,MIN(G6792,Parametres!$B$7))</f>
        <v>200</v>
      </c>
      <c r="I6792" s="20" t="n">
        <f aca="false">G6792-H6792</f>
        <v>0</v>
      </c>
      <c r="J6792" s="21" t="n">
        <f aca="false">H6792*1000/Parametres!$B$9</f>
        <v>3391.55502798033</v>
      </c>
    </row>
    <row r="6793" customFormat="false" ht="15" hidden="false" customHeight="false" outlineLevel="0" collapsed="false">
      <c r="A6793" s="0" t="n">
        <v>6789</v>
      </c>
      <c r="B6793" s="0" t="n">
        <v>10</v>
      </c>
      <c r="C6793" s="19" t="n">
        <v>0</v>
      </c>
      <c r="D6793" s="19" t="n">
        <v>1</v>
      </c>
      <c r="E6793" s="20" t="n">
        <f aca="false">Parametres!$B$5*C6793</f>
        <v>0</v>
      </c>
      <c r="F6793" s="20" t="n">
        <f aca="false">Parametres!$B$6*D6793</f>
        <v>200</v>
      </c>
      <c r="G6793" s="20" t="n">
        <f aca="false">E6793+F6793</f>
        <v>200</v>
      </c>
      <c r="H6793" s="20" t="n">
        <f aca="false">IF(G6793&lt;Parametres!$B$8*Parametres!$B$7,0,MIN(G6793,Parametres!$B$7))</f>
        <v>200</v>
      </c>
      <c r="I6793" s="20" t="n">
        <f aca="false">G6793-H6793</f>
        <v>0</v>
      </c>
      <c r="J6793" s="21" t="n">
        <f aca="false">H6793*1000/Parametres!$B$9</f>
        <v>3391.55502798033</v>
      </c>
    </row>
    <row r="6794" customFormat="false" ht="15" hidden="false" customHeight="false" outlineLevel="0" collapsed="false">
      <c r="A6794" s="0" t="n">
        <v>6790</v>
      </c>
      <c r="B6794" s="0" t="n">
        <v>10</v>
      </c>
      <c r="C6794" s="19" t="n">
        <v>0</v>
      </c>
      <c r="D6794" s="19" t="n">
        <v>1</v>
      </c>
      <c r="E6794" s="20" t="n">
        <f aca="false">Parametres!$B$5*C6794</f>
        <v>0</v>
      </c>
      <c r="F6794" s="20" t="n">
        <f aca="false">Parametres!$B$6*D6794</f>
        <v>200</v>
      </c>
      <c r="G6794" s="20" t="n">
        <f aca="false">E6794+F6794</f>
        <v>200</v>
      </c>
      <c r="H6794" s="20" t="n">
        <f aca="false">IF(G6794&lt;Parametres!$B$8*Parametres!$B$7,0,MIN(G6794,Parametres!$B$7))</f>
        <v>200</v>
      </c>
      <c r="I6794" s="20" t="n">
        <f aca="false">G6794-H6794</f>
        <v>0</v>
      </c>
      <c r="J6794" s="21" t="n">
        <f aca="false">H6794*1000/Parametres!$B$9</f>
        <v>3391.55502798033</v>
      </c>
    </row>
    <row r="6795" customFormat="false" ht="15" hidden="false" customHeight="false" outlineLevel="0" collapsed="false">
      <c r="A6795" s="0" t="n">
        <v>6791</v>
      </c>
      <c r="B6795" s="0" t="n">
        <v>10</v>
      </c>
      <c r="C6795" s="19" t="n">
        <v>0</v>
      </c>
      <c r="D6795" s="19" t="n">
        <v>1</v>
      </c>
      <c r="E6795" s="20" t="n">
        <f aca="false">Parametres!$B$5*C6795</f>
        <v>0</v>
      </c>
      <c r="F6795" s="20" t="n">
        <f aca="false">Parametres!$B$6*D6795</f>
        <v>200</v>
      </c>
      <c r="G6795" s="20" t="n">
        <f aca="false">E6795+F6795</f>
        <v>200</v>
      </c>
      <c r="H6795" s="20" t="n">
        <f aca="false">IF(G6795&lt;Parametres!$B$8*Parametres!$B$7,0,MIN(G6795,Parametres!$B$7))</f>
        <v>200</v>
      </c>
      <c r="I6795" s="20" t="n">
        <f aca="false">G6795-H6795</f>
        <v>0</v>
      </c>
      <c r="J6795" s="21" t="n">
        <f aca="false">H6795*1000/Parametres!$B$9</f>
        <v>3391.55502798033</v>
      </c>
    </row>
    <row r="6796" customFormat="false" ht="15" hidden="false" customHeight="false" outlineLevel="0" collapsed="false">
      <c r="A6796" s="0" t="n">
        <v>6792</v>
      </c>
      <c r="B6796" s="0" t="n">
        <v>10</v>
      </c>
      <c r="C6796" s="19" t="n">
        <v>0</v>
      </c>
      <c r="D6796" s="19" t="n">
        <v>1</v>
      </c>
      <c r="E6796" s="20" t="n">
        <f aca="false">Parametres!$B$5*C6796</f>
        <v>0</v>
      </c>
      <c r="F6796" s="20" t="n">
        <f aca="false">Parametres!$B$6*D6796</f>
        <v>200</v>
      </c>
      <c r="G6796" s="20" t="n">
        <f aca="false">E6796+F6796</f>
        <v>200</v>
      </c>
      <c r="H6796" s="20" t="n">
        <f aca="false">IF(G6796&lt;Parametres!$B$8*Parametres!$B$7,0,MIN(G6796,Parametres!$B$7))</f>
        <v>200</v>
      </c>
      <c r="I6796" s="20" t="n">
        <f aca="false">G6796-H6796</f>
        <v>0</v>
      </c>
      <c r="J6796" s="21" t="n">
        <f aca="false">H6796*1000/Parametres!$B$9</f>
        <v>3391.55502798033</v>
      </c>
    </row>
    <row r="6797" customFormat="false" ht="15" hidden="false" customHeight="false" outlineLevel="0" collapsed="false">
      <c r="A6797" s="0" t="n">
        <v>6793</v>
      </c>
      <c r="B6797" s="0" t="n">
        <v>10</v>
      </c>
      <c r="C6797" s="19" t="n">
        <v>0</v>
      </c>
      <c r="D6797" s="19" t="n">
        <v>1</v>
      </c>
      <c r="E6797" s="20" t="n">
        <f aca="false">Parametres!$B$5*C6797</f>
        <v>0</v>
      </c>
      <c r="F6797" s="20" t="n">
        <f aca="false">Parametres!$B$6*D6797</f>
        <v>200</v>
      </c>
      <c r="G6797" s="20" t="n">
        <f aca="false">E6797+F6797</f>
        <v>200</v>
      </c>
      <c r="H6797" s="20" t="n">
        <f aca="false">IF(G6797&lt;Parametres!$B$8*Parametres!$B$7,0,MIN(G6797,Parametres!$B$7))</f>
        <v>200</v>
      </c>
      <c r="I6797" s="20" t="n">
        <f aca="false">G6797-H6797</f>
        <v>0</v>
      </c>
      <c r="J6797" s="21" t="n">
        <f aca="false">H6797*1000/Parametres!$B$9</f>
        <v>3391.55502798033</v>
      </c>
    </row>
    <row r="6798" customFormat="false" ht="15" hidden="false" customHeight="false" outlineLevel="0" collapsed="false">
      <c r="A6798" s="0" t="n">
        <v>6794</v>
      </c>
      <c r="B6798" s="0" t="n">
        <v>10</v>
      </c>
      <c r="C6798" s="19" t="n">
        <v>0</v>
      </c>
      <c r="D6798" s="19" t="n">
        <v>1</v>
      </c>
      <c r="E6798" s="20" t="n">
        <f aca="false">Parametres!$B$5*C6798</f>
        <v>0</v>
      </c>
      <c r="F6798" s="20" t="n">
        <f aca="false">Parametres!$B$6*D6798</f>
        <v>200</v>
      </c>
      <c r="G6798" s="20" t="n">
        <f aca="false">E6798+F6798</f>
        <v>200</v>
      </c>
      <c r="H6798" s="20" t="n">
        <f aca="false">IF(G6798&lt;Parametres!$B$8*Parametres!$B$7,0,MIN(G6798,Parametres!$B$7))</f>
        <v>200</v>
      </c>
      <c r="I6798" s="20" t="n">
        <f aca="false">G6798-H6798</f>
        <v>0</v>
      </c>
      <c r="J6798" s="21" t="n">
        <f aca="false">H6798*1000/Parametres!$B$9</f>
        <v>3391.55502798033</v>
      </c>
    </row>
    <row r="6799" customFormat="false" ht="15" hidden="false" customHeight="false" outlineLevel="0" collapsed="false">
      <c r="A6799" s="0" t="n">
        <v>6795</v>
      </c>
      <c r="B6799" s="0" t="n">
        <v>10</v>
      </c>
      <c r="C6799" s="19" t="n">
        <v>0</v>
      </c>
      <c r="D6799" s="19" t="n">
        <v>1</v>
      </c>
      <c r="E6799" s="20" t="n">
        <f aca="false">Parametres!$B$5*C6799</f>
        <v>0</v>
      </c>
      <c r="F6799" s="20" t="n">
        <f aca="false">Parametres!$B$6*D6799</f>
        <v>200</v>
      </c>
      <c r="G6799" s="20" t="n">
        <f aca="false">E6799+F6799</f>
        <v>200</v>
      </c>
      <c r="H6799" s="20" t="n">
        <f aca="false">IF(G6799&lt;Parametres!$B$8*Parametres!$B$7,0,MIN(G6799,Parametres!$B$7))</f>
        <v>200</v>
      </c>
      <c r="I6799" s="20" t="n">
        <f aca="false">G6799-H6799</f>
        <v>0</v>
      </c>
      <c r="J6799" s="21" t="n">
        <f aca="false">H6799*1000/Parametres!$B$9</f>
        <v>3391.55502798033</v>
      </c>
    </row>
    <row r="6800" customFormat="false" ht="15" hidden="false" customHeight="false" outlineLevel="0" collapsed="false">
      <c r="A6800" s="0" t="n">
        <v>6796</v>
      </c>
      <c r="B6800" s="0" t="n">
        <v>10</v>
      </c>
      <c r="C6800" s="19" t="n">
        <v>0</v>
      </c>
      <c r="D6800" s="19" t="n">
        <v>1</v>
      </c>
      <c r="E6800" s="20" t="n">
        <f aca="false">Parametres!$B$5*C6800</f>
        <v>0</v>
      </c>
      <c r="F6800" s="20" t="n">
        <f aca="false">Parametres!$B$6*D6800</f>
        <v>200</v>
      </c>
      <c r="G6800" s="20" t="n">
        <f aca="false">E6800+F6800</f>
        <v>200</v>
      </c>
      <c r="H6800" s="20" t="n">
        <f aca="false">IF(G6800&lt;Parametres!$B$8*Parametres!$B$7,0,MIN(G6800,Parametres!$B$7))</f>
        <v>200</v>
      </c>
      <c r="I6800" s="20" t="n">
        <f aca="false">G6800-H6800</f>
        <v>0</v>
      </c>
      <c r="J6800" s="21" t="n">
        <f aca="false">H6800*1000/Parametres!$B$9</f>
        <v>3391.55502798033</v>
      </c>
    </row>
    <row r="6801" customFormat="false" ht="15" hidden="false" customHeight="false" outlineLevel="0" collapsed="false">
      <c r="A6801" s="0" t="n">
        <v>6797</v>
      </c>
      <c r="B6801" s="0" t="n">
        <v>10</v>
      </c>
      <c r="C6801" s="19" t="n">
        <v>0</v>
      </c>
      <c r="D6801" s="19" t="n">
        <v>1</v>
      </c>
      <c r="E6801" s="20" t="n">
        <f aca="false">Parametres!$B$5*C6801</f>
        <v>0</v>
      </c>
      <c r="F6801" s="20" t="n">
        <f aca="false">Parametres!$B$6*D6801</f>
        <v>200</v>
      </c>
      <c r="G6801" s="20" t="n">
        <f aca="false">E6801+F6801</f>
        <v>200</v>
      </c>
      <c r="H6801" s="20" t="n">
        <f aca="false">IF(G6801&lt;Parametres!$B$8*Parametres!$B$7,0,MIN(G6801,Parametres!$B$7))</f>
        <v>200</v>
      </c>
      <c r="I6801" s="20" t="n">
        <f aca="false">G6801-H6801</f>
        <v>0</v>
      </c>
      <c r="J6801" s="21" t="n">
        <f aca="false">H6801*1000/Parametres!$B$9</f>
        <v>3391.55502798033</v>
      </c>
    </row>
    <row r="6802" customFormat="false" ht="15" hidden="false" customHeight="false" outlineLevel="0" collapsed="false">
      <c r="A6802" s="0" t="n">
        <v>6798</v>
      </c>
      <c r="B6802" s="0" t="n">
        <v>10</v>
      </c>
      <c r="C6802" s="19" t="n">
        <v>0</v>
      </c>
      <c r="D6802" s="19" t="n">
        <v>1</v>
      </c>
      <c r="E6802" s="20" t="n">
        <f aca="false">Parametres!$B$5*C6802</f>
        <v>0</v>
      </c>
      <c r="F6802" s="20" t="n">
        <f aca="false">Parametres!$B$6*D6802</f>
        <v>200</v>
      </c>
      <c r="G6802" s="20" t="n">
        <f aca="false">E6802+F6802</f>
        <v>200</v>
      </c>
      <c r="H6802" s="20" t="n">
        <f aca="false">IF(G6802&lt;Parametres!$B$8*Parametres!$B$7,0,MIN(G6802,Parametres!$B$7))</f>
        <v>200</v>
      </c>
      <c r="I6802" s="20" t="n">
        <f aca="false">G6802-H6802</f>
        <v>0</v>
      </c>
      <c r="J6802" s="21" t="n">
        <f aca="false">H6802*1000/Parametres!$B$9</f>
        <v>3391.55502798033</v>
      </c>
    </row>
    <row r="6803" customFormat="false" ht="15" hidden="false" customHeight="false" outlineLevel="0" collapsed="false">
      <c r="A6803" s="0" t="n">
        <v>6799</v>
      </c>
      <c r="B6803" s="0" t="n">
        <v>10</v>
      </c>
      <c r="C6803" s="19" t="n">
        <v>0.0443</v>
      </c>
      <c r="D6803" s="19" t="n">
        <v>1</v>
      </c>
      <c r="E6803" s="20" t="n">
        <f aca="false">Parametres!$B$5*C6803</f>
        <v>13.29</v>
      </c>
      <c r="F6803" s="20" t="n">
        <f aca="false">Parametres!$B$6*D6803</f>
        <v>200</v>
      </c>
      <c r="G6803" s="20" t="n">
        <f aca="false">E6803+F6803</f>
        <v>213.29</v>
      </c>
      <c r="H6803" s="20" t="n">
        <f aca="false">IF(G6803&lt;Parametres!$B$8*Parametres!$B$7,0,MIN(G6803,Parametres!$B$7))</f>
        <v>213.29</v>
      </c>
      <c r="I6803" s="20" t="n">
        <f aca="false">G6803-H6803</f>
        <v>0</v>
      </c>
      <c r="J6803" s="21" t="n">
        <f aca="false">H6803*1000/Parametres!$B$9</f>
        <v>3616.92385958962</v>
      </c>
    </row>
    <row r="6804" customFormat="false" ht="15" hidden="false" customHeight="false" outlineLevel="0" collapsed="false">
      <c r="A6804" s="0" t="n">
        <v>6800</v>
      </c>
      <c r="B6804" s="0" t="n">
        <v>10</v>
      </c>
      <c r="C6804" s="19" t="n">
        <v>0.3037</v>
      </c>
      <c r="D6804" s="19" t="n">
        <v>1</v>
      </c>
      <c r="E6804" s="20" t="n">
        <f aca="false">Parametres!$B$5*C6804</f>
        <v>91.11</v>
      </c>
      <c r="F6804" s="20" t="n">
        <f aca="false">Parametres!$B$6*D6804</f>
        <v>200</v>
      </c>
      <c r="G6804" s="20" t="n">
        <f aca="false">E6804+F6804</f>
        <v>291.11</v>
      </c>
      <c r="H6804" s="20" t="n">
        <f aca="false">IF(G6804&lt;Parametres!$B$8*Parametres!$B$7,0,MIN(G6804,Parametres!$B$7))</f>
        <v>250</v>
      </c>
      <c r="I6804" s="20" t="n">
        <f aca="false">G6804-H6804</f>
        <v>41.11</v>
      </c>
      <c r="J6804" s="21" t="n">
        <f aca="false">H6804*1000/Parametres!$B$9</f>
        <v>4239.44378497541</v>
      </c>
    </row>
    <row r="6805" customFormat="false" ht="15" hidden="false" customHeight="false" outlineLevel="0" collapsed="false">
      <c r="A6805" s="0" t="n">
        <v>6801</v>
      </c>
      <c r="B6805" s="0" t="n">
        <v>10</v>
      </c>
      <c r="C6805" s="19" t="n">
        <v>0.5126</v>
      </c>
      <c r="D6805" s="19" t="n">
        <v>1</v>
      </c>
      <c r="E6805" s="20" t="n">
        <f aca="false">Parametres!$B$5*C6805</f>
        <v>153.78</v>
      </c>
      <c r="F6805" s="20" t="n">
        <f aca="false">Parametres!$B$6*D6805</f>
        <v>200</v>
      </c>
      <c r="G6805" s="20" t="n">
        <f aca="false">E6805+F6805</f>
        <v>353.78</v>
      </c>
      <c r="H6805" s="20" t="n">
        <f aca="false">IF(G6805&lt;Parametres!$B$8*Parametres!$B$7,0,MIN(G6805,Parametres!$B$7))</f>
        <v>250</v>
      </c>
      <c r="I6805" s="20" t="n">
        <f aca="false">G6805-H6805</f>
        <v>103.78</v>
      </c>
      <c r="J6805" s="21" t="n">
        <f aca="false">H6805*1000/Parametres!$B$9</f>
        <v>4239.44378497541</v>
      </c>
    </row>
    <row r="6806" customFormat="false" ht="15" hidden="false" customHeight="false" outlineLevel="0" collapsed="false">
      <c r="A6806" s="0" t="n">
        <v>6802</v>
      </c>
      <c r="B6806" s="0" t="n">
        <v>10</v>
      </c>
      <c r="C6806" s="19" t="n">
        <v>0.795</v>
      </c>
      <c r="D6806" s="19" t="n">
        <v>1</v>
      </c>
      <c r="E6806" s="20" t="n">
        <f aca="false">Parametres!$B$5*C6806</f>
        <v>238.5</v>
      </c>
      <c r="F6806" s="20" t="n">
        <f aca="false">Parametres!$B$6*D6806</f>
        <v>200</v>
      </c>
      <c r="G6806" s="20" t="n">
        <f aca="false">E6806+F6806</f>
        <v>438.5</v>
      </c>
      <c r="H6806" s="20" t="n">
        <f aca="false">IF(G6806&lt;Parametres!$B$8*Parametres!$B$7,0,MIN(G6806,Parametres!$B$7))</f>
        <v>250</v>
      </c>
      <c r="I6806" s="20" t="n">
        <f aca="false">G6806-H6806</f>
        <v>188.5</v>
      </c>
      <c r="J6806" s="21" t="n">
        <f aca="false">H6806*1000/Parametres!$B$9</f>
        <v>4239.44378497541</v>
      </c>
    </row>
    <row r="6807" customFormat="false" ht="15" hidden="false" customHeight="false" outlineLevel="0" collapsed="false">
      <c r="A6807" s="0" t="n">
        <v>6803</v>
      </c>
      <c r="B6807" s="0" t="n">
        <v>10</v>
      </c>
      <c r="C6807" s="19" t="n">
        <v>0.9172</v>
      </c>
      <c r="D6807" s="19" t="n">
        <v>1</v>
      </c>
      <c r="E6807" s="20" t="n">
        <f aca="false">Parametres!$B$5*C6807</f>
        <v>275.16</v>
      </c>
      <c r="F6807" s="20" t="n">
        <f aca="false">Parametres!$B$6*D6807</f>
        <v>200</v>
      </c>
      <c r="G6807" s="20" t="n">
        <f aca="false">E6807+F6807</f>
        <v>475.16</v>
      </c>
      <c r="H6807" s="20" t="n">
        <f aca="false">IF(G6807&lt;Parametres!$B$8*Parametres!$B$7,0,MIN(G6807,Parametres!$B$7))</f>
        <v>250</v>
      </c>
      <c r="I6807" s="20" t="n">
        <f aca="false">G6807-H6807</f>
        <v>225.16</v>
      </c>
      <c r="J6807" s="21" t="n">
        <f aca="false">H6807*1000/Parametres!$B$9</f>
        <v>4239.44378497541</v>
      </c>
    </row>
    <row r="6808" customFormat="false" ht="15" hidden="false" customHeight="false" outlineLevel="0" collapsed="false">
      <c r="A6808" s="0" t="n">
        <v>6804</v>
      </c>
      <c r="B6808" s="0" t="n">
        <v>10</v>
      </c>
      <c r="C6808" s="19" t="n">
        <v>1</v>
      </c>
      <c r="D6808" s="19" t="n">
        <v>1</v>
      </c>
      <c r="E6808" s="20" t="n">
        <f aca="false">Parametres!$B$5*C6808</f>
        <v>300</v>
      </c>
      <c r="F6808" s="20" t="n">
        <f aca="false">Parametres!$B$6*D6808</f>
        <v>200</v>
      </c>
      <c r="G6808" s="20" t="n">
        <f aca="false">E6808+F6808</f>
        <v>500</v>
      </c>
      <c r="H6808" s="20" t="n">
        <f aca="false">IF(G6808&lt;Parametres!$B$8*Parametres!$B$7,0,MIN(G6808,Parametres!$B$7))</f>
        <v>250</v>
      </c>
      <c r="I6808" s="20" t="n">
        <f aca="false">G6808-H6808</f>
        <v>250</v>
      </c>
      <c r="J6808" s="21" t="n">
        <f aca="false">H6808*1000/Parametres!$B$9</f>
        <v>4239.44378497541</v>
      </c>
    </row>
    <row r="6809" customFormat="false" ht="15" hidden="false" customHeight="false" outlineLevel="0" collapsed="false">
      <c r="A6809" s="0" t="n">
        <v>6805</v>
      </c>
      <c r="B6809" s="0" t="n">
        <v>10</v>
      </c>
      <c r="C6809" s="19" t="n">
        <v>1</v>
      </c>
      <c r="D6809" s="19" t="n">
        <v>1</v>
      </c>
      <c r="E6809" s="20" t="n">
        <f aca="false">Parametres!$B$5*C6809</f>
        <v>300</v>
      </c>
      <c r="F6809" s="20" t="n">
        <f aca="false">Parametres!$B$6*D6809</f>
        <v>200</v>
      </c>
      <c r="G6809" s="20" t="n">
        <f aca="false">E6809+F6809</f>
        <v>500</v>
      </c>
      <c r="H6809" s="20" t="n">
        <f aca="false">IF(G6809&lt;Parametres!$B$8*Parametres!$B$7,0,MIN(G6809,Parametres!$B$7))</f>
        <v>250</v>
      </c>
      <c r="I6809" s="20" t="n">
        <f aca="false">G6809-H6809</f>
        <v>250</v>
      </c>
      <c r="J6809" s="21" t="n">
        <f aca="false">H6809*1000/Parametres!$B$9</f>
        <v>4239.44378497541</v>
      </c>
    </row>
    <row r="6810" customFormat="false" ht="15" hidden="false" customHeight="false" outlineLevel="0" collapsed="false">
      <c r="A6810" s="0" t="n">
        <v>6806</v>
      </c>
      <c r="B6810" s="0" t="n">
        <v>10</v>
      </c>
      <c r="C6810" s="19" t="n">
        <v>0.9846</v>
      </c>
      <c r="D6810" s="19" t="n">
        <v>1</v>
      </c>
      <c r="E6810" s="20" t="n">
        <f aca="false">Parametres!$B$5*C6810</f>
        <v>295.38</v>
      </c>
      <c r="F6810" s="20" t="n">
        <f aca="false">Parametres!$B$6*D6810</f>
        <v>200</v>
      </c>
      <c r="G6810" s="20" t="n">
        <f aca="false">E6810+F6810</f>
        <v>495.38</v>
      </c>
      <c r="H6810" s="20" t="n">
        <f aca="false">IF(G6810&lt;Parametres!$B$8*Parametres!$B$7,0,MIN(G6810,Parametres!$B$7))</f>
        <v>250</v>
      </c>
      <c r="I6810" s="20" t="n">
        <f aca="false">G6810-H6810</f>
        <v>245.38</v>
      </c>
      <c r="J6810" s="21" t="n">
        <f aca="false">H6810*1000/Parametres!$B$9</f>
        <v>4239.44378497541</v>
      </c>
    </row>
    <row r="6811" customFormat="false" ht="15" hidden="false" customHeight="false" outlineLevel="0" collapsed="false">
      <c r="A6811" s="0" t="n">
        <v>6807</v>
      </c>
      <c r="B6811" s="0" t="n">
        <v>10</v>
      </c>
      <c r="C6811" s="19" t="n">
        <v>0.8112</v>
      </c>
      <c r="D6811" s="19" t="n">
        <v>1</v>
      </c>
      <c r="E6811" s="20" t="n">
        <f aca="false">Parametres!$B$5*C6811</f>
        <v>243.36</v>
      </c>
      <c r="F6811" s="20" t="n">
        <f aca="false">Parametres!$B$6*D6811</f>
        <v>200</v>
      </c>
      <c r="G6811" s="20" t="n">
        <f aca="false">E6811+F6811</f>
        <v>443.36</v>
      </c>
      <c r="H6811" s="20" t="n">
        <f aca="false">IF(G6811&lt;Parametres!$B$8*Parametres!$B$7,0,MIN(G6811,Parametres!$B$7))</f>
        <v>250</v>
      </c>
      <c r="I6811" s="20" t="n">
        <f aca="false">G6811-H6811</f>
        <v>193.36</v>
      </c>
      <c r="J6811" s="21" t="n">
        <f aca="false">H6811*1000/Parametres!$B$9</f>
        <v>4239.44378497541</v>
      </c>
    </row>
    <row r="6812" customFormat="false" ht="15" hidden="false" customHeight="false" outlineLevel="0" collapsed="false">
      <c r="A6812" s="0" t="n">
        <v>6808</v>
      </c>
      <c r="B6812" s="0" t="n">
        <v>10</v>
      </c>
      <c r="C6812" s="19" t="n">
        <v>0.5501</v>
      </c>
      <c r="D6812" s="19" t="n">
        <v>1</v>
      </c>
      <c r="E6812" s="20" t="n">
        <f aca="false">Parametres!$B$5*C6812</f>
        <v>165.03</v>
      </c>
      <c r="F6812" s="20" t="n">
        <f aca="false">Parametres!$B$6*D6812</f>
        <v>200</v>
      </c>
      <c r="G6812" s="20" t="n">
        <f aca="false">E6812+F6812</f>
        <v>365.03</v>
      </c>
      <c r="H6812" s="20" t="n">
        <f aca="false">IF(G6812&lt;Parametres!$B$8*Parametres!$B$7,0,MIN(G6812,Parametres!$B$7))</f>
        <v>250</v>
      </c>
      <c r="I6812" s="20" t="n">
        <f aca="false">G6812-H6812</f>
        <v>115.03</v>
      </c>
      <c r="J6812" s="21" t="n">
        <f aca="false">H6812*1000/Parametres!$B$9</f>
        <v>4239.44378497541</v>
      </c>
    </row>
    <row r="6813" customFormat="false" ht="15" hidden="false" customHeight="false" outlineLevel="0" collapsed="false">
      <c r="A6813" s="0" t="n">
        <v>6809</v>
      </c>
      <c r="B6813" s="0" t="n">
        <v>10</v>
      </c>
      <c r="C6813" s="19" t="n">
        <v>0.2914</v>
      </c>
      <c r="D6813" s="19" t="n">
        <v>1</v>
      </c>
      <c r="E6813" s="20" t="n">
        <f aca="false">Parametres!$B$5*C6813</f>
        <v>87.42</v>
      </c>
      <c r="F6813" s="20" t="n">
        <f aca="false">Parametres!$B$6*D6813</f>
        <v>200</v>
      </c>
      <c r="G6813" s="20" t="n">
        <f aca="false">E6813+F6813</f>
        <v>287.42</v>
      </c>
      <c r="H6813" s="20" t="n">
        <f aca="false">IF(G6813&lt;Parametres!$B$8*Parametres!$B$7,0,MIN(G6813,Parametres!$B$7))</f>
        <v>250</v>
      </c>
      <c r="I6813" s="20" t="n">
        <f aca="false">G6813-H6813</f>
        <v>37.42</v>
      </c>
      <c r="J6813" s="21" t="n">
        <f aca="false">H6813*1000/Parametres!$B$9</f>
        <v>4239.44378497541</v>
      </c>
    </row>
    <row r="6814" customFormat="false" ht="15" hidden="false" customHeight="false" outlineLevel="0" collapsed="false">
      <c r="A6814" s="0" t="n">
        <v>6810</v>
      </c>
      <c r="B6814" s="0" t="n">
        <v>10</v>
      </c>
      <c r="C6814" s="19" t="n">
        <v>0.0458</v>
      </c>
      <c r="D6814" s="19" t="n">
        <v>1</v>
      </c>
      <c r="E6814" s="20" t="n">
        <f aca="false">Parametres!$B$5*C6814</f>
        <v>13.74</v>
      </c>
      <c r="F6814" s="20" t="n">
        <f aca="false">Parametres!$B$6*D6814</f>
        <v>200</v>
      </c>
      <c r="G6814" s="20" t="n">
        <f aca="false">E6814+F6814</f>
        <v>213.74</v>
      </c>
      <c r="H6814" s="20" t="n">
        <f aca="false">IF(G6814&lt;Parametres!$B$8*Parametres!$B$7,0,MIN(G6814,Parametres!$B$7))</f>
        <v>213.74</v>
      </c>
      <c r="I6814" s="20" t="n">
        <f aca="false">G6814-H6814</f>
        <v>0</v>
      </c>
      <c r="J6814" s="21" t="n">
        <f aca="false">H6814*1000/Parametres!$B$9</f>
        <v>3624.55485840258</v>
      </c>
    </row>
    <row r="6815" customFormat="false" ht="15" hidden="false" customHeight="false" outlineLevel="0" collapsed="false">
      <c r="A6815" s="0" t="n">
        <v>6811</v>
      </c>
      <c r="B6815" s="0" t="n">
        <v>10</v>
      </c>
      <c r="C6815" s="19" t="n">
        <v>0</v>
      </c>
      <c r="D6815" s="19" t="n">
        <v>1</v>
      </c>
      <c r="E6815" s="20" t="n">
        <f aca="false">Parametres!$B$5*C6815</f>
        <v>0</v>
      </c>
      <c r="F6815" s="20" t="n">
        <f aca="false">Parametres!$B$6*D6815</f>
        <v>200</v>
      </c>
      <c r="G6815" s="20" t="n">
        <f aca="false">E6815+F6815</f>
        <v>200</v>
      </c>
      <c r="H6815" s="20" t="n">
        <f aca="false">IF(G6815&lt;Parametres!$B$8*Parametres!$B$7,0,MIN(G6815,Parametres!$B$7))</f>
        <v>200</v>
      </c>
      <c r="I6815" s="20" t="n">
        <f aca="false">G6815-H6815</f>
        <v>0</v>
      </c>
      <c r="J6815" s="21" t="n">
        <f aca="false">H6815*1000/Parametres!$B$9</f>
        <v>3391.55502798033</v>
      </c>
    </row>
    <row r="6816" customFormat="false" ht="15" hidden="false" customHeight="false" outlineLevel="0" collapsed="false">
      <c r="A6816" s="0" t="n">
        <v>6812</v>
      </c>
      <c r="B6816" s="0" t="n">
        <v>10</v>
      </c>
      <c r="C6816" s="19" t="n">
        <v>0</v>
      </c>
      <c r="D6816" s="19" t="n">
        <v>1</v>
      </c>
      <c r="E6816" s="20" t="n">
        <f aca="false">Parametres!$B$5*C6816</f>
        <v>0</v>
      </c>
      <c r="F6816" s="20" t="n">
        <f aca="false">Parametres!$B$6*D6816</f>
        <v>200</v>
      </c>
      <c r="G6816" s="20" t="n">
        <f aca="false">E6816+F6816</f>
        <v>200</v>
      </c>
      <c r="H6816" s="20" t="n">
        <f aca="false">IF(G6816&lt;Parametres!$B$8*Parametres!$B$7,0,MIN(G6816,Parametres!$B$7))</f>
        <v>200</v>
      </c>
      <c r="I6816" s="20" t="n">
        <f aca="false">G6816-H6816</f>
        <v>0</v>
      </c>
      <c r="J6816" s="21" t="n">
        <f aca="false">H6816*1000/Parametres!$B$9</f>
        <v>3391.55502798033</v>
      </c>
    </row>
    <row r="6817" customFormat="false" ht="15" hidden="false" customHeight="false" outlineLevel="0" collapsed="false">
      <c r="A6817" s="0" t="n">
        <v>6813</v>
      </c>
      <c r="B6817" s="0" t="n">
        <v>10</v>
      </c>
      <c r="C6817" s="19" t="n">
        <v>0</v>
      </c>
      <c r="D6817" s="19" t="n">
        <v>1</v>
      </c>
      <c r="E6817" s="20" t="n">
        <f aca="false">Parametres!$B$5*C6817</f>
        <v>0</v>
      </c>
      <c r="F6817" s="20" t="n">
        <f aca="false">Parametres!$B$6*D6817</f>
        <v>200</v>
      </c>
      <c r="G6817" s="20" t="n">
        <f aca="false">E6817+F6817</f>
        <v>200</v>
      </c>
      <c r="H6817" s="20" t="n">
        <f aca="false">IF(G6817&lt;Parametres!$B$8*Parametres!$B$7,0,MIN(G6817,Parametres!$B$7))</f>
        <v>200</v>
      </c>
      <c r="I6817" s="20" t="n">
        <f aca="false">G6817-H6817</f>
        <v>0</v>
      </c>
      <c r="J6817" s="21" t="n">
        <f aca="false">H6817*1000/Parametres!$B$9</f>
        <v>3391.55502798033</v>
      </c>
    </row>
    <row r="6818" customFormat="false" ht="15" hidden="false" customHeight="false" outlineLevel="0" collapsed="false">
      <c r="A6818" s="0" t="n">
        <v>6814</v>
      </c>
      <c r="B6818" s="0" t="n">
        <v>10</v>
      </c>
      <c r="C6818" s="19" t="n">
        <v>0</v>
      </c>
      <c r="D6818" s="19" t="n">
        <v>1</v>
      </c>
      <c r="E6818" s="20" t="n">
        <f aca="false">Parametres!$B$5*C6818</f>
        <v>0</v>
      </c>
      <c r="F6818" s="20" t="n">
        <f aca="false">Parametres!$B$6*D6818</f>
        <v>200</v>
      </c>
      <c r="G6818" s="20" t="n">
        <f aca="false">E6818+F6818</f>
        <v>200</v>
      </c>
      <c r="H6818" s="20" t="n">
        <f aca="false">IF(G6818&lt;Parametres!$B$8*Parametres!$B$7,0,MIN(G6818,Parametres!$B$7))</f>
        <v>200</v>
      </c>
      <c r="I6818" s="20" t="n">
        <f aca="false">G6818-H6818</f>
        <v>0</v>
      </c>
      <c r="J6818" s="21" t="n">
        <f aca="false">H6818*1000/Parametres!$B$9</f>
        <v>3391.55502798033</v>
      </c>
    </row>
    <row r="6819" customFormat="false" ht="15" hidden="false" customHeight="false" outlineLevel="0" collapsed="false">
      <c r="A6819" s="0" t="n">
        <v>6815</v>
      </c>
      <c r="B6819" s="0" t="n">
        <v>10</v>
      </c>
      <c r="C6819" s="19" t="n">
        <v>0</v>
      </c>
      <c r="D6819" s="19" t="n">
        <v>1</v>
      </c>
      <c r="E6819" s="20" t="n">
        <f aca="false">Parametres!$B$5*C6819</f>
        <v>0</v>
      </c>
      <c r="F6819" s="20" t="n">
        <f aca="false">Parametres!$B$6*D6819</f>
        <v>200</v>
      </c>
      <c r="G6819" s="20" t="n">
        <f aca="false">E6819+F6819</f>
        <v>200</v>
      </c>
      <c r="H6819" s="20" t="n">
        <f aca="false">IF(G6819&lt;Parametres!$B$8*Parametres!$B$7,0,MIN(G6819,Parametres!$B$7))</f>
        <v>200</v>
      </c>
      <c r="I6819" s="20" t="n">
        <f aca="false">G6819-H6819</f>
        <v>0</v>
      </c>
      <c r="J6819" s="21" t="n">
        <f aca="false">H6819*1000/Parametres!$B$9</f>
        <v>3391.55502798033</v>
      </c>
    </row>
    <row r="6820" customFormat="false" ht="15" hidden="false" customHeight="false" outlineLevel="0" collapsed="false">
      <c r="A6820" s="0" t="n">
        <v>6816</v>
      </c>
      <c r="B6820" s="0" t="n">
        <v>10</v>
      </c>
      <c r="C6820" s="19" t="n">
        <v>0</v>
      </c>
      <c r="D6820" s="19" t="n">
        <v>0.7782</v>
      </c>
      <c r="E6820" s="20" t="n">
        <f aca="false">Parametres!$B$5*C6820</f>
        <v>0</v>
      </c>
      <c r="F6820" s="20" t="n">
        <f aca="false">Parametres!$B$6*D6820</f>
        <v>155.64</v>
      </c>
      <c r="G6820" s="20" t="n">
        <f aca="false">E6820+F6820</f>
        <v>155.64</v>
      </c>
      <c r="H6820" s="20" t="n">
        <f aca="false">IF(G6820&lt;Parametres!$B$8*Parametres!$B$7,0,MIN(G6820,Parametres!$B$7))</f>
        <v>155.64</v>
      </c>
      <c r="I6820" s="20" t="n">
        <f aca="false">G6820-H6820</f>
        <v>0</v>
      </c>
      <c r="J6820" s="21" t="n">
        <f aca="false">H6820*1000/Parametres!$B$9</f>
        <v>2639.30812277429</v>
      </c>
    </row>
    <row r="6821" customFormat="false" ht="15" hidden="false" customHeight="false" outlineLevel="0" collapsed="false">
      <c r="A6821" s="0" t="n">
        <v>6817</v>
      </c>
      <c r="B6821" s="0" t="n">
        <v>10</v>
      </c>
      <c r="C6821" s="19" t="n">
        <v>0</v>
      </c>
      <c r="D6821" s="19" t="n">
        <v>0.5122</v>
      </c>
      <c r="E6821" s="20" t="n">
        <f aca="false">Parametres!$B$5*C6821</f>
        <v>0</v>
      </c>
      <c r="F6821" s="20" t="n">
        <f aca="false">Parametres!$B$6*D6821</f>
        <v>102.44</v>
      </c>
      <c r="G6821" s="20" t="n">
        <f aca="false">E6821+F6821</f>
        <v>102.44</v>
      </c>
      <c r="H6821" s="20" t="n">
        <f aca="false">IF(G6821&lt;Parametres!$B$8*Parametres!$B$7,0,MIN(G6821,Parametres!$B$7))</f>
        <v>102.44</v>
      </c>
      <c r="I6821" s="20" t="n">
        <f aca="false">G6821-H6821</f>
        <v>0</v>
      </c>
      <c r="J6821" s="21" t="n">
        <f aca="false">H6821*1000/Parametres!$B$9</f>
        <v>1737.15448533152</v>
      </c>
    </row>
    <row r="6822" customFormat="false" ht="15" hidden="false" customHeight="false" outlineLevel="0" collapsed="false">
      <c r="A6822" s="0" t="n">
        <v>6818</v>
      </c>
      <c r="B6822" s="0" t="n">
        <v>10</v>
      </c>
      <c r="C6822" s="19" t="n">
        <v>0</v>
      </c>
      <c r="D6822" s="19" t="n">
        <v>0.2416</v>
      </c>
      <c r="E6822" s="20" t="n">
        <f aca="false">Parametres!$B$5*C6822</f>
        <v>0</v>
      </c>
      <c r="F6822" s="20" t="n">
        <f aca="false">Parametres!$B$6*D6822</f>
        <v>48.32</v>
      </c>
      <c r="G6822" s="20" t="n">
        <f aca="false">E6822+F6822</f>
        <v>48.32</v>
      </c>
      <c r="H6822" s="20" t="n">
        <f aca="false">IF(G6822&lt;Parametres!$B$8*Parametres!$B$7,0,MIN(G6822,Parametres!$B$7))</f>
        <v>48.32</v>
      </c>
      <c r="I6822" s="20" t="n">
        <f aca="false">G6822-H6822</f>
        <v>0</v>
      </c>
      <c r="J6822" s="21" t="n">
        <f aca="false">H6822*1000/Parametres!$B$9</f>
        <v>819.399694760048</v>
      </c>
    </row>
    <row r="6823" customFormat="false" ht="15" hidden="false" customHeight="false" outlineLevel="0" collapsed="false">
      <c r="A6823" s="0" t="n">
        <v>6819</v>
      </c>
      <c r="B6823" s="0" t="n">
        <v>10</v>
      </c>
      <c r="C6823" s="19" t="n">
        <v>0</v>
      </c>
      <c r="D6823" s="19" t="n">
        <v>0.1195</v>
      </c>
      <c r="E6823" s="20" t="n">
        <f aca="false">Parametres!$B$5*C6823</f>
        <v>0</v>
      </c>
      <c r="F6823" s="20" t="n">
        <f aca="false">Parametres!$B$6*D6823</f>
        <v>23.9</v>
      </c>
      <c r="G6823" s="20" t="n">
        <f aca="false">E6823+F6823</f>
        <v>23.9</v>
      </c>
      <c r="H6823" s="20" t="n">
        <f aca="false">IF(G6823&lt;Parametres!$B$8*Parametres!$B$7,0,MIN(G6823,Parametres!$B$7))</f>
        <v>0</v>
      </c>
      <c r="I6823" s="20" t="n">
        <f aca="false">G6823-H6823</f>
        <v>23.9</v>
      </c>
      <c r="J6823" s="21" t="n">
        <f aca="false">H6823*1000/Parametres!$B$9</f>
        <v>0</v>
      </c>
    </row>
    <row r="6824" customFormat="false" ht="15" hidden="false" customHeight="false" outlineLevel="0" collapsed="false">
      <c r="A6824" s="0" t="n">
        <v>6820</v>
      </c>
      <c r="B6824" s="0" t="n">
        <v>10</v>
      </c>
      <c r="C6824" s="19" t="n">
        <v>0</v>
      </c>
      <c r="D6824" s="19" t="n">
        <v>0.0448</v>
      </c>
      <c r="E6824" s="20" t="n">
        <f aca="false">Parametres!$B$5*C6824</f>
        <v>0</v>
      </c>
      <c r="F6824" s="20" t="n">
        <f aca="false">Parametres!$B$6*D6824</f>
        <v>8.96</v>
      </c>
      <c r="G6824" s="20" t="n">
        <f aca="false">E6824+F6824</f>
        <v>8.96</v>
      </c>
      <c r="H6824" s="20" t="n">
        <f aca="false">IF(G6824&lt;Parametres!$B$8*Parametres!$B$7,0,MIN(G6824,Parametres!$B$7))</f>
        <v>0</v>
      </c>
      <c r="I6824" s="20" t="n">
        <f aca="false">G6824-H6824</f>
        <v>8.96</v>
      </c>
      <c r="J6824" s="21" t="n">
        <f aca="false">H6824*1000/Parametres!$B$9</f>
        <v>0</v>
      </c>
    </row>
    <row r="6825" customFormat="false" ht="15" hidden="false" customHeight="false" outlineLevel="0" collapsed="false">
      <c r="A6825" s="0" t="n">
        <v>6821</v>
      </c>
      <c r="B6825" s="0" t="n">
        <v>10</v>
      </c>
      <c r="C6825" s="19" t="n">
        <v>0</v>
      </c>
      <c r="D6825" s="19" t="n">
        <v>0.0577</v>
      </c>
      <c r="E6825" s="20" t="n">
        <f aca="false">Parametres!$B$5*C6825</f>
        <v>0</v>
      </c>
      <c r="F6825" s="20" t="n">
        <f aca="false">Parametres!$B$6*D6825</f>
        <v>11.54</v>
      </c>
      <c r="G6825" s="20" t="n">
        <f aca="false">E6825+F6825</f>
        <v>11.54</v>
      </c>
      <c r="H6825" s="20" t="n">
        <f aca="false">IF(G6825&lt;Parametres!$B$8*Parametres!$B$7,0,MIN(G6825,Parametres!$B$7))</f>
        <v>0</v>
      </c>
      <c r="I6825" s="20" t="n">
        <f aca="false">G6825-H6825</f>
        <v>11.54</v>
      </c>
      <c r="J6825" s="21" t="n">
        <f aca="false">H6825*1000/Parametres!$B$9</f>
        <v>0</v>
      </c>
    </row>
    <row r="6826" customFormat="false" ht="15" hidden="false" customHeight="false" outlineLevel="0" collapsed="false">
      <c r="A6826" s="0" t="n">
        <v>6822</v>
      </c>
      <c r="B6826" s="0" t="n">
        <v>10</v>
      </c>
      <c r="C6826" s="19" t="n">
        <v>0</v>
      </c>
      <c r="D6826" s="19" t="n">
        <v>0.0346</v>
      </c>
      <c r="E6826" s="20" t="n">
        <f aca="false">Parametres!$B$5*C6826</f>
        <v>0</v>
      </c>
      <c r="F6826" s="20" t="n">
        <f aca="false">Parametres!$B$6*D6826</f>
        <v>6.92</v>
      </c>
      <c r="G6826" s="20" t="n">
        <f aca="false">E6826+F6826</f>
        <v>6.92</v>
      </c>
      <c r="H6826" s="20" t="n">
        <f aca="false">IF(G6826&lt;Parametres!$B$8*Parametres!$B$7,0,MIN(G6826,Parametres!$B$7))</f>
        <v>0</v>
      </c>
      <c r="I6826" s="20" t="n">
        <f aca="false">G6826-H6826</f>
        <v>6.92</v>
      </c>
      <c r="J6826" s="21" t="n">
        <f aca="false">H6826*1000/Parametres!$B$9</f>
        <v>0</v>
      </c>
    </row>
    <row r="6827" customFormat="false" ht="15" hidden="false" customHeight="false" outlineLevel="0" collapsed="false">
      <c r="A6827" s="0" t="n">
        <v>6823</v>
      </c>
      <c r="B6827" s="0" t="n">
        <v>10</v>
      </c>
      <c r="C6827" s="19" t="n">
        <v>0.0334</v>
      </c>
      <c r="D6827" s="19" t="n">
        <v>0.0658</v>
      </c>
      <c r="E6827" s="20" t="n">
        <f aca="false">Parametres!$B$5*C6827</f>
        <v>10.02</v>
      </c>
      <c r="F6827" s="20" t="n">
        <f aca="false">Parametres!$B$6*D6827</f>
        <v>13.16</v>
      </c>
      <c r="G6827" s="20" t="n">
        <f aca="false">E6827+F6827</f>
        <v>23.18</v>
      </c>
      <c r="H6827" s="20" t="n">
        <f aca="false">IF(G6827&lt;Parametres!$B$8*Parametres!$B$7,0,MIN(G6827,Parametres!$B$7))</f>
        <v>0</v>
      </c>
      <c r="I6827" s="20" t="n">
        <f aca="false">G6827-H6827</f>
        <v>23.18</v>
      </c>
      <c r="J6827" s="21" t="n">
        <f aca="false">H6827*1000/Parametres!$B$9</f>
        <v>0</v>
      </c>
    </row>
    <row r="6828" customFormat="false" ht="15" hidden="false" customHeight="false" outlineLevel="0" collapsed="false">
      <c r="A6828" s="0" t="n">
        <v>6824</v>
      </c>
      <c r="B6828" s="0" t="n">
        <v>10</v>
      </c>
      <c r="C6828" s="19" t="n">
        <v>0.2495</v>
      </c>
      <c r="D6828" s="19" t="n">
        <v>0.1038</v>
      </c>
      <c r="E6828" s="20" t="n">
        <f aca="false">Parametres!$B$5*C6828</f>
        <v>74.85</v>
      </c>
      <c r="F6828" s="20" t="n">
        <f aca="false">Parametres!$B$6*D6828</f>
        <v>20.76</v>
      </c>
      <c r="G6828" s="20" t="n">
        <f aca="false">E6828+F6828</f>
        <v>95.61</v>
      </c>
      <c r="H6828" s="20" t="n">
        <f aca="false">IF(G6828&lt;Parametres!$B$8*Parametres!$B$7,0,MIN(G6828,Parametres!$B$7))</f>
        <v>95.61</v>
      </c>
      <c r="I6828" s="20" t="n">
        <f aca="false">G6828-H6828</f>
        <v>0</v>
      </c>
      <c r="J6828" s="21" t="n">
        <f aca="false">H6828*1000/Parametres!$B$9</f>
        <v>1621.332881126</v>
      </c>
    </row>
    <row r="6829" customFormat="false" ht="15" hidden="false" customHeight="false" outlineLevel="0" collapsed="false">
      <c r="A6829" s="0" t="n">
        <v>6825</v>
      </c>
      <c r="B6829" s="0" t="n">
        <v>10</v>
      </c>
      <c r="C6829" s="19" t="n">
        <v>0.4625</v>
      </c>
      <c r="D6829" s="19" t="n">
        <v>0.1084</v>
      </c>
      <c r="E6829" s="20" t="n">
        <f aca="false">Parametres!$B$5*C6829</f>
        <v>138.75</v>
      </c>
      <c r="F6829" s="20" t="n">
        <f aca="false">Parametres!$B$6*D6829</f>
        <v>21.68</v>
      </c>
      <c r="G6829" s="20" t="n">
        <f aca="false">E6829+F6829</f>
        <v>160.43</v>
      </c>
      <c r="H6829" s="20" t="n">
        <f aca="false">IF(G6829&lt;Parametres!$B$8*Parametres!$B$7,0,MIN(G6829,Parametres!$B$7))</f>
        <v>160.43</v>
      </c>
      <c r="I6829" s="20" t="n">
        <f aca="false">G6829-H6829</f>
        <v>0</v>
      </c>
      <c r="J6829" s="21" t="n">
        <f aca="false">H6829*1000/Parametres!$B$9</f>
        <v>2720.53586569442</v>
      </c>
    </row>
    <row r="6830" customFormat="false" ht="15" hidden="false" customHeight="false" outlineLevel="0" collapsed="false">
      <c r="A6830" s="0" t="n">
        <v>6826</v>
      </c>
      <c r="B6830" s="0" t="n">
        <v>10</v>
      </c>
      <c r="C6830" s="19" t="n">
        <v>0.6115</v>
      </c>
      <c r="D6830" s="19" t="n">
        <v>0.2156</v>
      </c>
      <c r="E6830" s="20" t="n">
        <f aca="false">Parametres!$B$5*C6830</f>
        <v>183.45</v>
      </c>
      <c r="F6830" s="20" t="n">
        <f aca="false">Parametres!$B$6*D6830</f>
        <v>43.12</v>
      </c>
      <c r="G6830" s="20" t="n">
        <f aca="false">E6830+F6830</f>
        <v>226.57</v>
      </c>
      <c r="H6830" s="20" t="n">
        <f aca="false">IF(G6830&lt;Parametres!$B$8*Parametres!$B$7,0,MIN(G6830,Parametres!$B$7))</f>
        <v>226.57</v>
      </c>
      <c r="I6830" s="20" t="n">
        <f aca="false">G6830-H6830</f>
        <v>0</v>
      </c>
      <c r="J6830" s="21" t="n">
        <f aca="false">H6830*1000/Parametres!$B$9</f>
        <v>3842.12311344752</v>
      </c>
    </row>
    <row r="6831" customFormat="false" ht="15" hidden="false" customHeight="false" outlineLevel="0" collapsed="false">
      <c r="A6831" s="0" t="n">
        <v>6827</v>
      </c>
      <c r="B6831" s="0" t="n">
        <v>10</v>
      </c>
      <c r="C6831" s="19" t="n">
        <v>0.8048</v>
      </c>
      <c r="D6831" s="19" t="n">
        <v>0.2189</v>
      </c>
      <c r="E6831" s="20" t="n">
        <f aca="false">Parametres!$B$5*C6831</f>
        <v>241.44</v>
      </c>
      <c r="F6831" s="20" t="n">
        <f aca="false">Parametres!$B$6*D6831</f>
        <v>43.78</v>
      </c>
      <c r="G6831" s="20" t="n">
        <f aca="false">E6831+F6831</f>
        <v>285.22</v>
      </c>
      <c r="H6831" s="20" t="n">
        <f aca="false">IF(G6831&lt;Parametres!$B$8*Parametres!$B$7,0,MIN(G6831,Parametres!$B$7))</f>
        <v>250</v>
      </c>
      <c r="I6831" s="20" t="n">
        <f aca="false">G6831-H6831</f>
        <v>35.22</v>
      </c>
      <c r="J6831" s="21" t="n">
        <f aca="false">H6831*1000/Parametres!$B$9</f>
        <v>4239.44378497541</v>
      </c>
    </row>
    <row r="6832" customFormat="false" ht="15" hidden="false" customHeight="false" outlineLevel="0" collapsed="false">
      <c r="A6832" s="0" t="n">
        <v>6828</v>
      </c>
      <c r="B6832" s="0" t="n">
        <v>10</v>
      </c>
      <c r="C6832" s="19" t="n">
        <v>0.8657</v>
      </c>
      <c r="D6832" s="19" t="n">
        <v>0.1075</v>
      </c>
      <c r="E6832" s="20" t="n">
        <f aca="false">Parametres!$B$5*C6832</f>
        <v>259.71</v>
      </c>
      <c r="F6832" s="20" t="n">
        <f aca="false">Parametres!$B$6*D6832</f>
        <v>21.5</v>
      </c>
      <c r="G6832" s="20" t="n">
        <f aca="false">E6832+F6832</f>
        <v>281.21</v>
      </c>
      <c r="H6832" s="20" t="n">
        <f aca="false">IF(G6832&lt;Parametres!$B$8*Parametres!$B$7,0,MIN(G6832,Parametres!$B$7))</f>
        <v>250</v>
      </c>
      <c r="I6832" s="20" t="n">
        <f aca="false">G6832-H6832</f>
        <v>31.21</v>
      </c>
      <c r="J6832" s="21" t="n">
        <f aca="false">H6832*1000/Parametres!$B$9</f>
        <v>4239.44378497541</v>
      </c>
    </row>
    <row r="6833" customFormat="false" ht="15" hidden="false" customHeight="false" outlineLevel="0" collapsed="false">
      <c r="A6833" s="0" t="n">
        <v>6829</v>
      </c>
      <c r="B6833" s="0" t="n">
        <v>10</v>
      </c>
      <c r="C6833" s="19" t="n">
        <v>0.8</v>
      </c>
      <c r="D6833" s="19" t="n">
        <v>0.0922</v>
      </c>
      <c r="E6833" s="20" t="n">
        <f aca="false">Parametres!$B$5*C6833</f>
        <v>240</v>
      </c>
      <c r="F6833" s="20" t="n">
        <f aca="false">Parametres!$B$6*D6833</f>
        <v>18.44</v>
      </c>
      <c r="G6833" s="20" t="n">
        <f aca="false">E6833+F6833</f>
        <v>258.44</v>
      </c>
      <c r="H6833" s="20" t="n">
        <f aca="false">IF(G6833&lt;Parametres!$B$8*Parametres!$B$7,0,MIN(G6833,Parametres!$B$7))</f>
        <v>250</v>
      </c>
      <c r="I6833" s="20" t="n">
        <f aca="false">G6833-H6833</f>
        <v>8.44</v>
      </c>
      <c r="J6833" s="21" t="n">
        <f aca="false">H6833*1000/Parametres!$B$9</f>
        <v>4239.44378497541</v>
      </c>
    </row>
    <row r="6834" customFormat="false" ht="15" hidden="false" customHeight="false" outlineLevel="0" collapsed="false">
      <c r="A6834" s="0" t="n">
        <v>6830</v>
      </c>
      <c r="B6834" s="0" t="n">
        <v>10</v>
      </c>
      <c r="C6834" s="19" t="n">
        <v>0.7287</v>
      </c>
      <c r="D6834" s="19" t="n">
        <v>0.1061</v>
      </c>
      <c r="E6834" s="20" t="n">
        <f aca="false">Parametres!$B$5*C6834</f>
        <v>218.61</v>
      </c>
      <c r="F6834" s="20" t="n">
        <f aca="false">Parametres!$B$6*D6834</f>
        <v>21.22</v>
      </c>
      <c r="G6834" s="20" t="n">
        <f aca="false">E6834+F6834</f>
        <v>239.83</v>
      </c>
      <c r="H6834" s="20" t="n">
        <f aca="false">IF(G6834&lt;Parametres!$B$8*Parametres!$B$7,0,MIN(G6834,Parametres!$B$7))</f>
        <v>239.83</v>
      </c>
      <c r="I6834" s="20" t="n">
        <f aca="false">G6834-H6834</f>
        <v>0</v>
      </c>
      <c r="J6834" s="21" t="n">
        <f aca="false">H6834*1000/Parametres!$B$9</f>
        <v>4066.98321180261</v>
      </c>
    </row>
    <row r="6835" customFormat="false" ht="15" hidden="false" customHeight="false" outlineLevel="0" collapsed="false">
      <c r="A6835" s="0" t="n">
        <v>6831</v>
      </c>
      <c r="B6835" s="0" t="n">
        <v>10</v>
      </c>
      <c r="C6835" s="19" t="n">
        <v>0.6201</v>
      </c>
      <c r="D6835" s="19" t="n">
        <v>0.1111</v>
      </c>
      <c r="E6835" s="20" t="n">
        <f aca="false">Parametres!$B$5*C6835</f>
        <v>186.03</v>
      </c>
      <c r="F6835" s="20" t="n">
        <f aca="false">Parametres!$B$6*D6835</f>
        <v>22.22</v>
      </c>
      <c r="G6835" s="20" t="n">
        <f aca="false">E6835+F6835</f>
        <v>208.25</v>
      </c>
      <c r="H6835" s="20" t="n">
        <f aca="false">IF(G6835&lt;Parametres!$B$8*Parametres!$B$7,0,MIN(G6835,Parametres!$B$7))</f>
        <v>208.25</v>
      </c>
      <c r="I6835" s="20" t="n">
        <f aca="false">G6835-H6835</f>
        <v>0</v>
      </c>
      <c r="J6835" s="21" t="n">
        <f aca="false">H6835*1000/Parametres!$B$9</f>
        <v>3531.45667288452</v>
      </c>
    </row>
    <row r="6836" customFormat="false" ht="15" hidden="false" customHeight="false" outlineLevel="0" collapsed="false">
      <c r="A6836" s="0" t="n">
        <v>6832</v>
      </c>
      <c r="B6836" s="0" t="n">
        <v>10</v>
      </c>
      <c r="C6836" s="19" t="n">
        <v>0.4808</v>
      </c>
      <c r="D6836" s="19" t="n">
        <v>0.0578</v>
      </c>
      <c r="E6836" s="20" t="n">
        <f aca="false">Parametres!$B$5*C6836</f>
        <v>144.24</v>
      </c>
      <c r="F6836" s="20" t="n">
        <f aca="false">Parametres!$B$6*D6836</f>
        <v>11.56</v>
      </c>
      <c r="G6836" s="20" t="n">
        <f aca="false">E6836+F6836</f>
        <v>155.8</v>
      </c>
      <c r="H6836" s="20" t="n">
        <f aca="false">IF(G6836&lt;Parametres!$B$8*Parametres!$B$7,0,MIN(G6836,Parametres!$B$7))</f>
        <v>155.8</v>
      </c>
      <c r="I6836" s="20" t="n">
        <f aca="false">G6836-H6836</f>
        <v>0</v>
      </c>
      <c r="J6836" s="21" t="n">
        <f aca="false">H6836*1000/Parametres!$B$9</f>
        <v>2642.02136679668</v>
      </c>
    </row>
    <row r="6837" customFormat="false" ht="15" hidden="false" customHeight="false" outlineLevel="0" collapsed="false">
      <c r="A6837" s="0" t="n">
        <v>6833</v>
      </c>
      <c r="B6837" s="0" t="n">
        <v>10</v>
      </c>
      <c r="C6837" s="19" t="n">
        <v>0.2369</v>
      </c>
      <c r="D6837" s="19" t="n">
        <v>0.092</v>
      </c>
      <c r="E6837" s="20" t="n">
        <f aca="false">Parametres!$B$5*C6837</f>
        <v>71.07</v>
      </c>
      <c r="F6837" s="20" t="n">
        <f aca="false">Parametres!$B$6*D6837</f>
        <v>18.4</v>
      </c>
      <c r="G6837" s="20" t="n">
        <f aca="false">E6837+F6837</f>
        <v>89.47</v>
      </c>
      <c r="H6837" s="20" t="n">
        <f aca="false">IF(G6837&lt;Parametres!$B$8*Parametres!$B$7,0,MIN(G6837,Parametres!$B$7))</f>
        <v>89.47</v>
      </c>
      <c r="I6837" s="20" t="n">
        <f aca="false">G6837-H6837</f>
        <v>0</v>
      </c>
      <c r="J6837" s="21" t="n">
        <f aca="false">H6837*1000/Parametres!$B$9</f>
        <v>1517.212141767</v>
      </c>
    </row>
    <row r="6838" customFormat="false" ht="15" hidden="false" customHeight="false" outlineLevel="0" collapsed="false">
      <c r="A6838" s="0" t="n">
        <v>6834</v>
      </c>
      <c r="B6838" s="0" t="n">
        <v>10</v>
      </c>
      <c r="C6838" s="19" t="n">
        <v>0.0359</v>
      </c>
      <c r="D6838" s="19" t="n">
        <v>0.0631</v>
      </c>
      <c r="E6838" s="20" t="n">
        <f aca="false">Parametres!$B$5*C6838</f>
        <v>10.77</v>
      </c>
      <c r="F6838" s="20" t="n">
        <f aca="false">Parametres!$B$6*D6838</f>
        <v>12.62</v>
      </c>
      <c r="G6838" s="20" t="n">
        <f aca="false">E6838+F6838</f>
        <v>23.39</v>
      </c>
      <c r="H6838" s="20" t="n">
        <f aca="false">IF(G6838&lt;Parametres!$B$8*Parametres!$B$7,0,MIN(G6838,Parametres!$B$7))</f>
        <v>0</v>
      </c>
      <c r="I6838" s="20" t="n">
        <f aca="false">G6838-H6838</f>
        <v>23.39</v>
      </c>
      <c r="J6838" s="21" t="n">
        <f aca="false">H6838*1000/Parametres!$B$9</f>
        <v>0</v>
      </c>
    </row>
    <row r="6839" customFormat="false" ht="15" hidden="false" customHeight="false" outlineLevel="0" collapsed="false">
      <c r="A6839" s="0" t="n">
        <v>6835</v>
      </c>
      <c r="B6839" s="0" t="n">
        <v>10</v>
      </c>
      <c r="C6839" s="19" t="n">
        <v>0</v>
      </c>
      <c r="D6839" s="19" t="n">
        <v>0.1144</v>
      </c>
      <c r="E6839" s="20" t="n">
        <f aca="false">Parametres!$B$5*C6839</f>
        <v>0</v>
      </c>
      <c r="F6839" s="20" t="n">
        <f aca="false">Parametres!$B$6*D6839</f>
        <v>22.88</v>
      </c>
      <c r="G6839" s="20" t="n">
        <f aca="false">E6839+F6839</f>
        <v>22.88</v>
      </c>
      <c r="H6839" s="20" t="n">
        <f aca="false">IF(G6839&lt;Parametres!$B$8*Parametres!$B$7,0,MIN(G6839,Parametres!$B$7))</f>
        <v>0</v>
      </c>
      <c r="I6839" s="20" t="n">
        <f aca="false">G6839-H6839</f>
        <v>22.88</v>
      </c>
      <c r="J6839" s="21" t="n">
        <f aca="false">H6839*1000/Parametres!$B$9</f>
        <v>0</v>
      </c>
    </row>
    <row r="6840" customFormat="false" ht="15" hidden="false" customHeight="false" outlineLevel="0" collapsed="false">
      <c r="A6840" s="0" t="n">
        <v>6836</v>
      </c>
      <c r="B6840" s="0" t="n">
        <v>10</v>
      </c>
      <c r="C6840" s="19" t="n">
        <v>0</v>
      </c>
      <c r="D6840" s="19" t="n">
        <v>0.1202</v>
      </c>
      <c r="E6840" s="20" t="n">
        <f aca="false">Parametres!$B$5*C6840</f>
        <v>0</v>
      </c>
      <c r="F6840" s="20" t="n">
        <f aca="false">Parametres!$B$6*D6840</f>
        <v>24.04</v>
      </c>
      <c r="G6840" s="20" t="n">
        <f aca="false">E6840+F6840</f>
        <v>24.04</v>
      </c>
      <c r="H6840" s="20" t="n">
        <f aca="false">IF(G6840&lt;Parametres!$B$8*Parametres!$B$7,0,MIN(G6840,Parametres!$B$7))</f>
        <v>0</v>
      </c>
      <c r="I6840" s="20" t="n">
        <f aca="false">G6840-H6840</f>
        <v>24.04</v>
      </c>
      <c r="J6840" s="21" t="n">
        <f aca="false">H6840*1000/Parametres!$B$9</f>
        <v>0</v>
      </c>
    </row>
    <row r="6841" customFormat="false" ht="15" hidden="false" customHeight="false" outlineLevel="0" collapsed="false">
      <c r="A6841" s="0" t="n">
        <v>6837</v>
      </c>
      <c r="B6841" s="0" t="n">
        <v>10</v>
      </c>
      <c r="C6841" s="19" t="n">
        <v>0</v>
      </c>
      <c r="D6841" s="19" t="n">
        <v>0.2192</v>
      </c>
      <c r="E6841" s="20" t="n">
        <f aca="false">Parametres!$B$5*C6841</f>
        <v>0</v>
      </c>
      <c r="F6841" s="20" t="n">
        <f aca="false">Parametres!$B$6*D6841</f>
        <v>43.84</v>
      </c>
      <c r="G6841" s="20" t="n">
        <f aca="false">E6841+F6841</f>
        <v>43.84</v>
      </c>
      <c r="H6841" s="20" t="n">
        <f aca="false">IF(G6841&lt;Parametres!$B$8*Parametres!$B$7,0,MIN(G6841,Parametres!$B$7))</f>
        <v>43.84</v>
      </c>
      <c r="I6841" s="20" t="n">
        <f aca="false">G6841-H6841</f>
        <v>0</v>
      </c>
      <c r="J6841" s="21" t="n">
        <f aca="false">H6841*1000/Parametres!$B$9</f>
        <v>743.428862133288</v>
      </c>
    </row>
    <row r="6842" customFormat="false" ht="15" hidden="false" customHeight="false" outlineLevel="0" collapsed="false">
      <c r="A6842" s="0" t="n">
        <v>6838</v>
      </c>
      <c r="B6842" s="0" t="n">
        <v>10</v>
      </c>
      <c r="C6842" s="19" t="n">
        <v>0</v>
      </c>
      <c r="D6842" s="19" t="n">
        <v>0.2903</v>
      </c>
      <c r="E6842" s="20" t="n">
        <f aca="false">Parametres!$B$5*C6842</f>
        <v>0</v>
      </c>
      <c r="F6842" s="20" t="n">
        <f aca="false">Parametres!$B$6*D6842</f>
        <v>58.06</v>
      </c>
      <c r="G6842" s="20" t="n">
        <f aca="false">E6842+F6842</f>
        <v>58.06</v>
      </c>
      <c r="H6842" s="20" t="n">
        <f aca="false">IF(G6842&lt;Parametres!$B$8*Parametres!$B$7,0,MIN(G6842,Parametres!$B$7))</f>
        <v>58.06</v>
      </c>
      <c r="I6842" s="20" t="n">
        <f aca="false">G6842-H6842</f>
        <v>0</v>
      </c>
      <c r="J6842" s="21" t="n">
        <f aca="false">H6842*1000/Parametres!$B$9</f>
        <v>984.56842462269</v>
      </c>
    </row>
    <row r="6843" customFormat="false" ht="15" hidden="false" customHeight="false" outlineLevel="0" collapsed="false">
      <c r="A6843" s="0" t="n">
        <v>6839</v>
      </c>
      <c r="B6843" s="0" t="n">
        <v>10</v>
      </c>
      <c r="C6843" s="19" t="n">
        <v>0</v>
      </c>
      <c r="D6843" s="19" t="n">
        <v>0.2206</v>
      </c>
      <c r="E6843" s="20" t="n">
        <f aca="false">Parametres!$B$5*C6843</f>
        <v>0</v>
      </c>
      <c r="F6843" s="20" t="n">
        <f aca="false">Parametres!$B$6*D6843</f>
        <v>44.12</v>
      </c>
      <c r="G6843" s="20" t="n">
        <f aca="false">E6843+F6843</f>
        <v>44.12</v>
      </c>
      <c r="H6843" s="20" t="n">
        <f aca="false">IF(G6843&lt;Parametres!$B$8*Parametres!$B$7,0,MIN(G6843,Parametres!$B$7))</f>
        <v>44.12</v>
      </c>
      <c r="I6843" s="20" t="n">
        <f aca="false">G6843-H6843</f>
        <v>0</v>
      </c>
      <c r="J6843" s="21" t="n">
        <f aca="false">H6843*1000/Parametres!$B$9</f>
        <v>748.177039172461</v>
      </c>
    </row>
    <row r="6844" customFormat="false" ht="15" hidden="false" customHeight="false" outlineLevel="0" collapsed="false">
      <c r="A6844" s="0" t="n">
        <v>6840</v>
      </c>
      <c r="B6844" s="0" t="n">
        <v>10</v>
      </c>
      <c r="C6844" s="19" t="n">
        <v>0</v>
      </c>
      <c r="D6844" s="19" t="n">
        <v>0.3259</v>
      </c>
      <c r="E6844" s="20" t="n">
        <f aca="false">Parametres!$B$5*C6844</f>
        <v>0</v>
      </c>
      <c r="F6844" s="20" t="n">
        <f aca="false">Parametres!$B$6*D6844</f>
        <v>65.18</v>
      </c>
      <c r="G6844" s="20" t="n">
        <f aca="false">E6844+F6844</f>
        <v>65.18</v>
      </c>
      <c r="H6844" s="20" t="n">
        <f aca="false">IF(G6844&lt;Parametres!$B$8*Parametres!$B$7,0,MIN(G6844,Parametres!$B$7))</f>
        <v>65.18</v>
      </c>
      <c r="I6844" s="20" t="n">
        <f aca="false">G6844-H6844</f>
        <v>0</v>
      </c>
      <c r="J6844" s="21" t="n">
        <f aca="false">H6844*1000/Parametres!$B$9</f>
        <v>1105.30778361879</v>
      </c>
    </row>
    <row r="6845" customFormat="false" ht="15" hidden="false" customHeight="false" outlineLevel="0" collapsed="false">
      <c r="A6845" s="0" t="n">
        <v>6841</v>
      </c>
      <c r="B6845" s="0" t="n">
        <v>10</v>
      </c>
      <c r="C6845" s="19" t="n">
        <v>0</v>
      </c>
      <c r="D6845" s="19" t="n">
        <v>0.2591</v>
      </c>
      <c r="E6845" s="20" t="n">
        <f aca="false">Parametres!$B$5*C6845</f>
        <v>0</v>
      </c>
      <c r="F6845" s="20" t="n">
        <f aca="false">Parametres!$B$6*D6845</f>
        <v>51.82</v>
      </c>
      <c r="G6845" s="20" t="n">
        <f aca="false">E6845+F6845</f>
        <v>51.82</v>
      </c>
      <c r="H6845" s="20" t="n">
        <f aca="false">IF(G6845&lt;Parametres!$B$8*Parametres!$B$7,0,MIN(G6845,Parametres!$B$7))</f>
        <v>51.82</v>
      </c>
      <c r="I6845" s="20" t="n">
        <f aca="false">G6845-H6845</f>
        <v>0</v>
      </c>
      <c r="J6845" s="21" t="n">
        <f aca="false">H6845*1000/Parametres!$B$9</f>
        <v>878.751907749703</v>
      </c>
    </row>
    <row r="6846" customFormat="false" ht="15" hidden="false" customHeight="false" outlineLevel="0" collapsed="false">
      <c r="A6846" s="0" t="n">
        <v>6842</v>
      </c>
      <c r="B6846" s="0" t="n">
        <v>10</v>
      </c>
      <c r="C6846" s="19" t="n">
        <v>0</v>
      </c>
      <c r="D6846" s="19" t="n">
        <v>0.26</v>
      </c>
      <c r="E6846" s="20" t="n">
        <f aca="false">Parametres!$B$5*C6846</f>
        <v>0</v>
      </c>
      <c r="F6846" s="20" t="n">
        <f aca="false">Parametres!$B$6*D6846</f>
        <v>52</v>
      </c>
      <c r="G6846" s="20" t="n">
        <f aca="false">E6846+F6846</f>
        <v>52</v>
      </c>
      <c r="H6846" s="20" t="n">
        <f aca="false">IF(G6846&lt;Parametres!$B$8*Parametres!$B$7,0,MIN(G6846,Parametres!$B$7))</f>
        <v>52</v>
      </c>
      <c r="I6846" s="20" t="n">
        <f aca="false">G6846-H6846</f>
        <v>0</v>
      </c>
      <c r="J6846" s="21" t="n">
        <f aca="false">H6846*1000/Parametres!$B$9</f>
        <v>881.804307274886</v>
      </c>
    </row>
    <row r="6847" customFormat="false" ht="15" hidden="false" customHeight="false" outlineLevel="0" collapsed="false">
      <c r="A6847" s="0" t="n">
        <v>6843</v>
      </c>
      <c r="B6847" s="0" t="n">
        <v>10</v>
      </c>
      <c r="C6847" s="19" t="n">
        <v>0</v>
      </c>
      <c r="D6847" s="19" t="n">
        <v>0.3641</v>
      </c>
      <c r="E6847" s="20" t="n">
        <f aca="false">Parametres!$B$5*C6847</f>
        <v>0</v>
      </c>
      <c r="F6847" s="20" t="n">
        <f aca="false">Parametres!$B$6*D6847</f>
        <v>72.82</v>
      </c>
      <c r="G6847" s="20" t="n">
        <f aca="false">E6847+F6847</f>
        <v>72.82</v>
      </c>
      <c r="H6847" s="20" t="n">
        <f aca="false">IF(G6847&lt;Parametres!$B$8*Parametres!$B$7,0,MIN(G6847,Parametres!$B$7))</f>
        <v>72.82</v>
      </c>
      <c r="I6847" s="20" t="n">
        <f aca="false">G6847-H6847</f>
        <v>0</v>
      </c>
      <c r="J6847" s="21" t="n">
        <f aca="false">H6847*1000/Parametres!$B$9</f>
        <v>1234.86518568764</v>
      </c>
    </row>
    <row r="6848" customFormat="false" ht="15" hidden="false" customHeight="false" outlineLevel="0" collapsed="false">
      <c r="A6848" s="0" t="n">
        <v>6844</v>
      </c>
      <c r="B6848" s="0" t="n">
        <v>10</v>
      </c>
      <c r="C6848" s="19" t="n">
        <v>0</v>
      </c>
      <c r="D6848" s="19" t="n">
        <v>0.3719</v>
      </c>
      <c r="E6848" s="20" t="n">
        <f aca="false">Parametres!$B$5*C6848</f>
        <v>0</v>
      </c>
      <c r="F6848" s="20" t="n">
        <f aca="false">Parametres!$B$6*D6848</f>
        <v>74.38</v>
      </c>
      <c r="G6848" s="20" t="n">
        <f aca="false">E6848+F6848</f>
        <v>74.38</v>
      </c>
      <c r="H6848" s="20" t="n">
        <f aca="false">IF(G6848&lt;Parametres!$B$8*Parametres!$B$7,0,MIN(G6848,Parametres!$B$7))</f>
        <v>74.38</v>
      </c>
      <c r="I6848" s="20" t="n">
        <f aca="false">G6848-H6848</f>
        <v>0</v>
      </c>
      <c r="J6848" s="21" t="n">
        <f aca="false">H6848*1000/Parametres!$B$9</f>
        <v>1261.31931490588</v>
      </c>
    </row>
    <row r="6849" customFormat="false" ht="15" hidden="false" customHeight="false" outlineLevel="0" collapsed="false">
      <c r="A6849" s="0" t="n">
        <v>6845</v>
      </c>
      <c r="B6849" s="0" t="n">
        <v>10</v>
      </c>
      <c r="C6849" s="19" t="n">
        <v>0</v>
      </c>
      <c r="D6849" s="19" t="n">
        <v>0.5116</v>
      </c>
      <c r="E6849" s="20" t="n">
        <f aca="false">Parametres!$B$5*C6849</f>
        <v>0</v>
      </c>
      <c r="F6849" s="20" t="n">
        <f aca="false">Parametres!$B$6*D6849</f>
        <v>102.32</v>
      </c>
      <c r="G6849" s="20" t="n">
        <f aca="false">E6849+F6849</f>
        <v>102.32</v>
      </c>
      <c r="H6849" s="20" t="n">
        <f aca="false">IF(G6849&lt;Parametres!$B$8*Parametres!$B$7,0,MIN(G6849,Parametres!$B$7))</f>
        <v>102.32</v>
      </c>
      <c r="I6849" s="20" t="n">
        <f aca="false">G6849-H6849</f>
        <v>0</v>
      </c>
      <c r="J6849" s="21" t="n">
        <f aca="false">H6849*1000/Parametres!$B$9</f>
        <v>1735.11955231474</v>
      </c>
    </row>
    <row r="6850" customFormat="false" ht="15" hidden="false" customHeight="false" outlineLevel="0" collapsed="false">
      <c r="A6850" s="0" t="n">
        <v>6846</v>
      </c>
      <c r="B6850" s="0" t="n">
        <v>10</v>
      </c>
      <c r="C6850" s="19" t="n">
        <v>0</v>
      </c>
      <c r="D6850" s="19" t="n">
        <v>0.6909</v>
      </c>
      <c r="E6850" s="20" t="n">
        <f aca="false">Parametres!$B$5*C6850</f>
        <v>0</v>
      </c>
      <c r="F6850" s="20" t="n">
        <f aca="false">Parametres!$B$6*D6850</f>
        <v>138.18</v>
      </c>
      <c r="G6850" s="20" t="n">
        <f aca="false">E6850+F6850</f>
        <v>138.18</v>
      </c>
      <c r="H6850" s="20" t="n">
        <f aca="false">IF(G6850&lt;Parametres!$B$8*Parametres!$B$7,0,MIN(G6850,Parametres!$B$7))</f>
        <v>138.18</v>
      </c>
      <c r="I6850" s="20" t="n">
        <f aca="false">G6850-H6850</f>
        <v>0</v>
      </c>
      <c r="J6850" s="21" t="n">
        <f aca="false">H6850*1000/Parametres!$B$9</f>
        <v>2343.22536883161</v>
      </c>
    </row>
    <row r="6851" customFormat="false" ht="15" hidden="false" customHeight="false" outlineLevel="0" collapsed="false">
      <c r="A6851" s="0" t="n">
        <v>6847</v>
      </c>
      <c r="B6851" s="0" t="n">
        <v>10</v>
      </c>
      <c r="C6851" s="19" t="n">
        <v>0.0388</v>
      </c>
      <c r="D6851" s="19" t="n">
        <v>0.8622</v>
      </c>
      <c r="E6851" s="20" t="n">
        <f aca="false">Parametres!$B$5*C6851</f>
        <v>11.64</v>
      </c>
      <c r="F6851" s="20" t="n">
        <f aca="false">Parametres!$B$6*D6851</f>
        <v>172.44</v>
      </c>
      <c r="G6851" s="20" t="n">
        <f aca="false">E6851+F6851</f>
        <v>184.08</v>
      </c>
      <c r="H6851" s="20" t="n">
        <f aca="false">IF(G6851&lt;Parametres!$B$8*Parametres!$B$7,0,MIN(G6851,Parametres!$B$7))</f>
        <v>184.08</v>
      </c>
      <c r="I6851" s="20" t="n">
        <f aca="false">G6851-H6851</f>
        <v>0</v>
      </c>
      <c r="J6851" s="21" t="n">
        <f aca="false">H6851*1000/Parametres!$B$9</f>
        <v>3121.58724775309</v>
      </c>
    </row>
    <row r="6852" customFormat="false" ht="15" hidden="false" customHeight="false" outlineLevel="0" collapsed="false">
      <c r="A6852" s="0" t="n">
        <v>6848</v>
      </c>
      <c r="B6852" s="0" t="n">
        <v>10</v>
      </c>
      <c r="C6852" s="19" t="n">
        <v>0.2771</v>
      </c>
      <c r="D6852" s="19" t="n">
        <v>0.8251</v>
      </c>
      <c r="E6852" s="20" t="n">
        <f aca="false">Parametres!$B$5*C6852</f>
        <v>83.13</v>
      </c>
      <c r="F6852" s="20" t="n">
        <f aca="false">Parametres!$B$6*D6852</f>
        <v>165.02</v>
      </c>
      <c r="G6852" s="20" t="n">
        <f aca="false">E6852+F6852</f>
        <v>248.15</v>
      </c>
      <c r="H6852" s="20" t="n">
        <f aca="false">IF(G6852&lt;Parametres!$B$8*Parametres!$B$7,0,MIN(G6852,Parametres!$B$7))</f>
        <v>248.15</v>
      </c>
      <c r="I6852" s="20" t="n">
        <f aca="false">G6852-H6852</f>
        <v>0</v>
      </c>
      <c r="J6852" s="21" t="n">
        <f aca="false">H6852*1000/Parametres!$B$9</f>
        <v>4208.07190096659</v>
      </c>
    </row>
    <row r="6853" customFormat="false" ht="15" hidden="false" customHeight="false" outlineLevel="0" collapsed="false">
      <c r="A6853" s="0" t="n">
        <v>6849</v>
      </c>
      <c r="B6853" s="0" t="n">
        <v>10</v>
      </c>
      <c r="C6853" s="19" t="n">
        <v>0.5293</v>
      </c>
      <c r="D6853" s="19" t="n">
        <v>0.5826</v>
      </c>
      <c r="E6853" s="20" t="n">
        <f aca="false">Parametres!$B$5*C6853</f>
        <v>158.79</v>
      </c>
      <c r="F6853" s="20" t="n">
        <f aca="false">Parametres!$B$6*D6853</f>
        <v>116.52</v>
      </c>
      <c r="G6853" s="20" t="n">
        <f aca="false">E6853+F6853</f>
        <v>275.31</v>
      </c>
      <c r="H6853" s="20" t="n">
        <f aca="false">IF(G6853&lt;Parametres!$B$8*Parametres!$B$7,0,MIN(G6853,Parametres!$B$7))</f>
        <v>250</v>
      </c>
      <c r="I6853" s="20" t="n">
        <f aca="false">G6853-H6853</f>
        <v>25.31</v>
      </c>
      <c r="J6853" s="21" t="n">
        <f aca="false">H6853*1000/Parametres!$B$9</f>
        <v>4239.44378497541</v>
      </c>
    </row>
    <row r="6854" customFormat="false" ht="15" hidden="false" customHeight="false" outlineLevel="0" collapsed="false">
      <c r="A6854" s="0" t="n">
        <v>6850</v>
      </c>
      <c r="B6854" s="0" t="n">
        <v>10</v>
      </c>
      <c r="C6854" s="19" t="n">
        <v>0.7993</v>
      </c>
      <c r="D6854" s="19" t="n">
        <v>0.5169</v>
      </c>
      <c r="E6854" s="20" t="n">
        <f aca="false">Parametres!$B$5*C6854</f>
        <v>239.79</v>
      </c>
      <c r="F6854" s="20" t="n">
        <f aca="false">Parametres!$B$6*D6854</f>
        <v>103.38</v>
      </c>
      <c r="G6854" s="20" t="n">
        <f aca="false">E6854+F6854</f>
        <v>343.17</v>
      </c>
      <c r="H6854" s="20" t="n">
        <f aca="false">IF(G6854&lt;Parametres!$B$8*Parametres!$B$7,0,MIN(G6854,Parametres!$B$7))</f>
        <v>250</v>
      </c>
      <c r="I6854" s="20" t="n">
        <f aca="false">G6854-H6854</f>
        <v>93.17</v>
      </c>
      <c r="J6854" s="21" t="n">
        <f aca="false">H6854*1000/Parametres!$B$9</f>
        <v>4239.44378497541</v>
      </c>
    </row>
    <row r="6855" customFormat="false" ht="15" hidden="false" customHeight="false" outlineLevel="0" collapsed="false">
      <c r="A6855" s="0" t="n">
        <v>6851</v>
      </c>
      <c r="B6855" s="0" t="n">
        <v>10</v>
      </c>
      <c r="C6855" s="19" t="n">
        <v>0.9467</v>
      </c>
      <c r="D6855" s="19" t="n">
        <v>0.4594</v>
      </c>
      <c r="E6855" s="20" t="n">
        <f aca="false">Parametres!$B$5*C6855</f>
        <v>284.01</v>
      </c>
      <c r="F6855" s="20" t="n">
        <f aca="false">Parametres!$B$6*D6855</f>
        <v>91.88</v>
      </c>
      <c r="G6855" s="20" t="n">
        <f aca="false">E6855+F6855</f>
        <v>375.89</v>
      </c>
      <c r="H6855" s="20" t="n">
        <f aca="false">IF(G6855&lt;Parametres!$B$8*Parametres!$B$7,0,MIN(G6855,Parametres!$B$7))</f>
        <v>250</v>
      </c>
      <c r="I6855" s="20" t="n">
        <f aca="false">G6855-H6855</f>
        <v>125.89</v>
      </c>
      <c r="J6855" s="21" t="n">
        <f aca="false">H6855*1000/Parametres!$B$9</f>
        <v>4239.44378497541</v>
      </c>
    </row>
    <row r="6856" customFormat="false" ht="15" hidden="false" customHeight="false" outlineLevel="0" collapsed="false">
      <c r="A6856" s="0" t="n">
        <v>6852</v>
      </c>
      <c r="B6856" s="0" t="n">
        <v>10</v>
      </c>
      <c r="C6856" s="19" t="n">
        <v>0.9488</v>
      </c>
      <c r="D6856" s="19" t="n">
        <v>0.8085</v>
      </c>
      <c r="E6856" s="20" t="n">
        <f aca="false">Parametres!$B$5*C6856</f>
        <v>284.64</v>
      </c>
      <c r="F6856" s="20" t="n">
        <f aca="false">Parametres!$B$6*D6856</f>
        <v>161.7</v>
      </c>
      <c r="G6856" s="20" t="n">
        <f aca="false">E6856+F6856</f>
        <v>446.34</v>
      </c>
      <c r="H6856" s="20" t="n">
        <f aca="false">IF(G6856&lt;Parametres!$B$8*Parametres!$B$7,0,MIN(G6856,Parametres!$B$7))</f>
        <v>250</v>
      </c>
      <c r="I6856" s="20" t="n">
        <f aca="false">G6856-H6856</f>
        <v>196.34</v>
      </c>
      <c r="J6856" s="21" t="n">
        <f aca="false">H6856*1000/Parametres!$B$9</f>
        <v>4239.44378497541</v>
      </c>
    </row>
    <row r="6857" customFormat="false" ht="15" hidden="false" customHeight="false" outlineLevel="0" collapsed="false">
      <c r="A6857" s="0" t="n">
        <v>6853</v>
      </c>
      <c r="B6857" s="0" t="n">
        <v>10</v>
      </c>
      <c r="C6857" s="19" t="n">
        <v>0.9878</v>
      </c>
      <c r="D6857" s="19" t="n">
        <v>0.9311</v>
      </c>
      <c r="E6857" s="20" t="n">
        <f aca="false">Parametres!$B$5*C6857</f>
        <v>296.34</v>
      </c>
      <c r="F6857" s="20" t="n">
        <f aca="false">Parametres!$B$6*D6857</f>
        <v>186.22</v>
      </c>
      <c r="G6857" s="20" t="n">
        <f aca="false">E6857+F6857</f>
        <v>482.56</v>
      </c>
      <c r="H6857" s="20" t="n">
        <f aca="false">IF(G6857&lt;Parametres!$B$8*Parametres!$B$7,0,MIN(G6857,Parametres!$B$7))</f>
        <v>250</v>
      </c>
      <c r="I6857" s="20" t="n">
        <f aca="false">G6857-H6857</f>
        <v>232.56</v>
      </c>
      <c r="J6857" s="21" t="n">
        <f aca="false">H6857*1000/Parametres!$B$9</f>
        <v>4239.44378497541</v>
      </c>
    </row>
    <row r="6858" customFormat="false" ht="15" hidden="false" customHeight="false" outlineLevel="0" collapsed="false">
      <c r="A6858" s="0" t="n">
        <v>6854</v>
      </c>
      <c r="B6858" s="0" t="n">
        <v>10</v>
      </c>
      <c r="C6858" s="19" t="n">
        <v>1</v>
      </c>
      <c r="D6858" s="19" t="n">
        <v>1</v>
      </c>
      <c r="E6858" s="20" t="n">
        <f aca="false">Parametres!$B$5*C6858</f>
        <v>300</v>
      </c>
      <c r="F6858" s="20" t="n">
        <f aca="false">Parametres!$B$6*D6858</f>
        <v>200</v>
      </c>
      <c r="G6858" s="20" t="n">
        <f aca="false">E6858+F6858</f>
        <v>500</v>
      </c>
      <c r="H6858" s="20" t="n">
        <f aca="false">IF(G6858&lt;Parametres!$B$8*Parametres!$B$7,0,MIN(G6858,Parametres!$B$7))</f>
        <v>250</v>
      </c>
      <c r="I6858" s="20" t="n">
        <f aca="false">G6858-H6858</f>
        <v>250</v>
      </c>
      <c r="J6858" s="21" t="n">
        <f aca="false">H6858*1000/Parametres!$B$9</f>
        <v>4239.44378497541</v>
      </c>
    </row>
    <row r="6859" customFormat="false" ht="15" hidden="false" customHeight="false" outlineLevel="0" collapsed="false">
      <c r="A6859" s="0" t="n">
        <v>6855</v>
      </c>
      <c r="B6859" s="0" t="n">
        <v>10</v>
      </c>
      <c r="C6859" s="19" t="n">
        <v>0.7642</v>
      </c>
      <c r="D6859" s="19" t="n">
        <v>1</v>
      </c>
      <c r="E6859" s="20" t="n">
        <f aca="false">Parametres!$B$5*C6859</f>
        <v>229.26</v>
      </c>
      <c r="F6859" s="20" t="n">
        <f aca="false">Parametres!$B$6*D6859</f>
        <v>200</v>
      </c>
      <c r="G6859" s="20" t="n">
        <f aca="false">E6859+F6859</f>
        <v>429.26</v>
      </c>
      <c r="H6859" s="20" t="n">
        <f aca="false">IF(G6859&lt;Parametres!$B$8*Parametres!$B$7,0,MIN(G6859,Parametres!$B$7))</f>
        <v>250</v>
      </c>
      <c r="I6859" s="20" t="n">
        <f aca="false">G6859-H6859</f>
        <v>179.26</v>
      </c>
      <c r="J6859" s="21" t="n">
        <f aca="false">H6859*1000/Parametres!$B$9</f>
        <v>4239.44378497541</v>
      </c>
    </row>
    <row r="6860" customFormat="false" ht="15" hidden="false" customHeight="false" outlineLevel="0" collapsed="false">
      <c r="A6860" s="0" t="n">
        <v>6856</v>
      </c>
      <c r="B6860" s="0" t="n">
        <v>10</v>
      </c>
      <c r="C6860" s="19" t="n">
        <v>0.5436</v>
      </c>
      <c r="D6860" s="19" t="n">
        <v>0.7195</v>
      </c>
      <c r="E6860" s="20" t="n">
        <f aca="false">Parametres!$B$5*C6860</f>
        <v>163.08</v>
      </c>
      <c r="F6860" s="20" t="n">
        <f aca="false">Parametres!$B$6*D6860</f>
        <v>143.9</v>
      </c>
      <c r="G6860" s="20" t="n">
        <f aca="false">E6860+F6860</f>
        <v>306.98</v>
      </c>
      <c r="H6860" s="20" t="n">
        <f aca="false">IF(G6860&lt;Parametres!$B$8*Parametres!$B$7,0,MIN(G6860,Parametres!$B$7))</f>
        <v>250</v>
      </c>
      <c r="I6860" s="20" t="n">
        <f aca="false">G6860-H6860</f>
        <v>56.98</v>
      </c>
      <c r="J6860" s="21" t="n">
        <f aca="false">H6860*1000/Parametres!$B$9</f>
        <v>4239.44378497541</v>
      </c>
    </row>
    <row r="6861" customFormat="false" ht="15" hidden="false" customHeight="false" outlineLevel="0" collapsed="false">
      <c r="A6861" s="0" t="n">
        <v>6857</v>
      </c>
      <c r="B6861" s="0" t="n">
        <v>10</v>
      </c>
      <c r="C6861" s="19" t="n">
        <v>0.2938</v>
      </c>
      <c r="D6861" s="19" t="n">
        <v>0.5989</v>
      </c>
      <c r="E6861" s="20" t="n">
        <f aca="false">Parametres!$B$5*C6861</f>
        <v>88.14</v>
      </c>
      <c r="F6861" s="20" t="n">
        <f aca="false">Parametres!$B$6*D6861</f>
        <v>119.78</v>
      </c>
      <c r="G6861" s="20" t="n">
        <f aca="false">E6861+F6861</f>
        <v>207.92</v>
      </c>
      <c r="H6861" s="20" t="n">
        <f aca="false">IF(G6861&lt;Parametres!$B$8*Parametres!$B$7,0,MIN(G6861,Parametres!$B$7))</f>
        <v>207.92</v>
      </c>
      <c r="I6861" s="20" t="n">
        <f aca="false">G6861-H6861</f>
        <v>0</v>
      </c>
      <c r="J6861" s="21" t="n">
        <f aca="false">H6861*1000/Parametres!$B$9</f>
        <v>3525.86060708835</v>
      </c>
    </row>
    <row r="6862" customFormat="false" ht="15" hidden="false" customHeight="false" outlineLevel="0" collapsed="false">
      <c r="A6862" s="0" t="n">
        <v>6858</v>
      </c>
      <c r="B6862" s="0" t="n">
        <v>10</v>
      </c>
      <c r="C6862" s="19" t="n">
        <v>0.0382</v>
      </c>
      <c r="D6862" s="19" t="n">
        <v>0.6971</v>
      </c>
      <c r="E6862" s="20" t="n">
        <f aca="false">Parametres!$B$5*C6862</f>
        <v>11.46</v>
      </c>
      <c r="F6862" s="20" t="n">
        <f aca="false">Parametres!$B$6*D6862</f>
        <v>139.42</v>
      </c>
      <c r="G6862" s="20" t="n">
        <f aca="false">E6862+F6862</f>
        <v>150.88</v>
      </c>
      <c r="H6862" s="20" t="n">
        <f aca="false">IF(G6862&lt;Parametres!$B$8*Parametres!$B$7,0,MIN(G6862,Parametres!$B$7))</f>
        <v>150.88</v>
      </c>
      <c r="I6862" s="20" t="n">
        <f aca="false">G6862-H6862</f>
        <v>0</v>
      </c>
      <c r="J6862" s="21" t="n">
        <f aca="false">H6862*1000/Parametres!$B$9</f>
        <v>2558.58911310836</v>
      </c>
    </row>
    <row r="6863" customFormat="false" ht="15" hidden="false" customHeight="false" outlineLevel="0" collapsed="false">
      <c r="A6863" s="0" t="n">
        <v>6859</v>
      </c>
      <c r="B6863" s="0" t="n">
        <v>10</v>
      </c>
      <c r="C6863" s="19" t="n">
        <v>0</v>
      </c>
      <c r="D6863" s="19" t="n">
        <v>0.9788</v>
      </c>
      <c r="E6863" s="20" t="n">
        <f aca="false">Parametres!$B$5*C6863</f>
        <v>0</v>
      </c>
      <c r="F6863" s="20" t="n">
        <f aca="false">Parametres!$B$6*D6863</f>
        <v>195.76</v>
      </c>
      <c r="G6863" s="20" t="n">
        <f aca="false">E6863+F6863</f>
        <v>195.76</v>
      </c>
      <c r="H6863" s="20" t="n">
        <f aca="false">IF(G6863&lt;Parametres!$B$8*Parametres!$B$7,0,MIN(G6863,Parametres!$B$7))</f>
        <v>195.76</v>
      </c>
      <c r="I6863" s="20" t="n">
        <f aca="false">G6863-H6863</f>
        <v>0</v>
      </c>
      <c r="J6863" s="21" t="n">
        <f aca="false">H6863*1000/Parametres!$B$9</f>
        <v>3319.65406138715</v>
      </c>
    </row>
    <row r="6864" customFormat="false" ht="15" hidden="false" customHeight="false" outlineLevel="0" collapsed="false">
      <c r="A6864" s="0" t="n">
        <v>6860</v>
      </c>
      <c r="B6864" s="0" t="n">
        <v>10</v>
      </c>
      <c r="C6864" s="19" t="n">
        <v>0</v>
      </c>
      <c r="D6864" s="19" t="n">
        <v>1</v>
      </c>
      <c r="E6864" s="20" t="n">
        <f aca="false">Parametres!$B$5*C6864</f>
        <v>0</v>
      </c>
      <c r="F6864" s="20" t="n">
        <f aca="false">Parametres!$B$6*D6864</f>
        <v>200</v>
      </c>
      <c r="G6864" s="20" t="n">
        <f aca="false">E6864+F6864</f>
        <v>200</v>
      </c>
      <c r="H6864" s="20" t="n">
        <f aca="false">IF(G6864&lt;Parametres!$B$8*Parametres!$B$7,0,MIN(G6864,Parametres!$B$7))</f>
        <v>200</v>
      </c>
      <c r="I6864" s="20" t="n">
        <f aca="false">G6864-H6864</f>
        <v>0</v>
      </c>
      <c r="J6864" s="21" t="n">
        <f aca="false">H6864*1000/Parametres!$B$9</f>
        <v>3391.55502798033</v>
      </c>
    </row>
    <row r="6865" customFormat="false" ht="15" hidden="false" customHeight="false" outlineLevel="0" collapsed="false">
      <c r="A6865" s="0" t="n">
        <v>6861</v>
      </c>
      <c r="B6865" s="0" t="n">
        <v>10</v>
      </c>
      <c r="C6865" s="19" t="n">
        <v>0</v>
      </c>
      <c r="D6865" s="19" t="n">
        <v>1</v>
      </c>
      <c r="E6865" s="20" t="n">
        <f aca="false">Parametres!$B$5*C6865</f>
        <v>0</v>
      </c>
      <c r="F6865" s="20" t="n">
        <f aca="false">Parametres!$B$6*D6865</f>
        <v>200</v>
      </c>
      <c r="G6865" s="20" t="n">
        <f aca="false">E6865+F6865</f>
        <v>200</v>
      </c>
      <c r="H6865" s="20" t="n">
        <f aca="false">IF(G6865&lt;Parametres!$B$8*Parametres!$B$7,0,MIN(G6865,Parametres!$B$7))</f>
        <v>200</v>
      </c>
      <c r="I6865" s="20" t="n">
        <f aca="false">G6865-H6865</f>
        <v>0</v>
      </c>
      <c r="J6865" s="21" t="n">
        <f aca="false">H6865*1000/Parametres!$B$9</f>
        <v>3391.55502798033</v>
      </c>
    </row>
    <row r="6866" customFormat="false" ht="15" hidden="false" customHeight="false" outlineLevel="0" collapsed="false">
      <c r="A6866" s="0" t="n">
        <v>6862</v>
      </c>
      <c r="B6866" s="0" t="n">
        <v>10</v>
      </c>
      <c r="C6866" s="19" t="n">
        <v>0</v>
      </c>
      <c r="D6866" s="19" t="n">
        <v>1</v>
      </c>
      <c r="E6866" s="20" t="n">
        <f aca="false">Parametres!$B$5*C6866</f>
        <v>0</v>
      </c>
      <c r="F6866" s="20" t="n">
        <f aca="false">Parametres!$B$6*D6866</f>
        <v>200</v>
      </c>
      <c r="G6866" s="20" t="n">
        <f aca="false">E6866+F6866</f>
        <v>200</v>
      </c>
      <c r="H6866" s="20" t="n">
        <f aca="false">IF(G6866&lt;Parametres!$B$8*Parametres!$B$7,0,MIN(G6866,Parametres!$B$7))</f>
        <v>200</v>
      </c>
      <c r="I6866" s="20" t="n">
        <f aca="false">G6866-H6866</f>
        <v>0</v>
      </c>
      <c r="J6866" s="21" t="n">
        <f aca="false">H6866*1000/Parametres!$B$9</f>
        <v>3391.55502798033</v>
      </c>
    </row>
    <row r="6867" customFormat="false" ht="15" hidden="false" customHeight="false" outlineLevel="0" collapsed="false">
      <c r="A6867" s="0" t="n">
        <v>6863</v>
      </c>
      <c r="B6867" s="0" t="n">
        <v>10</v>
      </c>
      <c r="C6867" s="19" t="n">
        <v>0</v>
      </c>
      <c r="D6867" s="19" t="n">
        <v>1</v>
      </c>
      <c r="E6867" s="20" t="n">
        <f aca="false">Parametres!$B$5*C6867</f>
        <v>0</v>
      </c>
      <c r="F6867" s="20" t="n">
        <f aca="false">Parametres!$B$6*D6867</f>
        <v>200</v>
      </c>
      <c r="G6867" s="20" t="n">
        <f aca="false">E6867+F6867</f>
        <v>200</v>
      </c>
      <c r="H6867" s="20" t="n">
        <f aca="false">IF(G6867&lt;Parametres!$B$8*Parametres!$B$7,0,MIN(G6867,Parametres!$B$7))</f>
        <v>200</v>
      </c>
      <c r="I6867" s="20" t="n">
        <f aca="false">G6867-H6867</f>
        <v>0</v>
      </c>
      <c r="J6867" s="21" t="n">
        <f aca="false">H6867*1000/Parametres!$B$9</f>
        <v>3391.55502798033</v>
      </c>
    </row>
    <row r="6868" customFormat="false" ht="15" hidden="false" customHeight="false" outlineLevel="0" collapsed="false">
      <c r="A6868" s="0" t="n">
        <v>6864</v>
      </c>
      <c r="B6868" s="0" t="n">
        <v>10</v>
      </c>
      <c r="C6868" s="19" t="n">
        <v>0</v>
      </c>
      <c r="D6868" s="19" t="n">
        <v>1</v>
      </c>
      <c r="E6868" s="20" t="n">
        <f aca="false">Parametres!$B$5*C6868</f>
        <v>0</v>
      </c>
      <c r="F6868" s="20" t="n">
        <f aca="false">Parametres!$B$6*D6868</f>
        <v>200</v>
      </c>
      <c r="G6868" s="20" t="n">
        <f aca="false">E6868+F6868</f>
        <v>200</v>
      </c>
      <c r="H6868" s="20" t="n">
        <f aca="false">IF(G6868&lt;Parametres!$B$8*Parametres!$B$7,0,MIN(G6868,Parametres!$B$7))</f>
        <v>200</v>
      </c>
      <c r="I6868" s="20" t="n">
        <f aca="false">G6868-H6868</f>
        <v>0</v>
      </c>
      <c r="J6868" s="21" t="n">
        <f aca="false">H6868*1000/Parametres!$B$9</f>
        <v>3391.55502798033</v>
      </c>
    </row>
    <row r="6869" customFormat="false" ht="15" hidden="false" customHeight="false" outlineLevel="0" collapsed="false">
      <c r="A6869" s="0" t="n">
        <v>6865</v>
      </c>
      <c r="B6869" s="0" t="n">
        <v>10</v>
      </c>
      <c r="C6869" s="19" t="n">
        <v>0</v>
      </c>
      <c r="D6869" s="19" t="n">
        <v>1</v>
      </c>
      <c r="E6869" s="20" t="n">
        <f aca="false">Parametres!$B$5*C6869</f>
        <v>0</v>
      </c>
      <c r="F6869" s="20" t="n">
        <f aca="false">Parametres!$B$6*D6869</f>
        <v>200</v>
      </c>
      <c r="G6869" s="20" t="n">
        <f aca="false">E6869+F6869</f>
        <v>200</v>
      </c>
      <c r="H6869" s="20" t="n">
        <f aca="false">IF(G6869&lt;Parametres!$B$8*Parametres!$B$7,0,MIN(G6869,Parametres!$B$7))</f>
        <v>200</v>
      </c>
      <c r="I6869" s="20" t="n">
        <f aca="false">G6869-H6869</f>
        <v>0</v>
      </c>
      <c r="J6869" s="21" t="n">
        <f aca="false">H6869*1000/Parametres!$B$9</f>
        <v>3391.55502798033</v>
      </c>
    </row>
    <row r="6870" customFormat="false" ht="15" hidden="false" customHeight="false" outlineLevel="0" collapsed="false">
      <c r="A6870" s="0" t="n">
        <v>6866</v>
      </c>
      <c r="B6870" s="0" t="n">
        <v>10</v>
      </c>
      <c r="C6870" s="19" t="n">
        <v>0</v>
      </c>
      <c r="D6870" s="19" t="n">
        <v>1</v>
      </c>
      <c r="E6870" s="20" t="n">
        <f aca="false">Parametres!$B$5*C6870</f>
        <v>0</v>
      </c>
      <c r="F6870" s="20" t="n">
        <f aca="false">Parametres!$B$6*D6870</f>
        <v>200</v>
      </c>
      <c r="G6870" s="20" t="n">
        <f aca="false">E6870+F6870</f>
        <v>200</v>
      </c>
      <c r="H6870" s="20" t="n">
        <f aca="false">IF(G6870&lt;Parametres!$B$8*Parametres!$B$7,0,MIN(G6870,Parametres!$B$7))</f>
        <v>200</v>
      </c>
      <c r="I6870" s="20" t="n">
        <f aca="false">G6870-H6870</f>
        <v>0</v>
      </c>
      <c r="J6870" s="21" t="n">
        <f aca="false">H6870*1000/Parametres!$B$9</f>
        <v>3391.55502798033</v>
      </c>
    </row>
    <row r="6871" customFormat="false" ht="15" hidden="false" customHeight="false" outlineLevel="0" collapsed="false">
      <c r="A6871" s="0" t="n">
        <v>6867</v>
      </c>
      <c r="B6871" s="0" t="n">
        <v>10</v>
      </c>
      <c r="C6871" s="19" t="n">
        <v>0</v>
      </c>
      <c r="D6871" s="19" t="n">
        <v>1</v>
      </c>
      <c r="E6871" s="20" t="n">
        <f aca="false">Parametres!$B$5*C6871</f>
        <v>0</v>
      </c>
      <c r="F6871" s="20" t="n">
        <f aca="false">Parametres!$B$6*D6871</f>
        <v>200</v>
      </c>
      <c r="G6871" s="20" t="n">
        <f aca="false">E6871+F6871</f>
        <v>200</v>
      </c>
      <c r="H6871" s="20" t="n">
        <f aca="false">IF(G6871&lt;Parametres!$B$8*Parametres!$B$7,0,MIN(G6871,Parametres!$B$7))</f>
        <v>200</v>
      </c>
      <c r="I6871" s="20" t="n">
        <f aca="false">G6871-H6871</f>
        <v>0</v>
      </c>
      <c r="J6871" s="21" t="n">
        <f aca="false">H6871*1000/Parametres!$B$9</f>
        <v>3391.55502798033</v>
      </c>
    </row>
    <row r="6872" customFormat="false" ht="15" hidden="false" customHeight="false" outlineLevel="0" collapsed="false">
      <c r="A6872" s="0" t="n">
        <v>6868</v>
      </c>
      <c r="B6872" s="0" t="n">
        <v>10</v>
      </c>
      <c r="C6872" s="19" t="n">
        <v>0</v>
      </c>
      <c r="D6872" s="19" t="n">
        <v>1</v>
      </c>
      <c r="E6872" s="20" t="n">
        <f aca="false">Parametres!$B$5*C6872</f>
        <v>0</v>
      </c>
      <c r="F6872" s="20" t="n">
        <f aca="false">Parametres!$B$6*D6872</f>
        <v>200</v>
      </c>
      <c r="G6872" s="20" t="n">
        <f aca="false">E6872+F6872</f>
        <v>200</v>
      </c>
      <c r="H6872" s="20" t="n">
        <f aca="false">IF(G6872&lt;Parametres!$B$8*Parametres!$B$7,0,MIN(G6872,Parametres!$B$7))</f>
        <v>200</v>
      </c>
      <c r="I6872" s="20" t="n">
        <f aca="false">G6872-H6872</f>
        <v>0</v>
      </c>
      <c r="J6872" s="21" t="n">
        <f aca="false">H6872*1000/Parametres!$B$9</f>
        <v>3391.55502798033</v>
      </c>
    </row>
    <row r="6873" customFormat="false" ht="15" hidden="false" customHeight="false" outlineLevel="0" collapsed="false">
      <c r="A6873" s="0" t="n">
        <v>6869</v>
      </c>
      <c r="B6873" s="0" t="n">
        <v>10</v>
      </c>
      <c r="C6873" s="19" t="n">
        <v>0</v>
      </c>
      <c r="D6873" s="19" t="n">
        <v>1</v>
      </c>
      <c r="E6873" s="20" t="n">
        <f aca="false">Parametres!$B$5*C6873</f>
        <v>0</v>
      </c>
      <c r="F6873" s="20" t="n">
        <f aca="false">Parametres!$B$6*D6873</f>
        <v>200</v>
      </c>
      <c r="G6873" s="20" t="n">
        <f aca="false">E6873+F6873</f>
        <v>200</v>
      </c>
      <c r="H6873" s="20" t="n">
        <f aca="false">IF(G6873&lt;Parametres!$B$8*Parametres!$B$7,0,MIN(G6873,Parametres!$B$7))</f>
        <v>200</v>
      </c>
      <c r="I6873" s="20" t="n">
        <f aca="false">G6873-H6873</f>
        <v>0</v>
      </c>
      <c r="J6873" s="21" t="n">
        <f aca="false">H6873*1000/Parametres!$B$9</f>
        <v>3391.55502798033</v>
      </c>
    </row>
    <row r="6874" customFormat="false" ht="15" hidden="false" customHeight="false" outlineLevel="0" collapsed="false">
      <c r="A6874" s="0" t="n">
        <v>6870</v>
      </c>
      <c r="B6874" s="0" t="n">
        <v>10</v>
      </c>
      <c r="C6874" s="19" t="n">
        <v>0</v>
      </c>
      <c r="D6874" s="19" t="n">
        <v>1</v>
      </c>
      <c r="E6874" s="20" t="n">
        <f aca="false">Parametres!$B$5*C6874</f>
        <v>0</v>
      </c>
      <c r="F6874" s="20" t="n">
        <f aca="false">Parametres!$B$6*D6874</f>
        <v>200</v>
      </c>
      <c r="G6874" s="20" t="n">
        <f aca="false">E6874+F6874</f>
        <v>200</v>
      </c>
      <c r="H6874" s="20" t="n">
        <f aca="false">IF(G6874&lt;Parametres!$B$8*Parametres!$B$7,0,MIN(G6874,Parametres!$B$7))</f>
        <v>200</v>
      </c>
      <c r="I6874" s="20" t="n">
        <f aca="false">G6874-H6874</f>
        <v>0</v>
      </c>
      <c r="J6874" s="21" t="n">
        <f aca="false">H6874*1000/Parametres!$B$9</f>
        <v>3391.55502798033</v>
      </c>
    </row>
    <row r="6875" customFormat="false" ht="15" hidden="false" customHeight="false" outlineLevel="0" collapsed="false">
      <c r="A6875" s="0" t="n">
        <v>6871</v>
      </c>
      <c r="B6875" s="0" t="n">
        <v>10</v>
      </c>
      <c r="C6875" s="19" t="n">
        <v>0.0337</v>
      </c>
      <c r="D6875" s="19" t="n">
        <v>1</v>
      </c>
      <c r="E6875" s="20" t="n">
        <f aca="false">Parametres!$B$5*C6875</f>
        <v>10.11</v>
      </c>
      <c r="F6875" s="20" t="n">
        <f aca="false">Parametres!$B$6*D6875</f>
        <v>200</v>
      </c>
      <c r="G6875" s="20" t="n">
        <f aca="false">E6875+F6875</f>
        <v>210.11</v>
      </c>
      <c r="H6875" s="20" t="n">
        <f aca="false">IF(G6875&lt;Parametres!$B$8*Parametres!$B$7,0,MIN(G6875,Parametres!$B$7))</f>
        <v>210.11</v>
      </c>
      <c r="I6875" s="20" t="n">
        <f aca="false">G6875-H6875</f>
        <v>0</v>
      </c>
      <c r="J6875" s="21" t="n">
        <f aca="false">H6875*1000/Parametres!$B$9</f>
        <v>3562.99813464474</v>
      </c>
    </row>
    <row r="6876" customFormat="false" ht="15" hidden="false" customHeight="false" outlineLevel="0" collapsed="false">
      <c r="A6876" s="0" t="n">
        <v>6872</v>
      </c>
      <c r="B6876" s="0" t="n">
        <v>10</v>
      </c>
      <c r="C6876" s="19" t="n">
        <v>0.2711</v>
      </c>
      <c r="D6876" s="19" t="n">
        <v>1</v>
      </c>
      <c r="E6876" s="20" t="n">
        <f aca="false">Parametres!$B$5*C6876</f>
        <v>81.33</v>
      </c>
      <c r="F6876" s="20" t="n">
        <f aca="false">Parametres!$B$6*D6876</f>
        <v>200</v>
      </c>
      <c r="G6876" s="20" t="n">
        <f aca="false">E6876+F6876</f>
        <v>281.33</v>
      </c>
      <c r="H6876" s="20" t="n">
        <f aca="false">IF(G6876&lt;Parametres!$B$8*Parametres!$B$7,0,MIN(G6876,Parametres!$B$7))</f>
        <v>250</v>
      </c>
      <c r="I6876" s="20" t="n">
        <f aca="false">G6876-H6876</f>
        <v>31.33</v>
      </c>
      <c r="J6876" s="21" t="n">
        <f aca="false">H6876*1000/Parametres!$B$9</f>
        <v>4239.44378497541</v>
      </c>
    </row>
    <row r="6877" customFormat="false" ht="15" hidden="false" customHeight="false" outlineLevel="0" collapsed="false">
      <c r="A6877" s="0" t="n">
        <v>6873</v>
      </c>
      <c r="B6877" s="0" t="n">
        <v>10</v>
      </c>
      <c r="C6877" s="19" t="n">
        <v>0.5625</v>
      </c>
      <c r="D6877" s="19" t="n">
        <v>1</v>
      </c>
      <c r="E6877" s="20" t="n">
        <f aca="false">Parametres!$B$5*C6877</f>
        <v>168.75</v>
      </c>
      <c r="F6877" s="20" t="n">
        <f aca="false">Parametres!$B$6*D6877</f>
        <v>200</v>
      </c>
      <c r="G6877" s="20" t="n">
        <f aca="false">E6877+F6877</f>
        <v>368.75</v>
      </c>
      <c r="H6877" s="20" t="n">
        <f aca="false">IF(G6877&lt;Parametres!$B$8*Parametres!$B$7,0,MIN(G6877,Parametres!$B$7))</f>
        <v>250</v>
      </c>
      <c r="I6877" s="20" t="n">
        <f aca="false">G6877-H6877</f>
        <v>118.75</v>
      </c>
      <c r="J6877" s="21" t="n">
        <f aca="false">H6877*1000/Parametres!$B$9</f>
        <v>4239.44378497541</v>
      </c>
    </row>
    <row r="6878" customFormat="false" ht="15" hidden="false" customHeight="false" outlineLevel="0" collapsed="false">
      <c r="A6878" s="0" t="n">
        <v>6874</v>
      </c>
      <c r="B6878" s="0" t="n">
        <v>10</v>
      </c>
      <c r="C6878" s="19" t="n">
        <v>0.7989</v>
      </c>
      <c r="D6878" s="19" t="n">
        <v>1</v>
      </c>
      <c r="E6878" s="20" t="n">
        <f aca="false">Parametres!$B$5*C6878</f>
        <v>239.67</v>
      </c>
      <c r="F6878" s="20" t="n">
        <f aca="false">Parametres!$B$6*D6878</f>
        <v>200</v>
      </c>
      <c r="G6878" s="20" t="n">
        <f aca="false">E6878+F6878</f>
        <v>439.67</v>
      </c>
      <c r="H6878" s="20" t="n">
        <f aca="false">IF(G6878&lt;Parametres!$B$8*Parametres!$B$7,0,MIN(G6878,Parametres!$B$7))</f>
        <v>250</v>
      </c>
      <c r="I6878" s="20" t="n">
        <f aca="false">G6878-H6878</f>
        <v>189.67</v>
      </c>
      <c r="J6878" s="21" t="n">
        <f aca="false">H6878*1000/Parametres!$B$9</f>
        <v>4239.44378497541</v>
      </c>
    </row>
    <row r="6879" customFormat="false" ht="15" hidden="false" customHeight="false" outlineLevel="0" collapsed="false">
      <c r="A6879" s="0" t="n">
        <v>6875</v>
      </c>
      <c r="B6879" s="0" t="n">
        <v>10</v>
      </c>
      <c r="C6879" s="19" t="n">
        <v>0.9114</v>
      </c>
      <c r="D6879" s="19" t="n">
        <v>1</v>
      </c>
      <c r="E6879" s="20" t="n">
        <f aca="false">Parametres!$B$5*C6879</f>
        <v>273.42</v>
      </c>
      <c r="F6879" s="20" t="n">
        <f aca="false">Parametres!$B$6*D6879</f>
        <v>200</v>
      </c>
      <c r="G6879" s="20" t="n">
        <f aca="false">E6879+F6879</f>
        <v>473.42</v>
      </c>
      <c r="H6879" s="20" t="n">
        <f aca="false">IF(G6879&lt;Parametres!$B$8*Parametres!$B$7,0,MIN(G6879,Parametres!$B$7))</f>
        <v>250</v>
      </c>
      <c r="I6879" s="20" t="n">
        <f aca="false">G6879-H6879</f>
        <v>223.42</v>
      </c>
      <c r="J6879" s="21" t="n">
        <f aca="false">H6879*1000/Parametres!$B$9</f>
        <v>4239.44378497541</v>
      </c>
    </row>
    <row r="6880" customFormat="false" ht="15" hidden="false" customHeight="false" outlineLevel="0" collapsed="false">
      <c r="A6880" s="0" t="n">
        <v>6876</v>
      </c>
      <c r="B6880" s="0" t="n">
        <v>10</v>
      </c>
      <c r="C6880" s="19" t="n">
        <v>0.9565</v>
      </c>
      <c r="D6880" s="19" t="n">
        <v>1</v>
      </c>
      <c r="E6880" s="20" t="n">
        <f aca="false">Parametres!$B$5*C6880</f>
        <v>286.95</v>
      </c>
      <c r="F6880" s="20" t="n">
        <f aca="false">Parametres!$B$6*D6880</f>
        <v>200</v>
      </c>
      <c r="G6880" s="20" t="n">
        <f aca="false">E6880+F6880</f>
        <v>486.95</v>
      </c>
      <c r="H6880" s="20" t="n">
        <f aca="false">IF(G6880&lt;Parametres!$B$8*Parametres!$B$7,0,MIN(G6880,Parametres!$B$7))</f>
        <v>250</v>
      </c>
      <c r="I6880" s="20" t="n">
        <f aca="false">G6880-H6880</f>
        <v>236.95</v>
      </c>
      <c r="J6880" s="21" t="n">
        <f aca="false">H6880*1000/Parametres!$B$9</f>
        <v>4239.44378497541</v>
      </c>
    </row>
    <row r="6881" customFormat="false" ht="15" hidden="false" customHeight="false" outlineLevel="0" collapsed="false">
      <c r="A6881" s="0" t="n">
        <v>6877</v>
      </c>
      <c r="B6881" s="0" t="n">
        <v>10</v>
      </c>
      <c r="C6881" s="19" t="n">
        <v>0.9465</v>
      </c>
      <c r="D6881" s="19" t="n">
        <v>1</v>
      </c>
      <c r="E6881" s="20" t="n">
        <f aca="false">Parametres!$B$5*C6881</f>
        <v>283.95</v>
      </c>
      <c r="F6881" s="20" t="n">
        <f aca="false">Parametres!$B$6*D6881</f>
        <v>200</v>
      </c>
      <c r="G6881" s="20" t="n">
        <f aca="false">E6881+F6881</f>
        <v>483.95</v>
      </c>
      <c r="H6881" s="20" t="n">
        <f aca="false">IF(G6881&lt;Parametres!$B$8*Parametres!$B$7,0,MIN(G6881,Parametres!$B$7))</f>
        <v>250</v>
      </c>
      <c r="I6881" s="20" t="n">
        <f aca="false">G6881-H6881</f>
        <v>233.95</v>
      </c>
      <c r="J6881" s="21" t="n">
        <f aca="false">H6881*1000/Parametres!$B$9</f>
        <v>4239.44378497541</v>
      </c>
    </row>
    <row r="6882" customFormat="false" ht="15" hidden="false" customHeight="false" outlineLevel="0" collapsed="false">
      <c r="A6882" s="0" t="n">
        <v>6878</v>
      </c>
      <c r="B6882" s="0" t="n">
        <v>10</v>
      </c>
      <c r="C6882" s="19" t="n">
        <v>0.988</v>
      </c>
      <c r="D6882" s="19" t="n">
        <v>1</v>
      </c>
      <c r="E6882" s="20" t="n">
        <f aca="false">Parametres!$B$5*C6882</f>
        <v>296.4</v>
      </c>
      <c r="F6882" s="20" t="n">
        <f aca="false">Parametres!$B$6*D6882</f>
        <v>200</v>
      </c>
      <c r="G6882" s="20" t="n">
        <f aca="false">E6882+F6882</f>
        <v>496.4</v>
      </c>
      <c r="H6882" s="20" t="n">
        <f aca="false">IF(G6882&lt;Parametres!$B$8*Parametres!$B$7,0,MIN(G6882,Parametres!$B$7))</f>
        <v>250</v>
      </c>
      <c r="I6882" s="20" t="n">
        <f aca="false">G6882-H6882</f>
        <v>246.4</v>
      </c>
      <c r="J6882" s="21" t="n">
        <f aca="false">H6882*1000/Parametres!$B$9</f>
        <v>4239.44378497541</v>
      </c>
    </row>
    <row r="6883" customFormat="false" ht="15" hidden="false" customHeight="false" outlineLevel="0" collapsed="false">
      <c r="A6883" s="0" t="n">
        <v>6879</v>
      </c>
      <c r="B6883" s="0" t="n">
        <v>10</v>
      </c>
      <c r="C6883" s="19" t="n">
        <v>0.8184</v>
      </c>
      <c r="D6883" s="19" t="n">
        <v>1</v>
      </c>
      <c r="E6883" s="20" t="n">
        <f aca="false">Parametres!$B$5*C6883</f>
        <v>245.52</v>
      </c>
      <c r="F6883" s="20" t="n">
        <f aca="false">Parametres!$B$6*D6883</f>
        <v>200</v>
      </c>
      <c r="G6883" s="20" t="n">
        <f aca="false">E6883+F6883</f>
        <v>445.52</v>
      </c>
      <c r="H6883" s="20" t="n">
        <f aca="false">IF(G6883&lt;Parametres!$B$8*Parametres!$B$7,0,MIN(G6883,Parametres!$B$7))</f>
        <v>250</v>
      </c>
      <c r="I6883" s="20" t="n">
        <f aca="false">G6883-H6883</f>
        <v>195.52</v>
      </c>
      <c r="J6883" s="21" t="n">
        <f aca="false">H6883*1000/Parametres!$B$9</f>
        <v>4239.44378497541</v>
      </c>
    </row>
    <row r="6884" customFormat="false" ht="15" hidden="false" customHeight="false" outlineLevel="0" collapsed="false">
      <c r="A6884" s="0" t="n">
        <v>6880</v>
      </c>
      <c r="B6884" s="0" t="n">
        <v>10</v>
      </c>
      <c r="C6884" s="19" t="n">
        <v>0.514</v>
      </c>
      <c r="D6884" s="19" t="n">
        <v>1</v>
      </c>
      <c r="E6884" s="20" t="n">
        <f aca="false">Parametres!$B$5*C6884</f>
        <v>154.2</v>
      </c>
      <c r="F6884" s="20" t="n">
        <f aca="false">Parametres!$B$6*D6884</f>
        <v>200</v>
      </c>
      <c r="G6884" s="20" t="n">
        <f aca="false">E6884+F6884</f>
        <v>354.2</v>
      </c>
      <c r="H6884" s="20" t="n">
        <f aca="false">IF(G6884&lt;Parametres!$B$8*Parametres!$B$7,0,MIN(G6884,Parametres!$B$7))</f>
        <v>250</v>
      </c>
      <c r="I6884" s="20" t="n">
        <f aca="false">G6884-H6884</f>
        <v>104.2</v>
      </c>
      <c r="J6884" s="21" t="n">
        <f aca="false">H6884*1000/Parametres!$B$9</f>
        <v>4239.44378497541</v>
      </c>
    </row>
    <row r="6885" customFormat="false" ht="15" hidden="false" customHeight="false" outlineLevel="0" collapsed="false">
      <c r="A6885" s="0" t="n">
        <v>6881</v>
      </c>
      <c r="B6885" s="0" t="n">
        <v>10</v>
      </c>
      <c r="C6885" s="19" t="n">
        <v>0.2788</v>
      </c>
      <c r="D6885" s="19" t="n">
        <v>1</v>
      </c>
      <c r="E6885" s="20" t="n">
        <f aca="false">Parametres!$B$5*C6885</f>
        <v>83.64</v>
      </c>
      <c r="F6885" s="20" t="n">
        <f aca="false">Parametres!$B$6*D6885</f>
        <v>200</v>
      </c>
      <c r="G6885" s="20" t="n">
        <f aca="false">E6885+F6885</f>
        <v>283.64</v>
      </c>
      <c r="H6885" s="20" t="n">
        <f aca="false">IF(G6885&lt;Parametres!$B$8*Parametres!$B$7,0,MIN(G6885,Parametres!$B$7))</f>
        <v>250</v>
      </c>
      <c r="I6885" s="20" t="n">
        <f aca="false">G6885-H6885</f>
        <v>33.64</v>
      </c>
      <c r="J6885" s="21" t="n">
        <f aca="false">H6885*1000/Parametres!$B$9</f>
        <v>4239.44378497541</v>
      </c>
    </row>
    <row r="6886" customFormat="false" ht="15" hidden="false" customHeight="false" outlineLevel="0" collapsed="false">
      <c r="A6886" s="0" t="n">
        <v>6882</v>
      </c>
      <c r="B6886" s="0" t="n">
        <v>10</v>
      </c>
      <c r="C6886" s="19" t="n">
        <v>0.0307</v>
      </c>
      <c r="D6886" s="19" t="n">
        <v>1</v>
      </c>
      <c r="E6886" s="20" t="n">
        <f aca="false">Parametres!$B$5*C6886</f>
        <v>9.21</v>
      </c>
      <c r="F6886" s="20" t="n">
        <f aca="false">Parametres!$B$6*D6886</f>
        <v>200</v>
      </c>
      <c r="G6886" s="20" t="n">
        <f aca="false">E6886+F6886</f>
        <v>209.21</v>
      </c>
      <c r="H6886" s="20" t="n">
        <f aca="false">IF(G6886&lt;Parametres!$B$8*Parametres!$B$7,0,MIN(G6886,Parametres!$B$7))</f>
        <v>209.21</v>
      </c>
      <c r="I6886" s="20" t="n">
        <f aca="false">G6886-H6886</f>
        <v>0</v>
      </c>
      <c r="J6886" s="21" t="n">
        <f aca="false">H6886*1000/Parametres!$B$9</f>
        <v>3547.73613701882</v>
      </c>
    </row>
    <row r="6887" customFormat="false" ht="15" hidden="false" customHeight="false" outlineLevel="0" collapsed="false">
      <c r="A6887" s="0" t="n">
        <v>6883</v>
      </c>
      <c r="B6887" s="0" t="n">
        <v>10</v>
      </c>
      <c r="C6887" s="19" t="n">
        <v>0</v>
      </c>
      <c r="D6887" s="19" t="n">
        <v>1</v>
      </c>
      <c r="E6887" s="20" t="n">
        <f aca="false">Parametres!$B$5*C6887</f>
        <v>0</v>
      </c>
      <c r="F6887" s="20" t="n">
        <f aca="false">Parametres!$B$6*D6887</f>
        <v>200</v>
      </c>
      <c r="G6887" s="20" t="n">
        <f aca="false">E6887+F6887</f>
        <v>200</v>
      </c>
      <c r="H6887" s="20" t="n">
        <f aca="false">IF(G6887&lt;Parametres!$B$8*Parametres!$B$7,0,MIN(G6887,Parametres!$B$7))</f>
        <v>200</v>
      </c>
      <c r="I6887" s="20" t="n">
        <f aca="false">G6887-H6887</f>
        <v>0</v>
      </c>
      <c r="J6887" s="21" t="n">
        <f aca="false">H6887*1000/Parametres!$B$9</f>
        <v>3391.55502798033</v>
      </c>
    </row>
    <row r="6888" customFormat="false" ht="15" hidden="false" customHeight="false" outlineLevel="0" collapsed="false">
      <c r="A6888" s="0" t="n">
        <v>6884</v>
      </c>
      <c r="B6888" s="0" t="n">
        <v>10</v>
      </c>
      <c r="C6888" s="19" t="n">
        <v>0</v>
      </c>
      <c r="D6888" s="19" t="n">
        <v>1</v>
      </c>
      <c r="E6888" s="20" t="n">
        <f aca="false">Parametres!$B$5*C6888</f>
        <v>0</v>
      </c>
      <c r="F6888" s="20" t="n">
        <f aca="false">Parametres!$B$6*D6888</f>
        <v>200</v>
      </c>
      <c r="G6888" s="20" t="n">
        <f aca="false">E6888+F6888</f>
        <v>200</v>
      </c>
      <c r="H6888" s="20" t="n">
        <f aca="false">IF(G6888&lt;Parametres!$B$8*Parametres!$B$7,0,MIN(G6888,Parametres!$B$7))</f>
        <v>200</v>
      </c>
      <c r="I6888" s="20" t="n">
        <f aca="false">G6888-H6888</f>
        <v>0</v>
      </c>
      <c r="J6888" s="21" t="n">
        <f aca="false">H6888*1000/Parametres!$B$9</f>
        <v>3391.55502798033</v>
      </c>
    </row>
    <row r="6889" customFormat="false" ht="15" hidden="false" customHeight="false" outlineLevel="0" collapsed="false">
      <c r="A6889" s="0" t="n">
        <v>6885</v>
      </c>
      <c r="B6889" s="0" t="n">
        <v>10</v>
      </c>
      <c r="C6889" s="19" t="n">
        <v>0</v>
      </c>
      <c r="D6889" s="19" t="n">
        <v>1</v>
      </c>
      <c r="E6889" s="20" t="n">
        <f aca="false">Parametres!$B$5*C6889</f>
        <v>0</v>
      </c>
      <c r="F6889" s="20" t="n">
        <f aca="false">Parametres!$B$6*D6889</f>
        <v>200</v>
      </c>
      <c r="G6889" s="20" t="n">
        <f aca="false">E6889+F6889</f>
        <v>200</v>
      </c>
      <c r="H6889" s="20" t="n">
        <f aca="false">IF(G6889&lt;Parametres!$B$8*Parametres!$B$7,0,MIN(G6889,Parametres!$B$7))</f>
        <v>200</v>
      </c>
      <c r="I6889" s="20" t="n">
        <f aca="false">G6889-H6889</f>
        <v>0</v>
      </c>
      <c r="J6889" s="21" t="n">
        <f aca="false">H6889*1000/Parametres!$B$9</f>
        <v>3391.55502798033</v>
      </c>
    </row>
    <row r="6890" customFormat="false" ht="15" hidden="false" customHeight="false" outlineLevel="0" collapsed="false">
      <c r="A6890" s="0" t="n">
        <v>6886</v>
      </c>
      <c r="B6890" s="0" t="n">
        <v>10</v>
      </c>
      <c r="C6890" s="19" t="n">
        <v>0</v>
      </c>
      <c r="D6890" s="19" t="n">
        <v>1</v>
      </c>
      <c r="E6890" s="20" t="n">
        <f aca="false">Parametres!$B$5*C6890</f>
        <v>0</v>
      </c>
      <c r="F6890" s="20" t="n">
        <f aca="false">Parametres!$B$6*D6890</f>
        <v>200</v>
      </c>
      <c r="G6890" s="20" t="n">
        <f aca="false">E6890+F6890</f>
        <v>200</v>
      </c>
      <c r="H6890" s="20" t="n">
        <f aca="false">IF(G6890&lt;Parametres!$B$8*Parametres!$B$7,0,MIN(G6890,Parametres!$B$7))</f>
        <v>200</v>
      </c>
      <c r="I6890" s="20" t="n">
        <f aca="false">G6890-H6890</f>
        <v>0</v>
      </c>
      <c r="J6890" s="21" t="n">
        <f aca="false">H6890*1000/Parametres!$B$9</f>
        <v>3391.55502798033</v>
      </c>
    </row>
    <row r="6891" customFormat="false" ht="15" hidden="false" customHeight="false" outlineLevel="0" collapsed="false">
      <c r="A6891" s="0" t="n">
        <v>6887</v>
      </c>
      <c r="B6891" s="0" t="n">
        <v>10</v>
      </c>
      <c r="C6891" s="19" t="n">
        <v>0</v>
      </c>
      <c r="D6891" s="19" t="n">
        <v>1</v>
      </c>
      <c r="E6891" s="20" t="n">
        <f aca="false">Parametres!$B$5*C6891</f>
        <v>0</v>
      </c>
      <c r="F6891" s="20" t="n">
        <f aca="false">Parametres!$B$6*D6891</f>
        <v>200</v>
      </c>
      <c r="G6891" s="20" t="n">
        <f aca="false">E6891+F6891</f>
        <v>200</v>
      </c>
      <c r="H6891" s="20" t="n">
        <f aca="false">IF(G6891&lt;Parametres!$B$8*Parametres!$B$7,0,MIN(G6891,Parametres!$B$7))</f>
        <v>200</v>
      </c>
      <c r="I6891" s="20" t="n">
        <f aca="false">G6891-H6891</f>
        <v>0</v>
      </c>
      <c r="J6891" s="21" t="n">
        <f aca="false">H6891*1000/Parametres!$B$9</f>
        <v>3391.55502798033</v>
      </c>
    </row>
    <row r="6892" customFormat="false" ht="15" hidden="false" customHeight="false" outlineLevel="0" collapsed="false">
      <c r="A6892" s="0" t="n">
        <v>6888</v>
      </c>
      <c r="B6892" s="0" t="n">
        <v>10</v>
      </c>
      <c r="C6892" s="19" t="n">
        <v>0</v>
      </c>
      <c r="D6892" s="19" t="n">
        <v>1</v>
      </c>
      <c r="E6892" s="20" t="n">
        <f aca="false">Parametres!$B$5*C6892</f>
        <v>0</v>
      </c>
      <c r="F6892" s="20" t="n">
        <f aca="false">Parametres!$B$6*D6892</f>
        <v>200</v>
      </c>
      <c r="G6892" s="20" t="n">
        <f aca="false">E6892+F6892</f>
        <v>200</v>
      </c>
      <c r="H6892" s="20" t="n">
        <f aca="false">IF(G6892&lt;Parametres!$B$8*Parametres!$B$7,0,MIN(G6892,Parametres!$B$7))</f>
        <v>200</v>
      </c>
      <c r="I6892" s="20" t="n">
        <f aca="false">G6892-H6892</f>
        <v>0</v>
      </c>
      <c r="J6892" s="21" t="n">
        <f aca="false">H6892*1000/Parametres!$B$9</f>
        <v>3391.55502798033</v>
      </c>
    </row>
    <row r="6893" customFormat="false" ht="15" hidden="false" customHeight="false" outlineLevel="0" collapsed="false">
      <c r="A6893" s="0" t="n">
        <v>6889</v>
      </c>
      <c r="B6893" s="0" t="n">
        <v>10</v>
      </c>
      <c r="C6893" s="19" t="n">
        <v>0</v>
      </c>
      <c r="D6893" s="19" t="n">
        <v>1</v>
      </c>
      <c r="E6893" s="20" t="n">
        <f aca="false">Parametres!$B$5*C6893</f>
        <v>0</v>
      </c>
      <c r="F6893" s="20" t="n">
        <f aca="false">Parametres!$B$6*D6893</f>
        <v>200</v>
      </c>
      <c r="G6893" s="20" t="n">
        <f aca="false">E6893+F6893</f>
        <v>200</v>
      </c>
      <c r="H6893" s="20" t="n">
        <f aca="false">IF(G6893&lt;Parametres!$B$8*Parametres!$B$7,0,MIN(G6893,Parametres!$B$7))</f>
        <v>200</v>
      </c>
      <c r="I6893" s="20" t="n">
        <f aca="false">G6893-H6893</f>
        <v>0</v>
      </c>
      <c r="J6893" s="21" t="n">
        <f aca="false">H6893*1000/Parametres!$B$9</f>
        <v>3391.55502798033</v>
      </c>
    </row>
    <row r="6894" customFormat="false" ht="15" hidden="false" customHeight="false" outlineLevel="0" collapsed="false">
      <c r="A6894" s="0" t="n">
        <v>6890</v>
      </c>
      <c r="B6894" s="0" t="n">
        <v>10</v>
      </c>
      <c r="C6894" s="19" t="n">
        <v>0</v>
      </c>
      <c r="D6894" s="19" t="n">
        <v>1</v>
      </c>
      <c r="E6894" s="20" t="n">
        <f aca="false">Parametres!$B$5*C6894</f>
        <v>0</v>
      </c>
      <c r="F6894" s="20" t="n">
        <f aca="false">Parametres!$B$6*D6894</f>
        <v>200</v>
      </c>
      <c r="G6894" s="20" t="n">
        <f aca="false">E6894+F6894</f>
        <v>200</v>
      </c>
      <c r="H6894" s="20" t="n">
        <f aca="false">IF(G6894&lt;Parametres!$B$8*Parametres!$B$7,0,MIN(G6894,Parametres!$B$7))</f>
        <v>200</v>
      </c>
      <c r="I6894" s="20" t="n">
        <f aca="false">G6894-H6894</f>
        <v>0</v>
      </c>
      <c r="J6894" s="21" t="n">
        <f aca="false">H6894*1000/Parametres!$B$9</f>
        <v>3391.55502798033</v>
      </c>
    </row>
    <row r="6895" customFormat="false" ht="15" hidden="false" customHeight="false" outlineLevel="0" collapsed="false">
      <c r="A6895" s="0" t="n">
        <v>6891</v>
      </c>
      <c r="B6895" s="0" t="n">
        <v>10</v>
      </c>
      <c r="C6895" s="19" t="n">
        <v>0</v>
      </c>
      <c r="D6895" s="19" t="n">
        <v>1</v>
      </c>
      <c r="E6895" s="20" t="n">
        <f aca="false">Parametres!$B$5*C6895</f>
        <v>0</v>
      </c>
      <c r="F6895" s="20" t="n">
        <f aca="false">Parametres!$B$6*D6895</f>
        <v>200</v>
      </c>
      <c r="G6895" s="20" t="n">
        <f aca="false">E6895+F6895</f>
        <v>200</v>
      </c>
      <c r="H6895" s="20" t="n">
        <f aca="false">IF(G6895&lt;Parametres!$B$8*Parametres!$B$7,0,MIN(G6895,Parametres!$B$7))</f>
        <v>200</v>
      </c>
      <c r="I6895" s="20" t="n">
        <f aca="false">G6895-H6895</f>
        <v>0</v>
      </c>
      <c r="J6895" s="21" t="n">
        <f aca="false">H6895*1000/Parametres!$B$9</f>
        <v>3391.55502798033</v>
      </c>
    </row>
    <row r="6896" customFormat="false" ht="15" hidden="false" customHeight="false" outlineLevel="0" collapsed="false">
      <c r="A6896" s="0" t="n">
        <v>6892</v>
      </c>
      <c r="B6896" s="0" t="n">
        <v>10</v>
      </c>
      <c r="C6896" s="19" t="n">
        <v>0</v>
      </c>
      <c r="D6896" s="19" t="n">
        <v>1</v>
      </c>
      <c r="E6896" s="20" t="n">
        <f aca="false">Parametres!$B$5*C6896</f>
        <v>0</v>
      </c>
      <c r="F6896" s="20" t="n">
        <f aca="false">Parametres!$B$6*D6896</f>
        <v>200</v>
      </c>
      <c r="G6896" s="20" t="n">
        <f aca="false">E6896+F6896</f>
        <v>200</v>
      </c>
      <c r="H6896" s="20" t="n">
        <f aca="false">IF(G6896&lt;Parametres!$B$8*Parametres!$B$7,0,MIN(G6896,Parametres!$B$7))</f>
        <v>200</v>
      </c>
      <c r="I6896" s="20" t="n">
        <f aca="false">G6896-H6896</f>
        <v>0</v>
      </c>
      <c r="J6896" s="21" t="n">
        <f aca="false">H6896*1000/Parametres!$B$9</f>
        <v>3391.55502798033</v>
      </c>
    </row>
    <row r="6897" customFormat="false" ht="15" hidden="false" customHeight="false" outlineLevel="0" collapsed="false">
      <c r="A6897" s="0" t="n">
        <v>6893</v>
      </c>
      <c r="B6897" s="0" t="n">
        <v>10</v>
      </c>
      <c r="C6897" s="19" t="n">
        <v>0</v>
      </c>
      <c r="D6897" s="19" t="n">
        <v>0.7658</v>
      </c>
      <c r="E6897" s="20" t="n">
        <f aca="false">Parametres!$B$5*C6897</f>
        <v>0</v>
      </c>
      <c r="F6897" s="20" t="n">
        <f aca="false">Parametres!$B$6*D6897</f>
        <v>153.16</v>
      </c>
      <c r="G6897" s="20" t="n">
        <f aca="false">E6897+F6897</f>
        <v>153.16</v>
      </c>
      <c r="H6897" s="20" t="n">
        <f aca="false">IF(G6897&lt;Parametres!$B$8*Parametres!$B$7,0,MIN(G6897,Parametres!$B$7))</f>
        <v>153.16</v>
      </c>
      <c r="I6897" s="20" t="n">
        <f aca="false">G6897-H6897</f>
        <v>0</v>
      </c>
      <c r="J6897" s="21" t="n">
        <f aca="false">H6897*1000/Parametres!$B$9</f>
        <v>2597.25284042734</v>
      </c>
    </row>
    <row r="6898" customFormat="false" ht="15" hidden="false" customHeight="false" outlineLevel="0" collapsed="false">
      <c r="A6898" s="0" t="n">
        <v>6894</v>
      </c>
      <c r="B6898" s="0" t="n">
        <v>10</v>
      </c>
      <c r="C6898" s="19" t="n">
        <v>0</v>
      </c>
      <c r="D6898" s="19" t="n">
        <v>0.6829</v>
      </c>
      <c r="E6898" s="20" t="n">
        <f aca="false">Parametres!$B$5*C6898</f>
        <v>0</v>
      </c>
      <c r="F6898" s="20" t="n">
        <f aca="false">Parametres!$B$6*D6898</f>
        <v>136.58</v>
      </c>
      <c r="G6898" s="20" t="n">
        <f aca="false">E6898+F6898</f>
        <v>136.58</v>
      </c>
      <c r="H6898" s="20" t="n">
        <f aca="false">IF(G6898&lt;Parametres!$B$8*Parametres!$B$7,0,MIN(G6898,Parametres!$B$7))</f>
        <v>136.58</v>
      </c>
      <c r="I6898" s="20" t="n">
        <f aca="false">G6898-H6898</f>
        <v>0</v>
      </c>
      <c r="J6898" s="21" t="n">
        <f aca="false">H6898*1000/Parametres!$B$9</f>
        <v>2316.09292860777</v>
      </c>
    </row>
    <row r="6899" customFormat="false" ht="15" hidden="false" customHeight="false" outlineLevel="0" collapsed="false">
      <c r="A6899" s="0" t="n">
        <v>6895</v>
      </c>
      <c r="B6899" s="0" t="n">
        <v>10</v>
      </c>
      <c r="C6899" s="19" t="n">
        <v>0.0271</v>
      </c>
      <c r="D6899" s="19" t="n">
        <v>0.7305</v>
      </c>
      <c r="E6899" s="20" t="n">
        <f aca="false">Parametres!$B$5*C6899</f>
        <v>8.13</v>
      </c>
      <c r="F6899" s="20" t="n">
        <f aca="false">Parametres!$B$6*D6899</f>
        <v>146.1</v>
      </c>
      <c r="G6899" s="20" t="n">
        <f aca="false">E6899+F6899</f>
        <v>154.23</v>
      </c>
      <c r="H6899" s="20" t="n">
        <f aca="false">IF(G6899&lt;Parametres!$B$8*Parametres!$B$7,0,MIN(G6899,Parametres!$B$7))</f>
        <v>154.23</v>
      </c>
      <c r="I6899" s="20" t="n">
        <f aca="false">G6899-H6899</f>
        <v>0</v>
      </c>
      <c r="J6899" s="21" t="n">
        <f aca="false">H6899*1000/Parametres!$B$9</f>
        <v>2615.39765982703</v>
      </c>
    </row>
    <row r="6900" customFormat="false" ht="15" hidden="false" customHeight="false" outlineLevel="0" collapsed="false">
      <c r="A6900" s="0" t="n">
        <v>6896</v>
      </c>
      <c r="B6900" s="0" t="n">
        <v>10</v>
      </c>
      <c r="C6900" s="19" t="n">
        <v>0.2319</v>
      </c>
      <c r="D6900" s="19" t="n">
        <v>0.8729</v>
      </c>
      <c r="E6900" s="20" t="n">
        <f aca="false">Parametres!$B$5*C6900</f>
        <v>69.57</v>
      </c>
      <c r="F6900" s="20" t="n">
        <f aca="false">Parametres!$B$6*D6900</f>
        <v>174.58</v>
      </c>
      <c r="G6900" s="20" t="n">
        <f aca="false">E6900+F6900</f>
        <v>244.15</v>
      </c>
      <c r="H6900" s="20" t="n">
        <f aca="false">IF(G6900&lt;Parametres!$B$8*Parametres!$B$7,0,MIN(G6900,Parametres!$B$7))</f>
        <v>244.15</v>
      </c>
      <c r="I6900" s="20" t="n">
        <f aca="false">G6900-H6900</f>
        <v>0</v>
      </c>
      <c r="J6900" s="21" t="n">
        <f aca="false">H6900*1000/Parametres!$B$9</f>
        <v>4140.24080040699</v>
      </c>
    </row>
    <row r="6901" customFormat="false" ht="15" hidden="false" customHeight="false" outlineLevel="0" collapsed="false">
      <c r="A6901" s="0" t="n">
        <v>6897</v>
      </c>
      <c r="B6901" s="0" t="n">
        <v>10</v>
      </c>
      <c r="C6901" s="19" t="n">
        <v>0.4424</v>
      </c>
      <c r="D6901" s="19" t="n">
        <v>1</v>
      </c>
      <c r="E6901" s="20" t="n">
        <f aca="false">Parametres!$B$5*C6901</f>
        <v>132.72</v>
      </c>
      <c r="F6901" s="20" t="n">
        <f aca="false">Parametres!$B$6*D6901</f>
        <v>200</v>
      </c>
      <c r="G6901" s="20" t="n">
        <f aca="false">E6901+F6901</f>
        <v>332.72</v>
      </c>
      <c r="H6901" s="20" t="n">
        <f aca="false">IF(G6901&lt;Parametres!$B$8*Parametres!$B$7,0,MIN(G6901,Parametres!$B$7))</f>
        <v>250</v>
      </c>
      <c r="I6901" s="20" t="n">
        <f aca="false">G6901-H6901</f>
        <v>82.72</v>
      </c>
      <c r="J6901" s="21" t="n">
        <f aca="false">H6901*1000/Parametres!$B$9</f>
        <v>4239.44378497541</v>
      </c>
    </row>
    <row r="6902" customFormat="false" ht="15" hidden="false" customHeight="false" outlineLevel="0" collapsed="false">
      <c r="A6902" s="0" t="n">
        <v>6898</v>
      </c>
      <c r="B6902" s="0" t="n">
        <v>10</v>
      </c>
      <c r="C6902" s="19" t="n">
        <v>0.6673</v>
      </c>
      <c r="D6902" s="19" t="n">
        <v>0.9048</v>
      </c>
      <c r="E6902" s="20" t="n">
        <f aca="false">Parametres!$B$5*C6902</f>
        <v>200.19</v>
      </c>
      <c r="F6902" s="20" t="n">
        <f aca="false">Parametres!$B$6*D6902</f>
        <v>180.96</v>
      </c>
      <c r="G6902" s="20" t="n">
        <f aca="false">E6902+F6902</f>
        <v>381.15</v>
      </c>
      <c r="H6902" s="20" t="n">
        <f aca="false">IF(G6902&lt;Parametres!$B$8*Parametres!$B$7,0,MIN(G6902,Parametres!$B$7))</f>
        <v>250</v>
      </c>
      <c r="I6902" s="20" t="n">
        <f aca="false">G6902-H6902</f>
        <v>131.15</v>
      </c>
      <c r="J6902" s="21" t="n">
        <f aca="false">H6902*1000/Parametres!$B$9</f>
        <v>4239.44378497541</v>
      </c>
    </row>
    <row r="6903" customFormat="false" ht="15" hidden="false" customHeight="false" outlineLevel="0" collapsed="false">
      <c r="A6903" s="0" t="n">
        <v>6899</v>
      </c>
      <c r="B6903" s="0" t="n">
        <v>10</v>
      </c>
      <c r="C6903" s="19" t="n">
        <v>0.7529</v>
      </c>
      <c r="D6903" s="19" t="n">
        <v>1</v>
      </c>
      <c r="E6903" s="20" t="n">
        <f aca="false">Parametres!$B$5*C6903</f>
        <v>225.87</v>
      </c>
      <c r="F6903" s="20" t="n">
        <f aca="false">Parametres!$B$6*D6903</f>
        <v>200</v>
      </c>
      <c r="G6903" s="20" t="n">
        <f aca="false">E6903+F6903</f>
        <v>425.87</v>
      </c>
      <c r="H6903" s="20" t="n">
        <f aca="false">IF(G6903&lt;Parametres!$B$8*Parametres!$B$7,0,MIN(G6903,Parametres!$B$7))</f>
        <v>250</v>
      </c>
      <c r="I6903" s="20" t="n">
        <f aca="false">G6903-H6903</f>
        <v>175.87</v>
      </c>
      <c r="J6903" s="21" t="n">
        <f aca="false">H6903*1000/Parametres!$B$9</f>
        <v>4239.44378497541</v>
      </c>
    </row>
    <row r="6904" customFormat="false" ht="15" hidden="false" customHeight="false" outlineLevel="0" collapsed="false">
      <c r="A6904" s="0" t="n">
        <v>6900</v>
      </c>
      <c r="B6904" s="0" t="n">
        <v>10</v>
      </c>
      <c r="C6904" s="19" t="n">
        <v>0.9219</v>
      </c>
      <c r="D6904" s="19" t="n">
        <v>1</v>
      </c>
      <c r="E6904" s="20" t="n">
        <f aca="false">Parametres!$B$5*C6904</f>
        <v>276.57</v>
      </c>
      <c r="F6904" s="20" t="n">
        <f aca="false">Parametres!$B$6*D6904</f>
        <v>200</v>
      </c>
      <c r="G6904" s="20" t="n">
        <f aca="false">E6904+F6904</f>
        <v>476.57</v>
      </c>
      <c r="H6904" s="20" t="n">
        <f aca="false">IF(G6904&lt;Parametres!$B$8*Parametres!$B$7,0,MIN(G6904,Parametres!$B$7))</f>
        <v>250</v>
      </c>
      <c r="I6904" s="20" t="n">
        <f aca="false">G6904-H6904</f>
        <v>226.57</v>
      </c>
      <c r="J6904" s="21" t="n">
        <f aca="false">H6904*1000/Parametres!$B$9</f>
        <v>4239.44378497541</v>
      </c>
    </row>
    <row r="6905" customFormat="false" ht="15" hidden="false" customHeight="false" outlineLevel="0" collapsed="false">
      <c r="A6905" s="0" t="n">
        <v>6901</v>
      </c>
      <c r="B6905" s="0" t="n">
        <v>10</v>
      </c>
      <c r="C6905" s="19" t="n">
        <v>0.877</v>
      </c>
      <c r="D6905" s="19" t="n">
        <v>1</v>
      </c>
      <c r="E6905" s="20" t="n">
        <f aca="false">Parametres!$B$5*C6905</f>
        <v>263.1</v>
      </c>
      <c r="F6905" s="20" t="n">
        <f aca="false">Parametres!$B$6*D6905</f>
        <v>200</v>
      </c>
      <c r="G6905" s="20" t="n">
        <f aca="false">E6905+F6905</f>
        <v>463.1</v>
      </c>
      <c r="H6905" s="20" t="n">
        <f aca="false">IF(G6905&lt;Parametres!$B$8*Parametres!$B$7,0,MIN(G6905,Parametres!$B$7))</f>
        <v>250</v>
      </c>
      <c r="I6905" s="20" t="n">
        <f aca="false">G6905-H6905</f>
        <v>213.1</v>
      </c>
      <c r="J6905" s="21" t="n">
        <f aca="false">H6905*1000/Parametres!$B$9</f>
        <v>4239.44378497541</v>
      </c>
    </row>
    <row r="6906" customFormat="false" ht="15" hidden="false" customHeight="false" outlineLevel="0" collapsed="false">
      <c r="A6906" s="0" t="n">
        <v>6902</v>
      </c>
      <c r="B6906" s="0" t="n">
        <v>10</v>
      </c>
      <c r="C6906" s="19" t="n">
        <v>0.7519</v>
      </c>
      <c r="D6906" s="19" t="n">
        <v>1</v>
      </c>
      <c r="E6906" s="20" t="n">
        <f aca="false">Parametres!$B$5*C6906</f>
        <v>225.57</v>
      </c>
      <c r="F6906" s="20" t="n">
        <f aca="false">Parametres!$B$6*D6906</f>
        <v>200</v>
      </c>
      <c r="G6906" s="20" t="n">
        <f aca="false">E6906+F6906</f>
        <v>425.57</v>
      </c>
      <c r="H6906" s="20" t="n">
        <f aca="false">IF(G6906&lt;Parametres!$B$8*Parametres!$B$7,0,MIN(G6906,Parametres!$B$7))</f>
        <v>250</v>
      </c>
      <c r="I6906" s="20" t="n">
        <f aca="false">G6906-H6906</f>
        <v>175.57</v>
      </c>
      <c r="J6906" s="21" t="n">
        <f aca="false">H6906*1000/Parametres!$B$9</f>
        <v>4239.44378497541</v>
      </c>
    </row>
    <row r="6907" customFormat="false" ht="15" hidden="false" customHeight="false" outlineLevel="0" collapsed="false">
      <c r="A6907" s="0" t="n">
        <v>6903</v>
      </c>
      <c r="B6907" s="0" t="n">
        <v>10</v>
      </c>
      <c r="C6907" s="19" t="n">
        <v>0.6391</v>
      </c>
      <c r="D6907" s="19" t="n">
        <v>1</v>
      </c>
      <c r="E6907" s="20" t="n">
        <f aca="false">Parametres!$B$5*C6907</f>
        <v>191.73</v>
      </c>
      <c r="F6907" s="20" t="n">
        <f aca="false">Parametres!$B$6*D6907</f>
        <v>200</v>
      </c>
      <c r="G6907" s="20" t="n">
        <f aca="false">E6907+F6907</f>
        <v>391.73</v>
      </c>
      <c r="H6907" s="20" t="n">
        <f aca="false">IF(G6907&lt;Parametres!$B$8*Parametres!$B$7,0,MIN(G6907,Parametres!$B$7))</f>
        <v>250</v>
      </c>
      <c r="I6907" s="20" t="n">
        <f aca="false">G6907-H6907</f>
        <v>141.73</v>
      </c>
      <c r="J6907" s="21" t="n">
        <f aca="false">H6907*1000/Parametres!$B$9</f>
        <v>4239.44378497541</v>
      </c>
    </row>
    <row r="6908" customFormat="false" ht="15" hidden="false" customHeight="false" outlineLevel="0" collapsed="false">
      <c r="A6908" s="0" t="n">
        <v>6904</v>
      </c>
      <c r="B6908" s="0" t="n">
        <v>10</v>
      </c>
      <c r="C6908" s="19" t="n">
        <v>0.4417</v>
      </c>
      <c r="D6908" s="19" t="n">
        <v>1</v>
      </c>
      <c r="E6908" s="20" t="n">
        <f aca="false">Parametres!$B$5*C6908</f>
        <v>132.51</v>
      </c>
      <c r="F6908" s="20" t="n">
        <f aca="false">Parametres!$B$6*D6908</f>
        <v>200</v>
      </c>
      <c r="G6908" s="20" t="n">
        <f aca="false">E6908+F6908</f>
        <v>332.51</v>
      </c>
      <c r="H6908" s="20" t="n">
        <f aca="false">IF(G6908&lt;Parametres!$B$8*Parametres!$B$7,0,MIN(G6908,Parametres!$B$7))</f>
        <v>250</v>
      </c>
      <c r="I6908" s="20" t="n">
        <f aca="false">G6908-H6908</f>
        <v>82.51</v>
      </c>
      <c r="J6908" s="21" t="n">
        <f aca="false">H6908*1000/Parametres!$B$9</f>
        <v>4239.44378497541</v>
      </c>
    </row>
    <row r="6909" customFormat="false" ht="15" hidden="false" customHeight="false" outlineLevel="0" collapsed="false">
      <c r="A6909" s="0" t="n">
        <v>6905</v>
      </c>
      <c r="B6909" s="0" t="n">
        <v>10</v>
      </c>
      <c r="C6909" s="19" t="n">
        <v>0.2499</v>
      </c>
      <c r="D6909" s="19" t="n">
        <v>1</v>
      </c>
      <c r="E6909" s="20" t="n">
        <f aca="false">Parametres!$B$5*C6909</f>
        <v>74.97</v>
      </c>
      <c r="F6909" s="20" t="n">
        <f aca="false">Parametres!$B$6*D6909</f>
        <v>200</v>
      </c>
      <c r="G6909" s="20" t="n">
        <f aca="false">E6909+F6909</f>
        <v>274.97</v>
      </c>
      <c r="H6909" s="20" t="n">
        <f aca="false">IF(G6909&lt;Parametres!$B$8*Parametres!$B$7,0,MIN(G6909,Parametres!$B$7))</f>
        <v>250</v>
      </c>
      <c r="I6909" s="20" t="n">
        <f aca="false">G6909-H6909</f>
        <v>24.97</v>
      </c>
      <c r="J6909" s="21" t="n">
        <f aca="false">H6909*1000/Parametres!$B$9</f>
        <v>4239.44378497541</v>
      </c>
    </row>
    <row r="6910" customFormat="false" ht="15" hidden="false" customHeight="false" outlineLevel="0" collapsed="false">
      <c r="A6910" s="0" t="n">
        <v>6906</v>
      </c>
      <c r="B6910" s="0" t="n">
        <v>10</v>
      </c>
      <c r="C6910" s="19" t="n">
        <v>0.0276</v>
      </c>
      <c r="D6910" s="19" t="n">
        <v>1</v>
      </c>
      <c r="E6910" s="20" t="n">
        <f aca="false">Parametres!$B$5*C6910</f>
        <v>8.28</v>
      </c>
      <c r="F6910" s="20" t="n">
        <f aca="false">Parametres!$B$6*D6910</f>
        <v>200</v>
      </c>
      <c r="G6910" s="20" t="n">
        <f aca="false">E6910+F6910</f>
        <v>208.28</v>
      </c>
      <c r="H6910" s="20" t="n">
        <f aca="false">IF(G6910&lt;Parametres!$B$8*Parametres!$B$7,0,MIN(G6910,Parametres!$B$7))</f>
        <v>208.28</v>
      </c>
      <c r="I6910" s="20" t="n">
        <f aca="false">G6910-H6910</f>
        <v>0</v>
      </c>
      <c r="J6910" s="21" t="n">
        <f aca="false">H6910*1000/Parametres!$B$9</f>
        <v>3531.96540613871</v>
      </c>
    </row>
    <row r="6911" customFormat="false" ht="15" hidden="false" customHeight="false" outlineLevel="0" collapsed="false">
      <c r="A6911" s="0" t="n">
        <v>6907</v>
      </c>
      <c r="B6911" s="0" t="n">
        <v>10</v>
      </c>
      <c r="C6911" s="19" t="n">
        <v>0</v>
      </c>
      <c r="D6911" s="19" t="n">
        <v>1</v>
      </c>
      <c r="E6911" s="20" t="n">
        <f aca="false">Parametres!$B$5*C6911</f>
        <v>0</v>
      </c>
      <c r="F6911" s="20" t="n">
        <f aca="false">Parametres!$B$6*D6911</f>
        <v>200</v>
      </c>
      <c r="G6911" s="20" t="n">
        <f aca="false">E6911+F6911</f>
        <v>200</v>
      </c>
      <c r="H6911" s="20" t="n">
        <f aca="false">IF(G6911&lt;Parametres!$B$8*Parametres!$B$7,0,MIN(G6911,Parametres!$B$7))</f>
        <v>200</v>
      </c>
      <c r="I6911" s="20" t="n">
        <f aca="false">G6911-H6911</f>
        <v>0</v>
      </c>
      <c r="J6911" s="21" t="n">
        <f aca="false">H6911*1000/Parametres!$B$9</f>
        <v>3391.55502798033</v>
      </c>
    </row>
    <row r="6912" customFormat="false" ht="15" hidden="false" customHeight="false" outlineLevel="0" collapsed="false">
      <c r="A6912" s="0" t="n">
        <v>6908</v>
      </c>
      <c r="B6912" s="0" t="n">
        <v>10</v>
      </c>
      <c r="C6912" s="19" t="n">
        <v>0</v>
      </c>
      <c r="D6912" s="19" t="n">
        <v>1</v>
      </c>
      <c r="E6912" s="20" t="n">
        <f aca="false">Parametres!$B$5*C6912</f>
        <v>0</v>
      </c>
      <c r="F6912" s="20" t="n">
        <f aca="false">Parametres!$B$6*D6912</f>
        <v>200</v>
      </c>
      <c r="G6912" s="20" t="n">
        <f aca="false">E6912+F6912</f>
        <v>200</v>
      </c>
      <c r="H6912" s="20" t="n">
        <f aca="false">IF(G6912&lt;Parametres!$B$8*Parametres!$B$7,0,MIN(G6912,Parametres!$B$7))</f>
        <v>200</v>
      </c>
      <c r="I6912" s="20" t="n">
        <f aca="false">G6912-H6912</f>
        <v>0</v>
      </c>
      <c r="J6912" s="21" t="n">
        <f aca="false">H6912*1000/Parametres!$B$9</f>
        <v>3391.55502798033</v>
      </c>
    </row>
    <row r="6913" customFormat="false" ht="15" hidden="false" customHeight="false" outlineLevel="0" collapsed="false">
      <c r="A6913" s="0" t="n">
        <v>6909</v>
      </c>
      <c r="B6913" s="0" t="n">
        <v>10</v>
      </c>
      <c r="C6913" s="19" t="n">
        <v>0</v>
      </c>
      <c r="D6913" s="19" t="n">
        <v>1</v>
      </c>
      <c r="E6913" s="20" t="n">
        <f aca="false">Parametres!$B$5*C6913</f>
        <v>0</v>
      </c>
      <c r="F6913" s="20" t="n">
        <f aca="false">Parametres!$B$6*D6913</f>
        <v>200</v>
      </c>
      <c r="G6913" s="20" t="n">
        <f aca="false">E6913+F6913</f>
        <v>200</v>
      </c>
      <c r="H6913" s="20" t="n">
        <f aca="false">IF(G6913&lt;Parametres!$B$8*Parametres!$B$7,0,MIN(G6913,Parametres!$B$7))</f>
        <v>200</v>
      </c>
      <c r="I6913" s="20" t="n">
        <f aca="false">G6913-H6913</f>
        <v>0</v>
      </c>
      <c r="J6913" s="21" t="n">
        <f aca="false">H6913*1000/Parametres!$B$9</f>
        <v>3391.55502798033</v>
      </c>
    </row>
    <row r="6914" customFormat="false" ht="15" hidden="false" customHeight="false" outlineLevel="0" collapsed="false">
      <c r="A6914" s="0" t="n">
        <v>6910</v>
      </c>
      <c r="B6914" s="0" t="n">
        <v>10</v>
      </c>
      <c r="C6914" s="19" t="n">
        <v>0</v>
      </c>
      <c r="D6914" s="19" t="n">
        <v>1</v>
      </c>
      <c r="E6914" s="20" t="n">
        <f aca="false">Parametres!$B$5*C6914</f>
        <v>0</v>
      </c>
      <c r="F6914" s="20" t="n">
        <f aca="false">Parametres!$B$6*D6914</f>
        <v>200</v>
      </c>
      <c r="G6914" s="20" t="n">
        <f aca="false">E6914+F6914</f>
        <v>200</v>
      </c>
      <c r="H6914" s="20" t="n">
        <f aca="false">IF(G6914&lt;Parametres!$B$8*Parametres!$B$7,0,MIN(G6914,Parametres!$B$7))</f>
        <v>200</v>
      </c>
      <c r="I6914" s="20" t="n">
        <f aca="false">G6914-H6914</f>
        <v>0</v>
      </c>
      <c r="J6914" s="21" t="n">
        <f aca="false">H6914*1000/Parametres!$B$9</f>
        <v>3391.55502798033</v>
      </c>
    </row>
    <row r="6915" customFormat="false" ht="15" hidden="false" customHeight="false" outlineLevel="0" collapsed="false">
      <c r="A6915" s="0" t="n">
        <v>6911</v>
      </c>
      <c r="B6915" s="0" t="n">
        <v>10</v>
      </c>
      <c r="C6915" s="19" t="n">
        <v>0</v>
      </c>
      <c r="D6915" s="19" t="n">
        <v>1</v>
      </c>
      <c r="E6915" s="20" t="n">
        <f aca="false">Parametres!$B$5*C6915</f>
        <v>0</v>
      </c>
      <c r="F6915" s="20" t="n">
        <f aca="false">Parametres!$B$6*D6915</f>
        <v>200</v>
      </c>
      <c r="G6915" s="20" t="n">
        <f aca="false">E6915+F6915</f>
        <v>200</v>
      </c>
      <c r="H6915" s="20" t="n">
        <f aca="false">IF(G6915&lt;Parametres!$B$8*Parametres!$B$7,0,MIN(G6915,Parametres!$B$7))</f>
        <v>200</v>
      </c>
      <c r="I6915" s="20" t="n">
        <f aca="false">G6915-H6915</f>
        <v>0</v>
      </c>
      <c r="J6915" s="21" t="n">
        <f aca="false">H6915*1000/Parametres!$B$9</f>
        <v>3391.55502798033</v>
      </c>
    </row>
    <row r="6916" customFormat="false" ht="15" hidden="false" customHeight="false" outlineLevel="0" collapsed="false">
      <c r="A6916" s="0" t="n">
        <v>6912</v>
      </c>
      <c r="B6916" s="0" t="n">
        <v>10</v>
      </c>
      <c r="C6916" s="19" t="n">
        <v>0</v>
      </c>
      <c r="D6916" s="19" t="n">
        <v>0.824</v>
      </c>
      <c r="E6916" s="20" t="n">
        <f aca="false">Parametres!$B$5*C6916</f>
        <v>0</v>
      </c>
      <c r="F6916" s="20" t="n">
        <f aca="false">Parametres!$B$6*D6916</f>
        <v>164.8</v>
      </c>
      <c r="G6916" s="20" t="n">
        <f aca="false">E6916+F6916</f>
        <v>164.8</v>
      </c>
      <c r="H6916" s="20" t="n">
        <f aca="false">IF(G6916&lt;Parametres!$B$8*Parametres!$B$7,0,MIN(G6916,Parametres!$B$7))</f>
        <v>164.8</v>
      </c>
      <c r="I6916" s="20" t="n">
        <f aca="false">G6916-H6916</f>
        <v>0</v>
      </c>
      <c r="J6916" s="21" t="n">
        <f aca="false">H6916*1000/Parametres!$B$9</f>
        <v>2794.64134305579</v>
      </c>
    </row>
    <row r="6917" customFormat="false" ht="15" hidden="false" customHeight="false" outlineLevel="0" collapsed="false">
      <c r="A6917" s="0" t="n">
        <v>6913</v>
      </c>
      <c r="B6917" s="0" t="n">
        <v>10</v>
      </c>
      <c r="C6917" s="19" t="n">
        <v>0</v>
      </c>
      <c r="D6917" s="19" t="n">
        <v>0.634</v>
      </c>
      <c r="E6917" s="20" t="n">
        <f aca="false">Parametres!$B$5*C6917</f>
        <v>0</v>
      </c>
      <c r="F6917" s="20" t="n">
        <f aca="false">Parametres!$B$6*D6917</f>
        <v>126.8</v>
      </c>
      <c r="G6917" s="20" t="n">
        <f aca="false">E6917+F6917</f>
        <v>126.8</v>
      </c>
      <c r="H6917" s="20" t="n">
        <f aca="false">IF(G6917&lt;Parametres!$B$8*Parametres!$B$7,0,MIN(G6917,Parametres!$B$7))</f>
        <v>126.8</v>
      </c>
      <c r="I6917" s="20" t="n">
        <f aca="false">G6917-H6917</f>
        <v>0</v>
      </c>
      <c r="J6917" s="21" t="n">
        <f aca="false">H6917*1000/Parametres!$B$9</f>
        <v>2150.24588773953</v>
      </c>
    </row>
    <row r="6918" customFormat="false" ht="15" hidden="false" customHeight="false" outlineLevel="0" collapsed="false">
      <c r="A6918" s="0" t="n">
        <v>6914</v>
      </c>
      <c r="B6918" s="0" t="n">
        <v>10</v>
      </c>
      <c r="C6918" s="19" t="n">
        <v>0</v>
      </c>
      <c r="D6918" s="19" t="n">
        <v>0.4366</v>
      </c>
      <c r="E6918" s="20" t="n">
        <f aca="false">Parametres!$B$5*C6918</f>
        <v>0</v>
      </c>
      <c r="F6918" s="20" t="n">
        <f aca="false">Parametres!$B$6*D6918</f>
        <v>87.32</v>
      </c>
      <c r="G6918" s="20" t="n">
        <f aca="false">E6918+F6918</f>
        <v>87.32</v>
      </c>
      <c r="H6918" s="20" t="n">
        <f aca="false">IF(G6918&lt;Parametres!$B$8*Parametres!$B$7,0,MIN(G6918,Parametres!$B$7))</f>
        <v>87.32</v>
      </c>
      <c r="I6918" s="20" t="n">
        <f aca="false">G6918-H6918</f>
        <v>0</v>
      </c>
      <c r="J6918" s="21" t="n">
        <f aca="false">H6918*1000/Parametres!$B$9</f>
        <v>1480.75292521621</v>
      </c>
    </row>
    <row r="6919" customFormat="false" ht="15" hidden="false" customHeight="false" outlineLevel="0" collapsed="false">
      <c r="A6919" s="0" t="n">
        <v>6915</v>
      </c>
      <c r="B6919" s="0" t="n">
        <v>10</v>
      </c>
      <c r="C6919" s="19" t="n">
        <v>0</v>
      </c>
      <c r="D6919" s="19" t="n">
        <v>0.4739</v>
      </c>
      <c r="E6919" s="20" t="n">
        <f aca="false">Parametres!$B$5*C6919</f>
        <v>0</v>
      </c>
      <c r="F6919" s="20" t="n">
        <f aca="false">Parametres!$B$6*D6919</f>
        <v>94.78</v>
      </c>
      <c r="G6919" s="20" t="n">
        <f aca="false">E6919+F6919</f>
        <v>94.78</v>
      </c>
      <c r="H6919" s="20" t="n">
        <f aca="false">IF(G6919&lt;Parametres!$B$8*Parametres!$B$7,0,MIN(G6919,Parametres!$B$7))</f>
        <v>94.78</v>
      </c>
      <c r="I6919" s="20" t="n">
        <f aca="false">G6919-H6919</f>
        <v>0</v>
      </c>
      <c r="J6919" s="21" t="n">
        <f aca="false">H6919*1000/Parametres!$B$9</f>
        <v>1607.25792775988</v>
      </c>
    </row>
    <row r="6920" customFormat="false" ht="15" hidden="false" customHeight="false" outlineLevel="0" collapsed="false">
      <c r="A6920" s="0" t="n">
        <v>6916</v>
      </c>
      <c r="B6920" s="0" t="n">
        <v>10</v>
      </c>
      <c r="C6920" s="19" t="n">
        <v>0</v>
      </c>
      <c r="D6920" s="19" t="n">
        <v>0.524</v>
      </c>
      <c r="E6920" s="20" t="n">
        <f aca="false">Parametres!$B$5*C6920</f>
        <v>0</v>
      </c>
      <c r="F6920" s="20" t="n">
        <f aca="false">Parametres!$B$6*D6920</f>
        <v>104.8</v>
      </c>
      <c r="G6920" s="20" t="n">
        <f aca="false">E6920+F6920</f>
        <v>104.8</v>
      </c>
      <c r="H6920" s="20" t="n">
        <f aca="false">IF(G6920&lt;Parametres!$B$8*Parametres!$B$7,0,MIN(G6920,Parametres!$B$7))</f>
        <v>104.8</v>
      </c>
      <c r="I6920" s="20" t="n">
        <f aca="false">G6920-H6920</f>
        <v>0</v>
      </c>
      <c r="J6920" s="21" t="n">
        <f aca="false">H6920*1000/Parametres!$B$9</f>
        <v>1777.17483466169</v>
      </c>
    </row>
    <row r="6921" customFormat="false" ht="15" hidden="false" customHeight="false" outlineLevel="0" collapsed="false">
      <c r="A6921" s="0" t="n">
        <v>6917</v>
      </c>
      <c r="B6921" s="0" t="n">
        <v>10</v>
      </c>
      <c r="C6921" s="19" t="n">
        <v>0</v>
      </c>
      <c r="D6921" s="19" t="n">
        <v>0.7782</v>
      </c>
      <c r="E6921" s="20" t="n">
        <f aca="false">Parametres!$B$5*C6921</f>
        <v>0</v>
      </c>
      <c r="F6921" s="20" t="n">
        <f aca="false">Parametres!$B$6*D6921</f>
        <v>155.64</v>
      </c>
      <c r="G6921" s="20" t="n">
        <f aca="false">E6921+F6921</f>
        <v>155.64</v>
      </c>
      <c r="H6921" s="20" t="n">
        <f aca="false">IF(G6921&lt;Parametres!$B$8*Parametres!$B$7,0,MIN(G6921,Parametres!$B$7))</f>
        <v>155.64</v>
      </c>
      <c r="I6921" s="20" t="n">
        <f aca="false">G6921-H6921</f>
        <v>0</v>
      </c>
      <c r="J6921" s="21" t="n">
        <f aca="false">H6921*1000/Parametres!$B$9</f>
        <v>2639.30812277429</v>
      </c>
    </row>
    <row r="6922" customFormat="false" ht="15" hidden="false" customHeight="false" outlineLevel="0" collapsed="false">
      <c r="A6922" s="0" t="n">
        <v>6918</v>
      </c>
      <c r="B6922" s="0" t="n">
        <v>10</v>
      </c>
      <c r="C6922" s="19" t="n">
        <v>0</v>
      </c>
      <c r="D6922" s="19" t="n">
        <v>0.8032</v>
      </c>
      <c r="E6922" s="20" t="n">
        <f aca="false">Parametres!$B$5*C6922</f>
        <v>0</v>
      </c>
      <c r="F6922" s="20" t="n">
        <f aca="false">Parametres!$B$6*D6922</f>
        <v>160.64</v>
      </c>
      <c r="G6922" s="20" t="n">
        <f aca="false">E6922+F6922</f>
        <v>160.64</v>
      </c>
      <c r="H6922" s="20" t="n">
        <f aca="false">IF(G6922&lt;Parametres!$B$8*Parametres!$B$7,0,MIN(G6922,Parametres!$B$7))</f>
        <v>160.64</v>
      </c>
      <c r="I6922" s="20" t="n">
        <f aca="false">G6922-H6922</f>
        <v>0</v>
      </c>
      <c r="J6922" s="21" t="n">
        <f aca="false">H6922*1000/Parametres!$B$9</f>
        <v>2724.0969984738</v>
      </c>
    </row>
    <row r="6923" customFormat="false" ht="15" hidden="false" customHeight="false" outlineLevel="0" collapsed="false">
      <c r="A6923" s="0" t="n">
        <v>6919</v>
      </c>
      <c r="B6923" s="0" t="n">
        <v>10</v>
      </c>
      <c r="C6923" s="19" t="n">
        <v>0.022</v>
      </c>
      <c r="D6923" s="19" t="n">
        <v>0.9703</v>
      </c>
      <c r="E6923" s="20" t="n">
        <f aca="false">Parametres!$B$5*C6923</f>
        <v>6.6</v>
      </c>
      <c r="F6923" s="20" t="n">
        <f aca="false">Parametres!$B$6*D6923</f>
        <v>194.06</v>
      </c>
      <c r="G6923" s="20" t="n">
        <f aca="false">E6923+F6923</f>
        <v>200.66</v>
      </c>
      <c r="H6923" s="20" t="n">
        <f aca="false">IF(G6923&lt;Parametres!$B$8*Parametres!$B$7,0,MIN(G6923,Parametres!$B$7))</f>
        <v>200.66</v>
      </c>
      <c r="I6923" s="20" t="n">
        <f aca="false">G6923-H6923</f>
        <v>0</v>
      </c>
      <c r="J6923" s="21" t="n">
        <f aca="false">H6923*1000/Parametres!$B$9</f>
        <v>3402.74715957266</v>
      </c>
    </row>
    <row r="6924" customFormat="false" ht="15" hidden="false" customHeight="false" outlineLevel="0" collapsed="false">
      <c r="A6924" s="0" t="n">
        <v>6920</v>
      </c>
      <c r="B6924" s="0" t="n">
        <v>10</v>
      </c>
      <c r="C6924" s="19" t="n">
        <v>0.2215</v>
      </c>
      <c r="D6924" s="19" t="n">
        <v>0.6513</v>
      </c>
      <c r="E6924" s="20" t="n">
        <f aca="false">Parametres!$B$5*C6924</f>
        <v>66.45</v>
      </c>
      <c r="F6924" s="20" t="n">
        <f aca="false">Parametres!$B$6*D6924</f>
        <v>130.26</v>
      </c>
      <c r="G6924" s="20" t="n">
        <f aca="false">E6924+F6924</f>
        <v>196.71</v>
      </c>
      <c r="H6924" s="20" t="n">
        <f aca="false">IF(G6924&lt;Parametres!$B$8*Parametres!$B$7,0,MIN(G6924,Parametres!$B$7))</f>
        <v>196.71</v>
      </c>
      <c r="I6924" s="20" t="n">
        <f aca="false">G6924-H6924</f>
        <v>0</v>
      </c>
      <c r="J6924" s="21" t="n">
        <f aca="false">H6924*1000/Parametres!$B$9</f>
        <v>3335.76394777005</v>
      </c>
    </row>
    <row r="6925" customFormat="false" ht="15" hidden="false" customHeight="false" outlineLevel="0" collapsed="false">
      <c r="A6925" s="0" t="n">
        <v>6921</v>
      </c>
      <c r="B6925" s="0" t="n">
        <v>10</v>
      </c>
      <c r="C6925" s="19" t="n">
        <v>0.4056</v>
      </c>
      <c r="D6925" s="19" t="n">
        <v>0.4618</v>
      </c>
      <c r="E6925" s="20" t="n">
        <f aca="false">Parametres!$B$5*C6925</f>
        <v>121.68</v>
      </c>
      <c r="F6925" s="20" t="n">
        <f aca="false">Parametres!$B$6*D6925</f>
        <v>92.36</v>
      </c>
      <c r="G6925" s="20" t="n">
        <f aca="false">E6925+F6925</f>
        <v>214.04</v>
      </c>
      <c r="H6925" s="20" t="n">
        <f aca="false">IF(G6925&lt;Parametres!$B$8*Parametres!$B$7,0,MIN(G6925,Parametres!$B$7))</f>
        <v>214.04</v>
      </c>
      <c r="I6925" s="20" t="n">
        <f aca="false">G6925-H6925</f>
        <v>0</v>
      </c>
      <c r="J6925" s="21" t="n">
        <f aca="false">H6925*1000/Parametres!$B$9</f>
        <v>3629.64219094455</v>
      </c>
    </row>
    <row r="6926" customFormat="false" ht="15" hidden="false" customHeight="false" outlineLevel="0" collapsed="false">
      <c r="A6926" s="0" t="n">
        <v>6922</v>
      </c>
      <c r="B6926" s="0" t="n">
        <v>10</v>
      </c>
      <c r="C6926" s="19" t="n">
        <v>0.5599</v>
      </c>
      <c r="D6926" s="19" t="n">
        <v>0.3276</v>
      </c>
      <c r="E6926" s="20" t="n">
        <f aca="false">Parametres!$B$5*C6926</f>
        <v>167.97</v>
      </c>
      <c r="F6926" s="20" t="n">
        <f aca="false">Parametres!$B$6*D6926</f>
        <v>65.52</v>
      </c>
      <c r="G6926" s="20" t="n">
        <f aca="false">E6926+F6926</f>
        <v>233.49</v>
      </c>
      <c r="H6926" s="20" t="n">
        <f aca="false">IF(G6926&lt;Parametres!$B$8*Parametres!$B$7,0,MIN(G6926,Parametres!$B$7))</f>
        <v>233.49</v>
      </c>
      <c r="I6926" s="20" t="n">
        <f aca="false">G6926-H6926</f>
        <v>0</v>
      </c>
      <c r="J6926" s="21" t="n">
        <f aca="false">H6926*1000/Parametres!$B$9</f>
        <v>3959.47091741564</v>
      </c>
    </row>
    <row r="6927" customFormat="false" ht="15" hidden="false" customHeight="false" outlineLevel="0" collapsed="false">
      <c r="A6927" s="0" t="n">
        <v>6923</v>
      </c>
      <c r="B6927" s="0" t="n">
        <v>10</v>
      </c>
      <c r="C6927" s="19" t="n">
        <v>0.6609</v>
      </c>
      <c r="D6927" s="19" t="n">
        <v>0.1022</v>
      </c>
      <c r="E6927" s="20" t="n">
        <f aca="false">Parametres!$B$5*C6927</f>
        <v>198.27</v>
      </c>
      <c r="F6927" s="20" t="n">
        <f aca="false">Parametres!$B$6*D6927</f>
        <v>20.44</v>
      </c>
      <c r="G6927" s="20" t="n">
        <f aca="false">E6927+F6927</f>
        <v>218.71</v>
      </c>
      <c r="H6927" s="20" t="n">
        <f aca="false">IF(G6927&lt;Parametres!$B$8*Parametres!$B$7,0,MIN(G6927,Parametres!$B$7))</f>
        <v>218.71</v>
      </c>
      <c r="I6927" s="20" t="n">
        <f aca="false">G6927-H6927</f>
        <v>0</v>
      </c>
      <c r="J6927" s="21" t="n">
        <f aca="false">H6927*1000/Parametres!$B$9</f>
        <v>3708.83500084789</v>
      </c>
    </row>
    <row r="6928" customFormat="false" ht="15" hidden="false" customHeight="false" outlineLevel="0" collapsed="false">
      <c r="A6928" s="0" t="n">
        <v>6924</v>
      </c>
      <c r="B6928" s="0" t="n">
        <v>10</v>
      </c>
      <c r="C6928" s="19" t="n">
        <v>0.7372</v>
      </c>
      <c r="D6928" s="19" t="n">
        <v>0.1346</v>
      </c>
      <c r="E6928" s="20" t="n">
        <f aca="false">Parametres!$B$5*C6928</f>
        <v>221.16</v>
      </c>
      <c r="F6928" s="20" t="n">
        <f aca="false">Parametres!$B$6*D6928</f>
        <v>26.92</v>
      </c>
      <c r="G6928" s="20" t="n">
        <f aca="false">E6928+F6928</f>
        <v>248.08</v>
      </c>
      <c r="H6928" s="20" t="n">
        <f aca="false">IF(G6928&lt;Parametres!$B$8*Parametres!$B$7,0,MIN(G6928,Parametres!$B$7))</f>
        <v>248.08</v>
      </c>
      <c r="I6928" s="20" t="n">
        <f aca="false">G6928-H6928</f>
        <v>0</v>
      </c>
      <c r="J6928" s="21" t="n">
        <f aca="false">H6928*1000/Parametres!$B$9</f>
        <v>4206.8848567068</v>
      </c>
    </row>
    <row r="6929" customFormat="false" ht="15" hidden="false" customHeight="false" outlineLevel="0" collapsed="false">
      <c r="A6929" s="0" t="n">
        <v>6925</v>
      </c>
      <c r="B6929" s="0" t="n">
        <v>10</v>
      </c>
      <c r="C6929" s="19" t="n">
        <v>0.7838</v>
      </c>
      <c r="D6929" s="19" t="n">
        <v>0.0445</v>
      </c>
      <c r="E6929" s="20" t="n">
        <f aca="false">Parametres!$B$5*C6929</f>
        <v>235.14</v>
      </c>
      <c r="F6929" s="20" t="n">
        <f aca="false">Parametres!$B$6*D6929</f>
        <v>8.9</v>
      </c>
      <c r="G6929" s="20" t="n">
        <f aca="false">E6929+F6929</f>
        <v>244.04</v>
      </c>
      <c r="H6929" s="20" t="n">
        <f aca="false">IF(G6929&lt;Parametres!$B$8*Parametres!$B$7,0,MIN(G6929,Parametres!$B$7))</f>
        <v>244.04</v>
      </c>
      <c r="I6929" s="20" t="n">
        <f aca="false">G6929-H6929</f>
        <v>0</v>
      </c>
      <c r="J6929" s="21" t="n">
        <f aca="false">H6929*1000/Parametres!$B$9</f>
        <v>4138.3754451416</v>
      </c>
    </row>
    <row r="6930" customFormat="false" ht="15" hidden="false" customHeight="false" outlineLevel="0" collapsed="false">
      <c r="A6930" s="0" t="n">
        <v>6926</v>
      </c>
      <c r="B6930" s="0" t="n">
        <v>10</v>
      </c>
      <c r="C6930" s="19" t="n">
        <v>0.6762</v>
      </c>
      <c r="D6930" s="19" t="n">
        <v>0.152</v>
      </c>
      <c r="E6930" s="20" t="n">
        <f aca="false">Parametres!$B$5*C6930</f>
        <v>202.86</v>
      </c>
      <c r="F6930" s="20" t="n">
        <f aca="false">Parametres!$B$6*D6930</f>
        <v>30.4</v>
      </c>
      <c r="G6930" s="20" t="n">
        <f aca="false">E6930+F6930</f>
        <v>233.26</v>
      </c>
      <c r="H6930" s="20" t="n">
        <f aca="false">IF(G6930&lt;Parametres!$B$8*Parametres!$B$7,0,MIN(G6930,Parametres!$B$7))</f>
        <v>233.26</v>
      </c>
      <c r="I6930" s="20" t="n">
        <f aca="false">G6930-H6930</f>
        <v>0</v>
      </c>
      <c r="J6930" s="21" t="n">
        <f aca="false">H6930*1000/Parametres!$B$9</f>
        <v>3955.57062913346</v>
      </c>
    </row>
    <row r="6931" customFormat="false" ht="15" hidden="false" customHeight="false" outlineLevel="0" collapsed="false">
      <c r="A6931" s="0" t="n">
        <v>6927</v>
      </c>
      <c r="B6931" s="0" t="n">
        <v>10</v>
      </c>
      <c r="C6931" s="19" t="n">
        <v>0.6048</v>
      </c>
      <c r="D6931" s="19" t="n">
        <v>0.0712</v>
      </c>
      <c r="E6931" s="20" t="n">
        <f aca="false">Parametres!$B$5*C6931</f>
        <v>181.44</v>
      </c>
      <c r="F6931" s="20" t="n">
        <f aca="false">Parametres!$B$6*D6931</f>
        <v>14.24</v>
      </c>
      <c r="G6931" s="20" t="n">
        <f aca="false">E6931+F6931</f>
        <v>195.68</v>
      </c>
      <c r="H6931" s="20" t="n">
        <f aca="false">IF(G6931&lt;Parametres!$B$8*Parametres!$B$7,0,MIN(G6931,Parametres!$B$7))</f>
        <v>195.68</v>
      </c>
      <c r="I6931" s="20" t="n">
        <f aca="false">G6931-H6931</f>
        <v>0</v>
      </c>
      <c r="J6931" s="21" t="n">
        <f aca="false">H6931*1000/Parametres!$B$9</f>
        <v>3318.29743937595</v>
      </c>
    </row>
    <row r="6932" customFormat="false" ht="15" hidden="false" customHeight="false" outlineLevel="0" collapsed="false">
      <c r="A6932" s="0" t="n">
        <v>6928</v>
      </c>
      <c r="B6932" s="0" t="n">
        <v>10</v>
      </c>
      <c r="C6932" s="19" t="n">
        <v>0.4017</v>
      </c>
      <c r="D6932" s="19" t="n">
        <v>0.0701</v>
      </c>
      <c r="E6932" s="20" t="n">
        <f aca="false">Parametres!$B$5*C6932</f>
        <v>120.51</v>
      </c>
      <c r="F6932" s="20" t="n">
        <f aca="false">Parametres!$B$6*D6932</f>
        <v>14.02</v>
      </c>
      <c r="G6932" s="20" t="n">
        <f aca="false">E6932+F6932</f>
        <v>134.53</v>
      </c>
      <c r="H6932" s="20" t="n">
        <f aca="false">IF(G6932&lt;Parametres!$B$8*Parametres!$B$7,0,MIN(G6932,Parametres!$B$7))</f>
        <v>134.53</v>
      </c>
      <c r="I6932" s="20" t="n">
        <f aca="false">G6932-H6932</f>
        <v>0</v>
      </c>
      <c r="J6932" s="21" t="n">
        <f aca="false">H6932*1000/Parametres!$B$9</f>
        <v>2281.32948957097</v>
      </c>
    </row>
    <row r="6933" customFormat="false" ht="15" hidden="false" customHeight="false" outlineLevel="0" collapsed="false">
      <c r="A6933" s="0" t="n">
        <v>6929</v>
      </c>
      <c r="B6933" s="0" t="n">
        <v>10</v>
      </c>
      <c r="C6933" s="19" t="n">
        <v>0.1955</v>
      </c>
      <c r="D6933" s="19" t="n">
        <v>0.0661</v>
      </c>
      <c r="E6933" s="20" t="n">
        <f aca="false">Parametres!$B$5*C6933</f>
        <v>58.65</v>
      </c>
      <c r="F6933" s="20" t="n">
        <f aca="false">Parametres!$B$6*D6933</f>
        <v>13.22</v>
      </c>
      <c r="G6933" s="20" t="n">
        <f aca="false">E6933+F6933</f>
        <v>71.87</v>
      </c>
      <c r="H6933" s="20" t="n">
        <f aca="false">IF(G6933&lt;Parametres!$B$8*Parametres!$B$7,0,MIN(G6933,Parametres!$B$7))</f>
        <v>71.87</v>
      </c>
      <c r="I6933" s="20" t="n">
        <f aca="false">G6933-H6933</f>
        <v>0</v>
      </c>
      <c r="J6933" s="21" t="n">
        <f aca="false">H6933*1000/Parametres!$B$9</f>
        <v>1218.75529930473</v>
      </c>
    </row>
    <row r="6934" customFormat="false" ht="15" hidden="false" customHeight="false" outlineLevel="0" collapsed="false">
      <c r="A6934" s="0" t="n">
        <v>6930</v>
      </c>
      <c r="B6934" s="0" t="n">
        <v>10</v>
      </c>
      <c r="C6934" s="19" t="n">
        <v>0.0219</v>
      </c>
      <c r="D6934" s="19" t="n">
        <v>0.1331</v>
      </c>
      <c r="E6934" s="20" t="n">
        <f aca="false">Parametres!$B$5*C6934</f>
        <v>6.57</v>
      </c>
      <c r="F6934" s="20" t="n">
        <f aca="false">Parametres!$B$6*D6934</f>
        <v>26.62</v>
      </c>
      <c r="G6934" s="20" t="n">
        <f aca="false">E6934+F6934</f>
        <v>33.19</v>
      </c>
      <c r="H6934" s="20" t="n">
        <f aca="false">IF(G6934&lt;Parametres!$B$8*Parametres!$B$7,0,MIN(G6934,Parametres!$B$7))</f>
        <v>33.19</v>
      </c>
      <c r="I6934" s="20" t="n">
        <f aca="false">G6934-H6934</f>
        <v>0</v>
      </c>
      <c r="J6934" s="21" t="n">
        <f aca="false">H6934*1000/Parametres!$B$9</f>
        <v>562.828556893336</v>
      </c>
    </row>
    <row r="6935" customFormat="false" ht="15" hidden="false" customHeight="false" outlineLevel="0" collapsed="false">
      <c r="A6935" s="0" t="n">
        <v>6931</v>
      </c>
      <c r="B6935" s="0" t="n">
        <v>10</v>
      </c>
      <c r="C6935" s="19" t="n">
        <v>0</v>
      </c>
      <c r="D6935" s="19" t="n">
        <v>0.0881</v>
      </c>
      <c r="E6935" s="20" t="n">
        <f aca="false">Parametres!$B$5*C6935</f>
        <v>0</v>
      </c>
      <c r="F6935" s="20" t="n">
        <f aca="false">Parametres!$B$6*D6935</f>
        <v>17.62</v>
      </c>
      <c r="G6935" s="20" t="n">
        <f aca="false">E6935+F6935</f>
        <v>17.62</v>
      </c>
      <c r="H6935" s="20" t="n">
        <f aca="false">IF(G6935&lt;Parametres!$B$8*Parametres!$B$7,0,MIN(G6935,Parametres!$B$7))</f>
        <v>0</v>
      </c>
      <c r="I6935" s="20" t="n">
        <f aca="false">G6935-H6935</f>
        <v>17.62</v>
      </c>
      <c r="J6935" s="21" t="n">
        <f aca="false">H6935*1000/Parametres!$B$9</f>
        <v>0</v>
      </c>
    </row>
    <row r="6936" customFormat="false" ht="15" hidden="false" customHeight="false" outlineLevel="0" collapsed="false">
      <c r="A6936" s="0" t="n">
        <v>6932</v>
      </c>
      <c r="B6936" s="0" t="n">
        <v>10</v>
      </c>
      <c r="C6936" s="19" t="n">
        <v>0</v>
      </c>
      <c r="D6936" s="19" t="n">
        <v>0.0931</v>
      </c>
      <c r="E6936" s="20" t="n">
        <f aca="false">Parametres!$B$5*C6936</f>
        <v>0</v>
      </c>
      <c r="F6936" s="20" t="n">
        <f aca="false">Parametres!$B$6*D6936</f>
        <v>18.62</v>
      </c>
      <c r="G6936" s="20" t="n">
        <f aca="false">E6936+F6936</f>
        <v>18.62</v>
      </c>
      <c r="H6936" s="20" t="n">
        <f aca="false">IF(G6936&lt;Parametres!$B$8*Parametres!$B$7,0,MIN(G6936,Parametres!$B$7))</f>
        <v>0</v>
      </c>
      <c r="I6936" s="20" t="n">
        <f aca="false">G6936-H6936</f>
        <v>18.62</v>
      </c>
      <c r="J6936" s="21" t="n">
        <f aca="false">H6936*1000/Parametres!$B$9</f>
        <v>0</v>
      </c>
    </row>
    <row r="6937" customFormat="false" ht="15" hidden="false" customHeight="false" outlineLevel="0" collapsed="false">
      <c r="A6937" s="0" t="n">
        <v>6933</v>
      </c>
      <c r="B6937" s="0" t="n">
        <v>10</v>
      </c>
      <c r="C6937" s="19" t="n">
        <v>0</v>
      </c>
      <c r="D6937" s="19" t="n">
        <v>0.0676</v>
      </c>
      <c r="E6937" s="20" t="n">
        <f aca="false">Parametres!$B$5*C6937</f>
        <v>0</v>
      </c>
      <c r="F6937" s="20" t="n">
        <f aca="false">Parametres!$B$6*D6937</f>
        <v>13.52</v>
      </c>
      <c r="G6937" s="20" t="n">
        <f aca="false">E6937+F6937</f>
        <v>13.52</v>
      </c>
      <c r="H6937" s="20" t="n">
        <f aca="false">IF(G6937&lt;Parametres!$B$8*Parametres!$B$7,0,MIN(G6937,Parametres!$B$7))</f>
        <v>0</v>
      </c>
      <c r="I6937" s="20" t="n">
        <f aca="false">G6937-H6937</f>
        <v>13.52</v>
      </c>
      <c r="J6937" s="21" t="n">
        <f aca="false">H6937*1000/Parametres!$B$9</f>
        <v>0</v>
      </c>
    </row>
    <row r="6938" customFormat="false" ht="15" hidden="false" customHeight="false" outlineLevel="0" collapsed="false">
      <c r="A6938" s="0" t="n">
        <v>6934</v>
      </c>
      <c r="B6938" s="0" t="n">
        <v>10</v>
      </c>
      <c r="C6938" s="19" t="n">
        <v>0</v>
      </c>
      <c r="D6938" s="19" t="n">
        <v>0.0695</v>
      </c>
      <c r="E6938" s="20" t="n">
        <f aca="false">Parametres!$B$5*C6938</f>
        <v>0</v>
      </c>
      <c r="F6938" s="20" t="n">
        <f aca="false">Parametres!$B$6*D6938</f>
        <v>13.9</v>
      </c>
      <c r="G6938" s="20" t="n">
        <f aca="false">E6938+F6938</f>
        <v>13.9</v>
      </c>
      <c r="H6938" s="20" t="n">
        <f aca="false">IF(G6938&lt;Parametres!$B$8*Parametres!$B$7,0,MIN(G6938,Parametres!$B$7))</f>
        <v>0</v>
      </c>
      <c r="I6938" s="20" t="n">
        <f aca="false">G6938-H6938</f>
        <v>13.9</v>
      </c>
      <c r="J6938" s="21" t="n">
        <f aca="false">H6938*1000/Parametres!$B$9</f>
        <v>0</v>
      </c>
    </row>
    <row r="6939" customFormat="false" ht="15" hidden="false" customHeight="false" outlineLevel="0" collapsed="false">
      <c r="A6939" s="0" t="n">
        <v>6935</v>
      </c>
      <c r="B6939" s="0" t="n">
        <v>10</v>
      </c>
      <c r="C6939" s="19" t="n">
        <v>0</v>
      </c>
      <c r="D6939" s="19" t="n">
        <v>0.0523</v>
      </c>
      <c r="E6939" s="20" t="n">
        <f aca="false">Parametres!$B$5*C6939</f>
        <v>0</v>
      </c>
      <c r="F6939" s="20" t="n">
        <f aca="false">Parametres!$B$6*D6939</f>
        <v>10.46</v>
      </c>
      <c r="G6939" s="20" t="n">
        <f aca="false">E6939+F6939</f>
        <v>10.46</v>
      </c>
      <c r="H6939" s="20" t="n">
        <f aca="false">IF(G6939&lt;Parametres!$B$8*Parametres!$B$7,0,MIN(G6939,Parametres!$B$7))</f>
        <v>0</v>
      </c>
      <c r="I6939" s="20" t="n">
        <f aca="false">G6939-H6939</f>
        <v>10.46</v>
      </c>
      <c r="J6939" s="21" t="n">
        <f aca="false">H6939*1000/Parametres!$B$9</f>
        <v>0</v>
      </c>
    </row>
    <row r="6940" customFormat="false" ht="15" hidden="false" customHeight="false" outlineLevel="0" collapsed="false">
      <c r="A6940" s="0" t="n">
        <v>6936</v>
      </c>
      <c r="B6940" s="0" t="n">
        <v>10</v>
      </c>
      <c r="C6940" s="19" t="n">
        <v>0</v>
      </c>
      <c r="D6940" s="19" t="n">
        <v>0.0147</v>
      </c>
      <c r="E6940" s="20" t="n">
        <f aca="false">Parametres!$B$5*C6940</f>
        <v>0</v>
      </c>
      <c r="F6940" s="20" t="n">
        <f aca="false">Parametres!$B$6*D6940</f>
        <v>2.94</v>
      </c>
      <c r="G6940" s="20" t="n">
        <f aca="false">E6940+F6940</f>
        <v>2.94</v>
      </c>
      <c r="H6940" s="20" t="n">
        <f aca="false">IF(G6940&lt;Parametres!$B$8*Parametres!$B$7,0,MIN(G6940,Parametres!$B$7))</f>
        <v>0</v>
      </c>
      <c r="I6940" s="20" t="n">
        <f aca="false">G6940-H6940</f>
        <v>2.94</v>
      </c>
      <c r="J6940" s="21" t="n">
        <f aca="false">H6940*1000/Parametres!$B$9</f>
        <v>0</v>
      </c>
    </row>
    <row r="6941" customFormat="false" ht="15" hidden="false" customHeight="false" outlineLevel="0" collapsed="false">
      <c r="A6941" s="0" t="n">
        <v>6937</v>
      </c>
      <c r="B6941" s="0" t="n">
        <v>10</v>
      </c>
      <c r="C6941" s="19" t="n">
        <v>0</v>
      </c>
      <c r="D6941" s="19" t="n">
        <v>0.0068</v>
      </c>
      <c r="E6941" s="20" t="n">
        <f aca="false">Parametres!$B$5*C6941</f>
        <v>0</v>
      </c>
      <c r="F6941" s="20" t="n">
        <f aca="false">Parametres!$B$6*D6941</f>
        <v>1.36</v>
      </c>
      <c r="G6941" s="20" t="n">
        <f aca="false">E6941+F6941</f>
        <v>1.36</v>
      </c>
      <c r="H6941" s="20" t="n">
        <f aca="false">IF(G6941&lt;Parametres!$B$8*Parametres!$B$7,0,MIN(G6941,Parametres!$B$7))</f>
        <v>0</v>
      </c>
      <c r="I6941" s="20" t="n">
        <f aca="false">G6941-H6941</f>
        <v>1.36</v>
      </c>
      <c r="J6941" s="21" t="n">
        <f aca="false">H6941*1000/Parametres!$B$9</f>
        <v>0</v>
      </c>
    </row>
    <row r="6942" customFormat="false" ht="15" hidden="false" customHeight="false" outlineLevel="0" collapsed="false">
      <c r="A6942" s="0" t="n">
        <v>6938</v>
      </c>
      <c r="B6942" s="0" t="n">
        <v>10</v>
      </c>
      <c r="C6942" s="19" t="n">
        <v>0</v>
      </c>
      <c r="D6942" s="19" t="n">
        <v>0.0027</v>
      </c>
      <c r="E6942" s="20" t="n">
        <f aca="false">Parametres!$B$5*C6942</f>
        <v>0</v>
      </c>
      <c r="F6942" s="20" t="n">
        <f aca="false">Parametres!$B$6*D6942</f>
        <v>0.54</v>
      </c>
      <c r="G6942" s="20" t="n">
        <f aca="false">E6942+F6942</f>
        <v>0.54</v>
      </c>
      <c r="H6942" s="20" t="n">
        <f aca="false">IF(G6942&lt;Parametres!$B$8*Parametres!$B$7,0,MIN(G6942,Parametres!$B$7))</f>
        <v>0</v>
      </c>
      <c r="I6942" s="20" t="n">
        <f aca="false">G6942-H6942</f>
        <v>0.54</v>
      </c>
      <c r="J6942" s="21" t="n">
        <f aca="false">H6942*1000/Parametres!$B$9</f>
        <v>0</v>
      </c>
    </row>
    <row r="6943" customFormat="false" ht="15" hidden="false" customHeight="false" outlineLevel="0" collapsed="false">
      <c r="A6943" s="0" t="n">
        <v>6939</v>
      </c>
      <c r="B6943" s="0" t="n">
        <v>10</v>
      </c>
      <c r="C6943" s="19" t="n">
        <v>0</v>
      </c>
      <c r="D6943" s="19" t="n">
        <v>0.005</v>
      </c>
      <c r="E6943" s="20" t="n">
        <f aca="false">Parametres!$B$5*C6943</f>
        <v>0</v>
      </c>
      <c r="F6943" s="20" t="n">
        <f aca="false">Parametres!$B$6*D6943</f>
        <v>1</v>
      </c>
      <c r="G6943" s="20" t="n">
        <f aca="false">E6943+F6943</f>
        <v>1</v>
      </c>
      <c r="H6943" s="20" t="n">
        <f aca="false">IF(G6943&lt;Parametres!$B$8*Parametres!$B$7,0,MIN(G6943,Parametres!$B$7))</f>
        <v>0</v>
      </c>
      <c r="I6943" s="20" t="n">
        <f aca="false">G6943-H6943</f>
        <v>1</v>
      </c>
      <c r="J6943" s="21" t="n">
        <f aca="false">H6943*1000/Parametres!$B$9</f>
        <v>0</v>
      </c>
    </row>
    <row r="6944" customFormat="false" ht="15" hidden="false" customHeight="false" outlineLevel="0" collapsed="false">
      <c r="A6944" s="0" t="n">
        <v>6940</v>
      </c>
      <c r="B6944" s="0" t="n">
        <v>10</v>
      </c>
      <c r="C6944" s="19" t="n">
        <v>0</v>
      </c>
      <c r="D6944" s="19" t="n">
        <v>0.0005</v>
      </c>
      <c r="E6944" s="20" t="n">
        <f aca="false">Parametres!$B$5*C6944</f>
        <v>0</v>
      </c>
      <c r="F6944" s="20" t="n">
        <f aca="false">Parametres!$B$6*D6944</f>
        <v>0.1</v>
      </c>
      <c r="G6944" s="20" t="n">
        <f aca="false">E6944+F6944</f>
        <v>0.1</v>
      </c>
      <c r="H6944" s="20" t="n">
        <f aca="false">IF(G6944&lt;Parametres!$B$8*Parametres!$B$7,0,MIN(G6944,Parametres!$B$7))</f>
        <v>0</v>
      </c>
      <c r="I6944" s="20" t="n">
        <f aca="false">G6944-H6944</f>
        <v>0.1</v>
      </c>
      <c r="J6944" s="21" t="n">
        <f aca="false">H6944*1000/Parametres!$B$9</f>
        <v>0</v>
      </c>
    </row>
    <row r="6945" customFormat="false" ht="15" hidden="false" customHeight="false" outlineLevel="0" collapsed="false">
      <c r="A6945" s="0" t="n">
        <v>6941</v>
      </c>
      <c r="B6945" s="0" t="n">
        <v>10</v>
      </c>
      <c r="C6945" s="19" t="n">
        <v>0</v>
      </c>
      <c r="D6945" s="19" t="n">
        <v>0.0071</v>
      </c>
      <c r="E6945" s="20" t="n">
        <f aca="false">Parametres!$B$5*C6945</f>
        <v>0</v>
      </c>
      <c r="F6945" s="20" t="n">
        <f aca="false">Parametres!$B$6*D6945</f>
        <v>1.42</v>
      </c>
      <c r="G6945" s="20" t="n">
        <f aca="false">E6945+F6945</f>
        <v>1.42</v>
      </c>
      <c r="H6945" s="20" t="n">
        <f aca="false">IF(G6945&lt;Parametres!$B$8*Parametres!$B$7,0,MIN(G6945,Parametres!$B$7))</f>
        <v>0</v>
      </c>
      <c r="I6945" s="20" t="n">
        <f aca="false">G6945-H6945</f>
        <v>1.42</v>
      </c>
      <c r="J6945" s="21" t="n">
        <f aca="false">H6945*1000/Parametres!$B$9</f>
        <v>0</v>
      </c>
    </row>
    <row r="6946" customFormat="false" ht="15" hidden="false" customHeight="false" outlineLevel="0" collapsed="false">
      <c r="A6946" s="0" t="n">
        <v>6942</v>
      </c>
      <c r="B6946" s="0" t="n">
        <v>10</v>
      </c>
      <c r="C6946" s="19" t="n">
        <v>0</v>
      </c>
      <c r="D6946" s="19" t="n">
        <v>0.0026</v>
      </c>
      <c r="E6946" s="20" t="n">
        <f aca="false">Parametres!$B$5*C6946</f>
        <v>0</v>
      </c>
      <c r="F6946" s="20" t="n">
        <f aca="false">Parametres!$B$6*D6946</f>
        <v>0.52</v>
      </c>
      <c r="G6946" s="20" t="n">
        <f aca="false">E6946+F6946</f>
        <v>0.52</v>
      </c>
      <c r="H6946" s="20" t="n">
        <f aca="false">IF(G6946&lt;Parametres!$B$8*Parametres!$B$7,0,MIN(G6946,Parametres!$B$7))</f>
        <v>0</v>
      </c>
      <c r="I6946" s="20" t="n">
        <f aca="false">G6946-H6946</f>
        <v>0.52</v>
      </c>
      <c r="J6946" s="21" t="n">
        <f aca="false">H6946*1000/Parametres!$B$9</f>
        <v>0</v>
      </c>
    </row>
    <row r="6947" customFormat="false" ht="15" hidden="false" customHeight="false" outlineLevel="0" collapsed="false">
      <c r="A6947" s="0" t="n">
        <v>6943</v>
      </c>
      <c r="B6947" s="0" t="n">
        <v>10</v>
      </c>
      <c r="C6947" s="19" t="n">
        <v>0.024</v>
      </c>
      <c r="D6947" s="19" t="n">
        <v>0.0043</v>
      </c>
      <c r="E6947" s="20" t="n">
        <f aca="false">Parametres!$B$5*C6947</f>
        <v>7.2</v>
      </c>
      <c r="F6947" s="20" t="n">
        <f aca="false">Parametres!$B$6*D6947</f>
        <v>0.86</v>
      </c>
      <c r="G6947" s="20" t="n">
        <f aca="false">E6947+F6947</f>
        <v>8.06</v>
      </c>
      <c r="H6947" s="20" t="n">
        <f aca="false">IF(G6947&lt;Parametres!$B$8*Parametres!$B$7,0,MIN(G6947,Parametres!$B$7))</f>
        <v>0</v>
      </c>
      <c r="I6947" s="20" t="n">
        <f aca="false">G6947-H6947</f>
        <v>8.06</v>
      </c>
      <c r="J6947" s="21" t="n">
        <f aca="false">H6947*1000/Parametres!$B$9</f>
        <v>0</v>
      </c>
    </row>
    <row r="6948" customFormat="false" ht="15" hidden="false" customHeight="false" outlineLevel="0" collapsed="false">
      <c r="A6948" s="0" t="n">
        <v>6944</v>
      </c>
      <c r="B6948" s="0" t="n">
        <v>10</v>
      </c>
      <c r="C6948" s="19" t="n">
        <v>0.2513</v>
      </c>
      <c r="D6948" s="19" t="n">
        <v>0.0075</v>
      </c>
      <c r="E6948" s="20" t="n">
        <f aca="false">Parametres!$B$5*C6948</f>
        <v>75.39</v>
      </c>
      <c r="F6948" s="20" t="n">
        <f aca="false">Parametres!$B$6*D6948</f>
        <v>1.5</v>
      </c>
      <c r="G6948" s="20" t="n">
        <f aca="false">E6948+F6948</f>
        <v>76.89</v>
      </c>
      <c r="H6948" s="20" t="n">
        <f aca="false">IF(G6948&lt;Parametres!$B$8*Parametres!$B$7,0,MIN(G6948,Parametres!$B$7))</f>
        <v>76.89</v>
      </c>
      <c r="I6948" s="20" t="n">
        <f aca="false">G6948-H6948</f>
        <v>0</v>
      </c>
      <c r="J6948" s="21" t="n">
        <f aca="false">H6948*1000/Parametres!$B$9</f>
        <v>1303.88333050704</v>
      </c>
    </row>
    <row r="6949" customFormat="false" ht="15" hidden="false" customHeight="false" outlineLevel="0" collapsed="false">
      <c r="A6949" s="0" t="n">
        <v>6945</v>
      </c>
      <c r="B6949" s="0" t="n">
        <v>10</v>
      </c>
      <c r="C6949" s="19" t="n">
        <v>0.4544</v>
      </c>
      <c r="D6949" s="19" t="n">
        <v>0.0119</v>
      </c>
      <c r="E6949" s="20" t="n">
        <f aca="false">Parametres!$B$5*C6949</f>
        <v>136.32</v>
      </c>
      <c r="F6949" s="20" t="n">
        <f aca="false">Parametres!$B$6*D6949</f>
        <v>2.38</v>
      </c>
      <c r="G6949" s="20" t="n">
        <f aca="false">E6949+F6949</f>
        <v>138.7</v>
      </c>
      <c r="H6949" s="20" t="n">
        <f aca="false">IF(G6949&lt;Parametres!$B$8*Parametres!$B$7,0,MIN(G6949,Parametres!$B$7))</f>
        <v>138.7</v>
      </c>
      <c r="I6949" s="20" t="n">
        <f aca="false">G6949-H6949</f>
        <v>0</v>
      </c>
      <c r="J6949" s="21" t="n">
        <f aca="false">H6949*1000/Parametres!$B$9</f>
        <v>2352.04341190436</v>
      </c>
    </row>
    <row r="6950" customFormat="false" ht="15" hidden="false" customHeight="false" outlineLevel="0" collapsed="false">
      <c r="A6950" s="0" t="n">
        <v>6946</v>
      </c>
      <c r="B6950" s="0" t="n">
        <v>10</v>
      </c>
      <c r="C6950" s="19" t="n">
        <v>0.6995</v>
      </c>
      <c r="D6950" s="19" t="n">
        <v>0.0045</v>
      </c>
      <c r="E6950" s="20" t="n">
        <f aca="false">Parametres!$B$5*C6950</f>
        <v>209.85</v>
      </c>
      <c r="F6950" s="20" t="n">
        <f aca="false">Parametres!$B$6*D6950</f>
        <v>0.9</v>
      </c>
      <c r="G6950" s="20" t="n">
        <f aca="false">E6950+F6950</f>
        <v>210.75</v>
      </c>
      <c r="H6950" s="20" t="n">
        <f aca="false">IF(G6950&lt;Parametres!$B$8*Parametres!$B$7,0,MIN(G6950,Parametres!$B$7))</f>
        <v>210.75</v>
      </c>
      <c r="I6950" s="20" t="n">
        <f aca="false">G6950-H6950</f>
        <v>0</v>
      </c>
      <c r="J6950" s="21" t="n">
        <f aca="false">H6950*1000/Parametres!$B$9</f>
        <v>3573.85111073427</v>
      </c>
    </row>
    <row r="6951" customFormat="false" ht="15" hidden="false" customHeight="false" outlineLevel="0" collapsed="false">
      <c r="A6951" s="0" t="n">
        <v>6947</v>
      </c>
      <c r="B6951" s="0" t="n">
        <v>10</v>
      </c>
      <c r="C6951" s="19" t="n">
        <v>0.8265</v>
      </c>
      <c r="D6951" s="19" t="n">
        <v>0.0106</v>
      </c>
      <c r="E6951" s="20" t="n">
        <f aca="false">Parametres!$B$5*C6951</f>
        <v>247.95</v>
      </c>
      <c r="F6951" s="20" t="n">
        <f aca="false">Parametres!$B$6*D6951</f>
        <v>2.12</v>
      </c>
      <c r="G6951" s="20" t="n">
        <f aca="false">E6951+F6951</f>
        <v>250.07</v>
      </c>
      <c r="H6951" s="20" t="n">
        <f aca="false">IF(G6951&lt;Parametres!$B$8*Parametres!$B$7,0,MIN(G6951,Parametres!$B$7))</f>
        <v>250</v>
      </c>
      <c r="I6951" s="20" t="n">
        <f aca="false">G6951-H6951</f>
        <v>0.0700000000000216</v>
      </c>
      <c r="J6951" s="21" t="n">
        <f aca="false">H6951*1000/Parametres!$B$9</f>
        <v>4239.44378497541</v>
      </c>
    </row>
    <row r="6952" customFormat="false" ht="15" hidden="false" customHeight="false" outlineLevel="0" collapsed="false">
      <c r="A6952" s="0" t="n">
        <v>6948</v>
      </c>
      <c r="B6952" s="0" t="n">
        <v>10</v>
      </c>
      <c r="C6952" s="19" t="n">
        <v>0.9594</v>
      </c>
      <c r="D6952" s="19" t="n">
        <v>0.0025</v>
      </c>
      <c r="E6952" s="20" t="n">
        <f aca="false">Parametres!$B$5*C6952</f>
        <v>287.82</v>
      </c>
      <c r="F6952" s="20" t="n">
        <f aca="false">Parametres!$B$6*D6952</f>
        <v>0.5</v>
      </c>
      <c r="G6952" s="20" t="n">
        <f aca="false">E6952+F6952</f>
        <v>288.32</v>
      </c>
      <c r="H6952" s="20" t="n">
        <f aca="false">IF(G6952&lt;Parametres!$B$8*Parametres!$B$7,0,MIN(G6952,Parametres!$B$7))</f>
        <v>250</v>
      </c>
      <c r="I6952" s="20" t="n">
        <f aca="false">G6952-H6952</f>
        <v>38.32</v>
      </c>
      <c r="J6952" s="21" t="n">
        <f aca="false">H6952*1000/Parametres!$B$9</f>
        <v>4239.44378497541</v>
      </c>
    </row>
    <row r="6953" customFormat="false" ht="15" hidden="false" customHeight="false" outlineLevel="0" collapsed="false">
      <c r="A6953" s="0" t="n">
        <v>6949</v>
      </c>
      <c r="B6953" s="0" t="n">
        <v>10</v>
      </c>
      <c r="C6953" s="19" t="n">
        <v>0.858</v>
      </c>
      <c r="D6953" s="19" t="n">
        <v>0.0024</v>
      </c>
      <c r="E6953" s="20" t="n">
        <f aca="false">Parametres!$B$5*C6953</f>
        <v>257.4</v>
      </c>
      <c r="F6953" s="20" t="n">
        <f aca="false">Parametres!$B$6*D6953</f>
        <v>0.48</v>
      </c>
      <c r="G6953" s="20" t="n">
        <f aca="false">E6953+F6953</f>
        <v>257.88</v>
      </c>
      <c r="H6953" s="20" t="n">
        <f aca="false">IF(G6953&lt;Parametres!$B$8*Parametres!$B$7,0,MIN(G6953,Parametres!$B$7))</f>
        <v>250</v>
      </c>
      <c r="I6953" s="20" t="n">
        <f aca="false">G6953-H6953</f>
        <v>7.88</v>
      </c>
      <c r="J6953" s="21" t="n">
        <f aca="false">H6953*1000/Parametres!$B$9</f>
        <v>4239.44378497541</v>
      </c>
    </row>
    <row r="6954" customFormat="false" ht="15" hidden="false" customHeight="false" outlineLevel="0" collapsed="false">
      <c r="A6954" s="0" t="n">
        <v>6950</v>
      </c>
      <c r="B6954" s="0" t="n">
        <v>10</v>
      </c>
      <c r="C6954" s="19" t="n">
        <v>0.8595</v>
      </c>
      <c r="D6954" s="19" t="n">
        <v>0.002</v>
      </c>
      <c r="E6954" s="20" t="n">
        <f aca="false">Parametres!$B$5*C6954</f>
        <v>257.85</v>
      </c>
      <c r="F6954" s="20" t="n">
        <f aca="false">Parametres!$B$6*D6954</f>
        <v>0.4</v>
      </c>
      <c r="G6954" s="20" t="n">
        <f aca="false">E6954+F6954</f>
        <v>258.25</v>
      </c>
      <c r="H6954" s="20" t="n">
        <f aca="false">IF(G6954&lt;Parametres!$B$8*Parametres!$B$7,0,MIN(G6954,Parametres!$B$7))</f>
        <v>250</v>
      </c>
      <c r="I6954" s="20" t="n">
        <f aca="false">G6954-H6954</f>
        <v>8.25</v>
      </c>
      <c r="J6954" s="21" t="n">
        <f aca="false">H6954*1000/Parametres!$B$9</f>
        <v>4239.44378497541</v>
      </c>
    </row>
    <row r="6955" customFormat="false" ht="15" hidden="false" customHeight="false" outlineLevel="0" collapsed="false">
      <c r="A6955" s="0" t="n">
        <v>6951</v>
      </c>
      <c r="B6955" s="0" t="n">
        <v>10</v>
      </c>
      <c r="C6955" s="19" t="n">
        <v>0.6796</v>
      </c>
      <c r="D6955" s="19" t="n">
        <v>0.0004</v>
      </c>
      <c r="E6955" s="20" t="n">
        <f aca="false">Parametres!$B$5*C6955</f>
        <v>203.88</v>
      </c>
      <c r="F6955" s="20" t="n">
        <f aca="false">Parametres!$B$6*D6955</f>
        <v>0.08</v>
      </c>
      <c r="G6955" s="20" t="n">
        <f aca="false">E6955+F6955</f>
        <v>203.96</v>
      </c>
      <c r="H6955" s="20" t="n">
        <f aca="false">IF(G6955&lt;Parametres!$B$8*Parametres!$B$7,0,MIN(G6955,Parametres!$B$7))</f>
        <v>203.96</v>
      </c>
      <c r="I6955" s="20" t="n">
        <f aca="false">G6955-H6955</f>
        <v>0</v>
      </c>
      <c r="J6955" s="21" t="n">
        <f aca="false">H6955*1000/Parametres!$B$9</f>
        <v>3458.70781753434</v>
      </c>
    </row>
    <row r="6956" customFormat="false" ht="15" hidden="false" customHeight="false" outlineLevel="0" collapsed="false">
      <c r="A6956" s="0" t="n">
        <v>6952</v>
      </c>
      <c r="B6956" s="0" t="n">
        <v>10</v>
      </c>
      <c r="C6956" s="19" t="n">
        <v>0.5132</v>
      </c>
      <c r="D6956" s="19" t="n">
        <v>0.0031</v>
      </c>
      <c r="E6956" s="20" t="n">
        <f aca="false">Parametres!$B$5*C6956</f>
        <v>153.96</v>
      </c>
      <c r="F6956" s="20" t="n">
        <f aca="false">Parametres!$B$6*D6956</f>
        <v>0.62</v>
      </c>
      <c r="G6956" s="20" t="n">
        <f aca="false">E6956+F6956</f>
        <v>154.58</v>
      </c>
      <c r="H6956" s="20" t="n">
        <f aca="false">IF(G6956&lt;Parametres!$B$8*Parametres!$B$7,0,MIN(G6956,Parametres!$B$7))</f>
        <v>154.58</v>
      </c>
      <c r="I6956" s="20" t="n">
        <f aca="false">G6956-H6956</f>
        <v>0</v>
      </c>
      <c r="J6956" s="21" t="n">
        <f aca="false">H6956*1000/Parametres!$B$9</f>
        <v>2621.332881126</v>
      </c>
    </row>
    <row r="6957" customFormat="false" ht="15" hidden="false" customHeight="false" outlineLevel="0" collapsed="false">
      <c r="A6957" s="0" t="n">
        <v>6953</v>
      </c>
      <c r="B6957" s="0" t="n">
        <v>10</v>
      </c>
      <c r="C6957" s="19" t="n">
        <v>0.2737</v>
      </c>
      <c r="D6957" s="19" t="n">
        <v>0</v>
      </c>
      <c r="E6957" s="20" t="n">
        <f aca="false">Parametres!$B$5*C6957</f>
        <v>82.11</v>
      </c>
      <c r="F6957" s="20" t="n">
        <f aca="false">Parametres!$B$6*D6957</f>
        <v>0</v>
      </c>
      <c r="G6957" s="20" t="n">
        <f aca="false">E6957+F6957</f>
        <v>82.11</v>
      </c>
      <c r="H6957" s="20" t="n">
        <f aca="false">IF(G6957&lt;Parametres!$B$8*Parametres!$B$7,0,MIN(G6957,Parametres!$B$7))</f>
        <v>82.11</v>
      </c>
      <c r="I6957" s="20" t="n">
        <f aca="false">G6957-H6957</f>
        <v>0</v>
      </c>
      <c r="J6957" s="21" t="n">
        <f aca="false">H6957*1000/Parametres!$B$9</f>
        <v>1392.40291673732</v>
      </c>
    </row>
    <row r="6958" customFormat="false" ht="15" hidden="false" customHeight="false" outlineLevel="0" collapsed="false">
      <c r="A6958" s="0" t="n">
        <v>6954</v>
      </c>
      <c r="B6958" s="0" t="n">
        <v>10</v>
      </c>
      <c r="C6958" s="19" t="n">
        <v>0.0231</v>
      </c>
      <c r="D6958" s="19" t="n">
        <v>0.0008</v>
      </c>
      <c r="E6958" s="20" t="n">
        <f aca="false">Parametres!$B$5*C6958</f>
        <v>6.93</v>
      </c>
      <c r="F6958" s="20" t="n">
        <f aca="false">Parametres!$B$6*D6958</f>
        <v>0.16</v>
      </c>
      <c r="G6958" s="20" t="n">
        <f aca="false">E6958+F6958</f>
        <v>7.09</v>
      </c>
      <c r="H6958" s="20" t="n">
        <f aca="false">IF(G6958&lt;Parametres!$B$8*Parametres!$B$7,0,MIN(G6958,Parametres!$B$7))</f>
        <v>0</v>
      </c>
      <c r="I6958" s="20" t="n">
        <f aca="false">G6958-H6958</f>
        <v>7.09</v>
      </c>
      <c r="J6958" s="21" t="n">
        <f aca="false">H6958*1000/Parametres!$B$9</f>
        <v>0</v>
      </c>
    </row>
    <row r="6959" customFormat="false" ht="15" hidden="false" customHeight="false" outlineLevel="0" collapsed="false">
      <c r="A6959" s="0" t="n">
        <v>6955</v>
      </c>
      <c r="B6959" s="0" t="n">
        <v>10</v>
      </c>
      <c r="C6959" s="19" t="n">
        <v>0</v>
      </c>
      <c r="D6959" s="19" t="n">
        <v>0.0002</v>
      </c>
      <c r="E6959" s="20" t="n">
        <f aca="false">Parametres!$B$5*C6959</f>
        <v>0</v>
      </c>
      <c r="F6959" s="20" t="n">
        <f aca="false">Parametres!$B$6*D6959</f>
        <v>0.04</v>
      </c>
      <c r="G6959" s="20" t="n">
        <f aca="false">E6959+F6959</f>
        <v>0.04</v>
      </c>
      <c r="H6959" s="20" t="n">
        <f aca="false">IF(G6959&lt;Parametres!$B$8*Parametres!$B$7,0,MIN(G6959,Parametres!$B$7))</f>
        <v>0</v>
      </c>
      <c r="I6959" s="20" t="n">
        <f aca="false">G6959-H6959</f>
        <v>0.04</v>
      </c>
      <c r="J6959" s="21" t="n">
        <f aca="false">H6959*1000/Parametres!$B$9</f>
        <v>0</v>
      </c>
    </row>
    <row r="6960" customFormat="false" ht="15" hidden="false" customHeight="false" outlineLevel="0" collapsed="false">
      <c r="A6960" s="0" t="n">
        <v>6956</v>
      </c>
      <c r="B6960" s="0" t="n">
        <v>10</v>
      </c>
      <c r="C6960" s="19" t="n">
        <v>0</v>
      </c>
      <c r="D6960" s="19" t="n">
        <v>0</v>
      </c>
      <c r="E6960" s="20" t="n">
        <f aca="false">Parametres!$B$5*C6960</f>
        <v>0</v>
      </c>
      <c r="F6960" s="20" t="n">
        <f aca="false">Parametres!$B$6*D6960</f>
        <v>0</v>
      </c>
      <c r="G6960" s="20" t="n">
        <f aca="false">E6960+F6960</f>
        <v>0</v>
      </c>
      <c r="H6960" s="20" t="n">
        <f aca="false">IF(G6960&lt;Parametres!$B$8*Parametres!$B$7,0,MIN(G6960,Parametres!$B$7))</f>
        <v>0</v>
      </c>
      <c r="I6960" s="20" t="n">
        <f aca="false">G6960-H6960</f>
        <v>0</v>
      </c>
      <c r="J6960" s="21" t="n">
        <f aca="false">H6960*1000/Parametres!$B$9</f>
        <v>0</v>
      </c>
    </row>
    <row r="6961" customFormat="false" ht="15" hidden="false" customHeight="false" outlineLevel="0" collapsed="false">
      <c r="A6961" s="0" t="n">
        <v>6957</v>
      </c>
      <c r="B6961" s="0" t="n">
        <v>10</v>
      </c>
      <c r="C6961" s="19" t="n">
        <v>0</v>
      </c>
      <c r="D6961" s="19" t="n">
        <v>0</v>
      </c>
      <c r="E6961" s="20" t="n">
        <f aca="false">Parametres!$B$5*C6961</f>
        <v>0</v>
      </c>
      <c r="F6961" s="20" t="n">
        <f aca="false">Parametres!$B$6*D6961</f>
        <v>0</v>
      </c>
      <c r="G6961" s="20" t="n">
        <f aca="false">E6961+F6961</f>
        <v>0</v>
      </c>
      <c r="H6961" s="20" t="n">
        <f aca="false">IF(G6961&lt;Parametres!$B$8*Parametres!$B$7,0,MIN(G6961,Parametres!$B$7))</f>
        <v>0</v>
      </c>
      <c r="I6961" s="20" t="n">
        <f aca="false">G6961-H6961</f>
        <v>0</v>
      </c>
      <c r="J6961" s="21" t="n">
        <f aca="false">H6961*1000/Parametres!$B$9</f>
        <v>0</v>
      </c>
    </row>
    <row r="6962" customFormat="false" ht="15" hidden="false" customHeight="false" outlineLevel="0" collapsed="false">
      <c r="A6962" s="0" t="n">
        <v>6958</v>
      </c>
      <c r="B6962" s="0" t="n">
        <v>10</v>
      </c>
      <c r="C6962" s="19" t="n">
        <v>0</v>
      </c>
      <c r="D6962" s="19" t="n">
        <v>0</v>
      </c>
      <c r="E6962" s="20" t="n">
        <f aca="false">Parametres!$B$5*C6962</f>
        <v>0</v>
      </c>
      <c r="F6962" s="20" t="n">
        <f aca="false">Parametres!$B$6*D6962</f>
        <v>0</v>
      </c>
      <c r="G6962" s="20" t="n">
        <f aca="false">E6962+F6962</f>
        <v>0</v>
      </c>
      <c r="H6962" s="20" t="n">
        <f aca="false">IF(G6962&lt;Parametres!$B$8*Parametres!$B$7,0,MIN(G6962,Parametres!$B$7))</f>
        <v>0</v>
      </c>
      <c r="I6962" s="20" t="n">
        <f aca="false">G6962-H6962</f>
        <v>0</v>
      </c>
      <c r="J6962" s="21" t="n">
        <f aca="false">H6962*1000/Parametres!$B$9</f>
        <v>0</v>
      </c>
    </row>
    <row r="6963" customFormat="false" ht="15" hidden="false" customHeight="false" outlineLevel="0" collapsed="false">
      <c r="A6963" s="0" t="n">
        <v>6959</v>
      </c>
      <c r="B6963" s="0" t="n">
        <v>10</v>
      </c>
      <c r="C6963" s="19" t="n">
        <v>0</v>
      </c>
      <c r="D6963" s="19" t="n">
        <v>0</v>
      </c>
      <c r="E6963" s="20" t="n">
        <f aca="false">Parametres!$B$5*C6963</f>
        <v>0</v>
      </c>
      <c r="F6963" s="20" t="n">
        <f aca="false">Parametres!$B$6*D6963</f>
        <v>0</v>
      </c>
      <c r="G6963" s="20" t="n">
        <f aca="false">E6963+F6963</f>
        <v>0</v>
      </c>
      <c r="H6963" s="20" t="n">
        <f aca="false">IF(G6963&lt;Parametres!$B$8*Parametres!$B$7,0,MIN(G6963,Parametres!$B$7))</f>
        <v>0</v>
      </c>
      <c r="I6963" s="20" t="n">
        <f aca="false">G6963-H6963</f>
        <v>0</v>
      </c>
      <c r="J6963" s="21" t="n">
        <f aca="false">H6963*1000/Parametres!$B$9</f>
        <v>0</v>
      </c>
    </row>
    <row r="6964" customFormat="false" ht="15" hidden="false" customHeight="false" outlineLevel="0" collapsed="false">
      <c r="A6964" s="0" t="n">
        <v>6960</v>
      </c>
      <c r="B6964" s="0" t="n">
        <v>10</v>
      </c>
      <c r="C6964" s="19" t="n">
        <v>0</v>
      </c>
      <c r="D6964" s="19" t="n">
        <v>0</v>
      </c>
      <c r="E6964" s="20" t="n">
        <f aca="false">Parametres!$B$5*C6964</f>
        <v>0</v>
      </c>
      <c r="F6964" s="20" t="n">
        <f aca="false">Parametres!$B$6*D6964</f>
        <v>0</v>
      </c>
      <c r="G6964" s="20" t="n">
        <f aca="false">E6964+F6964</f>
        <v>0</v>
      </c>
      <c r="H6964" s="20" t="n">
        <f aca="false">IF(G6964&lt;Parametres!$B$8*Parametres!$B$7,0,MIN(G6964,Parametres!$B$7))</f>
        <v>0</v>
      </c>
      <c r="I6964" s="20" t="n">
        <f aca="false">G6964-H6964</f>
        <v>0</v>
      </c>
      <c r="J6964" s="21" t="n">
        <f aca="false">H6964*1000/Parametres!$B$9</f>
        <v>0</v>
      </c>
    </row>
    <row r="6965" customFormat="false" ht="15" hidden="false" customHeight="false" outlineLevel="0" collapsed="false">
      <c r="A6965" s="0" t="n">
        <v>6961</v>
      </c>
      <c r="B6965" s="0" t="n">
        <v>10</v>
      </c>
      <c r="C6965" s="19" t="n">
        <v>0</v>
      </c>
      <c r="D6965" s="19" t="n">
        <v>0</v>
      </c>
      <c r="E6965" s="20" t="n">
        <f aca="false">Parametres!$B$5*C6965</f>
        <v>0</v>
      </c>
      <c r="F6965" s="20" t="n">
        <f aca="false">Parametres!$B$6*D6965</f>
        <v>0</v>
      </c>
      <c r="G6965" s="20" t="n">
        <f aca="false">E6965+F6965</f>
        <v>0</v>
      </c>
      <c r="H6965" s="20" t="n">
        <f aca="false">IF(G6965&lt;Parametres!$B$8*Parametres!$B$7,0,MIN(G6965,Parametres!$B$7))</f>
        <v>0</v>
      </c>
      <c r="I6965" s="20" t="n">
        <f aca="false">G6965-H6965</f>
        <v>0</v>
      </c>
      <c r="J6965" s="21" t="n">
        <f aca="false">H6965*1000/Parametres!$B$9</f>
        <v>0</v>
      </c>
    </row>
    <row r="6966" customFormat="false" ht="15" hidden="false" customHeight="false" outlineLevel="0" collapsed="false">
      <c r="A6966" s="0" t="n">
        <v>6962</v>
      </c>
      <c r="B6966" s="0" t="n">
        <v>10</v>
      </c>
      <c r="C6966" s="19" t="n">
        <v>0</v>
      </c>
      <c r="D6966" s="19" t="n">
        <v>0</v>
      </c>
      <c r="E6966" s="20" t="n">
        <f aca="false">Parametres!$B$5*C6966</f>
        <v>0</v>
      </c>
      <c r="F6966" s="20" t="n">
        <f aca="false">Parametres!$B$6*D6966</f>
        <v>0</v>
      </c>
      <c r="G6966" s="20" t="n">
        <f aca="false">E6966+F6966</f>
        <v>0</v>
      </c>
      <c r="H6966" s="20" t="n">
        <f aca="false">IF(G6966&lt;Parametres!$B$8*Parametres!$B$7,0,MIN(G6966,Parametres!$B$7))</f>
        <v>0</v>
      </c>
      <c r="I6966" s="20" t="n">
        <f aca="false">G6966-H6966</f>
        <v>0</v>
      </c>
      <c r="J6966" s="21" t="n">
        <f aca="false">H6966*1000/Parametres!$B$9</f>
        <v>0</v>
      </c>
    </row>
    <row r="6967" customFormat="false" ht="15" hidden="false" customHeight="false" outlineLevel="0" collapsed="false">
      <c r="A6967" s="0" t="n">
        <v>6963</v>
      </c>
      <c r="B6967" s="0" t="n">
        <v>10</v>
      </c>
      <c r="C6967" s="19" t="n">
        <v>0</v>
      </c>
      <c r="D6967" s="19" t="n">
        <v>0</v>
      </c>
      <c r="E6967" s="20" t="n">
        <f aca="false">Parametres!$B$5*C6967</f>
        <v>0</v>
      </c>
      <c r="F6967" s="20" t="n">
        <f aca="false">Parametres!$B$6*D6967</f>
        <v>0</v>
      </c>
      <c r="G6967" s="20" t="n">
        <f aca="false">E6967+F6967</f>
        <v>0</v>
      </c>
      <c r="H6967" s="20" t="n">
        <f aca="false">IF(G6967&lt;Parametres!$B$8*Parametres!$B$7,0,MIN(G6967,Parametres!$B$7))</f>
        <v>0</v>
      </c>
      <c r="I6967" s="20" t="n">
        <f aca="false">G6967-H6967</f>
        <v>0</v>
      </c>
      <c r="J6967" s="21" t="n">
        <f aca="false">H6967*1000/Parametres!$B$9</f>
        <v>0</v>
      </c>
    </row>
    <row r="6968" customFormat="false" ht="15" hidden="false" customHeight="false" outlineLevel="0" collapsed="false">
      <c r="A6968" s="0" t="n">
        <v>6964</v>
      </c>
      <c r="B6968" s="0" t="n">
        <v>10</v>
      </c>
      <c r="C6968" s="19" t="n">
        <v>0</v>
      </c>
      <c r="D6968" s="19" t="n">
        <v>0.0023</v>
      </c>
      <c r="E6968" s="20" t="n">
        <f aca="false">Parametres!$B$5*C6968</f>
        <v>0</v>
      </c>
      <c r="F6968" s="20" t="n">
        <f aca="false">Parametres!$B$6*D6968</f>
        <v>0.46</v>
      </c>
      <c r="G6968" s="20" t="n">
        <f aca="false">E6968+F6968</f>
        <v>0.46</v>
      </c>
      <c r="H6968" s="20" t="n">
        <f aca="false">IF(G6968&lt;Parametres!$B$8*Parametres!$B$7,0,MIN(G6968,Parametres!$B$7))</f>
        <v>0</v>
      </c>
      <c r="I6968" s="20" t="n">
        <f aca="false">G6968-H6968</f>
        <v>0.46</v>
      </c>
      <c r="J6968" s="21" t="n">
        <f aca="false">H6968*1000/Parametres!$B$9</f>
        <v>0</v>
      </c>
    </row>
    <row r="6969" customFormat="false" ht="15" hidden="false" customHeight="false" outlineLevel="0" collapsed="false">
      <c r="A6969" s="0" t="n">
        <v>6965</v>
      </c>
      <c r="B6969" s="0" t="n">
        <v>10</v>
      </c>
      <c r="C6969" s="19" t="n">
        <v>0</v>
      </c>
      <c r="D6969" s="19" t="n">
        <v>0.0028</v>
      </c>
      <c r="E6969" s="20" t="n">
        <f aca="false">Parametres!$B$5*C6969</f>
        <v>0</v>
      </c>
      <c r="F6969" s="20" t="n">
        <f aca="false">Parametres!$B$6*D6969</f>
        <v>0.56</v>
      </c>
      <c r="G6969" s="20" t="n">
        <f aca="false">E6969+F6969</f>
        <v>0.56</v>
      </c>
      <c r="H6969" s="20" t="n">
        <f aca="false">IF(G6969&lt;Parametres!$B$8*Parametres!$B$7,0,MIN(G6969,Parametres!$B$7))</f>
        <v>0</v>
      </c>
      <c r="I6969" s="20" t="n">
        <f aca="false">G6969-H6969</f>
        <v>0.56</v>
      </c>
      <c r="J6969" s="21" t="n">
        <f aca="false">H6969*1000/Parametres!$B$9</f>
        <v>0</v>
      </c>
    </row>
    <row r="6970" customFormat="false" ht="15" hidden="false" customHeight="false" outlineLevel="0" collapsed="false">
      <c r="A6970" s="0" t="n">
        <v>6966</v>
      </c>
      <c r="B6970" s="0" t="n">
        <v>10</v>
      </c>
      <c r="C6970" s="19" t="n">
        <v>0</v>
      </c>
      <c r="D6970" s="19" t="n">
        <v>0.0039</v>
      </c>
      <c r="E6970" s="20" t="n">
        <f aca="false">Parametres!$B$5*C6970</f>
        <v>0</v>
      </c>
      <c r="F6970" s="20" t="n">
        <f aca="false">Parametres!$B$6*D6970</f>
        <v>0.78</v>
      </c>
      <c r="G6970" s="20" t="n">
        <f aca="false">E6970+F6970</f>
        <v>0.78</v>
      </c>
      <c r="H6970" s="20" t="n">
        <f aca="false">IF(G6970&lt;Parametres!$B$8*Parametres!$B$7,0,MIN(G6970,Parametres!$B$7))</f>
        <v>0</v>
      </c>
      <c r="I6970" s="20" t="n">
        <f aca="false">G6970-H6970</f>
        <v>0.78</v>
      </c>
      <c r="J6970" s="21" t="n">
        <f aca="false">H6970*1000/Parametres!$B$9</f>
        <v>0</v>
      </c>
    </row>
    <row r="6971" customFormat="false" ht="15" hidden="false" customHeight="false" outlineLevel="0" collapsed="false">
      <c r="A6971" s="0" t="n">
        <v>6967</v>
      </c>
      <c r="B6971" s="0" t="n">
        <v>10</v>
      </c>
      <c r="C6971" s="19" t="n">
        <v>0.0194</v>
      </c>
      <c r="D6971" s="19" t="n">
        <v>0.0057</v>
      </c>
      <c r="E6971" s="20" t="n">
        <f aca="false">Parametres!$B$5*C6971</f>
        <v>5.82</v>
      </c>
      <c r="F6971" s="20" t="n">
        <f aca="false">Parametres!$B$6*D6971</f>
        <v>1.14</v>
      </c>
      <c r="G6971" s="20" t="n">
        <f aca="false">E6971+F6971</f>
        <v>6.96</v>
      </c>
      <c r="H6971" s="20" t="n">
        <f aca="false">IF(G6971&lt;Parametres!$B$8*Parametres!$B$7,0,MIN(G6971,Parametres!$B$7))</f>
        <v>0</v>
      </c>
      <c r="I6971" s="20" t="n">
        <f aca="false">G6971-H6971</f>
        <v>6.96</v>
      </c>
      <c r="J6971" s="21" t="n">
        <f aca="false">H6971*1000/Parametres!$B$9</f>
        <v>0</v>
      </c>
    </row>
    <row r="6972" customFormat="false" ht="15" hidden="false" customHeight="false" outlineLevel="0" collapsed="false">
      <c r="A6972" s="0" t="n">
        <v>6968</v>
      </c>
      <c r="B6972" s="0" t="n">
        <v>10</v>
      </c>
      <c r="C6972" s="19" t="n">
        <v>0.2135</v>
      </c>
      <c r="D6972" s="19" t="n">
        <v>0.0041</v>
      </c>
      <c r="E6972" s="20" t="n">
        <f aca="false">Parametres!$B$5*C6972</f>
        <v>64.05</v>
      </c>
      <c r="F6972" s="20" t="n">
        <f aca="false">Parametres!$B$6*D6972</f>
        <v>0.82</v>
      </c>
      <c r="G6972" s="20" t="n">
        <f aca="false">E6972+F6972</f>
        <v>64.87</v>
      </c>
      <c r="H6972" s="20" t="n">
        <f aca="false">IF(G6972&lt;Parametres!$B$8*Parametres!$B$7,0,MIN(G6972,Parametres!$B$7))</f>
        <v>64.87</v>
      </c>
      <c r="I6972" s="20" t="n">
        <f aca="false">G6972-H6972</f>
        <v>0</v>
      </c>
      <c r="J6972" s="21" t="n">
        <f aca="false">H6972*1000/Parametres!$B$9</f>
        <v>1100.05087332542</v>
      </c>
    </row>
    <row r="6973" customFormat="false" ht="15" hidden="false" customHeight="false" outlineLevel="0" collapsed="false">
      <c r="A6973" s="0" t="n">
        <v>6969</v>
      </c>
      <c r="B6973" s="0" t="n">
        <v>10</v>
      </c>
      <c r="C6973" s="19" t="n">
        <v>0.4287</v>
      </c>
      <c r="D6973" s="19" t="n">
        <v>0.0013</v>
      </c>
      <c r="E6973" s="20" t="n">
        <f aca="false">Parametres!$B$5*C6973</f>
        <v>128.61</v>
      </c>
      <c r="F6973" s="20" t="n">
        <f aca="false">Parametres!$B$6*D6973</f>
        <v>0.26</v>
      </c>
      <c r="G6973" s="20" t="n">
        <f aca="false">E6973+F6973</f>
        <v>128.87</v>
      </c>
      <c r="H6973" s="20" t="n">
        <f aca="false">IF(G6973&lt;Parametres!$B$8*Parametres!$B$7,0,MIN(G6973,Parametres!$B$7))</f>
        <v>128.87</v>
      </c>
      <c r="I6973" s="20" t="n">
        <f aca="false">G6973-H6973</f>
        <v>0</v>
      </c>
      <c r="J6973" s="21" t="n">
        <f aca="false">H6973*1000/Parametres!$B$9</f>
        <v>2185.34848227913</v>
      </c>
    </row>
    <row r="6974" customFormat="false" ht="15" hidden="false" customHeight="false" outlineLevel="0" collapsed="false">
      <c r="A6974" s="0" t="n">
        <v>6970</v>
      </c>
      <c r="B6974" s="0" t="n">
        <v>10</v>
      </c>
      <c r="C6974" s="19" t="n">
        <v>0.5857</v>
      </c>
      <c r="D6974" s="19" t="n">
        <v>0.0043</v>
      </c>
      <c r="E6974" s="20" t="n">
        <f aca="false">Parametres!$B$5*C6974</f>
        <v>175.71</v>
      </c>
      <c r="F6974" s="20" t="n">
        <f aca="false">Parametres!$B$6*D6974</f>
        <v>0.86</v>
      </c>
      <c r="G6974" s="20" t="n">
        <f aca="false">E6974+F6974</f>
        <v>176.57</v>
      </c>
      <c r="H6974" s="20" t="n">
        <f aca="false">IF(G6974&lt;Parametres!$B$8*Parametres!$B$7,0,MIN(G6974,Parametres!$B$7))</f>
        <v>176.57</v>
      </c>
      <c r="I6974" s="20" t="n">
        <f aca="false">G6974-H6974</f>
        <v>0</v>
      </c>
      <c r="J6974" s="21" t="n">
        <f aca="false">H6974*1000/Parametres!$B$9</f>
        <v>2994.23435645243</v>
      </c>
    </row>
    <row r="6975" customFormat="false" ht="15" hidden="false" customHeight="false" outlineLevel="0" collapsed="false">
      <c r="A6975" s="0" t="n">
        <v>6971</v>
      </c>
      <c r="B6975" s="0" t="n">
        <v>10</v>
      </c>
      <c r="C6975" s="19" t="n">
        <v>0.7783</v>
      </c>
      <c r="D6975" s="19" t="n">
        <v>0.0116</v>
      </c>
      <c r="E6975" s="20" t="n">
        <f aca="false">Parametres!$B$5*C6975</f>
        <v>233.49</v>
      </c>
      <c r="F6975" s="20" t="n">
        <f aca="false">Parametres!$B$6*D6975</f>
        <v>2.32</v>
      </c>
      <c r="G6975" s="20" t="n">
        <f aca="false">E6975+F6975</f>
        <v>235.81</v>
      </c>
      <c r="H6975" s="20" t="n">
        <f aca="false">IF(G6975&lt;Parametres!$B$8*Parametres!$B$7,0,MIN(G6975,Parametres!$B$7))</f>
        <v>235.81</v>
      </c>
      <c r="I6975" s="20" t="n">
        <f aca="false">G6975-H6975</f>
        <v>0</v>
      </c>
      <c r="J6975" s="21" t="n">
        <f aca="false">H6975*1000/Parametres!$B$9</f>
        <v>3998.81295574021</v>
      </c>
    </row>
    <row r="6976" customFormat="false" ht="15" hidden="false" customHeight="false" outlineLevel="0" collapsed="false">
      <c r="A6976" s="0" t="n">
        <v>6972</v>
      </c>
      <c r="B6976" s="0" t="n">
        <v>10</v>
      </c>
      <c r="C6976" s="19" t="n">
        <v>0.7989</v>
      </c>
      <c r="D6976" s="19" t="n">
        <v>0.0121</v>
      </c>
      <c r="E6976" s="20" t="n">
        <f aca="false">Parametres!$B$5*C6976</f>
        <v>239.67</v>
      </c>
      <c r="F6976" s="20" t="n">
        <f aca="false">Parametres!$B$6*D6976</f>
        <v>2.42</v>
      </c>
      <c r="G6976" s="20" t="n">
        <f aca="false">E6976+F6976</f>
        <v>242.09</v>
      </c>
      <c r="H6976" s="20" t="n">
        <f aca="false">IF(G6976&lt;Parametres!$B$8*Parametres!$B$7,0,MIN(G6976,Parametres!$B$7))</f>
        <v>242.09</v>
      </c>
      <c r="I6976" s="20" t="n">
        <f aca="false">G6976-H6976</f>
        <v>0</v>
      </c>
      <c r="J6976" s="21" t="n">
        <f aca="false">H6976*1000/Parametres!$B$9</f>
        <v>4105.30778361879</v>
      </c>
    </row>
    <row r="6977" customFormat="false" ht="15" hidden="false" customHeight="false" outlineLevel="0" collapsed="false">
      <c r="A6977" s="0" t="n">
        <v>6973</v>
      </c>
      <c r="B6977" s="0" t="n">
        <v>10</v>
      </c>
      <c r="C6977" s="19" t="n">
        <v>0.8039</v>
      </c>
      <c r="D6977" s="19" t="n">
        <v>0.005</v>
      </c>
      <c r="E6977" s="20" t="n">
        <f aca="false">Parametres!$B$5*C6977</f>
        <v>241.17</v>
      </c>
      <c r="F6977" s="20" t="n">
        <f aca="false">Parametres!$B$6*D6977</f>
        <v>1</v>
      </c>
      <c r="G6977" s="20" t="n">
        <f aca="false">E6977+F6977</f>
        <v>242.17</v>
      </c>
      <c r="H6977" s="20" t="n">
        <f aca="false">IF(G6977&lt;Parametres!$B$8*Parametres!$B$7,0,MIN(G6977,Parametres!$B$7))</f>
        <v>242.17</v>
      </c>
      <c r="I6977" s="20" t="n">
        <f aca="false">G6977-H6977</f>
        <v>0</v>
      </c>
      <c r="J6977" s="21" t="n">
        <f aca="false">H6977*1000/Parametres!$B$9</f>
        <v>4106.66440562998</v>
      </c>
    </row>
    <row r="6978" customFormat="false" ht="15" hidden="false" customHeight="false" outlineLevel="0" collapsed="false">
      <c r="A6978" s="0" t="n">
        <v>6974</v>
      </c>
      <c r="B6978" s="0" t="n">
        <v>10</v>
      </c>
      <c r="C6978" s="19" t="n">
        <v>0.7425</v>
      </c>
      <c r="D6978" s="19" t="n">
        <v>0.0043</v>
      </c>
      <c r="E6978" s="20" t="n">
        <f aca="false">Parametres!$B$5*C6978</f>
        <v>222.75</v>
      </c>
      <c r="F6978" s="20" t="n">
        <f aca="false">Parametres!$B$6*D6978</f>
        <v>0.86</v>
      </c>
      <c r="G6978" s="20" t="n">
        <f aca="false">E6978+F6978</f>
        <v>223.61</v>
      </c>
      <c r="H6978" s="20" t="n">
        <f aca="false">IF(G6978&lt;Parametres!$B$8*Parametres!$B$7,0,MIN(G6978,Parametres!$B$7))</f>
        <v>223.61</v>
      </c>
      <c r="I6978" s="20" t="n">
        <f aca="false">G6978-H6978</f>
        <v>0</v>
      </c>
      <c r="J6978" s="21" t="n">
        <f aca="false">H6978*1000/Parametres!$B$9</f>
        <v>3791.92809903341</v>
      </c>
    </row>
    <row r="6979" customFormat="false" ht="15" hidden="false" customHeight="false" outlineLevel="0" collapsed="false">
      <c r="A6979" s="0" t="n">
        <v>6975</v>
      </c>
      <c r="B6979" s="0" t="n">
        <v>10</v>
      </c>
      <c r="C6979" s="19" t="n">
        <v>0.5967</v>
      </c>
      <c r="D6979" s="19" t="n">
        <v>0.0087</v>
      </c>
      <c r="E6979" s="20" t="n">
        <f aca="false">Parametres!$B$5*C6979</f>
        <v>179.01</v>
      </c>
      <c r="F6979" s="20" t="n">
        <f aca="false">Parametres!$B$6*D6979</f>
        <v>1.74</v>
      </c>
      <c r="G6979" s="20" t="n">
        <f aca="false">E6979+F6979</f>
        <v>180.75</v>
      </c>
      <c r="H6979" s="20" t="n">
        <f aca="false">IF(G6979&lt;Parametres!$B$8*Parametres!$B$7,0,MIN(G6979,Parametres!$B$7))</f>
        <v>180.75</v>
      </c>
      <c r="I6979" s="20" t="n">
        <f aca="false">G6979-H6979</f>
        <v>0</v>
      </c>
      <c r="J6979" s="21" t="n">
        <f aca="false">H6979*1000/Parametres!$B$9</f>
        <v>3065.11785653722</v>
      </c>
    </row>
    <row r="6980" customFormat="false" ht="15" hidden="false" customHeight="false" outlineLevel="0" collapsed="false">
      <c r="A6980" s="0" t="n">
        <v>6976</v>
      </c>
      <c r="B6980" s="0" t="n">
        <v>10</v>
      </c>
      <c r="C6980" s="19" t="n">
        <v>0.4356</v>
      </c>
      <c r="D6980" s="19" t="n">
        <v>0.0246</v>
      </c>
      <c r="E6980" s="20" t="n">
        <f aca="false">Parametres!$B$5*C6980</f>
        <v>130.68</v>
      </c>
      <c r="F6980" s="20" t="n">
        <f aca="false">Parametres!$B$6*D6980</f>
        <v>4.92</v>
      </c>
      <c r="G6980" s="20" t="n">
        <f aca="false">E6980+F6980</f>
        <v>135.6</v>
      </c>
      <c r="H6980" s="20" t="n">
        <f aca="false">IF(G6980&lt;Parametres!$B$8*Parametres!$B$7,0,MIN(G6980,Parametres!$B$7))</f>
        <v>135.6</v>
      </c>
      <c r="I6980" s="20" t="n">
        <f aca="false">G6980-H6980</f>
        <v>0</v>
      </c>
      <c r="J6980" s="21" t="n">
        <f aca="false">H6980*1000/Parametres!$B$9</f>
        <v>2299.47430897066</v>
      </c>
    </row>
    <row r="6981" customFormat="false" ht="15" hidden="false" customHeight="false" outlineLevel="0" collapsed="false">
      <c r="A6981" s="0" t="n">
        <v>6977</v>
      </c>
      <c r="B6981" s="0" t="n">
        <v>10</v>
      </c>
      <c r="C6981" s="19" t="n">
        <v>0.2303</v>
      </c>
      <c r="D6981" s="19" t="n">
        <v>0.0104</v>
      </c>
      <c r="E6981" s="20" t="n">
        <f aca="false">Parametres!$B$5*C6981</f>
        <v>69.09</v>
      </c>
      <c r="F6981" s="20" t="n">
        <f aca="false">Parametres!$B$6*D6981</f>
        <v>2.08</v>
      </c>
      <c r="G6981" s="20" t="n">
        <f aca="false">E6981+F6981</f>
        <v>71.17</v>
      </c>
      <c r="H6981" s="20" t="n">
        <f aca="false">IF(G6981&lt;Parametres!$B$8*Parametres!$B$7,0,MIN(G6981,Parametres!$B$7))</f>
        <v>71.17</v>
      </c>
      <c r="I6981" s="20" t="n">
        <f aca="false">G6981-H6981</f>
        <v>0</v>
      </c>
      <c r="J6981" s="21" t="n">
        <f aca="false">H6981*1000/Parametres!$B$9</f>
        <v>1206.8848567068</v>
      </c>
    </row>
    <row r="6982" customFormat="false" ht="15" hidden="false" customHeight="false" outlineLevel="0" collapsed="false">
      <c r="A6982" s="0" t="n">
        <v>6978</v>
      </c>
      <c r="B6982" s="0" t="n">
        <v>10</v>
      </c>
      <c r="C6982" s="19" t="n">
        <v>0.0192</v>
      </c>
      <c r="D6982" s="19" t="n">
        <v>0.0075</v>
      </c>
      <c r="E6982" s="20" t="n">
        <f aca="false">Parametres!$B$5*C6982</f>
        <v>5.76</v>
      </c>
      <c r="F6982" s="20" t="n">
        <f aca="false">Parametres!$B$6*D6982</f>
        <v>1.5</v>
      </c>
      <c r="G6982" s="20" t="n">
        <f aca="false">E6982+F6982</f>
        <v>7.26</v>
      </c>
      <c r="H6982" s="20" t="n">
        <f aca="false">IF(G6982&lt;Parametres!$B$8*Parametres!$B$7,0,MIN(G6982,Parametres!$B$7))</f>
        <v>0</v>
      </c>
      <c r="I6982" s="20" t="n">
        <f aca="false">G6982-H6982</f>
        <v>7.26</v>
      </c>
      <c r="J6982" s="21" t="n">
        <f aca="false">H6982*1000/Parametres!$B$9</f>
        <v>0</v>
      </c>
    </row>
    <row r="6983" customFormat="false" ht="15" hidden="false" customHeight="false" outlineLevel="0" collapsed="false">
      <c r="A6983" s="0" t="n">
        <v>6979</v>
      </c>
      <c r="B6983" s="0" t="n">
        <v>10</v>
      </c>
      <c r="C6983" s="19" t="n">
        <v>0</v>
      </c>
      <c r="D6983" s="19" t="n">
        <v>0.01</v>
      </c>
      <c r="E6983" s="20" t="n">
        <f aca="false">Parametres!$B$5*C6983</f>
        <v>0</v>
      </c>
      <c r="F6983" s="20" t="n">
        <f aca="false">Parametres!$B$6*D6983</f>
        <v>2</v>
      </c>
      <c r="G6983" s="20" t="n">
        <f aca="false">E6983+F6983</f>
        <v>2</v>
      </c>
      <c r="H6983" s="20" t="n">
        <f aca="false">IF(G6983&lt;Parametres!$B$8*Parametres!$B$7,0,MIN(G6983,Parametres!$B$7))</f>
        <v>0</v>
      </c>
      <c r="I6983" s="20" t="n">
        <f aca="false">G6983-H6983</f>
        <v>2</v>
      </c>
      <c r="J6983" s="21" t="n">
        <f aca="false">H6983*1000/Parametres!$B$9</f>
        <v>0</v>
      </c>
    </row>
    <row r="6984" customFormat="false" ht="15" hidden="false" customHeight="false" outlineLevel="0" collapsed="false">
      <c r="A6984" s="0" t="n">
        <v>6980</v>
      </c>
      <c r="B6984" s="0" t="n">
        <v>10</v>
      </c>
      <c r="C6984" s="19" t="n">
        <v>0</v>
      </c>
      <c r="D6984" s="19" t="n">
        <v>0.014</v>
      </c>
      <c r="E6984" s="20" t="n">
        <f aca="false">Parametres!$B$5*C6984</f>
        <v>0</v>
      </c>
      <c r="F6984" s="20" t="n">
        <f aca="false">Parametres!$B$6*D6984</f>
        <v>2.8</v>
      </c>
      <c r="G6984" s="20" t="n">
        <f aca="false">E6984+F6984</f>
        <v>2.8</v>
      </c>
      <c r="H6984" s="20" t="n">
        <f aca="false">IF(G6984&lt;Parametres!$B$8*Parametres!$B$7,0,MIN(G6984,Parametres!$B$7))</f>
        <v>0</v>
      </c>
      <c r="I6984" s="20" t="n">
        <f aca="false">G6984-H6984</f>
        <v>2.8</v>
      </c>
      <c r="J6984" s="21" t="n">
        <f aca="false">H6984*1000/Parametres!$B$9</f>
        <v>0</v>
      </c>
    </row>
    <row r="6985" customFormat="false" ht="15" hidden="false" customHeight="false" outlineLevel="0" collapsed="false">
      <c r="A6985" s="0" t="n">
        <v>6981</v>
      </c>
      <c r="B6985" s="0" t="n">
        <v>10</v>
      </c>
      <c r="C6985" s="19" t="n">
        <v>0</v>
      </c>
      <c r="D6985" s="19" t="n">
        <v>0.0137</v>
      </c>
      <c r="E6985" s="20" t="n">
        <f aca="false">Parametres!$B$5*C6985</f>
        <v>0</v>
      </c>
      <c r="F6985" s="20" t="n">
        <f aca="false">Parametres!$B$6*D6985</f>
        <v>2.74</v>
      </c>
      <c r="G6985" s="20" t="n">
        <f aca="false">E6985+F6985</f>
        <v>2.74</v>
      </c>
      <c r="H6985" s="20" t="n">
        <f aca="false">IF(G6985&lt;Parametres!$B$8*Parametres!$B$7,0,MIN(G6985,Parametres!$B$7))</f>
        <v>0</v>
      </c>
      <c r="I6985" s="20" t="n">
        <f aca="false">G6985-H6985</f>
        <v>2.74</v>
      </c>
      <c r="J6985" s="21" t="n">
        <f aca="false">H6985*1000/Parametres!$B$9</f>
        <v>0</v>
      </c>
    </row>
    <row r="6986" customFormat="false" ht="15" hidden="false" customHeight="false" outlineLevel="0" collapsed="false">
      <c r="A6986" s="0" t="n">
        <v>6982</v>
      </c>
      <c r="B6986" s="0" t="n">
        <v>10</v>
      </c>
      <c r="C6986" s="19" t="n">
        <v>0</v>
      </c>
      <c r="D6986" s="19" t="n">
        <v>0.0091</v>
      </c>
      <c r="E6986" s="20" t="n">
        <f aca="false">Parametres!$B$5*C6986</f>
        <v>0</v>
      </c>
      <c r="F6986" s="20" t="n">
        <f aca="false">Parametres!$B$6*D6986</f>
        <v>1.82</v>
      </c>
      <c r="G6986" s="20" t="n">
        <f aca="false">E6986+F6986</f>
        <v>1.82</v>
      </c>
      <c r="H6986" s="20" t="n">
        <f aca="false">IF(G6986&lt;Parametres!$B$8*Parametres!$B$7,0,MIN(G6986,Parametres!$B$7))</f>
        <v>0</v>
      </c>
      <c r="I6986" s="20" t="n">
        <f aca="false">G6986-H6986</f>
        <v>1.82</v>
      </c>
      <c r="J6986" s="21" t="n">
        <f aca="false">H6986*1000/Parametres!$B$9</f>
        <v>0</v>
      </c>
    </row>
    <row r="6987" customFormat="false" ht="15" hidden="false" customHeight="false" outlineLevel="0" collapsed="false">
      <c r="A6987" s="0" t="n">
        <v>6983</v>
      </c>
      <c r="B6987" s="0" t="n">
        <v>10</v>
      </c>
      <c r="C6987" s="19" t="n">
        <v>0</v>
      </c>
      <c r="D6987" s="19" t="n">
        <v>0.0179</v>
      </c>
      <c r="E6987" s="20" t="n">
        <f aca="false">Parametres!$B$5*C6987</f>
        <v>0</v>
      </c>
      <c r="F6987" s="20" t="n">
        <f aca="false">Parametres!$B$6*D6987</f>
        <v>3.58</v>
      </c>
      <c r="G6987" s="20" t="n">
        <f aca="false">E6987+F6987</f>
        <v>3.58</v>
      </c>
      <c r="H6987" s="20" t="n">
        <f aca="false">IF(G6987&lt;Parametres!$B$8*Parametres!$B$7,0,MIN(G6987,Parametres!$B$7))</f>
        <v>0</v>
      </c>
      <c r="I6987" s="20" t="n">
        <f aca="false">G6987-H6987</f>
        <v>3.58</v>
      </c>
      <c r="J6987" s="21" t="n">
        <f aca="false">H6987*1000/Parametres!$B$9</f>
        <v>0</v>
      </c>
    </row>
    <row r="6988" customFormat="false" ht="15" hidden="false" customHeight="false" outlineLevel="0" collapsed="false">
      <c r="A6988" s="0" t="n">
        <v>6984</v>
      </c>
      <c r="B6988" s="0" t="n">
        <v>10</v>
      </c>
      <c r="C6988" s="19" t="n">
        <v>0</v>
      </c>
      <c r="D6988" s="19" t="n">
        <v>0.0234</v>
      </c>
      <c r="E6988" s="20" t="n">
        <f aca="false">Parametres!$B$5*C6988</f>
        <v>0</v>
      </c>
      <c r="F6988" s="20" t="n">
        <f aca="false">Parametres!$B$6*D6988</f>
        <v>4.68</v>
      </c>
      <c r="G6988" s="20" t="n">
        <f aca="false">E6988+F6988</f>
        <v>4.68</v>
      </c>
      <c r="H6988" s="20" t="n">
        <f aca="false">IF(G6988&lt;Parametres!$B$8*Parametres!$B$7,0,MIN(G6988,Parametres!$B$7))</f>
        <v>0</v>
      </c>
      <c r="I6988" s="20" t="n">
        <f aca="false">G6988-H6988</f>
        <v>4.68</v>
      </c>
      <c r="J6988" s="21" t="n">
        <f aca="false">H6988*1000/Parametres!$B$9</f>
        <v>0</v>
      </c>
    </row>
    <row r="6989" customFormat="false" ht="15" hidden="false" customHeight="false" outlineLevel="0" collapsed="false">
      <c r="A6989" s="0" t="n">
        <v>6985</v>
      </c>
      <c r="B6989" s="0" t="n">
        <v>10</v>
      </c>
      <c r="C6989" s="19" t="n">
        <v>0</v>
      </c>
      <c r="D6989" s="19" t="n">
        <v>0.0066</v>
      </c>
      <c r="E6989" s="20" t="n">
        <f aca="false">Parametres!$B$5*C6989</f>
        <v>0</v>
      </c>
      <c r="F6989" s="20" t="n">
        <f aca="false">Parametres!$B$6*D6989</f>
        <v>1.32</v>
      </c>
      <c r="G6989" s="20" t="n">
        <f aca="false">E6989+F6989</f>
        <v>1.32</v>
      </c>
      <c r="H6989" s="20" t="n">
        <f aca="false">IF(G6989&lt;Parametres!$B$8*Parametres!$B$7,0,MIN(G6989,Parametres!$B$7))</f>
        <v>0</v>
      </c>
      <c r="I6989" s="20" t="n">
        <f aca="false">G6989-H6989</f>
        <v>1.32</v>
      </c>
      <c r="J6989" s="21" t="n">
        <f aca="false">H6989*1000/Parametres!$B$9</f>
        <v>0</v>
      </c>
    </row>
    <row r="6990" customFormat="false" ht="15" hidden="false" customHeight="false" outlineLevel="0" collapsed="false">
      <c r="A6990" s="0" t="n">
        <v>6986</v>
      </c>
      <c r="B6990" s="0" t="n">
        <v>10</v>
      </c>
      <c r="C6990" s="19" t="n">
        <v>0</v>
      </c>
      <c r="D6990" s="19" t="n">
        <v>0.0583</v>
      </c>
      <c r="E6990" s="20" t="n">
        <f aca="false">Parametres!$B$5*C6990</f>
        <v>0</v>
      </c>
      <c r="F6990" s="20" t="n">
        <f aca="false">Parametres!$B$6*D6990</f>
        <v>11.66</v>
      </c>
      <c r="G6990" s="20" t="n">
        <f aca="false">E6990+F6990</f>
        <v>11.66</v>
      </c>
      <c r="H6990" s="20" t="n">
        <f aca="false">IF(G6990&lt;Parametres!$B$8*Parametres!$B$7,0,MIN(G6990,Parametres!$B$7))</f>
        <v>0</v>
      </c>
      <c r="I6990" s="20" t="n">
        <f aca="false">G6990-H6990</f>
        <v>11.66</v>
      </c>
      <c r="J6990" s="21" t="n">
        <f aca="false">H6990*1000/Parametres!$B$9</f>
        <v>0</v>
      </c>
    </row>
    <row r="6991" customFormat="false" ht="15" hidden="false" customHeight="false" outlineLevel="0" collapsed="false">
      <c r="A6991" s="0" t="n">
        <v>6987</v>
      </c>
      <c r="B6991" s="0" t="n">
        <v>10</v>
      </c>
      <c r="C6991" s="19" t="n">
        <v>0</v>
      </c>
      <c r="D6991" s="19" t="n">
        <v>0.0932</v>
      </c>
      <c r="E6991" s="20" t="n">
        <f aca="false">Parametres!$B$5*C6991</f>
        <v>0</v>
      </c>
      <c r="F6991" s="20" t="n">
        <f aca="false">Parametres!$B$6*D6991</f>
        <v>18.64</v>
      </c>
      <c r="G6991" s="20" t="n">
        <f aca="false">E6991+F6991</f>
        <v>18.64</v>
      </c>
      <c r="H6991" s="20" t="n">
        <f aca="false">IF(G6991&lt;Parametres!$B$8*Parametres!$B$7,0,MIN(G6991,Parametres!$B$7))</f>
        <v>0</v>
      </c>
      <c r="I6991" s="20" t="n">
        <f aca="false">G6991-H6991</f>
        <v>18.64</v>
      </c>
      <c r="J6991" s="21" t="n">
        <f aca="false">H6991*1000/Parametres!$B$9</f>
        <v>0</v>
      </c>
    </row>
    <row r="6992" customFormat="false" ht="15" hidden="false" customHeight="false" outlineLevel="0" collapsed="false">
      <c r="A6992" s="0" t="n">
        <v>6988</v>
      </c>
      <c r="B6992" s="0" t="n">
        <v>10</v>
      </c>
      <c r="C6992" s="19" t="n">
        <v>0</v>
      </c>
      <c r="D6992" s="19" t="n">
        <v>0.054</v>
      </c>
      <c r="E6992" s="20" t="n">
        <f aca="false">Parametres!$B$5*C6992</f>
        <v>0</v>
      </c>
      <c r="F6992" s="20" t="n">
        <f aca="false">Parametres!$B$6*D6992</f>
        <v>10.8</v>
      </c>
      <c r="G6992" s="20" t="n">
        <f aca="false">E6992+F6992</f>
        <v>10.8</v>
      </c>
      <c r="H6992" s="20" t="n">
        <f aca="false">IF(G6992&lt;Parametres!$B$8*Parametres!$B$7,0,MIN(G6992,Parametres!$B$7))</f>
        <v>0</v>
      </c>
      <c r="I6992" s="20" t="n">
        <f aca="false">G6992-H6992</f>
        <v>10.8</v>
      </c>
      <c r="J6992" s="21" t="n">
        <f aca="false">H6992*1000/Parametres!$B$9</f>
        <v>0</v>
      </c>
    </row>
    <row r="6993" customFormat="false" ht="15" hidden="false" customHeight="false" outlineLevel="0" collapsed="false">
      <c r="A6993" s="0" t="n">
        <v>6989</v>
      </c>
      <c r="B6993" s="0" t="n">
        <v>10</v>
      </c>
      <c r="C6993" s="19" t="n">
        <v>0</v>
      </c>
      <c r="D6993" s="19" t="n">
        <v>0.0443</v>
      </c>
      <c r="E6993" s="20" t="n">
        <f aca="false">Parametres!$B$5*C6993</f>
        <v>0</v>
      </c>
      <c r="F6993" s="20" t="n">
        <f aca="false">Parametres!$B$6*D6993</f>
        <v>8.86</v>
      </c>
      <c r="G6993" s="20" t="n">
        <f aca="false">E6993+F6993</f>
        <v>8.86</v>
      </c>
      <c r="H6993" s="20" t="n">
        <f aca="false">IF(G6993&lt;Parametres!$B$8*Parametres!$B$7,0,MIN(G6993,Parametres!$B$7))</f>
        <v>0</v>
      </c>
      <c r="I6993" s="20" t="n">
        <f aca="false">G6993-H6993</f>
        <v>8.86</v>
      </c>
      <c r="J6993" s="21" t="n">
        <f aca="false">H6993*1000/Parametres!$B$9</f>
        <v>0</v>
      </c>
    </row>
    <row r="6994" customFormat="false" ht="15" hidden="false" customHeight="false" outlineLevel="0" collapsed="false">
      <c r="A6994" s="0" t="n">
        <v>6990</v>
      </c>
      <c r="B6994" s="0" t="n">
        <v>10</v>
      </c>
      <c r="C6994" s="19" t="n">
        <v>0</v>
      </c>
      <c r="D6994" s="19" t="n">
        <v>0.0157</v>
      </c>
      <c r="E6994" s="20" t="n">
        <f aca="false">Parametres!$B$5*C6994</f>
        <v>0</v>
      </c>
      <c r="F6994" s="20" t="n">
        <f aca="false">Parametres!$B$6*D6994</f>
        <v>3.14</v>
      </c>
      <c r="G6994" s="20" t="n">
        <f aca="false">E6994+F6994</f>
        <v>3.14</v>
      </c>
      <c r="H6994" s="20" t="n">
        <f aca="false">IF(G6994&lt;Parametres!$B$8*Parametres!$B$7,0,MIN(G6994,Parametres!$B$7))</f>
        <v>0</v>
      </c>
      <c r="I6994" s="20" t="n">
        <f aca="false">G6994-H6994</f>
        <v>3.14</v>
      </c>
      <c r="J6994" s="21" t="n">
        <f aca="false">H6994*1000/Parametres!$B$9</f>
        <v>0</v>
      </c>
    </row>
    <row r="6995" customFormat="false" ht="15" hidden="false" customHeight="false" outlineLevel="0" collapsed="false">
      <c r="A6995" s="0" t="n">
        <v>6991</v>
      </c>
      <c r="B6995" s="0" t="n">
        <v>10</v>
      </c>
      <c r="C6995" s="19" t="n">
        <v>0.0216</v>
      </c>
      <c r="D6995" s="19" t="n">
        <v>0.0082</v>
      </c>
      <c r="E6995" s="20" t="n">
        <f aca="false">Parametres!$B$5*C6995</f>
        <v>6.48</v>
      </c>
      <c r="F6995" s="20" t="n">
        <f aca="false">Parametres!$B$6*D6995</f>
        <v>1.64</v>
      </c>
      <c r="G6995" s="20" t="n">
        <f aca="false">E6995+F6995</f>
        <v>8.12</v>
      </c>
      <c r="H6995" s="20" t="n">
        <f aca="false">IF(G6995&lt;Parametres!$B$8*Parametres!$B$7,0,MIN(G6995,Parametres!$B$7))</f>
        <v>0</v>
      </c>
      <c r="I6995" s="20" t="n">
        <f aca="false">G6995-H6995</f>
        <v>8.12</v>
      </c>
      <c r="J6995" s="21" t="n">
        <f aca="false">H6995*1000/Parametres!$B$9</f>
        <v>0</v>
      </c>
    </row>
    <row r="6996" customFormat="false" ht="15" hidden="false" customHeight="false" outlineLevel="0" collapsed="false">
      <c r="A6996" s="0" t="n">
        <v>6992</v>
      </c>
      <c r="B6996" s="0" t="n">
        <v>10</v>
      </c>
      <c r="C6996" s="19" t="n">
        <v>0.301</v>
      </c>
      <c r="D6996" s="19" t="n">
        <v>0.0035</v>
      </c>
      <c r="E6996" s="20" t="n">
        <f aca="false">Parametres!$B$5*C6996</f>
        <v>90.3</v>
      </c>
      <c r="F6996" s="20" t="n">
        <f aca="false">Parametres!$B$6*D6996</f>
        <v>0.7</v>
      </c>
      <c r="G6996" s="20" t="n">
        <f aca="false">E6996+F6996</f>
        <v>91</v>
      </c>
      <c r="H6996" s="20" t="n">
        <f aca="false">IF(G6996&lt;Parametres!$B$8*Parametres!$B$7,0,MIN(G6996,Parametres!$B$7))</f>
        <v>91</v>
      </c>
      <c r="I6996" s="20" t="n">
        <f aca="false">G6996-H6996</f>
        <v>0</v>
      </c>
      <c r="J6996" s="21" t="n">
        <f aca="false">H6996*1000/Parametres!$B$9</f>
        <v>1543.15753773105</v>
      </c>
    </row>
    <row r="6997" customFormat="false" ht="15" hidden="false" customHeight="false" outlineLevel="0" collapsed="false">
      <c r="A6997" s="0" t="n">
        <v>6993</v>
      </c>
      <c r="B6997" s="0" t="n">
        <v>10</v>
      </c>
      <c r="C6997" s="19" t="n">
        <v>0.5279</v>
      </c>
      <c r="D6997" s="19" t="n">
        <v>0.003</v>
      </c>
      <c r="E6997" s="20" t="n">
        <f aca="false">Parametres!$B$5*C6997</f>
        <v>158.37</v>
      </c>
      <c r="F6997" s="20" t="n">
        <f aca="false">Parametres!$B$6*D6997</f>
        <v>0.6</v>
      </c>
      <c r="G6997" s="20" t="n">
        <f aca="false">E6997+F6997</f>
        <v>158.97</v>
      </c>
      <c r="H6997" s="20" t="n">
        <f aca="false">IF(G6997&lt;Parametres!$B$8*Parametres!$B$7,0,MIN(G6997,Parametres!$B$7))</f>
        <v>158.97</v>
      </c>
      <c r="I6997" s="20" t="n">
        <f aca="false">G6997-H6997</f>
        <v>0</v>
      </c>
      <c r="J6997" s="21" t="n">
        <f aca="false">H6997*1000/Parametres!$B$9</f>
        <v>2695.77751399016</v>
      </c>
    </row>
    <row r="6998" customFormat="false" ht="15" hidden="false" customHeight="false" outlineLevel="0" collapsed="false">
      <c r="A6998" s="0" t="n">
        <v>6994</v>
      </c>
      <c r="B6998" s="0" t="n">
        <v>10</v>
      </c>
      <c r="C6998" s="19" t="n">
        <v>0.7549</v>
      </c>
      <c r="D6998" s="19" t="n">
        <v>0.0126</v>
      </c>
      <c r="E6998" s="20" t="n">
        <f aca="false">Parametres!$B$5*C6998</f>
        <v>226.47</v>
      </c>
      <c r="F6998" s="20" t="n">
        <f aca="false">Parametres!$B$6*D6998</f>
        <v>2.52</v>
      </c>
      <c r="G6998" s="20" t="n">
        <f aca="false">E6998+F6998</f>
        <v>228.99</v>
      </c>
      <c r="H6998" s="20" t="n">
        <f aca="false">IF(G6998&lt;Parametres!$B$8*Parametres!$B$7,0,MIN(G6998,Parametres!$B$7))</f>
        <v>228.99</v>
      </c>
      <c r="I6998" s="20" t="n">
        <f aca="false">G6998-H6998</f>
        <v>0</v>
      </c>
      <c r="J6998" s="21" t="n">
        <f aca="false">H6998*1000/Parametres!$B$9</f>
        <v>3883.16092928608</v>
      </c>
    </row>
    <row r="6999" customFormat="false" ht="15" hidden="false" customHeight="false" outlineLevel="0" collapsed="false">
      <c r="A6999" s="0" t="n">
        <v>6995</v>
      </c>
      <c r="B6999" s="0" t="n">
        <v>10</v>
      </c>
      <c r="C6999" s="19" t="n">
        <v>1</v>
      </c>
      <c r="D6999" s="19" t="n">
        <v>0.019</v>
      </c>
      <c r="E6999" s="20" t="n">
        <f aca="false">Parametres!$B$5*C6999</f>
        <v>300</v>
      </c>
      <c r="F6999" s="20" t="n">
        <f aca="false">Parametres!$B$6*D6999</f>
        <v>3.8</v>
      </c>
      <c r="G6999" s="20" t="n">
        <f aca="false">E6999+F6999</f>
        <v>303.8</v>
      </c>
      <c r="H6999" s="20" t="n">
        <f aca="false">IF(G6999&lt;Parametres!$B$8*Parametres!$B$7,0,MIN(G6999,Parametres!$B$7))</f>
        <v>250</v>
      </c>
      <c r="I6999" s="20" t="n">
        <f aca="false">G6999-H6999</f>
        <v>53.8</v>
      </c>
      <c r="J6999" s="21" t="n">
        <f aca="false">H6999*1000/Parametres!$B$9</f>
        <v>4239.44378497541</v>
      </c>
    </row>
    <row r="7000" customFormat="false" ht="15" hidden="false" customHeight="false" outlineLevel="0" collapsed="false">
      <c r="A7000" s="0" t="n">
        <v>6996</v>
      </c>
      <c r="B7000" s="0" t="n">
        <v>10</v>
      </c>
      <c r="C7000" s="19" t="n">
        <v>1</v>
      </c>
      <c r="D7000" s="19" t="n">
        <v>0.0203</v>
      </c>
      <c r="E7000" s="20" t="n">
        <f aca="false">Parametres!$B$5*C7000</f>
        <v>300</v>
      </c>
      <c r="F7000" s="20" t="n">
        <f aca="false">Parametres!$B$6*D7000</f>
        <v>4.06</v>
      </c>
      <c r="G7000" s="20" t="n">
        <f aca="false">E7000+F7000</f>
        <v>304.06</v>
      </c>
      <c r="H7000" s="20" t="n">
        <f aca="false">IF(G7000&lt;Parametres!$B$8*Parametres!$B$7,0,MIN(G7000,Parametres!$B$7))</f>
        <v>250</v>
      </c>
      <c r="I7000" s="20" t="n">
        <f aca="false">G7000-H7000</f>
        <v>54.06</v>
      </c>
      <c r="J7000" s="21" t="n">
        <f aca="false">H7000*1000/Parametres!$B$9</f>
        <v>4239.44378497541</v>
      </c>
    </row>
    <row r="7001" customFormat="false" ht="15" hidden="false" customHeight="false" outlineLevel="0" collapsed="false">
      <c r="A7001" s="0" t="n">
        <v>6997</v>
      </c>
      <c r="B7001" s="0" t="n">
        <v>10</v>
      </c>
      <c r="C7001" s="19" t="n">
        <v>1</v>
      </c>
      <c r="D7001" s="19" t="n">
        <v>0.0271</v>
      </c>
      <c r="E7001" s="20" t="n">
        <f aca="false">Parametres!$B$5*C7001</f>
        <v>300</v>
      </c>
      <c r="F7001" s="20" t="n">
        <f aca="false">Parametres!$B$6*D7001</f>
        <v>5.42</v>
      </c>
      <c r="G7001" s="20" t="n">
        <f aca="false">E7001+F7001</f>
        <v>305.42</v>
      </c>
      <c r="H7001" s="20" t="n">
        <f aca="false">IF(G7001&lt;Parametres!$B$8*Parametres!$B$7,0,MIN(G7001,Parametres!$B$7))</f>
        <v>250</v>
      </c>
      <c r="I7001" s="20" t="n">
        <f aca="false">G7001-H7001</f>
        <v>55.42</v>
      </c>
      <c r="J7001" s="21" t="n">
        <f aca="false">H7001*1000/Parametres!$B$9</f>
        <v>4239.44378497541</v>
      </c>
    </row>
    <row r="7002" customFormat="false" ht="15" hidden="false" customHeight="false" outlineLevel="0" collapsed="false">
      <c r="A7002" s="0" t="n">
        <v>6998</v>
      </c>
      <c r="B7002" s="0" t="n">
        <v>10</v>
      </c>
      <c r="C7002" s="19" t="n">
        <v>0.9829</v>
      </c>
      <c r="D7002" s="19" t="n">
        <v>0.0229</v>
      </c>
      <c r="E7002" s="20" t="n">
        <f aca="false">Parametres!$B$5*C7002</f>
        <v>294.87</v>
      </c>
      <c r="F7002" s="20" t="n">
        <f aca="false">Parametres!$B$6*D7002</f>
        <v>4.58</v>
      </c>
      <c r="G7002" s="20" t="n">
        <f aca="false">E7002+F7002</f>
        <v>299.45</v>
      </c>
      <c r="H7002" s="20" t="n">
        <f aca="false">IF(G7002&lt;Parametres!$B$8*Parametres!$B$7,0,MIN(G7002,Parametres!$B$7))</f>
        <v>250</v>
      </c>
      <c r="I7002" s="20" t="n">
        <f aca="false">G7002-H7002</f>
        <v>49.45</v>
      </c>
      <c r="J7002" s="21" t="n">
        <f aca="false">H7002*1000/Parametres!$B$9</f>
        <v>4239.44378497541</v>
      </c>
    </row>
    <row r="7003" customFormat="false" ht="15" hidden="false" customHeight="false" outlineLevel="0" collapsed="false">
      <c r="A7003" s="0" t="n">
        <v>6999</v>
      </c>
      <c r="B7003" s="0" t="n">
        <v>10</v>
      </c>
      <c r="C7003" s="19" t="n">
        <v>0.8234</v>
      </c>
      <c r="D7003" s="19" t="n">
        <v>0.0326</v>
      </c>
      <c r="E7003" s="20" t="n">
        <f aca="false">Parametres!$B$5*C7003</f>
        <v>247.02</v>
      </c>
      <c r="F7003" s="20" t="n">
        <f aca="false">Parametres!$B$6*D7003</f>
        <v>6.52</v>
      </c>
      <c r="G7003" s="20" t="n">
        <f aca="false">E7003+F7003</f>
        <v>253.54</v>
      </c>
      <c r="H7003" s="20" t="n">
        <f aca="false">IF(G7003&lt;Parametres!$B$8*Parametres!$B$7,0,MIN(G7003,Parametres!$B$7))</f>
        <v>250</v>
      </c>
      <c r="I7003" s="20" t="n">
        <f aca="false">G7003-H7003</f>
        <v>3.54000000000002</v>
      </c>
      <c r="J7003" s="21" t="n">
        <f aca="false">H7003*1000/Parametres!$B$9</f>
        <v>4239.44378497541</v>
      </c>
    </row>
    <row r="7004" customFormat="false" ht="15" hidden="false" customHeight="false" outlineLevel="0" collapsed="false">
      <c r="A7004" s="0" t="n">
        <v>7000</v>
      </c>
      <c r="B7004" s="0" t="n">
        <v>10</v>
      </c>
      <c r="C7004" s="19" t="n">
        <v>0.5396</v>
      </c>
      <c r="D7004" s="19" t="n">
        <v>0.0619</v>
      </c>
      <c r="E7004" s="20" t="n">
        <f aca="false">Parametres!$B$5*C7004</f>
        <v>161.88</v>
      </c>
      <c r="F7004" s="20" t="n">
        <f aca="false">Parametres!$B$6*D7004</f>
        <v>12.38</v>
      </c>
      <c r="G7004" s="20" t="n">
        <f aca="false">E7004+F7004</f>
        <v>174.26</v>
      </c>
      <c r="H7004" s="20" t="n">
        <f aca="false">IF(G7004&lt;Parametres!$B$8*Parametres!$B$7,0,MIN(G7004,Parametres!$B$7))</f>
        <v>174.26</v>
      </c>
      <c r="I7004" s="20" t="n">
        <f aca="false">G7004-H7004</f>
        <v>0</v>
      </c>
      <c r="J7004" s="21" t="n">
        <f aca="false">H7004*1000/Parametres!$B$9</f>
        <v>2955.06189587926</v>
      </c>
    </row>
    <row r="7005" customFormat="false" ht="15" hidden="false" customHeight="false" outlineLevel="0" collapsed="false">
      <c r="A7005" s="0" t="n">
        <v>7001</v>
      </c>
      <c r="B7005" s="0" t="n">
        <v>10</v>
      </c>
      <c r="C7005" s="19" t="n">
        <v>0.2932</v>
      </c>
      <c r="D7005" s="19" t="n">
        <v>0.1801</v>
      </c>
      <c r="E7005" s="20" t="n">
        <f aca="false">Parametres!$B$5*C7005</f>
        <v>87.96</v>
      </c>
      <c r="F7005" s="20" t="n">
        <f aca="false">Parametres!$B$6*D7005</f>
        <v>36.02</v>
      </c>
      <c r="G7005" s="20" t="n">
        <f aca="false">E7005+F7005</f>
        <v>123.98</v>
      </c>
      <c r="H7005" s="20" t="n">
        <f aca="false">IF(G7005&lt;Parametres!$B$8*Parametres!$B$7,0,MIN(G7005,Parametres!$B$7))</f>
        <v>123.98</v>
      </c>
      <c r="I7005" s="20" t="n">
        <f aca="false">G7005-H7005</f>
        <v>0</v>
      </c>
      <c r="J7005" s="21" t="n">
        <f aca="false">H7005*1000/Parametres!$B$9</f>
        <v>2102.42496184501</v>
      </c>
    </row>
    <row r="7006" customFormat="false" ht="15" hidden="false" customHeight="false" outlineLevel="0" collapsed="false">
      <c r="A7006" s="0" t="n">
        <v>7002</v>
      </c>
      <c r="B7006" s="0" t="n">
        <v>10</v>
      </c>
      <c r="C7006" s="19" t="n">
        <v>0.0215</v>
      </c>
      <c r="D7006" s="19" t="n">
        <v>0.1787</v>
      </c>
      <c r="E7006" s="20" t="n">
        <f aca="false">Parametres!$B$5*C7006</f>
        <v>6.45</v>
      </c>
      <c r="F7006" s="20" t="n">
        <f aca="false">Parametres!$B$6*D7006</f>
        <v>35.74</v>
      </c>
      <c r="G7006" s="20" t="n">
        <f aca="false">E7006+F7006</f>
        <v>42.19</v>
      </c>
      <c r="H7006" s="20" t="n">
        <f aca="false">IF(G7006&lt;Parametres!$B$8*Parametres!$B$7,0,MIN(G7006,Parametres!$B$7))</f>
        <v>42.19</v>
      </c>
      <c r="I7006" s="20" t="n">
        <f aca="false">G7006-H7006</f>
        <v>0</v>
      </c>
      <c r="J7006" s="21" t="n">
        <f aca="false">H7006*1000/Parametres!$B$9</f>
        <v>715.44853315245</v>
      </c>
    </row>
    <row r="7007" customFormat="false" ht="15" hidden="false" customHeight="false" outlineLevel="0" collapsed="false">
      <c r="A7007" s="0" t="n">
        <v>7003</v>
      </c>
      <c r="B7007" s="0" t="n">
        <v>10</v>
      </c>
      <c r="C7007" s="19" t="n">
        <v>0</v>
      </c>
      <c r="D7007" s="19" t="n">
        <v>0.1021</v>
      </c>
      <c r="E7007" s="20" t="n">
        <f aca="false">Parametres!$B$5*C7007</f>
        <v>0</v>
      </c>
      <c r="F7007" s="20" t="n">
        <f aca="false">Parametres!$B$6*D7007</f>
        <v>20.42</v>
      </c>
      <c r="G7007" s="20" t="n">
        <f aca="false">E7007+F7007</f>
        <v>20.42</v>
      </c>
      <c r="H7007" s="20" t="n">
        <f aca="false">IF(G7007&lt;Parametres!$B$8*Parametres!$B$7,0,MIN(G7007,Parametres!$B$7))</f>
        <v>0</v>
      </c>
      <c r="I7007" s="20" t="n">
        <f aca="false">G7007-H7007</f>
        <v>20.42</v>
      </c>
      <c r="J7007" s="21" t="n">
        <f aca="false">H7007*1000/Parametres!$B$9</f>
        <v>0</v>
      </c>
    </row>
    <row r="7008" customFormat="false" ht="15" hidden="false" customHeight="false" outlineLevel="0" collapsed="false">
      <c r="A7008" s="0" t="n">
        <v>7004</v>
      </c>
      <c r="B7008" s="0" t="n">
        <v>10</v>
      </c>
      <c r="C7008" s="19" t="n">
        <v>0</v>
      </c>
      <c r="D7008" s="19" t="n">
        <v>0.1424</v>
      </c>
      <c r="E7008" s="20" t="n">
        <f aca="false">Parametres!$B$5*C7008</f>
        <v>0</v>
      </c>
      <c r="F7008" s="20" t="n">
        <f aca="false">Parametres!$B$6*D7008</f>
        <v>28.48</v>
      </c>
      <c r="G7008" s="20" t="n">
        <f aca="false">E7008+F7008</f>
        <v>28.48</v>
      </c>
      <c r="H7008" s="20" t="n">
        <f aca="false">IF(G7008&lt;Parametres!$B$8*Parametres!$B$7,0,MIN(G7008,Parametres!$B$7))</f>
        <v>28.48</v>
      </c>
      <c r="I7008" s="20" t="n">
        <f aca="false">G7008-H7008</f>
        <v>0</v>
      </c>
      <c r="J7008" s="21" t="n">
        <f aca="false">H7008*1000/Parametres!$B$9</f>
        <v>482.957435984399</v>
      </c>
    </row>
    <row r="7009" customFormat="false" ht="15" hidden="false" customHeight="false" outlineLevel="0" collapsed="false">
      <c r="A7009" s="0" t="n">
        <v>7005</v>
      </c>
      <c r="B7009" s="0" t="n">
        <v>10</v>
      </c>
      <c r="C7009" s="19" t="n">
        <v>0</v>
      </c>
      <c r="D7009" s="19" t="n">
        <v>0.0757</v>
      </c>
      <c r="E7009" s="20" t="n">
        <f aca="false">Parametres!$B$5*C7009</f>
        <v>0</v>
      </c>
      <c r="F7009" s="20" t="n">
        <f aca="false">Parametres!$B$6*D7009</f>
        <v>15.14</v>
      </c>
      <c r="G7009" s="20" t="n">
        <f aca="false">E7009+F7009</f>
        <v>15.14</v>
      </c>
      <c r="H7009" s="20" t="n">
        <f aca="false">IF(G7009&lt;Parametres!$B$8*Parametres!$B$7,0,MIN(G7009,Parametres!$B$7))</f>
        <v>0</v>
      </c>
      <c r="I7009" s="20" t="n">
        <f aca="false">G7009-H7009</f>
        <v>15.14</v>
      </c>
      <c r="J7009" s="21" t="n">
        <f aca="false">H7009*1000/Parametres!$B$9</f>
        <v>0</v>
      </c>
    </row>
    <row r="7010" customFormat="false" ht="15" hidden="false" customHeight="false" outlineLevel="0" collapsed="false">
      <c r="A7010" s="0" t="n">
        <v>7006</v>
      </c>
      <c r="B7010" s="0" t="n">
        <v>10</v>
      </c>
      <c r="C7010" s="19" t="n">
        <v>0</v>
      </c>
      <c r="D7010" s="19" t="n">
        <v>0.0355</v>
      </c>
      <c r="E7010" s="20" t="n">
        <f aca="false">Parametres!$B$5*C7010</f>
        <v>0</v>
      </c>
      <c r="F7010" s="20" t="n">
        <f aca="false">Parametres!$B$6*D7010</f>
        <v>7.1</v>
      </c>
      <c r="G7010" s="20" t="n">
        <f aca="false">E7010+F7010</f>
        <v>7.1</v>
      </c>
      <c r="H7010" s="20" t="n">
        <f aca="false">IF(G7010&lt;Parametres!$B$8*Parametres!$B$7,0,MIN(G7010,Parametres!$B$7))</f>
        <v>0</v>
      </c>
      <c r="I7010" s="20" t="n">
        <f aca="false">G7010-H7010</f>
        <v>7.1</v>
      </c>
      <c r="J7010" s="21" t="n">
        <f aca="false">H7010*1000/Parametres!$B$9</f>
        <v>0</v>
      </c>
    </row>
    <row r="7011" customFormat="false" ht="15" hidden="false" customHeight="false" outlineLevel="0" collapsed="false">
      <c r="A7011" s="0" t="n">
        <v>7007</v>
      </c>
      <c r="B7011" s="0" t="n">
        <v>10</v>
      </c>
      <c r="C7011" s="19" t="n">
        <v>0</v>
      </c>
      <c r="D7011" s="19" t="n">
        <v>0.0333</v>
      </c>
      <c r="E7011" s="20" t="n">
        <f aca="false">Parametres!$B$5*C7011</f>
        <v>0</v>
      </c>
      <c r="F7011" s="20" t="n">
        <f aca="false">Parametres!$B$6*D7011</f>
        <v>6.66</v>
      </c>
      <c r="G7011" s="20" t="n">
        <f aca="false">E7011+F7011</f>
        <v>6.66</v>
      </c>
      <c r="H7011" s="20" t="n">
        <f aca="false">IF(G7011&lt;Parametres!$B$8*Parametres!$B$7,0,MIN(G7011,Parametres!$B$7))</f>
        <v>0</v>
      </c>
      <c r="I7011" s="20" t="n">
        <f aca="false">G7011-H7011</f>
        <v>6.66</v>
      </c>
      <c r="J7011" s="21" t="n">
        <f aca="false">H7011*1000/Parametres!$B$9</f>
        <v>0</v>
      </c>
    </row>
    <row r="7012" customFormat="false" ht="15" hidden="false" customHeight="false" outlineLevel="0" collapsed="false">
      <c r="A7012" s="0" t="n">
        <v>7008</v>
      </c>
      <c r="B7012" s="0" t="n">
        <v>10</v>
      </c>
      <c r="C7012" s="19" t="n">
        <v>0</v>
      </c>
      <c r="D7012" s="19" t="n">
        <v>0.0622</v>
      </c>
      <c r="E7012" s="20" t="n">
        <f aca="false">Parametres!$B$5*C7012</f>
        <v>0</v>
      </c>
      <c r="F7012" s="20" t="n">
        <f aca="false">Parametres!$B$6*D7012</f>
        <v>12.44</v>
      </c>
      <c r="G7012" s="20" t="n">
        <f aca="false">E7012+F7012</f>
        <v>12.44</v>
      </c>
      <c r="H7012" s="20" t="n">
        <f aca="false">IF(G7012&lt;Parametres!$B$8*Parametres!$B$7,0,MIN(G7012,Parametres!$B$7))</f>
        <v>0</v>
      </c>
      <c r="I7012" s="20" t="n">
        <f aca="false">G7012-H7012</f>
        <v>12.44</v>
      </c>
      <c r="J7012" s="21" t="n">
        <f aca="false">H7012*1000/Parametres!$B$9</f>
        <v>0</v>
      </c>
    </row>
    <row r="7013" customFormat="false" ht="15" hidden="false" customHeight="false" outlineLevel="0" collapsed="false">
      <c r="A7013" s="0" t="n">
        <v>7009</v>
      </c>
      <c r="B7013" s="0" t="n">
        <v>10</v>
      </c>
      <c r="C7013" s="19" t="n">
        <v>0</v>
      </c>
      <c r="D7013" s="19" t="n">
        <v>0.0274</v>
      </c>
      <c r="E7013" s="20" t="n">
        <f aca="false">Parametres!$B$5*C7013</f>
        <v>0</v>
      </c>
      <c r="F7013" s="20" t="n">
        <f aca="false">Parametres!$B$6*D7013</f>
        <v>5.48</v>
      </c>
      <c r="G7013" s="20" t="n">
        <f aca="false">E7013+F7013</f>
        <v>5.48</v>
      </c>
      <c r="H7013" s="20" t="n">
        <f aca="false">IF(G7013&lt;Parametres!$B$8*Parametres!$B$7,0,MIN(G7013,Parametres!$B$7))</f>
        <v>0</v>
      </c>
      <c r="I7013" s="20" t="n">
        <f aca="false">G7013-H7013</f>
        <v>5.48</v>
      </c>
      <c r="J7013" s="21" t="n">
        <f aca="false">H7013*1000/Parametres!$B$9</f>
        <v>0</v>
      </c>
    </row>
    <row r="7014" customFormat="false" ht="15" hidden="false" customHeight="false" outlineLevel="0" collapsed="false">
      <c r="A7014" s="0" t="n">
        <v>7010</v>
      </c>
      <c r="B7014" s="0" t="n">
        <v>10</v>
      </c>
      <c r="C7014" s="19" t="n">
        <v>0</v>
      </c>
      <c r="D7014" s="19" t="n">
        <v>0.0594</v>
      </c>
      <c r="E7014" s="20" t="n">
        <f aca="false">Parametres!$B$5*C7014</f>
        <v>0</v>
      </c>
      <c r="F7014" s="20" t="n">
        <f aca="false">Parametres!$B$6*D7014</f>
        <v>11.88</v>
      </c>
      <c r="G7014" s="20" t="n">
        <f aca="false">E7014+F7014</f>
        <v>11.88</v>
      </c>
      <c r="H7014" s="20" t="n">
        <f aca="false">IF(G7014&lt;Parametres!$B$8*Parametres!$B$7,0,MIN(G7014,Parametres!$B$7))</f>
        <v>0</v>
      </c>
      <c r="I7014" s="20" t="n">
        <f aca="false">G7014-H7014</f>
        <v>11.88</v>
      </c>
      <c r="J7014" s="21" t="n">
        <f aca="false">H7014*1000/Parametres!$B$9</f>
        <v>0</v>
      </c>
    </row>
    <row r="7015" customFormat="false" ht="15" hidden="false" customHeight="false" outlineLevel="0" collapsed="false">
      <c r="A7015" s="0" t="n">
        <v>7011</v>
      </c>
      <c r="B7015" s="0" t="n">
        <v>10</v>
      </c>
      <c r="C7015" s="19" t="n">
        <v>0</v>
      </c>
      <c r="D7015" s="19" t="n">
        <v>0.0462</v>
      </c>
      <c r="E7015" s="20" t="n">
        <f aca="false">Parametres!$B$5*C7015</f>
        <v>0</v>
      </c>
      <c r="F7015" s="20" t="n">
        <f aca="false">Parametres!$B$6*D7015</f>
        <v>9.24</v>
      </c>
      <c r="G7015" s="20" t="n">
        <f aca="false">E7015+F7015</f>
        <v>9.24</v>
      </c>
      <c r="H7015" s="20" t="n">
        <f aca="false">IF(G7015&lt;Parametres!$B$8*Parametres!$B$7,0,MIN(G7015,Parametres!$B$7))</f>
        <v>0</v>
      </c>
      <c r="I7015" s="20" t="n">
        <f aca="false">G7015-H7015</f>
        <v>9.24</v>
      </c>
      <c r="J7015" s="21" t="n">
        <f aca="false">H7015*1000/Parametres!$B$9</f>
        <v>0</v>
      </c>
    </row>
    <row r="7016" customFormat="false" ht="15" hidden="false" customHeight="false" outlineLevel="0" collapsed="false">
      <c r="A7016" s="0" t="n">
        <v>7012</v>
      </c>
      <c r="B7016" s="0" t="n">
        <v>10</v>
      </c>
      <c r="C7016" s="19" t="n">
        <v>0</v>
      </c>
      <c r="D7016" s="19" t="n">
        <v>0.0715</v>
      </c>
      <c r="E7016" s="20" t="n">
        <f aca="false">Parametres!$B$5*C7016</f>
        <v>0</v>
      </c>
      <c r="F7016" s="20" t="n">
        <f aca="false">Parametres!$B$6*D7016</f>
        <v>14.3</v>
      </c>
      <c r="G7016" s="20" t="n">
        <f aca="false">E7016+F7016</f>
        <v>14.3</v>
      </c>
      <c r="H7016" s="20" t="n">
        <f aca="false">IF(G7016&lt;Parametres!$B$8*Parametres!$B$7,0,MIN(G7016,Parametres!$B$7))</f>
        <v>0</v>
      </c>
      <c r="I7016" s="20" t="n">
        <f aca="false">G7016-H7016</f>
        <v>14.3</v>
      </c>
      <c r="J7016" s="21" t="n">
        <f aca="false">H7016*1000/Parametres!$B$9</f>
        <v>0</v>
      </c>
    </row>
    <row r="7017" customFormat="false" ht="15" hidden="false" customHeight="false" outlineLevel="0" collapsed="false">
      <c r="A7017" s="0" t="n">
        <v>7013</v>
      </c>
      <c r="B7017" s="0" t="n">
        <v>10</v>
      </c>
      <c r="C7017" s="19" t="n">
        <v>0</v>
      </c>
      <c r="D7017" s="19" t="n">
        <v>0.0604</v>
      </c>
      <c r="E7017" s="20" t="n">
        <f aca="false">Parametres!$B$5*C7017</f>
        <v>0</v>
      </c>
      <c r="F7017" s="20" t="n">
        <f aca="false">Parametres!$B$6*D7017</f>
        <v>12.08</v>
      </c>
      <c r="G7017" s="20" t="n">
        <f aca="false">E7017+F7017</f>
        <v>12.08</v>
      </c>
      <c r="H7017" s="20" t="n">
        <f aca="false">IF(G7017&lt;Parametres!$B$8*Parametres!$B$7,0,MIN(G7017,Parametres!$B$7))</f>
        <v>0</v>
      </c>
      <c r="I7017" s="20" t="n">
        <f aca="false">G7017-H7017</f>
        <v>12.08</v>
      </c>
      <c r="J7017" s="21" t="n">
        <f aca="false">H7017*1000/Parametres!$B$9</f>
        <v>0</v>
      </c>
    </row>
    <row r="7018" customFormat="false" ht="15" hidden="false" customHeight="false" outlineLevel="0" collapsed="false">
      <c r="A7018" s="0" t="n">
        <v>7014</v>
      </c>
      <c r="B7018" s="0" t="n">
        <v>10</v>
      </c>
      <c r="C7018" s="19" t="n">
        <v>0</v>
      </c>
      <c r="D7018" s="19" t="n">
        <v>0.0473</v>
      </c>
      <c r="E7018" s="20" t="n">
        <f aca="false">Parametres!$B$5*C7018</f>
        <v>0</v>
      </c>
      <c r="F7018" s="20" t="n">
        <f aca="false">Parametres!$B$6*D7018</f>
        <v>9.46</v>
      </c>
      <c r="G7018" s="20" t="n">
        <f aca="false">E7018+F7018</f>
        <v>9.46</v>
      </c>
      <c r="H7018" s="20" t="n">
        <f aca="false">IF(G7018&lt;Parametres!$B$8*Parametres!$B$7,0,MIN(G7018,Parametres!$B$7))</f>
        <v>0</v>
      </c>
      <c r="I7018" s="20" t="n">
        <f aca="false">G7018-H7018</f>
        <v>9.46</v>
      </c>
      <c r="J7018" s="21" t="n">
        <f aca="false">H7018*1000/Parametres!$B$9</f>
        <v>0</v>
      </c>
    </row>
    <row r="7019" customFormat="false" ht="15" hidden="false" customHeight="false" outlineLevel="0" collapsed="false">
      <c r="A7019" s="0" t="n">
        <v>7015</v>
      </c>
      <c r="B7019" s="0" t="n">
        <v>10</v>
      </c>
      <c r="C7019" s="19" t="n">
        <v>0.0174</v>
      </c>
      <c r="D7019" s="19" t="n">
        <v>0.0694</v>
      </c>
      <c r="E7019" s="20" t="n">
        <f aca="false">Parametres!$B$5*C7019</f>
        <v>5.22</v>
      </c>
      <c r="F7019" s="20" t="n">
        <f aca="false">Parametres!$B$6*D7019</f>
        <v>13.88</v>
      </c>
      <c r="G7019" s="20" t="n">
        <f aca="false">E7019+F7019</f>
        <v>19.1</v>
      </c>
      <c r="H7019" s="20" t="n">
        <f aca="false">IF(G7019&lt;Parametres!$B$8*Parametres!$B$7,0,MIN(G7019,Parametres!$B$7))</f>
        <v>0</v>
      </c>
      <c r="I7019" s="20" t="n">
        <f aca="false">G7019-H7019</f>
        <v>19.1</v>
      </c>
      <c r="J7019" s="21" t="n">
        <f aca="false">H7019*1000/Parametres!$B$9</f>
        <v>0</v>
      </c>
    </row>
    <row r="7020" customFormat="false" ht="15" hidden="false" customHeight="false" outlineLevel="0" collapsed="false">
      <c r="A7020" s="0" t="n">
        <v>7016</v>
      </c>
      <c r="B7020" s="0" t="n">
        <v>10</v>
      </c>
      <c r="C7020" s="19" t="n">
        <v>0.2403</v>
      </c>
      <c r="D7020" s="19" t="n">
        <v>0.0508</v>
      </c>
      <c r="E7020" s="20" t="n">
        <f aca="false">Parametres!$B$5*C7020</f>
        <v>72.09</v>
      </c>
      <c r="F7020" s="20" t="n">
        <f aca="false">Parametres!$B$6*D7020</f>
        <v>10.16</v>
      </c>
      <c r="G7020" s="20" t="n">
        <f aca="false">E7020+F7020</f>
        <v>82.25</v>
      </c>
      <c r="H7020" s="20" t="n">
        <f aca="false">IF(G7020&lt;Parametres!$B$8*Parametres!$B$7,0,MIN(G7020,Parametres!$B$7))</f>
        <v>82.25</v>
      </c>
      <c r="I7020" s="20" t="n">
        <f aca="false">G7020-H7020</f>
        <v>0</v>
      </c>
      <c r="J7020" s="21" t="n">
        <f aca="false">H7020*1000/Parametres!$B$9</f>
        <v>1394.77700525691</v>
      </c>
    </row>
    <row r="7021" customFormat="false" ht="15" hidden="false" customHeight="false" outlineLevel="0" collapsed="false">
      <c r="A7021" s="0" t="n">
        <v>7017</v>
      </c>
      <c r="B7021" s="0" t="n">
        <v>10</v>
      </c>
      <c r="C7021" s="19" t="n">
        <v>0.5088</v>
      </c>
      <c r="D7021" s="19" t="n">
        <v>0.047</v>
      </c>
      <c r="E7021" s="20" t="n">
        <f aca="false">Parametres!$B$5*C7021</f>
        <v>152.64</v>
      </c>
      <c r="F7021" s="20" t="n">
        <f aca="false">Parametres!$B$6*D7021</f>
        <v>9.4</v>
      </c>
      <c r="G7021" s="20" t="n">
        <f aca="false">E7021+F7021</f>
        <v>162.04</v>
      </c>
      <c r="H7021" s="20" t="n">
        <f aca="false">IF(G7021&lt;Parametres!$B$8*Parametres!$B$7,0,MIN(G7021,Parametres!$B$7))</f>
        <v>162.04</v>
      </c>
      <c r="I7021" s="20" t="n">
        <f aca="false">G7021-H7021</f>
        <v>0</v>
      </c>
      <c r="J7021" s="21" t="n">
        <f aca="false">H7021*1000/Parametres!$B$9</f>
        <v>2747.83788366966</v>
      </c>
    </row>
    <row r="7022" customFormat="false" ht="15" hidden="false" customHeight="false" outlineLevel="0" collapsed="false">
      <c r="A7022" s="0" t="n">
        <v>7018</v>
      </c>
      <c r="B7022" s="0" t="n">
        <v>10</v>
      </c>
      <c r="C7022" s="19" t="n">
        <v>0.7091</v>
      </c>
      <c r="D7022" s="19" t="n">
        <v>0.1018</v>
      </c>
      <c r="E7022" s="20" t="n">
        <f aca="false">Parametres!$B$5*C7022</f>
        <v>212.73</v>
      </c>
      <c r="F7022" s="20" t="n">
        <f aca="false">Parametres!$B$6*D7022</f>
        <v>20.36</v>
      </c>
      <c r="G7022" s="20" t="n">
        <f aca="false">E7022+F7022</f>
        <v>233.09</v>
      </c>
      <c r="H7022" s="20" t="n">
        <f aca="false">IF(G7022&lt;Parametres!$B$8*Parametres!$B$7,0,MIN(G7022,Parametres!$B$7))</f>
        <v>233.09</v>
      </c>
      <c r="I7022" s="20" t="n">
        <f aca="false">G7022-H7022</f>
        <v>0</v>
      </c>
      <c r="J7022" s="21" t="n">
        <f aca="false">H7022*1000/Parametres!$B$9</f>
        <v>3952.68780735967</v>
      </c>
    </row>
    <row r="7023" customFormat="false" ht="15" hidden="false" customHeight="false" outlineLevel="0" collapsed="false">
      <c r="A7023" s="0" t="n">
        <v>7019</v>
      </c>
      <c r="B7023" s="0" t="n">
        <v>10</v>
      </c>
      <c r="C7023" s="19" t="n">
        <v>0.8563</v>
      </c>
      <c r="D7023" s="19" t="n">
        <v>0.13</v>
      </c>
      <c r="E7023" s="20" t="n">
        <f aca="false">Parametres!$B$5*C7023</f>
        <v>256.89</v>
      </c>
      <c r="F7023" s="20" t="n">
        <f aca="false">Parametres!$B$6*D7023</f>
        <v>26</v>
      </c>
      <c r="G7023" s="20" t="n">
        <f aca="false">E7023+F7023</f>
        <v>282.89</v>
      </c>
      <c r="H7023" s="20" t="n">
        <f aca="false">IF(G7023&lt;Parametres!$B$8*Parametres!$B$7,0,MIN(G7023,Parametres!$B$7))</f>
        <v>250</v>
      </c>
      <c r="I7023" s="20" t="n">
        <f aca="false">G7023-H7023</f>
        <v>32.89</v>
      </c>
      <c r="J7023" s="21" t="n">
        <f aca="false">H7023*1000/Parametres!$B$9</f>
        <v>4239.44378497541</v>
      </c>
    </row>
    <row r="7024" customFormat="false" ht="15" hidden="false" customHeight="false" outlineLevel="0" collapsed="false">
      <c r="A7024" s="0" t="n">
        <v>7020</v>
      </c>
      <c r="B7024" s="0" t="n">
        <v>10</v>
      </c>
      <c r="C7024" s="19" t="n">
        <v>0.9202</v>
      </c>
      <c r="D7024" s="19" t="n">
        <v>0.1778</v>
      </c>
      <c r="E7024" s="20" t="n">
        <f aca="false">Parametres!$B$5*C7024</f>
        <v>276.06</v>
      </c>
      <c r="F7024" s="20" t="n">
        <f aca="false">Parametres!$B$6*D7024</f>
        <v>35.56</v>
      </c>
      <c r="G7024" s="20" t="n">
        <f aca="false">E7024+F7024</f>
        <v>311.62</v>
      </c>
      <c r="H7024" s="20" t="n">
        <f aca="false">IF(G7024&lt;Parametres!$B$8*Parametres!$B$7,0,MIN(G7024,Parametres!$B$7))</f>
        <v>250</v>
      </c>
      <c r="I7024" s="20" t="n">
        <f aca="false">G7024-H7024</f>
        <v>61.62</v>
      </c>
      <c r="J7024" s="21" t="n">
        <f aca="false">H7024*1000/Parametres!$B$9</f>
        <v>4239.44378497541</v>
      </c>
    </row>
    <row r="7025" customFormat="false" ht="15" hidden="false" customHeight="false" outlineLevel="0" collapsed="false">
      <c r="A7025" s="0" t="n">
        <v>7021</v>
      </c>
      <c r="B7025" s="0" t="n">
        <v>10</v>
      </c>
      <c r="C7025" s="19" t="n">
        <v>0.9288</v>
      </c>
      <c r="D7025" s="19" t="n">
        <v>0.0851</v>
      </c>
      <c r="E7025" s="20" t="n">
        <f aca="false">Parametres!$B$5*C7025</f>
        <v>278.64</v>
      </c>
      <c r="F7025" s="20" t="n">
        <f aca="false">Parametres!$B$6*D7025</f>
        <v>17.02</v>
      </c>
      <c r="G7025" s="20" t="n">
        <f aca="false">E7025+F7025</f>
        <v>295.66</v>
      </c>
      <c r="H7025" s="20" t="n">
        <f aca="false">IF(G7025&lt;Parametres!$B$8*Parametres!$B$7,0,MIN(G7025,Parametres!$B$7))</f>
        <v>250</v>
      </c>
      <c r="I7025" s="20" t="n">
        <f aca="false">G7025-H7025</f>
        <v>45.66</v>
      </c>
      <c r="J7025" s="21" t="n">
        <f aca="false">H7025*1000/Parametres!$B$9</f>
        <v>4239.44378497541</v>
      </c>
    </row>
    <row r="7026" customFormat="false" ht="15" hidden="false" customHeight="false" outlineLevel="0" collapsed="false">
      <c r="A7026" s="0" t="n">
        <v>7022</v>
      </c>
      <c r="B7026" s="0" t="n">
        <v>10</v>
      </c>
      <c r="C7026" s="19" t="n">
        <v>0.794</v>
      </c>
      <c r="D7026" s="19" t="n">
        <v>0.079</v>
      </c>
      <c r="E7026" s="20" t="n">
        <f aca="false">Parametres!$B$5*C7026</f>
        <v>238.2</v>
      </c>
      <c r="F7026" s="20" t="n">
        <f aca="false">Parametres!$B$6*D7026</f>
        <v>15.8</v>
      </c>
      <c r="G7026" s="20" t="n">
        <f aca="false">E7026+F7026</f>
        <v>254</v>
      </c>
      <c r="H7026" s="20" t="n">
        <f aca="false">IF(G7026&lt;Parametres!$B$8*Parametres!$B$7,0,MIN(G7026,Parametres!$B$7))</f>
        <v>250</v>
      </c>
      <c r="I7026" s="20" t="n">
        <f aca="false">G7026-H7026</f>
        <v>4.00000000000003</v>
      </c>
      <c r="J7026" s="21" t="n">
        <f aca="false">H7026*1000/Parametres!$B$9</f>
        <v>4239.44378497541</v>
      </c>
    </row>
    <row r="7027" customFormat="false" ht="15" hidden="false" customHeight="false" outlineLevel="0" collapsed="false">
      <c r="A7027" s="0" t="n">
        <v>7023</v>
      </c>
      <c r="B7027" s="0" t="n">
        <v>10</v>
      </c>
      <c r="C7027" s="19" t="n">
        <v>0.7256</v>
      </c>
      <c r="D7027" s="19" t="n">
        <v>0.0674</v>
      </c>
      <c r="E7027" s="20" t="n">
        <f aca="false">Parametres!$B$5*C7027</f>
        <v>217.68</v>
      </c>
      <c r="F7027" s="20" t="n">
        <f aca="false">Parametres!$B$6*D7027</f>
        <v>13.48</v>
      </c>
      <c r="G7027" s="20" t="n">
        <f aca="false">E7027+F7027</f>
        <v>231.16</v>
      </c>
      <c r="H7027" s="20" t="n">
        <f aca="false">IF(G7027&lt;Parametres!$B$8*Parametres!$B$7,0,MIN(G7027,Parametres!$B$7))</f>
        <v>231.16</v>
      </c>
      <c r="I7027" s="20" t="n">
        <f aca="false">G7027-H7027</f>
        <v>0</v>
      </c>
      <c r="J7027" s="21" t="n">
        <f aca="false">H7027*1000/Parametres!$B$9</f>
        <v>3919.95930133966</v>
      </c>
    </row>
    <row r="7028" customFormat="false" ht="15" hidden="false" customHeight="false" outlineLevel="0" collapsed="false">
      <c r="A7028" s="0" t="n">
        <v>7024</v>
      </c>
      <c r="B7028" s="0" t="n">
        <v>10</v>
      </c>
      <c r="C7028" s="19" t="n">
        <v>0.4856</v>
      </c>
      <c r="D7028" s="19" t="n">
        <v>0.0592</v>
      </c>
      <c r="E7028" s="20" t="n">
        <f aca="false">Parametres!$B$5*C7028</f>
        <v>145.68</v>
      </c>
      <c r="F7028" s="20" t="n">
        <f aca="false">Parametres!$B$6*D7028</f>
        <v>11.84</v>
      </c>
      <c r="G7028" s="20" t="n">
        <f aca="false">E7028+F7028</f>
        <v>157.52</v>
      </c>
      <c r="H7028" s="20" t="n">
        <f aca="false">IF(G7028&lt;Parametres!$B$8*Parametres!$B$7,0,MIN(G7028,Parametres!$B$7))</f>
        <v>157.52</v>
      </c>
      <c r="I7028" s="20" t="n">
        <f aca="false">G7028-H7028</f>
        <v>0</v>
      </c>
      <c r="J7028" s="21" t="n">
        <f aca="false">H7028*1000/Parametres!$B$9</f>
        <v>2671.18874003731</v>
      </c>
    </row>
    <row r="7029" customFormat="false" ht="15" hidden="false" customHeight="false" outlineLevel="0" collapsed="false">
      <c r="A7029" s="0" t="n">
        <v>7025</v>
      </c>
      <c r="B7029" s="0" t="n">
        <v>10</v>
      </c>
      <c r="C7029" s="19" t="n">
        <v>0.2623</v>
      </c>
      <c r="D7029" s="19" t="n">
        <v>0.2174</v>
      </c>
      <c r="E7029" s="20" t="n">
        <f aca="false">Parametres!$B$5*C7029</f>
        <v>78.69</v>
      </c>
      <c r="F7029" s="20" t="n">
        <f aca="false">Parametres!$B$6*D7029</f>
        <v>43.48</v>
      </c>
      <c r="G7029" s="20" t="n">
        <f aca="false">E7029+F7029</f>
        <v>122.17</v>
      </c>
      <c r="H7029" s="20" t="n">
        <f aca="false">IF(G7029&lt;Parametres!$B$8*Parametres!$B$7,0,MIN(G7029,Parametres!$B$7))</f>
        <v>122.17</v>
      </c>
      <c r="I7029" s="20" t="n">
        <f aca="false">G7029-H7029</f>
        <v>0</v>
      </c>
      <c r="J7029" s="21" t="n">
        <f aca="false">H7029*1000/Parametres!$B$9</f>
        <v>2071.73138884178</v>
      </c>
    </row>
    <row r="7030" customFormat="false" ht="15" hidden="false" customHeight="false" outlineLevel="0" collapsed="false">
      <c r="A7030" s="0" t="n">
        <v>7026</v>
      </c>
      <c r="B7030" s="0" t="n">
        <v>10</v>
      </c>
      <c r="C7030" s="19" t="n">
        <v>0.0163</v>
      </c>
      <c r="D7030" s="19" t="n">
        <v>0.1451</v>
      </c>
      <c r="E7030" s="20" t="n">
        <f aca="false">Parametres!$B$5*C7030</f>
        <v>4.89</v>
      </c>
      <c r="F7030" s="20" t="n">
        <f aca="false">Parametres!$B$6*D7030</f>
        <v>29.02</v>
      </c>
      <c r="G7030" s="20" t="n">
        <f aca="false">E7030+F7030</f>
        <v>33.91</v>
      </c>
      <c r="H7030" s="20" t="n">
        <f aca="false">IF(G7030&lt;Parametres!$B$8*Parametres!$B$7,0,MIN(G7030,Parametres!$B$7))</f>
        <v>33.91</v>
      </c>
      <c r="I7030" s="20" t="n">
        <f aca="false">G7030-H7030</f>
        <v>0</v>
      </c>
      <c r="J7030" s="21" t="n">
        <f aca="false">H7030*1000/Parametres!$B$9</f>
        <v>575.038154994065</v>
      </c>
    </row>
    <row r="7031" customFormat="false" ht="15" hidden="false" customHeight="false" outlineLevel="0" collapsed="false">
      <c r="A7031" s="0" t="n">
        <v>7027</v>
      </c>
      <c r="B7031" s="0" t="n">
        <v>10</v>
      </c>
      <c r="C7031" s="19" t="n">
        <v>0</v>
      </c>
      <c r="D7031" s="19" t="n">
        <v>0.0829</v>
      </c>
      <c r="E7031" s="20" t="n">
        <f aca="false">Parametres!$B$5*C7031</f>
        <v>0</v>
      </c>
      <c r="F7031" s="20" t="n">
        <f aca="false">Parametres!$B$6*D7031</f>
        <v>16.58</v>
      </c>
      <c r="G7031" s="20" t="n">
        <f aca="false">E7031+F7031</f>
        <v>16.58</v>
      </c>
      <c r="H7031" s="20" t="n">
        <f aca="false">IF(G7031&lt;Parametres!$B$8*Parametres!$B$7,0,MIN(G7031,Parametres!$B$7))</f>
        <v>0</v>
      </c>
      <c r="I7031" s="20" t="n">
        <f aca="false">G7031-H7031</f>
        <v>16.58</v>
      </c>
      <c r="J7031" s="21" t="n">
        <f aca="false">H7031*1000/Parametres!$B$9</f>
        <v>0</v>
      </c>
    </row>
    <row r="7032" customFormat="false" ht="15" hidden="false" customHeight="false" outlineLevel="0" collapsed="false">
      <c r="A7032" s="0" t="n">
        <v>7028</v>
      </c>
      <c r="B7032" s="0" t="n">
        <v>10</v>
      </c>
      <c r="C7032" s="19" t="n">
        <v>0</v>
      </c>
      <c r="D7032" s="19" t="n">
        <v>0.063</v>
      </c>
      <c r="E7032" s="20" t="n">
        <f aca="false">Parametres!$B$5*C7032</f>
        <v>0</v>
      </c>
      <c r="F7032" s="20" t="n">
        <f aca="false">Parametres!$B$6*D7032</f>
        <v>12.6</v>
      </c>
      <c r="G7032" s="20" t="n">
        <f aca="false">E7032+F7032</f>
        <v>12.6</v>
      </c>
      <c r="H7032" s="20" t="n">
        <f aca="false">IF(G7032&lt;Parametres!$B$8*Parametres!$B$7,0,MIN(G7032,Parametres!$B$7))</f>
        <v>0</v>
      </c>
      <c r="I7032" s="20" t="n">
        <f aca="false">G7032-H7032</f>
        <v>12.6</v>
      </c>
      <c r="J7032" s="21" t="n">
        <f aca="false">H7032*1000/Parametres!$B$9</f>
        <v>0</v>
      </c>
    </row>
    <row r="7033" customFormat="false" ht="15" hidden="false" customHeight="false" outlineLevel="0" collapsed="false">
      <c r="A7033" s="0" t="n">
        <v>7029</v>
      </c>
      <c r="B7033" s="0" t="n">
        <v>10</v>
      </c>
      <c r="C7033" s="19" t="n">
        <v>0</v>
      </c>
      <c r="D7033" s="19" t="n">
        <v>0.0425</v>
      </c>
      <c r="E7033" s="20" t="n">
        <f aca="false">Parametres!$B$5*C7033</f>
        <v>0</v>
      </c>
      <c r="F7033" s="20" t="n">
        <f aca="false">Parametres!$B$6*D7033</f>
        <v>8.5</v>
      </c>
      <c r="G7033" s="20" t="n">
        <f aca="false">E7033+F7033</f>
        <v>8.5</v>
      </c>
      <c r="H7033" s="20" t="n">
        <f aca="false">IF(G7033&lt;Parametres!$B$8*Parametres!$B$7,0,MIN(G7033,Parametres!$B$7))</f>
        <v>0</v>
      </c>
      <c r="I7033" s="20" t="n">
        <f aca="false">G7033-H7033</f>
        <v>8.5</v>
      </c>
      <c r="J7033" s="21" t="n">
        <f aca="false">H7033*1000/Parametres!$B$9</f>
        <v>0</v>
      </c>
    </row>
    <row r="7034" customFormat="false" ht="15" hidden="false" customHeight="false" outlineLevel="0" collapsed="false">
      <c r="A7034" s="0" t="n">
        <v>7030</v>
      </c>
      <c r="B7034" s="0" t="n">
        <v>10</v>
      </c>
      <c r="C7034" s="19" t="n">
        <v>0</v>
      </c>
      <c r="D7034" s="19" t="n">
        <v>0.0049</v>
      </c>
      <c r="E7034" s="20" t="n">
        <f aca="false">Parametres!$B$5*C7034</f>
        <v>0</v>
      </c>
      <c r="F7034" s="20" t="n">
        <f aca="false">Parametres!$B$6*D7034</f>
        <v>0.98</v>
      </c>
      <c r="G7034" s="20" t="n">
        <f aca="false">E7034+F7034</f>
        <v>0.98</v>
      </c>
      <c r="H7034" s="20" t="n">
        <f aca="false">IF(G7034&lt;Parametres!$B$8*Parametres!$B$7,0,MIN(G7034,Parametres!$B$7))</f>
        <v>0</v>
      </c>
      <c r="I7034" s="20" t="n">
        <f aca="false">G7034-H7034</f>
        <v>0.98</v>
      </c>
      <c r="J7034" s="21" t="n">
        <f aca="false">H7034*1000/Parametres!$B$9</f>
        <v>0</v>
      </c>
    </row>
    <row r="7035" customFormat="false" ht="15" hidden="false" customHeight="false" outlineLevel="0" collapsed="false">
      <c r="A7035" s="0" t="n">
        <v>7031</v>
      </c>
      <c r="B7035" s="0" t="n">
        <v>10</v>
      </c>
      <c r="C7035" s="19" t="n">
        <v>0</v>
      </c>
      <c r="D7035" s="19" t="n">
        <v>0.0015</v>
      </c>
      <c r="E7035" s="20" t="n">
        <f aca="false">Parametres!$B$5*C7035</f>
        <v>0</v>
      </c>
      <c r="F7035" s="20" t="n">
        <f aca="false">Parametres!$B$6*D7035</f>
        <v>0.3</v>
      </c>
      <c r="G7035" s="20" t="n">
        <f aca="false">E7035+F7035</f>
        <v>0.3</v>
      </c>
      <c r="H7035" s="20" t="n">
        <f aca="false">IF(G7035&lt;Parametres!$B$8*Parametres!$B$7,0,MIN(G7035,Parametres!$B$7))</f>
        <v>0</v>
      </c>
      <c r="I7035" s="20" t="n">
        <f aca="false">G7035-H7035</f>
        <v>0.3</v>
      </c>
      <c r="J7035" s="21" t="n">
        <f aca="false">H7035*1000/Parametres!$B$9</f>
        <v>0</v>
      </c>
    </row>
    <row r="7036" customFormat="false" ht="15" hidden="false" customHeight="false" outlineLevel="0" collapsed="false">
      <c r="A7036" s="0" t="n">
        <v>7032</v>
      </c>
      <c r="B7036" s="0" t="n">
        <v>10</v>
      </c>
      <c r="C7036" s="19" t="n">
        <v>0</v>
      </c>
      <c r="D7036" s="19" t="n">
        <v>0.0037</v>
      </c>
      <c r="E7036" s="20" t="n">
        <f aca="false">Parametres!$B$5*C7036</f>
        <v>0</v>
      </c>
      <c r="F7036" s="20" t="n">
        <f aca="false">Parametres!$B$6*D7036</f>
        <v>0.74</v>
      </c>
      <c r="G7036" s="20" t="n">
        <f aca="false">E7036+F7036</f>
        <v>0.74</v>
      </c>
      <c r="H7036" s="20" t="n">
        <f aca="false">IF(G7036&lt;Parametres!$B$8*Parametres!$B$7,0,MIN(G7036,Parametres!$B$7))</f>
        <v>0</v>
      </c>
      <c r="I7036" s="20" t="n">
        <f aca="false">G7036-H7036</f>
        <v>0.74</v>
      </c>
      <c r="J7036" s="21" t="n">
        <f aca="false">H7036*1000/Parametres!$B$9</f>
        <v>0</v>
      </c>
    </row>
    <row r="7037" customFormat="false" ht="15" hidden="false" customHeight="false" outlineLevel="0" collapsed="false">
      <c r="A7037" s="0" t="n">
        <v>7033</v>
      </c>
      <c r="B7037" s="0" t="n">
        <v>10</v>
      </c>
      <c r="C7037" s="19" t="n">
        <v>0</v>
      </c>
      <c r="D7037" s="19" t="n">
        <v>0.0053</v>
      </c>
      <c r="E7037" s="20" t="n">
        <f aca="false">Parametres!$B$5*C7037</f>
        <v>0</v>
      </c>
      <c r="F7037" s="20" t="n">
        <f aca="false">Parametres!$B$6*D7037</f>
        <v>1.06</v>
      </c>
      <c r="G7037" s="20" t="n">
        <f aca="false">E7037+F7037</f>
        <v>1.06</v>
      </c>
      <c r="H7037" s="20" t="n">
        <f aca="false">IF(G7037&lt;Parametres!$B$8*Parametres!$B$7,0,MIN(G7037,Parametres!$B$7))</f>
        <v>0</v>
      </c>
      <c r="I7037" s="20" t="n">
        <f aca="false">G7037-H7037</f>
        <v>1.06</v>
      </c>
      <c r="J7037" s="21" t="n">
        <f aca="false">H7037*1000/Parametres!$B$9</f>
        <v>0</v>
      </c>
    </row>
    <row r="7038" customFormat="false" ht="15" hidden="false" customHeight="false" outlineLevel="0" collapsed="false">
      <c r="A7038" s="0" t="n">
        <v>7034</v>
      </c>
      <c r="B7038" s="0" t="n">
        <v>10</v>
      </c>
      <c r="C7038" s="19" t="n">
        <v>0</v>
      </c>
      <c r="D7038" s="19" t="n">
        <v>0.0076</v>
      </c>
      <c r="E7038" s="20" t="n">
        <f aca="false">Parametres!$B$5*C7038</f>
        <v>0</v>
      </c>
      <c r="F7038" s="20" t="n">
        <f aca="false">Parametres!$B$6*D7038</f>
        <v>1.52</v>
      </c>
      <c r="G7038" s="20" t="n">
        <f aca="false">E7038+F7038</f>
        <v>1.52</v>
      </c>
      <c r="H7038" s="20" t="n">
        <f aca="false">IF(G7038&lt;Parametres!$B$8*Parametres!$B$7,0,MIN(G7038,Parametres!$B$7))</f>
        <v>0</v>
      </c>
      <c r="I7038" s="20" t="n">
        <f aca="false">G7038-H7038</f>
        <v>1.52</v>
      </c>
      <c r="J7038" s="21" t="n">
        <f aca="false">H7038*1000/Parametres!$B$9</f>
        <v>0</v>
      </c>
    </row>
    <row r="7039" customFormat="false" ht="15" hidden="false" customHeight="false" outlineLevel="0" collapsed="false">
      <c r="A7039" s="0" t="n">
        <v>7035</v>
      </c>
      <c r="B7039" s="0" t="n">
        <v>10</v>
      </c>
      <c r="C7039" s="19" t="n">
        <v>0</v>
      </c>
      <c r="D7039" s="19" t="n">
        <v>0.0068</v>
      </c>
      <c r="E7039" s="20" t="n">
        <f aca="false">Parametres!$B$5*C7039</f>
        <v>0</v>
      </c>
      <c r="F7039" s="20" t="n">
        <f aca="false">Parametres!$B$6*D7039</f>
        <v>1.36</v>
      </c>
      <c r="G7039" s="20" t="n">
        <f aca="false">E7039+F7039</f>
        <v>1.36</v>
      </c>
      <c r="H7039" s="20" t="n">
        <f aca="false">IF(G7039&lt;Parametres!$B$8*Parametres!$B$7,0,MIN(G7039,Parametres!$B$7))</f>
        <v>0</v>
      </c>
      <c r="I7039" s="20" t="n">
        <f aca="false">G7039-H7039</f>
        <v>1.36</v>
      </c>
      <c r="J7039" s="21" t="n">
        <f aca="false">H7039*1000/Parametres!$B$9</f>
        <v>0</v>
      </c>
    </row>
    <row r="7040" customFormat="false" ht="15" hidden="false" customHeight="false" outlineLevel="0" collapsed="false">
      <c r="A7040" s="0" t="n">
        <v>7036</v>
      </c>
      <c r="B7040" s="0" t="n">
        <v>10</v>
      </c>
      <c r="C7040" s="19" t="n">
        <v>0</v>
      </c>
      <c r="D7040" s="19" t="n">
        <v>0.0058</v>
      </c>
      <c r="E7040" s="20" t="n">
        <f aca="false">Parametres!$B$5*C7040</f>
        <v>0</v>
      </c>
      <c r="F7040" s="20" t="n">
        <f aca="false">Parametres!$B$6*D7040</f>
        <v>1.16</v>
      </c>
      <c r="G7040" s="20" t="n">
        <f aca="false">E7040+F7040</f>
        <v>1.16</v>
      </c>
      <c r="H7040" s="20" t="n">
        <f aca="false">IF(G7040&lt;Parametres!$B$8*Parametres!$B$7,0,MIN(G7040,Parametres!$B$7))</f>
        <v>0</v>
      </c>
      <c r="I7040" s="20" t="n">
        <f aca="false">G7040-H7040</f>
        <v>1.16</v>
      </c>
      <c r="J7040" s="21" t="n">
        <f aca="false">H7040*1000/Parametres!$B$9</f>
        <v>0</v>
      </c>
    </row>
    <row r="7041" customFormat="false" ht="15" hidden="false" customHeight="false" outlineLevel="0" collapsed="false">
      <c r="A7041" s="0" t="n">
        <v>7037</v>
      </c>
      <c r="B7041" s="0" t="n">
        <v>10</v>
      </c>
      <c r="C7041" s="19" t="n">
        <v>0</v>
      </c>
      <c r="D7041" s="19" t="n">
        <v>0.0019</v>
      </c>
      <c r="E7041" s="20" t="n">
        <f aca="false">Parametres!$B$5*C7041</f>
        <v>0</v>
      </c>
      <c r="F7041" s="20" t="n">
        <f aca="false">Parametres!$B$6*D7041</f>
        <v>0.38</v>
      </c>
      <c r="G7041" s="20" t="n">
        <f aca="false">E7041+F7041</f>
        <v>0.38</v>
      </c>
      <c r="H7041" s="20" t="n">
        <f aca="false">IF(G7041&lt;Parametres!$B$8*Parametres!$B$7,0,MIN(G7041,Parametres!$B$7))</f>
        <v>0</v>
      </c>
      <c r="I7041" s="20" t="n">
        <f aca="false">G7041-H7041</f>
        <v>0.38</v>
      </c>
      <c r="J7041" s="21" t="n">
        <f aca="false">H7041*1000/Parametres!$B$9</f>
        <v>0</v>
      </c>
    </row>
    <row r="7042" customFormat="false" ht="15" hidden="false" customHeight="false" outlineLevel="0" collapsed="false">
      <c r="A7042" s="0" t="n">
        <v>7038</v>
      </c>
      <c r="B7042" s="0" t="n">
        <v>10</v>
      </c>
      <c r="C7042" s="19" t="n">
        <v>0</v>
      </c>
      <c r="D7042" s="19" t="n">
        <v>0.0029</v>
      </c>
      <c r="E7042" s="20" t="n">
        <f aca="false">Parametres!$B$5*C7042</f>
        <v>0</v>
      </c>
      <c r="F7042" s="20" t="n">
        <f aca="false">Parametres!$B$6*D7042</f>
        <v>0.58</v>
      </c>
      <c r="G7042" s="20" t="n">
        <f aca="false">E7042+F7042</f>
        <v>0.58</v>
      </c>
      <c r="H7042" s="20" t="n">
        <f aca="false">IF(G7042&lt;Parametres!$B$8*Parametres!$B$7,0,MIN(G7042,Parametres!$B$7))</f>
        <v>0</v>
      </c>
      <c r="I7042" s="20" t="n">
        <f aca="false">G7042-H7042</f>
        <v>0.58</v>
      </c>
      <c r="J7042" s="21" t="n">
        <f aca="false">H7042*1000/Parametres!$B$9</f>
        <v>0</v>
      </c>
    </row>
    <row r="7043" customFormat="false" ht="15" hidden="false" customHeight="false" outlineLevel="0" collapsed="false">
      <c r="A7043" s="0" t="n">
        <v>7039</v>
      </c>
      <c r="B7043" s="0" t="n">
        <v>10</v>
      </c>
      <c r="C7043" s="19" t="n">
        <v>0.0152</v>
      </c>
      <c r="D7043" s="19" t="n">
        <v>0.0149</v>
      </c>
      <c r="E7043" s="20" t="n">
        <f aca="false">Parametres!$B$5*C7043</f>
        <v>4.56</v>
      </c>
      <c r="F7043" s="20" t="n">
        <f aca="false">Parametres!$B$6*D7043</f>
        <v>2.98</v>
      </c>
      <c r="G7043" s="20" t="n">
        <f aca="false">E7043+F7043</f>
        <v>7.54</v>
      </c>
      <c r="H7043" s="20" t="n">
        <f aca="false">IF(G7043&lt;Parametres!$B$8*Parametres!$B$7,0,MIN(G7043,Parametres!$B$7))</f>
        <v>0</v>
      </c>
      <c r="I7043" s="20" t="n">
        <f aca="false">G7043-H7043</f>
        <v>7.54</v>
      </c>
      <c r="J7043" s="21" t="n">
        <f aca="false">H7043*1000/Parametres!$B$9</f>
        <v>0</v>
      </c>
    </row>
    <row r="7044" customFormat="false" ht="15" hidden="false" customHeight="false" outlineLevel="0" collapsed="false">
      <c r="A7044" s="0" t="n">
        <v>7040</v>
      </c>
      <c r="B7044" s="0" t="n">
        <v>10</v>
      </c>
      <c r="C7044" s="19" t="n">
        <v>0.2624</v>
      </c>
      <c r="D7044" s="19" t="n">
        <v>0.0135</v>
      </c>
      <c r="E7044" s="20" t="n">
        <f aca="false">Parametres!$B$5*C7044</f>
        <v>78.72</v>
      </c>
      <c r="F7044" s="20" t="n">
        <f aca="false">Parametres!$B$6*D7044</f>
        <v>2.7</v>
      </c>
      <c r="G7044" s="20" t="n">
        <f aca="false">E7044+F7044</f>
        <v>81.42</v>
      </c>
      <c r="H7044" s="20" t="n">
        <f aca="false">IF(G7044&lt;Parametres!$B$8*Parametres!$B$7,0,MIN(G7044,Parametres!$B$7))</f>
        <v>81.42</v>
      </c>
      <c r="I7044" s="20" t="n">
        <f aca="false">G7044-H7044</f>
        <v>0</v>
      </c>
      <c r="J7044" s="21" t="n">
        <f aca="false">H7044*1000/Parametres!$B$9</f>
        <v>1380.70205189079</v>
      </c>
    </row>
    <row r="7045" customFormat="false" ht="15" hidden="false" customHeight="false" outlineLevel="0" collapsed="false">
      <c r="A7045" s="0" t="n">
        <v>7041</v>
      </c>
      <c r="B7045" s="0" t="n">
        <v>10</v>
      </c>
      <c r="C7045" s="19" t="n">
        <v>0.5128</v>
      </c>
      <c r="D7045" s="19" t="n">
        <v>0.0292</v>
      </c>
      <c r="E7045" s="20" t="n">
        <f aca="false">Parametres!$B$5*C7045</f>
        <v>153.84</v>
      </c>
      <c r="F7045" s="20" t="n">
        <f aca="false">Parametres!$B$6*D7045</f>
        <v>5.84</v>
      </c>
      <c r="G7045" s="20" t="n">
        <f aca="false">E7045+F7045</f>
        <v>159.68</v>
      </c>
      <c r="H7045" s="20" t="n">
        <f aca="false">IF(G7045&lt;Parametres!$B$8*Parametres!$B$7,0,MIN(G7045,Parametres!$B$7))</f>
        <v>159.68</v>
      </c>
      <c r="I7045" s="20" t="n">
        <f aca="false">G7045-H7045</f>
        <v>0</v>
      </c>
      <c r="J7045" s="21" t="n">
        <f aca="false">H7045*1000/Parametres!$B$9</f>
        <v>2707.81753433949</v>
      </c>
    </row>
    <row r="7046" customFormat="false" ht="15" hidden="false" customHeight="false" outlineLevel="0" collapsed="false">
      <c r="A7046" s="0" t="n">
        <v>7042</v>
      </c>
      <c r="B7046" s="0" t="n">
        <v>10</v>
      </c>
      <c r="C7046" s="19" t="n">
        <v>0.7857</v>
      </c>
      <c r="D7046" s="19" t="n">
        <v>0.0857</v>
      </c>
      <c r="E7046" s="20" t="n">
        <f aca="false">Parametres!$B$5*C7046</f>
        <v>235.71</v>
      </c>
      <c r="F7046" s="20" t="n">
        <f aca="false">Parametres!$B$6*D7046</f>
        <v>17.14</v>
      </c>
      <c r="G7046" s="20" t="n">
        <f aca="false">E7046+F7046</f>
        <v>252.85</v>
      </c>
      <c r="H7046" s="20" t="n">
        <f aca="false">IF(G7046&lt;Parametres!$B$8*Parametres!$B$7,0,MIN(G7046,Parametres!$B$7))</f>
        <v>250</v>
      </c>
      <c r="I7046" s="20" t="n">
        <f aca="false">G7046-H7046</f>
        <v>2.84999999999997</v>
      </c>
      <c r="J7046" s="21" t="n">
        <f aca="false">H7046*1000/Parametres!$B$9</f>
        <v>4239.44378497541</v>
      </c>
    </row>
    <row r="7047" customFormat="false" ht="15" hidden="false" customHeight="false" outlineLevel="0" collapsed="false">
      <c r="A7047" s="0" t="n">
        <v>7043</v>
      </c>
      <c r="B7047" s="0" t="n">
        <v>10</v>
      </c>
      <c r="C7047" s="19" t="n">
        <v>0.9898</v>
      </c>
      <c r="D7047" s="19" t="n">
        <v>0.0597</v>
      </c>
      <c r="E7047" s="20" t="n">
        <f aca="false">Parametres!$B$5*C7047</f>
        <v>296.94</v>
      </c>
      <c r="F7047" s="20" t="n">
        <f aca="false">Parametres!$B$6*D7047</f>
        <v>11.94</v>
      </c>
      <c r="G7047" s="20" t="n">
        <f aca="false">E7047+F7047</f>
        <v>308.88</v>
      </c>
      <c r="H7047" s="20" t="n">
        <f aca="false">IF(G7047&lt;Parametres!$B$8*Parametres!$B$7,0,MIN(G7047,Parametres!$B$7))</f>
        <v>250</v>
      </c>
      <c r="I7047" s="20" t="n">
        <f aca="false">G7047-H7047</f>
        <v>58.88</v>
      </c>
      <c r="J7047" s="21" t="n">
        <f aca="false">H7047*1000/Parametres!$B$9</f>
        <v>4239.44378497541</v>
      </c>
    </row>
    <row r="7048" customFormat="false" ht="15" hidden="false" customHeight="false" outlineLevel="0" collapsed="false">
      <c r="A7048" s="0" t="n">
        <v>7044</v>
      </c>
      <c r="B7048" s="0" t="n">
        <v>10</v>
      </c>
      <c r="C7048" s="19" t="n">
        <v>0.9792</v>
      </c>
      <c r="D7048" s="19" t="n">
        <v>0.0855</v>
      </c>
      <c r="E7048" s="20" t="n">
        <f aca="false">Parametres!$B$5*C7048</f>
        <v>293.76</v>
      </c>
      <c r="F7048" s="20" t="n">
        <f aca="false">Parametres!$B$6*D7048</f>
        <v>17.1</v>
      </c>
      <c r="G7048" s="20" t="n">
        <f aca="false">E7048+F7048</f>
        <v>310.86</v>
      </c>
      <c r="H7048" s="20" t="n">
        <f aca="false">IF(G7048&lt;Parametres!$B$8*Parametres!$B$7,0,MIN(G7048,Parametres!$B$7))</f>
        <v>250</v>
      </c>
      <c r="I7048" s="20" t="n">
        <f aca="false">G7048-H7048</f>
        <v>60.86</v>
      </c>
      <c r="J7048" s="21" t="n">
        <f aca="false">H7048*1000/Parametres!$B$9</f>
        <v>4239.44378497541</v>
      </c>
    </row>
    <row r="7049" customFormat="false" ht="15" hidden="false" customHeight="false" outlineLevel="0" collapsed="false">
      <c r="A7049" s="0" t="n">
        <v>7045</v>
      </c>
      <c r="B7049" s="0" t="n">
        <v>10</v>
      </c>
      <c r="C7049" s="19" t="n">
        <v>1</v>
      </c>
      <c r="D7049" s="19" t="n">
        <v>0.0865</v>
      </c>
      <c r="E7049" s="20" t="n">
        <f aca="false">Parametres!$B$5*C7049</f>
        <v>300</v>
      </c>
      <c r="F7049" s="20" t="n">
        <f aca="false">Parametres!$B$6*D7049</f>
        <v>17.3</v>
      </c>
      <c r="G7049" s="20" t="n">
        <f aca="false">E7049+F7049</f>
        <v>317.3</v>
      </c>
      <c r="H7049" s="20" t="n">
        <f aca="false">IF(G7049&lt;Parametres!$B$8*Parametres!$B$7,0,MIN(G7049,Parametres!$B$7))</f>
        <v>250</v>
      </c>
      <c r="I7049" s="20" t="n">
        <f aca="false">G7049-H7049</f>
        <v>67.3</v>
      </c>
      <c r="J7049" s="21" t="n">
        <f aca="false">H7049*1000/Parametres!$B$9</f>
        <v>4239.44378497541</v>
      </c>
    </row>
    <row r="7050" customFormat="false" ht="15" hidden="false" customHeight="false" outlineLevel="0" collapsed="false">
      <c r="A7050" s="0" t="n">
        <v>7046</v>
      </c>
      <c r="B7050" s="0" t="n">
        <v>10</v>
      </c>
      <c r="C7050" s="19" t="n">
        <v>0.9315</v>
      </c>
      <c r="D7050" s="19" t="n">
        <v>0.0859</v>
      </c>
      <c r="E7050" s="20" t="n">
        <f aca="false">Parametres!$B$5*C7050</f>
        <v>279.45</v>
      </c>
      <c r="F7050" s="20" t="n">
        <f aca="false">Parametres!$B$6*D7050</f>
        <v>17.18</v>
      </c>
      <c r="G7050" s="20" t="n">
        <f aca="false">E7050+F7050</f>
        <v>296.63</v>
      </c>
      <c r="H7050" s="20" t="n">
        <f aca="false">IF(G7050&lt;Parametres!$B$8*Parametres!$B$7,0,MIN(G7050,Parametres!$B$7))</f>
        <v>250</v>
      </c>
      <c r="I7050" s="20" t="n">
        <f aca="false">G7050-H7050</f>
        <v>46.63</v>
      </c>
      <c r="J7050" s="21" t="n">
        <f aca="false">H7050*1000/Parametres!$B$9</f>
        <v>4239.44378497541</v>
      </c>
    </row>
    <row r="7051" customFormat="false" ht="15" hidden="false" customHeight="false" outlineLevel="0" collapsed="false">
      <c r="A7051" s="0" t="n">
        <v>7047</v>
      </c>
      <c r="B7051" s="0" t="n">
        <v>10</v>
      </c>
      <c r="C7051" s="19" t="n">
        <v>0.7777</v>
      </c>
      <c r="D7051" s="19" t="n">
        <v>0.0639</v>
      </c>
      <c r="E7051" s="20" t="n">
        <f aca="false">Parametres!$B$5*C7051</f>
        <v>233.31</v>
      </c>
      <c r="F7051" s="20" t="n">
        <f aca="false">Parametres!$B$6*D7051</f>
        <v>12.78</v>
      </c>
      <c r="G7051" s="20" t="n">
        <f aca="false">E7051+F7051</f>
        <v>246.09</v>
      </c>
      <c r="H7051" s="20" t="n">
        <f aca="false">IF(G7051&lt;Parametres!$B$8*Parametres!$B$7,0,MIN(G7051,Parametres!$B$7))</f>
        <v>246.09</v>
      </c>
      <c r="I7051" s="20" t="n">
        <f aca="false">G7051-H7051</f>
        <v>0</v>
      </c>
      <c r="J7051" s="21" t="n">
        <f aca="false">H7051*1000/Parametres!$B$9</f>
        <v>4173.1388841784</v>
      </c>
    </row>
    <row r="7052" customFormat="false" ht="15" hidden="false" customHeight="false" outlineLevel="0" collapsed="false">
      <c r="A7052" s="0" t="n">
        <v>7048</v>
      </c>
      <c r="B7052" s="0" t="n">
        <v>10</v>
      </c>
      <c r="C7052" s="19" t="n">
        <v>0.5198</v>
      </c>
      <c r="D7052" s="19" t="n">
        <v>0.0761</v>
      </c>
      <c r="E7052" s="20" t="n">
        <f aca="false">Parametres!$B$5*C7052</f>
        <v>155.94</v>
      </c>
      <c r="F7052" s="20" t="n">
        <f aca="false">Parametres!$B$6*D7052</f>
        <v>15.22</v>
      </c>
      <c r="G7052" s="20" t="n">
        <f aca="false">E7052+F7052</f>
        <v>171.16</v>
      </c>
      <c r="H7052" s="20" t="n">
        <f aca="false">IF(G7052&lt;Parametres!$B$8*Parametres!$B$7,0,MIN(G7052,Parametres!$B$7))</f>
        <v>171.16</v>
      </c>
      <c r="I7052" s="20" t="n">
        <f aca="false">G7052-H7052</f>
        <v>0</v>
      </c>
      <c r="J7052" s="21" t="n">
        <f aca="false">H7052*1000/Parametres!$B$9</f>
        <v>2902.49279294557</v>
      </c>
    </row>
    <row r="7053" customFormat="false" ht="15" hidden="false" customHeight="false" outlineLevel="0" collapsed="false">
      <c r="A7053" s="0" t="n">
        <v>7049</v>
      </c>
      <c r="B7053" s="0" t="n">
        <v>10</v>
      </c>
      <c r="C7053" s="19" t="n">
        <v>0.2805</v>
      </c>
      <c r="D7053" s="19" t="n">
        <v>0.0474</v>
      </c>
      <c r="E7053" s="20" t="n">
        <f aca="false">Parametres!$B$5*C7053</f>
        <v>84.15</v>
      </c>
      <c r="F7053" s="20" t="n">
        <f aca="false">Parametres!$B$6*D7053</f>
        <v>9.48</v>
      </c>
      <c r="G7053" s="20" t="n">
        <f aca="false">E7053+F7053</f>
        <v>93.63</v>
      </c>
      <c r="H7053" s="20" t="n">
        <f aca="false">IF(G7053&lt;Parametres!$B$8*Parametres!$B$7,0,MIN(G7053,Parametres!$B$7))</f>
        <v>93.63</v>
      </c>
      <c r="I7053" s="20" t="n">
        <f aca="false">G7053-H7053</f>
        <v>0</v>
      </c>
      <c r="J7053" s="21" t="n">
        <f aca="false">H7053*1000/Parametres!$B$9</f>
        <v>1587.75648634899</v>
      </c>
    </row>
    <row r="7054" customFormat="false" ht="15" hidden="false" customHeight="false" outlineLevel="0" collapsed="false">
      <c r="A7054" s="0" t="n">
        <v>7050</v>
      </c>
      <c r="B7054" s="0" t="n">
        <v>10</v>
      </c>
      <c r="C7054" s="19" t="n">
        <v>0.016</v>
      </c>
      <c r="D7054" s="19" t="n">
        <v>0.0192</v>
      </c>
      <c r="E7054" s="20" t="n">
        <f aca="false">Parametres!$B$5*C7054</f>
        <v>4.8</v>
      </c>
      <c r="F7054" s="20" t="n">
        <f aca="false">Parametres!$B$6*D7054</f>
        <v>3.84</v>
      </c>
      <c r="G7054" s="20" t="n">
        <f aca="false">E7054+F7054</f>
        <v>8.64</v>
      </c>
      <c r="H7054" s="20" t="n">
        <f aca="false">IF(G7054&lt;Parametres!$B$8*Parametres!$B$7,0,MIN(G7054,Parametres!$B$7))</f>
        <v>0</v>
      </c>
      <c r="I7054" s="20" t="n">
        <f aca="false">G7054-H7054</f>
        <v>8.64</v>
      </c>
      <c r="J7054" s="21" t="n">
        <f aca="false">H7054*1000/Parametres!$B$9</f>
        <v>0</v>
      </c>
    </row>
    <row r="7055" customFormat="false" ht="15" hidden="false" customHeight="false" outlineLevel="0" collapsed="false">
      <c r="A7055" s="0" t="n">
        <v>7051</v>
      </c>
      <c r="B7055" s="0" t="n">
        <v>10</v>
      </c>
      <c r="C7055" s="19" t="n">
        <v>0</v>
      </c>
      <c r="D7055" s="19" t="n">
        <v>0.0519</v>
      </c>
      <c r="E7055" s="20" t="n">
        <f aca="false">Parametres!$B$5*C7055</f>
        <v>0</v>
      </c>
      <c r="F7055" s="20" t="n">
        <f aca="false">Parametres!$B$6*D7055</f>
        <v>10.38</v>
      </c>
      <c r="G7055" s="20" t="n">
        <f aca="false">E7055+F7055</f>
        <v>10.38</v>
      </c>
      <c r="H7055" s="20" t="n">
        <f aca="false">IF(G7055&lt;Parametres!$B$8*Parametres!$B$7,0,MIN(G7055,Parametres!$B$7))</f>
        <v>0</v>
      </c>
      <c r="I7055" s="20" t="n">
        <f aca="false">G7055-H7055</f>
        <v>10.38</v>
      </c>
      <c r="J7055" s="21" t="n">
        <f aca="false">H7055*1000/Parametres!$B$9</f>
        <v>0</v>
      </c>
    </row>
    <row r="7056" customFormat="false" ht="15" hidden="false" customHeight="false" outlineLevel="0" collapsed="false">
      <c r="A7056" s="0" t="n">
        <v>7052</v>
      </c>
      <c r="B7056" s="0" t="n">
        <v>10</v>
      </c>
      <c r="C7056" s="19" t="n">
        <v>0</v>
      </c>
      <c r="D7056" s="19" t="n">
        <v>0.0474</v>
      </c>
      <c r="E7056" s="20" t="n">
        <f aca="false">Parametres!$B$5*C7056</f>
        <v>0</v>
      </c>
      <c r="F7056" s="20" t="n">
        <f aca="false">Parametres!$B$6*D7056</f>
        <v>9.48</v>
      </c>
      <c r="G7056" s="20" t="n">
        <f aca="false">E7056+F7056</f>
        <v>9.48</v>
      </c>
      <c r="H7056" s="20" t="n">
        <f aca="false">IF(G7056&lt;Parametres!$B$8*Parametres!$B$7,0,MIN(G7056,Parametres!$B$7))</f>
        <v>0</v>
      </c>
      <c r="I7056" s="20" t="n">
        <f aca="false">G7056-H7056</f>
        <v>9.48</v>
      </c>
      <c r="J7056" s="21" t="n">
        <f aca="false">H7056*1000/Parametres!$B$9</f>
        <v>0</v>
      </c>
    </row>
    <row r="7057" customFormat="false" ht="15" hidden="false" customHeight="false" outlineLevel="0" collapsed="false">
      <c r="A7057" s="0" t="n">
        <v>7053</v>
      </c>
      <c r="B7057" s="0" t="n">
        <v>10</v>
      </c>
      <c r="C7057" s="19" t="n">
        <v>0</v>
      </c>
      <c r="D7057" s="19" t="n">
        <v>0.0163</v>
      </c>
      <c r="E7057" s="20" t="n">
        <f aca="false">Parametres!$B$5*C7057</f>
        <v>0</v>
      </c>
      <c r="F7057" s="20" t="n">
        <f aca="false">Parametres!$B$6*D7057</f>
        <v>3.26</v>
      </c>
      <c r="G7057" s="20" t="n">
        <f aca="false">E7057+F7057</f>
        <v>3.26</v>
      </c>
      <c r="H7057" s="20" t="n">
        <f aca="false">IF(G7057&lt;Parametres!$B$8*Parametres!$B$7,0,MIN(G7057,Parametres!$B$7))</f>
        <v>0</v>
      </c>
      <c r="I7057" s="20" t="n">
        <f aca="false">G7057-H7057</f>
        <v>3.26</v>
      </c>
      <c r="J7057" s="21" t="n">
        <f aca="false">H7057*1000/Parametres!$B$9</f>
        <v>0</v>
      </c>
    </row>
    <row r="7058" customFormat="false" ht="15" hidden="false" customHeight="false" outlineLevel="0" collapsed="false">
      <c r="A7058" s="0" t="n">
        <v>7054</v>
      </c>
      <c r="B7058" s="0" t="n">
        <v>10</v>
      </c>
      <c r="C7058" s="19" t="n">
        <v>0</v>
      </c>
      <c r="D7058" s="19" t="n">
        <v>0.0156</v>
      </c>
      <c r="E7058" s="20" t="n">
        <f aca="false">Parametres!$B$5*C7058</f>
        <v>0</v>
      </c>
      <c r="F7058" s="20" t="n">
        <f aca="false">Parametres!$B$6*D7058</f>
        <v>3.12</v>
      </c>
      <c r="G7058" s="20" t="n">
        <f aca="false">E7058+F7058</f>
        <v>3.12</v>
      </c>
      <c r="H7058" s="20" t="n">
        <f aca="false">IF(G7058&lt;Parametres!$B$8*Parametres!$B$7,0,MIN(G7058,Parametres!$B$7))</f>
        <v>0</v>
      </c>
      <c r="I7058" s="20" t="n">
        <f aca="false">G7058-H7058</f>
        <v>3.12</v>
      </c>
      <c r="J7058" s="21" t="n">
        <f aca="false">H7058*1000/Parametres!$B$9</f>
        <v>0</v>
      </c>
    </row>
    <row r="7059" customFormat="false" ht="15" hidden="false" customHeight="false" outlineLevel="0" collapsed="false">
      <c r="A7059" s="0" t="n">
        <v>7055</v>
      </c>
      <c r="B7059" s="0" t="n">
        <v>10</v>
      </c>
      <c r="C7059" s="19" t="n">
        <v>0</v>
      </c>
      <c r="D7059" s="19" t="n">
        <v>0.034</v>
      </c>
      <c r="E7059" s="20" t="n">
        <f aca="false">Parametres!$B$5*C7059</f>
        <v>0</v>
      </c>
      <c r="F7059" s="20" t="n">
        <f aca="false">Parametres!$B$6*D7059</f>
        <v>6.8</v>
      </c>
      <c r="G7059" s="20" t="n">
        <f aca="false">E7059+F7059</f>
        <v>6.8</v>
      </c>
      <c r="H7059" s="20" t="n">
        <f aca="false">IF(G7059&lt;Parametres!$B$8*Parametres!$B$7,0,MIN(G7059,Parametres!$B$7))</f>
        <v>0</v>
      </c>
      <c r="I7059" s="20" t="n">
        <f aca="false">G7059-H7059</f>
        <v>6.8</v>
      </c>
      <c r="J7059" s="21" t="n">
        <f aca="false">H7059*1000/Parametres!$B$9</f>
        <v>0</v>
      </c>
    </row>
    <row r="7060" customFormat="false" ht="15" hidden="false" customHeight="false" outlineLevel="0" collapsed="false">
      <c r="A7060" s="0" t="n">
        <v>7056</v>
      </c>
      <c r="B7060" s="0" t="n">
        <v>10</v>
      </c>
      <c r="C7060" s="19" t="n">
        <v>0</v>
      </c>
      <c r="D7060" s="19" t="n">
        <v>0.0554</v>
      </c>
      <c r="E7060" s="20" t="n">
        <f aca="false">Parametres!$B$5*C7060</f>
        <v>0</v>
      </c>
      <c r="F7060" s="20" t="n">
        <f aca="false">Parametres!$B$6*D7060</f>
        <v>11.08</v>
      </c>
      <c r="G7060" s="20" t="n">
        <f aca="false">E7060+F7060</f>
        <v>11.08</v>
      </c>
      <c r="H7060" s="20" t="n">
        <f aca="false">IF(G7060&lt;Parametres!$B$8*Parametres!$B$7,0,MIN(G7060,Parametres!$B$7))</f>
        <v>0</v>
      </c>
      <c r="I7060" s="20" t="n">
        <f aca="false">G7060-H7060</f>
        <v>11.08</v>
      </c>
      <c r="J7060" s="21" t="n">
        <f aca="false">H7060*1000/Parametres!$B$9</f>
        <v>0</v>
      </c>
    </row>
    <row r="7061" customFormat="false" ht="15" hidden="false" customHeight="false" outlineLevel="0" collapsed="false">
      <c r="A7061" s="0" t="n">
        <v>7057</v>
      </c>
      <c r="B7061" s="0" t="n">
        <v>10</v>
      </c>
      <c r="C7061" s="19" t="n">
        <v>0</v>
      </c>
      <c r="D7061" s="19" t="n">
        <v>0.063</v>
      </c>
      <c r="E7061" s="20" t="n">
        <f aca="false">Parametres!$B$5*C7061</f>
        <v>0</v>
      </c>
      <c r="F7061" s="20" t="n">
        <f aca="false">Parametres!$B$6*D7061</f>
        <v>12.6</v>
      </c>
      <c r="G7061" s="20" t="n">
        <f aca="false">E7061+F7061</f>
        <v>12.6</v>
      </c>
      <c r="H7061" s="20" t="n">
        <f aca="false">IF(G7061&lt;Parametres!$B$8*Parametres!$B$7,0,MIN(G7061,Parametres!$B$7))</f>
        <v>0</v>
      </c>
      <c r="I7061" s="20" t="n">
        <f aca="false">G7061-H7061</f>
        <v>12.6</v>
      </c>
      <c r="J7061" s="21" t="n">
        <f aca="false">H7061*1000/Parametres!$B$9</f>
        <v>0</v>
      </c>
    </row>
    <row r="7062" customFormat="false" ht="15" hidden="false" customHeight="false" outlineLevel="0" collapsed="false">
      <c r="A7062" s="0" t="n">
        <v>7058</v>
      </c>
      <c r="B7062" s="0" t="n">
        <v>10</v>
      </c>
      <c r="C7062" s="19" t="n">
        <v>0</v>
      </c>
      <c r="D7062" s="19" t="n">
        <v>0.0389</v>
      </c>
      <c r="E7062" s="20" t="n">
        <f aca="false">Parametres!$B$5*C7062</f>
        <v>0</v>
      </c>
      <c r="F7062" s="20" t="n">
        <f aca="false">Parametres!$B$6*D7062</f>
        <v>7.78</v>
      </c>
      <c r="G7062" s="20" t="n">
        <f aca="false">E7062+F7062</f>
        <v>7.78</v>
      </c>
      <c r="H7062" s="20" t="n">
        <f aca="false">IF(G7062&lt;Parametres!$B$8*Parametres!$B$7,0,MIN(G7062,Parametres!$B$7))</f>
        <v>0</v>
      </c>
      <c r="I7062" s="20" t="n">
        <f aca="false">G7062-H7062</f>
        <v>7.78</v>
      </c>
      <c r="J7062" s="21" t="n">
        <f aca="false">H7062*1000/Parametres!$B$9</f>
        <v>0</v>
      </c>
    </row>
    <row r="7063" customFormat="false" ht="15" hidden="false" customHeight="false" outlineLevel="0" collapsed="false">
      <c r="A7063" s="0" t="n">
        <v>7059</v>
      </c>
      <c r="B7063" s="0" t="n">
        <v>10</v>
      </c>
      <c r="C7063" s="19" t="n">
        <v>0</v>
      </c>
      <c r="D7063" s="19" t="n">
        <v>0.0877</v>
      </c>
      <c r="E7063" s="20" t="n">
        <f aca="false">Parametres!$B$5*C7063</f>
        <v>0</v>
      </c>
      <c r="F7063" s="20" t="n">
        <f aca="false">Parametres!$B$6*D7063</f>
        <v>17.54</v>
      </c>
      <c r="G7063" s="20" t="n">
        <f aca="false">E7063+F7063</f>
        <v>17.54</v>
      </c>
      <c r="H7063" s="20" t="n">
        <f aca="false">IF(G7063&lt;Parametres!$B$8*Parametres!$B$7,0,MIN(G7063,Parametres!$B$7))</f>
        <v>0</v>
      </c>
      <c r="I7063" s="20" t="n">
        <f aca="false">G7063-H7063</f>
        <v>17.54</v>
      </c>
      <c r="J7063" s="21" t="n">
        <f aca="false">H7063*1000/Parametres!$B$9</f>
        <v>0</v>
      </c>
    </row>
    <row r="7064" customFormat="false" ht="15" hidden="false" customHeight="false" outlineLevel="0" collapsed="false">
      <c r="A7064" s="0" t="n">
        <v>7060</v>
      </c>
      <c r="B7064" s="0" t="n">
        <v>10</v>
      </c>
      <c r="C7064" s="19" t="n">
        <v>0</v>
      </c>
      <c r="D7064" s="19" t="n">
        <v>0.1098</v>
      </c>
      <c r="E7064" s="20" t="n">
        <f aca="false">Parametres!$B$5*C7064</f>
        <v>0</v>
      </c>
      <c r="F7064" s="20" t="n">
        <f aca="false">Parametres!$B$6*D7064</f>
        <v>21.96</v>
      </c>
      <c r="G7064" s="20" t="n">
        <f aca="false">E7064+F7064</f>
        <v>21.96</v>
      </c>
      <c r="H7064" s="20" t="n">
        <f aca="false">IF(G7064&lt;Parametres!$B$8*Parametres!$B$7,0,MIN(G7064,Parametres!$B$7))</f>
        <v>0</v>
      </c>
      <c r="I7064" s="20" t="n">
        <f aca="false">G7064-H7064</f>
        <v>21.96</v>
      </c>
      <c r="J7064" s="21" t="n">
        <f aca="false">H7064*1000/Parametres!$B$9</f>
        <v>0</v>
      </c>
    </row>
    <row r="7065" customFormat="false" ht="15" hidden="false" customHeight="false" outlineLevel="0" collapsed="false">
      <c r="A7065" s="0" t="n">
        <v>7061</v>
      </c>
      <c r="B7065" s="0" t="n">
        <v>10</v>
      </c>
      <c r="C7065" s="19" t="n">
        <v>0</v>
      </c>
      <c r="D7065" s="19" t="n">
        <v>0.1168</v>
      </c>
      <c r="E7065" s="20" t="n">
        <f aca="false">Parametres!$B$5*C7065</f>
        <v>0</v>
      </c>
      <c r="F7065" s="20" t="n">
        <f aca="false">Parametres!$B$6*D7065</f>
        <v>23.36</v>
      </c>
      <c r="G7065" s="20" t="n">
        <f aca="false">E7065+F7065</f>
        <v>23.36</v>
      </c>
      <c r="H7065" s="20" t="n">
        <f aca="false">IF(G7065&lt;Parametres!$B$8*Parametres!$B$7,0,MIN(G7065,Parametres!$B$7))</f>
        <v>0</v>
      </c>
      <c r="I7065" s="20" t="n">
        <f aca="false">G7065-H7065</f>
        <v>23.36</v>
      </c>
      <c r="J7065" s="21" t="n">
        <f aca="false">H7065*1000/Parametres!$B$9</f>
        <v>0</v>
      </c>
    </row>
    <row r="7066" customFormat="false" ht="15" hidden="false" customHeight="false" outlineLevel="0" collapsed="false">
      <c r="A7066" s="0" t="n">
        <v>7062</v>
      </c>
      <c r="B7066" s="0" t="n">
        <v>10</v>
      </c>
      <c r="C7066" s="19" t="n">
        <v>0</v>
      </c>
      <c r="D7066" s="19" t="n">
        <v>0.1472</v>
      </c>
      <c r="E7066" s="20" t="n">
        <f aca="false">Parametres!$B$5*C7066</f>
        <v>0</v>
      </c>
      <c r="F7066" s="20" t="n">
        <f aca="false">Parametres!$B$6*D7066</f>
        <v>29.44</v>
      </c>
      <c r="G7066" s="20" t="n">
        <f aca="false">E7066+F7066</f>
        <v>29.44</v>
      </c>
      <c r="H7066" s="20" t="n">
        <f aca="false">IF(G7066&lt;Parametres!$B$8*Parametres!$B$7,0,MIN(G7066,Parametres!$B$7))</f>
        <v>29.44</v>
      </c>
      <c r="I7066" s="20" t="n">
        <f aca="false">G7066-H7066</f>
        <v>0</v>
      </c>
      <c r="J7066" s="21" t="n">
        <f aca="false">H7066*1000/Parametres!$B$9</f>
        <v>499.236900118704</v>
      </c>
    </row>
    <row r="7067" customFormat="false" ht="15" hidden="false" customHeight="false" outlineLevel="0" collapsed="false">
      <c r="A7067" s="0" t="n">
        <v>7063</v>
      </c>
      <c r="B7067" s="0" t="n">
        <v>10</v>
      </c>
      <c r="C7067" s="19" t="n">
        <v>0.0108</v>
      </c>
      <c r="D7067" s="19" t="n">
        <v>0.1482</v>
      </c>
      <c r="E7067" s="20" t="n">
        <f aca="false">Parametres!$B$5*C7067</f>
        <v>3.24</v>
      </c>
      <c r="F7067" s="20" t="n">
        <f aca="false">Parametres!$B$6*D7067</f>
        <v>29.64</v>
      </c>
      <c r="G7067" s="20" t="n">
        <f aca="false">E7067+F7067</f>
        <v>32.88</v>
      </c>
      <c r="H7067" s="20" t="n">
        <f aca="false">IF(G7067&lt;Parametres!$B$8*Parametres!$B$7,0,MIN(G7067,Parametres!$B$7))</f>
        <v>32.88</v>
      </c>
      <c r="I7067" s="20" t="n">
        <f aca="false">G7067-H7067</f>
        <v>0</v>
      </c>
      <c r="J7067" s="21" t="n">
        <f aca="false">H7067*1000/Parametres!$B$9</f>
        <v>557.571646599966</v>
      </c>
    </row>
    <row r="7068" customFormat="false" ht="15" hidden="false" customHeight="false" outlineLevel="0" collapsed="false">
      <c r="A7068" s="0" t="n">
        <v>7064</v>
      </c>
      <c r="B7068" s="0" t="n">
        <v>10</v>
      </c>
      <c r="C7068" s="19" t="n">
        <v>0.2477</v>
      </c>
      <c r="D7068" s="19" t="n">
        <v>0.2352</v>
      </c>
      <c r="E7068" s="20" t="n">
        <f aca="false">Parametres!$B$5*C7068</f>
        <v>74.31</v>
      </c>
      <c r="F7068" s="20" t="n">
        <f aca="false">Parametres!$B$6*D7068</f>
        <v>47.04</v>
      </c>
      <c r="G7068" s="20" t="n">
        <f aca="false">E7068+F7068</f>
        <v>121.35</v>
      </c>
      <c r="H7068" s="20" t="n">
        <f aca="false">IF(G7068&lt;Parametres!$B$8*Parametres!$B$7,0,MIN(G7068,Parametres!$B$7))</f>
        <v>121.35</v>
      </c>
      <c r="I7068" s="20" t="n">
        <f aca="false">G7068-H7068</f>
        <v>0</v>
      </c>
      <c r="J7068" s="21" t="n">
        <f aca="false">H7068*1000/Parametres!$B$9</f>
        <v>2057.82601322707</v>
      </c>
    </row>
    <row r="7069" customFormat="false" ht="15" hidden="false" customHeight="false" outlineLevel="0" collapsed="false">
      <c r="A7069" s="0" t="n">
        <v>7065</v>
      </c>
      <c r="B7069" s="0" t="n">
        <v>10</v>
      </c>
      <c r="C7069" s="19" t="n">
        <v>0.496</v>
      </c>
      <c r="D7069" s="19" t="n">
        <v>0.1938</v>
      </c>
      <c r="E7069" s="20" t="n">
        <f aca="false">Parametres!$B$5*C7069</f>
        <v>148.8</v>
      </c>
      <c r="F7069" s="20" t="n">
        <f aca="false">Parametres!$B$6*D7069</f>
        <v>38.76</v>
      </c>
      <c r="G7069" s="20" t="n">
        <f aca="false">E7069+F7069</f>
        <v>187.56</v>
      </c>
      <c r="H7069" s="20" t="n">
        <f aca="false">IF(G7069&lt;Parametres!$B$8*Parametres!$B$7,0,MIN(G7069,Parametres!$B$7))</f>
        <v>187.56</v>
      </c>
      <c r="I7069" s="20" t="n">
        <f aca="false">G7069-H7069</f>
        <v>0</v>
      </c>
      <c r="J7069" s="21" t="n">
        <f aca="false">H7069*1000/Parametres!$B$9</f>
        <v>3180.60030523995</v>
      </c>
    </row>
    <row r="7070" customFormat="false" ht="15" hidden="false" customHeight="false" outlineLevel="0" collapsed="false">
      <c r="A7070" s="0" t="n">
        <v>7066</v>
      </c>
      <c r="B7070" s="0" t="n">
        <v>10</v>
      </c>
      <c r="C7070" s="19" t="n">
        <v>0.7529</v>
      </c>
      <c r="D7070" s="19" t="n">
        <v>0.2339</v>
      </c>
      <c r="E7070" s="20" t="n">
        <f aca="false">Parametres!$B$5*C7070</f>
        <v>225.87</v>
      </c>
      <c r="F7070" s="20" t="n">
        <f aca="false">Parametres!$B$6*D7070</f>
        <v>46.78</v>
      </c>
      <c r="G7070" s="20" t="n">
        <f aca="false">E7070+F7070</f>
        <v>272.65</v>
      </c>
      <c r="H7070" s="20" t="n">
        <f aca="false">IF(G7070&lt;Parametres!$B$8*Parametres!$B$7,0,MIN(G7070,Parametres!$B$7))</f>
        <v>250</v>
      </c>
      <c r="I7070" s="20" t="n">
        <f aca="false">G7070-H7070</f>
        <v>22.65</v>
      </c>
      <c r="J7070" s="21" t="n">
        <f aca="false">H7070*1000/Parametres!$B$9</f>
        <v>4239.44378497541</v>
      </c>
    </row>
    <row r="7071" customFormat="false" ht="15" hidden="false" customHeight="false" outlineLevel="0" collapsed="false">
      <c r="A7071" s="0" t="n">
        <v>7067</v>
      </c>
      <c r="B7071" s="0" t="n">
        <v>10</v>
      </c>
      <c r="C7071" s="19" t="n">
        <v>0.8057</v>
      </c>
      <c r="D7071" s="19" t="n">
        <v>0.2592</v>
      </c>
      <c r="E7071" s="20" t="n">
        <f aca="false">Parametres!$B$5*C7071</f>
        <v>241.71</v>
      </c>
      <c r="F7071" s="20" t="n">
        <f aca="false">Parametres!$B$6*D7071</f>
        <v>51.84</v>
      </c>
      <c r="G7071" s="20" t="n">
        <f aca="false">E7071+F7071</f>
        <v>293.55</v>
      </c>
      <c r="H7071" s="20" t="n">
        <f aca="false">IF(G7071&lt;Parametres!$B$8*Parametres!$B$7,0,MIN(G7071,Parametres!$B$7))</f>
        <v>250</v>
      </c>
      <c r="I7071" s="20" t="n">
        <f aca="false">G7071-H7071</f>
        <v>43.55</v>
      </c>
      <c r="J7071" s="21" t="n">
        <f aca="false">H7071*1000/Parametres!$B$9</f>
        <v>4239.44378497541</v>
      </c>
    </row>
    <row r="7072" customFormat="false" ht="15" hidden="false" customHeight="false" outlineLevel="0" collapsed="false">
      <c r="A7072" s="0" t="n">
        <v>7068</v>
      </c>
      <c r="B7072" s="0" t="n">
        <v>10</v>
      </c>
      <c r="C7072" s="19" t="n">
        <v>0.9466</v>
      </c>
      <c r="D7072" s="19" t="n">
        <v>0.1897</v>
      </c>
      <c r="E7072" s="20" t="n">
        <f aca="false">Parametres!$B$5*C7072</f>
        <v>283.98</v>
      </c>
      <c r="F7072" s="20" t="n">
        <f aca="false">Parametres!$B$6*D7072</f>
        <v>37.94</v>
      </c>
      <c r="G7072" s="20" t="n">
        <f aca="false">E7072+F7072</f>
        <v>321.92</v>
      </c>
      <c r="H7072" s="20" t="n">
        <f aca="false">IF(G7072&lt;Parametres!$B$8*Parametres!$B$7,0,MIN(G7072,Parametres!$B$7))</f>
        <v>250</v>
      </c>
      <c r="I7072" s="20" t="n">
        <f aca="false">G7072-H7072</f>
        <v>71.92</v>
      </c>
      <c r="J7072" s="21" t="n">
        <f aca="false">H7072*1000/Parametres!$B$9</f>
        <v>4239.44378497541</v>
      </c>
    </row>
    <row r="7073" customFormat="false" ht="15" hidden="false" customHeight="false" outlineLevel="0" collapsed="false">
      <c r="A7073" s="0" t="n">
        <v>7069</v>
      </c>
      <c r="B7073" s="0" t="n">
        <v>10</v>
      </c>
      <c r="C7073" s="19" t="n">
        <v>0.9508</v>
      </c>
      <c r="D7073" s="19" t="n">
        <v>0.2714</v>
      </c>
      <c r="E7073" s="20" t="n">
        <f aca="false">Parametres!$B$5*C7073</f>
        <v>285.24</v>
      </c>
      <c r="F7073" s="20" t="n">
        <f aca="false">Parametres!$B$6*D7073</f>
        <v>54.28</v>
      </c>
      <c r="G7073" s="20" t="n">
        <f aca="false">E7073+F7073</f>
        <v>339.52</v>
      </c>
      <c r="H7073" s="20" t="n">
        <f aca="false">IF(G7073&lt;Parametres!$B$8*Parametres!$B$7,0,MIN(G7073,Parametres!$B$7))</f>
        <v>250</v>
      </c>
      <c r="I7073" s="20" t="n">
        <f aca="false">G7073-H7073</f>
        <v>89.52</v>
      </c>
      <c r="J7073" s="21" t="n">
        <f aca="false">H7073*1000/Parametres!$B$9</f>
        <v>4239.44378497541</v>
      </c>
    </row>
    <row r="7074" customFormat="false" ht="15" hidden="false" customHeight="false" outlineLevel="0" collapsed="false">
      <c r="A7074" s="0" t="n">
        <v>7070</v>
      </c>
      <c r="B7074" s="0" t="n">
        <v>10</v>
      </c>
      <c r="C7074" s="19" t="n">
        <v>0.8768</v>
      </c>
      <c r="D7074" s="19" t="n">
        <v>0.2414</v>
      </c>
      <c r="E7074" s="20" t="n">
        <f aca="false">Parametres!$B$5*C7074</f>
        <v>263.04</v>
      </c>
      <c r="F7074" s="20" t="n">
        <f aca="false">Parametres!$B$6*D7074</f>
        <v>48.28</v>
      </c>
      <c r="G7074" s="20" t="n">
        <f aca="false">E7074+F7074</f>
        <v>311.32</v>
      </c>
      <c r="H7074" s="20" t="n">
        <f aca="false">IF(G7074&lt;Parametres!$B$8*Parametres!$B$7,0,MIN(G7074,Parametres!$B$7))</f>
        <v>250</v>
      </c>
      <c r="I7074" s="20" t="n">
        <f aca="false">G7074-H7074</f>
        <v>61.3200000000001</v>
      </c>
      <c r="J7074" s="21" t="n">
        <f aca="false">H7074*1000/Parametres!$B$9</f>
        <v>4239.44378497541</v>
      </c>
    </row>
    <row r="7075" customFormat="false" ht="15" hidden="false" customHeight="false" outlineLevel="0" collapsed="false">
      <c r="A7075" s="0" t="n">
        <v>7071</v>
      </c>
      <c r="B7075" s="0" t="n">
        <v>10</v>
      </c>
      <c r="C7075" s="19" t="n">
        <v>0.664</v>
      </c>
      <c r="D7075" s="19" t="n">
        <v>0.2386</v>
      </c>
      <c r="E7075" s="20" t="n">
        <f aca="false">Parametres!$B$5*C7075</f>
        <v>199.2</v>
      </c>
      <c r="F7075" s="20" t="n">
        <f aca="false">Parametres!$B$6*D7075</f>
        <v>47.72</v>
      </c>
      <c r="G7075" s="20" t="n">
        <f aca="false">E7075+F7075</f>
        <v>246.92</v>
      </c>
      <c r="H7075" s="20" t="n">
        <f aca="false">IF(G7075&lt;Parametres!$B$8*Parametres!$B$7,0,MIN(G7075,Parametres!$B$7))</f>
        <v>246.92</v>
      </c>
      <c r="I7075" s="20" t="n">
        <f aca="false">G7075-H7075</f>
        <v>0</v>
      </c>
      <c r="J7075" s="21" t="n">
        <f aca="false">H7075*1000/Parametres!$B$9</f>
        <v>4187.21383754452</v>
      </c>
    </row>
    <row r="7076" customFormat="false" ht="15" hidden="false" customHeight="false" outlineLevel="0" collapsed="false">
      <c r="A7076" s="0" t="n">
        <v>7072</v>
      </c>
      <c r="B7076" s="0" t="n">
        <v>10</v>
      </c>
      <c r="C7076" s="19" t="n">
        <v>0.4254</v>
      </c>
      <c r="D7076" s="19" t="n">
        <v>0.4843</v>
      </c>
      <c r="E7076" s="20" t="n">
        <f aca="false">Parametres!$B$5*C7076</f>
        <v>127.62</v>
      </c>
      <c r="F7076" s="20" t="n">
        <f aca="false">Parametres!$B$6*D7076</f>
        <v>96.86</v>
      </c>
      <c r="G7076" s="20" t="n">
        <f aca="false">E7076+F7076</f>
        <v>224.48</v>
      </c>
      <c r="H7076" s="20" t="n">
        <f aca="false">IF(G7076&lt;Parametres!$B$8*Parametres!$B$7,0,MIN(G7076,Parametres!$B$7))</f>
        <v>224.48</v>
      </c>
      <c r="I7076" s="20" t="n">
        <f aca="false">G7076-H7076</f>
        <v>0</v>
      </c>
      <c r="J7076" s="21" t="n">
        <f aca="false">H7076*1000/Parametres!$B$9</f>
        <v>3806.68136340512</v>
      </c>
    </row>
    <row r="7077" customFormat="false" ht="15" hidden="false" customHeight="false" outlineLevel="0" collapsed="false">
      <c r="A7077" s="0" t="n">
        <v>7073</v>
      </c>
      <c r="B7077" s="0" t="n">
        <v>10</v>
      </c>
      <c r="C7077" s="19" t="n">
        <v>0.2425</v>
      </c>
      <c r="D7077" s="19" t="n">
        <v>0.5491</v>
      </c>
      <c r="E7077" s="20" t="n">
        <f aca="false">Parametres!$B$5*C7077</f>
        <v>72.75</v>
      </c>
      <c r="F7077" s="20" t="n">
        <f aca="false">Parametres!$B$6*D7077</f>
        <v>109.82</v>
      </c>
      <c r="G7077" s="20" t="n">
        <f aca="false">E7077+F7077</f>
        <v>182.57</v>
      </c>
      <c r="H7077" s="20" t="n">
        <f aca="false">IF(G7077&lt;Parametres!$B$8*Parametres!$B$7,0,MIN(G7077,Parametres!$B$7))</f>
        <v>182.57</v>
      </c>
      <c r="I7077" s="20" t="n">
        <f aca="false">G7077-H7077</f>
        <v>0</v>
      </c>
      <c r="J7077" s="21" t="n">
        <f aca="false">H7077*1000/Parametres!$B$9</f>
        <v>3095.98100729184</v>
      </c>
    </row>
    <row r="7078" customFormat="false" ht="15" hidden="false" customHeight="false" outlineLevel="0" collapsed="false">
      <c r="A7078" s="0" t="n">
        <v>7074</v>
      </c>
      <c r="B7078" s="0" t="n">
        <v>10</v>
      </c>
      <c r="C7078" s="19" t="n">
        <v>0.0121</v>
      </c>
      <c r="D7078" s="19" t="n">
        <v>0.7154</v>
      </c>
      <c r="E7078" s="20" t="n">
        <f aca="false">Parametres!$B$5*C7078</f>
        <v>3.63</v>
      </c>
      <c r="F7078" s="20" t="n">
        <f aca="false">Parametres!$B$6*D7078</f>
        <v>143.08</v>
      </c>
      <c r="G7078" s="20" t="n">
        <f aca="false">E7078+F7078</f>
        <v>146.71</v>
      </c>
      <c r="H7078" s="20" t="n">
        <f aca="false">IF(G7078&lt;Parametres!$B$8*Parametres!$B$7,0,MIN(G7078,Parametres!$B$7))</f>
        <v>146.71</v>
      </c>
      <c r="I7078" s="20" t="n">
        <f aca="false">G7078-H7078</f>
        <v>0</v>
      </c>
      <c r="J7078" s="21" t="n">
        <f aca="false">H7078*1000/Parametres!$B$9</f>
        <v>2487.87519077497</v>
      </c>
    </row>
    <row r="7079" customFormat="false" ht="15" hidden="false" customHeight="false" outlineLevel="0" collapsed="false">
      <c r="A7079" s="0" t="n">
        <v>7075</v>
      </c>
      <c r="B7079" s="0" t="n">
        <v>10</v>
      </c>
      <c r="C7079" s="19" t="n">
        <v>0</v>
      </c>
      <c r="D7079" s="19" t="n">
        <v>0.5605</v>
      </c>
      <c r="E7079" s="20" t="n">
        <f aca="false">Parametres!$B$5*C7079</f>
        <v>0</v>
      </c>
      <c r="F7079" s="20" t="n">
        <f aca="false">Parametres!$B$6*D7079</f>
        <v>112.1</v>
      </c>
      <c r="G7079" s="20" t="n">
        <f aca="false">E7079+F7079</f>
        <v>112.1</v>
      </c>
      <c r="H7079" s="20" t="n">
        <f aca="false">IF(G7079&lt;Parametres!$B$8*Parametres!$B$7,0,MIN(G7079,Parametres!$B$7))</f>
        <v>112.1</v>
      </c>
      <c r="I7079" s="20" t="n">
        <f aca="false">G7079-H7079</f>
        <v>0</v>
      </c>
      <c r="J7079" s="21" t="n">
        <f aca="false">H7079*1000/Parametres!$B$9</f>
        <v>1900.96659318297</v>
      </c>
    </row>
    <row r="7080" customFormat="false" ht="15" hidden="false" customHeight="false" outlineLevel="0" collapsed="false">
      <c r="A7080" s="0" t="n">
        <v>7076</v>
      </c>
      <c r="B7080" s="0" t="n">
        <v>10</v>
      </c>
      <c r="C7080" s="19" t="n">
        <v>0</v>
      </c>
      <c r="D7080" s="19" t="n">
        <v>0.6994</v>
      </c>
      <c r="E7080" s="20" t="n">
        <f aca="false">Parametres!$B$5*C7080</f>
        <v>0</v>
      </c>
      <c r="F7080" s="20" t="n">
        <f aca="false">Parametres!$B$6*D7080</f>
        <v>139.88</v>
      </c>
      <c r="G7080" s="20" t="n">
        <f aca="false">E7080+F7080</f>
        <v>139.88</v>
      </c>
      <c r="H7080" s="20" t="n">
        <f aca="false">IF(G7080&lt;Parametres!$B$8*Parametres!$B$7,0,MIN(G7080,Parametres!$B$7))</f>
        <v>139.88</v>
      </c>
      <c r="I7080" s="20" t="n">
        <f aca="false">G7080-H7080</f>
        <v>0</v>
      </c>
      <c r="J7080" s="21" t="n">
        <f aca="false">H7080*1000/Parametres!$B$9</f>
        <v>2372.05358656944</v>
      </c>
    </row>
    <row r="7081" customFormat="false" ht="15" hidden="false" customHeight="false" outlineLevel="0" collapsed="false">
      <c r="A7081" s="0" t="n">
        <v>7077</v>
      </c>
      <c r="B7081" s="0" t="n">
        <v>10</v>
      </c>
      <c r="C7081" s="19" t="n">
        <v>0</v>
      </c>
      <c r="D7081" s="19" t="n">
        <v>0.4419</v>
      </c>
      <c r="E7081" s="20" t="n">
        <f aca="false">Parametres!$B$5*C7081</f>
        <v>0</v>
      </c>
      <c r="F7081" s="20" t="n">
        <f aca="false">Parametres!$B$6*D7081</f>
        <v>88.38</v>
      </c>
      <c r="G7081" s="20" t="n">
        <f aca="false">E7081+F7081</f>
        <v>88.38</v>
      </c>
      <c r="H7081" s="20" t="n">
        <f aca="false">IF(G7081&lt;Parametres!$B$8*Parametres!$B$7,0,MIN(G7081,Parametres!$B$7))</f>
        <v>88.38</v>
      </c>
      <c r="I7081" s="20" t="n">
        <f aca="false">G7081-H7081</f>
        <v>0</v>
      </c>
      <c r="J7081" s="21" t="n">
        <f aca="false">H7081*1000/Parametres!$B$9</f>
        <v>1498.72816686451</v>
      </c>
    </row>
    <row r="7082" customFormat="false" ht="15" hidden="false" customHeight="false" outlineLevel="0" collapsed="false">
      <c r="A7082" s="0" t="n">
        <v>7078</v>
      </c>
      <c r="B7082" s="0" t="n">
        <v>10</v>
      </c>
      <c r="C7082" s="19" t="n">
        <v>0</v>
      </c>
      <c r="D7082" s="19" t="n">
        <v>0.3105</v>
      </c>
      <c r="E7082" s="20" t="n">
        <f aca="false">Parametres!$B$5*C7082</f>
        <v>0</v>
      </c>
      <c r="F7082" s="20" t="n">
        <f aca="false">Parametres!$B$6*D7082</f>
        <v>62.1</v>
      </c>
      <c r="G7082" s="20" t="n">
        <f aca="false">E7082+F7082</f>
        <v>62.1</v>
      </c>
      <c r="H7082" s="20" t="n">
        <f aca="false">IF(G7082&lt;Parametres!$B$8*Parametres!$B$7,0,MIN(G7082,Parametres!$B$7))</f>
        <v>62.1</v>
      </c>
      <c r="I7082" s="20" t="n">
        <f aca="false">G7082-H7082</f>
        <v>0</v>
      </c>
      <c r="J7082" s="21" t="n">
        <f aca="false">H7082*1000/Parametres!$B$9</f>
        <v>1053.07783618789</v>
      </c>
    </row>
    <row r="7083" customFormat="false" ht="15" hidden="false" customHeight="false" outlineLevel="0" collapsed="false">
      <c r="A7083" s="0" t="n">
        <v>7079</v>
      </c>
      <c r="B7083" s="0" t="n">
        <v>10</v>
      </c>
      <c r="C7083" s="19" t="n">
        <v>0</v>
      </c>
      <c r="D7083" s="19" t="n">
        <v>0.2432</v>
      </c>
      <c r="E7083" s="20" t="n">
        <f aca="false">Parametres!$B$5*C7083</f>
        <v>0</v>
      </c>
      <c r="F7083" s="20" t="n">
        <f aca="false">Parametres!$B$6*D7083</f>
        <v>48.64</v>
      </c>
      <c r="G7083" s="20" t="n">
        <f aca="false">E7083+F7083</f>
        <v>48.64</v>
      </c>
      <c r="H7083" s="20" t="n">
        <f aca="false">IF(G7083&lt;Parametres!$B$8*Parametres!$B$7,0,MIN(G7083,Parametres!$B$7))</f>
        <v>48.64</v>
      </c>
      <c r="I7083" s="20" t="n">
        <f aca="false">G7083-H7083</f>
        <v>0</v>
      </c>
      <c r="J7083" s="21" t="n">
        <f aca="false">H7083*1000/Parametres!$B$9</f>
        <v>824.826182804816</v>
      </c>
    </row>
    <row r="7084" customFormat="false" ht="15" hidden="false" customHeight="false" outlineLevel="0" collapsed="false">
      <c r="A7084" s="0" t="n">
        <v>7080</v>
      </c>
      <c r="B7084" s="0" t="n">
        <v>10</v>
      </c>
      <c r="C7084" s="19" t="n">
        <v>0</v>
      </c>
      <c r="D7084" s="19" t="n">
        <v>0.3203</v>
      </c>
      <c r="E7084" s="20" t="n">
        <f aca="false">Parametres!$B$5*C7084</f>
        <v>0</v>
      </c>
      <c r="F7084" s="20" t="n">
        <f aca="false">Parametres!$B$6*D7084</f>
        <v>64.06</v>
      </c>
      <c r="G7084" s="20" t="n">
        <f aca="false">E7084+F7084</f>
        <v>64.06</v>
      </c>
      <c r="H7084" s="20" t="n">
        <f aca="false">IF(G7084&lt;Parametres!$B$8*Parametres!$B$7,0,MIN(G7084,Parametres!$B$7))</f>
        <v>64.06</v>
      </c>
      <c r="I7084" s="20" t="n">
        <f aca="false">G7084-H7084</f>
        <v>0</v>
      </c>
      <c r="J7084" s="21" t="n">
        <f aca="false">H7084*1000/Parametres!$B$9</f>
        <v>1086.3150754621</v>
      </c>
    </row>
    <row r="7085" customFormat="false" ht="15" hidden="false" customHeight="false" outlineLevel="0" collapsed="false">
      <c r="A7085" s="0" t="n">
        <v>7081</v>
      </c>
      <c r="B7085" s="0" t="n">
        <v>10</v>
      </c>
      <c r="C7085" s="19" t="n">
        <v>0</v>
      </c>
      <c r="D7085" s="19" t="n">
        <v>0.2263</v>
      </c>
      <c r="E7085" s="20" t="n">
        <f aca="false">Parametres!$B$5*C7085</f>
        <v>0</v>
      </c>
      <c r="F7085" s="20" t="n">
        <f aca="false">Parametres!$B$6*D7085</f>
        <v>45.26</v>
      </c>
      <c r="G7085" s="20" t="n">
        <f aca="false">E7085+F7085</f>
        <v>45.26</v>
      </c>
      <c r="H7085" s="20" t="n">
        <f aca="false">IF(G7085&lt;Parametres!$B$8*Parametres!$B$7,0,MIN(G7085,Parametres!$B$7))</f>
        <v>45.26</v>
      </c>
      <c r="I7085" s="20" t="n">
        <f aca="false">G7085-H7085</f>
        <v>0</v>
      </c>
      <c r="J7085" s="21" t="n">
        <f aca="false">H7085*1000/Parametres!$B$9</f>
        <v>767.508902831949</v>
      </c>
    </row>
    <row r="7086" customFormat="false" ht="15" hidden="false" customHeight="false" outlineLevel="0" collapsed="false">
      <c r="A7086" s="0" t="n">
        <v>7082</v>
      </c>
      <c r="B7086" s="0" t="n">
        <v>10</v>
      </c>
      <c r="C7086" s="19" t="n">
        <v>0</v>
      </c>
      <c r="D7086" s="19" t="n">
        <v>0.2074</v>
      </c>
      <c r="E7086" s="20" t="n">
        <f aca="false">Parametres!$B$5*C7086</f>
        <v>0</v>
      </c>
      <c r="F7086" s="20" t="n">
        <f aca="false">Parametres!$B$6*D7086</f>
        <v>41.48</v>
      </c>
      <c r="G7086" s="20" t="n">
        <f aca="false">E7086+F7086</f>
        <v>41.48</v>
      </c>
      <c r="H7086" s="20" t="n">
        <f aca="false">IF(G7086&lt;Parametres!$B$8*Parametres!$B$7,0,MIN(G7086,Parametres!$B$7))</f>
        <v>41.48</v>
      </c>
      <c r="I7086" s="20" t="n">
        <f aca="false">G7086-H7086</f>
        <v>0</v>
      </c>
      <c r="J7086" s="21" t="n">
        <f aca="false">H7086*1000/Parametres!$B$9</f>
        <v>703.40851280312</v>
      </c>
    </row>
    <row r="7087" customFormat="false" ht="15" hidden="false" customHeight="false" outlineLevel="0" collapsed="false">
      <c r="A7087" s="0" t="n">
        <v>7083</v>
      </c>
      <c r="B7087" s="0" t="n">
        <v>10</v>
      </c>
      <c r="C7087" s="19" t="n">
        <v>0</v>
      </c>
      <c r="D7087" s="19" t="n">
        <v>0.2331</v>
      </c>
      <c r="E7087" s="20" t="n">
        <f aca="false">Parametres!$B$5*C7087</f>
        <v>0</v>
      </c>
      <c r="F7087" s="20" t="n">
        <f aca="false">Parametres!$B$6*D7087</f>
        <v>46.62</v>
      </c>
      <c r="G7087" s="20" t="n">
        <f aca="false">E7087+F7087</f>
        <v>46.62</v>
      </c>
      <c r="H7087" s="20" t="n">
        <f aca="false">IF(G7087&lt;Parametres!$B$8*Parametres!$B$7,0,MIN(G7087,Parametres!$B$7))</f>
        <v>46.62</v>
      </c>
      <c r="I7087" s="20" t="n">
        <f aca="false">G7087-H7087</f>
        <v>0</v>
      </c>
      <c r="J7087" s="21" t="n">
        <f aca="false">H7087*1000/Parametres!$B$9</f>
        <v>790.571477022215</v>
      </c>
    </row>
    <row r="7088" customFormat="false" ht="15" hidden="false" customHeight="false" outlineLevel="0" collapsed="false">
      <c r="A7088" s="0" t="n">
        <v>7084</v>
      </c>
      <c r="B7088" s="0" t="n">
        <v>10</v>
      </c>
      <c r="C7088" s="19" t="n">
        <v>0</v>
      </c>
      <c r="D7088" s="19" t="n">
        <v>0.1046</v>
      </c>
      <c r="E7088" s="20" t="n">
        <f aca="false">Parametres!$B$5*C7088</f>
        <v>0</v>
      </c>
      <c r="F7088" s="20" t="n">
        <f aca="false">Parametres!$B$6*D7088</f>
        <v>20.92</v>
      </c>
      <c r="G7088" s="20" t="n">
        <f aca="false">E7088+F7088</f>
        <v>20.92</v>
      </c>
      <c r="H7088" s="20" t="n">
        <f aca="false">IF(G7088&lt;Parametres!$B$8*Parametres!$B$7,0,MIN(G7088,Parametres!$B$7))</f>
        <v>0</v>
      </c>
      <c r="I7088" s="20" t="n">
        <f aca="false">G7088-H7088</f>
        <v>20.92</v>
      </c>
      <c r="J7088" s="21" t="n">
        <f aca="false">H7088*1000/Parametres!$B$9</f>
        <v>0</v>
      </c>
    </row>
    <row r="7089" customFormat="false" ht="15" hidden="false" customHeight="false" outlineLevel="0" collapsed="false">
      <c r="A7089" s="0" t="n">
        <v>7085</v>
      </c>
      <c r="B7089" s="0" t="n">
        <v>10</v>
      </c>
      <c r="C7089" s="19" t="n">
        <v>0</v>
      </c>
      <c r="D7089" s="19" t="n">
        <v>0.2301</v>
      </c>
      <c r="E7089" s="20" t="n">
        <f aca="false">Parametres!$B$5*C7089</f>
        <v>0</v>
      </c>
      <c r="F7089" s="20" t="n">
        <f aca="false">Parametres!$B$6*D7089</f>
        <v>46.02</v>
      </c>
      <c r="G7089" s="20" t="n">
        <f aca="false">E7089+F7089</f>
        <v>46.02</v>
      </c>
      <c r="H7089" s="20" t="n">
        <f aca="false">IF(G7089&lt;Parametres!$B$8*Parametres!$B$7,0,MIN(G7089,Parametres!$B$7))</f>
        <v>46.02</v>
      </c>
      <c r="I7089" s="20" t="n">
        <f aca="false">G7089-H7089</f>
        <v>0</v>
      </c>
      <c r="J7089" s="21" t="n">
        <f aca="false">H7089*1000/Parametres!$B$9</f>
        <v>780.396811938274</v>
      </c>
    </row>
    <row r="7090" customFormat="false" ht="15" hidden="false" customHeight="false" outlineLevel="0" collapsed="false">
      <c r="A7090" s="0" t="n">
        <v>7086</v>
      </c>
      <c r="B7090" s="0" t="n">
        <v>10</v>
      </c>
      <c r="C7090" s="19" t="n">
        <v>0</v>
      </c>
      <c r="D7090" s="19" t="n">
        <v>0.3329</v>
      </c>
      <c r="E7090" s="20" t="n">
        <f aca="false">Parametres!$B$5*C7090</f>
        <v>0</v>
      </c>
      <c r="F7090" s="20" t="n">
        <f aca="false">Parametres!$B$6*D7090</f>
        <v>66.58</v>
      </c>
      <c r="G7090" s="20" t="n">
        <f aca="false">E7090+F7090</f>
        <v>66.58</v>
      </c>
      <c r="H7090" s="20" t="n">
        <f aca="false">IF(G7090&lt;Parametres!$B$8*Parametres!$B$7,0,MIN(G7090,Parametres!$B$7))</f>
        <v>66.58</v>
      </c>
      <c r="I7090" s="20" t="n">
        <f aca="false">G7090-H7090</f>
        <v>0</v>
      </c>
      <c r="J7090" s="21" t="n">
        <f aca="false">H7090*1000/Parametres!$B$9</f>
        <v>1129.04866881465</v>
      </c>
    </row>
    <row r="7091" customFormat="false" ht="15" hidden="false" customHeight="false" outlineLevel="0" collapsed="false">
      <c r="A7091" s="0" t="n">
        <v>7087</v>
      </c>
      <c r="B7091" s="0" t="n">
        <v>10</v>
      </c>
      <c r="C7091" s="19" t="n">
        <v>0.0097</v>
      </c>
      <c r="D7091" s="19" t="n">
        <v>0.2623</v>
      </c>
      <c r="E7091" s="20" t="n">
        <f aca="false">Parametres!$B$5*C7091</f>
        <v>2.91</v>
      </c>
      <c r="F7091" s="20" t="n">
        <f aca="false">Parametres!$B$6*D7091</f>
        <v>52.46</v>
      </c>
      <c r="G7091" s="20" t="n">
        <f aca="false">E7091+F7091</f>
        <v>55.37</v>
      </c>
      <c r="H7091" s="20" t="n">
        <f aca="false">IF(G7091&lt;Parametres!$B$8*Parametres!$B$7,0,MIN(G7091,Parametres!$B$7))</f>
        <v>55.37</v>
      </c>
      <c r="I7091" s="20" t="n">
        <f aca="false">G7091-H7091</f>
        <v>0</v>
      </c>
      <c r="J7091" s="21" t="n">
        <f aca="false">H7091*1000/Parametres!$B$9</f>
        <v>938.952009496354</v>
      </c>
    </row>
    <row r="7092" customFormat="false" ht="15" hidden="false" customHeight="false" outlineLevel="0" collapsed="false">
      <c r="A7092" s="0" t="n">
        <v>7088</v>
      </c>
      <c r="B7092" s="0" t="n">
        <v>10</v>
      </c>
      <c r="C7092" s="19" t="n">
        <v>0.249</v>
      </c>
      <c r="D7092" s="19" t="n">
        <v>0.2333</v>
      </c>
      <c r="E7092" s="20" t="n">
        <f aca="false">Parametres!$B$5*C7092</f>
        <v>74.7</v>
      </c>
      <c r="F7092" s="20" t="n">
        <f aca="false">Parametres!$B$6*D7092</f>
        <v>46.66</v>
      </c>
      <c r="G7092" s="20" t="n">
        <f aca="false">E7092+F7092</f>
        <v>121.36</v>
      </c>
      <c r="H7092" s="20" t="n">
        <f aca="false">IF(G7092&lt;Parametres!$B$8*Parametres!$B$7,0,MIN(G7092,Parametres!$B$7))</f>
        <v>121.36</v>
      </c>
      <c r="I7092" s="20" t="n">
        <f aca="false">G7092-H7092</f>
        <v>0</v>
      </c>
      <c r="J7092" s="21" t="n">
        <f aca="false">H7092*1000/Parametres!$B$9</f>
        <v>2057.99559097846</v>
      </c>
    </row>
    <row r="7093" customFormat="false" ht="15" hidden="false" customHeight="false" outlineLevel="0" collapsed="false">
      <c r="A7093" s="0" t="n">
        <v>7089</v>
      </c>
      <c r="B7093" s="0" t="n">
        <v>10</v>
      </c>
      <c r="C7093" s="19" t="n">
        <v>0.5011</v>
      </c>
      <c r="D7093" s="19" t="n">
        <v>0.405</v>
      </c>
      <c r="E7093" s="20" t="n">
        <f aca="false">Parametres!$B$5*C7093</f>
        <v>150.33</v>
      </c>
      <c r="F7093" s="20" t="n">
        <f aca="false">Parametres!$B$6*D7093</f>
        <v>81</v>
      </c>
      <c r="G7093" s="20" t="n">
        <f aca="false">E7093+F7093</f>
        <v>231.33</v>
      </c>
      <c r="H7093" s="20" t="n">
        <f aca="false">IF(G7093&lt;Parametres!$B$8*Parametres!$B$7,0,MIN(G7093,Parametres!$B$7))</f>
        <v>231.33</v>
      </c>
      <c r="I7093" s="20" t="n">
        <f aca="false">G7093-H7093</f>
        <v>0</v>
      </c>
      <c r="J7093" s="21" t="n">
        <f aca="false">H7093*1000/Parametres!$B$9</f>
        <v>3922.84212311345</v>
      </c>
    </row>
    <row r="7094" customFormat="false" ht="15" hidden="false" customHeight="false" outlineLevel="0" collapsed="false">
      <c r="A7094" s="0" t="n">
        <v>7090</v>
      </c>
      <c r="B7094" s="0" t="n">
        <v>10</v>
      </c>
      <c r="C7094" s="19" t="n">
        <v>0.7369</v>
      </c>
      <c r="D7094" s="19" t="n">
        <v>0.6379</v>
      </c>
      <c r="E7094" s="20" t="n">
        <f aca="false">Parametres!$B$5*C7094</f>
        <v>221.07</v>
      </c>
      <c r="F7094" s="20" t="n">
        <f aca="false">Parametres!$B$6*D7094</f>
        <v>127.58</v>
      </c>
      <c r="G7094" s="20" t="n">
        <f aca="false">E7094+F7094</f>
        <v>348.65</v>
      </c>
      <c r="H7094" s="20" t="n">
        <f aca="false">IF(G7094&lt;Parametres!$B$8*Parametres!$B$7,0,MIN(G7094,Parametres!$B$7))</f>
        <v>250</v>
      </c>
      <c r="I7094" s="20" t="n">
        <f aca="false">G7094-H7094</f>
        <v>98.65</v>
      </c>
      <c r="J7094" s="21" t="n">
        <f aca="false">H7094*1000/Parametres!$B$9</f>
        <v>4239.44378497541</v>
      </c>
    </row>
    <row r="7095" customFormat="false" ht="15" hidden="false" customHeight="false" outlineLevel="0" collapsed="false">
      <c r="A7095" s="0" t="n">
        <v>7091</v>
      </c>
      <c r="B7095" s="0" t="n">
        <v>10</v>
      </c>
      <c r="C7095" s="19" t="n">
        <v>0.8498</v>
      </c>
      <c r="D7095" s="19" t="n">
        <v>0.8075</v>
      </c>
      <c r="E7095" s="20" t="n">
        <f aca="false">Parametres!$B$5*C7095</f>
        <v>254.94</v>
      </c>
      <c r="F7095" s="20" t="n">
        <f aca="false">Parametres!$B$6*D7095</f>
        <v>161.5</v>
      </c>
      <c r="G7095" s="20" t="n">
        <f aca="false">E7095+F7095</f>
        <v>416.44</v>
      </c>
      <c r="H7095" s="20" t="n">
        <f aca="false">IF(G7095&lt;Parametres!$B$8*Parametres!$B$7,0,MIN(G7095,Parametres!$B$7))</f>
        <v>250</v>
      </c>
      <c r="I7095" s="20" t="n">
        <f aca="false">G7095-H7095</f>
        <v>166.44</v>
      </c>
      <c r="J7095" s="21" t="n">
        <f aca="false">H7095*1000/Parametres!$B$9</f>
        <v>4239.44378497541</v>
      </c>
    </row>
    <row r="7096" customFormat="false" ht="15" hidden="false" customHeight="false" outlineLevel="0" collapsed="false">
      <c r="A7096" s="0" t="n">
        <v>7092</v>
      </c>
      <c r="B7096" s="0" t="n">
        <v>10</v>
      </c>
      <c r="C7096" s="19" t="n">
        <v>0.9496</v>
      </c>
      <c r="D7096" s="19" t="n">
        <v>0.6808</v>
      </c>
      <c r="E7096" s="20" t="n">
        <f aca="false">Parametres!$B$5*C7096</f>
        <v>284.88</v>
      </c>
      <c r="F7096" s="20" t="n">
        <f aca="false">Parametres!$B$6*D7096</f>
        <v>136.16</v>
      </c>
      <c r="G7096" s="20" t="n">
        <f aca="false">E7096+F7096</f>
        <v>421.04</v>
      </c>
      <c r="H7096" s="20" t="n">
        <f aca="false">IF(G7096&lt;Parametres!$B$8*Parametres!$B$7,0,MIN(G7096,Parametres!$B$7))</f>
        <v>250</v>
      </c>
      <c r="I7096" s="20" t="n">
        <f aca="false">G7096-H7096</f>
        <v>171.04</v>
      </c>
      <c r="J7096" s="21" t="n">
        <f aca="false">H7096*1000/Parametres!$B$9</f>
        <v>4239.44378497541</v>
      </c>
    </row>
    <row r="7097" customFormat="false" ht="15" hidden="false" customHeight="false" outlineLevel="0" collapsed="false">
      <c r="A7097" s="0" t="n">
        <v>7093</v>
      </c>
      <c r="B7097" s="0" t="n">
        <v>10</v>
      </c>
      <c r="C7097" s="19" t="n">
        <v>0.9777</v>
      </c>
      <c r="D7097" s="19" t="n">
        <v>1</v>
      </c>
      <c r="E7097" s="20" t="n">
        <f aca="false">Parametres!$B$5*C7097</f>
        <v>293.31</v>
      </c>
      <c r="F7097" s="20" t="n">
        <f aca="false">Parametres!$B$6*D7097</f>
        <v>200</v>
      </c>
      <c r="G7097" s="20" t="n">
        <f aca="false">E7097+F7097</f>
        <v>493.31</v>
      </c>
      <c r="H7097" s="20" t="n">
        <f aca="false">IF(G7097&lt;Parametres!$B$8*Parametres!$B$7,0,MIN(G7097,Parametres!$B$7))</f>
        <v>250</v>
      </c>
      <c r="I7097" s="20" t="n">
        <f aca="false">G7097-H7097</f>
        <v>243.31</v>
      </c>
      <c r="J7097" s="21" t="n">
        <f aca="false">H7097*1000/Parametres!$B$9</f>
        <v>4239.44378497541</v>
      </c>
    </row>
    <row r="7098" customFormat="false" ht="15" hidden="false" customHeight="false" outlineLevel="0" collapsed="false">
      <c r="A7098" s="0" t="n">
        <v>7094</v>
      </c>
      <c r="B7098" s="0" t="n">
        <v>10</v>
      </c>
      <c r="C7098" s="19" t="n">
        <v>0.8469</v>
      </c>
      <c r="D7098" s="19" t="n">
        <v>1</v>
      </c>
      <c r="E7098" s="20" t="n">
        <f aca="false">Parametres!$B$5*C7098</f>
        <v>254.07</v>
      </c>
      <c r="F7098" s="20" t="n">
        <f aca="false">Parametres!$B$6*D7098</f>
        <v>200</v>
      </c>
      <c r="G7098" s="20" t="n">
        <f aca="false">E7098+F7098</f>
        <v>454.07</v>
      </c>
      <c r="H7098" s="20" t="n">
        <f aca="false">IF(G7098&lt;Parametres!$B$8*Parametres!$B$7,0,MIN(G7098,Parametres!$B$7))</f>
        <v>250</v>
      </c>
      <c r="I7098" s="20" t="n">
        <f aca="false">G7098-H7098</f>
        <v>204.07</v>
      </c>
      <c r="J7098" s="21" t="n">
        <f aca="false">H7098*1000/Parametres!$B$9</f>
        <v>4239.44378497541</v>
      </c>
    </row>
    <row r="7099" customFormat="false" ht="15" hidden="false" customHeight="false" outlineLevel="0" collapsed="false">
      <c r="A7099" s="0" t="n">
        <v>7095</v>
      </c>
      <c r="B7099" s="0" t="n">
        <v>10</v>
      </c>
      <c r="C7099" s="19" t="n">
        <v>0.6766</v>
      </c>
      <c r="D7099" s="19" t="n">
        <v>1</v>
      </c>
      <c r="E7099" s="20" t="n">
        <f aca="false">Parametres!$B$5*C7099</f>
        <v>202.98</v>
      </c>
      <c r="F7099" s="20" t="n">
        <f aca="false">Parametres!$B$6*D7099</f>
        <v>200</v>
      </c>
      <c r="G7099" s="20" t="n">
        <f aca="false">E7099+F7099</f>
        <v>402.98</v>
      </c>
      <c r="H7099" s="20" t="n">
        <f aca="false">IF(G7099&lt;Parametres!$B$8*Parametres!$B$7,0,MIN(G7099,Parametres!$B$7))</f>
        <v>250</v>
      </c>
      <c r="I7099" s="20" t="n">
        <f aca="false">G7099-H7099</f>
        <v>152.98</v>
      </c>
      <c r="J7099" s="21" t="n">
        <f aca="false">H7099*1000/Parametres!$B$9</f>
        <v>4239.44378497541</v>
      </c>
    </row>
    <row r="7100" customFormat="false" ht="15" hidden="false" customHeight="false" outlineLevel="0" collapsed="false">
      <c r="A7100" s="0" t="n">
        <v>7096</v>
      </c>
      <c r="B7100" s="0" t="n">
        <v>10</v>
      </c>
      <c r="C7100" s="19" t="n">
        <v>0.5105</v>
      </c>
      <c r="D7100" s="19" t="n">
        <v>1</v>
      </c>
      <c r="E7100" s="20" t="n">
        <f aca="false">Parametres!$B$5*C7100</f>
        <v>153.15</v>
      </c>
      <c r="F7100" s="20" t="n">
        <f aca="false">Parametres!$B$6*D7100</f>
        <v>200</v>
      </c>
      <c r="G7100" s="20" t="n">
        <f aca="false">E7100+F7100</f>
        <v>353.15</v>
      </c>
      <c r="H7100" s="20" t="n">
        <f aca="false">IF(G7100&lt;Parametres!$B$8*Parametres!$B$7,0,MIN(G7100,Parametres!$B$7))</f>
        <v>250</v>
      </c>
      <c r="I7100" s="20" t="n">
        <f aca="false">G7100-H7100</f>
        <v>103.15</v>
      </c>
      <c r="J7100" s="21" t="n">
        <f aca="false">H7100*1000/Parametres!$B$9</f>
        <v>4239.44378497541</v>
      </c>
    </row>
    <row r="7101" customFormat="false" ht="15" hidden="false" customHeight="false" outlineLevel="0" collapsed="false">
      <c r="A7101" s="0" t="n">
        <v>7097</v>
      </c>
      <c r="B7101" s="0" t="n">
        <v>10</v>
      </c>
      <c r="C7101" s="19" t="n">
        <v>0.257</v>
      </c>
      <c r="D7101" s="19" t="n">
        <v>1</v>
      </c>
      <c r="E7101" s="20" t="n">
        <f aca="false">Parametres!$B$5*C7101</f>
        <v>77.1</v>
      </c>
      <c r="F7101" s="20" t="n">
        <f aca="false">Parametres!$B$6*D7101</f>
        <v>200</v>
      </c>
      <c r="G7101" s="20" t="n">
        <f aca="false">E7101+F7101</f>
        <v>277.1</v>
      </c>
      <c r="H7101" s="20" t="n">
        <f aca="false">IF(G7101&lt;Parametres!$B$8*Parametres!$B$7,0,MIN(G7101,Parametres!$B$7))</f>
        <v>250</v>
      </c>
      <c r="I7101" s="20" t="n">
        <f aca="false">G7101-H7101</f>
        <v>27.1</v>
      </c>
      <c r="J7101" s="21" t="n">
        <f aca="false">H7101*1000/Parametres!$B$9</f>
        <v>4239.44378497541</v>
      </c>
    </row>
    <row r="7102" customFormat="false" ht="15" hidden="false" customHeight="false" outlineLevel="0" collapsed="false">
      <c r="A7102" s="0" t="n">
        <v>7098</v>
      </c>
      <c r="B7102" s="0" t="n">
        <v>10</v>
      </c>
      <c r="C7102" s="19" t="n">
        <v>0.0095</v>
      </c>
      <c r="D7102" s="19" t="n">
        <v>1</v>
      </c>
      <c r="E7102" s="20" t="n">
        <f aca="false">Parametres!$B$5*C7102</f>
        <v>2.85</v>
      </c>
      <c r="F7102" s="20" t="n">
        <f aca="false">Parametres!$B$6*D7102</f>
        <v>200</v>
      </c>
      <c r="G7102" s="20" t="n">
        <f aca="false">E7102+F7102</f>
        <v>202.85</v>
      </c>
      <c r="H7102" s="20" t="n">
        <f aca="false">IF(G7102&lt;Parametres!$B$8*Parametres!$B$7,0,MIN(G7102,Parametres!$B$7))</f>
        <v>202.85</v>
      </c>
      <c r="I7102" s="20" t="n">
        <f aca="false">G7102-H7102</f>
        <v>0</v>
      </c>
      <c r="J7102" s="21" t="n">
        <f aca="false">H7102*1000/Parametres!$B$9</f>
        <v>3439.88468712905</v>
      </c>
    </row>
    <row r="7103" customFormat="false" ht="15" hidden="false" customHeight="false" outlineLevel="0" collapsed="false">
      <c r="A7103" s="0" t="n">
        <v>7099</v>
      </c>
      <c r="B7103" s="0" t="n">
        <v>10</v>
      </c>
      <c r="C7103" s="19" t="n">
        <v>0</v>
      </c>
      <c r="D7103" s="19" t="n">
        <v>1</v>
      </c>
      <c r="E7103" s="20" t="n">
        <f aca="false">Parametres!$B$5*C7103</f>
        <v>0</v>
      </c>
      <c r="F7103" s="20" t="n">
        <f aca="false">Parametres!$B$6*D7103</f>
        <v>200</v>
      </c>
      <c r="G7103" s="20" t="n">
        <f aca="false">E7103+F7103</f>
        <v>200</v>
      </c>
      <c r="H7103" s="20" t="n">
        <f aca="false">IF(G7103&lt;Parametres!$B$8*Parametres!$B$7,0,MIN(G7103,Parametres!$B$7))</f>
        <v>200</v>
      </c>
      <c r="I7103" s="20" t="n">
        <f aca="false">G7103-H7103</f>
        <v>0</v>
      </c>
      <c r="J7103" s="21" t="n">
        <f aca="false">H7103*1000/Parametres!$B$9</f>
        <v>3391.55502798033</v>
      </c>
    </row>
    <row r="7104" customFormat="false" ht="15" hidden="false" customHeight="false" outlineLevel="0" collapsed="false">
      <c r="A7104" s="0" t="n">
        <v>7100</v>
      </c>
      <c r="B7104" s="0" t="n">
        <v>10</v>
      </c>
      <c r="C7104" s="19" t="n">
        <v>0</v>
      </c>
      <c r="D7104" s="19" t="n">
        <v>1</v>
      </c>
      <c r="E7104" s="20" t="n">
        <f aca="false">Parametres!$B$5*C7104</f>
        <v>0</v>
      </c>
      <c r="F7104" s="20" t="n">
        <f aca="false">Parametres!$B$6*D7104</f>
        <v>200</v>
      </c>
      <c r="G7104" s="20" t="n">
        <f aca="false">E7104+F7104</f>
        <v>200</v>
      </c>
      <c r="H7104" s="20" t="n">
        <f aca="false">IF(G7104&lt;Parametres!$B$8*Parametres!$B$7,0,MIN(G7104,Parametres!$B$7))</f>
        <v>200</v>
      </c>
      <c r="I7104" s="20" t="n">
        <f aca="false">G7104-H7104</f>
        <v>0</v>
      </c>
      <c r="J7104" s="21" t="n">
        <f aca="false">H7104*1000/Parametres!$B$9</f>
        <v>3391.55502798033</v>
      </c>
    </row>
    <row r="7105" customFormat="false" ht="15" hidden="false" customHeight="false" outlineLevel="0" collapsed="false">
      <c r="A7105" s="0" t="n">
        <v>7101</v>
      </c>
      <c r="B7105" s="0" t="n">
        <v>10</v>
      </c>
      <c r="C7105" s="19" t="n">
        <v>0</v>
      </c>
      <c r="D7105" s="19" t="n">
        <v>1</v>
      </c>
      <c r="E7105" s="20" t="n">
        <f aca="false">Parametres!$B$5*C7105</f>
        <v>0</v>
      </c>
      <c r="F7105" s="20" t="n">
        <f aca="false">Parametres!$B$6*D7105</f>
        <v>200</v>
      </c>
      <c r="G7105" s="20" t="n">
        <f aca="false">E7105+F7105</f>
        <v>200</v>
      </c>
      <c r="H7105" s="20" t="n">
        <f aca="false">IF(G7105&lt;Parametres!$B$8*Parametres!$B$7,0,MIN(G7105,Parametres!$B$7))</f>
        <v>200</v>
      </c>
      <c r="I7105" s="20" t="n">
        <f aca="false">G7105-H7105</f>
        <v>0</v>
      </c>
      <c r="J7105" s="21" t="n">
        <f aca="false">H7105*1000/Parametres!$B$9</f>
        <v>3391.55502798033</v>
      </c>
    </row>
    <row r="7106" customFormat="false" ht="15" hidden="false" customHeight="false" outlineLevel="0" collapsed="false">
      <c r="A7106" s="0" t="n">
        <v>7102</v>
      </c>
      <c r="B7106" s="0" t="n">
        <v>10</v>
      </c>
      <c r="C7106" s="19" t="n">
        <v>0</v>
      </c>
      <c r="D7106" s="19" t="n">
        <v>0.9511</v>
      </c>
      <c r="E7106" s="20" t="n">
        <f aca="false">Parametres!$B$5*C7106</f>
        <v>0</v>
      </c>
      <c r="F7106" s="20" t="n">
        <f aca="false">Parametres!$B$6*D7106</f>
        <v>190.22</v>
      </c>
      <c r="G7106" s="20" t="n">
        <f aca="false">E7106+F7106</f>
        <v>190.22</v>
      </c>
      <c r="H7106" s="20" t="n">
        <f aca="false">IF(G7106&lt;Parametres!$B$8*Parametres!$B$7,0,MIN(G7106,Parametres!$B$7))</f>
        <v>190.22</v>
      </c>
      <c r="I7106" s="20" t="n">
        <f aca="false">G7106-H7106</f>
        <v>0</v>
      </c>
      <c r="J7106" s="21" t="n">
        <f aca="false">H7106*1000/Parametres!$B$9</f>
        <v>3225.70798711209</v>
      </c>
    </row>
    <row r="7107" customFormat="false" ht="15" hidden="false" customHeight="false" outlineLevel="0" collapsed="false">
      <c r="A7107" s="0" t="n">
        <v>7103</v>
      </c>
      <c r="B7107" s="0" t="n">
        <v>10</v>
      </c>
      <c r="C7107" s="19" t="n">
        <v>0</v>
      </c>
      <c r="D7107" s="19" t="n">
        <v>0.4436</v>
      </c>
      <c r="E7107" s="20" t="n">
        <f aca="false">Parametres!$B$5*C7107</f>
        <v>0</v>
      </c>
      <c r="F7107" s="20" t="n">
        <f aca="false">Parametres!$B$6*D7107</f>
        <v>88.72</v>
      </c>
      <c r="G7107" s="20" t="n">
        <f aca="false">E7107+F7107</f>
        <v>88.72</v>
      </c>
      <c r="H7107" s="20" t="n">
        <f aca="false">IF(G7107&lt;Parametres!$B$8*Parametres!$B$7,0,MIN(G7107,Parametres!$B$7))</f>
        <v>88.72</v>
      </c>
      <c r="I7107" s="20" t="n">
        <f aca="false">G7107-H7107</f>
        <v>0</v>
      </c>
      <c r="J7107" s="21" t="n">
        <f aca="false">H7107*1000/Parametres!$B$9</f>
        <v>1504.49381041207</v>
      </c>
    </row>
    <row r="7108" customFormat="false" ht="15" hidden="false" customHeight="false" outlineLevel="0" collapsed="false">
      <c r="A7108" s="0" t="n">
        <v>7104</v>
      </c>
      <c r="B7108" s="0" t="n">
        <v>10</v>
      </c>
      <c r="C7108" s="19" t="n">
        <v>0</v>
      </c>
      <c r="D7108" s="19" t="n">
        <v>0.5232</v>
      </c>
      <c r="E7108" s="20" t="n">
        <f aca="false">Parametres!$B$5*C7108</f>
        <v>0</v>
      </c>
      <c r="F7108" s="20" t="n">
        <f aca="false">Parametres!$B$6*D7108</f>
        <v>104.64</v>
      </c>
      <c r="G7108" s="20" t="n">
        <f aca="false">E7108+F7108</f>
        <v>104.64</v>
      </c>
      <c r="H7108" s="20" t="n">
        <f aca="false">IF(G7108&lt;Parametres!$B$8*Parametres!$B$7,0,MIN(G7108,Parametres!$B$7))</f>
        <v>104.64</v>
      </c>
      <c r="I7108" s="20" t="n">
        <f aca="false">G7108-H7108</f>
        <v>0</v>
      </c>
      <c r="J7108" s="21" t="n">
        <f aca="false">H7108*1000/Parametres!$B$9</f>
        <v>1774.46159063931</v>
      </c>
    </row>
    <row r="7109" customFormat="false" ht="15" hidden="false" customHeight="false" outlineLevel="0" collapsed="false">
      <c r="A7109" s="0" t="n">
        <v>7105</v>
      </c>
      <c r="B7109" s="0" t="n">
        <v>10</v>
      </c>
      <c r="C7109" s="19" t="n">
        <v>0</v>
      </c>
      <c r="D7109" s="19" t="n">
        <v>0.7209</v>
      </c>
      <c r="E7109" s="20" t="n">
        <f aca="false">Parametres!$B$5*C7109</f>
        <v>0</v>
      </c>
      <c r="F7109" s="20" t="n">
        <f aca="false">Parametres!$B$6*D7109</f>
        <v>144.18</v>
      </c>
      <c r="G7109" s="20" t="n">
        <f aca="false">E7109+F7109</f>
        <v>144.18</v>
      </c>
      <c r="H7109" s="20" t="n">
        <f aca="false">IF(G7109&lt;Parametres!$B$8*Parametres!$B$7,0,MIN(G7109,Parametres!$B$7))</f>
        <v>144.18</v>
      </c>
      <c r="I7109" s="20" t="n">
        <f aca="false">G7109-H7109</f>
        <v>0</v>
      </c>
      <c r="J7109" s="21" t="n">
        <f aca="false">H7109*1000/Parametres!$B$9</f>
        <v>2444.97201967102</v>
      </c>
    </row>
    <row r="7110" customFormat="false" ht="15" hidden="false" customHeight="false" outlineLevel="0" collapsed="false">
      <c r="A7110" s="0" t="n">
        <v>7106</v>
      </c>
      <c r="B7110" s="0" t="n">
        <v>10</v>
      </c>
      <c r="C7110" s="19" t="n">
        <v>0</v>
      </c>
      <c r="D7110" s="19" t="n">
        <v>0.6723</v>
      </c>
      <c r="E7110" s="20" t="n">
        <f aca="false">Parametres!$B$5*C7110</f>
        <v>0</v>
      </c>
      <c r="F7110" s="20" t="n">
        <f aca="false">Parametres!$B$6*D7110</f>
        <v>134.46</v>
      </c>
      <c r="G7110" s="20" t="n">
        <f aca="false">E7110+F7110</f>
        <v>134.46</v>
      </c>
      <c r="H7110" s="20" t="n">
        <f aca="false">IF(G7110&lt;Parametres!$B$8*Parametres!$B$7,0,MIN(G7110,Parametres!$B$7))</f>
        <v>134.46</v>
      </c>
      <c r="I7110" s="20" t="n">
        <f aca="false">G7110-H7110</f>
        <v>0</v>
      </c>
      <c r="J7110" s="21" t="n">
        <f aca="false">H7110*1000/Parametres!$B$9</f>
        <v>2280.14244531118</v>
      </c>
    </row>
    <row r="7111" customFormat="false" ht="15" hidden="false" customHeight="false" outlineLevel="0" collapsed="false">
      <c r="A7111" s="0" t="n">
        <v>7107</v>
      </c>
      <c r="B7111" s="0" t="n">
        <v>10</v>
      </c>
      <c r="C7111" s="19" t="n">
        <v>0</v>
      </c>
      <c r="D7111" s="19" t="n">
        <v>0.6247</v>
      </c>
      <c r="E7111" s="20" t="n">
        <f aca="false">Parametres!$B$5*C7111</f>
        <v>0</v>
      </c>
      <c r="F7111" s="20" t="n">
        <f aca="false">Parametres!$B$6*D7111</f>
        <v>124.94</v>
      </c>
      <c r="G7111" s="20" t="n">
        <f aca="false">E7111+F7111</f>
        <v>124.94</v>
      </c>
      <c r="H7111" s="20" t="n">
        <f aca="false">IF(G7111&lt;Parametres!$B$8*Parametres!$B$7,0,MIN(G7111,Parametres!$B$7))</f>
        <v>124.94</v>
      </c>
      <c r="I7111" s="20" t="n">
        <f aca="false">G7111-H7111</f>
        <v>0</v>
      </c>
      <c r="J7111" s="21" t="n">
        <f aca="false">H7111*1000/Parametres!$B$9</f>
        <v>2118.70442597931</v>
      </c>
    </row>
    <row r="7112" customFormat="false" ht="15" hidden="false" customHeight="false" outlineLevel="0" collapsed="false">
      <c r="A7112" s="0" t="n">
        <v>7108</v>
      </c>
      <c r="B7112" s="0" t="n">
        <v>10</v>
      </c>
      <c r="C7112" s="19" t="n">
        <v>0</v>
      </c>
      <c r="D7112" s="19" t="n">
        <v>0.6081</v>
      </c>
      <c r="E7112" s="20" t="n">
        <f aca="false">Parametres!$B$5*C7112</f>
        <v>0</v>
      </c>
      <c r="F7112" s="20" t="n">
        <f aca="false">Parametres!$B$6*D7112</f>
        <v>121.62</v>
      </c>
      <c r="G7112" s="20" t="n">
        <f aca="false">E7112+F7112</f>
        <v>121.62</v>
      </c>
      <c r="H7112" s="20" t="n">
        <f aca="false">IF(G7112&lt;Parametres!$B$8*Parametres!$B$7,0,MIN(G7112,Parametres!$B$7))</f>
        <v>121.62</v>
      </c>
      <c r="I7112" s="20" t="n">
        <f aca="false">G7112-H7112</f>
        <v>0</v>
      </c>
      <c r="J7112" s="21" t="n">
        <f aca="false">H7112*1000/Parametres!$B$9</f>
        <v>2062.40461251484</v>
      </c>
    </row>
    <row r="7113" customFormat="false" ht="15" hidden="false" customHeight="false" outlineLevel="0" collapsed="false">
      <c r="A7113" s="0" t="n">
        <v>7109</v>
      </c>
      <c r="B7113" s="0" t="n">
        <v>10</v>
      </c>
      <c r="C7113" s="19" t="n">
        <v>0</v>
      </c>
      <c r="D7113" s="19" t="n">
        <v>0.6641</v>
      </c>
      <c r="E7113" s="20" t="n">
        <f aca="false">Parametres!$B$5*C7113</f>
        <v>0</v>
      </c>
      <c r="F7113" s="20" t="n">
        <f aca="false">Parametres!$B$6*D7113</f>
        <v>132.82</v>
      </c>
      <c r="G7113" s="20" t="n">
        <f aca="false">E7113+F7113</f>
        <v>132.82</v>
      </c>
      <c r="H7113" s="20" t="n">
        <f aca="false">IF(G7113&lt;Parametres!$B$8*Parametres!$B$7,0,MIN(G7113,Parametres!$B$7))</f>
        <v>132.82</v>
      </c>
      <c r="I7113" s="20" t="n">
        <f aca="false">G7113-H7113</f>
        <v>0</v>
      </c>
      <c r="J7113" s="21" t="n">
        <f aca="false">H7113*1000/Parametres!$B$9</f>
        <v>2252.33169408174</v>
      </c>
    </row>
    <row r="7114" customFormat="false" ht="15" hidden="false" customHeight="false" outlineLevel="0" collapsed="false">
      <c r="A7114" s="0" t="n">
        <v>7110</v>
      </c>
      <c r="B7114" s="0" t="n">
        <v>10</v>
      </c>
      <c r="C7114" s="19" t="n">
        <v>0</v>
      </c>
      <c r="D7114" s="19" t="n">
        <v>0.5866</v>
      </c>
      <c r="E7114" s="20" t="n">
        <f aca="false">Parametres!$B$5*C7114</f>
        <v>0</v>
      </c>
      <c r="F7114" s="20" t="n">
        <f aca="false">Parametres!$B$6*D7114</f>
        <v>117.32</v>
      </c>
      <c r="G7114" s="20" t="n">
        <f aca="false">E7114+F7114</f>
        <v>117.32</v>
      </c>
      <c r="H7114" s="20" t="n">
        <f aca="false">IF(G7114&lt;Parametres!$B$8*Parametres!$B$7,0,MIN(G7114,Parametres!$B$7))</f>
        <v>117.32</v>
      </c>
      <c r="I7114" s="20" t="n">
        <f aca="false">G7114-H7114</f>
        <v>0</v>
      </c>
      <c r="J7114" s="21" t="n">
        <f aca="false">H7114*1000/Parametres!$B$9</f>
        <v>1989.48617941326</v>
      </c>
    </row>
    <row r="7115" customFormat="false" ht="15" hidden="false" customHeight="false" outlineLevel="0" collapsed="false">
      <c r="A7115" s="0" t="n">
        <v>7111</v>
      </c>
      <c r="B7115" s="0" t="n">
        <v>10</v>
      </c>
      <c r="C7115" s="19" t="n">
        <v>0.0066</v>
      </c>
      <c r="D7115" s="19" t="n">
        <v>0.6711</v>
      </c>
      <c r="E7115" s="20" t="n">
        <f aca="false">Parametres!$B$5*C7115</f>
        <v>1.98</v>
      </c>
      <c r="F7115" s="20" t="n">
        <f aca="false">Parametres!$B$6*D7115</f>
        <v>134.22</v>
      </c>
      <c r="G7115" s="20" t="n">
        <f aca="false">E7115+F7115</f>
        <v>136.2</v>
      </c>
      <c r="H7115" s="20" t="n">
        <f aca="false">IF(G7115&lt;Parametres!$B$8*Parametres!$B$7,0,MIN(G7115,Parametres!$B$7))</f>
        <v>136.2</v>
      </c>
      <c r="I7115" s="20" t="n">
        <f aca="false">G7115-H7115</f>
        <v>0</v>
      </c>
      <c r="J7115" s="21" t="n">
        <f aca="false">H7115*1000/Parametres!$B$9</f>
        <v>2309.6489740546</v>
      </c>
    </row>
    <row r="7116" customFormat="false" ht="15" hidden="false" customHeight="false" outlineLevel="0" collapsed="false">
      <c r="A7116" s="0" t="n">
        <v>7112</v>
      </c>
      <c r="B7116" s="0" t="n">
        <v>10</v>
      </c>
      <c r="C7116" s="19" t="n">
        <v>0.2227</v>
      </c>
      <c r="D7116" s="19" t="n">
        <v>0.8794</v>
      </c>
      <c r="E7116" s="20" t="n">
        <f aca="false">Parametres!$B$5*C7116</f>
        <v>66.81</v>
      </c>
      <c r="F7116" s="20" t="n">
        <f aca="false">Parametres!$B$6*D7116</f>
        <v>175.88</v>
      </c>
      <c r="G7116" s="20" t="n">
        <f aca="false">E7116+F7116</f>
        <v>242.69</v>
      </c>
      <c r="H7116" s="20" t="n">
        <f aca="false">IF(G7116&lt;Parametres!$B$8*Parametres!$B$7,0,MIN(G7116,Parametres!$B$7))</f>
        <v>242.69</v>
      </c>
      <c r="I7116" s="20" t="n">
        <f aca="false">G7116-H7116</f>
        <v>0</v>
      </c>
      <c r="J7116" s="21" t="n">
        <f aca="false">H7116*1000/Parametres!$B$9</f>
        <v>4115.48244870273</v>
      </c>
    </row>
    <row r="7117" customFormat="false" ht="15" hidden="false" customHeight="false" outlineLevel="0" collapsed="false">
      <c r="A7117" s="0" t="n">
        <v>7113</v>
      </c>
      <c r="B7117" s="0" t="n">
        <v>10</v>
      </c>
      <c r="C7117" s="19" t="n">
        <v>0.4213</v>
      </c>
      <c r="D7117" s="19" t="n">
        <v>1</v>
      </c>
      <c r="E7117" s="20" t="n">
        <f aca="false">Parametres!$B$5*C7117</f>
        <v>126.39</v>
      </c>
      <c r="F7117" s="20" t="n">
        <f aca="false">Parametres!$B$6*D7117</f>
        <v>200</v>
      </c>
      <c r="G7117" s="20" t="n">
        <f aca="false">E7117+F7117</f>
        <v>326.39</v>
      </c>
      <c r="H7117" s="20" t="n">
        <f aca="false">IF(G7117&lt;Parametres!$B$8*Parametres!$B$7,0,MIN(G7117,Parametres!$B$7))</f>
        <v>250</v>
      </c>
      <c r="I7117" s="20" t="n">
        <f aca="false">G7117-H7117</f>
        <v>76.39</v>
      </c>
      <c r="J7117" s="21" t="n">
        <f aca="false">H7117*1000/Parametres!$B$9</f>
        <v>4239.44378497541</v>
      </c>
    </row>
    <row r="7118" customFormat="false" ht="15" hidden="false" customHeight="false" outlineLevel="0" collapsed="false">
      <c r="A7118" s="0" t="n">
        <v>7114</v>
      </c>
      <c r="B7118" s="0" t="n">
        <v>10</v>
      </c>
      <c r="C7118" s="19" t="n">
        <v>0.6067</v>
      </c>
      <c r="D7118" s="19" t="n">
        <v>1</v>
      </c>
      <c r="E7118" s="20" t="n">
        <f aca="false">Parametres!$B$5*C7118</f>
        <v>182.01</v>
      </c>
      <c r="F7118" s="20" t="n">
        <f aca="false">Parametres!$B$6*D7118</f>
        <v>200</v>
      </c>
      <c r="G7118" s="20" t="n">
        <f aca="false">E7118+F7118</f>
        <v>382.01</v>
      </c>
      <c r="H7118" s="20" t="n">
        <f aca="false">IF(G7118&lt;Parametres!$B$8*Parametres!$B$7,0,MIN(G7118,Parametres!$B$7))</f>
        <v>250</v>
      </c>
      <c r="I7118" s="20" t="n">
        <f aca="false">G7118-H7118</f>
        <v>132.01</v>
      </c>
      <c r="J7118" s="21" t="n">
        <f aca="false">H7118*1000/Parametres!$B$9</f>
        <v>4239.44378497541</v>
      </c>
    </row>
    <row r="7119" customFormat="false" ht="15" hidden="false" customHeight="false" outlineLevel="0" collapsed="false">
      <c r="A7119" s="0" t="n">
        <v>7115</v>
      </c>
      <c r="B7119" s="0" t="n">
        <v>10</v>
      </c>
      <c r="C7119" s="19" t="n">
        <v>0.7107</v>
      </c>
      <c r="D7119" s="19" t="n">
        <v>1</v>
      </c>
      <c r="E7119" s="20" t="n">
        <f aca="false">Parametres!$B$5*C7119</f>
        <v>213.21</v>
      </c>
      <c r="F7119" s="20" t="n">
        <f aca="false">Parametres!$B$6*D7119</f>
        <v>200</v>
      </c>
      <c r="G7119" s="20" t="n">
        <f aca="false">E7119+F7119</f>
        <v>413.21</v>
      </c>
      <c r="H7119" s="20" t="n">
        <f aca="false">IF(G7119&lt;Parametres!$B$8*Parametres!$B$7,0,MIN(G7119,Parametres!$B$7))</f>
        <v>250</v>
      </c>
      <c r="I7119" s="20" t="n">
        <f aca="false">G7119-H7119</f>
        <v>163.21</v>
      </c>
      <c r="J7119" s="21" t="n">
        <f aca="false">H7119*1000/Parametres!$B$9</f>
        <v>4239.44378497541</v>
      </c>
    </row>
    <row r="7120" customFormat="false" ht="15" hidden="false" customHeight="false" outlineLevel="0" collapsed="false">
      <c r="A7120" s="0" t="n">
        <v>7116</v>
      </c>
      <c r="B7120" s="0" t="n">
        <v>10</v>
      </c>
      <c r="C7120" s="19" t="n">
        <v>0.7893</v>
      </c>
      <c r="D7120" s="19" t="n">
        <v>1</v>
      </c>
      <c r="E7120" s="20" t="n">
        <f aca="false">Parametres!$B$5*C7120</f>
        <v>236.79</v>
      </c>
      <c r="F7120" s="20" t="n">
        <f aca="false">Parametres!$B$6*D7120</f>
        <v>200</v>
      </c>
      <c r="G7120" s="20" t="n">
        <f aca="false">E7120+F7120</f>
        <v>436.79</v>
      </c>
      <c r="H7120" s="20" t="n">
        <f aca="false">IF(G7120&lt;Parametres!$B$8*Parametres!$B$7,0,MIN(G7120,Parametres!$B$7))</f>
        <v>250</v>
      </c>
      <c r="I7120" s="20" t="n">
        <f aca="false">G7120-H7120</f>
        <v>186.79</v>
      </c>
      <c r="J7120" s="21" t="n">
        <f aca="false">H7120*1000/Parametres!$B$9</f>
        <v>4239.44378497541</v>
      </c>
    </row>
    <row r="7121" customFormat="false" ht="15" hidden="false" customHeight="false" outlineLevel="0" collapsed="false">
      <c r="A7121" s="0" t="n">
        <v>7117</v>
      </c>
      <c r="B7121" s="0" t="n">
        <v>10</v>
      </c>
      <c r="C7121" s="19" t="n">
        <v>0.8255</v>
      </c>
      <c r="D7121" s="19" t="n">
        <v>1</v>
      </c>
      <c r="E7121" s="20" t="n">
        <f aca="false">Parametres!$B$5*C7121</f>
        <v>247.65</v>
      </c>
      <c r="F7121" s="20" t="n">
        <f aca="false">Parametres!$B$6*D7121</f>
        <v>200</v>
      </c>
      <c r="G7121" s="20" t="n">
        <f aca="false">E7121+F7121</f>
        <v>447.65</v>
      </c>
      <c r="H7121" s="20" t="n">
        <f aca="false">IF(G7121&lt;Parametres!$B$8*Parametres!$B$7,0,MIN(G7121,Parametres!$B$7))</f>
        <v>250</v>
      </c>
      <c r="I7121" s="20" t="n">
        <f aca="false">G7121-H7121</f>
        <v>197.65</v>
      </c>
      <c r="J7121" s="21" t="n">
        <f aca="false">H7121*1000/Parametres!$B$9</f>
        <v>4239.44378497541</v>
      </c>
    </row>
    <row r="7122" customFormat="false" ht="15" hidden="false" customHeight="false" outlineLevel="0" collapsed="false">
      <c r="A7122" s="0" t="n">
        <v>7118</v>
      </c>
      <c r="B7122" s="0" t="n">
        <v>10</v>
      </c>
      <c r="C7122" s="19" t="n">
        <v>0.748</v>
      </c>
      <c r="D7122" s="19" t="n">
        <v>1</v>
      </c>
      <c r="E7122" s="20" t="n">
        <f aca="false">Parametres!$B$5*C7122</f>
        <v>224.4</v>
      </c>
      <c r="F7122" s="20" t="n">
        <f aca="false">Parametres!$B$6*D7122</f>
        <v>200</v>
      </c>
      <c r="G7122" s="20" t="n">
        <f aca="false">E7122+F7122</f>
        <v>424.4</v>
      </c>
      <c r="H7122" s="20" t="n">
        <f aca="false">IF(G7122&lt;Parametres!$B$8*Parametres!$B$7,0,MIN(G7122,Parametres!$B$7))</f>
        <v>250</v>
      </c>
      <c r="I7122" s="20" t="n">
        <f aca="false">G7122-H7122</f>
        <v>174.4</v>
      </c>
      <c r="J7122" s="21" t="n">
        <f aca="false">H7122*1000/Parametres!$B$9</f>
        <v>4239.44378497541</v>
      </c>
    </row>
    <row r="7123" customFormat="false" ht="15" hidden="false" customHeight="false" outlineLevel="0" collapsed="false">
      <c r="A7123" s="0" t="n">
        <v>7119</v>
      </c>
      <c r="B7123" s="0" t="n">
        <v>10</v>
      </c>
      <c r="C7123" s="19" t="n">
        <v>0.631</v>
      </c>
      <c r="D7123" s="19" t="n">
        <v>1</v>
      </c>
      <c r="E7123" s="20" t="n">
        <f aca="false">Parametres!$B$5*C7123</f>
        <v>189.3</v>
      </c>
      <c r="F7123" s="20" t="n">
        <f aca="false">Parametres!$B$6*D7123</f>
        <v>200</v>
      </c>
      <c r="G7123" s="20" t="n">
        <f aca="false">E7123+F7123</f>
        <v>389.3</v>
      </c>
      <c r="H7123" s="20" t="n">
        <f aca="false">IF(G7123&lt;Parametres!$B$8*Parametres!$B$7,0,MIN(G7123,Parametres!$B$7))</f>
        <v>250</v>
      </c>
      <c r="I7123" s="20" t="n">
        <f aca="false">G7123-H7123</f>
        <v>139.3</v>
      </c>
      <c r="J7123" s="21" t="n">
        <f aca="false">H7123*1000/Parametres!$B$9</f>
        <v>4239.44378497541</v>
      </c>
    </row>
    <row r="7124" customFormat="false" ht="15" hidden="false" customHeight="false" outlineLevel="0" collapsed="false">
      <c r="A7124" s="0" t="n">
        <v>7120</v>
      </c>
      <c r="B7124" s="0" t="n">
        <v>10</v>
      </c>
      <c r="C7124" s="19" t="n">
        <v>0.4078</v>
      </c>
      <c r="D7124" s="19" t="n">
        <v>1</v>
      </c>
      <c r="E7124" s="20" t="n">
        <f aca="false">Parametres!$B$5*C7124</f>
        <v>122.34</v>
      </c>
      <c r="F7124" s="20" t="n">
        <f aca="false">Parametres!$B$6*D7124</f>
        <v>200</v>
      </c>
      <c r="G7124" s="20" t="n">
        <f aca="false">E7124+F7124</f>
        <v>322.34</v>
      </c>
      <c r="H7124" s="20" t="n">
        <f aca="false">IF(G7124&lt;Parametres!$B$8*Parametres!$B$7,0,MIN(G7124,Parametres!$B$7))</f>
        <v>250</v>
      </c>
      <c r="I7124" s="20" t="n">
        <f aca="false">G7124-H7124</f>
        <v>72.34</v>
      </c>
      <c r="J7124" s="21" t="n">
        <f aca="false">H7124*1000/Parametres!$B$9</f>
        <v>4239.44378497541</v>
      </c>
    </row>
    <row r="7125" customFormat="false" ht="15" hidden="false" customHeight="false" outlineLevel="0" collapsed="false">
      <c r="A7125" s="0" t="n">
        <v>7121</v>
      </c>
      <c r="B7125" s="0" t="n">
        <v>10</v>
      </c>
      <c r="C7125" s="19" t="n">
        <v>0.2097</v>
      </c>
      <c r="D7125" s="19" t="n">
        <v>1</v>
      </c>
      <c r="E7125" s="20" t="n">
        <f aca="false">Parametres!$B$5*C7125</f>
        <v>62.91</v>
      </c>
      <c r="F7125" s="20" t="n">
        <f aca="false">Parametres!$B$6*D7125</f>
        <v>200</v>
      </c>
      <c r="G7125" s="20" t="n">
        <f aca="false">E7125+F7125</f>
        <v>262.91</v>
      </c>
      <c r="H7125" s="20" t="n">
        <f aca="false">IF(G7125&lt;Parametres!$B$8*Parametres!$B$7,0,MIN(G7125,Parametres!$B$7))</f>
        <v>250</v>
      </c>
      <c r="I7125" s="20" t="n">
        <f aca="false">G7125-H7125</f>
        <v>12.91</v>
      </c>
      <c r="J7125" s="21" t="n">
        <f aca="false">H7125*1000/Parametres!$B$9</f>
        <v>4239.44378497541</v>
      </c>
    </row>
    <row r="7126" customFormat="false" ht="15" hidden="false" customHeight="false" outlineLevel="0" collapsed="false">
      <c r="A7126" s="0" t="n">
        <v>7122</v>
      </c>
      <c r="B7126" s="0" t="n">
        <v>10</v>
      </c>
      <c r="C7126" s="19" t="n">
        <v>0.0063</v>
      </c>
      <c r="D7126" s="19" t="n">
        <v>1</v>
      </c>
      <c r="E7126" s="20" t="n">
        <f aca="false">Parametres!$B$5*C7126</f>
        <v>1.89</v>
      </c>
      <c r="F7126" s="20" t="n">
        <f aca="false">Parametres!$B$6*D7126</f>
        <v>200</v>
      </c>
      <c r="G7126" s="20" t="n">
        <f aca="false">E7126+F7126</f>
        <v>201.89</v>
      </c>
      <c r="H7126" s="20" t="n">
        <f aca="false">IF(G7126&lt;Parametres!$B$8*Parametres!$B$7,0,MIN(G7126,Parametres!$B$7))</f>
        <v>201.89</v>
      </c>
      <c r="I7126" s="20" t="n">
        <f aca="false">G7126-H7126</f>
        <v>0</v>
      </c>
      <c r="J7126" s="21" t="n">
        <f aca="false">H7126*1000/Parametres!$B$9</f>
        <v>3423.60522299474</v>
      </c>
    </row>
    <row r="7127" customFormat="false" ht="15" hidden="false" customHeight="false" outlineLevel="0" collapsed="false">
      <c r="A7127" s="0" t="n">
        <v>7123</v>
      </c>
      <c r="B7127" s="0" t="n">
        <v>10</v>
      </c>
      <c r="C7127" s="19" t="n">
        <v>0</v>
      </c>
      <c r="D7127" s="19" t="n">
        <v>1</v>
      </c>
      <c r="E7127" s="20" t="n">
        <f aca="false">Parametres!$B$5*C7127</f>
        <v>0</v>
      </c>
      <c r="F7127" s="20" t="n">
        <f aca="false">Parametres!$B$6*D7127</f>
        <v>200</v>
      </c>
      <c r="G7127" s="20" t="n">
        <f aca="false">E7127+F7127</f>
        <v>200</v>
      </c>
      <c r="H7127" s="20" t="n">
        <f aca="false">IF(G7127&lt;Parametres!$B$8*Parametres!$B$7,0,MIN(G7127,Parametres!$B$7))</f>
        <v>200</v>
      </c>
      <c r="I7127" s="20" t="n">
        <f aca="false">G7127-H7127</f>
        <v>0</v>
      </c>
      <c r="J7127" s="21" t="n">
        <f aca="false">H7127*1000/Parametres!$B$9</f>
        <v>3391.55502798033</v>
      </c>
    </row>
    <row r="7128" customFormat="false" ht="15" hidden="false" customHeight="false" outlineLevel="0" collapsed="false">
      <c r="A7128" s="0" t="n">
        <v>7124</v>
      </c>
      <c r="B7128" s="0" t="n">
        <v>10</v>
      </c>
      <c r="C7128" s="19" t="n">
        <v>0</v>
      </c>
      <c r="D7128" s="19" t="n">
        <v>1</v>
      </c>
      <c r="E7128" s="20" t="n">
        <f aca="false">Parametres!$B$5*C7128</f>
        <v>0</v>
      </c>
      <c r="F7128" s="20" t="n">
        <f aca="false">Parametres!$B$6*D7128</f>
        <v>200</v>
      </c>
      <c r="G7128" s="20" t="n">
        <f aca="false">E7128+F7128</f>
        <v>200</v>
      </c>
      <c r="H7128" s="20" t="n">
        <f aca="false">IF(G7128&lt;Parametres!$B$8*Parametres!$B$7,0,MIN(G7128,Parametres!$B$7))</f>
        <v>200</v>
      </c>
      <c r="I7128" s="20" t="n">
        <f aca="false">G7128-H7128</f>
        <v>0</v>
      </c>
      <c r="J7128" s="21" t="n">
        <f aca="false">H7128*1000/Parametres!$B$9</f>
        <v>3391.55502798033</v>
      </c>
    </row>
    <row r="7129" customFormat="false" ht="15" hidden="false" customHeight="false" outlineLevel="0" collapsed="false">
      <c r="A7129" s="0" t="n">
        <v>7125</v>
      </c>
      <c r="B7129" s="0" t="n">
        <v>10</v>
      </c>
      <c r="C7129" s="19" t="n">
        <v>0</v>
      </c>
      <c r="D7129" s="19" t="n">
        <v>1</v>
      </c>
      <c r="E7129" s="20" t="n">
        <f aca="false">Parametres!$B$5*C7129</f>
        <v>0</v>
      </c>
      <c r="F7129" s="20" t="n">
        <f aca="false">Parametres!$B$6*D7129</f>
        <v>200</v>
      </c>
      <c r="G7129" s="20" t="n">
        <f aca="false">E7129+F7129</f>
        <v>200</v>
      </c>
      <c r="H7129" s="20" t="n">
        <f aca="false">IF(G7129&lt;Parametres!$B$8*Parametres!$B$7,0,MIN(G7129,Parametres!$B$7))</f>
        <v>200</v>
      </c>
      <c r="I7129" s="20" t="n">
        <f aca="false">G7129-H7129</f>
        <v>0</v>
      </c>
      <c r="J7129" s="21" t="n">
        <f aca="false">H7129*1000/Parametres!$B$9</f>
        <v>3391.55502798033</v>
      </c>
    </row>
    <row r="7130" customFormat="false" ht="15" hidden="false" customHeight="false" outlineLevel="0" collapsed="false">
      <c r="A7130" s="0" t="n">
        <v>7126</v>
      </c>
      <c r="B7130" s="0" t="n">
        <v>10</v>
      </c>
      <c r="C7130" s="19" t="n">
        <v>0</v>
      </c>
      <c r="D7130" s="19" t="n">
        <v>1</v>
      </c>
      <c r="E7130" s="20" t="n">
        <f aca="false">Parametres!$B$5*C7130</f>
        <v>0</v>
      </c>
      <c r="F7130" s="20" t="n">
        <f aca="false">Parametres!$B$6*D7130</f>
        <v>200</v>
      </c>
      <c r="G7130" s="20" t="n">
        <f aca="false">E7130+F7130</f>
        <v>200</v>
      </c>
      <c r="H7130" s="20" t="n">
        <f aca="false">IF(G7130&lt;Parametres!$B$8*Parametres!$B$7,0,MIN(G7130,Parametres!$B$7))</f>
        <v>200</v>
      </c>
      <c r="I7130" s="20" t="n">
        <f aca="false">G7130-H7130</f>
        <v>0</v>
      </c>
      <c r="J7130" s="21" t="n">
        <f aca="false">H7130*1000/Parametres!$B$9</f>
        <v>3391.55502798033</v>
      </c>
    </row>
    <row r="7131" customFormat="false" ht="15" hidden="false" customHeight="false" outlineLevel="0" collapsed="false">
      <c r="A7131" s="0" t="n">
        <v>7127</v>
      </c>
      <c r="B7131" s="0" t="n">
        <v>10</v>
      </c>
      <c r="C7131" s="19" t="n">
        <v>0</v>
      </c>
      <c r="D7131" s="19" t="n">
        <v>1</v>
      </c>
      <c r="E7131" s="20" t="n">
        <f aca="false">Parametres!$B$5*C7131</f>
        <v>0</v>
      </c>
      <c r="F7131" s="20" t="n">
        <f aca="false">Parametres!$B$6*D7131</f>
        <v>200</v>
      </c>
      <c r="G7131" s="20" t="n">
        <f aca="false">E7131+F7131</f>
        <v>200</v>
      </c>
      <c r="H7131" s="20" t="n">
        <f aca="false">IF(G7131&lt;Parametres!$B$8*Parametres!$B$7,0,MIN(G7131,Parametres!$B$7))</f>
        <v>200</v>
      </c>
      <c r="I7131" s="20" t="n">
        <f aca="false">G7131-H7131</f>
        <v>0</v>
      </c>
      <c r="J7131" s="21" t="n">
        <f aca="false">H7131*1000/Parametres!$B$9</f>
        <v>3391.55502798033</v>
      </c>
    </row>
    <row r="7132" customFormat="false" ht="15" hidden="false" customHeight="false" outlineLevel="0" collapsed="false">
      <c r="A7132" s="0" t="n">
        <v>7128</v>
      </c>
      <c r="B7132" s="0" t="n">
        <v>10</v>
      </c>
      <c r="C7132" s="19" t="n">
        <v>0</v>
      </c>
      <c r="D7132" s="19" t="n">
        <v>1</v>
      </c>
      <c r="E7132" s="20" t="n">
        <f aca="false">Parametres!$B$5*C7132</f>
        <v>0</v>
      </c>
      <c r="F7132" s="20" t="n">
        <f aca="false">Parametres!$B$6*D7132</f>
        <v>200</v>
      </c>
      <c r="G7132" s="20" t="n">
        <f aca="false">E7132+F7132</f>
        <v>200</v>
      </c>
      <c r="H7132" s="20" t="n">
        <f aca="false">IF(G7132&lt;Parametres!$B$8*Parametres!$B$7,0,MIN(G7132,Parametres!$B$7))</f>
        <v>200</v>
      </c>
      <c r="I7132" s="20" t="n">
        <f aca="false">G7132-H7132</f>
        <v>0</v>
      </c>
      <c r="J7132" s="21" t="n">
        <f aca="false">H7132*1000/Parametres!$B$9</f>
        <v>3391.55502798033</v>
      </c>
    </row>
    <row r="7133" customFormat="false" ht="15" hidden="false" customHeight="false" outlineLevel="0" collapsed="false">
      <c r="A7133" s="0" t="n">
        <v>7129</v>
      </c>
      <c r="B7133" s="0" t="n">
        <v>10</v>
      </c>
      <c r="C7133" s="19" t="n">
        <v>0</v>
      </c>
      <c r="D7133" s="19" t="n">
        <v>1</v>
      </c>
      <c r="E7133" s="20" t="n">
        <f aca="false">Parametres!$B$5*C7133</f>
        <v>0</v>
      </c>
      <c r="F7133" s="20" t="n">
        <f aca="false">Parametres!$B$6*D7133</f>
        <v>200</v>
      </c>
      <c r="G7133" s="20" t="n">
        <f aca="false">E7133+F7133</f>
        <v>200</v>
      </c>
      <c r="H7133" s="20" t="n">
        <f aca="false">IF(G7133&lt;Parametres!$B$8*Parametres!$B$7,0,MIN(G7133,Parametres!$B$7))</f>
        <v>200</v>
      </c>
      <c r="I7133" s="20" t="n">
        <f aca="false">G7133-H7133</f>
        <v>0</v>
      </c>
      <c r="J7133" s="21" t="n">
        <f aca="false">H7133*1000/Parametres!$B$9</f>
        <v>3391.55502798033</v>
      </c>
    </row>
    <row r="7134" customFormat="false" ht="15" hidden="false" customHeight="false" outlineLevel="0" collapsed="false">
      <c r="A7134" s="0" t="n">
        <v>7130</v>
      </c>
      <c r="B7134" s="0" t="n">
        <v>10</v>
      </c>
      <c r="C7134" s="19" t="n">
        <v>0</v>
      </c>
      <c r="D7134" s="19" t="n">
        <v>0.987</v>
      </c>
      <c r="E7134" s="20" t="n">
        <f aca="false">Parametres!$B$5*C7134</f>
        <v>0</v>
      </c>
      <c r="F7134" s="20" t="n">
        <f aca="false">Parametres!$B$6*D7134</f>
        <v>197.4</v>
      </c>
      <c r="G7134" s="20" t="n">
        <f aca="false">E7134+F7134</f>
        <v>197.4</v>
      </c>
      <c r="H7134" s="20" t="n">
        <f aca="false">IF(G7134&lt;Parametres!$B$8*Parametres!$B$7,0,MIN(G7134,Parametres!$B$7))</f>
        <v>197.4</v>
      </c>
      <c r="I7134" s="20" t="n">
        <f aca="false">G7134-H7134</f>
        <v>0</v>
      </c>
      <c r="J7134" s="21" t="n">
        <f aca="false">H7134*1000/Parametres!$B$9</f>
        <v>3347.46481261659</v>
      </c>
    </row>
    <row r="7135" customFormat="false" ht="15" hidden="false" customHeight="false" outlineLevel="0" collapsed="false">
      <c r="A7135" s="0" t="n">
        <v>7131</v>
      </c>
      <c r="B7135" s="0" t="n">
        <v>10</v>
      </c>
      <c r="C7135" s="19" t="n">
        <v>0</v>
      </c>
      <c r="D7135" s="19" t="n">
        <v>0.9288</v>
      </c>
      <c r="E7135" s="20" t="n">
        <f aca="false">Parametres!$B$5*C7135</f>
        <v>0</v>
      </c>
      <c r="F7135" s="20" t="n">
        <f aca="false">Parametres!$B$6*D7135</f>
        <v>185.76</v>
      </c>
      <c r="G7135" s="20" t="n">
        <f aca="false">E7135+F7135</f>
        <v>185.76</v>
      </c>
      <c r="H7135" s="20" t="n">
        <f aca="false">IF(G7135&lt;Parametres!$B$8*Parametres!$B$7,0,MIN(G7135,Parametres!$B$7))</f>
        <v>185.76</v>
      </c>
      <c r="I7135" s="20" t="n">
        <f aca="false">G7135-H7135</f>
        <v>0</v>
      </c>
      <c r="J7135" s="21" t="n">
        <f aca="false">H7135*1000/Parametres!$B$9</f>
        <v>3150.07630998813</v>
      </c>
    </row>
    <row r="7136" customFormat="false" ht="15" hidden="false" customHeight="false" outlineLevel="0" collapsed="false">
      <c r="A7136" s="0" t="n">
        <v>7132</v>
      </c>
      <c r="B7136" s="0" t="n">
        <v>10</v>
      </c>
      <c r="C7136" s="19" t="n">
        <v>0</v>
      </c>
      <c r="D7136" s="19" t="n">
        <v>0.8693</v>
      </c>
      <c r="E7136" s="20" t="n">
        <f aca="false">Parametres!$B$5*C7136</f>
        <v>0</v>
      </c>
      <c r="F7136" s="20" t="n">
        <f aca="false">Parametres!$B$6*D7136</f>
        <v>173.86</v>
      </c>
      <c r="G7136" s="20" t="n">
        <f aca="false">E7136+F7136</f>
        <v>173.86</v>
      </c>
      <c r="H7136" s="20" t="n">
        <f aca="false">IF(G7136&lt;Parametres!$B$8*Parametres!$B$7,0,MIN(G7136,Parametres!$B$7))</f>
        <v>173.86</v>
      </c>
      <c r="I7136" s="20" t="n">
        <f aca="false">G7136-H7136</f>
        <v>0</v>
      </c>
      <c r="J7136" s="21" t="n">
        <f aca="false">H7136*1000/Parametres!$B$9</f>
        <v>2948.2787858233</v>
      </c>
    </row>
    <row r="7137" customFormat="false" ht="15" hidden="false" customHeight="false" outlineLevel="0" collapsed="false">
      <c r="A7137" s="0" t="n">
        <v>7133</v>
      </c>
      <c r="B7137" s="0" t="n">
        <v>10</v>
      </c>
      <c r="C7137" s="19" t="n">
        <v>0</v>
      </c>
      <c r="D7137" s="19" t="n">
        <v>0.7391</v>
      </c>
      <c r="E7137" s="20" t="n">
        <f aca="false">Parametres!$B$5*C7137</f>
        <v>0</v>
      </c>
      <c r="F7137" s="20" t="n">
        <f aca="false">Parametres!$B$6*D7137</f>
        <v>147.82</v>
      </c>
      <c r="G7137" s="20" t="n">
        <f aca="false">E7137+F7137</f>
        <v>147.82</v>
      </c>
      <c r="H7137" s="20" t="n">
        <f aca="false">IF(G7137&lt;Parametres!$B$8*Parametres!$B$7,0,MIN(G7137,Parametres!$B$7))</f>
        <v>147.82</v>
      </c>
      <c r="I7137" s="20" t="n">
        <f aca="false">G7137-H7137</f>
        <v>0</v>
      </c>
      <c r="J7137" s="21" t="n">
        <f aca="false">H7137*1000/Parametres!$B$9</f>
        <v>2506.69832118026</v>
      </c>
    </row>
    <row r="7138" customFormat="false" ht="15" hidden="false" customHeight="false" outlineLevel="0" collapsed="false">
      <c r="A7138" s="0" t="n">
        <v>7134</v>
      </c>
      <c r="B7138" s="0" t="n">
        <v>10</v>
      </c>
      <c r="C7138" s="19" t="n">
        <v>0</v>
      </c>
      <c r="D7138" s="19" t="n">
        <v>0.8505</v>
      </c>
      <c r="E7138" s="20" t="n">
        <f aca="false">Parametres!$B$5*C7138</f>
        <v>0</v>
      </c>
      <c r="F7138" s="20" t="n">
        <f aca="false">Parametres!$B$6*D7138</f>
        <v>170.1</v>
      </c>
      <c r="G7138" s="20" t="n">
        <f aca="false">E7138+F7138</f>
        <v>170.1</v>
      </c>
      <c r="H7138" s="20" t="n">
        <f aca="false">IF(G7138&lt;Parametres!$B$8*Parametres!$B$7,0,MIN(G7138,Parametres!$B$7))</f>
        <v>170.1</v>
      </c>
      <c r="I7138" s="20" t="n">
        <f aca="false">G7138-H7138</f>
        <v>0</v>
      </c>
      <c r="J7138" s="21" t="n">
        <f aca="false">H7138*1000/Parametres!$B$9</f>
        <v>2884.51755129727</v>
      </c>
    </row>
    <row r="7139" customFormat="false" ht="15" hidden="false" customHeight="false" outlineLevel="0" collapsed="false">
      <c r="A7139" s="0" t="n">
        <v>7135</v>
      </c>
      <c r="B7139" s="0" t="n">
        <v>10</v>
      </c>
      <c r="C7139" s="19" t="n">
        <v>0.0056</v>
      </c>
      <c r="D7139" s="19" t="n">
        <v>0.785</v>
      </c>
      <c r="E7139" s="20" t="n">
        <f aca="false">Parametres!$B$5*C7139</f>
        <v>1.68</v>
      </c>
      <c r="F7139" s="20" t="n">
        <f aca="false">Parametres!$B$6*D7139</f>
        <v>157</v>
      </c>
      <c r="G7139" s="20" t="n">
        <f aca="false">E7139+F7139</f>
        <v>158.68</v>
      </c>
      <c r="H7139" s="20" t="n">
        <f aca="false">IF(G7139&lt;Parametres!$B$8*Parametres!$B$7,0,MIN(G7139,Parametres!$B$7))</f>
        <v>158.68</v>
      </c>
      <c r="I7139" s="20" t="n">
        <f aca="false">G7139-H7139</f>
        <v>0</v>
      </c>
      <c r="J7139" s="21" t="n">
        <f aca="false">H7139*1000/Parametres!$B$9</f>
        <v>2690.85975919959</v>
      </c>
    </row>
    <row r="7140" customFormat="false" ht="15" hidden="false" customHeight="false" outlineLevel="0" collapsed="false">
      <c r="A7140" s="0" t="n">
        <v>7136</v>
      </c>
      <c r="B7140" s="0" t="n">
        <v>10</v>
      </c>
      <c r="C7140" s="19" t="n">
        <v>0.2579</v>
      </c>
      <c r="D7140" s="19" t="n">
        <v>0.8692</v>
      </c>
      <c r="E7140" s="20" t="n">
        <f aca="false">Parametres!$B$5*C7140</f>
        <v>77.37</v>
      </c>
      <c r="F7140" s="20" t="n">
        <f aca="false">Parametres!$B$6*D7140</f>
        <v>173.84</v>
      </c>
      <c r="G7140" s="20" t="n">
        <f aca="false">E7140+F7140</f>
        <v>251.21</v>
      </c>
      <c r="H7140" s="20" t="n">
        <f aca="false">IF(G7140&lt;Parametres!$B$8*Parametres!$B$7,0,MIN(G7140,Parametres!$B$7))</f>
        <v>250</v>
      </c>
      <c r="I7140" s="20" t="n">
        <f aca="false">G7140-H7140</f>
        <v>1.21000000000001</v>
      </c>
      <c r="J7140" s="21" t="n">
        <f aca="false">H7140*1000/Parametres!$B$9</f>
        <v>4239.44378497541</v>
      </c>
    </row>
    <row r="7141" customFormat="false" ht="15" hidden="false" customHeight="false" outlineLevel="0" collapsed="false">
      <c r="A7141" s="0" t="n">
        <v>7137</v>
      </c>
      <c r="B7141" s="0" t="n">
        <v>10</v>
      </c>
      <c r="C7141" s="19" t="n">
        <v>0.5347</v>
      </c>
      <c r="D7141" s="19" t="n">
        <v>1</v>
      </c>
      <c r="E7141" s="20" t="n">
        <f aca="false">Parametres!$B$5*C7141</f>
        <v>160.41</v>
      </c>
      <c r="F7141" s="20" t="n">
        <f aca="false">Parametres!$B$6*D7141</f>
        <v>200</v>
      </c>
      <c r="G7141" s="20" t="n">
        <f aca="false">E7141+F7141</f>
        <v>360.41</v>
      </c>
      <c r="H7141" s="20" t="n">
        <f aca="false">IF(G7141&lt;Parametres!$B$8*Parametres!$B$7,0,MIN(G7141,Parametres!$B$7))</f>
        <v>250</v>
      </c>
      <c r="I7141" s="20" t="n">
        <f aca="false">G7141-H7141</f>
        <v>110.41</v>
      </c>
      <c r="J7141" s="21" t="n">
        <f aca="false">H7141*1000/Parametres!$B$9</f>
        <v>4239.44378497541</v>
      </c>
    </row>
    <row r="7142" customFormat="false" ht="15" hidden="false" customHeight="false" outlineLevel="0" collapsed="false">
      <c r="A7142" s="0" t="n">
        <v>7138</v>
      </c>
      <c r="B7142" s="0" t="n">
        <v>10</v>
      </c>
      <c r="C7142" s="19" t="n">
        <v>0.7503</v>
      </c>
      <c r="D7142" s="19" t="n">
        <v>1</v>
      </c>
      <c r="E7142" s="20" t="n">
        <f aca="false">Parametres!$B$5*C7142</f>
        <v>225.09</v>
      </c>
      <c r="F7142" s="20" t="n">
        <f aca="false">Parametres!$B$6*D7142</f>
        <v>200</v>
      </c>
      <c r="G7142" s="20" t="n">
        <f aca="false">E7142+F7142</f>
        <v>425.09</v>
      </c>
      <c r="H7142" s="20" t="n">
        <f aca="false">IF(G7142&lt;Parametres!$B$8*Parametres!$B$7,0,MIN(G7142,Parametres!$B$7))</f>
        <v>250</v>
      </c>
      <c r="I7142" s="20" t="n">
        <f aca="false">G7142-H7142</f>
        <v>175.09</v>
      </c>
      <c r="J7142" s="21" t="n">
        <f aca="false">H7142*1000/Parametres!$B$9</f>
        <v>4239.44378497541</v>
      </c>
    </row>
    <row r="7143" customFormat="false" ht="15" hidden="false" customHeight="false" outlineLevel="0" collapsed="false">
      <c r="A7143" s="0" t="n">
        <v>7139</v>
      </c>
      <c r="B7143" s="0" t="n">
        <v>10</v>
      </c>
      <c r="C7143" s="19" t="n">
        <v>0.8843</v>
      </c>
      <c r="D7143" s="19" t="n">
        <v>1</v>
      </c>
      <c r="E7143" s="20" t="n">
        <f aca="false">Parametres!$B$5*C7143</f>
        <v>265.29</v>
      </c>
      <c r="F7143" s="20" t="n">
        <f aca="false">Parametres!$B$6*D7143</f>
        <v>200</v>
      </c>
      <c r="G7143" s="20" t="n">
        <f aca="false">E7143+F7143</f>
        <v>465.29</v>
      </c>
      <c r="H7143" s="20" t="n">
        <f aca="false">IF(G7143&lt;Parametres!$B$8*Parametres!$B$7,0,MIN(G7143,Parametres!$B$7))</f>
        <v>250</v>
      </c>
      <c r="I7143" s="20" t="n">
        <f aca="false">G7143-H7143</f>
        <v>215.29</v>
      </c>
      <c r="J7143" s="21" t="n">
        <f aca="false">H7143*1000/Parametres!$B$9</f>
        <v>4239.44378497541</v>
      </c>
    </row>
    <row r="7144" customFormat="false" ht="15" hidden="false" customHeight="false" outlineLevel="0" collapsed="false">
      <c r="A7144" s="0" t="n">
        <v>7140</v>
      </c>
      <c r="B7144" s="0" t="n">
        <v>10</v>
      </c>
      <c r="C7144" s="19" t="n">
        <v>1</v>
      </c>
      <c r="D7144" s="19" t="n">
        <v>1</v>
      </c>
      <c r="E7144" s="20" t="n">
        <f aca="false">Parametres!$B$5*C7144</f>
        <v>300</v>
      </c>
      <c r="F7144" s="20" t="n">
        <f aca="false">Parametres!$B$6*D7144</f>
        <v>200</v>
      </c>
      <c r="G7144" s="20" t="n">
        <f aca="false">E7144+F7144</f>
        <v>500</v>
      </c>
      <c r="H7144" s="20" t="n">
        <f aca="false">IF(G7144&lt;Parametres!$B$8*Parametres!$B$7,0,MIN(G7144,Parametres!$B$7))</f>
        <v>250</v>
      </c>
      <c r="I7144" s="20" t="n">
        <f aca="false">G7144-H7144</f>
        <v>250</v>
      </c>
      <c r="J7144" s="21" t="n">
        <f aca="false">H7144*1000/Parametres!$B$9</f>
        <v>4239.44378497541</v>
      </c>
    </row>
    <row r="7145" customFormat="false" ht="15" hidden="false" customHeight="false" outlineLevel="0" collapsed="false">
      <c r="A7145" s="0" t="n">
        <v>7141</v>
      </c>
      <c r="B7145" s="0" t="n">
        <v>10</v>
      </c>
      <c r="C7145" s="19" t="n">
        <v>1</v>
      </c>
      <c r="D7145" s="19" t="n">
        <v>1</v>
      </c>
      <c r="E7145" s="20" t="n">
        <f aca="false">Parametres!$B$5*C7145</f>
        <v>300</v>
      </c>
      <c r="F7145" s="20" t="n">
        <f aca="false">Parametres!$B$6*D7145</f>
        <v>200</v>
      </c>
      <c r="G7145" s="20" t="n">
        <f aca="false">E7145+F7145</f>
        <v>500</v>
      </c>
      <c r="H7145" s="20" t="n">
        <f aca="false">IF(G7145&lt;Parametres!$B$8*Parametres!$B$7,0,MIN(G7145,Parametres!$B$7))</f>
        <v>250</v>
      </c>
      <c r="I7145" s="20" t="n">
        <f aca="false">G7145-H7145</f>
        <v>250</v>
      </c>
      <c r="J7145" s="21" t="n">
        <f aca="false">H7145*1000/Parametres!$B$9</f>
        <v>4239.44378497541</v>
      </c>
    </row>
    <row r="7146" customFormat="false" ht="15" hidden="false" customHeight="false" outlineLevel="0" collapsed="false">
      <c r="A7146" s="0" t="n">
        <v>7142</v>
      </c>
      <c r="B7146" s="0" t="n">
        <v>10</v>
      </c>
      <c r="C7146" s="19" t="n">
        <v>0.9006</v>
      </c>
      <c r="D7146" s="19" t="n">
        <v>1</v>
      </c>
      <c r="E7146" s="20" t="n">
        <f aca="false">Parametres!$B$5*C7146</f>
        <v>270.18</v>
      </c>
      <c r="F7146" s="20" t="n">
        <f aca="false">Parametres!$B$6*D7146</f>
        <v>200</v>
      </c>
      <c r="G7146" s="20" t="n">
        <f aca="false">E7146+F7146</f>
        <v>470.18</v>
      </c>
      <c r="H7146" s="20" t="n">
        <f aca="false">IF(G7146&lt;Parametres!$B$8*Parametres!$B$7,0,MIN(G7146,Parametres!$B$7))</f>
        <v>250</v>
      </c>
      <c r="I7146" s="20" t="n">
        <f aca="false">G7146-H7146</f>
        <v>220.18</v>
      </c>
      <c r="J7146" s="21" t="n">
        <f aca="false">H7146*1000/Parametres!$B$9</f>
        <v>4239.44378497541</v>
      </c>
    </row>
    <row r="7147" customFormat="false" ht="15" hidden="false" customHeight="false" outlineLevel="0" collapsed="false">
      <c r="A7147" s="0" t="n">
        <v>7143</v>
      </c>
      <c r="B7147" s="0" t="n">
        <v>10</v>
      </c>
      <c r="C7147" s="19" t="n">
        <v>0.7631</v>
      </c>
      <c r="D7147" s="19" t="n">
        <v>1</v>
      </c>
      <c r="E7147" s="20" t="n">
        <f aca="false">Parametres!$B$5*C7147</f>
        <v>228.93</v>
      </c>
      <c r="F7147" s="20" t="n">
        <f aca="false">Parametres!$B$6*D7147</f>
        <v>200</v>
      </c>
      <c r="G7147" s="20" t="n">
        <f aca="false">E7147+F7147</f>
        <v>428.93</v>
      </c>
      <c r="H7147" s="20" t="n">
        <f aca="false">IF(G7147&lt;Parametres!$B$8*Parametres!$B$7,0,MIN(G7147,Parametres!$B$7))</f>
        <v>250</v>
      </c>
      <c r="I7147" s="20" t="n">
        <f aca="false">G7147-H7147</f>
        <v>178.93</v>
      </c>
      <c r="J7147" s="21" t="n">
        <f aca="false">H7147*1000/Parametres!$B$9</f>
        <v>4239.44378497541</v>
      </c>
    </row>
    <row r="7148" customFormat="false" ht="15" hidden="false" customHeight="false" outlineLevel="0" collapsed="false">
      <c r="A7148" s="0" t="n">
        <v>7144</v>
      </c>
      <c r="B7148" s="0" t="n">
        <v>10</v>
      </c>
      <c r="C7148" s="19" t="n">
        <v>0.514</v>
      </c>
      <c r="D7148" s="19" t="n">
        <v>1</v>
      </c>
      <c r="E7148" s="20" t="n">
        <f aca="false">Parametres!$B$5*C7148</f>
        <v>154.2</v>
      </c>
      <c r="F7148" s="20" t="n">
        <f aca="false">Parametres!$B$6*D7148</f>
        <v>200</v>
      </c>
      <c r="G7148" s="20" t="n">
        <f aca="false">E7148+F7148</f>
        <v>354.2</v>
      </c>
      <c r="H7148" s="20" t="n">
        <f aca="false">IF(G7148&lt;Parametres!$B$8*Parametres!$B$7,0,MIN(G7148,Parametres!$B$7))</f>
        <v>250</v>
      </c>
      <c r="I7148" s="20" t="n">
        <f aca="false">G7148-H7148</f>
        <v>104.2</v>
      </c>
      <c r="J7148" s="21" t="n">
        <f aca="false">H7148*1000/Parametres!$B$9</f>
        <v>4239.44378497541</v>
      </c>
    </row>
    <row r="7149" customFormat="false" ht="15" hidden="false" customHeight="false" outlineLevel="0" collapsed="false">
      <c r="A7149" s="0" t="n">
        <v>7145</v>
      </c>
      <c r="B7149" s="0" t="n">
        <v>10</v>
      </c>
      <c r="C7149" s="19" t="n">
        <v>0.2351</v>
      </c>
      <c r="D7149" s="19" t="n">
        <v>1</v>
      </c>
      <c r="E7149" s="20" t="n">
        <f aca="false">Parametres!$B$5*C7149</f>
        <v>70.53</v>
      </c>
      <c r="F7149" s="20" t="n">
        <f aca="false">Parametres!$B$6*D7149</f>
        <v>200</v>
      </c>
      <c r="G7149" s="20" t="n">
        <f aca="false">E7149+F7149</f>
        <v>270.53</v>
      </c>
      <c r="H7149" s="20" t="n">
        <f aca="false">IF(G7149&lt;Parametres!$B$8*Parametres!$B$7,0,MIN(G7149,Parametres!$B$7))</f>
        <v>250</v>
      </c>
      <c r="I7149" s="20" t="n">
        <f aca="false">G7149-H7149</f>
        <v>20.53</v>
      </c>
      <c r="J7149" s="21" t="n">
        <f aca="false">H7149*1000/Parametres!$B$9</f>
        <v>4239.44378497541</v>
      </c>
    </row>
    <row r="7150" customFormat="false" ht="15" hidden="false" customHeight="false" outlineLevel="0" collapsed="false">
      <c r="A7150" s="0" t="n">
        <v>7146</v>
      </c>
      <c r="B7150" s="0" t="n">
        <v>10</v>
      </c>
      <c r="C7150" s="19" t="n">
        <v>0.0056</v>
      </c>
      <c r="D7150" s="19" t="n">
        <v>1</v>
      </c>
      <c r="E7150" s="20" t="n">
        <f aca="false">Parametres!$B$5*C7150</f>
        <v>1.68</v>
      </c>
      <c r="F7150" s="20" t="n">
        <f aca="false">Parametres!$B$6*D7150</f>
        <v>200</v>
      </c>
      <c r="G7150" s="20" t="n">
        <f aca="false">E7150+F7150</f>
        <v>201.68</v>
      </c>
      <c r="H7150" s="20" t="n">
        <f aca="false">IF(G7150&lt;Parametres!$B$8*Parametres!$B$7,0,MIN(G7150,Parametres!$B$7))</f>
        <v>201.68</v>
      </c>
      <c r="I7150" s="20" t="n">
        <f aca="false">G7150-H7150</f>
        <v>0</v>
      </c>
      <c r="J7150" s="21" t="n">
        <f aca="false">H7150*1000/Parametres!$B$9</f>
        <v>3420.04409021536</v>
      </c>
    </row>
    <row r="7151" customFormat="false" ht="15" hidden="false" customHeight="false" outlineLevel="0" collapsed="false">
      <c r="A7151" s="0" t="n">
        <v>7147</v>
      </c>
      <c r="B7151" s="0" t="n">
        <v>10</v>
      </c>
      <c r="C7151" s="19" t="n">
        <v>0</v>
      </c>
      <c r="D7151" s="19" t="n">
        <v>0.7451</v>
      </c>
      <c r="E7151" s="20" t="n">
        <f aca="false">Parametres!$B$5*C7151</f>
        <v>0</v>
      </c>
      <c r="F7151" s="20" t="n">
        <f aca="false">Parametres!$B$6*D7151</f>
        <v>149.02</v>
      </c>
      <c r="G7151" s="20" t="n">
        <f aca="false">E7151+F7151</f>
        <v>149.02</v>
      </c>
      <c r="H7151" s="20" t="n">
        <f aca="false">IF(G7151&lt;Parametres!$B$8*Parametres!$B$7,0,MIN(G7151,Parametres!$B$7))</f>
        <v>149.02</v>
      </c>
      <c r="I7151" s="20" t="n">
        <f aca="false">G7151-H7151</f>
        <v>0</v>
      </c>
      <c r="J7151" s="21" t="n">
        <f aca="false">H7151*1000/Parametres!$B$9</f>
        <v>2527.04765134814</v>
      </c>
    </row>
    <row r="7152" customFormat="false" ht="15" hidden="false" customHeight="false" outlineLevel="0" collapsed="false">
      <c r="A7152" s="0" t="n">
        <v>7148</v>
      </c>
      <c r="B7152" s="0" t="n">
        <v>10</v>
      </c>
      <c r="C7152" s="19" t="n">
        <v>0</v>
      </c>
      <c r="D7152" s="19" t="n">
        <v>0.7088</v>
      </c>
      <c r="E7152" s="20" t="n">
        <f aca="false">Parametres!$B$5*C7152</f>
        <v>0</v>
      </c>
      <c r="F7152" s="20" t="n">
        <f aca="false">Parametres!$B$6*D7152</f>
        <v>141.76</v>
      </c>
      <c r="G7152" s="20" t="n">
        <f aca="false">E7152+F7152</f>
        <v>141.76</v>
      </c>
      <c r="H7152" s="20" t="n">
        <f aca="false">IF(G7152&lt;Parametres!$B$8*Parametres!$B$7,0,MIN(G7152,Parametres!$B$7))</f>
        <v>141.76</v>
      </c>
      <c r="I7152" s="20" t="n">
        <f aca="false">G7152-H7152</f>
        <v>0</v>
      </c>
      <c r="J7152" s="21" t="n">
        <f aca="false">H7152*1000/Parametres!$B$9</f>
        <v>2403.93420383246</v>
      </c>
    </row>
    <row r="7153" customFormat="false" ht="15" hidden="false" customHeight="false" outlineLevel="0" collapsed="false">
      <c r="A7153" s="0" t="n">
        <v>7149</v>
      </c>
      <c r="B7153" s="0" t="n">
        <v>10</v>
      </c>
      <c r="C7153" s="19" t="n">
        <v>0</v>
      </c>
      <c r="D7153" s="19" t="n">
        <v>0.8765</v>
      </c>
      <c r="E7153" s="20" t="n">
        <f aca="false">Parametres!$B$5*C7153</f>
        <v>0</v>
      </c>
      <c r="F7153" s="20" t="n">
        <f aca="false">Parametres!$B$6*D7153</f>
        <v>175.3</v>
      </c>
      <c r="G7153" s="20" t="n">
        <f aca="false">E7153+F7153</f>
        <v>175.3</v>
      </c>
      <c r="H7153" s="20" t="n">
        <f aca="false">IF(G7153&lt;Parametres!$B$8*Parametres!$B$7,0,MIN(G7153,Parametres!$B$7))</f>
        <v>175.3</v>
      </c>
      <c r="I7153" s="20" t="n">
        <f aca="false">G7153-H7153</f>
        <v>0</v>
      </c>
      <c r="J7153" s="21" t="n">
        <f aca="false">H7153*1000/Parametres!$B$9</f>
        <v>2972.69798202476</v>
      </c>
    </row>
    <row r="7154" customFormat="false" ht="15" hidden="false" customHeight="false" outlineLevel="0" collapsed="false">
      <c r="A7154" s="0" t="n">
        <v>7150</v>
      </c>
      <c r="B7154" s="0" t="n">
        <v>10</v>
      </c>
      <c r="C7154" s="19" t="n">
        <v>0</v>
      </c>
      <c r="D7154" s="19" t="n">
        <v>0.8548</v>
      </c>
      <c r="E7154" s="20" t="n">
        <f aca="false">Parametres!$B$5*C7154</f>
        <v>0</v>
      </c>
      <c r="F7154" s="20" t="n">
        <f aca="false">Parametres!$B$6*D7154</f>
        <v>170.96</v>
      </c>
      <c r="G7154" s="20" t="n">
        <f aca="false">E7154+F7154</f>
        <v>170.96</v>
      </c>
      <c r="H7154" s="20" t="n">
        <f aca="false">IF(G7154&lt;Parametres!$B$8*Parametres!$B$7,0,MIN(G7154,Parametres!$B$7))</f>
        <v>170.96</v>
      </c>
      <c r="I7154" s="20" t="n">
        <f aca="false">G7154-H7154</f>
        <v>0</v>
      </c>
      <c r="J7154" s="21" t="n">
        <f aca="false">H7154*1000/Parametres!$B$9</f>
        <v>2899.10123791759</v>
      </c>
    </row>
    <row r="7155" customFormat="false" ht="15" hidden="false" customHeight="false" outlineLevel="0" collapsed="false">
      <c r="A7155" s="0" t="n">
        <v>7151</v>
      </c>
      <c r="B7155" s="0" t="n">
        <v>10</v>
      </c>
      <c r="C7155" s="19" t="n">
        <v>0</v>
      </c>
      <c r="D7155" s="19" t="n">
        <v>0.648</v>
      </c>
      <c r="E7155" s="20" t="n">
        <f aca="false">Parametres!$B$5*C7155</f>
        <v>0</v>
      </c>
      <c r="F7155" s="20" t="n">
        <f aca="false">Parametres!$B$6*D7155</f>
        <v>129.6</v>
      </c>
      <c r="G7155" s="20" t="n">
        <f aca="false">E7155+F7155</f>
        <v>129.6</v>
      </c>
      <c r="H7155" s="20" t="n">
        <f aca="false">IF(G7155&lt;Parametres!$B$8*Parametres!$B$7,0,MIN(G7155,Parametres!$B$7))</f>
        <v>129.6</v>
      </c>
      <c r="I7155" s="20" t="n">
        <f aca="false">G7155-H7155</f>
        <v>0</v>
      </c>
      <c r="J7155" s="21" t="n">
        <f aca="false">H7155*1000/Parametres!$B$9</f>
        <v>2197.72765813125</v>
      </c>
    </row>
    <row r="7156" customFormat="false" ht="15" hidden="false" customHeight="false" outlineLevel="0" collapsed="false">
      <c r="A7156" s="0" t="n">
        <v>7152</v>
      </c>
      <c r="B7156" s="0" t="n">
        <v>10</v>
      </c>
      <c r="C7156" s="19" t="n">
        <v>0</v>
      </c>
      <c r="D7156" s="19" t="n">
        <v>0.7785</v>
      </c>
      <c r="E7156" s="20" t="n">
        <f aca="false">Parametres!$B$5*C7156</f>
        <v>0</v>
      </c>
      <c r="F7156" s="20" t="n">
        <f aca="false">Parametres!$B$6*D7156</f>
        <v>155.7</v>
      </c>
      <c r="G7156" s="20" t="n">
        <f aca="false">E7156+F7156</f>
        <v>155.7</v>
      </c>
      <c r="H7156" s="20" t="n">
        <f aca="false">IF(G7156&lt;Parametres!$B$8*Parametres!$B$7,0,MIN(G7156,Parametres!$B$7))</f>
        <v>155.7</v>
      </c>
      <c r="I7156" s="20" t="n">
        <f aca="false">G7156-H7156</f>
        <v>0</v>
      </c>
      <c r="J7156" s="21" t="n">
        <f aca="false">H7156*1000/Parametres!$B$9</f>
        <v>2640.32558928269</v>
      </c>
    </row>
    <row r="7157" customFormat="false" ht="15" hidden="false" customHeight="false" outlineLevel="0" collapsed="false">
      <c r="A7157" s="0" t="n">
        <v>7153</v>
      </c>
      <c r="B7157" s="0" t="n">
        <v>10</v>
      </c>
      <c r="C7157" s="19" t="n">
        <v>0</v>
      </c>
      <c r="D7157" s="19" t="n">
        <v>1</v>
      </c>
      <c r="E7157" s="20" t="n">
        <f aca="false">Parametres!$B$5*C7157</f>
        <v>0</v>
      </c>
      <c r="F7157" s="20" t="n">
        <f aca="false">Parametres!$B$6*D7157</f>
        <v>200</v>
      </c>
      <c r="G7157" s="20" t="n">
        <f aca="false">E7157+F7157</f>
        <v>200</v>
      </c>
      <c r="H7157" s="20" t="n">
        <f aca="false">IF(G7157&lt;Parametres!$B$8*Parametres!$B$7,0,MIN(G7157,Parametres!$B$7))</f>
        <v>200</v>
      </c>
      <c r="I7157" s="20" t="n">
        <f aca="false">G7157-H7157</f>
        <v>0</v>
      </c>
      <c r="J7157" s="21" t="n">
        <f aca="false">H7157*1000/Parametres!$B$9</f>
        <v>3391.55502798033</v>
      </c>
    </row>
    <row r="7158" customFormat="false" ht="15" hidden="false" customHeight="false" outlineLevel="0" collapsed="false">
      <c r="A7158" s="0" t="n">
        <v>7154</v>
      </c>
      <c r="B7158" s="0" t="n">
        <v>10</v>
      </c>
      <c r="C7158" s="19" t="n">
        <v>0</v>
      </c>
      <c r="D7158" s="19" t="n">
        <v>0.7183</v>
      </c>
      <c r="E7158" s="20" t="n">
        <f aca="false">Parametres!$B$5*C7158</f>
        <v>0</v>
      </c>
      <c r="F7158" s="20" t="n">
        <f aca="false">Parametres!$B$6*D7158</f>
        <v>143.66</v>
      </c>
      <c r="G7158" s="20" t="n">
        <f aca="false">E7158+F7158</f>
        <v>143.66</v>
      </c>
      <c r="H7158" s="20" t="n">
        <f aca="false">IF(G7158&lt;Parametres!$B$8*Parametres!$B$7,0,MIN(G7158,Parametres!$B$7))</f>
        <v>143.66</v>
      </c>
      <c r="I7158" s="20" t="n">
        <f aca="false">G7158-H7158</f>
        <v>0</v>
      </c>
      <c r="J7158" s="21" t="n">
        <f aca="false">H7158*1000/Parametres!$B$9</f>
        <v>2436.15397659827</v>
      </c>
    </row>
    <row r="7159" customFormat="false" ht="15" hidden="false" customHeight="false" outlineLevel="0" collapsed="false">
      <c r="A7159" s="0" t="n">
        <v>7155</v>
      </c>
      <c r="B7159" s="0" t="n">
        <v>10</v>
      </c>
      <c r="C7159" s="19" t="n">
        <v>0</v>
      </c>
      <c r="D7159" s="19" t="n">
        <v>0.7259</v>
      </c>
      <c r="E7159" s="20" t="n">
        <f aca="false">Parametres!$B$5*C7159</f>
        <v>0</v>
      </c>
      <c r="F7159" s="20" t="n">
        <f aca="false">Parametres!$B$6*D7159</f>
        <v>145.18</v>
      </c>
      <c r="G7159" s="20" t="n">
        <f aca="false">E7159+F7159</f>
        <v>145.18</v>
      </c>
      <c r="H7159" s="20" t="n">
        <f aca="false">IF(G7159&lt;Parametres!$B$8*Parametres!$B$7,0,MIN(G7159,Parametres!$B$7))</f>
        <v>145.18</v>
      </c>
      <c r="I7159" s="20" t="n">
        <f aca="false">G7159-H7159</f>
        <v>0</v>
      </c>
      <c r="J7159" s="21" t="n">
        <f aca="false">H7159*1000/Parametres!$B$9</f>
        <v>2461.92979481092</v>
      </c>
    </row>
    <row r="7160" customFormat="false" ht="15" hidden="false" customHeight="false" outlineLevel="0" collapsed="false">
      <c r="A7160" s="0" t="n">
        <v>7156</v>
      </c>
      <c r="B7160" s="0" t="n">
        <v>10</v>
      </c>
      <c r="C7160" s="19" t="n">
        <v>0</v>
      </c>
      <c r="D7160" s="19" t="n">
        <v>0.4798</v>
      </c>
      <c r="E7160" s="20" t="n">
        <f aca="false">Parametres!$B$5*C7160</f>
        <v>0</v>
      </c>
      <c r="F7160" s="20" t="n">
        <f aca="false">Parametres!$B$6*D7160</f>
        <v>95.96</v>
      </c>
      <c r="G7160" s="20" t="n">
        <f aca="false">E7160+F7160</f>
        <v>95.96</v>
      </c>
      <c r="H7160" s="20" t="n">
        <f aca="false">IF(G7160&lt;Parametres!$B$8*Parametres!$B$7,0,MIN(G7160,Parametres!$B$7))</f>
        <v>95.96</v>
      </c>
      <c r="I7160" s="20" t="n">
        <f aca="false">G7160-H7160</f>
        <v>0</v>
      </c>
      <c r="J7160" s="21" t="n">
        <f aca="false">H7160*1000/Parametres!$B$9</f>
        <v>1627.26810242496</v>
      </c>
    </row>
    <row r="7161" customFormat="false" ht="15" hidden="false" customHeight="false" outlineLevel="0" collapsed="false">
      <c r="A7161" s="0" t="n">
        <v>7157</v>
      </c>
      <c r="B7161" s="0" t="n">
        <v>10</v>
      </c>
      <c r="C7161" s="19" t="n">
        <v>0</v>
      </c>
      <c r="D7161" s="19" t="n">
        <v>0.3728</v>
      </c>
      <c r="E7161" s="20" t="n">
        <f aca="false">Parametres!$B$5*C7161</f>
        <v>0</v>
      </c>
      <c r="F7161" s="20" t="n">
        <f aca="false">Parametres!$B$6*D7161</f>
        <v>74.56</v>
      </c>
      <c r="G7161" s="20" t="n">
        <f aca="false">E7161+F7161</f>
        <v>74.56</v>
      </c>
      <c r="H7161" s="20" t="n">
        <f aca="false">IF(G7161&lt;Parametres!$B$8*Parametres!$B$7,0,MIN(G7161,Parametres!$B$7))</f>
        <v>74.56</v>
      </c>
      <c r="I7161" s="20" t="n">
        <f aca="false">G7161-H7161</f>
        <v>0</v>
      </c>
      <c r="J7161" s="21" t="n">
        <f aca="false">H7161*1000/Parametres!$B$9</f>
        <v>1264.37171443107</v>
      </c>
    </row>
    <row r="7162" customFormat="false" ht="15" hidden="false" customHeight="false" outlineLevel="0" collapsed="false">
      <c r="A7162" s="0" t="n">
        <v>7158</v>
      </c>
      <c r="B7162" s="0" t="n">
        <v>10</v>
      </c>
      <c r="C7162" s="19" t="n">
        <v>0</v>
      </c>
      <c r="D7162" s="19" t="n">
        <v>0.4512</v>
      </c>
      <c r="E7162" s="20" t="n">
        <f aca="false">Parametres!$B$5*C7162</f>
        <v>0</v>
      </c>
      <c r="F7162" s="20" t="n">
        <f aca="false">Parametres!$B$6*D7162</f>
        <v>90.24</v>
      </c>
      <c r="G7162" s="20" t="n">
        <f aca="false">E7162+F7162</f>
        <v>90.24</v>
      </c>
      <c r="H7162" s="20" t="n">
        <f aca="false">IF(G7162&lt;Parametres!$B$8*Parametres!$B$7,0,MIN(G7162,Parametres!$B$7))</f>
        <v>90.24</v>
      </c>
      <c r="I7162" s="20" t="n">
        <f aca="false">G7162-H7162</f>
        <v>0</v>
      </c>
      <c r="J7162" s="21" t="n">
        <f aca="false">H7162*1000/Parametres!$B$9</f>
        <v>1530.26962862472</v>
      </c>
    </row>
    <row r="7163" customFormat="false" ht="15" hidden="false" customHeight="false" outlineLevel="0" collapsed="false">
      <c r="A7163" s="0" t="n">
        <v>7159</v>
      </c>
      <c r="B7163" s="0" t="n">
        <v>10</v>
      </c>
      <c r="C7163" s="19" t="n">
        <v>0.0035</v>
      </c>
      <c r="D7163" s="19" t="n">
        <v>0.5705</v>
      </c>
      <c r="E7163" s="20" t="n">
        <f aca="false">Parametres!$B$5*C7163</f>
        <v>1.05</v>
      </c>
      <c r="F7163" s="20" t="n">
        <f aca="false">Parametres!$B$6*D7163</f>
        <v>114.1</v>
      </c>
      <c r="G7163" s="20" t="n">
        <f aca="false">E7163+F7163</f>
        <v>115.15</v>
      </c>
      <c r="H7163" s="20" t="n">
        <f aca="false">IF(G7163&lt;Parametres!$B$8*Parametres!$B$7,0,MIN(G7163,Parametres!$B$7))</f>
        <v>115.15</v>
      </c>
      <c r="I7163" s="20" t="n">
        <f aca="false">G7163-H7163</f>
        <v>0</v>
      </c>
      <c r="J7163" s="21" t="n">
        <f aca="false">H7163*1000/Parametres!$B$9</f>
        <v>1952.68780735967</v>
      </c>
    </row>
    <row r="7164" customFormat="false" ht="15" hidden="false" customHeight="false" outlineLevel="0" collapsed="false">
      <c r="A7164" s="0" t="n">
        <v>7160</v>
      </c>
      <c r="B7164" s="0" t="n">
        <v>10</v>
      </c>
      <c r="C7164" s="19" t="n">
        <v>0.2537</v>
      </c>
      <c r="D7164" s="19" t="n">
        <v>0.7962</v>
      </c>
      <c r="E7164" s="20" t="n">
        <f aca="false">Parametres!$B$5*C7164</f>
        <v>76.11</v>
      </c>
      <c r="F7164" s="20" t="n">
        <f aca="false">Parametres!$B$6*D7164</f>
        <v>159.24</v>
      </c>
      <c r="G7164" s="20" t="n">
        <f aca="false">E7164+F7164</f>
        <v>235.35</v>
      </c>
      <c r="H7164" s="20" t="n">
        <f aca="false">IF(G7164&lt;Parametres!$B$8*Parametres!$B$7,0,MIN(G7164,Parametres!$B$7))</f>
        <v>235.35</v>
      </c>
      <c r="I7164" s="20" t="n">
        <f aca="false">G7164-H7164</f>
        <v>0</v>
      </c>
      <c r="J7164" s="21" t="n">
        <f aca="false">H7164*1000/Parametres!$B$9</f>
        <v>3991.01237917585</v>
      </c>
    </row>
    <row r="7165" customFormat="false" ht="15" hidden="false" customHeight="false" outlineLevel="0" collapsed="false">
      <c r="A7165" s="0" t="n">
        <v>7161</v>
      </c>
      <c r="B7165" s="0" t="n">
        <v>10</v>
      </c>
      <c r="C7165" s="19" t="n">
        <v>0.5022</v>
      </c>
      <c r="D7165" s="19" t="n">
        <v>0.7815</v>
      </c>
      <c r="E7165" s="20" t="n">
        <f aca="false">Parametres!$B$5*C7165</f>
        <v>150.66</v>
      </c>
      <c r="F7165" s="20" t="n">
        <f aca="false">Parametres!$B$6*D7165</f>
        <v>156.3</v>
      </c>
      <c r="G7165" s="20" t="n">
        <f aca="false">E7165+F7165</f>
        <v>306.96</v>
      </c>
      <c r="H7165" s="20" t="n">
        <f aca="false">IF(G7165&lt;Parametres!$B$8*Parametres!$B$7,0,MIN(G7165,Parametres!$B$7))</f>
        <v>250</v>
      </c>
      <c r="I7165" s="20" t="n">
        <f aca="false">G7165-H7165</f>
        <v>56.96</v>
      </c>
      <c r="J7165" s="21" t="n">
        <f aca="false">H7165*1000/Parametres!$B$9</f>
        <v>4239.44378497541</v>
      </c>
    </row>
    <row r="7166" customFormat="false" ht="15" hidden="false" customHeight="false" outlineLevel="0" collapsed="false">
      <c r="A7166" s="0" t="n">
        <v>7162</v>
      </c>
      <c r="B7166" s="0" t="n">
        <v>10</v>
      </c>
      <c r="C7166" s="19" t="n">
        <v>0.7285</v>
      </c>
      <c r="D7166" s="19" t="n">
        <v>1</v>
      </c>
      <c r="E7166" s="20" t="n">
        <f aca="false">Parametres!$B$5*C7166</f>
        <v>218.55</v>
      </c>
      <c r="F7166" s="20" t="n">
        <f aca="false">Parametres!$B$6*D7166</f>
        <v>200</v>
      </c>
      <c r="G7166" s="20" t="n">
        <f aca="false">E7166+F7166</f>
        <v>418.55</v>
      </c>
      <c r="H7166" s="20" t="n">
        <f aca="false">IF(G7166&lt;Parametres!$B$8*Parametres!$B$7,0,MIN(G7166,Parametres!$B$7))</f>
        <v>250</v>
      </c>
      <c r="I7166" s="20" t="n">
        <f aca="false">G7166-H7166</f>
        <v>168.55</v>
      </c>
      <c r="J7166" s="21" t="n">
        <f aca="false">H7166*1000/Parametres!$B$9</f>
        <v>4239.44378497541</v>
      </c>
    </row>
    <row r="7167" customFormat="false" ht="15" hidden="false" customHeight="false" outlineLevel="0" collapsed="false">
      <c r="A7167" s="0" t="n">
        <v>7163</v>
      </c>
      <c r="B7167" s="0" t="n">
        <v>10</v>
      </c>
      <c r="C7167" s="19" t="n">
        <v>0.8741</v>
      </c>
      <c r="D7167" s="19" t="n">
        <v>1</v>
      </c>
      <c r="E7167" s="20" t="n">
        <f aca="false">Parametres!$B$5*C7167</f>
        <v>262.23</v>
      </c>
      <c r="F7167" s="20" t="n">
        <f aca="false">Parametres!$B$6*D7167</f>
        <v>200</v>
      </c>
      <c r="G7167" s="20" t="n">
        <f aca="false">E7167+F7167</f>
        <v>462.23</v>
      </c>
      <c r="H7167" s="20" t="n">
        <f aca="false">IF(G7167&lt;Parametres!$B$8*Parametres!$B$7,0,MIN(G7167,Parametres!$B$7))</f>
        <v>250</v>
      </c>
      <c r="I7167" s="20" t="n">
        <f aca="false">G7167-H7167</f>
        <v>212.23</v>
      </c>
      <c r="J7167" s="21" t="n">
        <f aca="false">H7167*1000/Parametres!$B$9</f>
        <v>4239.44378497541</v>
      </c>
    </row>
    <row r="7168" customFormat="false" ht="15" hidden="false" customHeight="false" outlineLevel="0" collapsed="false">
      <c r="A7168" s="0" t="n">
        <v>7164</v>
      </c>
      <c r="B7168" s="0" t="n">
        <v>10</v>
      </c>
      <c r="C7168" s="19" t="n">
        <v>1</v>
      </c>
      <c r="D7168" s="19" t="n">
        <v>1</v>
      </c>
      <c r="E7168" s="20" t="n">
        <f aca="false">Parametres!$B$5*C7168</f>
        <v>300</v>
      </c>
      <c r="F7168" s="20" t="n">
        <f aca="false">Parametres!$B$6*D7168</f>
        <v>200</v>
      </c>
      <c r="G7168" s="20" t="n">
        <f aca="false">E7168+F7168</f>
        <v>500</v>
      </c>
      <c r="H7168" s="20" t="n">
        <f aca="false">IF(G7168&lt;Parametres!$B$8*Parametres!$B$7,0,MIN(G7168,Parametres!$B$7))</f>
        <v>250</v>
      </c>
      <c r="I7168" s="20" t="n">
        <f aca="false">G7168-H7168</f>
        <v>250</v>
      </c>
      <c r="J7168" s="21" t="n">
        <f aca="false">H7168*1000/Parametres!$B$9</f>
        <v>4239.44378497541</v>
      </c>
    </row>
    <row r="7169" customFormat="false" ht="15" hidden="false" customHeight="false" outlineLevel="0" collapsed="false">
      <c r="A7169" s="0" t="n">
        <v>7165</v>
      </c>
      <c r="B7169" s="0" t="n">
        <v>10</v>
      </c>
      <c r="C7169" s="19" t="n">
        <v>1</v>
      </c>
      <c r="D7169" s="19" t="n">
        <v>1</v>
      </c>
      <c r="E7169" s="20" t="n">
        <f aca="false">Parametres!$B$5*C7169</f>
        <v>300</v>
      </c>
      <c r="F7169" s="20" t="n">
        <f aca="false">Parametres!$B$6*D7169</f>
        <v>200</v>
      </c>
      <c r="G7169" s="20" t="n">
        <f aca="false">E7169+F7169</f>
        <v>500</v>
      </c>
      <c r="H7169" s="20" t="n">
        <f aca="false">IF(G7169&lt;Parametres!$B$8*Parametres!$B$7,0,MIN(G7169,Parametres!$B$7))</f>
        <v>250</v>
      </c>
      <c r="I7169" s="20" t="n">
        <f aca="false">G7169-H7169</f>
        <v>250</v>
      </c>
      <c r="J7169" s="21" t="n">
        <f aca="false">H7169*1000/Parametres!$B$9</f>
        <v>4239.44378497541</v>
      </c>
    </row>
    <row r="7170" customFormat="false" ht="15" hidden="false" customHeight="false" outlineLevel="0" collapsed="false">
      <c r="A7170" s="0" t="n">
        <v>7166</v>
      </c>
      <c r="B7170" s="0" t="n">
        <v>10</v>
      </c>
      <c r="C7170" s="19" t="n">
        <v>0.8652</v>
      </c>
      <c r="D7170" s="19" t="n">
        <v>1</v>
      </c>
      <c r="E7170" s="20" t="n">
        <f aca="false">Parametres!$B$5*C7170</f>
        <v>259.56</v>
      </c>
      <c r="F7170" s="20" t="n">
        <f aca="false">Parametres!$B$6*D7170</f>
        <v>200</v>
      </c>
      <c r="G7170" s="20" t="n">
        <f aca="false">E7170+F7170</f>
        <v>459.56</v>
      </c>
      <c r="H7170" s="20" t="n">
        <f aca="false">IF(G7170&lt;Parametres!$B$8*Parametres!$B$7,0,MIN(G7170,Parametres!$B$7))</f>
        <v>250</v>
      </c>
      <c r="I7170" s="20" t="n">
        <f aca="false">G7170-H7170</f>
        <v>209.56</v>
      </c>
      <c r="J7170" s="21" t="n">
        <f aca="false">H7170*1000/Parametres!$B$9</f>
        <v>4239.44378497541</v>
      </c>
    </row>
    <row r="7171" customFormat="false" ht="15" hidden="false" customHeight="false" outlineLevel="0" collapsed="false">
      <c r="A7171" s="0" t="n">
        <v>7167</v>
      </c>
      <c r="B7171" s="0" t="n">
        <v>10</v>
      </c>
      <c r="C7171" s="19" t="n">
        <v>0.8045</v>
      </c>
      <c r="D7171" s="19" t="n">
        <v>1</v>
      </c>
      <c r="E7171" s="20" t="n">
        <f aca="false">Parametres!$B$5*C7171</f>
        <v>241.35</v>
      </c>
      <c r="F7171" s="20" t="n">
        <f aca="false">Parametres!$B$6*D7171</f>
        <v>200</v>
      </c>
      <c r="G7171" s="20" t="n">
        <f aca="false">E7171+F7171</f>
        <v>441.35</v>
      </c>
      <c r="H7171" s="20" t="n">
        <f aca="false">IF(G7171&lt;Parametres!$B$8*Parametres!$B$7,0,MIN(G7171,Parametres!$B$7))</f>
        <v>250</v>
      </c>
      <c r="I7171" s="20" t="n">
        <f aca="false">G7171-H7171</f>
        <v>191.35</v>
      </c>
      <c r="J7171" s="21" t="n">
        <f aca="false">H7171*1000/Parametres!$B$9</f>
        <v>4239.44378497541</v>
      </c>
    </row>
    <row r="7172" customFormat="false" ht="15" hidden="false" customHeight="false" outlineLevel="0" collapsed="false">
      <c r="A7172" s="0" t="n">
        <v>7168</v>
      </c>
      <c r="B7172" s="0" t="n">
        <v>10</v>
      </c>
      <c r="C7172" s="19" t="n">
        <v>0.502</v>
      </c>
      <c r="D7172" s="19" t="n">
        <v>1</v>
      </c>
      <c r="E7172" s="20" t="n">
        <f aca="false">Parametres!$B$5*C7172</f>
        <v>150.6</v>
      </c>
      <c r="F7172" s="20" t="n">
        <f aca="false">Parametres!$B$6*D7172</f>
        <v>200</v>
      </c>
      <c r="G7172" s="20" t="n">
        <f aca="false">E7172+F7172</f>
        <v>350.6</v>
      </c>
      <c r="H7172" s="20" t="n">
        <f aca="false">IF(G7172&lt;Parametres!$B$8*Parametres!$B$7,0,MIN(G7172,Parametres!$B$7))</f>
        <v>250</v>
      </c>
      <c r="I7172" s="20" t="n">
        <f aca="false">G7172-H7172</f>
        <v>100.6</v>
      </c>
      <c r="J7172" s="21" t="n">
        <f aca="false">H7172*1000/Parametres!$B$9</f>
        <v>4239.44378497541</v>
      </c>
    </row>
    <row r="7173" customFormat="false" ht="15" hidden="false" customHeight="false" outlineLevel="0" collapsed="false">
      <c r="A7173" s="0" t="n">
        <v>7169</v>
      </c>
      <c r="B7173" s="0" t="n">
        <v>10</v>
      </c>
      <c r="C7173" s="19" t="n">
        <v>0.2405</v>
      </c>
      <c r="D7173" s="19" t="n">
        <v>1</v>
      </c>
      <c r="E7173" s="20" t="n">
        <f aca="false">Parametres!$B$5*C7173</f>
        <v>72.15</v>
      </c>
      <c r="F7173" s="20" t="n">
        <f aca="false">Parametres!$B$6*D7173</f>
        <v>200</v>
      </c>
      <c r="G7173" s="20" t="n">
        <f aca="false">E7173+F7173</f>
        <v>272.15</v>
      </c>
      <c r="H7173" s="20" t="n">
        <f aca="false">IF(G7173&lt;Parametres!$B$8*Parametres!$B$7,0,MIN(G7173,Parametres!$B$7))</f>
        <v>250</v>
      </c>
      <c r="I7173" s="20" t="n">
        <f aca="false">G7173-H7173</f>
        <v>22.15</v>
      </c>
      <c r="J7173" s="21" t="n">
        <f aca="false">H7173*1000/Parametres!$B$9</f>
        <v>4239.44378497541</v>
      </c>
    </row>
    <row r="7174" customFormat="false" ht="15" hidden="false" customHeight="false" outlineLevel="0" collapsed="false">
      <c r="A7174" s="0" t="n">
        <v>7170</v>
      </c>
      <c r="B7174" s="0" t="n">
        <v>10</v>
      </c>
      <c r="C7174" s="19" t="n">
        <v>0.0038</v>
      </c>
      <c r="D7174" s="19" t="n">
        <v>1</v>
      </c>
      <c r="E7174" s="20" t="n">
        <f aca="false">Parametres!$B$5*C7174</f>
        <v>1.14</v>
      </c>
      <c r="F7174" s="20" t="n">
        <f aca="false">Parametres!$B$6*D7174</f>
        <v>200</v>
      </c>
      <c r="G7174" s="20" t="n">
        <f aca="false">E7174+F7174</f>
        <v>201.14</v>
      </c>
      <c r="H7174" s="20" t="n">
        <f aca="false">IF(G7174&lt;Parametres!$B$8*Parametres!$B$7,0,MIN(G7174,Parametres!$B$7))</f>
        <v>201.14</v>
      </c>
      <c r="I7174" s="20" t="n">
        <f aca="false">G7174-H7174</f>
        <v>0</v>
      </c>
      <c r="J7174" s="21" t="n">
        <f aca="false">H7174*1000/Parametres!$B$9</f>
        <v>3410.88689163982</v>
      </c>
    </row>
    <row r="7175" customFormat="false" ht="15" hidden="false" customHeight="false" outlineLevel="0" collapsed="false">
      <c r="A7175" s="0" t="n">
        <v>7171</v>
      </c>
      <c r="B7175" s="0" t="n">
        <v>10</v>
      </c>
      <c r="C7175" s="19" t="n">
        <v>0</v>
      </c>
      <c r="D7175" s="19" t="n">
        <v>1</v>
      </c>
      <c r="E7175" s="20" t="n">
        <f aca="false">Parametres!$B$5*C7175</f>
        <v>0</v>
      </c>
      <c r="F7175" s="20" t="n">
        <f aca="false">Parametres!$B$6*D7175</f>
        <v>200</v>
      </c>
      <c r="G7175" s="20" t="n">
        <f aca="false">E7175+F7175</f>
        <v>200</v>
      </c>
      <c r="H7175" s="20" t="n">
        <f aca="false">IF(G7175&lt;Parametres!$B$8*Parametres!$B$7,0,MIN(G7175,Parametres!$B$7))</f>
        <v>200</v>
      </c>
      <c r="I7175" s="20" t="n">
        <f aca="false">G7175-H7175</f>
        <v>0</v>
      </c>
      <c r="J7175" s="21" t="n">
        <f aca="false">H7175*1000/Parametres!$B$9</f>
        <v>3391.55502798033</v>
      </c>
    </row>
    <row r="7176" customFormat="false" ht="15" hidden="false" customHeight="false" outlineLevel="0" collapsed="false">
      <c r="A7176" s="0" t="n">
        <v>7172</v>
      </c>
      <c r="B7176" s="0" t="n">
        <v>10</v>
      </c>
      <c r="C7176" s="19" t="n">
        <v>0</v>
      </c>
      <c r="D7176" s="19" t="n">
        <v>1</v>
      </c>
      <c r="E7176" s="20" t="n">
        <f aca="false">Parametres!$B$5*C7176</f>
        <v>0</v>
      </c>
      <c r="F7176" s="20" t="n">
        <f aca="false">Parametres!$B$6*D7176</f>
        <v>200</v>
      </c>
      <c r="G7176" s="20" t="n">
        <f aca="false">E7176+F7176</f>
        <v>200</v>
      </c>
      <c r="H7176" s="20" t="n">
        <f aca="false">IF(G7176&lt;Parametres!$B$8*Parametres!$B$7,0,MIN(G7176,Parametres!$B$7))</f>
        <v>200</v>
      </c>
      <c r="I7176" s="20" t="n">
        <f aca="false">G7176-H7176</f>
        <v>0</v>
      </c>
      <c r="J7176" s="21" t="n">
        <f aca="false">H7176*1000/Parametres!$B$9</f>
        <v>3391.55502798033</v>
      </c>
    </row>
    <row r="7177" customFormat="false" ht="15" hidden="false" customHeight="false" outlineLevel="0" collapsed="false">
      <c r="A7177" s="0" t="n">
        <v>7173</v>
      </c>
      <c r="B7177" s="0" t="n">
        <v>10</v>
      </c>
      <c r="C7177" s="19" t="n">
        <v>0</v>
      </c>
      <c r="D7177" s="19" t="n">
        <v>1</v>
      </c>
      <c r="E7177" s="20" t="n">
        <f aca="false">Parametres!$B$5*C7177</f>
        <v>0</v>
      </c>
      <c r="F7177" s="20" t="n">
        <f aca="false">Parametres!$B$6*D7177</f>
        <v>200</v>
      </c>
      <c r="G7177" s="20" t="n">
        <f aca="false">E7177+F7177</f>
        <v>200</v>
      </c>
      <c r="H7177" s="20" t="n">
        <f aca="false">IF(G7177&lt;Parametres!$B$8*Parametres!$B$7,0,MIN(G7177,Parametres!$B$7))</f>
        <v>200</v>
      </c>
      <c r="I7177" s="20" t="n">
        <f aca="false">G7177-H7177</f>
        <v>0</v>
      </c>
      <c r="J7177" s="21" t="n">
        <f aca="false">H7177*1000/Parametres!$B$9</f>
        <v>3391.55502798033</v>
      </c>
    </row>
    <row r="7178" customFormat="false" ht="15" hidden="false" customHeight="false" outlineLevel="0" collapsed="false">
      <c r="A7178" s="0" t="n">
        <v>7174</v>
      </c>
      <c r="B7178" s="0" t="n">
        <v>10</v>
      </c>
      <c r="C7178" s="19" t="n">
        <v>0</v>
      </c>
      <c r="D7178" s="19" t="n">
        <v>1</v>
      </c>
      <c r="E7178" s="20" t="n">
        <f aca="false">Parametres!$B$5*C7178</f>
        <v>0</v>
      </c>
      <c r="F7178" s="20" t="n">
        <f aca="false">Parametres!$B$6*D7178</f>
        <v>200</v>
      </c>
      <c r="G7178" s="20" t="n">
        <f aca="false">E7178+F7178</f>
        <v>200</v>
      </c>
      <c r="H7178" s="20" t="n">
        <f aca="false">IF(G7178&lt;Parametres!$B$8*Parametres!$B$7,0,MIN(G7178,Parametres!$B$7))</f>
        <v>200</v>
      </c>
      <c r="I7178" s="20" t="n">
        <f aca="false">G7178-H7178</f>
        <v>0</v>
      </c>
      <c r="J7178" s="21" t="n">
        <f aca="false">H7178*1000/Parametres!$B$9</f>
        <v>3391.55502798033</v>
      </c>
    </row>
    <row r="7179" customFormat="false" ht="15" hidden="false" customHeight="false" outlineLevel="0" collapsed="false">
      <c r="A7179" s="0" t="n">
        <v>7175</v>
      </c>
      <c r="B7179" s="0" t="n">
        <v>10</v>
      </c>
      <c r="C7179" s="19" t="n">
        <v>0</v>
      </c>
      <c r="D7179" s="19" t="n">
        <v>1</v>
      </c>
      <c r="E7179" s="20" t="n">
        <f aca="false">Parametres!$B$5*C7179</f>
        <v>0</v>
      </c>
      <c r="F7179" s="20" t="n">
        <f aca="false">Parametres!$B$6*D7179</f>
        <v>200</v>
      </c>
      <c r="G7179" s="20" t="n">
        <f aca="false">E7179+F7179</f>
        <v>200</v>
      </c>
      <c r="H7179" s="20" t="n">
        <f aca="false">IF(G7179&lt;Parametres!$B$8*Parametres!$B$7,0,MIN(G7179,Parametres!$B$7))</f>
        <v>200</v>
      </c>
      <c r="I7179" s="20" t="n">
        <f aca="false">G7179-H7179</f>
        <v>0</v>
      </c>
      <c r="J7179" s="21" t="n">
        <f aca="false">H7179*1000/Parametres!$B$9</f>
        <v>3391.55502798033</v>
      </c>
    </row>
    <row r="7180" customFormat="false" ht="15" hidden="false" customHeight="false" outlineLevel="0" collapsed="false">
      <c r="A7180" s="0" t="n">
        <v>7176</v>
      </c>
      <c r="B7180" s="0" t="n">
        <v>10</v>
      </c>
      <c r="C7180" s="19" t="n">
        <v>0</v>
      </c>
      <c r="D7180" s="19" t="n">
        <v>1</v>
      </c>
      <c r="E7180" s="20" t="n">
        <f aca="false">Parametres!$B$5*C7180</f>
        <v>0</v>
      </c>
      <c r="F7180" s="20" t="n">
        <f aca="false">Parametres!$B$6*D7180</f>
        <v>200</v>
      </c>
      <c r="G7180" s="20" t="n">
        <f aca="false">E7180+F7180</f>
        <v>200</v>
      </c>
      <c r="H7180" s="20" t="n">
        <f aca="false">IF(G7180&lt;Parametres!$B$8*Parametres!$B$7,0,MIN(G7180,Parametres!$B$7))</f>
        <v>200</v>
      </c>
      <c r="I7180" s="20" t="n">
        <f aca="false">G7180-H7180</f>
        <v>0</v>
      </c>
      <c r="J7180" s="21" t="n">
        <f aca="false">H7180*1000/Parametres!$B$9</f>
        <v>3391.55502798033</v>
      </c>
    </row>
    <row r="7181" customFormat="false" ht="15" hidden="false" customHeight="false" outlineLevel="0" collapsed="false">
      <c r="A7181" s="0" t="n">
        <v>7177</v>
      </c>
      <c r="B7181" s="0" t="n">
        <v>10</v>
      </c>
      <c r="C7181" s="19" t="n">
        <v>0</v>
      </c>
      <c r="D7181" s="19" t="n">
        <v>1</v>
      </c>
      <c r="E7181" s="20" t="n">
        <f aca="false">Parametres!$B$5*C7181</f>
        <v>0</v>
      </c>
      <c r="F7181" s="20" t="n">
        <f aca="false">Parametres!$B$6*D7181</f>
        <v>200</v>
      </c>
      <c r="G7181" s="20" t="n">
        <f aca="false">E7181+F7181</f>
        <v>200</v>
      </c>
      <c r="H7181" s="20" t="n">
        <f aca="false">IF(G7181&lt;Parametres!$B$8*Parametres!$B$7,0,MIN(G7181,Parametres!$B$7))</f>
        <v>200</v>
      </c>
      <c r="I7181" s="20" t="n">
        <f aca="false">G7181-H7181</f>
        <v>0</v>
      </c>
      <c r="J7181" s="21" t="n">
        <f aca="false">H7181*1000/Parametres!$B$9</f>
        <v>3391.55502798033</v>
      </c>
    </row>
    <row r="7182" customFormat="false" ht="15" hidden="false" customHeight="false" outlineLevel="0" collapsed="false">
      <c r="A7182" s="0" t="n">
        <v>7178</v>
      </c>
      <c r="B7182" s="0" t="n">
        <v>10</v>
      </c>
      <c r="C7182" s="19" t="n">
        <v>0</v>
      </c>
      <c r="D7182" s="19" t="n">
        <v>1</v>
      </c>
      <c r="E7182" s="20" t="n">
        <f aca="false">Parametres!$B$5*C7182</f>
        <v>0</v>
      </c>
      <c r="F7182" s="20" t="n">
        <f aca="false">Parametres!$B$6*D7182</f>
        <v>200</v>
      </c>
      <c r="G7182" s="20" t="n">
        <f aca="false">E7182+F7182</f>
        <v>200</v>
      </c>
      <c r="H7182" s="20" t="n">
        <f aca="false">IF(G7182&lt;Parametres!$B$8*Parametres!$B$7,0,MIN(G7182,Parametres!$B$7))</f>
        <v>200</v>
      </c>
      <c r="I7182" s="20" t="n">
        <f aca="false">G7182-H7182</f>
        <v>0</v>
      </c>
      <c r="J7182" s="21" t="n">
        <f aca="false">H7182*1000/Parametres!$B$9</f>
        <v>3391.55502798033</v>
      </c>
    </row>
    <row r="7183" customFormat="false" ht="15" hidden="false" customHeight="false" outlineLevel="0" collapsed="false">
      <c r="A7183" s="0" t="n">
        <v>7179</v>
      </c>
      <c r="B7183" s="0" t="n">
        <v>10</v>
      </c>
      <c r="C7183" s="19" t="n">
        <v>0</v>
      </c>
      <c r="D7183" s="19" t="n">
        <v>1</v>
      </c>
      <c r="E7183" s="20" t="n">
        <f aca="false">Parametres!$B$5*C7183</f>
        <v>0</v>
      </c>
      <c r="F7183" s="20" t="n">
        <f aca="false">Parametres!$B$6*D7183</f>
        <v>200</v>
      </c>
      <c r="G7183" s="20" t="n">
        <f aca="false">E7183+F7183</f>
        <v>200</v>
      </c>
      <c r="H7183" s="20" t="n">
        <f aca="false">IF(G7183&lt;Parametres!$B$8*Parametres!$B$7,0,MIN(G7183,Parametres!$B$7))</f>
        <v>200</v>
      </c>
      <c r="I7183" s="20" t="n">
        <f aca="false">G7183-H7183</f>
        <v>0</v>
      </c>
      <c r="J7183" s="21" t="n">
        <f aca="false">H7183*1000/Parametres!$B$9</f>
        <v>3391.55502798033</v>
      </c>
    </row>
    <row r="7184" customFormat="false" ht="15" hidden="false" customHeight="false" outlineLevel="0" collapsed="false">
      <c r="A7184" s="0" t="n">
        <v>7180</v>
      </c>
      <c r="B7184" s="0" t="n">
        <v>10</v>
      </c>
      <c r="C7184" s="19" t="n">
        <v>0</v>
      </c>
      <c r="D7184" s="19" t="n">
        <v>1</v>
      </c>
      <c r="E7184" s="20" t="n">
        <f aca="false">Parametres!$B$5*C7184</f>
        <v>0</v>
      </c>
      <c r="F7184" s="20" t="n">
        <f aca="false">Parametres!$B$6*D7184</f>
        <v>200</v>
      </c>
      <c r="G7184" s="20" t="n">
        <f aca="false">E7184+F7184</f>
        <v>200</v>
      </c>
      <c r="H7184" s="20" t="n">
        <f aca="false">IF(G7184&lt;Parametres!$B$8*Parametres!$B$7,0,MIN(G7184,Parametres!$B$7))</f>
        <v>200</v>
      </c>
      <c r="I7184" s="20" t="n">
        <f aca="false">G7184-H7184</f>
        <v>0</v>
      </c>
      <c r="J7184" s="21" t="n">
        <f aca="false">H7184*1000/Parametres!$B$9</f>
        <v>3391.55502798033</v>
      </c>
    </row>
    <row r="7185" customFormat="false" ht="15" hidden="false" customHeight="false" outlineLevel="0" collapsed="false">
      <c r="A7185" s="0" t="n">
        <v>7181</v>
      </c>
      <c r="B7185" s="0" t="n">
        <v>10</v>
      </c>
      <c r="C7185" s="19" t="n">
        <v>0</v>
      </c>
      <c r="D7185" s="19" t="n">
        <v>1</v>
      </c>
      <c r="E7185" s="20" t="n">
        <f aca="false">Parametres!$B$5*C7185</f>
        <v>0</v>
      </c>
      <c r="F7185" s="20" t="n">
        <f aca="false">Parametres!$B$6*D7185</f>
        <v>200</v>
      </c>
      <c r="G7185" s="20" t="n">
        <f aca="false">E7185+F7185</f>
        <v>200</v>
      </c>
      <c r="H7185" s="20" t="n">
        <f aca="false">IF(G7185&lt;Parametres!$B$8*Parametres!$B$7,0,MIN(G7185,Parametres!$B$7))</f>
        <v>200</v>
      </c>
      <c r="I7185" s="20" t="n">
        <f aca="false">G7185-H7185</f>
        <v>0</v>
      </c>
      <c r="J7185" s="21" t="n">
        <f aca="false">H7185*1000/Parametres!$B$9</f>
        <v>3391.55502798033</v>
      </c>
    </row>
    <row r="7186" customFormat="false" ht="15" hidden="false" customHeight="false" outlineLevel="0" collapsed="false">
      <c r="A7186" s="0" t="n">
        <v>7182</v>
      </c>
      <c r="B7186" s="0" t="n">
        <v>10</v>
      </c>
      <c r="C7186" s="19" t="n">
        <v>0</v>
      </c>
      <c r="D7186" s="19" t="n">
        <v>1</v>
      </c>
      <c r="E7186" s="20" t="n">
        <f aca="false">Parametres!$B$5*C7186</f>
        <v>0</v>
      </c>
      <c r="F7186" s="20" t="n">
        <f aca="false">Parametres!$B$6*D7186</f>
        <v>200</v>
      </c>
      <c r="G7186" s="20" t="n">
        <f aca="false">E7186+F7186</f>
        <v>200</v>
      </c>
      <c r="H7186" s="20" t="n">
        <f aca="false">IF(G7186&lt;Parametres!$B$8*Parametres!$B$7,0,MIN(G7186,Parametres!$B$7))</f>
        <v>200</v>
      </c>
      <c r="I7186" s="20" t="n">
        <f aca="false">G7186-H7186</f>
        <v>0</v>
      </c>
      <c r="J7186" s="21" t="n">
        <f aca="false">H7186*1000/Parametres!$B$9</f>
        <v>3391.55502798033</v>
      </c>
    </row>
    <row r="7187" customFormat="false" ht="15" hidden="false" customHeight="false" outlineLevel="0" collapsed="false">
      <c r="A7187" s="0" t="n">
        <v>7183</v>
      </c>
      <c r="B7187" s="0" t="n">
        <v>10</v>
      </c>
      <c r="C7187" s="19" t="n">
        <v>0.0013</v>
      </c>
      <c r="D7187" s="19" t="n">
        <v>1</v>
      </c>
      <c r="E7187" s="20" t="n">
        <f aca="false">Parametres!$B$5*C7187</f>
        <v>0.39</v>
      </c>
      <c r="F7187" s="20" t="n">
        <f aca="false">Parametres!$B$6*D7187</f>
        <v>200</v>
      </c>
      <c r="G7187" s="20" t="n">
        <f aca="false">E7187+F7187</f>
        <v>200.39</v>
      </c>
      <c r="H7187" s="20" t="n">
        <f aca="false">IF(G7187&lt;Parametres!$B$8*Parametres!$B$7,0,MIN(G7187,Parametres!$B$7))</f>
        <v>200.39</v>
      </c>
      <c r="I7187" s="20" t="n">
        <f aca="false">G7187-H7187</f>
        <v>0</v>
      </c>
      <c r="J7187" s="21" t="n">
        <f aca="false">H7187*1000/Parametres!$B$9</f>
        <v>3398.16856028489</v>
      </c>
    </row>
    <row r="7188" customFormat="false" ht="15" hidden="false" customHeight="false" outlineLevel="0" collapsed="false">
      <c r="A7188" s="0" t="n">
        <v>7184</v>
      </c>
      <c r="B7188" s="0" t="n">
        <v>10</v>
      </c>
      <c r="C7188" s="19" t="n">
        <v>0.217</v>
      </c>
      <c r="D7188" s="19" t="n">
        <v>1</v>
      </c>
      <c r="E7188" s="20" t="n">
        <f aca="false">Parametres!$B$5*C7188</f>
        <v>65.1</v>
      </c>
      <c r="F7188" s="20" t="n">
        <f aca="false">Parametres!$B$6*D7188</f>
        <v>200</v>
      </c>
      <c r="G7188" s="20" t="n">
        <f aca="false">E7188+F7188</f>
        <v>265.1</v>
      </c>
      <c r="H7188" s="20" t="n">
        <f aca="false">IF(G7188&lt;Parametres!$B$8*Parametres!$B$7,0,MIN(G7188,Parametres!$B$7))</f>
        <v>250</v>
      </c>
      <c r="I7188" s="20" t="n">
        <f aca="false">G7188-H7188</f>
        <v>15.1</v>
      </c>
      <c r="J7188" s="21" t="n">
        <f aca="false">H7188*1000/Parametres!$B$9</f>
        <v>4239.44378497541</v>
      </c>
    </row>
    <row r="7189" customFormat="false" ht="15" hidden="false" customHeight="false" outlineLevel="0" collapsed="false">
      <c r="A7189" s="0" t="n">
        <v>7185</v>
      </c>
      <c r="B7189" s="0" t="n">
        <v>10</v>
      </c>
      <c r="C7189" s="19" t="n">
        <v>0.4356</v>
      </c>
      <c r="D7189" s="19" t="n">
        <v>1</v>
      </c>
      <c r="E7189" s="20" t="n">
        <f aca="false">Parametres!$B$5*C7189</f>
        <v>130.68</v>
      </c>
      <c r="F7189" s="20" t="n">
        <f aca="false">Parametres!$B$6*D7189</f>
        <v>200</v>
      </c>
      <c r="G7189" s="20" t="n">
        <f aca="false">E7189+F7189</f>
        <v>330.68</v>
      </c>
      <c r="H7189" s="20" t="n">
        <f aca="false">IF(G7189&lt;Parametres!$B$8*Parametres!$B$7,0,MIN(G7189,Parametres!$B$7))</f>
        <v>250</v>
      </c>
      <c r="I7189" s="20" t="n">
        <f aca="false">G7189-H7189</f>
        <v>80.68</v>
      </c>
      <c r="J7189" s="21" t="n">
        <f aca="false">H7189*1000/Parametres!$B$9</f>
        <v>4239.44378497541</v>
      </c>
    </row>
    <row r="7190" customFormat="false" ht="15" hidden="false" customHeight="false" outlineLevel="0" collapsed="false">
      <c r="A7190" s="0" t="n">
        <v>7186</v>
      </c>
      <c r="B7190" s="0" t="n">
        <v>10</v>
      </c>
      <c r="C7190" s="19" t="n">
        <v>0.6311</v>
      </c>
      <c r="D7190" s="19" t="n">
        <v>1</v>
      </c>
      <c r="E7190" s="20" t="n">
        <f aca="false">Parametres!$B$5*C7190</f>
        <v>189.33</v>
      </c>
      <c r="F7190" s="20" t="n">
        <f aca="false">Parametres!$B$6*D7190</f>
        <v>200</v>
      </c>
      <c r="G7190" s="20" t="n">
        <f aca="false">E7190+F7190</f>
        <v>389.33</v>
      </c>
      <c r="H7190" s="20" t="n">
        <f aca="false">IF(G7190&lt;Parametres!$B$8*Parametres!$B$7,0,MIN(G7190,Parametres!$B$7))</f>
        <v>250</v>
      </c>
      <c r="I7190" s="20" t="n">
        <f aca="false">G7190-H7190</f>
        <v>139.33</v>
      </c>
      <c r="J7190" s="21" t="n">
        <f aca="false">H7190*1000/Parametres!$B$9</f>
        <v>4239.44378497541</v>
      </c>
    </row>
    <row r="7191" customFormat="false" ht="15" hidden="false" customHeight="false" outlineLevel="0" collapsed="false">
      <c r="A7191" s="0" t="n">
        <v>7187</v>
      </c>
      <c r="B7191" s="0" t="n">
        <v>10</v>
      </c>
      <c r="C7191" s="19" t="n">
        <v>0.7881</v>
      </c>
      <c r="D7191" s="19" t="n">
        <v>1</v>
      </c>
      <c r="E7191" s="20" t="n">
        <f aca="false">Parametres!$B$5*C7191</f>
        <v>236.43</v>
      </c>
      <c r="F7191" s="20" t="n">
        <f aca="false">Parametres!$B$6*D7191</f>
        <v>200</v>
      </c>
      <c r="G7191" s="20" t="n">
        <f aca="false">E7191+F7191</f>
        <v>436.43</v>
      </c>
      <c r="H7191" s="20" t="n">
        <f aca="false">IF(G7191&lt;Parametres!$B$8*Parametres!$B$7,0,MIN(G7191,Parametres!$B$7))</f>
        <v>250</v>
      </c>
      <c r="I7191" s="20" t="n">
        <f aca="false">G7191-H7191</f>
        <v>186.43</v>
      </c>
      <c r="J7191" s="21" t="n">
        <f aca="false">H7191*1000/Parametres!$B$9</f>
        <v>4239.44378497541</v>
      </c>
    </row>
    <row r="7192" customFormat="false" ht="15" hidden="false" customHeight="false" outlineLevel="0" collapsed="false">
      <c r="A7192" s="0" t="n">
        <v>7188</v>
      </c>
      <c r="B7192" s="0" t="n">
        <v>10</v>
      </c>
      <c r="C7192" s="19" t="n">
        <v>0.8411</v>
      </c>
      <c r="D7192" s="19" t="n">
        <v>1</v>
      </c>
      <c r="E7192" s="20" t="n">
        <f aca="false">Parametres!$B$5*C7192</f>
        <v>252.33</v>
      </c>
      <c r="F7192" s="20" t="n">
        <f aca="false">Parametres!$B$6*D7192</f>
        <v>200</v>
      </c>
      <c r="G7192" s="20" t="n">
        <f aca="false">E7192+F7192</f>
        <v>452.33</v>
      </c>
      <c r="H7192" s="20" t="n">
        <f aca="false">IF(G7192&lt;Parametres!$B$8*Parametres!$B$7,0,MIN(G7192,Parametres!$B$7))</f>
        <v>250</v>
      </c>
      <c r="I7192" s="20" t="n">
        <f aca="false">G7192-H7192</f>
        <v>202.33</v>
      </c>
      <c r="J7192" s="21" t="n">
        <f aca="false">H7192*1000/Parametres!$B$9</f>
        <v>4239.44378497541</v>
      </c>
    </row>
    <row r="7193" customFormat="false" ht="15" hidden="false" customHeight="false" outlineLevel="0" collapsed="false">
      <c r="A7193" s="0" t="n">
        <v>7189</v>
      </c>
      <c r="B7193" s="0" t="n">
        <v>10</v>
      </c>
      <c r="C7193" s="19" t="n">
        <v>0.8142</v>
      </c>
      <c r="D7193" s="19" t="n">
        <v>1</v>
      </c>
      <c r="E7193" s="20" t="n">
        <f aca="false">Parametres!$B$5*C7193</f>
        <v>244.26</v>
      </c>
      <c r="F7193" s="20" t="n">
        <f aca="false">Parametres!$B$6*D7193</f>
        <v>200</v>
      </c>
      <c r="G7193" s="20" t="n">
        <f aca="false">E7193+F7193</f>
        <v>444.26</v>
      </c>
      <c r="H7193" s="20" t="n">
        <f aca="false">IF(G7193&lt;Parametres!$B$8*Parametres!$B$7,0,MIN(G7193,Parametres!$B$7))</f>
        <v>250</v>
      </c>
      <c r="I7193" s="20" t="n">
        <f aca="false">G7193-H7193</f>
        <v>194.26</v>
      </c>
      <c r="J7193" s="21" t="n">
        <f aca="false">H7193*1000/Parametres!$B$9</f>
        <v>4239.44378497541</v>
      </c>
    </row>
    <row r="7194" customFormat="false" ht="15" hidden="false" customHeight="false" outlineLevel="0" collapsed="false">
      <c r="A7194" s="0" t="n">
        <v>7190</v>
      </c>
      <c r="B7194" s="0" t="n">
        <v>10</v>
      </c>
      <c r="C7194" s="19" t="n">
        <v>0.7128</v>
      </c>
      <c r="D7194" s="19" t="n">
        <v>1</v>
      </c>
      <c r="E7194" s="20" t="n">
        <f aca="false">Parametres!$B$5*C7194</f>
        <v>213.84</v>
      </c>
      <c r="F7194" s="20" t="n">
        <f aca="false">Parametres!$B$6*D7194</f>
        <v>200</v>
      </c>
      <c r="G7194" s="20" t="n">
        <f aca="false">E7194+F7194</f>
        <v>413.84</v>
      </c>
      <c r="H7194" s="20" t="n">
        <f aca="false">IF(G7194&lt;Parametres!$B$8*Parametres!$B$7,0,MIN(G7194,Parametres!$B$7))</f>
        <v>250</v>
      </c>
      <c r="I7194" s="20" t="n">
        <f aca="false">G7194-H7194</f>
        <v>163.84</v>
      </c>
      <c r="J7194" s="21" t="n">
        <f aca="false">H7194*1000/Parametres!$B$9</f>
        <v>4239.44378497541</v>
      </c>
    </row>
    <row r="7195" customFormat="false" ht="15" hidden="false" customHeight="false" outlineLevel="0" collapsed="false">
      <c r="A7195" s="0" t="n">
        <v>7191</v>
      </c>
      <c r="B7195" s="0" t="n">
        <v>10</v>
      </c>
      <c r="C7195" s="19" t="n">
        <v>0.6395</v>
      </c>
      <c r="D7195" s="19" t="n">
        <v>1</v>
      </c>
      <c r="E7195" s="20" t="n">
        <f aca="false">Parametres!$B$5*C7195</f>
        <v>191.85</v>
      </c>
      <c r="F7195" s="20" t="n">
        <f aca="false">Parametres!$B$6*D7195</f>
        <v>200</v>
      </c>
      <c r="G7195" s="20" t="n">
        <f aca="false">E7195+F7195</f>
        <v>391.85</v>
      </c>
      <c r="H7195" s="20" t="n">
        <f aca="false">IF(G7195&lt;Parametres!$B$8*Parametres!$B$7,0,MIN(G7195,Parametres!$B$7))</f>
        <v>250</v>
      </c>
      <c r="I7195" s="20" t="n">
        <f aca="false">G7195-H7195</f>
        <v>141.85</v>
      </c>
      <c r="J7195" s="21" t="n">
        <f aca="false">H7195*1000/Parametres!$B$9</f>
        <v>4239.44378497541</v>
      </c>
    </row>
    <row r="7196" customFormat="false" ht="15" hidden="false" customHeight="false" outlineLevel="0" collapsed="false">
      <c r="A7196" s="0" t="n">
        <v>7192</v>
      </c>
      <c r="B7196" s="0" t="n">
        <v>10</v>
      </c>
      <c r="C7196" s="19" t="n">
        <v>0.4132</v>
      </c>
      <c r="D7196" s="19" t="n">
        <v>1</v>
      </c>
      <c r="E7196" s="20" t="n">
        <f aca="false">Parametres!$B$5*C7196</f>
        <v>123.96</v>
      </c>
      <c r="F7196" s="20" t="n">
        <f aca="false">Parametres!$B$6*D7196</f>
        <v>200</v>
      </c>
      <c r="G7196" s="20" t="n">
        <f aca="false">E7196+F7196</f>
        <v>323.96</v>
      </c>
      <c r="H7196" s="20" t="n">
        <f aca="false">IF(G7196&lt;Parametres!$B$8*Parametres!$B$7,0,MIN(G7196,Parametres!$B$7))</f>
        <v>250</v>
      </c>
      <c r="I7196" s="20" t="n">
        <f aca="false">G7196-H7196</f>
        <v>73.96</v>
      </c>
      <c r="J7196" s="21" t="n">
        <f aca="false">H7196*1000/Parametres!$B$9</f>
        <v>4239.44378497541</v>
      </c>
    </row>
    <row r="7197" customFormat="false" ht="15" hidden="false" customHeight="false" outlineLevel="0" collapsed="false">
      <c r="A7197" s="0" t="n">
        <v>7193</v>
      </c>
      <c r="B7197" s="0" t="n">
        <v>10</v>
      </c>
      <c r="C7197" s="19" t="n">
        <v>0.2088</v>
      </c>
      <c r="D7197" s="19" t="n">
        <v>1</v>
      </c>
      <c r="E7197" s="20" t="n">
        <f aca="false">Parametres!$B$5*C7197</f>
        <v>62.64</v>
      </c>
      <c r="F7197" s="20" t="n">
        <f aca="false">Parametres!$B$6*D7197</f>
        <v>200</v>
      </c>
      <c r="G7197" s="20" t="n">
        <f aca="false">E7197+F7197</f>
        <v>262.64</v>
      </c>
      <c r="H7197" s="20" t="n">
        <f aca="false">IF(G7197&lt;Parametres!$B$8*Parametres!$B$7,0,MIN(G7197,Parametres!$B$7))</f>
        <v>250</v>
      </c>
      <c r="I7197" s="20" t="n">
        <f aca="false">G7197-H7197</f>
        <v>12.64</v>
      </c>
      <c r="J7197" s="21" t="n">
        <f aca="false">H7197*1000/Parametres!$B$9</f>
        <v>4239.44378497541</v>
      </c>
    </row>
    <row r="7198" customFormat="false" ht="15" hidden="false" customHeight="false" outlineLevel="0" collapsed="false">
      <c r="A7198" s="0" t="n">
        <v>7194</v>
      </c>
      <c r="B7198" s="0" t="n">
        <v>10</v>
      </c>
      <c r="C7198" s="19" t="n">
        <v>0.0013</v>
      </c>
      <c r="D7198" s="19" t="n">
        <v>1</v>
      </c>
      <c r="E7198" s="20" t="n">
        <f aca="false">Parametres!$B$5*C7198</f>
        <v>0.39</v>
      </c>
      <c r="F7198" s="20" t="n">
        <f aca="false">Parametres!$B$6*D7198</f>
        <v>200</v>
      </c>
      <c r="G7198" s="20" t="n">
        <f aca="false">E7198+F7198</f>
        <v>200.39</v>
      </c>
      <c r="H7198" s="20" t="n">
        <f aca="false">IF(G7198&lt;Parametres!$B$8*Parametres!$B$7,0,MIN(G7198,Parametres!$B$7))</f>
        <v>200.39</v>
      </c>
      <c r="I7198" s="20" t="n">
        <f aca="false">G7198-H7198</f>
        <v>0</v>
      </c>
      <c r="J7198" s="21" t="n">
        <f aca="false">H7198*1000/Parametres!$B$9</f>
        <v>3398.16856028489</v>
      </c>
    </row>
    <row r="7199" customFormat="false" ht="15" hidden="false" customHeight="false" outlineLevel="0" collapsed="false">
      <c r="A7199" s="0" t="n">
        <v>7195</v>
      </c>
      <c r="B7199" s="0" t="n">
        <v>10</v>
      </c>
      <c r="C7199" s="19" t="n">
        <v>0</v>
      </c>
      <c r="D7199" s="19" t="n">
        <v>1</v>
      </c>
      <c r="E7199" s="20" t="n">
        <f aca="false">Parametres!$B$5*C7199</f>
        <v>0</v>
      </c>
      <c r="F7199" s="20" t="n">
        <f aca="false">Parametres!$B$6*D7199</f>
        <v>200</v>
      </c>
      <c r="G7199" s="20" t="n">
        <f aca="false">E7199+F7199</f>
        <v>200</v>
      </c>
      <c r="H7199" s="20" t="n">
        <f aca="false">IF(G7199&lt;Parametres!$B$8*Parametres!$B$7,0,MIN(G7199,Parametres!$B$7))</f>
        <v>200</v>
      </c>
      <c r="I7199" s="20" t="n">
        <f aca="false">G7199-H7199</f>
        <v>0</v>
      </c>
      <c r="J7199" s="21" t="n">
        <f aca="false">H7199*1000/Parametres!$B$9</f>
        <v>3391.55502798033</v>
      </c>
    </row>
    <row r="7200" customFormat="false" ht="15" hidden="false" customHeight="false" outlineLevel="0" collapsed="false">
      <c r="A7200" s="0" t="n">
        <v>7196</v>
      </c>
      <c r="B7200" s="0" t="n">
        <v>10</v>
      </c>
      <c r="C7200" s="19" t="n">
        <v>0</v>
      </c>
      <c r="D7200" s="19" t="n">
        <v>1</v>
      </c>
      <c r="E7200" s="20" t="n">
        <f aca="false">Parametres!$B$5*C7200</f>
        <v>0</v>
      </c>
      <c r="F7200" s="20" t="n">
        <f aca="false">Parametres!$B$6*D7200</f>
        <v>200</v>
      </c>
      <c r="G7200" s="20" t="n">
        <f aca="false">E7200+F7200</f>
        <v>200</v>
      </c>
      <c r="H7200" s="20" t="n">
        <f aca="false">IF(G7200&lt;Parametres!$B$8*Parametres!$B$7,0,MIN(G7200,Parametres!$B$7))</f>
        <v>200</v>
      </c>
      <c r="I7200" s="20" t="n">
        <f aca="false">G7200-H7200</f>
        <v>0</v>
      </c>
      <c r="J7200" s="21" t="n">
        <f aca="false">H7200*1000/Parametres!$B$9</f>
        <v>3391.55502798033</v>
      </c>
    </row>
    <row r="7201" customFormat="false" ht="15" hidden="false" customHeight="false" outlineLevel="0" collapsed="false">
      <c r="A7201" s="0" t="n">
        <v>7197</v>
      </c>
      <c r="B7201" s="0" t="n">
        <v>10</v>
      </c>
      <c r="C7201" s="19" t="n">
        <v>0</v>
      </c>
      <c r="D7201" s="19" t="n">
        <v>1</v>
      </c>
      <c r="E7201" s="20" t="n">
        <f aca="false">Parametres!$B$5*C7201</f>
        <v>0</v>
      </c>
      <c r="F7201" s="20" t="n">
        <f aca="false">Parametres!$B$6*D7201</f>
        <v>200</v>
      </c>
      <c r="G7201" s="20" t="n">
        <f aca="false">E7201+F7201</f>
        <v>200</v>
      </c>
      <c r="H7201" s="20" t="n">
        <f aca="false">IF(G7201&lt;Parametres!$B$8*Parametres!$B$7,0,MIN(G7201,Parametres!$B$7))</f>
        <v>200</v>
      </c>
      <c r="I7201" s="20" t="n">
        <f aca="false">G7201-H7201</f>
        <v>0</v>
      </c>
      <c r="J7201" s="21" t="n">
        <f aca="false">H7201*1000/Parametres!$B$9</f>
        <v>3391.55502798033</v>
      </c>
    </row>
    <row r="7202" customFormat="false" ht="15" hidden="false" customHeight="false" outlineLevel="0" collapsed="false">
      <c r="A7202" s="0" t="n">
        <v>7198</v>
      </c>
      <c r="B7202" s="0" t="n">
        <v>10</v>
      </c>
      <c r="C7202" s="19" t="n">
        <v>0</v>
      </c>
      <c r="D7202" s="19" t="n">
        <v>1</v>
      </c>
      <c r="E7202" s="20" t="n">
        <f aca="false">Parametres!$B$5*C7202</f>
        <v>0</v>
      </c>
      <c r="F7202" s="20" t="n">
        <f aca="false">Parametres!$B$6*D7202</f>
        <v>200</v>
      </c>
      <c r="G7202" s="20" t="n">
        <f aca="false">E7202+F7202</f>
        <v>200</v>
      </c>
      <c r="H7202" s="20" t="n">
        <f aca="false">IF(G7202&lt;Parametres!$B$8*Parametres!$B$7,0,MIN(G7202,Parametres!$B$7))</f>
        <v>200</v>
      </c>
      <c r="I7202" s="20" t="n">
        <f aca="false">G7202-H7202</f>
        <v>0</v>
      </c>
      <c r="J7202" s="21" t="n">
        <f aca="false">H7202*1000/Parametres!$B$9</f>
        <v>3391.55502798033</v>
      </c>
    </row>
    <row r="7203" customFormat="false" ht="15" hidden="false" customHeight="false" outlineLevel="0" collapsed="false">
      <c r="A7203" s="0" t="n">
        <v>7199</v>
      </c>
      <c r="B7203" s="0" t="n">
        <v>10</v>
      </c>
      <c r="C7203" s="19" t="n">
        <v>0</v>
      </c>
      <c r="D7203" s="19" t="n">
        <v>1</v>
      </c>
      <c r="E7203" s="20" t="n">
        <f aca="false">Parametres!$B$5*C7203</f>
        <v>0</v>
      </c>
      <c r="F7203" s="20" t="n">
        <f aca="false">Parametres!$B$6*D7203</f>
        <v>200</v>
      </c>
      <c r="G7203" s="20" t="n">
        <f aca="false">E7203+F7203</f>
        <v>200</v>
      </c>
      <c r="H7203" s="20" t="n">
        <f aca="false">IF(G7203&lt;Parametres!$B$8*Parametres!$B$7,0,MIN(G7203,Parametres!$B$7))</f>
        <v>200</v>
      </c>
      <c r="I7203" s="20" t="n">
        <f aca="false">G7203-H7203</f>
        <v>0</v>
      </c>
      <c r="J7203" s="21" t="n">
        <f aca="false">H7203*1000/Parametres!$B$9</f>
        <v>3391.55502798033</v>
      </c>
    </row>
    <row r="7204" customFormat="false" ht="15" hidden="false" customHeight="false" outlineLevel="0" collapsed="false">
      <c r="A7204" s="0" t="n">
        <v>7200</v>
      </c>
      <c r="B7204" s="0" t="n">
        <v>10</v>
      </c>
      <c r="C7204" s="19" t="n">
        <v>0</v>
      </c>
      <c r="D7204" s="19" t="n">
        <v>1</v>
      </c>
      <c r="E7204" s="20" t="n">
        <f aca="false">Parametres!$B$5*C7204</f>
        <v>0</v>
      </c>
      <c r="F7204" s="20" t="n">
        <f aca="false">Parametres!$B$6*D7204</f>
        <v>200</v>
      </c>
      <c r="G7204" s="20" t="n">
        <f aca="false">E7204+F7204</f>
        <v>200</v>
      </c>
      <c r="H7204" s="20" t="n">
        <f aca="false">IF(G7204&lt;Parametres!$B$8*Parametres!$B$7,0,MIN(G7204,Parametres!$B$7))</f>
        <v>200</v>
      </c>
      <c r="I7204" s="20" t="n">
        <f aca="false">G7204-H7204</f>
        <v>0</v>
      </c>
      <c r="J7204" s="21" t="n">
        <f aca="false">H7204*1000/Parametres!$B$9</f>
        <v>3391.55502798033</v>
      </c>
    </row>
    <row r="7205" customFormat="false" ht="15" hidden="false" customHeight="false" outlineLevel="0" collapsed="false">
      <c r="A7205" s="0" t="n">
        <v>7201</v>
      </c>
      <c r="B7205" s="0" t="n">
        <v>10</v>
      </c>
      <c r="C7205" s="19" t="n">
        <v>0</v>
      </c>
      <c r="D7205" s="19" t="n">
        <v>1</v>
      </c>
      <c r="E7205" s="20" t="n">
        <f aca="false">Parametres!$B$5*C7205</f>
        <v>0</v>
      </c>
      <c r="F7205" s="20" t="n">
        <f aca="false">Parametres!$B$6*D7205</f>
        <v>200</v>
      </c>
      <c r="G7205" s="20" t="n">
        <f aca="false">E7205+F7205</f>
        <v>200</v>
      </c>
      <c r="H7205" s="20" t="n">
        <f aca="false">IF(G7205&lt;Parametres!$B$8*Parametres!$B$7,0,MIN(G7205,Parametres!$B$7))</f>
        <v>200</v>
      </c>
      <c r="I7205" s="20" t="n">
        <f aca="false">G7205-H7205</f>
        <v>0</v>
      </c>
      <c r="J7205" s="21" t="n">
        <f aca="false">H7205*1000/Parametres!$B$9</f>
        <v>3391.55502798033</v>
      </c>
    </row>
    <row r="7206" customFormat="false" ht="15" hidden="false" customHeight="false" outlineLevel="0" collapsed="false">
      <c r="A7206" s="0" t="n">
        <v>7202</v>
      </c>
      <c r="B7206" s="0" t="n">
        <v>10</v>
      </c>
      <c r="C7206" s="19" t="n">
        <v>0</v>
      </c>
      <c r="D7206" s="19" t="n">
        <v>1</v>
      </c>
      <c r="E7206" s="20" t="n">
        <f aca="false">Parametres!$B$5*C7206</f>
        <v>0</v>
      </c>
      <c r="F7206" s="20" t="n">
        <f aca="false">Parametres!$B$6*D7206</f>
        <v>200</v>
      </c>
      <c r="G7206" s="20" t="n">
        <f aca="false">E7206+F7206</f>
        <v>200</v>
      </c>
      <c r="H7206" s="20" t="n">
        <f aca="false">IF(G7206&lt;Parametres!$B$8*Parametres!$B$7,0,MIN(G7206,Parametres!$B$7))</f>
        <v>200</v>
      </c>
      <c r="I7206" s="20" t="n">
        <f aca="false">G7206-H7206</f>
        <v>0</v>
      </c>
      <c r="J7206" s="21" t="n">
        <f aca="false">H7206*1000/Parametres!$B$9</f>
        <v>3391.55502798033</v>
      </c>
    </row>
    <row r="7207" customFormat="false" ht="15" hidden="false" customHeight="false" outlineLevel="0" collapsed="false">
      <c r="A7207" s="0" t="n">
        <v>7203</v>
      </c>
      <c r="B7207" s="0" t="n">
        <v>10</v>
      </c>
      <c r="C7207" s="19" t="n">
        <v>0</v>
      </c>
      <c r="D7207" s="19" t="n">
        <v>1</v>
      </c>
      <c r="E7207" s="20" t="n">
        <f aca="false">Parametres!$B$5*C7207</f>
        <v>0</v>
      </c>
      <c r="F7207" s="20" t="n">
        <f aca="false">Parametres!$B$6*D7207</f>
        <v>200</v>
      </c>
      <c r="G7207" s="20" t="n">
        <f aca="false">E7207+F7207</f>
        <v>200</v>
      </c>
      <c r="H7207" s="20" t="n">
        <f aca="false">IF(G7207&lt;Parametres!$B$8*Parametres!$B$7,0,MIN(G7207,Parametres!$B$7))</f>
        <v>200</v>
      </c>
      <c r="I7207" s="20" t="n">
        <f aca="false">G7207-H7207</f>
        <v>0</v>
      </c>
      <c r="J7207" s="21" t="n">
        <f aca="false">H7207*1000/Parametres!$B$9</f>
        <v>3391.55502798033</v>
      </c>
    </row>
    <row r="7208" customFormat="false" ht="15" hidden="false" customHeight="false" outlineLevel="0" collapsed="false">
      <c r="A7208" s="0" t="n">
        <v>7204</v>
      </c>
      <c r="B7208" s="0" t="n">
        <v>10</v>
      </c>
      <c r="C7208" s="19" t="n">
        <v>0</v>
      </c>
      <c r="D7208" s="19" t="n">
        <v>1</v>
      </c>
      <c r="E7208" s="20" t="n">
        <f aca="false">Parametres!$B$5*C7208</f>
        <v>0</v>
      </c>
      <c r="F7208" s="20" t="n">
        <f aca="false">Parametres!$B$6*D7208</f>
        <v>200</v>
      </c>
      <c r="G7208" s="20" t="n">
        <f aca="false">E7208+F7208</f>
        <v>200</v>
      </c>
      <c r="H7208" s="20" t="n">
        <f aca="false">IF(G7208&lt;Parametres!$B$8*Parametres!$B$7,0,MIN(G7208,Parametres!$B$7))</f>
        <v>200</v>
      </c>
      <c r="I7208" s="20" t="n">
        <f aca="false">G7208-H7208</f>
        <v>0</v>
      </c>
      <c r="J7208" s="21" t="n">
        <f aca="false">H7208*1000/Parametres!$B$9</f>
        <v>3391.55502798033</v>
      </c>
    </row>
    <row r="7209" customFormat="false" ht="15" hidden="false" customHeight="false" outlineLevel="0" collapsed="false">
      <c r="A7209" s="0" t="n">
        <v>7205</v>
      </c>
      <c r="B7209" s="0" t="n">
        <v>10</v>
      </c>
      <c r="C7209" s="19" t="n">
        <v>0</v>
      </c>
      <c r="D7209" s="19" t="n">
        <v>1</v>
      </c>
      <c r="E7209" s="20" t="n">
        <f aca="false">Parametres!$B$5*C7209</f>
        <v>0</v>
      </c>
      <c r="F7209" s="20" t="n">
        <f aca="false">Parametres!$B$6*D7209</f>
        <v>200</v>
      </c>
      <c r="G7209" s="20" t="n">
        <f aca="false">E7209+F7209</f>
        <v>200</v>
      </c>
      <c r="H7209" s="20" t="n">
        <f aca="false">IF(G7209&lt;Parametres!$B$8*Parametres!$B$7,0,MIN(G7209,Parametres!$B$7))</f>
        <v>200</v>
      </c>
      <c r="I7209" s="20" t="n">
        <f aca="false">G7209-H7209</f>
        <v>0</v>
      </c>
      <c r="J7209" s="21" t="n">
        <f aca="false">H7209*1000/Parametres!$B$9</f>
        <v>3391.55502798033</v>
      </c>
    </row>
    <row r="7210" customFormat="false" ht="15" hidden="false" customHeight="false" outlineLevel="0" collapsed="false">
      <c r="A7210" s="0" t="n">
        <v>7206</v>
      </c>
      <c r="B7210" s="0" t="n">
        <v>10</v>
      </c>
      <c r="C7210" s="19" t="n">
        <v>0</v>
      </c>
      <c r="D7210" s="19" t="n">
        <v>1</v>
      </c>
      <c r="E7210" s="20" t="n">
        <f aca="false">Parametres!$B$5*C7210</f>
        <v>0</v>
      </c>
      <c r="F7210" s="20" t="n">
        <f aca="false">Parametres!$B$6*D7210</f>
        <v>200</v>
      </c>
      <c r="G7210" s="20" t="n">
        <f aca="false">E7210+F7210</f>
        <v>200</v>
      </c>
      <c r="H7210" s="20" t="n">
        <f aca="false">IF(G7210&lt;Parametres!$B$8*Parametres!$B$7,0,MIN(G7210,Parametres!$B$7))</f>
        <v>200</v>
      </c>
      <c r="I7210" s="20" t="n">
        <f aca="false">G7210-H7210</f>
        <v>0</v>
      </c>
      <c r="J7210" s="21" t="n">
        <f aca="false">H7210*1000/Parametres!$B$9</f>
        <v>3391.55502798033</v>
      </c>
    </row>
    <row r="7211" customFormat="false" ht="15" hidden="false" customHeight="false" outlineLevel="0" collapsed="false">
      <c r="A7211" s="0" t="n">
        <v>7207</v>
      </c>
      <c r="B7211" s="0" t="n">
        <v>10</v>
      </c>
      <c r="C7211" s="19" t="n">
        <v>0</v>
      </c>
      <c r="D7211" s="19" t="n">
        <v>1</v>
      </c>
      <c r="E7211" s="20" t="n">
        <f aca="false">Parametres!$B$5*C7211</f>
        <v>0</v>
      </c>
      <c r="F7211" s="20" t="n">
        <f aca="false">Parametres!$B$6*D7211</f>
        <v>200</v>
      </c>
      <c r="G7211" s="20" t="n">
        <f aca="false">E7211+F7211</f>
        <v>200</v>
      </c>
      <c r="H7211" s="20" t="n">
        <f aca="false">IF(G7211&lt;Parametres!$B$8*Parametres!$B$7,0,MIN(G7211,Parametres!$B$7))</f>
        <v>200</v>
      </c>
      <c r="I7211" s="20" t="n">
        <f aca="false">G7211-H7211</f>
        <v>0</v>
      </c>
      <c r="J7211" s="21" t="n">
        <f aca="false">H7211*1000/Parametres!$B$9</f>
        <v>3391.55502798033</v>
      </c>
    </row>
    <row r="7212" customFormat="false" ht="15" hidden="false" customHeight="false" outlineLevel="0" collapsed="false">
      <c r="A7212" s="0" t="n">
        <v>7208</v>
      </c>
      <c r="B7212" s="0" t="n">
        <v>10</v>
      </c>
      <c r="C7212" s="19" t="n">
        <v>0.2059</v>
      </c>
      <c r="D7212" s="19" t="n">
        <v>1</v>
      </c>
      <c r="E7212" s="20" t="n">
        <f aca="false">Parametres!$B$5*C7212</f>
        <v>61.77</v>
      </c>
      <c r="F7212" s="20" t="n">
        <f aca="false">Parametres!$B$6*D7212</f>
        <v>200</v>
      </c>
      <c r="G7212" s="20" t="n">
        <f aca="false">E7212+F7212</f>
        <v>261.77</v>
      </c>
      <c r="H7212" s="20" t="n">
        <f aca="false">IF(G7212&lt;Parametres!$B$8*Parametres!$B$7,0,MIN(G7212,Parametres!$B$7))</f>
        <v>250</v>
      </c>
      <c r="I7212" s="20" t="n">
        <f aca="false">G7212-H7212</f>
        <v>11.77</v>
      </c>
      <c r="J7212" s="21" t="n">
        <f aca="false">H7212*1000/Parametres!$B$9</f>
        <v>4239.44378497541</v>
      </c>
    </row>
    <row r="7213" customFormat="false" ht="15" hidden="false" customHeight="false" outlineLevel="0" collapsed="false">
      <c r="A7213" s="0" t="n">
        <v>7209</v>
      </c>
      <c r="B7213" s="0" t="n">
        <v>10</v>
      </c>
      <c r="C7213" s="19" t="n">
        <v>0.42</v>
      </c>
      <c r="D7213" s="19" t="n">
        <v>1</v>
      </c>
      <c r="E7213" s="20" t="n">
        <f aca="false">Parametres!$B$5*C7213</f>
        <v>126</v>
      </c>
      <c r="F7213" s="20" t="n">
        <f aca="false">Parametres!$B$6*D7213</f>
        <v>200</v>
      </c>
      <c r="G7213" s="20" t="n">
        <f aca="false">E7213+F7213</f>
        <v>326</v>
      </c>
      <c r="H7213" s="20" t="n">
        <f aca="false">IF(G7213&lt;Parametres!$B$8*Parametres!$B$7,0,MIN(G7213,Parametres!$B$7))</f>
        <v>250</v>
      </c>
      <c r="I7213" s="20" t="n">
        <f aca="false">G7213-H7213</f>
        <v>76</v>
      </c>
      <c r="J7213" s="21" t="n">
        <f aca="false">H7213*1000/Parametres!$B$9</f>
        <v>4239.44378497541</v>
      </c>
    </row>
    <row r="7214" customFormat="false" ht="15" hidden="false" customHeight="false" outlineLevel="0" collapsed="false">
      <c r="A7214" s="0" t="n">
        <v>7210</v>
      </c>
      <c r="B7214" s="0" t="n">
        <v>10</v>
      </c>
      <c r="C7214" s="19" t="n">
        <v>0.5771</v>
      </c>
      <c r="D7214" s="19" t="n">
        <v>1</v>
      </c>
      <c r="E7214" s="20" t="n">
        <f aca="false">Parametres!$B$5*C7214</f>
        <v>173.13</v>
      </c>
      <c r="F7214" s="20" t="n">
        <f aca="false">Parametres!$B$6*D7214</f>
        <v>200</v>
      </c>
      <c r="G7214" s="20" t="n">
        <f aca="false">E7214+F7214</f>
        <v>373.13</v>
      </c>
      <c r="H7214" s="20" t="n">
        <f aca="false">IF(G7214&lt;Parametres!$B$8*Parametres!$B$7,0,MIN(G7214,Parametres!$B$7))</f>
        <v>250</v>
      </c>
      <c r="I7214" s="20" t="n">
        <f aca="false">G7214-H7214</f>
        <v>123.13</v>
      </c>
      <c r="J7214" s="21" t="n">
        <f aca="false">H7214*1000/Parametres!$B$9</f>
        <v>4239.44378497541</v>
      </c>
    </row>
    <row r="7215" customFormat="false" ht="15" hidden="false" customHeight="false" outlineLevel="0" collapsed="false">
      <c r="A7215" s="0" t="n">
        <v>7211</v>
      </c>
      <c r="B7215" s="0" t="n">
        <v>10</v>
      </c>
      <c r="C7215" s="19" t="n">
        <v>0.7663</v>
      </c>
      <c r="D7215" s="19" t="n">
        <v>1</v>
      </c>
      <c r="E7215" s="20" t="n">
        <f aca="false">Parametres!$B$5*C7215</f>
        <v>229.89</v>
      </c>
      <c r="F7215" s="20" t="n">
        <f aca="false">Parametres!$B$6*D7215</f>
        <v>200</v>
      </c>
      <c r="G7215" s="20" t="n">
        <f aca="false">E7215+F7215</f>
        <v>429.89</v>
      </c>
      <c r="H7215" s="20" t="n">
        <f aca="false">IF(G7215&lt;Parametres!$B$8*Parametres!$B$7,0,MIN(G7215,Parametres!$B$7))</f>
        <v>250</v>
      </c>
      <c r="I7215" s="20" t="n">
        <f aca="false">G7215-H7215</f>
        <v>179.89</v>
      </c>
      <c r="J7215" s="21" t="n">
        <f aca="false">H7215*1000/Parametres!$B$9</f>
        <v>4239.44378497541</v>
      </c>
    </row>
    <row r="7216" customFormat="false" ht="15" hidden="false" customHeight="false" outlineLevel="0" collapsed="false">
      <c r="A7216" s="0" t="n">
        <v>7212</v>
      </c>
      <c r="B7216" s="0" t="n">
        <v>10</v>
      </c>
      <c r="C7216" s="19" t="n">
        <v>0.8423</v>
      </c>
      <c r="D7216" s="19" t="n">
        <v>1</v>
      </c>
      <c r="E7216" s="20" t="n">
        <f aca="false">Parametres!$B$5*C7216</f>
        <v>252.69</v>
      </c>
      <c r="F7216" s="20" t="n">
        <f aca="false">Parametres!$B$6*D7216</f>
        <v>200</v>
      </c>
      <c r="G7216" s="20" t="n">
        <f aca="false">E7216+F7216</f>
        <v>452.69</v>
      </c>
      <c r="H7216" s="20" t="n">
        <f aca="false">IF(G7216&lt;Parametres!$B$8*Parametres!$B$7,0,MIN(G7216,Parametres!$B$7))</f>
        <v>250</v>
      </c>
      <c r="I7216" s="20" t="n">
        <f aca="false">G7216-H7216</f>
        <v>202.69</v>
      </c>
      <c r="J7216" s="21" t="n">
        <f aca="false">H7216*1000/Parametres!$B$9</f>
        <v>4239.44378497541</v>
      </c>
    </row>
    <row r="7217" customFormat="false" ht="15" hidden="false" customHeight="false" outlineLevel="0" collapsed="false">
      <c r="A7217" s="0" t="n">
        <v>7213</v>
      </c>
      <c r="B7217" s="0" t="n">
        <v>10</v>
      </c>
      <c r="C7217" s="19" t="n">
        <v>0.7781</v>
      </c>
      <c r="D7217" s="19" t="n">
        <v>1</v>
      </c>
      <c r="E7217" s="20" t="n">
        <f aca="false">Parametres!$B$5*C7217</f>
        <v>233.43</v>
      </c>
      <c r="F7217" s="20" t="n">
        <f aca="false">Parametres!$B$6*D7217</f>
        <v>200</v>
      </c>
      <c r="G7217" s="20" t="n">
        <f aca="false">E7217+F7217</f>
        <v>433.43</v>
      </c>
      <c r="H7217" s="20" t="n">
        <f aca="false">IF(G7217&lt;Parametres!$B$8*Parametres!$B$7,0,MIN(G7217,Parametres!$B$7))</f>
        <v>250</v>
      </c>
      <c r="I7217" s="20" t="n">
        <f aca="false">G7217-H7217</f>
        <v>183.43</v>
      </c>
      <c r="J7217" s="21" t="n">
        <f aca="false">H7217*1000/Parametres!$B$9</f>
        <v>4239.44378497541</v>
      </c>
    </row>
    <row r="7218" customFormat="false" ht="15" hidden="false" customHeight="false" outlineLevel="0" collapsed="false">
      <c r="A7218" s="0" t="n">
        <v>7214</v>
      </c>
      <c r="B7218" s="0" t="n">
        <v>10</v>
      </c>
      <c r="C7218" s="19" t="n">
        <v>0.7361</v>
      </c>
      <c r="D7218" s="19" t="n">
        <v>1</v>
      </c>
      <c r="E7218" s="20" t="n">
        <f aca="false">Parametres!$B$5*C7218</f>
        <v>220.83</v>
      </c>
      <c r="F7218" s="20" t="n">
        <f aca="false">Parametres!$B$6*D7218</f>
        <v>200</v>
      </c>
      <c r="G7218" s="20" t="n">
        <f aca="false">E7218+F7218</f>
        <v>420.83</v>
      </c>
      <c r="H7218" s="20" t="n">
        <f aca="false">IF(G7218&lt;Parametres!$B$8*Parametres!$B$7,0,MIN(G7218,Parametres!$B$7))</f>
        <v>250</v>
      </c>
      <c r="I7218" s="20" t="n">
        <f aca="false">G7218-H7218</f>
        <v>170.83</v>
      </c>
      <c r="J7218" s="21" t="n">
        <f aca="false">H7218*1000/Parametres!$B$9</f>
        <v>4239.44378497541</v>
      </c>
    </row>
    <row r="7219" customFormat="false" ht="15" hidden="false" customHeight="false" outlineLevel="0" collapsed="false">
      <c r="A7219" s="0" t="n">
        <v>7215</v>
      </c>
      <c r="B7219" s="0" t="n">
        <v>10</v>
      </c>
      <c r="C7219" s="19" t="n">
        <v>0.5654</v>
      </c>
      <c r="D7219" s="19" t="n">
        <v>1</v>
      </c>
      <c r="E7219" s="20" t="n">
        <f aca="false">Parametres!$B$5*C7219</f>
        <v>169.62</v>
      </c>
      <c r="F7219" s="20" t="n">
        <f aca="false">Parametres!$B$6*D7219</f>
        <v>200</v>
      </c>
      <c r="G7219" s="20" t="n">
        <f aca="false">E7219+F7219</f>
        <v>369.62</v>
      </c>
      <c r="H7219" s="20" t="n">
        <f aca="false">IF(G7219&lt;Parametres!$B$8*Parametres!$B$7,0,MIN(G7219,Parametres!$B$7))</f>
        <v>250</v>
      </c>
      <c r="I7219" s="20" t="n">
        <f aca="false">G7219-H7219</f>
        <v>119.62</v>
      </c>
      <c r="J7219" s="21" t="n">
        <f aca="false">H7219*1000/Parametres!$B$9</f>
        <v>4239.44378497541</v>
      </c>
    </row>
    <row r="7220" customFormat="false" ht="15" hidden="false" customHeight="false" outlineLevel="0" collapsed="false">
      <c r="A7220" s="0" t="n">
        <v>7216</v>
      </c>
      <c r="B7220" s="0" t="n">
        <v>10</v>
      </c>
      <c r="C7220" s="19" t="n">
        <v>0.4194</v>
      </c>
      <c r="D7220" s="19" t="n">
        <v>1</v>
      </c>
      <c r="E7220" s="20" t="n">
        <f aca="false">Parametres!$B$5*C7220</f>
        <v>125.82</v>
      </c>
      <c r="F7220" s="20" t="n">
        <f aca="false">Parametres!$B$6*D7220</f>
        <v>200</v>
      </c>
      <c r="G7220" s="20" t="n">
        <f aca="false">E7220+F7220</f>
        <v>325.82</v>
      </c>
      <c r="H7220" s="20" t="n">
        <f aca="false">IF(G7220&lt;Parametres!$B$8*Parametres!$B$7,0,MIN(G7220,Parametres!$B$7))</f>
        <v>250</v>
      </c>
      <c r="I7220" s="20" t="n">
        <f aca="false">G7220-H7220</f>
        <v>75.82</v>
      </c>
      <c r="J7220" s="21" t="n">
        <f aca="false">H7220*1000/Parametres!$B$9</f>
        <v>4239.44378497541</v>
      </c>
    </row>
    <row r="7221" customFormat="false" ht="15" hidden="false" customHeight="false" outlineLevel="0" collapsed="false">
      <c r="A7221" s="0" t="n">
        <v>7217</v>
      </c>
      <c r="B7221" s="0" t="n">
        <v>10</v>
      </c>
      <c r="C7221" s="19" t="n">
        <v>0.2103</v>
      </c>
      <c r="D7221" s="19" t="n">
        <v>1</v>
      </c>
      <c r="E7221" s="20" t="n">
        <f aca="false">Parametres!$B$5*C7221</f>
        <v>63.09</v>
      </c>
      <c r="F7221" s="20" t="n">
        <f aca="false">Parametres!$B$6*D7221</f>
        <v>200</v>
      </c>
      <c r="G7221" s="20" t="n">
        <f aca="false">E7221+F7221</f>
        <v>263.09</v>
      </c>
      <c r="H7221" s="20" t="n">
        <f aca="false">IF(G7221&lt;Parametres!$B$8*Parametres!$B$7,0,MIN(G7221,Parametres!$B$7))</f>
        <v>250</v>
      </c>
      <c r="I7221" s="20" t="n">
        <f aca="false">G7221-H7221</f>
        <v>13.09</v>
      </c>
      <c r="J7221" s="21" t="n">
        <f aca="false">H7221*1000/Parametres!$B$9</f>
        <v>4239.44378497541</v>
      </c>
    </row>
    <row r="7222" customFormat="false" ht="15" hidden="false" customHeight="false" outlineLevel="0" collapsed="false">
      <c r="A7222" s="0" t="n">
        <v>7218</v>
      </c>
      <c r="B7222" s="0" t="n">
        <v>10</v>
      </c>
      <c r="C7222" s="19" t="n">
        <v>0</v>
      </c>
      <c r="D7222" s="19" t="n">
        <v>1</v>
      </c>
      <c r="E7222" s="20" t="n">
        <f aca="false">Parametres!$B$5*C7222</f>
        <v>0</v>
      </c>
      <c r="F7222" s="20" t="n">
        <f aca="false">Parametres!$B$6*D7222</f>
        <v>200</v>
      </c>
      <c r="G7222" s="20" t="n">
        <f aca="false">E7222+F7222</f>
        <v>200</v>
      </c>
      <c r="H7222" s="20" t="n">
        <f aca="false">IF(G7222&lt;Parametres!$B$8*Parametres!$B$7,0,MIN(G7222,Parametres!$B$7))</f>
        <v>200</v>
      </c>
      <c r="I7222" s="20" t="n">
        <f aca="false">G7222-H7222</f>
        <v>0</v>
      </c>
      <c r="J7222" s="21" t="n">
        <f aca="false">H7222*1000/Parametres!$B$9</f>
        <v>3391.55502798033</v>
      </c>
    </row>
    <row r="7223" customFormat="false" ht="15" hidden="false" customHeight="false" outlineLevel="0" collapsed="false">
      <c r="A7223" s="0" t="n">
        <v>7219</v>
      </c>
      <c r="B7223" s="0" t="n">
        <v>10</v>
      </c>
      <c r="C7223" s="19" t="n">
        <v>0</v>
      </c>
      <c r="D7223" s="19" t="n">
        <v>1</v>
      </c>
      <c r="E7223" s="20" t="n">
        <f aca="false">Parametres!$B$5*C7223</f>
        <v>0</v>
      </c>
      <c r="F7223" s="20" t="n">
        <f aca="false">Parametres!$B$6*D7223</f>
        <v>200</v>
      </c>
      <c r="G7223" s="20" t="n">
        <f aca="false">E7223+F7223</f>
        <v>200</v>
      </c>
      <c r="H7223" s="20" t="n">
        <f aca="false">IF(G7223&lt;Parametres!$B$8*Parametres!$B$7,0,MIN(G7223,Parametres!$B$7))</f>
        <v>200</v>
      </c>
      <c r="I7223" s="20" t="n">
        <f aca="false">G7223-H7223</f>
        <v>0</v>
      </c>
      <c r="J7223" s="21" t="n">
        <f aca="false">H7223*1000/Parametres!$B$9</f>
        <v>3391.55502798033</v>
      </c>
    </row>
    <row r="7224" customFormat="false" ht="15" hidden="false" customHeight="false" outlineLevel="0" collapsed="false">
      <c r="A7224" s="0" t="n">
        <v>7220</v>
      </c>
      <c r="B7224" s="0" t="n">
        <v>10</v>
      </c>
      <c r="C7224" s="19" t="n">
        <v>0</v>
      </c>
      <c r="D7224" s="19" t="n">
        <v>1</v>
      </c>
      <c r="E7224" s="20" t="n">
        <f aca="false">Parametres!$B$5*C7224</f>
        <v>0</v>
      </c>
      <c r="F7224" s="20" t="n">
        <f aca="false">Parametres!$B$6*D7224</f>
        <v>200</v>
      </c>
      <c r="G7224" s="20" t="n">
        <f aca="false">E7224+F7224</f>
        <v>200</v>
      </c>
      <c r="H7224" s="20" t="n">
        <f aca="false">IF(G7224&lt;Parametres!$B$8*Parametres!$B$7,0,MIN(G7224,Parametres!$B$7))</f>
        <v>200</v>
      </c>
      <c r="I7224" s="20" t="n">
        <f aca="false">G7224-H7224</f>
        <v>0</v>
      </c>
      <c r="J7224" s="21" t="n">
        <f aca="false">H7224*1000/Parametres!$B$9</f>
        <v>3391.55502798033</v>
      </c>
    </row>
    <row r="7225" customFormat="false" ht="15" hidden="false" customHeight="false" outlineLevel="0" collapsed="false">
      <c r="A7225" s="0" t="n">
        <v>7221</v>
      </c>
      <c r="B7225" s="0" t="n">
        <v>10</v>
      </c>
      <c r="C7225" s="19" t="n">
        <v>0</v>
      </c>
      <c r="D7225" s="19" t="n">
        <v>1</v>
      </c>
      <c r="E7225" s="20" t="n">
        <f aca="false">Parametres!$B$5*C7225</f>
        <v>0</v>
      </c>
      <c r="F7225" s="20" t="n">
        <f aca="false">Parametres!$B$6*D7225</f>
        <v>200</v>
      </c>
      <c r="G7225" s="20" t="n">
        <f aca="false">E7225+F7225</f>
        <v>200</v>
      </c>
      <c r="H7225" s="20" t="n">
        <f aca="false">IF(G7225&lt;Parametres!$B$8*Parametres!$B$7,0,MIN(G7225,Parametres!$B$7))</f>
        <v>200</v>
      </c>
      <c r="I7225" s="20" t="n">
        <f aca="false">G7225-H7225</f>
        <v>0</v>
      </c>
      <c r="J7225" s="21" t="n">
        <f aca="false">H7225*1000/Parametres!$B$9</f>
        <v>3391.55502798033</v>
      </c>
    </row>
    <row r="7226" customFormat="false" ht="15" hidden="false" customHeight="false" outlineLevel="0" collapsed="false">
      <c r="A7226" s="0" t="n">
        <v>7222</v>
      </c>
      <c r="B7226" s="0" t="n">
        <v>10</v>
      </c>
      <c r="C7226" s="19" t="n">
        <v>0</v>
      </c>
      <c r="D7226" s="19" t="n">
        <v>1</v>
      </c>
      <c r="E7226" s="20" t="n">
        <f aca="false">Parametres!$B$5*C7226</f>
        <v>0</v>
      </c>
      <c r="F7226" s="20" t="n">
        <f aca="false">Parametres!$B$6*D7226</f>
        <v>200</v>
      </c>
      <c r="G7226" s="20" t="n">
        <f aca="false">E7226+F7226</f>
        <v>200</v>
      </c>
      <c r="H7226" s="20" t="n">
        <f aca="false">IF(G7226&lt;Parametres!$B$8*Parametres!$B$7,0,MIN(G7226,Parametres!$B$7))</f>
        <v>200</v>
      </c>
      <c r="I7226" s="20" t="n">
        <f aca="false">G7226-H7226</f>
        <v>0</v>
      </c>
      <c r="J7226" s="21" t="n">
        <f aca="false">H7226*1000/Parametres!$B$9</f>
        <v>3391.55502798033</v>
      </c>
    </row>
    <row r="7227" customFormat="false" ht="15" hidden="false" customHeight="false" outlineLevel="0" collapsed="false">
      <c r="A7227" s="0" t="n">
        <v>7223</v>
      </c>
      <c r="B7227" s="0" t="n">
        <v>10</v>
      </c>
      <c r="C7227" s="19" t="n">
        <v>0</v>
      </c>
      <c r="D7227" s="19" t="n">
        <v>1</v>
      </c>
      <c r="E7227" s="20" t="n">
        <f aca="false">Parametres!$B$5*C7227</f>
        <v>0</v>
      </c>
      <c r="F7227" s="20" t="n">
        <f aca="false">Parametres!$B$6*D7227</f>
        <v>200</v>
      </c>
      <c r="G7227" s="20" t="n">
        <f aca="false">E7227+F7227</f>
        <v>200</v>
      </c>
      <c r="H7227" s="20" t="n">
        <f aca="false">IF(G7227&lt;Parametres!$B$8*Parametres!$B$7,0,MIN(G7227,Parametres!$B$7))</f>
        <v>200</v>
      </c>
      <c r="I7227" s="20" t="n">
        <f aca="false">G7227-H7227</f>
        <v>0</v>
      </c>
      <c r="J7227" s="21" t="n">
        <f aca="false">H7227*1000/Parametres!$B$9</f>
        <v>3391.55502798033</v>
      </c>
    </row>
    <row r="7228" customFormat="false" ht="15" hidden="false" customHeight="false" outlineLevel="0" collapsed="false">
      <c r="A7228" s="0" t="n">
        <v>7224</v>
      </c>
      <c r="B7228" s="0" t="n">
        <v>10</v>
      </c>
      <c r="C7228" s="19" t="n">
        <v>0</v>
      </c>
      <c r="D7228" s="19" t="n">
        <v>1</v>
      </c>
      <c r="E7228" s="20" t="n">
        <f aca="false">Parametres!$B$5*C7228</f>
        <v>0</v>
      </c>
      <c r="F7228" s="20" t="n">
        <f aca="false">Parametres!$B$6*D7228</f>
        <v>200</v>
      </c>
      <c r="G7228" s="20" t="n">
        <f aca="false">E7228+F7228</f>
        <v>200</v>
      </c>
      <c r="H7228" s="20" t="n">
        <f aca="false">IF(G7228&lt;Parametres!$B$8*Parametres!$B$7,0,MIN(G7228,Parametres!$B$7))</f>
        <v>200</v>
      </c>
      <c r="I7228" s="20" t="n">
        <f aca="false">G7228-H7228</f>
        <v>0</v>
      </c>
      <c r="J7228" s="21" t="n">
        <f aca="false">H7228*1000/Parametres!$B$9</f>
        <v>3391.55502798033</v>
      </c>
    </row>
    <row r="7229" customFormat="false" ht="15" hidden="false" customHeight="false" outlineLevel="0" collapsed="false">
      <c r="A7229" s="0" t="n">
        <v>7225</v>
      </c>
      <c r="B7229" s="0" t="n">
        <v>10</v>
      </c>
      <c r="C7229" s="19" t="n">
        <v>0</v>
      </c>
      <c r="D7229" s="19" t="n">
        <v>1</v>
      </c>
      <c r="E7229" s="20" t="n">
        <f aca="false">Parametres!$B$5*C7229</f>
        <v>0</v>
      </c>
      <c r="F7229" s="20" t="n">
        <f aca="false">Parametres!$B$6*D7229</f>
        <v>200</v>
      </c>
      <c r="G7229" s="20" t="n">
        <f aca="false">E7229+F7229</f>
        <v>200</v>
      </c>
      <c r="H7229" s="20" t="n">
        <f aca="false">IF(G7229&lt;Parametres!$B$8*Parametres!$B$7,0,MIN(G7229,Parametres!$B$7))</f>
        <v>200</v>
      </c>
      <c r="I7229" s="20" t="n">
        <f aca="false">G7229-H7229</f>
        <v>0</v>
      </c>
      <c r="J7229" s="21" t="n">
        <f aca="false">H7229*1000/Parametres!$B$9</f>
        <v>3391.55502798033</v>
      </c>
    </row>
    <row r="7230" customFormat="false" ht="15" hidden="false" customHeight="false" outlineLevel="0" collapsed="false">
      <c r="A7230" s="0" t="n">
        <v>7226</v>
      </c>
      <c r="B7230" s="0" t="n">
        <v>10</v>
      </c>
      <c r="C7230" s="19" t="n">
        <v>0</v>
      </c>
      <c r="D7230" s="19" t="n">
        <v>1</v>
      </c>
      <c r="E7230" s="20" t="n">
        <f aca="false">Parametres!$B$5*C7230</f>
        <v>0</v>
      </c>
      <c r="F7230" s="20" t="n">
        <f aca="false">Parametres!$B$6*D7230</f>
        <v>200</v>
      </c>
      <c r="G7230" s="20" t="n">
        <f aca="false">E7230+F7230</f>
        <v>200</v>
      </c>
      <c r="H7230" s="20" t="n">
        <f aca="false">IF(G7230&lt;Parametres!$B$8*Parametres!$B$7,0,MIN(G7230,Parametres!$B$7))</f>
        <v>200</v>
      </c>
      <c r="I7230" s="20" t="n">
        <f aca="false">G7230-H7230</f>
        <v>0</v>
      </c>
      <c r="J7230" s="21" t="n">
        <f aca="false">H7230*1000/Parametres!$B$9</f>
        <v>3391.55502798033</v>
      </c>
    </row>
    <row r="7231" customFormat="false" ht="15" hidden="false" customHeight="false" outlineLevel="0" collapsed="false">
      <c r="A7231" s="0" t="n">
        <v>7227</v>
      </c>
      <c r="B7231" s="0" t="n">
        <v>10</v>
      </c>
      <c r="C7231" s="19" t="n">
        <v>0</v>
      </c>
      <c r="D7231" s="19" t="n">
        <v>1</v>
      </c>
      <c r="E7231" s="20" t="n">
        <f aca="false">Parametres!$B$5*C7231</f>
        <v>0</v>
      </c>
      <c r="F7231" s="20" t="n">
        <f aca="false">Parametres!$B$6*D7231</f>
        <v>200</v>
      </c>
      <c r="G7231" s="20" t="n">
        <f aca="false">E7231+F7231</f>
        <v>200</v>
      </c>
      <c r="H7231" s="20" t="n">
        <f aca="false">IF(G7231&lt;Parametres!$B$8*Parametres!$B$7,0,MIN(G7231,Parametres!$B$7))</f>
        <v>200</v>
      </c>
      <c r="I7231" s="20" t="n">
        <f aca="false">G7231-H7231</f>
        <v>0</v>
      </c>
      <c r="J7231" s="21" t="n">
        <f aca="false">H7231*1000/Parametres!$B$9</f>
        <v>3391.55502798033</v>
      </c>
    </row>
    <row r="7232" customFormat="false" ht="15" hidden="false" customHeight="false" outlineLevel="0" collapsed="false">
      <c r="A7232" s="0" t="n">
        <v>7228</v>
      </c>
      <c r="B7232" s="0" t="n">
        <v>10</v>
      </c>
      <c r="C7232" s="19" t="n">
        <v>0</v>
      </c>
      <c r="D7232" s="19" t="n">
        <v>1</v>
      </c>
      <c r="E7232" s="20" t="n">
        <f aca="false">Parametres!$B$5*C7232</f>
        <v>0</v>
      </c>
      <c r="F7232" s="20" t="n">
        <f aca="false">Parametres!$B$6*D7232</f>
        <v>200</v>
      </c>
      <c r="G7232" s="20" t="n">
        <f aca="false">E7232+F7232</f>
        <v>200</v>
      </c>
      <c r="H7232" s="20" t="n">
        <f aca="false">IF(G7232&lt;Parametres!$B$8*Parametres!$B$7,0,MIN(G7232,Parametres!$B$7))</f>
        <v>200</v>
      </c>
      <c r="I7232" s="20" t="n">
        <f aca="false">G7232-H7232</f>
        <v>0</v>
      </c>
      <c r="J7232" s="21" t="n">
        <f aca="false">H7232*1000/Parametres!$B$9</f>
        <v>3391.55502798033</v>
      </c>
    </row>
    <row r="7233" customFormat="false" ht="15" hidden="false" customHeight="false" outlineLevel="0" collapsed="false">
      <c r="A7233" s="0" t="n">
        <v>7229</v>
      </c>
      <c r="B7233" s="0" t="n">
        <v>10</v>
      </c>
      <c r="C7233" s="19" t="n">
        <v>0</v>
      </c>
      <c r="D7233" s="19" t="n">
        <v>1</v>
      </c>
      <c r="E7233" s="20" t="n">
        <f aca="false">Parametres!$B$5*C7233</f>
        <v>0</v>
      </c>
      <c r="F7233" s="20" t="n">
        <f aca="false">Parametres!$B$6*D7233</f>
        <v>200</v>
      </c>
      <c r="G7233" s="20" t="n">
        <f aca="false">E7233+F7233</f>
        <v>200</v>
      </c>
      <c r="H7233" s="20" t="n">
        <f aca="false">IF(G7233&lt;Parametres!$B$8*Parametres!$B$7,0,MIN(G7233,Parametres!$B$7))</f>
        <v>200</v>
      </c>
      <c r="I7233" s="20" t="n">
        <f aca="false">G7233-H7233</f>
        <v>0</v>
      </c>
      <c r="J7233" s="21" t="n">
        <f aca="false">H7233*1000/Parametres!$B$9</f>
        <v>3391.55502798033</v>
      </c>
    </row>
    <row r="7234" customFormat="false" ht="15" hidden="false" customHeight="false" outlineLevel="0" collapsed="false">
      <c r="A7234" s="0" t="n">
        <v>7230</v>
      </c>
      <c r="B7234" s="0" t="n">
        <v>10</v>
      </c>
      <c r="C7234" s="19" t="n">
        <v>0</v>
      </c>
      <c r="D7234" s="19" t="n">
        <v>1</v>
      </c>
      <c r="E7234" s="20" t="n">
        <f aca="false">Parametres!$B$5*C7234</f>
        <v>0</v>
      </c>
      <c r="F7234" s="20" t="n">
        <f aca="false">Parametres!$B$6*D7234</f>
        <v>200</v>
      </c>
      <c r="G7234" s="20" t="n">
        <f aca="false">E7234+F7234</f>
        <v>200</v>
      </c>
      <c r="H7234" s="20" t="n">
        <f aca="false">IF(G7234&lt;Parametres!$B$8*Parametres!$B$7,0,MIN(G7234,Parametres!$B$7))</f>
        <v>200</v>
      </c>
      <c r="I7234" s="20" t="n">
        <f aca="false">G7234-H7234</f>
        <v>0</v>
      </c>
      <c r="J7234" s="21" t="n">
        <f aca="false">H7234*1000/Parametres!$B$9</f>
        <v>3391.55502798033</v>
      </c>
    </row>
    <row r="7235" customFormat="false" ht="15" hidden="false" customHeight="false" outlineLevel="0" collapsed="false">
      <c r="A7235" s="0" t="n">
        <v>7231</v>
      </c>
      <c r="B7235" s="0" t="n">
        <v>10</v>
      </c>
      <c r="C7235" s="19" t="n">
        <v>0</v>
      </c>
      <c r="D7235" s="19" t="n">
        <v>1</v>
      </c>
      <c r="E7235" s="20" t="n">
        <f aca="false">Parametres!$B$5*C7235</f>
        <v>0</v>
      </c>
      <c r="F7235" s="20" t="n">
        <f aca="false">Parametres!$B$6*D7235</f>
        <v>200</v>
      </c>
      <c r="G7235" s="20" t="n">
        <f aca="false">E7235+F7235</f>
        <v>200</v>
      </c>
      <c r="H7235" s="20" t="n">
        <f aca="false">IF(G7235&lt;Parametres!$B$8*Parametres!$B$7,0,MIN(G7235,Parametres!$B$7))</f>
        <v>200</v>
      </c>
      <c r="I7235" s="20" t="n">
        <f aca="false">G7235-H7235</f>
        <v>0</v>
      </c>
      <c r="J7235" s="21" t="n">
        <f aca="false">H7235*1000/Parametres!$B$9</f>
        <v>3391.55502798033</v>
      </c>
    </row>
    <row r="7236" customFormat="false" ht="15" hidden="false" customHeight="false" outlineLevel="0" collapsed="false">
      <c r="A7236" s="0" t="n">
        <v>7232</v>
      </c>
      <c r="B7236" s="0" t="n">
        <v>10</v>
      </c>
      <c r="C7236" s="19" t="n">
        <v>0.212</v>
      </c>
      <c r="D7236" s="19" t="n">
        <v>1</v>
      </c>
      <c r="E7236" s="20" t="n">
        <f aca="false">Parametres!$B$5*C7236</f>
        <v>63.6</v>
      </c>
      <c r="F7236" s="20" t="n">
        <f aca="false">Parametres!$B$6*D7236</f>
        <v>200</v>
      </c>
      <c r="G7236" s="20" t="n">
        <f aca="false">E7236+F7236</f>
        <v>263.6</v>
      </c>
      <c r="H7236" s="20" t="n">
        <f aca="false">IF(G7236&lt;Parametres!$B$8*Parametres!$B$7,0,MIN(G7236,Parametres!$B$7))</f>
        <v>250</v>
      </c>
      <c r="I7236" s="20" t="n">
        <f aca="false">G7236-H7236</f>
        <v>13.6</v>
      </c>
      <c r="J7236" s="21" t="n">
        <f aca="false">H7236*1000/Parametres!$B$9</f>
        <v>4239.44378497541</v>
      </c>
    </row>
    <row r="7237" customFormat="false" ht="15" hidden="false" customHeight="false" outlineLevel="0" collapsed="false">
      <c r="A7237" s="0" t="n">
        <v>7233</v>
      </c>
      <c r="B7237" s="0" t="n">
        <v>10</v>
      </c>
      <c r="C7237" s="19" t="n">
        <v>0.4131</v>
      </c>
      <c r="D7237" s="19" t="n">
        <v>1</v>
      </c>
      <c r="E7237" s="20" t="n">
        <f aca="false">Parametres!$B$5*C7237</f>
        <v>123.93</v>
      </c>
      <c r="F7237" s="20" t="n">
        <f aca="false">Parametres!$B$6*D7237</f>
        <v>200</v>
      </c>
      <c r="G7237" s="20" t="n">
        <f aca="false">E7237+F7237</f>
        <v>323.93</v>
      </c>
      <c r="H7237" s="20" t="n">
        <f aca="false">IF(G7237&lt;Parametres!$B$8*Parametres!$B$7,0,MIN(G7237,Parametres!$B$7))</f>
        <v>250</v>
      </c>
      <c r="I7237" s="20" t="n">
        <f aca="false">G7237-H7237</f>
        <v>73.93</v>
      </c>
      <c r="J7237" s="21" t="n">
        <f aca="false">H7237*1000/Parametres!$B$9</f>
        <v>4239.44378497541</v>
      </c>
    </row>
    <row r="7238" customFormat="false" ht="15" hidden="false" customHeight="false" outlineLevel="0" collapsed="false">
      <c r="A7238" s="0" t="n">
        <v>7234</v>
      </c>
      <c r="B7238" s="0" t="n">
        <v>10</v>
      </c>
      <c r="C7238" s="19" t="n">
        <v>0.5748</v>
      </c>
      <c r="D7238" s="19" t="n">
        <v>1</v>
      </c>
      <c r="E7238" s="20" t="n">
        <f aca="false">Parametres!$B$5*C7238</f>
        <v>172.44</v>
      </c>
      <c r="F7238" s="20" t="n">
        <f aca="false">Parametres!$B$6*D7238</f>
        <v>200</v>
      </c>
      <c r="G7238" s="20" t="n">
        <f aca="false">E7238+F7238</f>
        <v>372.44</v>
      </c>
      <c r="H7238" s="20" t="n">
        <f aca="false">IF(G7238&lt;Parametres!$B$8*Parametres!$B$7,0,MIN(G7238,Parametres!$B$7))</f>
        <v>250</v>
      </c>
      <c r="I7238" s="20" t="n">
        <f aca="false">G7238-H7238</f>
        <v>122.44</v>
      </c>
      <c r="J7238" s="21" t="n">
        <f aca="false">H7238*1000/Parametres!$B$9</f>
        <v>4239.44378497541</v>
      </c>
    </row>
    <row r="7239" customFormat="false" ht="15" hidden="false" customHeight="false" outlineLevel="0" collapsed="false">
      <c r="A7239" s="0" t="n">
        <v>7235</v>
      </c>
      <c r="B7239" s="0" t="n">
        <v>10</v>
      </c>
      <c r="C7239" s="19" t="n">
        <v>0.7762</v>
      </c>
      <c r="D7239" s="19" t="n">
        <v>1</v>
      </c>
      <c r="E7239" s="20" t="n">
        <f aca="false">Parametres!$B$5*C7239</f>
        <v>232.86</v>
      </c>
      <c r="F7239" s="20" t="n">
        <f aca="false">Parametres!$B$6*D7239</f>
        <v>200</v>
      </c>
      <c r="G7239" s="20" t="n">
        <f aca="false">E7239+F7239</f>
        <v>432.86</v>
      </c>
      <c r="H7239" s="20" t="n">
        <f aca="false">IF(G7239&lt;Parametres!$B$8*Parametres!$B$7,0,MIN(G7239,Parametres!$B$7))</f>
        <v>250</v>
      </c>
      <c r="I7239" s="20" t="n">
        <f aca="false">G7239-H7239</f>
        <v>182.86</v>
      </c>
      <c r="J7239" s="21" t="n">
        <f aca="false">H7239*1000/Parametres!$B$9</f>
        <v>4239.44378497541</v>
      </c>
    </row>
    <row r="7240" customFormat="false" ht="15" hidden="false" customHeight="false" outlineLevel="0" collapsed="false">
      <c r="A7240" s="0" t="n">
        <v>7236</v>
      </c>
      <c r="B7240" s="0" t="n">
        <v>10</v>
      </c>
      <c r="C7240" s="19" t="n">
        <v>0.9065</v>
      </c>
      <c r="D7240" s="19" t="n">
        <v>1</v>
      </c>
      <c r="E7240" s="20" t="n">
        <f aca="false">Parametres!$B$5*C7240</f>
        <v>271.95</v>
      </c>
      <c r="F7240" s="20" t="n">
        <f aca="false">Parametres!$B$6*D7240</f>
        <v>200</v>
      </c>
      <c r="G7240" s="20" t="n">
        <f aca="false">E7240+F7240</f>
        <v>471.95</v>
      </c>
      <c r="H7240" s="20" t="n">
        <f aca="false">IF(G7240&lt;Parametres!$B$8*Parametres!$B$7,0,MIN(G7240,Parametres!$B$7))</f>
        <v>250</v>
      </c>
      <c r="I7240" s="20" t="n">
        <f aca="false">G7240-H7240</f>
        <v>221.95</v>
      </c>
      <c r="J7240" s="21" t="n">
        <f aca="false">H7240*1000/Parametres!$B$9</f>
        <v>4239.44378497541</v>
      </c>
    </row>
    <row r="7241" customFormat="false" ht="15" hidden="false" customHeight="false" outlineLevel="0" collapsed="false">
      <c r="A7241" s="0" t="n">
        <v>7237</v>
      </c>
      <c r="B7241" s="0" t="n">
        <v>10</v>
      </c>
      <c r="C7241" s="19" t="n">
        <v>0.9223</v>
      </c>
      <c r="D7241" s="19" t="n">
        <v>1</v>
      </c>
      <c r="E7241" s="20" t="n">
        <f aca="false">Parametres!$B$5*C7241</f>
        <v>276.69</v>
      </c>
      <c r="F7241" s="20" t="n">
        <f aca="false">Parametres!$B$6*D7241</f>
        <v>200</v>
      </c>
      <c r="G7241" s="20" t="n">
        <f aca="false">E7241+F7241</f>
        <v>476.69</v>
      </c>
      <c r="H7241" s="20" t="n">
        <f aca="false">IF(G7241&lt;Parametres!$B$8*Parametres!$B$7,0,MIN(G7241,Parametres!$B$7))</f>
        <v>250</v>
      </c>
      <c r="I7241" s="20" t="n">
        <f aca="false">G7241-H7241</f>
        <v>226.69</v>
      </c>
      <c r="J7241" s="21" t="n">
        <f aca="false">H7241*1000/Parametres!$B$9</f>
        <v>4239.44378497541</v>
      </c>
    </row>
    <row r="7242" customFormat="false" ht="15" hidden="false" customHeight="false" outlineLevel="0" collapsed="false">
      <c r="A7242" s="0" t="n">
        <v>7238</v>
      </c>
      <c r="B7242" s="0" t="n">
        <v>10</v>
      </c>
      <c r="C7242" s="19" t="n">
        <v>0.8318</v>
      </c>
      <c r="D7242" s="19" t="n">
        <v>1</v>
      </c>
      <c r="E7242" s="20" t="n">
        <f aca="false">Parametres!$B$5*C7242</f>
        <v>249.54</v>
      </c>
      <c r="F7242" s="20" t="n">
        <f aca="false">Parametres!$B$6*D7242</f>
        <v>200</v>
      </c>
      <c r="G7242" s="20" t="n">
        <f aca="false">E7242+F7242</f>
        <v>449.54</v>
      </c>
      <c r="H7242" s="20" t="n">
        <f aca="false">IF(G7242&lt;Parametres!$B$8*Parametres!$B$7,0,MIN(G7242,Parametres!$B$7))</f>
        <v>250</v>
      </c>
      <c r="I7242" s="20" t="n">
        <f aca="false">G7242-H7242</f>
        <v>199.54</v>
      </c>
      <c r="J7242" s="21" t="n">
        <f aca="false">H7242*1000/Parametres!$B$9</f>
        <v>4239.44378497541</v>
      </c>
    </row>
    <row r="7243" customFormat="false" ht="15" hidden="false" customHeight="false" outlineLevel="0" collapsed="false">
      <c r="A7243" s="0" t="n">
        <v>7239</v>
      </c>
      <c r="B7243" s="0" t="n">
        <v>10</v>
      </c>
      <c r="C7243" s="19" t="n">
        <v>0.5881</v>
      </c>
      <c r="D7243" s="19" t="n">
        <v>1</v>
      </c>
      <c r="E7243" s="20" t="n">
        <f aca="false">Parametres!$B$5*C7243</f>
        <v>176.43</v>
      </c>
      <c r="F7243" s="20" t="n">
        <f aca="false">Parametres!$B$6*D7243</f>
        <v>200</v>
      </c>
      <c r="G7243" s="20" t="n">
        <f aca="false">E7243+F7243</f>
        <v>376.43</v>
      </c>
      <c r="H7243" s="20" t="n">
        <f aca="false">IF(G7243&lt;Parametres!$B$8*Parametres!$B$7,0,MIN(G7243,Parametres!$B$7))</f>
        <v>250</v>
      </c>
      <c r="I7243" s="20" t="n">
        <f aca="false">G7243-H7243</f>
        <v>126.43</v>
      </c>
      <c r="J7243" s="21" t="n">
        <f aca="false">H7243*1000/Parametres!$B$9</f>
        <v>4239.44378497541</v>
      </c>
    </row>
    <row r="7244" customFormat="false" ht="15" hidden="false" customHeight="false" outlineLevel="0" collapsed="false">
      <c r="A7244" s="0" t="n">
        <v>7240</v>
      </c>
      <c r="B7244" s="0" t="n">
        <v>10</v>
      </c>
      <c r="C7244" s="19" t="n">
        <v>0.4354</v>
      </c>
      <c r="D7244" s="19" t="n">
        <v>1</v>
      </c>
      <c r="E7244" s="20" t="n">
        <f aca="false">Parametres!$B$5*C7244</f>
        <v>130.62</v>
      </c>
      <c r="F7244" s="20" t="n">
        <f aca="false">Parametres!$B$6*D7244</f>
        <v>200</v>
      </c>
      <c r="G7244" s="20" t="n">
        <f aca="false">E7244+F7244</f>
        <v>330.62</v>
      </c>
      <c r="H7244" s="20" t="n">
        <f aca="false">IF(G7244&lt;Parametres!$B$8*Parametres!$B$7,0,MIN(G7244,Parametres!$B$7))</f>
        <v>250</v>
      </c>
      <c r="I7244" s="20" t="n">
        <f aca="false">G7244-H7244</f>
        <v>80.62</v>
      </c>
      <c r="J7244" s="21" t="n">
        <f aca="false">H7244*1000/Parametres!$B$9</f>
        <v>4239.44378497541</v>
      </c>
    </row>
    <row r="7245" customFormat="false" ht="15" hidden="false" customHeight="false" outlineLevel="0" collapsed="false">
      <c r="A7245" s="0" t="n">
        <v>7241</v>
      </c>
      <c r="B7245" s="0" t="n">
        <v>10</v>
      </c>
      <c r="C7245" s="19" t="n">
        <v>0.1994</v>
      </c>
      <c r="D7245" s="19" t="n">
        <v>1</v>
      </c>
      <c r="E7245" s="20" t="n">
        <f aca="false">Parametres!$B$5*C7245</f>
        <v>59.82</v>
      </c>
      <c r="F7245" s="20" t="n">
        <f aca="false">Parametres!$B$6*D7245</f>
        <v>200</v>
      </c>
      <c r="G7245" s="20" t="n">
        <f aca="false">E7245+F7245</f>
        <v>259.82</v>
      </c>
      <c r="H7245" s="20" t="n">
        <f aca="false">IF(G7245&lt;Parametres!$B$8*Parametres!$B$7,0,MIN(G7245,Parametres!$B$7))</f>
        <v>250</v>
      </c>
      <c r="I7245" s="20" t="n">
        <f aca="false">G7245-H7245</f>
        <v>9.81999999999999</v>
      </c>
      <c r="J7245" s="21" t="n">
        <f aca="false">H7245*1000/Parametres!$B$9</f>
        <v>4239.44378497541</v>
      </c>
    </row>
    <row r="7246" customFormat="false" ht="15" hidden="false" customHeight="false" outlineLevel="0" collapsed="false">
      <c r="A7246" s="0" t="n">
        <v>7242</v>
      </c>
      <c r="B7246" s="0" t="n">
        <v>10</v>
      </c>
      <c r="C7246" s="19" t="n">
        <v>0</v>
      </c>
      <c r="D7246" s="19" t="n">
        <v>1</v>
      </c>
      <c r="E7246" s="20" t="n">
        <f aca="false">Parametres!$B$5*C7246</f>
        <v>0</v>
      </c>
      <c r="F7246" s="20" t="n">
        <f aca="false">Parametres!$B$6*D7246</f>
        <v>200</v>
      </c>
      <c r="G7246" s="20" t="n">
        <f aca="false">E7246+F7246</f>
        <v>200</v>
      </c>
      <c r="H7246" s="20" t="n">
        <f aca="false">IF(G7246&lt;Parametres!$B$8*Parametres!$B$7,0,MIN(G7246,Parametres!$B$7))</f>
        <v>200</v>
      </c>
      <c r="I7246" s="20" t="n">
        <f aca="false">G7246-H7246</f>
        <v>0</v>
      </c>
      <c r="J7246" s="21" t="n">
        <f aca="false">H7246*1000/Parametres!$B$9</f>
        <v>3391.55502798033</v>
      </c>
    </row>
    <row r="7247" customFormat="false" ht="15" hidden="false" customHeight="false" outlineLevel="0" collapsed="false">
      <c r="A7247" s="0" t="n">
        <v>7243</v>
      </c>
      <c r="B7247" s="0" t="n">
        <v>10</v>
      </c>
      <c r="C7247" s="19" t="n">
        <v>0</v>
      </c>
      <c r="D7247" s="19" t="n">
        <v>1</v>
      </c>
      <c r="E7247" s="20" t="n">
        <f aca="false">Parametres!$B$5*C7247</f>
        <v>0</v>
      </c>
      <c r="F7247" s="20" t="n">
        <f aca="false">Parametres!$B$6*D7247</f>
        <v>200</v>
      </c>
      <c r="G7247" s="20" t="n">
        <f aca="false">E7247+F7247</f>
        <v>200</v>
      </c>
      <c r="H7247" s="20" t="n">
        <f aca="false">IF(G7247&lt;Parametres!$B$8*Parametres!$B$7,0,MIN(G7247,Parametres!$B$7))</f>
        <v>200</v>
      </c>
      <c r="I7247" s="20" t="n">
        <f aca="false">G7247-H7247</f>
        <v>0</v>
      </c>
      <c r="J7247" s="21" t="n">
        <f aca="false">H7247*1000/Parametres!$B$9</f>
        <v>3391.55502798033</v>
      </c>
    </row>
    <row r="7248" customFormat="false" ht="15" hidden="false" customHeight="false" outlineLevel="0" collapsed="false">
      <c r="A7248" s="0" t="n">
        <v>7244</v>
      </c>
      <c r="B7248" s="0" t="n">
        <v>10</v>
      </c>
      <c r="C7248" s="19" t="n">
        <v>0</v>
      </c>
      <c r="D7248" s="19" t="n">
        <v>1</v>
      </c>
      <c r="E7248" s="20" t="n">
        <f aca="false">Parametres!$B$5*C7248</f>
        <v>0</v>
      </c>
      <c r="F7248" s="20" t="n">
        <f aca="false">Parametres!$B$6*D7248</f>
        <v>200</v>
      </c>
      <c r="G7248" s="20" t="n">
        <f aca="false">E7248+F7248</f>
        <v>200</v>
      </c>
      <c r="H7248" s="20" t="n">
        <f aca="false">IF(G7248&lt;Parametres!$B$8*Parametres!$B$7,0,MIN(G7248,Parametres!$B$7))</f>
        <v>200</v>
      </c>
      <c r="I7248" s="20" t="n">
        <f aca="false">G7248-H7248</f>
        <v>0</v>
      </c>
      <c r="J7248" s="21" t="n">
        <f aca="false">H7248*1000/Parametres!$B$9</f>
        <v>3391.55502798033</v>
      </c>
    </row>
    <row r="7249" customFormat="false" ht="15" hidden="false" customHeight="false" outlineLevel="0" collapsed="false">
      <c r="A7249" s="0" t="n">
        <v>7245</v>
      </c>
      <c r="B7249" s="0" t="n">
        <v>10</v>
      </c>
      <c r="C7249" s="19" t="n">
        <v>0</v>
      </c>
      <c r="D7249" s="19" t="n">
        <v>1</v>
      </c>
      <c r="E7249" s="20" t="n">
        <f aca="false">Parametres!$B$5*C7249</f>
        <v>0</v>
      </c>
      <c r="F7249" s="20" t="n">
        <f aca="false">Parametres!$B$6*D7249</f>
        <v>200</v>
      </c>
      <c r="G7249" s="20" t="n">
        <f aca="false">E7249+F7249</f>
        <v>200</v>
      </c>
      <c r="H7249" s="20" t="n">
        <f aca="false">IF(G7249&lt;Parametres!$B$8*Parametres!$B$7,0,MIN(G7249,Parametres!$B$7))</f>
        <v>200</v>
      </c>
      <c r="I7249" s="20" t="n">
        <f aca="false">G7249-H7249</f>
        <v>0</v>
      </c>
      <c r="J7249" s="21" t="n">
        <f aca="false">H7249*1000/Parametres!$B$9</f>
        <v>3391.55502798033</v>
      </c>
    </row>
    <row r="7250" customFormat="false" ht="15" hidden="false" customHeight="false" outlineLevel="0" collapsed="false">
      <c r="A7250" s="0" t="n">
        <v>7246</v>
      </c>
      <c r="B7250" s="0" t="n">
        <v>10</v>
      </c>
      <c r="C7250" s="19" t="n">
        <v>0</v>
      </c>
      <c r="D7250" s="19" t="n">
        <v>1</v>
      </c>
      <c r="E7250" s="20" t="n">
        <f aca="false">Parametres!$B$5*C7250</f>
        <v>0</v>
      </c>
      <c r="F7250" s="20" t="n">
        <f aca="false">Parametres!$B$6*D7250</f>
        <v>200</v>
      </c>
      <c r="G7250" s="20" t="n">
        <f aca="false">E7250+F7250</f>
        <v>200</v>
      </c>
      <c r="H7250" s="20" t="n">
        <f aca="false">IF(G7250&lt;Parametres!$B$8*Parametres!$B$7,0,MIN(G7250,Parametres!$B$7))</f>
        <v>200</v>
      </c>
      <c r="I7250" s="20" t="n">
        <f aca="false">G7250-H7250</f>
        <v>0</v>
      </c>
      <c r="J7250" s="21" t="n">
        <f aca="false">H7250*1000/Parametres!$B$9</f>
        <v>3391.55502798033</v>
      </c>
    </row>
    <row r="7251" customFormat="false" ht="15" hidden="false" customHeight="false" outlineLevel="0" collapsed="false">
      <c r="A7251" s="0" t="n">
        <v>7247</v>
      </c>
      <c r="B7251" s="0" t="n">
        <v>10</v>
      </c>
      <c r="C7251" s="19" t="n">
        <v>0</v>
      </c>
      <c r="D7251" s="19" t="n">
        <v>1</v>
      </c>
      <c r="E7251" s="20" t="n">
        <f aca="false">Parametres!$B$5*C7251</f>
        <v>0</v>
      </c>
      <c r="F7251" s="20" t="n">
        <f aca="false">Parametres!$B$6*D7251</f>
        <v>200</v>
      </c>
      <c r="G7251" s="20" t="n">
        <f aca="false">E7251+F7251</f>
        <v>200</v>
      </c>
      <c r="H7251" s="20" t="n">
        <f aca="false">IF(G7251&lt;Parametres!$B$8*Parametres!$B$7,0,MIN(G7251,Parametres!$B$7))</f>
        <v>200</v>
      </c>
      <c r="I7251" s="20" t="n">
        <f aca="false">G7251-H7251</f>
        <v>0</v>
      </c>
      <c r="J7251" s="21" t="n">
        <f aca="false">H7251*1000/Parametres!$B$9</f>
        <v>3391.55502798033</v>
      </c>
    </row>
    <row r="7252" customFormat="false" ht="15" hidden="false" customHeight="false" outlineLevel="0" collapsed="false">
      <c r="A7252" s="0" t="n">
        <v>7248</v>
      </c>
      <c r="B7252" s="0" t="n">
        <v>10</v>
      </c>
      <c r="C7252" s="19" t="n">
        <v>0</v>
      </c>
      <c r="D7252" s="19" t="n">
        <v>1</v>
      </c>
      <c r="E7252" s="20" t="n">
        <f aca="false">Parametres!$B$5*C7252</f>
        <v>0</v>
      </c>
      <c r="F7252" s="20" t="n">
        <f aca="false">Parametres!$B$6*D7252</f>
        <v>200</v>
      </c>
      <c r="G7252" s="20" t="n">
        <f aca="false">E7252+F7252</f>
        <v>200</v>
      </c>
      <c r="H7252" s="20" t="n">
        <f aca="false">IF(G7252&lt;Parametres!$B$8*Parametres!$B$7,0,MIN(G7252,Parametres!$B$7))</f>
        <v>200</v>
      </c>
      <c r="I7252" s="20" t="n">
        <f aca="false">G7252-H7252</f>
        <v>0</v>
      </c>
      <c r="J7252" s="21" t="n">
        <f aca="false">H7252*1000/Parametres!$B$9</f>
        <v>3391.55502798033</v>
      </c>
    </row>
    <row r="7253" customFormat="false" ht="15" hidden="false" customHeight="false" outlineLevel="0" collapsed="false">
      <c r="A7253" s="0" t="n">
        <v>7249</v>
      </c>
      <c r="B7253" s="0" t="n">
        <v>10</v>
      </c>
      <c r="C7253" s="19" t="n">
        <v>0</v>
      </c>
      <c r="D7253" s="19" t="n">
        <v>0.8937</v>
      </c>
      <c r="E7253" s="20" t="n">
        <f aca="false">Parametres!$B$5*C7253</f>
        <v>0</v>
      </c>
      <c r="F7253" s="20" t="n">
        <f aca="false">Parametres!$B$6*D7253</f>
        <v>178.74</v>
      </c>
      <c r="G7253" s="20" t="n">
        <f aca="false">E7253+F7253</f>
        <v>178.74</v>
      </c>
      <c r="H7253" s="20" t="n">
        <f aca="false">IF(G7253&lt;Parametres!$B$8*Parametres!$B$7,0,MIN(G7253,Parametres!$B$7))</f>
        <v>178.74</v>
      </c>
      <c r="I7253" s="20" t="n">
        <f aca="false">G7253-H7253</f>
        <v>0</v>
      </c>
      <c r="J7253" s="21" t="n">
        <f aca="false">H7253*1000/Parametres!$B$9</f>
        <v>3031.03272850602</v>
      </c>
    </row>
    <row r="7254" customFormat="false" ht="15" hidden="false" customHeight="false" outlineLevel="0" collapsed="false">
      <c r="A7254" s="0" t="n">
        <v>7250</v>
      </c>
      <c r="B7254" s="0" t="n">
        <v>10</v>
      </c>
      <c r="C7254" s="19" t="n">
        <v>0</v>
      </c>
      <c r="D7254" s="19" t="n">
        <v>0.5383</v>
      </c>
      <c r="E7254" s="20" t="n">
        <f aca="false">Parametres!$B$5*C7254</f>
        <v>0</v>
      </c>
      <c r="F7254" s="20" t="n">
        <f aca="false">Parametres!$B$6*D7254</f>
        <v>107.66</v>
      </c>
      <c r="G7254" s="20" t="n">
        <f aca="false">E7254+F7254</f>
        <v>107.66</v>
      </c>
      <c r="H7254" s="20" t="n">
        <f aca="false">IF(G7254&lt;Parametres!$B$8*Parametres!$B$7,0,MIN(G7254,Parametres!$B$7))</f>
        <v>107.66</v>
      </c>
      <c r="I7254" s="20" t="n">
        <f aca="false">G7254-H7254</f>
        <v>0</v>
      </c>
      <c r="J7254" s="21" t="n">
        <f aca="false">H7254*1000/Parametres!$B$9</f>
        <v>1825.67407156181</v>
      </c>
    </row>
    <row r="7255" customFormat="false" ht="15" hidden="false" customHeight="false" outlineLevel="0" collapsed="false">
      <c r="A7255" s="0" t="n">
        <v>7251</v>
      </c>
      <c r="B7255" s="0" t="n">
        <v>10</v>
      </c>
      <c r="C7255" s="19" t="n">
        <v>0</v>
      </c>
      <c r="D7255" s="19" t="n">
        <v>0.5317</v>
      </c>
      <c r="E7255" s="20" t="n">
        <f aca="false">Parametres!$B$5*C7255</f>
        <v>0</v>
      </c>
      <c r="F7255" s="20" t="n">
        <f aca="false">Parametres!$B$6*D7255</f>
        <v>106.34</v>
      </c>
      <c r="G7255" s="20" t="n">
        <f aca="false">E7255+F7255</f>
        <v>106.34</v>
      </c>
      <c r="H7255" s="20" t="n">
        <f aca="false">IF(G7255&lt;Parametres!$B$8*Parametres!$B$7,0,MIN(G7255,Parametres!$B$7))</f>
        <v>106.34</v>
      </c>
      <c r="I7255" s="20" t="n">
        <f aca="false">G7255-H7255</f>
        <v>0</v>
      </c>
      <c r="J7255" s="21" t="n">
        <f aca="false">H7255*1000/Parametres!$B$9</f>
        <v>1803.28980837714</v>
      </c>
    </row>
    <row r="7256" customFormat="false" ht="15" hidden="false" customHeight="false" outlineLevel="0" collapsed="false">
      <c r="A7256" s="0" t="n">
        <v>7252</v>
      </c>
      <c r="B7256" s="0" t="n">
        <v>10</v>
      </c>
      <c r="C7256" s="19" t="n">
        <v>0</v>
      </c>
      <c r="D7256" s="19" t="n">
        <v>0.2711</v>
      </c>
      <c r="E7256" s="20" t="n">
        <f aca="false">Parametres!$B$5*C7256</f>
        <v>0</v>
      </c>
      <c r="F7256" s="20" t="n">
        <f aca="false">Parametres!$B$6*D7256</f>
        <v>54.22</v>
      </c>
      <c r="G7256" s="20" t="n">
        <f aca="false">E7256+F7256</f>
        <v>54.22</v>
      </c>
      <c r="H7256" s="20" t="n">
        <f aca="false">IF(G7256&lt;Parametres!$B$8*Parametres!$B$7,0,MIN(G7256,Parametres!$B$7))</f>
        <v>54.22</v>
      </c>
      <c r="I7256" s="20" t="n">
        <f aca="false">G7256-H7256</f>
        <v>0</v>
      </c>
      <c r="J7256" s="21" t="n">
        <f aca="false">H7256*1000/Parametres!$B$9</f>
        <v>919.450568085467</v>
      </c>
    </row>
    <row r="7257" customFormat="false" ht="15" hidden="false" customHeight="false" outlineLevel="0" collapsed="false">
      <c r="A7257" s="0" t="n">
        <v>7253</v>
      </c>
      <c r="B7257" s="0" t="n">
        <v>10</v>
      </c>
      <c r="C7257" s="19" t="n">
        <v>0</v>
      </c>
      <c r="D7257" s="19" t="n">
        <v>0.2694</v>
      </c>
      <c r="E7257" s="20" t="n">
        <f aca="false">Parametres!$B$5*C7257</f>
        <v>0</v>
      </c>
      <c r="F7257" s="20" t="n">
        <f aca="false">Parametres!$B$6*D7257</f>
        <v>53.88</v>
      </c>
      <c r="G7257" s="20" t="n">
        <f aca="false">E7257+F7257</f>
        <v>53.88</v>
      </c>
      <c r="H7257" s="20" t="n">
        <f aca="false">IF(G7257&lt;Parametres!$B$8*Parametres!$B$7,0,MIN(G7257,Parametres!$B$7))</f>
        <v>53.88</v>
      </c>
      <c r="I7257" s="20" t="n">
        <f aca="false">G7257-H7257</f>
        <v>0</v>
      </c>
      <c r="J7257" s="21" t="n">
        <f aca="false">H7257*1000/Parametres!$B$9</f>
        <v>913.684924537901</v>
      </c>
    </row>
    <row r="7258" customFormat="false" ht="15" hidden="false" customHeight="false" outlineLevel="0" collapsed="false">
      <c r="A7258" s="0" t="n">
        <v>7254</v>
      </c>
      <c r="B7258" s="0" t="n">
        <v>10</v>
      </c>
      <c r="C7258" s="19" t="n">
        <v>0</v>
      </c>
      <c r="D7258" s="19" t="n">
        <v>0.3913</v>
      </c>
      <c r="E7258" s="20" t="n">
        <f aca="false">Parametres!$B$5*C7258</f>
        <v>0</v>
      </c>
      <c r="F7258" s="20" t="n">
        <f aca="false">Parametres!$B$6*D7258</f>
        <v>78.26</v>
      </c>
      <c r="G7258" s="20" t="n">
        <f aca="false">E7258+F7258</f>
        <v>78.26</v>
      </c>
      <c r="H7258" s="20" t="n">
        <f aca="false">IF(G7258&lt;Parametres!$B$8*Parametres!$B$7,0,MIN(G7258,Parametres!$B$7))</f>
        <v>78.26</v>
      </c>
      <c r="I7258" s="20" t="n">
        <f aca="false">G7258-H7258</f>
        <v>0</v>
      </c>
      <c r="J7258" s="21" t="n">
        <f aca="false">H7258*1000/Parametres!$B$9</f>
        <v>1327.1154824487</v>
      </c>
    </row>
    <row r="7259" customFormat="false" ht="15" hidden="false" customHeight="false" outlineLevel="0" collapsed="false">
      <c r="A7259" s="0" t="n">
        <v>7255</v>
      </c>
      <c r="B7259" s="0" t="n">
        <v>10</v>
      </c>
      <c r="C7259" s="19" t="n">
        <v>0</v>
      </c>
      <c r="D7259" s="19" t="n">
        <v>0.3384</v>
      </c>
      <c r="E7259" s="20" t="n">
        <f aca="false">Parametres!$B$5*C7259</f>
        <v>0</v>
      </c>
      <c r="F7259" s="20" t="n">
        <f aca="false">Parametres!$B$6*D7259</f>
        <v>67.68</v>
      </c>
      <c r="G7259" s="20" t="n">
        <f aca="false">E7259+F7259</f>
        <v>67.68</v>
      </c>
      <c r="H7259" s="20" t="n">
        <f aca="false">IF(G7259&lt;Parametres!$B$8*Parametres!$B$7,0,MIN(G7259,Parametres!$B$7))</f>
        <v>67.68</v>
      </c>
      <c r="I7259" s="20" t="n">
        <f aca="false">G7259-H7259</f>
        <v>0</v>
      </c>
      <c r="J7259" s="21" t="n">
        <f aca="false">H7259*1000/Parametres!$B$9</f>
        <v>1147.70222146854</v>
      </c>
    </row>
    <row r="7260" customFormat="false" ht="15" hidden="false" customHeight="false" outlineLevel="0" collapsed="false">
      <c r="A7260" s="0" t="n">
        <v>7256</v>
      </c>
      <c r="B7260" s="0" t="n">
        <v>10</v>
      </c>
      <c r="C7260" s="19" t="n">
        <v>0.1872</v>
      </c>
      <c r="D7260" s="19" t="n">
        <v>0.3627</v>
      </c>
      <c r="E7260" s="20" t="n">
        <f aca="false">Parametres!$B$5*C7260</f>
        <v>56.16</v>
      </c>
      <c r="F7260" s="20" t="n">
        <f aca="false">Parametres!$B$6*D7260</f>
        <v>72.54</v>
      </c>
      <c r="G7260" s="20" t="n">
        <f aca="false">E7260+F7260</f>
        <v>128.7</v>
      </c>
      <c r="H7260" s="20" t="n">
        <f aca="false">IF(G7260&lt;Parametres!$B$8*Parametres!$B$7,0,MIN(G7260,Parametres!$B$7))</f>
        <v>128.7</v>
      </c>
      <c r="I7260" s="20" t="n">
        <f aca="false">G7260-H7260</f>
        <v>0</v>
      </c>
      <c r="J7260" s="21" t="n">
        <f aca="false">H7260*1000/Parametres!$B$9</f>
        <v>2182.46566050534</v>
      </c>
    </row>
    <row r="7261" customFormat="false" ht="15" hidden="false" customHeight="false" outlineLevel="0" collapsed="false">
      <c r="A7261" s="0" t="n">
        <v>7257</v>
      </c>
      <c r="B7261" s="0" t="n">
        <v>10</v>
      </c>
      <c r="C7261" s="19" t="n">
        <v>0.4164</v>
      </c>
      <c r="D7261" s="19" t="n">
        <v>0.599</v>
      </c>
      <c r="E7261" s="20" t="n">
        <f aca="false">Parametres!$B$5*C7261</f>
        <v>124.92</v>
      </c>
      <c r="F7261" s="20" t="n">
        <f aca="false">Parametres!$B$6*D7261</f>
        <v>119.8</v>
      </c>
      <c r="G7261" s="20" t="n">
        <f aca="false">E7261+F7261</f>
        <v>244.72</v>
      </c>
      <c r="H7261" s="20" t="n">
        <f aca="false">IF(G7261&lt;Parametres!$B$8*Parametres!$B$7,0,MIN(G7261,Parametres!$B$7))</f>
        <v>244.72</v>
      </c>
      <c r="I7261" s="20" t="n">
        <f aca="false">G7261-H7261</f>
        <v>0</v>
      </c>
      <c r="J7261" s="21" t="n">
        <f aca="false">H7261*1000/Parametres!$B$9</f>
        <v>4149.90673223673</v>
      </c>
    </row>
    <row r="7262" customFormat="false" ht="15" hidden="false" customHeight="false" outlineLevel="0" collapsed="false">
      <c r="A7262" s="0" t="n">
        <v>7258</v>
      </c>
      <c r="B7262" s="0" t="n">
        <v>10</v>
      </c>
      <c r="C7262" s="19" t="n">
        <v>0.6142</v>
      </c>
      <c r="D7262" s="19" t="n">
        <v>0.808</v>
      </c>
      <c r="E7262" s="20" t="n">
        <f aca="false">Parametres!$B$5*C7262</f>
        <v>184.26</v>
      </c>
      <c r="F7262" s="20" t="n">
        <f aca="false">Parametres!$B$6*D7262</f>
        <v>161.6</v>
      </c>
      <c r="G7262" s="20" t="n">
        <f aca="false">E7262+F7262</f>
        <v>345.86</v>
      </c>
      <c r="H7262" s="20" t="n">
        <f aca="false">IF(G7262&lt;Parametres!$B$8*Parametres!$B$7,0,MIN(G7262,Parametres!$B$7))</f>
        <v>250</v>
      </c>
      <c r="I7262" s="20" t="n">
        <f aca="false">G7262-H7262</f>
        <v>95.86</v>
      </c>
      <c r="J7262" s="21" t="n">
        <f aca="false">H7262*1000/Parametres!$B$9</f>
        <v>4239.44378497541</v>
      </c>
    </row>
    <row r="7263" customFormat="false" ht="15" hidden="false" customHeight="false" outlineLevel="0" collapsed="false">
      <c r="A7263" s="0" t="n">
        <v>7259</v>
      </c>
      <c r="B7263" s="0" t="n">
        <v>10</v>
      </c>
      <c r="C7263" s="19" t="n">
        <v>0.7529</v>
      </c>
      <c r="D7263" s="19" t="n">
        <v>0.6693</v>
      </c>
      <c r="E7263" s="20" t="n">
        <f aca="false">Parametres!$B$5*C7263</f>
        <v>225.87</v>
      </c>
      <c r="F7263" s="20" t="n">
        <f aca="false">Parametres!$B$6*D7263</f>
        <v>133.86</v>
      </c>
      <c r="G7263" s="20" t="n">
        <f aca="false">E7263+F7263</f>
        <v>359.73</v>
      </c>
      <c r="H7263" s="20" t="n">
        <f aca="false">IF(G7263&lt;Parametres!$B$8*Parametres!$B$7,0,MIN(G7263,Parametres!$B$7))</f>
        <v>250</v>
      </c>
      <c r="I7263" s="20" t="n">
        <f aca="false">G7263-H7263</f>
        <v>109.73</v>
      </c>
      <c r="J7263" s="21" t="n">
        <f aca="false">H7263*1000/Parametres!$B$9</f>
        <v>4239.44378497541</v>
      </c>
    </row>
    <row r="7264" customFormat="false" ht="15" hidden="false" customHeight="false" outlineLevel="0" collapsed="false">
      <c r="A7264" s="0" t="n">
        <v>7260</v>
      </c>
      <c r="B7264" s="0" t="n">
        <v>10</v>
      </c>
      <c r="C7264" s="19" t="n">
        <v>0.8306</v>
      </c>
      <c r="D7264" s="19" t="n">
        <v>0.7304</v>
      </c>
      <c r="E7264" s="20" t="n">
        <f aca="false">Parametres!$B$5*C7264</f>
        <v>249.18</v>
      </c>
      <c r="F7264" s="20" t="n">
        <f aca="false">Parametres!$B$6*D7264</f>
        <v>146.08</v>
      </c>
      <c r="G7264" s="20" t="n">
        <f aca="false">E7264+F7264</f>
        <v>395.26</v>
      </c>
      <c r="H7264" s="20" t="n">
        <f aca="false">IF(G7264&lt;Parametres!$B$8*Parametres!$B$7,0,MIN(G7264,Parametres!$B$7))</f>
        <v>250</v>
      </c>
      <c r="I7264" s="20" t="n">
        <f aca="false">G7264-H7264</f>
        <v>145.26</v>
      </c>
      <c r="J7264" s="21" t="n">
        <f aca="false">H7264*1000/Parametres!$B$9</f>
        <v>4239.44378497541</v>
      </c>
    </row>
    <row r="7265" customFormat="false" ht="15" hidden="false" customHeight="false" outlineLevel="0" collapsed="false">
      <c r="A7265" s="0" t="n">
        <v>7261</v>
      </c>
      <c r="B7265" s="0" t="n">
        <v>10</v>
      </c>
      <c r="C7265" s="19" t="n">
        <v>0.7904</v>
      </c>
      <c r="D7265" s="19" t="n">
        <v>0.7504</v>
      </c>
      <c r="E7265" s="20" t="n">
        <f aca="false">Parametres!$B$5*C7265</f>
        <v>237.12</v>
      </c>
      <c r="F7265" s="20" t="n">
        <f aca="false">Parametres!$B$6*D7265</f>
        <v>150.08</v>
      </c>
      <c r="G7265" s="20" t="n">
        <f aca="false">E7265+F7265</f>
        <v>387.2</v>
      </c>
      <c r="H7265" s="20" t="n">
        <f aca="false">IF(G7265&lt;Parametres!$B$8*Parametres!$B$7,0,MIN(G7265,Parametres!$B$7))</f>
        <v>250</v>
      </c>
      <c r="I7265" s="20" t="n">
        <f aca="false">G7265-H7265</f>
        <v>137.2</v>
      </c>
      <c r="J7265" s="21" t="n">
        <f aca="false">H7265*1000/Parametres!$B$9</f>
        <v>4239.44378497541</v>
      </c>
    </row>
    <row r="7266" customFormat="false" ht="15" hidden="false" customHeight="false" outlineLevel="0" collapsed="false">
      <c r="A7266" s="0" t="n">
        <v>7262</v>
      </c>
      <c r="B7266" s="0" t="n">
        <v>10</v>
      </c>
      <c r="C7266" s="19" t="n">
        <v>0.7253</v>
      </c>
      <c r="D7266" s="19" t="n">
        <v>1</v>
      </c>
      <c r="E7266" s="20" t="n">
        <f aca="false">Parametres!$B$5*C7266</f>
        <v>217.59</v>
      </c>
      <c r="F7266" s="20" t="n">
        <f aca="false">Parametres!$B$6*D7266</f>
        <v>200</v>
      </c>
      <c r="G7266" s="20" t="n">
        <f aca="false">E7266+F7266</f>
        <v>417.59</v>
      </c>
      <c r="H7266" s="20" t="n">
        <f aca="false">IF(G7266&lt;Parametres!$B$8*Parametres!$B$7,0,MIN(G7266,Parametres!$B$7))</f>
        <v>250</v>
      </c>
      <c r="I7266" s="20" t="n">
        <f aca="false">G7266-H7266</f>
        <v>167.59</v>
      </c>
      <c r="J7266" s="21" t="n">
        <f aca="false">H7266*1000/Parametres!$B$9</f>
        <v>4239.44378497541</v>
      </c>
    </row>
    <row r="7267" customFormat="false" ht="15" hidden="false" customHeight="false" outlineLevel="0" collapsed="false">
      <c r="A7267" s="0" t="n">
        <v>7263</v>
      </c>
      <c r="B7267" s="0" t="n">
        <v>10</v>
      </c>
      <c r="C7267" s="19" t="n">
        <v>0.6011</v>
      </c>
      <c r="D7267" s="19" t="n">
        <v>1</v>
      </c>
      <c r="E7267" s="20" t="n">
        <f aca="false">Parametres!$B$5*C7267</f>
        <v>180.33</v>
      </c>
      <c r="F7267" s="20" t="n">
        <f aca="false">Parametres!$B$6*D7267</f>
        <v>200</v>
      </c>
      <c r="G7267" s="20" t="n">
        <f aca="false">E7267+F7267</f>
        <v>380.33</v>
      </c>
      <c r="H7267" s="20" t="n">
        <f aca="false">IF(G7267&lt;Parametres!$B$8*Parametres!$B$7,0,MIN(G7267,Parametres!$B$7))</f>
        <v>250</v>
      </c>
      <c r="I7267" s="20" t="n">
        <f aca="false">G7267-H7267</f>
        <v>130.33</v>
      </c>
      <c r="J7267" s="21" t="n">
        <f aca="false">H7267*1000/Parametres!$B$9</f>
        <v>4239.44378497541</v>
      </c>
    </row>
    <row r="7268" customFormat="false" ht="15" hidden="false" customHeight="false" outlineLevel="0" collapsed="false">
      <c r="A7268" s="0" t="n">
        <v>7264</v>
      </c>
      <c r="B7268" s="0" t="n">
        <v>10</v>
      </c>
      <c r="C7268" s="19" t="n">
        <v>0.4159</v>
      </c>
      <c r="D7268" s="19" t="n">
        <v>1</v>
      </c>
      <c r="E7268" s="20" t="n">
        <f aca="false">Parametres!$B$5*C7268</f>
        <v>124.77</v>
      </c>
      <c r="F7268" s="20" t="n">
        <f aca="false">Parametres!$B$6*D7268</f>
        <v>200</v>
      </c>
      <c r="G7268" s="20" t="n">
        <f aca="false">E7268+F7268</f>
        <v>324.77</v>
      </c>
      <c r="H7268" s="20" t="n">
        <f aca="false">IF(G7268&lt;Parametres!$B$8*Parametres!$B$7,0,MIN(G7268,Parametres!$B$7))</f>
        <v>250</v>
      </c>
      <c r="I7268" s="20" t="n">
        <f aca="false">G7268-H7268</f>
        <v>74.77</v>
      </c>
      <c r="J7268" s="21" t="n">
        <f aca="false">H7268*1000/Parametres!$B$9</f>
        <v>4239.44378497541</v>
      </c>
    </row>
    <row r="7269" customFormat="false" ht="15" hidden="false" customHeight="false" outlineLevel="0" collapsed="false">
      <c r="A7269" s="0" t="n">
        <v>7265</v>
      </c>
      <c r="B7269" s="0" t="n">
        <v>10</v>
      </c>
      <c r="C7269" s="19" t="n">
        <v>0.1941</v>
      </c>
      <c r="D7269" s="19" t="n">
        <v>1</v>
      </c>
      <c r="E7269" s="20" t="n">
        <f aca="false">Parametres!$B$5*C7269</f>
        <v>58.23</v>
      </c>
      <c r="F7269" s="20" t="n">
        <f aca="false">Parametres!$B$6*D7269</f>
        <v>200</v>
      </c>
      <c r="G7269" s="20" t="n">
        <f aca="false">E7269+F7269</f>
        <v>258.23</v>
      </c>
      <c r="H7269" s="20" t="n">
        <f aca="false">IF(G7269&lt;Parametres!$B$8*Parametres!$B$7,0,MIN(G7269,Parametres!$B$7))</f>
        <v>250</v>
      </c>
      <c r="I7269" s="20" t="n">
        <f aca="false">G7269-H7269</f>
        <v>8.23000000000002</v>
      </c>
      <c r="J7269" s="21" t="n">
        <f aca="false">H7269*1000/Parametres!$B$9</f>
        <v>4239.44378497541</v>
      </c>
    </row>
    <row r="7270" customFormat="false" ht="15" hidden="false" customHeight="false" outlineLevel="0" collapsed="false">
      <c r="A7270" s="0" t="n">
        <v>7266</v>
      </c>
      <c r="B7270" s="0" t="n">
        <v>10</v>
      </c>
      <c r="C7270" s="19" t="n">
        <v>0</v>
      </c>
      <c r="D7270" s="19" t="n">
        <v>1</v>
      </c>
      <c r="E7270" s="20" t="n">
        <f aca="false">Parametres!$B$5*C7270</f>
        <v>0</v>
      </c>
      <c r="F7270" s="20" t="n">
        <f aca="false">Parametres!$B$6*D7270</f>
        <v>200</v>
      </c>
      <c r="G7270" s="20" t="n">
        <f aca="false">E7270+F7270</f>
        <v>200</v>
      </c>
      <c r="H7270" s="20" t="n">
        <f aca="false">IF(G7270&lt;Parametres!$B$8*Parametres!$B$7,0,MIN(G7270,Parametres!$B$7))</f>
        <v>200</v>
      </c>
      <c r="I7270" s="20" t="n">
        <f aca="false">G7270-H7270</f>
        <v>0</v>
      </c>
      <c r="J7270" s="21" t="n">
        <f aca="false">H7270*1000/Parametres!$B$9</f>
        <v>3391.55502798033</v>
      </c>
    </row>
    <row r="7271" customFormat="false" ht="15" hidden="false" customHeight="false" outlineLevel="0" collapsed="false">
      <c r="A7271" s="0" t="n">
        <v>7267</v>
      </c>
      <c r="B7271" s="0" t="n">
        <v>10</v>
      </c>
      <c r="C7271" s="19" t="n">
        <v>0</v>
      </c>
      <c r="D7271" s="19" t="n">
        <v>1</v>
      </c>
      <c r="E7271" s="20" t="n">
        <f aca="false">Parametres!$B$5*C7271</f>
        <v>0</v>
      </c>
      <c r="F7271" s="20" t="n">
        <f aca="false">Parametres!$B$6*D7271</f>
        <v>200</v>
      </c>
      <c r="G7271" s="20" t="n">
        <f aca="false">E7271+F7271</f>
        <v>200</v>
      </c>
      <c r="H7271" s="20" t="n">
        <f aca="false">IF(G7271&lt;Parametres!$B$8*Parametres!$B$7,0,MIN(G7271,Parametres!$B$7))</f>
        <v>200</v>
      </c>
      <c r="I7271" s="20" t="n">
        <f aca="false">G7271-H7271</f>
        <v>0</v>
      </c>
      <c r="J7271" s="21" t="n">
        <f aca="false">H7271*1000/Parametres!$B$9</f>
        <v>3391.55502798033</v>
      </c>
    </row>
    <row r="7272" customFormat="false" ht="15" hidden="false" customHeight="false" outlineLevel="0" collapsed="false">
      <c r="A7272" s="0" t="n">
        <v>7268</v>
      </c>
      <c r="B7272" s="0" t="n">
        <v>10</v>
      </c>
      <c r="C7272" s="19" t="n">
        <v>0</v>
      </c>
      <c r="D7272" s="19" t="n">
        <v>1</v>
      </c>
      <c r="E7272" s="20" t="n">
        <f aca="false">Parametres!$B$5*C7272</f>
        <v>0</v>
      </c>
      <c r="F7272" s="20" t="n">
        <f aca="false">Parametres!$B$6*D7272</f>
        <v>200</v>
      </c>
      <c r="G7272" s="20" t="n">
        <f aca="false">E7272+F7272</f>
        <v>200</v>
      </c>
      <c r="H7272" s="20" t="n">
        <f aca="false">IF(G7272&lt;Parametres!$B$8*Parametres!$B$7,0,MIN(G7272,Parametres!$B$7))</f>
        <v>200</v>
      </c>
      <c r="I7272" s="20" t="n">
        <f aca="false">G7272-H7272</f>
        <v>0</v>
      </c>
      <c r="J7272" s="21" t="n">
        <f aca="false">H7272*1000/Parametres!$B$9</f>
        <v>3391.55502798033</v>
      </c>
    </row>
    <row r="7273" customFormat="false" ht="15" hidden="false" customHeight="false" outlineLevel="0" collapsed="false">
      <c r="A7273" s="0" t="n">
        <v>7269</v>
      </c>
      <c r="B7273" s="0" t="n">
        <v>10</v>
      </c>
      <c r="C7273" s="19" t="n">
        <v>0</v>
      </c>
      <c r="D7273" s="19" t="n">
        <v>1</v>
      </c>
      <c r="E7273" s="20" t="n">
        <f aca="false">Parametres!$B$5*C7273</f>
        <v>0</v>
      </c>
      <c r="F7273" s="20" t="n">
        <f aca="false">Parametres!$B$6*D7273</f>
        <v>200</v>
      </c>
      <c r="G7273" s="20" t="n">
        <f aca="false">E7273+F7273</f>
        <v>200</v>
      </c>
      <c r="H7273" s="20" t="n">
        <f aca="false">IF(G7273&lt;Parametres!$B$8*Parametres!$B$7,0,MIN(G7273,Parametres!$B$7))</f>
        <v>200</v>
      </c>
      <c r="I7273" s="20" t="n">
        <f aca="false">G7273-H7273</f>
        <v>0</v>
      </c>
      <c r="J7273" s="21" t="n">
        <f aca="false">H7273*1000/Parametres!$B$9</f>
        <v>3391.55502798033</v>
      </c>
    </row>
    <row r="7274" customFormat="false" ht="15" hidden="false" customHeight="false" outlineLevel="0" collapsed="false">
      <c r="A7274" s="0" t="n">
        <v>7270</v>
      </c>
      <c r="B7274" s="0" t="n">
        <v>10</v>
      </c>
      <c r="C7274" s="19" t="n">
        <v>0</v>
      </c>
      <c r="D7274" s="19" t="n">
        <v>0.6754</v>
      </c>
      <c r="E7274" s="20" t="n">
        <f aca="false">Parametres!$B$5*C7274</f>
        <v>0</v>
      </c>
      <c r="F7274" s="20" t="n">
        <f aca="false">Parametres!$B$6*D7274</f>
        <v>135.08</v>
      </c>
      <c r="G7274" s="20" t="n">
        <f aca="false">E7274+F7274</f>
        <v>135.08</v>
      </c>
      <c r="H7274" s="20" t="n">
        <f aca="false">IF(G7274&lt;Parametres!$B$8*Parametres!$B$7,0,MIN(G7274,Parametres!$B$7))</f>
        <v>135.08</v>
      </c>
      <c r="I7274" s="20" t="n">
        <f aca="false">G7274-H7274</f>
        <v>0</v>
      </c>
      <c r="J7274" s="21" t="n">
        <f aca="false">H7274*1000/Parametres!$B$9</f>
        <v>2290.65626589791</v>
      </c>
    </row>
    <row r="7275" customFormat="false" ht="15" hidden="false" customHeight="false" outlineLevel="0" collapsed="false">
      <c r="A7275" s="0" t="n">
        <v>7271</v>
      </c>
      <c r="B7275" s="0" t="n">
        <v>10</v>
      </c>
      <c r="C7275" s="19" t="n">
        <v>0</v>
      </c>
      <c r="D7275" s="19" t="n">
        <v>0.4352</v>
      </c>
      <c r="E7275" s="20" t="n">
        <f aca="false">Parametres!$B$5*C7275</f>
        <v>0</v>
      </c>
      <c r="F7275" s="20" t="n">
        <f aca="false">Parametres!$B$6*D7275</f>
        <v>87.04</v>
      </c>
      <c r="G7275" s="20" t="n">
        <f aca="false">E7275+F7275</f>
        <v>87.04</v>
      </c>
      <c r="H7275" s="20" t="n">
        <f aca="false">IF(G7275&lt;Parametres!$B$8*Parametres!$B$7,0,MIN(G7275,Parametres!$B$7))</f>
        <v>87.04</v>
      </c>
      <c r="I7275" s="20" t="n">
        <f aca="false">G7275-H7275</f>
        <v>0</v>
      </c>
      <c r="J7275" s="21" t="n">
        <f aca="false">H7275*1000/Parametres!$B$9</f>
        <v>1476.00474817704</v>
      </c>
    </row>
    <row r="7276" customFormat="false" ht="15" hidden="false" customHeight="false" outlineLevel="0" collapsed="false">
      <c r="A7276" s="0" t="n">
        <v>7272</v>
      </c>
      <c r="B7276" s="0" t="n">
        <v>10</v>
      </c>
      <c r="C7276" s="19" t="n">
        <v>0</v>
      </c>
      <c r="D7276" s="19" t="n">
        <v>0.2231</v>
      </c>
      <c r="E7276" s="20" t="n">
        <f aca="false">Parametres!$B$5*C7276</f>
        <v>0</v>
      </c>
      <c r="F7276" s="20" t="n">
        <f aca="false">Parametres!$B$6*D7276</f>
        <v>44.62</v>
      </c>
      <c r="G7276" s="20" t="n">
        <f aca="false">E7276+F7276</f>
        <v>44.62</v>
      </c>
      <c r="H7276" s="20" t="n">
        <f aca="false">IF(G7276&lt;Parametres!$B$8*Parametres!$B$7,0,MIN(G7276,Parametres!$B$7))</f>
        <v>44.62</v>
      </c>
      <c r="I7276" s="20" t="n">
        <f aca="false">G7276-H7276</f>
        <v>0</v>
      </c>
      <c r="J7276" s="21" t="n">
        <f aca="false">H7276*1000/Parametres!$B$9</f>
        <v>756.655926742412</v>
      </c>
    </row>
    <row r="7277" customFormat="false" ht="15" hidden="false" customHeight="false" outlineLevel="0" collapsed="false">
      <c r="A7277" s="0" t="n">
        <v>7273</v>
      </c>
      <c r="B7277" s="0" t="n">
        <v>10</v>
      </c>
      <c r="C7277" s="19" t="n">
        <v>0</v>
      </c>
      <c r="D7277" s="19" t="n">
        <v>0.2487</v>
      </c>
      <c r="E7277" s="20" t="n">
        <f aca="false">Parametres!$B$5*C7277</f>
        <v>0</v>
      </c>
      <c r="F7277" s="20" t="n">
        <f aca="false">Parametres!$B$6*D7277</f>
        <v>49.74</v>
      </c>
      <c r="G7277" s="20" t="n">
        <f aca="false">E7277+F7277</f>
        <v>49.74</v>
      </c>
      <c r="H7277" s="20" t="n">
        <f aca="false">IF(G7277&lt;Parametres!$B$8*Parametres!$B$7,0,MIN(G7277,Parametres!$B$7))</f>
        <v>49.74</v>
      </c>
      <c r="I7277" s="20" t="n">
        <f aca="false">G7277-H7277</f>
        <v>0</v>
      </c>
      <c r="J7277" s="21" t="n">
        <f aca="false">H7277*1000/Parametres!$B$9</f>
        <v>843.479735458708</v>
      </c>
    </row>
    <row r="7278" customFormat="false" ht="15" hidden="false" customHeight="false" outlineLevel="0" collapsed="false">
      <c r="A7278" s="0" t="n">
        <v>7274</v>
      </c>
      <c r="B7278" s="0" t="n">
        <v>10</v>
      </c>
      <c r="C7278" s="19" t="n">
        <v>0</v>
      </c>
      <c r="D7278" s="19" t="n">
        <v>0.2414</v>
      </c>
      <c r="E7278" s="20" t="n">
        <f aca="false">Parametres!$B$5*C7278</f>
        <v>0</v>
      </c>
      <c r="F7278" s="20" t="n">
        <f aca="false">Parametres!$B$6*D7278</f>
        <v>48.28</v>
      </c>
      <c r="G7278" s="20" t="n">
        <f aca="false">E7278+F7278</f>
        <v>48.28</v>
      </c>
      <c r="H7278" s="20" t="n">
        <f aca="false">IF(G7278&lt;Parametres!$B$8*Parametres!$B$7,0,MIN(G7278,Parametres!$B$7))</f>
        <v>48.28</v>
      </c>
      <c r="I7278" s="20" t="n">
        <f aca="false">G7278-H7278</f>
        <v>0</v>
      </c>
      <c r="J7278" s="21" t="n">
        <f aca="false">H7278*1000/Parametres!$B$9</f>
        <v>818.721383754451</v>
      </c>
    </row>
    <row r="7279" customFormat="false" ht="15" hidden="false" customHeight="false" outlineLevel="0" collapsed="false">
      <c r="A7279" s="0" t="n">
        <v>7275</v>
      </c>
      <c r="B7279" s="0" t="n">
        <v>10</v>
      </c>
      <c r="C7279" s="19" t="n">
        <v>0</v>
      </c>
      <c r="D7279" s="19" t="n">
        <v>0.1981</v>
      </c>
      <c r="E7279" s="20" t="n">
        <f aca="false">Parametres!$B$5*C7279</f>
        <v>0</v>
      </c>
      <c r="F7279" s="20" t="n">
        <f aca="false">Parametres!$B$6*D7279</f>
        <v>39.62</v>
      </c>
      <c r="G7279" s="20" t="n">
        <f aca="false">E7279+F7279</f>
        <v>39.62</v>
      </c>
      <c r="H7279" s="20" t="n">
        <f aca="false">IF(G7279&lt;Parametres!$B$8*Parametres!$B$7,0,MIN(G7279,Parametres!$B$7))</f>
        <v>39.62</v>
      </c>
      <c r="I7279" s="20" t="n">
        <f aca="false">G7279-H7279</f>
        <v>0</v>
      </c>
      <c r="J7279" s="21" t="n">
        <f aca="false">H7279*1000/Parametres!$B$9</f>
        <v>671.867051042903</v>
      </c>
    </row>
    <row r="7280" customFormat="false" ht="15" hidden="false" customHeight="false" outlineLevel="0" collapsed="false">
      <c r="A7280" s="0" t="n">
        <v>7276</v>
      </c>
      <c r="B7280" s="0" t="n">
        <v>10</v>
      </c>
      <c r="C7280" s="19" t="n">
        <v>0</v>
      </c>
      <c r="D7280" s="19" t="n">
        <v>0.0557</v>
      </c>
      <c r="E7280" s="20" t="n">
        <f aca="false">Parametres!$B$5*C7280</f>
        <v>0</v>
      </c>
      <c r="F7280" s="20" t="n">
        <f aca="false">Parametres!$B$6*D7280</f>
        <v>11.14</v>
      </c>
      <c r="G7280" s="20" t="n">
        <f aca="false">E7280+F7280</f>
        <v>11.14</v>
      </c>
      <c r="H7280" s="20" t="n">
        <f aca="false">IF(G7280&lt;Parametres!$B$8*Parametres!$B$7,0,MIN(G7280,Parametres!$B$7))</f>
        <v>0</v>
      </c>
      <c r="I7280" s="20" t="n">
        <f aca="false">G7280-H7280</f>
        <v>11.14</v>
      </c>
      <c r="J7280" s="21" t="n">
        <f aca="false">H7280*1000/Parametres!$B$9</f>
        <v>0</v>
      </c>
    </row>
    <row r="7281" customFormat="false" ht="15" hidden="false" customHeight="false" outlineLevel="0" collapsed="false">
      <c r="A7281" s="0" t="n">
        <v>7277</v>
      </c>
      <c r="B7281" s="0" t="n">
        <v>10</v>
      </c>
      <c r="C7281" s="19" t="n">
        <v>0</v>
      </c>
      <c r="D7281" s="19" t="n">
        <v>0.0838</v>
      </c>
      <c r="E7281" s="20" t="n">
        <f aca="false">Parametres!$B$5*C7281</f>
        <v>0</v>
      </c>
      <c r="F7281" s="20" t="n">
        <f aca="false">Parametres!$B$6*D7281</f>
        <v>16.76</v>
      </c>
      <c r="G7281" s="20" t="n">
        <f aca="false">E7281+F7281</f>
        <v>16.76</v>
      </c>
      <c r="H7281" s="20" t="n">
        <f aca="false">IF(G7281&lt;Parametres!$B$8*Parametres!$B$7,0,MIN(G7281,Parametres!$B$7))</f>
        <v>0</v>
      </c>
      <c r="I7281" s="20" t="n">
        <f aca="false">G7281-H7281</f>
        <v>16.76</v>
      </c>
      <c r="J7281" s="21" t="n">
        <f aca="false">H7281*1000/Parametres!$B$9</f>
        <v>0</v>
      </c>
    </row>
    <row r="7282" customFormat="false" ht="15" hidden="false" customHeight="false" outlineLevel="0" collapsed="false">
      <c r="A7282" s="0" t="n">
        <v>7278</v>
      </c>
      <c r="B7282" s="0" t="n">
        <v>10</v>
      </c>
      <c r="C7282" s="19" t="n">
        <v>0</v>
      </c>
      <c r="D7282" s="19" t="n">
        <v>0.0311</v>
      </c>
      <c r="E7282" s="20" t="n">
        <f aca="false">Parametres!$B$5*C7282</f>
        <v>0</v>
      </c>
      <c r="F7282" s="20" t="n">
        <f aca="false">Parametres!$B$6*D7282</f>
        <v>6.22</v>
      </c>
      <c r="G7282" s="20" t="n">
        <f aca="false">E7282+F7282</f>
        <v>6.22</v>
      </c>
      <c r="H7282" s="20" t="n">
        <f aca="false">IF(G7282&lt;Parametres!$B$8*Parametres!$B$7,0,MIN(G7282,Parametres!$B$7))</f>
        <v>0</v>
      </c>
      <c r="I7282" s="20" t="n">
        <f aca="false">G7282-H7282</f>
        <v>6.22</v>
      </c>
      <c r="J7282" s="21" t="n">
        <f aca="false">H7282*1000/Parametres!$B$9</f>
        <v>0</v>
      </c>
    </row>
    <row r="7283" customFormat="false" ht="15" hidden="false" customHeight="false" outlineLevel="0" collapsed="false">
      <c r="A7283" s="0" t="n">
        <v>7279</v>
      </c>
      <c r="B7283" s="0" t="n">
        <v>10</v>
      </c>
      <c r="C7283" s="19" t="n">
        <v>0</v>
      </c>
      <c r="D7283" s="19" t="n">
        <v>0.0487</v>
      </c>
      <c r="E7283" s="20" t="n">
        <f aca="false">Parametres!$B$5*C7283</f>
        <v>0</v>
      </c>
      <c r="F7283" s="20" t="n">
        <f aca="false">Parametres!$B$6*D7283</f>
        <v>9.74</v>
      </c>
      <c r="G7283" s="20" t="n">
        <f aca="false">E7283+F7283</f>
        <v>9.74</v>
      </c>
      <c r="H7283" s="20" t="n">
        <f aca="false">IF(G7283&lt;Parametres!$B$8*Parametres!$B$7,0,MIN(G7283,Parametres!$B$7))</f>
        <v>0</v>
      </c>
      <c r="I7283" s="20" t="n">
        <f aca="false">G7283-H7283</f>
        <v>9.74</v>
      </c>
      <c r="J7283" s="21" t="n">
        <f aca="false">H7283*1000/Parametres!$B$9</f>
        <v>0</v>
      </c>
    </row>
    <row r="7284" customFormat="false" ht="15" hidden="false" customHeight="false" outlineLevel="0" collapsed="false">
      <c r="A7284" s="0" t="n">
        <v>7280</v>
      </c>
      <c r="B7284" s="0" t="n">
        <v>10</v>
      </c>
      <c r="C7284" s="19" t="n">
        <v>0.1934</v>
      </c>
      <c r="D7284" s="19" t="n">
        <v>0.043</v>
      </c>
      <c r="E7284" s="20" t="n">
        <f aca="false">Parametres!$B$5*C7284</f>
        <v>58.02</v>
      </c>
      <c r="F7284" s="20" t="n">
        <f aca="false">Parametres!$B$6*D7284</f>
        <v>8.6</v>
      </c>
      <c r="G7284" s="20" t="n">
        <f aca="false">E7284+F7284</f>
        <v>66.62</v>
      </c>
      <c r="H7284" s="20" t="n">
        <f aca="false">IF(G7284&lt;Parametres!$B$8*Parametres!$B$7,0,MIN(G7284,Parametres!$B$7))</f>
        <v>66.62</v>
      </c>
      <c r="I7284" s="20" t="n">
        <f aca="false">G7284-H7284</f>
        <v>0</v>
      </c>
      <c r="J7284" s="21" t="n">
        <f aca="false">H7284*1000/Parametres!$B$9</f>
        <v>1129.72697982025</v>
      </c>
    </row>
    <row r="7285" customFormat="false" ht="15" hidden="false" customHeight="false" outlineLevel="0" collapsed="false">
      <c r="A7285" s="0" t="n">
        <v>7281</v>
      </c>
      <c r="B7285" s="0" t="n">
        <v>10</v>
      </c>
      <c r="C7285" s="19" t="n">
        <v>0.381</v>
      </c>
      <c r="D7285" s="19" t="n">
        <v>0.0745</v>
      </c>
      <c r="E7285" s="20" t="n">
        <f aca="false">Parametres!$B$5*C7285</f>
        <v>114.3</v>
      </c>
      <c r="F7285" s="20" t="n">
        <f aca="false">Parametres!$B$6*D7285</f>
        <v>14.9</v>
      </c>
      <c r="G7285" s="20" t="n">
        <f aca="false">E7285+F7285</f>
        <v>129.2</v>
      </c>
      <c r="H7285" s="20" t="n">
        <f aca="false">IF(G7285&lt;Parametres!$B$8*Parametres!$B$7,0,MIN(G7285,Parametres!$B$7))</f>
        <v>129.2</v>
      </c>
      <c r="I7285" s="20" t="n">
        <f aca="false">G7285-H7285</f>
        <v>0</v>
      </c>
      <c r="J7285" s="21" t="n">
        <f aca="false">H7285*1000/Parametres!$B$9</f>
        <v>2190.94454807529</v>
      </c>
    </row>
    <row r="7286" customFormat="false" ht="15" hidden="false" customHeight="false" outlineLevel="0" collapsed="false">
      <c r="A7286" s="0" t="n">
        <v>7282</v>
      </c>
      <c r="B7286" s="0" t="n">
        <v>10</v>
      </c>
      <c r="C7286" s="19" t="n">
        <v>0.6044</v>
      </c>
      <c r="D7286" s="19" t="n">
        <v>0.0674</v>
      </c>
      <c r="E7286" s="20" t="n">
        <f aca="false">Parametres!$B$5*C7286</f>
        <v>181.32</v>
      </c>
      <c r="F7286" s="20" t="n">
        <f aca="false">Parametres!$B$6*D7286</f>
        <v>13.48</v>
      </c>
      <c r="G7286" s="20" t="n">
        <f aca="false">E7286+F7286</f>
        <v>194.8</v>
      </c>
      <c r="H7286" s="20" t="n">
        <f aca="false">IF(G7286&lt;Parametres!$B$8*Parametres!$B$7,0,MIN(G7286,Parametres!$B$7))</f>
        <v>194.8</v>
      </c>
      <c r="I7286" s="20" t="n">
        <f aca="false">G7286-H7286</f>
        <v>0</v>
      </c>
      <c r="J7286" s="21" t="n">
        <f aca="false">H7286*1000/Parametres!$B$9</f>
        <v>3303.37459725284</v>
      </c>
    </row>
    <row r="7287" customFormat="false" ht="15" hidden="false" customHeight="false" outlineLevel="0" collapsed="false">
      <c r="A7287" s="0" t="n">
        <v>7283</v>
      </c>
      <c r="B7287" s="0" t="n">
        <v>10</v>
      </c>
      <c r="C7287" s="19" t="n">
        <v>0.7037</v>
      </c>
      <c r="D7287" s="19" t="n">
        <v>0.0894</v>
      </c>
      <c r="E7287" s="20" t="n">
        <f aca="false">Parametres!$B$5*C7287</f>
        <v>211.11</v>
      </c>
      <c r="F7287" s="20" t="n">
        <f aca="false">Parametres!$B$6*D7287</f>
        <v>17.88</v>
      </c>
      <c r="G7287" s="20" t="n">
        <f aca="false">E7287+F7287</f>
        <v>228.99</v>
      </c>
      <c r="H7287" s="20" t="n">
        <f aca="false">IF(G7287&lt;Parametres!$B$8*Parametres!$B$7,0,MIN(G7287,Parametres!$B$7))</f>
        <v>228.99</v>
      </c>
      <c r="I7287" s="20" t="n">
        <f aca="false">G7287-H7287</f>
        <v>0</v>
      </c>
      <c r="J7287" s="21" t="n">
        <f aca="false">H7287*1000/Parametres!$B$9</f>
        <v>3883.16092928608</v>
      </c>
    </row>
    <row r="7288" customFormat="false" ht="15" hidden="false" customHeight="false" outlineLevel="0" collapsed="false">
      <c r="A7288" s="0" t="n">
        <v>7284</v>
      </c>
      <c r="B7288" s="0" t="n">
        <v>10</v>
      </c>
      <c r="C7288" s="19" t="n">
        <v>0.7952</v>
      </c>
      <c r="D7288" s="19" t="n">
        <v>0.0701</v>
      </c>
      <c r="E7288" s="20" t="n">
        <f aca="false">Parametres!$B$5*C7288</f>
        <v>238.56</v>
      </c>
      <c r="F7288" s="20" t="n">
        <f aca="false">Parametres!$B$6*D7288</f>
        <v>14.02</v>
      </c>
      <c r="G7288" s="20" t="n">
        <f aca="false">E7288+F7288</f>
        <v>252.58</v>
      </c>
      <c r="H7288" s="20" t="n">
        <f aca="false">IF(G7288&lt;Parametres!$B$8*Parametres!$B$7,0,MIN(G7288,Parametres!$B$7))</f>
        <v>250</v>
      </c>
      <c r="I7288" s="20" t="n">
        <f aca="false">G7288-H7288</f>
        <v>2.58000000000001</v>
      </c>
      <c r="J7288" s="21" t="n">
        <f aca="false">H7288*1000/Parametres!$B$9</f>
        <v>4239.44378497541</v>
      </c>
    </row>
    <row r="7289" customFormat="false" ht="15" hidden="false" customHeight="false" outlineLevel="0" collapsed="false">
      <c r="A7289" s="0" t="n">
        <v>7285</v>
      </c>
      <c r="B7289" s="0" t="n">
        <v>10</v>
      </c>
      <c r="C7289" s="19" t="n">
        <v>0.7477</v>
      </c>
      <c r="D7289" s="19" t="n">
        <v>0.1198</v>
      </c>
      <c r="E7289" s="20" t="n">
        <f aca="false">Parametres!$B$5*C7289</f>
        <v>224.31</v>
      </c>
      <c r="F7289" s="20" t="n">
        <f aca="false">Parametres!$B$6*D7289</f>
        <v>23.96</v>
      </c>
      <c r="G7289" s="20" t="n">
        <f aca="false">E7289+F7289</f>
        <v>248.27</v>
      </c>
      <c r="H7289" s="20" t="n">
        <f aca="false">IF(G7289&lt;Parametres!$B$8*Parametres!$B$7,0,MIN(G7289,Parametres!$B$7))</f>
        <v>248.27</v>
      </c>
      <c r="I7289" s="20" t="n">
        <f aca="false">G7289-H7289</f>
        <v>0</v>
      </c>
      <c r="J7289" s="21" t="n">
        <f aca="false">H7289*1000/Parametres!$B$9</f>
        <v>4210.10683398338</v>
      </c>
    </row>
    <row r="7290" customFormat="false" ht="15" hidden="false" customHeight="false" outlineLevel="0" collapsed="false">
      <c r="A7290" s="0" t="n">
        <v>7286</v>
      </c>
      <c r="B7290" s="0" t="n">
        <v>10</v>
      </c>
      <c r="C7290" s="19" t="n">
        <v>0.7504</v>
      </c>
      <c r="D7290" s="19" t="n">
        <v>0.1844</v>
      </c>
      <c r="E7290" s="20" t="n">
        <f aca="false">Parametres!$B$5*C7290</f>
        <v>225.12</v>
      </c>
      <c r="F7290" s="20" t="n">
        <f aca="false">Parametres!$B$6*D7290</f>
        <v>36.88</v>
      </c>
      <c r="G7290" s="20" t="n">
        <f aca="false">E7290+F7290</f>
        <v>262</v>
      </c>
      <c r="H7290" s="20" t="n">
        <f aca="false">IF(G7290&lt;Parametres!$B$8*Parametres!$B$7,0,MIN(G7290,Parametres!$B$7))</f>
        <v>250</v>
      </c>
      <c r="I7290" s="20" t="n">
        <f aca="false">G7290-H7290</f>
        <v>12</v>
      </c>
      <c r="J7290" s="21" t="n">
        <f aca="false">H7290*1000/Parametres!$B$9</f>
        <v>4239.44378497541</v>
      </c>
    </row>
    <row r="7291" customFormat="false" ht="15" hidden="false" customHeight="false" outlineLevel="0" collapsed="false">
      <c r="A7291" s="0" t="n">
        <v>7287</v>
      </c>
      <c r="B7291" s="0" t="n">
        <v>10</v>
      </c>
      <c r="C7291" s="19" t="n">
        <v>0.585</v>
      </c>
      <c r="D7291" s="19" t="n">
        <v>0.2036</v>
      </c>
      <c r="E7291" s="20" t="n">
        <f aca="false">Parametres!$B$5*C7291</f>
        <v>175.5</v>
      </c>
      <c r="F7291" s="20" t="n">
        <f aca="false">Parametres!$B$6*D7291</f>
        <v>40.72</v>
      </c>
      <c r="G7291" s="20" t="n">
        <f aca="false">E7291+F7291</f>
        <v>216.22</v>
      </c>
      <c r="H7291" s="20" t="n">
        <f aca="false">IF(G7291&lt;Parametres!$B$8*Parametres!$B$7,0,MIN(G7291,Parametres!$B$7))</f>
        <v>216.22</v>
      </c>
      <c r="I7291" s="20" t="n">
        <f aca="false">G7291-H7291</f>
        <v>0</v>
      </c>
      <c r="J7291" s="21" t="n">
        <f aca="false">H7291*1000/Parametres!$B$9</f>
        <v>3666.61014074953</v>
      </c>
    </row>
    <row r="7292" customFormat="false" ht="15" hidden="false" customHeight="false" outlineLevel="0" collapsed="false">
      <c r="A7292" s="0" t="n">
        <v>7288</v>
      </c>
      <c r="B7292" s="0" t="n">
        <v>10</v>
      </c>
      <c r="C7292" s="19" t="n">
        <v>0.3818</v>
      </c>
      <c r="D7292" s="19" t="n">
        <v>0.4155</v>
      </c>
      <c r="E7292" s="20" t="n">
        <f aca="false">Parametres!$B$5*C7292</f>
        <v>114.54</v>
      </c>
      <c r="F7292" s="20" t="n">
        <f aca="false">Parametres!$B$6*D7292</f>
        <v>83.1</v>
      </c>
      <c r="G7292" s="20" t="n">
        <f aca="false">E7292+F7292</f>
        <v>197.64</v>
      </c>
      <c r="H7292" s="20" t="n">
        <f aca="false">IF(G7292&lt;Parametres!$B$8*Parametres!$B$7,0,MIN(G7292,Parametres!$B$7))</f>
        <v>197.64</v>
      </c>
      <c r="I7292" s="20" t="n">
        <f aca="false">G7292-H7292</f>
        <v>0</v>
      </c>
      <c r="J7292" s="21" t="n">
        <f aca="false">H7292*1000/Parametres!$B$9</f>
        <v>3351.53467865016</v>
      </c>
    </row>
    <row r="7293" customFormat="false" ht="15" hidden="false" customHeight="false" outlineLevel="0" collapsed="false">
      <c r="A7293" s="0" t="n">
        <v>7289</v>
      </c>
      <c r="B7293" s="0" t="n">
        <v>10</v>
      </c>
      <c r="C7293" s="19" t="n">
        <v>0.1889</v>
      </c>
      <c r="D7293" s="19" t="n">
        <v>0.3281</v>
      </c>
      <c r="E7293" s="20" t="n">
        <f aca="false">Parametres!$B$5*C7293</f>
        <v>56.67</v>
      </c>
      <c r="F7293" s="20" t="n">
        <f aca="false">Parametres!$B$6*D7293</f>
        <v>65.62</v>
      </c>
      <c r="G7293" s="20" t="n">
        <f aca="false">E7293+F7293</f>
        <v>122.29</v>
      </c>
      <c r="H7293" s="20" t="n">
        <f aca="false">IF(G7293&lt;Parametres!$B$8*Parametres!$B$7,0,MIN(G7293,Parametres!$B$7))</f>
        <v>122.29</v>
      </c>
      <c r="I7293" s="20" t="n">
        <f aca="false">G7293-H7293</f>
        <v>0</v>
      </c>
      <c r="J7293" s="21" t="n">
        <f aca="false">H7293*1000/Parametres!$B$9</f>
        <v>2073.76632185857</v>
      </c>
    </row>
    <row r="7294" customFormat="false" ht="15" hidden="false" customHeight="false" outlineLevel="0" collapsed="false">
      <c r="A7294" s="0" t="n">
        <v>7290</v>
      </c>
      <c r="B7294" s="0" t="n">
        <v>10</v>
      </c>
      <c r="C7294" s="19" t="n">
        <v>0</v>
      </c>
      <c r="D7294" s="19" t="n">
        <v>0.0663</v>
      </c>
      <c r="E7294" s="20" t="n">
        <f aca="false">Parametres!$B$5*C7294</f>
        <v>0</v>
      </c>
      <c r="F7294" s="20" t="n">
        <f aca="false">Parametres!$B$6*D7294</f>
        <v>13.26</v>
      </c>
      <c r="G7294" s="20" t="n">
        <f aca="false">E7294+F7294</f>
        <v>13.26</v>
      </c>
      <c r="H7294" s="20" t="n">
        <f aca="false">IF(G7294&lt;Parametres!$B$8*Parametres!$B$7,0,MIN(G7294,Parametres!$B$7))</f>
        <v>0</v>
      </c>
      <c r="I7294" s="20" t="n">
        <f aca="false">G7294-H7294</f>
        <v>13.26</v>
      </c>
      <c r="J7294" s="21" t="n">
        <f aca="false">H7294*1000/Parametres!$B$9</f>
        <v>0</v>
      </c>
    </row>
    <row r="7295" customFormat="false" ht="15" hidden="false" customHeight="false" outlineLevel="0" collapsed="false">
      <c r="A7295" s="0" t="n">
        <v>7291</v>
      </c>
      <c r="B7295" s="0" t="n">
        <v>10</v>
      </c>
      <c r="C7295" s="19" t="n">
        <v>0</v>
      </c>
      <c r="D7295" s="19" t="n">
        <v>0.2238</v>
      </c>
      <c r="E7295" s="20" t="n">
        <f aca="false">Parametres!$B$5*C7295</f>
        <v>0</v>
      </c>
      <c r="F7295" s="20" t="n">
        <f aca="false">Parametres!$B$6*D7295</f>
        <v>44.76</v>
      </c>
      <c r="G7295" s="20" t="n">
        <f aca="false">E7295+F7295</f>
        <v>44.76</v>
      </c>
      <c r="H7295" s="20" t="n">
        <f aca="false">IF(G7295&lt;Parametres!$B$8*Parametres!$B$7,0,MIN(G7295,Parametres!$B$7))</f>
        <v>44.76</v>
      </c>
      <c r="I7295" s="20" t="n">
        <f aca="false">G7295-H7295</f>
        <v>0</v>
      </c>
      <c r="J7295" s="21" t="n">
        <f aca="false">H7295*1000/Parametres!$B$9</f>
        <v>759.030015261998</v>
      </c>
    </row>
    <row r="7296" customFormat="false" ht="15" hidden="false" customHeight="false" outlineLevel="0" collapsed="false">
      <c r="A7296" s="0" t="n">
        <v>7292</v>
      </c>
      <c r="B7296" s="0" t="n">
        <v>10</v>
      </c>
      <c r="C7296" s="19" t="n">
        <v>0</v>
      </c>
      <c r="D7296" s="19" t="n">
        <v>0.5355</v>
      </c>
      <c r="E7296" s="20" t="n">
        <f aca="false">Parametres!$B$5*C7296</f>
        <v>0</v>
      </c>
      <c r="F7296" s="20" t="n">
        <f aca="false">Parametres!$B$6*D7296</f>
        <v>107.1</v>
      </c>
      <c r="G7296" s="20" t="n">
        <f aca="false">E7296+F7296</f>
        <v>107.1</v>
      </c>
      <c r="H7296" s="20" t="n">
        <f aca="false">IF(G7296&lt;Parametres!$B$8*Parametres!$B$7,0,MIN(G7296,Parametres!$B$7))</f>
        <v>107.1</v>
      </c>
      <c r="I7296" s="20" t="n">
        <f aca="false">G7296-H7296</f>
        <v>0</v>
      </c>
      <c r="J7296" s="21" t="n">
        <f aca="false">H7296*1000/Parametres!$B$9</f>
        <v>1816.17771748347</v>
      </c>
    </row>
    <row r="7297" customFormat="false" ht="15" hidden="false" customHeight="false" outlineLevel="0" collapsed="false">
      <c r="A7297" s="0" t="n">
        <v>7293</v>
      </c>
      <c r="B7297" s="0" t="n">
        <v>10</v>
      </c>
      <c r="C7297" s="19" t="n">
        <v>0</v>
      </c>
      <c r="D7297" s="19" t="n">
        <v>0.6012</v>
      </c>
      <c r="E7297" s="20" t="n">
        <f aca="false">Parametres!$B$5*C7297</f>
        <v>0</v>
      </c>
      <c r="F7297" s="20" t="n">
        <f aca="false">Parametres!$B$6*D7297</f>
        <v>120.24</v>
      </c>
      <c r="G7297" s="20" t="n">
        <f aca="false">E7297+F7297</f>
        <v>120.24</v>
      </c>
      <c r="H7297" s="20" t="n">
        <f aca="false">IF(G7297&lt;Parametres!$B$8*Parametres!$B$7,0,MIN(G7297,Parametres!$B$7))</f>
        <v>120.24</v>
      </c>
      <c r="I7297" s="20" t="n">
        <f aca="false">G7297-H7297</f>
        <v>0</v>
      </c>
      <c r="J7297" s="21" t="n">
        <f aca="false">H7297*1000/Parametres!$B$9</f>
        <v>2039.00288282177</v>
      </c>
    </row>
    <row r="7298" customFormat="false" ht="15" hidden="false" customHeight="false" outlineLevel="0" collapsed="false">
      <c r="A7298" s="0" t="n">
        <v>7294</v>
      </c>
      <c r="B7298" s="0" t="n">
        <v>10</v>
      </c>
      <c r="C7298" s="19" t="n">
        <v>0</v>
      </c>
      <c r="D7298" s="19" t="n">
        <v>0.401</v>
      </c>
      <c r="E7298" s="20" t="n">
        <f aca="false">Parametres!$B$5*C7298</f>
        <v>0</v>
      </c>
      <c r="F7298" s="20" t="n">
        <f aca="false">Parametres!$B$6*D7298</f>
        <v>80.2</v>
      </c>
      <c r="G7298" s="20" t="n">
        <f aca="false">E7298+F7298</f>
        <v>80.2</v>
      </c>
      <c r="H7298" s="20" t="n">
        <f aca="false">IF(G7298&lt;Parametres!$B$8*Parametres!$B$7,0,MIN(G7298,Parametres!$B$7))</f>
        <v>80.2</v>
      </c>
      <c r="I7298" s="20" t="n">
        <f aca="false">G7298-H7298</f>
        <v>0</v>
      </c>
      <c r="J7298" s="21" t="n">
        <f aca="false">H7298*1000/Parametres!$B$9</f>
        <v>1360.01356622011</v>
      </c>
    </row>
    <row r="7299" customFormat="false" ht="15" hidden="false" customHeight="false" outlineLevel="0" collapsed="false">
      <c r="A7299" s="0" t="n">
        <v>7295</v>
      </c>
      <c r="B7299" s="0" t="n">
        <v>10</v>
      </c>
      <c r="C7299" s="19" t="n">
        <v>0</v>
      </c>
      <c r="D7299" s="19" t="n">
        <v>0.3178</v>
      </c>
      <c r="E7299" s="20" t="n">
        <f aca="false">Parametres!$B$5*C7299</f>
        <v>0</v>
      </c>
      <c r="F7299" s="20" t="n">
        <f aca="false">Parametres!$B$6*D7299</f>
        <v>63.56</v>
      </c>
      <c r="G7299" s="20" t="n">
        <f aca="false">E7299+F7299</f>
        <v>63.56</v>
      </c>
      <c r="H7299" s="20" t="n">
        <f aca="false">IF(G7299&lt;Parametres!$B$8*Parametres!$B$7,0,MIN(G7299,Parametres!$B$7))</f>
        <v>63.56</v>
      </c>
      <c r="I7299" s="20" t="n">
        <f aca="false">G7299-H7299</f>
        <v>0</v>
      </c>
      <c r="J7299" s="21" t="n">
        <f aca="false">H7299*1000/Parametres!$B$9</f>
        <v>1077.83618789215</v>
      </c>
    </row>
    <row r="7300" customFormat="false" ht="15" hidden="false" customHeight="false" outlineLevel="0" collapsed="false">
      <c r="A7300" s="0" t="n">
        <v>7296</v>
      </c>
      <c r="B7300" s="0" t="n">
        <v>10</v>
      </c>
      <c r="C7300" s="19" t="n">
        <v>0</v>
      </c>
      <c r="D7300" s="19" t="n">
        <v>0.095</v>
      </c>
      <c r="E7300" s="20" t="n">
        <f aca="false">Parametres!$B$5*C7300</f>
        <v>0</v>
      </c>
      <c r="F7300" s="20" t="n">
        <f aca="false">Parametres!$B$6*D7300</f>
        <v>19</v>
      </c>
      <c r="G7300" s="20" t="n">
        <f aca="false">E7300+F7300</f>
        <v>19</v>
      </c>
      <c r="H7300" s="20" t="n">
        <f aca="false">IF(G7300&lt;Parametres!$B$8*Parametres!$B$7,0,MIN(G7300,Parametres!$B$7))</f>
        <v>0</v>
      </c>
      <c r="I7300" s="20" t="n">
        <f aca="false">G7300-H7300</f>
        <v>19</v>
      </c>
      <c r="J7300" s="21" t="n">
        <f aca="false">H7300*1000/Parametres!$B$9</f>
        <v>0</v>
      </c>
    </row>
    <row r="7301" customFormat="false" ht="15" hidden="false" customHeight="false" outlineLevel="0" collapsed="false">
      <c r="A7301" s="0" t="n">
        <v>7297</v>
      </c>
      <c r="B7301" s="0" t="n">
        <v>11</v>
      </c>
      <c r="C7301" s="19" t="n">
        <v>0</v>
      </c>
      <c r="D7301" s="19" t="n">
        <v>0.0372</v>
      </c>
      <c r="E7301" s="20" t="n">
        <f aca="false">Parametres!$B$5*C7301</f>
        <v>0</v>
      </c>
      <c r="F7301" s="20" t="n">
        <f aca="false">Parametres!$B$6*D7301</f>
        <v>7.44</v>
      </c>
      <c r="G7301" s="20" t="n">
        <f aca="false">E7301+F7301</f>
        <v>7.44</v>
      </c>
      <c r="H7301" s="20" t="n">
        <f aca="false">IF(G7301&lt;Parametres!$B$8*Parametres!$B$7,0,MIN(G7301,Parametres!$B$7))</f>
        <v>0</v>
      </c>
      <c r="I7301" s="20" t="n">
        <f aca="false">G7301-H7301</f>
        <v>7.44</v>
      </c>
      <c r="J7301" s="21" t="n">
        <f aca="false">H7301*1000/Parametres!$B$9</f>
        <v>0</v>
      </c>
    </row>
    <row r="7302" customFormat="false" ht="15" hidden="false" customHeight="false" outlineLevel="0" collapsed="false">
      <c r="A7302" s="0" t="n">
        <v>7298</v>
      </c>
      <c r="B7302" s="0" t="n">
        <v>11</v>
      </c>
      <c r="C7302" s="19" t="n">
        <v>0</v>
      </c>
      <c r="D7302" s="19" t="n">
        <v>0.0202</v>
      </c>
      <c r="E7302" s="20" t="n">
        <f aca="false">Parametres!$B$5*C7302</f>
        <v>0</v>
      </c>
      <c r="F7302" s="20" t="n">
        <f aca="false">Parametres!$B$6*D7302</f>
        <v>4.04</v>
      </c>
      <c r="G7302" s="20" t="n">
        <f aca="false">E7302+F7302</f>
        <v>4.04</v>
      </c>
      <c r="H7302" s="20" t="n">
        <f aca="false">IF(G7302&lt;Parametres!$B$8*Parametres!$B$7,0,MIN(G7302,Parametres!$B$7))</f>
        <v>0</v>
      </c>
      <c r="I7302" s="20" t="n">
        <f aca="false">G7302-H7302</f>
        <v>4.04</v>
      </c>
      <c r="J7302" s="21" t="n">
        <f aca="false">H7302*1000/Parametres!$B$9</f>
        <v>0</v>
      </c>
    </row>
    <row r="7303" customFormat="false" ht="15" hidden="false" customHeight="false" outlineLevel="0" collapsed="false">
      <c r="A7303" s="0" t="n">
        <v>7299</v>
      </c>
      <c r="B7303" s="0" t="n">
        <v>11</v>
      </c>
      <c r="C7303" s="19" t="n">
        <v>0</v>
      </c>
      <c r="D7303" s="19" t="n">
        <v>0.0167</v>
      </c>
      <c r="E7303" s="20" t="n">
        <f aca="false">Parametres!$B$5*C7303</f>
        <v>0</v>
      </c>
      <c r="F7303" s="20" t="n">
        <f aca="false">Parametres!$B$6*D7303</f>
        <v>3.34</v>
      </c>
      <c r="G7303" s="20" t="n">
        <f aca="false">E7303+F7303</f>
        <v>3.34</v>
      </c>
      <c r="H7303" s="20" t="n">
        <f aca="false">IF(G7303&lt;Parametres!$B$8*Parametres!$B$7,0,MIN(G7303,Parametres!$B$7))</f>
        <v>0</v>
      </c>
      <c r="I7303" s="20" t="n">
        <f aca="false">G7303-H7303</f>
        <v>3.34</v>
      </c>
      <c r="J7303" s="21" t="n">
        <f aca="false">H7303*1000/Parametres!$B$9</f>
        <v>0</v>
      </c>
    </row>
    <row r="7304" customFormat="false" ht="15" hidden="false" customHeight="false" outlineLevel="0" collapsed="false">
      <c r="A7304" s="0" t="n">
        <v>7300</v>
      </c>
      <c r="B7304" s="0" t="n">
        <v>11</v>
      </c>
      <c r="C7304" s="19" t="n">
        <v>0</v>
      </c>
      <c r="D7304" s="19" t="n">
        <v>0.0094</v>
      </c>
      <c r="E7304" s="20" t="n">
        <f aca="false">Parametres!$B$5*C7304</f>
        <v>0</v>
      </c>
      <c r="F7304" s="20" t="n">
        <f aca="false">Parametres!$B$6*D7304</f>
        <v>1.88</v>
      </c>
      <c r="G7304" s="20" t="n">
        <f aca="false">E7304+F7304</f>
        <v>1.88</v>
      </c>
      <c r="H7304" s="20" t="n">
        <f aca="false">IF(G7304&lt;Parametres!$B$8*Parametres!$B$7,0,MIN(G7304,Parametres!$B$7))</f>
        <v>0</v>
      </c>
      <c r="I7304" s="20" t="n">
        <f aca="false">G7304-H7304</f>
        <v>1.88</v>
      </c>
      <c r="J7304" s="21" t="n">
        <f aca="false">H7304*1000/Parametres!$B$9</f>
        <v>0</v>
      </c>
    </row>
    <row r="7305" customFormat="false" ht="15" hidden="false" customHeight="false" outlineLevel="0" collapsed="false">
      <c r="A7305" s="0" t="n">
        <v>7301</v>
      </c>
      <c r="B7305" s="0" t="n">
        <v>11</v>
      </c>
      <c r="C7305" s="19" t="n">
        <v>0</v>
      </c>
      <c r="D7305" s="19" t="n">
        <v>0.0169</v>
      </c>
      <c r="E7305" s="20" t="n">
        <f aca="false">Parametres!$B$5*C7305</f>
        <v>0</v>
      </c>
      <c r="F7305" s="20" t="n">
        <f aca="false">Parametres!$B$6*D7305</f>
        <v>3.38</v>
      </c>
      <c r="G7305" s="20" t="n">
        <f aca="false">E7305+F7305</f>
        <v>3.38</v>
      </c>
      <c r="H7305" s="20" t="n">
        <f aca="false">IF(G7305&lt;Parametres!$B$8*Parametres!$B$7,0,MIN(G7305,Parametres!$B$7))</f>
        <v>0</v>
      </c>
      <c r="I7305" s="20" t="n">
        <f aca="false">G7305-H7305</f>
        <v>3.38</v>
      </c>
      <c r="J7305" s="21" t="n">
        <f aca="false">H7305*1000/Parametres!$B$9</f>
        <v>0</v>
      </c>
    </row>
    <row r="7306" customFormat="false" ht="15" hidden="false" customHeight="false" outlineLevel="0" collapsed="false">
      <c r="A7306" s="0" t="n">
        <v>7302</v>
      </c>
      <c r="B7306" s="0" t="n">
        <v>11</v>
      </c>
      <c r="C7306" s="19" t="n">
        <v>0</v>
      </c>
      <c r="D7306" s="19" t="n">
        <v>0.0249</v>
      </c>
      <c r="E7306" s="20" t="n">
        <f aca="false">Parametres!$B$5*C7306</f>
        <v>0</v>
      </c>
      <c r="F7306" s="20" t="n">
        <f aca="false">Parametres!$B$6*D7306</f>
        <v>4.98</v>
      </c>
      <c r="G7306" s="20" t="n">
        <f aca="false">E7306+F7306</f>
        <v>4.98</v>
      </c>
      <c r="H7306" s="20" t="n">
        <f aca="false">IF(G7306&lt;Parametres!$B$8*Parametres!$B$7,0,MIN(G7306,Parametres!$B$7))</f>
        <v>0</v>
      </c>
      <c r="I7306" s="20" t="n">
        <f aca="false">G7306-H7306</f>
        <v>4.98</v>
      </c>
      <c r="J7306" s="21" t="n">
        <f aca="false">H7306*1000/Parametres!$B$9</f>
        <v>0</v>
      </c>
    </row>
    <row r="7307" customFormat="false" ht="15" hidden="false" customHeight="false" outlineLevel="0" collapsed="false">
      <c r="A7307" s="0" t="n">
        <v>7303</v>
      </c>
      <c r="B7307" s="0" t="n">
        <v>11</v>
      </c>
      <c r="C7307" s="19" t="n">
        <v>0</v>
      </c>
      <c r="D7307" s="19" t="n">
        <v>0.0304</v>
      </c>
      <c r="E7307" s="20" t="n">
        <f aca="false">Parametres!$B$5*C7307</f>
        <v>0</v>
      </c>
      <c r="F7307" s="20" t="n">
        <f aca="false">Parametres!$B$6*D7307</f>
        <v>6.08</v>
      </c>
      <c r="G7307" s="20" t="n">
        <f aca="false">E7307+F7307</f>
        <v>6.08</v>
      </c>
      <c r="H7307" s="20" t="n">
        <f aca="false">IF(G7307&lt;Parametres!$B$8*Parametres!$B$7,0,MIN(G7307,Parametres!$B$7))</f>
        <v>0</v>
      </c>
      <c r="I7307" s="20" t="n">
        <f aca="false">G7307-H7307</f>
        <v>6.08</v>
      </c>
      <c r="J7307" s="21" t="n">
        <f aca="false">H7307*1000/Parametres!$B$9</f>
        <v>0</v>
      </c>
    </row>
    <row r="7308" customFormat="false" ht="15" hidden="false" customHeight="false" outlineLevel="0" collapsed="false">
      <c r="A7308" s="0" t="n">
        <v>7304</v>
      </c>
      <c r="B7308" s="0" t="n">
        <v>11</v>
      </c>
      <c r="C7308" s="19" t="n">
        <v>0.2228</v>
      </c>
      <c r="D7308" s="19" t="n">
        <v>0.0187</v>
      </c>
      <c r="E7308" s="20" t="n">
        <f aca="false">Parametres!$B$5*C7308</f>
        <v>66.84</v>
      </c>
      <c r="F7308" s="20" t="n">
        <f aca="false">Parametres!$B$6*D7308</f>
        <v>3.74</v>
      </c>
      <c r="G7308" s="20" t="n">
        <f aca="false">E7308+F7308</f>
        <v>70.58</v>
      </c>
      <c r="H7308" s="20" t="n">
        <f aca="false">IF(G7308&lt;Parametres!$B$8*Parametres!$B$7,0,MIN(G7308,Parametres!$B$7))</f>
        <v>70.58</v>
      </c>
      <c r="I7308" s="20" t="n">
        <f aca="false">G7308-H7308</f>
        <v>0</v>
      </c>
      <c r="J7308" s="21" t="n">
        <f aca="false">H7308*1000/Parametres!$B$9</f>
        <v>1196.87976937426</v>
      </c>
    </row>
    <row r="7309" customFormat="false" ht="15" hidden="false" customHeight="false" outlineLevel="0" collapsed="false">
      <c r="A7309" s="0" t="n">
        <v>7305</v>
      </c>
      <c r="B7309" s="0" t="n">
        <v>11</v>
      </c>
      <c r="C7309" s="19" t="n">
        <v>0.4706</v>
      </c>
      <c r="D7309" s="19" t="n">
        <v>0.0225</v>
      </c>
      <c r="E7309" s="20" t="n">
        <f aca="false">Parametres!$B$5*C7309</f>
        <v>141.18</v>
      </c>
      <c r="F7309" s="20" t="n">
        <f aca="false">Parametres!$B$6*D7309</f>
        <v>4.5</v>
      </c>
      <c r="G7309" s="20" t="n">
        <f aca="false">E7309+F7309</f>
        <v>145.68</v>
      </c>
      <c r="H7309" s="20" t="n">
        <f aca="false">IF(G7309&lt;Parametres!$B$8*Parametres!$B$7,0,MIN(G7309,Parametres!$B$7))</f>
        <v>145.68</v>
      </c>
      <c r="I7309" s="20" t="n">
        <f aca="false">G7309-H7309</f>
        <v>0</v>
      </c>
      <c r="J7309" s="21" t="n">
        <f aca="false">H7309*1000/Parametres!$B$9</f>
        <v>2470.40868238087</v>
      </c>
    </row>
    <row r="7310" customFormat="false" ht="15" hidden="false" customHeight="false" outlineLevel="0" collapsed="false">
      <c r="A7310" s="0" t="n">
        <v>7306</v>
      </c>
      <c r="B7310" s="0" t="n">
        <v>11</v>
      </c>
      <c r="C7310" s="19" t="n">
        <v>0.6151</v>
      </c>
      <c r="D7310" s="19" t="n">
        <v>0.0518</v>
      </c>
      <c r="E7310" s="20" t="n">
        <f aca="false">Parametres!$B$5*C7310</f>
        <v>184.53</v>
      </c>
      <c r="F7310" s="20" t="n">
        <f aca="false">Parametres!$B$6*D7310</f>
        <v>10.36</v>
      </c>
      <c r="G7310" s="20" t="n">
        <f aca="false">E7310+F7310</f>
        <v>194.89</v>
      </c>
      <c r="H7310" s="20" t="n">
        <f aca="false">IF(G7310&lt;Parametres!$B$8*Parametres!$B$7,0,MIN(G7310,Parametres!$B$7))</f>
        <v>194.89</v>
      </c>
      <c r="I7310" s="20" t="n">
        <f aca="false">G7310-H7310</f>
        <v>0</v>
      </c>
      <c r="J7310" s="21" t="n">
        <f aca="false">H7310*1000/Parametres!$B$9</f>
        <v>3304.90079701543</v>
      </c>
    </row>
    <row r="7311" customFormat="false" ht="15" hidden="false" customHeight="false" outlineLevel="0" collapsed="false">
      <c r="A7311" s="0" t="n">
        <v>7307</v>
      </c>
      <c r="B7311" s="0" t="n">
        <v>11</v>
      </c>
      <c r="C7311" s="19" t="n">
        <v>0.8125</v>
      </c>
      <c r="D7311" s="19" t="n">
        <v>0.0591</v>
      </c>
      <c r="E7311" s="20" t="n">
        <f aca="false">Parametres!$B$5*C7311</f>
        <v>243.75</v>
      </c>
      <c r="F7311" s="20" t="n">
        <f aca="false">Parametres!$B$6*D7311</f>
        <v>11.82</v>
      </c>
      <c r="G7311" s="20" t="n">
        <f aca="false">E7311+F7311</f>
        <v>255.57</v>
      </c>
      <c r="H7311" s="20" t="n">
        <f aca="false">IF(G7311&lt;Parametres!$B$8*Parametres!$B$7,0,MIN(G7311,Parametres!$B$7))</f>
        <v>250</v>
      </c>
      <c r="I7311" s="20" t="n">
        <f aca="false">G7311-H7311</f>
        <v>5.56999999999999</v>
      </c>
      <c r="J7311" s="21" t="n">
        <f aca="false">H7311*1000/Parametres!$B$9</f>
        <v>4239.44378497541</v>
      </c>
    </row>
    <row r="7312" customFormat="false" ht="15" hidden="false" customHeight="false" outlineLevel="0" collapsed="false">
      <c r="A7312" s="0" t="n">
        <v>7308</v>
      </c>
      <c r="B7312" s="0" t="n">
        <v>11</v>
      </c>
      <c r="C7312" s="19" t="n">
        <v>0.9163</v>
      </c>
      <c r="D7312" s="19" t="n">
        <v>0.1322</v>
      </c>
      <c r="E7312" s="20" t="n">
        <f aca="false">Parametres!$B$5*C7312</f>
        <v>274.89</v>
      </c>
      <c r="F7312" s="20" t="n">
        <f aca="false">Parametres!$B$6*D7312</f>
        <v>26.44</v>
      </c>
      <c r="G7312" s="20" t="n">
        <f aca="false">E7312+F7312</f>
        <v>301.33</v>
      </c>
      <c r="H7312" s="20" t="n">
        <f aca="false">IF(G7312&lt;Parametres!$B$8*Parametres!$B$7,0,MIN(G7312,Parametres!$B$7))</f>
        <v>250</v>
      </c>
      <c r="I7312" s="20" t="n">
        <f aca="false">G7312-H7312</f>
        <v>51.33</v>
      </c>
      <c r="J7312" s="21" t="n">
        <f aca="false">H7312*1000/Parametres!$B$9</f>
        <v>4239.44378497541</v>
      </c>
    </row>
    <row r="7313" customFormat="false" ht="15" hidden="false" customHeight="false" outlineLevel="0" collapsed="false">
      <c r="A7313" s="0" t="n">
        <v>7309</v>
      </c>
      <c r="B7313" s="0" t="n">
        <v>11</v>
      </c>
      <c r="C7313" s="19" t="n">
        <v>0.8298</v>
      </c>
      <c r="D7313" s="19" t="n">
        <v>0.1311</v>
      </c>
      <c r="E7313" s="20" t="n">
        <f aca="false">Parametres!$B$5*C7313</f>
        <v>248.94</v>
      </c>
      <c r="F7313" s="20" t="n">
        <f aca="false">Parametres!$B$6*D7313</f>
        <v>26.22</v>
      </c>
      <c r="G7313" s="20" t="n">
        <f aca="false">E7313+F7313</f>
        <v>275.16</v>
      </c>
      <c r="H7313" s="20" t="n">
        <f aca="false">IF(G7313&lt;Parametres!$B$8*Parametres!$B$7,0,MIN(G7313,Parametres!$B$7))</f>
        <v>250</v>
      </c>
      <c r="I7313" s="20" t="n">
        <f aca="false">G7313-H7313</f>
        <v>25.16</v>
      </c>
      <c r="J7313" s="21" t="n">
        <f aca="false">H7313*1000/Parametres!$B$9</f>
        <v>4239.44378497541</v>
      </c>
    </row>
    <row r="7314" customFormat="false" ht="15" hidden="false" customHeight="false" outlineLevel="0" collapsed="false">
      <c r="A7314" s="0" t="n">
        <v>7310</v>
      </c>
      <c r="B7314" s="0" t="n">
        <v>11</v>
      </c>
      <c r="C7314" s="19" t="n">
        <v>0.7376</v>
      </c>
      <c r="D7314" s="19" t="n">
        <v>0.1991</v>
      </c>
      <c r="E7314" s="20" t="n">
        <f aca="false">Parametres!$B$5*C7314</f>
        <v>221.28</v>
      </c>
      <c r="F7314" s="20" t="n">
        <f aca="false">Parametres!$B$6*D7314</f>
        <v>39.82</v>
      </c>
      <c r="G7314" s="20" t="n">
        <f aca="false">E7314+F7314</f>
        <v>261.1</v>
      </c>
      <c r="H7314" s="20" t="n">
        <f aca="false">IF(G7314&lt;Parametres!$B$8*Parametres!$B$7,0,MIN(G7314,Parametres!$B$7))</f>
        <v>250</v>
      </c>
      <c r="I7314" s="20" t="n">
        <f aca="false">G7314-H7314</f>
        <v>11.1</v>
      </c>
      <c r="J7314" s="21" t="n">
        <f aca="false">H7314*1000/Parametres!$B$9</f>
        <v>4239.44378497541</v>
      </c>
    </row>
    <row r="7315" customFormat="false" ht="15" hidden="false" customHeight="false" outlineLevel="0" collapsed="false">
      <c r="A7315" s="0" t="n">
        <v>7311</v>
      </c>
      <c r="B7315" s="0" t="n">
        <v>11</v>
      </c>
      <c r="C7315" s="19" t="n">
        <v>0.6869</v>
      </c>
      <c r="D7315" s="19" t="n">
        <v>0.126</v>
      </c>
      <c r="E7315" s="20" t="n">
        <f aca="false">Parametres!$B$5*C7315</f>
        <v>206.07</v>
      </c>
      <c r="F7315" s="20" t="n">
        <f aca="false">Parametres!$B$6*D7315</f>
        <v>25.2</v>
      </c>
      <c r="G7315" s="20" t="n">
        <f aca="false">E7315+F7315</f>
        <v>231.27</v>
      </c>
      <c r="H7315" s="20" t="n">
        <f aca="false">IF(G7315&lt;Parametres!$B$8*Parametres!$B$7,0,MIN(G7315,Parametres!$B$7))</f>
        <v>231.27</v>
      </c>
      <c r="I7315" s="20" t="n">
        <f aca="false">G7315-H7315</f>
        <v>0</v>
      </c>
      <c r="J7315" s="21" t="n">
        <f aca="false">H7315*1000/Parametres!$B$9</f>
        <v>3921.82465660505</v>
      </c>
    </row>
    <row r="7316" customFormat="false" ht="15" hidden="false" customHeight="false" outlineLevel="0" collapsed="false">
      <c r="A7316" s="0" t="n">
        <v>7312</v>
      </c>
      <c r="B7316" s="0" t="n">
        <v>11</v>
      </c>
      <c r="C7316" s="19" t="n">
        <v>0.4364</v>
      </c>
      <c r="D7316" s="19" t="n">
        <v>0.0697</v>
      </c>
      <c r="E7316" s="20" t="n">
        <f aca="false">Parametres!$B$5*C7316</f>
        <v>130.92</v>
      </c>
      <c r="F7316" s="20" t="n">
        <f aca="false">Parametres!$B$6*D7316</f>
        <v>13.94</v>
      </c>
      <c r="G7316" s="20" t="n">
        <f aca="false">E7316+F7316</f>
        <v>144.86</v>
      </c>
      <c r="H7316" s="20" t="n">
        <f aca="false">IF(G7316&lt;Parametres!$B$8*Parametres!$B$7,0,MIN(G7316,Parametres!$B$7))</f>
        <v>144.86</v>
      </c>
      <c r="I7316" s="20" t="n">
        <f aca="false">G7316-H7316</f>
        <v>0</v>
      </c>
      <c r="J7316" s="21" t="n">
        <f aca="false">H7316*1000/Parametres!$B$9</f>
        <v>2456.50330676615</v>
      </c>
    </row>
    <row r="7317" customFormat="false" ht="15" hidden="false" customHeight="false" outlineLevel="0" collapsed="false">
      <c r="A7317" s="0" t="n">
        <v>7313</v>
      </c>
      <c r="B7317" s="0" t="n">
        <v>11</v>
      </c>
      <c r="C7317" s="19" t="n">
        <v>0.1911</v>
      </c>
      <c r="D7317" s="19" t="n">
        <v>0.0565</v>
      </c>
      <c r="E7317" s="20" t="n">
        <f aca="false">Parametres!$B$5*C7317</f>
        <v>57.33</v>
      </c>
      <c r="F7317" s="20" t="n">
        <f aca="false">Parametres!$B$6*D7317</f>
        <v>11.3</v>
      </c>
      <c r="G7317" s="20" t="n">
        <f aca="false">E7317+F7317</f>
        <v>68.63</v>
      </c>
      <c r="H7317" s="20" t="n">
        <f aca="false">IF(G7317&lt;Parametres!$B$8*Parametres!$B$7,0,MIN(G7317,Parametres!$B$7))</f>
        <v>68.63</v>
      </c>
      <c r="I7317" s="20" t="n">
        <f aca="false">G7317-H7317</f>
        <v>0</v>
      </c>
      <c r="J7317" s="21" t="n">
        <f aca="false">H7317*1000/Parametres!$B$9</f>
        <v>1163.81210785145</v>
      </c>
    </row>
    <row r="7318" customFormat="false" ht="15" hidden="false" customHeight="false" outlineLevel="0" collapsed="false">
      <c r="A7318" s="0" t="n">
        <v>7314</v>
      </c>
      <c r="B7318" s="0" t="n">
        <v>11</v>
      </c>
      <c r="C7318" s="19" t="n">
        <v>0</v>
      </c>
      <c r="D7318" s="19" t="n">
        <v>0.1469</v>
      </c>
      <c r="E7318" s="20" t="n">
        <f aca="false">Parametres!$B$5*C7318</f>
        <v>0</v>
      </c>
      <c r="F7318" s="20" t="n">
        <f aca="false">Parametres!$B$6*D7318</f>
        <v>29.38</v>
      </c>
      <c r="G7318" s="20" t="n">
        <f aca="false">E7318+F7318</f>
        <v>29.38</v>
      </c>
      <c r="H7318" s="20" t="n">
        <f aca="false">IF(G7318&lt;Parametres!$B$8*Parametres!$B$7,0,MIN(G7318,Parametres!$B$7))</f>
        <v>29.38</v>
      </c>
      <c r="I7318" s="20" t="n">
        <f aca="false">G7318-H7318</f>
        <v>0</v>
      </c>
      <c r="J7318" s="21" t="n">
        <f aca="false">H7318*1000/Parametres!$B$9</f>
        <v>498.21943361031</v>
      </c>
    </row>
    <row r="7319" customFormat="false" ht="15" hidden="false" customHeight="false" outlineLevel="0" collapsed="false">
      <c r="A7319" s="0" t="n">
        <v>7315</v>
      </c>
      <c r="B7319" s="0" t="n">
        <v>11</v>
      </c>
      <c r="C7319" s="19" t="n">
        <v>0</v>
      </c>
      <c r="D7319" s="19" t="n">
        <v>0.0781</v>
      </c>
      <c r="E7319" s="20" t="n">
        <f aca="false">Parametres!$B$5*C7319</f>
        <v>0</v>
      </c>
      <c r="F7319" s="20" t="n">
        <f aca="false">Parametres!$B$6*D7319</f>
        <v>15.62</v>
      </c>
      <c r="G7319" s="20" t="n">
        <f aca="false">E7319+F7319</f>
        <v>15.62</v>
      </c>
      <c r="H7319" s="20" t="n">
        <f aca="false">IF(G7319&lt;Parametres!$B$8*Parametres!$B$7,0,MIN(G7319,Parametres!$B$7))</f>
        <v>0</v>
      </c>
      <c r="I7319" s="20" t="n">
        <f aca="false">G7319-H7319</f>
        <v>15.62</v>
      </c>
      <c r="J7319" s="21" t="n">
        <f aca="false">H7319*1000/Parametres!$B$9</f>
        <v>0</v>
      </c>
    </row>
    <row r="7320" customFormat="false" ht="15" hidden="false" customHeight="false" outlineLevel="0" collapsed="false">
      <c r="A7320" s="0" t="n">
        <v>7316</v>
      </c>
      <c r="B7320" s="0" t="n">
        <v>11</v>
      </c>
      <c r="C7320" s="19" t="n">
        <v>0</v>
      </c>
      <c r="D7320" s="19" t="n">
        <v>0.0654</v>
      </c>
      <c r="E7320" s="20" t="n">
        <f aca="false">Parametres!$B$5*C7320</f>
        <v>0</v>
      </c>
      <c r="F7320" s="20" t="n">
        <f aca="false">Parametres!$B$6*D7320</f>
        <v>13.08</v>
      </c>
      <c r="G7320" s="20" t="n">
        <f aca="false">E7320+F7320</f>
        <v>13.08</v>
      </c>
      <c r="H7320" s="20" t="n">
        <f aca="false">IF(G7320&lt;Parametres!$B$8*Parametres!$B$7,0,MIN(G7320,Parametres!$B$7))</f>
        <v>0</v>
      </c>
      <c r="I7320" s="20" t="n">
        <f aca="false">G7320-H7320</f>
        <v>13.08</v>
      </c>
      <c r="J7320" s="21" t="n">
        <f aca="false">H7320*1000/Parametres!$B$9</f>
        <v>0</v>
      </c>
    </row>
    <row r="7321" customFormat="false" ht="15" hidden="false" customHeight="false" outlineLevel="0" collapsed="false">
      <c r="A7321" s="0" t="n">
        <v>7317</v>
      </c>
      <c r="B7321" s="0" t="n">
        <v>11</v>
      </c>
      <c r="C7321" s="19" t="n">
        <v>0</v>
      </c>
      <c r="D7321" s="19" t="n">
        <v>0.0752</v>
      </c>
      <c r="E7321" s="20" t="n">
        <f aca="false">Parametres!$B$5*C7321</f>
        <v>0</v>
      </c>
      <c r="F7321" s="20" t="n">
        <f aca="false">Parametres!$B$6*D7321</f>
        <v>15.04</v>
      </c>
      <c r="G7321" s="20" t="n">
        <f aca="false">E7321+F7321</f>
        <v>15.04</v>
      </c>
      <c r="H7321" s="20" t="n">
        <f aca="false">IF(G7321&lt;Parametres!$B$8*Parametres!$B$7,0,MIN(G7321,Parametres!$B$7))</f>
        <v>0</v>
      </c>
      <c r="I7321" s="20" t="n">
        <f aca="false">G7321-H7321</f>
        <v>15.04</v>
      </c>
      <c r="J7321" s="21" t="n">
        <f aca="false">H7321*1000/Parametres!$B$9</f>
        <v>0</v>
      </c>
    </row>
    <row r="7322" customFormat="false" ht="15" hidden="false" customHeight="false" outlineLevel="0" collapsed="false">
      <c r="A7322" s="0" t="n">
        <v>7318</v>
      </c>
      <c r="B7322" s="0" t="n">
        <v>11</v>
      </c>
      <c r="C7322" s="19" t="n">
        <v>0</v>
      </c>
      <c r="D7322" s="19" t="n">
        <v>0.1066</v>
      </c>
      <c r="E7322" s="20" t="n">
        <f aca="false">Parametres!$B$5*C7322</f>
        <v>0</v>
      </c>
      <c r="F7322" s="20" t="n">
        <f aca="false">Parametres!$B$6*D7322</f>
        <v>21.32</v>
      </c>
      <c r="G7322" s="20" t="n">
        <f aca="false">E7322+F7322</f>
        <v>21.32</v>
      </c>
      <c r="H7322" s="20" t="n">
        <f aca="false">IF(G7322&lt;Parametres!$B$8*Parametres!$B$7,0,MIN(G7322,Parametres!$B$7))</f>
        <v>0</v>
      </c>
      <c r="I7322" s="20" t="n">
        <f aca="false">G7322-H7322</f>
        <v>21.32</v>
      </c>
      <c r="J7322" s="21" t="n">
        <f aca="false">H7322*1000/Parametres!$B$9</f>
        <v>0</v>
      </c>
    </row>
    <row r="7323" customFormat="false" ht="15" hidden="false" customHeight="false" outlineLevel="0" collapsed="false">
      <c r="A7323" s="0" t="n">
        <v>7319</v>
      </c>
      <c r="B7323" s="0" t="n">
        <v>11</v>
      </c>
      <c r="C7323" s="19" t="n">
        <v>0</v>
      </c>
      <c r="D7323" s="19" t="n">
        <v>0.1219</v>
      </c>
      <c r="E7323" s="20" t="n">
        <f aca="false">Parametres!$B$5*C7323</f>
        <v>0</v>
      </c>
      <c r="F7323" s="20" t="n">
        <f aca="false">Parametres!$B$6*D7323</f>
        <v>24.38</v>
      </c>
      <c r="G7323" s="20" t="n">
        <f aca="false">E7323+F7323</f>
        <v>24.38</v>
      </c>
      <c r="H7323" s="20" t="n">
        <f aca="false">IF(G7323&lt;Parametres!$B$8*Parametres!$B$7,0,MIN(G7323,Parametres!$B$7))</f>
        <v>0</v>
      </c>
      <c r="I7323" s="20" t="n">
        <f aca="false">G7323-H7323</f>
        <v>24.38</v>
      </c>
      <c r="J7323" s="21" t="n">
        <f aca="false">H7323*1000/Parametres!$B$9</f>
        <v>0</v>
      </c>
    </row>
    <row r="7324" customFormat="false" ht="15" hidden="false" customHeight="false" outlineLevel="0" collapsed="false">
      <c r="A7324" s="0" t="n">
        <v>7320</v>
      </c>
      <c r="B7324" s="0" t="n">
        <v>11</v>
      </c>
      <c r="C7324" s="19" t="n">
        <v>0</v>
      </c>
      <c r="D7324" s="19" t="n">
        <v>0.1064</v>
      </c>
      <c r="E7324" s="20" t="n">
        <f aca="false">Parametres!$B$5*C7324</f>
        <v>0</v>
      </c>
      <c r="F7324" s="20" t="n">
        <f aca="false">Parametres!$B$6*D7324</f>
        <v>21.28</v>
      </c>
      <c r="G7324" s="20" t="n">
        <f aca="false">E7324+F7324</f>
        <v>21.28</v>
      </c>
      <c r="H7324" s="20" t="n">
        <f aca="false">IF(G7324&lt;Parametres!$B$8*Parametres!$B$7,0,MIN(G7324,Parametres!$B$7))</f>
        <v>0</v>
      </c>
      <c r="I7324" s="20" t="n">
        <f aca="false">G7324-H7324</f>
        <v>21.28</v>
      </c>
      <c r="J7324" s="21" t="n">
        <f aca="false">H7324*1000/Parametres!$B$9</f>
        <v>0</v>
      </c>
    </row>
    <row r="7325" customFormat="false" ht="15" hidden="false" customHeight="false" outlineLevel="0" collapsed="false">
      <c r="A7325" s="0" t="n">
        <v>7321</v>
      </c>
      <c r="B7325" s="0" t="n">
        <v>11</v>
      </c>
      <c r="C7325" s="19" t="n">
        <v>0</v>
      </c>
      <c r="D7325" s="19" t="n">
        <v>0.088</v>
      </c>
      <c r="E7325" s="20" t="n">
        <f aca="false">Parametres!$B$5*C7325</f>
        <v>0</v>
      </c>
      <c r="F7325" s="20" t="n">
        <f aca="false">Parametres!$B$6*D7325</f>
        <v>17.6</v>
      </c>
      <c r="G7325" s="20" t="n">
        <f aca="false">E7325+F7325</f>
        <v>17.6</v>
      </c>
      <c r="H7325" s="20" t="n">
        <f aca="false">IF(G7325&lt;Parametres!$B$8*Parametres!$B$7,0,MIN(G7325,Parametres!$B$7))</f>
        <v>0</v>
      </c>
      <c r="I7325" s="20" t="n">
        <f aca="false">G7325-H7325</f>
        <v>17.6</v>
      </c>
      <c r="J7325" s="21" t="n">
        <f aca="false">H7325*1000/Parametres!$B$9</f>
        <v>0</v>
      </c>
    </row>
    <row r="7326" customFormat="false" ht="15" hidden="false" customHeight="false" outlineLevel="0" collapsed="false">
      <c r="A7326" s="0" t="n">
        <v>7322</v>
      </c>
      <c r="B7326" s="0" t="n">
        <v>11</v>
      </c>
      <c r="C7326" s="19" t="n">
        <v>0</v>
      </c>
      <c r="D7326" s="19" t="n">
        <v>0.1178</v>
      </c>
      <c r="E7326" s="20" t="n">
        <f aca="false">Parametres!$B$5*C7326</f>
        <v>0</v>
      </c>
      <c r="F7326" s="20" t="n">
        <f aca="false">Parametres!$B$6*D7326</f>
        <v>23.56</v>
      </c>
      <c r="G7326" s="20" t="n">
        <f aca="false">E7326+F7326</f>
        <v>23.56</v>
      </c>
      <c r="H7326" s="20" t="n">
        <f aca="false">IF(G7326&lt;Parametres!$B$8*Parametres!$B$7,0,MIN(G7326,Parametres!$B$7))</f>
        <v>0</v>
      </c>
      <c r="I7326" s="20" t="n">
        <f aca="false">G7326-H7326</f>
        <v>23.56</v>
      </c>
      <c r="J7326" s="21" t="n">
        <f aca="false">H7326*1000/Parametres!$B$9</f>
        <v>0</v>
      </c>
    </row>
    <row r="7327" customFormat="false" ht="15" hidden="false" customHeight="false" outlineLevel="0" collapsed="false">
      <c r="A7327" s="0" t="n">
        <v>7323</v>
      </c>
      <c r="B7327" s="0" t="n">
        <v>11</v>
      </c>
      <c r="C7327" s="19" t="n">
        <v>0</v>
      </c>
      <c r="D7327" s="19" t="n">
        <v>0.2209</v>
      </c>
      <c r="E7327" s="20" t="n">
        <f aca="false">Parametres!$B$5*C7327</f>
        <v>0</v>
      </c>
      <c r="F7327" s="20" t="n">
        <f aca="false">Parametres!$B$6*D7327</f>
        <v>44.18</v>
      </c>
      <c r="G7327" s="20" t="n">
        <f aca="false">E7327+F7327</f>
        <v>44.18</v>
      </c>
      <c r="H7327" s="20" t="n">
        <f aca="false">IF(G7327&lt;Parametres!$B$8*Parametres!$B$7,0,MIN(G7327,Parametres!$B$7))</f>
        <v>44.18</v>
      </c>
      <c r="I7327" s="20" t="n">
        <f aca="false">G7327-H7327</f>
        <v>0</v>
      </c>
      <c r="J7327" s="21" t="n">
        <f aca="false">H7327*1000/Parametres!$B$9</f>
        <v>749.194505680855</v>
      </c>
    </row>
    <row r="7328" customFormat="false" ht="15" hidden="false" customHeight="false" outlineLevel="0" collapsed="false">
      <c r="A7328" s="0" t="n">
        <v>7324</v>
      </c>
      <c r="B7328" s="0" t="n">
        <v>11</v>
      </c>
      <c r="C7328" s="19" t="n">
        <v>0</v>
      </c>
      <c r="D7328" s="19" t="n">
        <v>0.3411</v>
      </c>
      <c r="E7328" s="20" t="n">
        <f aca="false">Parametres!$B$5*C7328</f>
        <v>0</v>
      </c>
      <c r="F7328" s="20" t="n">
        <f aca="false">Parametres!$B$6*D7328</f>
        <v>68.22</v>
      </c>
      <c r="G7328" s="20" t="n">
        <f aca="false">E7328+F7328</f>
        <v>68.22</v>
      </c>
      <c r="H7328" s="20" t="n">
        <f aca="false">IF(G7328&lt;Parametres!$B$8*Parametres!$B$7,0,MIN(G7328,Parametres!$B$7))</f>
        <v>68.22</v>
      </c>
      <c r="I7328" s="20" t="n">
        <f aca="false">G7328-H7328</f>
        <v>0</v>
      </c>
      <c r="J7328" s="21" t="n">
        <f aca="false">H7328*1000/Parametres!$B$9</f>
        <v>1156.85942004409</v>
      </c>
    </row>
    <row r="7329" customFormat="false" ht="15" hidden="false" customHeight="false" outlineLevel="0" collapsed="false">
      <c r="A7329" s="0" t="n">
        <v>7325</v>
      </c>
      <c r="B7329" s="0" t="n">
        <v>11</v>
      </c>
      <c r="C7329" s="19" t="n">
        <v>0</v>
      </c>
      <c r="D7329" s="19" t="n">
        <v>0.2535</v>
      </c>
      <c r="E7329" s="20" t="n">
        <f aca="false">Parametres!$B$5*C7329</f>
        <v>0</v>
      </c>
      <c r="F7329" s="20" t="n">
        <f aca="false">Parametres!$B$6*D7329</f>
        <v>50.7</v>
      </c>
      <c r="G7329" s="20" t="n">
        <f aca="false">E7329+F7329</f>
        <v>50.7</v>
      </c>
      <c r="H7329" s="20" t="n">
        <f aca="false">IF(G7329&lt;Parametres!$B$8*Parametres!$B$7,0,MIN(G7329,Parametres!$B$7))</f>
        <v>50.7</v>
      </c>
      <c r="I7329" s="20" t="n">
        <f aca="false">G7329-H7329</f>
        <v>0</v>
      </c>
      <c r="J7329" s="21" t="n">
        <f aca="false">H7329*1000/Parametres!$B$9</f>
        <v>859.759199593013</v>
      </c>
    </row>
    <row r="7330" customFormat="false" ht="15" hidden="false" customHeight="false" outlineLevel="0" collapsed="false">
      <c r="A7330" s="0" t="n">
        <v>7326</v>
      </c>
      <c r="B7330" s="0" t="n">
        <v>11</v>
      </c>
      <c r="C7330" s="19" t="n">
        <v>0</v>
      </c>
      <c r="D7330" s="19" t="n">
        <v>0.1547</v>
      </c>
      <c r="E7330" s="20" t="n">
        <f aca="false">Parametres!$B$5*C7330</f>
        <v>0</v>
      </c>
      <c r="F7330" s="20" t="n">
        <f aca="false">Parametres!$B$6*D7330</f>
        <v>30.94</v>
      </c>
      <c r="G7330" s="20" t="n">
        <f aca="false">E7330+F7330</f>
        <v>30.94</v>
      </c>
      <c r="H7330" s="20" t="n">
        <f aca="false">IF(G7330&lt;Parametres!$B$8*Parametres!$B$7,0,MIN(G7330,Parametres!$B$7))</f>
        <v>30.94</v>
      </c>
      <c r="I7330" s="20" t="n">
        <f aca="false">G7330-H7330</f>
        <v>0</v>
      </c>
      <c r="J7330" s="21" t="n">
        <f aca="false">H7330*1000/Parametres!$B$9</f>
        <v>524.673562828557</v>
      </c>
    </row>
    <row r="7331" customFormat="false" ht="15" hidden="false" customHeight="false" outlineLevel="0" collapsed="false">
      <c r="A7331" s="0" t="n">
        <v>7327</v>
      </c>
      <c r="B7331" s="0" t="n">
        <v>11</v>
      </c>
      <c r="C7331" s="19" t="n">
        <v>0</v>
      </c>
      <c r="D7331" s="19" t="n">
        <v>0.1513</v>
      </c>
      <c r="E7331" s="20" t="n">
        <f aca="false">Parametres!$B$5*C7331</f>
        <v>0</v>
      </c>
      <c r="F7331" s="20" t="n">
        <f aca="false">Parametres!$B$6*D7331</f>
        <v>30.26</v>
      </c>
      <c r="G7331" s="20" t="n">
        <f aca="false">E7331+F7331</f>
        <v>30.26</v>
      </c>
      <c r="H7331" s="20" t="n">
        <f aca="false">IF(G7331&lt;Parametres!$B$8*Parametres!$B$7,0,MIN(G7331,Parametres!$B$7))</f>
        <v>30.26</v>
      </c>
      <c r="I7331" s="20" t="n">
        <f aca="false">G7331-H7331</f>
        <v>0</v>
      </c>
      <c r="J7331" s="21" t="n">
        <f aca="false">H7331*1000/Parametres!$B$9</f>
        <v>513.142275733424</v>
      </c>
    </row>
    <row r="7332" customFormat="false" ht="15" hidden="false" customHeight="false" outlineLevel="0" collapsed="false">
      <c r="A7332" s="0" t="n">
        <v>7328</v>
      </c>
      <c r="B7332" s="0" t="n">
        <v>11</v>
      </c>
      <c r="C7332" s="19" t="n">
        <v>0.1904</v>
      </c>
      <c r="D7332" s="19" t="n">
        <v>0.2558</v>
      </c>
      <c r="E7332" s="20" t="n">
        <f aca="false">Parametres!$B$5*C7332</f>
        <v>57.12</v>
      </c>
      <c r="F7332" s="20" t="n">
        <f aca="false">Parametres!$B$6*D7332</f>
        <v>51.16</v>
      </c>
      <c r="G7332" s="20" t="n">
        <f aca="false">E7332+F7332</f>
        <v>108.28</v>
      </c>
      <c r="H7332" s="20" t="n">
        <f aca="false">IF(G7332&lt;Parametres!$B$8*Parametres!$B$7,0,MIN(G7332,Parametres!$B$7))</f>
        <v>108.28</v>
      </c>
      <c r="I7332" s="20" t="n">
        <f aca="false">G7332-H7332</f>
        <v>0</v>
      </c>
      <c r="J7332" s="21" t="n">
        <f aca="false">H7332*1000/Parametres!$B$9</f>
        <v>1836.18789214855</v>
      </c>
    </row>
    <row r="7333" customFormat="false" ht="15" hidden="false" customHeight="false" outlineLevel="0" collapsed="false">
      <c r="A7333" s="0" t="n">
        <v>7329</v>
      </c>
      <c r="B7333" s="0" t="n">
        <v>11</v>
      </c>
      <c r="C7333" s="19" t="n">
        <v>0.4291</v>
      </c>
      <c r="D7333" s="19" t="n">
        <v>0.4628</v>
      </c>
      <c r="E7333" s="20" t="n">
        <f aca="false">Parametres!$B$5*C7333</f>
        <v>128.73</v>
      </c>
      <c r="F7333" s="20" t="n">
        <f aca="false">Parametres!$B$6*D7333</f>
        <v>92.56</v>
      </c>
      <c r="G7333" s="20" t="n">
        <f aca="false">E7333+F7333</f>
        <v>221.29</v>
      </c>
      <c r="H7333" s="20" t="n">
        <f aca="false">IF(G7333&lt;Parametres!$B$8*Parametres!$B$7,0,MIN(G7333,Parametres!$B$7))</f>
        <v>221.29</v>
      </c>
      <c r="I7333" s="20" t="n">
        <f aca="false">G7333-H7333</f>
        <v>0</v>
      </c>
      <c r="J7333" s="21" t="n">
        <f aca="false">H7333*1000/Parametres!$B$9</f>
        <v>3752.58606070884</v>
      </c>
    </row>
    <row r="7334" customFormat="false" ht="15" hidden="false" customHeight="false" outlineLevel="0" collapsed="false">
      <c r="A7334" s="0" t="n">
        <v>7330</v>
      </c>
      <c r="B7334" s="0" t="n">
        <v>11</v>
      </c>
      <c r="C7334" s="19" t="n">
        <v>0.6065</v>
      </c>
      <c r="D7334" s="19" t="n">
        <v>0.4946</v>
      </c>
      <c r="E7334" s="20" t="n">
        <f aca="false">Parametres!$B$5*C7334</f>
        <v>181.95</v>
      </c>
      <c r="F7334" s="20" t="n">
        <f aca="false">Parametres!$B$6*D7334</f>
        <v>98.92</v>
      </c>
      <c r="G7334" s="20" t="n">
        <f aca="false">E7334+F7334</f>
        <v>280.87</v>
      </c>
      <c r="H7334" s="20" t="n">
        <f aca="false">IF(G7334&lt;Parametres!$B$8*Parametres!$B$7,0,MIN(G7334,Parametres!$B$7))</f>
        <v>250</v>
      </c>
      <c r="I7334" s="20" t="n">
        <f aca="false">G7334-H7334</f>
        <v>30.87</v>
      </c>
      <c r="J7334" s="21" t="n">
        <f aca="false">H7334*1000/Parametres!$B$9</f>
        <v>4239.44378497541</v>
      </c>
    </row>
    <row r="7335" customFormat="false" ht="15" hidden="false" customHeight="false" outlineLevel="0" collapsed="false">
      <c r="A7335" s="0" t="n">
        <v>7331</v>
      </c>
      <c r="B7335" s="0" t="n">
        <v>11</v>
      </c>
      <c r="C7335" s="19" t="n">
        <v>0.7764</v>
      </c>
      <c r="D7335" s="19" t="n">
        <v>0.3909</v>
      </c>
      <c r="E7335" s="20" t="n">
        <f aca="false">Parametres!$B$5*C7335</f>
        <v>232.92</v>
      </c>
      <c r="F7335" s="20" t="n">
        <f aca="false">Parametres!$B$6*D7335</f>
        <v>78.18</v>
      </c>
      <c r="G7335" s="20" t="n">
        <f aca="false">E7335+F7335</f>
        <v>311.1</v>
      </c>
      <c r="H7335" s="20" t="n">
        <f aca="false">IF(G7335&lt;Parametres!$B$8*Parametres!$B$7,0,MIN(G7335,Parametres!$B$7))</f>
        <v>250</v>
      </c>
      <c r="I7335" s="20" t="n">
        <f aca="false">G7335-H7335</f>
        <v>61.1</v>
      </c>
      <c r="J7335" s="21" t="n">
        <f aca="false">H7335*1000/Parametres!$B$9</f>
        <v>4239.44378497541</v>
      </c>
    </row>
    <row r="7336" customFormat="false" ht="15" hidden="false" customHeight="false" outlineLevel="0" collapsed="false">
      <c r="A7336" s="0" t="n">
        <v>7332</v>
      </c>
      <c r="B7336" s="0" t="n">
        <v>11</v>
      </c>
      <c r="C7336" s="19" t="n">
        <v>0.8167</v>
      </c>
      <c r="D7336" s="19" t="n">
        <v>0.315</v>
      </c>
      <c r="E7336" s="20" t="n">
        <f aca="false">Parametres!$B$5*C7336</f>
        <v>245.01</v>
      </c>
      <c r="F7336" s="20" t="n">
        <f aca="false">Parametres!$B$6*D7336</f>
        <v>63</v>
      </c>
      <c r="G7336" s="20" t="n">
        <f aca="false">E7336+F7336</f>
        <v>308.01</v>
      </c>
      <c r="H7336" s="20" t="n">
        <f aca="false">IF(G7336&lt;Parametres!$B$8*Parametres!$B$7,0,MIN(G7336,Parametres!$B$7))</f>
        <v>250</v>
      </c>
      <c r="I7336" s="20" t="n">
        <f aca="false">G7336-H7336</f>
        <v>58.01</v>
      </c>
      <c r="J7336" s="21" t="n">
        <f aca="false">H7336*1000/Parametres!$B$9</f>
        <v>4239.44378497541</v>
      </c>
    </row>
    <row r="7337" customFormat="false" ht="15" hidden="false" customHeight="false" outlineLevel="0" collapsed="false">
      <c r="A7337" s="0" t="n">
        <v>7333</v>
      </c>
      <c r="B7337" s="0" t="n">
        <v>11</v>
      </c>
      <c r="C7337" s="19" t="n">
        <v>0.8525</v>
      </c>
      <c r="D7337" s="19" t="n">
        <v>0.428</v>
      </c>
      <c r="E7337" s="20" t="n">
        <f aca="false">Parametres!$B$5*C7337</f>
        <v>255.75</v>
      </c>
      <c r="F7337" s="20" t="n">
        <f aca="false">Parametres!$B$6*D7337</f>
        <v>85.6</v>
      </c>
      <c r="G7337" s="20" t="n">
        <f aca="false">E7337+F7337</f>
        <v>341.35</v>
      </c>
      <c r="H7337" s="20" t="n">
        <f aca="false">IF(G7337&lt;Parametres!$B$8*Parametres!$B$7,0,MIN(G7337,Parametres!$B$7))</f>
        <v>250</v>
      </c>
      <c r="I7337" s="20" t="n">
        <f aca="false">G7337-H7337</f>
        <v>91.35</v>
      </c>
      <c r="J7337" s="21" t="n">
        <f aca="false">H7337*1000/Parametres!$B$9</f>
        <v>4239.44378497541</v>
      </c>
    </row>
    <row r="7338" customFormat="false" ht="15" hidden="false" customHeight="false" outlineLevel="0" collapsed="false">
      <c r="A7338" s="0" t="n">
        <v>7334</v>
      </c>
      <c r="B7338" s="0" t="n">
        <v>11</v>
      </c>
      <c r="C7338" s="19" t="n">
        <v>0.724</v>
      </c>
      <c r="D7338" s="19" t="n">
        <v>0.4219</v>
      </c>
      <c r="E7338" s="20" t="n">
        <f aca="false">Parametres!$B$5*C7338</f>
        <v>217.2</v>
      </c>
      <c r="F7338" s="20" t="n">
        <f aca="false">Parametres!$B$6*D7338</f>
        <v>84.38</v>
      </c>
      <c r="G7338" s="20" t="n">
        <f aca="false">E7338+F7338</f>
        <v>301.58</v>
      </c>
      <c r="H7338" s="20" t="n">
        <f aca="false">IF(G7338&lt;Parametres!$B$8*Parametres!$B$7,0,MIN(G7338,Parametres!$B$7))</f>
        <v>250</v>
      </c>
      <c r="I7338" s="20" t="n">
        <f aca="false">G7338-H7338</f>
        <v>51.58</v>
      </c>
      <c r="J7338" s="21" t="n">
        <f aca="false">H7338*1000/Parametres!$B$9</f>
        <v>4239.44378497541</v>
      </c>
    </row>
    <row r="7339" customFormat="false" ht="15" hidden="false" customHeight="false" outlineLevel="0" collapsed="false">
      <c r="A7339" s="0" t="n">
        <v>7335</v>
      </c>
      <c r="B7339" s="0" t="n">
        <v>11</v>
      </c>
      <c r="C7339" s="19" t="n">
        <v>0.5619</v>
      </c>
      <c r="D7339" s="19" t="n">
        <v>0.989</v>
      </c>
      <c r="E7339" s="20" t="n">
        <f aca="false">Parametres!$B$5*C7339</f>
        <v>168.57</v>
      </c>
      <c r="F7339" s="20" t="n">
        <f aca="false">Parametres!$B$6*D7339</f>
        <v>197.8</v>
      </c>
      <c r="G7339" s="20" t="n">
        <f aca="false">E7339+F7339</f>
        <v>366.37</v>
      </c>
      <c r="H7339" s="20" t="n">
        <f aca="false">IF(G7339&lt;Parametres!$B$8*Parametres!$B$7,0,MIN(G7339,Parametres!$B$7))</f>
        <v>250</v>
      </c>
      <c r="I7339" s="20" t="n">
        <f aca="false">G7339-H7339</f>
        <v>116.37</v>
      </c>
      <c r="J7339" s="21" t="n">
        <f aca="false">H7339*1000/Parametres!$B$9</f>
        <v>4239.44378497541</v>
      </c>
    </row>
    <row r="7340" customFormat="false" ht="15" hidden="false" customHeight="false" outlineLevel="0" collapsed="false">
      <c r="A7340" s="0" t="n">
        <v>7336</v>
      </c>
      <c r="B7340" s="0" t="n">
        <v>11</v>
      </c>
      <c r="C7340" s="19" t="n">
        <v>0.4284</v>
      </c>
      <c r="D7340" s="19" t="n">
        <v>0.8487</v>
      </c>
      <c r="E7340" s="20" t="n">
        <f aca="false">Parametres!$B$5*C7340</f>
        <v>128.52</v>
      </c>
      <c r="F7340" s="20" t="n">
        <f aca="false">Parametres!$B$6*D7340</f>
        <v>169.74</v>
      </c>
      <c r="G7340" s="20" t="n">
        <f aca="false">E7340+F7340</f>
        <v>298.26</v>
      </c>
      <c r="H7340" s="20" t="n">
        <f aca="false">IF(G7340&lt;Parametres!$B$8*Parametres!$B$7,0,MIN(G7340,Parametres!$B$7))</f>
        <v>250</v>
      </c>
      <c r="I7340" s="20" t="n">
        <f aca="false">G7340-H7340</f>
        <v>48.26</v>
      </c>
      <c r="J7340" s="21" t="n">
        <f aca="false">H7340*1000/Parametres!$B$9</f>
        <v>4239.44378497541</v>
      </c>
    </row>
    <row r="7341" customFormat="false" ht="15" hidden="false" customHeight="false" outlineLevel="0" collapsed="false">
      <c r="A7341" s="0" t="n">
        <v>7337</v>
      </c>
      <c r="B7341" s="0" t="n">
        <v>11</v>
      </c>
      <c r="C7341" s="19" t="n">
        <v>0.18</v>
      </c>
      <c r="D7341" s="19" t="n">
        <v>0.3772</v>
      </c>
      <c r="E7341" s="20" t="n">
        <f aca="false">Parametres!$B$5*C7341</f>
        <v>54</v>
      </c>
      <c r="F7341" s="20" t="n">
        <f aca="false">Parametres!$B$6*D7341</f>
        <v>75.44</v>
      </c>
      <c r="G7341" s="20" t="n">
        <f aca="false">E7341+F7341</f>
        <v>129.44</v>
      </c>
      <c r="H7341" s="20" t="n">
        <f aca="false">IF(G7341&lt;Parametres!$B$8*Parametres!$B$7,0,MIN(G7341,Parametres!$B$7))</f>
        <v>129.44</v>
      </c>
      <c r="I7341" s="20" t="n">
        <f aca="false">G7341-H7341</f>
        <v>0</v>
      </c>
      <c r="J7341" s="21" t="n">
        <f aca="false">H7341*1000/Parametres!$B$9</f>
        <v>2195.01441410887</v>
      </c>
    </row>
    <row r="7342" customFormat="false" ht="15" hidden="false" customHeight="false" outlineLevel="0" collapsed="false">
      <c r="A7342" s="0" t="n">
        <v>7338</v>
      </c>
      <c r="B7342" s="0" t="n">
        <v>11</v>
      </c>
      <c r="C7342" s="19" t="n">
        <v>0</v>
      </c>
      <c r="D7342" s="19" t="n">
        <v>0.8729</v>
      </c>
      <c r="E7342" s="20" t="n">
        <f aca="false">Parametres!$B$5*C7342</f>
        <v>0</v>
      </c>
      <c r="F7342" s="20" t="n">
        <f aca="false">Parametres!$B$6*D7342</f>
        <v>174.58</v>
      </c>
      <c r="G7342" s="20" t="n">
        <f aca="false">E7342+F7342</f>
        <v>174.58</v>
      </c>
      <c r="H7342" s="20" t="n">
        <f aca="false">IF(G7342&lt;Parametres!$B$8*Parametres!$B$7,0,MIN(G7342,Parametres!$B$7))</f>
        <v>174.58</v>
      </c>
      <c r="I7342" s="20" t="n">
        <f aca="false">G7342-H7342</f>
        <v>0</v>
      </c>
      <c r="J7342" s="21" t="n">
        <f aca="false">H7342*1000/Parametres!$B$9</f>
        <v>2960.48838392403</v>
      </c>
    </row>
    <row r="7343" customFormat="false" ht="15" hidden="false" customHeight="false" outlineLevel="0" collapsed="false">
      <c r="A7343" s="0" t="n">
        <v>7339</v>
      </c>
      <c r="B7343" s="0" t="n">
        <v>11</v>
      </c>
      <c r="C7343" s="19" t="n">
        <v>0</v>
      </c>
      <c r="D7343" s="19" t="n">
        <v>1</v>
      </c>
      <c r="E7343" s="20" t="n">
        <f aca="false">Parametres!$B$5*C7343</f>
        <v>0</v>
      </c>
      <c r="F7343" s="20" t="n">
        <f aca="false">Parametres!$B$6*D7343</f>
        <v>200</v>
      </c>
      <c r="G7343" s="20" t="n">
        <f aca="false">E7343+F7343</f>
        <v>200</v>
      </c>
      <c r="H7343" s="20" t="n">
        <f aca="false">IF(G7343&lt;Parametres!$B$8*Parametres!$B$7,0,MIN(G7343,Parametres!$B$7))</f>
        <v>200</v>
      </c>
      <c r="I7343" s="20" t="n">
        <f aca="false">G7343-H7343</f>
        <v>0</v>
      </c>
      <c r="J7343" s="21" t="n">
        <f aca="false">H7343*1000/Parametres!$B$9</f>
        <v>3391.55502798033</v>
      </c>
    </row>
    <row r="7344" customFormat="false" ht="15" hidden="false" customHeight="false" outlineLevel="0" collapsed="false">
      <c r="A7344" s="0" t="n">
        <v>7340</v>
      </c>
      <c r="B7344" s="0" t="n">
        <v>11</v>
      </c>
      <c r="C7344" s="19" t="n">
        <v>0</v>
      </c>
      <c r="D7344" s="19" t="n">
        <v>0.7635</v>
      </c>
      <c r="E7344" s="20" t="n">
        <f aca="false">Parametres!$B$5*C7344</f>
        <v>0</v>
      </c>
      <c r="F7344" s="20" t="n">
        <f aca="false">Parametres!$B$6*D7344</f>
        <v>152.7</v>
      </c>
      <c r="G7344" s="20" t="n">
        <f aca="false">E7344+F7344</f>
        <v>152.7</v>
      </c>
      <c r="H7344" s="20" t="n">
        <f aca="false">IF(G7344&lt;Parametres!$B$8*Parametres!$B$7,0,MIN(G7344,Parametres!$B$7))</f>
        <v>152.7</v>
      </c>
      <c r="I7344" s="20" t="n">
        <f aca="false">G7344-H7344</f>
        <v>0</v>
      </c>
      <c r="J7344" s="21" t="n">
        <f aca="false">H7344*1000/Parametres!$B$9</f>
        <v>2589.45226386298</v>
      </c>
    </row>
    <row r="7345" customFormat="false" ht="15" hidden="false" customHeight="false" outlineLevel="0" collapsed="false">
      <c r="A7345" s="0" t="n">
        <v>7341</v>
      </c>
      <c r="B7345" s="0" t="n">
        <v>11</v>
      </c>
      <c r="C7345" s="19" t="n">
        <v>0</v>
      </c>
      <c r="D7345" s="19" t="n">
        <v>0.4637</v>
      </c>
      <c r="E7345" s="20" t="n">
        <f aca="false">Parametres!$B$5*C7345</f>
        <v>0</v>
      </c>
      <c r="F7345" s="20" t="n">
        <f aca="false">Parametres!$B$6*D7345</f>
        <v>92.74</v>
      </c>
      <c r="G7345" s="20" t="n">
        <f aca="false">E7345+F7345</f>
        <v>92.74</v>
      </c>
      <c r="H7345" s="20" t="n">
        <f aca="false">IF(G7345&lt;Parametres!$B$8*Parametres!$B$7,0,MIN(G7345,Parametres!$B$7))</f>
        <v>92.74</v>
      </c>
      <c r="I7345" s="20" t="n">
        <f aca="false">G7345-H7345</f>
        <v>0</v>
      </c>
      <c r="J7345" s="21" t="n">
        <f aca="false">H7345*1000/Parametres!$B$9</f>
        <v>1572.66406647448</v>
      </c>
    </row>
    <row r="7346" customFormat="false" ht="15" hidden="false" customHeight="false" outlineLevel="0" collapsed="false">
      <c r="A7346" s="0" t="n">
        <v>7342</v>
      </c>
      <c r="B7346" s="0" t="n">
        <v>11</v>
      </c>
      <c r="C7346" s="19" t="n">
        <v>0</v>
      </c>
      <c r="D7346" s="19" t="n">
        <v>0.237</v>
      </c>
      <c r="E7346" s="20" t="n">
        <f aca="false">Parametres!$B$5*C7346</f>
        <v>0</v>
      </c>
      <c r="F7346" s="20" t="n">
        <f aca="false">Parametres!$B$6*D7346</f>
        <v>47.4</v>
      </c>
      <c r="G7346" s="20" t="n">
        <f aca="false">E7346+F7346</f>
        <v>47.4</v>
      </c>
      <c r="H7346" s="20" t="n">
        <f aca="false">IF(G7346&lt;Parametres!$B$8*Parametres!$B$7,0,MIN(G7346,Parametres!$B$7))</f>
        <v>47.4</v>
      </c>
      <c r="I7346" s="20" t="n">
        <f aca="false">G7346-H7346</f>
        <v>0</v>
      </c>
      <c r="J7346" s="21" t="n">
        <f aca="false">H7346*1000/Parametres!$B$9</f>
        <v>803.798541631338</v>
      </c>
    </row>
    <row r="7347" customFormat="false" ht="15" hidden="false" customHeight="false" outlineLevel="0" collapsed="false">
      <c r="A7347" s="0" t="n">
        <v>7343</v>
      </c>
      <c r="B7347" s="0" t="n">
        <v>11</v>
      </c>
      <c r="C7347" s="19" t="n">
        <v>0</v>
      </c>
      <c r="D7347" s="19" t="n">
        <v>0.289</v>
      </c>
      <c r="E7347" s="20" t="n">
        <f aca="false">Parametres!$B$5*C7347</f>
        <v>0</v>
      </c>
      <c r="F7347" s="20" t="n">
        <f aca="false">Parametres!$B$6*D7347</f>
        <v>57.8</v>
      </c>
      <c r="G7347" s="20" t="n">
        <f aca="false">E7347+F7347</f>
        <v>57.8</v>
      </c>
      <c r="H7347" s="20" t="n">
        <f aca="false">IF(G7347&lt;Parametres!$B$8*Parametres!$B$7,0,MIN(G7347,Parametres!$B$7))</f>
        <v>57.8</v>
      </c>
      <c r="I7347" s="20" t="n">
        <f aca="false">G7347-H7347</f>
        <v>0</v>
      </c>
      <c r="J7347" s="21" t="n">
        <f aca="false">H7347*1000/Parametres!$B$9</f>
        <v>980.159403086315</v>
      </c>
    </row>
    <row r="7348" customFormat="false" ht="15" hidden="false" customHeight="false" outlineLevel="0" collapsed="false">
      <c r="A7348" s="0" t="n">
        <v>7344</v>
      </c>
      <c r="B7348" s="0" t="n">
        <v>11</v>
      </c>
      <c r="C7348" s="19" t="n">
        <v>0</v>
      </c>
      <c r="D7348" s="19" t="n">
        <v>0.2274</v>
      </c>
      <c r="E7348" s="20" t="n">
        <f aca="false">Parametres!$B$5*C7348</f>
        <v>0</v>
      </c>
      <c r="F7348" s="20" t="n">
        <f aca="false">Parametres!$B$6*D7348</f>
        <v>45.48</v>
      </c>
      <c r="G7348" s="20" t="n">
        <f aca="false">E7348+F7348</f>
        <v>45.48</v>
      </c>
      <c r="H7348" s="20" t="n">
        <f aca="false">IF(G7348&lt;Parametres!$B$8*Parametres!$B$7,0,MIN(G7348,Parametres!$B$7))</f>
        <v>45.48</v>
      </c>
      <c r="I7348" s="20" t="n">
        <f aca="false">G7348-H7348</f>
        <v>0</v>
      </c>
      <c r="J7348" s="21" t="n">
        <f aca="false">H7348*1000/Parametres!$B$9</f>
        <v>771.239613362727</v>
      </c>
    </row>
    <row r="7349" customFormat="false" ht="15" hidden="false" customHeight="false" outlineLevel="0" collapsed="false">
      <c r="A7349" s="0" t="n">
        <v>7345</v>
      </c>
      <c r="B7349" s="0" t="n">
        <v>11</v>
      </c>
      <c r="C7349" s="19" t="n">
        <v>0</v>
      </c>
      <c r="D7349" s="19" t="n">
        <v>0.2385</v>
      </c>
      <c r="E7349" s="20" t="n">
        <f aca="false">Parametres!$B$5*C7349</f>
        <v>0</v>
      </c>
      <c r="F7349" s="20" t="n">
        <f aca="false">Parametres!$B$6*D7349</f>
        <v>47.7</v>
      </c>
      <c r="G7349" s="20" t="n">
        <f aca="false">E7349+F7349</f>
        <v>47.7</v>
      </c>
      <c r="H7349" s="20" t="n">
        <f aca="false">IF(G7349&lt;Parametres!$B$8*Parametres!$B$7,0,MIN(G7349,Parametres!$B$7))</f>
        <v>47.7</v>
      </c>
      <c r="I7349" s="20" t="n">
        <f aca="false">G7349-H7349</f>
        <v>0</v>
      </c>
      <c r="J7349" s="21" t="n">
        <f aca="false">H7349*1000/Parametres!$B$9</f>
        <v>808.885874173308</v>
      </c>
    </row>
    <row r="7350" customFormat="false" ht="15" hidden="false" customHeight="false" outlineLevel="0" collapsed="false">
      <c r="A7350" s="0" t="n">
        <v>7346</v>
      </c>
      <c r="B7350" s="0" t="n">
        <v>11</v>
      </c>
      <c r="C7350" s="19" t="n">
        <v>0</v>
      </c>
      <c r="D7350" s="19" t="n">
        <v>0.1148</v>
      </c>
      <c r="E7350" s="20" t="n">
        <f aca="false">Parametres!$B$5*C7350</f>
        <v>0</v>
      </c>
      <c r="F7350" s="20" t="n">
        <f aca="false">Parametres!$B$6*D7350</f>
        <v>22.96</v>
      </c>
      <c r="G7350" s="20" t="n">
        <f aca="false">E7350+F7350</f>
        <v>22.96</v>
      </c>
      <c r="H7350" s="20" t="n">
        <f aca="false">IF(G7350&lt;Parametres!$B$8*Parametres!$B$7,0,MIN(G7350,Parametres!$B$7))</f>
        <v>0</v>
      </c>
      <c r="I7350" s="20" t="n">
        <f aca="false">G7350-H7350</f>
        <v>22.96</v>
      </c>
      <c r="J7350" s="21" t="n">
        <f aca="false">H7350*1000/Parametres!$B$9</f>
        <v>0</v>
      </c>
    </row>
    <row r="7351" customFormat="false" ht="15" hidden="false" customHeight="false" outlineLevel="0" collapsed="false">
      <c r="A7351" s="0" t="n">
        <v>7347</v>
      </c>
      <c r="B7351" s="0" t="n">
        <v>11</v>
      </c>
      <c r="C7351" s="19" t="n">
        <v>0</v>
      </c>
      <c r="D7351" s="19" t="n">
        <v>0.0822</v>
      </c>
      <c r="E7351" s="20" t="n">
        <f aca="false">Parametres!$B$5*C7351</f>
        <v>0</v>
      </c>
      <c r="F7351" s="20" t="n">
        <f aca="false">Parametres!$B$6*D7351</f>
        <v>16.44</v>
      </c>
      <c r="G7351" s="20" t="n">
        <f aca="false">E7351+F7351</f>
        <v>16.44</v>
      </c>
      <c r="H7351" s="20" t="n">
        <f aca="false">IF(G7351&lt;Parametres!$B$8*Parametres!$B$7,0,MIN(G7351,Parametres!$B$7))</f>
        <v>0</v>
      </c>
      <c r="I7351" s="20" t="n">
        <f aca="false">G7351-H7351</f>
        <v>16.44</v>
      </c>
      <c r="J7351" s="21" t="n">
        <f aca="false">H7351*1000/Parametres!$B$9</f>
        <v>0</v>
      </c>
    </row>
    <row r="7352" customFormat="false" ht="15" hidden="false" customHeight="false" outlineLevel="0" collapsed="false">
      <c r="A7352" s="0" t="n">
        <v>7348</v>
      </c>
      <c r="B7352" s="0" t="n">
        <v>11</v>
      </c>
      <c r="C7352" s="19" t="n">
        <v>0</v>
      </c>
      <c r="D7352" s="19" t="n">
        <v>0.1445</v>
      </c>
      <c r="E7352" s="20" t="n">
        <f aca="false">Parametres!$B$5*C7352</f>
        <v>0</v>
      </c>
      <c r="F7352" s="20" t="n">
        <f aca="false">Parametres!$B$6*D7352</f>
        <v>28.9</v>
      </c>
      <c r="G7352" s="20" t="n">
        <f aca="false">E7352+F7352</f>
        <v>28.9</v>
      </c>
      <c r="H7352" s="20" t="n">
        <f aca="false">IF(G7352&lt;Parametres!$B$8*Parametres!$B$7,0,MIN(G7352,Parametres!$B$7))</f>
        <v>28.9</v>
      </c>
      <c r="I7352" s="20" t="n">
        <f aca="false">G7352-H7352</f>
        <v>0</v>
      </c>
      <c r="J7352" s="21" t="n">
        <f aca="false">H7352*1000/Parametres!$B$9</f>
        <v>490.079701543158</v>
      </c>
    </row>
    <row r="7353" customFormat="false" ht="15" hidden="false" customHeight="false" outlineLevel="0" collapsed="false">
      <c r="A7353" s="0" t="n">
        <v>7349</v>
      </c>
      <c r="B7353" s="0" t="n">
        <v>11</v>
      </c>
      <c r="C7353" s="19" t="n">
        <v>0</v>
      </c>
      <c r="D7353" s="19" t="n">
        <v>0.0773</v>
      </c>
      <c r="E7353" s="20" t="n">
        <f aca="false">Parametres!$B$5*C7353</f>
        <v>0</v>
      </c>
      <c r="F7353" s="20" t="n">
        <f aca="false">Parametres!$B$6*D7353</f>
        <v>15.46</v>
      </c>
      <c r="G7353" s="20" t="n">
        <f aca="false">E7353+F7353</f>
        <v>15.46</v>
      </c>
      <c r="H7353" s="20" t="n">
        <f aca="false">IF(G7353&lt;Parametres!$B$8*Parametres!$B$7,0,MIN(G7353,Parametres!$B$7))</f>
        <v>0</v>
      </c>
      <c r="I7353" s="20" t="n">
        <f aca="false">G7353-H7353</f>
        <v>15.46</v>
      </c>
      <c r="J7353" s="21" t="n">
        <f aca="false">H7353*1000/Parametres!$B$9</f>
        <v>0</v>
      </c>
    </row>
    <row r="7354" customFormat="false" ht="15" hidden="false" customHeight="false" outlineLevel="0" collapsed="false">
      <c r="A7354" s="0" t="n">
        <v>7350</v>
      </c>
      <c r="B7354" s="0" t="n">
        <v>11</v>
      </c>
      <c r="C7354" s="19" t="n">
        <v>0</v>
      </c>
      <c r="D7354" s="19" t="n">
        <v>0.0469</v>
      </c>
      <c r="E7354" s="20" t="n">
        <f aca="false">Parametres!$B$5*C7354</f>
        <v>0</v>
      </c>
      <c r="F7354" s="20" t="n">
        <f aca="false">Parametres!$B$6*D7354</f>
        <v>9.38</v>
      </c>
      <c r="G7354" s="20" t="n">
        <f aca="false">E7354+F7354</f>
        <v>9.38</v>
      </c>
      <c r="H7354" s="20" t="n">
        <f aca="false">IF(G7354&lt;Parametres!$B$8*Parametres!$B$7,0,MIN(G7354,Parametres!$B$7))</f>
        <v>0</v>
      </c>
      <c r="I7354" s="20" t="n">
        <f aca="false">G7354-H7354</f>
        <v>9.38</v>
      </c>
      <c r="J7354" s="21" t="n">
        <f aca="false">H7354*1000/Parametres!$B$9</f>
        <v>0</v>
      </c>
    </row>
    <row r="7355" customFormat="false" ht="15" hidden="false" customHeight="false" outlineLevel="0" collapsed="false">
      <c r="A7355" s="0" t="n">
        <v>7351</v>
      </c>
      <c r="B7355" s="0" t="n">
        <v>11</v>
      </c>
      <c r="C7355" s="19" t="n">
        <v>0</v>
      </c>
      <c r="D7355" s="19" t="n">
        <v>0.1018</v>
      </c>
      <c r="E7355" s="20" t="n">
        <f aca="false">Parametres!$B$5*C7355</f>
        <v>0</v>
      </c>
      <c r="F7355" s="20" t="n">
        <f aca="false">Parametres!$B$6*D7355</f>
        <v>20.36</v>
      </c>
      <c r="G7355" s="20" t="n">
        <f aca="false">E7355+F7355</f>
        <v>20.36</v>
      </c>
      <c r="H7355" s="20" t="n">
        <f aca="false">IF(G7355&lt;Parametres!$B$8*Parametres!$B$7,0,MIN(G7355,Parametres!$B$7))</f>
        <v>0</v>
      </c>
      <c r="I7355" s="20" t="n">
        <f aca="false">G7355-H7355</f>
        <v>20.36</v>
      </c>
      <c r="J7355" s="21" t="n">
        <f aca="false">H7355*1000/Parametres!$B$9</f>
        <v>0</v>
      </c>
    </row>
    <row r="7356" customFormat="false" ht="15" hidden="false" customHeight="false" outlineLevel="0" collapsed="false">
      <c r="A7356" s="0" t="n">
        <v>7352</v>
      </c>
      <c r="B7356" s="0" t="n">
        <v>11</v>
      </c>
      <c r="C7356" s="19" t="n">
        <v>0.2231</v>
      </c>
      <c r="D7356" s="19" t="n">
        <v>0.1026</v>
      </c>
      <c r="E7356" s="20" t="n">
        <f aca="false">Parametres!$B$5*C7356</f>
        <v>66.93</v>
      </c>
      <c r="F7356" s="20" t="n">
        <f aca="false">Parametres!$B$6*D7356</f>
        <v>20.52</v>
      </c>
      <c r="G7356" s="20" t="n">
        <f aca="false">E7356+F7356</f>
        <v>87.45</v>
      </c>
      <c r="H7356" s="20" t="n">
        <f aca="false">IF(G7356&lt;Parametres!$B$8*Parametres!$B$7,0,MIN(G7356,Parametres!$B$7))</f>
        <v>87.45</v>
      </c>
      <c r="I7356" s="20" t="n">
        <f aca="false">G7356-H7356</f>
        <v>0</v>
      </c>
      <c r="J7356" s="21" t="n">
        <f aca="false">H7356*1000/Parametres!$B$9</f>
        <v>1482.9574359844</v>
      </c>
    </row>
    <row r="7357" customFormat="false" ht="15" hidden="false" customHeight="false" outlineLevel="0" collapsed="false">
      <c r="A7357" s="0" t="n">
        <v>7353</v>
      </c>
      <c r="B7357" s="0" t="n">
        <v>11</v>
      </c>
      <c r="C7357" s="19" t="n">
        <v>0.4407</v>
      </c>
      <c r="D7357" s="19" t="n">
        <v>0.1092</v>
      </c>
      <c r="E7357" s="20" t="n">
        <f aca="false">Parametres!$B$5*C7357</f>
        <v>132.21</v>
      </c>
      <c r="F7357" s="20" t="n">
        <f aca="false">Parametres!$B$6*D7357</f>
        <v>21.84</v>
      </c>
      <c r="G7357" s="20" t="n">
        <f aca="false">E7357+F7357</f>
        <v>154.05</v>
      </c>
      <c r="H7357" s="20" t="n">
        <f aca="false">IF(G7357&lt;Parametres!$B$8*Parametres!$B$7,0,MIN(G7357,Parametres!$B$7))</f>
        <v>154.05</v>
      </c>
      <c r="I7357" s="20" t="n">
        <f aca="false">G7357-H7357</f>
        <v>0</v>
      </c>
      <c r="J7357" s="21" t="n">
        <f aca="false">H7357*1000/Parametres!$B$9</f>
        <v>2612.34526030185</v>
      </c>
    </row>
    <row r="7358" customFormat="false" ht="15" hidden="false" customHeight="false" outlineLevel="0" collapsed="false">
      <c r="A7358" s="0" t="n">
        <v>7354</v>
      </c>
      <c r="B7358" s="0" t="n">
        <v>11</v>
      </c>
      <c r="C7358" s="19" t="n">
        <v>0.7707</v>
      </c>
      <c r="D7358" s="19" t="n">
        <v>0.0723</v>
      </c>
      <c r="E7358" s="20" t="n">
        <f aca="false">Parametres!$B$5*C7358</f>
        <v>231.21</v>
      </c>
      <c r="F7358" s="20" t="n">
        <f aca="false">Parametres!$B$6*D7358</f>
        <v>14.46</v>
      </c>
      <c r="G7358" s="20" t="n">
        <f aca="false">E7358+F7358</f>
        <v>245.67</v>
      </c>
      <c r="H7358" s="20" t="n">
        <f aca="false">IF(G7358&lt;Parametres!$B$8*Parametres!$B$7,0,MIN(G7358,Parametres!$B$7))</f>
        <v>245.67</v>
      </c>
      <c r="I7358" s="20" t="n">
        <f aca="false">G7358-H7358</f>
        <v>0</v>
      </c>
      <c r="J7358" s="21" t="n">
        <f aca="false">H7358*1000/Parametres!$B$9</f>
        <v>4166.01661861964</v>
      </c>
    </row>
    <row r="7359" customFormat="false" ht="15" hidden="false" customHeight="false" outlineLevel="0" collapsed="false">
      <c r="A7359" s="0" t="n">
        <v>7355</v>
      </c>
      <c r="B7359" s="0" t="n">
        <v>11</v>
      </c>
      <c r="C7359" s="19" t="n">
        <v>0.8764</v>
      </c>
      <c r="D7359" s="19" t="n">
        <v>0.0676</v>
      </c>
      <c r="E7359" s="20" t="n">
        <f aca="false">Parametres!$B$5*C7359</f>
        <v>262.92</v>
      </c>
      <c r="F7359" s="20" t="n">
        <f aca="false">Parametres!$B$6*D7359</f>
        <v>13.52</v>
      </c>
      <c r="G7359" s="20" t="n">
        <f aca="false">E7359+F7359</f>
        <v>276.44</v>
      </c>
      <c r="H7359" s="20" t="n">
        <f aca="false">IF(G7359&lt;Parametres!$B$8*Parametres!$B$7,0,MIN(G7359,Parametres!$B$7))</f>
        <v>250</v>
      </c>
      <c r="I7359" s="20" t="n">
        <f aca="false">G7359-H7359</f>
        <v>26.4399999999999</v>
      </c>
      <c r="J7359" s="21" t="n">
        <f aca="false">H7359*1000/Parametres!$B$9</f>
        <v>4239.44378497541</v>
      </c>
    </row>
    <row r="7360" customFormat="false" ht="15" hidden="false" customHeight="false" outlineLevel="0" collapsed="false">
      <c r="A7360" s="0" t="n">
        <v>7356</v>
      </c>
      <c r="B7360" s="0" t="n">
        <v>11</v>
      </c>
      <c r="C7360" s="19" t="n">
        <v>0.911</v>
      </c>
      <c r="D7360" s="19" t="n">
        <v>0.0286</v>
      </c>
      <c r="E7360" s="20" t="n">
        <f aca="false">Parametres!$B$5*C7360</f>
        <v>273.3</v>
      </c>
      <c r="F7360" s="20" t="n">
        <f aca="false">Parametres!$B$6*D7360</f>
        <v>5.72</v>
      </c>
      <c r="G7360" s="20" t="n">
        <f aca="false">E7360+F7360</f>
        <v>279.02</v>
      </c>
      <c r="H7360" s="20" t="n">
        <f aca="false">IF(G7360&lt;Parametres!$B$8*Parametres!$B$7,0,MIN(G7360,Parametres!$B$7))</f>
        <v>250</v>
      </c>
      <c r="I7360" s="20" t="n">
        <f aca="false">G7360-H7360</f>
        <v>29.02</v>
      </c>
      <c r="J7360" s="21" t="n">
        <f aca="false">H7360*1000/Parametres!$B$9</f>
        <v>4239.44378497541</v>
      </c>
    </row>
    <row r="7361" customFormat="false" ht="15" hidden="false" customHeight="false" outlineLevel="0" collapsed="false">
      <c r="A7361" s="0" t="n">
        <v>7357</v>
      </c>
      <c r="B7361" s="0" t="n">
        <v>11</v>
      </c>
      <c r="C7361" s="19" t="n">
        <v>0.9889</v>
      </c>
      <c r="D7361" s="19" t="n">
        <v>0.1042</v>
      </c>
      <c r="E7361" s="20" t="n">
        <f aca="false">Parametres!$B$5*C7361</f>
        <v>296.67</v>
      </c>
      <c r="F7361" s="20" t="n">
        <f aca="false">Parametres!$B$6*D7361</f>
        <v>20.84</v>
      </c>
      <c r="G7361" s="20" t="n">
        <f aca="false">E7361+F7361</f>
        <v>317.51</v>
      </c>
      <c r="H7361" s="20" t="n">
        <f aca="false">IF(G7361&lt;Parametres!$B$8*Parametres!$B$7,0,MIN(G7361,Parametres!$B$7))</f>
        <v>250</v>
      </c>
      <c r="I7361" s="20" t="n">
        <f aca="false">G7361-H7361</f>
        <v>67.51</v>
      </c>
      <c r="J7361" s="21" t="n">
        <f aca="false">H7361*1000/Parametres!$B$9</f>
        <v>4239.44378497541</v>
      </c>
    </row>
    <row r="7362" customFormat="false" ht="15" hidden="false" customHeight="false" outlineLevel="0" collapsed="false">
      <c r="A7362" s="0" t="n">
        <v>7358</v>
      </c>
      <c r="B7362" s="0" t="n">
        <v>11</v>
      </c>
      <c r="C7362" s="19" t="n">
        <v>0.9255</v>
      </c>
      <c r="D7362" s="19" t="n">
        <v>0.1248</v>
      </c>
      <c r="E7362" s="20" t="n">
        <f aca="false">Parametres!$B$5*C7362</f>
        <v>277.65</v>
      </c>
      <c r="F7362" s="20" t="n">
        <f aca="false">Parametres!$B$6*D7362</f>
        <v>24.96</v>
      </c>
      <c r="G7362" s="20" t="n">
        <f aca="false">E7362+F7362</f>
        <v>302.61</v>
      </c>
      <c r="H7362" s="20" t="n">
        <f aca="false">IF(G7362&lt;Parametres!$B$8*Parametres!$B$7,0,MIN(G7362,Parametres!$B$7))</f>
        <v>250</v>
      </c>
      <c r="I7362" s="20" t="n">
        <f aca="false">G7362-H7362</f>
        <v>52.61</v>
      </c>
      <c r="J7362" s="21" t="n">
        <f aca="false">H7362*1000/Parametres!$B$9</f>
        <v>4239.44378497541</v>
      </c>
    </row>
    <row r="7363" customFormat="false" ht="15" hidden="false" customHeight="false" outlineLevel="0" collapsed="false">
      <c r="A7363" s="0" t="n">
        <v>7359</v>
      </c>
      <c r="B7363" s="0" t="n">
        <v>11</v>
      </c>
      <c r="C7363" s="19" t="n">
        <v>0.7445</v>
      </c>
      <c r="D7363" s="19" t="n">
        <v>0.161</v>
      </c>
      <c r="E7363" s="20" t="n">
        <f aca="false">Parametres!$B$5*C7363</f>
        <v>223.35</v>
      </c>
      <c r="F7363" s="20" t="n">
        <f aca="false">Parametres!$B$6*D7363</f>
        <v>32.2</v>
      </c>
      <c r="G7363" s="20" t="n">
        <f aca="false">E7363+F7363</f>
        <v>255.55</v>
      </c>
      <c r="H7363" s="20" t="n">
        <f aca="false">IF(G7363&lt;Parametres!$B$8*Parametres!$B$7,0,MIN(G7363,Parametres!$B$7))</f>
        <v>250</v>
      </c>
      <c r="I7363" s="20" t="n">
        <f aca="false">G7363-H7363</f>
        <v>5.55000000000001</v>
      </c>
      <c r="J7363" s="21" t="n">
        <f aca="false">H7363*1000/Parametres!$B$9</f>
        <v>4239.44378497541</v>
      </c>
    </row>
    <row r="7364" customFormat="false" ht="15" hidden="false" customHeight="false" outlineLevel="0" collapsed="false">
      <c r="A7364" s="0" t="n">
        <v>7360</v>
      </c>
      <c r="B7364" s="0" t="n">
        <v>11</v>
      </c>
      <c r="C7364" s="19" t="n">
        <v>0.4897</v>
      </c>
      <c r="D7364" s="19" t="n">
        <v>0.1208</v>
      </c>
      <c r="E7364" s="20" t="n">
        <f aca="false">Parametres!$B$5*C7364</f>
        <v>146.91</v>
      </c>
      <c r="F7364" s="20" t="n">
        <f aca="false">Parametres!$B$6*D7364</f>
        <v>24.16</v>
      </c>
      <c r="G7364" s="20" t="n">
        <f aca="false">E7364+F7364</f>
        <v>171.07</v>
      </c>
      <c r="H7364" s="20" t="n">
        <f aca="false">IF(G7364&lt;Parametres!$B$8*Parametres!$B$7,0,MIN(G7364,Parametres!$B$7))</f>
        <v>171.07</v>
      </c>
      <c r="I7364" s="20" t="n">
        <f aca="false">G7364-H7364</f>
        <v>0</v>
      </c>
      <c r="J7364" s="21" t="n">
        <f aca="false">H7364*1000/Parametres!$B$9</f>
        <v>2900.96659318297</v>
      </c>
    </row>
    <row r="7365" customFormat="false" ht="15" hidden="false" customHeight="false" outlineLevel="0" collapsed="false">
      <c r="A7365" s="0" t="n">
        <v>7361</v>
      </c>
      <c r="B7365" s="0" t="n">
        <v>11</v>
      </c>
      <c r="C7365" s="19" t="n">
        <v>0.2256</v>
      </c>
      <c r="D7365" s="19" t="n">
        <v>0.0713</v>
      </c>
      <c r="E7365" s="20" t="n">
        <f aca="false">Parametres!$B$5*C7365</f>
        <v>67.68</v>
      </c>
      <c r="F7365" s="20" t="n">
        <f aca="false">Parametres!$B$6*D7365</f>
        <v>14.26</v>
      </c>
      <c r="G7365" s="20" t="n">
        <f aca="false">E7365+F7365</f>
        <v>81.94</v>
      </c>
      <c r="H7365" s="20" t="n">
        <f aca="false">IF(G7365&lt;Parametres!$B$8*Parametres!$B$7,0,MIN(G7365,Parametres!$B$7))</f>
        <v>81.94</v>
      </c>
      <c r="I7365" s="20" t="n">
        <f aca="false">G7365-H7365</f>
        <v>0</v>
      </c>
      <c r="J7365" s="21" t="n">
        <f aca="false">H7365*1000/Parametres!$B$9</f>
        <v>1389.52009496354</v>
      </c>
    </row>
    <row r="7366" customFormat="false" ht="15" hidden="false" customHeight="false" outlineLevel="0" collapsed="false">
      <c r="A7366" s="0" t="n">
        <v>7362</v>
      </c>
      <c r="B7366" s="0" t="n">
        <v>11</v>
      </c>
      <c r="C7366" s="19" t="n">
        <v>0</v>
      </c>
      <c r="D7366" s="19" t="n">
        <v>0.0589</v>
      </c>
      <c r="E7366" s="20" t="n">
        <f aca="false">Parametres!$B$5*C7366</f>
        <v>0</v>
      </c>
      <c r="F7366" s="20" t="n">
        <f aca="false">Parametres!$B$6*D7366</f>
        <v>11.78</v>
      </c>
      <c r="G7366" s="20" t="n">
        <f aca="false">E7366+F7366</f>
        <v>11.78</v>
      </c>
      <c r="H7366" s="20" t="n">
        <f aca="false">IF(G7366&lt;Parametres!$B$8*Parametres!$B$7,0,MIN(G7366,Parametres!$B$7))</f>
        <v>0</v>
      </c>
      <c r="I7366" s="20" t="n">
        <f aca="false">G7366-H7366</f>
        <v>11.78</v>
      </c>
      <c r="J7366" s="21" t="n">
        <f aca="false">H7366*1000/Parametres!$B$9</f>
        <v>0</v>
      </c>
    </row>
    <row r="7367" customFormat="false" ht="15" hidden="false" customHeight="false" outlineLevel="0" collapsed="false">
      <c r="A7367" s="0" t="n">
        <v>7363</v>
      </c>
      <c r="B7367" s="0" t="n">
        <v>11</v>
      </c>
      <c r="C7367" s="19" t="n">
        <v>0</v>
      </c>
      <c r="D7367" s="19" t="n">
        <v>0.0242</v>
      </c>
      <c r="E7367" s="20" t="n">
        <f aca="false">Parametres!$B$5*C7367</f>
        <v>0</v>
      </c>
      <c r="F7367" s="20" t="n">
        <f aca="false">Parametres!$B$6*D7367</f>
        <v>4.84</v>
      </c>
      <c r="G7367" s="20" t="n">
        <f aca="false">E7367+F7367</f>
        <v>4.84</v>
      </c>
      <c r="H7367" s="20" t="n">
        <f aca="false">IF(G7367&lt;Parametres!$B$8*Parametres!$B$7,0,MIN(G7367,Parametres!$B$7))</f>
        <v>0</v>
      </c>
      <c r="I7367" s="20" t="n">
        <f aca="false">G7367-H7367</f>
        <v>4.84</v>
      </c>
      <c r="J7367" s="21" t="n">
        <f aca="false">H7367*1000/Parametres!$B$9</f>
        <v>0</v>
      </c>
    </row>
    <row r="7368" customFormat="false" ht="15" hidden="false" customHeight="false" outlineLevel="0" collapsed="false">
      <c r="A7368" s="0" t="n">
        <v>7364</v>
      </c>
      <c r="B7368" s="0" t="n">
        <v>11</v>
      </c>
      <c r="C7368" s="19" t="n">
        <v>0</v>
      </c>
      <c r="D7368" s="19" t="n">
        <v>0.0156</v>
      </c>
      <c r="E7368" s="20" t="n">
        <f aca="false">Parametres!$B$5*C7368</f>
        <v>0</v>
      </c>
      <c r="F7368" s="20" t="n">
        <f aca="false">Parametres!$B$6*D7368</f>
        <v>3.12</v>
      </c>
      <c r="G7368" s="20" t="n">
        <f aca="false">E7368+F7368</f>
        <v>3.12</v>
      </c>
      <c r="H7368" s="20" t="n">
        <f aca="false">IF(G7368&lt;Parametres!$B$8*Parametres!$B$7,0,MIN(G7368,Parametres!$B$7))</f>
        <v>0</v>
      </c>
      <c r="I7368" s="20" t="n">
        <f aca="false">G7368-H7368</f>
        <v>3.12</v>
      </c>
      <c r="J7368" s="21" t="n">
        <f aca="false">H7368*1000/Parametres!$B$9</f>
        <v>0</v>
      </c>
    </row>
    <row r="7369" customFormat="false" ht="15" hidden="false" customHeight="false" outlineLevel="0" collapsed="false">
      <c r="A7369" s="0" t="n">
        <v>7365</v>
      </c>
      <c r="B7369" s="0" t="n">
        <v>11</v>
      </c>
      <c r="C7369" s="19" t="n">
        <v>0</v>
      </c>
      <c r="D7369" s="19" t="n">
        <v>0.0053</v>
      </c>
      <c r="E7369" s="20" t="n">
        <f aca="false">Parametres!$B$5*C7369</f>
        <v>0</v>
      </c>
      <c r="F7369" s="20" t="n">
        <f aca="false">Parametres!$B$6*D7369</f>
        <v>1.06</v>
      </c>
      <c r="G7369" s="20" t="n">
        <f aca="false">E7369+F7369</f>
        <v>1.06</v>
      </c>
      <c r="H7369" s="20" t="n">
        <f aca="false">IF(G7369&lt;Parametres!$B$8*Parametres!$B$7,0,MIN(G7369,Parametres!$B$7))</f>
        <v>0</v>
      </c>
      <c r="I7369" s="20" t="n">
        <f aca="false">G7369-H7369</f>
        <v>1.06</v>
      </c>
      <c r="J7369" s="21" t="n">
        <f aca="false">H7369*1000/Parametres!$B$9</f>
        <v>0</v>
      </c>
    </row>
    <row r="7370" customFormat="false" ht="15" hidden="false" customHeight="false" outlineLevel="0" collapsed="false">
      <c r="A7370" s="0" t="n">
        <v>7366</v>
      </c>
      <c r="B7370" s="0" t="n">
        <v>11</v>
      </c>
      <c r="C7370" s="19" t="n">
        <v>0</v>
      </c>
      <c r="D7370" s="19" t="n">
        <v>0.0072</v>
      </c>
      <c r="E7370" s="20" t="n">
        <f aca="false">Parametres!$B$5*C7370</f>
        <v>0</v>
      </c>
      <c r="F7370" s="20" t="n">
        <f aca="false">Parametres!$B$6*D7370</f>
        <v>1.44</v>
      </c>
      <c r="G7370" s="20" t="n">
        <f aca="false">E7370+F7370</f>
        <v>1.44</v>
      </c>
      <c r="H7370" s="20" t="n">
        <f aca="false">IF(G7370&lt;Parametres!$B$8*Parametres!$B$7,0,MIN(G7370,Parametres!$B$7))</f>
        <v>0</v>
      </c>
      <c r="I7370" s="20" t="n">
        <f aca="false">G7370-H7370</f>
        <v>1.44</v>
      </c>
      <c r="J7370" s="21" t="n">
        <f aca="false">H7370*1000/Parametres!$B$9</f>
        <v>0</v>
      </c>
    </row>
    <row r="7371" customFormat="false" ht="15" hidden="false" customHeight="false" outlineLevel="0" collapsed="false">
      <c r="A7371" s="0" t="n">
        <v>7367</v>
      </c>
      <c r="B7371" s="0" t="n">
        <v>11</v>
      </c>
      <c r="C7371" s="19" t="n">
        <v>0</v>
      </c>
      <c r="D7371" s="19" t="n">
        <v>0.0023</v>
      </c>
      <c r="E7371" s="20" t="n">
        <f aca="false">Parametres!$B$5*C7371</f>
        <v>0</v>
      </c>
      <c r="F7371" s="20" t="n">
        <f aca="false">Parametres!$B$6*D7371</f>
        <v>0.46</v>
      </c>
      <c r="G7371" s="20" t="n">
        <f aca="false">E7371+F7371</f>
        <v>0.46</v>
      </c>
      <c r="H7371" s="20" t="n">
        <f aca="false">IF(G7371&lt;Parametres!$B$8*Parametres!$B$7,0,MIN(G7371,Parametres!$B$7))</f>
        <v>0</v>
      </c>
      <c r="I7371" s="20" t="n">
        <f aca="false">G7371-H7371</f>
        <v>0.46</v>
      </c>
      <c r="J7371" s="21" t="n">
        <f aca="false">H7371*1000/Parametres!$B$9</f>
        <v>0</v>
      </c>
    </row>
    <row r="7372" customFormat="false" ht="15" hidden="false" customHeight="false" outlineLevel="0" collapsed="false">
      <c r="A7372" s="0" t="n">
        <v>7368</v>
      </c>
      <c r="B7372" s="0" t="n">
        <v>11</v>
      </c>
      <c r="C7372" s="19" t="n">
        <v>0</v>
      </c>
      <c r="D7372" s="19" t="n">
        <v>0.0047</v>
      </c>
      <c r="E7372" s="20" t="n">
        <f aca="false">Parametres!$B$5*C7372</f>
        <v>0</v>
      </c>
      <c r="F7372" s="20" t="n">
        <f aca="false">Parametres!$B$6*D7372</f>
        <v>0.94</v>
      </c>
      <c r="G7372" s="20" t="n">
        <f aca="false">E7372+F7372</f>
        <v>0.94</v>
      </c>
      <c r="H7372" s="20" t="n">
        <f aca="false">IF(G7372&lt;Parametres!$B$8*Parametres!$B$7,0,MIN(G7372,Parametres!$B$7))</f>
        <v>0</v>
      </c>
      <c r="I7372" s="20" t="n">
        <f aca="false">G7372-H7372</f>
        <v>0.94</v>
      </c>
      <c r="J7372" s="21" t="n">
        <f aca="false">H7372*1000/Parametres!$B$9</f>
        <v>0</v>
      </c>
    </row>
    <row r="7373" customFormat="false" ht="15" hidden="false" customHeight="false" outlineLevel="0" collapsed="false">
      <c r="A7373" s="0" t="n">
        <v>7369</v>
      </c>
      <c r="B7373" s="0" t="n">
        <v>11</v>
      </c>
      <c r="C7373" s="19" t="n">
        <v>0</v>
      </c>
      <c r="D7373" s="19" t="n">
        <v>0.0125</v>
      </c>
      <c r="E7373" s="20" t="n">
        <f aca="false">Parametres!$B$5*C7373</f>
        <v>0</v>
      </c>
      <c r="F7373" s="20" t="n">
        <f aca="false">Parametres!$B$6*D7373</f>
        <v>2.5</v>
      </c>
      <c r="G7373" s="20" t="n">
        <f aca="false">E7373+F7373</f>
        <v>2.5</v>
      </c>
      <c r="H7373" s="20" t="n">
        <f aca="false">IF(G7373&lt;Parametres!$B$8*Parametres!$B$7,0,MIN(G7373,Parametres!$B$7))</f>
        <v>0</v>
      </c>
      <c r="I7373" s="20" t="n">
        <f aca="false">G7373-H7373</f>
        <v>2.5</v>
      </c>
      <c r="J7373" s="21" t="n">
        <f aca="false">H7373*1000/Parametres!$B$9</f>
        <v>0</v>
      </c>
    </row>
    <row r="7374" customFormat="false" ht="15" hidden="false" customHeight="false" outlineLevel="0" collapsed="false">
      <c r="A7374" s="0" t="n">
        <v>7370</v>
      </c>
      <c r="B7374" s="0" t="n">
        <v>11</v>
      </c>
      <c r="C7374" s="19" t="n">
        <v>0</v>
      </c>
      <c r="D7374" s="19" t="n">
        <v>0.0064</v>
      </c>
      <c r="E7374" s="20" t="n">
        <f aca="false">Parametres!$B$5*C7374</f>
        <v>0</v>
      </c>
      <c r="F7374" s="20" t="n">
        <f aca="false">Parametres!$B$6*D7374</f>
        <v>1.28</v>
      </c>
      <c r="G7374" s="20" t="n">
        <f aca="false">E7374+F7374</f>
        <v>1.28</v>
      </c>
      <c r="H7374" s="20" t="n">
        <f aca="false">IF(G7374&lt;Parametres!$B$8*Parametres!$B$7,0,MIN(G7374,Parametres!$B$7))</f>
        <v>0</v>
      </c>
      <c r="I7374" s="20" t="n">
        <f aca="false">G7374-H7374</f>
        <v>1.28</v>
      </c>
      <c r="J7374" s="21" t="n">
        <f aca="false">H7374*1000/Parametres!$B$9</f>
        <v>0</v>
      </c>
    </row>
    <row r="7375" customFormat="false" ht="15" hidden="false" customHeight="false" outlineLevel="0" collapsed="false">
      <c r="A7375" s="0" t="n">
        <v>7371</v>
      </c>
      <c r="B7375" s="0" t="n">
        <v>11</v>
      </c>
      <c r="C7375" s="19" t="n">
        <v>0</v>
      </c>
      <c r="D7375" s="19" t="n">
        <v>0.0037</v>
      </c>
      <c r="E7375" s="20" t="n">
        <f aca="false">Parametres!$B$5*C7375</f>
        <v>0</v>
      </c>
      <c r="F7375" s="20" t="n">
        <f aca="false">Parametres!$B$6*D7375</f>
        <v>0.74</v>
      </c>
      <c r="G7375" s="20" t="n">
        <f aca="false">E7375+F7375</f>
        <v>0.74</v>
      </c>
      <c r="H7375" s="20" t="n">
        <f aca="false">IF(G7375&lt;Parametres!$B$8*Parametres!$B$7,0,MIN(G7375,Parametres!$B$7))</f>
        <v>0</v>
      </c>
      <c r="I7375" s="20" t="n">
        <f aca="false">G7375-H7375</f>
        <v>0.74</v>
      </c>
      <c r="J7375" s="21" t="n">
        <f aca="false">H7375*1000/Parametres!$B$9</f>
        <v>0</v>
      </c>
    </row>
    <row r="7376" customFormat="false" ht="15" hidden="false" customHeight="false" outlineLevel="0" collapsed="false">
      <c r="A7376" s="0" t="n">
        <v>7372</v>
      </c>
      <c r="B7376" s="0" t="n">
        <v>11</v>
      </c>
      <c r="C7376" s="19" t="n">
        <v>0</v>
      </c>
      <c r="D7376" s="19" t="n">
        <v>0.0037</v>
      </c>
      <c r="E7376" s="20" t="n">
        <f aca="false">Parametres!$B$5*C7376</f>
        <v>0</v>
      </c>
      <c r="F7376" s="20" t="n">
        <f aca="false">Parametres!$B$6*D7376</f>
        <v>0.74</v>
      </c>
      <c r="G7376" s="20" t="n">
        <f aca="false">E7376+F7376</f>
        <v>0.74</v>
      </c>
      <c r="H7376" s="20" t="n">
        <f aca="false">IF(G7376&lt;Parametres!$B$8*Parametres!$B$7,0,MIN(G7376,Parametres!$B$7))</f>
        <v>0</v>
      </c>
      <c r="I7376" s="20" t="n">
        <f aca="false">G7376-H7376</f>
        <v>0.74</v>
      </c>
      <c r="J7376" s="21" t="n">
        <f aca="false">H7376*1000/Parametres!$B$9</f>
        <v>0</v>
      </c>
    </row>
    <row r="7377" customFormat="false" ht="15" hidden="false" customHeight="false" outlineLevel="0" collapsed="false">
      <c r="A7377" s="0" t="n">
        <v>7373</v>
      </c>
      <c r="B7377" s="0" t="n">
        <v>11</v>
      </c>
      <c r="C7377" s="19" t="n">
        <v>0</v>
      </c>
      <c r="D7377" s="19" t="n">
        <v>0.0006</v>
      </c>
      <c r="E7377" s="20" t="n">
        <f aca="false">Parametres!$B$5*C7377</f>
        <v>0</v>
      </c>
      <c r="F7377" s="20" t="n">
        <f aca="false">Parametres!$B$6*D7377</f>
        <v>0.12</v>
      </c>
      <c r="G7377" s="20" t="n">
        <f aca="false">E7377+F7377</f>
        <v>0.12</v>
      </c>
      <c r="H7377" s="20" t="n">
        <f aca="false">IF(G7377&lt;Parametres!$B$8*Parametres!$B$7,0,MIN(G7377,Parametres!$B$7))</f>
        <v>0</v>
      </c>
      <c r="I7377" s="20" t="n">
        <f aca="false">G7377-H7377</f>
        <v>0.12</v>
      </c>
      <c r="J7377" s="21" t="n">
        <f aca="false">H7377*1000/Parametres!$B$9</f>
        <v>0</v>
      </c>
    </row>
    <row r="7378" customFormat="false" ht="15" hidden="false" customHeight="false" outlineLevel="0" collapsed="false">
      <c r="A7378" s="0" t="n">
        <v>7374</v>
      </c>
      <c r="B7378" s="0" t="n">
        <v>11</v>
      </c>
      <c r="C7378" s="19" t="n">
        <v>0</v>
      </c>
      <c r="D7378" s="19" t="n">
        <v>0.0016</v>
      </c>
      <c r="E7378" s="20" t="n">
        <f aca="false">Parametres!$B$5*C7378</f>
        <v>0</v>
      </c>
      <c r="F7378" s="20" t="n">
        <f aca="false">Parametres!$B$6*D7378</f>
        <v>0.32</v>
      </c>
      <c r="G7378" s="20" t="n">
        <f aca="false">E7378+F7378</f>
        <v>0.32</v>
      </c>
      <c r="H7378" s="20" t="n">
        <f aca="false">IF(G7378&lt;Parametres!$B$8*Parametres!$B$7,0,MIN(G7378,Parametres!$B$7))</f>
        <v>0</v>
      </c>
      <c r="I7378" s="20" t="n">
        <f aca="false">G7378-H7378</f>
        <v>0.32</v>
      </c>
      <c r="J7378" s="21" t="n">
        <f aca="false">H7378*1000/Parametres!$B$9</f>
        <v>0</v>
      </c>
    </row>
    <row r="7379" customFormat="false" ht="15" hidden="false" customHeight="false" outlineLevel="0" collapsed="false">
      <c r="A7379" s="0" t="n">
        <v>7375</v>
      </c>
      <c r="B7379" s="0" t="n">
        <v>11</v>
      </c>
      <c r="C7379" s="19" t="n">
        <v>0</v>
      </c>
      <c r="D7379" s="19" t="n">
        <v>0.0059</v>
      </c>
      <c r="E7379" s="20" t="n">
        <f aca="false">Parametres!$B$5*C7379</f>
        <v>0</v>
      </c>
      <c r="F7379" s="20" t="n">
        <f aca="false">Parametres!$B$6*D7379</f>
        <v>1.18</v>
      </c>
      <c r="G7379" s="20" t="n">
        <f aca="false">E7379+F7379</f>
        <v>1.18</v>
      </c>
      <c r="H7379" s="20" t="n">
        <f aca="false">IF(G7379&lt;Parametres!$B$8*Parametres!$B$7,0,MIN(G7379,Parametres!$B$7))</f>
        <v>0</v>
      </c>
      <c r="I7379" s="20" t="n">
        <f aca="false">G7379-H7379</f>
        <v>1.18</v>
      </c>
      <c r="J7379" s="21" t="n">
        <f aca="false">H7379*1000/Parametres!$B$9</f>
        <v>0</v>
      </c>
    </row>
    <row r="7380" customFormat="false" ht="15" hidden="false" customHeight="false" outlineLevel="0" collapsed="false">
      <c r="A7380" s="0" t="n">
        <v>7376</v>
      </c>
      <c r="B7380" s="0" t="n">
        <v>11</v>
      </c>
      <c r="C7380" s="19" t="n">
        <v>0.2106</v>
      </c>
      <c r="D7380" s="19" t="n">
        <v>0.0005</v>
      </c>
      <c r="E7380" s="20" t="n">
        <f aca="false">Parametres!$B$5*C7380</f>
        <v>63.18</v>
      </c>
      <c r="F7380" s="20" t="n">
        <f aca="false">Parametres!$B$6*D7380</f>
        <v>0.1</v>
      </c>
      <c r="G7380" s="20" t="n">
        <f aca="false">E7380+F7380</f>
        <v>63.28</v>
      </c>
      <c r="H7380" s="20" t="n">
        <f aca="false">IF(G7380&lt;Parametres!$B$8*Parametres!$B$7,0,MIN(G7380,Parametres!$B$7))</f>
        <v>63.28</v>
      </c>
      <c r="I7380" s="20" t="n">
        <f aca="false">G7380-H7380</f>
        <v>0</v>
      </c>
      <c r="J7380" s="21" t="n">
        <f aca="false">H7380*1000/Parametres!$B$9</f>
        <v>1073.08801085298</v>
      </c>
    </row>
    <row r="7381" customFormat="false" ht="15" hidden="false" customHeight="false" outlineLevel="0" collapsed="false">
      <c r="A7381" s="0" t="n">
        <v>7377</v>
      </c>
      <c r="B7381" s="0" t="n">
        <v>11</v>
      </c>
      <c r="C7381" s="19" t="n">
        <v>0.411</v>
      </c>
      <c r="D7381" s="19" t="n">
        <v>0.0022</v>
      </c>
      <c r="E7381" s="20" t="n">
        <f aca="false">Parametres!$B$5*C7381</f>
        <v>123.3</v>
      </c>
      <c r="F7381" s="20" t="n">
        <f aca="false">Parametres!$B$6*D7381</f>
        <v>0.44</v>
      </c>
      <c r="G7381" s="20" t="n">
        <f aca="false">E7381+F7381</f>
        <v>123.74</v>
      </c>
      <c r="H7381" s="20" t="n">
        <f aca="false">IF(G7381&lt;Parametres!$B$8*Parametres!$B$7,0,MIN(G7381,Parametres!$B$7))</f>
        <v>123.74</v>
      </c>
      <c r="I7381" s="20" t="n">
        <f aca="false">G7381-H7381</f>
        <v>0</v>
      </c>
      <c r="J7381" s="21" t="n">
        <f aca="false">H7381*1000/Parametres!$B$9</f>
        <v>2098.35509581143</v>
      </c>
    </row>
    <row r="7382" customFormat="false" ht="15" hidden="false" customHeight="false" outlineLevel="0" collapsed="false">
      <c r="A7382" s="0" t="n">
        <v>7378</v>
      </c>
      <c r="B7382" s="0" t="n">
        <v>11</v>
      </c>
      <c r="C7382" s="19" t="n">
        <v>0.6561</v>
      </c>
      <c r="D7382" s="19" t="n">
        <v>0.0025</v>
      </c>
      <c r="E7382" s="20" t="n">
        <f aca="false">Parametres!$B$5*C7382</f>
        <v>196.83</v>
      </c>
      <c r="F7382" s="20" t="n">
        <f aca="false">Parametres!$B$6*D7382</f>
        <v>0.5</v>
      </c>
      <c r="G7382" s="20" t="n">
        <f aca="false">E7382+F7382</f>
        <v>197.33</v>
      </c>
      <c r="H7382" s="20" t="n">
        <f aca="false">IF(G7382&lt;Parametres!$B$8*Parametres!$B$7,0,MIN(G7382,Parametres!$B$7))</f>
        <v>197.33</v>
      </c>
      <c r="I7382" s="20" t="n">
        <f aca="false">G7382-H7382</f>
        <v>0</v>
      </c>
      <c r="J7382" s="21" t="n">
        <f aca="false">H7382*1000/Parametres!$B$9</f>
        <v>3346.27776835679</v>
      </c>
    </row>
    <row r="7383" customFormat="false" ht="15" hidden="false" customHeight="false" outlineLevel="0" collapsed="false">
      <c r="A7383" s="0" t="n">
        <v>7379</v>
      </c>
      <c r="B7383" s="0" t="n">
        <v>11</v>
      </c>
      <c r="C7383" s="19" t="n">
        <v>0.8039</v>
      </c>
      <c r="D7383" s="19" t="n">
        <v>0.0015</v>
      </c>
      <c r="E7383" s="20" t="n">
        <f aca="false">Parametres!$B$5*C7383</f>
        <v>241.17</v>
      </c>
      <c r="F7383" s="20" t="n">
        <f aca="false">Parametres!$B$6*D7383</f>
        <v>0.3</v>
      </c>
      <c r="G7383" s="20" t="n">
        <f aca="false">E7383+F7383</f>
        <v>241.47</v>
      </c>
      <c r="H7383" s="20" t="n">
        <f aca="false">IF(G7383&lt;Parametres!$B$8*Parametres!$B$7,0,MIN(G7383,Parametres!$B$7))</f>
        <v>241.47</v>
      </c>
      <c r="I7383" s="20" t="n">
        <f aca="false">G7383-H7383</f>
        <v>0</v>
      </c>
      <c r="J7383" s="21" t="n">
        <f aca="false">H7383*1000/Parametres!$B$9</f>
        <v>4094.79396303205</v>
      </c>
    </row>
    <row r="7384" customFormat="false" ht="15" hidden="false" customHeight="false" outlineLevel="0" collapsed="false">
      <c r="A7384" s="0" t="n">
        <v>7380</v>
      </c>
      <c r="B7384" s="0" t="n">
        <v>11</v>
      </c>
      <c r="C7384" s="19" t="n">
        <v>0.7968</v>
      </c>
      <c r="D7384" s="19" t="n">
        <v>0.0012</v>
      </c>
      <c r="E7384" s="20" t="n">
        <f aca="false">Parametres!$B$5*C7384</f>
        <v>239.04</v>
      </c>
      <c r="F7384" s="20" t="n">
        <f aca="false">Parametres!$B$6*D7384</f>
        <v>0.24</v>
      </c>
      <c r="G7384" s="20" t="n">
        <f aca="false">E7384+F7384</f>
        <v>239.28</v>
      </c>
      <c r="H7384" s="20" t="n">
        <f aca="false">IF(G7384&lt;Parametres!$B$8*Parametres!$B$7,0,MIN(G7384,Parametres!$B$7))</f>
        <v>239.28</v>
      </c>
      <c r="I7384" s="20" t="n">
        <f aca="false">G7384-H7384</f>
        <v>0</v>
      </c>
      <c r="J7384" s="21" t="n">
        <f aca="false">H7384*1000/Parametres!$B$9</f>
        <v>4057.65643547567</v>
      </c>
    </row>
    <row r="7385" customFormat="false" ht="15" hidden="false" customHeight="false" outlineLevel="0" collapsed="false">
      <c r="A7385" s="0" t="n">
        <v>7381</v>
      </c>
      <c r="B7385" s="0" t="n">
        <v>11</v>
      </c>
      <c r="C7385" s="19" t="n">
        <v>0.863</v>
      </c>
      <c r="D7385" s="19" t="n">
        <v>0.0005</v>
      </c>
      <c r="E7385" s="20" t="n">
        <f aca="false">Parametres!$B$5*C7385</f>
        <v>258.9</v>
      </c>
      <c r="F7385" s="20" t="n">
        <f aca="false">Parametres!$B$6*D7385</f>
        <v>0.1</v>
      </c>
      <c r="G7385" s="20" t="n">
        <f aca="false">E7385+F7385</f>
        <v>259</v>
      </c>
      <c r="H7385" s="20" t="n">
        <f aca="false">IF(G7385&lt;Parametres!$B$8*Parametres!$B$7,0,MIN(G7385,Parametres!$B$7))</f>
        <v>250</v>
      </c>
      <c r="I7385" s="20" t="n">
        <f aca="false">G7385-H7385</f>
        <v>9</v>
      </c>
      <c r="J7385" s="21" t="n">
        <f aca="false">H7385*1000/Parametres!$B$9</f>
        <v>4239.44378497541</v>
      </c>
    </row>
    <row r="7386" customFormat="false" ht="15" hidden="false" customHeight="false" outlineLevel="0" collapsed="false">
      <c r="A7386" s="0" t="n">
        <v>7382</v>
      </c>
      <c r="B7386" s="0" t="n">
        <v>11</v>
      </c>
      <c r="C7386" s="19" t="n">
        <v>0.742</v>
      </c>
      <c r="D7386" s="19" t="n">
        <v>0.0022</v>
      </c>
      <c r="E7386" s="20" t="n">
        <f aca="false">Parametres!$B$5*C7386</f>
        <v>222.6</v>
      </c>
      <c r="F7386" s="20" t="n">
        <f aca="false">Parametres!$B$6*D7386</f>
        <v>0.44</v>
      </c>
      <c r="G7386" s="20" t="n">
        <f aca="false">E7386+F7386</f>
        <v>223.04</v>
      </c>
      <c r="H7386" s="20" t="n">
        <f aca="false">IF(G7386&lt;Parametres!$B$8*Parametres!$B$7,0,MIN(G7386,Parametres!$B$7))</f>
        <v>223.04</v>
      </c>
      <c r="I7386" s="20" t="n">
        <f aca="false">G7386-H7386</f>
        <v>0</v>
      </c>
      <c r="J7386" s="21" t="n">
        <f aca="false">H7386*1000/Parametres!$B$9</f>
        <v>3782.26216720366</v>
      </c>
    </row>
    <row r="7387" customFormat="false" ht="15" hidden="false" customHeight="false" outlineLevel="0" collapsed="false">
      <c r="A7387" s="0" t="n">
        <v>7383</v>
      </c>
      <c r="B7387" s="0" t="n">
        <v>11</v>
      </c>
      <c r="C7387" s="19" t="n">
        <v>0.6267</v>
      </c>
      <c r="D7387" s="19" t="n">
        <v>0.0012</v>
      </c>
      <c r="E7387" s="20" t="n">
        <f aca="false">Parametres!$B$5*C7387</f>
        <v>188.01</v>
      </c>
      <c r="F7387" s="20" t="n">
        <f aca="false">Parametres!$B$6*D7387</f>
        <v>0.24</v>
      </c>
      <c r="G7387" s="20" t="n">
        <f aca="false">E7387+F7387</f>
        <v>188.25</v>
      </c>
      <c r="H7387" s="20" t="n">
        <f aca="false">IF(G7387&lt;Parametres!$B$8*Parametres!$B$7,0,MIN(G7387,Parametres!$B$7))</f>
        <v>188.25</v>
      </c>
      <c r="I7387" s="20" t="n">
        <f aca="false">G7387-H7387</f>
        <v>0</v>
      </c>
      <c r="J7387" s="21" t="n">
        <f aca="false">H7387*1000/Parametres!$B$9</f>
        <v>3192.30117008649</v>
      </c>
    </row>
    <row r="7388" customFormat="false" ht="15" hidden="false" customHeight="false" outlineLevel="0" collapsed="false">
      <c r="A7388" s="0" t="n">
        <v>7384</v>
      </c>
      <c r="B7388" s="0" t="n">
        <v>11</v>
      </c>
      <c r="C7388" s="19" t="n">
        <v>0.4186</v>
      </c>
      <c r="D7388" s="19" t="n">
        <v>0.0104</v>
      </c>
      <c r="E7388" s="20" t="n">
        <f aca="false">Parametres!$B$5*C7388</f>
        <v>125.58</v>
      </c>
      <c r="F7388" s="20" t="n">
        <f aca="false">Parametres!$B$6*D7388</f>
        <v>2.08</v>
      </c>
      <c r="G7388" s="20" t="n">
        <f aca="false">E7388+F7388</f>
        <v>127.66</v>
      </c>
      <c r="H7388" s="20" t="n">
        <f aca="false">IF(G7388&lt;Parametres!$B$8*Parametres!$B$7,0,MIN(G7388,Parametres!$B$7))</f>
        <v>127.66</v>
      </c>
      <c r="I7388" s="20" t="n">
        <f aca="false">G7388-H7388</f>
        <v>0</v>
      </c>
      <c r="J7388" s="21" t="n">
        <f aca="false">H7388*1000/Parametres!$B$9</f>
        <v>2164.82957435984</v>
      </c>
    </row>
    <row r="7389" customFormat="false" ht="15" hidden="false" customHeight="false" outlineLevel="0" collapsed="false">
      <c r="A7389" s="0" t="n">
        <v>7385</v>
      </c>
      <c r="B7389" s="0" t="n">
        <v>11</v>
      </c>
      <c r="C7389" s="19" t="n">
        <v>0.1995</v>
      </c>
      <c r="D7389" s="19" t="n">
        <v>0.0126</v>
      </c>
      <c r="E7389" s="20" t="n">
        <f aca="false">Parametres!$B$5*C7389</f>
        <v>59.85</v>
      </c>
      <c r="F7389" s="20" t="n">
        <f aca="false">Parametres!$B$6*D7389</f>
        <v>2.52</v>
      </c>
      <c r="G7389" s="20" t="n">
        <f aca="false">E7389+F7389</f>
        <v>62.37</v>
      </c>
      <c r="H7389" s="20" t="n">
        <f aca="false">IF(G7389&lt;Parametres!$B$8*Parametres!$B$7,0,MIN(G7389,Parametres!$B$7))</f>
        <v>62.37</v>
      </c>
      <c r="I7389" s="20" t="n">
        <f aca="false">G7389-H7389</f>
        <v>0</v>
      </c>
      <c r="J7389" s="21" t="n">
        <f aca="false">H7389*1000/Parametres!$B$9</f>
        <v>1057.65643547567</v>
      </c>
    </row>
    <row r="7390" customFormat="false" ht="15" hidden="false" customHeight="false" outlineLevel="0" collapsed="false">
      <c r="A7390" s="0" t="n">
        <v>7386</v>
      </c>
      <c r="B7390" s="0" t="n">
        <v>11</v>
      </c>
      <c r="C7390" s="19" t="n">
        <v>0</v>
      </c>
      <c r="D7390" s="19" t="n">
        <v>0.0313</v>
      </c>
      <c r="E7390" s="20" t="n">
        <f aca="false">Parametres!$B$5*C7390</f>
        <v>0</v>
      </c>
      <c r="F7390" s="20" t="n">
        <f aca="false">Parametres!$B$6*D7390</f>
        <v>6.26</v>
      </c>
      <c r="G7390" s="20" t="n">
        <f aca="false">E7390+F7390</f>
        <v>6.26</v>
      </c>
      <c r="H7390" s="20" t="n">
        <f aca="false">IF(G7390&lt;Parametres!$B$8*Parametres!$B$7,0,MIN(G7390,Parametres!$B$7))</f>
        <v>0</v>
      </c>
      <c r="I7390" s="20" t="n">
        <f aca="false">G7390-H7390</f>
        <v>6.26</v>
      </c>
      <c r="J7390" s="21" t="n">
        <f aca="false">H7390*1000/Parametres!$B$9</f>
        <v>0</v>
      </c>
    </row>
    <row r="7391" customFormat="false" ht="15" hidden="false" customHeight="false" outlineLevel="0" collapsed="false">
      <c r="A7391" s="0" t="n">
        <v>7387</v>
      </c>
      <c r="B7391" s="0" t="n">
        <v>11</v>
      </c>
      <c r="C7391" s="19" t="n">
        <v>0</v>
      </c>
      <c r="D7391" s="19" t="n">
        <v>0.0146</v>
      </c>
      <c r="E7391" s="20" t="n">
        <f aca="false">Parametres!$B$5*C7391</f>
        <v>0</v>
      </c>
      <c r="F7391" s="20" t="n">
        <f aca="false">Parametres!$B$6*D7391</f>
        <v>2.92</v>
      </c>
      <c r="G7391" s="20" t="n">
        <f aca="false">E7391+F7391</f>
        <v>2.92</v>
      </c>
      <c r="H7391" s="20" t="n">
        <f aca="false">IF(G7391&lt;Parametres!$B$8*Parametres!$B$7,0,MIN(G7391,Parametres!$B$7))</f>
        <v>0</v>
      </c>
      <c r="I7391" s="20" t="n">
        <f aca="false">G7391-H7391</f>
        <v>2.92</v>
      </c>
      <c r="J7391" s="21" t="n">
        <f aca="false">H7391*1000/Parametres!$B$9</f>
        <v>0</v>
      </c>
    </row>
    <row r="7392" customFormat="false" ht="15" hidden="false" customHeight="false" outlineLevel="0" collapsed="false">
      <c r="A7392" s="0" t="n">
        <v>7388</v>
      </c>
      <c r="B7392" s="0" t="n">
        <v>11</v>
      </c>
      <c r="C7392" s="19" t="n">
        <v>0</v>
      </c>
      <c r="D7392" s="19" t="n">
        <v>0.0103</v>
      </c>
      <c r="E7392" s="20" t="n">
        <f aca="false">Parametres!$B$5*C7392</f>
        <v>0</v>
      </c>
      <c r="F7392" s="20" t="n">
        <f aca="false">Parametres!$B$6*D7392</f>
        <v>2.06</v>
      </c>
      <c r="G7392" s="20" t="n">
        <f aca="false">E7392+F7392</f>
        <v>2.06</v>
      </c>
      <c r="H7392" s="20" t="n">
        <f aca="false">IF(G7392&lt;Parametres!$B$8*Parametres!$B$7,0,MIN(G7392,Parametres!$B$7))</f>
        <v>0</v>
      </c>
      <c r="I7392" s="20" t="n">
        <f aca="false">G7392-H7392</f>
        <v>2.06</v>
      </c>
      <c r="J7392" s="21" t="n">
        <f aca="false">H7392*1000/Parametres!$B$9</f>
        <v>0</v>
      </c>
    </row>
    <row r="7393" customFormat="false" ht="15" hidden="false" customHeight="false" outlineLevel="0" collapsed="false">
      <c r="A7393" s="0" t="n">
        <v>7389</v>
      </c>
      <c r="B7393" s="0" t="n">
        <v>11</v>
      </c>
      <c r="C7393" s="19" t="n">
        <v>0</v>
      </c>
      <c r="D7393" s="19" t="n">
        <v>0.0282</v>
      </c>
      <c r="E7393" s="20" t="n">
        <f aca="false">Parametres!$B$5*C7393</f>
        <v>0</v>
      </c>
      <c r="F7393" s="20" t="n">
        <f aca="false">Parametres!$B$6*D7393</f>
        <v>5.64</v>
      </c>
      <c r="G7393" s="20" t="n">
        <f aca="false">E7393+F7393</f>
        <v>5.64</v>
      </c>
      <c r="H7393" s="20" t="n">
        <f aca="false">IF(G7393&lt;Parametres!$B$8*Parametres!$B$7,0,MIN(G7393,Parametres!$B$7))</f>
        <v>0</v>
      </c>
      <c r="I7393" s="20" t="n">
        <f aca="false">G7393-H7393</f>
        <v>5.64</v>
      </c>
      <c r="J7393" s="21" t="n">
        <f aca="false">H7393*1000/Parametres!$B$9</f>
        <v>0</v>
      </c>
    </row>
    <row r="7394" customFormat="false" ht="15" hidden="false" customHeight="false" outlineLevel="0" collapsed="false">
      <c r="A7394" s="0" t="n">
        <v>7390</v>
      </c>
      <c r="B7394" s="0" t="n">
        <v>11</v>
      </c>
      <c r="C7394" s="19" t="n">
        <v>0</v>
      </c>
      <c r="D7394" s="19" t="n">
        <v>0.0192</v>
      </c>
      <c r="E7394" s="20" t="n">
        <f aca="false">Parametres!$B$5*C7394</f>
        <v>0</v>
      </c>
      <c r="F7394" s="20" t="n">
        <f aca="false">Parametres!$B$6*D7394</f>
        <v>3.84</v>
      </c>
      <c r="G7394" s="20" t="n">
        <f aca="false">E7394+F7394</f>
        <v>3.84</v>
      </c>
      <c r="H7394" s="20" t="n">
        <f aca="false">IF(G7394&lt;Parametres!$B$8*Parametres!$B$7,0,MIN(G7394,Parametres!$B$7))</f>
        <v>0</v>
      </c>
      <c r="I7394" s="20" t="n">
        <f aca="false">G7394-H7394</f>
        <v>3.84</v>
      </c>
      <c r="J7394" s="21" t="n">
        <f aca="false">H7394*1000/Parametres!$B$9</f>
        <v>0</v>
      </c>
    </row>
    <row r="7395" customFormat="false" ht="15" hidden="false" customHeight="false" outlineLevel="0" collapsed="false">
      <c r="A7395" s="0" t="n">
        <v>7391</v>
      </c>
      <c r="B7395" s="0" t="n">
        <v>11</v>
      </c>
      <c r="C7395" s="19" t="n">
        <v>0</v>
      </c>
      <c r="D7395" s="19" t="n">
        <v>0.0082</v>
      </c>
      <c r="E7395" s="20" t="n">
        <f aca="false">Parametres!$B$5*C7395</f>
        <v>0</v>
      </c>
      <c r="F7395" s="20" t="n">
        <f aca="false">Parametres!$B$6*D7395</f>
        <v>1.64</v>
      </c>
      <c r="G7395" s="20" t="n">
        <f aca="false">E7395+F7395</f>
        <v>1.64</v>
      </c>
      <c r="H7395" s="20" t="n">
        <f aca="false">IF(G7395&lt;Parametres!$B$8*Parametres!$B$7,0,MIN(G7395,Parametres!$B$7))</f>
        <v>0</v>
      </c>
      <c r="I7395" s="20" t="n">
        <f aca="false">G7395-H7395</f>
        <v>1.64</v>
      </c>
      <c r="J7395" s="21" t="n">
        <f aca="false">H7395*1000/Parametres!$B$9</f>
        <v>0</v>
      </c>
    </row>
    <row r="7396" customFormat="false" ht="15" hidden="false" customHeight="false" outlineLevel="0" collapsed="false">
      <c r="A7396" s="0" t="n">
        <v>7392</v>
      </c>
      <c r="B7396" s="0" t="n">
        <v>11</v>
      </c>
      <c r="C7396" s="19" t="n">
        <v>0</v>
      </c>
      <c r="D7396" s="19" t="n">
        <v>0.0289</v>
      </c>
      <c r="E7396" s="20" t="n">
        <f aca="false">Parametres!$B$5*C7396</f>
        <v>0</v>
      </c>
      <c r="F7396" s="20" t="n">
        <f aca="false">Parametres!$B$6*D7396</f>
        <v>5.78</v>
      </c>
      <c r="G7396" s="20" t="n">
        <f aca="false">E7396+F7396</f>
        <v>5.78</v>
      </c>
      <c r="H7396" s="20" t="n">
        <f aca="false">IF(G7396&lt;Parametres!$B$8*Parametres!$B$7,0,MIN(G7396,Parametres!$B$7))</f>
        <v>0</v>
      </c>
      <c r="I7396" s="20" t="n">
        <f aca="false">G7396-H7396</f>
        <v>5.78</v>
      </c>
      <c r="J7396" s="21" t="n">
        <f aca="false">H7396*1000/Parametres!$B$9</f>
        <v>0</v>
      </c>
    </row>
    <row r="7397" customFormat="false" ht="15" hidden="false" customHeight="false" outlineLevel="0" collapsed="false">
      <c r="A7397" s="0" t="n">
        <v>7393</v>
      </c>
      <c r="B7397" s="0" t="n">
        <v>11</v>
      </c>
      <c r="C7397" s="19" t="n">
        <v>0</v>
      </c>
      <c r="D7397" s="19" t="n">
        <v>0.007</v>
      </c>
      <c r="E7397" s="20" t="n">
        <f aca="false">Parametres!$B$5*C7397</f>
        <v>0</v>
      </c>
      <c r="F7397" s="20" t="n">
        <f aca="false">Parametres!$B$6*D7397</f>
        <v>1.4</v>
      </c>
      <c r="G7397" s="20" t="n">
        <f aca="false">E7397+F7397</f>
        <v>1.4</v>
      </c>
      <c r="H7397" s="20" t="n">
        <f aca="false">IF(G7397&lt;Parametres!$B$8*Parametres!$B$7,0,MIN(G7397,Parametres!$B$7))</f>
        <v>0</v>
      </c>
      <c r="I7397" s="20" t="n">
        <f aca="false">G7397-H7397</f>
        <v>1.4</v>
      </c>
      <c r="J7397" s="21" t="n">
        <f aca="false">H7397*1000/Parametres!$B$9</f>
        <v>0</v>
      </c>
    </row>
    <row r="7398" customFormat="false" ht="15" hidden="false" customHeight="false" outlineLevel="0" collapsed="false">
      <c r="A7398" s="0" t="n">
        <v>7394</v>
      </c>
      <c r="B7398" s="0" t="n">
        <v>11</v>
      </c>
      <c r="C7398" s="19" t="n">
        <v>0</v>
      </c>
      <c r="D7398" s="19" t="n">
        <v>0.0132</v>
      </c>
      <c r="E7398" s="20" t="n">
        <f aca="false">Parametres!$B$5*C7398</f>
        <v>0</v>
      </c>
      <c r="F7398" s="20" t="n">
        <f aca="false">Parametres!$B$6*D7398</f>
        <v>2.64</v>
      </c>
      <c r="G7398" s="20" t="n">
        <f aca="false">E7398+F7398</f>
        <v>2.64</v>
      </c>
      <c r="H7398" s="20" t="n">
        <f aca="false">IF(G7398&lt;Parametres!$B$8*Parametres!$B$7,0,MIN(G7398,Parametres!$B$7))</f>
        <v>0</v>
      </c>
      <c r="I7398" s="20" t="n">
        <f aca="false">G7398-H7398</f>
        <v>2.64</v>
      </c>
      <c r="J7398" s="21" t="n">
        <f aca="false">H7398*1000/Parametres!$B$9</f>
        <v>0</v>
      </c>
    </row>
    <row r="7399" customFormat="false" ht="15" hidden="false" customHeight="false" outlineLevel="0" collapsed="false">
      <c r="A7399" s="0" t="n">
        <v>7395</v>
      </c>
      <c r="B7399" s="0" t="n">
        <v>11</v>
      </c>
      <c r="C7399" s="19" t="n">
        <v>0</v>
      </c>
      <c r="D7399" s="19" t="n">
        <v>0.0087</v>
      </c>
      <c r="E7399" s="20" t="n">
        <f aca="false">Parametres!$B$5*C7399</f>
        <v>0</v>
      </c>
      <c r="F7399" s="20" t="n">
        <f aca="false">Parametres!$B$6*D7399</f>
        <v>1.74</v>
      </c>
      <c r="G7399" s="20" t="n">
        <f aca="false">E7399+F7399</f>
        <v>1.74</v>
      </c>
      <c r="H7399" s="20" t="n">
        <f aca="false">IF(G7399&lt;Parametres!$B$8*Parametres!$B$7,0,MIN(G7399,Parametres!$B$7))</f>
        <v>0</v>
      </c>
      <c r="I7399" s="20" t="n">
        <f aca="false">G7399-H7399</f>
        <v>1.74</v>
      </c>
      <c r="J7399" s="21" t="n">
        <f aca="false">H7399*1000/Parametres!$B$9</f>
        <v>0</v>
      </c>
    </row>
    <row r="7400" customFormat="false" ht="15" hidden="false" customHeight="false" outlineLevel="0" collapsed="false">
      <c r="A7400" s="0" t="n">
        <v>7396</v>
      </c>
      <c r="B7400" s="0" t="n">
        <v>11</v>
      </c>
      <c r="C7400" s="19" t="n">
        <v>0</v>
      </c>
      <c r="D7400" s="19" t="n">
        <v>0.029</v>
      </c>
      <c r="E7400" s="20" t="n">
        <f aca="false">Parametres!$B$5*C7400</f>
        <v>0</v>
      </c>
      <c r="F7400" s="20" t="n">
        <f aca="false">Parametres!$B$6*D7400</f>
        <v>5.8</v>
      </c>
      <c r="G7400" s="20" t="n">
        <f aca="false">E7400+F7400</f>
        <v>5.8</v>
      </c>
      <c r="H7400" s="20" t="n">
        <f aca="false">IF(G7400&lt;Parametres!$B$8*Parametres!$B$7,0,MIN(G7400,Parametres!$B$7))</f>
        <v>0</v>
      </c>
      <c r="I7400" s="20" t="n">
        <f aca="false">G7400-H7400</f>
        <v>5.8</v>
      </c>
      <c r="J7400" s="21" t="n">
        <f aca="false">H7400*1000/Parametres!$B$9</f>
        <v>0</v>
      </c>
    </row>
    <row r="7401" customFormat="false" ht="15" hidden="false" customHeight="false" outlineLevel="0" collapsed="false">
      <c r="A7401" s="0" t="n">
        <v>7397</v>
      </c>
      <c r="B7401" s="0" t="n">
        <v>11</v>
      </c>
      <c r="C7401" s="19" t="n">
        <v>0</v>
      </c>
      <c r="D7401" s="19" t="n">
        <v>0.0361</v>
      </c>
      <c r="E7401" s="20" t="n">
        <f aca="false">Parametres!$B$5*C7401</f>
        <v>0</v>
      </c>
      <c r="F7401" s="20" t="n">
        <f aca="false">Parametres!$B$6*D7401</f>
        <v>7.22</v>
      </c>
      <c r="G7401" s="20" t="n">
        <f aca="false">E7401+F7401</f>
        <v>7.22</v>
      </c>
      <c r="H7401" s="20" t="n">
        <f aca="false">IF(G7401&lt;Parametres!$B$8*Parametres!$B$7,0,MIN(G7401,Parametres!$B$7))</f>
        <v>0</v>
      </c>
      <c r="I7401" s="20" t="n">
        <f aca="false">G7401-H7401</f>
        <v>7.22</v>
      </c>
      <c r="J7401" s="21" t="n">
        <f aca="false">H7401*1000/Parametres!$B$9</f>
        <v>0</v>
      </c>
    </row>
    <row r="7402" customFormat="false" ht="15" hidden="false" customHeight="false" outlineLevel="0" collapsed="false">
      <c r="A7402" s="0" t="n">
        <v>7398</v>
      </c>
      <c r="B7402" s="0" t="n">
        <v>11</v>
      </c>
      <c r="C7402" s="19" t="n">
        <v>0</v>
      </c>
      <c r="D7402" s="19" t="n">
        <v>0.0299</v>
      </c>
      <c r="E7402" s="20" t="n">
        <f aca="false">Parametres!$B$5*C7402</f>
        <v>0</v>
      </c>
      <c r="F7402" s="20" t="n">
        <f aca="false">Parametres!$B$6*D7402</f>
        <v>5.98</v>
      </c>
      <c r="G7402" s="20" t="n">
        <f aca="false">E7402+F7402</f>
        <v>5.98</v>
      </c>
      <c r="H7402" s="20" t="n">
        <f aca="false">IF(G7402&lt;Parametres!$B$8*Parametres!$B$7,0,MIN(G7402,Parametres!$B$7))</f>
        <v>0</v>
      </c>
      <c r="I7402" s="20" t="n">
        <f aca="false">G7402-H7402</f>
        <v>5.98</v>
      </c>
      <c r="J7402" s="21" t="n">
        <f aca="false">H7402*1000/Parametres!$B$9</f>
        <v>0</v>
      </c>
    </row>
    <row r="7403" customFormat="false" ht="15" hidden="false" customHeight="false" outlineLevel="0" collapsed="false">
      <c r="A7403" s="0" t="n">
        <v>7399</v>
      </c>
      <c r="B7403" s="0" t="n">
        <v>11</v>
      </c>
      <c r="C7403" s="19" t="n">
        <v>0</v>
      </c>
      <c r="D7403" s="19" t="n">
        <v>0.0934</v>
      </c>
      <c r="E7403" s="20" t="n">
        <f aca="false">Parametres!$B$5*C7403</f>
        <v>0</v>
      </c>
      <c r="F7403" s="20" t="n">
        <f aca="false">Parametres!$B$6*D7403</f>
        <v>18.68</v>
      </c>
      <c r="G7403" s="20" t="n">
        <f aca="false">E7403+F7403</f>
        <v>18.68</v>
      </c>
      <c r="H7403" s="20" t="n">
        <f aca="false">IF(G7403&lt;Parametres!$B$8*Parametres!$B$7,0,MIN(G7403,Parametres!$B$7))</f>
        <v>0</v>
      </c>
      <c r="I7403" s="20" t="n">
        <f aca="false">G7403-H7403</f>
        <v>18.68</v>
      </c>
      <c r="J7403" s="21" t="n">
        <f aca="false">H7403*1000/Parametres!$B$9</f>
        <v>0</v>
      </c>
    </row>
    <row r="7404" customFormat="false" ht="15" hidden="false" customHeight="false" outlineLevel="0" collapsed="false">
      <c r="A7404" s="0" t="n">
        <v>7400</v>
      </c>
      <c r="B7404" s="0" t="n">
        <v>11</v>
      </c>
      <c r="C7404" s="19" t="n">
        <v>0.1947</v>
      </c>
      <c r="D7404" s="19" t="n">
        <v>0.0784</v>
      </c>
      <c r="E7404" s="20" t="n">
        <f aca="false">Parametres!$B$5*C7404</f>
        <v>58.41</v>
      </c>
      <c r="F7404" s="20" t="n">
        <f aca="false">Parametres!$B$6*D7404</f>
        <v>15.68</v>
      </c>
      <c r="G7404" s="20" t="n">
        <f aca="false">E7404+F7404</f>
        <v>74.09</v>
      </c>
      <c r="H7404" s="20" t="n">
        <f aca="false">IF(G7404&lt;Parametres!$B$8*Parametres!$B$7,0,MIN(G7404,Parametres!$B$7))</f>
        <v>74.09</v>
      </c>
      <c r="I7404" s="20" t="n">
        <f aca="false">G7404-H7404</f>
        <v>0</v>
      </c>
      <c r="J7404" s="21" t="n">
        <f aca="false">H7404*1000/Parametres!$B$9</f>
        <v>1256.40156011531</v>
      </c>
    </row>
    <row r="7405" customFormat="false" ht="15" hidden="false" customHeight="false" outlineLevel="0" collapsed="false">
      <c r="A7405" s="0" t="n">
        <v>7401</v>
      </c>
      <c r="B7405" s="0" t="n">
        <v>11</v>
      </c>
      <c r="C7405" s="19" t="n">
        <v>0.4537</v>
      </c>
      <c r="D7405" s="19" t="n">
        <v>0.306</v>
      </c>
      <c r="E7405" s="20" t="n">
        <f aca="false">Parametres!$B$5*C7405</f>
        <v>136.11</v>
      </c>
      <c r="F7405" s="20" t="n">
        <f aca="false">Parametres!$B$6*D7405</f>
        <v>61.2</v>
      </c>
      <c r="G7405" s="20" t="n">
        <f aca="false">E7405+F7405</f>
        <v>197.31</v>
      </c>
      <c r="H7405" s="20" t="n">
        <f aca="false">IF(G7405&lt;Parametres!$B$8*Parametres!$B$7,0,MIN(G7405,Parametres!$B$7))</f>
        <v>197.31</v>
      </c>
      <c r="I7405" s="20" t="n">
        <f aca="false">G7405-H7405</f>
        <v>0</v>
      </c>
      <c r="J7405" s="21" t="n">
        <f aca="false">H7405*1000/Parametres!$B$9</f>
        <v>3345.93861285399</v>
      </c>
    </row>
    <row r="7406" customFormat="false" ht="15" hidden="false" customHeight="false" outlineLevel="0" collapsed="false">
      <c r="A7406" s="0" t="n">
        <v>7402</v>
      </c>
      <c r="B7406" s="0" t="n">
        <v>11</v>
      </c>
      <c r="C7406" s="19" t="n">
        <v>0.6681</v>
      </c>
      <c r="D7406" s="19" t="n">
        <v>0.4328</v>
      </c>
      <c r="E7406" s="20" t="n">
        <f aca="false">Parametres!$B$5*C7406</f>
        <v>200.43</v>
      </c>
      <c r="F7406" s="20" t="n">
        <f aca="false">Parametres!$B$6*D7406</f>
        <v>86.56</v>
      </c>
      <c r="G7406" s="20" t="n">
        <f aca="false">E7406+F7406</f>
        <v>286.99</v>
      </c>
      <c r="H7406" s="20" t="n">
        <f aca="false">IF(G7406&lt;Parametres!$B$8*Parametres!$B$7,0,MIN(G7406,Parametres!$B$7))</f>
        <v>250</v>
      </c>
      <c r="I7406" s="20" t="n">
        <f aca="false">G7406-H7406</f>
        <v>36.99</v>
      </c>
      <c r="J7406" s="21" t="n">
        <f aca="false">H7406*1000/Parametres!$B$9</f>
        <v>4239.44378497541</v>
      </c>
    </row>
    <row r="7407" customFormat="false" ht="15" hidden="false" customHeight="false" outlineLevel="0" collapsed="false">
      <c r="A7407" s="0" t="n">
        <v>7403</v>
      </c>
      <c r="B7407" s="0" t="n">
        <v>11</v>
      </c>
      <c r="C7407" s="19" t="n">
        <v>0.7812</v>
      </c>
      <c r="D7407" s="19" t="n">
        <v>0.5093</v>
      </c>
      <c r="E7407" s="20" t="n">
        <f aca="false">Parametres!$B$5*C7407</f>
        <v>234.36</v>
      </c>
      <c r="F7407" s="20" t="n">
        <f aca="false">Parametres!$B$6*D7407</f>
        <v>101.86</v>
      </c>
      <c r="G7407" s="20" t="n">
        <f aca="false">E7407+F7407</f>
        <v>336.22</v>
      </c>
      <c r="H7407" s="20" t="n">
        <f aca="false">IF(G7407&lt;Parametres!$B$8*Parametres!$B$7,0,MIN(G7407,Parametres!$B$7))</f>
        <v>250</v>
      </c>
      <c r="I7407" s="20" t="n">
        <f aca="false">G7407-H7407</f>
        <v>86.22</v>
      </c>
      <c r="J7407" s="21" t="n">
        <f aca="false">H7407*1000/Parametres!$B$9</f>
        <v>4239.44378497541</v>
      </c>
    </row>
    <row r="7408" customFormat="false" ht="15" hidden="false" customHeight="false" outlineLevel="0" collapsed="false">
      <c r="A7408" s="0" t="n">
        <v>7404</v>
      </c>
      <c r="B7408" s="0" t="n">
        <v>11</v>
      </c>
      <c r="C7408" s="19" t="n">
        <v>0.8729</v>
      </c>
      <c r="D7408" s="19" t="n">
        <v>0.5762</v>
      </c>
      <c r="E7408" s="20" t="n">
        <f aca="false">Parametres!$B$5*C7408</f>
        <v>261.87</v>
      </c>
      <c r="F7408" s="20" t="n">
        <f aca="false">Parametres!$B$6*D7408</f>
        <v>115.24</v>
      </c>
      <c r="G7408" s="20" t="n">
        <f aca="false">E7408+F7408</f>
        <v>377.11</v>
      </c>
      <c r="H7408" s="20" t="n">
        <f aca="false">IF(G7408&lt;Parametres!$B$8*Parametres!$B$7,0,MIN(G7408,Parametres!$B$7))</f>
        <v>250</v>
      </c>
      <c r="I7408" s="20" t="n">
        <f aca="false">G7408-H7408</f>
        <v>127.11</v>
      </c>
      <c r="J7408" s="21" t="n">
        <f aca="false">H7408*1000/Parametres!$B$9</f>
        <v>4239.44378497541</v>
      </c>
    </row>
    <row r="7409" customFormat="false" ht="15" hidden="false" customHeight="false" outlineLevel="0" collapsed="false">
      <c r="A7409" s="0" t="n">
        <v>7405</v>
      </c>
      <c r="B7409" s="0" t="n">
        <v>11</v>
      </c>
      <c r="C7409" s="19" t="n">
        <v>0.8155</v>
      </c>
      <c r="D7409" s="19" t="n">
        <v>0.7289</v>
      </c>
      <c r="E7409" s="20" t="n">
        <f aca="false">Parametres!$B$5*C7409</f>
        <v>244.65</v>
      </c>
      <c r="F7409" s="20" t="n">
        <f aca="false">Parametres!$B$6*D7409</f>
        <v>145.78</v>
      </c>
      <c r="G7409" s="20" t="n">
        <f aca="false">E7409+F7409</f>
        <v>390.43</v>
      </c>
      <c r="H7409" s="20" t="n">
        <f aca="false">IF(G7409&lt;Parametres!$B$8*Parametres!$B$7,0,MIN(G7409,Parametres!$B$7))</f>
        <v>250</v>
      </c>
      <c r="I7409" s="20" t="n">
        <f aca="false">G7409-H7409</f>
        <v>140.43</v>
      </c>
      <c r="J7409" s="21" t="n">
        <f aca="false">H7409*1000/Parametres!$B$9</f>
        <v>4239.44378497541</v>
      </c>
    </row>
    <row r="7410" customFormat="false" ht="15" hidden="false" customHeight="false" outlineLevel="0" collapsed="false">
      <c r="A7410" s="0" t="n">
        <v>7406</v>
      </c>
      <c r="B7410" s="0" t="n">
        <v>11</v>
      </c>
      <c r="C7410" s="19" t="n">
        <v>0.7777</v>
      </c>
      <c r="D7410" s="19" t="n">
        <v>0.7477</v>
      </c>
      <c r="E7410" s="20" t="n">
        <f aca="false">Parametres!$B$5*C7410</f>
        <v>233.31</v>
      </c>
      <c r="F7410" s="20" t="n">
        <f aca="false">Parametres!$B$6*D7410</f>
        <v>149.54</v>
      </c>
      <c r="G7410" s="20" t="n">
        <f aca="false">E7410+F7410</f>
        <v>382.85</v>
      </c>
      <c r="H7410" s="20" t="n">
        <f aca="false">IF(G7410&lt;Parametres!$B$8*Parametres!$B$7,0,MIN(G7410,Parametres!$B$7))</f>
        <v>250</v>
      </c>
      <c r="I7410" s="20" t="n">
        <f aca="false">G7410-H7410</f>
        <v>132.85</v>
      </c>
      <c r="J7410" s="21" t="n">
        <f aca="false">H7410*1000/Parametres!$B$9</f>
        <v>4239.44378497541</v>
      </c>
    </row>
    <row r="7411" customFormat="false" ht="15" hidden="false" customHeight="false" outlineLevel="0" collapsed="false">
      <c r="A7411" s="0" t="n">
        <v>7407</v>
      </c>
      <c r="B7411" s="0" t="n">
        <v>11</v>
      </c>
      <c r="C7411" s="19" t="n">
        <v>0.6384</v>
      </c>
      <c r="D7411" s="19" t="n">
        <v>0.9464</v>
      </c>
      <c r="E7411" s="20" t="n">
        <f aca="false">Parametres!$B$5*C7411</f>
        <v>191.52</v>
      </c>
      <c r="F7411" s="20" t="n">
        <f aca="false">Parametres!$B$6*D7411</f>
        <v>189.28</v>
      </c>
      <c r="G7411" s="20" t="n">
        <f aca="false">E7411+F7411</f>
        <v>380.8</v>
      </c>
      <c r="H7411" s="20" t="n">
        <f aca="false">IF(G7411&lt;Parametres!$B$8*Parametres!$B$7,0,MIN(G7411,Parametres!$B$7))</f>
        <v>250</v>
      </c>
      <c r="I7411" s="20" t="n">
        <f aca="false">G7411-H7411</f>
        <v>130.8</v>
      </c>
      <c r="J7411" s="21" t="n">
        <f aca="false">H7411*1000/Parametres!$B$9</f>
        <v>4239.44378497541</v>
      </c>
    </row>
    <row r="7412" customFormat="false" ht="15" hidden="false" customHeight="false" outlineLevel="0" collapsed="false">
      <c r="A7412" s="0" t="n">
        <v>7408</v>
      </c>
      <c r="B7412" s="0" t="n">
        <v>11</v>
      </c>
      <c r="C7412" s="19" t="n">
        <v>0.4257</v>
      </c>
      <c r="D7412" s="19" t="n">
        <v>0.998</v>
      </c>
      <c r="E7412" s="20" t="n">
        <f aca="false">Parametres!$B$5*C7412</f>
        <v>127.71</v>
      </c>
      <c r="F7412" s="20" t="n">
        <f aca="false">Parametres!$B$6*D7412</f>
        <v>199.6</v>
      </c>
      <c r="G7412" s="20" t="n">
        <f aca="false">E7412+F7412</f>
        <v>327.31</v>
      </c>
      <c r="H7412" s="20" t="n">
        <f aca="false">IF(G7412&lt;Parametres!$B$8*Parametres!$B$7,0,MIN(G7412,Parametres!$B$7))</f>
        <v>250</v>
      </c>
      <c r="I7412" s="20" t="n">
        <f aca="false">G7412-H7412</f>
        <v>77.31</v>
      </c>
      <c r="J7412" s="21" t="n">
        <f aca="false">H7412*1000/Parametres!$B$9</f>
        <v>4239.44378497541</v>
      </c>
    </row>
    <row r="7413" customFormat="false" ht="15" hidden="false" customHeight="false" outlineLevel="0" collapsed="false">
      <c r="A7413" s="0" t="n">
        <v>7409</v>
      </c>
      <c r="B7413" s="0" t="n">
        <v>11</v>
      </c>
      <c r="C7413" s="19" t="n">
        <v>0.2124</v>
      </c>
      <c r="D7413" s="19" t="n">
        <v>0.8495</v>
      </c>
      <c r="E7413" s="20" t="n">
        <f aca="false">Parametres!$B$5*C7413</f>
        <v>63.72</v>
      </c>
      <c r="F7413" s="20" t="n">
        <f aca="false">Parametres!$B$6*D7413</f>
        <v>169.9</v>
      </c>
      <c r="G7413" s="20" t="n">
        <f aca="false">E7413+F7413</f>
        <v>233.62</v>
      </c>
      <c r="H7413" s="20" t="n">
        <f aca="false">IF(G7413&lt;Parametres!$B$8*Parametres!$B$7,0,MIN(G7413,Parametres!$B$7))</f>
        <v>233.62</v>
      </c>
      <c r="I7413" s="20" t="n">
        <f aca="false">G7413-H7413</f>
        <v>0</v>
      </c>
      <c r="J7413" s="21" t="n">
        <f aca="false">H7413*1000/Parametres!$B$9</f>
        <v>3961.67542818382</v>
      </c>
    </row>
    <row r="7414" customFormat="false" ht="15" hidden="false" customHeight="false" outlineLevel="0" collapsed="false">
      <c r="A7414" s="0" t="n">
        <v>7410</v>
      </c>
      <c r="B7414" s="0" t="n">
        <v>11</v>
      </c>
      <c r="C7414" s="19" t="n">
        <v>0</v>
      </c>
      <c r="D7414" s="19" t="n">
        <v>1</v>
      </c>
      <c r="E7414" s="20" t="n">
        <f aca="false">Parametres!$B$5*C7414</f>
        <v>0</v>
      </c>
      <c r="F7414" s="20" t="n">
        <f aca="false">Parametres!$B$6*D7414</f>
        <v>200</v>
      </c>
      <c r="G7414" s="20" t="n">
        <f aca="false">E7414+F7414</f>
        <v>200</v>
      </c>
      <c r="H7414" s="20" t="n">
        <f aca="false">IF(G7414&lt;Parametres!$B$8*Parametres!$B$7,0,MIN(G7414,Parametres!$B$7))</f>
        <v>200</v>
      </c>
      <c r="I7414" s="20" t="n">
        <f aca="false">G7414-H7414</f>
        <v>0</v>
      </c>
      <c r="J7414" s="21" t="n">
        <f aca="false">H7414*1000/Parametres!$B$9</f>
        <v>3391.55502798033</v>
      </c>
    </row>
    <row r="7415" customFormat="false" ht="15" hidden="false" customHeight="false" outlineLevel="0" collapsed="false">
      <c r="A7415" s="0" t="n">
        <v>7411</v>
      </c>
      <c r="B7415" s="0" t="n">
        <v>11</v>
      </c>
      <c r="C7415" s="19" t="n">
        <v>0</v>
      </c>
      <c r="D7415" s="19" t="n">
        <v>0.9979</v>
      </c>
      <c r="E7415" s="20" t="n">
        <f aca="false">Parametres!$B$5*C7415</f>
        <v>0</v>
      </c>
      <c r="F7415" s="20" t="n">
        <f aca="false">Parametres!$B$6*D7415</f>
        <v>199.58</v>
      </c>
      <c r="G7415" s="20" t="n">
        <f aca="false">E7415+F7415</f>
        <v>199.58</v>
      </c>
      <c r="H7415" s="20" t="n">
        <f aca="false">IF(G7415&lt;Parametres!$B$8*Parametres!$B$7,0,MIN(G7415,Parametres!$B$7))</f>
        <v>199.58</v>
      </c>
      <c r="I7415" s="20" t="n">
        <f aca="false">G7415-H7415</f>
        <v>0</v>
      </c>
      <c r="J7415" s="21" t="n">
        <f aca="false">H7415*1000/Parametres!$B$9</f>
        <v>3384.43276242157</v>
      </c>
    </row>
    <row r="7416" customFormat="false" ht="15" hidden="false" customHeight="false" outlineLevel="0" collapsed="false">
      <c r="A7416" s="0" t="n">
        <v>7412</v>
      </c>
      <c r="B7416" s="0" t="n">
        <v>11</v>
      </c>
      <c r="C7416" s="19" t="n">
        <v>0</v>
      </c>
      <c r="D7416" s="19" t="n">
        <v>0.5511</v>
      </c>
      <c r="E7416" s="20" t="n">
        <f aca="false">Parametres!$B$5*C7416</f>
        <v>0</v>
      </c>
      <c r="F7416" s="20" t="n">
        <f aca="false">Parametres!$B$6*D7416</f>
        <v>110.22</v>
      </c>
      <c r="G7416" s="20" t="n">
        <f aca="false">E7416+F7416</f>
        <v>110.22</v>
      </c>
      <c r="H7416" s="20" t="n">
        <f aca="false">IF(G7416&lt;Parametres!$B$8*Parametres!$B$7,0,MIN(G7416,Parametres!$B$7))</f>
        <v>110.22</v>
      </c>
      <c r="I7416" s="20" t="n">
        <f aca="false">G7416-H7416</f>
        <v>0</v>
      </c>
      <c r="J7416" s="21" t="n">
        <f aca="false">H7416*1000/Parametres!$B$9</f>
        <v>1869.08597591996</v>
      </c>
    </row>
    <row r="7417" customFormat="false" ht="15" hidden="false" customHeight="false" outlineLevel="0" collapsed="false">
      <c r="A7417" s="0" t="n">
        <v>7413</v>
      </c>
      <c r="B7417" s="0" t="n">
        <v>11</v>
      </c>
      <c r="C7417" s="19" t="n">
        <v>0</v>
      </c>
      <c r="D7417" s="19" t="n">
        <v>0.5049</v>
      </c>
      <c r="E7417" s="20" t="n">
        <f aca="false">Parametres!$B$5*C7417</f>
        <v>0</v>
      </c>
      <c r="F7417" s="20" t="n">
        <f aca="false">Parametres!$B$6*D7417</f>
        <v>100.98</v>
      </c>
      <c r="G7417" s="20" t="n">
        <f aca="false">E7417+F7417</f>
        <v>100.98</v>
      </c>
      <c r="H7417" s="20" t="n">
        <f aca="false">IF(G7417&lt;Parametres!$B$8*Parametres!$B$7,0,MIN(G7417,Parametres!$B$7))</f>
        <v>100.98</v>
      </c>
      <c r="I7417" s="20" t="n">
        <f aca="false">G7417-H7417</f>
        <v>0</v>
      </c>
      <c r="J7417" s="21" t="n">
        <f aca="false">H7417*1000/Parametres!$B$9</f>
        <v>1712.39613362727</v>
      </c>
    </row>
    <row r="7418" customFormat="false" ht="15" hidden="false" customHeight="false" outlineLevel="0" collapsed="false">
      <c r="A7418" s="0" t="n">
        <v>7414</v>
      </c>
      <c r="B7418" s="0" t="n">
        <v>11</v>
      </c>
      <c r="C7418" s="19" t="n">
        <v>0</v>
      </c>
      <c r="D7418" s="19" t="n">
        <v>0.2391</v>
      </c>
      <c r="E7418" s="20" t="n">
        <f aca="false">Parametres!$B$5*C7418</f>
        <v>0</v>
      </c>
      <c r="F7418" s="20" t="n">
        <f aca="false">Parametres!$B$6*D7418</f>
        <v>47.82</v>
      </c>
      <c r="G7418" s="20" t="n">
        <f aca="false">E7418+F7418</f>
        <v>47.82</v>
      </c>
      <c r="H7418" s="20" t="n">
        <f aca="false">IF(G7418&lt;Parametres!$B$8*Parametres!$B$7,0,MIN(G7418,Parametres!$B$7))</f>
        <v>47.82</v>
      </c>
      <c r="I7418" s="20" t="n">
        <f aca="false">G7418-H7418</f>
        <v>0</v>
      </c>
      <c r="J7418" s="21" t="n">
        <f aca="false">H7418*1000/Parametres!$B$9</f>
        <v>810.920807190097</v>
      </c>
    </row>
    <row r="7419" customFormat="false" ht="15" hidden="false" customHeight="false" outlineLevel="0" collapsed="false">
      <c r="A7419" s="0" t="n">
        <v>7415</v>
      </c>
      <c r="B7419" s="0" t="n">
        <v>11</v>
      </c>
      <c r="C7419" s="19" t="n">
        <v>0</v>
      </c>
      <c r="D7419" s="19" t="n">
        <v>0.1668</v>
      </c>
      <c r="E7419" s="20" t="n">
        <f aca="false">Parametres!$B$5*C7419</f>
        <v>0</v>
      </c>
      <c r="F7419" s="20" t="n">
        <f aca="false">Parametres!$B$6*D7419</f>
        <v>33.36</v>
      </c>
      <c r="G7419" s="20" t="n">
        <f aca="false">E7419+F7419</f>
        <v>33.36</v>
      </c>
      <c r="H7419" s="20" t="n">
        <f aca="false">IF(G7419&lt;Parametres!$B$8*Parametres!$B$7,0,MIN(G7419,Parametres!$B$7))</f>
        <v>33.36</v>
      </c>
      <c r="I7419" s="20" t="n">
        <f aca="false">G7419-H7419</f>
        <v>0</v>
      </c>
      <c r="J7419" s="21" t="n">
        <f aca="false">H7419*1000/Parametres!$B$9</f>
        <v>565.711378667119</v>
      </c>
    </row>
    <row r="7420" customFormat="false" ht="15" hidden="false" customHeight="false" outlineLevel="0" collapsed="false">
      <c r="A7420" s="0" t="n">
        <v>7416</v>
      </c>
      <c r="B7420" s="0" t="n">
        <v>11</v>
      </c>
      <c r="C7420" s="19" t="n">
        <v>0</v>
      </c>
      <c r="D7420" s="19" t="n">
        <v>0.0932</v>
      </c>
      <c r="E7420" s="20" t="n">
        <f aca="false">Parametres!$B$5*C7420</f>
        <v>0</v>
      </c>
      <c r="F7420" s="20" t="n">
        <f aca="false">Parametres!$B$6*D7420</f>
        <v>18.64</v>
      </c>
      <c r="G7420" s="20" t="n">
        <f aca="false">E7420+F7420</f>
        <v>18.64</v>
      </c>
      <c r="H7420" s="20" t="n">
        <f aca="false">IF(G7420&lt;Parametres!$B$8*Parametres!$B$7,0,MIN(G7420,Parametres!$B$7))</f>
        <v>0</v>
      </c>
      <c r="I7420" s="20" t="n">
        <f aca="false">G7420-H7420</f>
        <v>18.64</v>
      </c>
      <c r="J7420" s="21" t="n">
        <f aca="false">H7420*1000/Parametres!$B$9</f>
        <v>0</v>
      </c>
    </row>
    <row r="7421" customFormat="false" ht="15" hidden="false" customHeight="false" outlineLevel="0" collapsed="false">
      <c r="A7421" s="0" t="n">
        <v>7417</v>
      </c>
      <c r="B7421" s="0" t="n">
        <v>11</v>
      </c>
      <c r="C7421" s="19" t="n">
        <v>0</v>
      </c>
      <c r="D7421" s="19" t="n">
        <v>0.0711</v>
      </c>
      <c r="E7421" s="20" t="n">
        <f aca="false">Parametres!$B$5*C7421</f>
        <v>0</v>
      </c>
      <c r="F7421" s="20" t="n">
        <f aca="false">Parametres!$B$6*D7421</f>
        <v>14.22</v>
      </c>
      <c r="G7421" s="20" t="n">
        <f aca="false">E7421+F7421</f>
        <v>14.22</v>
      </c>
      <c r="H7421" s="20" t="n">
        <f aca="false">IF(G7421&lt;Parametres!$B$8*Parametres!$B$7,0,MIN(G7421,Parametres!$B$7))</f>
        <v>0</v>
      </c>
      <c r="I7421" s="20" t="n">
        <f aca="false">G7421-H7421</f>
        <v>14.22</v>
      </c>
      <c r="J7421" s="21" t="n">
        <f aca="false">H7421*1000/Parametres!$B$9</f>
        <v>0</v>
      </c>
    </row>
    <row r="7422" customFormat="false" ht="15" hidden="false" customHeight="false" outlineLevel="0" collapsed="false">
      <c r="A7422" s="0" t="n">
        <v>7418</v>
      </c>
      <c r="B7422" s="0" t="n">
        <v>11</v>
      </c>
      <c r="C7422" s="19" t="n">
        <v>0</v>
      </c>
      <c r="D7422" s="19" t="n">
        <v>0.0744</v>
      </c>
      <c r="E7422" s="20" t="n">
        <f aca="false">Parametres!$B$5*C7422</f>
        <v>0</v>
      </c>
      <c r="F7422" s="20" t="n">
        <f aca="false">Parametres!$B$6*D7422</f>
        <v>14.88</v>
      </c>
      <c r="G7422" s="20" t="n">
        <f aca="false">E7422+F7422</f>
        <v>14.88</v>
      </c>
      <c r="H7422" s="20" t="n">
        <f aca="false">IF(G7422&lt;Parametres!$B$8*Parametres!$B$7,0,MIN(G7422,Parametres!$B$7))</f>
        <v>0</v>
      </c>
      <c r="I7422" s="20" t="n">
        <f aca="false">G7422-H7422</f>
        <v>14.88</v>
      </c>
      <c r="J7422" s="21" t="n">
        <f aca="false">H7422*1000/Parametres!$B$9</f>
        <v>0</v>
      </c>
    </row>
    <row r="7423" customFormat="false" ht="15" hidden="false" customHeight="false" outlineLevel="0" collapsed="false">
      <c r="A7423" s="0" t="n">
        <v>7419</v>
      </c>
      <c r="B7423" s="0" t="n">
        <v>11</v>
      </c>
      <c r="C7423" s="19" t="n">
        <v>0</v>
      </c>
      <c r="D7423" s="19" t="n">
        <v>0.101</v>
      </c>
      <c r="E7423" s="20" t="n">
        <f aca="false">Parametres!$B$5*C7423</f>
        <v>0</v>
      </c>
      <c r="F7423" s="20" t="n">
        <f aca="false">Parametres!$B$6*D7423</f>
        <v>20.2</v>
      </c>
      <c r="G7423" s="20" t="n">
        <f aca="false">E7423+F7423</f>
        <v>20.2</v>
      </c>
      <c r="H7423" s="20" t="n">
        <f aca="false">IF(G7423&lt;Parametres!$B$8*Parametres!$B$7,0,MIN(G7423,Parametres!$B$7))</f>
        <v>0</v>
      </c>
      <c r="I7423" s="20" t="n">
        <f aca="false">G7423-H7423</f>
        <v>20.2</v>
      </c>
      <c r="J7423" s="21" t="n">
        <f aca="false">H7423*1000/Parametres!$B$9</f>
        <v>0</v>
      </c>
    </row>
    <row r="7424" customFormat="false" ht="15" hidden="false" customHeight="false" outlineLevel="0" collapsed="false">
      <c r="A7424" s="0" t="n">
        <v>7420</v>
      </c>
      <c r="B7424" s="0" t="n">
        <v>11</v>
      </c>
      <c r="C7424" s="19" t="n">
        <v>0</v>
      </c>
      <c r="D7424" s="19" t="n">
        <v>0.0774</v>
      </c>
      <c r="E7424" s="20" t="n">
        <f aca="false">Parametres!$B$5*C7424</f>
        <v>0</v>
      </c>
      <c r="F7424" s="20" t="n">
        <f aca="false">Parametres!$B$6*D7424</f>
        <v>15.48</v>
      </c>
      <c r="G7424" s="20" t="n">
        <f aca="false">E7424+F7424</f>
        <v>15.48</v>
      </c>
      <c r="H7424" s="20" t="n">
        <f aca="false">IF(G7424&lt;Parametres!$B$8*Parametres!$B$7,0,MIN(G7424,Parametres!$B$7))</f>
        <v>0</v>
      </c>
      <c r="I7424" s="20" t="n">
        <f aca="false">G7424-H7424</f>
        <v>15.48</v>
      </c>
      <c r="J7424" s="21" t="n">
        <f aca="false">H7424*1000/Parametres!$B$9</f>
        <v>0</v>
      </c>
    </row>
    <row r="7425" customFormat="false" ht="15" hidden="false" customHeight="false" outlineLevel="0" collapsed="false">
      <c r="A7425" s="0" t="n">
        <v>7421</v>
      </c>
      <c r="B7425" s="0" t="n">
        <v>11</v>
      </c>
      <c r="C7425" s="19" t="n">
        <v>0</v>
      </c>
      <c r="D7425" s="19" t="n">
        <v>0.0796</v>
      </c>
      <c r="E7425" s="20" t="n">
        <f aca="false">Parametres!$B$5*C7425</f>
        <v>0</v>
      </c>
      <c r="F7425" s="20" t="n">
        <f aca="false">Parametres!$B$6*D7425</f>
        <v>15.92</v>
      </c>
      <c r="G7425" s="20" t="n">
        <f aca="false">E7425+F7425</f>
        <v>15.92</v>
      </c>
      <c r="H7425" s="20" t="n">
        <f aca="false">IF(G7425&lt;Parametres!$B$8*Parametres!$B$7,0,MIN(G7425,Parametres!$B$7))</f>
        <v>0</v>
      </c>
      <c r="I7425" s="20" t="n">
        <f aca="false">G7425-H7425</f>
        <v>15.92</v>
      </c>
      <c r="J7425" s="21" t="n">
        <f aca="false">H7425*1000/Parametres!$B$9</f>
        <v>0</v>
      </c>
    </row>
    <row r="7426" customFormat="false" ht="15" hidden="false" customHeight="false" outlineLevel="0" collapsed="false">
      <c r="A7426" s="0" t="n">
        <v>7422</v>
      </c>
      <c r="B7426" s="0" t="n">
        <v>11</v>
      </c>
      <c r="C7426" s="19" t="n">
        <v>0</v>
      </c>
      <c r="D7426" s="19" t="n">
        <v>0.0654</v>
      </c>
      <c r="E7426" s="20" t="n">
        <f aca="false">Parametres!$B$5*C7426</f>
        <v>0</v>
      </c>
      <c r="F7426" s="20" t="n">
        <f aca="false">Parametres!$B$6*D7426</f>
        <v>13.08</v>
      </c>
      <c r="G7426" s="20" t="n">
        <f aca="false">E7426+F7426</f>
        <v>13.08</v>
      </c>
      <c r="H7426" s="20" t="n">
        <f aca="false">IF(G7426&lt;Parametres!$B$8*Parametres!$B$7,0,MIN(G7426,Parametres!$B$7))</f>
        <v>0</v>
      </c>
      <c r="I7426" s="20" t="n">
        <f aca="false">G7426-H7426</f>
        <v>13.08</v>
      </c>
      <c r="J7426" s="21" t="n">
        <f aca="false">H7426*1000/Parametres!$B$9</f>
        <v>0</v>
      </c>
    </row>
    <row r="7427" customFormat="false" ht="15" hidden="false" customHeight="false" outlineLevel="0" collapsed="false">
      <c r="A7427" s="0" t="n">
        <v>7423</v>
      </c>
      <c r="B7427" s="0" t="n">
        <v>11</v>
      </c>
      <c r="C7427" s="19" t="n">
        <v>0</v>
      </c>
      <c r="D7427" s="19" t="n">
        <v>0.0839</v>
      </c>
      <c r="E7427" s="20" t="n">
        <f aca="false">Parametres!$B$5*C7427</f>
        <v>0</v>
      </c>
      <c r="F7427" s="20" t="n">
        <f aca="false">Parametres!$B$6*D7427</f>
        <v>16.78</v>
      </c>
      <c r="G7427" s="20" t="n">
        <f aca="false">E7427+F7427</f>
        <v>16.78</v>
      </c>
      <c r="H7427" s="20" t="n">
        <f aca="false">IF(G7427&lt;Parametres!$B$8*Parametres!$B$7,0,MIN(G7427,Parametres!$B$7))</f>
        <v>0</v>
      </c>
      <c r="I7427" s="20" t="n">
        <f aca="false">G7427-H7427</f>
        <v>16.78</v>
      </c>
      <c r="J7427" s="21" t="n">
        <f aca="false">H7427*1000/Parametres!$B$9</f>
        <v>0</v>
      </c>
    </row>
    <row r="7428" customFormat="false" ht="15" hidden="false" customHeight="false" outlineLevel="0" collapsed="false">
      <c r="A7428" s="0" t="n">
        <v>7424</v>
      </c>
      <c r="B7428" s="0" t="n">
        <v>11</v>
      </c>
      <c r="C7428" s="19" t="n">
        <v>0.2034</v>
      </c>
      <c r="D7428" s="19" t="n">
        <v>0.1479</v>
      </c>
      <c r="E7428" s="20" t="n">
        <f aca="false">Parametres!$B$5*C7428</f>
        <v>61.02</v>
      </c>
      <c r="F7428" s="20" t="n">
        <f aca="false">Parametres!$B$6*D7428</f>
        <v>29.58</v>
      </c>
      <c r="G7428" s="20" t="n">
        <f aca="false">E7428+F7428</f>
        <v>90.6</v>
      </c>
      <c r="H7428" s="20" t="n">
        <f aca="false">IF(G7428&lt;Parametres!$B$8*Parametres!$B$7,0,MIN(G7428,Parametres!$B$7))</f>
        <v>90.6</v>
      </c>
      <c r="I7428" s="20" t="n">
        <f aca="false">G7428-H7428</f>
        <v>0</v>
      </c>
      <c r="J7428" s="21" t="n">
        <f aca="false">H7428*1000/Parametres!$B$9</f>
        <v>1536.37442767509</v>
      </c>
    </row>
    <row r="7429" customFormat="false" ht="15" hidden="false" customHeight="false" outlineLevel="0" collapsed="false">
      <c r="A7429" s="0" t="n">
        <v>7425</v>
      </c>
      <c r="B7429" s="0" t="n">
        <v>11</v>
      </c>
      <c r="C7429" s="19" t="n">
        <v>0.4611</v>
      </c>
      <c r="D7429" s="19" t="n">
        <v>0.3001</v>
      </c>
      <c r="E7429" s="20" t="n">
        <f aca="false">Parametres!$B$5*C7429</f>
        <v>138.33</v>
      </c>
      <c r="F7429" s="20" t="n">
        <f aca="false">Parametres!$B$6*D7429</f>
        <v>60.02</v>
      </c>
      <c r="G7429" s="20" t="n">
        <f aca="false">E7429+F7429</f>
        <v>198.35</v>
      </c>
      <c r="H7429" s="20" t="n">
        <f aca="false">IF(G7429&lt;Parametres!$B$8*Parametres!$B$7,0,MIN(G7429,Parametres!$B$7))</f>
        <v>198.35</v>
      </c>
      <c r="I7429" s="20" t="n">
        <f aca="false">G7429-H7429</f>
        <v>0</v>
      </c>
      <c r="J7429" s="21" t="n">
        <f aca="false">H7429*1000/Parametres!$B$9</f>
        <v>3363.57469899949</v>
      </c>
    </row>
    <row r="7430" customFormat="false" ht="15" hidden="false" customHeight="false" outlineLevel="0" collapsed="false">
      <c r="A7430" s="0" t="n">
        <v>7426</v>
      </c>
      <c r="B7430" s="0" t="n">
        <v>11</v>
      </c>
      <c r="C7430" s="19" t="n">
        <v>0.7241</v>
      </c>
      <c r="D7430" s="19" t="n">
        <v>0.2404</v>
      </c>
      <c r="E7430" s="20" t="n">
        <f aca="false">Parametres!$B$5*C7430</f>
        <v>217.23</v>
      </c>
      <c r="F7430" s="20" t="n">
        <f aca="false">Parametres!$B$6*D7430</f>
        <v>48.08</v>
      </c>
      <c r="G7430" s="20" t="n">
        <f aca="false">E7430+F7430</f>
        <v>265.31</v>
      </c>
      <c r="H7430" s="20" t="n">
        <f aca="false">IF(G7430&lt;Parametres!$B$8*Parametres!$B$7,0,MIN(G7430,Parametres!$B$7))</f>
        <v>250</v>
      </c>
      <c r="I7430" s="20" t="n">
        <f aca="false">G7430-H7430</f>
        <v>15.31</v>
      </c>
      <c r="J7430" s="21" t="n">
        <f aca="false">H7430*1000/Parametres!$B$9</f>
        <v>4239.44378497541</v>
      </c>
    </row>
    <row r="7431" customFormat="false" ht="15" hidden="false" customHeight="false" outlineLevel="0" collapsed="false">
      <c r="A7431" s="0" t="n">
        <v>7427</v>
      </c>
      <c r="B7431" s="0" t="n">
        <v>11</v>
      </c>
      <c r="C7431" s="19" t="n">
        <v>0.8428</v>
      </c>
      <c r="D7431" s="19" t="n">
        <v>0.3789</v>
      </c>
      <c r="E7431" s="20" t="n">
        <f aca="false">Parametres!$B$5*C7431</f>
        <v>252.84</v>
      </c>
      <c r="F7431" s="20" t="n">
        <f aca="false">Parametres!$B$6*D7431</f>
        <v>75.78</v>
      </c>
      <c r="G7431" s="20" t="n">
        <f aca="false">E7431+F7431</f>
        <v>328.62</v>
      </c>
      <c r="H7431" s="20" t="n">
        <f aca="false">IF(G7431&lt;Parametres!$B$8*Parametres!$B$7,0,MIN(G7431,Parametres!$B$7))</f>
        <v>250</v>
      </c>
      <c r="I7431" s="20" t="n">
        <f aca="false">G7431-H7431</f>
        <v>78.62</v>
      </c>
      <c r="J7431" s="21" t="n">
        <f aca="false">H7431*1000/Parametres!$B$9</f>
        <v>4239.44378497541</v>
      </c>
    </row>
    <row r="7432" customFormat="false" ht="15" hidden="false" customHeight="false" outlineLevel="0" collapsed="false">
      <c r="A7432" s="0" t="n">
        <v>7428</v>
      </c>
      <c r="B7432" s="0" t="n">
        <v>11</v>
      </c>
      <c r="C7432" s="19" t="n">
        <v>0.963</v>
      </c>
      <c r="D7432" s="19" t="n">
        <v>0.3954</v>
      </c>
      <c r="E7432" s="20" t="n">
        <f aca="false">Parametres!$B$5*C7432</f>
        <v>288.9</v>
      </c>
      <c r="F7432" s="20" t="n">
        <f aca="false">Parametres!$B$6*D7432</f>
        <v>79.08</v>
      </c>
      <c r="G7432" s="20" t="n">
        <f aca="false">E7432+F7432</f>
        <v>367.98</v>
      </c>
      <c r="H7432" s="20" t="n">
        <f aca="false">IF(G7432&lt;Parametres!$B$8*Parametres!$B$7,0,MIN(G7432,Parametres!$B$7))</f>
        <v>250</v>
      </c>
      <c r="I7432" s="20" t="n">
        <f aca="false">G7432-H7432</f>
        <v>117.98</v>
      </c>
      <c r="J7432" s="21" t="n">
        <f aca="false">H7432*1000/Parametres!$B$9</f>
        <v>4239.44378497541</v>
      </c>
    </row>
    <row r="7433" customFormat="false" ht="15" hidden="false" customHeight="false" outlineLevel="0" collapsed="false">
      <c r="A7433" s="0" t="n">
        <v>7429</v>
      </c>
      <c r="B7433" s="0" t="n">
        <v>11</v>
      </c>
      <c r="C7433" s="19" t="n">
        <v>0.8462</v>
      </c>
      <c r="D7433" s="19" t="n">
        <v>0.4411</v>
      </c>
      <c r="E7433" s="20" t="n">
        <f aca="false">Parametres!$B$5*C7433</f>
        <v>253.86</v>
      </c>
      <c r="F7433" s="20" t="n">
        <f aca="false">Parametres!$B$6*D7433</f>
        <v>88.22</v>
      </c>
      <c r="G7433" s="20" t="n">
        <f aca="false">E7433+F7433</f>
        <v>342.08</v>
      </c>
      <c r="H7433" s="20" t="n">
        <f aca="false">IF(G7433&lt;Parametres!$B$8*Parametres!$B$7,0,MIN(G7433,Parametres!$B$7))</f>
        <v>250</v>
      </c>
      <c r="I7433" s="20" t="n">
        <f aca="false">G7433-H7433</f>
        <v>92.08</v>
      </c>
      <c r="J7433" s="21" t="n">
        <f aca="false">H7433*1000/Parametres!$B$9</f>
        <v>4239.44378497541</v>
      </c>
    </row>
    <row r="7434" customFormat="false" ht="15" hidden="false" customHeight="false" outlineLevel="0" collapsed="false">
      <c r="A7434" s="0" t="n">
        <v>7430</v>
      </c>
      <c r="B7434" s="0" t="n">
        <v>11</v>
      </c>
      <c r="C7434" s="19" t="n">
        <v>0.83</v>
      </c>
      <c r="D7434" s="19" t="n">
        <v>0.2018</v>
      </c>
      <c r="E7434" s="20" t="n">
        <f aca="false">Parametres!$B$5*C7434</f>
        <v>249</v>
      </c>
      <c r="F7434" s="20" t="n">
        <f aca="false">Parametres!$B$6*D7434</f>
        <v>40.36</v>
      </c>
      <c r="G7434" s="20" t="n">
        <f aca="false">E7434+F7434</f>
        <v>289.36</v>
      </c>
      <c r="H7434" s="20" t="n">
        <f aca="false">IF(G7434&lt;Parametres!$B$8*Parametres!$B$7,0,MIN(G7434,Parametres!$B$7))</f>
        <v>250</v>
      </c>
      <c r="I7434" s="20" t="n">
        <f aca="false">G7434-H7434</f>
        <v>39.36</v>
      </c>
      <c r="J7434" s="21" t="n">
        <f aca="false">H7434*1000/Parametres!$B$9</f>
        <v>4239.44378497541</v>
      </c>
    </row>
    <row r="7435" customFormat="false" ht="15" hidden="false" customHeight="false" outlineLevel="0" collapsed="false">
      <c r="A7435" s="0" t="n">
        <v>7431</v>
      </c>
      <c r="B7435" s="0" t="n">
        <v>11</v>
      </c>
      <c r="C7435" s="19" t="n">
        <v>0.6921</v>
      </c>
      <c r="D7435" s="19" t="n">
        <v>0.3396</v>
      </c>
      <c r="E7435" s="20" t="n">
        <f aca="false">Parametres!$B$5*C7435</f>
        <v>207.63</v>
      </c>
      <c r="F7435" s="20" t="n">
        <f aca="false">Parametres!$B$6*D7435</f>
        <v>67.92</v>
      </c>
      <c r="G7435" s="20" t="n">
        <f aca="false">E7435+F7435</f>
        <v>275.55</v>
      </c>
      <c r="H7435" s="20" t="n">
        <f aca="false">IF(G7435&lt;Parametres!$B$8*Parametres!$B$7,0,MIN(G7435,Parametres!$B$7))</f>
        <v>250</v>
      </c>
      <c r="I7435" s="20" t="n">
        <f aca="false">G7435-H7435</f>
        <v>25.55</v>
      </c>
      <c r="J7435" s="21" t="n">
        <f aca="false">H7435*1000/Parametres!$B$9</f>
        <v>4239.44378497541</v>
      </c>
    </row>
    <row r="7436" customFormat="false" ht="15" hidden="false" customHeight="false" outlineLevel="0" collapsed="false">
      <c r="A7436" s="0" t="n">
        <v>7432</v>
      </c>
      <c r="B7436" s="0" t="n">
        <v>11</v>
      </c>
      <c r="C7436" s="19" t="n">
        <v>0.4764</v>
      </c>
      <c r="D7436" s="19" t="n">
        <v>0.2307</v>
      </c>
      <c r="E7436" s="20" t="n">
        <f aca="false">Parametres!$B$5*C7436</f>
        <v>142.92</v>
      </c>
      <c r="F7436" s="20" t="n">
        <f aca="false">Parametres!$B$6*D7436</f>
        <v>46.14</v>
      </c>
      <c r="G7436" s="20" t="n">
        <f aca="false">E7436+F7436</f>
        <v>189.06</v>
      </c>
      <c r="H7436" s="20" t="n">
        <f aca="false">IF(G7436&lt;Parametres!$B$8*Parametres!$B$7,0,MIN(G7436,Parametres!$B$7))</f>
        <v>189.06</v>
      </c>
      <c r="I7436" s="20" t="n">
        <f aca="false">G7436-H7436</f>
        <v>0</v>
      </c>
      <c r="J7436" s="21" t="n">
        <f aca="false">H7436*1000/Parametres!$B$9</f>
        <v>3206.03696794981</v>
      </c>
    </row>
    <row r="7437" customFormat="false" ht="15" hidden="false" customHeight="false" outlineLevel="0" collapsed="false">
      <c r="A7437" s="0" t="n">
        <v>7433</v>
      </c>
      <c r="B7437" s="0" t="n">
        <v>11</v>
      </c>
      <c r="C7437" s="19" t="n">
        <v>0.208</v>
      </c>
      <c r="D7437" s="19" t="n">
        <v>0.1769</v>
      </c>
      <c r="E7437" s="20" t="n">
        <f aca="false">Parametres!$B$5*C7437</f>
        <v>62.4</v>
      </c>
      <c r="F7437" s="20" t="n">
        <f aca="false">Parametres!$B$6*D7437</f>
        <v>35.38</v>
      </c>
      <c r="G7437" s="20" t="n">
        <f aca="false">E7437+F7437</f>
        <v>97.78</v>
      </c>
      <c r="H7437" s="20" t="n">
        <f aca="false">IF(G7437&lt;Parametres!$B$8*Parametres!$B$7,0,MIN(G7437,Parametres!$B$7))</f>
        <v>97.78</v>
      </c>
      <c r="I7437" s="20" t="n">
        <f aca="false">G7437-H7437</f>
        <v>0</v>
      </c>
      <c r="J7437" s="21" t="n">
        <f aca="false">H7437*1000/Parametres!$B$9</f>
        <v>1658.13125317958</v>
      </c>
    </row>
    <row r="7438" customFormat="false" ht="15" hidden="false" customHeight="false" outlineLevel="0" collapsed="false">
      <c r="A7438" s="0" t="n">
        <v>7434</v>
      </c>
      <c r="B7438" s="0" t="n">
        <v>11</v>
      </c>
      <c r="C7438" s="19" t="n">
        <v>0</v>
      </c>
      <c r="D7438" s="19" t="n">
        <v>0.1601</v>
      </c>
      <c r="E7438" s="20" t="n">
        <f aca="false">Parametres!$B$5*C7438</f>
        <v>0</v>
      </c>
      <c r="F7438" s="20" t="n">
        <f aca="false">Parametres!$B$6*D7438</f>
        <v>32.02</v>
      </c>
      <c r="G7438" s="20" t="n">
        <f aca="false">E7438+F7438</f>
        <v>32.02</v>
      </c>
      <c r="H7438" s="20" t="n">
        <f aca="false">IF(G7438&lt;Parametres!$B$8*Parametres!$B$7,0,MIN(G7438,Parametres!$B$7))</f>
        <v>32.02</v>
      </c>
      <c r="I7438" s="20" t="n">
        <f aca="false">G7438-H7438</f>
        <v>0</v>
      </c>
      <c r="J7438" s="21" t="n">
        <f aca="false">H7438*1000/Parametres!$B$9</f>
        <v>542.987959979651</v>
      </c>
    </row>
    <row r="7439" customFormat="false" ht="15" hidden="false" customHeight="false" outlineLevel="0" collapsed="false">
      <c r="A7439" s="0" t="n">
        <v>7435</v>
      </c>
      <c r="B7439" s="0" t="n">
        <v>11</v>
      </c>
      <c r="C7439" s="19" t="n">
        <v>0</v>
      </c>
      <c r="D7439" s="19" t="n">
        <v>0.3673</v>
      </c>
      <c r="E7439" s="20" t="n">
        <f aca="false">Parametres!$B$5*C7439</f>
        <v>0</v>
      </c>
      <c r="F7439" s="20" t="n">
        <f aca="false">Parametres!$B$6*D7439</f>
        <v>73.46</v>
      </c>
      <c r="G7439" s="20" t="n">
        <f aca="false">E7439+F7439</f>
        <v>73.46</v>
      </c>
      <c r="H7439" s="20" t="n">
        <f aca="false">IF(G7439&lt;Parametres!$B$8*Parametres!$B$7,0,MIN(G7439,Parametres!$B$7))</f>
        <v>73.46</v>
      </c>
      <c r="I7439" s="20" t="n">
        <f aca="false">G7439-H7439</f>
        <v>0</v>
      </c>
      <c r="J7439" s="21" t="n">
        <f aca="false">H7439*1000/Parametres!$B$9</f>
        <v>1245.71816177718</v>
      </c>
    </row>
    <row r="7440" customFormat="false" ht="15" hidden="false" customHeight="false" outlineLevel="0" collapsed="false">
      <c r="A7440" s="0" t="n">
        <v>7436</v>
      </c>
      <c r="B7440" s="0" t="n">
        <v>11</v>
      </c>
      <c r="C7440" s="19" t="n">
        <v>0</v>
      </c>
      <c r="D7440" s="19" t="n">
        <v>0.1997</v>
      </c>
      <c r="E7440" s="20" t="n">
        <f aca="false">Parametres!$B$5*C7440</f>
        <v>0</v>
      </c>
      <c r="F7440" s="20" t="n">
        <f aca="false">Parametres!$B$6*D7440</f>
        <v>39.94</v>
      </c>
      <c r="G7440" s="20" t="n">
        <f aca="false">E7440+F7440</f>
        <v>39.94</v>
      </c>
      <c r="H7440" s="20" t="n">
        <f aca="false">IF(G7440&lt;Parametres!$B$8*Parametres!$B$7,0,MIN(G7440,Parametres!$B$7))</f>
        <v>39.94</v>
      </c>
      <c r="I7440" s="20" t="n">
        <f aca="false">G7440-H7440</f>
        <v>0</v>
      </c>
      <c r="J7440" s="21" t="n">
        <f aca="false">H7440*1000/Parametres!$B$9</f>
        <v>677.293539087672</v>
      </c>
    </row>
    <row r="7441" customFormat="false" ht="15" hidden="false" customHeight="false" outlineLevel="0" collapsed="false">
      <c r="A7441" s="0" t="n">
        <v>7437</v>
      </c>
      <c r="B7441" s="0" t="n">
        <v>11</v>
      </c>
      <c r="C7441" s="19" t="n">
        <v>0</v>
      </c>
      <c r="D7441" s="19" t="n">
        <v>0.1082</v>
      </c>
      <c r="E7441" s="20" t="n">
        <f aca="false">Parametres!$B$5*C7441</f>
        <v>0</v>
      </c>
      <c r="F7441" s="20" t="n">
        <f aca="false">Parametres!$B$6*D7441</f>
        <v>21.64</v>
      </c>
      <c r="G7441" s="20" t="n">
        <f aca="false">E7441+F7441</f>
        <v>21.64</v>
      </c>
      <c r="H7441" s="20" t="n">
        <f aca="false">IF(G7441&lt;Parametres!$B$8*Parametres!$B$7,0,MIN(G7441,Parametres!$B$7))</f>
        <v>0</v>
      </c>
      <c r="I7441" s="20" t="n">
        <f aca="false">G7441-H7441</f>
        <v>21.64</v>
      </c>
      <c r="J7441" s="21" t="n">
        <f aca="false">H7441*1000/Parametres!$B$9</f>
        <v>0</v>
      </c>
    </row>
    <row r="7442" customFormat="false" ht="15" hidden="false" customHeight="false" outlineLevel="0" collapsed="false">
      <c r="A7442" s="0" t="n">
        <v>7438</v>
      </c>
      <c r="B7442" s="0" t="n">
        <v>11</v>
      </c>
      <c r="C7442" s="19" t="n">
        <v>0</v>
      </c>
      <c r="D7442" s="19" t="n">
        <v>0.0378</v>
      </c>
      <c r="E7442" s="20" t="n">
        <f aca="false">Parametres!$B$5*C7442</f>
        <v>0</v>
      </c>
      <c r="F7442" s="20" t="n">
        <f aca="false">Parametres!$B$6*D7442</f>
        <v>7.56</v>
      </c>
      <c r="G7442" s="20" t="n">
        <f aca="false">E7442+F7442</f>
        <v>7.56</v>
      </c>
      <c r="H7442" s="20" t="n">
        <f aca="false">IF(G7442&lt;Parametres!$B$8*Parametres!$B$7,0,MIN(G7442,Parametres!$B$7))</f>
        <v>0</v>
      </c>
      <c r="I7442" s="20" t="n">
        <f aca="false">G7442-H7442</f>
        <v>7.56</v>
      </c>
      <c r="J7442" s="21" t="n">
        <f aca="false">H7442*1000/Parametres!$B$9</f>
        <v>0</v>
      </c>
    </row>
    <row r="7443" customFormat="false" ht="15" hidden="false" customHeight="false" outlineLevel="0" collapsed="false">
      <c r="A7443" s="0" t="n">
        <v>7439</v>
      </c>
      <c r="B7443" s="0" t="n">
        <v>11</v>
      </c>
      <c r="C7443" s="19" t="n">
        <v>0</v>
      </c>
      <c r="D7443" s="19" t="n">
        <v>0.0247</v>
      </c>
      <c r="E7443" s="20" t="n">
        <f aca="false">Parametres!$B$5*C7443</f>
        <v>0</v>
      </c>
      <c r="F7443" s="20" t="n">
        <f aca="false">Parametres!$B$6*D7443</f>
        <v>4.94</v>
      </c>
      <c r="G7443" s="20" t="n">
        <f aca="false">E7443+F7443</f>
        <v>4.94</v>
      </c>
      <c r="H7443" s="20" t="n">
        <f aca="false">IF(G7443&lt;Parametres!$B$8*Parametres!$B$7,0,MIN(G7443,Parametres!$B$7))</f>
        <v>0</v>
      </c>
      <c r="I7443" s="20" t="n">
        <f aca="false">G7443-H7443</f>
        <v>4.94</v>
      </c>
      <c r="J7443" s="21" t="n">
        <f aca="false">H7443*1000/Parametres!$B$9</f>
        <v>0</v>
      </c>
    </row>
    <row r="7444" customFormat="false" ht="15" hidden="false" customHeight="false" outlineLevel="0" collapsed="false">
      <c r="A7444" s="0" t="n">
        <v>7440</v>
      </c>
      <c r="B7444" s="0" t="n">
        <v>11</v>
      </c>
      <c r="C7444" s="19" t="n">
        <v>0</v>
      </c>
      <c r="D7444" s="19" t="n">
        <v>0.0134</v>
      </c>
      <c r="E7444" s="20" t="n">
        <f aca="false">Parametres!$B$5*C7444</f>
        <v>0</v>
      </c>
      <c r="F7444" s="20" t="n">
        <f aca="false">Parametres!$B$6*D7444</f>
        <v>2.68</v>
      </c>
      <c r="G7444" s="20" t="n">
        <f aca="false">E7444+F7444</f>
        <v>2.68</v>
      </c>
      <c r="H7444" s="20" t="n">
        <f aca="false">IF(G7444&lt;Parametres!$B$8*Parametres!$B$7,0,MIN(G7444,Parametres!$B$7))</f>
        <v>0</v>
      </c>
      <c r="I7444" s="20" t="n">
        <f aca="false">G7444-H7444</f>
        <v>2.68</v>
      </c>
      <c r="J7444" s="21" t="n">
        <f aca="false">H7444*1000/Parametres!$B$9</f>
        <v>0</v>
      </c>
    </row>
    <row r="7445" customFormat="false" ht="15" hidden="false" customHeight="false" outlineLevel="0" collapsed="false">
      <c r="A7445" s="0" t="n">
        <v>7441</v>
      </c>
      <c r="B7445" s="0" t="n">
        <v>11</v>
      </c>
      <c r="C7445" s="19" t="n">
        <v>0</v>
      </c>
      <c r="D7445" s="19" t="n">
        <v>0.0194</v>
      </c>
      <c r="E7445" s="20" t="n">
        <f aca="false">Parametres!$B$5*C7445</f>
        <v>0</v>
      </c>
      <c r="F7445" s="20" t="n">
        <f aca="false">Parametres!$B$6*D7445</f>
        <v>3.88</v>
      </c>
      <c r="G7445" s="20" t="n">
        <f aca="false">E7445+F7445</f>
        <v>3.88</v>
      </c>
      <c r="H7445" s="20" t="n">
        <f aca="false">IF(G7445&lt;Parametres!$B$8*Parametres!$B$7,0,MIN(G7445,Parametres!$B$7))</f>
        <v>0</v>
      </c>
      <c r="I7445" s="20" t="n">
        <f aca="false">G7445-H7445</f>
        <v>3.88</v>
      </c>
      <c r="J7445" s="21" t="n">
        <f aca="false">H7445*1000/Parametres!$B$9</f>
        <v>0</v>
      </c>
    </row>
    <row r="7446" customFormat="false" ht="15" hidden="false" customHeight="false" outlineLevel="0" collapsed="false">
      <c r="A7446" s="0" t="n">
        <v>7442</v>
      </c>
      <c r="B7446" s="0" t="n">
        <v>11</v>
      </c>
      <c r="C7446" s="19" t="n">
        <v>0</v>
      </c>
      <c r="D7446" s="19" t="n">
        <v>0.0196</v>
      </c>
      <c r="E7446" s="20" t="n">
        <f aca="false">Parametres!$B$5*C7446</f>
        <v>0</v>
      </c>
      <c r="F7446" s="20" t="n">
        <f aca="false">Parametres!$B$6*D7446</f>
        <v>3.92</v>
      </c>
      <c r="G7446" s="20" t="n">
        <f aca="false">E7446+F7446</f>
        <v>3.92</v>
      </c>
      <c r="H7446" s="20" t="n">
        <f aca="false">IF(G7446&lt;Parametres!$B$8*Parametres!$B$7,0,MIN(G7446,Parametres!$B$7))</f>
        <v>0</v>
      </c>
      <c r="I7446" s="20" t="n">
        <f aca="false">G7446-H7446</f>
        <v>3.92</v>
      </c>
      <c r="J7446" s="21" t="n">
        <f aca="false">H7446*1000/Parametres!$B$9</f>
        <v>0</v>
      </c>
    </row>
    <row r="7447" customFormat="false" ht="15" hidden="false" customHeight="false" outlineLevel="0" collapsed="false">
      <c r="A7447" s="0" t="n">
        <v>7443</v>
      </c>
      <c r="B7447" s="0" t="n">
        <v>11</v>
      </c>
      <c r="C7447" s="19" t="n">
        <v>0</v>
      </c>
      <c r="D7447" s="19" t="n">
        <v>0.0109</v>
      </c>
      <c r="E7447" s="20" t="n">
        <f aca="false">Parametres!$B$5*C7447</f>
        <v>0</v>
      </c>
      <c r="F7447" s="20" t="n">
        <f aca="false">Parametres!$B$6*D7447</f>
        <v>2.18</v>
      </c>
      <c r="G7447" s="20" t="n">
        <f aca="false">E7447+F7447</f>
        <v>2.18</v>
      </c>
      <c r="H7447" s="20" t="n">
        <f aca="false">IF(G7447&lt;Parametres!$B$8*Parametres!$B$7,0,MIN(G7447,Parametres!$B$7))</f>
        <v>0</v>
      </c>
      <c r="I7447" s="20" t="n">
        <f aca="false">G7447-H7447</f>
        <v>2.18</v>
      </c>
      <c r="J7447" s="21" t="n">
        <f aca="false">H7447*1000/Parametres!$B$9</f>
        <v>0</v>
      </c>
    </row>
    <row r="7448" customFormat="false" ht="15" hidden="false" customHeight="false" outlineLevel="0" collapsed="false">
      <c r="A7448" s="0" t="n">
        <v>7444</v>
      </c>
      <c r="B7448" s="0" t="n">
        <v>11</v>
      </c>
      <c r="C7448" s="19" t="n">
        <v>0</v>
      </c>
      <c r="D7448" s="19" t="n">
        <v>0.0133</v>
      </c>
      <c r="E7448" s="20" t="n">
        <f aca="false">Parametres!$B$5*C7448</f>
        <v>0</v>
      </c>
      <c r="F7448" s="20" t="n">
        <f aca="false">Parametres!$B$6*D7448</f>
        <v>2.66</v>
      </c>
      <c r="G7448" s="20" t="n">
        <f aca="false">E7448+F7448</f>
        <v>2.66</v>
      </c>
      <c r="H7448" s="20" t="n">
        <f aca="false">IF(G7448&lt;Parametres!$B$8*Parametres!$B$7,0,MIN(G7448,Parametres!$B$7))</f>
        <v>0</v>
      </c>
      <c r="I7448" s="20" t="n">
        <f aca="false">G7448-H7448</f>
        <v>2.66</v>
      </c>
      <c r="J7448" s="21" t="n">
        <f aca="false">H7448*1000/Parametres!$B$9</f>
        <v>0</v>
      </c>
    </row>
    <row r="7449" customFormat="false" ht="15" hidden="false" customHeight="false" outlineLevel="0" collapsed="false">
      <c r="A7449" s="0" t="n">
        <v>7445</v>
      </c>
      <c r="B7449" s="0" t="n">
        <v>11</v>
      </c>
      <c r="C7449" s="19" t="n">
        <v>0</v>
      </c>
      <c r="D7449" s="19" t="n">
        <v>0.0137</v>
      </c>
      <c r="E7449" s="20" t="n">
        <f aca="false">Parametres!$B$5*C7449</f>
        <v>0</v>
      </c>
      <c r="F7449" s="20" t="n">
        <f aca="false">Parametres!$B$6*D7449</f>
        <v>2.74</v>
      </c>
      <c r="G7449" s="20" t="n">
        <f aca="false">E7449+F7449</f>
        <v>2.74</v>
      </c>
      <c r="H7449" s="20" t="n">
        <f aca="false">IF(G7449&lt;Parametres!$B$8*Parametres!$B$7,0,MIN(G7449,Parametres!$B$7))</f>
        <v>0</v>
      </c>
      <c r="I7449" s="20" t="n">
        <f aca="false">G7449-H7449</f>
        <v>2.74</v>
      </c>
      <c r="J7449" s="21" t="n">
        <f aca="false">H7449*1000/Parametres!$B$9</f>
        <v>0</v>
      </c>
    </row>
    <row r="7450" customFormat="false" ht="15" hidden="false" customHeight="false" outlineLevel="0" collapsed="false">
      <c r="A7450" s="0" t="n">
        <v>7446</v>
      </c>
      <c r="B7450" s="0" t="n">
        <v>11</v>
      </c>
      <c r="C7450" s="19" t="n">
        <v>0</v>
      </c>
      <c r="D7450" s="19" t="n">
        <v>0.0204</v>
      </c>
      <c r="E7450" s="20" t="n">
        <f aca="false">Parametres!$B$5*C7450</f>
        <v>0</v>
      </c>
      <c r="F7450" s="20" t="n">
        <f aca="false">Parametres!$B$6*D7450</f>
        <v>4.08</v>
      </c>
      <c r="G7450" s="20" t="n">
        <f aca="false">E7450+F7450</f>
        <v>4.08</v>
      </c>
      <c r="H7450" s="20" t="n">
        <f aca="false">IF(G7450&lt;Parametres!$B$8*Parametres!$B$7,0,MIN(G7450,Parametres!$B$7))</f>
        <v>0</v>
      </c>
      <c r="I7450" s="20" t="n">
        <f aca="false">G7450-H7450</f>
        <v>4.08</v>
      </c>
      <c r="J7450" s="21" t="n">
        <f aca="false">H7450*1000/Parametres!$B$9</f>
        <v>0</v>
      </c>
    </row>
    <row r="7451" customFormat="false" ht="15" hidden="false" customHeight="false" outlineLevel="0" collapsed="false">
      <c r="A7451" s="0" t="n">
        <v>7447</v>
      </c>
      <c r="B7451" s="0" t="n">
        <v>11</v>
      </c>
      <c r="C7451" s="19" t="n">
        <v>0</v>
      </c>
      <c r="D7451" s="19" t="n">
        <v>0.0271</v>
      </c>
      <c r="E7451" s="20" t="n">
        <f aca="false">Parametres!$B$5*C7451</f>
        <v>0</v>
      </c>
      <c r="F7451" s="20" t="n">
        <f aca="false">Parametres!$B$6*D7451</f>
        <v>5.42</v>
      </c>
      <c r="G7451" s="20" t="n">
        <f aca="false">E7451+F7451</f>
        <v>5.42</v>
      </c>
      <c r="H7451" s="20" t="n">
        <f aca="false">IF(G7451&lt;Parametres!$B$8*Parametres!$B$7,0,MIN(G7451,Parametres!$B$7))</f>
        <v>0</v>
      </c>
      <c r="I7451" s="20" t="n">
        <f aca="false">G7451-H7451</f>
        <v>5.42</v>
      </c>
      <c r="J7451" s="21" t="n">
        <f aca="false">H7451*1000/Parametres!$B$9</f>
        <v>0</v>
      </c>
    </row>
    <row r="7452" customFormat="false" ht="15" hidden="false" customHeight="false" outlineLevel="0" collapsed="false">
      <c r="A7452" s="0" t="n">
        <v>7448</v>
      </c>
      <c r="B7452" s="0" t="n">
        <v>11</v>
      </c>
      <c r="C7452" s="19" t="n">
        <v>0.1698</v>
      </c>
      <c r="D7452" s="19" t="n">
        <v>0.0438</v>
      </c>
      <c r="E7452" s="20" t="n">
        <f aca="false">Parametres!$B$5*C7452</f>
        <v>50.94</v>
      </c>
      <c r="F7452" s="20" t="n">
        <f aca="false">Parametres!$B$6*D7452</f>
        <v>8.76</v>
      </c>
      <c r="G7452" s="20" t="n">
        <f aca="false">E7452+F7452</f>
        <v>59.7</v>
      </c>
      <c r="H7452" s="20" t="n">
        <f aca="false">IF(G7452&lt;Parametres!$B$8*Parametres!$B$7,0,MIN(G7452,Parametres!$B$7))</f>
        <v>59.7</v>
      </c>
      <c r="I7452" s="20" t="n">
        <f aca="false">G7452-H7452</f>
        <v>0</v>
      </c>
      <c r="J7452" s="21" t="n">
        <f aca="false">H7452*1000/Parametres!$B$9</f>
        <v>1012.37917585213</v>
      </c>
    </row>
    <row r="7453" customFormat="false" ht="15" hidden="false" customHeight="false" outlineLevel="0" collapsed="false">
      <c r="A7453" s="0" t="n">
        <v>7449</v>
      </c>
      <c r="B7453" s="0" t="n">
        <v>11</v>
      </c>
      <c r="C7453" s="19" t="n">
        <v>0.4024</v>
      </c>
      <c r="D7453" s="19" t="n">
        <v>0.0624</v>
      </c>
      <c r="E7453" s="20" t="n">
        <f aca="false">Parametres!$B$5*C7453</f>
        <v>120.72</v>
      </c>
      <c r="F7453" s="20" t="n">
        <f aca="false">Parametres!$B$6*D7453</f>
        <v>12.48</v>
      </c>
      <c r="G7453" s="20" t="n">
        <f aca="false">E7453+F7453</f>
        <v>133.2</v>
      </c>
      <c r="H7453" s="20" t="n">
        <f aca="false">IF(G7453&lt;Parametres!$B$8*Parametres!$B$7,0,MIN(G7453,Parametres!$B$7))</f>
        <v>133.2</v>
      </c>
      <c r="I7453" s="20" t="n">
        <f aca="false">G7453-H7453</f>
        <v>0</v>
      </c>
      <c r="J7453" s="21" t="n">
        <f aca="false">H7453*1000/Parametres!$B$9</f>
        <v>2258.7756486349</v>
      </c>
    </row>
    <row r="7454" customFormat="false" ht="15" hidden="false" customHeight="false" outlineLevel="0" collapsed="false">
      <c r="A7454" s="0" t="n">
        <v>7450</v>
      </c>
      <c r="B7454" s="0" t="n">
        <v>11</v>
      </c>
      <c r="C7454" s="19" t="n">
        <v>0.5928</v>
      </c>
      <c r="D7454" s="19" t="n">
        <v>0.1107</v>
      </c>
      <c r="E7454" s="20" t="n">
        <f aca="false">Parametres!$B$5*C7454</f>
        <v>177.84</v>
      </c>
      <c r="F7454" s="20" t="n">
        <f aca="false">Parametres!$B$6*D7454</f>
        <v>22.14</v>
      </c>
      <c r="G7454" s="20" t="n">
        <f aca="false">E7454+F7454</f>
        <v>199.98</v>
      </c>
      <c r="H7454" s="20" t="n">
        <f aca="false">IF(G7454&lt;Parametres!$B$8*Parametres!$B$7,0,MIN(G7454,Parametres!$B$7))</f>
        <v>199.98</v>
      </c>
      <c r="I7454" s="20" t="n">
        <f aca="false">G7454-H7454</f>
        <v>0</v>
      </c>
      <c r="J7454" s="21" t="n">
        <f aca="false">H7454*1000/Parametres!$B$9</f>
        <v>3391.21587247753</v>
      </c>
    </row>
    <row r="7455" customFormat="false" ht="15" hidden="false" customHeight="false" outlineLevel="0" collapsed="false">
      <c r="A7455" s="0" t="n">
        <v>7451</v>
      </c>
      <c r="B7455" s="0" t="n">
        <v>11</v>
      </c>
      <c r="C7455" s="19" t="n">
        <v>0.7676</v>
      </c>
      <c r="D7455" s="19" t="n">
        <v>0.0553</v>
      </c>
      <c r="E7455" s="20" t="n">
        <f aca="false">Parametres!$B$5*C7455</f>
        <v>230.28</v>
      </c>
      <c r="F7455" s="20" t="n">
        <f aca="false">Parametres!$B$6*D7455</f>
        <v>11.06</v>
      </c>
      <c r="G7455" s="20" t="n">
        <f aca="false">E7455+F7455</f>
        <v>241.34</v>
      </c>
      <c r="H7455" s="20" t="n">
        <f aca="false">IF(G7455&lt;Parametres!$B$8*Parametres!$B$7,0,MIN(G7455,Parametres!$B$7))</f>
        <v>241.34</v>
      </c>
      <c r="I7455" s="20" t="n">
        <f aca="false">G7455-H7455</f>
        <v>0</v>
      </c>
      <c r="J7455" s="21" t="n">
        <f aca="false">H7455*1000/Parametres!$B$9</f>
        <v>4092.58945226386</v>
      </c>
    </row>
    <row r="7456" customFormat="false" ht="15" hidden="false" customHeight="false" outlineLevel="0" collapsed="false">
      <c r="A7456" s="0" t="n">
        <v>7452</v>
      </c>
      <c r="B7456" s="0" t="n">
        <v>11</v>
      </c>
      <c r="C7456" s="19" t="n">
        <v>0.7938</v>
      </c>
      <c r="D7456" s="19" t="n">
        <v>0.0788</v>
      </c>
      <c r="E7456" s="20" t="n">
        <f aca="false">Parametres!$B$5*C7456</f>
        <v>238.14</v>
      </c>
      <c r="F7456" s="20" t="n">
        <f aca="false">Parametres!$B$6*D7456</f>
        <v>15.76</v>
      </c>
      <c r="G7456" s="20" t="n">
        <f aca="false">E7456+F7456</f>
        <v>253.9</v>
      </c>
      <c r="H7456" s="20" t="n">
        <f aca="false">IF(G7456&lt;Parametres!$B$8*Parametres!$B$7,0,MIN(G7456,Parametres!$B$7))</f>
        <v>250</v>
      </c>
      <c r="I7456" s="20" t="n">
        <f aca="false">G7456-H7456</f>
        <v>3.89999999999998</v>
      </c>
      <c r="J7456" s="21" t="n">
        <f aca="false">H7456*1000/Parametres!$B$9</f>
        <v>4239.44378497541</v>
      </c>
    </row>
    <row r="7457" customFormat="false" ht="15" hidden="false" customHeight="false" outlineLevel="0" collapsed="false">
      <c r="A7457" s="0" t="n">
        <v>7453</v>
      </c>
      <c r="B7457" s="0" t="n">
        <v>11</v>
      </c>
      <c r="C7457" s="19" t="n">
        <v>0.8097</v>
      </c>
      <c r="D7457" s="19" t="n">
        <v>0.1053</v>
      </c>
      <c r="E7457" s="20" t="n">
        <f aca="false">Parametres!$B$5*C7457</f>
        <v>242.91</v>
      </c>
      <c r="F7457" s="20" t="n">
        <f aca="false">Parametres!$B$6*D7457</f>
        <v>21.06</v>
      </c>
      <c r="G7457" s="20" t="n">
        <f aca="false">E7457+F7457</f>
        <v>263.97</v>
      </c>
      <c r="H7457" s="20" t="n">
        <f aca="false">IF(G7457&lt;Parametres!$B$8*Parametres!$B$7,0,MIN(G7457,Parametres!$B$7))</f>
        <v>250</v>
      </c>
      <c r="I7457" s="20" t="n">
        <f aca="false">G7457-H7457</f>
        <v>13.97</v>
      </c>
      <c r="J7457" s="21" t="n">
        <f aca="false">H7457*1000/Parametres!$B$9</f>
        <v>4239.44378497541</v>
      </c>
    </row>
    <row r="7458" customFormat="false" ht="15" hidden="false" customHeight="false" outlineLevel="0" collapsed="false">
      <c r="A7458" s="0" t="n">
        <v>7454</v>
      </c>
      <c r="B7458" s="0" t="n">
        <v>11</v>
      </c>
      <c r="C7458" s="19" t="n">
        <v>0.673</v>
      </c>
      <c r="D7458" s="19" t="n">
        <v>0.1025</v>
      </c>
      <c r="E7458" s="20" t="n">
        <f aca="false">Parametres!$B$5*C7458</f>
        <v>201.9</v>
      </c>
      <c r="F7458" s="20" t="n">
        <f aca="false">Parametres!$B$6*D7458</f>
        <v>20.5</v>
      </c>
      <c r="G7458" s="20" t="n">
        <f aca="false">E7458+F7458</f>
        <v>222.4</v>
      </c>
      <c r="H7458" s="20" t="n">
        <f aca="false">IF(G7458&lt;Parametres!$B$8*Parametres!$B$7,0,MIN(G7458,Parametres!$B$7))</f>
        <v>222.4</v>
      </c>
      <c r="I7458" s="20" t="n">
        <f aca="false">G7458-H7458</f>
        <v>0</v>
      </c>
      <c r="J7458" s="21" t="n">
        <f aca="false">H7458*1000/Parametres!$B$9</f>
        <v>3771.40919111413</v>
      </c>
    </row>
    <row r="7459" customFormat="false" ht="15" hidden="false" customHeight="false" outlineLevel="0" collapsed="false">
      <c r="A7459" s="0" t="n">
        <v>7455</v>
      </c>
      <c r="B7459" s="0" t="n">
        <v>11</v>
      </c>
      <c r="C7459" s="19" t="n">
        <v>0.5738</v>
      </c>
      <c r="D7459" s="19" t="n">
        <v>0.1535</v>
      </c>
      <c r="E7459" s="20" t="n">
        <f aca="false">Parametres!$B$5*C7459</f>
        <v>172.14</v>
      </c>
      <c r="F7459" s="20" t="n">
        <f aca="false">Parametres!$B$6*D7459</f>
        <v>30.7</v>
      </c>
      <c r="G7459" s="20" t="n">
        <f aca="false">E7459+F7459</f>
        <v>202.84</v>
      </c>
      <c r="H7459" s="20" t="n">
        <f aca="false">IF(G7459&lt;Parametres!$B$8*Parametres!$B$7,0,MIN(G7459,Parametres!$B$7))</f>
        <v>202.84</v>
      </c>
      <c r="I7459" s="20" t="n">
        <f aca="false">G7459-H7459</f>
        <v>0</v>
      </c>
      <c r="J7459" s="21" t="n">
        <f aca="false">H7459*1000/Parametres!$B$9</f>
        <v>3439.71510937765</v>
      </c>
    </row>
    <row r="7460" customFormat="false" ht="15" hidden="false" customHeight="false" outlineLevel="0" collapsed="false">
      <c r="A7460" s="0" t="n">
        <v>7456</v>
      </c>
      <c r="B7460" s="0" t="n">
        <v>11</v>
      </c>
      <c r="C7460" s="19" t="n">
        <v>0.4028</v>
      </c>
      <c r="D7460" s="19" t="n">
        <v>0.1186</v>
      </c>
      <c r="E7460" s="20" t="n">
        <f aca="false">Parametres!$B$5*C7460</f>
        <v>120.84</v>
      </c>
      <c r="F7460" s="20" t="n">
        <f aca="false">Parametres!$B$6*D7460</f>
        <v>23.72</v>
      </c>
      <c r="G7460" s="20" t="n">
        <f aca="false">E7460+F7460</f>
        <v>144.56</v>
      </c>
      <c r="H7460" s="20" t="n">
        <f aca="false">IF(G7460&lt;Parametres!$B$8*Parametres!$B$7,0,MIN(G7460,Parametres!$B$7))</f>
        <v>144.56</v>
      </c>
      <c r="I7460" s="20" t="n">
        <f aca="false">G7460-H7460</f>
        <v>0</v>
      </c>
      <c r="J7460" s="21" t="n">
        <f aca="false">H7460*1000/Parametres!$B$9</f>
        <v>2451.41597422418</v>
      </c>
    </row>
    <row r="7461" customFormat="false" ht="15" hidden="false" customHeight="false" outlineLevel="0" collapsed="false">
      <c r="A7461" s="0" t="n">
        <v>7457</v>
      </c>
      <c r="B7461" s="0" t="n">
        <v>11</v>
      </c>
      <c r="C7461" s="19" t="n">
        <v>0.1661</v>
      </c>
      <c r="D7461" s="19" t="n">
        <v>0.0337</v>
      </c>
      <c r="E7461" s="20" t="n">
        <f aca="false">Parametres!$B$5*C7461</f>
        <v>49.83</v>
      </c>
      <c r="F7461" s="20" t="n">
        <f aca="false">Parametres!$B$6*D7461</f>
        <v>6.74</v>
      </c>
      <c r="G7461" s="20" t="n">
        <f aca="false">E7461+F7461</f>
        <v>56.57</v>
      </c>
      <c r="H7461" s="20" t="n">
        <f aca="false">IF(G7461&lt;Parametres!$B$8*Parametres!$B$7,0,MIN(G7461,Parametres!$B$7))</f>
        <v>56.57</v>
      </c>
      <c r="I7461" s="20" t="n">
        <f aca="false">G7461-H7461</f>
        <v>0</v>
      </c>
      <c r="J7461" s="21" t="n">
        <f aca="false">H7461*1000/Parametres!$B$9</f>
        <v>959.301339664236</v>
      </c>
    </row>
    <row r="7462" customFormat="false" ht="15" hidden="false" customHeight="false" outlineLevel="0" collapsed="false">
      <c r="A7462" s="0" t="n">
        <v>7458</v>
      </c>
      <c r="B7462" s="0" t="n">
        <v>11</v>
      </c>
      <c r="C7462" s="19" t="n">
        <v>0</v>
      </c>
      <c r="D7462" s="19" t="n">
        <v>0.015</v>
      </c>
      <c r="E7462" s="20" t="n">
        <f aca="false">Parametres!$B$5*C7462</f>
        <v>0</v>
      </c>
      <c r="F7462" s="20" t="n">
        <f aca="false">Parametres!$B$6*D7462</f>
        <v>3</v>
      </c>
      <c r="G7462" s="20" t="n">
        <f aca="false">E7462+F7462</f>
        <v>3</v>
      </c>
      <c r="H7462" s="20" t="n">
        <f aca="false">IF(G7462&lt;Parametres!$B$8*Parametres!$B$7,0,MIN(G7462,Parametres!$B$7))</f>
        <v>0</v>
      </c>
      <c r="I7462" s="20" t="n">
        <f aca="false">G7462-H7462</f>
        <v>3</v>
      </c>
      <c r="J7462" s="21" t="n">
        <f aca="false">H7462*1000/Parametres!$B$9</f>
        <v>0</v>
      </c>
    </row>
    <row r="7463" customFormat="false" ht="15" hidden="false" customHeight="false" outlineLevel="0" collapsed="false">
      <c r="A7463" s="0" t="n">
        <v>7459</v>
      </c>
      <c r="B7463" s="0" t="n">
        <v>11</v>
      </c>
      <c r="C7463" s="19" t="n">
        <v>0</v>
      </c>
      <c r="D7463" s="19" t="n">
        <v>0.0199</v>
      </c>
      <c r="E7463" s="20" t="n">
        <f aca="false">Parametres!$B$5*C7463</f>
        <v>0</v>
      </c>
      <c r="F7463" s="20" t="n">
        <f aca="false">Parametres!$B$6*D7463</f>
        <v>3.98</v>
      </c>
      <c r="G7463" s="20" t="n">
        <f aca="false">E7463+F7463</f>
        <v>3.98</v>
      </c>
      <c r="H7463" s="20" t="n">
        <f aca="false">IF(G7463&lt;Parametres!$B$8*Parametres!$B$7,0,MIN(G7463,Parametres!$B$7))</f>
        <v>0</v>
      </c>
      <c r="I7463" s="20" t="n">
        <f aca="false">G7463-H7463</f>
        <v>3.98</v>
      </c>
      <c r="J7463" s="21" t="n">
        <f aca="false">H7463*1000/Parametres!$B$9</f>
        <v>0</v>
      </c>
    </row>
    <row r="7464" customFormat="false" ht="15" hidden="false" customHeight="false" outlineLevel="0" collapsed="false">
      <c r="A7464" s="0" t="n">
        <v>7460</v>
      </c>
      <c r="B7464" s="0" t="n">
        <v>11</v>
      </c>
      <c r="C7464" s="19" t="n">
        <v>0</v>
      </c>
      <c r="D7464" s="19" t="n">
        <v>0.033</v>
      </c>
      <c r="E7464" s="20" t="n">
        <f aca="false">Parametres!$B$5*C7464</f>
        <v>0</v>
      </c>
      <c r="F7464" s="20" t="n">
        <f aca="false">Parametres!$B$6*D7464</f>
        <v>6.6</v>
      </c>
      <c r="G7464" s="20" t="n">
        <f aca="false">E7464+F7464</f>
        <v>6.6</v>
      </c>
      <c r="H7464" s="20" t="n">
        <f aca="false">IF(G7464&lt;Parametres!$B$8*Parametres!$B$7,0,MIN(G7464,Parametres!$B$7))</f>
        <v>0</v>
      </c>
      <c r="I7464" s="20" t="n">
        <f aca="false">G7464-H7464</f>
        <v>6.6</v>
      </c>
      <c r="J7464" s="21" t="n">
        <f aca="false">H7464*1000/Parametres!$B$9</f>
        <v>0</v>
      </c>
    </row>
    <row r="7465" customFormat="false" ht="15" hidden="false" customHeight="false" outlineLevel="0" collapsed="false">
      <c r="A7465" s="0" t="n">
        <v>7461</v>
      </c>
      <c r="B7465" s="0" t="n">
        <v>11</v>
      </c>
      <c r="C7465" s="19" t="n">
        <v>0</v>
      </c>
      <c r="D7465" s="19" t="n">
        <v>0.0316</v>
      </c>
      <c r="E7465" s="20" t="n">
        <f aca="false">Parametres!$B$5*C7465</f>
        <v>0</v>
      </c>
      <c r="F7465" s="20" t="n">
        <f aca="false">Parametres!$B$6*D7465</f>
        <v>6.32</v>
      </c>
      <c r="G7465" s="20" t="n">
        <f aca="false">E7465+F7465</f>
        <v>6.32</v>
      </c>
      <c r="H7465" s="20" t="n">
        <f aca="false">IF(G7465&lt;Parametres!$B$8*Parametres!$B$7,0,MIN(G7465,Parametres!$B$7))</f>
        <v>0</v>
      </c>
      <c r="I7465" s="20" t="n">
        <f aca="false">G7465-H7465</f>
        <v>6.32</v>
      </c>
      <c r="J7465" s="21" t="n">
        <f aca="false">H7465*1000/Parametres!$B$9</f>
        <v>0</v>
      </c>
    </row>
    <row r="7466" customFormat="false" ht="15" hidden="false" customHeight="false" outlineLevel="0" collapsed="false">
      <c r="A7466" s="0" t="n">
        <v>7462</v>
      </c>
      <c r="B7466" s="0" t="n">
        <v>11</v>
      </c>
      <c r="C7466" s="19" t="n">
        <v>0</v>
      </c>
      <c r="D7466" s="19" t="n">
        <v>0.013</v>
      </c>
      <c r="E7466" s="20" t="n">
        <f aca="false">Parametres!$B$5*C7466</f>
        <v>0</v>
      </c>
      <c r="F7466" s="20" t="n">
        <f aca="false">Parametres!$B$6*D7466</f>
        <v>2.6</v>
      </c>
      <c r="G7466" s="20" t="n">
        <f aca="false">E7466+F7466</f>
        <v>2.6</v>
      </c>
      <c r="H7466" s="20" t="n">
        <f aca="false">IF(G7466&lt;Parametres!$B$8*Parametres!$B$7,0,MIN(G7466,Parametres!$B$7))</f>
        <v>0</v>
      </c>
      <c r="I7466" s="20" t="n">
        <f aca="false">G7466-H7466</f>
        <v>2.6</v>
      </c>
      <c r="J7466" s="21" t="n">
        <f aca="false">H7466*1000/Parametres!$B$9</f>
        <v>0</v>
      </c>
    </row>
    <row r="7467" customFormat="false" ht="15" hidden="false" customHeight="false" outlineLevel="0" collapsed="false">
      <c r="A7467" s="0" t="n">
        <v>7463</v>
      </c>
      <c r="B7467" s="0" t="n">
        <v>11</v>
      </c>
      <c r="C7467" s="19" t="n">
        <v>0</v>
      </c>
      <c r="D7467" s="19" t="n">
        <v>0.0135</v>
      </c>
      <c r="E7467" s="20" t="n">
        <f aca="false">Parametres!$B$5*C7467</f>
        <v>0</v>
      </c>
      <c r="F7467" s="20" t="n">
        <f aca="false">Parametres!$B$6*D7467</f>
        <v>2.7</v>
      </c>
      <c r="G7467" s="20" t="n">
        <f aca="false">E7467+F7467</f>
        <v>2.7</v>
      </c>
      <c r="H7467" s="20" t="n">
        <f aca="false">IF(G7467&lt;Parametres!$B$8*Parametres!$B$7,0,MIN(G7467,Parametres!$B$7))</f>
        <v>0</v>
      </c>
      <c r="I7467" s="20" t="n">
        <f aca="false">G7467-H7467</f>
        <v>2.7</v>
      </c>
      <c r="J7467" s="21" t="n">
        <f aca="false">H7467*1000/Parametres!$B$9</f>
        <v>0</v>
      </c>
    </row>
    <row r="7468" customFormat="false" ht="15" hidden="false" customHeight="false" outlineLevel="0" collapsed="false">
      <c r="A7468" s="0" t="n">
        <v>7464</v>
      </c>
      <c r="B7468" s="0" t="n">
        <v>11</v>
      </c>
      <c r="C7468" s="19" t="n">
        <v>0</v>
      </c>
      <c r="D7468" s="19" t="n">
        <v>0.0168</v>
      </c>
      <c r="E7468" s="20" t="n">
        <f aca="false">Parametres!$B$5*C7468</f>
        <v>0</v>
      </c>
      <c r="F7468" s="20" t="n">
        <f aca="false">Parametres!$B$6*D7468</f>
        <v>3.36</v>
      </c>
      <c r="G7468" s="20" t="n">
        <f aca="false">E7468+F7468</f>
        <v>3.36</v>
      </c>
      <c r="H7468" s="20" t="n">
        <f aca="false">IF(G7468&lt;Parametres!$B$8*Parametres!$B$7,0,MIN(G7468,Parametres!$B$7))</f>
        <v>0</v>
      </c>
      <c r="I7468" s="20" t="n">
        <f aca="false">G7468-H7468</f>
        <v>3.36</v>
      </c>
      <c r="J7468" s="21" t="n">
        <f aca="false">H7468*1000/Parametres!$B$9</f>
        <v>0</v>
      </c>
    </row>
    <row r="7469" customFormat="false" ht="15" hidden="false" customHeight="false" outlineLevel="0" collapsed="false">
      <c r="A7469" s="0" t="n">
        <v>7465</v>
      </c>
      <c r="B7469" s="0" t="n">
        <v>11</v>
      </c>
      <c r="C7469" s="19" t="n">
        <v>0</v>
      </c>
      <c r="D7469" s="19" t="n">
        <v>0.016</v>
      </c>
      <c r="E7469" s="20" t="n">
        <f aca="false">Parametres!$B$5*C7469</f>
        <v>0</v>
      </c>
      <c r="F7469" s="20" t="n">
        <f aca="false">Parametres!$B$6*D7469</f>
        <v>3.2</v>
      </c>
      <c r="G7469" s="20" t="n">
        <f aca="false">E7469+F7469</f>
        <v>3.2</v>
      </c>
      <c r="H7469" s="20" t="n">
        <f aca="false">IF(G7469&lt;Parametres!$B$8*Parametres!$B$7,0,MIN(G7469,Parametres!$B$7))</f>
        <v>0</v>
      </c>
      <c r="I7469" s="20" t="n">
        <f aca="false">G7469-H7469</f>
        <v>3.2</v>
      </c>
      <c r="J7469" s="21" t="n">
        <f aca="false">H7469*1000/Parametres!$B$9</f>
        <v>0</v>
      </c>
    </row>
    <row r="7470" customFormat="false" ht="15" hidden="false" customHeight="false" outlineLevel="0" collapsed="false">
      <c r="A7470" s="0" t="n">
        <v>7466</v>
      </c>
      <c r="B7470" s="0" t="n">
        <v>11</v>
      </c>
      <c r="C7470" s="19" t="n">
        <v>0</v>
      </c>
      <c r="D7470" s="19" t="n">
        <v>0.0122</v>
      </c>
      <c r="E7470" s="20" t="n">
        <f aca="false">Parametres!$B$5*C7470</f>
        <v>0</v>
      </c>
      <c r="F7470" s="20" t="n">
        <f aca="false">Parametres!$B$6*D7470</f>
        <v>2.44</v>
      </c>
      <c r="G7470" s="20" t="n">
        <f aca="false">E7470+F7470</f>
        <v>2.44</v>
      </c>
      <c r="H7470" s="20" t="n">
        <f aca="false">IF(G7470&lt;Parametres!$B$8*Parametres!$B$7,0,MIN(G7470,Parametres!$B$7))</f>
        <v>0</v>
      </c>
      <c r="I7470" s="20" t="n">
        <f aca="false">G7470-H7470</f>
        <v>2.44</v>
      </c>
      <c r="J7470" s="21" t="n">
        <f aca="false">H7470*1000/Parametres!$B$9</f>
        <v>0</v>
      </c>
    </row>
    <row r="7471" customFormat="false" ht="15" hidden="false" customHeight="false" outlineLevel="0" collapsed="false">
      <c r="A7471" s="0" t="n">
        <v>7467</v>
      </c>
      <c r="B7471" s="0" t="n">
        <v>11</v>
      </c>
      <c r="C7471" s="19" t="n">
        <v>0</v>
      </c>
      <c r="D7471" s="19" t="n">
        <v>0.012</v>
      </c>
      <c r="E7471" s="20" t="n">
        <f aca="false">Parametres!$B$5*C7471</f>
        <v>0</v>
      </c>
      <c r="F7471" s="20" t="n">
        <f aca="false">Parametres!$B$6*D7471</f>
        <v>2.4</v>
      </c>
      <c r="G7471" s="20" t="n">
        <f aca="false">E7471+F7471</f>
        <v>2.4</v>
      </c>
      <c r="H7471" s="20" t="n">
        <f aca="false">IF(G7471&lt;Parametres!$B$8*Parametres!$B$7,0,MIN(G7471,Parametres!$B$7))</f>
        <v>0</v>
      </c>
      <c r="I7471" s="20" t="n">
        <f aca="false">G7471-H7471</f>
        <v>2.4</v>
      </c>
      <c r="J7471" s="21" t="n">
        <f aca="false">H7471*1000/Parametres!$B$9</f>
        <v>0</v>
      </c>
    </row>
    <row r="7472" customFormat="false" ht="15" hidden="false" customHeight="false" outlineLevel="0" collapsed="false">
      <c r="A7472" s="0" t="n">
        <v>7468</v>
      </c>
      <c r="B7472" s="0" t="n">
        <v>11</v>
      </c>
      <c r="C7472" s="19" t="n">
        <v>0</v>
      </c>
      <c r="D7472" s="19" t="n">
        <v>0.0058</v>
      </c>
      <c r="E7472" s="20" t="n">
        <f aca="false">Parametres!$B$5*C7472</f>
        <v>0</v>
      </c>
      <c r="F7472" s="20" t="n">
        <f aca="false">Parametres!$B$6*D7472</f>
        <v>1.16</v>
      </c>
      <c r="G7472" s="20" t="n">
        <f aca="false">E7472+F7472</f>
        <v>1.16</v>
      </c>
      <c r="H7472" s="20" t="n">
        <f aca="false">IF(G7472&lt;Parametres!$B$8*Parametres!$B$7,0,MIN(G7472,Parametres!$B$7))</f>
        <v>0</v>
      </c>
      <c r="I7472" s="20" t="n">
        <f aca="false">G7472-H7472</f>
        <v>1.16</v>
      </c>
      <c r="J7472" s="21" t="n">
        <f aca="false">H7472*1000/Parametres!$B$9</f>
        <v>0</v>
      </c>
    </row>
    <row r="7473" customFormat="false" ht="15" hidden="false" customHeight="false" outlineLevel="0" collapsed="false">
      <c r="A7473" s="0" t="n">
        <v>7469</v>
      </c>
      <c r="B7473" s="0" t="n">
        <v>11</v>
      </c>
      <c r="C7473" s="19" t="n">
        <v>0</v>
      </c>
      <c r="D7473" s="19" t="n">
        <v>0.0081</v>
      </c>
      <c r="E7473" s="20" t="n">
        <f aca="false">Parametres!$B$5*C7473</f>
        <v>0</v>
      </c>
      <c r="F7473" s="20" t="n">
        <f aca="false">Parametres!$B$6*D7473</f>
        <v>1.62</v>
      </c>
      <c r="G7473" s="20" t="n">
        <f aca="false">E7473+F7473</f>
        <v>1.62</v>
      </c>
      <c r="H7473" s="20" t="n">
        <f aca="false">IF(G7473&lt;Parametres!$B$8*Parametres!$B$7,0,MIN(G7473,Parametres!$B$7))</f>
        <v>0</v>
      </c>
      <c r="I7473" s="20" t="n">
        <f aca="false">G7473-H7473</f>
        <v>1.62</v>
      </c>
      <c r="J7473" s="21" t="n">
        <f aca="false">H7473*1000/Parametres!$B$9</f>
        <v>0</v>
      </c>
    </row>
    <row r="7474" customFormat="false" ht="15" hidden="false" customHeight="false" outlineLevel="0" collapsed="false">
      <c r="A7474" s="0" t="n">
        <v>7470</v>
      </c>
      <c r="B7474" s="0" t="n">
        <v>11</v>
      </c>
      <c r="C7474" s="19" t="n">
        <v>0</v>
      </c>
      <c r="D7474" s="19" t="n">
        <v>0.0069</v>
      </c>
      <c r="E7474" s="20" t="n">
        <f aca="false">Parametres!$B$5*C7474</f>
        <v>0</v>
      </c>
      <c r="F7474" s="20" t="n">
        <f aca="false">Parametres!$B$6*D7474</f>
        <v>1.38</v>
      </c>
      <c r="G7474" s="20" t="n">
        <f aca="false">E7474+F7474</f>
        <v>1.38</v>
      </c>
      <c r="H7474" s="20" t="n">
        <f aca="false">IF(G7474&lt;Parametres!$B$8*Parametres!$B$7,0,MIN(G7474,Parametres!$B$7))</f>
        <v>0</v>
      </c>
      <c r="I7474" s="20" t="n">
        <f aca="false">G7474-H7474</f>
        <v>1.38</v>
      </c>
      <c r="J7474" s="21" t="n">
        <f aca="false">H7474*1000/Parametres!$B$9</f>
        <v>0</v>
      </c>
    </row>
    <row r="7475" customFormat="false" ht="15" hidden="false" customHeight="false" outlineLevel="0" collapsed="false">
      <c r="A7475" s="0" t="n">
        <v>7471</v>
      </c>
      <c r="B7475" s="0" t="n">
        <v>11</v>
      </c>
      <c r="C7475" s="19" t="n">
        <v>0</v>
      </c>
      <c r="D7475" s="19" t="n">
        <v>0.0129</v>
      </c>
      <c r="E7475" s="20" t="n">
        <f aca="false">Parametres!$B$5*C7475</f>
        <v>0</v>
      </c>
      <c r="F7475" s="20" t="n">
        <f aca="false">Parametres!$B$6*D7475</f>
        <v>2.58</v>
      </c>
      <c r="G7475" s="20" t="n">
        <f aca="false">E7475+F7475</f>
        <v>2.58</v>
      </c>
      <c r="H7475" s="20" t="n">
        <f aca="false">IF(G7475&lt;Parametres!$B$8*Parametres!$B$7,0,MIN(G7475,Parametres!$B$7))</f>
        <v>0</v>
      </c>
      <c r="I7475" s="20" t="n">
        <f aca="false">G7475-H7475</f>
        <v>2.58</v>
      </c>
      <c r="J7475" s="21" t="n">
        <f aca="false">H7475*1000/Parametres!$B$9</f>
        <v>0</v>
      </c>
    </row>
    <row r="7476" customFormat="false" ht="15" hidden="false" customHeight="false" outlineLevel="0" collapsed="false">
      <c r="A7476" s="0" t="n">
        <v>7472</v>
      </c>
      <c r="B7476" s="0" t="n">
        <v>11</v>
      </c>
      <c r="C7476" s="19" t="n">
        <v>0.1989</v>
      </c>
      <c r="D7476" s="19" t="n">
        <v>0.0125</v>
      </c>
      <c r="E7476" s="20" t="n">
        <f aca="false">Parametres!$B$5*C7476</f>
        <v>59.67</v>
      </c>
      <c r="F7476" s="20" t="n">
        <f aca="false">Parametres!$B$6*D7476</f>
        <v>2.5</v>
      </c>
      <c r="G7476" s="20" t="n">
        <f aca="false">E7476+F7476</f>
        <v>62.17</v>
      </c>
      <c r="H7476" s="20" t="n">
        <f aca="false">IF(G7476&lt;Parametres!$B$8*Parametres!$B$7,0,MIN(G7476,Parametres!$B$7))</f>
        <v>62.17</v>
      </c>
      <c r="I7476" s="20" t="n">
        <f aca="false">G7476-H7476</f>
        <v>0</v>
      </c>
      <c r="J7476" s="21" t="n">
        <f aca="false">H7476*1000/Parametres!$B$9</f>
        <v>1054.26488044769</v>
      </c>
    </row>
    <row r="7477" customFormat="false" ht="15" hidden="false" customHeight="false" outlineLevel="0" collapsed="false">
      <c r="A7477" s="0" t="n">
        <v>7473</v>
      </c>
      <c r="B7477" s="0" t="n">
        <v>11</v>
      </c>
      <c r="C7477" s="19" t="n">
        <v>0.4613</v>
      </c>
      <c r="D7477" s="19" t="n">
        <v>0.001</v>
      </c>
      <c r="E7477" s="20" t="n">
        <f aca="false">Parametres!$B$5*C7477</f>
        <v>138.39</v>
      </c>
      <c r="F7477" s="20" t="n">
        <f aca="false">Parametres!$B$6*D7477</f>
        <v>0.2</v>
      </c>
      <c r="G7477" s="20" t="n">
        <f aca="false">E7477+F7477</f>
        <v>138.59</v>
      </c>
      <c r="H7477" s="20" t="n">
        <f aca="false">IF(G7477&lt;Parametres!$B$8*Parametres!$B$7,0,MIN(G7477,Parametres!$B$7))</f>
        <v>138.59</v>
      </c>
      <c r="I7477" s="20" t="n">
        <f aca="false">G7477-H7477</f>
        <v>0</v>
      </c>
      <c r="J7477" s="21" t="n">
        <f aca="false">H7477*1000/Parametres!$B$9</f>
        <v>2350.17805663897</v>
      </c>
    </row>
    <row r="7478" customFormat="false" ht="15" hidden="false" customHeight="false" outlineLevel="0" collapsed="false">
      <c r="A7478" s="0" t="n">
        <v>7474</v>
      </c>
      <c r="B7478" s="0" t="n">
        <v>11</v>
      </c>
      <c r="C7478" s="19" t="n">
        <v>0.7002</v>
      </c>
      <c r="D7478" s="19" t="n">
        <v>0.0011</v>
      </c>
      <c r="E7478" s="20" t="n">
        <f aca="false">Parametres!$B$5*C7478</f>
        <v>210.06</v>
      </c>
      <c r="F7478" s="20" t="n">
        <f aca="false">Parametres!$B$6*D7478</f>
        <v>0.22</v>
      </c>
      <c r="G7478" s="20" t="n">
        <f aca="false">E7478+F7478</f>
        <v>210.28</v>
      </c>
      <c r="H7478" s="20" t="n">
        <f aca="false">IF(G7478&lt;Parametres!$B$8*Parametres!$B$7,0,MIN(G7478,Parametres!$B$7))</f>
        <v>210.28</v>
      </c>
      <c r="I7478" s="20" t="n">
        <f aca="false">G7478-H7478</f>
        <v>0</v>
      </c>
      <c r="J7478" s="21" t="n">
        <f aca="false">H7478*1000/Parametres!$B$9</f>
        <v>3565.88095641852</v>
      </c>
    </row>
    <row r="7479" customFormat="false" ht="15" hidden="false" customHeight="false" outlineLevel="0" collapsed="false">
      <c r="A7479" s="0" t="n">
        <v>7475</v>
      </c>
      <c r="B7479" s="0" t="n">
        <v>11</v>
      </c>
      <c r="C7479" s="19" t="n">
        <v>0.8314</v>
      </c>
      <c r="D7479" s="19" t="n">
        <v>0.0046</v>
      </c>
      <c r="E7479" s="20" t="n">
        <f aca="false">Parametres!$B$5*C7479</f>
        <v>249.42</v>
      </c>
      <c r="F7479" s="20" t="n">
        <f aca="false">Parametres!$B$6*D7479</f>
        <v>0.92</v>
      </c>
      <c r="G7479" s="20" t="n">
        <f aca="false">E7479+F7479</f>
        <v>250.34</v>
      </c>
      <c r="H7479" s="20" t="n">
        <f aca="false">IF(G7479&lt;Parametres!$B$8*Parametres!$B$7,0,MIN(G7479,Parametres!$B$7))</f>
        <v>250</v>
      </c>
      <c r="I7479" s="20" t="n">
        <f aca="false">G7479-H7479</f>
        <v>0.340000000000003</v>
      </c>
      <c r="J7479" s="21" t="n">
        <f aca="false">H7479*1000/Parametres!$B$9</f>
        <v>4239.44378497541</v>
      </c>
    </row>
    <row r="7480" customFormat="false" ht="15" hidden="false" customHeight="false" outlineLevel="0" collapsed="false">
      <c r="A7480" s="0" t="n">
        <v>7476</v>
      </c>
      <c r="B7480" s="0" t="n">
        <v>11</v>
      </c>
      <c r="C7480" s="19" t="n">
        <v>0.9061</v>
      </c>
      <c r="D7480" s="19" t="n">
        <v>0.0066</v>
      </c>
      <c r="E7480" s="20" t="n">
        <f aca="false">Parametres!$B$5*C7480</f>
        <v>271.83</v>
      </c>
      <c r="F7480" s="20" t="n">
        <f aca="false">Parametres!$B$6*D7480</f>
        <v>1.32</v>
      </c>
      <c r="G7480" s="20" t="n">
        <f aca="false">E7480+F7480</f>
        <v>273.15</v>
      </c>
      <c r="H7480" s="20" t="n">
        <f aca="false">IF(G7480&lt;Parametres!$B$8*Parametres!$B$7,0,MIN(G7480,Parametres!$B$7))</f>
        <v>250</v>
      </c>
      <c r="I7480" s="20" t="n">
        <f aca="false">G7480-H7480</f>
        <v>23.15</v>
      </c>
      <c r="J7480" s="21" t="n">
        <f aca="false">H7480*1000/Parametres!$B$9</f>
        <v>4239.44378497541</v>
      </c>
    </row>
    <row r="7481" customFormat="false" ht="15" hidden="false" customHeight="false" outlineLevel="0" collapsed="false">
      <c r="A7481" s="0" t="n">
        <v>7477</v>
      </c>
      <c r="B7481" s="0" t="n">
        <v>11</v>
      </c>
      <c r="C7481" s="19" t="n">
        <v>0.9582</v>
      </c>
      <c r="D7481" s="19" t="n">
        <v>0.0267</v>
      </c>
      <c r="E7481" s="20" t="n">
        <f aca="false">Parametres!$B$5*C7481</f>
        <v>287.46</v>
      </c>
      <c r="F7481" s="20" t="n">
        <f aca="false">Parametres!$B$6*D7481</f>
        <v>5.34</v>
      </c>
      <c r="G7481" s="20" t="n">
        <f aca="false">E7481+F7481</f>
        <v>292.8</v>
      </c>
      <c r="H7481" s="20" t="n">
        <f aca="false">IF(G7481&lt;Parametres!$B$8*Parametres!$B$7,0,MIN(G7481,Parametres!$B$7))</f>
        <v>250</v>
      </c>
      <c r="I7481" s="20" t="n">
        <f aca="false">G7481-H7481</f>
        <v>42.8</v>
      </c>
      <c r="J7481" s="21" t="n">
        <f aca="false">H7481*1000/Parametres!$B$9</f>
        <v>4239.44378497541</v>
      </c>
    </row>
    <row r="7482" customFormat="false" ht="15" hidden="false" customHeight="false" outlineLevel="0" collapsed="false">
      <c r="A7482" s="0" t="n">
        <v>7478</v>
      </c>
      <c r="B7482" s="0" t="n">
        <v>11</v>
      </c>
      <c r="C7482" s="19" t="n">
        <v>0.907</v>
      </c>
      <c r="D7482" s="19" t="n">
        <v>0.0165</v>
      </c>
      <c r="E7482" s="20" t="n">
        <f aca="false">Parametres!$B$5*C7482</f>
        <v>272.1</v>
      </c>
      <c r="F7482" s="20" t="n">
        <f aca="false">Parametres!$B$6*D7482</f>
        <v>3.3</v>
      </c>
      <c r="G7482" s="20" t="n">
        <f aca="false">E7482+F7482</f>
        <v>275.4</v>
      </c>
      <c r="H7482" s="20" t="n">
        <f aca="false">IF(G7482&lt;Parametres!$B$8*Parametres!$B$7,0,MIN(G7482,Parametres!$B$7))</f>
        <v>250</v>
      </c>
      <c r="I7482" s="20" t="n">
        <f aca="false">G7482-H7482</f>
        <v>25.4</v>
      </c>
      <c r="J7482" s="21" t="n">
        <f aca="false">H7482*1000/Parametres!$B$9</f>
        <v>4239.44378497541</v>
      </c>
    </row>
    <row r="7483" customFormat="false" ht="15" hidden="false" customHeight="false" outlineLevel="0" collapsed="false">
      <c r="A7483" s="0" t="n">
        <v>7479</v>
      </c>
      <c r="B7483" s="0" t="n">
        <v>11</v>
      </c>
      <c r="C7483" s="19" t="n">
        <v>0.7196</v>
      </c>
      <c r="D7483" s="19" t="n">
        <v>0.0489</v>
      </c>
      <c r="E7483" s="20" t="n">
        <f aca="false">Parametres!$B$5*C7483</f>
        <v>215.88</v>
      </c>
      <c r="F7483" s="20" t="n">
        <f aca="false">Parametres!$B$6*D7483</f>
        <v>9.78</v>
      </c>
      <c r="G7483" s="20" t="n">
        <f aca="false">E7483+F7483</f>
        <v>225.66</v>
      </c>
      <c r="H7483" s="20" t="n">
        <f aca="false">IF(G7483&lt;Parametres!$B$8*Parametres!$B$7,0,MIN(G7483,Parametres!$B$7))</f>
        <v>225.66</v>
      </c>
      <c r="I7483" s="20" t="n">
        <f aca="false">G7483-H7483</f>
        <v>0</v>
      </c>
      <c r="J7483" s="21" t="n">
        <f aca="false">H7483*1000/Parametres!$B$9</f>
        <v>3826.69153807021</v>
      </c>
    </row>
    <row r="7484" customFormat="false" ht="15" hidden="false" customHeight="false" outlineLevel="0" collapsed="false">
      <c r="A7484" s="0" t="n">
        <v>7480</v>
      </c>
      <c r="B7484" s="0" t="n">
        <v>11</v>
      </c>
      <c r="C7484" s="19" t="n">
        <v>0.4823</v>
      </c>
      <c r="D7484" s="19" t="n">
        <v>0.0657</v>
      </c>
      <c r="E7484" s="20" t="n">
        <f aca="false">Parametres!$B$5*C7484</f>
        <v>144.69</v>
      </c>
      <c r="F7484" s="20" t="n">
        <f aca="false">Parametres!$B$6*D7484</f>
        <v>13.14</v>
      </c>
      <c r="G7484" s="20" t="n">
        <f aca="false">E7484+F7484</f>
        <v>157.83</v>
      </c>
      <c r="H7484" s="20" t="n">
        <f aca="false">IF(G7484&lt;Parametres!$B$8*Parametres!$B$7,0,MIN(G7484,Parametres!$B$7))</f>
        <v>157.83</v>
      </c>
      <c r="I7484" s="20" t="n">
        <f aca="false">G7484-H7484</f>
        <v>0</v>
      </c>
      <c r="J7484" s="21" t="n">
        <f aca="false">H7484*1000/Parametres!$B$9</f>
        <v>2676.44565033068</v>
      </c>
    </row>
    <row r="7485" customFormat="false" ht="15" hidden="false" customHeight="false" outlineLevel="0" collapsed="false">
      <c r="A7485" s="0" t="n">
        <v>7481</v>
      </c>
      <c r="B7485" s="0" t="n">
        <v>11</v>
      </c>
      <c r="C7485" s="19" t="n">
        <v>0.1988</v>
      </c>
      <c r="D7485" s="19" t="n">
        <v>0.1528</v>
      </c>
      <c r="E7485" s="20" t="n">
        <f aca="false">Parametres!$B$5*C7485</f>
        <v>59.64</v>
      </c>
      <c r="F7485" s="20" t="n">
        <f aca="false">Parametres!$B$6*D7485</f>
        <v>30.56</v>
      </c>
      <c r="G7485" s="20" t="n">
        <f aca="false">E7485+F7485</f>
        <v>90.2</v>
      </c>
      <c r="H7485" s="20" t="n">
        <f aca="false">IF(G7485&lt;Parametres!$B$8*Parametres!$B$7,0,MIN(G7485,Parametres!$B$7))</f>
        <v>90.2</v>
      </c>
      <c r="I7485" s="20" t="n">
        <f aca="false">G7485-H7485</f>
        <v>0</v>
      </c>
      <c r="J7485" s="21" t="n">
        <f aca="false">H7485*1000/Parametres!$B$9</f>
        <v>1529.59131761913</v>
      </c>
    </row>
    <row r="7486" customFormat="false" ht="15" hidden="false" customHeight="false" outlineLevel="0" collapsed="false">
      <c r="A7486" s="0" t="n">
        <v>7482</v>
      </c>
      <c r="B7486" s="0" t="n">
        <v>11</v>
      </c>
      <c r="C7486" s="19" t="n">
        <v>0</v>
      </c>
      <c r="D7486" s="19" t="n">
        <v>0.2477</v>
      </c>
      <c r="E7486" s="20" t="n">
        <f aca="false">Parametres!$B$5*C7486</f>
        <v>0</v>
      </c>
      <c r="F7486" s="20" t="n">
        <f aca="false">Parametres!$B$6*D7486</f>
        <v>49.54</v>
      </c>
      <c r="G7486" s="20" t="n">
        <f aca="false">E7486+F7486</f>
        <v>49.54</v>
      </c>
      <c r="H7486" s="20" t="n">
        <f aca="false">IF(G7486&lt;Parametres!$B$8*Parametres!$B$7,0,MIN(G7486,Parametres!$B$7))</f>
        <v>49.54</v>
      </c>
      <c r="I7486" s="20" t="n">
        <f aca="false">G7486-H7486</f>
        <v>0</v>
      </c>
      <c r="J7486" s="21" t="n">
        <f aca="false">H7486*1000/Parametres!$B$9</f>
        <v>840.088180430728</v>
      </c>
    </row>
    <row r="7487" customFormat="false" ht="15" hidden="false" customHeight="false" outlineLevel="0" collapsed="false">
      <c r="A7487" s="0" t="n">
        <v>7483</v>
      </c>
      <c r="B7487" s="0" t="n">
        <v>11</v>
      </c>
      <c r="C7487" s="19" t="n">
        <v>0</v>
      </c>
      <c r="D7487" s="19" t="n">
        <v>0.116</v>
      </c>
      <c r="E7487" s="20" t="n">
        <f aca="false">Parametres!$B$5*C7487</f>
        <v>0</v>
      </c>
      <c r="F7487" s="20" t="n">
        <f aca="false">Parametres!$B$6*D7487</f>
        <v>23.2</v>
      </c>
      <c r="G7487" s="20" t="n">
        <f aca="false">E7487+F7487</f>
        <v>23.2</v>
      </c>
      <c r="H7487" s="20" t="n">
        <f aca="false">IF(G7487&lt;Parametres!$B$8*Parametres!$B$7,0,MIN(G7487,Parametres!$B$7))</f>
        <v>0</v>
      </c>
      <c r="I7487" s="20" t="n">
        <f aca="false">G7487-H7487</f>
        <v>23.2</v>
      </c>
      <c r="J7487" s="21" t="n">
        <f aca="false">H7487*1000/Parametres!$B$9</f>
        <v>0</v>
      </c>
    </row>
    <row r="7488" customFormat="false" ht="15" hidden="false" customHeight="false" outlineLevel="0" collapsed="false">
      <c r="A7488" s="0" t="n">
        <v>7484</v>
      </c>
      <c r="B7488" s="0" t="n">
        <v>11</v>
      </c>
      <c r="C7488" s="19" t="n">
        <v>0</v>
      </c>
      <c r="D7488" s="19" t="n">
        <v>0.0688</v>
      </c>
      <c r="E7488" s="20" t="n">
        <f aca="false">Parametres!$B$5*C7488</f>
        <v>0</v>
      </c>
      <c r="F7488" s="20" t="n">
        <f aca="false">Parametres!$B$6*D7488</f>
        <v>13.76</v>
      </c>
      <c r="G7488" s="20" t="n">
        <f aca="false">E7488+F7488</f>
        <v>13.76</v>
      </c>
      <c r="H7488" s="20" t="n">
        <f aca="false">IF(G7488&lt;Parametres!$B$8*Parametres!$B$7,0,MIN(G7488,Parametres!$B$7))</f>
        <v>0</v>
      </c>
      <c r="I7488" s="20" t="n">
        <f aca="false">G7488-H7488</f>
        <v>13.76</v>
      </c>
      <c r="J7488" s="21" t="n">
        <f aca="false">H7488*1000/Parametres!$B$9</f>
        <v>0</v>
      </c>
    </row>
    <row r="7489" customFormat="false" ht="15" hidden="false" customHeight="false" outlineLevel="0" collapsed="false">
      <c r="A7489" s="0" t="n">
        <v>7485</v>
      </c>
      <c r="B7489" s="0" t="n">
        <v>11</v>
      </c>
      <c r="C7489" s="19" t="n">
        <v>0</v>
      </c>
      <c r="D7489" s="19" t="n">
        <v>0.0897</v>
      </c>
      <c r="E7489" s="20" t="n">
        <f aca="false">Parametres!$B$5*C7489</f>
        <v>0</v>
      </c>
      <c r="F7489" s="20" t="n">
        <f aca="false">Parametres!$B$6*D7489</f>
        <v>17.94</v>
      </c>
      <c r="G7489" s="20" t="n">
        <f aca="false">E7489+F7489</f>
        <v>17.94</v>
      </c>
      <c r="H7489" s="20" t="n">
        <f aca="false">IF(G7489&lt;Parametres!$B$8*Parametres!$B$7,0,MIN(G7489,Parametres!$B$7))</f>
        <v>0</v>
      </c>
      <c r="I7489" s="20" t="n">
        <f aca="false">G7489-H7489</f>
        <v>17.94</v>
      </c>
      <c r="J7489" s="21" t="n">
        <f aca="false">H7489*1000/Parametres!$B$9</f>
        <v>0</v>
      </c>
    </row>
    <row r="7490" customFormat="false" ht="15" hidden="false" customHeight="false" outlineLevel="0" collapsed="false">
      <c r="A7490" s="0" t="n">
        <v>7486</v>
      </c>
      <c r="B7490" s="0" t="n">
        <v>11</v>
      </c>
      <c r="C7490" s="19" t="n">
        <v>0</v>
      </c>
      <c r="D7490" s="19" t="n">
        <v>0.1343</v>
      </c>
      <c r="E7490" s="20" t="n">
        <f aca="false">Parametres!$B$5*C7490</f>
        <v>0</v>
      </c>
      <c r="F7490" s="20" t="n">
        <f aca="false">Parametres!$B$6*D7490</f>
        <v>26.86</v>
      </c>
      <c r="G7490" s="20" t="n">
        <f aca="false">E7490+F7490</f>
        <v>26.86</v>
      </c>
      <c r="H7490" s="20" t="n">
        <f aca="false">IF(G7490&lt;Parametres!$B$8*Parametres!$B$7,0,MIN(G7490,Parametres!$B$7))</f>
        <v>26.86</v>
      </c>
      <c r="I7490" s="20" t="n">
        <f aca="false">G7490-H7490</f>
        <v>0</v>
      </c>
      <c r="J7490" s="21" t="n">
        <f aca="false">H7490*1000/Parametres!$B$9</f>
        <v>455.485840257758</v>
      </c>
    </row>
    <row r="7491" customFormat="false" ht="15" hidden="false" customHeight="false" outlineLevel="0" collapsed="false">
      <c r="A7491" s="0" t="n">
        <v>7487</v>
      </c>
      <c r="B7491" s="0" t="n">
        <v>11</v>
      </c>
      <c r="C7491" s="19" t="n">
        <v>0</v>
      </c>
      <c r="D7491" s="19" t="n">
        <v>0.1832</v>
      </c>
      <c r="E7491" s="20" t="n">
        <f aca="false">Parametres!$B$5*C7491</f>
        <v>0</v>
      </c>
      <c r="F7491" s="20" t="n">
        <f aca="false">Parametres!$B$6*D7491</f>
        <v>36.64</v>
      </c>
      <c r="G7491" s="20" t="n">
        <f aca="false">E7491+F7491</f>
        <v>36.64</v>
      </c>
      <c r="H7491" s="20" t="n">
        <f aca="false">IF(G7491&lt;Parametres!$B$8*Parametres!$B$7,0,MIN(G7491,Parametres!$B$7))</f>
        <v>36.64</v>
      </c>
      <c r="I7491" s="20" t="n">
        <f aca="false">G7491-H7491</f>
        <v>0</v>
      </c>
      <c r="J7491" s="21" t="n">
        <f aca="false">H7491*1000/Parametres!$B$9</f>
        <v>621.332881125996</v>
      </c>
    </row>
    <row r="7492" customFormat="false" ht="15" hidden="false" customHeight="false" outlineLevel="0" collapsed="false">
      <c r="A7492" s="0" t="n">
        <v>7488</v>
      </c>
      <c r="B7492" s="0" t="n">
        <v>11</v>
      </c>
      <c r="C7492" s="19" t="n">
        <v>0</v>
      </c>
      <c r="D7492" s="19" t="n">
        <v>0.1041</v>
      </c>
      <c r="E7492" s="20" t="n">
        <f aca="false">Parametres!$B$5*C7492</f>
        <v>0</v>
      </c>
      <c r="F7492" s="20" t="n">
        <f aca="false">Parametres!$B$6*D7492</f>
        <v>20.82</v>
      </c>
      <c r="G7492" s="20" t="n">
        <f aca="false">E7492+F7492</f>
        <v>20.82</v>
      </c>
      <c r="H7492" s="20" t="n">
        <f aca="false">IF(G7492&lt;Parametres!$B$8*Parametres!$B$7,0,MIN(G7492,Parametres!$B$7))</f>
        <v>0</v>
      </c>
      <c r="I7492" s="20" t="n">
        <f aca="false">G7492-H7492</f>
        <v>20.82</v>
      </c>
      <c r="J7492" s="21" t="n">
        <f aca="false">H7492*1000/Parametres!$B$9</f>
        <v>0</v>
      </c>
    </row>
    <row r="7493" customFormat="false" ht="15" hidden="false" customHeight="false" outlineLevel="0" collapsed="false">
      <c r="A7493" s="0" t="n">
        <v>7489</v>
      </c>
      <c r="B7493" s="0" t="n">
        <v>11</v>
      </c>
      <c r="C7493" s="19" t="n">
        <v>0</v>
      </c>
      <c r="D7493" s="19" t="n">
        <v>0.1125</v>
      </c>
      <c r="E7493" s="20" t="n">
        <f aca="false">Parametres!$B$5*C7493</f>
        <v>0</v>
      </c>
      <c r="F7493" s="20" t="n">
        <f aca="false">Parametres!$B$6*D7493</f>
        <v>22.5</v>
      </c>
      <c r="G7493" s="20" t="n">
        <f aca="false">E7493+F7493</f>
        <v>22.5</v>
      </c>
      <c r="H7493" s="20" t="n">
        <f aca="false">IF(G7493&lt;Parametres!$B$8*Parametres!$B$7,0,MIN(G7493,Parametres!$B$7))</f>
        <v>0</v>
      </c>
      <c r="I7493" s="20" t="n">
        <f aca="false">G7493-H7493</f>
        <v>22.5</v>
      </c>
      <c r="J7493" s="21" t="n">
        <f aca="false">H7493*1000/Parametres!$B$9</f>
        <v>0</v>
      </c>
    </row>
    <row r="7494" customFormat="false" ht="15" hidden="false" customHeight="false" outlineLevel="0" collapsed="false">
      <c r="A7494" s="0" t="n">
        <v>7490</v>
      </c>
      <c r="B7494" s="0" t="n">
        <v>11</v>
      </c>
      <c r="C7494" s="19" t="n">
        <v>0</v>
      </c>
      <c r="D7494" s="19" t="n">
        <v>0.0795</v>
      </c>
      <c r="E7494" s="20" t="n">
        <f aca="false">Parametres!$B$5*C7494</f>
        <v>0</v>
      </c>
      <c r="F7494" s="20" t="n">
        <f aca="false">Parametres!$B$6*D7494</f>
        <v>15.9</v>
      </c>
      <c r="G7494" s="20" t="n">
        <f aca="false">E7494+F7494</f>
        <v>15.9</v>
      </c>
      <c r="H7494" s="20" t="n">
        <f aca="false">IF(G7494&lt;Parametres!$B$8*Parametres!$B$7,0,MIN(G7494,Parametres!$B$7))</f>
        <v>0</v>
      </c>
      <c r="I7494" s="20" t="n">
        <f aca="false">G7494-H7494</f>
        <v>15.9</v>
      </c>
      <c r="J7494" s="21" t="n">
        <f aca="false">H7494*1000/Parametres!$B$9</f>
        <v>0</v>
      </c>
    </row>
    <row r="7495" customFormat="false" ht="15" hidden="false" customHeight="false" outlineLevel="0" collapsed="false">
      <c r="A7495" s="0" t="n">
        <v>7491</v>
      </c>
      <c r="B7495" s="0" t="n">
        <v>11</v>
      </c>
      <c r="C7495" s="19" t="n">
        <v>0</v>
      </c>
      <c r="D7495" s="19" t="n">
        <v>0.1506</v>
      </c>
      <c r="E7495" s="20" t="n">
        <f aca="false">Parametres!$B$5*C7495</f>
        <v>0</v>
      </c>
      <c r="F7495" s="20" t="n">
        <f aca="false">Parametres!$B$6*D7495</f>
        <v>30.12</v>
      </c>
      <c r="G7495" s="20" t="n">
        <f aca="false">E7495+F7495</f>
        <v>30.12</v>
      </c>
      <c r="H7495" s="20" t="n">
        <f aca="false">IF(G7495&lt;Parametres!$B$8*Parametres!$B$7,0,MIN(G7495,Parametres!$B$7))</f>
        <v>30.12</v>
      </c>
      <c r="I7495" s="20" t="n">
        <f aca="false">G7495-H7495</f>
        <v>0</v>
      </c>
      <c r="J7495" s="21" t="n">
        <f aca="false">H7495*1000/Parametres!$B$9</f>
        <v>510.768187213838</v>
      </c>
    </row>
    <row r="7496" customFormat="false" ht="15" hidden="false" customHeight="false" outlineLevel="0" collapsed="false">
      <c r="A7496" s="0" t="n">
        <v>7492</v>
      </c>
      <c r="B7496" s="0" t="n">
        <v>11</v>
      </c>
      <c r="C7496" s="19" t="n">
        <v>0</v>
      </c>
      <c r="D7496" s="19" t="n">
        <v>0.2194</v>
      </c>
      <c r="E7496" s="20" t="n">
        <f aca="false">Parametres!$B$5*C7496</f>
        <v>0</v>
      </c>
      <c r="F7496" s="20" t="n">
        <f aca="false">Parametres!$B$6*D7496</f>
        <v>43.88</v>
      </c>
      <c r="G7496" s="20" t="n">
        <f aca="false">E7496+F7496</f>
        <v>43.88</v>
      </c>
      <c r="H7496" s="20" t="n">
        <f aca="false">IF(G7496&lt;Parametres!$B$8*Parametres!$B$7,0,MIN(G7496,Parametres!$B$7))</f>
        <v>43.88</v>
      </c>
      <c r="I7496" s="20" t="n">
        <f aca="false">G7496-H7496</f>
        <v>0</v>
      </c>
      <c r="J7496" s="21" t="n">
        <f aca="false">H7496*1000/Parametres!$B$9</f>
        <v>744.107173138884</v>
      </c>
    </row>
    <row r="7497" customFormat="false" ht="15" hidden="false" customHeight="false" outlineLevel="0" collapsed="false">
      <c r="A7497" s="0" t="n">
        <v>7493</v>
      </c>
      <c r="B7497" s="0" t="n">
        <v>11</v>
      </c>
      <c r="C7497" s="19" t="n">
        <v>0</v>
      </c>
      <c r="D7497" s="19" t="n">
        <v>0.1735</v>
      </c>
      <c r="E7497" s="20" t="n">
        <f aca="false">Parametres!$B$5*C7497</f>
        <v>0</v>
      </c>
      <c r="F7497" s="20" t="n">
        <f aca="false">Parametres!$B$6*D7497</f>
        <v>34.7</v>
      </c>
      <c r="G7497" s="20" t="n">
        <f aca="false">E7497+F7497</f>
        <v>34.7</v>
      </c>
      <c r="H7497" s="20" t="n">
        <f aca="false">IF(G7497&lt;Parametres!$B$8*Parametres!$B$7,0,MIN(G7497,Parametres!$B$7))</f>
        <v>34.7</v>
      </c>
      <c r="I7497" s="20" t="n">
        <f aca="false">G7497-H7497</f>
        <v>0</v>
      </c>
      <c r="J7497" s="21" t="n">
        <f aca="false">H7497*1000/Parametres!$B$9</f>
        <v>588.434797354587</v>
      </c>
    </row>
    <row r="7498" customFormat="false" ht="15" hidden="false" customHeight="false" outlineLevel="0" collapsed="false">
      <c r="A7498" s="0" t="n">
        <v>7494</v>
      </c>
      <c r="B7498" s="0" t="n">
        <v>11</v>
      </c>
      <c r="C7498" s="19" t="n">
        <v>0</v>
      </c>
      <c r="D7498" s="19" t="n">
        <v>0.3636</v>
      </c>
      <c r="E7498" s="20" t="n">
        <f aca="false">Parametres!$B$5*C7498</f>
        <v>0</v>
      </c>
      <c r="F7498" s="20" t="n">
        <f aca="false">Parametres!$B$6*D7498</f>
        <v>72.72</v>
      </c>
      <c r="G7498" s="20" t="n">
        <f aca="false">E7498+F7498</f>
        <v>72.72</v>
      </c>
      <c r="H7498" s="20" t="n">
        <f aca="false">IF(G7498&lt;Parametres!$B$8*Parametres!$B$7,0,MIN(G7498,Parametres!$B$7))</f>
        <v>72.72</v>
      </c>
      <c r="I7498" s="20" t="n">
        <f aca="false">G7498-H7498</f>
        <v>0</v>
      </c>
      <c r="J7498" s="21" t="n">
        <f aca="false">H7498*1000/Parametres!$B$9</f>
        <v>1233.16940817365</v>
      </c>
    </row>
    <row r="7499" customFormat="false" ht="15" hidden="false" customHeight="false" outlineLevel="0" collapsed="false">
      <c r="A7499" s="0" t="n">
        <v>7495</v>
      </c>
      <c r="B7499" s="0" t="n">
        <v>11</v>
      </c>
      <c r="C7499" s="19" t="n">
        <v>0</v>
      </c>
      <c r="D7499" s="19" t="n">
        <v>0.368</v>
      </c>
      <c r="E7499" s="20" t="n">
        <f aca="false">Parametres!$B$5*C7499</f>
        <v>0</v>
      </c>
      <c r="F7499" s="20" t="n">
        <f aca="false">Parametres!$B$6*D7499</f>
        <v>73.6</v>
      </c>
      <c r="G7499" s="20" t="n">
        <f aca="false">E7499+F7499</f>
        <v>73.6</v>
      </c>
      <c r="H7499" s="20" t="n">
        <f aca="false">IF(G7499&lt;Parametres!$B$8*Parametres!$B$7,0,MIN(G7499,Parametres!$B$7))</f>
        <v>73.6</v>
      </c>
      <c r="I7499" s="20" t="n">
        <f aca="false">G7499-H7499</f>
        <v>0</v>
      </c>
      <c r="J7499" s="21" t="n">
        <f aca="false">H7499*1000/Parametres!$B$9</f>
        <v>1248.09225029676</v>
      </c>
    </row>
    <row r="7500" customFormat="false" ht="15" hidden="false" customHeight="false" outlineLevel="0" collapsed="false">
      <c r="A7500" s="0" t="n">
        <v>7496</v>
      </c>
      <c r="B7500" s="0" t="n">
        <v>11</v>
      </c>
      <c r="C7500" s="19" t="n">
        <v>0.162</v>
      </c>
      <c r="D7500" s="19" t="n">
        <v>0.4036</v>
      </c>
      <c r="E7500" s="20" t="n">
        <f aca="false">Parametres!$B$5*C7500</f>
        <v>48.6</v>
      </c>
      <c r="F7500" s="20" t="n">
        <f aca="false">Parametres!$B$6*D7500</f>
        <v>80.72</v>
      </c>
      <c r="G7500" s="20" t="n">
        <f aca="false">E7500+F7500</f>
        <v>129.32</v>
      </c>
      <c r="H7500" s="20" t="n">
        <f aca="false">IF(G7500&lt;Parametres!$B$8*Parametres!$B$7,0,MIN(G7500,Parametres!$B$7))</f>
        <v>129.32</v>
      </c>
      <c r="I7500" s="20" t="n">
        <f aca="false">G7500-H7500</f>
        <v>0</v>
      </c>
      <c r="J7500" s="21" t="n">
        <f aca="false">H7500*1000/Parametres!$B$9</f>
        <v>2192.97948109208</v>
      </c>
    </row>
    <row r="7501" customFormat="false" ht="15" hidden="false" customHeight="false" outlineLevel="0" collapsed="false">
      <c r="A7501" s="0" t="n">
        <v>7497</v>
      </c>
      <c r="B7501" s="0" t="n">
        <v>11</v>
      </c>
      <c r="C7501" s="19" t="n">
        <v>0.3791</v>
      </c>
      <c r="D7501" s="19" t="n">
        <v>0.4996</v>
      </c>
      <c r="E7501" s="20" t="n">
        <f aca="false">Parametres!$B$5*C7501</f>
        <v>113.73</v>
      </c>
      <c r="F7501" s="20" t="n">
        <f aca="false">Parametres!$B$6*D7501</f>
        <v>99.92</v>
      </c>
      <c r="G7501" s="20" t="n">
        <f aca="false">E7501+F7501</f>
        <v>213.65</v>
      </c>
      <c r="H7501" s="20" t="n">
        <f aca="false">IF(G7501&lt;Parametres!$B$8*Parametres!$B$7,0,MIN(G7501,Parametres!$B$7))</f>
        <v>213.65</v>
      </c>
      <c r="I7501" s="20" t="n">
        <f aca="false">G7501-H7501</f>
        <v>0</v>
      </c>
      <c r="J7501" s="21" t="n">
        <f aca="false">H7501*1000/Parametres!$B$9</f>
        <v>3623.02865863999</v>
      </c>
    </row>
    <row r="7502" customFormat="false" ht="15" hidden="false" customHeight="false" outlineLevel="0" collapsed="false">
      <c r="A7502" s="0" t="n">
        <v>7498</v>
      </c>
      <c r="B7502" s="0" t="n">
        <v>11</v>
      </c>
      <c r="C7502" s="19" t="n">
        <v>0.5776</v>
      </c>
      <c r="D7502" s="19" t="n">
        <v>0.295</v>
      </c>
      <c r="E7502" s="20" t="n">
        <f aca="false">Parametres!$B$5*C7502</f>
        <v>173.28</v>
      </c>
      <c r="F7502" s="20" t="n">
        <f aca="false">Parametres!$B$6*D7502</f>
        <v>59</v>
      </c>
      <c r="G7502" s="20" t="n">
        <f aca="false">E7502+F7502</f>
        <v>232.28</v>
      </c>
      <c r="H7502" s="20" t="n">
        <f aca="false">IF(G7502&lt;Parametres!$B$8*Parametres!$B$7,0,MIN(G7502,Parametres!$B$7))</f>
        <v>232.28</v>
      </c>
      <c r="I7502" s="20" t="n">
        <f aca="false">G7502-H7502</f>
        <v>0</v>
      </c>
      <c r="J7502" s="21" t="n">
        <f aca="false">H7502*1000/Parametres!$B$9</f>
        <v>3938.95200949635</v>
      </c>
    </row>
    <row r="7503" customFormat="false" ht="15" hidden="false" customHeight="false" outlineLevel="0" collapsed="false">
      <c r="A7503" s="0" t="n">
        <v>7499</v>
      </c>
      <c r="B7503" s="0" t="n">
        <v>11</v>
      </c>
      <c r="C7503" s="19" t="n">
        <v>0.6668</v>
      </c>
      <c r="D7503" s="19" t="n">
        <v>0.5087</v>
      </c>
      <c r="E7503" s="20" t="n">
        <f aca="false">Parametres!$B$5*C7503</f>
        <v>200.04</v>
      </c>
      <c r="F7503" s="20" t="n">
        <f aca="false">Parametres!$B$6*D7503</f>
        <v>101.74</v>
      </c>
      <c r="G7503" s="20" t="n">
        <f aca="false">E7503+F7503</f>
        <v>301.78</v>
      </c>
      <c r="H7503" s="20" t="n">
        <f aca="false">IF(G7503&lt;Parametres!$B$8*Parametres!$B$7,0,MIN(G7503,Parametres!$B$7))</f>
        <v>250</v>
      </c>
      <c r="I7503" s="20" t="n">
        <f aca="false">G7503-H7503</f>
        <v>51.78</v>
      </c>
      <c r="J7503" s="21" t="n">
        <f aca="false">H7503*1000/Parametres!$B$9</f>
        <v>4239.44378497541</v>
      </c>
    </row>
    <row r="7504" customFormat="false" ht="15" hidden="false" customHeight="false" outlineLevel="0" collapsed="false">
      <c r="A7504" s="0" t="n">
        <v>7500</v>
      </c>
      <c r="B7504" s="0" t="n">
        <v>11</v>
      </c>
      <c r="C7504" s="19" t="n">
        <v>0.7561</v>
      </c>
      <c r="D7504" s="19" t="n">
        <v>0.7067</v>
      </c>
      <c r="E7504" s="20" t="n">
        <f aca="false">Parametres!$B$5*C7504</f>
        <v>226.83</v>
      </c>
      <c r="F7504" s="20" t="n">
        <f aca="false">Parametres!$B$6*D7504</f>
        <v>141.34</v>
      </c>
      <c r="G7504" s="20" t="n">
        <f aca="false">E7504+F7504</f>
        <v>368.17</v>
      </c>
      <c r="H7504" s="20" t="n">
        <f aca="false">IF(G7504&lt;Parametres!$B$8*Parametres!$B$7,0,MIN(G7504,Parametres!$B$7))</f>
        <v>250</v>
      </c>
      <c r="I7504" s="20" t="n">
        <f aca="false">G7504-H7504</f>
        <v>118.17</v>
      </c>
      <c r="J7504" s="21" t="n">
        <f aca="false">H7504*1000/Parametres!$B$9</f>
        <v>4239.44378497541</v>
      </c>
    </row>
    <row r="7505" customFormat="false" ht="15" hidden="false" customHeight="false" outlineLevel="0" collapsed="false">
      <c r="A7505" s="0" t="n">
        <v>7501</v>
      </c>
      <c r="B7505" s="0" t="n">
        <v>11</v>
      </c>
      <c r="C7505" s="19" t="n">
        <v>0.7914</v>
      </c>
      <c r="D7505" s="19" t="n">
        <v>0.7542</v>
      </c>
      <c r="E7505" s="20" t="n">
        <f aca="false">Parametres!$B$5*C7505</f>
        <v>237.42</v>
      </c>
      <c r="F7505" s="20" t="n">
        <f aca="false">Parametres!$B$6*D7505</f>
        <v>150.84</v>
      </c>
      <c r="G7505" s="20" t="n">
        <f aca="false">E7505+F7505</f>
        <v>388.26</v>
      </c>
      <c r="H7505" s="20" t="n">
        <f aca="false">IF(G7505&lt;Parametres!$B$8*Parametres!$B$7,0,MIN(G7505,Parametres!$B$7))</f>
        <v>250</v>
      </c>
      <c r="I7505" s="20" t="n">
        <f aca="false">G7505-H7505</f>
        <v>138.26</v>
      </c>
      <c r="J7505" s="21" t="n">
        <f aca="false">H7505*1000/Parametres!$B$9</f>
        <v>4239.44378497541</v>
      </c>
    </row>
    <row r="7506" customFormat="false" ht="15" hidden="false" customHeight="false" outlineLevel="0" collapsed="false">
      <c r="A7506" s="0" t="n">
        <v>7502</v>
      </c>
      <c r="B7506" s="0" t="n">
        <v>11</v>
      </c>
      <c r="C7506" s="19" t="n">
        <v>0.7157</v>
      </c>
      <c r="D7506" s="19" t="n">
        <v>1</v>
      </c>
      <c r="E7506" s="20" t="n">
        <f aca="false">Parametres!$B$5*C7506</f>
        <v>214.71</v>
      </c>
      <c r="F7506" s="20" t="n">
        <f aca="false">Parametres!$B$6*D7506</f>
        <v>200</v>
      </c>
      <c r="G7506" s="20" t="n">
        <f aca="false">E7506+F7506</f>
        <v>414.71</v>
      </c>
      <c r="H7506" s="20" t="n">
        <f aca="false">IF(G7506&lt;Parametres!$B$8*Parametres!$B$7,0,MIN(G7506,Parametres!$B$7))</f>
        <v>250</v>
      </c>
      <c r="I7506" s="20" t="n">
        <f aca="false">G7506-H7506</f>
        <v>164.71</v>
      </c>
      <c r="J7506" s="21" t="n">
        <f aca="false">H7506*1000/Parametres!$B$9</f>
        <v>4239.44378497541</v>
      </c>
    </row>
    <row r="7507" customFormat="false" ht="15" hidden="false" customHeight="false" outlineLevel="0" collapsed="false">
      <c r="A7507" s="0" t="n">
        <v>7503</v>
      </c>
      <c r="B7507" s="0" t="n">
        <v>11</v>
      </c>
      <c r="C7507" s="19" t="n">
        <v>0.5365</v>
      </c>
      <c r="D7507" s="19" t="n">
        <v>1</v>
      </c>
      <c r="E7507" s="20" t="n">
        <f aca="false">Parametres!$B$5*C7507</f>
        <v>160.95</v>
      </c>
      <c r="F7507" s="20" t="n">
        <f aca="false">Parametres!$B$6*D7507</f>
        <v>200</v>
      </c>
      <c r="G7507" s="20" t="n">
        <f aca="false">E7507+F7507</f>
        <v>360.95</v>
      </c>
      <c r="H7507" s="20" t="n">
        <f aca="false">IF(G7507&lt;Parametres!$B$8*Parametres!$B$7,0,MIN(G7507,Parametres!$B$7))</f>
        <v>250</v>
      </c>
      <c r="I7507" s="20" t="n">
        <f aca="false">G7507-H7507</f>
        <v>110.95</v>
      </c>
      <c r="J7507" s="21" t="n">
        <f aca="false">H7507*1000/Parametres!$B$9</f>
        <v>4239.44378497541</v>
      </c>
    </row>
    <row r="7508" customFormat="false" ht="15" hidden="false" customHeight="false" outlineLevel="0" collapsed="false">
      <c r="A7508" s="0" t="n">
        <v>7504</v>
      </c>
      <c r="B7508" s="0" t="n">
        <v>11</v>
      </c>
      <c r="C7508" s="19" t="n">
        <v>0.3547</v>
      </c>
      <c r="D7508" s="19" t="n">
        <v>1</v>
      </c>
      <c r="E7508" s="20" t="n">
        <f aca="false">Parametres!$B$5*C7508</f>
        <v>106.41</v>
      </c>
      <c r="F7508" s="20" t="n">
        <f aca="false">Parametres!$B$6*D7508</f>
        <v>200</v>
      </c>
      <c r="G7508" s="20" t="n">
        <f aca="false">E7508+F7508</f>
        <v>306.41</v>
      </c>
      <c r="H7508" s="20" t="n">
        <f aca="false">IF(G7508&lt;Parametres!$B$8*Parametres!$B$7,0,MIN(G7508,Parametres!$B$7))</f>
        <v>250</v>
      </c>
      <c r="I7508" s="20" t="n">
        <f aca="false">G7508-H7508</f>
        <v>56.41</v>
      </c>
      <c r="J7508" s="21" t="n">
        <f aca="false">H7508*1000/Parametres!$B$9</f>
        <v>4239.44378497541</v>
      </c>
    </row>
    <row r="7509" customFormat="false" ht="15" hidden="false" customHeight="false" outlineLevel="0" collapsed="false">
      <c r="A7509" s="0" t="n">
        <v>7505</v>
      </c>
      <c r="B7509" s="0" t="n">
        <v>11</v>
      </c>
      <c r="C7509" s="19" t="n">
        <v>0.1594</v>
      </c>
      <c r="D7509" s="19" t="n">
        <v>1</v>
      </c>
      <c r="E7509" s="20" t="n">
        <f aca="false">Parametres!$B$5*C7509</f>
        <v>47.82</v>
      </c>
      <c r="F7509" s="20" t="n">
        <f aca="false">Parametres!$B$6*D7509</f>
        <v>200</v>
      </c>
      <c r="G7509" s="20" t="n">
        <f aca="false">E7509+F7509</f>
        <v>247.82</v>
      </c>
      <c r="H7509" s="20" t="n">
        <f aca="false">IF(G7509&lt;Parametres!$B$8*Parametres!$B$7,0,MIN(G7509,Parametres!$B$7))</f>
        <v>247.82</v>
      </c>
      <c r="I7509" s="20" t="n">
        <f aca="false">G7509-H7509</f>
        <v>0</v>
      </c>
      <c r="J7509" s="21" t="n">
        <f aca="false">H7509*1000/Parametres!$B$9</f>
        <v>4202.47583517043</v>
      </c>
    </row>
    <row r="7510" customFormat="false" ht="15" hidden="false" customHeight="false" outlineLevel="0" collapsed="false">
      <c r="A7510" s="0" t="n">
        <v>7506</v>
      </c>
      <c r="B7510" s="0" t="n">
        <v>11</v>
      </c>
      <c r="C7510" s="19" t="n">
        <v>0</v>
      </c>
      <c r="D7510" s="19" t="n">
        <v>1</v>
      </c>
      <c r="E7510" s="20" t="n">
        <f aca="false">Parametres!$B$5*C7510</f>
        <v>0</v>
      </c>
      <c r="F7510" s="20" t="n">
        <f aca="false">Parametres!$B$6*D7510</f>
        <v>200</v>
      </c>
      <c r="G7510" s="20" t="n">
        <f aca="false">E7510+F7510</f>
        <v>200</v>
      </c>
      <c r="H7510" s="20" t="n">
        <f aca="false">IF(G7510&lt;Parametres!$B$8*Parametres!$B$7,0,MIN(G7510,Parametres!$B$7))</f>
        <v>200</v>
      </c>
      <c r="I7510" s="20" t="n">
        <f aca="false">G7510-H7510</f>
        <v>0</v>
      </c>
      <c r="J7510" s="21" t="n">
        <f aca="false">H7510*1000/Parametres!$B$9</f>
        <v>3391.55502798033</v>
      </c>
    </row>
    <row r="7511" customFormat="false" ht="15" hidden="false" customHeight="false" outlineLevel="0" collapsed="false">
      <c r="A7511" s="0" t="n">
        <v>7507</v>
      </c>
      <c r="B7511" s="0" t="n">
        <v>11</v>
      </c>
      <c r="C7511" s="19" t="n">
        <v>0</v>
      </c>
      <c r="D7511" s="19" t="n">
        <v>1</v>
      </c>
      <c r="E7511" s="20" t="n">
        <f aca="false">Parametres!$B$5*C7511</f>
        <v>0</v>
      </c>
      <c r="F7511" s="20" t="n">
        <f aca="false">Parametres!$B$6*D7511</f>
        <v>200</v>
      </c>
      <c r="G7511" s="20" t="n">
        <f aca="false">E7511+F7511</f>
        <v>200</v>
      </c>
      <c r="H7511" s="20" t="n">
        <f aca="false">IF(G7511&lt;Parametres!$B$8*Parametres!$B$7,0,MIN(G7511,Parametres!$B$7))</f>
        <v>200</v>
      </c>
      <c r="I7511" s="20" t="n">
        <f aca="false">G7511-H7511</f>
        <v>0</v>
      </c>
      <c r="J7511" s="21" t="n">
        <f aca="false">H7511*1000/Parametres!$B$9</f>
        <v>3391.55502798033</v>
      </c>
    </row>
    <row r="7512" customFormat="false" ht="15" hidden="false" customHeight="false" outlineLevel="0" collapsed="false">
      <c r="A7512" s="0" t="n">
        <v>7508</v>
      </c>
      <c r="B7512" s="0" t="n">
        <v>11</v>
      </c>
      <c r="C7512" s="19" t="n">
        <v>0</v>
      </c>
      <c r="D7512" s="19" t="n">
        <v>1</v>
      </c>
      <c r="E7512" s="20" t="n">
        <f aca="false">Parametres!$B$5*C7512</f>
        <v>0</v>
      </c>
      <c r="F7512" s="20" t="n">
        <f aca="false">Parametres!$B$6*D7512</f>
        <v>200</v>
      </c>
      <c r="G7512" s="20" t="n">
        <f aca="false">E7512+F7512</f>
        <v>200</v>
      </c>
      <c r="H7512" s="20" t="n">
        <f aca="false">IF(G7512&lt;Parametres!$B$8*Parametres!$B$7,0,MIN(G7512,Parametres!$B$7))</f>
        <v>200</v>
      </c>
      <c r="I7512" s="20" t="n">
        <f aca="false">G7512-H7512</f>
        <v>0</v>
      </c>
      <c r="J7512" s="21" t="n">
        <f aca="false">H7512*1000/Parametres!$B$9</f>
        <v>3391.55502798033</v>
      </c>
    </row>
    <row r="7513" customFormat="false" ht="15" hidden="false" customHeight="false" outlineLevel="0" collapsed="false">
      <c r="A7513" s="0" t="n">
        <v>7509</v>
      </c>
      <c r="B7513" s="0" t="n">
        <v>11</v>
      </c>
      <c r="C7513" s="19" t="n">
        <v>0</v>
      </c>
      <c r="D7513" s="19" t="n">
        <v>1</v>
      </c>
      <c r="E7513" s="20" t="n">
        <f aca="false">Parametres!$B$5*C7513</f>
        <v>0</v>
      </c>
      <c r="F7513" s="20" t="n">
        <f aca="false">Parametres!$B$6*D7513</f>
        <v>200</v>
      </c>
      <c r="G7513" s="20" t="n">
        <f aca="false">E7513+F7513</f>
        <v>200</v>
      </c>
      <c r="H7513" s="20" t="n">
        <f aca="false">IF(G7513&lt;Parametres!$B$8*Parametres!$B$7,0,MIN(G7513,Parametres!$B$7))</f>
        <v>200</v>
      </c>
      <c r="I7513" s="20" t="n">
        <f aca="false">G7513-H7513</f>
        <v>0</v>
      </c>
      <c r="J7513" s="21" t="n">
        <f aca="false">H7513*1000/Parametres!$B$9</f>
        <v>3391.55502798033</v>
      </c>
    </row>
    <row r="7514" customFormat="false" ht="15" hidden="false" customHeight="false" outlineLevel="0" collapsed="false">
      <c r="A7514" s="0" t="n">
        <v>7510</v>
      </c>
      <c r="B7514" s="0" t="n">
        <v>11</v>
      </c>
      <c r="C7514" s="19" t="n">
        <v>0</v>
      </c>
      <c r="D7514" s="19" t="n">
        <v>0.7813</v>
      </c>
      <c r="E7514" s="20" t="n">
        <f aca="false">Parametres!$B$5*C7514</f>
        <v>0</v>
      </c>
      <c r="F7514" s="20" t="n">
        <f aca="false">Parametres!$B$6*D7514</f>
        <v>156.26</v>
      </c>
      <c r="G7514" s="20" t="n">
        <f aca="false">E7514+F7514</f>
        <v>156.26</v>
      </c>
      <c r="H7514" s="20" t="n">
        <f aca="false">IF(G7514&lt;Parametres!$B$8*Parametres!$B$7,0,MIN(G7514,Parametres!$B$7))</f>
        <v>156.26</v>
      </c>
      <c r="I7514" s="20" t="n">
        <f aca="false">G7514-H7514</f>
        <v>0</v>
      </c>
      <c r="J7514" s="21" t="n">
        <f aca="false">H7514*1000/Parametres!$B$9</f>
        <v>2649.82194336103</v>
      </c>
    </row>
    <row r="7515" customFormat="false" ht="15" hidden="false" customHeight="false" outlineLevel="0" collapsed="false">
      <c r="A7515" s="0" t="n">
        <v>7511</v>
      </c>
      <c r="B7515" s="0" t="n">
        <v>11</v>
      </c>
      <c r="C7515" s="19" t="n">
        <v>0</v>
      </c>
      <c r="D7515" s="19" t="n">
        <v>0.696</v>
      </c>
      <c r="E7515" s="20" t="n">
        <f aca="false">Parametres!$B$5*C7515</f>
        <v>0</v>
      </c>
      <c r="F7515" s="20" t="n">
        <f aca="false">Parametres!$B$6*D7515</f>
        <v>139.2</v>
      </c>
      <c r="G7515" s="20" t="n">
        <f aca="false">E7515+F7515</f>
        <v>139.2</v>
      </c>
      <c r="H7515" s="20" t="n">
        <f aca="false">IF(G7515&lt;Parametres!$B$8*Parametres!$B$7,0,MIN(G7515,Parametres!$B$7))</f>
        <v>139.2</v>
      </c>
      <c r="I7515" s="20" t="n">
        <f aca="false">G7515-H7515</f>
        <v>0</v>
      </c>
      <c r="J7515" s="21" t="n">
        <f aca="false">H7515*1000/Parametres!$B$9</f>
        <v>2360.52229947431</v>
      </c>
    </row>
    <row r="7516" customFormat="false" ht="15" hidden="false" customHeight="false" outlineLevel="0" collapsed="false">
      <c r="A7516" s="0" t="n">
        <v>7512</v>
      </c>
      <c r="B7516" s="0" t="n">
        <v>11</v>
      </c>
      <c r="C7516" s="19" t="n">
        <v>0</v>
      </c>
      <c r="D7516" s="19" t="n">
        <v>0.5291</v>
      </c>
      <c r="E7516" s="20" t="n">
        <f aca="false">Parametres!$B$5*C7516</f>
        <v>0</v>
      </c>
      <c r="F7516" s="20" t="n">
        <f aca="false">Parametres!$B$6*D7516</f>
        <v>105.82</v>
      </c>
      <c r="G7516" s="20" t="n">
        <f aca="false">E7516+F7516</f>
        <v>105.82</v>
      </c>
      <c r="H7516" s="20" t="n">
        <f aca="false">IF(G7516&lt;Parametres!$B$8*Parametres!$B$7,0,MIN(G7516,Parametres!$B$7))</f>
        <v>105.82</v>
      </c>
      <c r="I7516" s="20" t="n">
        <f aca="false">G7516-H7516</f>
        <v>0</v>
      </c>
      <c r="J7516" s="21" t="n">
        <f aca="false">H7516*1000/Parametres!$B$9</f>
        <v>1794.47176530439</v>
      </c>
    </row>
    <row r="7517" customFormat="false" ht="15" hidden="false" customHeight="false" outlineLevel="0" collapsed="false">
      <c r="A7517" s="0" t="n">
        <v>7513</v>
      </c>
      <c r="B7517" s="0" t="n">
        <v>11</v>
      </c>
      <c r="C7517" s="19" t="n">
        <v>0</v>
      </c>
      <c r="D7517" s="19" t="n">
        <v>0.5247</v>
      </c>
      <c r="E7517" s="20" t="n">
        <f aca="false">Parametres!$B$5*C7517</f>
        <v>0</v>
      </c>
      <c r="F7517" s="20" t="n">
        <f aca="false">Parametres!$B$6*D7517</f>
        <v>104.94</v>
      </c>
      <c r="G7517" s="20" t="n">
        <f aca="false">E7517+F7517</f>
        <v>104.94</v>
      </c>
      <c r="H7517" s="20" t="n">
        <f aca="false">IF(G7517&lt;Parametres!$B$8*Parametres!$B$7,0,MIN(G7517,Parametres!$B$7))</f>
        <v>104.94</v>
      </c>
      <c r="I7517" s="20" t="n">
        <f aca="false">G7517-H7517</f>
        <v>0</v>
      </c>
      <c r="J7517" s="21" t="n">
        <f aca="false">H7517*1000/Parametres!$B$9</f>
        <v>1779.54892318128</v>
      </c>
    </row>
    <row r="7518" customFormat="false" ht="15" hidden="false" customHeight="false" outlineLevel="0" collapsed="false">
      <c r="A7518" s="0" t="n">
        <v>7514</v>
      </c>
      <c r="B7518" s="0" t="n">
        <v>11</v>
      </c>
      <c r="C7518" s="19" t="n">
        <v>0</v>
      </c>
      <c r="D7518" s="19" t="n">
        <v>0.6985</v>
      </c>
      <c r="E7518" s="20" t="n">
        <f aca="false">Parametres!$B$5*C7518</f>
        <v>0</v>
      </c>
      <c r="F7518" s="20" t="n">
        <f aca="false">Parametres!$B$6*D7518</f>
        <v>139.7</v>
      </c>
      <c r="G7518" s="20" t="n">
        <f aca="false">E7518+F7518</f>
        <v>139.7</v>
      </c>
      <c r="H7518" s="20" t="n">
        <f aca="false">IF(G7518&lt;Parametres!$B$8*Parametres!$B$7,0,MIN(G7518,Parametres!$B$7))</f>
        <v>139.7</v>
      </c>
      <c r="I7518" s="20" t="n">
        <f aca="false">G7518-H7518</f>
        <v>0</v>
      </c>
      <c r="J7518" s="21" t="n">
        <f aca="false">H7518*1000/Parametres!$B$9</f>
        <v>2369.00118704426</v>
      </c>
    </row>
    <row r="7519" customFormat="false" ht="15" hidden="false" customHeight="false" outlineLevel="0" collapsed="false">
      <c r="A7519" s="0" t="n">
        <v>7515</v>
      </c>
      <c r="B7519" s="0" t="n">
        <v>11</v>
      </c>
      <c r="C7519" s="19" t="n">
        <v>0</v>
      </c>
      <c r="D7519" s="19" t="n">
        <v>0.5808</v>
      </c>
      <c r="E7519" s="20" t="n">
        <f aca="false">Parametres!$B$5*C7519</f>
        <v>0</v>
      </c>
      <c r="F7519" s="20" t="n">
        <f aca="false">Parametres!$B$6*D7519</f>
        <v>116.16</v>
      </c>
      <c r="G7519" s="20" t="n">
        <f aca="false">E7519+F7519</f>
        <v>116.16</v>
      </c>
      <c r="H7519" s="20" t="n">
        <f aca="false">IF(G7519&lt;Parametres!$B$8*Parametres!$B$7,0,MIN(G7519,Parametres!$B$7))</f>
        <v>116.16</v>
      </c>
      <c r="I7519" s="20" t="n">
        <f aca="false">G7519-H7519</f>
        <v>0</v>
      </c>
      <c r="J7519" s="21" t="n">
        <f aca="false">H7519*1000/Parametres!$B$9</f>
        <v>1969.81516025098</v>
      </c>
    </row>
    <row r="7520" customFormat="false" ht="15" hidden="false" customHeight="false" outlineLevel="0" collapsed="false">
      <c r="A7520" s="0" t="n">
        <v>7516</v>
      </c>
      <c r="B7520" s="0" t="n">
        <v>11</v>
      </c>
      <c r="C7520" s="19" t="n">
        <v>0</v>
      </c>
      <c r="D7520" s="19" t="n">
        <v>0.828</v>
      </c>
      <c r="E7520" s="20" t="n">
        <f aca="false">Parametres!$B$5*C7520</f>
        <v>0</v>
      </c>
      <c r="F7520" s="20" t="n">
        <f aca="false">Parametres!$B$6*D7520</f>
        <v>165.6</v>
      </c>
      <c r="G7520" s="20" t="n">
        <f aca="false">E7520+F7520</f>
        <v>165.6</v>
      </c>
      <c r="H7520" s="20" t="n">
        <f aca="false">IF(G7520&lt;Parametres!$B$8*Parametres!$B$7,0,MIN(G7520,Parametres!$B$7))</f>
        <v>165.6</v>
      </c>
      <c r="I7520" s="20" t="n">
        <f aca="false">G7520-H7520</f>
        <v>0</v>
      </c>
      <c r="J7520" s="21" t="n">
        <f aca="false">H7520*1000/Parametres!$B$9</f>
        <v>2808.20756316771</v>
      </c>
    </row>
    <row r="7521" customFormat="false" ht="15" hidden="false" customHeight="false" outlineLevel="0" collapsed="false">
      <c r="A7521" s="0" t="n">
        <v>7517</v>
      </c>
      <c r="B7521" s="0" t="n">
        <v>11</v>
      </c>
      <c r="C7521" s="19" t="n">
        <v>0</v>
      </c>
      <c r="D7521" s="19" t="n">
        <v>0.992</v>
      </c>
      <c r="E7521" s="20" t="n">
        <f aca="false">Parametres!$B$5*C7521</f>
        <v>0</v>
      </c>
      <c r="F7521" s="20" t="n">
        <f aca="false">Parametres!$B$6*D7521</f>
        <v>198.4</v>
      </c>
      <c r="G7521" s="20" t="n">
        <f aca="false">E7521+F7521</f>
        <v>198.4</v>
      </c>
      <c r="H7521" s="20" t="n">
        <f aca="false">IF(G7521&lt;Parametres!$B$8*Parametres!$B$7,0,MIN(G7521,Parametres!$B$7))</f>
        <v>198.4</v>
      </c>
      <c r="I7521" s="20" t="n">
        <f aca="false">G7521-H7521</f>
        <v>0</v>
      </c>
      <c r="J7521" s="21" t="n">
        <f aca="false">H7521*1000/Parametres!$B$9</f>
        <v>3364.42258775649</v>
      </c>
    </row>
    <row r="7522" customFormat="false" ht="15" hidden="false" customHeight="false" outlineLevel="0" collapsed="false">
      <c r="A7522" s="0" t="n">
        <v>7518</v>
      </c>
      <c r="B7522" s="0" t="n">
        <v>11</v>
      </c>
      <c r="C7522" s="19" t="n">
        <v>0</v>
      </c>
      <c r="D7522" s="19" t="n">
        <v>1</v>
      </c>
      <c r="E7522" s="20" t="n">
        <f aca="false">Parametres!$B$5*C7522</f>
        <v>0</v>
      </c>
      <c r="F7522" s="20" t="n">
        <f aca="false">Parametres!$B$6*D7522</f>
        <v>200</v>
      </c>
      <c r="G7522" s="20" t="n">
        <f aca="false">E7522+F7522</f>
        <v>200</v>
      </c>
      <c r="H7522" s="20" t="n">
        <f aca="false">IF(G7522&lt;Parametres!$B$8*Parametres!$B$7,0,MIN(G7522,Parametres!$B$7))</f>
        <v>200</v>
      </c>
      <c r="I7522" s="20" t="n">
        <f aca="false">G7522-H7522</f>
        <v>0</v>
      </c>
      <c r="J7522" s="21" t="n">
        <f aca="false">H7522*1000/Parametres!$B$9</f>
        <v>3391.55502798033</v>
      </c>
    </row>
    <row r="7523" customFormat="false" ht="15" hidden="false" customHeight="false" outlineLevel="0" collapsed="false">
      <c r="A7523" s="0" t="n">
        <v>7519</v>
      </c>
      <c r="B7523" s="0" t="n">
        <v>11</v>
      </c>
      <c r="C7523" s="19" t="n">
        <v>0</v>
      </c>
      <c r="D7523" s="19" t="n">
        <v>1</v>
      </c>
      <c r="E7523" s="20" t="n">
        <f aca="false">Parametres!$B$5*C7523</f>
        <v>0</v>
      </c>
      <c r="F7523" s="20" t="n">
        <f aca="false">Parametres!$B$6*D7523</f>
        <v>200</v>
      </c>
      <c r="G7523" s="20" t="n">
        <f aca="false">E7523+F7523</f>
        <v>200</v>
      </c>
      <c r="H7523" s="20" t="n">
        <f aca="false">IF(G7523&lt;Parametres!$B$8*Parametres!$B$7,0,MIN(G7523,Parametres!$B$7))</f>
        <v>200</v>
      </c>
      <c r="I7523" s="20" t="n">
        <f aca="false">G7523-H7523</f>
        <v>0</v>
      </c>
      <c r="J7523" s="21" t="n">
        <f aca="false">H7523*1000/Parametres!$B$9</f>
        <v>3391.55502798033</v>
      </c>
    </row>
    <row r="7524" customFormat="false" ht="15" hidden="false" customHeight="false" outlineLevel="0" collapsed="false">
      <c r="A7524" s="0" t="n">
        <v>7520</v>
      </c>
      <c r="B7524" s="0" t="n">
        <v>11</v>
      </c>
      <c r="C7524" s="19" t="n">
        <v>0.1566</v>
      </c>
      <c r="D7524" s="19" t="n">
        <v>1</v>
      </c>
      <c r="E7524" s="20" t="n">
        <f aca="false">Parametres!$B$5*C7524</f>
        <v>46.98</v>
      </c>
      <c r="F7524" s="20" t="n">
        <f aca="false">Parametres!$B$6*D7524</f>
        <v>200</v>
      </c>
      <c r="G7524" s="20" t="n">
        <f aca="false">E7524+F7524</f>
        <v>246.98</v>
      </c>
      <c r="H7524" s="20" t="n">
        <f aca="false">IF(G7524&lt;Parametres!$B$8*Parametres!$B$7,0,MIN(G7524,Parametres!$B$7))</f>
        <v>246.98</v>
      </c>
      <c r="I7524" s="20" t="n">
        <f aca="false">G7524-H7524</f>
        <v>0</v>
      </c>
      <c r="J7524" s="21" t="n">
        <f aca="false">H7524*1000/Parametres!$B$9</f>
        <v>4188.23130405291</v>
      </c>
    </row>
    <row r="7525" customFormat="false" ht="15" hidden="false" customHeight="false" outlineLevel="0" collapsed="false">
      <c r="A7525" s="0" t="n">
        <v>7521</v>
      </c>
      <c r="B7525" s="0" t="n">
        <v>11</v>
      </c>
      <c r="C7525" s="19" t="n">
        <v>0.3628</v>
      </c>
      <c r="D7525" s="19" t="n">
        <v>1</v>
      </c>
      <c r="E7525" s="20" t="n">
        <f aca="false">Parametres!$B$5*C7525</f>
        <v>108.84</v>
      </c>
      <c r="F7525" s="20" t="n">
        <f aca="false">Parametres!$B$6*D7525</f>
        <v>200</v>
      </c>
      <c r="G7525" s="20" t="n">
        <f aca="false">E7525+F7525</f>
        <v>308.84</v>
      </c>
      <c r="H7525" s="20" t="n">
        <f aca="false">IF(G7525&lt;Parametres!$B$8*Parametres!$B$7,0,MIN(G7525,Parametres!$B$7))</f>
        <v>250</v>
      </c>
      <c r="I7525" s="20" t="n">
        <f aca="false">G7525-H7525</f>
        <v>58.84</v>
      </c>
      <c r="J7525" s="21" t="n">
        <f aca="false">H7525*1000/Parametres!$B$9</f>
        <v>4239.44378497541</v>
      </c>
    </row>
    <row r="7526" customFormat="false" ht="15" hidden="false" customHeight="false" outlineLevel="0" collapsed="false">
      <c r="A7526" s="0" t="n">
        <v>7522</v>
      </c>
      <c r="B7526" s="0" t="n">
        <v>11</v>
      </c>
      <c r="C7526" s="19" t="n">
        <v>0.5314</v>
      </c>
      <c r="D7526" s="19" t="n">
        <v>1</v>
      </c>
      <c r="E7526" s="20" t="n">
        <f aca="false">Parametres!$B$5*C7526</f>
        <v>159.42</v>
      </c>
      <c r="F7526" s="20" t="n">
        <f aca="false">Parametres!$B$6*D7526</f>
        <v>200</v>
      </c>
      <c r="G7526" s="20" t="n">
        <f aca="false">E7526+F7526</f>
        <v>359.42</v>
      </c>
      <c r="H7526" s="20" t="n">
        <f aca="false">IF(G7526&lt;Parametres!$B$8*Parametres!$B$7,0,MIN(G7526,Parametres!$B$7))</f>
        <v>250</v>
      </c>
      <c r="I7526" s="20" t="n">
        <f aca="false">G7526-H7526</f>
        <v>109.42</v>
      </c>
      <c r="J7526" s="21" t="n">
        <f aca="false">H7526*1000/Parametres!$B$9</f>
        <v>4239.44378497541</v>
      </c>
    </row>
    <row r="7527" customFormat="false" ht="15" hidden="false" customHeight="false" outlineLevel="0" collapsed="false">
      <c r="A7527" s="0" t="n">
        <v>7523</v>
      </c>
      <c r="B7527" s="0" t="n">
        <v>11</v>
      </c>
      <c r="C7527" s="19" t="n">
        <v>0.6344</v>
      </c>
      <c r="D7527" s="19" t="n">
        <v>1</v>
      </c>
      <c r="E7527" s="20" t="n">
        <f aca="false">Parametres!$B$5*C7527</f>
        <v>190.32</v>
      </c>
      <c r="F7527" s="20" t="n">
        <f aca="false">Parametres!$B$6*D7527</f>
        <v>200</v>
      </c>
      <c r="G7527" s="20" t="n">
        <f aca="false">E7527+F7527</f>
        <v>390.32</v>
      </c>
      <c r="H7527" s="20" t="n">
        <f aca="false">IF(G7527&lt;Parametres!$B$8*Parametres!$B$7,0,MIN(G7527,Parametres!$B$7))</f>
        <v>250</v>
      </c>
      <c r="I7527" s="20" t="n">
        <f aca="false">G7527-H7527</f>
        <v>140.32</v>
      </c>
      <c r="J7527" s="21" t="n">
        <f aca="false">H7527*1000/Parametres!$B$9</f>
        <v>4239.44378497541</v>
      </c>
    </row>
    <row r="7528" customFormat="false" ht="15" hidden="false" customHeight="false" outlineLevel="0" collapsed="false">
      <c r="A7528" s="0" t="n">
        <v>7524</v>
      </c>
      <c r="B7528" s="0" t="n">
        <v>11</v>
      </c>
      <c r="C7528" s="19" t="n">
        <v>0.7237</v>
      </c>
      <c r="D7528" s="19" t="n">
        <v>1</v>
      </c>
      <c r="E7528" s="20" t="n">
        <f aca="false">Parametres!$B$5*C7528</f>
        <v>217.11</v>
      </c>
      <c r="F7528" s="20" t="n">
        <f aca="false">Parametres!$B$6*D7528</f>
        <v>200</v>
      </c>
      <c r="G7528" s="20" t="n">
        <f aca="false">E7528+F7528</f>
        <v>417.11</v>
      </c>
      <c r="H7528" s="20" t="n">
        <f aca="false">IF(G7528&lt;Parametres!$B$8*Parametres!$B$7,0,MIN(G7528,Parametres!$B$7))</f>
        <v>250</v>
      </c>
      <c r="I7528" s="20" t="n">
        <f aca="false">G7528-H7528</f>
        <v>167.11</v>
      </c>
      <c r="J7528" s="21" t="n">
        <f aca="false">H7528*1000/Parametres!$B$9</f>
        <v>4239.44378497541</v>
      </c>
    </row>
    <row r="7529" customFormat="false" ht="15" hidden="false" customHeight="false" outlineLevel="0" collapsed="false">
      <c r="A7529" s="0" t="n">
        <v>7525</v>
      </c>
      <c r="B7529" s="0" t="n">
        <v>11</v>
      </c>
      <c r="C7529" s="19" t="n">
        <v>0.7218</v>
      </c>
      <c r="D7529" s="19" t="n">
        <v>1</v>
      </c>
      <c r="E7529" s="20" t="n">
        <f aca="false">Parametres!$B$5*C7529</f>
        <v>216.54</v>
      </c>
      <c r="F7529" s="20" t="n">
        <f aca="false">Parametres!$B$6*D7529</f>
        <v>200</v>
      </c>
      <c r="G7529" s="20" t="n">
        <f aca="false">E7529+F7529</f>
        <v>416.54</v>
      </c>
      <c r="H7529" s="20" t="n">
        <f aca="false">IF(G7529&lt;Parametres!$B$8*Parametres!$B$7,0,MIN(G7529,Parametres!$B$7))</f>
        <v>250</v>
      </c>
      <c r="I7529" s="20" t="n">
        <f aca="false">G7529-H7529</f>
        <v>166.54</v>
      </c>
      <c r="J7529" s="21" t="n">
        <f aca="false">H7529*1000/Parametres!$B$9</f>
        <v>4239.44378497541</v>
      </c>
    </row>
    <row r="7530" customFormat="false" ht="15" hidden="false" customHeight="false" outlineLevel="0" collapsed="false">
      <c r="A7530" s="0" t="n">
        <v>7526</v>
      </c>
      <c r="B7530" s="0" t="n">
        <v>11</v>
      </c>
      <c r="C7530" s="19" t="n">
        <v>0.6938</v>
      </c>
      <c r="D7530" s="19" t="n">
        <v>1</v>
      </c>
      <c r="E7530" s="20" t="n">
        <f aca="false">Parametres!$B$5*C7530</f>
        <v>208.14</v>
      </c>
      <c r="F7530" s="20" t="n">
        <f aca="false">Parametres!$B$6*D7530</f>
        <v>200</v>
      </c>
      <c r="G7530" s="20" t="n">
        <f aca="false">E7530+F7530</f>
        <v>408.14</v>
      </c>
      <c r="H7530" s="20" t="n">
        <f aca="false">IF(G7530&lt;Parametres!$B$8*Parametres!$B$7,0,MIN(G7530,Parametres!$B$7))</f>
        <v>250</v>
      </c>
      <c r="I7530" s="20" t="n">
        <f aca="false">G7530-H7530</f>
        <v>158.14</v>
      </c>
      <c r="J7530" s="21" t="n">
        <f aca="false">H7530*1000/Parametres!$B$9</f>
        <v>4239.44378497541</v>
      </c>
    </row>
    <row r="7531" customFormat="false" ht="15" hidden="false" customHeight="false" outlineLevel="0" collapsed="false">
      <c r="A7531" s="0" t="n">
        <v>7527</v>
      </c>
      <c r="B7531" s="0" t="n">
        <v>11</v>
      </c>
      <c r="C7531" s="19" t="n">
        <v>0.519</v>
      </c>
      <c r="D7531" s="19" t="n">
        <v>1</v>
      </c>
      <c r="E7531" s="20" t="n">
        <f aca="false">Parametres!$B$5*C7531</f>
        <v>155.7</v>
      </c>
      <c r="F7531" s="20" t="n">
        <f aca="false">Parametres!$B$6*D7531</f>
        <v>200</v>
      </c>
      <c r="G7531" s="20" t="n">
        <f aca="false">E7531+F7531</f>
        <v>355.7</v>
      </c>
      <c r="H7531" s="20" t="n">
        <f aca="false">IF(G7531&lt;Parametres!$B$8*Parametres!$B$7,0,MIN(G7531,Parametres!$B$7))</f>
        <v>250</v>
      </c>
      <c r="I7531" s="20" t="n">
        <f aca="false">G7531-H7531</f>
        <v>105.7</v>
      </c>
      <c r="J7531" s="21" t="n">
        <f aca="false">H7531*1000/Parametres!$B$9</f>
        <v>4239.44378497541</v>
      </c>
    </row>
    <row r="7532" customFormat="false" ht="15" hidden="false" customHeight="false" outlineLevel="0" collapsed="false">
      <c r="A7532" s="0" t="n">
        <v>7528</v>
      </c>
      <c r="B7532" s="0" t="n">
        <v>11</v>
      </c>
      <c r="C7532" s="19" t="n">
        <v>0.3375</v>
      </c>
      <c r="D7532" s="19" t="n">
        <v>1</v>
      </c>
      <c r="E7532" s="20" t="n">
        <f aca="false">Parametres!$B$5*C7532</f>
        <v>101.25</v>
      </c>
      <c r="F7532" s="20" t="n">
        <f aca="false">Parametres!$B$6*D7532</f>
        <v>200</v>
      </c>
      <c r="G7532" s="20" t="n">
        <f aca="false">E7532+F7532</f>
        <v>301.25</v>
      </c>
      <c r="H7532" s="20" t="n">
        <f aca="false">IF(G7532&lt;Parametres!$B$8*Parametres!$B$7,0,MIN(G7532,Parametres!$B$7))</f>
        <v>250</v>
      </c>
      <c r="I7532" s="20" t="n">
        <f aca="false">G7532-H7532</f>
        <v>51.25</v>
      </c>
      <c r="J7532" s="21" t="n">
        <f aca="false">H7532*1000/Parametres!$B$9</f>
        <v>4239.44378497541</v>
      </c>
    </row>
    <row r="7533" customFormat="false" ht="15" hidden="false" customHeight="false" outlineLevel="0" collapsed="false">
      <c r="A7533" s="0" t="n">
        <v>7529</v>
      </c>
      <c r="B7533" s="0" t="n">
        <v>11</v>
      </c>
      <c r="C7533" s="19" t="n">
        <v>0.1574</v>
      </c>
      <c r="D7533" s="19" t="n">
        <v>1</v>
      </c>
      <c r="E7533" s="20" t="n">
        <f aca="false">Parametres!$B$5*C7533</f>
        <v>47.22</v>
      </c>
      <c r="F7533" s="20" t="n">
        <f aca="false">Parametres!$B$6*D7533</f>
        <v>200</v>
      </c>
      <c r="G7533" s="20" t="n">
        <f aca="false">E7533+F7533</f>
        <v>247.22</v>
      </c>
      <c r="H7533" s="20" t="n">
        <f aca="false">IF(G7533&lt;Parametres!$B$8*Parametres!$B$7,0,MIN(G7533,Parametres!$B$7))</f>
        <v>247.22</v>
      </c>
      <c r="I7533" s="20" t="n">
        <f aca="false">G7533-H7533</f>
        <v>0</v>
      </c>
      <c r="J7533" s="21" t="n">
        <f aca="false">H7533*1000/Parametres!$B$9</f>
        <v>4192.30117008648</v>
      </c>
    </row>
    <row r="7534" customFormat="false" ht="15" hidden="false" customHeight="false" outlineLevel="0" collapsed="false">
      <c r="A7534" s="0" t="n">
        <v>7530</v>
      </c>
      <c r="B7534" s="0" t="n">
        <v>11</v>
      </c>
      <c r="C7534" s="19" t="n">
        <v>0</v>
      </c>
      <c r="D7534" s="19" t="n">
        <v>1</v>
      </c>
      <c r="E7534" s="20" t="n">
        <f aca="false">Parametres!$B$5*C7534</f>
        <v>0</v>
      </c>
      <c r="F7534" s="20" t="n">
        <f aca="false">Parametres!$B$6*D7534</f>
        <v>200</v>
      </c>
      <c r="G7534" s="20" t="n">
        <f aca="false">E7534+F7534</f>
        <v>200</v>
      </c>
      <c r="H7534" s="20" t="n">
        <f aca="false">IF(G7534&lt;Parametres!$B$8*Parametres!$B$7,0,MIN(G7534,Parametres!$B$7))</f>
        <v>200</v>
      </c>
      <c r="I7534" s="20" t="n">
        <f aca="false">G7534-H7534</f>
        <v>0</v>
      </c>
      <c r="J7534" s="21" t="n">
        <f aca="false">H7534*1000/Parametres!$B$9</f>
        <v>3391.55502798033</v>
      </c>
    </row>
    <row r="7535" customFormat="false" ht="15" hidden="false" customHeight="false" outlineLevel="0" collapsed="false">
      <c r="A7535" s="0" t="n">
        <v>7531</v>
      </c>
      <c r="B7535" s="0" t="n">
        <v>11</v>
      </c>
      <c r="C7535" s="19" t="n">
        <v>0</v>
      </c>
      <c r="D7535" s="19" t="n">
        <v>1</v>
      </c>
      <c r="E7535" s="20" t="n">
        <f aca="false">Parametres!$B$5*C7535</f>
        <v>0</v>
      </c>
      <c r="F7535" s="20" t="n">
        <f aca="false">Parametres!$B$6*D7535</f>
        <v>200</v>
      </c>
      <c r="G7535" s="20" t="n">
        <f aca="false">E7535+F7535</f>
        <v>200</v>
      </c>
      <c r="H7535" s="20" t="n">
        <f aca="false">IF(G7535&lt;Parametres!$B$8*Parametres!$B$7,0,MIN(G7535,Parametres!$B$7))</f>
        <v>200</v>
      </c>
      <c r="I7535" s="20" t="n">
        <f aca="false">G7535-H7535</f>
        <v>0</v>
      </c>
      <c r="J7535" s="21" t="n">
        <f aca="false">H7535*1000/Parametres!$B$9</f>
        <v>3391.55502798033</v>
      </c>
    </row>
    <row r="7536" customFormat="false" ht="15" hidden="false" customHeight="false" outlineLevel="0" collapsed="false">
      <c r="A7536" s="0" t="n">
        <v>7532</v>
      </c>
      <c r="B7536" s="0" t="n">
        <v>11</v>
      </c>
      <c r="C7536" s="19" t="n">
        <v>0</v>
      </c>
      <c r="D7536" s="19" t="n">
        <v>1</v>
      </c>
      <c r="E7536" s="20" t="n">
        <f aca="false">Parametres!$B$5*C7536</f>
        <v>0</v>
      </c>
      <c r="F7536" s="20" t="n">
        <f aca="false">Parametres!$B$6*D7536</f>
        <v>200</v>
      </c>
      <c r="G7536" s="20" t="n">
        <f aca="false">E7536+F7536</f>
        <v>200</v>
      </c>
      <c r="H7536" s="20" t="n">
        <f aca="false">IF(G7536&lt;Parametres!$B$8*Parametres!$B$7,0,MIN(G7536,Parametres!$B$7))</f>
        <v>200</v>
      </c>
      <c r="I7536" s="20" t="n">
        <f aca="false">G7536-H7536</f>
        <v>0</v>
      </c>
      <c r="J7536" s="21" t="n">
        <f aca="false">H7536*1000/Parametres!$B$9</f>
        <v>3391.55502798033</v>
      </c>
    </row>
    <row r="7537" customFormat="false" ht="15" hidden="false" customHeight="false" outlineLevel="0" collapsed="false">
      <c r="A7537" s="0" t="n">
        <v>7533</v>
      </c>
      <c r="B7537" s="0" t="n">
        <v>11</v>
      </c>
      <c r="C7537" s="19" t="n">
        <v>0</v>
      </c>
      <c r="D7537" s="19" t="n">
        <v>1</v>
      </c>
      <c r="E7537" s="20" t="n">
        <f aca="false">Parametres!$B$5*C7537</f>
        <v>0</v>
      </c>
      <c r="F7537" s="20" t="n">
        <f aca="false">Parametres!$B$6*D7537</f>
        <v>200</v>
      </c>
      <c r="G7537" s="20" t="n">
        <f aca="false">E7537+F7537</f>
        <v>200</v>
      </c>
      <c r="H7537" s="20" t="n">
        <f aca="false">IF(G7537&lt;Parametres!$B$8*Parametres!$B$7,0,MIN(G7537,Parametres!$B$7))</f>
        <v>200</v>
      </c>
      <c r="I7537" s="20" t="n">
        <f aca="false">G7537-H7537</f>
        <v>0</v>
      </c>
      <c r="J7537" s="21" t="n">
        <f aca="false">H7537*1000/Parametres!$B$9</f>
        <v>3391.55502798033</v>
      </c>
    </row>
    <row r="7538" customFormat="false" ht="15" hidden="false" customHeight="false" outlineLevel="0" collapsed="false">
      <c r="A7538" s="0" t="n">
        <v>7534</v>
      </c>
      <c r="B7538" s="0" t="n">
        <v>11</v>
      </c>
      <c r="C7538" s="19" t="n">
        <v>0</v>
      </c>
      <c r="D7538" s="19" t="n">
        <v>1</v>
      </c>
      <c r="E7538" s="20" t="n">
        <f aca="false">Parametres!$B$5*C7538</f>
        <v>0</v>
      </c>
      <c r="F7538" s="20" t="n">
        <f aca="false">Parametres!$B$6*D7538</f>
        <v>200</v>
      </c>
      <c r="G7538" s="20" t="n">
        <f aca="false">E7538+F7538</f>
        <v>200</v>
      </c>
      <c r="H7538" s="20" t="n">
        <f aca="false">IF(G7538&lt;Parametres!$B$8*Parametres!$B$7,0,MIN(G7538,Parametres!$B$7))</f>
        <v>200</v>
      </c>
      <c r="I7538" s="20" t="n">
        <f aca="false">G7538-H7538</f>
        <v>0</v>
      </c>
      <c r="J7538" s="21" t="n">
        <f aca="false">H7538*1000/Parametres!$B$9</f>
        <v>3391.55502798033</v>
      </c>
    </row>
    <row r="7539" customFormat="false" ht="15" hidden="false" customHeight="false" outlineLevel="0" collapsed="false">
      <c r="A7539" s="0" t="n">
        <v>7535</v>
      </c>
      <c r="B7539" s="0" t="n">
        <v>11</v>
      </c>
      <c r="C7539" s="19" t="n">
        <v>0</v>
      </c>
      <c r="D7539" s="19" t="n">
        <v>1</v>
      </c>
      <c r="E7539" s="20" t="n">
        <f aca="false">Parametres!$B$5*C7539</f>
        <v>0</v>
      </c>
      <c r="F7539" s="20" t="n">
        <f aca="false">Parametres!$B$6*D7539</f>
        <v>200</v>
      </c>
      <c r="G7539" s="20" t="n">
        <f aca="false">E7539+F7539</f>
        <v>200</v>
      </c>
      <c r="H7539" s="20" t="n">
        <f aca="false">IF(G7539&lt;Parametres!$B$8*Parametres!$B$7,0,MIN(G7539,Parametres!$B$7))</f>
        <v>200</v>
      </c>
      <c r="I7539" s="20" t="n">
        <f aca="false">G7539-H7539</f>
        <v>0</v>
      </c>
      <c r="J7539" s="21" t="n">
        <f aca="false">H7539*1000/Parametres!$B$9</f>
        <v>3391.55502798033</v>
      </c>
    </row>
    <row r="7540" customFormat="false" ht="15" hidden="false" customHeight="false" outlineLevel="0" collapsed="false">
      <c r="A7540" s="0" t="n">
        <v>7536</v>
      </c>
      <c r="B7540" s="0" t="n">
        <v>11</v>
      </c>
      <c r="C7540" s="19" t="n">
        <v>0</v>
      </c>
      <c r="D7540" s="19" t="n">
        <v>1</v>
      </c>
      <c r="E7540" s="20" t="n">
        <f aca="false">Parametres!$B$5*C7540</f>
        <v>0</v>
      </c>
      <c r="F7540" s="20" t="n">
        <f aca="false">Parametres!$B$6*D7540</f>
        <v>200</v>
      </c>
      <c r="G7540" s="20" t="n">
        <f aca="false">E7540+F7540</f>
        <v>200</v>
      </c>
      <c r="H7540" s="20" t="n">
        <f aca="false">IF(G7540&lt;Parametres!$B$8*Parametres!$B$7,0,MIN(G7540,Parametres!$B$7))</f>
        <v>200</v>
      </c>
      <c r="I7540" s="20" t="n">
        <f aca="false">G7540-H7540</f>
        <v>0</v>
      </c>
      <c r="J7540" s="21" t="n">
        <f aca="false">H7540*1000/Parametres!$B$9</f>
        <v>3391.55502798033</v>
      </c>
    </row>
    <row r="7541" customFormat="false" ht="15" hidden="false" customHeight="false" outlineLevel="0" collapsed="false">
      <c r="A7541" s="0" t="n">
        <v>7537</v>
      </c>
      <c r="B7541" s="0" t="n">
        <v>11</v>
      </c>
      <c r="C7541" s="19" t="n">
        <v>0</v>
      </c>
      <c r="D7541" s="19" t="n">
        <v>1</v>
      </c>
      <c r="E7541" s="20" t="n">
        <f aca="false">Parametres!$B$5*C7541</f>
        <v>0</v>
      </c>
      <c r="F7541" s="20" t="n">
        <f aca="false">Parametres!$B$6*D7541</f>
        <v>200</v>
      </c>
      <c r="G7541" s="20" t="n">
        <f aca="false">E7541+F7541</f>
        <v>200</v>
      </c>
      <c r="H7541" s="20" t="n">
        <f aca="false">IF(G7541&lt;Parametres!$B$8*Parametres!$B$7,0,MIN(G7541,Parametres!$B$7))</f>
        <v>200</v>
      </c>
      <c r="I7541" s="20" t="n">
        <f aca="false">G7541-H7541</f>
        <v>0</v>
      </c>
      <c r="J7541" s="21" t="n">
        <f aca="false">H7541*1000/Parametres!$B$9</f>
        <v>3391.55502798033</v>
      </c>
    </row>
    <row r="7542" customFormat="false" ht="15" hidden="false" customHeight="false" outlineLevel="0" collapsed="false">
      <c r="A7542" s="0" t="n">
        <v>7538</v>
      </c>
      <c r="B7542" s="0" t="n">
        <v>11</v>
      </c>
      <c r="C7542" s="19" t="n">
        <v>0</v>
      </c>
      <c r="D7542" s="19" t="n">
        <v>1</v>
      </c>
      <c r="E7542" s="20" t="n">
        <f aca="false">Parametres!$B$5*C7542</f>
        <v>0</v>
      </c>
      <c r="F7542" s="20" t="n">
        <f aca="false">Parametres!$B$6*D7542</f>
        <v>200</v>
      </c>
      <c r="G7542" s="20" t="n">
        <f aca="false">E7542+F7542</f>
        <v>200</v>
      </c>
      <c r="H7542" s="20" t="n">
        <f aca="false">IF(G7542&lt;Parametres!$B$8*Parametres!$B$7,0,MIN(G7542,Parametres!$B$7))</f>
        <v>200</v>
      </c>
      <c r="I7542" s="20" t="n">
        <f aca="false">G7542-H7542</f>
        <v>0</v>
      </c>
      <c r="J7542" s="21" t="n">
        <f aca="false">H7542*1000/Parametres!$B$9</f>
        <v>3391.55502798033</v>
      </c>
    </row>
    <row r="7543" customFormat="false" ht="15" hidden="false" customHeight="false" outlineLevel="0" collapsed="false">
      <c r="A7543" s="0" t="n">
        <v>7539</v>
      </c>
      <c r="B7543" s="0" t="n">
        <v>11</v>
      </c>
      <c r="C7543" s="19" t="n">
        <v>0</v>
      </c>
      <c r="D7543" s="19" t="n">
        <v>0.9966</v>
      </c>
      <c r="E7543" s="20" t="n">
        <f aca="false">Parametres!$B$5*C7543</f>
        <v>0</v>
      </c>
      <c r="F7543" s="20" t="n">
        <f aca="false">Parametres!$B$6*D7543</f>
        <v>199.32</v>
      </c>
      <c r="G7543" s="20" t="n">
        <f aca="false">E7543+F7543</f>
        <v>199.32</v>
      </c>
      <c r="H7543" s="20" t="n">
        <f aca="false">IF(G7543&lt;Parametres!$B$8*Parametres!$B$7,0,MIN(G7543,Parametres!$B$7))</f>
        <v>199.32</v>
      </c>
      <c r="I7543" s="20" t="n">
        <f aca="false">G7543-H7543</f>
        <v>0</v>
      </c>
      <c r="J7543" s="21" t="n">
        <f aca="false">H7543*1000/Parametres!$B$9</f>
        <v>3380.0237408852</v>
      </c>
    </row>
    <row r="7544" customFormat="false" ht="15" hidden="false" customHeight="false" outlineLevel="0" collapsed="false">
      <c r="A7544" s="0" t="n">
        <v>7540</v>
      </c>
      <c r="B7544" s="0" t="n">
        <v>11</v>
      </c>
      <c r="C7544" s="19" t="n">
        <v>0</v>
      </c>
      <c r="D7544" s="19" t="n">
        <v>1</v>
      </c>
      <c r="E7544" s="20" t="n">
        <f aca="false">Parametres!$B$5*C7544</f>
        <v>0</v>
      </c>
      <c r="F7544" s="20" t="n">
        <f aca="false">Parametres!$B$6*D7544</f>
        <v>200</v>
      </c>
      <c r="G7544" s="20" t="n">
        <f aca="false">E7544+F7544</f>
        <v>200</v>
      </c>
      <c r="H7544" s="20" t="n">
        <f aca="false">IF(G7544&lt;Parametres!$B$8*Parametres!$B$7,0,MIN(G7544,Parametres!$B$7))</f>
        <v>200</v>
      </c>
      <c r="I7544" s="20" t="n">
        <f aca="false">G7544-H7544</f>
        <v>0</v>
      </c>
      <c r="J7544" s="21" t="n">
        <f aca="false">H7544*1000/Parametres!$B$9</f>
        <v>3391.55502798033</v>
      </c>
    </row>
    <row r="7545" customFormat="false" ht="15" hidden="false" customHeight="false" outlineLevel="0" collapsed="false">
      <c r="A7545" s="0" t="n">
        <v>7541</v>
      </c>
      <c r="B7545" s="0" t="n">
        <v>11</v>
      </c>
      <c r="C7545" s="19" t="n">
        <v>0</v>
      </c>
      <c r="D7545" s="19" t="n">
        <v>0.6585</v>
      </c>
      <c r="E7545" s="20" t="n">
        <f aca="false">Parametres!$B$5*C7545</f>
        <v>0</v>
      </c>
      <c r="F7545" s="20" t="n">
        <f aca="false">Parametres!$B$6*D7545</f>
        <v>131.7</v>
      </c>
      <c r="G7545" s="20" t="n">
        <f aca="false">E7545+F7545</f>
        <v>131.7</v>
      </c>
      <c r="H7545" s="20" t="n">
        <f aca="false">IF(G7545&lt;Parametres!$B$8*Parametres!$B$7,0,MIN(G7545,Parametres!$B$7))</f>
        <v>131.7</v>
      </c>
      <c r="I7545" s="20" t="n">
        <f aca="false">G7545-H7545</f>
        <v>0</v>
      </c>
      <c r="J7545" s="21" t="n">
        <f aca="false">H7545*1000/Parametres!$B$9</f>
        <v>2233.33898592505</v>
      </c>
    </row>
    <row r="7546" customFormat="false" ht="15" hidden="false" customHeight="false" outlineLevel="0" collapsed="false">
      <c r="A7546" s="0" t="n">
        <v>7542</v>
      </c>
      <c r="B7546" s="0" t="n">
        <v>11</v>
      </c>
      <c r="C7546" s="19" t="n">
        <v>0</v>
      </c>
      <c r="D7546" s="19" t="n">
        <v>0.7298</v>
      </c>
      <c r="E7546" s="20" t="n">
        <f aca="false">Parametres!$B$5*C7546</f>
        <v>0</v>
      </c>
      <c r="F7546" s="20" t="n">
        <f aca="false">Parametres!$B$6*D7546</f>
        <v>145.96</v>
      </c>
      <c r="G7546" s="20" t="n">
        <f aca="false">E7546+F7546</f>
        <v>145.96</v>
      </c>
      <c r="H7546" s="20" t="n">
        <f aca="false">IF(G7546&lt;Parametres!$B$8*Parametres!$B$7,0,MIN(G7546,Parametres!$B$7))</f>
        <v>145.96</v>
      </c>
      <c r="I7546" s="20" t="n">
        <f aca="false">G7546-H7546</f>
        <v>0</v>
      </c>
      <c r="J7546" s="21" t="n">
        <f aca="false">H7546*1000/Parametres!$B$9</f>
        <v>2475.15685942004</v>
      </c>
    </row>
    <row r="7547" customFormat="false" ht="15" hidden="false" customHeight="false" outlineLevel="0" collapsed="false">
      <c r="A7547" s="0" t="n">
        <v>7543</v>
      </c>
      <c r="B7547" s="0" t="n">
        <v>11</v>
      </c>
      <c r="C7547" s="19" t="n">
        <v>0</v>
      </c>
      <c r="D7547" s="19" t="n">
        <v>0.4762</v>
      </c>
      <c r="E7547" s="20" t="n">
        <f aca="false">Parametres!$B$5*C7547</f>
        <v>0</v>
      </c>
      <c r="F7547" s="20" t="n">
        <f aca="false">Parametres!$B$6*D7547</f>
        <v>95.24</v>
      </c>
      <c r="G7547" s="20" t="n">
        <f aca="false">E7547+F7547</f>
        <v>95.24</v>
      </c>
      <c r="H7547" s="20" t="n">
        <f aca="false">IF(G7547&lt;Parametres!$B$8*Parametres!$B$7,0,MIN(G7547,Parametres!$B$7))</f>
        <v>95.24</v>
      </c>
      <c r="I7547" s="20" t="n">
        <f aca="false">G7547-H7547</f>
        <v>0</v>
      </c>
      <c r="J7547" s="21" t="n">
        <f aca="false">H7547*1000/Parametres!$B$9</f>
        <v>1615.05850432423</v>
      </c>
    </row>
    <row r="7548" customFormat="false" ht="15" hidden="false" customHeight="false" outlineLevel="0" collapsed="false">
      <c r="A7548" s="0" t="n">
        <v>7544</v>
      </c>
      <c r="B7548" s="0" t="n">
        <v>11</v>
      </c>
      <c r="C7548" s="19" t="n">
        <v>0.1648</v>
      </c>
      <c r="D7548" s="19" t="n">
        <v>0.3497</v>
      </c>
      <c r="E7548" s="20" t="n">
        <f aca="false">Parametres!$B$5*C7548</f>
        <v>49.44</v>
      </c>
      <c r="F7548" s="20" t="n">
        <f aca="false">Parametres!$B$6*D7548</f>
        <v>69.94</v>
      </c>
      <c r="G7548" s="20" t="n">
        <f aca="false">E7548+F7548</f>
        <v>119.38</v>
      </c>
      <c r="H7548" s="20" t="n">
        <f aca="false">IF(G7548&lt;Parametres!$B$8*Parametres!$B$7,0,MIN(G7548,Parametres!$B$7))</f>
        <v>119.38</v>
      </c>
      <c r="I7548" s="20" t="n">
        <f aca="false">G7548-H7548</f>
        <v>0</v>
      </c>
      <c r="J7548" s="21" t="n">
        <f aca="false">H7548*1000/Parametres!$B$9</f>
        <v>2024.41919620146</v>
      </c>
    </row>
    <row r="7549" customFormat="false" ht="15" hidden="false" customHeight="false" outlineLevel="0" collapsed="false">
      <c r="A7549" s="0" t="n">
        <v>7545</v>
      </c>
      <c r="B7549" s="0" t="n">
        <v>11</v>
      </c>
      <c r="C7549" s="19" t="n">
        <v>0.3675</v>
      </c>
      <c r="D7549" s="19" t="n">
        <v>0.3654</v>
      </c>
      <c r="E7549" s="20" t="n">
        <f aca="false">Parametres!$B$5*C7549</f>
        <v>110.25</v>
      </c>
      <c r="F7549" s="20" t="n">
        <f aca="false">Parametres!$B$6*D7549</f>
        <v>73.08</v>
      </c>
      <c r="G7549" s="20" t="n">
        <f aca="false">E7549+F7549</f>
        <v>183.33</v>
      </c>
      <c r="H7549" s="20" t="n">
        <f aca="false">IF(G7549&lt;Parametres!$B$8*Parametres!$B$7,0,MIN(G7549,Parametres!$B$7))</f>
        <v>183.33</v>
      </c>
      <c r="I7549" s="20" t="n">
        <f aca="false">G7549-H7549</f>
        <v>0</v>
      </c>
      <c r="J7549" s="21" t="n">
        <f aca="false">H7549*1000/Parametres!$B$9</f>
        <v>3108.86891639817</v>
      </c>
    </row>
    <row r="7550" customFormat="false" ht="15" hidden="false" customHeight="false" outlineLevel="0" collapsed="false">
      <c r="A7550" s="0" t="n">
        <v>7546</v>
      </c>
      <c r="B7550" s="0" t="n">
        <v>11</v>
      </c>
      <c r="C7550" s="19" t="n">
        <v>0.5873</v>
      </c>
      <c r="D7550" s="19" t="n">
        <v>0.413</v>
      </c>
      <c r="E7550" s="20" t="n">
        <f aca="false">Parametres!$B$5*C7550</f>
        <v>176.19</v>
      </c>
      <c r="F7550" s="20" t="n">
        <f aca="false">Parametres!$B$6*D7550</f>
        <v>82.6</v>
      </c>
      <c r="G7550" s="20" t="n">
        <f aca="false">E7550+F7550</f>
        <v>258.79</v>
      </c>
      <c r="H7550" s="20" t="n">
        <f aca="false">IF(G7550&lt;Parametres!$B$8*Parametres!$B$7,0,MIN(G7550,Parametres!$B$7))</f>
        <v>250</v>
      </c>
      <c r="I7550" s="20" t="n">
        <f aca="false">G7550-H7550</f>
        <v>8.79000000000002</v>
      </c>
      <c r="J7550" s="21" t="n">
        <f aca="false">H7550*1000/Parametres!$B$9</f>
        <v>4239.44378497541</v>
      </c>
    </row>
    <row r="7551" customFormat="false" ht="15" hidden="false" customHeight="false" outlineLevel="0" collapsed="false">
      <c r="A7551" s="0" t="n">
        <v>7547</v>
      </c>
      <c r="B7551" s="0" t="n">
        <v>11</v>
      </c>
      <c r="C7551" s="19" t="n">
        <v>0.6924</v>
      </c>
      <c r="D7551" s="19" t="n">
        <v>0.5781</v>
      </c>
      <c r="E7551" s="20" t="n">
        <f aca="false">Parametres!$B$5*C7551</f>
        <v>207.72</v>
      </c>
      <c r="F7551" s="20" t="n">
        <f aca="false">Parametres!$B$6*D7551</f>
        <v>115.62</v>
      </c>
      <c r="G7551" s="20" t="n">
        <f aca="false">E7551+F7551</f>
        <v>323.34</v>
      </c>
      <c r="H7551" s="20" t="n">
        <f aca="false">IF(G7551&lt;Parametres!$B$8*Parametres!$B$7,0,MIN(G7551,Parametres!$B$7))</f>
        <v>250</v>
      </c>
      <c r="I7551" s="20" t="n">
        <f aca="false">G7551-H7551</f>
        <v>73.34</v>
      </c>
      <c r="J7551" s="21" t="n">
        <f aca="false">H7551*1000/Parametres!$B$9</f>
        <v>4239.44378497541</v>
      </c>
    </row>
    <row r="7552" customFormat="false" ht="15" hidden="false" customHeight="false" outlineLevel="0" collapsed="false">
      <c r="A7552" s="0" t="n">
        <v>7548</v>
      </c>
      <c r="B7552" s="0" t="n">
        <v>11</v>
      </c>
      <c r="C7552" s="19" t="n">
        <v>0.8063</v>
      </c>
      <c r="D7552" s="19" t="n">
        <v>0.785</v>
      </c>
      <c r="E7552" s="20" t="n">
        <f aca="false">Parametres!$B$5*C7552</f>
        <v>241.89</v>
      </c>
      <c r="F7552" s="20" t="n">
        <f aca="false">Parametres!$B$6*D7552</f>
        <v>157</v>
      </c>
      <c r="G7552" s="20" t="n">
        <f aca="false">E7552+F7552</f>
        <v>398.89</v>
      </c>
      <c r="H7552" s="20" t="n">
        <f aca="false">IF(G7552&lt;Parametres!$B$8*Parametres!$B$7,0,MIN(G7552,Parametres!$B$7))</f>
        <v>250</v>
      </c>
      <c r="I7552" s="20" t="n">
        <f aca="false">G7552-H7552</f>
        <v>148.89</v>
      </c>
      <c r="J7552" s="21" t="n">
        <f aca="false">H7552*1000/Parametres!$B$9</f>
        <v>4239.44378497541</v>
      </c>
    </row>
    <row r="7553" customFormat="false" ht="15" hidden="false" customHeight="false" outlineLevel="0" collapsed="false">
      <c r="A7553" s="0" t="n">
        <v>7549</v>
      </c>
      <c r="B7553" s="0" t="n">
        <v>11</v>
      </c>
      <c r="C7553" s="19" t="n">
        <v>0.7451</v>
      </c>
      <c r="D7553" s="19" t="n">
        <v>0.8384</v>
      </c>
      <c r="E7553" s="20" t="n">
        <f aca="false">Parametres!$B$5*C7553</f>
        <v>223.53</v>
      </c>
      <c r="F7553" s="20" t="n">
        <f aca="false">Parametres!$B$6*D7553</f>
        <v>167.68</v>
      </c>
      <c r="G7553" s="20" t="n">
        <f aca="false">E7553+F7553</f>
        <v>391.21</v>
      </c>
      <c r="H7553" s="20" t="n">
        <f aca="false">IF(G7553&lt;Parametres!$B$8*Parametres!$B$7,0,MIN(G7553,Parametres!$B$7))</f>
        <v>250</v>
      </c>
      <c r="I7553" s="20" t="n">
        <f aca="false">G7553-H7553</f>
        <v>141.21</v>
      </c>
      <c r="J7553" s="21" t="n">
        <f aca="false">H7553*1000/Parametres!$B$9</f>
        <v>4239.44378497541</v>
      </c>
    </row>
    <row r="7554" customFormat="false" ht="15" hidden="false" customHeight="false" outlineLevel="0" collapsed="false">
      <c r="A7554" s="0" t="n">
        <v>7550</v>
      </c>
      <c r="B7554" s="0" t="n">
        <v>11</v>
      </c>
      <c r="C7554" s="19" t="n">
        <v>0.7121</v>
      </c>
      <c r="D7554" s="19" t="n">
        <v>1</v>
      </c>
      <c r="E7554" s="20" t="n">
        <f aca="false">Parametres!$B$5*C7554</f>
        <v>213.63</v>
      </c>
      <c r="F7554" s="20" t="n">
        <f aca="false">Parametres!$B$6*D7554</f>
        <v>200</v>
      </c>
      <c r="G7554" s="20" t="n">
        <f aca="false">E7554+F7554</f>
        <v>413.63</v>
      </c>
      <c r="H7554" s="20" t="n">
        <f aca="false">IF(G7554&lt;Parametres!$B$8*Parametres!$B$7,0,MIN(G7554,Parametres!$B$7))</f>
        <v>250</v>
      </c>
      <c r="I7554" s="20" t="n">
        <f aca="false">G7554-H7554</f>
        <v>163.63</v>
      </c>
      <c r="J7554" s="21" t="n">
        <f aca="false">H7554*1000/Parametres!$B$9</f>
        <v>4239.44378497541</v>
      </c>
    </row>
    <row r="7555" customFormat="false" ht="15" hidden="false" customHeight="false" outlineLevel="0" collapsed="false">
      <c r="A7555" s="0" t="n">
        <v>7551</v>
      </c>
      <c r="B7555" s="0" t="n">
        <v>11</v>
      </c>
      <c r="C7555" s="19" t="n">
        <v>0.5787</v>
      </c>
      <c r="D7555" s="19" t="n">
        <v>1</v>
      </c>
      <c r="E7555" s="20" t="n">
        <f aca="false">Parametres!$B$5*C7555</f>
        <v>173.61</v>
      </c>
      <c r="F7555" s="20" t="n">
        <f aca="false">Parametres!$B$6*D7555</f>
        <v>200</v>
      </c>
      <c r="G7555" s="20" t="n">
        <f aca="false">E7555+F7555</f>
        <v>373.61</v>
      </c>
      <c r="H7555" s="20" t="n">
        <f aca="false">IF(G7555&lt;Parametres!$B$8*Parametres!$B$7,0,MIN(G7555,Parametres!$B$7))</f>
        <v>250</v>
      </c>
      <c r="I7555" s="20" t="n">
        <f aca="false">G7555-H7555</f>
        <v>123.61</v>
      </c>
      <c r="J7555" s="21" t="n">
        <f aca="false">H7555*1000/Parametres!$B$9</f>
        <v>4239.44378497541</v>
      </c>
    </row>
    <row r="7556" customFormat="false" ht="15" hidden="false" customHeight="false" outlineLevel="0" collapsed="false">
      <c r="A7556" s="0" t="n">
        <v>7552</v>
      </c>
      <c r="B7556" s="0" t="n">
        <v>11</v>
      </c>
      <c r="C7556" s="19" t="n">
        <v>0.3914</v>
      </c>
      <c r="D7556" s="19" t="n">
        <v>0.9821</v>
      </c>
      <c r="E7556" s="20" t="n">
        <f aca="false">Parametres!$B$5*C7556</f>
        <v>117.42</v>
      </c>
      <c r="F7556" s="20" t="n">
        <f aca="false">Parametres!$B$6*D7556</f>
        <v>196.42</v>
      </c>
      <c r="G7556" s="20" t="n">
        <f aca="false">E7556+F7556</f>
        <v>313.84</v>
      </c>
      <c r="H7556" s="20" t="n">
        <f aca="false">IF(G7556&lt;Parametres!$B$8*Parametres!$B$7,0,MIN(G7556,Parametres!$B$7))</f>
        <v>250</v>
      </c>
      <c r="I7556" s="20" t="n">
        <f aca="false">G7556-H7556</f>
        <v>63.84</v>
      </c>
      <c r="J7556" s="21" t="n">
        <f aca="false">H7556*1000/Parametres!$B$9</f>
        <v>4239.44378497541</v>
      </c>
    </row>
    <row r="7557" customFormat="false" ht="15" hidden="false" customHeight="false" outlineLevel="0" collapsed="false">
      <c r="A7557" s="0" t="n">
        <v>7553</v>
      </c>
      <c r="B7557" s="0" t="n">
        <v>11</v>
      </c>
      <c r="C7557" s="19" t="n">
        <v>0.1609</v>
      </c>
      <c r="D7557" s="19" t="n">
        <v>1</v>
      </c>
      <c r="E7557" s="20" t="n">
        <f aca="false">Parametres!$B$5*C7557</f>
        <v>48.27</v>
      </c>
      <c r="F7557" s="20" t="n">
        <f aca="false">Parametres!$B$6*D7557</f>
        <v>200</v>
      </c>
      <c r="G7557" s="20" t="n">
        <f aca="false">E7557+F7557</f>
        <v>248.27</v>
      </c>
      <c r="H7557" s="20" t="n">
        <f aca="false">IF(G7557&lt;Parametres!$B$8*Parametres!$B$7,0,MIN(G7557,Parametres!$B$7))</f>
        <v>248.27</v>
      </c>
      <c r="I7557" s="20" t="n">
        <f aca="false">G7557-H7557</f>
        <v>0</v>
      </c>
      <c r="J7557" s="21" t="n">
        <f aca="false">H7557*1000/Parametres!$B$9</f>
        <v>4210.10683398338</v>
      </c>
    </row>
    <row r="7558" customFormat="false" ht="15" hidden="false" customHeight="false" outlineLevel="0" collapsed="false">
      <c r="A7558" s="0" t="n">
        <v>7554</v>
      </c>
      <c r="B7558" s="0" t="n">
        <v>11</v>
      </c>
      <c r="C7558" s="19" t="n">
        <v>0</v>
      </c>
      <c r="D7558" s="19" t="n">
        <v>1</v>
      </c>
      <c r="E7558" s="20" t="n">
        <f aca="false">Parametres!$B$5*C7558</f>
        <v>0</v>
      </c>
      <c r="F7558" s="20" t="n">
        <f aca="false">Parametres!$B$6*D7558</f>
        <v>200</v>
      </c>
      <c r="G7558" s="20" t="n">
        <f aca="false">E7558+F7558</f>
        <v>200</v>
      </c>
      <c r="H7558" s="20" t="n">
        <f aca="false">IF(G7558&lt;Parametres!$B$8*Parametres!$B$7,0,MIN(G7558,Parametres!$B$7))</f>
        <v>200</v>
      </c>
      <c r="I7558" s="20" t="n">
        <f aca="false">G7558-H7558</f>
        <v>0</v>
      </c>
      <c r="J7558" s="21" t="n">
        <f aca="false">H7558*1000/Parametres!$B$9</f>
        <v>3391.55502798033</v>
      </c>
    </row>
    <row r="7559" customFormat="false" ht="15" hidden="false" customHeight="false" outlineLevel="0" collapsed="false">
      <c r="A7559" s="0" t="n">
        <v>7555</v>
      </c>
      <c r="B7559" s="0" t="n">
        <v>11</v>
      </c>
      <c r="C7559" s="19" t="n">
        <v>0</v>
      </c>
      <c r="D7559" s="19" t="n">
        <v>1</v>
      </c>
      <c r="E7559" s="20" t="n">
        <f aca="false">Parametres!$B$5*C7559</f>
        <v>0</v>
      </c>
      <c r="F7559" s="20" t="n">
        <f aca="false">Parametres!$B$6*D7559</f>
        <v>200</v>
      </c>
      <c r="G7559" s="20" t="n">
        <f aca="false">E7559+F7559</f>
        <v>200</v>
      </c>
      <c r="H7559" s="20" t="n">
        <f aca="false">IF(G7559&lt;Parametres!$B$8*Parametres!$B$7,0,MIN(G7559,Parametres!$B$7))</f>
        <v>200</v>
      </c>
      <c r="I7559" s="20" t="n">
        <f aca="false">G7559-H7559</f>
        <v>0</v>
      </c>
      <c r="J7559" s="21" t="n">
        <f aca="false">H7559*1000/Parametres!$B$9</f>
        <v>3391.55502798033</v>
      </c>
    </row>
    <row r="7560" customFormat="false" ht="15" hidden="false" customHeight="false" outlineLevel="0" collapsed="false">
      <c r="A7560" s="0" t="n">
        <v>7556</v>
      </c>
      <c r="B7560" s="0" t="n">
        <v>11</v>
      </c>
      <c r="C7560" s="19" t="n">
        <v>0</v>
      </c>
      <c r="D7560" s="19" t="n">
        <v>1</v>
      </c>
      <c r="E7560" s="20" t="n">
        <f aca="false">Parametres!$B$5*C7560</f>
        <v>0</v>
      </c>
      <c r="F7560" s="20" t="n">
        <f aca="false">Parametres!$B$6*D7560</f>
        <v>200</v>
      </c>
      <c r="G7560" s="20" t="n">
        <f aca="false">E7560+F7560</f>
        <v>200</v>
      </c>
      <c r="H7560" s="20" t="n">
        <f aca="false">IF(G7560&lt;Parametres!$B$8*Parametres!$B$7,0,MIN(G7560,Parametres!$B$7))</f>
        <v>200</v>
      </c>
      <c r="I7560" s="20" t="n">
        <f aca="false">G7560-H7560</f>
        <v>0</v>
      </c>
      <c r="J7560" s="21" t="n">
        <f aca="false">H7560*1000/Parametres!$B$9</f>
        <v>3391.55502798033</v>
      </c>
    </row>
    <row r="7561" customFormat="false" ht="15" hidden="false" customHeight="false" outlineLevel="0" collapsed="false">
      <c r="A7561" s="0" t="n">
        <v>7557</v>
      </c>
      <c r="B7561" s="0" t="n">
        <v>11</v>
      </c>
      <c r="C7561" s="19" t="n">
        <v>0</v>
      </c>
      <c r="D7561" s="19" t="n">
        <v>1</v>
      </c>
      <c r="E7561" s="20" t="n">
        <f aca="false">Parametres!$B$5*C7561</f>
        <v>0</v>
      </c>
      <c r="F7561" s="20" t="n">
        <f aca="false">Parametres!$B$6*D7561</f>
        <v>200</v>
      </c>
      <c r="G7561" s="20" t="n">
        <f aca="false">E7561+F7561</f>
        <v>200</v>
      </c>
      <c r="H7561" s="20" t="n">
        <f aca="false">IF(G7561&lt;Parametres!$B$8*Parametres!$B$7,0,MIN(G7561,Parametres!$B$7))</f>
        <v>200</v>
      </c>
      <c r="I7561" s="20" t="n">
        <f aca="false">G7561-H7561</f>
        <v>0</v>
      </c>
      <c r="J7561" s="21" t="n">
        <f aca="false">H7561*1000/Parametres!$B$9</f>
        <v>3391.55502798033</v>
      </c>
    </row>
    <row r="7562" customFormat="false" ht="15" hidden="false" customHeight="false" outlineLevel="0" collapsed="false">
      <c r="A7562" s="0" t="n">
        <v>7558</v>
      </c>
      <c r="B7562" s="0" t="n">
        <v>11</v>
      </c>
      <c r="C7562" s="19" t="n">
        <v>0</v>
      </c>
      <c r="D7562" s="19" t="n">
        <v>1</v>
      </c>
      <c r="E7562" s="20" t="n">
        <f aca="false">Parametres!$B$5*C7562</f>
        <v>0</v>
      </c>
      <c r="F7562" s="20" t="n">
        <f aca="false">Parametres!$B$6*D7562</f>
        <v>200</v>
      </c>
      <c r="G7562" s="20" t="n">
        <f aca="false">E7562+F7562</f>
        <v>200</v>
      </c>
      <c r="H7562" s="20" t="n">
        <f aca="false">IF(G7562&lt;Parametres!$B$8*Parametres!$B$7,0,MIN(G7562,Parametres!$B$7))</f>
        <v>200</v>
      </c>
      <c r="I7562" s="20" t="n">
        <f aca="false">G7562-H7562</f>
        <v>0</v>
      </c>
      <c r="J7562" s="21" t="n">
        <f aca="false">H7562*1000/Parametres!$B$9</f>
        <v>3391.55502798033</v>
      </c>
    </row>
    <row r="7563" customFormat="false" ht="15" hidden="false" customHeight="false" outlineLevel="0" collapsed="false">
      <c r="A7563" s="0" t="n">
        <v>7559</v>
      </c>
      <c r="B7563" s="0" t="n">
        <v>11</v>
      </c>
      <c r="C7563" s="19" t="n">
        <v>0</v>
      </c>
      <c r="D7563" s="19" t="n">
        <v>1</v>
      </c>
      <c r="E7563" s="20" t="n">
        <f aca="false">Parametres!$B$5*C7563</f>
        <v>0</v>
      </c>
      <c r="F7563" s="20" t="n">
        <f aca="false">Parametres!$B$6*D7563</f>
        <v>200</v>
      </c>
      <c r="G7563" s="20" t="n">
        <f aca="false">E7563+F7563</f>
        <v>200</v>
      </c>
      <c r="H7563" s="20" t="n">
        <f aca="false">IF(G7563&lt;Parametres!$B$8*Parametres!$B$7,0,MIN(G7563,Parametres!$B$7))</f>
        <v>200</v>
      </c>
      <c r="I7563" s="20" t="n">
        <f aca="false">G7563-H7563</f>
        <v>0</v>
      </c>
      <c r="J7563" s="21" t="n">
        <f aca="false">H7563*1000/Parametres!$B$9</f>
        <v>3391.55502798033</v>
      </c>
    </row>
    <row r="7564" customFormat="false" ht="15" hidden="false" customHeight="false" outlineLevel="0" collapsed="false">
      <c r="A7564" s="0" t="n">
        <v>7560</v>
      </c>
      <c r="B7564" s="0" t="n">
        <v>11</v>
      </c>
      <c r="C7564" s="19" t="n">
        <v>0</v>
      </c>
      <c r="D7564" s="19" t="n">
        <v>1</v>
      </c>
      <c r="E7564" s="20" t="n">
        <f aca="false">Parametres!$B$5*C7564</f>
        <v>0</v>
      </c>
      <c r="F7564" s="20" t="n">
        <f aca="false">Parametres!$B$6*D7564</f>
        <v>200</v>
      </c>
      <c r="G7564" s="20" t="n">
        <f aca="false">E7564+F7564</f>
        <v>200</v>
      </c>
      <c r="H7564" s="20" t="n">
        <f aca="false">IF(G7564&lt;Parametres!$B$8*Parametres!$B$7,0,MIN(G7564,Parametres!$B$7))</f>
        <v>200</v>
      </c>
      <c r="I7564" s="20" t="n">
        <f aca="false">G7564-H7564</f>
        <v>0</v>
      </c>
      <c r="J7564" s="21" t="n">
        <f aca="false">H7564*1000/Parametres!$B$9</f>
        <v>3391.55502798033</v>
      </c>
    </row>
    <row r="7565" customFormat="false" ht="15" hidden="false" customHeight="false" outlineLevel="0" collapsed="false">
      <c r="A7565" s="0" t="n">
        <v>7561</v>
      </c>
      <c r="B7565" s="0" t="n">
        <v>11</v>
      </c>
      <c r="C7565" s="19" t="n">
        <v>0</v>
      </c>
      <c r="D7565" s="19" t="n">
        <v>1</v>
      </c>
      <c r="E7565" s="20" t="n">
        <f aca="false">Parametres!$B$5*C7565</f>
        <v>0</v>
      </c>
      <c r="F7565" s="20" t="n">
        <f aca="false">Parametres!$B$6*D7565</f>
        <v>200</v>
      </c>
      <c r="G7565" s="20" t="n">
        <f aca="false">E7565+F7565</f>
        <v>200</v>
      </c>
      <c r="H7565" s="20" t="n">
        <f aca="false">IF(G7565&lt;Parametres!$B$8*Parametres!$B$7,0,MIN(G7565,Parametres!$B$7))</f>
        <v>200</v>
      </c>
      <c r="I7565" s="20" t="n">
        <f aca="false">G7565-H7565</f>
        <v>0</v>
      </c>
      <c r="J7565" s="21" t="n">
        <f aca="false">H7565*1000/Parametres!$B$9</f>
        <v>3391.55502798033</v>
      </c>
    </row>
    <row r="7566" customFormat="false" ht="15" hidden="false" customHeight="false" outlineLevel="0" collapsed="false">
      <c r="A7566" s="0" t="n">
        <v>7562</v>
      </c>
      <c r="B7566" s="0" t="n">
        <v>11</v>
      </c>
      <c r="C7566" s="19" t="n">
        <v>0</v>
      </c>
      <c r="D7566" s="19" t="n">
        <v>0.9608</v>
      </c>
      <c r="E7566" s="20" t="n">
        <f aca="false">Parametres!$B$5*C7566</f>
        <v>0</v>
      </c>
      <c r="F7566" s="20" t="n">
        <f aca="false">Parametres!$B$6*D7566</f>
        <v>192.16</v>
      </c>
      <c r="G7566" s="20" t="n">
        <f aca="false">E7566+F7566</f>
        <v>192.16</v>
      </c>
      <c r="H7566" s="20" t="n">
        <f aca="false">IF(G7566&lt;Parametres!$B$8*Parametres!$B$7,0,MIN(G7566,Parametres!$B$7))</f>
        <v>192.16</v>
      </c>
      <c r="I7566" s="20" t="n">
        <f aca="false">G7566-H7566</f>
        <v>0</v>
      </c>
      <c r="J7566" s="21" t="n">
        <f aca="false">H7566*1000/Parametres!$B$9</f>
        <v>3258.6060708835</v>
      </c>
    </row>
    <row r="7567" customFormat="false" ht="15" hidden="false" customHeight="false" outlineLevel="0" collapsed="false">
      <c r="A7567" s="0" t="n">
        <v>7563</v>
      </c>
      <c r="B7567" s="0" t="n">
        <v>11</v>
      </c>
      <c r="C7567" s="19" t="n">
        <v>0</v>
      </c>
      <c r="D7567" s="19" t="n">
        <v>0.5737</v>
      </c>
      <c r="E7567" s="20" t="n">
        <f aca="false">Parametres!$B$5*C7567</f>
        <v>0</v>
      </c>
      <c r="F7567" s="20" t="n">
        <f aca="false">Parametres!$B$6*D7567</f>
        <v>114.74</v>
      </c>
      <c r="G7567" s="20" t="n">
        <f aca="false">E7567+F7567</f>
        <v>114.74</v>
      </c>
      <c r="H7567" s="20" t="n">
        <f aca="false">IF(G7567&lt;Parametres!$B$8*Parametres!$B$7,0,MIN(G7567,Parametres!$B$7))</f>
        <v>114.74</v>
      </c>
      <c r="I7567" s="20" t="n">
        <f aca="false">G7567-H7567</f>
        <v>0</v>
      </c>
      <c r="J7567" s="21" t="n">
        <f aca="false">H7567*1000/Parametres!$B$9</f>
        <v>1945.73511955231</v>
      </c>
    </row>
    <row r="7568" customFormat="false" ht="15" hidden="false" customHeight="false" outlineLevel="0" collapsed="false">
      <c r="A7568" s="0" t="n">
        <v>7564</v>
      </c>
      <c r="B7568" s="0" t="n">
        <v>11</v>
      </c>
      <c r="C7568" s="19" t="n">
        <v>0</v>
      </c>
      <c r="D7568" s="19" t="n">
        <v>0.5687</v>
      </c>
      <c r="E7568" s="20" t="n">
        <f aca="false">Parametres!$B$5*C7568</f>
        <v>0</v>
      </c>
      <c r="F7568" s="20" t="n">
        <f aca="false">Parametres!$B$6*D7568</f>
        <v>113.74</v>
      </c>
      <c r="G7568" s="20" t="n">
        <f aca="false">E7568+F7568</f>
        <v>113.74</v>
      </c>
      <c r="H7568" s="20" t="n">
        <f aca="false">IF(G7568&lt;Parametres!$B$8*Parametres!$B$7,0,MIN(G7568,Parametres!$B$7))</f>
        <v>113.74</v>
      </c>
      <c r="I7568" s="20" t="n">
        <f aca="false">G7568-H7568</f>
        <v>0</v>
      </c>
      <c r="J7568" s="21" t="n">
        <f aca="false">H7568*1000/Parametres!$B$9</f>
        <v>1928.77734441241</v>
      </c>
    </row>
    <row r="7569" customFormat="false" ht="15" hidden="false" customHeight="false" outlineLevel="0" collapsed="false">
      <c r="A7569" s="0" t="n">
        <v>7565</v>
      </c>
      <c r="B7569" s="0" t="n">
        <v>11</v>
      </c>
      <c r="C7569" s="19" t="n">
        <v>0</v>
      </c>
      <c r="D7569" s="19" t="n">
        <v>0.5979</v>
      </c>
      <c r="E7569" s="20" t="n">
        <f aca="false">Parametres!$B$5*C7569</f>
        <v>0</v>
      </c>
      <c r="F7569" s="20" t="n">
        <f aca="false">Parametres!$B$6*D7569</f>
        <v>119.58</v>
      </c>
      <c r="G7569" s="20" t="n">
        <f aca="false">E7569+F7569</f>
        <v>119.58</v>
      </c>
      <c r="H7569" s="20" t="n">
        <f aca="false">IF(G7569&lt;Parametres!$B$8*Parametres!$B$7,0,MIN(G7569,Parametres!$B$7))</f>
        <v>119.58</v>
      </c>
      <c r="I7569" s="20" t="n">
        <f aca="false">G7569-H7569</f>
        <v>0</v>
      </c>
      <c r="J7569" s="21" t="n">
        <f aca="false">H7569*1000/Parametres!$B$9</f>
        <v>2027.81075122944</v>
      </c>
    </row>
    <row r="7570" customFormat="false" ht="15" hidden="false" customHeight="false" outlineLevel="0" collapsed="false">
      <c r="A7570" s="0" t="n">
        <v>7566</v>
      </c>
      <c r="B7570" s="0" t="n">
        <v>11</v>
      </c>
      <c r="C7570" s="19" t="n">
        <v>0</v>
      </c>
      <c r="D7570" s="19" t="n">
        <v>0.7195</v>
      </c>
      <c r="E7570" s="20" t="n">
        <f aca="false">Parametres!$B$5*C7570</f>
        <v>0</v>
      </c>
      <c r="F7570" s="20" t="n">
        <f aca="false">Parametres!$B$6*D7570</f>
        <v>143.9</v>
      </c>
      <c r="G7570" s="20" t="n">
        <f aca="false">E7570+F7570</f>
        <v>143.9</v>
      </c>
      <c r="H7570" s="20" t="n">
        <f aca="false">IF(G7570&lt;Parametres!$B$8*Parametres!$B$7,0,MIN(G7570,Parametres!$B$7))</f>
        <v>143.9</v>
      </c>
      <c r="I7570" s="20" t="n">
        <f aca="false">G7570-H7570</f>
        <v>0</v>
      </c>
      <c r="J7570" s="21" t="n">
        <f aca="false">H7570*1000/Parametres!$B$9</f>
        <v>2440.22384263185</v>
      </c>
    </row>
    <row r="7571" customFormat="false" ht="15" hidden="false" customHeight="false" outlineLevel="0" collapsed="false">
      <c r="A7571" s="0" t="n">
        <v>7567</v>
      </c>
      <c r="B7571" s="0" t="n">
        <v>11</v>
      </c>
      <c r="C7571" s="19" t="n">
        <v>0</v>
      </c>
      <c r="D7571" s="19" t="n">
        <v>0.841</v>
      </c>
      <c r="E7571" s="20" t="n">
        <f aca="false">Parametres!$B$5*C7571</f>
        <v>0</v>
      </c>
      <c r="F7571" s="20" t="n">
        <f aca="false">Parametres!$B$6*D7571</f>
        <v>168.2</v>
      </c>
      <c r="G7571" s="20" t="n">
        <f aca="false">E7571+F7571</f>
        <v>168.2</v>
      </c>
      <c r="H7571" s="20" t="n">
        <f aca="false">IF(G7571&lt;Parametres!$B$8*Parametres!$B$7,0,MIN(G7571,Parametres!$B$7))</f>
        <v>168.2</v>
      </c>
      <c r="I7571" s="20" t="n">
        <f aca="false">G7571-H7571</f>
        <v>0</v>
      </c>
      <c r="J7571" s="21" t="n">
        <f aca="false">H7571*1000/Parametres!$B$9</f>
        <v>2852.29777853146</v>
      </c>
    </row>
    <row r="7572" customFormat="false" ht="15" hidden="false" customHeight="false" outlineLevel="0" collapsed="false">
      <c r="A7572" s="0" t="n">
        <v>7568</v>
      </c>
      <c r="B7572" s="0" t="n">
        <v>11</v>
      </c>
      <c r="C7572" s="19" t="n">
        <v>0.1576</v>
      </c>
      <c r="D7572" s="19" t="n">
        <v>1</v>
      </c>
      <c r="E7572" s="20" t="n">
        <f aca="false">Parametres!$B$5*C7572</f>
        <v>47.28</v>
      </c>
      <c r="F7572" s="20" t="n">
        <f aca="false">Parametres!$B$6*D7572</f>
        <v>200</v>
      </c>
      <c r="G7572" s="20" t="n">
        <f aca="false">E7572+F7572</f>
        <v>247.28</v>
      </c>
      <c r="H7572" s="20" t="n">
        <f aca="false">IF(G7572&lt;Parametres!$B$8*Parametres!$B$7,0,MIN(G7572,Parametres!$B$7))</f>
        <v>247.28</v>
      </c>
      <c r="I7572" s="20" t="n">
        <f aca="false">G7572-H7572</f>
        <v>0</v>
      </c>
      <c r="J7572" s="21" t="n">
        <f aca="false">H7572*1000/Parametres!$B$9</f>
        <v>4193.31863659488</v>
      </c>
    </row>
    <row r="7573" customFormat="false" ht="15" hidden="false" customHeight="false" outlineLevel="0" collapsed="false">
      <c r="A7573" s="0" t="n">
        <v>7569</v>
      </c>
      <c r="B7573" s="0" t="n">
        <v>11</v>
      </c>
      <c r="C7573" s="19" t="n">
        <v>0.4048</v>
      </c>
      <c r="D7573" s="19" t="n">
        <v>1</v>
      </c>
      <c r="E7573" s="20" t="n">
        <f aca="false">Parametres!$B$5*C7573</f>
        <v>121.44</v>
      </c>
      <c r="F7573" s="20" t="n">
        <f aca="false">Parametres!$B$6*D7573</f>
        <v>200</v>
      </c>
      <c r="G7573" s="20" t="n">
        <f aca="false">E7573+F7573</f>
        <v>321.44</v>
      </c>
      <c r="H7573" s="20" t="n">
        <f aca="false">IF(G7573&lt;Parametres!$B$8*Parametres!$B$7,0,MIN(G7573,Parametres!$B$7))</f>
        <v>250</v>
      </c>
      <c r="I7573" s="20" t="n">
        <f aca="false">G7573-H7573</f>
        <v>71.44</v>
      </c>
      <c r="J7573" s="21" t="n">
        <f aca="false">H7573*1000/Parametres!$B$9</f>
        <v>4239.44378497541</v>
      </c>
    </row>
    <row r="7574" customFormat="false" ht="15" hidden="false" customHeight="false" outlineLevel="0" collapsed="false">
      <c r="A7574" s="0" t="n">
        <v>7570</v>
      </c>
      <c r="B7574" s="0" t="n">
        <v>11</v>
      </c>
      <c r="C7574" s="19" t="n">
        <v>0.5822</v>
      </c>
      <c r="D7574" s="19" t="n">
        <v>1</v>
      </c>
      <c r="E7574" s="20" t="n">
        <f aca="false">Parametres!$B$5*C7574</f>
        <v>174.66</v>
      </c>
      <c r="F7574" s="20" t="n">
        <f aca="false">Parametres!$B$6*D7574</f>
        <v>200</v>
      </c>
      <c r="G7574" s="20" t="n">
        <f aca="false">E7574+F7574</f>
        <v>374.66</v>
      </c>
      <c r="H7574" s="20" t="n">
        <f aca="false">IF(G7574&lt;Parametres!$B$8*Parametres!$B$7,0,MIN(G7574,Parametres!$B$7))</f>
        <v>250</v>
      </c>
      <c r="I7574" s="20" t="n">
        <f aca="false">G7574-H7574</f>
        <v>124.66</v>
      </c>
      <c r="J7574" s="21" t="n">
        <f aca="false">H7574*1000/Parametres!$B$9</f>
        <v>4239.44378497541</v>
      </c>
    </row>
    <row r="7575" customFormat="false" ht="15" hidden="false" customHeight="false" outlineLevel="0" collapsed="false">
      <c r="A7575" s="0" t="n">
        <v>7571</v>
      </c>
      <c r="B7575" s="0" t="n">
        <v>11</v>
      </c>
      <c r="C7575" s="19" t="n">
        <v>0.6772</v>
      </c>
      <c r="D7575" s="19" t="n">
        <v>1</v>
      </c>
      <c r="E7575" s="20" t="n">
        <f aca="false">Parametres!$B$5*C7575</f>
        <v>203.16</v>
      </c>
      <c r="F7575" s="20" t="n">
        <f aca="false">Parametres!$B$6*D7575</f>
        <v>200</v>
      </c>
      <c r="G7575" s="20" t="n">
        <f aca="false">E7575+F7575</f>
        <v>403.16</v>
      </c>
      <c r="H7575" s="20" t="n">
        <f aca="false">IF(G7575&lt;Parametres!$B$8*Parametres!$B$7,0,MIN(G7575,Parametres!$B$7))</f>
        <v>250</v>
      </c>
      <c r="I7575" s="20" t="n">
        <f aca="false">G7575-H7575</f>
        <v>153.16</v>
      </c>
      <c r="J7575" s="21" t="n">
        <f aca="false">H7575*1000/Parametres!$B$9</f>
        <v>4239.44378497541</v>
      </c>
    </row>
    <row r="7576" customFormat="false" ht="15" hidden="false" customHeight="false" outlineLevel="0" collapsed="false">
      <c r="A7576" s="0" t="n">
        <v>7572</v>
      </c>
      <c r="B7576" s="0" t="n">
        <v>11</v>
      </c>
      <c r="C7576" s="19" t="n">
        <v>0.803</v>
      </c>
      <c r="D7576" s="19" t="n">
        <v>1</v>
      </c>
      <c r="E7576" s="20" t="n">
        <f aca="false">Parametres!$B$5*C7576</f>
        <v>240.9</v>
      </c>
      <c r="F7576" s="20" t="n">
        <f aca="false">Parametres!$B$6*D7576</f>
        <v>200</v>
      </c>
      <c r="G7576" s="20" t="n">
        <f aca="false">E7576+F7576</f>
        <v>440.9</v>
      </c>
      <c r="H7576" s="20" t="n">
        <f aca="false">IF(G7576&lt;Parametres!$B$8*Parametres!$B$7,0,MIN(G7576,Parametres!$B$7))</f>
        <v>250</v>
      </c>
      <c r="I7576" s="20" t="n">
        <f aca="false">G7576-H7576</f>
        <v>190.9</v>
      </c>
      <c r="J7576" s="21" t="n">
        <f aca="false">H7576*1000/Parametres!$B$9</f>
        <v>4239.44378497541</v>
      </c>
    </row>
    <row r="7577" customFormat="false" ht="15" hidden="false" customHeight="false" outlineLevel="0" collapsed="false">
      <c r="A7577" s="0" t="n">
        <v>7573</v>
      </c>
      <c r="B7577" s="0" t="n">
        <v>11</v>
      </c>
      <c r="C7577" s="19" t="n">
        <v>0.8246</v>
      </c>
      <c r="D7577" s="19" t="n">
        <v>0.9889</v>
      </c>
      <c r="E7577" s="20" t="n">
        <f aca="false">Parametres!$B$5*C7577</f>
        <v>247.38</v>
      </c>
      <c r="F7577" s="20" t="n">
        <f aca="false">Parametres!$B$6*D7577</f>
        <v>197.78</v>
      </c>
      <c r="G7577" s="20" t="n">
        <f aca="false">E7577+F7577</f>
        <v>445.16</v>
      </c>
      <c r="H7577" s="20" t="n">
        <f aca="false">IF(G7577&lt;Parametres!$B$8*Parametres!$B$7,0,MIN(G7577,Parametres!$B$7))</f>
        <v>250</v>
      </c>
      <c r="I7577" s="20" t="n">
        <f aca="false">G7577-H7577</f>
        <v>195.16</v>
      </c>
      <c r="J7577" s="21" t="n">
        <f aca="false">H7577*1000/Parametres!$B$9</f>
        <v>4239.44378497541</v>
      </c>
    </row>
    <row r="7578" customFormat="false" ht="15" hidden="false" customHeight="false" outlineLevel="0" collapsed="false">
      <c r="A7578" s="0" t="n">
        <v>7574</v>
      </c>
      <c r="B7578" s="0" t="n">
        <v>11</v>
      </c>
      <c r="C7578" s="19" t="n">
        <v>0.7694</v>
      </c>
      <c r="D7578" s="19" t="n">
        <v>0.8272</v>
      </c>
      <c r="E7578" s="20" t="n">
        <f aca="false">Parametres!$B$5*C7578</f>
        <v>230.82</v>
      </c>
      <c r="F7578" s="20" t="n">
        <f aca="false">Parametres!$B$6*D7578</f>
        <v>165.44</v>
      </c>
      <c r="G7578" s="20" t="n">
        <f aca="false">E7578+F7578</f>
        <v>396.26</v>
      </c>
      <c r="H7578" s="20" t="n">
        <f aca="false">IF(G7578&lt;Parametres!$B$8*Parametres!$B$7,0,MIN(G7578,Parametres!$B$7))</f>
        <v>250</v>
      </c>
      <c r="I7578" s="20" t="n">
        <f aca="false">G7578-H7578</f>
        <v>146.26</v>
      </c>
      <c r="J7578" s="21" t="n">
        <f aca="false">H7578*1000/Parametres!$B$9</f>
        <v>4239.44378497541</v>
      </c>
    </row>
    <row r="7579" customFormat="false" ht="15" hidden="false" customHeight="false" outlineLevel="0" collapsed="false">
      <c r="A7579" s="0" t="n">
        <v>7575</v>
      </c>
      <c r="B7579" s="0" t="n">
        <v>11</v>
      </c>
      <c r="C7579" s="19" t="n">
        <v>0.5628</v>
      </c>
      <c r="D7579" s="19" t="n">
        <v>0.3436</v>
      </c>
      <c r="E7579" s="20" t="n">
        <f aca="false">Parametres!$B$5*C7579</f>
        <v>168.84</v>
      </c>
      <c r="F7579" s="20" t="n">
        <f aca="false">Parametres!$B$6*D7579</f>
        <v>68.72</v>
      </c>
      <c r="G7579" s="20" t="n">
        <f aca="false">E7579+F7579</f>
        <v>237.56</v>
      </c>
      <c r="H7579" s="20" t="n">
        <f aca="false">IF(G7579&lt;Parametres!$B$8*Parametres!$B$7,0,MIN(G7579,Parametres!$B$7))</f>
        <v>237.56</v>
      </c>
      <c r="I7579" s="20" t="n">
        <f aca="false">G7579-H7579</f>
        <v>0</v>
      </c>
      <c r="J7579" s="21" t="n">
        <f aca="false">H7579*1000/Parametres!$B$9</f>
        <v>4028.48906223504</v>
      </c>
    </row>
    <row r="7580" customFormat="false" ht="15" hidden="false" customHeight="false" outlineLevel="0" collapsed="false">
      <c r="A7580" s="0" t="n">
        <v>7576</v>
      </c>
      <c r="B7580" s="0" t="n">
        <v>11</v>
      </c>
      <c r="C7580" s="19" t="n">
        <v>0.3893</v>
      </c>
      <c r="D7580" s="19" t="n">
        <v>0.4146</v>
      </c>
      <c r="E7580" s="20" t="n">
        <f aca="false">Parametres!$B$5*C7580</f>
        <v>116.79</v>
      </c>
      <c r="F7580" s="20" t="n">
        <f aca="false">Parametres!$B$6*D7580</f>
        <v>82.92</v>
      </c>
      <c r="G7580" s="20" t="n">
        <f aca="false">E7580+F7580</f>
        <v>199.71</v>
      </c>
      <c r="H7580" s="20" t="n">
        <f aca="false">IF(G7580&lt;Parametres!$B$8*Parametres!$B$7,0,MIN(G7580,Parametres!$B$7))</f>
        <v>199.71</v>
      </c>
      <c r="I7580" s="20" t="n">
        <f aca="false">G7580-H7580</f>
        <v>0</v>
      </c>
      <c r="J7580" s="21" t="n">
        <f aca="false">H7580*1000/Parametres!$B$9</f>
        <v>3386.63727318976</v>
      </c>
    </row>
    <row r="7581" customFormat="false" ht="15" hidden="false" customHeight="false" outlineLevel="0" collapsed="false">
      <c r="A7581" s="0" t="n">
        <v>7577</v>
      </c>
      <c r="B7581" s="0" t="n">
        <v>11</v>
      </c>
      <c r="C7581" s="19" t="n">
        <v>0.1606</v>
      </c>
      <c r="D7581" s="19" t="n">
        <v>0.5047</v>
      </c>
      <c r="E7581" s="20" t="n">
        <f aca="false">Parametres!$B$5*C7581</f>
        <v>48.18</v>
      </c>
      <c r="F7581" s="20" t="n">
        <f aca="false">Parametres!$B$6*D7581</f>
        <v>100.94</v>
      </c>
      <c r="G7581" s="20" t="n">
        <f aca="false">E7581+F7581</f>
        <v>149.12</v>
      </c>
      <c r="H7581" s="20" t="n">
        <f aca="false">IF(G7581&lt;Parametres!$B$8*Parametres!$B$7,0,MIN(G7581,Parametres!$B$7))</f>
        <v>149.12</v>
      </c>
      <c r="I7581" s="20" t="n">
        <f aca="false">G7581-H7581</f>
        <v>0</v>
      </c>
      <c r="J7581" s="21" t="n">
        <f aca="false">H7581*1000/Parametres!$B$9</f>
        <v>2528.74342886213</v>
      </c>
    </row>
    <row r="7582" customFormat="false" ht="15" hidden="false" customHeight="false" outlineLevel="0" collapsed="false">
      <c r="A7582" s="0" t="n">
        <v>7578</v>
      </c>
      <c r="B7582" s="0" t="n">
        <v>11</v>
      </c>
      <c r="C7582" s="19" t="n">
        <v>0</v>
      </c>
      <c r="D7582" s="19" t="n">
        <v>0.6848</v>
      </c>
      <c r="E7582" s="20" t="n">
        <f aca="false">Parametres!$B$5*C7582</f>
        <v>0</v>
      </c>
      <c r="F7582" s="20" t="n">
        <f aca="false">Parametres!$B$6*D7582</f>
        <v>136.96</v>
      </c>
      <c r="G7582" s="20" t="n">
        <f aca="false">E7582+F7582</f>
        <v>136.96</v>
      </c>
      <c r="H7582" s="20" t="n">
        <f aca="false">IF(G7582&lt;Parametres!$B$8*Parametres!$B$7,0,MIN(G7582,Parametres!$B$7))</f>
        <v>136.96</v>
      </c>
      <c r="I7582" s="20" t="n">
        <f aca="false">G7582-H7582</f>
        <v>0</v>
      </c>
      <c r="J7582" s="21" t="n">
        <f aca="false">H7582*1000/Parametres!$B$9</f>
        <v>2322.53688316093</v>
      </c>
    </row>
    <row r="7583" customFormat="false" ht="15" hidden="false" customHeight="false" outlineLevel="0" collapsed="false">
      <c r="A7583" s="0" t="n">
        <v>7579</v>
      </c>
      <c r="B7583" s="0" t="n">
        <v>11</v>
      </c>
      <c r="C7583" s="19" t="n">
        <v>0</v>
      </c>
      <c r="D7583" s="19" t="n">
        <v>0.6465</v>
      </c>
      <c r="E7583" s="20" t="n">
        <f aca="false">Parametres!$B$5*C7583</f>
        <v>0</v>
      </c>
      <c r="F7583" s="20" t="n">
        <f aca="false">Parametres!$B$6*D7583</f>
        <v>129.3</v>
      </c>
      <c r="G7583" s="20" t="n">
        <f aca="false">E7583+F7583</f>
        <v>129.3</v>
      </c>
      <c r="H7583" s="20" t="n">
        <f aca="false">IF(G7583&lt;Parametres!$B$8*Parametres!$B$7,0,MIN(G7583,Parametres!$B$7))</f>
        <v>129.3</v>
      </c>
      <c r="I7583" s="20" t="n">
        <f aca="false">G7583-H7583</f>
        <v>0</v>
      </c>
      <c r="J7583" s="21" t="n">
        <f aca="false">H7583*1000/Parametres!$B$9</f>
        <v>2192.64032558928</v>
      </c>
    </row>
    <row r="7584" customFormat="false" ht="15" hidden="false" customHeight="false" outlineLevel="0" collapsed="false">
      <c r="A7584" s="0" t="n">
        <v>7580</v>
      </c>
      <c r="B7584" s="0" t="n">
        <v>11</v>
      </c>
      <c r="C7584" s="19" t="n">
        <v>0</v>
      </c>
      <c r="D7584" s="19" t="n">
        <v>0.5609</v>
      </c>
      <c r="E7584" s="20" t="n">
        <f aca="false">Parametres!$B$5*C7584</f>
        <v>0</v>
      </c>
      <c r="F7584" s="20" t="n">
        <f aca="false">Parametres!$B$6*D7584</f>
        <v>112.18</v>
      </c>
      <c r="G7584" s="20" t="n">
        <f aca="false">E7584+F7584</f>
        <v>112.18</v>
      </c>
      <c r="H7584" s="20" t="n">
        <f aca="false">IF(G7584&lt;Parametres!$B$8*Parametres!$B$7,0,MIN(G7584,Parametres!$B$7))</f>
        <v>112.18</v>
      </c>
      <c r="I7584" s="20" t="n">
        <f aca="false">G7584-H7584</f>
        <v>0</v>
      </c>
      <c r="J7584" s="21" t="n">
        <f aca="false">H7584*1000/Parametres!$B$9</f>
        <v>1902.32321519417</v>
      </c>
    </row>
    <row r="7585" customFormat="false" ht="15" hidden="false" customHeight="false" outlineLevel="0" collapsed="false">
      <c r="A7585" s="0" t="n">
        <v>7581</v>
      </c>
      <c r="B7585" s="0" t="n">
        <v>11</v>
      </c>
      <c r="C7585" s="19" t="n">
        <v>0</v>
      </c>
      <c r="D7585" s="19" t="n">
        <v>0.6994</v>
      </c>
      <c r="E7585" s="20" t="n">
        <f aca="false">Parametres!$B$5*C7585</f>
        <v>0</v>
      </c>
      <c r="F7585" s="20" t="n">
        <f aca="false">Parametres!$B$6*D7585</f>
        <v>139.88</v>
      </c>
      <c r="G7585" s="20" t="n">
        <f aca="false">E7585+F7585</f>
        <v>139.88</v>
      </c>
      <c r="H7585" s="20" t="n">
        <f aca="false">IF(G7585&lt;Parametres!$B$8*Parametres!$B$7,0,MIN(G7585,Parametres!$B$7))</f>
        <v>139.88</v>
      </c>
      <c r="I7585" s="20" t="n">
        <f aca="false">G7585-H7585</f>
        <v>0</v>
      </c>
      <c r="J7585" s="21" t="n">
        <f aca="false">H7585*1000/Parametres!$B$9</f>
        <v>2372.05358656944</v>
      </c>
    </row>
    <row r="7586" customFormat="false" ht="15" hidden="false" customHeight="false" outlineLevel="0" collapsed="false">
      <c r="A7586" s="0" t="n">
        <v>7582</v>
      </c>
      <c r="B7586" s="0" t="n">
        <v>11</v>
      </c>
      <c r="C7586" s="19" t="n">
        <v>0</v>
      </c>
      <c r="D7586" s="19" t="n">
        <v>0.7661</v>
      </c>
      <c r="E7586" s="20" t="n">
        <f aca="false">Parametres!$B$5*C7586</f>
        <v>0</v>
      </c>
      <c r="F7586" s="20" t="n">
        <f aca="false">Parametres!$B$6*D7586</f>
        <v>153.22</v>
      </c>
      <c r="G7586" s="20" t="n">
        <f aca="false">E7586+F7586</f>
        <v>153.22</v>
      </c>
      <c r="H7586" s="20" t="n">
        <f aca="false">IF(G7586&lt;Parametres!$B$8*Parametres!$B$7,0,MIN(G7586,Parametres!$B$7))</f>
        <v>153.22</v>
      </c>
      <c r="I7586" s="20" t="n">
        <f aca="false">G7586-H7586</f>
        <v>0</v>
      </c>
      <c r="J7586" s="21" t="n">
        <f aca="false">H7586*1000/Parametres!$B$9</f>
        <v>2598.27030693573</v>
      </c>
    </row>
    <row r="7587" customFormat="false" ht="15" hidden="false" customHeight="false" outlineLevel="0" collapsed="false">
      <c r="A7587" s="0" t="n">
        <v>7583</v>
      </c>
      <c r="B7587" s="0" t="n">
        <v>11</v>
      </c>
      <c r="C7587" s="19" t="n">
        <v>0</v>
      </c>
      <c r="D7587" s="19" t="n">
        <v>0.6296</v>
      </c>
      <c r="E7587" s="20" t="n">
        <f aca="false">Parametres!$B$5*C7587</f>
        <v>0</v>
      </c>
      <c r="F7587" s="20" t="n">
        <f aca="false">Parametres!$B$6*D7587</f>
        <v>125.92</v>
      </c>
      <c r="G7587" s="20" t="n">
        <f aca="false">E7587+F7587</f>
        <v>125.92</v>
      </c>
      <c r="H7587" s="20" t="n">
        <f aca="false">IF(G7587&lt;Parametres!$B$8*Parametres!$B$7,0,MIN(G7587,Parametres!$B$7))</f>
        <v>125.92</v>
      </c>
      <c r="I7587" s="20" t="n">
        <f aca="false">G7587-H7587</f>
        <v>0</v>
      </c>
      <c r="J7587" s="21" t="n">
        <f aca="false">H7587*1000/Parametres!$B$9</f>
        <v>2135.32304561642</v>
      </c>
    </row>
    <row r="7588" customFormat="false" ht="15" hidden="false" customHeight="false" outlineLevel="0" collapsed="false">
      <c r="A7588" s="0" t="n">
        <v>7584</v>
      </c>
      <c r="B7588" s="0" t="n">
        <v>11</v>
      </c>
      <c r="C7588" s="19" t="n">
        <v>0</v>
      </c>
      <c r="D7588" s="19" t="n">
        <v>0.4395</v>
      </c>
      <c r="E7588" s="20" t="n">
        <f aca="false">Parametres!$B$5*C7588</f>
        <v>0</v>
      </c>
      <c r="F7588" s="20" t="n">
        <f aca="false">Parametres!$B$6*D7588</f>
        <v>87.9</v>
      </c>
      <c r="G7588" s="20" t="n">
        <f aca="false">E7588+F7588</f>
        <v>87.9</v>
      </c>
      <c r="H7588" s="20" t="n">
        <f aca="false">IF(G7588&lt;Parametres!$B$8*Parametres!$B$7,0,MIN(G7588,Parametres!$B$7))</f>
        <v>87.9</v>
      </c>
      <c r="I7588" s="20" t="n">
        <f aca="false">G7588-H7588</f>
        <v>0</v>
      </c>
      <c r="J7588" s="21" t="n">
        <f aca="false">H7588*1000/Parametres!$B$9</f>
        <v>1490.58843479735</v>
      </c>
    </row>
    <row r="7589" customFormat="false" ht="15" hidden="false" customHeight="false" outlineLevel="0" collapsed="false">
      <c r="A7589" s="0" t="n">
        <v>7585</v>
      </c>
      <c r="B7589" s="0" t="n">
        <v>11</v>
      </c>
      <c r="C7589" s="19" t="n">
        <v>0</v>
      </c>
      <c r="D7589" s="19" t="n">
        <v>0.6327</v>
      </c>
      <c r="E7589" s="20" t="n">
        <f aca="false">Parametres!$B$5*C7589</f>
        <v>0</v>
      </c>
      <c r="F7589" s="20" t="n">
        <f aca="false">Parametres!$B$6*D7589</f>
        <v>126.54</v>
      </c>
      <c r="G7589" s="20" t="n">
        <f aca="false">E7589+F7589</f>
        <v>126.54</v>
      </c>
      <c r="H7589" s="20" t="n">
        <f aca="false">IF(G7589&lt;Parametres!$B$8*Parametres!$B$7,0,MIN(G7589,Parametres!$B$7))</f>
        <v>126.54</v>
      </c>
      <c r="I7589" s="20" t="n">
        <f aca="false">G7589-H7589</f>
        <v>0</v>
      </c>
      <c r="J7589" s="21" t="n">
        <f aca="false">H7589*1000/Parametres!$B$9</f>
        <v>2145.83686620315</v>
      </c>
    </row>
    <row r="7590" customFormat="false" ht="15" hidden="false" customHeight="false" outlineLevel="0" collapsed="false">
      <c r="A7590" s="0" t="n">
        <v>7586</v>
      </c>
      <c r="B7590" s="0" t="n">
        <v>11</v>
      </c>
      <c r="C7590" s="19" t="n">
        <v>0</v>
      </c>
      <c r="D7590" s="19" t="n">
        <v>0.5088</v>
      </c>
      <c r="E7590" s="20" t="n">
        <f aca="false">Parametres!$B$5*C7590</f>
        <v>0</v>
      </c>
      <c r="F7590" s="20" t="n">
        <f aca="false">Parametres!$B$6*D7590</f>
        <v>101.76</v>
      </c>
      <c r="G7590" s="20" t="n">
        <f aca="false">E7590+F7590</f>
        <v>101.76</v>
      </c>
      <c r="H7590" s="20" t="n">
        <f aca="false">IF(G7590&lt;Parametres!$B$8*Parametres!$B$7,0,MIN(G7590,Parametres!$B$7))</f>
        <v>101.76</v>
      </c>
      <c r="I7590" s="20" t="n">
        <f aca="false">G7590-H7590</f>
        <v>0</v>
      </c>
      <c r="J7590" s="21" t="n">
        <f aca="false">H7590*1000/Parametres!$B$9</f>
        <v>1725.62319823639</v>
      </c>
    </row>
    <row r="7591" customFormat="false" ht="15" hidden="false" customHeight="false" outlineLevel="0" collapsed="false">
      <c r="A7591" s="0" t="n">
        <v>7587</v>
      </c>
      <c r="B7591" s="0" t="n">
        <v>11</v>
      </c>
      <c r="C7591" s="19" t="n">
        <v>0</v>
      </c>
      <c r="D7591" s="19" t="n">
        <v>0.4801</v>
      </c>
      <c r="E7591" s="20" t="n">
        <f aca="false">Parametres!$B$5*C7591</f>
        <v>0</v>
      </c>
      <c r="F7591" s="20" t="n">
        <f aca="false">Parametres!$B$6*D7591</f>
        <v>96.02</v>
      </c>
      <c r="G7591" s="20" t="n">
        <f aca="false">E7591+F7591</f>
        <v>96.02</v>
      </c>
      <c r="H7591" s="20" t="n">
        <f aca="false">IF(G7591&lt;Parametres!$B$8*Parametres!$B$7,0,MIN(G7591,Parametres!$B$7))</f>
        <v>96.02</v>
      </c>
      <c r="I7591" s="20" t="n">
        <f aca="false">G7591-H7591</f>
        <v>0</v>
      </c>
      <c r="J7591" s="21" t="n">
        <f aca="false">H7591*1000/Parametres!$B$9</f>
        <v>1628.28556893336</v>
      </c>
    </row>
    <row r="7592" customFormat="false" ht="15" hidden="false" customHeight="false" outlineLevel="0" collapsed="false">
      <c r="A7592" s="0" t="n">
        <v>7588</v>
      </c>
      <c r="B7592" s="0" t="n">
        <v>11</v>
      </c>
      <c r="C7592" s="19" t="n">
        <v>0</v>
      </c>
      <c r="D7592" s="19" t="n">
        <v>0.1841</v>
      </c>
      <c r="E7592" s="20" t="n">
        <f aca="false">Parametres!$B$5*C7592</f>
        <v>0</v>
      </c>
      <c r="F7592" s="20" t="n">
        <f aca="false">Parametres!$B$6*D7592</f>
        <v>36.82</v>
      </c>
      <c r="G7592" s="20" t="n">
        <f aca="false">E7592+F7592</f>
        <v>36.82</v>
      </c>
      <c r="H7592" s="20" t="n">
        <f aca="false">IF(G7592&lt;Parametres!$B$8*Parametres!$B$7,0,MIN(G7592,Parametres!$B$7))</f>
        <v>36.82</v>
      </c>
      <c r="I7592" s="20" t="n">
        <f aca="false">G7592-H7592</f>
        <v>0</v>
      </c>
      <c r="J7592" s="21" t="n">
        <f aca="false">H7592*1000/Parametres!$B$9</f>
        <v>624.385280651179</v>
      </c>
    </row>
    <row r="7593" customFormat="false" ht="15" hidden="false" customHeight="false" outlineLevel="0" collapsed="false">
      <c r="A7593" s="0" t="n">
        <v>7589</v>
      </c>
      <c r="B7593" s="0" t="n">
        <v>11</v>
      </c>
      <c r="C7593" s="19" t="n">
        <v>0</v>
      </c>
      <c r="D7593" s="19" t="n">
        <v>0.1948</v>
      </c>
      <c r="E7593" s="20" t="n">
        <f aca="false">Parametres!$B$5*C7593</f>
        <v>0</v>
      </c>
      <c r="F7593" s="20" t="n">
        <f aca="false">Parametres!$B$6*D7593</f>
        <v>38.96</v>
      </c>
      <c r="G7593" s="20" t="n">
        <f aca="false">E7593+F7593</f>
        <v>38.96</v>
      </c>
      <c r="H7593" s="20" t="n">
        <f aca="false">IF(G7593&lt;Parametres!$B$8*Parametres!$B$7,0,MIN(G7593,Parametres!$B$7))</f>
        <v>38.96</v>
      </c>
      <c r="I7593" s="20" t="n">
        <f aca="false">G7593-H7593</f>
        <v>0</v>
      </c>
      <c r="J7593" s="21" t="n">
        <f aca="false">H7593*1000/Parametres!$B$9</f>
        <v>660.674919450568</v>
      </c>
    </row>
    <row r="7594" customFormat="false" ht="15" hidden="false" customHeight="false" outlineLevel="0" collapsed="false">
      <c r="A7594" s="0" t="n">
        <v>7590</v>
      </c>
      <c r="B7594" s="0" t="n">
        <v>11</v>
      </c>
      <c r="C7594" s="19" t="n">
        <v>0</v>
      </c>
      <c r="D7594" s="19" t="n">
        <v>0.3295</v>
      </c>
      <c r="E7594" s="20" t="n">
        <f aca="false">Parametres!$B$5*C7594</f>
        <v>0</v>
      </c>
      <c r="F7594" s="20" t="n">
        <f aca="false">Parametres!$B$6*D7594</f>
        <v>65.9</v>
      </c>
      <c r="G7594" s="20" t="n">
        <f aca="false">E7594+F7594</f>
        <v>65.9</v>
      </c>
      <c r="H7594" s="20" t="n">
        <f aca="false">IF(G7594&lt;Parametres!$B$8*Parametres!$B$7,0,MIN(G7594,Parametres!$B$7))</f>
        <v>65.9</v>
      </c>
      <c r="I7594" s="20" t="n">
        <f aca="false">G7594-H7594</f>
        <v>0</v>
      </c>
      <c r="J7594" s="21" t="n">
        <f aca="false">H7594*1000/Parametres!$B$9</f>
        <v>1117.51738171952</v>
      </c>
    </row>
    <row r="7595" customFormat="false" ht="15" hidden="false" customHeight="false" outlineLevel="0" collapsed="false">
      <c r="A7595" s="0" t="n">
        <v>7591</v>
      </c>
      <c r="B7595" s="0" t="n">
        <v>11</v>
      </c>
      <c r="C7595" s="19" t="n">
        <v>0</v>
      </c>
      <c r="D7595" s="19" t="n">
        <v>0.3821</v>
      </c>
      <c r="E7595" s="20" t="n">
        <f aca="false">Parametres!$B$5*C7595</f>
        <v>0</v>
      </c>
      <c r="F7595" s="20" t="n">
        <f aca="false">Parametres!$B$6*D7595</f>
        <v>76.42</v>
      </c>
      <c r="G7595" s="20" t="n">
        <f aca="false">E7595+F7595</f>
        <v>76.42</v>
      </c>
      <c r="H7595" s="20" t="n">
        <f aca="false">IF(G7595&lt;Parametres!$B$8*Parametres!$B$7,0,MIN(G7595,Parametres!$B$7))</f>
        <v>76.42</v>
      </c>
      <c r="I7595" s="20" t="n">
        <f aca="false">G7595-H7595</f>
        <v>0</v>
      </c>
      <c r="J7595" s="21" t="n">
        <f aca="false">H7595*1000/Parametres!$B$9</f>
        <v>1295.91317619128</v>
      </c>
    </row>
    <row r="7596" customFormat="false" ht="15" hidden="false" customHeight="false" outlineLevel="0" collapsed="false">
      <c r="A7596" s="0" t="n">
        <v>7592</v>
      </c>
      <c r="B7596" s="0" t="n">
        <v>11</v>
      </c>
      <c r="C7596" s="19" t="n">
        <v>0.1272</v>
      </c>
      <c r="D7596" s="19" t="n">
        <v>0.1568</v>
      </c>
      <c r="E7596" s="20" t="n">
        <f aca="false">Parametres!$B$5*C7596</f>
        <v>38.16</v>
      </c>
      <c r="F7596" s="20" t="n">
        <f aca="false">Parametres!$B$6*D7596</f>
        <v>31.36</v>
      </c>
      <c r="G7596" s="20" t="n">
        <f aca="false">E7596+F7596</f>
        <v>69.52</v>
      </c>
      <c r="H7596" s="20" t="n">
        <f aca="false">IF(G7596&lt;Parametres!$B$8*Parametres!$B$7,0,MIN(G7596,Parametres!$B$7))</f>
        <v>69.52</v>
      </c>
      <c r="I7596" s="20" t="n">
        <f aca="false">G7596-H7596</f>
        <v>0</v>
      </c>
      <c r="J7596" s="21" t="n">
        <f aca="false">H7596*1000/Parametres!$B$9</f>
        <v>1178.90452772596</v>
      </c>
    </row>
    <row r="7597" customFormat="false" ht="15" hidden="false" customHeight="false" outlineLevel="0" collapsed="false">
      <c r="A7597" s="0" t="n">
        <v>7593</v>
      </c>
      <c r="B7597" s="0" t="n">
        <v>11</v>
      </c>
      <c r="C7597" s="19" t="n">
        <v>0.3286</v>
      </c>
      <c r="D7597" s="19" t="n">
        <v>0.1186</v>
      </c>
      <c r="E7597" s="20" t="n">
        <f aca="false">Parametres!$B$5*C7597</f>
        <v>98.58</v>
      </c>
      <c r="F7597" s="20" t="n">
        <f aca="false">Parametres!$B$6*D7597</f>
        <v>23.72</v>
      </c>
      <c r="G7597" s="20" t="n">
        <f aca="false">E7597+F7597</f>
        <v>122.3</v>
      </c>
      <c r="H7597" s="20" t="n">
        <f aca="false">IF(G7597&lt;Parametres!$B$8*Parametres!$B$7,0,MIN(G7597,Parametres!$B$7))</f>
        <v>122.3</v>
      </c>
      <c r="I7597" s="20" t="n">
        <f aca="false">G7597-H7597</f>
        <v>0</v>
      </c>
      <c r="J7597" s="21" t="n">
        <f aca="false">H7597*1000/Parametres!$B$9</f>
        <v>2073.93589960997</v>
      </c>
    </row>
    <row r="7598" customFormat="false" ht="15" hidden="false" customHeight="false" outlineLevel="0" collapsed="false">
      <c r="A7598" s="0" t="n">
        <v>7594</v>
      </c>
      <c r="B7598" s="0" t="n">
        <v>11</v>
      </c>
      <c r="C7598" s="19" t="n">
        <v>0.4516</v>
      </c>
      <c r="D7598" s="19" t="n">
        <v>0.1781</v>
      </c>
      <c r="E7598" s="20" t="n">
        <f aca="false">Parametres!$B$5*C7598</f>
        <v>135.48</v>
      </c>
      <c r="F7598" s="20" t="n">
        <f aca="false">Parametres!$B$6*D7598</f>
        <v>35.62</v>
      </c>
      <c r="G7598" s="20" t="n">
        <f aca="false">E7598+F7598</f>
        <v>171.1</v>
      </c>
      <c r="H7598" s="20" t="n">
        <f aca="false">IF(G7598&lt;Parametres!$B$8*Parametres!$B$7,0,MIN(G7598,Parametres!$B$7))</f>
        <v>171.1</v>
      </c>
      <c r="I7598" s="20" t="n">
        <f aca="false">G7598-H7598</f>
        <v>0</v>
      </c>
      <c r="J7598" s="21" t="n">
        <f aca="false">H7598*1000/Parametres!$B$9</f>
        <v>2901.47532643717</v>
      </c>
    </row>
    <row r="7599" customFormat="false" ht="15" hidden="false" customHeight="false" outlineLevel="0" collapsed="false">
      <c r="A7599" s="0" t="n">
        <v>7595</v>
      </c>
      <c r="B7599" s="0" t="n">
        <v>11</v>
      </c>
      <c r="C7599" s="19" t="n">
        <v>0.5756</v>
      </c>
      <c r="D7599" s="19" t="n">
        <v>0.189</v>
      </c>
      <c r="E7599" s="20" t="n">
        <f aca="false">Parametres!$B$5*C7599</f>
        <v>172.68</v>
      </c>
      <c r="F7599" s="20" t="n">
        <f aca="false">Parametres!$B$6*D7599</f>
        <v>37.8</v>
      </c>
      <c r="G7599" s="20" t="n">
        <f aca="false">E7599+F7599</f>
        <v>210.48</v>
      </c>
      <c r="H7599" s="20" t="n">
        <f aca="false">IF(G7599&lt;Parametres!$B$8*Parametres!$B$7,0,MIN(G7599,Parametres!$B$7))</f>
        <v>210.48</v>
      </c>
      <c r="I7599" s="20" t="n">
        <f aca="false">G7599-H7599</f>
        <v>0</v>
      </c>
      <c r="J7599" s="21" t="n">
        <f aca="false">H7599*1000/Parametres!$B$9</f>
        <v>3569.2725114465</v>
      </c>
    </row>
    <row r="7600" customFormat="false" ht="15" hidden="false" customHeight="false" outlineLevel="0" collapsed="false">
      <c r="A7600" s="0" t="n">
        <v>7596</v>
      </c>
      <c r="B7600" s="0" t="n">
        <v>11</v>
      </c>
      <c r="C7600" s="19" t="n">
        <v>0.6787</v>
      </c>
      <c r="D7600" s="19" t="n">
        <v>0.1858</v>
      </c>
      <c r="E7600" s="20" t="n">
        <f aca="false">Parametres!$B$5*C7600</f>
        <v>203.61</v>
      </c>
      <c r="F7600" s="20" t="n">
        <f aca="false">Parametres!$B$6*D7600</f>
        <v>37.16</v>
      </c>
      <c r="G7600" s="20" t="n">
        <f aca="false">E7600+F7600</f>
        <v>240.77</v>
      </c>
      <c r="H7600" s="20" t="n">
        <f aca="false">IF(G7600&lt;Parametres!$B$8*Parametres!$B$7,0,MIN(G7600,Parametres!$B$7))</f>
        <v>240.77</v>
      </c>
      <c r="I7600" s="20" t="n">
        <f aca="false">G7600-H7600</f>
        <v>0</v>
      </c>
      <c r="J7600" s="21" t="n">
        <f aca="false">H7600*1000/Parametres!$B$9</f>
        <v>4082.92352043412</v>
      </c>
    </row>
    <row r="7601" customFormat="false" ht="15" hidden="false" customHeight="false" outlineLevel="0" collapsed="false">
      <c r="A7601" s="0" t="n">
        <v>7597</v>
      </c>
      <c r="B7601" s="0" t="n">
        <v>11</v>
      </c>
      <c r="C7601" s="19" t="n">
        <v>0.6313</v>
      </c>
      <c r="D7601" s="19" t="n">
        <v>0.1876</v>
      </c>
      <c r="E7601" s="20" t="n">
        <f aca="false">Parametres!$B$5*C7601</f>
        <v>189.39</v>
      </c>
      <c r="F7601" s="20" t="n">
        <f aca="false">Parametres!$B$6*D7601</f>
        <v>37.52</v>
      </c>
      <c r="G7601" s="20" t="n">
        <f aca="false">E7601+F7601</f>
        <v>226.91</v>
      </c>
      <c r="H7601" s="20" t="n">
        <f aca="false">IF(G7601&lt;Parametres!$B$8*Parametres!$B$7,0,MIN(G7601,Parametres!$B$7))</f>
        <v>226.91</v>
      </c>
      <c r="I7601" s="20" t="n">
        <f aca="false">G7601-H7601</f>
        <v>0</v>
      </c>
      <c r="J7601" s="21" t="n">
        <f aca="false">H7601*1000/Parametres!$B$9</f>
        <v>3847.88875699508</v>
      </c>
    </row>
    <row r="7602" customFormat="false" ht="15" hidden="false" customHeight="false" outlineLevel="0" collapsed="false">
      <c r="A7602" s="0" t="n">
        <v>7598</v>
      </c>
      <c r="B7602" s="0" t="n">
        <v>11</v>
      </c>
      <c r="C7602" s="19" t="n">
        <v>0.5977</v>
      </c>
      <c r="D7602" s="19" t="n">
        <v>0.1237</v>
      </c>
      <c r="E7602" s="20" t="n">
        <f aca="false">Parametres!$B$5*C7602</f>
        <v>179.31</v>
      </c>
      <c r="F7602" s="20" t="n">
        <f aca="false">Parametres!$B$6*D7602</f>
        <v>24.74</v>
      </c>
      <c r="G7602" s="20" t="n">
        <f aca="false">E7602+F7602</f>
        <v>204.05</v>
      </c>
      <c r="H7602" s="20" t="n">
        <f aca="false">IF(G7602&lt;Parametres!$B$8*Parametres!$B$7,0,MIN(G7602,Parametres!$B$7))</f>
        <v>204.05</v>
      </c>
      <c r="I7602" s="20" t="n">
        <f aca="false">G7602-H7602</f>
        <v>0</v>
      </c>
      <c r="J7602" s="21" t="n">
        <f aca="false">H7602*1000/Parametres!$B$9</f>
        <v>3460.23401729693</v>
      </c>
    </row>
    <row r="7603" customFormat="false" ht="15" hidden="false" customHeight="false" outlineLevel="0" collapsed="false">
      <c r="A7603" s="0" t="n">
        <v>7599</v>
      </c>
      <c r="B7603" s="0" t="n">
        <v>11</v>
      </c>
      <c r="C7603" s="19" t="n">
        <v>0.4901</v>
      </c>
      <c r="D7603" s="19" t="n">
        <v>0.0858</v>
      </c>
      <c r="E7603" s="20" t="n">
        <f aca="false">Parametres!$B$5*C7603</f>
        <v>147.03</v>
      </c>
      <c r="F7603" s="20" t="n">
        <f aca="false">Parametres!$B$6*D7603</f>
        <v>17.16</v>
      </c>
      <c r="G7603" s="20" t="n">
        <f aca="false">E7603+F7603</f>
        <v>164.19</v>
      </c>
      <c r="H7603" s="20" t="n">
        <f aca="false">IF(G7603&lt;Parametres!$B$8*Parametres!$B$7,0,MIN(G7603,Parametres!$B$7))</f>
        <v>164.19</v>
      </c>
      <c r="I7603" s="20" t="n">
        <f aca="false">G7603-H7603</f>
        <v>0</v>
      </c>
      <c r="J7603" s="21" t="n">
        <f aca="false">H7603*1000/Parametres!$B$9</f>
        <v>2784.29710022045</v>
      </c>
    </row>
    <row r="7604" customFormat="false" ht="15" hidden="false" customHeight="false" outlineLevel="0" collapsed="false">
      <c r="A7604" s="0" t="n">
        <v>7600</v>
      </c>
      <c r="B7604" s="0" t="n">
        <v>11</v>
      </c>
      <c r="C7604" s="19" t="n">
        <v>0.3066</v>
      </c>
      <c r="D7604" s="19" t="n">
        <v>0.1678</v>
      </c>
      <c r="E7604" s="20" t="n">
        <f aca="false">Parametres!$B$5*C7604</f>
        <v>91.98</v>
      </c>
      <c r="F7604" s="20" t="n">
        <f aca="false">Parametres!$B$6*D7604</f>
        <v>33.56</v>
      </c>
      <c r="G7604" s="20" t="n">
        <f aca="false">E7604+F7604</f>
        <v>125.54</v>
      </c>
      <c r="H7604" s="20" t="n">
        <f aca="false">IF(G7604&lt;Parametres!$B$8*Parametres!$B$7,0,MIN(G7604,Parametres!$B$7))</f>
        <v>125.54</v>
      </c>
      <c r="I7604" s="20" t="n">
        <f aca="false">G7604-H7604</f>
        <v>0</v>
      </c>
      <c r="J7604" s="21" t="n">
        <f aca="false">H7604*1000/Parametres!$B$9</f>
        <v>2128.87909106325</v>
      </c>
    </row>
    <row r="7605" customFormat="false" ht="15" hidden="false" customHeight="false" outlineLevel="0" collapsed="false">
      <c r="A7605" s="0" t="n">
        <v>7601</v>
      </c>
      <c r="B7605" s="0" t="n">
        <v>11</v>
      </c>
      <c r="C7605" s="19" t="n">
        <v>0.1406</v>
      </c>
      <c r="D7605" s="19" t="n">
        <v>0.1148</v>
      </c>
      <c r="E7605" s="20" t="n">
        <f aca="false">Parametres!$B$5*C7605</f>
        <v>42.18</v>
      </c>
      <c r="F7605" s="20" t="n">
        <f aca="false">Parametres!$B$6*D7605</f>
        <v>22.96</v>
      </c>
      <c r="G7605" s="20" t="n">
        <f aca="false">E7605+F7605</f>
        <v>65.14</v>
      </c>
      <c r="H7605" s="20" t="n">
        <f aca="false">IF(G7605&lt;Parametres!$B$8*Parametres!$B$7,0,MIN(G7605,Parametres!$B$7))</f>
        <v>65.14</v>
      </c>
      <c r="I7605" s="20" t="n">
        <f aca="false">G7605-H7605</f>
        <v>0</v>
      </c>
      <c r="J7605" s="21" t="n">
        <f aca="false">H7605*1000/Parametres!$B$9</f>
        <v>1104.62947261319</v>
      </c>
    </row>
    <row r="7606" customFormat="false" ht="15" hidden="false" customHeight="false" outlineLevel="0" collapsed="false">
      <c r="A7606" s="0" t="n">
        <v>7602</v>
      </c>
      <c r="B7606" s="0" t="n">
        <v>11</v>
      </c>
      <c r="C7606" s="19" t="n">
        <v>0</v>
      </c>
      <c r="D7606" s="19" t="n">
        <v>0.1124</v>
      </c>
      <c r="E7606" s="20" t="n">
        <f aca="false">Parametres!$B$5*C7606</f>
        <v>0</v>
      </c>
      <c r="F7606" s="20" t="n">
        <f aca="false">Parametres!$B$6*D7606</f>
        <v>22.48</v>
      </c>
      <c r="G7606" s="20" t="n">
        <f aca="false">E7606+F7606</f>
        <v>22.48</v>
      </c>
      <c r="H7606" s="20" t="n">
        <f aca="false">IF(G7606&lt;Parametres!$B$8*Parametres!$B$7,0,MIN(G7606,Parametres!$B$7))</f>
        <v>0</v>
      </c>
      <c r="I7606" s="20" t="n">
        <f aca="false">G7606-H7606</f>
        <v>22.48</v>
      </c>
      <c r="J7606" s="21" t="n">
        <f aca="false">H7606*1000/Parametres!$B$9</f>
        <v>0</v>
      </c>
    </row>
    <row r="7607" customFormat="false" ht="15" hidden="false" customHeight="false" outlineLevel="0" collapsed="false">
      <c r="A7607" s="0" t="n">
        <v>7603</v>
      </c>
      <c r="B7607" s="0" t="n">
        <v>11</v>
      </c>
      <c r="C7607" s="19" t="n">
        <v>0</v>
      </c>
      <c r="D7607" s="19" t="n">
        <v>0.1852</v>
      </c>
      <c r="E7607" s="20" t="n">
        <f aca="false">Parametres!$B$5*C7607</f>
        <v>0</v>
      </c>
      <c r="F7607" s="20" t="n">
        <f aca="false">Parametres!$B$6*D7607</f>
        <v>37.04</v>
      </c>
      <c r="G7607" s="20" t="n">
        <f aca="false">E7607+F7607</f>
        <v>37.04</v>
      </c>
      <c r="H7607" s="20" t="n">
        <f aca="false">IF(G7607&lt;Parametres!$B$8*Parametres!$B$7,0,MIN(G7607,Parametres!$B$7))</f>
        <v>37.04</v>
      </c>
      <c r="I7607" s="20" t="n">
        <f aca="false">G7607-H7607</f>
        <v>0</v>
      </c>
      <c r="J7607" s="21" t="n">
        <f aca="false">H7607*1000/Parametres!$B$9</f>
        <v>628.115991181957</v>
      </c>
    </row>
    <row r="7608" customFormat="false" ht="15" hidden="false" customHeight="false" outlineLevel="0" collapsed="false">
      <c r="A7608" s="0" t="n">
        <v>7604</v>
      </c>
      <c r="B7608" s="0" t="n">
        <v>11</v>
      </c>
      <c r="C7608" s="19" t="n">
        <v>0</v>
      </c>
      <c r="D7608" s="19" t="n">
        <v>0.2233</v>
      </c>
      <c r="E7608" s="20" t="n">
        <f aca="false">Parametres!$B$5*C7608</f>
        <v>0</v>
      </c>
      <c r="F7608" s="20" t="n">
        <f aca="false">Parametres!$B$6*D7608</f>
        <v>44.66</v>
      </c>
      <c r="G7608" s="20" t="n">
        <f aca="false">E7608+F7608</f>
        <v>44.66</v>
      </c>
      <c r="H7608" s="20" t="n">
        <f aca="false">IF(G7608&lt;Parametres!$B$8*Parametres!$B$7,0,MIN(G7608,Parametres!$B$7))</f>
        <v>44.66</v>
      </c>
      <c r="I7608" s="20" t="n">
        <f aca="false">G7608-H7608</f>
        <v>0</v>
      </c>
      <c r="J7608" s="21" t="n">
        <f aca="false">H7608*1000/Parametres!$B$9</f>
        <v>757.334237748008</v>
      </c>
    </row>
    <row r="7609" customFormat="false" ht="15" hidden="false" customHeight="false" outlineLevel="0" collapsed="false">
      <c r="A7609" s="0" t="n">
        <v>7605</v>
      </c>
      <c r="B7609" s="0" t="n">
        <v>11</v>
      </c>
      <c r="C7609" s="19" t="n">
        <v>0</v>
      </c>
      <c r="D7609" s="19" t="n">
        <v>0.3121</v>
      </c>
      <c r="E7609" s="20" t="n">
        <f aca="false">Parametres!$B$5*C7609</f>
        <v>0</v>
      </c>
      <c r="F7609" s="20" t="n">
        <f aca="false">Parametres!$B$6*D7609</f>
        <v>62.42</v>
      </c>
      <c r="G7609" s="20" t="n">
        <f aca="false">E7609+F7609</f>
        <v>62.42</v>
      </c>
      <c r="H7609" s="20" t="n">
        <f aca="false">IF(G7609&lt;Parametres!$B$8*Parametres!$B$7,0,MIN(G7609,Parametres!$B$7))</f>
        <v>62.42</v>
      </c>
      <c r="I7609" s="20" t="n">
        <f aca="false">G7609-H7609</f>
        <v>0</v>
      </c>
      <c r="J7609" s="21" t="n">
        <f aca="false">H7609*1000/Parametres!$B$9</f>
        <v>1058.50432423266</v>
      </c>
    </row>
    <row r="7610" customFormat="false" ht="15" hidden="false" customHeight="false" outlineLevel="0" collapsed="false">
      <c r="A7610" s="0" t="n">
        <v>7606</v>
      </c>
      <c r="B7610" s="0" t="n">
        <v>11</v>
      </c>
      <c r="C7610" s="19" t="n">
        <v>0</v>
      </c>
      <c r="D7610" s="19" t="n">
        <v>0.233</v>
      </c>
      <c r="E7610" s="20" t="n">
        <f aca="false">Parametres!$B$5*C7610</f>
        <v>0</v>
      </c>
      <c r="F7610" s="20" t="n">
        <f aca="false">Parametres!$B$6*D7610</f>
        <v>46.6</v>
      </c>
      <c r="G7610" s="20" t="n">
        <f aca="false">E7610+F7610</f>
        <v>46.6</v>
      </c>
      <c r="H7610" s="20" t="n">
        <f aca="false">IF(G7610&lt;Parametres!$B$8*Parametres!$B$7,0,MIN(G7610,Parametres!$B$7))</f>
        <v>46.6</v>
      </c>
      <c r="I7610" s="20" t="n">
        <f aca="false">G7610-H7610</f>
        <v>0</v>
      </c>
      <c r="J7610" s="21" t="n">
        <f aca="false">H7610*1000/Parametres!$B$9</f>
        <v>790.232321519417</v>
      </c>
    </row>
    <row r="7611" customFormat="false" ht="15" hidden="false" customHeight="false" outlineLevel="0" collapsed="false">
      <c r="A7611" s="0" t="n">
        <v>7607</v>
      </c>
      <c r="B7611" s="0" t="n">
        <v>11</v>
      </c>
      <c r="C7611" s="19" t="n">
        <v>0</v>
      </c>
      <c r="D7611" s="19" t="n">
        <v>0.3035</v>
      </c>
      <c r="E7611" s="20" t="n">
        <f aca="false">Parametres!$B$5*C7611</f>
        <v>0</v>
      </c>
      <c r="F7611" s="20" t="n">
        <f aca="false">Parametres!$B$6*D7611</f>
        <v>60.7</v>
      </c>
      <c r="G7611" s="20" t="n">
        <f aca="false">E7611+F7611</f>
        <v>60.7</v>
      </c>
      <c r="H7611" s="20" t="n">
        <f aca="false">IF(G7611&lt;Parametres!$B$8*Parametres!$B$7,0,MIN(G7611,Parametres!$B$7))</f>
        <v>60.7</v>
      </c>
      <c r="I7611" s="20" t="n">
        <f aca="false">G7611-H7611</f>
        <v>0</v>
      </c>
      <c r="J7611" s="21" t="n">
        <f aca="false">H7611*1000/Parametres!$B$9</f>
        <v>1029.33695099203</v>
      </c>
    </row>
    <row r="7612" customFormat="false" ht="15" hidden="false" customHeight="false" outlineLevel="0" collapsed="false">
      <c r="A7612" s="0" t="n">
        <v>7608</v>
      </c>
      <c r="B7612" s="0" t="n">
        <v>11</v>
      </c>
      <c r="C7612" s="19" t="n">
        <v>0</v>
      </c>
      <c r="D7612" s="19" t="n">
        <v>0.3867</v>
      </c>
      <c r="E7612" s="20" t="n">
        <f aca="false">Parametres!$B$5*C7612</f>
        <v>0</v>
      </c>
      <c r="F7612" s="20" t="n">
        <f aca="false">Parametres!$B$6*D7612</f>
        <v>77.34</v>
      </c>
      <c r="G7612" s="20" t="n">
        <f aca="false">E7612+F7612</f>
        <v>77.34</v>
      </c>
      <c r="H7612" s="20" t="n">
        <f aca="false">IF(G7612&lt;Parametres!$B$8*Parametres!$B$7,0,MIN(G7612,Parametres!$B$7))</f>
        <v>77.34</v>
      </c>
      <c r="I7612" s="20" t="n">
        <f aca="false">G7612-H7612</f>
        <v>0</v>
      </c>
      <c r="J7612" s="21" t="n">
        <f aca="false">H7612*1000/Parametres!$B$9</f>
        <v>1311.51432931999</v>
      </c>
    </row>
    <row r="7613" customFormat="false" ht="15" hidden="false" customHeight="false" outlineLevel="0" collapsed="false">
      <c r="A7613" s="0" t="n">
        <v>7609</v>
      </c>
      <c r="B7613" s="0" t="n">
        <v>11</v>
      </c>
      <c r="C7613" s="19" t="n">
        <v>0</v>
      </c>
      <c r="D7613" s="19" t="n">
        <v>0.2468</v>
      </c>
      <c r="E7613" s="20" t="n">
        <f aca="false">Parametres!$B$5*C7613</f>
        <v>0</v>
      </c>
      <c r="F7613" s="20" t="n">
        <f aca="false">Parametres!$B$6*D7613</f>
        <v>49.36</v>
      </c>
      <c r="G7613" s="20" t="n">
        <f aca="false">E7613+F7613</f>
        <v>49.36</v>
      </c>
      <c r="H7613" s="20" t="n">
        <f aca="false">IF(G7613&lt;Parametres!$B$8*Parametres!$B$7,0,MIN(G7613,Parametres!$B$7))</f>
        <v>49.36</v>
      </c>
      <c r="I7613" s="20" t="n">
        <f aca="false">G7613-H7613</f>
        <v>0</v>
      </c>
      <c r="J7613" s="21" t="n">
        <f aca="false">H7613*1000/Parametres!$B$9</f>
        <v>837.035780905545</v>
      </c>
    </row>
    <row r="7614" customFormat="false" ht="15" hidden="false" customHeight="false" outlineLevel="0" collapsed="false">
      <c r="A7614" s="0" t="n">
        <v>7610</v>
      </c>
      <c r="B7614" s="0" t="n">
        <v>11</v>
      </c>
      <c r="C7614" s="19" t="n">
        <v>0</v>
      </c>
      <c r="D7614" s="19" t="n">
        <v>0.2696</v>
      </c>
      <c r="E7614" s="20" t="n">
        <f aca="false">Parametres!$B$5*C7614</f>
        <v>0</v>
      </c>
      <c r="F7614" s="20" t="n">
        <f aca="false">Parametres!$B$6*D7614</f>
        <v>53.92</v>
      </c>
      <c r="G7614" s="20" t="n">
        <f aca="false">E7614+F7614</f>
        <v>53.92</v>
      </c>
      <c r="H7614" s="20" t="n">
        <f aca="false">IF(G7614&lt;Parametres!$B$8*Parametres!$B$7,0,MIN(G7614,Parametres!$B$7))</f>
        <v>53.92</v>
      </c>
      <c r="I7614" s="20" t="n">
        <f aca="false">G7614-H7614</f>
        <v>0</v>
      </c>
      <c r="J7614" s="21" t="n">
        <f aca="false">H7614*1000/Parametres!$B$9</f>
        <v>914.363235543497</v>
      </c>
    </row>
    <row r="7615" customFormat="false" ht="15" hidden="false" customHeight="false" outlineLevel="0" collapsed="false">
      <c r="A7615" s="0" t="n">
        <v>7611</v>
      </c>
      <c r="B7615" s="0" t="n">
        <v>11</v>
      </c>
      <c r="C7615" s="19" t="n">
        <v>0</v>
      </c>
      <c r="D7615" s="19" t="n">
        <v>0.0898</v>
      </c>
      <c r="E7615" s="20" t="n">
        <f aca="false">Parametres!$B$5*C7615</f>
        <v>0</v>
      </c>
      <c r="F7615" s="20" t="n">
        <f aca="false">Parametres!$B$6*D7615</f>
        <v>17.96</v>
      </c>
      <c r="G7615" s="20" t="n">
        <f aca="false">E7615+F7615</f>
        <v>17.96</v>
      </c>
      <c r="H7615" s="20" t="n">
        <f aca="false">IF(G7615&lt;Parametres!$B$8*Parametres!$B$7,0,MIN(G7615,Parametres!$B$7))</f>
        <v>0</v>
      </c>
      <c r="I7615" s="20" t="n">
        <f aca="false">G7615-H7615</f>
        <v>17.96</v>
      </c>
      <c r="J7615" s="21" t="n">
        <f aca="false">H7615*1000/Parametres!$B$9</f>
        <v>0</v>
      </c>
    </row>
    <row r="7616" customFormat="false" ht="15" hidden="false" customHeight="false" outlineLevel="0" collapsed="false">
      <c r="A7616" s="0" t="n">
        <v>7612</v>
      </c>
      <c r="B7616" s="0" t="n">
        <v>11</v>
      </c>
      <c r="C7616" s="19" t="n">
        <v>0</v>
      </c>
      <c r="D7616" s="19" t="n">
        <v>0.0697</v>
      </c>
      <c r="E7616" s="20" t="n">
        <f aca="false">Parametres!$B$5*C7616</f>
        <v>0</v>
      </c>
      <c r="F7616" s="20" t="n">
        <f aca="false">Parametres!$B$6*D7616</f>
        <v>13.94</v>
      </c>
      <c r="G7616" s="20" t="n">
        <f aca="false">E7616+F7616</f>
        <v>13.94</v>
      </c>
      <c r="H7616" s="20" t="n">
        <f aca="false">IF(G7616&lt;Parametres!$B$8*Parametres!$B$7,0,MIN(G7616,Parametres!$B$7))</f>
        <v>0</v>
      </c>
      <c r="I7616" s="20" t="n">
        <f aca="false">G7616-H7616</f>
        <v>13.94</v>
      </c>
      <c r="J7616" s="21" t="n">
        <f aca="false">H7616*1000/Parametres!$B$9</f>
        <v>0</v>
      </c>
    </row>
    <row r="7617" customFormat="false" ht="15" hidden="false" customHeight="false" outlineLevel="0" collapsed="false">
      <c r="A7617" s="0" t="n">
        <v>7613</v>
      </c>
      <c r="B7617" s="0" t="n">
        <v>11</v>
      </c>
      <c r="C7617" s="19" t="n">
        <v>0</v>
      </c>
      <c r="D7617" s="19" t="n">
        <v>0.0802</v>
      </c>
      <c r="E7617" s="20" t="n">
        <f aca="false">Parametres!$B$5*C7617</f>
        <v>0</v>
      </c>
      <c r="F7617" s="20" t="n">
        <f aca="false">Parametres!$B$6*D7617</f>
        <v>16.04</v>
      </c>
      <c r="G7617" s="20" t="n">
        <f aca="false">E7617+F7617</f>
        <v>16.04</v>
      </c>
      <c r="H7617" s="20" t="n">
        <f aca="false">IF(G7617&lt;Parametres!$B$8*Parametres!$B$7,0,MIN(G7617,Parametres!$B$7))</f>
        <v>0</v>
      </c>
      <c r="I7617" s="20" t="n">
        <f aca="false">G7617-H7617</f>
        <v>16.04</v>
      </c>
      <c r="J7617" s="21" t="n">
        <f aca="false">H7617*1000/Parametres!$B$9</f>
        <v>0</v>
      </c>
    </row>
    <row r="7618" customFormat="false" ht="15" hidden="false" customHeight="false" outlineLevel="0" collapsed="false">
      <c r="A7618" s="0" t="n">
        <v>7614</v>
      </c>
      <c r="B7618" s="0" t="n">
        <v>11</v>
      </c>
      <c r="C7618" s="19" t="n">
        <v>0</v>
      </c>
      <c r="D7618" s="19" t="n">
        <v>0.1072</v>
      </c>
      <c r="E7618" s="20" t="n">
        <f aca="false">Parametres!$B$5*C7618</f>
        <v>0</v>
      </c>
      <c r="F7618" s="20" t="n">
        <f aca="false">Parametres!$B$6*D7618</f>
        <v>21.44</v>
      </c>
      <c r="G7618" s="20" t="n">
        <f aca="false">E7618+F7618</f>
        <v>21.44</v>
      </c>
      <c r="H7618" s="20" t="n">
        <f aca="false">IF(G7618&lt;Parametres!$B$8*Parametres!$B$7,0,MIN(G7618,Parametres!$B$7))</f>
        <v>0</v>
      </c>
      <c r="I7618" s="20" t="n">
        <f aca="false">G7618-H7618</f>
        <v>21.44</v>
      </c>
      <c r="J7618" s="21" t="n">
        <f aca="false">H7618*1000/Parametres!$B$9</f>
        <v>0</v>
      </c>
    </row>
    <row r="7619" customFormat="false" ht="15" hidden="false" customHeight="false" outlineLevel="0" collapsed="false">
      <c r="A7619" s="0" t="n">
        <v>7615</v>
      </c>
      <c r="B7619" s="0" t="n">
        <v>11</v>
      </c>
      <c r="C7619" s="19" t="n">
        <v>0</v>
      </c>
      <c r="D7619" s="19" t="n">
        <v>0.0647</v>
      </c>
      <c r="E7619" s="20" t="n">
        <f aca="false">Parametres!$B$5*C7619</f>
        <v>0</v>
      </c>
      <c r="F7619" s="20" t="n">
        <f aca="false">Parametres!$B$6*D7619</f>
        <v>12.94</v>
      </c>
      <c r="G7619" s="20" t="n">
        <f aca="false">E7619+F7619</f>
        <v>12.94</v>
      </c>
      <c r="H7619" s="20" t="n">
        <f aca="false">IF(G7619&lt;Parametres!$B$8*Parametres!$B$7,0,MIN(G7619,Parametres!$B$7))</f>
        <v>0</v>
      </c>
      <c r="I7619" s="20" t="n">
        <f aca="false">G7619-H7619</f>
        <v>12.94</v>
      </c>
      <c r="J7619" s="21" t="n">
        <f aca="false">H7619*1000/Parametres!$B$9</f>
        <v>0</v>
      </c>
    </row>
    <row r="7620" customFormat="false" ht="15" hidden="false" customHeight="false" outlineLevel="0" collapsed="false">
      <c r="A7620" s="0" t="n">
        <v>7616</v>
      </c>
      <c r="B7620" s="0" t="n">
        <v>11</v>
      </c>
      <c r="C7620" s="19" t="n">
        <v>0.1624</v>
      </c>
      <c r="D7620" s="19" t="n">
        <v>0.0815</v>
      </c>
      <c r="E7620" s="20" t="n">
        <f aca="false">Parametres!$B$5*C7620</f>
        <v>48.72</v>
      </c>
      <c r="F7620" s="20" t="n">
        <f aca="false">Parametres!$B$6*D7620</f>
        <v>16.3</v>
      </c>
      <c r="G7620" s="20" t="n">
        <f aca="false">E7620+F7620</f>
        <v>65.02</v>
      </c>
      <c r="H7620" s="20" t="n">
        <f aca="false">IF(G7620&lt;Parametres!$B$8*Parametres!$B$7,0,MIN(G7620,Parametres!$B$7))</f>
        <v>65.02</v>
      </c>
      <c r="I7620" s="20" t="n">
        <f aca="false">G7620-H7620</f>
        <v>0</v>
      </c>
      <c r="J7620" s="21" t="n">
        <f aca="false">H7620*1000/Parametres!$B$9</f>
        <v>1102.59453959641</v>
      </c>
    </row>
    <row r="7621" customFormat="false" ht="15" hidden="false" customHeight="false" outlineLevel="0" collapsed="false">
      <c r="A7621" s="0" t="n">
        <v>7617</v>
      </c>
      <c r="B7621" s="0" t="n">
        <v>11</v>
      </c>
      <c r="C7621" s="19" t="n">
        <v>0.365</v>
      </c>
      <c r="D7621" s="19" t="n">
        <v>0.122</v>
      </c>
      <c r="E7621" s="20" t="n">
        <f aca="false">Parametres!$B$5*C7621</f>
        <v>109.5</v>
      </c>
      <c r="F7621" s="20" t="n">
        <f aca="false">Parametres!$B$6*D7621</f>
        <v>24.4</v>
      </c>
      <c r="G7621" s="20" t="n">
        <f aca="false">E7621+F7621</f>
        <v>133.9</v>
      </c>
      <c r="H7621" s="20" t="n">
        <f aca="false">IF(G7621&lt;Parametres!$B$8*Parametres!$B$7,0,MIN(G7621,Parametres!$B$7))</f>
        <v>133.9</v>
      </c>
      <c r="I7621" s="20" t="n">
        <f aca="false">G7621-H7621</f>
        <v>0</v>
      </c>
      <c r="J7621" s="21" t="n">
        <f aca="false">H7621*1000/Parametres!$B$9</f>
        <v>2270.64609123283</v>
      </c>
    </row>
    <row r="7622" customFormat="false" ht="15" hidden="false" customHeight="false" outlineLevel="0" collapsed="false">
      <c r="A7622" s="0" t="n">
        <v>7618</v>
      </c>
      <c r="B7622" s="0" t="n">
        <v>11</v>
      </c>
      <c r="C7622" s="19" t="n">
        <v>0.5768</v>
      </c>
      <c r="D7622" s="19" t="n">
        <v>0.2068</v>
      </c>
      <c r="E7622" s="20" t="n">
        <f aca="false">Parametres!$B$5*C7622</f>
        <v>173.04</v>
      </c>
      <c r="F7622" s="20" t="n">
        <f aca="false">Parametres!$B$6*D7622</f>
        <v>41.36</v>
      </c>
      <c r="G7622" s="20" t="n">
        <f aca="false">E7622+F7622</f>
        <v>214.4</v>
      </c>
      <c r="H7622" s="20" t="n">
        <f aca="false">IF(G7622&lt;Parametres!$B$8*Parametres!$B$7,0,MIN(G7622,Parametres!$B$7))</f>
        <v>214.4</v>
      </c>
      <c r="I7622" s="20" t="n">
        <f aca="false">G7622-H7622</f>
        <v>0</v>
      </c>
      <c r="J7622" s="21" t="n">
        <f aca="false">H7622*1000/Parametres!$B$9</f>
        <v>3635.74698999491</v>
      </c>
    </row>
    <row r="7623" customFormat="false" ht="15" hidden="false" customHeight="false" outlineLevel="0" collapsed="false">
      <c r="A7623" s="0" t="n">
        <v>7619</v>
      </c>
      <c r="B7623" s="0" t="n">
        <v>11</v>
      </c>
      <c r="C7623" s="19" t="n">
        <v>0.731</v>
      </c>
      <c r="D7623" s="19" t="n">
        <v>0.2731</v>
      </c>
      <c r="E7623" s="20" t="n">
        <f aca="false">Parametres!$B$5*C7623</f>
        <v>219.3</v>
      </c>
      <c r="F7623" s="20" t="n">
        <f aca="false">Parametres!$B$6*D7623</f>
        <v>54.62</v>
      </c>
      <c r="G7623" s="20" t="n">
        <f aca="false">E7623+F7623</f>
        <v>273.92</v>
      </c>
      <c r="H7623" s="20" t="n">
        <f aca="false">IF(G7623&lt;Parametres!$B$8*Parametres!$B$7,0,MIN(G7623,Parametres!$B$7))</f>
        <v>250</v>
      </c>
      <c r="I7623" s="20" t="n">
        <f aca="false">G7623-H7623</f>
        <v>23.92</v>
      </c>
      <c r="J7623" s="21" t="n">
        <f aca="false">H7623*1000/Parametres!$B$9</f>
        <v>4239.44378497541</v>
      </c>
    </row>
    <row r="7624" customFormat="false" ht="15" hidden="false" customHeight="false" outlineLevel="0" collapsed="false">
      <c r="A7624" s="0" t="n">
        <v>7620</v>
      </c>
      <c r="B7624" s="0" t="n">
        <v>11</v>
      </c>
      <c r="C7624" s="19" t="n">
        <v>0.7734</v>
      </c>
      <c r="D7624" s="19" t="n">
        <v>0.4001</v>
      </c>
      <c r="E7624" s="20" t="n">
        <f aca="false">Parametres!$B$5*C7624</f>
        <v>232.02</v>
      </c>
      <c r="F7624" s="20" t="n">
        <f aca="false">Parametres!$B$6*D7624</f>
        <v>80.02</v>
      </c>
      <c r="G7624" s="20" t="n">
        <f aca="false">E7624+F7624</f>
        <v>312.04</v>
      </c>
      <c r="H7624" s="20" t="n">
        <f aca="false">IF(G7624&lt;Parametres!$B$8*Parametres!$B$7,0,MIN(G7624,Parametres!$B$7))</f>
        <v>250</v>
      </c>
      <c r="I7624" s="20" t="n">
        <f aca="false">G7624-H7624</f>
        <v>62.04</v>
      </c>
      <c r="J7624" s="21" t="n">
        <f aca="false">H7624*1000/Parametres!$B$9</f>
        <v>4239.44378497541</v>
      </c>
    </row>
    <row r="7625" customFormat="false" ht="15" hidden="false" customHeight="false" outlineLevel="0" collapsed="false">
      <c r="A7625" s="0" t="n">
        <v>7621</v>
      </c>
      <c r="B7625" s="0" t="n">
        <v>11</v>
      </c>
      <c r="C7625" s="19" t="n">
        <v>0.861</v>
      </c>
      <c r="D7625" s="19" t="n">
        <v>0.5446</v>
      </c>
      <c r="E7625" s="20" t="n">
        <f aca="false">Parametres!$B$5*C7625</f>
        <v>258.3</v>
      </c>
      <c r="F7625" s="20" t="n">
        <f aca="false">Parametres!$B$6*D7625</f>
        <v>108.92</v>
      </c>
      <c r="G7625" s="20" t="n">
        <f aca="false">E7625+F7625</f>
        <v>367.22</v>
      </c>
      <c r="H7625" s="20" t="n">
        <f aca="false">IF(G7625&lt;Parametres!$B$8*Parametres!$B$7,0,MIN(G7625,Parametres!$B$7))</f>
        <v>250</v>
      </c>
      <c r="I7625" s="20" t="n">
        <f aca="false">G7625-H7625</f>
        <v>117.22</v>
      </c>
      <c r="J7625" s="21" t="n">
        <f aca="false">H7625*1000/Parametres!$B$9</f>
        <v>4239.44378497541</v>
      </c>
    </row>
    <row r="7626" customFormat="false" ht="15" hidden="false" customHeight="false" outlineLevel="0" collapsed="false">
      <c r="A7626" s="0" t="n">
        <v>7622</v>
      </c>
      <c r="B7626" s="0" t="n">
        <v>11</v>
      </c>
      <c r="C7626" s="19" t="n">
        <v>0.6829</v>
      </c>
      <c r="D7626" s="19" t="n">
        <v>0.6686</v>
      </c>
      <c r="E7626" s="20" t="n">
        <f aca="false">Parametres!$B$5*C7626</f>
        <v>204.87</v>
      </c>
      <c r="F7626" s="20" t="n">
        <f aca="false">Parametres!$B$6*D7626</f>
        <v>133.72</v>
      </c>
      <c r="G7626" s="20" t="n">
        <f aca="false">E7626+F7626</f>
        <v>338.59</v>
      </c>
      <c r="H7626" s="20" t="n">
        <f aca="false">IF(G7626&lt;Parametres!$B$8*Parametres!$B$7,0,MIN(G7626,Parametres!$B$7))</f>
        <v>250</v>
      </c>
      <c r="I7626" s="20" t="n">
        <f aca="false">G7626-H7626</f>
        <v>88.59</v>
      </c>
      <c r="J7626" s="21" t="n">
        <f aca="false">H7626*1000/Parametres!$B$9</f>
        <v>4239.44378497541</v>
      </c>
    </row>
    <row r="7627" customFormat="false" ht="15" hidden="false" customHeight="false" outlineLevel="0" collapsed="false">
      <c r="A7627" s="0" t="n">
        <v>7623</v>
      </c>
      <c r="B7627" s="0" t="n">
        <v>11</v>
      </c>
      <c r="C7627" s="19" t="n">
        <v>0.6073</v>
      </c>
      <c r="D7627" s="19" t="n">
        <v>0.8885</v>
      </c>
      <c r="E7627" s="20" t="n">
        <f aca="false">Parametres!$B$5*C7627</f>
        <v>182.19</v>
      </c>
      <c r="F7627" s="20" t="n">
        <f aca="false">Parametres!$B$6*D7627</f>
        <v>177.7</v>
      </c>
      <c r="G7627" s="20" t="n">
        <f aca="false">E7627+F7627</f>
        <v>359.89</v>
      </c>
      <c r="H7627" s="20" t="n">
        <f aca="false">IF(G7627&lt;Parametres!$B$8*Parametres!$B$7,0,MIN(G7627,Parametres!$B$7))</f>
        <v>250</v>
      </c>
      <c r="I7627" s="20" t="n">
        <f aca="false">G7627-H7627</f>
        <v>109.89</v>
      </c>
      <c r="J7627" s="21" t="n">
        <f aca="false">H7627*1000/Parametres!$B$9</f>
        <v>4239.44378497541</v>
      </c>
    </row>
    <row r="7628" customFormat="false" ht="15" hidden="false" customHeight="false" outlineLevel="0" collapsed="false">
      <c r="A7628" s="0" t="n">
        <v>7624</v>
      </c>
      <c r="B7628" s="0" t="n">
        <v>11</v>
      </c>
      <c r="C7628" s="19" t="n">
        <v>0.382</v>
      </c>
      <c r="D7628" s="19" t="n">
        <v>0.9657</v>
      </c>
      <c r="E7628" s="20" t="n">
        <f aca="false">Parametres!$B$5*C7628</f>
        <v>114.6</v>
      </c>
      <c r="F7628" s="20" t="n">
        <f aca="false">Parametres!$B$6*D7628</f>
        <v>193.14</v>
      </c>
      <c r="G7628" s="20" t="n">
        <f aca="false">E7628+F7628</f>
        <v>307.74</v>
      </c>
      <c r="H7628" s="20" t="n">
        <f aca="false">IF(G7628&lt;Parametres!$B$8*Parametres!$B$7,0,MIN(G7628,Parametres!$B$7))</f>
        <v>250</v>
      </c>
      <c r="I7628" s="20" t="n">
        <f aca="false">G7628-H7628</f>
        <v>57.74</v>
      </c>
      <c r="J7628" s="21" t="n">
        <f aca="false">H7628*1000/Parametres!$B$9</f>
        <v>4239.44378497541</v>
      </c>
    </row>
    <row r="7629" customFormat="false" ht="15" hidden="false" customHeight="false" outlineLevel="0" collapsed="false">
      <c r="A7629" s="0" t="n">
        <v>7625</v>
      </c>
      <c r="B7629" s="0" t="n">
        <v>11</v>
      </c>
      <c r="C7629" s="19" t="n">
        <v>0.1646</v>
      </c>
      <c r="D7629" s="19" t="n">
        <v>0.7113</v>
      </c>
      <c r="E7629" s="20" t="n">
        <f aca="false">Parametres!$B$5*C7629</f>
        <v>49.38</v>
      </c>
      <c r="F7629" s="20" t="n">
        <f aca="false">Parametres!$B$6*D7629</f>
        <v>142.26</v>
      </c>
      <c r="G7629" s="20" t="n">
        <f aca="false">E7629+F7629</f>
        <v>191.64</v>
      </c>
      <c r="H7629" s="20" t="n">
        <f aca="false">IF(G7629&lt;Parametres!$B$8*Parametres!$B$7,0,MIN(G7629,Parametres!$B$7))</f>
        <v>191.64</v>
      </c>
      <c r="I7629" s="20" t="n">
        <f aca="false">G7629-H7629</f>
        <v>0</v>
      </c>
      <c r="J7629" s="21" t="n">
        <f aca="false">H7629*1000/Parametres!$B$9</f>
        <v>3249.78802781075</v>
      </c>
    </row>
    <row r="7630" customFormat="false" ht="15" hidden="false" customHeight="false" outlineLevel="0" collapsed="false">
      <c r="A7630" s="0" t="n">
        <v>7626</v>
      </c>
      <c r="B7630" s="0" t="n">
        <v>11</v>
      </c>
      <c r="C7630" s="19" t="n">
        <v>0</v>
      </c>
      <c r="D7630" s="19" t="n">
        <v>0.7312</v>
      </c>
      <c r="E7630" s="20" t="n">
        <f aca="false">Parametres!$B$5*C7630</f>
        <v>0</v>
      </c>
      <c r="F7630" s="20" t="n">
        <f aca="false">Parametres!$B$6*D7630</f>
        <v>146.24</v>
      </c>
      <c r="G7630" s="20" t="n">
        <f aca="false">E7630+F7630</f>
        <v>146.24</v>
      </c>
      <c r="H7630" s="20" t="n">
        <f aca="false">IF(G7630&lt;Parametres!$B$8*Parametres!$B$7,0,MIN(G7630,Parametres!$B$7))</f>
        <v>146.24</v>
      </c>
      <c r="I7630" s="20" t="n">
        <f aca="false">G7630-H7630</f>
        <v>0</v>
      </c>
      <c r="J7630" s="21" t="n">
        <f aca="false">H7630*1000/Parametres!$B$9</f>
        <v>2479.90503645922</v>
      </c>
    </row>
    <row r="7631" customFormat="false" ht="15" hidden="false" customHeight="false" outlineLevel="0" collapsed="false">
      <c r="A7631" s="0" t="n">
        <v>7627</v>
      </c>
      <c r="B7631" s="0" t="n">
        <v>11</v>
      </c>
      <c r="C7631" s="19" t="n">
        <v>0</v>
      </c>
      <c r="D7631" s="19" t="n">
        <v>1</v>
      </c>
      <c r="E7631" s="20" t="n">
        <f aca="false">Parametres!$B$5*C7631</f>
        <v>0</v>
      </c>
      <c r="F7631" s="20" t="n">
        <f aca="false">Parametres!$B$6*D7631</f>
        <v>200</v>
      </c>
      <c r="G7631" s="20" t="n">
        <f aca="false">E7631+F7631</f>
        <v>200</v>
      </c>
      <c r="H7631" s="20" t="n">
        <f aca="false">IF(G7631&lt;Parametres!$B$8*Parametres!$B$7,0,MIN(G7631,Parametres!$B$7))</f>
        <v>200</v>
      </c>
      <c r="I7631" s="20" t="n">
        <f aca="false">G7631-H7631</f>
        <v>0</v>
      </c>
      <c r="J7631" s="21" t="n">
        <f aca="false">H7631*1000/Parametres!$B$9</f>
        <v>3391.55502798033</v>
      </c>
    </row>
    <row r="7632" customFormat="false" ht="15" hidden="false" customHeight="false" outlineLevel="0" collapsed="false">
      <c r="A7632" s="0" t="n">
        <v>7628</v>
      </c>
      <c r="B7632" s="0" t="n">
        <v>11</v>
      </c>
      <c r="C7632" s="19" t="n">
        <v>0</v>
      </c>
      <c r="D7632" s="19" t="n">
        <v>0.8629</v>
      </c>
      <c r="E7632" s="20" t="n">
        <f aca="false">Parametres!$B$5*C7632</f>
        <v>0</v>
      </c>
      <c r="F7632" s="20" t="n">
        <f aca="false">Parametres!$B$6*D7632</f>
        <v>172.58</v>
      </c>
      <c r="G7632" s="20" t="n">
        <f aca="false">E7632+F7632</f>
        <v>172.58</v>
      </c>
      <c r="H7632" s="20" t="n">
        <f aca="false">IF(G7632&lt;Parametres!$B$8*Parametres!$B$7,0,MIN(G7632,Parametres!$B$7))</f>
        <v>172.58</v>
      </c>
      <c r="I7632" s="20" t="n">
        <f aca="false">G7632-H7632</f>
        <v>0</v>
      </c>
      <c r="J7632" s="21" t="n">
        <f aca="false">H7632*1000/Parametres!$B$9</f>
        <v>2926.57283364423</v>
      </c>
    </row>
    <row r="7633" customFormat="false" ht="15" hidden="false" customHeight="false" outlineLevel="0" collapsed="false">
      <c r="A7633" s="0" t="n">
        <v>7629</v>
      </c>
      <c r="B7633" s="0" t="n">
        <v>11</v>
      </c>
      <c r="C7633" s="19" t="n">
        <v>0</v>
      </c>
      <c r="D7633" s="19" t="n">
        <v>0.5583</v>
      </c>
      <c r="E7633" s="20" t="n">
        <f aca="false">Parametres!$B$5*C7633</f>
        <v>0</v>
      </c>
      <c r="F7633" s="20" t="n">
        <f aca="false">Parametres!$B$6*D7633</f>
        <v>111.66</v>
      </c>
      <c r="G7633" s="20" t="n">
        <f aca="false">E7633+F7633</f>
        <v>111.66</v>
      </c>
      <c r="H7633" s="20" t="n">
        <f aca="false">IF(G7633&lt;Parametres!$B$8*Parametres!$B$7,0,MIN(G7633,Parametres!$B$7))</f>
        <v>111.66</v>
      </c>
      <c r="I7633" s="20" t="n">
        <f aca="false">G7633-H7633</f>
        <v>0</v>
      </c>
      <c r="J7633" s="21" t="n">
        <f aca="false">H7633*1000/Parametres!$B$9</f>
        <v>1893.50517212142</v>
      </c>
    </row>
    <row r="7634" customFormat="false" ht="15" hidden="false" customHeight="false" outlineLevel="0" collapsed="false">
      <c r="A7634" s="0" t="n">
        <v>7630</v>
      </c>
      <c r="B7634" s="0" t="n">
        <v>11</v>
      </c>
      <c r="C7634" s="19" t="n">
        <v>0</v>
      </c>
      <c r="D7634" s="19" t="n">
        <v>0.304</v>
      </c>
      <c r="E7634" s="20" t="n">
        <f aca="false">Parametres!$B$5*C7634</f>
        <v>0</v>
      </c>
      <c r="F7634" s="20" t="n">
        <f aca="false">Parametres!$B$6*D7634</f>
        <v>60.8</v>
      </c>
      <c r="G7634" s="20" t="n">
        <f aca="false">E7634+F7634</f>
        <v>60.8</v>
      </c>
      <c r="H7634" s="20" t="n">
        <f aca="false">IF(G7634&lt;Parametres!$B$8*Parametres!$B$7,0,MIN(G7634,Parametres!$B$7))</f>
        <v>60.8</v>
      </c>
      <c r="I7634" s="20" t="n">
        <f aca="false">G7634-H7634</f>
        <v>0</v>
      </c>
      <c r="J7634" s="21" t="n">
        <f aca="false">H7634*1000/Parametres!$B$9</f>
        <v>1031.03272850602</v>
      </c>
    </row>
    <row r="7635" customFormat="false" ht="15" hidden="false" customHeight="false" outlineLevel="0" collapsed="false">
      <c r="A7635" s="0" t="n">
        <v>7631</v>
      </c>
      <c r="B7635" s="0" t="n">
        <v>11</v>
      </c>
      <c r="C7635" s="19" t="n">
        <v>0</v>
      </c>
      <c r="D7635" s="19" t="n">
        <v>0.3323</v>
      </c>
      <c r="E7635" s="20" t="n">
        <f aca="false">Parametres!$B$5*C7635</f>
        <v>0</v>
      </c>
      <c r="F7635" s="20" t="n">
        <f aca="false">Parametres!$B$6*D7635</f>
        <v>66.46</v>
      </c>
      <c r="G7635" s="20" t="n">
        <f aca="false">E7635+F7635</f>
        <v>66.46</v>
      </c>
      <c r="H7635" s="20" t="n">
        <f aca="false">IF(G7635&lt;Parametres!$B$8*Parametres!$B$7,0,MIN(G7635,Parametres!$B$7))</f>
        <v>66.46</v>
      </c>
      <c r="I7635" s="20" t="n">
        <f aca="false">G7635-H7635</f>
        <v>0</v>
      </c>
      <c r="J7635" s="21" t="n">
        <f aca="false">H7635*1000/Parametres!$B$9</f>
        <v>1127.01373579786</v>
      </c>
    </row>
    <row r="7636" customFormat="false" ht="15" hidden="false" customHeight="false" outlineLevel="0" collapsed="false">
      <c r="A7636" s="0" t="n">
        <v>7632</v>
      </c>
      <c r="B7636" s="0" t="n">
        <v>11</v>
      </c>
      <c r="C7636" s="19" t="n">
        <v>0</v>
      </c>
      <c r="D7636" s="19" t="n">
        <v>0.2205</v>
      </c>
      <c r="E7636" s="20" t="n">
        <f aca="false">Parametres!$B$5*C7636</f>
        <v>0</v>
      </c>
      <c r="F7636" s="20" t="n">
        <f aca="false">Parametres!$B$6*D7636</f>
        <v>44.1</v>
      </c>
      <c r="G7636" s="20" t="n">
        <f aca="false">E7636+F7636</f>
        <v>44.1</v>
      </c>
      <c r="H7636" s="20" t="n">
        <f aca="false">IF(G7636&lt;Parametres!$B$8*Parametres!$B$7,0,MIN(G7636,Parametres!$B$7))</f>
        <v>44.1</v>
      </c>
      <c r="I7636" s="20" t="n">
        <f aca="false">G7636-H7636</f>
        <v>0</v>
      </c>
      <c r="J7636" s="21" t="n">
        <f aca="false">H7636*1000/Parametres!$B$9</f>
        <v>747.837883669663</v>
      </c>
    </row>
    <row r="7637" customFormat="false" ht="15" hidden="false" customHeight="false" outlineLevel="0" collapsed="false">
      <c r="A7637" s="0" t="n">
        <v>7633</v>
      </c>
      <c r="B7637" s="0" t="n">
        <v>11</v>
      </c>
      <c r="C7637" s="19" t="n">
        <v>0</v>
      </c>
      <c r="D7637" s="19" t="n">
        <v>0.2</v>
      </c>
      <c r="E7637" s="20" t="n">
        <f aca="false">Parametres!$B$5*C7637</f>
        <v>0</v>
      </c>
      <c r="F7637" s="20" t="n">
        <f aca="false">Parametres!$B$6*D7637</f>
        <v>40</v>
      </c>
      <c r="G7637" s="20" t="n">
        <f aca="false">E7637+F7637</f>
        <v>40</v>
      </c>
      <c r="H7637" s="20" t="n">
        <f aca="false">IF(G7637&lt;Parametres!$B$8*Parametres!$B$7,0,MIN(G7637,Parametres!$B$7))</f>
        <v>40</v>
      </c>
      <c r="I7637" s="20" t="n">
        <f aca="false">G7637-H7637</f>
        <v>0</v>
      </c>
      <c r="J7637" s="21" t="n">
        <f aca="false">H7637*1000/Parametres!$B$9</f>
        <v>678.311005596066</v>
      </c>
    </row>
    <row r="7638" customFormat="false" ht="15" hidden="false" customHeight="false" outlineLevel="0" collapsed="false">
      <c r="A7638" s="0" t="n">
        <v>7634</v>
      </c>
      <c r="B7638" s="0" t="n">
        <v>11</v>
      </c>
      <c r="C7638" s="19" t="n">
        <v>0</v>
      </c>
      <c r="D7638" s="19" t="n">
        <v>0.0607</v>
      </c>
      <c r="E7638" s="20" t="n">
        <f aca="false">Parametres!$B$5*C7638</f>
        <v>0</v>
      </c>
      <c r="F7638" s="20" t="n">
        <f aca="false">Parametres!$B$6*D7638</f>
        <v>12.14</v>
      </c>
      <c r="G7638" s="20" t="n">
        <f aca="false">E7638+F7638</f>
        <v>12.14</v>
      </c>
      <c r="H7638" s="20" t="n">
        <f aca="false">IF(G7638&lt;Parametres!$B$8*Parametres!$B$7,0,MIN(G7638,Parametres!$B$7))</f>
        <v>0</v>
      </c>
      <c r="I7638" s="20" t="n">
        <f aca="false">G7638-H7638</f>
        <v>12.14</v>
      </c>
      <c r="J7638" s="21" t="n">
        <f aca="false">H7638*1000/Parametres!$B$9</f>
        <v>0</v>
      </c>
    </row>
    <row r="7639" customFormat="false" ht="15" hidden="false" customHeight="false" outlineLevel="0" collapsed="false">
      <c r="A7639" s="0" t="n">
        <v>7635</v>
      </c>
      <c r="B7639" s="0" t="n">
        <v>11</v>
      </c>
      <c r="C7639" s="19" t="n">
        <v>0</v>
      </c>
      <c r="D7639" s="19" t="n">
        <v>0.0282</v>
      </c>
      <c r="E7639" s="20" t="n">
        <f aca="false">Parametres!$B$5*C7639</f>
        <v>0</v>
      </c>
      <c r="F7639" s="20" t="n">
        <f aca="false">Parametres!$B$6*D7639</f>
        <v>5.64</v>
      </c>
      <c r="G7639" s="20" t="n">
        <f aca="false">E7639+F7639</f>
        <v>5.64</v>
      </c>
      <c r="H7639" s="20" t="n">
        <f aca="false">IF(G7639&lt;Parametres!$B$8*Parametres!$B$7,0,MIN(G7639,Parametres!$B$7))</f>
        <v>0</v>
      </c>
      <c r="I7639" s="20" t="n">
        <f aca="false">G7639-H7639</f>
        <v>5.64</v>
      </c>
      <c r="J7639" s="21" t="n">
        <f aca="false">H7639*1000/Parametres!$B$9</f>
        <v>0</v>
      </c>
    </row>
    <row r="7640" customFormat="false" ht="15" hidden="false" customHeight="false" outlineLevel="0" collapsed="false">
      <c r="A7640" s="0" t="n">
        <v>7636</v>
      </c>
      <c r="B7640" s="0" t="n">
        <v>11</v>
      </c>
      <c r="C7640" s="19" t="n">
        <v>0</v>
      </c>
      <c r="D7640" s="19" t="n">
        <v>0.0667</v>
      </c>
      <c r="E7640" s="20" t="n">
        <f aca="false">Parametres!$B$5*C7640</f>
        <v>0</v>
      </c>
      <c r="F7640" s="20" t="n">
        <f aca="false">Parametres!$B$6*D7640</f>
        <v>13.34</v>
      </c>
      <c r="G7640" s="20" t="n">
        <f aca="false">E7640+F7640</f>
        <v>13.34</v>
      </c>
      <c r="H7640" s="20" t="n">
        <f aca="false">IF(G7640&lt;Parametres!$B$8*Parametres!$B$7,0,MIN(G7640,Parametres!$B$7))</f>
        <v>0</v>
      </c>
      <c r="I7640" s="20" t="n">
        <f aca="false">G7640-H7640</f>
        <v>13.34</v>
      </c>
      <c r="J7640" s="21" t="n">
        <f aca="false">H7640*1000/Parametres!$B$9</f>
        <v>0</v>
      </c>
    </row>
    <row r="7641" customFormat="false" ht="15" hidden="false" customHeight="false" outlineLevel="0" collapsed="false">
      <c r="A7641" s="0" t="n">
        <v>7637</v>
      </c>
      <c r="B7641" s="0" t="n">
        <v>11</v>
      </c>
      <c r="C7641" s="19" t="n">
        <v>0</v>
      </c>
      <c r="D7641" s="19" t="n">
        <v>0.132</v>
      </c>
      <c r="E7641" s="20" t="n">
        <f aca="false">Parametres!$B$5*C7641</f>
        <v>0</v>
      </c>
      <c r="F7641" s="20" t="n">
        <f aca="false">Parametres!$B$6*D7641</f>
        <v>26.4</v>
      </c>
      <c r="G7641" s="20" t="n">
        <f aca="false">E7641+F7641</f>
        <v>26.4</v>
      </c>
      <c r="H7641" s="20" t="n">
        <f aca="false">IF(G7641&lt;Parametres!$B$8*Parametres!$B$7,0,MIN(G7641,Parametres!$B$7))</f>
        <v>26.4</v>
      </c>
      <c r="I7641" s="20" t="n">
        <f aca="false">G7641-H7641</f>
        <v>0</v>
      </c>
      <c r="J7641" s="21" t="n">
        <f aca="false">H7641*1000/Parametres!$B$9</f>
        <v>447.685263693404</v>
      </c>
    </row>
    <row r="7642" customFormat="false" ht="15" hidden="false" customHeight="false" outlineLevel="0" collapsed="false">
      <c r="A7642" s="0" t="n">
        <v>7638</v>
      </c>
      <c r="B7642" s="0" t="n">
        <v>11</v>
      </c>
      <c r="C7642" s="19" t="n">
        <v>0</v>
      </c>
      <c r="D7642" s="19" t="n">
        <v>0.2606</v>
      </c>
      <c r="E7642" s="20" t="n">
        <f aca="false">Parametres!$B$5*C7642</f>
        <v>0</v>
      </c>
      <c r="F7642" s="20" t="n">
        <f aca="false">Parametres!$B$6*D7642</f>
        <v>52.12</v>
      </c>
      <c r="G7642" s="20" t="n">
        <f aca="false">E7642+F7642</f>
        <v>52.12</v>
      </c>
      <c r="H7642" s="20" t="n">
        <f aca="false">IF(G7642&lt;Parametres!$B$8*Parametres!$B$7,0,MIN(G7642,Parametres!$B$7))</f>
        <v>52.12</v>
      </c>
      <c r="I7642" s="20" t="n">
        <f aca="false">G7642-H7642</f>
        <v>0</v>
      </c>
      <c r="J7642" s="21" t="n">
        <f aca="false">H7642*1000/Parametres!$B$9</f>
        <v>883.839240291674</v>
      </c>
    </row>
    <row r="7643" customFormat="false" ht="15" hidden="false" customHeight="false" outlineLevel="0" collapsed="false">
      <c r="A7643" s="0" t="n">
        <v>7639</v>
      </c>
      <c r="B7643" s="0" t="n">
        <v>11</v>
      </c>
      <c r="C7643" s="19" t="n">
        <v>0</v>
      </c>
      <c r="D7643" s="19" t="n">
        <v>0.2014</v>
      </c>
      <c r="E7643" s="20" t="n">
        <f aca="false">Parametres!$B$5*C7643</f>
        <v>0</v>
      </c>
      <c r="F7643" s="20" t="n">
        <f aca="false">Parametres!$B$6*D7643</f>
        <v>40.28</v>
      </c>
      <c r="G7643" s="20" t="n">
        <f aca="false">E7643+F7643</f>
        <v>40.28</v>
      </c>
      <c r="H7643" s="20" t="n">
        <f aca="false">IF(G7643&lt;Parametres!$B$8*Parametres!$B$7,0,MIN(G7643,Parametres!$B$7))</f>
        <v>40.28</v>
      </c>
      <c r="I7643" s="20" t="n">
        <f aca="false">G7643-H7643</f>
        <v>0</v>
      </c>
      <c r="J7643" s="21" t="n">
        <f aca="false">H7643*1000/Parametres!$B$9</f>
        <v>683.059182635238</v>
      </c>
    </row>
    <row r="7644" customFormat="false" ht="15" hidden="false" customHeight="false" outlineLevel="0" collapsed="false">
      <c r="A7644" s="0" t="n">
        <v>7640</v>
      </c>
      <c r="B7644" s="0" t="n">
        <v>11</v>
      </c>
      <c r="C7644" s="19" t="n">
        <v>0.1177</v>
      </c>
      <c r="D7644" s="19" t="n">
        <v>0.1857</v>
      </c>
      <c r="E7644" s="20" t="n">
        <f aca="false">Parametres!$B$5*C7644</f>
        <v>35.31</v>
      </c>
      <c r="F7644" s="20" t="n">
        <f aca="false">Parametres!$B$6*D7644</f>
        <v>37.14</v>
      </c>
      <c r="G7644" s="20" t="n">
        <f aca="false">E7644+F7644</f>
        <v>72.45</v>
      </c>
      <c r="H7644" s="20" t="n">
        <f aca="false">IF(G7644&lt;Parametres!$B$8*Parametres!$B$7,0,MIN(G7644,Parametres!$B$7))</f>
        <v>72.45</v>
      </c>
      <c r="I7644" s="20" t="n">
        <f aca="false">G7644-H7644</f>
        <v>0</v>
      </c>
      <c r="J7644" s="21" t="n">
        <f aca="false">H7644*1000/Parametres!$B$9</f>
        <v>1228.59080888587</v>
      </c>
    </row>
    <row r="7645" customFormat="false" ht="15" hidden="false" customHeight="false" outlineLevel="0" collapsed="false">
      <c r="A7645" s="0" t="n">
        <v>7641</v>
      </c>
      <c r="B7645" s="0" t="n">
        <v>11</v>
      </c>
      <c r="C7645" s="19" t="n">
        <v>0.2921</v>
      </c>
      <c r="D7645" s="19" t="n">
        <v>0.2234</v>
      </c>
      <c r="E7645" s="20" t="n">
        <f aca="false">Parametres!$B$5*C7645</f>
        <v>87.63</v>
      </c>
      <c r="F7645" s="20" t="n">
        <f aca="false">Parametres!$B$6*D7645</f>
        <v>44.68</v>
      </c>
      <c r="G7645" s="20" t="n">
        <f aca="false">E7645+F7645</f>
        <v>132.31</v>
      </c>
      <c r="H7645" s="20" t="n">
        <f aca="false">IF(G7645&lt;Parametres!$B$8*Parametres!$B$7,0,MIN(G7645,Parametres!$B$7))</f>
        <v>132.31</v>
      </c>
      <c r="I7645" s="20" t="n">
        <f aca="false">G7645-H7645</f>
        <v>0</v>
      </c>
      <c r="J7645" s="21" t="n">
        <f aca="false">H7645*1000/Parametres!$B$9</f>
        <v>2243.68322876039</v>
      </c>
    </row>
    <row r="7646" customFormat="false" ht="15" hidden="false" customHeight="false" outlineLevel="0" collapsed="false">
      <c r="A7646" s="0" t="n">
        <v>7642</v>
      </c>
      <c r="B7646" s="0" t="n">
        <v>11</v>
      </c>
      <c r="C7646" s="19" t="n">
        <v>0.4266</v>
      </c>
      <c r="D7646" s="19" t="n">
        <v>0.3926</v>
      </c>
      <c r="E7646" s="20" t="n">
        <f aca="false">Parametres!$B$5*C7646</f>
        <v>127.98</v>
      </c>
      <c r="F7646" s="20" t="n">
        <f aca="false">Parametres!$B$6*D7646</f>
        <v>78.52</v>
      </c>
      <c r="G7646" s="20" t="n">
        <f aca="false">E7646+F7646</f>
        <v>206.5</v>
      </c>
      <c r="H7646" s="20" t="n">
        <f aca="false">IF(G7646&lt;Parametres!$B$8*Parametres!$B$7,0,MIN(G7646,Parametres!$B$7))</f>
        <v>206.5</v>
      </c>
      <c r="I7646" s="20" t="n">
        <f aca="false">G7646-H7646</f>
        <v>0</v>
      </c>
      <c r="J7646" s="21" t="n">
        <f aca="false">H7646*1000/Parametres!$B$9</f>
        <v>3501.78056638969</v>
      </c>
    </row>
    <row r="7647" customFormat="false" ht="15" hidden="false" customHeight="false" outlineLevel="0" collapsed="false">
      <c r="A7647" s="0" t="n">
        <v>7643</v>
      </c>
      <c r="B7647" s="0" t="n">
        <v>11</v>
      </c>
      <c r="C7647" s="19" t="n">
        <v>0.5757</v>
      </c>
      <c r="D7647" s="19" t="n">
        <v>0.3733</v>
      </c>
      <c r="E7647" s="20" t="n">
        <f aca="false">Parametres!$B$5*C7647</f>
        <v>172.71</v>
      </c>
      <c r="F7647" s="20" t="n">
        <f aca="false">Parametres!$B$6*D7647</f>
        <v>74.66</v>
      </c>
      <c r="G7647" s="20" t="n">
        <f aca="false">E7647+F7647</f>
        <v>247.37</v>
      </c>
      <c r="H7647" s="20" t="n">
        <f aca="false">IF(G7647&lt;Parametres!$B$8*Parametres!$B$7,0,MIN(G7647,Parametres!$B$7))</f>
        <v>247.37</v>
      </c>
      <c r="I7647" s="20" t="n">
        <f aca="false">G7647-H7647</f>
        <v>0</v>
      </c>
      <c r="J7647" s="21" t="n">
        <f aca="false">H7647*1000/Parametres!$B$9</f>
        <v>4194.84483635747</v>
      </c>
    </row>
    <row r="7648" customFormat="false" ht="15" hidden="false" customHeight="false" outlineLevel="0" collapsed="false">
      <c r="A7648" s="0" t="n">
        <v>7644</v>
      </c>
      <c r="B7648" s="0" t="n">
        <v>11</v>
      </c>
      <c r="C7648" s="19" t="n">
        <v>0.6053</v>
      </c>
      <c r="D7648" s="19" t="n">
        <v>0.4236</v>
      </c>
      <c r="E7648" s="20" t="n">
        <f aca="false">Parametres!$B$5*C7648</f>
        <v>181.59</v>
      </c>
      <c r="F7648" s="20" t="n">
        <f aca="false">Parametres!$B$6*D7648</f>
        <v>84.72</v>
      </c>
      <c r="G7648" s="20" t="n">
        <f aca="false">E7648+F7648</f>
        <v>266.31</v>
      </c>
      <c r="H7648" s="20" t="n">
        <f aca="false">IF(G7648&lt;Parametres!$B$8*Parametres!$B$7,0,MIN(G7648,Parametres!$B$7))</f>
        <v>250</v>
      </c>
      <c r="I7648" s="20" t="n">
        <f aca="false">G7648-H7648</f>
        <v>16.3099999999999</v>
      </c>
      <c r="J7648" s="21" t="n">
        <f aca="false">H7648*1000/Parametres!$B$9</f>
        <v>4239.44378497541</v>
      </c>
    </row>
    <row r="7649" customFormat="false" ht="15" hidden="false" customHeight="false" outlineLevel="0" collapsed="false">
      <c r="A7649" s="0" t="n">
        <v>7645</v>
      </c>
      <c r="B7649" s="0" t="n">
        <v>11</v>
      </c>
      <c r="C7649" s="19" t="n">
        <v>0.6199</v>
      </c>
      <c r="D7649" s="19" t="n">
        <v>0.5022</v>
      </c>
      <c r="E7649" s="20" t="n">
        <f aca="false">Parametres!$B$5*C7649</f>
        <v>185.97</v>
      </c>
      <c r="F7649" s="20" t="n">
        <f aca="false">Parametres!$B$6*D7649</f>
        <v>100.44</v>
      </c>
      <c r="G7649" s="20" t="n">
        <f aca="false">E7649+F7649</f>
        <v>286.41</v>
      </c>
      <c r="H7649" s="20" t="n">
        <f aca="false">IF(G7649&lt;Parametres!$B$8*Parametres!$B$7,0,MIN(G7649,Parametres!$B$7))</f>
        <v>250</v>
      </c>
      <c r="I7649" s="20" t="n">
        <f aca="false">G7649-H7649</f>
        <v>36.41</v>
      </c>
      <c r="J7649" s="21" t="n">
        <f aca="false">H7649*1000/Parametres!$B$9</f>
        <v>4239.44378497541</v>
      </c>
    </row>
    <row r="7650" customFormat="false" ht="15" hidden="false" customHeight="false" outlineLevel="0" collapsed="false">
      <c r="A7650" s="0" t="n">
        <v>7646</v>
      </c>
      <c r="B7650" s="0" t="n">
        <v>11</v>
      </c>
      <c r="C7650" s="19" t="n">
        <v>0.5579</v>
      </c>
      <c r="D7650" s="19" t="n">
        <v>0.4726</v>
      </c>
      <c r="E7650" s="20" t="n">
        <f aca="false">Parametres!$B$5*C7650</f>
        <v>167.37</v>
      </c>
      <c r="F7650" s="20" t="n">
        <f aca="false">Parametres!$B$6*D7650</f>
        <v>94.52</v>
      </c>
      <c r="G7650" s="20" t="n">
        <f aca="false">E7650+F7650</f>
        <v>261.89</v>
      </c>
      <c r="H7650" s="20" t="n">
        <f aca="false">IF(G7650&lt;Parametres!$B$8*Parametres!$B$7,0,MIN(G7650,Parametres!$B$7))</f>
        <v>250</v>
      </c>
      <c r="I7650" s="20" t="n">
        <f aca="false">G7650-H7650</f>
        <v>11.89</v>
      </c>
      <c r="J7650" s="21" t="n">
        <f aca="false">H7650*1000/Parametres!$B$9</f>
        <v>4239.44378497541</v>
      </c>
    </row>
    <row r="7651" customFormat="false" ht="15" hidden="false" customHeight="false" outlineLevel="0" collapsed="false">
      <c r="A7651" s="0" t="n">
        <v>7647</v>
      </c>
      <c r="B7651" s="0" t="n">
        <v>11</v>
      </c>
      <c r="C7651" s="19" t="n">
        <v>0.4599</v>
      </c>
      <c r="D7651" s="19" t="n">
        <v>0.4537</v>
      </c>
      <c r="E7651" s="20" t="n">
        <f aca="false">Parametres!$B$5*C7651</f>
        <v>137.97</v>
      </c>
      <c r="F7651" s="20" t="n">
        <f aca="false">Parametres!$B$6*D7651</f>
        <v>90.74</v>
      </c>
      <c r="G7651" s="20" t="n">
        <f aca="false">E7651+F7651</f>
        <v>228.71</v>
      </c>
      <c r="H7651" s="20" t="n">
        <f aca="false">IF(G7651&lt;Parametres!$B$8*Parametres!$B$7,0,MIN(G7651,Parametres!$B$7))</f>
        <v>228.71</v>
      </c>
      <c r="I7651" s="20" t="n">
        <f aca="false">G7651-H7651</f>
        <v>0</v>
      </c>
      <c r="J7651" s="21" t="n">
        <f aca="false">H7651*1000/Parametres!$B$9</f>
        <v>3878.41275224691</v>
      </c>
    </row>
    <row r="7652" customFormat="false" ht="15" hidden="false" customHeight="false" outlineLevel="0" collapsed="false">
      <c r="A7652" s="0" t="n">
        <v>7648</v>
      </c>
      <c r="B7652" s="0" t="n">
        <v>11</v>
      </c>
      <c r="C7652" s="19" t="n">
        <v>0.2874</v>
      </c>
      <c r="D7652" s="19" t="n">
        <v>0.5063</v>
      </c>
      <c r="E7652" s="20" t="n">
        <f aca="false">Parametres!$B$5*C7652</f>
        <v>86.22</v>
      </c>
      <c r="F7652" s="20" t="n">
        <f aca="false">Parametres!$B$6*D7652</f>
        <v>101.26</v>
      </c>
      <c r="G7652" s="20" t="n">
        <f aca="false">E7652+F7652</f>
        <v>187.48</v>
      </c>
      <c r="H7652" s="20" t="n">
        <f aca="false">IF(G7652&lt;Parametres!$B$8*Parametres!$B$7,0,MIN(G7652,Parametres!$B$7))</f>
        <v>187.48</v>
      </c>
      <c r="I7652" s="20" t="n">
        <f aca="false">G7652-H7652</f>
        <v>0</v>
      </c>
      <c r="J7652" s="21" t="n">
        <f aca="false">H7652*1000/Parametres!$B$9</f>
        <v>3179.24368322876</v>
      </c>
    </row>
    <row r="7653" customFormat="false" ht="15" hidden="false" customHeight="false" outlineLevel="0" collapsed="false">
      <c r="A7653" s="0" t="n">
        <v>7649</v>
      </c>
      <c r="B7653" s="0" t="n">
        <v>11</v>
      </c>
      <c r="C7653" s="19" t="n">
        <v>0.1293</v>
      </c>
      <c r="D7653" s="19" t="n">
        <v>0.3177</v>
      </c>
      <c r="E7653" s="20" t="n">
        <f aca="false">Parametres!$B$5*C7653</f>
        <v>38.79</v>
      </c>
      <c r="F7653" s="20" t="n">
        <f aca="false">Parametres!$B$6*D7653</f>
        <v>63.54</v>
      </c>
      <c r="G7653" s="20" t="n">
        <f aca="false">E7653+F7653</f>
        <v>102.33</v>
      </c>
      <c r="H7653" s="20" t="n">
        <f aca="false">IF(G7653&lt;Parametres!$B$8*Parametres!$B$7,0,MIN(G7653,Parametres!$B$7))</f>
        <v>102.33</v>
      </c>
      <c r="I7653" s="20" t="n">
        <f aca="false">G7653-H7653</f>
        <v>0</v>
      </c>
      <c r="J7653" s="21" t="n">
        <f aca="false">H7653*1000/Parametres!$B$9</f>
        <v>1735.28913006614</v>
      </c>
    </row>
    <row r="7654" customFormat="false" ht="15" hidden="false" customHeight="false" outlineLevel="0" collapsed="false">
      <c r="A7654" s="0" t="n">
        <v>7650</v>
      </c>
      <c r="B7654" s="0" t="n">
        <v>11</v>
      </c>
      <c r="C7654" s="19" t="n">
        <v>0</v>
      </c>
      <c r="D7654" s="19" t="n">
        <v>0.4467</v>
      </c>
      <c r="E7654" s="20" t="n">
        <f aca="false">Parametres!$B$5*C7654</f>
        <v>0</v>
      </c>
      <c r="F7654" s="20" t="n">
        <f aca="false">Parametres!$B$6*D7654</f>
        <v>89.34</v>
      </c>
      <c r="G7654" s="20" t="n">
        <f aca="false">E7654+F7654</f>
        <v>89.34</v>
      </c>
      <c r="H7654" s="20" t="n">
        <f aca="false">IF(G7654&lt;Parametres!$B$8*Parametres!$B$7,0,MIN(G7654,Parametres!$B$7))</f>
        <v>89.34</v>
      </c>
      <c r="I7654" s="20" t="n">
        <f aca="false">G7654-H7654</f>
        <v>0</v>
      </c>
      <c r="J7654" s="21" t="n">
        <f aca="false">H7654*1000/Parametres!$B$9</f>
        <v>1515.00763099881</v>
      </c>
    </row>
    <row r="7655" customFormat="false" ht="15" hidden="false" customHeight="false" outlineLevel="0" collapsed="false">
      <c r="A7655" s="0" t="n">
        <v>7651</v>
      </c>
      <c r="B7655" s="0" t="n">
        <v>11</v>
      </c>
      <c r="C7655" s="19" t="n">
        <v>0</v>
      </c>
      <c r="D7655" s="19" t="n">
        <v>0.424</v>
      </c>
      <c r="E7655" s="20" t="n">
        <f aca="false">Parametres!$B$5*C7655</f>
        <v>0</v>
      </c>
      <c r="F7655" s="20" t="n">
        <f aca="false">Parametres!$B$6*D7655</f>
        <v>84.8</v>
      </c>
      <c r="G7655" s="20" t="n">
        <f aca="false">E7655+F7655</f>
        <v>84.8</v>
      </c>
      <c r="H7655" s="20" t="n">
        <f aca="false">IF(G7655&lt;Parametres!$B$8*Parametres!$B$7,0,MIN(G7655,Parametres!$B$7))</f>
        <v>84.8</v>
      </c>
      <c r="I7655" s="20" t="n">
        <f aca="false">G7655-H7655</f>
        <v>0</v>
      </c>
      <c r="J7655" s="21" t="n">
        <f aca="false">H7655*1000/Parametres!$B$9</f>
        <v>1438.01933186366</v>
      </c>
    </row>
    <row r="7656" customFormat="false" ht="15" hidden="false" customHeight="false" outlineLevel="0" collapsed="false">
      <c r="A7656" s="0" t="n">
        <v>7652</v>
      </c>
      <c r="B7656" s="0" t="n">
        <v>11</v>
      </c>
      <c r="C7656" s="19" t="n">
        <v>0</v>
      </c>
      <c r="D7656" s="19" t="n">
        <v>0.2837</v>
      </c>
      <c r="E7656" s="20" t="n">
        <f aca="false">Parametres!$B$5*C7656</f>
        <v>0</v>
      </c>
      <c r="F7656" s="20" t="n">
        <f aca="false">Parametres!$B$6*D7656</f>
        <v>56.74</v>
      </c>
      <c r="G7656" s="20" t="n">
        <f aca="false">E7656+F7656</f>
        <v>56.74</v>
      </c>
      <c r="H7656" s="20" t="n">
        <f aca="false">IF(G7656&lt;Parametres!$B$8*Parametres!$B$7,0,MIN(G7656,Parametres!$B$7))</f>
        <v>56.74</v>
      </c>
      <c r="I7656" s="20" t="n">
        <f aca="false">G7656-H7656</f>
        <v>0</v>
      </c>
      <c r="J7656" s="21" t="n">
        <f aca="false">H7656*1000/Parametres!$B$9</f>
        <v>962.184161438019</v>
      </c>
    </row>
    <row r="7657" customFormat="false" ht="15" hidden="false" customHeight="false" outlineLevel="0" collapsed="false">
      <c r="A7657" s="0" t="n">
        <v>7653</v>
      </c>
      <c r="B7657" s="0" t="n">
        <v>11</v>
      </c>
      <c r="C7657" s="19" t="n">
        <v>0</v>
      </c>
      <c r="D7657" s="19" t="n">
        <v>0.4225</v>
      </c>
      <c r="E7657" s="20" t="n">
        <f aca="false">Parametres!$B$5*C7657</f>
        <v>0</v>
      </c>
      <c r="F7657" s="20" t="n">
        <f aca="false">Parametres!$B$6*D7657</f>
        <v>84.5</v>
      </c>
      <c r="G7657" s="20" t="n">
        <f aca="false">E7657+F7657</f>
        <v>84.5</v>
      </c>
      <c r="H7657" s="20" t="n">
        <f aca="false">IF(G7657&lt;Parametres!$B$8*Parametres!$B$7,0,MIN(G7657,Parametres!$B$7))</f>
        <v>84.5</v>
      </c>
      <c r="I7657" s="20" t="n">
        <f aca="false">G7657-H7657</f>
        <v>0</v>
      </c>
      <c r="J7657" s="21" t="n">
        <f aca="false">H7657*1000/Parametres!$B$9</f>
        <v>1432.93199932169</v>
      </c>
    </row>
    <row r="7658" customFormat="false" ht="15" hidden="false" customHeight="false" outlineLevel="0" collapsed="false">
      <c r="A7658" s="0" t="n">
        <v>7654</v>
      </c>
      <c r="B7658" s="0" t="n">
        <v>11</v>
      </c>
      <c r="C7658" s="19" t="n">
        <v>0</v>
      </c>
      <c r="D7658" s="19" t="n">
        <v>0.3279</v>
      </c>
      <c r="E7658" s="20" t="n">
        <f aca="false">Parametres!$B$5*C7658</f>
        <v>0</v>
      </c>
      <c r="F7658" s="20" t="n">
        <f aca="false">Parametres!$B$6*D7658</f>
        <v>65.58</v>
      </c>
      <c r="G7658" s="20" t="n">
        <f aca="false">E7658+F7658</f>
        <v>65.58</v>
      </c>
      <c r="H7658" s="20" t="n">
        <f aca="false">IF(G7658&lt;Parametres!$B$8*Parametres!$B$7,0,MIN(G7658,Parametres!$B$7))</f>
        <v>65.58</v>
      </c>
      <c r="I7658" s="20" t="n">
        <f aca="false">G7658-H7658</f>
        <v>0</v>
      </c>
      <c r="J7658" s="21" t="n">
        <f aca="false">H7658*1000/Parametres!$B$9</f>
        <v>1112.09089367475</v>
      </c>
    </row>
    <row r="7659" customFormat="false" ht="15" hidden="false" customHeight="false" outlineLevel="0" collapsed="false">
      <c r="A7659" s="0" t="n">
        <v>7655</v>
      </c>
      <c r="B7659" s="0" t="n">
        <v>11</v>
      </c>
      <c r="C7659" s="19" t="n">
        <v>0</v>
      </c>
      <c r="D7659" s="19" t="n">
        <v>0.4759</v>
      </c>
      <c r="E7659" s="20" t="n">
        <f aca="false">Parametres!$B$5*C7659</f>
        <v>0</v>
      </c>
      <c r="F7659" s="20" t="n">
        <f aca="false">Parametres!$B$6*D7659</f>
        <v>95.18</v>
      </c>
      <c r="G7659" s="20" t="n">
        <f aca="false">E7659+F7659</f>
        <v>95.18</v>
      </c>
      <c r="H7659" s="20" t="n">
        <f aca="false">IF(G7659&lt;Parametres!$B$8*Parametres!$B$7,0,MIN(G7659,Parametres!$B$7))</f>
        <v>95.18</v>
      </c>
      <c r="I7659" s="20" t="n">
        <f aca="false">G7659-H7659</f>
        <v>0</v>
      </c>
      <c r="J7659" s="21" t="n">
        <f aca="false">H7659*1000/Parametres!$B$9</f>
        <v>1614.04103781584</v>
      </c>
    </row>
    <row r="7660" customFormat="false" ht="15" hidden="false" customHeight="false" outlineLevel="0" collapsed="false">
      <c r="A7660" s="0" t="n">
        <v>7656</v>
      </c>
      <c r="B7660" s="0" t="n">
        <v>11</v>
      </c>
      <c r="C7660" s="19" t="n">
        <v>0</v>
      </c>
      <c r="D7660" s="19" t="n">
        <v>0.6485</v>
      </c>
      <c r="E7660" s="20" t="n">
        <f aca="false">Parametres!$B$5*C7660</f>
        <v>0</v>
      </c>
      <c r="F7660" s="20" t="n">
        <f aca="false">Parametres!$B$6*D7660</f>
        <v>129.7</v>
      </c>
      <c r="G7660" s="20" t="n">
        <f aca="false">E7660+F7660</f>
        <v>129.7</v>
      </c>
      <c r="H7660" s="20" t="n">
        <f aca="false">IF(G7660&lt;Parametres!$B$8*Parametres!$B$7,0,MIN(G7660,Parametres!$B$7))</f>
        <v>129.7</v>
      </c>
      <c r="I7660" s="20" t="n">
        <f aca="false">G7660-H7660</f>
        <v>0</v>
      </c>
      <c r="J7660" s="21" t="n">
        <f aca="false">H7660*1000/Parametres!$B$9</f>
        <v>2199.42343564524</v>
      </c>
    </row>
    <row r="7661" customFormat="false" ht="15" hidden="false" customHeight="false" outlineLevel="0" collapsed="false">
      <c r="A7661" s="0" t="n">
        <v>7657</v>
      </c>
      <c r="B7661" s="0" t="n">
        <v>11</v>
      </c>
      <c r="C7661" s="19" t="n">
        <v>0</v>
      </c>
      <c r="D7661" s="19" t="n">
        <v>0.6772</v>
      </c>
      <c r="E7661" s="20" t="n">
        <f aca="false">Parametres!$B$5*C7661</f>
        <v>0</v>
      </c>
      <c r="F7661" s="20" t="n">
        <f aca="false">Parametres!$B$6*D7661</f>
        <v>135.44</v>
      </c>
      <c r="G7661" s="20" t="n">
        <f aca="false">E7661+F7661</f>
        <v>135.44</v>
      </c>
      <c r="H7661" s="20" t="n">
        <f aca="false">IF(G7661&lt;Parametres!$B$8*Parametres!$B$7,0,MIN(G7661,Parametres!$B$7))</f>
        <v>135.44</v>
      </c>
      <c r="I7661" s="20" t="n">
        <f aca="false">G7661-H7661</f>
        <v>0</v>
      </c>
      <c r="J7661" s="21" t="n">
        <f aca="false">H7661*1000/Parametres!$B$9</f>
        <v>2296.76106494828</v>
      </c>
    </row>
    <row r="7662" customFormat="false" ht="15" hidden="false" customHeight="false" outlineLevel="0" collapsed="false">
      <c r="A7662" s="0" t="n">
        <v>7658</v>
      </c>
      <c r="B7662" s="0" t="n">
        <v>11</v>
      </c>
      <c r="C7662" s="19" t="n">
        <v>0</v>
      </c>
      <c r="D7662" s="19" t="n">
        <v>0.5842</v>
      </c>
      <c r="E7662" s="20" t="n">
        <f aca="false">Parametres!$B$5*C7662</f>
        <v>0</v>
      </c>
      <c r="F7662" s="20" t="n">
        <f aca="false">Parametres!$B$6*D7662</f>
        <v>116.84</v>
      </c>
      <c r="G7662" s="20" t="n">
        <f aca="false">E7662+F7662</f>
        <v>116.84</v>
      </c>
      <c r="H7662" s="20" t="n">
        <f aca="false">IF(G7662&lt;Parametres!$B$8*Parametres!$B$7,0,MIN(G7662,Parametres!$B$7))</f>
        <v>116.84</v>
      </c>
      <c r="I7662" s="20" t="n">
        <f aca="false">G7662-H7662</f>
        <v>0</v>
      </c>
      <c r="J7662" s="21" t="n">
        <f aca="false">H7662*1000/Parametres!$B$9</f>
        <v>1981.34644734611</v>
      </c>
    </row>
    <row r="7663" customFormat="false" ht="15" hidden="false" customHeight="false" outlineLevel="0" collapsed="false">
      <c r="A7663" s="0" t="n">
        <v>7659</v>
      </c>
      <c r="B7663" s="0" t="n">
        <v>11</v>
      </c>
      <c r="C7663" s="19" t="n">
        <v>0</v>
      </c>
      <c r="D7663" s="19" t="n">
        <v>0.6741</v>
      </c>
      <c r="E7663" s="20" t="n">
        <f aca="false">Parametres!$B$5*C7663</f>
        <v>0</v>
      </c>
      <c r="F7663" s="20" t="n">
        <f aca="false">Parametres!$B$6*D7663</f>
        <v>134.82</v>
      </c>
      <c r="G7663" s="20" t="n">
        <f aca="false">E7663+F7663</f>
        <v>134.82</v>
      </c>
      <c r="H7663" s="20" t="n">
        <f aca="false">IF(G7663&lt;Parametres!$B$8*Parametres!$B$7,0,MIN(G7663,Parametres!$B$7))</f>
        <v>134.82</v>
      </c>
      <c r="I7663" s="20" t="n">
        <f aca="false">G7663-H7663</f>
        <v>0</v>
      </c>
      <c r="J7663" s="21" t="n">
        <f aca="false">H7663*1000/Parametres!$B$9</f>
        <v>2286.24724436154</v>
      </c>
    </row>
    <row r="7664" customFormat="false" ht="15" hidden="false" customHeight="false" outlineLevel="0" collapsed="false">
      <c r="A7664" s="0" t="n">
        <v>7660</v>
      </c>
      <c r="B7664" s="0" t="n">
        <v>11</v>
      </c>
      <c r="C7664" s="19" t="n">
        <v>0</v>
      </c>
      <c r="D7664" s="19" t="n">
        <v>0.6002</v>
      </c>
      <c r="E7664" s="20" t="n">
        <f aca="false">Parametres!$B$5*C7664</f>
        <v>0</v>
      </c>
      <c r="F7664" s="20" t="n">
        <f aca="false">Parametres!$B$6*D7664</f>
        <v>120.04</v>
      </c>
      <c r="G7664" s="20" t="n">
        <f aca="false">E7664+F7664</f>
        <v>120.04</v>
      </c>
      <c r="H7664" s="20" t="n">
        <f aca="false">IF(G7664&lt;Parametres!$B$8*Parametres!$B$7,0,MIN(G7664,Parametres!$B$7))</f>
        <v>120.04</v>
      </c>
      <c r="I7664" s="20" t="n">
        <f aca="false">G7664-H7664</f>
        <v>0</v>
      </c>
      <c r="J7664" s="21" t="n">
        <f aca="false">H7664*1000/Parametres!$B$9</f>
        <v>2035.61132779379</v>
      </c>
    </row>
    <row r="7665" customFormat="false" ht="15" hidden="false" customHeight="false" outlineLevel="0" collapsed="false">
      <c r="A7665" s="0" t="n">
        <v>7661</v>
      </c>
      <c r="B7665" s="0" t="n">
        <v>11</v>
      </c>
      <c r="C7665" s="19" t="n">
        <v>0</v>
      </c>
      <c r="D7665" s="19" t="n">
        <v>0.7213</v>
      </c>
      <c r="E7665" s="20" t="n">
        <f aca="false">Parametres!$B$5*C7665</f>
        <v>0</v>
      </c>
      <c r="F7665" s="20" t="n">
        <f aca="false">Parametres!$B$6*D7665</f>
        <v>144.26</v>
      </c>
      <c r="G7665" s="20" t="n">
        <f aca="false">E7665+F7665</f>
        <v>144.26</v>
      </c>
      <c r="H7665" s="20" t="n">
        <f aca="false">IF(G7665&lt;Parametres!$B$8*Parametres!$B$7,0,MIN(G7665,Parametres!$B$7))</f>
        <v>144.26</v>
      </c>
      <c r="I7665" s="20" t="n">
        <f aca="false">G7665-H7665</f>
        <v>0</v>
      </c>
      <c r="J7665" s="21" t="n">
        <f aca="false">H7665*1000/Parametres!$B$9</f>
        <v>2446.32864168221</v>
      </c>
    </row>
    <row r="7666" customFormat="false" ht="15" hidden="false" customHeight="false" outlineLevel="0" collapsed="false">
      <c r="A7666" s="0" t="n">
        <v>7662</v>
      </c>
      <c r="B7666" s="0" t="n">
        <v>11</v>
      </c>
      <c r="C7666" s="19" t="n">
        <v>0</v>
      </c>
      <c r="D7666" s="19" t="n">
        <v>0.7129</v>
      </c>
      <c r="E7666" s="20" t="n">
        <f aca="false">Parametres!$B$5*C7666</f>
        <v>0</v>
      </c>
      <c r="F7666" s="20" t="n">
        <f aca="false">Parametres!$B$6*D7666</f>
        <v>142.58</v>
      </c>
      <c r="G7666" s="20" t="n">
        <f aca="false">E7666+F7666</f>
        <v>142.58</v>
      </c>
      <c r="H7666" s="20" t="n">
        <f aca="false">IF(G7666&lt;Parametres!$B$8*Parametres!$B$7,0,MIN(G7666,Parametres!$B$7))</f>
        <v>142.58</v>
      </c>
      <c r="I7666" s="20" t="n">
        <f aca="false">G7666-H7666</f>
        <v>0</v>
      </c>
      <c r="J7666" s="21" t="n">
        <f aca="false">H7666*1000/Parametres!$B$9</f>
        <v>2417.83957944718</v>
      </c>
    </row>
    <row r="7667" customFormat="false" ht="15" hidden="false" customHeight="false" outlineLevel="0" collapsed="false">
      <c r="A7667" s="0" t="n">
        <v>7663</v>
      </c>
      <c r="B7667" s="0" t="n">
        <v>11</v>
      </c>
      <c r="C7667" s="19" t="n">
        <v>0</v>
      </c>
      <c r="D7667" s="19" t="n">
        <v>0.4596</v>
      </c>
      <c r="E7667" s="20" t="n">
        <f aca="false">Parametres!$B$5*C7667</f>
        <v>0</v>
      </c>
      <c r="F7667" s="20" t="n">
        <f aca="false">Parametres!$B$6*D7667</f>
        <v>91.92</v>
      </c>
      <c r="G7667" s="20" t="n">
        <f aca="false">E7667+F7667</f>
        <v>91.92</v>
      </c>
      <c r="H7667" s="20" t="n">
        <f aca="false">IF(G7667&lt;Parametres!$B$8*Parametres!$B$7,0,MIN(G7667,Parametres!$B$7))</f>
        <v>91.92</v>
      </c>
      <c r="I7667" s="20" t="n">
        <f aca="false">G7667-H7667</f>
        <v>0</v>
      </c>
      <c r="J7667" s="21" t="n">
        <f aca="false">H7667*1000/Parametres!$B$9</f>
        <v>1558.75869085976</v>
      </c>
    </row>
    <row r="7668" customFormat="false" ht="15" hidden="false" customHeight="false" outlineLevel="0" collapsed="false">
      <c r="A7668" s="0" t="n">
        <v>7664</v>
      </c>
      <c r="B7668" s="0" t="n">
        <v>11</v>
      </c>
      <c r="C7668" s="19" t="n">
        <v>0.1741</v>
      </c>
      <c r="D7668" s="19" t="n">
        <v>0.4372</v>
      </c>
      <c r="E7668" s="20" t="n">
        <f aca="false">Parametres!$B$5*C7668</f>
        <v>52.23</v>
      </c>
      <c r="F7668" s="20" t="n">
        <f aca="false">Parametres!$B$6*D7668</f>
        <v>87.44</v>
      </c>
      <c r="G7668" s="20" t="n">
        <f aca="false">E7668+F7668</f>
        <v>139.67</v>
      </c>
      <c r="H7668" s="20" t="n">
        <f aca="false">IF(G7668&lt;Parametres!$B$8*Parametres!$B$7,0,MIN(G7668,Parametres!$B$7))</f>
        <v>139.67</v>
      </c>
      <c r="I7668" s="20" t="n">
        <f aca="false">G7668-H7668</f>
        <v>0</v>
      </c>
      <c r="J7668" s="21" t="n">
        <f aca="false">H7668*1000/Parametres!$B$9</f>
        <v>2368.49245379006</v>
      </c>
    </row>
    <row r="7669" customFormat="false" ht="15" hidden="false" customHeight="false" outlineLevel="0" collapsed="false">
      <c r="A7669" s="0" t="n">
        <v>7665</v>
      </c>
      <c r="B7669" s="0" t="n">
        <v>11</v>
      </c>
      <c r="C7669" s="19" t="n">
        <v>0.4383</v>
      </c>
      <c r="D7669" s="19" t="n">
        <v>0.6085</v>
      </c>
      <c r="E7669" s="20" t="n">
        <f aca="false">Parametres!$B$5*C7669</f>
        <v>131.49</v>
      </c>
      <c r="F7669" s="20" t="n">
        <f aca="false">Parametres!$B$6*D7669</f>
        <v>121.7</v>
      </c>
      <c r="G7669" s="20" t="n">
        <f aca="false">E7669+F7669</f>
        <v>253.19</v>
      </c>
      <c r="H7669" s="20" t="n">
        <f aca="false">IF(G7669&lt;Parametres!$B$8*Parametres!$B$7,0,MIN(G7669,Parametres!$B$7))</f>
        <v>250</v>
      </c>
      <c r="I7669" s="20" t="n">
        <f aca="false">G7669-H7669</f>
        <v>3.19</v>
      </c>
      <c r="J7669" s="21" t="n">
        <f aca="false">H7669*1000/Parametres!$B$9</f>
        <v>4239.44378497541</v>
      </c>
    </row>
    <row r="7670" customFormat="false" ht="15" hidden="false" customHeight="false" outlineLevel="0" collapsed="false">
      <c r="A7670" s="0" t="n">
        <v>7666</v>
      </c>
      <c r="B7670" s="0" t="n">
        <v>11</v>
      </c>
      <c r="C7670" s="19" t="n">
        <v>0.661</v>
      </c>
      <c r="D7670" s="19" t="n">
        <v>0.6433</v>
      </c>
      <c r="E7670" s="20" t="n">
        <f aca="false">Parametres!$B$5*C7670</f>
        <v>198.3</v>
      </c>
      <c r="F7670" s="20" t="n">
        <f aca="false">Parametres!$B$6*D7670</f>
        <v>128.66</v>
      </c>
      <c r="G7670" s="20" t="n">
        <f aca="false">E7670+F7670</f>
        <v>326.96</v>
      </c>
      <c r="H7670" s="20" t="n">
        <f aca="false">IF(G7670&lt;Parametres!$B$8*Parametres!$B$7,0,MIN(G7670,Parametres!$B$7))</f>
        <v>250</v>
      </c>
      <c r="I7670" s="20" t="n">
        <f aca="false">G7670-H7670</f>
        <v>76.96</v>
      </c>
      <c r="J7670" s="21" t="n">
        <f aca="false">H7670*1000/Parametres!$B$9</f>
        <v>4239.44378497541</v>
      </c>
    </row>
    <row r="7671" customFormat="false" ht="15" hidden="false" customHeight="false" outlineLevel="0" collapsed="false">
      <c r="A7671" s="0" t="n">
        <v>7667</v>
      </c>
      <c r="B7671" s="0" t="n">
        <v>11</v>
      </c>
      <c r="C7671" s="19" t="n">
        <v>0.783</v>
      </c>
      <c r="D7671" s="19" t="n">
        <v>0.8316</v>
      </c>
      <c r="E7671" s="20" t="n">
        <f aca="false">Parametres!$B$5*C7671</f>
        <v>234.9</v>
      </c>
      <c r="F7671" s="20" t="n">
        <f aca="false">Parametres!$B$6*D7671</f>
        <v>166.32</v>
      </c>
      <c r="G7671" s="20" t="n">
        <f aca="false">E7671+F7671</f>
        <v>401.22</v>
      </c>
      <c r="H7671" s="20" t="n">
        <f aca="false">IF(G7671&lt;Parametres!$B$8*Parametres!$B$7,0,MIN(G7671,Parametres!$B$7))</f>
        <v>250</v>
      </c>
      <c r="I7671" s="20" t="n">
        <f aca="false">G7671-H7671</f>
        <v>151.22</v>
      </c>
      <c r="J7671" s="21" t="n">
        <f aca="false">H7671*1000/Parametres!$B$9</f>
        <v>4239.44378497541</v>
      </c>
    </row>
    <row r="7672" customFormat="false" ht="15" hidden="false" customHeight="false" outlineLevel="0" collapsed="false">
      <c r="A7672" s="0" t="n">
        <v>7668</v>
      </c>
      <c r="B7672" s="0" t="n">
        <v>11</v>
      </c>
      <c r="C7672" s="19" t="n">
        <v>0.9466</v>
      </c>
      <c r="D7672" s="19" t="n">
        <v>0.7027</v>
      </c>
      <c r="E7672" s="20" t="n">
        <f aca="false">Parametres!$B$5*C7672</f>
        <v>283.98</v>
      </c>
      <c r="F7672" s="20" t="n">
        <f aca="false">Parametres!$B$6*D7672</f>
        <v>140.54</v>
      </c>
      <c r="G7672" s="20" t="n">
        <f aca="false">E7672+F7672</f>
        <v>424.52</v>
      </c>
      <c r="H7672" s="20" t="n">
        <f aca="false">IF(G7672&lt;Parametres!$B$8*Parametres!$B$7,0,MIN(G7672,Parametres!$B$7))</f>
        <v>250</v>
      </c>
      <c r="I7672" s="20" t="n">
        <f aca="false">G7672-H7672</f>
        <v>174.52</v>
      </c>
      <c r="J7672" s="21" t="n">
        <f aca="false">H7672*1000/Parametres!$B$9</f>
        <v>4239.44378497541</v>
      </c>
    </row>
    <row r="7673" customFormat="false" ht="15" hidden="false" customHeight="false" outlineLevel="0" collapsed="false">
      <c r="A7673" s="0" t="n">
        <v>7669</v>
      </c>
      <c r="B7673" s="0" t="n">
        <v>11</v>
      </c>
      <c r="C7673" s="19" t="n">
        <v>0.9471</v>
      </c>
      <c r="D7673" s="19" t="n">
        <v>0.4199</v>
      </c>
      <c r="E7673" s="20" t="n">
        <f aca="false">Parametres!$B$5*C7673</f>
        <v>284.13</v>
      </c>
      <c r="F7673" s="20" t="n">
        <f aca="false">Parametres!$B$6*D7673</f>
        <v>83.98</v>
      </c>
      <c r="G7673" s="20" t="n">
        <f aca="false">E7673+F7673</f>
        <v>368.11</v>
      </c>
      <c r="H7673" s="20" t="n">
        <f aca="false">IF(G7673&lt;Parametres!$B$8*Parametres!$B$7,0,MIN(G7673,Parametres!$B$7))</f>
        <v>250</v>
      </c>
      <c r="I7673" s="20" t="n">
        <f aca="false">G7673-H7673</f>
        <v>118.11</v>
      </c>
      <c r="J7673" s="21" t="n">
        <f aca="false">H7673*1000/Parametres!$B$9</f>
        <v>4239.44378497541</v>
      </c>
    </row>
    <row r="7674" customFormat="false" ht="15" hidden="false" customHeight="false" outlineLevel="0" collapsed="false">
      <c r="A7674" s="0" t="n">
        <v>7670</v>
      </c>
      <c r="B7674" s="0" t="n">
        <v>11</v>
      </c>
      <c r="C7674" s="19" t="n">
        <v>0.8357</v>
      </c>
      <c r="D7674" s="19" t="n">
        <v>0.6596</v>
      </c>
      <c r="E7674" s="20" t="n">
        <f aca="false">Parametres!$B$5*C7674</f>
        <v>250.71</v>
      </c>
      <c r="F7674" s="20" t="n">
        <f aca="false">Parametres!$B$6*D7674</f>
        <v>131.92</v>
      </c>
      <c r="G7674" s="20" t="n">
        <f aca="false">E7674+F7674</f>
        <v>382.63</v>
      </c>
      <c r="H7674" s="20" t="n">
        <f aca="false">IF(G7674&lt;Parametres!$B$8*Parametres!$B$7,0,MIN(G7674,Parametres!$B$7))</f>
        <v>250</v>
      </c>
      <c r="I7674" s="20" t="n">
        <f aca="false">G7674-H7674</f>
        <v>132.63</v>
      </c>
      <c r="J7674" s="21" t="n">
        <f aca="false">H7674*1000/Parametres!$B$9</f>
        <v>4239.44378497541</v>
      </c>
    </row>
    <row r="7675" customFormat="false" ht="15" hidden="false" customHeight="false" outlineLevel="0" collapsed="false">
      <c r="A7675" s="0" t="n">
        <v>7671</v>
      </c>
      <c r="B7675" s="0" t="n">
        <v>11</v>
      </c>
      <c r="C7675" s="19" t="n">
        <v>0.6064</v>
      </c>
      <c r="D7675" s="19" t="n">
        <v>1</v>
      </c>
      <c r="E7675" s="20" t="n">
        <f aca="false">Parametres!$B$5*C7675</f>
        <v>181.92</v>
      </c>
      <c r="F7675" s="20" t="n">
        <f aca="false">Parametres!$B$6*D7675</f>
        <v>200</v>
      </c>
      <c r="G7675" s="20" t="n">
        <f aca="false">E7675+F7675</f>
        <v>381.92</v>
      </c>
      <c r="H7675" s="20" t="n">
        <f aca="false">IF(G7675&lt;Parametres!$B$8*Parametres!$B$7,0,MIN(G7675,Parametres!$B$7))</f>
        <v>250</v>
      </c>
      <c r="I7675" s="20" t="n">
        <f aca="false">G7675-H7675</f>
        <v>131.92</v>
      </c>
      <c r="J7675" s="21" t="n">
        <f aca="false">H7675*1000/Parametres!$B$9</f>
        <v>4239.44378497541</v>
      </c>
    </row>
    <row r="7676" customFormat="false" ht="15" hidden="false" customHeight="false" outlineLevel="0" collapsed="false">
      <c r="A7676" s="0" t="n">
        <v>7672</v>
      </c>
      <c r="B7676" s="0" t="n">
        <v>11</v>
      </c>
      <c r="C7676" s="19" t="n">
        <v>0.4188</v>
      </c>
      <c r="D7676" s="19" t="n">
        <v>1</v>
      </c>
      <c r="E7676" s="20" t="n">
        <f aca="false">Parametres!$B$5*C7676</f>
        <v>125.64</v>
      </c>
      <c r="F7676" s="20" t="n">
        <f aca="false">Parametres!$B$6*D7676</f>
        <v>200</v>
      </c>
      <c r="G7676" s="20" t="n">
        <f aca="false">E7676+F7676</f>
        <v>325.64</v>
      </c>
      <c r="H7676" s="20" t="n">
        <f aca="false">IF(G7676&lt;Parametres!$B$8*Parametres!$B$7,0,MIN(G7676,Parametres!$B$7))</f>
        <v>250</v>
      </c>
      <c r="I7676" s="20" t="n">
        <f aca="false">G7676-H7676</f>
        <v>75.64</v>
      </c>
      <c r="J7676" s="21" t="n">
        <f aca="false">H7676*1000/Parametres!$B$9</f>
        <v>4239.44378497541</v>
      </c>
    </row>
    <row r="7677" customFormat="false" ht="15" hidden="false" customHeight="false" outlineLevel="0" collapsed="false">
      <c r="A7677" s="0" t="n">
        <v>7673</v>
      </c>
      <c r="B7677" s="0" t="n">
        <v>11</v>
      </c>
      <c r="C7677" s="19" t="n">
        <v>0.1833</v>
      </c>
      <c r="D7677" s="19" t="n">
        <v>1</v>
      </c>
      <c r="E7677" s="20" t="n">
        <f aca="false">Parametres!$B$5*C7677</f>
        <v>54.99</v>
      </c>
      <c r="F7677" s="20" t="n">
        <f aca="false">Parametres!$B$6*D7677</f>
        <v>200</v>
      </c>
      <c r="G7677" s="20" t="n">
        <f aca="false">E7677+F7677</f>
        <v>254.99</v>
      </c>
      <c r="H7677" s="20" t="n">
        <f aca="false">IF(G7677&lt;Parametres!$B$8*Parametres!$B$7,0,MIN(G7677,Parametres!$B$7))</f>
        <v>250</v>
      </c>
      <c r="I7677" s="20" t="n">
        <f aca="false">G7677-H7677</f>
        <v>4.99000000000001</v>
      </c>
      <c r="J7677" s="21" t="n">
        <f aca="false">H7677*1000/Parametres!$B$9</f>
        <v>4239.44378497541</v>
      </c>
    </row>
    <row r="7678" customFormat="false" ht="15" hidden="false" customHeight="false" outlineLevel="0" collapsed="false">
      <c r="A7678" s="0" t="n">
        <v>7674</v>
      </c>
      <c r="B7678" s="0" t="n">
        <v>11</v>
      </c>
      <c r="C7678" s="19" t="n">
        <v>0</v>
      </c>
      <c r="D7678" s="19" t="n">
        <v>0.7935</v>
      </c>
      <c r="E7678" s="20" t="n">
        <f aca="false">Parametres!$B$5*C7678</f>
        <v>0</v>
      </c>
      <c r="F7678" s="20" t="n">
        <f aca="false">Parametres!$B$6*D7678</f>
        <v>158.7</v>
      </c>
      <c r="G7678" s="20" t="n">
        <f aca="false">E7678+F7678</f>
        <v>158.7</v>
      </c>
      <c r="H7678" s="20" t="n">
        <f aca="false">IF(G7678&lt;Parametres!$B$8*Parametres!$B$7,0,MIN(G7678,Parametres!$B$7))</f>
        <v>158.7</v>
      </c>
      <c r="I7678" s="20" t="n">
        <f aca="false">G7678-H7678</f>
        <v>0</v>
      </c>
      <c r="J7678" s="21" t="n">
        <f aca="false">H7678*1000/Parametres!$B$9</f>
        <v>2691.19891470239</v>
      </c>
    </row>
    <row r="7679" customFormat="false" ht="15" hidden="false" customHeight="false" outlineLevel="0" collapsed="false">
      <c r="A7679" s="0" t="n">
        <v>7675</v>
      </c>
      <c r="B7679" s="0" t="n">
        <v>11</v>
      </c>
      <c r="C7679" s="19" t="n">
        <v>0</v>
      </c>
      <c r="D7679" s="19" t="n">
        <v>0.7502</v>
      </c>
      <c r="E7679" s="20" t="n">
        <f aca="false">Parametres!$B$5*C7679</f>
        <v>0</v>
      </c>
      <c r="F7679" s="20" t="n">
        <f aca="false">Parametres!$B$6*D7679</f>
        <v>150.04</v>
      </c>
      <c r="G7679" s="20" t="n">
        <f aca="false">E7679+F7679</f>
        <v>150.04</v>
      </c>
      <c r="H7679" s="20" t="n">
        <f aca="false">IF(G7679&lt;Parametres!$B$8*Parametres!$B$7,0,MIN(G7679,Parametres!$B$7))</f>
        <v>150.04</v>
      </c>
      <c r="I7679" s="20" t="n">
        <f aca="false">G7679-H7679</f>
        <v>0</v>
      </c>
      <c r="J7679" s="21" t="n">
        <f aca="false">H7679*1000/Parametres!$B$9</f>
        <v>2544.34458199084</v>
      </c>
    </row>
    <row r="7680" customFormat="false" ht="15" hidden="false" customHeight="false" outlineLevel="0" collapsed="false">
      <c r="A7680" s="0" t="n">
        <v>7676</v>
      </c>
      <c r="B7680" s="0" t="n">
        <v>11</v>
      </c>
      <c r="C7680" s="19" t="n">
        <v>0</v>
      </c>
      <c r="D7680" s="19" t="n">
        <v>0.4508</v>
      </c>
      <c r="E7680" s="20" t="n">
        <f aca="false">Parametres!$B$5*C7680</f>
        <v>0</v>
      </c>
      <c r="F7680" s="20" t="n">
        <f aca="false">Parametres!$B$6*D7680</f>
        <v>90.16</v>
      </c>
      <c r="G7680" s="20" t="n">
        <f aca="false">E7680+F7680</f>
        <v>90.16</v>
      </c>
      <c r="H7680" s="20" t="n">
        <f aca="false">IF(G7680&lt;Parametres!$B$8*Parametres!$B$7,0,MIN(G7680,Parametres!$B$7))</f>
        <v>90.16</v>
      </c>
      <c r="I7680" s="20" t="n">
        <f aca="false">G7680-H7680</f>
        <v>0</v>
      </c>
      <c r="J7680" s="21" t="n">
        <f aca="false">H7680*1000/Parametres!$B$9</f>
        <v>1528.91300661353</v>
      </c>
    </row>
    <row r="7681" customFormat="false" ht="15" hidden="false" customHeight="false" outlineLevel="0" collapsed="false">
      <c r="A7681" s="0" t="n">
        <v>7677</v>
      </c>
      <c r="B7681" s="0" t="n">
        <v>11</v>
      </c>
      <c r="C7681" s="19" t="n">
        <v>0</v>
      </c>
      <c r="D7681" s="19" t="n">
        <v>0.3376</v>
      </c>
      <c r="E7681" s="20" t="n">
        <f aca="false">Parametres!$B$5*C7681</f>
        <v>0</v>
      </c>
      <c r="F7681" s="20" t="n">
        <f aca="false">Parametres!$B$6*D7681</f>
        <v>67.52</v>
      </c>
      <c r="G7681" s="20" t="n">
        <f aca="false">E7681+F7681</f>
        <v>67.52</v>
      </c>
      <c r="H7681" s="20" t="n">
        <f aca="false">IF(G7681&lt;Parametres!$B$8*Parametres!$B$7,0,MIN(G7681,Parametres!$B$7))</f>
        <v>67.52</v>
      </c>
      <c r="I7681" s="20" t="n">
        <f aca="false">G7681-H7681</f>
        <v>0</v>
      </c>
      <c r="J7681" s="21" t="n">
        <f aca="false">H7681*1000/Parametres!$B$9</f>
        <v>1144.98897744616</v>
      </c>
    </row>
    <row r="7682" customFormat="false" ht="15" hidden="false" customHeight="false" outlineLevel="0" collapsed="false">
      <c r="A7682" s="0" t="n">
        <v>7678</v>
      </c>
      <c r="B7682" s="0" t="n">
        <v>11</v>
      </c>
      <c r="C7682" s="19" t="n">
        <v>0</v>
      </c>
      <c r="D7682" s="19" t="n">
        <v>0.3623</v>
      </c>
      <c r="E7682" s="20" t="n">
        <f aca="false">Parametres!$B$5*C7682</f>
        <v>0</v>
      </c>
      <c r="F7682" s="20" t="n">
        <f aca="false">Parametres!$B$6*D7682</f>
        <v>72.46</v>
      </c>
      <c r="G7682" s="20" t="n">
        <f aca="false">E7682+F7682</f>
        <v>72.46</v>
      </c>
      <c r="H7682" s="20" t="n">
        <f aca="false">IF(G7682&lt;Parametres!$B$8*Parametres!$B$7,0,MIN(G7682,Parametres!$B$7))</f>
        <v>72.46</v>
      </c>
      <c r="I7682" s="20" t="n">
        <f aca="false">G7682-H7682</f>
        <v>0</v>
      </c>
      <c r="J7682" s="21" t="n">
        <f aca="false">H7682*1000/Parametres!$B$9</f>
        <v>1228.76038663727</v>
      </c>
    </row>
    <row r="7683" customFormat="false" ht="15" hidden="false" customHeight="false" outlineLevel="0" collapsed="false">
      <c r="A7683" s="0" t="n">
        <v>7679</v>
      </c>
      <c r="B7683" s="0" t="n">
        <v>11</v>
      </c>
      <c r="C7683" s="19" t="n">
        <v>0</v>
      </c>
      <c r="D7683" s="19" t="n">
        <v>0.4742</v>
      </c>
      <c r="E7683" s="20" t="n">
        <f aca="false">Parametres!$B$5*C7683</f>
        <v>0</v>
      </c>
      <c r="F7683" s="20" t="n">
        <f aca="false">Parametres!$B$6*D7683</f>
        <v>94.84</v>
      </c>
      <c r="G7683" s="20" t="n">
        <f aca="false">E7683+F7683</f>
        <v>94.84</v>
      </c>
      <c r="H7683" s="20" t="n">
        <f aca="false">IF(G7683&lt;Parametres!$B$8*Parametres!$B$7,0,MIN(G7683,Parametres!$B$7))</f>
        <v>94.84</v>
      </c>
      <c r="I7683" s="20" t="n">
        <f aca="false">G7683-H7683</f>
        <v>0</v>
      </c>
      <c r="J7683" s="21" t="n">
        <f aca="false">H7683*1000/Parametres!$B$9</f>
        <v>1608.27539426827</v>
      </c>
    </row>
    <row r="7684" customFormat="false" ht="15" hidden="false" customHeight="false" outlineLevel="0" collapsed="false">
      <c r="A7684" s="0" t="n">
        <v>7680</v>
      </c>
      <c r="B7684" s="0" t="n">
        <v>11</v>
      </c>
      <c r="C7684" s="19" t="n">
        <v>0</v>
      </c>
      <c r="D7684" s="19" t="n">
        <v>0.964</v>
      </c>
      <c r="E7684" s="20" t="n">
        <f aca="false">Parametres!$B$5*C7684</f>
        <v>0</v>
      </c>
      <c r="F7684" s="20" t="n">
        <f aca="false">Parametres!$B$6*D7684</f>
        <v>192.8</v>
      </c>
      <c r="G7684" s="20" t="n">
        <f aca="false">E7684+F7684</f>
        <v>192.8</v>
      </c>
      <c r="H7684" s="20" t="n">
        <f aca="false">IF(G7684&lt;Parametres!$B$8*Parametres!$B$7,0,MIN(G7684,Parametres!$B$7))</f>
        <v>192.8</v>
      </c>
      <c r="I7684" s="20" t="n">
        <f aca="false">G7684-H7684</f>
        <v>0</v>
      </c>
      <c r="J7684" s="21" t="n">
        <f aca="false">H7684*1000/Parametres!$B$9</f>
        <v>3269.45904697304</v>
      </c>
    </row>
    <row r="7685" customFormat="false" ht="15" hidden="false" customHeight="false" outlineLevel="0" collapsed="false">
      <c r="A7685" s="0" t="n">
        <v>7681</v>
      </c>
      <c r="B7685" s="0" t="n">
        <v>11</v>
      </c>
      <c r="C7685" s="19" t="n">
        <v>0</v>
      </c>
      <c r="D7685" s="19" t="n">
        <v>0.8272</v>
      </c>
      <c r="E7685" s="20" t="n">
        <f aca="false">Parametres!$B$5*C7685</f>
        <v>0</v>
      </c>
      <c r="F7685" s="20" t="n">
        <f aca="false">Parametres!$B$6*D7685</f>
        <v>165.44</v>
      </c>
      <c r="G7685" s="20" t="n">
        <f aca="false">E7685+F7685</f>
        <v>165.44</v>
      </c>
      <c r="H7685" s="20" t="n">
        <f aca="false">IF(G7685&lt;Parametres!$B$8*Parametres!$B$7,0,MIN(G7685,Parametres!$B$7))</f>
        <v>165.44</v>
      </c>
      <c r="I7685" s="20" t="n">
        <f aca="false">G7685-H7685</f>
        <v>0</v>
      </c>
      <c r="J7685" s="21" t="n">
        <f aca="false">H7685*1000/Parametres!$B$9</f>
        <v>2805.49431914533</v>
      </c>
    </row>
    <row r="7686" customFormat="false" ht="15" hidden="false" customHeight="false" outlineLevel="0" collapsed="false">
      <c r="A7686" s="0" t="n">
        <v>7682</v>
      </c>
      <c r="B7686" s="0" t="n">
        <v>11</v>
      </c>
      <c r="C7686" s="19" t="n">
        <v>0</v>
      </c>
      <c r="D7686" s="19" t="n">
        <v>0.5464</v>
      </c>
      <c r="E7686" s="20" t="n">
        <f aca="false">Parametres!$B$5*C7686</f>
        <v>0</v>
      </c>
      <c r="F7686" s="20" t="n">
        <f aca="false">Parametres!$B$6*D7686</f>
        <v>109.28</v>
      </c>
      <c r="G7686" s="20" t="n">
        <f aca="false">E7686+F7686</f>
        <v>109.28</v>
      </c>
      <c r="H7686" s="20" t="n">
        <f aca="false">IF(G7686&lt;Parametres!$B$8*Parametres!$B$7,0,MIN(G7686,Parametres!$B$7))</f>
        <v>109.28</v>
      </c>
      <c r="I7686" s="20" t="n">
        <f aca="false">G7686-H7686</f>
        <v>0</v>
      </c>
      <c r="J7686" s="21" t="n">
        <f aca="false">H7686*1000/Parametres!$B$9</f>
        <v>1853.14566728845</v>
      </c>
    </row>
    <row r="7687" customFormat="false" ht="15" hidden="false" customHeight="false" outlineLevel="0" collapsed="false">
      <c r="A7687" s="0" t="n">
        <v>7683</v>
      </c>
      <c r="B7687" s="0" t="n">
        <v>11</v>
      </c>
      <c r="C7687" s="19" t="n">
        <v>0</v>
      </c>
      <c r="D7687" s="19" t="n">
        <v>0.4659</v>
      </c>
      <c r="E7687" s="20" t="n">
        <f aca="false">Parametres!$B$5*C7687</f>
        <v>0</v>
      </c>
      <c r="F7687" s="20" t="n">
        <f aca="false">Parametres!$B$6*D7687</f>
        <v>93.18</v>
      </c>
      <c r="G7687" s="20" t="n">
        <f aca="false">E7687+F7687</f>
        <v>93.18</v>
      </c>
      <c r="H7687" s="20" t="n">
        <f aca="false">IF(G7687&lt;Parametres!$B$8*Parametres!$B$7,0,MIN(G7687,Parametres!$B$7))</f>
        <v>93.18</v>
      </c>
      <c r="I7687" s="20" t="n">
        <f aca="false">G7687-H7687</f>
        <v>0</v>
      </c>
      <c r="J7687" s="21" t="n">
        <f aca="false">H7687*1000/Parametres!$B$9</f>
        <v>1580.12548753604</v>
      </c>
    </row>
    <row r="7688" customFormat="false" ht="15" hidden="false" customHeight="false" outlineLevel="0" collapsed="false">
      <c r="A7688" s="0" t="n">
        <v>7684</v>
      </c>
      <c r="B7688" s="0" t="n">
        <v>11</v>
      </c>
      <c r="C7688" s="19" t="n">
        <v>0</v>
      </c>
      <c r="D7688" s="19" t="n">
        <v>0.6208</v>
      </c>
      <c r="E7688" s="20" t="n">
        <f aca="false">Parametres!$B$5*C7688</f>
        <v>0</v>
      </c>
      <c r="F7688" s="20" t="n">
        <f aca="false">Parametres!$B$6*D7688</f>
        <v>124.16</v>
      </c>
      <c r="G7688" s="20" t="n">
        <f aca="false">E7688+F7688</f>
        <v>124.16</v>
      </c>
      <c r="H7688" s="20" t="n">
        <f aca="false">IF(G7688&lt;Parametres!$B$8*Parametres!$B$7,0,MIN(G7688,Parametres!$B$7))</f>
        <v>124.16</v>
      </c>
      <c r="I7688" s="20" t="n">
        <f aca="false">G7688-H7688</f>
        <v>0</v>
      </c>
      <c r="J7688" s="21" t="n">
        <f aca="false">H7688*1000/Parametres!$B$9</f>
        <v>2105.47736137019</v>
      </c>
    </row>
    <row r="7689" customFormat="false" ht="15" hidden="false" customHeight="false" outlineLevel="0" collapsed="false">
      <c r="A7689" s="0" t="n">
        <v>7685</v>
      </c>
      <c r="B7689" s="0" t="n">
        <v>11</v>
      </c>
      <c r="C7689" s="19" t="n">
        <v>0</v>
      </c>
      <c r="D7689" s="19" t="n">
        <v>0.3919</v>
      </c>
      <c r="E7689" s="20" t="n">
        <f aca="false">Parametres!$B$5*C7689</f>
        <v>0</v>
      </c>
      <c r="F7689" s="20" t="n">
        <f aca="false">Parametres!$B$6*D7689</f>
        <v>78.38</v>
      </c>
      <c r="G7689" s="20" t="n">
        <f aca="false">E7689+F7689</f>
        <v>78.38</v>
      </c>
      <c r="H7689" s="20" t="n">
        <f aca="false">IF(G7689&lt;Parametres!$B$8*Parametres!$B$7,0,MIN(G7689,Parametres!$B$7))</f>
        <v>78.38</v>
      </c>
      <c r="I7689" s="20" t="n">
        <f aca="false">G7689-H7689</f>
        <v>0</v>
      </c>
      <c r="J7689" s="21" t="n">
        <f aca="false">H7689*1000/Parametres!$B$9</f>
        <v>1329.15041546549</v>
      </c>
    </row>
    <row r="7690" customFormat="false" ht="15" hidden="false" customHeight="false" outlineLevel="0" collapsed="false">
      <c r="A7690" s="0" t="n">
        <v>7686</v>
      </c>
      <c r="B7690" s="0" t="n">
        <v>11</v>
      </c>
      <c r="C7690" s="19" t="n">
        <v>0</v>
      </c>
      <c r="D7690" s="19" t="n">
        <v>0.4454</v>
      </c>
      <c r="E7690" s="20" t="n">
        <f aca="false">Parametres!$B$5*C7690</f>
        <v>0</v>
      </c>
      <c r="F7690" s="20" t="n">
        <f aca="false">Parametres!$B$6*D7690</f>
        <v>89.08</v>
      </c>
      <c r="G7690" s="20" t="n">
        <f aca="false">E7690+F7690</f>
        <v>89.08</v>
      </c>
      <c r="H7690" s="20" t="n">
        <f aca="false">IF(G7690&lt;Parametres!$B$8*Parametres!$B$7,0,MIN(G7690,Parametres!$B$7))</f>
        <v>89.08</v>
      </c>
      <c r="I7690" s="20" t="n">
        <f aca="false">G7690-H7690</f>
        <v>0</v>
      </c>
      <c r="J7690" s="21" t="n">
        <f aca="false">H7690*1000/Parametres!$B$9</f>
        <v>1510.59860946244</v>
      </c>
    </row>
    <row r="7691" customFormat="false" ht="15" hidden="false" customHeight="false" outlineLevel="0" collapsed="false">
      <c r="A7691" s="0" t="n">
        <v>7687</v>
      </c>
      <c r="B7691" s="0" t="n">
        <v>11</v>
      </c>
      <c r="C7691" s="19" t="n">
        <v>0</v>
      </c>
      <c r="D7691" s="19" t="n">
        <v>0.4257</v>
      </c>
      <c r="E7691" s="20" t="n">
        <f aca="false">Parametres!$B$5*C7691</f>
        <v>0</v>
      </c>
      <c r="F7691" s="20" t="n">
        <f aca="false">Parametres!$B$6*D7691</f>
        <v>85.14</v>
      </c>
      <c r="G7691" s="20" t="n">
        <f aca="false">E7691+F7691</f>
        <v>85.14</v>
      </c>
      <c r="H7691" s="20" t="n">
        <f aca="false">IF(G7691&lt;Parametres!$B$8*Parametres!$B$7,0,MIN(G7691,Parametres!$B$7))</f>
        <v>85.14</v>
      </c>
      <c r="I7691" s="20" t="n">
        <f aca="false">G7691-H7691</f>
        <v>0</v>
      </c>
      <c r="J7691" s="21" t="n">
        <f aca="false">H7691*1000/Parametres!$B$9</f>
        <v>1443.78497541123</v>
      </c>
    </row>
    <row r="7692" customFormat="false" ht="15" hidden="false" customHeight="false" outlineLevel="0" collapsed="false">
      <c r="A7692" s="0" t="n">
        <v>7688</v>
      </c>
      <c r="B7692" s="0" t="n">
        <v>11</v>
      </c>
      <c r="C7692" s="19" t="n">
        <v>0.1617</v>
      </c>
      <c r="D7692" s="19" t="n">
        <v>0.8355</v>
      </c>
      <c r="E7692" s="20" t="n">
        <f aca="false">Parametres!$B$5*C7692</f>
        <v>48.51</v>
      </c>
      <c r="F7692" s="20" t="n">
        <f aca="false">Parametres!$B$6*D7692</f>
        <v>167.1</v>
      </c>
      <c r="G7692" s="20" t="n">
        <f aca="false">E7692+F7692</f>
        <v>215.61</v>
      </c>
      <c r="H7692" s="20" t="n">
        <f aca="false">IF(G7692&lt;Parametres!$B$8*Parametres!$B$7,0,MIN(G7692,Parametres!$B$7))</f>
        <v>215.61</v>
      </c>
      <c r="I7692" s="20" t="n">
        <f aca="false">G7692-H7692</f>
        <v>0</v>
      </c>
      <c r="J7692" s="21" t="n">
        <f aca="false">H7692*1000/Parametres!$B$9</f>
        <v>3656.26589791419</v>
      </c>
    </row>
    <row r="7693" customFormat="false" ht="15" hidden="false" customHeight="false" outlineLevel="0" collapsed="false">
      <c r="A7693" s="0" t="n">
        <v>7689</v>
      </c>
      <c r="B7693" s="0" t="n">
        <v>11</v>
      </c>
      <c r="C7693" s="19" t="n">
        <v>0.3663</v>
      </c>
      <c r="D7693" s="19" t="n">
        <v>1</v>
      </c>
      <c r="E7693" s="20" t="n">
        <f aca="false">Parametres!$B$5*C7693</f>
        <v>109.89</v>
      </c>
      <c r="F7693" s="20" t="n">
        <f aca="false">Parametres!$B$6*D7693</f>
        <v>200</v>
      </c>
      <c r="G7693" s="20" t="n">
        <f aca="false">E7693+F7693</f>
        <v>309.89</v>
      </c>
      <c r="H7693" s="20" t="n">
        <f aca="false">IF(G7693&lt;Parametres!$B$8*Parametres!$B$7,0,MIN(G7693,Parametres!$B$7))</f>
        <v>250</v>
      </c>
      <c r="I7693" s="20" t="n">
        <f aca="false">G7693-H7693</f>
        <v>59.89</v>
      </c>
      <c r="J7693" s="21" t="n">
        <f aca="false">H7693*1000/Parametres!$B$9</f>
        <v>4239.44378497541</v>
      </c>
    </row>
    <row r="7694" customFormat="false" ht="15" hidden="false" customHeight="false" outlineLevel="0" collapsed="false">
      <c r="A7694" s="0" t="n">
        <v>7690</v>
      </c>
      <c r="B7694" s="0" t="n">
        <v>11</v>
      </c>
      <c r="C7694" s="19" t="n">
        <v>0.5768</v>
      </c>
      <c r="D7694" s="19" t="n">
        <v>1</v>
      </c>
      <c r="E7694" s="20" t="n">
        <f aca="false">Parametres!$B$5*C7694</f>
        <v>173.04</v>
      </c>
      <c r="F7694" s="20" t="n">
        <f aca="false">Parametres!$B$6*D7694</f>
        <v>200</v>
      </c>
      <c r="G7694" s="20" t="n">
        <f aca="false">E7694+F7694</f>
        <v>373.04</v>
      </c>
      <c r="H7694" s="20" t="n">
        <f aca="false">IF(G7694&lt;Parametres!$B$8*Parametres!$B$7,0,MIN(G7694,Parametres!$B$7))</f>
        <v>250</v>
      </c>
      <c r="I7694" s="20" t="n">
        <f aca="false">G7694-H7694</f>
        <v>123.04</v>
      </c>
      <c r="J7694" s="21" t="n">
        <f aca="false">H7694*1000/Parametres!$B$9</f>
        <v>4239.44378497541</v>
      </c>
    </row>
    <row r="7695" customFormat="false" ht="15" hidden="false" customHeight="false" outlineLevel="0" collapsed="false">
      <c r="A7695" s="0" t="n">
        <v>7691</v>
      </c>
      <c r="B7695" s="0" t="n">
        <v>11</v>
      </c>
      <c r="C7695" s="19" t="n">
        <v>0.6983</v>
      </c>
      <c r="D7695" s="19" t="n">
        <v>1</v>
      </c>
      <c r="E7695" s="20" t="n">
        <f aca="false">Parametres!$B$5*C7695</f>
        <v>209.49</v>
      </c>
      <c r="F7695" s="20" t="n">
        <f aca="false">Parametres!$B$6*D7695</f>
        <v>200</v>
      </c>
      <c r="G7695" s="20" t="n">
        <f aca="false">E7695+F7695</f>
        <v>409.49</v>
      </c>
      <c r="H7695" s="20" t="n">
        <f aca="false">IF(G7695&lt;Parametres!$B$8*Parametres!$B$7,0,MIN(G7695,Parametres!$B$7))</f>
        <v>250</v>
      </c>
      <c r="I7695" s="20" t="n">
        <f aca="false">G7695-H7695</f>
        <v>159.49</v>
      </c>
      <c r="J7695" s="21" t="n">
        <f aca="false">H7695*1000/Parametres!$B$9</f>
        <v>4239.44378497541</v>
      </c>
    </row>
    <row r="7696" customFormat="false" ht="15" hidden="false" customHeight="false" outlineLevel="0" collapsed="false">
      <c r="A7696" s="0" t="n">
        <v>7692</v>
      </c>
      <c r="B7696" s="0" t="n">
        <v>11</v>
      </c>
      <c r="C7696" s="19" t="n">
        <v>0.7767</v>
      </c>
      <c r="D7696" s="19" t="n">
        <v>1</v>
      </c>
      <c r="E7696" s="20" t="n">
        <f aca="false">Parametres!$B$5*C7696</f>
        <v>233.01</v>
      </c>
      <c r="F7696" s="20" t="n">
        <f aca="false">Parametres!$B$6*D7696</f>
        <v>200</v>
      </c>
      <c r="G7696" s="20" t="n">
        <f aca="false">E7696+F7696</f>
        <v>433.01</v>
      </c>
      <c r="H7696" s="20" t="n">
        <f aca="false">IF(G7696&lt;Parametres!$B$8*Parametres!$B$7,0,MIN(G7696,Parametres!$B$7))</f>
        <v>250</v>
      </c>
      <c r="I7696" s="20" t="n">
        <f aca="false">G7696-H7696</f>
        <v>183.01</v>
      </c>
      <c r="J7696" s="21" t="n">
        <f aca="false">H7696*1000/Parametres!$B$9</f>
        <v>4239.44378497541</v>
      </c>
    </row>
    <row r="7697" customFormat="false" ht="15" hidden="false" customHeight="false" outlineLevel="0" collapsed="false">
      <c r="A7697" s="0" t="n">
        <v>7693</v>
      </c>
      <c r="B7697" s="0" t="n">
        <v>11</v>
      </c>
      <c r="C7697" s="19" t="n">
        <v>0.8244</v>
      </c>
      <c r="D7697" s="19" t="n">
        <v>1</v>
      </c>
      <c r="E7697" s="20" t="n">
        <f aca="false">Parametres!$B$5*C7697</f>
        <v>247.32</v>
      </c>
      <c r="F7697" s="20" t="n">
        <f aca="false">Parametres!$B$6*D7697</f>
        <v>200</v>
      </c>
      <c r="G7697" s="20" t="n">
        <f aca="false">E7697+F7697</f>
        <v>447.32</v>
      </c>
      <c r="H7697" s="20" t="n">
        <f aca="false">IF(G7697&lt;Parametres!$B$8*Parametres!$B$7,0,MIN(G7697,Parametres!$B$7))</f>
        <v>250</v>
      </c>
      <c r="I7697" s="20" t="n">
        <f aca="false">G7697-H7697</f>
        <v>197.32</v>
      </c>
      <c r="J7697" s="21" t="n">
        <f aca="false">H7697*1000/Parametres!$B$9</f>
        <v>4239.44378497541</v>
      </c>
    </row>
    <row r="7698" customFormat="false" ht="15" hidden="false" customHeight="false" outlineLevel="0" collapsed="false">
      <c r="A7698" s="0" t="n">
        <v>7694</v>
      </c>
      <c r="B7698" s="0" t="n">
        <v>11</v>
      </c>
      <c r="C7698" s="19" t="n">
        <v>0.7134</v>
      </c>
      <c r="D7698" s="19" t="n">
        <v>1</v>
      </c>
      <c r="E7698" s="20" t="n">
        <f aca="false">Parametres!$B$5*C7698</f>
        <v>214.02</v>
      </c>
      <c r="F7698" s="20" t="n">
        <f aca="false">Parametres!$B$6*D7698</f>
        <v>200</v>
      </c>
      <c r="G7698" s="20" t="n">
        <f aca="false">E7698+F7698</f>
        <v>414.02</v>
      </c>
      <c r="H7698" s="20" t="n">
        <f aca="false">IF(G7698&lt;Parametres!$B$8*Parametres!$B$7,0,MIN(G7698,Parametres!$B$7))</f>
        <v>250</v>
      </c>
      <c r="I7698" s="20" t="n">
        <f aca="false">G7698-H7698</f>
        <v>164.02</v>
      </c>
      <c r="J7698" s="21" t="n">
        <f aca="false">H7698*1000/Parametres!$B$9</f>
        <v>4239.44378497541</v>
      </c>
    </row>
    <row r="7699" customFormat="false" ht="15" hidden="false" customHeight="false" outlineLevel="0" collapsed="false">
      <c r="A7699" s="0" t="n">
        <v>7695</v>
      </c>
      <c r="B7699" s="0" t="n">
        <v>11</v>
      </c>
      <c r="C7699" s="19" t="n">
        <v>0.6041</v>
      </c>
      <c r="D7699" s="19" t="n">
        <v>1</v>
      </c>
      <c r="E7699" s="20" t="n">
        <f aca="false">Parametres!$B$5*C7699</f>
        <v>181.23</v>
      </c>
      <c r="F7699" s="20" t="n">
        <f aca="false">Parametres!$B$6*D7699</f>
        <v>200</v>
      </c>
      <c r="G7699" s="20" t="n">
        <f aca="false">E7699+F7699</f>
        <v>381.23</v>
      </c>
      <c r="H7699" s="20" t="n">
        <f aca="false">IF(G7699&lt;Parametres!$B$8*Parametres!$B$7,0,MIN(G7699,Parametres!$B$7))</f>
        <v>250</v>
      </c>
      <c r="I7699" s="20" t="n">
        <f aca="false">G7699-H7699</f>
        <v>131.23</v>
      </c>
      <c r="J7699" s="21" t="n">
        <f aca="false">H7699*1000/Parametres!$B$9</f>
        <v>4239.44378497541</v>
      </c>
    </row>
    <row r="7700" customFormat="false" ht="15" hidden="false" customHeight="false" outlineLevel="0" collapsed="false">
      <c r="A7700" s="0" t="n">
        <v>7696</v>
      </c>
      <c r="B7700" s="0" t="n">
        <v>11</v>
      </c>
      <c r="C7700" s="19" t="n">
        <v>0.3718</v>
      </c>
      <c r="D7700" s="19" t="n">
        <v>1</v>
      </c>
      <c r="E7700" s="20" t="n">
        <f aca="false">Parametres!$B$5*C7700</f>
        <v>111.54</v>
      </c>
      <c r="F7700" s="20" t="n">
        <f aca="false">Parametres!$B$6*D7700</f>
        <v>200</v>
      </c>
      <c r="G7700" s="20" t="n">
        <f aca="false">E7700+F7700</f>
        <v>311.54</v>
      </c>
      <c r="H7700" s="20" t="n">
        <f aca="false">IF(G7700&lt;Parametres!$B$8*Parametres!$B$7,0,MIN(G7700,Parametres!$B$7))</f>
        <v>250</v>
      </c>
      <c r="I7700" s="20" t="n">
        <f aca="false">G7700-H7700</f>
        <v>61.54</v>
      </c>
      <c r="J7700" s="21" t="n">
        <f aca="false">H7700*1000/Parametres!$B$9</f>
        <v>4239.44378497541</v>
      </c>
    </row>
    <row r="7701" customFormat="false" ht="15" hidden="false" customHeight="false" outlineLevel="0" collapsed="false">
      <c r="A7701" s="0" t="n">
        <v>7697</v>
      </c>
      <c r="B7701" s="0" t="n">
        <v>11</v>
      </c>
      <c r="C7701" s="19" t="n">
        <v>0.1596</v>
      </c>
      <c r="D7701" s="19" t="n">
        <v>1</v>
      </c>
      <c r="E7701" s="20" t="n">
        <f aca="false">Parametres!$B$5*C7701</f>
        <v>47.88</v>
      </c>
      <c r="F7701" s="20" t="n">
        <f aca="false">Parametres!$B$6*D7701</f>
        <v>200</v>
      </c>
      <c r="G7701" s="20" t="n">
        <f aca="false">E7701+F7701</f>
        <v>247.88</v>
      </c>
      <c r="H7701" s="20" t="n">
        <f aca="false">IF(G7701&lt;Parametres!$B$8*Parametres!$B$7,0,MIN(G7701,Parametres!$B$7))</f>
        <v>247.88</v>
      </c>
      <c r="I7701" s="20" t="n">
        <f aca="false">G7701-H7701</f>
        <v>0</v>
      </c>
      <c r="J7701" s="21" t="n">
        <f aca="false">H7701*1000/Parametres!$B$9</f>
        <v>4203.49330167882</v>
      </c>
    </row>
    <row r="7702" customFormat="false" ht="15" hidden="false" customHeight="false" outlineLevel="0" collapsed="false">
      <c r="A7702" s="0" t="n">
        <v>7698</v>
      </c>
      <c r="B7702" s="0" t="n">
        <v>11</v>
      </c>
      <c r="C7702" s="19" t="n">
        <v>0</v>
      </c>
      <c r="D7702" s="19" t="n">
        <v>1</v>
      </c>
      <c r="E7702" s="20" t="n">
        <f aca="false">Parametres!$B$5*C7702</f>
        <v>0</v>
      </c>
      <c r="F7702" s="20" t="n">
        <f aca="false">Parametres!$B$6*D7702</f>
        <v>200</v>
      </c>
      <c r="G7702" s="20" t="n">
        <f aca="false">E7702+F7702</f>
        <v>200</v>
      </c>
      <c r="H7702" s="20" t="n">
        <f aca="false">IF(G7702&lt;Parametres!$B$8*Parametres!$B$7,0,MIN(G7702,Parametres!$B$7))</f>
        <v>200</v>
      </c>
      <c r="I7702" s="20" t="n">
        <f aca="false">G7702-H7702</f>
        <v>0</v>
      </c>
      <c r="J7702" s="21" t="n">
        <f aca="false">H7702*1000/Parametres!$B$9</f>
        <v>3391.55502798033</v>
      </c>
    </row>
    <row r="7703" customFormat="false" ht="15" hidden="false" customHeight="false" outlineLevel="0" collapsed="false">
      <c r="A7703" s="0" t="n">
        <v>7699</v>
      </c>
      <c r="B7703" s="0" t="n">
        <v>11</v>
      </c>
      <c r="C7703" s="19" t="n">
        <v>0</v>
      </c>
      <c r="D7703" s="19" t="n">
        <v>1</v>
      </c>
      <c r="E7703" s="20" t="n">
        <f aca="false">Parametres!$B$5*C7703</f>
        <v>0</v>
      </c>
      <c r="F7703" s="20" t="n">
        <f aca="false">Parametres!$B$6*D7703</f>
        <v>200</v>
      </c>
      <c r="G7703" s="20" t="n">
        <f aca="false">E7703+F7703</f>
        <v>200</v>
      </c>
      <c r="H7703" s="20" t="n">
        <f aca="false">IF(G7703&lt;Parametres!$B$8*Parametres!$B$7,0,MIN(G7703,Parametres!$B$7))</f>
        <v>200</v>
      </c>
      <c r="I7703" s="20" t="n">
        <f aca="false">G7703-H7703</f>
        <v>0</v>
      </c>
      <c r="J7703" s="21" t="n">
        <f aca="false">H7703*1000/Parametres!$B$9</f>
        <v>3391.55502798033</v>
      </c>
    </row>
    <row r="7704" customFormat="false" ht="15" hidden="false" customHeight="false" outlineLevel="0" collapsed="false">
      <c r="A7704" s="0" t="n">
        <v>7700</v>
      </c>
      <c r="B7704" s="0" t="n">
        <v>11</v>
      </c>
      <c r="C7704" s="19" t="n">
        <v>0</v>
      </c>
      <c r="D7704" s="19" t="n">
        <v>1</v>
      </c>
      <c r="E7704" s="20" t="n">
        <f aca="false">Parametres!$B$5*C7704</f>
        <v>0</v>
      </c>
      <c r="F7704" s="20" t="n">
        <f aca="false">Parametres!$B$6*D7704</f>
        <v>200</v>
      </c>
      <c r="G7704" s="20" t="n">
        <f aca="false">E7704+F7704</f>
        <v>200</v>
      </c>
      <c r="H7704" s="20" t="n">
        <f aca="false">IF(G7704&lt;Parametres!$B$8*Parametres!$B$7,0,MIN(G7704,Parametres!$B$7))</f>
        <v>200</v>
      </c>
      <c r="I7704" s="20" t="n">
        <f aca="false">G7704-H7704</f>
        <v>0</v>
      </c>
      <c r="J7704" s="21" t="n">
        <f aca="false">H7704*1000/Parametres!$B$9</f>
        <v>3391.55502798033</v>
      </c>
    </row>
    <row r="7705" customFormat="false" ht="15" hidden="false" customHeight="false" outlineLevel="0" collapsed="false">
      <c r="A7705" s="0" t="n">
        <v>7701</v>
      </c>
      <c r="B7705" s="0" t="n">
        <v>11</v>
      </c>
      <c r="C7705" s="19" t="n">
        <v>0</v>
      </c>
      <c r="D7705" s="19" t="n">
        <v>1</v>
      </c>
      <c r="E7705" s="20" t="n">
        <f aca="false">Parametres!$B$5*C7705</f>
        <v>0</v>
      </c>
      <c r="F7705" s="20" t="n">
        <f aca="false">Parametres!$B$6*D7705</f>
        <v>200</v>
      </c>
      <c r="G7705" s="20" t="n">
        <f aca="false">E7705+F7705</f>
        <v>200</v>
      </c>
      <c r="H7705" s="20" t="n">
        <f aca="false">IF(G7705&lt;Parametres!$B$8*Parametres!$B$7,0,MIN(G7705,Parametres!$B$7))</f>
        <v>200</v>
      </c>
      <c r="I7705" s="20" t="n">
        <f aca="false">G7705-H7705</f>
        <v>0</v>
      </c>
      <c r="J7705" s="21" t="n">
        <f aca="false">H7705*1000/Parametres!$B$9</f>
        <v>3391.55502798033</v>
      </c>
    </row>
    <row r="7706" customFormat="false" ht="15" hidden="false" customHeight="false" outlineLevel="0" collapsed="false">
      <c r="A7706" s="0" t="n">
        <v>7702</v>
      </c>
      <c r="B7706" s="0" t="n">
        <v>11</v>
      </c>
      <c r="C7706" s="19" t="n">
        <v>0</v>
      </c>
      <c r="D7706" s="19" t="n">
        <v>1</v>
      </c>
      <c r="E7706" s="20" t="n">
        <f aca="false">Parametres!$B$5*C7706</f>
        <v>0</v>
      </c>
      <c r="F7706" s="20" t="n">
        <f aca="false">Parametres!$B$6*D7706</f>
        <v>200</v>
      </c>
      <c r="G7706" s="20" t="n">
        <f aca="false">E7706+F7706</f>
        <v>200</v>
      </c>
      <c r="H7706" s="20" t="n">
        <f aca="false">IF(G7706&lt;Parametres!$B$8*Parametres!$B$7,0,MIN(G7706,Parametres!$B$7))</f>
        <v>200</v>
      </c>
      <c r="I7706" s="20" t="n">
        <f aca="false">G7706-H7706</f>
        <v>0</v>
      </c>
      <c r="J7706" s="21" t="n">
        <f aca="false">H7706*1000/Parametres!$B$9</f>
        <v>3391.55502798033</v>
      </c>
    </row>
    <row r="7707" customFormat="false" ht="15" hidden="false" customHeight="false" outlineLevel="0" collapsed="false">
      <c r="A7707" s="0" t="n">
        <v>7703</v>
      </c>
      <c r="B7707" s="0" t="n">
        <v>11</v>
      </c>
      <c r="C7707" s="19" t="n">
        <v>0</v>
      </c>
      <c r="D7707" s="19" t="n">
        <v>1</v>
      </c>
      <c r="E7707" s="20" t="n">
        <f aca="false">Parametres!$B$5*C7707</f>
        <v>0</v>
      </c>
      <c r="F7707" s="20" t="n">
        <f aca="false">Parametres!$B$6*D7707</f>
        <v>200</v>
      </c>
      <c r="G7707" s="20" t="n">
        <f aca="false">E7707+F7707</f>
        <v>200</v>
      </c>
      <c r="H7707" s="20" t="n">
        <f aca="false">IF(G7707&lt;Parametres!$B$8*Parametres!$B$7,0,MIN(G7707,Parametres!$B$7))</f>
        <v>200</v>
      </c>
      <c r="I7707" s="20" t="n">
        <f aca="false">G7707-H7707</f>
        <v>0</v>
      </c>
      <c r="J7707" s="21" t="n">
        <f aca="false">H7707*1000/Parametres!$B$9</f>
        <v>3391.55502798033</v>
      </c>
    </row>
    <row r="7708" customFormat="false" ht="15" hidden="false" customHeight="false" outlineLevel="0" collapsed="false">
      <c r="A7708" s="0" t="n">
        <v>7704</v>
      </c>
      <c r="B7708" s="0" t="n">
        <v>11</v>
      </c>
      <c r="C7708" s="19" t="n">
        <v>0</v>
      </c>
      <c r="D7708" s="19" t="n">
        <v>1</v>
      </c>
      <c r="E7708" s="20" t="n">
        <f aca="false">Parametres!$B$5*C7708</f>
        <v>0</v>
      </c>
      <c r="F7708" s="20" t="n">
        <f aca="false">Parametres!$B$6*D7708</f>
        <v>200</v>
      </c>
      <c r="G7708" s="20" t="n">
        <f aca="false">E7708+F7708</f>
        <v>200</v>
      </c>
      <c r="H7708" s="20" t="n">
        <f aca="false">IF(G7708&lt;Parametres!$B$8*Parametres!$B$7,0,MIN(G7708,Parametres!$B$7))</f>
        <v>200</v>
      </c>
      <c r="I7708" s="20" t="n">
        <f aca="false">G7708-H7708</f>
        <v>0</v>
      </c>
      <c r="J7708" s="21" t="n">
        <f aca="false">H7708*1000/Parametres!$B$9</f>
        <v>3391.55502798033</v>
      </c>
    </row>
    <row r="7709" customFormat="false" ht="15" hidden="false" customHeight="false" outlineLevel="0" collapsed="false">
      <c r="A7709" s="0" t="n">
        <v>7705</v>
      </c>
      <c r="B7709" s="0" t="n">
        <v>11</v>
      </c>
      <c r="C7709" s="19" t="n">
        <v>0</v>
      </c>
      <c r="D7709" s="19" t="n">
        <v>1</v>
      </c>
      <c r="E7709" s="20" t="n">
        <f aca="false">Parametres!$B$5*C7709</f>
        <v>0</v>
      </c>
      <c r="F7709" s="20" t="n">
        <f aca="false">Parametres!$B$6*D7709</f>
        <v>200</v>
      </c>
      <c r="G7709" s="20" t="n">
        <f aca="false">E7709+F7709</f>
        <v>200</v>
      </c>
      <c r="H7709" s="20" t="n">
        <f aca="false">IF(G7709&lt;Parametres!$B$8*Parametres!$B$7,0,MIN(G7709,Parametres!$B$7))</f>
        <v>200</v>
      </c>
      <c r="I7709" s="20" t="n">
        <f aca="false">G7709-H7709</f>
        <v>0</v>
      </c>
      <c r="J7709" s="21" t="n">
        <f aca="false">H7709*1000/Parametres!$B$9</f>
        <v>3391.55502798033</v>
      </c>
    </row>
    <row r="7710" customFormat="false" ht="15" hidden="false" customHeight="false" outlineLevel="0" collapsed="false">
      <c r="A7710" s="0" t="n">
        <v>7706</v>
      </c>
      <c r="B7710" s="0" t="n">
        <v>11</v>
      </c>
      <c r="C7710" s="19" t="n">
        <v>0</v>
      </c>
      <c r="D7710" s="19" t="n">
        <v>1</v>
      </c>
      <c r="E7710" s="20" t="n">
        <f aca="false">Parametres!$B$5*C7710</f>
        <v>0</v>
      </c>
      <c r="F7710" s="20" t="n">
        <f aca="false">Parametres!$B$6*D7710</f>
        <v>200</v>
      </c>
      <c r="G7710" s="20" t="n">
        <f aca="false">E7710+F7710</f>
        <v>200</v>
      </c>
      <c r="H7710" s="20" t="n">
        <f aca="false">IF(G7710&lt;Parametres!$B$8*Parametres!$B$7,0,MIN(G7710,Parametres!$B$7))</f>
        <v>200</v>
      </c>
      <c r="I7710" s="20" t="n">
        <f aca="false">G7710-H7710</f>
        <v>0</v>
      </c>
      <c r="J7710" s="21" t="n">
        <f aca="false">H7710*1000/Parametres!$B$9</f>
        <v>3391.55502798033</v>
      </c>
    </row>
    <row r="7711" customFormat="false" ht="15" hidden="false" customHeight="false" outlineLevel="0" collapsed="false">
      <c r="A7711" s="0" t="n">
        <v>7707</v>
      </c>
      <c r="B7711" s="0" t="n">
        <v>11</v>
      </c>
      <c r="C7711" s="19" t="n">
        <v>0</v>
      </c>
      <c r="D7711" s="19" t="n">
        <v>1</v>
      </c>
      <c r="E7711" s="20" t="n">
        <f aca="false">Parametres!$B$5*C7711</f>
        <v>0</v>
      </c>
      <c r="F7711" s="20" t="n">
        <f aca="false">Parametres!$B$6*D7711</f>
        <v>200</v>
      </c>
      <c r="G7711" s="20" t="n">
        <f aca="false">E7711+F7711</f>
        <v>200</v>
      </c>
      <c r="H7711" s="20" t="n">
        <f aca="false">IF(G7711&lt;Parametres!$B$8*Parametres!$B$7,0,MIN(G7711,Parametres!$B$7))</f>
        <v>200</v>
      </c>
      <c r="I7711" s="20" t="n">
        <f aca="false">G7711-H7711</f>
        <v>0</v>
      </c>
      <c r="J7711" s="21" t="n">
        <f aca="false">H7711*1000/Parametres!$B$9</f>
        <v>3391.55502798033</v>
      </c>
    </row>
    <row r="7712" customFormat="false" ht="15" hidden="false" customHeight="false" outlineLevel="0" collapsed="false">
      <c r="A7712" s="0" t="n">
        <v>7708</v>
      </c>
      <c r="B7712" s="0" t="n">
        <v>11</v>
      </c>
      <c r="C7712" s="19" t="n">
        <v>0</v>
      </c>
      <c r="D7712" s="19" t="n">
        <v>1</v>
      </c>
      <c r="E7712" s="20" t="n">
        <f aca="false">Parametres!$B$5*C7712</f>
        <v>0</v>
      </c>
      <c r="F7712" s="20" t="n">
        <f aca="false">Parametres!$B$6*D7712</f>
        <v>200</v>
      </c>
      <c r="G7712" s="20" t="n">
        <f aca="false">E7712+F7712</f>
        <v>200</v>
      </c>
      <c r="H7712" s="20" t="n">
        <f aca="false">IF(G7712&lt;Parametres!$B$8*Parametres!$B$7,0,MIN(G7712,Parametres!$B$7))</f>
        <v>200</v>
      </c>
      <c r="I7712" s="20" t="n">
        <f aca="false">G7712-H7712</f>
        <v>0</v>
      </c>
      <c r="J7712" s="21" t="n">
        <f aca="false">H7712*1000/Parametres!$B$9</f>
        <v>3391.55502798033</v>
      </c>
    </row>
    <row r="7713" customFormat="false" ht="15" hidden="false" customHeight="false" outlineLevel="0" collapsed="false">
      <c r="A7713" s="0" t="n">
        <v>7709</v>
      </c>
      <c r="B7713" s="0" t="n">
        <v>11</v>
      </c>
      <c r="C7713" s="19" t="n">
        <v>0</v>
      </c>
      <c r="D7713" s="19" t="n">
        <v>1</v>
      </c>
      <c r="E7713" s="20" t="n">
        <f aca="false">Parametres!$B$5*C7713</f>
        <v>0</v>
      </c>
      <c r="F7713" s="20" t="n">
        <f aca="false">Parametres!$B$6*D7713</f>
        <v>200</v>
      </c>
      <c r="G7713" s="20" t="n">
        <f aca="false">E7713+F7713</f>
        <v>200</v>
      </c>
      <c r="H7713" s="20" t="n">
        <f aca="false">IF(G7713&lt;Parametres!$B$8*Parametres!$B$7,0,MIN(G7713,Parametres!$B$7))</f>
        <v>200</v>
      </c>
      <c r="I7713" s="20" t="n">
        <f aca="false">G7713-H7713</f>
        <v>0</v>
      </c>
      <c r="J7713" s="21" t="n">
        <f aca="false">H7713*1000/Parametres!$B$9</f>
        <v>3391.55502798033</v>
      </c>
    </row>
    <row r="7714" customFormat="false" ht="15" hidden="false" customHeight="false" outlineLevel="0" collapsed="false">
      <c r="A7714" s="0" t="n">
        <v>7710</v>
      </c>
      <c r="B7714" s="0" t="n">
        <v>11</v>
      </c>
      <c r="C7714" s="19" t="n">
        <v>0</v>
      </c>
      <c r="D7714" s="19" t="n">
        <v>1</v>
      </c>
      <c r="E7714" s="20" t="n">
        <f aca="false">Parametres!$B$5*C7714</f>
        <v>0</v>
      </c>
      <c r="F7714" s="20" t="n">
        <f aca="false">Parametres!$B$6*D7714</f>
        <v>200</v>
      </c>
      <c r="G7714" s="20" t="n">
        <f aca="false">E7714+F7714</f>
        <v>200</v>
      </c>
      <c r="H7714" s="20" t="n">
        <f aca="false">IF(G7714&lt;Parametres!$B$8*Parametres!$B$7,0,MIN(G7714,Parametres!$B$7))</f>
        <v>200</v>
      </c>
      <c r="I7714" s="20" t="n">
        <f aca="false">G7714-H7714</f>
        <v>0</v>
      </c>
      <c r="J7714" s="21" t="n">
        <f aca="false">H7714*1000/Parametres!$B$9</f>
        <v>3391.55502798033</v>
      </c>
    </row>
    <row r="7715" customFormat="false" ht="15" hidden="false" customHeight="false" outlineLevel="0" collapsed="false">
      <c r="A7715" s="0" t="n">
        <v>7711</v>
      </c>
      <c r="B7715" s="0" t="n">
        <v>11</v>
      </c>
      <c r="C7715" s="19" t="n">
        <v>0</v>
      </c>
      <c r="D7715" s="19" t="n">
        <v>1</v>
      </c>
      <c r="E7715" s="20" t="n">
        <f aca="false">Parametres!$B$5*C7715</f>
        <v>0</v>
      </c>
      <c r="F7715" s="20" t="n">
        <f aca="false">Parametres!$B$6*D7715</f>
        <v>200</v>
      </c>
      <c r="G7715" s="20" t="n">
        <f aca="false">E7715+F7715</f>
        <v>200</v>
      </c>
      <c r="H7715" s="20" t="n">
        <f aca="false">IF(G7715&lt;Parametres!$B$8*Parametres!$B$7,0,MIN(G7715,Parametres!$B$7))</f>
        <v>200</v>
      </c>
      <c r="I7715" s="20" t="n">
        <f aca="false">G7715-H7715</f>
        <v>0</v>
      </c>
      <c r="J7715" s="21" t="n">
        <f aca="false">H7715*1000/Parametres!$B$9</f>
        <v>3391.55502798033</v>
      </c>
    </row>
    <row r="7716" customFormat="false" ht="15" hidden="false" customHeight="false" outlineLevel="0" collapsed="false">
      <c r="A7716" s="0" t="n">
        <v>7712</v>
      </c>
      <c r="B7716" s="0" t="n">
        <v>11</v>
      </c>
      <c r="C7716" s="19" t="n">
        <v>0.142</v>
      </c>
      <c r="D7716" s="19" t="n">
        <v>1</v>
      </c>
      <c r="E7716" s="20" t="n">
        <f aca="false">Parametres!$B$5*C7716</f>
        <v>42.6</v>
      </c>
      <c r="F7716" s="20" t="n">
        <f aca="false">Parametres!$B$6*D7716</f>
        <v>200</v>
      </c>
      <c r="G7716" s="20" t="n">
        <f aca="false">E7716+F7716</f>
        <v>242.6</v>
      </c>
      <c r="H7716" s="20" t="n">
        <f aca="false">IF(G7716&lt;Parametres!$B$8*Parametres!$B$7,0,MIN(G7716,Parametres!$B$7))</f>
        <v>242.6</v>
      </c>
      <c r="I7716" s="20" t="n">
        <f aca="false">G7716-H7716</f>
        <v>0</v>
      </c>
      <c r="J7716" s="21" t="n">
        <f aca="false">H7716*1000/Parametres!$B$9</f>
        <v>4113.95624894014</v>
      </c>
    </row>
    <row r="7717" customFormat="false" ht="15" hidden="false" customHeight="false" outlineLevel="0" collapsed="false">
      <c r="A7717" s="0" t="n">
        <v>7713</v>
      </c>
      <c r="B7717" s="0" t="n">
        <v>11</v>
      </c>
      <c r="C7717" s="19" t="n">
        <v>0.3421</v>
      </c>
      <c r="D7717" s="19" t="n">
        <v>1</v>
      </c>
      <c r="E7717" s="20" t="n">
        <f aca="false">Parametres!$B$5*C7717</f>
        <v>102.63</v>
      </c>
      <c r="F7717" s="20" t="n">
        <f aca="false">Parametres!$B$6*D7717</f>
        <v>200</v>
      </c>
      <c r="G7717" s="20" t="n">
        <f aca="false">E7717+F7717</f>
        <v>302.63</v>
      </c>
      <c r="H7717" s="20" t="n">
        <f aca="false">IF(G7717&lt;Parametres!$B$8*Parametres!$B$7,0,MIN(G7717,Parametres!$B$7))</f>
        <v>250</v>
      </c>
      <c r="I7717" s="20" t="n">
        <f aca="false">G7717-H7717</f>
        <v>52.63</v>
      </c>
      <c r="J7717" s="21" t="n">
        <f aca="false">H7717*1000/Parametres!$B$9</f>
        <v>4239.44378497541</v>
      </c>
    </row>
    <row r="7718" customFormat="false" ht="15" hidden="false" customHeight="false" outlineLevel="0" collapsed="false">
      <c r="A7718" s="0" t="n">
        <v>7714</v>
      </c>
      <c r="B7718" s="0" t="n">
        <v>11</v>
      </c>
      <c r="C7718" s="19" t="n">
        <v>0.5153</v>
      </c>
      <c r="D7718" s="19" t="n">
        <v>1</v>
      </c>
      <c r="E7718" s="20" t="n">
        <f aca="false">Parametres!$B$5*C7718</f>
        <v>154.59</v>
      </c>
      <c r="F7718" s="20" t="n">
        <f aca="false">Parametres!$B$6*D7718</f>
        <v>200</v>
      </c>
      <c r="G7718" s="20" t="n">
        <f aca="false">E7718+F7718</f>
        <v>354.59</v>
      </c>
      <c r="H7718" s="20" t="n">
        <f aca="false">IF(G7718&lt;Parametres!$B$8*Parametres!$B$7,0,MIN(G7718,Parametres!$B$7))</f>
        <v>250</v>
      </c>
      <c r="I7718" s="20" t="n">
        <f aca="false">G7718-H7718</f>
        <v>104.59</v>
      </c>
      <c r="J7718" s="21" t="n">
        <f aca="false">H7718*1000/Parametres!$B$9</f>
        <v>4239.44378497541</v>
      </c>
    </row>
    <row r="7719" customFormat="false" ht="15" hidden="false" customHeight="false" outlineLevel="0" collapsed="false">
      <c r="A7719" s="0" t="n">
        <v>7715</v>
      </c>
      <c r="B7719" s="0" t="n">
        <v>11</v>
      </c>
      <c r="C7719" s="19" t="n">
        <v>0.6254</v>
      </c>
      <c r="D7719" s="19" t="n">
        <v>1</v>
      </c>
      <c r="E7719" s="20" t="n">
        <f aca="false">Parametres!$B$5*C7719</f>
        <v>187.62</v>
      </c>
      <c r="F7719" s="20" t="n">
        <f aca="false">Parametres!$B$6*D7719</f>
        <v>200</v>
      </c>
      <c r="G7719" s="20" t="n">
        <f aca="false">E7719+F7719</f>
        <v>387.62</v>
      </c>
      <c r="H7719" s="20" t="n">
        <f aca="false">IF(G7719&lt;Parametres!$B$8*Parametres!$B$7,0,MIN(G7719,Parametres!$B$7))</f>
        <v>250</v>
      </c>
      <c r="I7719" s="20" t="n">
        <f aca="false">G7719-H7719</f>
        <v>137.62</v>
      </c>
      <c r="J7719" s="21" t="n">
        <f aca="false">H7719*1000/Parametres!$B$9</f>
        <v>4239.44378497541</v>
      </c>
    </row>
    <row r="7720" customFormat="false" ht="15" hidden="false" customHeight="false" outlineLevel="0" collapsed="false">
      <c r="A7720" s="0" t="n">
        <v>7716</v>
      </c>
      <c r="B7720" s="0" t="n">
        <v>11</v>
      </c>
      <c r="C7720" s="19" t="n">
        <v>0.7491</v>
      </c>
      <c r="D7720" s="19" t="n">
        <v>1</v>
      </c>
      <c r="E7720" s="20" t="n">
        <f aca="false">Parametres!$B$5*C7720</f>
        <v>224.73</v>
      </c>
      <c r="F7720" s="20" t="n">
        <f aca="false">Parametres!$B$6*D7720</f>
        <v>200</v>
      </c>
      <c r="G7720" s="20" t="n">
        <f aca="false">E7720+F7720</f>
        <v>424.73</v>
      </c>
      <c r="H7720" s="20" t="n">
        <f aca="false">IF(G7720&lt;Parametres!$B$8*Parametres!$B$7,0,MIN(G7720,Parametres!$B$7))</f>
        <v>250</v>
      </c>
      <c r="I7720" s="20" t="n">
        <f aca="false">G7720-H7720</f>
        <v>174.73</v>
      </c>
      <c r="J7720" s="21" t="n">
        <f aca="false">H7720*1000/Parametres!$B$9</f>
        <v>4239.44378497541</v>
      </c>
    </row>
    <row r="7721" customFormat="false" ht="15" hidden="false" customHeight="false" outlineLevel="0" collapsed="false">
      <c r="A7721" s="0" t="n">
        <v>7717</v>
      </c>
      <c r="B7721" s="0" t="n">
        <v>11</v>
      </c>
      <c r="C7721" s="19" t="n">
        <v>0.7151</v>
      </c>
      <c r="D7721" s="19" t="n">
        <v>1</v>
      </c>
      <c r="E7721" s="20" t="n">
        <f aca="false">Parametres!$B$5*C7721</f>
        <v>214.53</v>
      </c>
      <c r="F7721" s="20" t="n">
        <f aca="false">Parametres!$B$6*D7721</f>
        <v>200</v>
      </c>
      <c r="G7721" s="20" t="n">
        <f aca="false">E7721+F7721</f>
        <v>414.53</v>
      </c>
      <c r="H7721" s="20" t="n">
        <f aca="false">IF(G7721&lt;Parametres!$B$8*Parametres!$B$7,0,MIN(G7721,Parametres!$B$7))</f>
        <v>250</v>
      </c>
      <c r="I7721" s="20" t="n">
        <f aca="false">G7721-H7721</f>
        <v>164.53</v>
      </c>
      <c r="J7721" s="21" t="n">
        <f aca="false">H7721*1000/Parametres!$B$9</f>
        <v>4239.44378497541</v>
      </c>
    </row>
    <row r="7722" customFormat="false" ht="15" hidden="false" customHeight="false" outlineLevel="0" collapsed="false">
      <c r="A7722" s="0" t="n">
        <v>7718</v>
      </c>
      <c r="B7722" s="0" t="n">
        <v>11</v>
      </c>
      <c r="C7722" s="19" t="n">
        <v>0.6258</v>
      </c>
      <c r="D7722" s="19" t="n">
        <v>1</v>
      </c>
      <c r="E7722" s="20" t="n">
        <f aca="false">Parametres!$B$5*C7722</f>
        <v>187.74</v>
      </c>
      <c r="F7722" s="20" t="n">
        <f aca="false">Parametres!$B$6*D7722</f>
        <v>200</v>
      </c>
      <c r="G7722" s="20" t="n">
        <f aca="false">E7722+F7722</f>
        <v>387.74</v>
      </c>
      <c r="H7722" s="20" t="n">
        <f aca="false">IF(G7722&lt;Parametres!$B$8*Parametres!$B$7,0,MIN(G7722,Parametres!$B$7))</f>
        <v>250</v>
      </c>
      <c r="I7722" s="20" t="n">
        <f aca="false">G7722-H7722</f>
        <v>137.74</v>
      </c>
      <c r="J7722" s="21" t="n">
        <f aca="false">H7722*1000/Parametres!$B$9</f>
        <v>4239.44378497541</v>
      </c>
    </row>
    <row r="7723" customFormat="false" ht="15" hidden="false" customHeight="false" outlineLevel="0" collapsed="false">
      <c r="A7723" s="0" t="n">
        <v>7719</v>
      </c>
      <c r="B7723" s="0" t="n">
        <v>11</v>
      </c>
      <c r="C7723" s="19" t="n">
        <v>0.4585</v>
      </c>
      <c r="D7723" s="19" t="n">
        <v>1</v>
      </c>
      <c r="E7723" s="20" t="n">
        <f aca="false">Parametres!$B$5*C7723</f>
        <v>137.55</v>
      </c>
      <c r="F7723" s="20" t="n">
        <f aca="false">Parametres!$B$6*D7723</f>
        <v>200</v>
      </c>
      <c r="G7723" s="20" t="n">
        <f aca="false">E7723+F7723</f>
        <v>337.55</v>
      </c>
      <c r="H7723" s="20" t="n">
        <f aca="false">IF(G7723&lt;Parametres!$B$8*Parametres!$B$7,0,MIN(G7723,Parametres!$B$7))</f>
        <v>250</v>
      </c>
      <c r="I7723" s="20" t="n">
        <f aca="false">G7723-H7723</f>
        <v>87.55</v>
      </c>
      <c r="J7723" s="21" t="n">
        <f aca="false">H7723*1000/Parametres!$B$9</f>
        <v>4239.44378497541</v>
      </c>
    </row>
    <row r="7724" customFormat="false" ht="15" hidden="false" customHeight="false" outlineLevel="0" collapsed="false">
      <c r="A7724" s="0" t="n">
        <v>7720</v>
      </c>
      <c r="B7724" s="0" t="n">
        <v>11</v>
      </c>
      <c r="C7724" s="19" t="n">
        <v>0.3409</v>
      </c>
      <c r="D7724" s="19" t="n">
        <v>1</v>
      </c>
      <c r="E7724" s="20" t="n">
        <f aca="false">Parametres!$B$5*C7724</f>
        <v>102.27</v>
      </c>
      <c r="F7724" s="20" t="n">
        <f aca="false">Parametres!$B$6*D7724</f>
        <v>200</v>
      </c>
      <c r="G7724" s="20" t="n">
        <f aca="false">E7724+F7724</f>
        <v>302.27</v>
      </c>
      <c r="H7724" s="20" t="n">
        <f aca="false">IF(G7724&lt;Parametres!$B$8*Parametres!$B$7,0,MIN(G7724,Parametres!$B$7))</f>
        <v>250</v>
      </c>
      <c r="I7724" s="20" t="n">
        <f aca="false">G7724-H7724</f>
        <v>52.27</v>
      </c>
      <c r="J7724" s="21" t="n">
        <f aca="false">H7724*1000/Parametres!$B$9</f>
        <v>4239.44378497541</v>
      </c>
    </row>
    <row r="7725" customFormat="false" ht="15" hidden="false" customHeight="false" outlineLevel="0" collapsed="false">
      <c r="A7725" s="0" t="n">
        <v>7721</v>
      </c>
      <c r="B7725" s="0" t="n">
        <v>11</v>
      </c>
      <c r="C7725" s="19" t="n">
        <v>0.1362</v>
      </c>
      <c r="D7725" s="19" t="n">
        <v>1</v>
      </c>
      <c r="E7725" s="20" t="n">
        <f aca="false">Parametres!$B$5*C7725</f>
        <v>40.86</v>
      </c>
      <c r="F7725" s="20" t="n">
        <f aca="false">Parametres!$B$6*D7725</f>
        <v>200</v>
      </c>
      <c r="G7725" s="20" t="n">
        <f aca="false">E7725+F7725</f>
        <v>240.86</v>
      </c>
      <c r="H7725" s="20" t="n">
        <f aca="false">IF(G7725&lt;Parametres!$B$8*Parametres!$B$7,0,MIN(G7725,Parametres!$B$7))</f>
        <v>240.86</v>
      </c>
      <c r="I7725" s="20" t="n">
        <f aca="false">G7725-H7725</f>
        <v>0</v>
      </c>
      <c r="J7725" s="21" t="n">
        <f aca="false">H7725*1000/Parametres!$B$9</f>
        <v>4084.44972019671</v>
      </c>
    </row>
    <row r="7726" customFormat="false" ht="15" hidden="false" customHeight="false" outlineLevel="0" collapsed="false">
      <c r="A7726" s="0" t="n">
        <v>7722</v>
      </c>
      <c r="B7726" s="0" t="n">
        <v>11</v>
      </c>
      <c r="C7726" s="19" t="n">
        <v>0</v>
      </c>
      <c r="D7726" s="19" t="n">
        <v>1</v>
      </c>
      <c r="E7726" s="20" t="n">
        <f aca="false">Parametres!$B$5*C7726</f>
        <v>0</v>
      </c>
      <c r="F7726" s="20" t="n">
        <f aca="false">Parametres!$B$6*D7726</f>
        <v>200</v>
      </c>
      <c r="G7726" s="20" t="n">
        <f aca="false">E7726+F7726</f>
        <v>200</v>
      </c>
      <c r="H7726" s="20" t="n">
        <f aca="false">IF(G7726&lt;Parametres!$B$8*Parametres!$B$7,0,MIN(G7726,Parametres!$B$7))</f>
        <v>200</v>
      </c>
      <c r="I7726" s="20" t="n">
        <f aca="false">G7726-H7726</f>
        <v>0</v>
      </c>
      <c r="J7726" s="21" t="n">
        <f aca="false">H7726*1000/Parametres!$B$9</f>
        <v>3391.55502798033</v>
      </c>
    </row>
    <row r="7727" customFormat="false" ht="15" hidden="false" customHeight="false" outlineLevel="0" collapsed="false">
      <c r="A7727" s="0" t="n">
        <v>7723</v>
      </c>
      <c r="B7727" s="0" t="n">
        <v>11</v>
      </c>
      <c r="C7727" s="19" t="n">
        <v>0</v>
      </c>
      <c r="D7727" s="19" t="n">
        <v>1</v>
      </c>
      <c r="E7727" s="20" t="n">
        <f aca="false">Parametres!$B$5*C7727</f>
        <v>0</v>
      </c>
      <c r="F7727" s="20" t="n">
        <f aca="false">Parametres!$B$6*D7727</f>
        <v>200</v>
      </c>
      <c r="G7727" s="20" t="n">
        <f aca="false">E7727+F7727</f>
        <v>200</v>
      </c>
      <c r="H7727" s="20" t="n">
        <f aca="false">IF(G7727&lt;Parametres!$B$8*Parametres!$B$7,0,MIN(G7727,Parametres!$B$7))</f>
        <v>200</v>
      </c>
      <c r="I7727" s="20" t="n">
        <f aca="false">G7727-H7727</f>
        <v>0</v>
      </c>
      <c r="J7727" s="21" t="n">
        <f aca="false">H7727*1000/Parametres!$B$9</f>
        <v>3391.55502798033</v>
      </c>
    </row>
    <row r="7728" customFormat="false" ht="15" hidden="false" customHeight="false" outlineLevel="0" collapsed="false">
      <c r="A7728" s="0" t="n">
        <v>7724</v>
      </c>
      <c r="B7728" s="0" t="n">
        <v>11</v>
      </c>
      <c r="C7728" s="19" t="n">
        <v>0</v>
      </c>
      <c r="D7728" s="19" t="n">
        <v>1</v>
      </c>
      <c r="E7728" s="20" t="n">
        <f aca="false">Parametres!$B$5*C7728</f>
        <v>0</v>
      </c>
      <c r="F7728" s="20" t="n">
        <f aca="false">Parametres!$B$6*D7728</f>
        <v>200</v>
      </c>
      <c r="G7728" s="20" t="n">
        <f aca="false">E7728+F7728</f>
        <v>200</v>
      </c>
      <c r="H7728" s="20" t="n">
        <f aca="false">IF(G7728&lt;Parametres!$B$8*Parametres!$B$7,0,MIN(G7728,Parametres!$B$7))</f>
        <v>200</v>
      </c>
      <c r="I7728" s="20" t="n">
        <f aca="false">G7728-H7728</f>
        <v>0</v>
      </c>
      <c r="J7728" s="21" t="n">
        <f aca="false">H7728*1000/Parametres!$B$9</f>
        <v>3391.55502798033</v>
      </c>
    </row>
    <row r="7729" customFormat="false" ht="15" hidden="false" customHeight="false" outlineLevel="0" collapsed="false">
      <c r="A7729" s="0" t="n">
        <v>7725</v>
      </c>
      <c r="B7729" s="0" t="n">
        <v>11</v>
      </c>
      <c r="C7729" s="19" t="n">
        <v>0</v>
      </c>
      <c r="D7729" s="19" t="n">
        <v>1</v>
      </c>
      <c r="E7729" s="20" t="n">
        <f aca="false">Parametres!$B$5*C7729</f>
        <v>0</v>
      </c>
      <c r="F7729" s="20" t="n">
        <f aca="false">Parametres!$B$6*D7729</f>
        <v>200</v>
      </c>
      <c r="G7729" s="20" t="n">
        <f aca="false">E7729+F7729</f>
        <v>200</v>
      </c>
      <c r="H7729" s="20" t="n">
        <f aca="false">IF(G7729&lt;Parametres!$B$8*Parametres!$B$7,0,MIN(G7729,Parametres!$B$7))</f>
        <v>200</v>
      </c>
      <c r="I7729" s="20" t="n">
        <f aca="false">G7729-H7729</f>
        <v>0</v>
      </c>
      <c r="J7729" s="21" t="n">
        <f aca="false">H7729*1000/Parametres!$B$9</f>
        <v>3391.55502798033</v>
      </c>
    </row>
    <row r="7730" customFormat="false" ht="15" hidden="false" customHeight="false" outlineLevel="0" collapsed="false">
      <c r="A7730" s="0" t="n">
        <v>7726</v>
      </c>
      <c r="B7730" s="0" t="n">
        <v>11</v>
      </c>
      <c r="C7730" s="19" t="n">
        <v>0</v>
      </c>
      <c r="D7730" s="19" t="n">
        <v>1</v>
      </c>
      <c r="E7730" s="20" t="n">
        <f aca="false">Parametres!$B$5*C7730</f>
        <v>0</v>
      </c>
      <c r="F7730" s="20" t="n">
        <f aca="false">Parametres!$B$6*D7730</f>
        <v>200</v>
      </c>
      <c r="G7730" s="20" t="n">
        <f aca="false">E7730+F7730</f>
        <v>200</v>
      </c>
      <c r="H7730" s="20" t="n">
        <f aca="false">IF(G7730&lt;Parametres!$B$8*Parametres!$B$7,0,MIN(G7730,Parametres!$B$7))</f>
        <v>200</v>
      </c>
      <c r="I7730" s="20" t="n">
        <f aca="false">G7730-H7730</f>
        <v>0</v>
      </c>
      <c r="J7730" s="21" t="n">
        <f aca="false">H7730*1000/Parametres!$B$9</f>
        <v>3391.55502798033</v>
      </c>
    </row>
    <row r="7731" customFormat="false" ht="15" hidden="false" customHeight="false" outlineLevel="0" collapsed="false">
      <c r="A7731" s="0" t="n">
        <v>7727</v>
      </c>
      <c r="B7731" s="0" t="n">
        <v>11</v>
      </c>
      <c r="C7731" s="19" t="n">
        <v>0</v>
      </c>
      <c r="D7731" s="19" t="n">
        <v>1</v>
      </c>
      <c r="E7731" s="20" t="n">
        <f aca="false">Parametres!$B$5*C7731</f>
        <v>0</v>
      </c>
      <c r="F7731" s="20" t="n">
        <f aca="false">Parametres!$B$6*D7731</f>
        <v>200</v>
      </c>
      <c r="G7731" s="20" t="n">
        <f aca="false">E7731+F7731</f>
        <v>200</v>
      </c>
      <c r="H7731" s="20" t="n">
        <f aca="false">IF(G7731&lt;Parametres!$B$8*Parametres!$B$7,0,MIN(G7731,Parametres!$B$7))</f>
        <v>200</v>
      </c>
      <c r="I7731" s="20" t="n">
        <f aca="false">G7731-H7731</f>
        <v>0</v>
      </c>
      <c r="J7731" s="21" t="n">
        <f aca="false">H7731*1000/Parametres!$B$9</f>
        <v>3391.55502798033</v>
      </c>
    </row>
    <row r="7732" customFormat="false" ht="15" hidden="false" customHeight="false" outlineLevel="0" collapsed="false">
      <c r="A7732" s="0" t="n">
        <v>7728</v>
      </c>
      <c r="B7732" s="0" t="n">
        <v>11</v>
      </c>
      <c r="C7732" s="19" t="n">
        <v>0</v>
      </c>
      <c r="D7732" s="19" t="n">
        <v>1</v>
      </c>
      <c r="E7732" s="20" t="n">
        <f aca="false">Parametres!$B$5*C7732</f>
        <v>0</v>
      </c>
      <c r="F7732" s="20" t="n">
        <f aca="false">Parametres!$B$6*D7732</f>
        <v>200</v>
      </c>
      <c r="G7732" s="20" t="n">
        <f aca="false">E7732+F7732</f>
        <v>200</v>
      </c>
      <c r="H7732" s="20" t="n">
        <f aca="false">IF(G7732&lt;Parametres!$B$8*Parametres!$B$7,0,MIN(G7732,Parametres!$B$7))</f>
        <v>200</v>
      </c>
      <c r="I7732" s="20" t="n">
        <f aca="false">G7732-H7732</f>
        <v>0</v>
      </c>
      <c r="J7732" s="21" t="n">
        <f aca="false">H7732*1000/Parametres!$B$9</f>
        <v>3391.55502798033</v>
      </c>
    </row>
    <row r="7733" customFormat="false" ht="15" hidden="false" customHeight="false" outlineLevel="0" collapsed="false">
      <c r="A7733" s="0" t="n">
        <v>7729</v>
      </c>
      <c r="B7733" s="0" t="n">
        <v>11</v>
      </c>
      <c r="C7733" s="19" t="n">
        <v>0</v>
      </c>
      <c r="D7733" s="19" t="n">
        <v>1</v>
      </c>
      <c r="E7733" s="20" t="n">
        <f aca="false">Parametres!$B$5*C7733</f>
        <v>0</v>
      </c>
      <c r="F7733" s="20" t="n">
        <f aca="false">Parametres!$B$6*D7733</f>
        <v>200</v>
      </c>
      <c r="G7733" s="20" t="n">
        <f aca="false">E7733+F7733</f>
        <v>200</v>
      </c>
      <c r="H7733" s="20" t="n">
        <f aca="false">IF(G7733&lt;Parametres!$B$8*Parametres!$B$7,0,MIN(G7733,Parametres!$B$7))</f>
        <v>200</v>
      </c>
      <c r="I7733" s="20" t="n">
        <f aca="false">G7733-H7733</f>
        <v>0</v>
      </c>
      <c r="J7733" s="21" t="n">
        <f aca="false">H7733*1000/Parametres!$B$9</f>
        <v>3391.55502798033</v>
      </c>
    </row>
    <row r="7734" customFormat="false" ht="15" hidden="false" customHeight="false" outlineLevel="0" collapsed="false">
      <c r="A7734" s="0" t="n">
        <v>7730</v>
      </c>
      <c r="B7734" s="0" t="n">
        <v>11</v>
      </c>
      <c r="C7734" s="19" t="n">
        <v>0</v>
      </c>
      <c r="D7734" s="19" t="n">
        <v>1</v>
      </c>
      <c r="E7734" s="20" t="n">
        <f aca="false">Parametres!$B$5*C7734</f>
        <v>0</v>
      </c>
      <c r="F7734" s="20" t="n">
        <f aca="false">Parametres!$B$6*D7734</f>
        <v>200</v>
      </c>
      <c r="G7734" s="20" t="n">
        <f aca="false">E7734+F7734</f>
        <v>200</v>
      </c>
      <c r="H7734" s="20" t="n">
        <f aca="false">IF(G7734&lt;Parametres!$B$8*Parametres!$B$7,0,MIN(G7734,Parametres!$B$7))</f>
        <v>200</v>
      </c>
      <c r="I7734" s="20" t="n">
        <f aca="false">G7734-H7734</f>
        <v>0</v>
      </c>
      <c r="J7734" s="21" t="n">
        <f aca="false">H7734*1000/Parametres!$B$9</f>
        <v>3391.55502798033</v>
      </c>
    </row>
    <row r="7735" customFormat="false" ht="15" hidden="false" customHeight="false" outlineLevel="0" collapsed="false">
      <c r="A7735" s="0" t="n">
        <v>7731</v>
      </c>
      <c r="B7735" s="0" t="n">
        <v>11</v>
      </c>
      <c r="C7735" s="19" t="n">
        <v>0</v>
      </c>
      <c r="D7735" s="19" t="n">
        <v>1</v>
      </c>
      <c r="E7735" s="20" t="n">
        <f aca="false">Parametres!$B$5*C7735</f>
        <v>0</v>
      </c>
      <c r="F7735" s="20" t="n">
        <f aca="false">Parametres!$B$6*D7735</f>
        <v>200</v>
      </c>
      <c r="G7735" s="20" t="n">
        <f aca="false">E7735+F7735</f>
        <v>200</v>
      </c>
      <c r="H7735" s="20" t="n">
        <f aca="false">IF(G7735&lt;Parametres!$B$8*Parametres!$B$7,0,MIN(G7735,Parametres!$B$7))</f>
        <v>200</v>
      </c>
      <c r="I7735" s="20" t="n">
        <f aca="false">G7735-H7735</f>
        <v>0</v>
      </c>
      <c r="J7735" s="21" t="n">
        <f aca="false">H7735*1000/Parametres!$B$9</f>
        <v>3391.55502798033</v>
      </c>
    </row>
    <row r="7736" customFormat="false" ht="15" hidden="false" customHeight="false" outlineLevel="0" collapsed="false">
      <c r="A7736" s="0" t="n">
        <v>7732</v>
      </c>
      <c r="B7736" s="0" t="n">
        <v>11</v>
      </c>
      <c r="C7736" s="19" t="n">
        <v>0</v>
      </c>
      <c r="D7736" s="19" t="n">
        <v>1</v>
      </c>
      <c r="E7736" s="20" t="n">
        <f aca="false">Parametres!$B$5*C7736</f>
        <v>0</v>
      </c>
      <c r="F7736" s="20" t="n">
        <f aca="false">Parametres!$B$6*D7736</f>
        <v>200</v>
      </c>
      <c r="G7736" s="20" t="n">
        <f aca="false">E7736+F7736</f>
        <v>200</v>
      </c>
      <c r="H7736" s="20" t="n">
        <f aca="false">IF(G7736&lt;Parametres!$B$8*Parametres!$B$7,0,MIN(G7736,Parametres!$B$7))</f>
        <v>200</v>
      </c>
      <c r="I7736" s="20" t="n">
        <f aca="false">G7736-H7736</f>
        <v>0</v>
      </c>
      <c r="J7736" s="21" t="n">
        <f aca="false">H7736*1000/Parametres!$B$9</f>
        <v>3391.55502798033</v>
      </c>
    </row>
    <row r="7737" customFormat="false" ht="15" hidden="false" customHeight="false" outlineLevel="0" collapsed="false">
      <c r="A7737" s="0" t="n">
        <v>7733</v>
      </c>
      <c r="B7737" s="0" t="n">
        <v>11</v>
      </c>
      <c r="C7737" s="19" t="n">
        <v>0</v>
      </c>
      <c r="D7737" s="19" t="n">
        <v>1</v>
      </c>
      <c r="E7737" s="20" t="n">
        <f aca="false">Parametres!$B$5*C7737</f>
        <v>0</v>
      </c>
      <c r="F7737" s="20" t="n">
        <f aca="false">Parametres!$B$6*D7737</f>
        <v>200</v>
      </c>
      <c r="G7737" s="20" t="n">
        <f aca="false">E7737+F7737</f>
        <v>200</v>
      </c>
      <c r="H7737" s="20" t="n">
        <f aca="false">IF(G7737&lt;Parametres!$B$8*Parametres!$B$7,0,MIN(G7737,Parametres!$B$7))</f>
        <v>200</v>
      </c>
      <c r="I7737" s="20" t="n">
        <f aca="false">G7737-H7737</f>
        <v>0</v>
      </c>
      <c r="J7737" s="21" t="n">
        <f aca="false">H7737*1000/Parametres!$B$9</f>
        <v>3391.55502798033</v>
      </c>
    </row>
    <row r="7738" customFormat="false" ht="15" hidden="false" customHeight="false" outlineLevel="0" collapsed="false">
      <c r="A7738" s="0" t="n">
        <v>7734</v>
      </c>
      <c r="B7738" s="0" t="n">
        <v>11</v>
      </c>
      <c r="C7738" s="19" t="n">
        <v>0</v>
      </c>
      <c r="D7738" s="19" t="n">
        <v>1</v>
      </c>
      <c r="E7738" s="20" t="n">
        <f aca="false">Parametres!$B$5*C7738</f>
        <v>0</v>
      </c>
      <c r="F7738" s="20" t="n">
        <f aca="false">Parametres!$B$6*D7738</f>
        <v>200</v>
      </c>
      <c r="G7738" s="20" t="n">
        <f aca="false">E7738+F7738</f>
        <v>200</v>
      </c>
      <c r="H7738" s="20" t="n">
        <f aca="false">IF(G7738&lt;Parametres!$B$8*Parametres!$B$7,0,MIN(G7738,Parametres!$B$7))</f>
        <v>200</v>
      </c>
      <c r="I7738" s="20" t="n">
        <f aca="false">G7738-H7738</f>
        <v>0</v>
      </c>
      <c r="J7738" s="21" t="n">
        <f aca="false">H7738*1000/Parametres!$B$9</f>
        <v>3391.55502798033</v>
      </c>
    </row>
    <row r="7739" customFormat="false" ht="15" hidden="false" customHeight="false" outlineLevel="0" collapsed="false">
      <c r="A7739" s="0" t="n">
        <v>7735</v>
      </c>
      <c r="B7739" s="0" t="n">
        <v>11</v>
      </c>
      <c r="C7739" s="19" t="n">
        <v>0</v>
      </c>
      <c r="D7739" s="19" t="n">
        <v>1</v>
      </c>
      <c r="E7739" s="20" t="n">
        <f aca="false">Parametres!$B$5*C7739</f>
        <v>0</v>
      </c>
      <c r="F7739" s="20" t="n">
        <f aca="false">Parametres!$B$6*D7739</f>
        <v>200</v>
      </c>
      <c r="G7739" s="20" t="n">
        <f aca="false">E7739+F7739</f>
        <v>200</v>
      </c>
      <c r="H7739" s="20" t="n">
        <f aca="false">IF(G7739&lt;Parametres!$B$8*Parametres!$B$7,0,MIN(G7739,Parametres!$B$7))</f>
        <v>200</v>
      </c>
      <c r="I7739" s="20" t="n">
        <f aca="false">G7739-H7739</f>
        <v>0</v>
      </c>
      <c r="J7739" s="21" t="n">
        <f aca="false">H7739*1000/Parametres!$B$9</f>
        <v>3391.55502798033</v>
      </c>
    </row>
    <row r="7740" customFormat="false" ht="15" hidden="false" customHeight="false" outlineLevel="0" collapsed="false">
      <c r="A7740" s="0" t="n">
        <v>7736</v>
      </c>
      <c r="B7740" s="0" t="n">
        <v>11</v>
      </c>
      <c r="C7740" s="19" t="n">
        <v>0.1336</v>
      </c>
      <c r="D7740" s="19" t="n">
        <v>1</v>
      </c>
      <c r="E7740" s="20" t="n">
        <f aca="false">Parametres!$B$5*C7740</f>
        <v>40.08</v>
      </c>
      <c r="F7740" s="20" t="n">
        <f aca="false">Parametres!$B$6*D7740</f>
        <v>200</v>
      </c>
      <c r="G7740" s="20" t="n">
        <f aca="false">E7740+F7740</f>
        <v>240.08</v>
      </c>
      <c r="H7740" s="20" t="n">
        <f aca="false">IF(G7740&lt;Parametres!$B$8*Parametres!$B$7,0,MIN(G7740,Parametres!$B$7))</f>
        <v>240.08</v>
      </c>
      <c r="I7740" s="20" t="n">
        <f aca="false">G7740-H7740</f>
        <v>0</v>
      </c>
      <c r="J7740" s="21" t="n">
        <f aca="false">H7740*1000/Parametres!$B$9</f>
        <v>4071.22265558759</v>
      </c>
    </row>
    <row r="7741" customFormat="false" ht="15" hidden="false" customHeight="false" outlineLevel="0" collapsed="false">
      <c r="A7741" s="0" t="n">
        <v>7737</v>
      </c>
      <c r="B7741" s="0" t="n">
        <v>11</v>
      </c>
      <c r="C7741" s="19" t="n">
        <v>0.334</v>
      </c>
      <c r="D7741" s="19" t="n">
        <v>1</v>
      </c>
      <c r="E7741" s="20" t="n">
        <f aca="false">Parametres!$B$5*C7741</f>
        <v>100.2</v>
      </c>
      <c r="F7741" s="20" t="n">
        <f aca="false">Parametres!$B$6*D7741</f>
        <v>200</v>
      </c>
      <c r="G7741" s="20" t="n">
        <f aca="false">E7741+F7741</f>
        <v>300.2</v>
      </c>
      <c r="H7741" s="20" t="n">
        <f aca="false">IF(G7741&lt;Parametres!$B$8*Parametres!$B$7,0,MIN(G7741,Parametres!$B$7))</f>
        <v>250</v>
      </c>
      <c r="I7741" s="20" t="n">
        <f aca="false">G7741-H7741</f>
        <v>50.2</v>
      </c>
      <c r="J7741" s="21" t="n">
        <f aca="false">H7741*1000/Parametres!$B$9</f>
        <v>4239.44378497541</v>
      </c>
    </row>
    <row r="7742" customFormat="false" ht="15" hidden="false" customHeight="false" outlineLevel="0" collapsed="false">
      <c r="A7742" s="0" t="n">
        <v>7738</v>
      </c>
      <c r="B7742" s="0" t="n">
        <v>11</v>
      </c>
      <c r="C7742" s="19" t="n">
        <v>0.4938</v>
      </c>
      <c r="D7742" s="19" t="n">
        <v>1</v>
      </c>
      <c r="E7742" s="20" t="n">
        <f aca="false">Parametres!$B$5*C7742</f>
        <v>148.14</v>
      </c>
      <c r="F7742" s="20" t="n">
        <f aca="false">Parametres!$B$6*D7742</f>
        <v>200</v>
      </c>
      <c r="G7742" s="20" t="n">
        <f aca="false">E7742+F7742</f>
        <v>348.14</v>
      </c>
      <c r="H7742" s="20" t="n">
        <f aca="false">IF(G7742&lt;Parametres!$B$8*Parametres!$B$7,0,MIN(G7742,Parametres!$B$7))</f>
        <v>250</v>
      </c>
      <c r="I7742" s="20" t="n">
        <f aca="false">G7742-H7742</f>
        <v>98.14</v>
      </c>
      <c r="J7742" s="21" t="n">
        <f aca="false">H7742*1000/Parametres!$B$9</f>
        <v>4239.44378497541</v>
      </c>
    </row>
    <row r="7743" customFormat="false" ht="15" hidden="false" customHeight="false" outlineLevel="0" collapsed="false">
      <c r="A7743" s="0" t="n">
        <v>7739</v>
      </c>
      <c r="B7743" s="0" t="n">
        <v>11</v>
      </c>
      <c r="C7743" s="19" t="n">
        <v>0.6065</v>
      </c>
      <c r="D7743" s="19" t="n">
        <v>1</v>
      </c>
      <c r="E7743" s="20" t="n">
        <f aca="false">Parametres!$B$5*C7743</f>
        <v>181.95</v>
      </c>
      <c r="F7743" s="20" t="n">
        <f aca="false">Parametres!$B$6*D7743</f>
        <v>200</v>
      </c>
      <c r="G7743" s="20" t="n">
        <f aca="false">E7743+F7743</f>
        <v>381.95</v>
      </c>
      <c r="H7743" s="20" t="n">
        <f aca="false">IF(G7743&lt;Parametres!$B$8*Parametres!$B$7,0,MIN(G7743,Parametres!$B$7))</f>
        <v>250</v>
      </c>
      <c r="I7743" s="20" t="n">
        <f aca="false">G7743-H7743</f>
        <v>131.95</v>
      </c>
      <c r="J7743" s="21" t="n">
        <f aca="false">H7743*1000/Parametres!$B$9</f>
        <v>4239.44378497541</v>
      </c>
    </row>
    <row r="7744" customFormat="false" ht="15" hidden="false" customHeight="false" outlineLevel="0" collapsed="false">
      <c r="A7744" s="0" t="n">
        <v>7740</v>
      </c>
      <c r="B7744" s="0" t="n">
        <v>11</v>
      </c>
      <c r="C7744" s="19" t="n">
        <v>0.7192</v>
      </c>
      <c r="D7744" s="19" t="n">
        <v>1</v>
      </c>
      <c r="E7744" s="20" t="n">
        <f aca="false">Parametres!$B$5*C7744</f>
        <v>215.76</v>
      </c>
      <c r="F7744" s="20" t="n">
        <f aca="false">Parametres!$B$6*D7744</f>
        <v>200</v>
      </c>
      <c r="G7744" s="20" t="n">
        <f aca="false">E7744+F7744</f>
        <v>415.76</v>
      </c>
      <c r="H7744" s="20" t="n">
        <f aca="false">IF(G7744&lt;Parametres!$B$8*Parametres!$B$7,0,MIN(G7744,Parametres!$B$7))</f>
        <v>250</v>
      </c>
      <c r="I7744" s="20" t="n">
        <f aca="false">G7744-H7744</f>
        <v>165.76</v>
      </c>
      <c r="J7744" s="21" t="n">
        <f aca="false">H7744*1000/Parametres!$B$9</f>
        <v>4239.44378497541</v>
      </c>
    </row>
    <row r="7745" customFormat="false" ht="15" hidden="false" customHeight="false" outlineLevel="0" collapsed="false">
      <c r="A7745" s="0" t="n">
        <v>7741</v>
      </c>
      <c r="B7745" s="0" t="n">
        <v>11</v>
      </c>
      <c r="C7745" s="19" t="n">
        <v>0.689</v>
      </c>
      <c r="D7745" s="19" t="n">
        <v>1</v>
      </c>
      <c r="E7745" s="20" t="n">
        <f aca="false">Parametres!$B$5*C7745</f>
        <v>206.7</v>
      </c>
      <c r="F7745" s="20" t="n">
        <f aca="false">Parametres!$B$6*D7745</f>
        <v>200</v>
      </c>
      <c r="G7745" s="20" t="n">
        <f aca="false">E7745+F7745</f>
        <v>406.7</v>
      </c>
      <c r="H7745" s="20" t="n">
        <f aca="false">IF(G7745&lt;Parametres!$B$8*Parametres!$B$7,0,MIN(G7745,Parametres!$B$7))</f>
        <v>250</v>
      </c>
      <c r="I7745" s="20" t="n">
        <f aca="false">G7745-H7745</f>
        <v>156.7</v>
      </c>
      <c r="J7745" s="21" t="n">
        <f aca="false">H7745*1000/Parametres!$B$9</f>
        <v>4239.44378497541</v>
      </c>
    </row>
    <row r="7746" customFormat="false" ht="15" hidden="false" customHeight="false" outlineLevel="0" collapsed="false">
      <c r="A7746" s="0" t="n">
        <v>7742</v>
      </c>
      <c r="B7746" s="0" t="n">
        <v>11</v>
      </c>
      <c r="C7746" s="19" t="n">
        <v>0.5996</v>
      </c>
      <c r="D7746" s="19" t="n">
        <v>1</v>
      </c>
      <c r="E7746" s="20" t="n">
        <f aca="false">Parametres!$B$5*C7746</f>
        <v>179.88</v>
      </c>
      <c r="F7746" s="20" t="n">
        <f aca="false">Parametres!$B$6*D7746</f>
        <v>200</v>
      </c>
      <c r="G7746" s="20" t="n">
        <f aca="false">E7746+F7746</f>
        <v>379.88</v>
      </c>
      <c r="H7746" s="20" t="n">
        <f aca="false">IF(G7746&lt;Parametres!$B$8*Parametres!$B$7,0,MIN(G7746,Parametres!$B$7))</f>
        <v>250</v>
      </c>
      <c r="I7746" s="20" t="n">
        <f aca="false">G7746-H7746</f>
        <v>129.88</v>
      </c>
      <c r="J7746" s="21" t="n">
        <f aca="false">H7746*1000/Parametres!$B$9</f>
        <v>4239.44378497541</v>
      </c>
    </row>
    <row r="7747" customFormat="false" ht="15" hidden="false" customHeight="false" outlineLevel="0" collapsed="false">
      <c r="A7747" s="0" t="n">
        <v>7743</v>
      </c>
      <c r="B7747" s="0" t="n">
        <v>11</v>
      </c>
      <c r="C7747" s="19" t="n">
        <v>0.477</v>
      </c>
      <c r="D7747" s="19" t="n">
        <v>1</v>
      </c>
      <c r="E7747" s="20" t="n">
        <f aca="false">Parametres!$B$5*C7747</f>
        <v>143.1</v>
      </c>
      <c r="F7747" s="20" t="n">
        <f aca="false">Parametres!$B$6*D7747</f>
        <v>200</v>
      </c>
      <c r="G7747" s="20" t="n">
        <f aca="false">E7747+F7747</f>
        <v>343.1</v>
      </c>
      <c r="H7747" s="20" t="n">
        <f aca="false">IF(G7747&lt;Parametres!$B$8*Parametres!$B$7,0,MIN(G7747,Parametres!$B$7))</f>
        <v>250</v>
      </c>
      <c r="I7747" s="20" t="n">
        <f aca="false">G7747-H7747</f>
        <v>93.1</v>
      </c>
      <c r="J7747" s="21" t="n">
        <f aca="false">H7747*1000/Parametres!$B$9</f>
        <v>4239.44378497541</v>
      </c>
    </row>
    <row r="7748" customFormat="false" ht="15" hidden="false" customHeight="false" outlineLevel="0" collapsed="false">
      <c r="A7748" s="0" t="n">
        <v>7744</v>
      </c>
      <c r="B7748" s="0" t="n">
        <v>11</v>
      </c>
      <c r="C7748" s="19" t="n">
        <v>0.3222</v>
      </c>
      <c r="D7748" s="19" t="n">
        <v>1</v>
      </c>
      <c r="E7748" s="20" t="n">
        <f aca="false">Parametres!$B$5*C7748</f>
        <v>96.66</v>
      </c>
      <c r="F7748" s="20" t="n">
        <f aca="false">Parametres!$B$6*D7748</f>
        <v>200</v>
      </c>
      <c r="G7748" s="20" t="n">
        <f aca="false">E7748+F7748</f>
        <v>296.66</v>
      </c>
      <c r="H7748" s="20" t="n">
        <f aca="false">IF(G7748&lt;Parametres!$B$8*Parametres!$B$7,0,MIN(G7748,Parametres!$B$7))</f>
        <v>250</v>
      </c>
      <c r="I7748" s="20" t="n">
        <f aca="false">G7748-H7748</f>
        <v>46.66</v>
      </c>
      <c r="J7748" s="21" t="n">
        <f aca="false">H7748*1000/Parametres!$B$9</f>
        <v>4239.44378497541</v>
      </c>
    </row>
    <row r="7749" customFormat="false" ht="15" hidden="false" customHeight="false" outlineLevel="0" collapsed="false">
      <c r="A7749" s="0" t="n">
        <v>7745</v>
      </c>
      <c r="B7749" s="0" t="n">
        <v>11</v>
      </c>
      <c r="C7749" s="19" t="n">
        <v>0.1384</v>
      </c>
      <c r="D7749" s="19" t="n">
        <v>1</v>
      </c>
      <c r="E7749" s="20" t="n">
        <f aca="false">Parametres!$B$5*C7749</f>
        <v>41.52</v>
      </c>
      <c r="F7749" s="20" t="n">
        <f aca="false">Parametres!$B$6*D7749</f>
        <v>200</v>
      </c>
      <c r="G7749" s="20" t="n">
        <f aca="false">E7749+F7749</f>
        <v>241.52</v>
      </c>
      <c r="H7749" s="20" t="n">
        <f aca="false">IF(G7749&lt;Parametres!$B$8*Parametres!$B$7,0,MIN(G7749,Parametres!$B$7))</f>
        <v>241.52</v>
      </c>
      <c r="I7749" s="20" t="n">
        <f aca="false">G7749-H7749</f>
        <v>0</v>
      </c>
      <c r="J7749" s="21" t="n">
        <f aca="false">H7749*1000/Parametres!$B$9</f>
        <v>4095.64185178904</v>
      </c>
    </row>
    <row r="7750" customFormat="false" ht="15" hidden="false" customHeight="false" outlineLevel="0" collapsed="false">
      <c r="A7750" s="0" t="n">
        <v>7746</v>
      </c>
      <c r="B7750" s="0" t="n">
        <v>11</v>
      </c>
      <c r="C7750" s="19" t="n">
        <v>0</v>
      </c>
      <c r="D7750" s="19" t="n">
        <v>1</v>
      </c>
      <c r="E7750" s="20" t="n">
        <f aca="false">Parametres!$B$5*C7750</f>
        <v>0</v>
      </c>
      <c r="F7750" s="20" t="n">
        <f aca="false">Parametres!$B$6*D7750</f>
        <v>200</v>
      </c>
      <c r="G7750" s="20" t="n">
        <f aca="false">E7750+F7750</f>
        <v>200</v>
      </c>
      <c r="H7750" s="20" t="n">
        <f aca="false">IF(G7750&lt;Parametres!$B$8*Parametres!$B$7,0,MIN(G7750,Parametres!$B$7))</f>
        <v>200</v>
      </c>
      <c r="I7750" s="20" t="n">
        <f aca="false">G7750-H7750</f>
        <v>0</v>
      </c>
      <c r="J7750" s="21" t="n">
        <f aca="false">H7750*1000/Parametres!$B$9</f>
        <v>3391.55502798033</v>
      </c>
    </row>
    <row r="7751" customFormat="false" ht="15" hidden="false" customHeight="false" outlineLevel="0" collapsed="false">
      <c r="A7751" s="0" t="n">
        <v>7747</v>
      </c>
      <c r="B7751" s="0" t="n">
        <v>11</v>
      </c>
      <c r="C7751" s="19" t="n">
        <v>0</v>
      </c>
      <c r="D7751" s="19" t="n">
        <v>1</v>
      </c>
      <c r="E7751" s="20" t="n">
        <f aca="false">Parametres!$B$5*C7751</f>
        <v>0</v>
      </c>
      <c r="F7751" s="20" t="n">
        <f aca="false">Parametres!$B$6*D7751</f>
        <v>200</v>
      </c>
      <c r="G7751" s="20" t="n">
        <f aca="false">E7751+F7751</f>
        <v>200</v>
      </c>
      <c r="H7751" s="20" t="n">
        <f aca="false">IF(G7751&lt;Parametres!$B$8*Parametres!$B$7,0,MIN(G7751,Parametres!$B$7))</f>
        <v>200</v>
      </c>
      <c r="I7751" s="20" t="n">
        <f aca="false">G7751-H7751</f>
        <v>0</v>
      </c>
      <c r="J7751" s="21" t="n">
        <f aca="false">H7751*1000/Parametres!$B$9</f>
        <v>3391.55502798033</v>
      </c>
    </row>
    <row r="7752" customFormat="false" ht="15" hidden="false" customHeight="false" outlineLevel="0" collapsed="false">
      <c r="A7752" s="0" t="n">
        <v>7748</v>
      </c>
      <c r="B7752" s="0" t="n">
        <v>11</v>
      </c>
      <c r="C7752" s="19" t="n">
        <v>0</v>
      </c>
      <c r="D7752" s="19" t="n">
        <v>1</v>
      </c>
      <c r="E7752" s="20" t="n">
        <f aca="false">Parametres!$B$5*C7752</f>
        <v>0</v>
      </c>
      <c r="F7752" s="20" t="n">
        <f aca="false">Parametres!$B$6*D7752</f>
        <v>200</v>
      </c>
      <c r="G7752" s="20" t="n">
        <f aca="false">E7752+F7752</f>
        <v>200</v>
      </c>
      <c r="H7752" s="20" t="n">
        <f aca="false">IF(G7752&lt;Parametres!$B$8*Parametres!$B$7,0,MIN(G7752,Parametres!$B$7))</f>
        <v>200</v>
      </c>
      <c r="I7752" s="20" t="n">
        <f aca="false">G7752-H7752</f>
        <v>0</v>
      </c>
      <c r="J7752" s="21" t="n">
        <f aca="false">H7752*1000/Parametres!$B$9</f>
        <v>3391.55502798033</v>
      </c>
    </row>
    <row r="7753" customFormat="false" ht="15" hidden="false" customHeight="false" outlineLevel="0" collapsed="false">
      <c r="A7753" s="0" t="n">
        <v>7749</v>
      </c>
      <c r="B7753" s="0" t="n">
        <v>11</v>
      </c>
      <c r="C7753" s="19" t="n">
        <v>0</v>
      </c>
      <c r="D7753" s="19" t="n">
        <v>1</v>
      </c>
      <c r="E7753" s="20" t="n">
        <f aca="false">Parametres!$B$5*C7753</f>
        <v>0</v>
      </c>
      <c r="F7753" s="20" t="n">
        <f aca="false">Parametres!$B$6*D7753</f>
        <v>200</v>
      </c>
      <c r="G7753" s="20" t="n">
        <f aca="false">E7753+F7753</f>
        <v>200</v>
      </c>
      <c r="H7753" s="20" t="n">
        <f aca="false">IF(G7753&lt;Parametres!$B$8*Parametres!$B$7,0,MIN(G7753,Parametres!$B$7))</f>
        <v>200</v>
      </c>
      <c r="I7753" s="20" t="n">
        <f aca="false">G7753-H7753</f>
        <v>0</v>
      </c>
      <c r="J7753" s="21" t="n">
        <f aca="false">H7753*1000/Parametres!$B$9</f>
        <v>3391.55502798033</v>
      </c>
    </row>
    <row r="7754" customFormat="false" ht="15" hidden="false" customHeight="false" outlineLevel="0" collapsed="false">
      <c r="A7754" s="0" t="n">
        <v>7750</v>
      </c>
      <c r="B7754" s="0" t="n">
        <v>11</v>
      </c>
      <c r="C7754" s="19" t="n">
        <v>0</v>
      </c>
      <c r="D7754" s="19" t="n">
        <v>1</v>
      </c>
      <c r="E7754" s="20" t="n">
        <f aca="false">Parametres!$B$5*C7754</f>
        <v>0</v>
      </c>
      <c r="F7754" s="20" t="n">
        <f aca="false">Parametres!$B$6*D7754</f>
        <v>200</v>
      </c>
      <c r="G7754" s="20" t="n">
        <f aca="false">E7754+F7754</f>
        <v>200</v>
      </c>
      <c r="H7754" s="20" t="n">
        <f aca="false">IF(G7754&lt;Parametres!$B$8*Parametres!$B$7,0,MIN(G7754,Parametres!$B$7))</f>
        <v>200</v>
      </c>
      <c r="I7754" s="20" t="n">
        <f aca="false">G7754-H7754</f>
        <v>0</v>
      </c>
      <c r="J7754" s="21" t="n">
        <f aca="false">H7754*1000/Parametres!$B$9</f>
        <v>3391.55502798033</v>
      </c>
    </row>
    <row r="7755" customFormat="false" ht="15" hidden="false" customHeight="false" outlineLevel="0" collapsed="false">
      <c r="A7755" s="0" t="n">
        <v>7751</v>
      </c>
      <c r="B7755" s="0" t="n">
        <v>11</v>
      </c>
      <c r="C7755" s="19" t="n">
        <v>0</v>
      </c>
      <c r="D7755" s="19" t="n">
        <v>1</v>
      </c>
      <c r="E7755" s="20" t="n">
        <f aca="false">Parametres!$B$5*C7755</f>
        <v>0</v>
      </c>
      <c r="F7755" s="20" t="n">
        <f aca="false">Parametres!$B$6*D7755</f>
        <v>200</v>
      </c>
      <c r="G7755" s="20" t="n">
        <f aca="false">E7755+F7755</f>
        <v>200</v>
      </c>
      <c r="H7755" s="20" t="n">
        <f aca="false">IF(G7755&lt;Parametres!$B$8*Parametres!$B$7,0,MIN(G7755,Parametres!$B$7))</f>
        <v>200</v>
      </c>
      <c r="I7755" s="20" t="n">
        <f aca="false">G7755-H7755</f>
        <v>0</v>
      </c>
      <c r="J7755" s="21" t="n">
        <f aca="false">H7755*1000/Parametres!$B$9</f>
        <v>3391.55502798033</v>
      </c>
    </row>
    <row r="7756" customFormat="false" ht="15" hidden="false" customHeight="false" outlineLevel="0" collapsed="false">
      <c r="A7756" s="0" t="n">
        <v>7752</v>
      </c>
      <c r="B7756" s="0" t="n">
        <v>11</v>
      </c>
      <c r="C7756" s="19" t="n">
        <v>0</v>
      </c>
      <c r="D7756" s="19" t="n">
        <v>1</v>
      </c>
      <c r="E7756" s="20" t="n">
        <f aca="false">Parametres!$B$5*C7756</f>
        <v>0</v>
      </c>
      <c r="F7756" s="20" t="n">
        <f aca="false">Parametres!$B$6*D7756</f>
        <v>200</v>
      </c>
      <c r="G7756" s="20" t="n">
        <f aca="false">E7756+F7756</f>
        <v>200</v>
      </c>
      <c r="H7756" s="20" t="n">
        <f aca="false">IF(G7756&lt;Parametres!$B$8*Parametres!$B$7,0,MIN(G7756,Parametres!$B$7))</f>
        <v>200</v>
      </c>
      <c r="I7756" s="20" t="n">
        <f aca="false">G7756-H7756</f>
        <v>0</v>
      </c>
      <c r="J7756" s="21" t="n">
        <f aca="false">H7756*1000/Parametres!$B$9</f>
        <v>3391.55502798033</v>
      </c>
    </row>
    <row r="7757" customFormat="false" ht="15" hidden="false" customHeight="false" outlineLevel="0" collapsed="false">
      <c r="A7757" s="0" t="n">
        <v>7753</v>
      </c>
      <c r="B7757" s="0" t="n">
        <v>11</v>
      </c>
      <c r="C7757" s="19" t="n">
        <v>0</v>
      </c>
      <c r="D7757" s="19" t="n">
        <v>1</v>
      </c>
      <c r="E7757" s="20" t="n">
        <f aca="false">Parametres!$B$5*C7757</f>
        <v>0</v>
      </c>
      <c r="F7757" s="20" t="n">
        <f aca="false">Parametres!$B$6*D7757</f>
        <v>200</v>
      </c>
      <c r="G7757" s="20" t="n">
        <f aca="false">E7757+F7757</f>
        <v>200</v>
      </c>
      <c r="H7757" s="20" t="n">
        <f aca="false">IF(G7757&lt;Parametres!$B$8*Parametres!$B$7,0,MIN(G7757,Parametres!$B$7))</f>
        <v>200</v>
      </c>
      <c r="I7757" s="20" t="n">
        <f aca="false">G7757-H7757</f>
        <v>0</v>
      </c>
      <c r="J7757" s="21" t="n">
        <f aca="false">H7757*1000/Parametres!$B$9</f>
        <v>3391.55502798033</v>
      </c>
    </row>
    <row r="7758" customFormat="false" ht="15" hidden="false" customHeight="false" outlineLevel="0" collapsed="false">
      <c r="A7758" s="0" t="n">
        <v>7754</v>
      </c>
      <c r="B7758" s="0" t="n">
        <v>11</v>
      </c>
      <c r="C7758" s="19" t="n">
        <v>0</v>
      </c>
      <c r="D7758" s="19" t="n">
        <v>1</v>
      </c>
      <c r="E7758" s="20" t="n">
        <f aca="false">Parametres!$B$5*C7758</f>
        <v>0</v>
      </c>
      <c r="F7758" s="20" t="n">
        <f aca="false">Parametres!$B$6*D7758</f>
        <v>200</v>
      </c>
      <c r="G7758" s="20" t="n">
        <f aca="false">E7758+F7758</f>
        <v>200</v>
      </c>
      <c r="H7758" s="20" t="n">
        <f aca="false">IF(G7758&lt;Parametres!$B$8*Parametres!$B$7,0,MIN(G7758,Parametres!$B$7))</f>
        <v>200</v>
      </c>
      <c r="I7758" s="20" t="n">
        <f aca="false">G7758-H7758</f>
        <v>0</v>
      </c>
      <c r="J7758" s="21" t="n">
        <f aca="false">H7758*1000/Parametres!$B$9</f>
        <v>3391.55502798033</v>
      </c>
    </row>
    <row r="7759" customFormat="false" ht="15" hidden="false" customHeight="false" outlineLevel="0" collapsed="false">
      <c r="A7759" s="0" t="n">
        <v>7755</v>
      </c>
      <c r="B7759" s="0" t="n">
        <v>11</v>
      </c>
      <c r="C7759" s="19" t="n">
        <v>0</v>
      </c>
      <c r="D7759" s="19" t="n">
        <v>1</v>
      </c>
      <c r="E7759" s="20" t="n">
        <f aca="false">Parametres!$B$5*C7759</f>
        <v>0</v>
      </c>
      <c r="F7759" s="20" t="n">
        <f aca="false">Parametres!$B$6*D7759</f>
        <v>200</v>
      </c>
      <c r="G7759" s="20" t="n">
        <f aca="false">E7759+F7759</f>
        <v>200</v>
      </c>
      <c r="H7759" s="20" t="n">
        <f aca="false">IF(G7759&lt;Parametres!$B$8*Parametres!$B$7,0,MIN(G7759,Parametres!$B$7))</f>
        <v>200</v>
      </c>
      <c r="I7759" s="20" t="n">
        <f aca="false">G7759-H7759</f>
        <v>0</v>
      </c>
      <c r="J7759" s="21" t="n">
        <f aca="false">H7759*1000/Parametres!$B$9</f>
        <v>3391.55502798033</v>
      </c>
    </row>
    <row r="7760" customFormat="false" ht="15" hidden="false" customHeight="false" outlineLevel="0" collapsed="false">
      <c r="A7760" s="0" t="n">
        <v>7756</v>
      </c>
      <c r="B7760" s="0" t="n">
        <v>11</v>
      </c>
      <c r="C7760" s="19" t="n">
        <v>0</v>
      </c>
      <c r="D7760" s="19" t="n">
        <v>0.7337</v>
      </c>
      <c r="E7760" s="20" t="n">
        <f aca="false">Parametres!$B$5*C7760</f>
        <v>0</v>
      </c>
      <c r="F7760" s="20" t="n">
        <f aca="false">Parametres!$B$6*D7760</f>
        <v>146.74</v>
      </c>
      <c r="G7760" s="20" t="n">
        <f aca="false">E7760+F7760</f>
        <v>146.74</v>
      </c>
      <c r="H7760" s="20" t="n">
        <f aca="false">IF(G7760&lt;Parametres!$B$8*Parametres!$B$7,0,MIN(G7760,Parametres!$B$7))</f>
        <v>146.74</v>
      </c>
      <c r="I7760" s="20" t="n">
        <f aca="false">G7760-H7760</f>
        <v>0</v>
      </c>
      <c r="J7760" s="21" t="n">
        <f aca="false">H7760*1000/Parametres!$B$9</f>
        <v>2488.38392402917</v>
      </c>
    </row>
    <row r="7761" customFormat="false" ht="15" hidden="false" customHeight="false" outlineLevel="0" collapsed="false">
      <c r="A7761" s="0" t="n">
        <v>7757</v>
      </c>
      <c r="B7761" s="0" t="n">
        <v>11</v>
      </c>
      <c r="C7761" s="19" t="n">
        <v>0</v>
      </c>
      <c r="D7761" s="19" t="n">
        <v>0.6223</v>
      </c>
      <c r="E7761" s="20" t="n">
        <f aca="false">Parametres!$B$5*C7761</f>
        <v>0</v>
      </c>
      <c r="F7761" s="20" t="n">
        <f aca="false">Parametres!$B$6*D7761</f>
        <v>124.46</v>
      </c>
      <c r="G7761" s="20" t="n">
        <f aca="false">E7761+F7761</f>
        <v>124.46</v>
      </c>
      <c r="H7761" s="20" t="n">
        <f aca="false">IF(G7761&lt;Parametres!$B$8*Parametres!$B$7,0,MIN(G7761,Parametres!$B$7))</f>
        <v>124.46</v>
      </c>
      <c r="I7761" s="20" t="n">
        <f aca="false">G7761-H7761</f>
        <v>0</v>
      </c>
      <c r="J7761" s="21" t="n">
        <f aca="false">H7761*1000/Parametres!$B$9</f>
        <v>2110.56469391216</v>
      </c>
    </row>
    <row r="7762" customFormat="false" ht="15" hidden="false" customHeight="false" outlineLevel="0" collapsed="false">
      <c r="A7762" s="0" t="n">
        <v>7758</v>
      </c>
      <c r="B7762" s="0" t="n">
        <v>11</v>
      </c>
      <c r="C7762" s="19" t="n">
        <v>0</v>
      </c>
      <c r="D7762" s="19" t="n">
        <v>0.5887</v>
      </c>
      <c r="E7762" s="20" t="n">
        <f aca="false">Parametres!$B$5*C7762</f>
        <v>0</v>
      </c>
      <c r="F7762" s="20" t="n">
        <f aca="false">Parametres!$B$6*D7762</f>
        <v>117.74</v>
      </c>
      <c r="G7762" s="20" t="n">
        <f aca="false">E7762+F7762</f>
        <v>117.74</v>
      </c>
      <c r="H7762" s="20" t="n">
        <f aca="false">IF(G7762&lt;Parametres!$B$8*Parametres!$B$7,0,MIN(G7762,Parametres!$B$7))</f>
        <v>117.74</v>
      </c>
      <c r="I7762" s="20" t="n">
        <f aca="false">G7762-H7762</f>
        <v>0</v>
      </c>
      <c r="J7762" s="21" t="n">
        <f aca="false">H7762*1000/Parametres!$B$9</f>
        <v>1996.60844497202</v>
      </c>
    </row>
    <row r="7763" customFormat="false" ht="15" hidden="false" customHeight="false" outlineLevel="0" collapsed="false">
      <c r="A7763" s="0" t="n">
        <v>7759</v>
      </c>
      <c r="B7763" s="0" t="n">
        <v>11</v>
      </c>
      <c r="C7763" s="19" t="n">
        <v>0</v>
      </c>
      <c r="D7763" s="19" t="n">
        <v>0.4557</v>
      </c>
      <c r="E7763" s="20" t="n">
        <f aca="false">Parametres!$B$5*C7763</f>
        <v>0</v>
      </c>
      <c r="F7763" s="20" t="n">
        <f aca="false">Parametres!$B$6*D7763</f>
        <v>91.14</v>
      </c>
      <c r="G7763" s="20" t="n">
        <f aca="false">E7763+F7763</f>
        <v>91.14</v>
      </c>
      <c r="H7763" s="20" t="n">
        <f aca="false">IF(G7763&lt;Parametres!$B$8*Parametres!$B$7,0,MIN(G7763,Parametres!$B$7))</f>
        <v>91.14</v>
      </c>
      <c r="I7763" s="20" t="n">
        <f aca="false">G7763-H7763</f>
        <v>0</v>
      </c>
      <c r="J7763" s="21" t="n">
        <f aca="false">H7763*1000/Parametres!$B$9</f>
        <v>1545.53162625064</v>
      </c>
    </row>
    <row r="7764" customFormat="false" ht="15" hidden="false" customHeight="false" outlineLevel="0" collapsed="false">
      <c r="A7764" s="0" t="n">
        <v>7760</v>
      </c>
      <c r="B7764" s="0" t="n">
        <v>11</v>
      </c>
      <c r="C7764" s="19" t="n">
        <v>0.1449</v>
      </c>
      <c r="D7764" s="19" t="n">
        <v>0.3925</v>
      </c>
      <c r="E7764" s="20" t="n">
        <f aca="false">Parametres!$B$5*C7764</f>
        <v>43.47</v>
      </c>
      <c r="F7764" s="20" t="n">
        <f aca="false">Parametres!$B$6*D7764</f>
        <v>78.5</v>
      </c>
      <c r="G7764" s="20" t="n">
        <f aca="false">E7764+F7764</f>
        <v>121.97</v>
      </c>
      <c r="H7764" s="20" t="n">
        <f aca="false">IF(G7764&lt;Parametres!$B$8*Parametres!$B$7,0,MIN(G7764,Parametres!$B$7))</f>
        <v>121.97</v>
      </c>
      <c r="I7764" s="20" t="n">
        <f aca="false">G7764-H7764</f>
        <v>0</v>
      </c>
      <c r="J7764" s="21" t="n">
        <f aca="false">H7764*1000/Parametres!$B$9</f>
        <v>2068.3398338138</v>
      </c>
    </row>
    <row r="7765" customFormat="false" ht="15" hidden="false" customHeight="false" outlineLevel="0" collapsed="false">
      <c r="A7765" s="0" t="n">
        <v>7761</v>
      </c>
      <c r="B7765" s="0" t="n">
        <v>11</v>
      </c>
      <c r="C7765" s="19" t="n">
        <v>0.3355</v>
      </c>
      <c r="D7765" s="19" t="n">
        <v>0.447</v>
      </c>
      <c r="E7765" s="20" t="n">
        <f aca="false">Parametres!$B$5*C7765</f>
        <v>100.65</v>
      </c>
      <c r="F7765" s="20" t="n">
        <f aca="false">Parametres!$B$6*D7765</f>
        <v>89.4</v>
      </c>
      <c r="G7765" s="20" t="n">
        <f aca="false">E7765+F7765</f>
        <v>190.05</v>
      </c>
      <c r="H7765" s="20" t="n">
        <f aca="false">IF(G7765&lt;Parametres!$B$8*Parametres!$B$7,0,MIN(G7765,Parametres!$B$7))</f>
        <v>190.05</v>
      </c>
      <c r="I7765" s="20" t="n">
        <f aca="false">G7765-H7765</f>
        <v>0</v>
      </c>
      <c r="J7765" s="21" t="n">
        <f aca="false">H7765*1000/Parametres!$B$9</f>
        <v>3222.82516533831</v>
      </c>
    </row>
    <row r="7766" customFormat="false" ht="15" hidden="false" customHeight="false" outlineLevel="0" collapsed="false">
      <c r="A7766" s="0" t="n">
        <v>7762</v>
      </c>
      <c r="B7766" s="0" t="n">
        <v>11</v>
      </c>
      <c r="C7766" s="19" t="n">
        <v>0.5636</v>
      </c>
      <c r="D7766" s="19" t="n">
        <v>0.6093</v>
      </c>
      <c r="E7766" s="20" t="n">
        <f aca="false">Parametres!$B$5*C7766</f>
        <v>169.08</v>
      </c>
      <c r="F7766" s="20" t="n">
        <f aca="false">Parametres!$B$6*D7766</f>
        <v>121.86</v>
      </c>
      <c r="G7766" s="20" t="n">
        <f aca="false">E7766+F7766</f>
        <v>290.94</v>
      </c>
      <c r="H7766" s="20" t="n">
        <f aca="false">IF(G7766&lt;Parametres!$B$8*Parametres!$B$7,0,MIN(G7766,Parametres!$B$7))</f>
        <v>250</v>
      </c>
      <c r="I7766" s="20" t="n">
        <f aca="false">G7766-H7766</f>
        <v>40.9399999999999</v>
      </c>
      <c r="J7766" s="21" t="n">
        <f aca="false">H7766*1000/Parametres!$B$9</f>
        <v>4239.44378497541</v>
      </c>
    </row>
    <row r="7767" customFormat="false" ht="15" hidden="false" customHeight="false" outlineLevel="0" collapsed="false">
      <c r="A7767" s="0" t="n">
        <v>7763</v>
      </c>
      <c r="B7767" s="0" t="n">
        <v>11</v>
      </c>
      <c r="C7767" s="19" t="n">
        <v>0.7272</v>
      </c>
      <c r="D7767" s="19" t="n">
        <v>1</v>
      </c>
      <c r="E7767" s="20" t="n">
        <f aca="false">Parametres!$B$5*C7767</f>
        <v>218.16</v>
      </c>
      <c r="F7767" s="20" t="n">
        <f aca="false">Parametres!$B$6*D7767</f>
        <v>200</v>
      </c>
      <c r="G7767" s="20" t="n">
        <f aca="false">E7767+F7767</f>
        <v>418.16</v>
      </c>
      <c r="H7767" s="20" t="n">
        <f aca="false">IF(G7767&lt;Parametres!$B$8*Parametres!$B$7,0,MIN(G7767,Parametres!$B$7))</f>
        <v>250</v>
      </c>
      <c r="I7767" s="20" t="n">
        <f aca="false">G7767-H7767</f>
        <v>168.16</v>
      </c>
      <c r="J7767" s="21" t="n">
        <f aca="false">H7767*1000/Parametres!$B$9</f>
        <v>4239.44378497541</v>
      </c>
    </row>
    <row r="7768" customFormat="false" ht="15" hidden="false" customHeight="false" outlineLevel="0" collapsed="false">
      <c r="A7768" s="0" t="n">
        <v>7764</v>
      </c>
      <c r="B7768" s="0" t="n">
        <v>11</v>
      </c>
      <c r="C7768" s="19" t="n">
        <v>0.7242</v>
      </c>
      <c r="D7768" s="19" t="n">
        <v>0.8804</v>
      </c>
      <c r="E7768" s="20" t="n">
        <f aca="false">Parametres!$B$5*C7768</f>
        <v>217.26</v>
      </c>
      <c r="F7768" s="20" t="n">
        <f aca="false">Parametres!$B$6*D7768</f>
        <v>176.08</v>
      </c>
      <c r="G7768" s="20" t="n">
        <f aca="false">E7768+F7768</f>
        <v>393.34</v>
      </c>
      <c r="H7768" s="20" t="n">
        <f aca="false">IF(G7768&lt;Parametres!$B$8*Parametres!$B$7,0,MIN(G7768,Parametres!$B$7))</f>
        <v>250</v>
      </c>
      <c r="I7768" s="20" t="n">
        <f aca="false">G7768-H7768</f>
        <v>143.34</v>
      </c>
      <c r="J7768" s="21" t="n">
        <f aca="false">H7768*1000/Parametres!$B$9</f>
        <v>4239.44378497541</v>
      </c>
    </row>
    <row r="7769" customFormat="false" ht="15" hidden="false" customHeight="false" outlineLevel="0" collapsed="false">
      <c r="A7769" s="0" t="n">
        <v>7765</v>
      </c>
      <c r="B7769" s="0" t="n">
        <v>11</v>
      </c>
      <c r="C7769" s="19" t="n">
        <v>0.7608</v>
      </c>
      <c r="D7769" s="19" t="n">
        <v>0.9584</v>
      </c>
      <c r="E7769" s="20" t="n">
        <f aca="false">Parametres!$B$5*C7769</f>
        <v>228.24</v>
      </c>
      <c r="F7769" s="20" t="n">
        <f aca="false">Parametres!$B$6*D7769</f>
        <v>191.68</v>
      </c>
      <c r="G7769" s="20" t="n">
        <f aca="false">E7769+F7769</f>
        <v>419.92</v>
      </c>
      <c r="H7769" s="20" t="n">
        <f aca="false">IF(G7769&lt;Parametres!$B$8*Parametres!$B$7,0,MIN(G7769,Parametres!$B$7))</f>
        <v>250</v>
      </c>
      <c r="I7769" s="20" t="n">
        <f aca="false">G7769-H7769</f>
        <v>169.92</v>
      </c>
      <c r="J7769" s="21" t="n">
        <f aca="false">H7769*1000/Parametres!$B$9</f>
        <v>4239.44378497541</v>
      </c>
    </row>
    <row r="7770" customFormat="false" ht="15" hidden="false" customHeight="false" outlineLevel="0" collapsed="false">
      <c r="A7770" s="0" t="n">
        <v>7766</v>
      </c>
      <c r="B7770" s="0" t="n">
        <v>11</v>
      </c>
      <c r="C7770" s="19" t="n">
        <v>0.644</v>
      </c>
      <c r="D7770" s="19" t="n">
        <v>0.8327</v>
      </c>
      <c r="E7770" s="20" t="n">
        <f aca="false">Parametres!$B$5*C7770</f>
        <v>193.2</v>
      </c>
      <c r="F7770" s="20" t="n">
        <f aca="false">Parametres!$B$6*D7770</f>
        <v>166.54</v>
      </c>
      <c r="G7770" s="20" t="n">
        <f aca="false">E7770+F7770</f>
        <v>359.74</v>
      </c>
      <c r="H7770" s="20" t="n">
        <f aca="false">IF(G7770&lt;Parametres!$B$8*Parametres!$B$7,0,MIN(G7770,Parametres!$B$7))</f>
        <v>250</v>
      </c>
      <c r="I7770" s="20" t="n">
        <f aca="false">G7770-H7770</f>
        <v>109.74</v>
      </c>
      <c r="J7770" s="21" t="n">
        <f aca="false">H7770*1000/Parametres!$B$9</f>
        <v>4239.44378497541</v>
      </c>
    </row>
    <row r="7771" customFormat="false" ht="15" hidden="false" customHeight="false" outlineLevel="0" collapsed="false">
      <c r="A7771" s="0" t="n">
        <v>7767</v>
      </c>
      <c r="B7771" s="0" t="n">
        <v>11</v>
      </c>
      <c r="C7771" s="19" t="n">
        <v>0.573</v>
      </c>
      <c r="D7771" s="19" t="n">
        <v>0.8612</v>
      </c>
      <c r="E7771" s="20" t="n">
        <f aca="false">Parametres!$B$5*C7771</f>
        <v>171.9</v>
      </c>
      <c r="F7771" s="20" t="n">
        <f aca="false">Parametres!$B$6*D7771</f>
        <v>172.24</v>
      </c>
      <c r="G7771" s="20" t="n">
        <f aca="false">E7771+F7771</f>
        <v>344.14</v>
      </c>
      <c r="H7771" s="20" t="n">
        <f aca="false">IF(G7771&lt;Parametres!$B$8*Parametres!$B$7,0,MIN(G7771,Parametres!$B$7))</f>
        <v>250</v>
      </c>
      <c r="I7771" s="20" t="n">
        <f aca="false">G7771-H7771</f>
        <v>94.14</v>
      </c>
      <c r="J7771" s="21" t="n">
        <f aca="false">H7771*1000/Parametres!$B$9</f>
        <v>4239.44378497541</v>
      </c>
    </row>
    <row r="7772" customFormat="false" ht="15" hidden="false" customHeight="false" outlineLevel="0" collapsed="false">
      <c r="A7772" s="0" t="n">
        <v>7768</v>
      </c>
      <c r="B7772" s="0" t="n">
        <v>11</v>
      </c>
      <c r="C7772" s="19" t="n">
        <v>0.3308</v>
      </c>
      <c r="D7772" s="19" t="n">
        <v>0.6007</v>
      </c>
      <c r="E7772" s="20" t="n">
        <f aca="false">Parametres!$B$5*C7772</f>
        <v>99.24</v>
      </c>
      <c r="F7772" s="20" t="n">
        <f aca="false">Parametres!$B$6*D7772</f>
        <v>120.14</v>
      </c>
      <c r="G7772" s="20" t="n">
        <f aca="false">E7772+F7772</f>
        <v>219.38</v>
      </c>
      <c r="H7772" s="20" t="n">
        <f aca="false">IF(G7772&lt;Parametres!$B$8*Parametres!$B$7,0,MIN(G7772,Parametres!$B$7))</f>
        <v>219.38</v>
      </c>
      <c r="I7772" s="20" t="n">
        <f aca="false">G7772-H7772</f>
        <v>0</v>
      </c>
      <c r="J7772" s="21" t="n">
        <f aca="false">H7772*1000/Parametres!$B$9</f>
        <v>3720.19671019162</v>
      </c>
    </row>
    <row r="7773" customFormat="false" ht="15" hidden="false" customHeight="false" outlineLevel="0" collapsed="false">
      <c r="A7773" s="0" t="n">
        <v>7769</v>
      </c>
      <c r="B7773" s="0" t="n">
        <v>11</v>
      </c>
      <c r="C7773" s="19" t="n">
        <v>0.1393</v>
      </c>
      <c r="D7773" s="19" t="n">
        <v>0.7293</v>
      </c>
      <c r="E7773" s="20" t="n">
        <f aca="false">Parametres!$B$5*C7773</f>
        <v>41.79</v>
      </c>
      <c r="F7773" s="20" t="n">
        <f aca="false">Parametres!$B$6*D7773</f>
        <v>145.86</v>
      </c>
      <c r="G7773" s="20" t="n">
        <f aca="false">E7773+F7773</f>
        <v>187.65</v>
      </c>
      <c r="H7773" s="20" t="n">
        <f aca="false">IF(G7773&lt;Parametres!$B$8*Parametres!$B$7,0,MIN(G7773,Parametres!$B$7))</f>
        <v>187.65</v>
      </c>
      <c r="I7773" s="20" t="n">
        <f aca="false">G7773-H7773</f>
        <v>0</v>
      </c>
      <c r="J7773" s="21" t="n">
        <f aca="false">H7773*1000/Parametres!$B$9</f>
        <v>3182.12650500254</v>
      </c>
    </row>
    <row r="7774" customFormat="false" ht="15" hidden="false" customHeight="false" outlineLevel="0" collapsed="false">
      <c r="A7774" s="0" t="n">
        <v>7770</v>
      </c>
      <c r="B7774" s="0" t="n">
        <v>11</v>
      </c>
      <c r="C7774" s="19" t="n">
        <v>0</v>
      </c>
      <c r="D7774" s="19" t="n">
        <v>0.7454</v>
      </c>
      <c r="E7774" s="20" t="n">
        <f aca="false">Parametres!$B$5*C7774</f>
        <v>0</v>
      </c>
      <c r="F7774" s="20" t="n">
        <f aca="false">Parametres!$B$6*D7774</f>
        <v>149.08</v>
      </c>
      <c r="G7774" s="20" t="n">
        <f aca="false">E7774+F7774</f>
        <v>149.08</v>
      </c>
      <c r="H7774" s="20" t="n">
        <f aca="false">IF(G7774&lt;Parametres!$B$8*Parametres!$B$7,0,MIN(G7774,Parametres!$B$7))</f>
        <v>149.08</v>
      </c>
      <c r="I7774" s="20" t="n">
        <f aca="false">G7774-H7774</f>
        <v>0</v>
      </c>
      <c r="J7774" s="21" t="n">
        <f aca="false">H7774*1000/Parametres!$B$9</f>
        <v>2528.06511785654</v>
      </c>
    </row>
    <row r="7775" customFormat="false" ht="15" hidden="false" customHeight="false" outlineLevel="0" collapsed="false">
      <c r="A7775" s="0" t="n">
        <v>7771</v>
      </c>
      <c r="B7775" s="0" t="n">
        <v>11</v>
      </c>
      <c r="C7775" s="19" t="n">
        <v>0</v>
      </c>
      <c r="D7775" s="19" t="n">
        <v>0.9152</v>
      </c>
      <c r="E7775" s="20" t="n">
        <f aca="false">Parametres!$B$5*C7775</f>
        <v>0</v>
      </c>
      <c r="F7775" s="20" t="n">
        <f aca="false">Parametres!$B$6*D7775</f>
        <v>183.04</v>
      </c>
      <c r="G7775" s="20" t="n">
        <f aca="false">E7775+F7775</f>
        <v>183.04</v>
      </c>
      <c r="H7775" s="20" t="n">
        <f aca="false">IF(G7775&lt;Parametres!$B$8*Parametres!$B$7,0,MIN(G7775,Parametres!$B$7))</f>
        <v>183.04</v>
      </c>
      <c r="I7775" s="20" t="n">
        <f aca="false">G7775-H7775</f>
        <v>0</v>
      </c>
      <c r="J7775" s="21" t="n">
        <f aca="false">H7775*1000/Parametres!$B$9</f>
        <v>3103.9511616076</v>
      </c>
    </row>
    <row r="7776" customFormat="false" ht="15" hidden="false" customHeight="false" outlineLevel="0" collapsed="false">
      <c r="A7776" s="0" t="n">
        <v>7772</v>
      </c>
      <c r="B7776" s="0" t="n">
        <v>11</v>
      </c>
      <c r="C7776" s="19" t="n">
        <v>0</v>
      </c>
      <c r="D7776" s="19" t="n">
        <v>1</v>
      </c>
      <c r="E7776" s="20" t="n">
        <f aca="false">Parametres!$B$5*C7776</f>
        <v>0</v>
      </c>
      <c r="F7776" s="20" t="n">
        <f aca="false">Parametres!$B$6*D7776</f>
        <v>200</v>
      </c>
      <c r="G7776" s="20" t="n">
        <f aca="false">E7776+F7776</f>
        <v>200</v>
      </c>
      <c r="H7776" s="20" t="n">
        <f aca="false">IF(G7776&lt;Parametres!$B$8*Parametres!$B$7,0,MIN(G7776,Parametres!$B$7))</f>
        <v>200</v>
      </c>
      <c r="I7776" s="20" t="n">
        <f aca="false">G7776-H7776</f>
        <v>0</v>
      </c>
      <c r="J7776" s="21" t="n">
        <f aca="false">H7776*1000/Parametres!$B$9</f>
        <v>3391.55502798033</v>
      </c>
    </row>
    <row r="7777" customFormat="false" ht="15" hidden="false" customHeight="false" outlineLevel="0" collapsed="false">
      <c r="A7777" s="0" t="n">
        <v>7773</v>
      </c>
      <c r="B7777" s="0" t="n">
        <v>11</v>
      </c>
      <c r="C7777" s="19" t="n">
        <v>0</v>
      </c>
      <c r="D7777" s="19" t="n">
        <v>0.9118</v>
      </c>
      <c r="E7777" s="20" t="n">
        <f aca="false">Parametres!$B$5*C7777</f>
        <v>0</v>
      </c>
      <c r="F7777" s="20" t="n">
        <f aca="false">Parametres!$B$6*D7777</f>
        <v>182.36</v>
      </c>
      <c r="G7777" s="20" t="n">
        <f aca="false">E7777+F7777</f>
        <v>182.36</v>
      </c>
      <c r="H7777" s="20" t="n">
        <f aca="false">IF(G7777&lt;Parametres!$B$8*Parametres!$B$7,0,MIN(G7777,Parametres!$B$7))</f>
        <v>182.36</v>
      </c>
      <c r="I7777" s="20" t="n">
        <f aca="false">G7777-H7777</f>
        <v>0</v>
      </c>
      <c r="J7777" s="21" t="n">
        <f aca="false">H7777*1000/Parametres!$B$9</f>
        <v>3092.41987451246</v>
      </c>
    </row>
    <row r="7778" customFormat="false" ht="15" hidden="false" customHeight="false" outlineLevel="0" collapsed="false">
      <c r="A7778" s="0" t="n">
        <v>7774</v>
      </c>
      <c r="B7778" s="0" t="n">
        <v>11</v>
      </c>
      <c r="C7778" s="19" t="n">
        <v>0</v>
      </c>
      <c r="D7778" s="19" t="n">
        <v>0.8864</v>
      </c>
      <c r="E7778" s="20" t="n">
        <f aca="false">Parametres!$B$5*C7778</f>
        <v>0</v>
      </c>
      <c r="F7778" s="20" t="n">
        <f aca="false">Parametres!$B$6*D7778</f>
        <v>177.28</v>
      </c>
      <c r="G7778" s="20" t="n">
        <f aca="false">E7778+F7778</f>
        <v>177.28</v>
      </c>
      <c r="H7778" s="20" t="n">
        <f aca="false">IF(G7778&lt;Parametres!$B$8*Parametres!$B$7,0,MIN(G7778,Parametres!$B$7))</f>
        <v>177.28</v>
      </c>
      <c r="I7778" s="20" t="n">
        <f aca="false">G7778-H7778</f>
        <v>0</v>
      </c>
      <c r="J7778" s="21" t="n">
        <f aca="false">H7778*1000/Parametres!$B$9</f>
        <v>3006.27437680176</v>
      </c>
    </row>
    <row r="7779" customFormat="false" ht="15" hidden="false" customHeight="false" outlineLevel="0" collapsed="false">
      <c r="A7779" s="0" t="n">
        <v>7775</v>
      </c>
      <c r="B7779" s="0" t="n">
        <v>11</v>
      </c>
      <c r="C7779" s="19" t="n">
        <v>0</v>
      </c>
      <c r="D7779" s="19" t="n">
        <v>1</v>
      </c>
      <c r="E7779" s="20" t="n">
        <f aca="false">Parametres!$B$5*C7779</f>
        <v>0</v>
      </c>
      <c r="F7779" s="20" t="n">
        <f aca="false">Parametres!$B$6*D7779</f>
        <v>200</v>
      </c>
      <c r="G7779" s="20" t="n">
        <f aca="false">E7779+F7779</f>
        <v>200</v>
      </c>
      <c r="H7779" s="20" t="n">
        <f aca="false">IF(G7779&lt;Parametres!$B$8*Parametres!$B$7,0,MIN(G7779,Parametres!$B$7))</f>
        <v>200</v>
      </c>
      <c r="I7779" s="20" t="n">
        <f aca="false">G7779-H7779</f>
        <v>0</v>
      </c>
      <c r="J7779" s="21" t="n">
        <f aca="false">H7779*1000/Parametres!$B$9</f>
        <v>3391.55502798033</v>
      </c>
    </row>
    <row r="7780" customFormat="false" ht="15" hidden="false" customHeight="false" outlineLevel="0" collapsed="false">
      <c r="A7780" s="0" t="n">
        <v>7776</v>
      </c>
      <c r="B7780" s="0" t="n">
        <v>11</v>
      </c>
      <c r="C7780" s="19" t="n">
        <v>0</v>
      </c>
      <c r="D7780" s="19" t="n">
        <v>0.8148</v>
      </c>
      <c r="E7780" s="20" t="n">
        <f aca="false">Parametres!$B$5*C7780</f>
        <v>0</v>
      </c>
      <c r="F7780" s="20" t="n">
        <f aca="false">Parametres!$B$6*D7780</f>
        <v>162.96</v>
      </c>
      <c r="G7780" s="20" t="n">
        <f aca="false">E7780+F7780</f>
        <v>162.96</v>
      </c>
      <c r="H7780" s="20" t="n">
        <f aca="false">IF(G7780&lt;Parametres!$B$8*Parametres!$B$7,0,MIN(G7780,Parametres!$B$7))</f>
        <v>162.96</v>
      </c>
      <c r="I7780" s="20" t="n">
        <f aca="false">G7780-H7780</f>
        <v>0</v>
      </c>
      <c r="J7780" s="21" t="n">
        <f aca="false">H7780*1000/Parametres!$B$9</f>
        <v>2763.43903679837</v>
      </c>
    </row>
    <row r="7781" customFormat="false" ht="15" hidden="false" customHeight="false" outlineLevel="0" collapsed="false">
      <c r="A7781" s="0" t="n">
        <v>7777</v>
      </c>
      <c r="B7781" s="0" t="n">
        <v>11</v>
      </c>
      <c r="C7781" s="19" t="n">
        <v>0</v>
      </c>
      <c r="D7781" s="19" t="n">
        <v>0.4887</v>
      </c>
      <c r="E7781" s="20" t="n">
        <f aca="false">Parametres!$B$5*C7781</f>
        <v>0</v>
      </c>
      <c r="F7781" s="20" t="n">
        <f aca="false">Parametres!$B$6*D7781</f>
        <v>97.74</v>
      </c>
      <c r="G7781" s="20" t="n">
        <f aca="false">E7781+F7781</f>
        <v>97.74</v>
      </c>
      <c r="H7781" s="20" t="n">
        <f aca="false">IF(G7781&lt;Parametres!$B$8*Parametres!$B$7,0,MIN(G7781,Parametres!$B$7))</f>
        <v>97.74</v>
      </c>
      <c r="I7781" s="20" t="n">
        <f aca="false">G7781-H7781</f>
        <v>0</v>
      </c>
      <c r="J7781" s="21" t="n">
        <f aca="false">H7781*1000/Parametres!$B$9</f>
        <v>1657.45294217399</v>
      </c>
    </row>
    <row r="7782" customFormat="false" ht="15" hidden="false" customHeight="false" outlineLevel="0" collapsed="false">
      <c r="A7782" s="0" t="n">
        <v>7778</v>
      </c>
      <c r="B7782" s="0" t="n">
        <v>11</v>
      </c>
      <c r="C7782" s="19" t="n">
        <v>0</v>
      </c>
      <c r="D7782" s="19" t="n">
        <v>0.3085</v>
      </c>
      <c r="E7782" s="20" t="n">
        <f aca="false">Parametres!$B$5*C7782</f>
        <v>0</v>
      </c>
      <c r="F7782" s="20" t="n">
        <f aca="false">Parametres!$B$6*D7782</f>
        <v>61.7</v>
      </c>
      <c r="G7782" s="20" t="n">
        <f aca="false">E7782+F7782</f>
        <v>61.7</v>
      </c>
      <c r="H7782" s="20" t="n">
        <f aca="false">IF(G7782&lt;Parametres!$B$8*Parametres!$B$7,0,MIN(G7782,Parametres!$B$7))</f>
        <v>61.7</v>
      </c>
      <c r="I7782" s="20" t="n">
        <f aca="false">G7782-H7782</f>
        <v>0</v>
      </c>
      <c r="J7782" s="21" t="n">
        <f aca="false">H7782*1000/Parametres!$B$9</f>
        <v>1046.29472613193</v>
      </c>
    </row>
    <row r="7783" customFormat="false" ht="15" hidden="false" customHeight="false" outlineLevel="0" collapsed="false">
      <c r="A7783" s="0" t="n">
        <v>7779</v>
      </c>
      <c r="B7783" s="0" t="n">
        <v>11</v>
      </c>
      <c r="C7783" s="19" t="n">
        <v>0</v>
      </c>
      <c r="D7783" s="19" t="n">
        <v>0.2325</v>
      </c>
      <c r="E7783" s="20" t="n">
        <f aca="false">Parametres!$B$5*C7783</f>
        <v>0</v>
      </c>
      <c r="F7783" s="20" t="n">
        <f aca="false">Parametres!$B$6*D7783</f>
        <v>46.5</v>
      </c>
      <c r="G7783" s="20" t="n">
        <f aca="false">E7783+F7783</f>
        <v>46.5</v>
      </c>
      <c r="H7783" s="20" t="n">
        <f aca="false">IF(G7783&lt;Parametres!$B$8*Parametres!$B$7,0,MIN(G7783,Parametres!$B$7))</f>
        <v>46.5</v>
      </c>
      <c r="I7783" s="20" t="n">
        <f aca="false">G7783-H7783</f>
        <v>0</v>
      </c>
      <c r="J7783" s="21" t="n">
        <f aca="false">H7783*1000/Parametres!$B$9</f>
        <v>788.536544005427</v>
      </c>
    </row>
    <row r="7784" customFormat="false" ht="15" hidden="false" customHeight="false" outlineLevel="0" collapsed="false">
      <c r="A7784" s="0" t="n">
        <v>7780</v>
      </c>
      <c r="B7784" s="0" t="n">
        <v>11</v>
      </c>
      <c r="C7784" s="19" t="n">
        <v>0</v>
      </c>
      <c r="D7784" s="19" t="n">
        <v>0.1837</v>
      </c>
      <c r="E7784" s="20" t="n">
        <f aca="false">Parametres!$B$5*C7784</f>
        <v>0</v>
      </c>
      <c r="F7784" s="20" t="n">
        <f aca="false">Parametres!$B$6*D7784</f>
        <v>36.74</v>
      </c>
      <c r="G7784" s="20" t="n">
        <f aca="false">E7784+F7784</f>
        <v>36.74</v>
      </c>
      <c r="H7784" s="20" t="n">
        <f aca="false">IF(G7784&lt;Parametres!$B$8*Parametres!$B$7,0,MIN(G7784,Parametres!$B$7))</f>
        <v>36.74</v>
      </c>
      <c r="I7784" s="20" t="n">
        <f aca="false">G7784-H7784</f>
        <v>0</v>
      </c>
      <c r="J7784" s="21" t="n">
        <f aca="false">H7784*1000/Parametres!$B$9</f>
        <v>623.028658639987</v>
      </c>
    </row>
    <row r="7785" customFormat="false" ht="15" hidden="false" customHeight="false" outlineLevel="0" collapsed="false">
      <c r="A7785" s="0" t="n">
        <v>7781</v>
      </c>
      <c r="B7785" s="0" t="n">
        <v>11</v>
      </c>
      <c r="C7785" s="19" t="n">
        <v>0</v>
      </c>
      <c r="D7785" s="19" t="n">
        <v>0.0765</v>
      </c>
      <c r="E7785" s="20" t="n">
        <f aca="false">Parametres!$B$5*C7785</f>
        <v>0</v>
      </c>
      <c r="F7785" s="20" t="n">
        <f aca="false">Parametres!$B$6*D7785</f>
        <v>15.3</v>
      </c>
      <c r="G7785" s="20" t="n">
        <f aca="false">E7785+F7785</f>
        <v>15.3</v>
      </c>
      <c r="H7785" s="20" t="n">
        <f aca="false">IF(G7785&lt;Parametres!$B$8*Parametres!$B$7,0,MIN(G7785,Parametres!$B$7))</f>
        <v>0</v>
      </c>
      <c r="I7785" s="20" t="n">
        <f aca="false">G7785-H7785</f>
        <v>15.3</v>
      </c>
      <c r="J7785" s="21" t="n">
        <f aca="false">H7785*1000/Parametres!$B$9</f>
        <v>0</v>
      </c>
    </row>
    <row r="7786" customFormat="false" ht="15" hidden="false" customHeight="false" outlineLevel="0" collapsed="false">
      <c r="A7786" s="0" t="n">
        <v>7782</v>
      </c>
      <c r="B7786" s="0" t="n">
        <v>11</v>
      </c>
      <c r="C7786" s="19" t="n">
        <v>0</v>
      </c>
      <c r="D7786" s="19" t="n">
        <v>0.1949</v>
      </c>
      <c r="E7786" s="20" t="n">
        <f aca="false">Parametres!$B$5*C7786</f>
        <v>0</v>
      </c>
      <c r="F7786" s="20" t="n">
        <f aca="false">Parametres!$B$6*D7786</f>
        <v>38.98</v>
      </c>
      <c r="G7786" s="20" t="n">
        <f aca="false">E7786+F7786</f>
        <v>38.98</v>
      </c>
      <c r="H7786" s="20" t="n">
        <f aca="false">IF(G7786&lt;Parametres!$B$8*Parametres!$B$7,0,MIN(G7786,Parametres!$B$7))</f>
        <v>38.98</v>
      </c>
      <c r="I7786" s="20" t="n">
        <f aca="false">G7786-H7786</f>
        <v>0</v>
      </c>
      <c r="J7786" s="21" t="n">
        <f aca="false">H7786*1000/Parametres!$B$9</f>
        <v>661.014074953366</v>
      </c>
    </row>
    <row r="7787" customFormat="false" ht="15" hidden="false" customHeight="false" outlineLevel="0" collapsed="false">
      <c r="A7787" s="0" t="n">
        <v>7783</v>
      </c>
      <c r="B7787" s="0" t="n">
        <v>11</v>
      </c>
      <c r="C7787" s="19" t="n">
        <v>0</v>
      </c>
      <c r="D7787" s="19" t="n">
        <v>0.254</v>
      </c>
      <c r="E7787" s="20" t="n">
        <f aca="false">Parametres!$B$5*C7787</f>
        <v>0</v>
      </c>
      <c r="F7787" s="20" t="n">
        <f aca="false">Parametres!$B$6*D7787</f>
        <v>50.8</v>
      </c>
      <c r="G7787" s="20" t="n">
        <f aca="false">E7787+F7787</f>
        <v>50.8</v>
      </c>
      <c r="H7787" s="20" t="n">
        <f aca="false">IF(G7787&lt;Parametres!$B$8*Parametres!$B$7,0,MIN(G7787,Parametres!$B$7))</f>
        <v>50.8</v>
      </c>
      <c r="I7787" s="20" t="n">
        <f aca="false">G7787-H7787</f>
        <v>0</v>
      </c>
      <c r="J7787" s="21" t="n">
        <f aca="false">H7787*1000/Parametres!$B$9</f>
        <v>861.454977107004</v>
      </c>
    </row>
    <row r="7788" customFormat="false" ht="15" hidden="false" customHeight="false" outlineLevel="0" collapsed="false">
      <c r="A7788" s="0" t="n">
        <v>7784</v>
      </c>
      <c r="B7788" s="0" t="n">
        <v>11</v>
      </c>
      <c r="C7788" s="19" t="n">
        <v>0.1406</v>
      </c>
      <c r="D7788" s="19" t="n">
        <v>0.3512</v>
      </c>
      <c r="E7788" s="20" t="n">
        <f aca="false">Parametres!$B$5*C7788</f>
        <v>42.18</v>
      </c>
      <c r="F7788" s="20" t="n">
        <f aca="false">Parametres!$B$6*D7788</f>
        <v>70.24</v>
      </c>
      <c r="G7788" s="20" t="n">
        <f aca="false">E7788+F7788</f>
        <v>112.42</v>
      </c>
      <c r="H7788" s="20" t="n">
        <f aca="false">IF(G7788&lt;Parametres!$B$8*Parametres!$B$7,0,MIN(G7788,Parametres!$B$7))</f>
        <v>112.42</v>
      </c>
      <c r="I7788" s="20" t="n">
        <f aca="false">G7788-H7788</f>
        <v>0</v>
      </c>
      <c r="J7788" s="21" t="n">
        <f aca="false">H7788*1000/Parametres!$B$9</f>
        <v>1906.39308122774</v>
      </c>
    </row>
    <row r="7789" customFormat="false" ht="15" hidden="false" customHeight="false" outlineLevel="0" collapsed="false">
      <c r="A7789" s="0" t="n">
        <v>7785</v>
      </c>
      <c r="B7789" s="0" t="n">
        <v>11</v>
      </c>
      <c r="C7789" s="19" t="n">
        <v>0.3578</v>
      </c>
      <c r="D7789" s="19" t="n">
        <v>0.4407</v>
      </c>
      <c r="E7789" s="20" t="n">
        <f aca="false">Parametres!$B$5*C7789</f>
        <v>107.34</v>
      </c>
      <c r="F7789" s="20" t="n">
        <f aca="false">Parametres!$B$6*D7789</f>
        <v>88.14</v>
      </c>
      <c r="G7789" s="20" t="n">
        <f aca="false">E7789+F7789</f>
        <v>195.48</v>
      </c>
      <c r="H7789" s="20" t="n">
        <f aca="false">IF(G7789&lt;Parametres!$B$8*Parametres!$B$7,0,MIN(G7789,Parametres!$B$7))</f>
        <v>195.48</v>
      </c>
      <c r="I7789" s="20" t="n">
        <f aca="false">G7789-H7789</f>
        <v>0</v>
      </c>
      <c r="J7789" s="21" t="n">
        <f aca="false">H7789*1000/Parametres!$B$9</f>
        <v>3314.90588434797</v>
      </c>
    </row>
    <row r="7790" customFormat="false" ht="15" hidden="false" customHeight="false" outlineLevel="0" collapsed="false">
      <c r="A7790" s="0" t="n">
        <v>7786</v>
      </c>
      <c r="B7790" s="0" t="n">
        <v>11</v>
      </c>
      <c r="C7790" s="19" t="n">
        <v>0.5538</v>
      </c>
      <c r="D7790" s="19" t="n">
        <v>0.5417</v>
      </c>
      <c r="E7790" s="20" t="n">
        <f aca="false">Parametres!$B$5*C7790</f>
        <v>166.14</v>
      </c>
      <c r="F7790" s="20" t="n">
        <f aca="false">Parametres!$B$6*D7790</f>
        <v>108.34</v>
      </c>
      <c r="G7790" s="20" t="n">
        <f aca="false">E7790+F7790</f>
        <v>274.48</v>
      </c>
      <c r="H7790" s="20" t="n">
        <f aca="false">IF(G7790&lt;Parametres!$B$8*Parametres!$B$7,0,MIN(G7790,Parametres!$B$7))</f>
        <v>250</v>
      </c>
      <c r="I7790" s="20" t="n">
        <f aca="false">G7790-H7790</f>
        <v>24.48</v>
      </c>
      <c r="J7790" s="21" t="n">
        <f aca="false">H7790*1000/Parametres!$B$9</f>
        <v>4239.44378497541</v>
      </c>
    </row>
    <row r="7791" customFormat="false" ht="15" hidden="false" customHeight="false" outlineLevel="0" collapsed="false">
      <c r="A7791" s="0" t="n">
        <v>7787</v>
      </c>
      <c r="B7791" s="0" t="n">
        <v>11</v>
      </c>
      <c r="C7791" s="19" t="n">
        <v>0.6682</v>
      </c>
      <c r="D7791" s="19" t="n">
        <v>0.5903</v>
      </c>
      <c r="E7791" s="20" t="n">
        <f aca="false">Parametres!$B$5*C7791</f>
        <v>200.46</v>
      </c>
      <c r="F7791" s="20" t="n">
        <f aca="false">Parametres!$B$6*D7791</f>
        <v>118.06</v>
      </c>
      <c r="G7791" s="20" t="n">
        <f aca="false">E7791+F7791</f>
        <v>318.52</v>
      </c>
      <c r="H7791" s="20" t="n">
        <f aca="false">IF(G7791&lt;Parametres!$B$8*Parametres!$B$7,0,MIN(G7791,Parametres!$B$7))</f>
        <v>250</v>
      </c>
      <c r="I7791" s="20" t="n">
        <f aca="false">G7791-H7791</f>
        <v>68.52</v>
      </c>
      <c r="J7791" s="21" t="n">
        <f aca="false">H7791*1000/Parametres!$B$9</f>
        <v>4239.44378497541</v>
      </c>
    </row>
    <row r="7792" customFormat="false" ht="15" hidden="false" customHeight="false" outlineLevel="0" collapsed="false">
      <c r="A7792" s="0" t="n">
        <v>7788</v>
      </c>
      <c r="B7792" s="0" t="n">
        <v>11</v>
      </c>
      <c r="C7792" s="19" t="n">
        <v>0.7705</v>
      </c>
      <c r="D7792" s="19" t="n">
        <v>0.4687</v>
      </c>
      <c r="E7792" s="20" t="n">
        <f aca="false">Parametres!$B$5*C7792</f>
        <v>231.15</v>
      </c>
      <c r="F7792" s="20" t="n">
        <f aca="false">Parametres!$B$6*D7792</f>
        <v>93.74</v>
      </c>
      <c r="G7792" s="20" t="n">
        <f aca="false">E7792+F7792</f>
        <v>324.89</v>
      </c>
      <c r="H7792" s="20" t="n">
        <f aca="false">IF(G7792&lt;Parametres!$B$8*Parametres!$B$7,0,MIN(G7792,Parametres!$B$7))</f>
        <v>250</v>
      </c>
      <c r="I7792" s="20" t="n">
        <f aca="false">G7792-H7792</f>
        <v>74.89</v>
      </c>
      <c r="J7792" s="21" t="n">
        <f aca="false">H7792*1000/Parametres!$B$9</f>
        <v>4239.44378497541</v>
      </c>
    </row>
    <row r="7793" customFormat="false" ht="15" hidden="false" customHeight="false" outlineLevel="0" collapsed="false">
      <c r="A7793" s="0" t="n">
        <v>7789</v>
      </c>
      <c r="B7793" s="0" t="n">
        <v>11</v>
      </c>
      <c r="C7793" s="19" t="n">
        <v>0.7718</v>
      </c>
      <c r="D7793" s="19" t="n">
        <v>0.4547</v>
      </c>
      <c r="E7793" s="20" t="n">
        <f aca="false">Parametres!$B$5*C7793</f>
        <v>231.54</v>
      </c>
      <c r="F7793" s="20" t="n">
        <f aca="false">Parametres!$B$6*D7793</f>
        <v>90.94</v>
      </c>
      <c r="G7793" s="20" t="n">
        <f aca="false">E7793+F7793</f>
        <v>322.48</v>
      </c>
      <c r="H7793" s="20" t="n">
        <f aca="false">IF(G7793&lt;Parametres!$B$8*Parametres!$B$7,0,MIN(G7793,Parametres!$B$7))</f>
        <v>250</v>
      </c>
      <c r="I7793" s="20" t="n">
        <f aca="false">G7793-H7793</f>
        <v>72.48</v>
      </c>
      <c r="J7793" s="21" t="n">
        <f aca="false">H7793*1000/Parametres!$B$9</f>
        <v>4239.44378497541</v>
      </c>
    </row>
    <row r="7794" customFormat="false" ht="15" hidden="false" customHeight="false" outlineLevel="0" collapsed="false">
      <c r="A7794" s="0" t="n">
        <v>7790</v>
      </c>
      <c r="B7794" s="0" t="n">
        <v>11</v>
      </c>
      <c r="C7794" s="19" t="n">
        <v>0.6821</v>
      </c>
      <c r="D7794" s="19" t="n">
        <v>0.3461</v>
      </c>
      <c r="E7794" s="20" t="n">
        <f aca="false">Parametres!$B$5*C7794</f>
        <v>204.63</v>
      </c>
      <c r="F7794" s="20" t="n">
        <f aca="false">Parametres!$B$6*D7794</f>
        <v>69.22</v>
      </c>
      <c r="G7794" s="20" t="n">
        <f aca="false">E7794+F7794</f>
        <v>273.85</v>
      </c>
      <c r="H7794" s="20" t="n">
        <f aca="false">IF(G7794&lt;Parametres!$B$8*Parametres!$B$7,0,MIN(G7794,Parametres!$B$7))</f>
        <v>250</v>
      </c>
      <c r="I7794" s="20" t="n">
        <f aca="false">G7794-H7794</f>
        <v>23.85</v>
      </c>
      <c r="J7794" s="21" t="n">
        <f aca="false">H7794*1000/Parametres!$B$9</f>
        <v>4239.44378497541</v>
      </c>
    </row>
    <row r="7795" customFormat="false" ht="15" hidden="false" customHeight="false" outlineLevel="0" collapsed="false">
      <c r="A7795" s="0" t="n">
        <v>7791</v>
      </c>
      <c r="B7795" s="0" t="n">
        <v>11</v>
      </c>
      <c r="C7795" s="19" t="n">
        <v>0.5388</v>
      </c>
      <c r="D7795" s="19" t="n">
        <v>0.4205</v>
      </c>
      <c r="E7795" s="20" t="n">
        <f aca="false">Parametres!$B$5*C7795</f>
        <v>161.64</v>
      </c>
      <c r="F7795" s="20" t="n">
        <f aca="false">Parametres!$B$6*D7795</f>
        <v>84.1</v>
      </c>
      <c r="G7795" s="20" t="n">
        <f aca="false">E7795+F7795</f>
        <v>245.74</v>
      </c>
      <c r="H7795" s="20" t="n">
        <f aca="false">IF(G7795&lt;Parametres!$B$8*Parametres!$B$7,0,MIN(G7795,Parametres!$B$7))</f>
        <v>245.74</v>
      </c>
      <c r="I7795" s="20" t="n">
        <f aca="false">G7795-H7795</f>
        <v>0</v>
      </c>
      <c r="J7795" s="21" t="n">
        <f aca="false">H7795*1000/Parametres!$B$9</f>
        <v>4167.20366287943</v>
      </c>
    </row>
    <row r="7796" customFormat="false" ht="15" hidden="false" customHeight="false" outlineLevel="0" collapsed="false">
      <c r="A7796" s="0" t="n">
        <v>7792</v>
      </c>
      <c r="B7796" s="0" t="n">
        <v>11</v>
      </c>
      <c r="C7796" s="19" t="n">
        <v>0.3476</v>
      </c>
      <c r="D7796" s="19" t="n">
        <v>0.5859</v>
      </c>
      <c r="E7796" s="20" t="n">
        <f aca="false">Parametres!$B$5*C7796</f>
        <v>104.28</v>
      </c>
      <c r="F7796" s="20" t="n">
        <f aca="false">Parametres!$B$6*D7796</f>
        <v>117.18</v>
      </c>
      <c r="G7796" s="20" t="n">
        <f aca="false">E7796+F7796</f>
        <v>221.46</v>
      </c>
      <c r="H7796" s="20" t="n">
        <f aca="false">IF(G7796&lt;Parametres!$B$8*Parametres!$B$7,0,MIN(G7796,Parametres!$B$7))</f>
        <v>221.46</v>
      </c>
      <c r="I7796" s="20" t="n">
        <f aca="false">G7796-H7796</f>
        <v>0</v>
      </c>
      <c r="J7796" s="21" t="n">
        <f aca="false">H7796*1000/Parametres!$B$9</f>
        <v>3755.46888248262</v>
      </c>
    </row>
    <row r="7797" customFormat="false" ht="15" hidden="false" customHeight="false" outlineLevel="0" collapsed="false">
      <c r="A7797" s="0" t="n">
        <v>7793</v>
      </c>
      <c r="B7797" s="0" t="n">
        <v>11</v>
      </c>
      <c r="C7797" s="19" t="n">
        <v>0.1496</v>
      </c>
      <c r="D7797" s="19" t="n">
        <v>0.4396</v>
      </c>
      <c r="E7797" s="20" t="n">
        <f aca="false">Parametres!$B$5*C7797</f>
        <v>44.88</v>
      </c>
      <c r="F7797" s="20" t="n">
        <f aca="false">Parametres!$B$6*D7797</f>
        <v>87.92</v>
      </c>
      <c r="G7797" s="20" t="n">
        <f aca="false">E7797+F7797</f>
        <v>132.8</v>
      </c>
      <c r="H7797" s="20" t="n">
        <f aca="false">IF(G7797&lt;Parametres!$B$8*Parametres!$B$7,0,MIN(G7797,Parametres!$B$7))</f>
        <v>132.8</v>
      </c>
      <c r="I7797" s="20" t="n">
        <f aca="false">G7797-H7797</f>
        <v>0</v>
      </c>
      <c r="J7797" s="21" t="n">
        <f aca="false">H7797*1000/Parametres!$B$9</f>
        <v>2251.99253857894</v>
      </c>
    </row>
    <row r="7798" customFormat="false" ht="15" hidden="false" customHeight="false" outlineLevel="0" collapsed="false">
      <c r="A7798" s="0" t="n">
        <v>7794</v>
      </c>
      <c r="B7798" s="0" t="n">
        <v>11</v>
      </c>
      <c r="C7798" s="19" t="n">
        <v>0</v>
      </c>
      <c r="D7798" s="19" t="n">
        <v>0.3738</v>
      </c>
      <c r="E7798" s="20" t="n">
        <f aca="false">Parametres!$B$5*C7798</f>
        <v>0</v>
      </c>
      <c r="F7798" s="20" t="n">
        <f aca="false">Parametres!$B$6*D7798</f>
        <v>74.76</v>
      </c>
      <c r="G7798" s="20" t="n">
        <f aca="false">E7798+F7798</f>
        <v>74.76</v>
      </c>
      <c r="H7798" s="20" t="n">
        <f aca="false">IF(G7798&lt;Parametres!$B$8*Parametres!$B$7,0,MIN(G7798,Parametres!$B$7))</f>
        <v>74.76</v>
      </c>
      <c r="I7798" s="20" t="n">
        <f aca="false">G7798-H7798</f>
        <v>0</v>
      </c>
      <c r="J7798" s="21" t="n">
        <f aca="false">H7798*1000/Parametres!$B$9</f>
        <v>1267.76326945905</v>
      </c>
    </row>
    <row r="7799" customFormat="false" ht="15" hidden="false" customHeight="false" outlineLevel="0" collapsed="false">
      <c r="A7799" s="0" t="n">
        <v>7795</v>
      </c>
      <c r="B7799" s="0" t="n">
        <v>11</v>
      </c>
      <c r="C7799" s="19" t="n">
        <v>0</v>
      </c>
      <c r="D7799" s="19" t="n">
        <v>0.366</v>
      </c>
      <c r="E7799" s="20" t="n">
        <f aca="false">Parametres!$B$5*C7799</f>
        <v>0</v>
      </c>
      <c r="F7799" s="20" t="n">
        <f aca="false">Parametres!$B$6*D7799</f>
        <v>73.2</v>
      </c>
      <c r="G7799" s="20" t="n">
        <f aca="false">E7799+F7799</f>
        <v>73.2</v>
      </c>
      <c r="H7799" s="20" t="n">
        <f aca="false">IF(G7799&lt;Parametres!$B$8*Parametres!$B$7,0,MIN(G7799,Parametres!$B$7))</f>
        <v>73.2</v>
      </c>
      <c r="I7799" s="20" t="n">
        <f aca="false">G7799-H7799</f>
        <v>0</v>
      </c>
      <c r="J7799" s="21" t="n">
        <f aca="false">H7799*1000/Parametres!$B$9</f>
        <v>1241.3091402408</v>
      </c>
    </row>
    <row r="7800" customFormat="false" ht="15" hidden="false" customHeight="false" outlineLevel="0" collapsed="false">
      <c r="A7800" s="0" t="n">
        <v>7796</v>
      </c>
      <c r="B7800" s="0" t="n">
        <v>11</v>
      </c>
      <c r="C7800" s="19" t="n">
        <v>0</v>
      </c>
      <c r="D7800" s="19" t="n">
        <v>0.2635</v>
      </c>
      <c r="E7800" s="20" t="n">
        <f aca="false">Parametres!$B$5*C7800</f>
        <v>0</v>
      </c>
      <c r="F7800" s="20" t="n">
        <f aca="false">Parametres!$B$6*D7800</f>
        <v>52.7</v>
      </c>
      <c r="G7800" s="20" t="n">
        <f aca="false">E7800+F7800</f>
        <v>52.7</v>
      </c>
      <c r="H7800" s="20" t="n">
        <f aca="false">IF(G7800&lt;Parametres!$B$8*Parametres!$B$7,0,MIN(G7800,Parametres!$B$7))</f>
        <v>52.7</v>
      </c>
      <c r="I7800" s="20" t="n">
        <f aca="false">G7800-H7800</f>
        <v>0</v>
      </c>
      <c r="J7800" s="21" t="n">
        <f aca="false">H7800*1000/Parametres!$B$9</f>
        <v>893.674749872817</v>
      </c>
    </row>
    <row r="7801" customFormat="false" ht="15" hidden="false" customHeight="false" outlineLevel="0" collapsed="false">
      <c r="A7801" s="0" t="n">
        <v>7797</v>
      </c>
      <c r="B7801" s="0" t="n">
        <v>11</v>
      </c>
      <c r="C7801" s="19" t="n">
        <v>0</v>
      </c>
      <c r="D7801" s="19" t="n">
        <v>0.2821</v>
      </c>
      <c r="E7801" s="20" t="n">
        <f aca="false">Parametres!$B$5*C7801</f>
        <v>0</v>
      </c>
      <c r="F7801" s="20" t="n">
        <f aca="false">Parametres!$B$6*D7801</f>
        <v>56.42</v>
      </c>
      <c r="G7801" s="20" t="n">
        <f aca="false">E7801+F7801</f>
        <v>56.42</v>
      </c>
      <c r="H7801" s="20" t="n">
        <f aca="false">IF(G7801&lt;Parametres!$B$8*Parametres!$B$7,0,MIN(G7801,Parametres!$B$7))</f>
        <v>56.42</v>
      </c>
      <c r="I7801" s="20" t="n">
        <f aca="false">G7801-H7801</f>
        <v>0</v>
      </c>
      <c r="J7801" s="21" t="n">
        <f aca="false">H7801*1000/Parametres!$B$9</f>
        <v>956.757673393251</v>
      </c>
    </row>
    <row r="7802" customFormat="false" ht="15" hidden="false" customHeight="false" outlineLevel="0" collapsed="false">
      <c r="A7802" s="0" t="n">
        <v>7798</v>
      </c>
      <c r="B7802" s="0" t="n">
        <v>11</v>
      </c>
      <c r="C7802" s="19" t="n">
        <v>0</v>
      </c>
      <c r="D7802" s="19" t="n">
        <v>0.1465</v>
      </c>
      <c r="E7802" s="20" t="n">
        <f aca="false">Parametres!$B$5*C7802</f>
        <v>0</v>
      </c>
      <c r="F7802" s="20" t="n">
        <f aca="false">Parametres!$B$6*D7802</f>
        <v>29.3</v>
      </c>
      <c r="G7802" s="20" t="n">
        <f aca="false">E7802+F7802</f>
        <v>29.3</v>
      </c>
      <c r="H7802" s="20" t="n">
        <f aca="false">IF(G7802&lt;Parametres!$B$8*Parametres!$B$7,0,MIN(G7802,Parametres!$B$7))</f>
        <v>29.3</v>
      </c>
      <c r="I7802" s="20" t="n">
        <f aca="false">G7802-H7802</f>
        <v>0</v>
      </c>
      <c r="J7802" s="21" t="n">
        <f aca="false">H7802*1000/Parametres!$B$9</f>
        <v>496.862811599118</v>
      </c>
    </row>
    <row r="7803" customFormat="false" ht="15" hidden="false" customHeight="false" outlineLevel="0" collapsed="false">
      <c r="A7803" s="0" t="n">
        <v>7799</v>
      </c>
      <c r="B7803" s="0" t="n">
        <v>11</v>
      </c>
      <c r="C7803" s="19" t="n">
        <v>0</v>
      </c>
      <c r="D7803" s="19" t="n">
        <v>0.0575</v>
      </c>
      <c r="E7803" s="20" t="n">
        <f aca="false">Parametres!$B$5*C7803</f>
        <v>0</v>
      </c>
      <c r="F7803" s="20" t="n">
        <f aca="false">Parametres!$B$6*D7803</f>
        <v>11.5</v>
      </c>
      <c r="G7803" s="20" t="n">
        <f aca="false">E7803+F7803</f>
        <v>11.5</v>
      </c>
      <c r="H7803" s="20" t="n">
        <f aca="false">IF(G7803&lt;Parametres!$B$8*Parametres!$B$7,0,MIN(G7803,Parametres!$B$7))</f>
        <v>0</v>
      </c>
      <c r="I7803" s="20" t="n">
        <f aca="false">G7803-H7803</f>
        <v>11.5</v>
      </c>
      <c r="J7803" s="21" t="n">
        <f aca="false">H7803*1000/Parametres!$B$9</f>
        <v>0</v>
      </c>
    </row>
    <row r="7804" customFormat="false" ht="15" hidden="false" customHeight="false" outlineLevel="0" collapsed="false">
      <c r="A7804" s="0" t="n">
        <v>7800</v>
      </c>
      <c r="B7804" s="0" t="n">
        <v>11</v>
      </c>
      <c r="C7804" s="19" t="n">
        <v>0</v>
      </c>
      <c r="D7804" s="19" t="n">
        <v>0.0353</v>
      </c>
      <c r="E7804" s="20" t="n">
        <f aca="false">Parametres!$B$5*C7804</f>
        <v>0</v>
      </c>
      <c r="F7804" s="20" t="n">
        <f aca="false">Parametres!$B$6*D7804</f>
        <v>7.06</v>
      </c>
      <c r="G7804" s="20" t="n">
        <f aca="false">E7804+F7804</f>
        <v>7.06</v>
      </c>
      <c r="H7804" s="20" t="n">
        <f aca="false">IF(G7804&lt;Parametres!$B$8*Parametres!$B$7,0,MIN(G7804,Parametres!$B$7))</f>
        <v>0</v>
      </c>
      <c r="I7804" s="20" t="n">
        <f aca="false">G7804-H7804</f>
        <v>7.06</v>
      </c>
      <c r="J7804" s="21" t="n">
        <f aca="false">H7804*1000/Parametres!$B$9</f>
        <v>0</v>
      </c>
    </row>
    <row r="7805" customFormat="false" ht="15" hidden="false" customHeight="false" outlineLevel="0" collapsed="false">
      <c r="A7805" s="0" t="n">
        <v>7801</v>
      </c>
      <c r="B7805" s="0" t="n">
        <v>11</v>
      </c>
      <c r="C7805" s="19" t="n">
        <v>0</v>
      </c>
      <c r="D7805" s="19" t="n">
        <v>0.0425</v>
      </c>
      <c r="E7805" s="20" t="n">
        <f aca="false">Parametres!$B$5*C7805</f>
        <v>0</v>
      </c>
      <c r="F7805" s="20" t="n">
        <f aca="false">Parametres!$B$6*D7805</f>
        <v>8.5</v>
      </c>
      <c r="G7805" s="20" t="n">
        <f aca="false">E7805+F7805</f>
        <v>8.5</v>
      </c>
      <c r="H7805" s="20" t="n">
        <f aca="false">IF(G7805&lt;Parametres!$B$8*Parametres!$B$7,0,MIN(G7805,Parametres!$B$7))</f>
        <v>0</v>
      </c>
      <c r="I7805" s="20" t="n">
        <f aca="false">G7805-H7805</f>
        <v>8.5</v>
      </c>
      <c r="J7805" s="21" t="n">
        <f aca="false">H7805*1000/Parametres!$B$9</f>
        <v>0</v>
      </c>
    </row>
    <row r="7806" customFormat="false" ht="15" hidden="false" customHeight="false" outlineLevel="0" collapsed="false">
      <c r="A7806" s="0" t="n">
        <v>7802</v>
      </c>
      <c r="B7806" s="0" t="n">
        <v>11</v>
      </c>
      <c r="C7806" s="19" t="n">
        <v>0</v>
      </c>
      <c r="D7806" s="19" t="n">
        <v>0.0372</v>
      </c>
      <c r="E7806" s="20" t="n">
        <f aca="false">Parametres!$B$5*C7806</f>
        <v>0</v>
      </c>
      <c r="F7806" s="20" t="n">
        <f aca="false">Parametres!$B$6*D7806</f>
        <v>7.44</v>
      </c>
      <c r="G7806" s="20" t="n">
        <f aca="false">E7806+F7806</f>
        <v>7.44</v>
      </c>
      <c r="H7806" s="20" t="n">
        <f aca="false">IF(G7806&lt;Parametres!$B$8*Parametres!$B$7,0,MIN(G7806,Parametres!$B$7))</f>
        <v>0</v>
      </c>
      <c r="I7806" s="20" t="n">
        <f aca="false">G7806-H7806</f>
        <v>7.44</v>
      </c>
      <c r="J7806" s="21" t="n">
        <f aca="false">H7806*1000/Parametres!$B$9</f>
        <v>0</v>
      </c>
    </row>
    <row r="7807" customFormat="false" ht="15" hidden="false" customHeight="false" outlineLevel="0" collapsed="false">
      <c r="A7807" s="0" t="n">
        <v>7803</v>
      </c>
      <c r="B7807" s="0" t="n">
        <v>11</v>
      </c>
      <c r="C7807" s="19" t="n">
        <v>0</v>
      </c>
      <c r="D7807" s="19" t="n">
        <v>0.0489</v>
      </c>
      <c r="E7807" s="20" t="n">
        <f aca="false">Parametres!$B$5*C7807</f>
        <v>0</v>
      </c>
      <c r="F7807" s="20" t="n">
        <f aca="false">Parametres!$B$6*D7807</f>
        <v>9.78</v>
      </c>
      <c r="G7807" s="20" t="n">
        <f aca="false">E7807+F7807</f>
        <v>9.78</v>
      </c>
      <c r="H7807" s="20" t="n">
        <f aca="false">IF(G7807&lt;Parametres!$B$8*Parametres!$B$7,0,MIN(G7807,Parametres!$B$7))</f>
        <v>0</v>
      </c>
      <c r="I7807" s="20" t="n">
        <f aca="false">G7807-H7807</f>
        <v>9.78</v>
      </c>
      <c r="J7807" s="21" t="n">
        <f aca="false">H7807*1000/Parametres!$B$9</f>
        <v>0</v>
      </c>
    </row>
    <row r="7808" customFormat="false" ht="15" hidden="false" customHeight="false" outlineLevel="0" collapsed="false">
      <c r="A7808" s="0" t="n">
        <v>7804</v>
      </c>
      <c r="B7808" s="0" t="n">
        <v>11</v>
      </c>
      <c r="C7808" s="19" t="n">
        <v>0</v>
      </c>
      <c r="D7808" s="19" t="n">
        <v>0.0391</v>
      </c>
      <c r="E7808" s="20" t="n">
        <f aca="false">Parametres!$B$5*C7808</f>
        <v>0</v>
      </c>
      <c r="F7808" s="20" t="n">
        <f aca="false">Parametres!$B$6*D7808</f>
        <v>7.82</v>
      </c>
      <c r="G7808" s="20" t="n">
        <f aca="false">E7808+F7808</f>
        <v>7.82</v>
      </c>
      <c r="H7808" s="20" t="n">
        <f aca="false">IF(G7808&lt;Parametres!$B$8*Parametres!$B$7,0,MIN(G7808,Parametres!$B$7))</f>
        <v>0</v>
      </c>
      <c r="I7808" s="20" t="n">
        <f aca="false">G7808-H7808</f>
        <v>7.82</v>
      </c>
      <c r="J7808" s="21" t="n">
        <f aca="false">H7808*1000/Parametres!$B$9</f>
        <v>0</v>
      </c>
    </row>
    <row r="7809" customFormat="false" ht="15" hidden="false" customHeight="false" outlineLevel="0" collapsed="false">
      <c r="A7809" s="0" t="n">
        <v>7805</v>
      </c>
      <c r="B7809" s="0" t="n">
        <v>11</v>
      </c>
      <c r="C7809" s="19" t="n">
        <v>0</v>
      </c>
      <c r="D7809" s="19" t="n">
        <v>0.0383</v>
      </c>
      <c r="E7809" s="20" t="n">
        <f aca="false">Parametres!$B$5*C7809</f>
        <v>0</v>
      </c>
      <c r="F7809" s="20" t="n">
        <f aca="false">Parametres!$B$6*D7809</f>
        <v>7.66</v>
      </c>
      <c r="G7809" s="20" t="n">
        <f aca="false">E7809+F7809</f>
        <v>7.66</v>
      </c>
      <c r="H7809" s="20" t="n">
        <f aca="false">IF(G7809&lt;Parametres!$B$8*Parametres!$B$7,0,MIN(G7809,Parametres!$B$7))</f>
        <v>0</v>
      </c>
      <c r="I7809" s="20" t="n">
        <f aca="false">G7809-H7809</f>
        <v>7.66</v>
      </c>
      <c r="J7809" s="21" t="n">
        <f aca="false">H7809*1000/Parametres!$B$9</f>
        <v>0</v>
      </c>
    </row>
    <row r="7810" customFormat="false" ht="15" hidden="false" customHeight="false" outlineLevel="0" collapsed="false">
      <c r="A7810" s="0" t="n">
        <v>7806</v>
      </c>
      <c r="B7810" s="0" t="n">
        <v>11</v>
      </c>
      <c r="C7810" s="19" t="n">
        <v>0</v>
      </c>
      <c r="D7810" s="19" t="n">
        <v>0.0641</v>
      </c>
      <c r="E7810" s="20" t="n">
        <f aca="false">Parametres!$B$5*C7810</f>
        <v>0</v>
      </c>
      <c r="F7810" s="20" t="n">
        <f aca="false">Parametres!$B$6*D7810</f>
        <v>12.82</v>
      </c>
      <c r="G7810" s="20" t="n">
        <f aca="false">E7810+F7810</f>
        <v>12.82</v>
      </c>
      <c r="H7810" s="20" t="n">
        <f aca="false">IF(G7810&lt;Parametres!$B$8*Parametres!$B$7,0,MIN(G7810,Parametres!$B$7))</f>
        <v>0</v>
      </c>
      <c r="I7810" s="20" t="n">
        <f aca="false">G7810-H7810</f>
        <v>12.82</v>
      </c>
      <c r="J7810" s="21" t="n">
        <f aca="false">H7810*1000/Parametres!$B$9</f>
        <v>0</v>
      </c>
    </row>
    <row r="7811" customFormat="false" ht="15" hidden="false" customHeight="false" outlineLevel="0" collapsed="false">
      <c r="A7811" s="0" t="n">
        <v>7807</v>
      </c>
      <c r="B7811" s="0" t="n">
        <v>11</v>
      </c>
      <c r="C7811" s="19" t="n">
        <v>0</v>
      </c>
      <c r="D7811" s="19" t="n">
        <v>0.192</v>
      </c>
      <c r="E7811" s="20" t="n">
        <f aca="false">Parametres!$B$5*C7811</f>
        <v>0</v>
      </c>
      <c r="F7811" s="20" t="n">
        <f aca="false">Parametres!$B$6*D7811</f>
        <v>38.4</v>
      </c>
      <c r="G7811" s="20" t="n">
        <f aca="false">E7811+F7811</f>
        <v>38.4</v>
      </c>
      <c r="H7811" s="20" t="n">
        <f aca="false">IF(G7811&lt;Parametres!$B$8*Parametres!$B$7,0,MIN(G7811,Parametres!$B$7))</f>
        <v>38.4</v>
      </c>
      <c r="I7811" s="20" t="n">
        <f aca="false">G7811-H7811</f>
        <v>0</v>
      </c>
      <c r="J7811" s="21" t="n">
        <f aca="false">H7811*1000/Parametres!$B$9</f>
        <v>651.178565372223</v>
      </c>
    </row>
    <row r="7812" customFormat="false" ht="15" hidden="false" customHeight="false" outlineLevel="0" collapsed="false">
      <c r="A7812" s="0" t="n">
        <v>7808</v>
      </c>
      <c r="B7812" s="0" t="n">
        <v>11</v>
      </c>
      <c r="C7812" s="19" t="n">
        <v>0.1229</v>
      </c>
      <c r="D7812" s="19" t="n">
        <v>0.2547</v>
      </c>
      <c r="E7812" s="20" t="n">
        <f aca="false">Parametres!$B$5*C7812</f>
        <v>36.87</v>
      </c>
      <c r="F7812" s="20" t="n">
        <f aca="false">Parametres!$B$6*D7812</f>
        <v>50.94</v>
      </c>
      <c r="G7812" s="20" t="n">
        <f aca="false">E7812+F7812</f>
        <v>87.81</v>
      </c>
      <c r="H7812" s="20" t="n">
        <f aca="false">IF(G7812&lt;Parametres!$B$8*Parametres!$B$7,0,MIN(G7812,Parametres!$B$7))</f>
        <v>87.81</v>
      </c>
      <c r="I7812" s="20" t="n">
        <f aca="false">G7812-H7812</f>
        <v>0</v>
      </c>
      <c r="J7812" s="21" t="n">
        <f aca="false">H7812*1000/Parametres!$B$9</f>
        <v>1489.06223503476</v>
      </c>
    </row>
    <row r="7813" customFormat="false" ht="15" hidden="false" customHeight="false" outlineLevel="0" collapsed="false">
      <c r="A7813" s="0" t="n">
        <v>7809</v>
      </c>
      <c r="B7813" s="0" t="n">
        <v>11</v>
      </c>
      <c r="C7813" s="19" t="n">
        <v>0.3294</v>
      </c>
      <c r="D7813" s="19" t="n">
        <v>0.3622</v>
      </c>
      <c r="E7813" s="20" t="n">
        <f aca="false">Parametres!$B$5*C7813</f>
        <v>98.82</v>
      </c>
      <c r="F7813" s="20" t="n">
        <f aca="false">Parametres!$B$6*D7813</f>
        <v>72.44</v>
      </c>
      <c r="G7813" s="20" t="n">
        <f aca="false">E7813+F7813</f>
        <v>171.26</v>
      </c>
      <c r="H7813" s="20" t="n">
        <f aca="false">IF(G7813&lt;Parametres!$B$8*Parametres!$B$7,0,MIN(G7813,Parametres!$B$7))</f>
        <v>171.26</v>
      </c>
      <c r="I7813" s="20" t="n">
        <f aca="false">G7813-H7813</f>
        <v>0</v>
      </c>
      <c r="J7813" s="21" t="n">
        <f aca="false">H7813*1000/Parametres!$B$9</f>
        <v>2904.18857045956</v>
      </c>
    </row>
    <row r="7814" customFormat="false" ht="15" hidden="false" customHeight="false" outlineLevel="0" collapsed="false">
      <c r="A7814" s="0" t="n">
        <v>7810</v>
      </c>
      <c r="B7814" s="0" t="n">
        <v>11</v>
      </c>
      <c r="C7814" s="19" t="n">
        <v>0.4668</v>
      </c>
      <c r="D7814" s="19" t="n">
        <v>0.5288</v>
      </c>
      <c r="E7814" s="20" t="n">
        <f aca="false">Parametres!$B$5*C7814</f>
        <v>140.04</v>
      </c>
      <c r="F7814" s="20" t="n">
        <f aca="false">Parametres!$B$6*D7814</f>
        <v>105.76</v>
      </c>
      <c r="G7814" s="20" t="n">
        <f aca="false">E7814+F7814</f>
        <v>245.8</v>
      </c>
      <c r="H7814" s="20" t="n">
        <f aca="false">IF(G7814&lt;Parametres!$B$8*Parametres!$B$7,0,MIN(G7814,Parametres!$B$7))</f>
        <v>245.8</v>
      </c>
      <c r="I7814" s="20" t="n">
        <f aca="false">G7814-H7814</f>
        <v>0</v>
      </c>
      <c r="J7814" s="21" t="n">
        <f aca="false">H7814*1000/Parametres!$B$9</f>
        <v>4168.22112938782</v>
      </c>
    </row>
    <row r="7815" customFormat="false" ht="15" hidden="false" customHeight="false" outlineLevel="0" collapsed="false">
      <c r="A7815" s="0" t="n">
        <v>7811</v>
      </c>
      <c r="B7815" s="0" t="n">
        <v>11</v>
      </c>
      <c r="C7815" s="19" t="n">
        <v>0.648</v>
      </c>
      <c r="D7815" s="19" t="n">
        <v>0.7031</v>
      </c>
      <c r="E7815" s="20" t="n">
        <f aca="false">Parametres!$B$5*C7815</f>
        <v>194.4</v>
      </c>
      <c r="F7815" s="20" t="n">
        <f aca="false">Parametres!$B$6*D7815</f>
        <v>140.62</v>
      </c>
      <c r="G7815" s="20" t="n">
        <f aca="false">E7815+F7815</f>
        <v>335.02</v>
      </c>
      <c r="H7815" s="20" t="n">
        <f aca="false">IF(G7815&lt;Parametres!$B$8*Parametres!$B$7,0,MIN(G7815,Parametres!$B$7))</f>
        <v>250</v>
      </c>
      <c r="I7815" s="20" t="n">
        <f aca="false">G7815-H7815</f>
        <v>85.02</v>
      </c>
      <c r="J7815" s="21" t="n">
        <f aca="false">H7815*1000/Parametres!$B$9</f>
        <v>4239.44378497541</v>
      </c>
    </row>
    <row r="7816" customFormat="false" ht="15" hidden="false" customHeight="false" outlineLevel="0" collapsed="false">
      <c r="A7816" s="0" t="n">
        <v>7812</v>
      </c>
      <c r="B7816" s="0" t="n">
        <v>11</v>
      </c>
      <c r="C7816" s="19" t="n">
        <v>0.644</v>
      </c>
      <c r="D7816" s="19" t="n">
        <v>0.7829</v>
      </c>
      <c r="E7816" s="20" t="n">
        <f aca="false">Parametres!$B$5*C7816</f>
        <v>193.2</v>
      </c>
      <c r="F7816" s="20" t="n">
        <f aca="false">Parametres!$B$6*D7816</f>
        <v>156.58</v>
      </c>
      <c r="G7816" s="20" t="n">
        <f aca="false">E7816+F7816</f>
        <v>349.78</v>
      </c>
      <c r="H7816" s="20" t="n">
        <f aca="false">IF(G7816&lt;Parametres!$B$8*Parametres!$B$7,0,MIN(G7816,Parametres!$B$7))</f>
        <v>250</v>
      </c>
      <c r="I7816" s="20" t="n">
        <f aca="false">G7816-H7816</f>
        <v>99.78</v>
      </c>
      <c r="J7816" s="21" t="n">
        <f aca="false">H7816*1000/Parametres!$B$9</f>
        <v>4239.44378497541</v>
      </c>
    </row>
    <row r="7817" customFormat="false" ht="15" hidden="false" customHeight="false" outlineLevel="0" collapsed="false">
      <c r="A7817" s="0" t="n">
        <v>7813</v>
      </c>
      <c r="B7817" s="0" t="n">
        <v>11</v>
      </c>
      <c r="C7817" s="19" t="n">
        <v>0.6708</v>
      </c>
      <c r="D7817" s="19" t="n">
        <v>0.5894</v>
      </c>
      <c r="E7817" s="20" t="n">
        <f aca="false">Parametres!$B$5*C7817</f>
        <v>201.24</v>
      </c>
      <c r="F7817" s="20" t="n">
        <f aca="false">Parametres!$B$6*D7817</f>
        <v>117.88</v>
      </c>
      <c r="G7817" s="20" t="n">
        <f aca="false">E7817+F7817</f>
        <v>319.12</v>
      </c>
      <c r="H7817" s="20" t="n">
        <f aca="false">IF(G7817&lt;Parametres!$B$8*Parametres!$B$7,0,MIN(G7817,Parametres!$B$7))</f>
        <v>250</v>
      </c>
      <c r="I7817" s="20" t="n">
        <f aca="false">G7817-H7817</f>
        <v>69.12</v>
      </c>
      <c r="J7817" s="21" t="n">
        <f aca="false">H7817*1000/Parametres!$B$9</f>
        <v>4239.44378497541</v>
      </c>
    </row>
    <row r="7818" customFormat="false" ht="15" hidden="false" customHeight="false" outlineLevel="0" collapsed="false">
      <c r="A7818" s="0" t="n">
        <v>7814</v>
      </c>
      <c r="B7818" s="0" t="n">
        <v>11</v>
      </c>
      <c r="C7818" s="19" t="n">
        <v>0.6041</v>
      </c>
      <c r="D7818" s="19" t="n">
        <v>0.7269</v>
      </c>
      <c r="E7818" s="20" t="n">
        <f aca="false">Parametres!$B$5*C7818</f>
        <v>181.23</v>
      </c>
      <c r="F7818" s="20" t="n">
        <f aca="false">Parametres!$B$6*D7818</f>
        <v>145.38</v>
      </c>
      <c r="G7818" s="20" t="n">
        <f aca="false">E7818+F7818</f>
        <v>326.61</v>
      </c>
      <c r="H7818" s="20" t="n">
        <f aca="false">IF(G7818&lt;Parametres!$B$8*Parametres!$B$7,0,MIN(G7818,Parametres!$B$7))</f>
        <v>250</v>
      </c>
      <c r="I7818" s="20" t="n">
        <f aca="false">G7818-H7818</f>
        <v>76.61</v>
      </c>
      <c r="J7818" s="21" t="n">
        <f aca="false">H7818*1000/Parametres!$B$9</f>
        <v>4239.44378497541</v>
      </c>
    </row>
    <row r="7819" customFormat="false" ht="15" hidden="false" customHeight="false" outlineLevel="0" collapsed="false">
      <c r="A7819" s="0" t="n">
        <v>7815</v>
      </c>
      <c r="B7819" s="0" t="n">
        <v>11</v>
      </c>
      <c r="C7819" s="19" t="n">
        <v>0.5046</v>
      </c>
      <c r="D7819" s="19" t="n">
        <v>1</v>
      </c>
      <c r="E7819" s="20" t="n">
        <f aca="false">Parametres!$B$5*C7819</f>
        <v>151.38</v>
      </c>
      <c r="F7819" s="20" t="n">
        <f aca="false">Parametres!$B$6*D7819</f>
        <v>200</v>
      </c>
      <c r="G7819" s="20" t="n">
        <f aca="false">E7819+F7819</f>
        <v>351.38</v>
      </c>
      <c r="H7819" s="20" t="n">
        <f aca="false">IF(G7819&lt;Parametres!$B$8*Parametres!$B$7,0,MIN(G7819,Parametres!$B$7))</f>
        <v>250</v>
      </c>
      <c r="I7819" s="20" t="n">
        <f aca="false">G7819-H7819</f>
        <v>101.38</v>
      </c>
      <c r="J7819" s="21" t="n">
        <f aca="false">H7819*1000/Parametres!$B$9</f>
        <v>4239.44378497541</v>
      </c>
    </row>
    <row r="7820" customFormat="false" ht="15" hidden="false" customHeight="false" outlineLevel="0" collapsed="false">
      <c r="A7820" s="0" t="n">
        <v>7816</v>
      </c>
      <c r="B7820" s="0" t="n">
        <v>11</v>
      </c>
      <c r="C7820" s="19" t="n">
        <v>0.3187</v>
      </c>
      <c r="D7820" s="19" t="n">
        <v>0.9269</v>
      </c>
      <c r="E7820" s="20" t="n">
        <f aca="false">Parametres!$B$5*C7820</f>
        <v>95.61</v>
      </c>
      <c r="F7820" s="20" t="n">
        <f aca="false">Parametres!$B$6*D7820</f>
        <v>185.38</v>
      </c>
      <c r="G7820" s="20" t="n">
        <f aca="false">E7820+F7820</f>
        <v>280.99</v>
      </c>
      <c r="H7820" s="20" t="n">
        <f aca="false">IF(G7820&lt;Parametres!$B$8*Parametres!$B$7,0,MIN(G7820,Parametres!$B$7))</f>
        <v>250</v>
      </c>
      <c r="I7820" s="20" t="n">
        <f aca="false">G7820-H7820</f>
        <v>30.99</v>
      </c>
      <c r="J7820" s="21" t="n">
        <f aca="false">H7820*1000/Parametres!$B$9</f>
        <v>4239.44378497541</v>
      </c>
    </row>
    <row r="7821" customFormat="false" ht="15" hidden="false" customHeight="false" outlineLevel="0" collapsed="false">
      <c r="A7821" s="0" t="n">
        <v>7817</v>
      </c>
      <c r="B7821" s="0" t="n">
        <v>11</v>
      </c>
      <c r="C7821" s="19" t="n">
        <v>0.1264</v>
      </c>
      <c r="D7821" s="19" t="n">
        <v>1</v>
      </c>
      <c r="E7821" s="20" t="n">
        <f aca="false">Parametres!$B$5*C7821</f>
        <v>37.92</v>
      </c>
      <c r="F7821" s="20" t="n">
        <f aca="false">Parametres!$B$6*D7821</f>
        <v>200</v>
      </c>
      <c r="G7821" s="20" t="n">
        <f aca="false">E7821+F7821</f>
        <v>237.92</v>
      </c>
      <c r="H7821" s="20" t="n">
        <f aca="false">IF(G7821&lt;Parametres!$B$8*Parametres!$B$7,0,MIN(G7821,Parametres!$B$7))</f>
        <v>237.92</v>
      </c>
      <c r="I7821" s="20" t="n">
        <f aca="false">G7821-H7821</f>
        <v>0</v>
      </c>
      <c r="J7821" s="21" t="n">
        <f aca="false">H7821*1000/Parametres!$B$9</f>
        <v>4034.5938612854</v>
      </c>
    </row>
    <row r="7822" customFormat="false" ht="15" hidden="false" customHeight="false" outlineLevel="0" collapsed="false">
      <c r="A7822" s="0" t="n">
        <v>7818</v>
      </c>
      <c r="B7822" s="0" t="n">
        <v>11</v>
      </c>
      <c r="C7822" s="19" t="n">
        <v>0</v>
      </c>
      <c r="D7822" s="19" t="n">
        <v>1</v>
      </c>
      <c r="E7822" s="20" t="n">
        <f aca="false">Parametres!$B$5*C7822</f>
        <v>0</v>
      </c>
      <c r="F7822" s="20" t="n">
        <f aca="false">Parametres!$B$6*D7822</f>
        <v>200</v>
      </c>
      <c r="G7822" s="20" t="n">
        <f aca="false">E7822+F7822</f>
        <v>200</v>
      </c>
      <c r="H7822" s="20" t="n">
        <f aca="false">IF(G7822&lt;Parametres!$B$8*Parametres!$B$7,0,MIN(G7822,Parametres!$B$7))</f>
        <v>200</v>
      </c>
      <c r="I7822" s="20" t="n">
        <f aca="false">G7822-H7822</f>
        <v>0</v>
      </c>
      <c r="J7822" s="21" t="n">
        <f aca="false">H7822*1000/Parametres!$B$9</f>
        <v>3391.55502798033</v>
      </c>
    </row>
    <row r="7823" customFormat="false" ht="15" hidden="false" customHeight="false" outlineLevel="0" collapsed="false">
      <c r="A7823" s="0" t="n">
        <v>7819</v>
      </c>
      <c r="B7823" s="0" t="n">
        <v>11</v>
      </c>
      <c r="C7823" s="19" t="n">
        <v>0</v>
      </c>
      <c r="D7823" s="19" t="n">
        <v>1</v>
      </c>
      <c r="E7823" s="20" t="n">
        <f aca="false">Parametres!$B$5*C7823</f>
        <v>0</v>
      </c>
      <c r="F7823" s="20" t="n">
        <f aca="false">Parametres!$B$6*D7823</f>
        <v>200</v>
      </c>
      <c r="G7823" s="20" t="n">
        <f aca="false">E7823+F7823</f>
        <v>200</v>
      </c>
      <c r="H7823" s="20" t="n">
        <f aca="false">IF(G7823&lt;Parametres!$B$8*Parametres!$B$7,0,MIN(G7823,Parametres!$B$7))</f>
        <v>200</v>
      </c>
      <c r="I7823" s="20" t="n">
        <f aca="false">G7823-H7823</f>
        <v>0</v>
      </c>
      <c r="J7823" s="21" t="n">
        <f aca="false">H7823*1000/Parametres!$B$9</f>
        <v>3391.55502798033</v>
      </c>
    </row>
    <row r="7824" customFormat="false" ht="15" hidden="false" customHeight="false" outlineLevel="0" collapsed="false">
      <c r="A7824" s="0" t="n">
        <v>7820</v>
      </c>
      <c r="B7824" s="0" t="n">
        <v>11</v>
      </c>
      <c r="C7824" s="19" t="n">
        <v>0</v>
      </c>
      <c r="D7824" s="19" t="n">
        <v>0.8736</v>
      </c>
      <c r="E7824" s="20" t="n">
        <f aca="false">Parametres!$B$5*C7824</f>
        <v>0</v>
      </c>
      <c r="F7824" s="20" t="n">
        <f aca="false">Parametres!$B$6*D7824</f>
        <v>174.72</v>
      </c>
      <c r="G7824" s="20" t="n">
        <f aca="false">E7824+F7824</f>
        <v>174.72</v>
      </c>
      <c r="H7824" s="20" t="n">
        <f aca="false">IF(G7824&lt;Parametres!$B$8*Parametres!$B$7,0,MIN(G7824,Parametres!$B$7))</f>
        <v>174.72</v>
      </c>
      <c r="I7824" s="20" t="n">
        <f aca="false">G7824-H7824</f>
        <v>0</v>
      </c>
      <c r="J7824" s="21" t="n">
        <f aca="false">H7824*1000/Parametres!$B$9</f>
        <v>2962.86247244362</v>
      </c>
    </row>
    <row r="7825" customFormat="false" ht="15" hidden="false" customHeight="false" outlineLevel="0" collapsed="false">
      <c r="A7825" s="0" t="n">
        <v>7821</v>
      </c>
      <c r="B7825" s="0" t="n">
        <v>11</v>
      </c>
      <c r="C7825" s="19" t="n">
        <v>0</v>
      </c>
      <c r="D7825" s="19" t="n">
        <v>0.8981</v>
      </c>
      <c r="E7825" s="20" t="n">
        <f aca="false">Parametres!$B$5*C7825</f>
        <v>0</v>
      </c>
      <c r="F7825" s="20" t="n">
        <f aca="false">Parametres!$B$6*D7825</f>
        <v>179.62</v>
      </c>
      <c r="G7825" s="20" t="n">
        <f aca="false">E7825+F7825</f>
        <v>179.62</v>
      </c>
      <c r="H7825" s="20" t="n">
        <f aca="false">IF(G7825&lt;Parametres!$B$8*Parametres!$B$7,0,MIN(G7825,Parametres!$B$7))</f>
        <v>179.62</v>
      </c>
      <c r="I7825" s="20" t="n">
        <f aca="false">G7825-H7825</f>
        <v>0</v>
      </c>
      <c r="J7825" s="21" t="n">
        <f aca="false">H7825*1000/Parametres!$B$9</f>
        <v>3045.95557062913</v>
      </c>
    </row>
    <row r="7826" customFormat="false" ht="15" hidden="false" customHeight="false" outlineLevel="0" collapsed="false">
      <c r="A7826" s="0" t="n">
        <v>7822</v>
      </c>
      <c r="B7826" s="0" t="n">
        <v>11</v>
      </c>
      <c r="C7826" s="19" t="n">
        <v>0</v>
      </c>
      <c r="D7826" s="19" t="n">
        <v>0.6665</v>
      </c>
      <c r="E7826" s="20" t="n">
        <f aca="false">Parametres!$B$5*C7826</f>
        <v>0</v>
      </c>
      <c r="F7826" s="20" t="n">
        <f aca="false">Parametres!$B$6*D7826</f>
        <v>133.3</v>
      </c>
      <c r="G7826" s="20" t="n">
        <f aca="false">E7826+F7826</f>
        <v>133.3</v>
      </c>
      <c r="H7826" s="20" t="n">
        <f aca="false">IF(G7826&lt;Parametres!$B$8*Parametres!$B$7,0,MIN(G7826,Parametres!$B$7))</f>
        <v>133.3</v>
      </c>
      <c r="I7826" s="20" t="n">
        <f aca="false">G7826-H7826</f>
        <v>0</v>
      </c>
      <c r="J7826" s="21" t="n">
        <f aca="false">H7826*1000/Parametres!$B$9</f>
        <v>2260.47142614889</v>
      </c>
    </row>
    <row r="7827" customFormat="false" ht="15" hidden="false" customHeight="false" outlineLevel="0" collapsed="false">
      <c r="A7827" s="0" t="n">
        <v>7823</v>
      </c>
      <c r="B7827" s="0" t="n">
        <v>11</v>
      </c>
      <c r="C7827" s="19" t="n">
        <v>0</v>
      </c>
      <c r="D7827" s="19" t="n">
        <v>0.5605</v>
      </c>
      <c r="E7827" s="20" t="n">
        <f aca="false">Parametres!$B$5*C7827</f>
        <v>0</v>
      </c>
      <c r="F7827" s="20" t="n">
        <f aca="false">Parametres!$B$6*D7827</f>
        <v>112.1</v>
      </c>
      <c r="G7827" s="20" t="n">
        <f aca="false">E7827+F7827</f>
        <v>112.1</v>
      </c>
      <c r="H7827" s="20" t="n">
        <f aca="false">IF(G7827&lt;Parametres!$B$8*Parametres!$B$7,0,MIN(G7827,Parametres!$B$7))</f>
        <v>112.1</v>
      </c>
      <c r="I7827" s="20" t="n">
        <f aca="false">G7827-H7827</f>
        <v>0</v>
      </c>
      <c r="J7827" s="21" t="n">
        <f aca="false">H7827*1000/Parametres!$B$9</f>
        <v>1900.96659318297</v>
      </c>
    </row>
    <row r="7828" customFormat="false" ht="15" hidden="false" customHeight="false" outlineLevel="0" collapsed="false">
      <c r="A7828" s="0" t="n">
        <v>7824</v>
      </c>
      <c r="B7828" s="0" t="n">
        <v>11</v>
      </c>
      <c r="C7828" s="19" t="n">
        <v>0</v>
      </c>
      <c r="D7828" s="19" t="n">
        <v>0.6598</v>
      </c>
      <c r="E7828" s="20" t="n">
        <f aca="false">Parametres!$B$5*C7828</f>
        <v>0</v>
      </c>
      <c r="F7828" s="20" t="n">
        <f aca="false">Parametres!$B$6*D7828</f>
        <v>131.96</v>
      </c>
      <c r="G7828" s="20" t="n">
        <f aca="false">E7828+F7828</f>
        <v>131.96</v>
      </c>
      <c r="H7828" s="20" t="n">
        <f aca="false">IF(G7828&lt;Parametres!$B$8*Parametres!$B$7,0,MIN(G7828,Parametres!$B$7))</f>
        <v>131.96</v>
      </c>
      <c r="I7828" s="20" t="n">
        <f aca="false">G7828-H7828</f>
        <v>0</v>
      </c>
      <c r="J7828" s="21" t="n">
        <f aca="false">H7828*1000/Parametres!$B$9</f>
        <v>2237.74800746142</v>
      </c>
    </row>
    <row r="7829" customFormat="false" ht="15" hidden="false" customHeight="false" outlineLevel="0" collapsed="false">
      <c r="A7829" s="0" t="n">
        <v>7825</v>
      </c>
      <c r="B7829" s="0" t="n">
        <v>11</v>
      </c>
      <c r="C7829" s="19" t="n">
        <v>0</v>
      </c>
      <c r="D7829" s="19" t="n">
        <v>0.8447</v>
      </c>
      <c r="E7829" s="20" t="n">
        <f aca="false">Parametres!$B$5*C7829</f>
        <v>0</v>
      </c>
      <c r="F7829" s="20" t="n">
        <f aca="false">Parametres!$B$6*D7829</f>
        <v>168.94</v>
      </c>
      <c r="G7829" s="20" t="n">
        <f aca="false">E7829+F7829</f>
        <v>168.94</v>
      </c>
      <c r="H7829" s="20" t="n">
        <f aca="false">IF(G7829&lt;Parametres!$B$8*Parametres!$B$7,0,MIN(G7829,Parametres!$B$7))</f>
        <v>168.94</v>
      </c>
      <c r="I7829" s="20" t="n">
        <f aca="false">G7829-H7829</f>
        <v>0</v>
      </c>
      <c r="J7829" s="21" t="n">
        <f aca="false">H7829*1000/Parametres!$B$9</f>
        <v>2864.84653213498</v>
      </c>
    </row>
    <row r="7830" customFormat="false" ht="15" hidden="false" customHeight="false" outlineLevel="0" collapsed="false">
      <c r="A7830" s="0" t="n">
        <v>7826</v>
      </c>
      <c r="B7830" s="0" t="n">
        <v>11</v>
      </c>
      <c r="C7830" s="19" t="n">
        <v>0</v>
      </c>
      <c r="D7830" s="19" t="n">
        <v>0.8435</v>
      </c>
      <c r="E7830" s="20" t="n">
        <f aca="false">Parametres!$B$5*C7830</f>
        <v>0</v>
      </c>
      <c r="F7830" s="20" t="n">
        <f aca="false">Parametres!$B$6*D7830</f>
        <v>168.7</v>
      </c>
      <c r="G7830" s="20" t="n">
        <f aca="false">E7830+F7830</f>
        <v>168.7</v>
      </c>
      <c r="H7830" s="20" t="n">
        <f aca="false">IF(G7830&lt;Parametres!$B$8*Parametres!$B$7,0,MIN(G7830,Parametres!$B$7))</f>
        <v>168.7</v>
      </c>
      <c r="I7830" s="20" t="n">
        <f aca="false">G7830-H7830</f>
        <v>0</v>
      </c>
      <c r="J7830" s="21" t="n">
        <f aca="false">H7830*1000/Parametres!$B$9</f>
        <v>2860.77666610141</v>
      </c>
    </row>
    <row r="7831" customFormat="false" ht="15" hidden="false" customHeight="false" outlineLevel="0" collapsed="false">
      <c r="A7831" s="0" t="n">
        <v>7827</v>
      </c>
      <c r="B7831" s="0" t="n">
        <v>11</v>
      </c>
      <c r="C7831" s="19" t="n">
        <v>0</v>
      </c>
      <c r="D7831" s="19" t="n">
        <v>0.5499</v>
      </c>
      <c r="E7831" s="20" t="n">
        <f aca="false">Parametres!$B$5*C7831</f>
        <v>0</v>
      </c>
      <c r="F7831" s="20" t="n">
        <f aca="false">Parametres!$B$6*D7831</f>
        <v>109.98</v>
      </c>
      <c r="G7831" s="20" t="n">
        <f aca="false">E7831+F7831</f>
        <v>109.98</v>
      </c>
      <c r="H7831" s="20" t="n">
        <f aca="false">IF(G7831&lt;Parametres!$B$8*Parametres!$B$7,0,MIN(G7831,Parametres!$B$7))</f>
        <v>109.98</v>
      </c>
      <c r="I7831" s="20" t="n">
        <f aca="false">G7831-H7831</f>
        <v>0</v>
      </c>
      <c r="J7831" s="21" t="n">
        <f aca="false">H7831*1000/Parametres!$B$9</f>
        <v>1865.01610988638</v>
      </c>
    </row>
    <row r="7832" customFormat="false" ht="15" hidden="false" customHeight="false" outlineLevel="0" collapsed="false">
      <c r="A7832" s="0" t="n">
        <v>7828</v>
      </c>
      <c r="B7832" s="0" t="n">
        <v>11</v>
      </c>
      <c r="C7832" s="19" t="n">
        <v>0</v>
      </c>
      <c r="D7832" s="19" t="n">
        <v>0.4527</v>
      </c>
      <c r="E7832" s="20" t="n">
        <f aca="false">Parametres!$B$5*C7832</f>
        <v>0</v>
      </c>
      <c r="F7832" s="20" t="n">
        <f aca="false">Parametres!$B$6*D7832</f>
        <v>90.54</v>
      </c>
      <c r="G7832" s="20" t="n">
        <f aca="false">E7832+F7832</f>
        <v>90.54</v>
      </c>
      <c r="H7832" s="20" t="n">
        <f aca="false">IF(G7832&lt;Parametres!$B$8*Parametres!$B$7,0,MIN(G7832,Parametres!$B$7))</f>
        <v>90.54</v>
      </c>
      <c r="I7832" s="20" t="n">
        <f aca="false">G7832-H7832</f>
        <v>0</v>
      </c>
      <c r="J7832" s="21" t="n">
        <f aca="false">H7832*1000/Parametres!$B$9</f>
        <v>1535.35696116669</v>
      </c>
    </row>
    <row r="7833" customFormat="false" ht="15" hidden="false" customHeight="false" outlineLevel="0" collapsed="false">
      <c r="A7833" s="0" t="n">
        <v>7829</v>
      </c>
      <c r="B7833" s="0" t="n">
        <v>11</v>
      </c>
      <c r="C7833" s="19" t="n">
        <v>0</v>
      </c>
      <c r="D7833" s="19" t="n">
        <v>0.4258</v>
      </c>
      <c r="E7833" s="20" t="n">
        <f aca="false">Parametres!$B$5*C7833</f>
        <v>0</v>
      </c>
      <c r="F7833" s="20" t="n">
        <f aca="false">Parametres!$B$6*D7833</f>
        <v>85.16</v>
      </c>
      <c r="G7833" s="20" t="n">
        <f aca="false">E7833+F7833</f>
        <v>85.16</v>
      </c>
      <c r="H7833" s="20" t="n">
        <f aca="false">IF(G7833&lt;Parametres!$B$8*Parametres!$B$7,0,MIN(G7833,Parametres!$B$7))</f>
        <v>85.16</v>
      </c>
      <c r="I7833" s="20" t="n">
        <f aca="false">G7833-H7833</f>
        <v>0</v>
      </c>
      <c r="J7833" s="21" t="n">
        <f aca="false">H7833*1000/Parametres!$B$9</f>
        <v>1444.12413091402</v>
      </c>
    </row>
    <row r="7834" customFormat="false" ht="15" hidden="false" customHeight="false" outlineLevel="0" collapsed="false">
      <c r="A7834" s="0" t="n">
        <v>7830</v>
      </c>
      <c r="B7834" s="0" t="n">
        <v>11</v>
      </c>
      <c r="C7834" s="19" t="n">
        <v>0</v>
      </c>
      <c r="D7834" s="19" t="n">
        <v>0.7355</v>
      </c>
      <c r="E7834" s="20" t="n">
        <f aca="false">Parametres!$B$5*C7834</f>
        <v>0</v>
      </c>
      <c r="F7834" s="20" t="n">
        <f aca="false">Parametres!$B$6*D7834</f>
        <v>147.1</v>
      </c>
      <c r="G7834" s="20" t="n">
        <f aca="false">E7834+F7834</f>
        <v>147.1</v>
      </c>
      <c r="H7834" s="20" t="n">
        <f aca="false">IF(G7834&lt;Parametres!$B$8*Parametres!$B$7,0,MIN(G7834,Parametres!$B$7))</f>
        <v>147.1</v>
      </c>
      <c r="I7834" s="20" t="n">
        <f aca="false">G7834-H7834</f>
        <v>0</v>
      </c>
      <c r="J7834" s="21" t="n">
        <f aca="false">H7834*1000/Parametres!$B$9</f>
        <v>2494.48872307953</v>
      </c>
    </row>
    <row r="7835" customFormat="false" ht="15" hidden="false" customHeight="false" outlineLevel="0" collapsed="false">
      <c r="A7835" s="0" t="n">
        <v>7831</v>
      </c>
      <c r="B7835" s="0" t="n">
        <v>11</v>
      </c>
      <c r="C7835" s="19" t="n">
        <v>0</v>
      </c>
      <c r="D7835" s="19" t="n">
        <v>0.8781</v>
      </c>
      <c r="E7835" s="20" t="n">
        <f aca="false">Parametres!$B$5*C7835</f>
        <v>0</v>
      </c>
      <c r="F7835" s="20" t="n">
        <f aca="false">Parametres!$B$6*D7835</f>
        <v>175.62</v>
      </c>
      <c r="G7835" s="20" t="n">
        <f aca="false">E7835+F7835</f>
        <v>175.62</v>
      </c>
      <c r="H7835" s="20" t="n">
        <f aca="false">IF(G7835&lt;Parametres!$B$8*Parametres!$B$7,0,MIN(G7835,Parametres!$B$7))</f>
        <v>175.62</v>
      </c>
      <c r="I7835" s="20" t="n">
        <f aca="false">G7835-H7835</f>
        <v>0</v>
      </c>
      <c r="J7835" s="21" t="n">
        <f aca="false">H7835*1000/Parametres!$B$9</f>
        <v>2978.12447006953</v>
      </c>
    </row>
    <row r="7836" customFormat="false" ht="15" hidden="false" customHeight="false" outlineLevel="0" collapsed="false">
      <c r="A7836" s="0" t="n">
        <v>7832</v>
      </c>
      <c r="B7836" s="0" t="n">
        <v>11</v>
      </c>
      <c r="C7836" s="19" t="n">
        <v>0.1331</v>
      </c>
      <c r="D7836" s="19" t="n">
        <v>0.8762</v>
      </c>
      <c r="E7836" s="20" t="n">
        <f aca="false">Parametres!$B$5*C7836</f>
        <v>39.93</v>
      </c>
      <c r="F7836" s="20" t="n">
        <f aca="false">Parametres!$B$6*D7836</f>
        <v>175.24</v>
      </c>
      <c r="G7836" s="20" t="n">
        <f aca="false">E7836+F7836</f>
        <v>215.17</v>
      </c>
      <c r="H7836" s="20" t="n">
        <f aca="false">IF(G7836&lt;Parametres!$B$8*Parametres!$B$7,0,MIN(G7836,Parametres!$B$7))</f>
        <v>215.17</v>
      </c>
      <c r="I7836" s="20" t="n">
        <f aca="false">G7836-H7836</f>
        <v>0</v>
      </c>
      <c r="J7836" s="21" t="n">
        <f aca="false">H7836*1000/Parametres!$B$9</f>
        <v>3648.80447685264</v>
      </c>
    </row>
    <row r="7837" customFormat="false" ht="15" hidden="false" customHeight="false" outlineLevel="0" collapsed="false">
      <c r="A7837" s="0" t="n">
        <v>7833</v>
      </c>
      <c r="B7837" s="0" t="n">
        <v>11</v>
      </c>
      <c r="C7837" s="19" t="n">
        <v>0.3102</v>
      </c>
      <c r="D7837" s="19" t="n">
        <v>0.6599</v>
      </c>
      <c r="E7837" s="20" t="n">
        <f aca="false">Parametres!$B$5*C7837</f>
        <v>93.06</v>
      </c>
      <c r="F7837" s="20" t="n">
        <f aca="false">Parametres!$B$6*D7837</f>
        <v>131.98</v>
      </c>
      <c r="G7837" s="20" t="n">
        <f aca="false">E7837+F7837</f>
        <v>225.04</v>
      </c>
      <c r="H7837" s="20" t="n">
        <f aca="false">IF(G7837&lt;Parametres!$B$8*Parametres!$B$7,0,MIN(G7837,Parametres!$B$7))</f>
        <v>225.04</v>
      </c>
      <c r="I7837" s="20" t="n">
        <f aca="false">G7837-H7837</f>
        <v>0</v>
      </c>
      <c r="J7837" s="21" t="n">
        <f aca="false">H7837*1000/Parametres!$B$9</f>
        <v>3816.17771748347</v>
      </c>
    </row>
    <row r="7838" customFormat="false" ht="15" hidden="false" customHeight="false" outlineLevel="0" collapsed="false">
      <c r="A7838" s="0" t="n">
        <v>7834</v>
      </c>
      <c r="B7838" s="0" t="n">
        <v>11</v>
      </c>
      <c r="C7838" s="19" t="n">
        <v>0.491</v>
      </c>
      <c r="D7838" s="19" t="n">
        <v>0.5763</v>
      </c>
      <c r="E7838" s="20" t="n">
        <f aca="false">Parametres!$B$5*C7838</f>
        <v>147.3</v>
      </c>
      <c r="F7838" s="20" t="n">
        <f aca="false">Parametres!$B$6*D7838</f>
        <v>115.26</v>
      </c>
      <c r="G7838" s="20" t="n">
        <f aca="false">E7838+F7838</f>
        <v>262.56</v>
      </c>
      <c r="H7838" s="20" t="n">
        <f aca="false">IF(G7838&lt;Parametres!$B$8*Parametres!$B$7,0,MIN(G7838,Parametres!$B$7))</f>
        <v>250</v>
      </c>
      <c r="I7838" s="20" t="n">
        <f aca="false">G7838-H7838</f>
        <v>12.56</v>
      </c>
      <c r="J7838" s="21" t="n">
        <f aca="false">H7838*1000/Parametres!$B$9</f>
        <v>4239.44378497541</v>
      </c>
    </row>
    <row r="7839" customFormat="false" ht="15" hidden="false" customHeight="false" outlineLevel="0" collapsed="false">
      <c r="A7839" s="0" t="n">
        <v>7835</v>
      </c>
      <c r="B7839" s="0" t="n">
        <v>11</v>
      </c>
      <c r="C7839" s="19" t="n">
        <v>0.605</v>
      </c>
      <c r="D7839" s="19" t="n">
        <v>0.8737</v>
      </c>
      <c r="E7839" s="20" t="n">
        <f aca="false">Parametres!$B$5*C7839</f>
        <v>181.5</v>
      </c>
      <c r="F7839" s="20" t="n">
        <f aca="false">Parametres!$B$6*D7839</f>
        <v>174.74</v>
      </c>
      <c r="G7839" s="20" t="n">
        <f aca="false">E7839+F7839</f>
        <v>356.24</v>
      </c>
      <c r="H7839" s="20" t="n">
        <f aca="false">IF(G7839&lt;Parametres!$B$8*Parametres!$B$7,0,MIN(G7839,Parametres!$B$7))</f>
        <v>250</v>
      </c>
      <c r="I7839" s="20" t="n">
        <f aca="false">G7839-H7839</f>
        <v>106.24</v>
      </c>
      <c r="J7839" s="21" t="n">
        <f aca="false">H7839*1000/Parametres!$B$9</f>
        <v>4239.44378497541</v>
      </c>
    </row>
    <row r="7840" customFormat="false" ht="15" hidden="false" customHeight="false" outlineLevel="0" collapsed="false">
      <c r="A7840" s="0" t="n">
        <v>7836</v>
      </c>
      <c r="B7840" s="0" t="n">
        <v>11</v>
      </c>
      <c r="C7840" s="19" t="n">
        <v>0.6658</v>
      </c>
      <c r="D7840" s="19" t="n">
        <v>0.817</v>
      </c>
      <c r="E7840" s="20" t="n">
        <f aca="false">Parametres!$B$5*C7840</f>
        <v>199.74</v>
      </c>
      <c r="F7840" s="20" t="n">
        <f aca="false">Parametres!$B$6*D7840</f>
        <v>163.4</v>
      </c>
      <c r="G7840" s="20" t="n">
        <f aca="false">E7840+F7840</f>
        <v>363.14</v>
      </c>
      <c r="H7840" s="20" t="n">
        <f aca="false">IF(G7840&lt;Parametres!$B$8*Parametres!$B$7,0,MIN(G7840,Parametres!$B$7))</f>
        <v>250</v>
      </c>
      <c r="I7840" s="20" t="n">
        <f aca="false">G7840-H7840</f>
        <v>113.14</v>
      </c>
      <c r="J7840" s="21" t="n">
        <f aca="false">H7840*1000/Parametres!$B$9</f>
        <v>4239.44378497541</v>
      </c>
    </row>
    <row r="7841" customFormat="false" ht="15" hidden="false" customHeight="false" outlineLevel="0" collapsed="false">
      <c r="A7841" s="0" t="n">
        <v>7837</v>
      </c>
      <c r="B7841" s="0" t="n">
        <v>11</v>
      </c>
      <c r="C7841" s="19" t="n">
        <v>0.6939</v>
      </c>
      <c r="D7841" s="19" t="n">
        <v>1</v>
      </c>
      <c r="E7841" s="20" t="n">
        <f aca="false">Parametres!$B$5*C7841</f>
        <v>208.17</v>
      </c>
      <c r="F7841" s="20" t="n">
        <f aca="false">Parametres!$B$6*D7841</f>
        <v>200</v>
      </c>
      <c r="G7841" s="20" t="n">
        <f aca="false">E7841+F7841</f>
        <v>408.17</v>
      </c>
      <c r="H7841" s="20" t="n">
        <f aca="false">IF(G7841&lt;Parametres!$B$8*Parametres!$B$7,0,MIN(G7841,Parametres!$B$7))</f>
        <v>250</v>
      </c>
      <c r="I7841" s="20" t="n">
        <f aca="false">G7841-H7841</f>
        <v>158.17</v>
      </c>
      <c r="J7841" s="21" t="n">
        <f aca="false">H7841*1000/Parametres!$B$9</f>
        <v>4239.44378497541</v>
      </c>
    </row>
    <row r="7842" customFormat="false" ht="15" hidden="false" customHeight="false" outlineLevel="0" collapsed="false">
      <c r="A7842" s="0" t="n">
        <v>7838</v>
      </c>
      <c r="B7842" s="0" t="n">
        <v>11</v>
      </c>
      <c r="C7842" s="19" t="n">
        <v>0.5697</v>
      </c>
      <c r="D7842" s="19" t="n">
        <v>1</v>
      </c>
      <c r="E7842" s="20" t="n">
        <f aca="false">Parametres!$B$5*C7842</f>
        <v>170.91</v>
      </c>
      <c r="F7842" s="20" t="n">
        <f aca="false">Parametres!$B$6*D7842</f>
        <v>200</v>
      </c>
      <c r="G7842" s="20" t="n">
        <f aca="false">E7842+F7842</f>
        <v>370.91</v>
      </c>
      <c r="H7842" s="20" t="n">
        <f aca="false">IF(G7842&lt;Parametres!$B$8*Parametres!$B$7,0,MIN(G7842,Parametres!$B$7))</f>
        <v>250</v>
      </c>
      <c r="I7842" s="20" t="n">
        <f aca="false">G7842-H7842</f>
        <v>120.91</v>
      </c>
      <c r="J7842" s="21" t="n">
        <f aca="false">H7842*1000/Parametres!$B$9</f>
        <v>4239.44378497541</v>
      </c>
    </row>
    <row r="7843" customFormat="false" ht="15" hidden="false" customHeight="false" outlineLevel="0" collapsed="false">
      <c r="A7843" s="0" t="n">
        <v>7839</v>
      </c>
      <c r="B7843" s="0" t="n">
        <v>11</v>
      </c>
      <c r="C7843" s="19" t="n">
        <v>0.4724</v>
      </c>
      <c r="D7843" s="19" t="n">
        <v>1</v>
      </c>
      <c r="E7843" s="20" t="n">
        <f aca="false">Parametres!$B$5*C7843</f>
        <v>141.72</v>
      </c>
      <c r="F7843" s="20" t="n">
        <f aca="false">Parametres!$B$6*D7843</f>
        <v>200</v>
      </c>
      <c r="G7843" s="20" t="n">
        <f aca="false">E7843+F7843</f>
        <v>341.72</v>
      </c>
      <c r="H7843" s="20" t="n">
        <f aca="false">IF(G7843&lt;Parametres!$B$8*Parametres!$B$7,0,MIN(G7843,Parametres!$B$7))</f>
        <v>250</v>
      </c>
      <c r="I7843" s="20" t="n">
        <f aca="false">G7843-H7843</f>
        <v>91.72</v>
      </c>
      <c r="J7843" s="21" t="n">
        <f aca="false">H7843*1000/Parametres!$B$9</f>
        <v>4239.44378497541</v>
      </c>
    </row>
    <row r="7844" customFormat="false" ht="15" hidden="false" customHeight="false" outlineLevel="0" collapsed="false">
      <c r="A7844" s="0" t="n">
        <v>7840</v>
      </c>
      <c r="B7844" s="0" t="n">
        <v>11</v>
      </c>
      <c r="C7844" s="19" t="n">
        <v>0.3187</v>
      </c>
      <c r="D7844" s="19" t="n">
        <v>1</v>
      </c>
      <c r="E7844" s="20" t="n">
        <f aca="false">Parametres!$B$5*C7844</f>
        <v>95.61</v>
      </c>
      <c r="F7844" s="20" t="n">
        <f aca="false">Parametres!$B$6*D7844</f>
        <v>200</v>
      </c>
      <c r="G7844" s="20" t="n">
        <f aca="false">E7844+F7844</f>
        <v>295.61</v>
      </c>
      <c r="H7844" s="20" t="n">
        <f aca="false">IF(G7844&lt;Parametres!$B$8*Parametres!$B$7,0,MIN(G7844,Parametres!$B$7))</f>
        <v>250</v>
      </c>
      <c r="I7844" s="20" t="n">
        <f aca="false">G7844-H7844</f>
        <v>45.61</v>
      </c>
      <c r="J7844" s="21" t="n">
        <f aca="false">H7844*1000/Parametres!$B$9</f>
        <v>4239.44378497541</v>
      </c>
    </row>
    <row r="7845" customFormat="false" ht="15" hidden="false" customHeight="false" outlineLevel="0" collapsed="false">
      <c r="A7845" s="0" t="n">
        <v>7841</v>
      </c>
      <c r="B7845" s="0" t="n">
        <v>11</v>
      </c>
      <c r="C7845" s="19" t="n">
        <v>0.125</v>
      </c>
      <c r="D7845" s="19" t="n">
        <v>1</v>
      </c>
      <c r="E7845" s="20" t="n">
        <f aca="false">Parametres!$B$5*C7845</f>
        <v>37.5</v>
      </c>
      <c r="F7845" s="20" t="n">
        <f aca="false">Parametres!$B$6*D7845</f>
        <v>200</v>
      </c>
      <c r="G7845" s="20" t="n">
        <f aca="false">E7845+F7845</f>
        <v>237.5</v>
      </c>
      <c r="H7845" s="20" t="n">
        <f aca="false">IF(G7845&lt;Parametres!$B$8*Parametres!$B$7,0,MIN(G7845,Parametres!$B$7))</f>
        <v>237.5</v>
      </c>
      <c r="I7845" s="20" t="n">
        <f aca="false">G7845-H7845</f>
        <v>0</v>
      </c>
      <c r="J7845" s="21" t="n">
        <f aca="false">H7845*1000/Parametres!$B$9</f>
        <v>4027.47159572664</v>
      </c>
    </row>
    <row r="7846" customFormat="false" ht="15" hidden="false" customHeight="false" outlineLevel="0" collapsed="false">
      <c r="A7846" s="0" t="n">
        <v>7842</v>
      </c>
      <c r="B7846" s="0" t="n">
        <v>11</v>
      </c>
      <c r="C7846" s="19" t="n">
        <v>0</v>
      </c>
      <c r="D7846" s="19" t="n">
        <v>1</v>
      </c>
      <c r="E7846" s="20" t="n">
        <f aca="false">Parametres!$B$5*C7846</f>
        <v>0</v>
      </c>
      <c r="F7846" s="20" t="n">
        <f aca="false">Parametres!$B$6*D7846</f>
        <v>200</v>
      </c>
      <c r="G7846" s="20" t="n">
        <f aca="false">E7846+F7846</f>
        <v>200</v>
      </c>
      <c r="H7846" s="20" t="n">
        <f aca="false">IF(G7846&lt;Parametres!$B$8*Parametres!$B$7,0,MIN(G7846,Parametres!$B$7))</f>
        <v>200</v>
      </c>
      <c r="I7846" s="20" t="n">
        <f aca="false">G7846-H7846</f>
        <v>0</v>
      </c>
      <c r="J7846" s="21" t="n">
        <f aca="false">H7846*1000/Parametres!$B$9</f>
        <v>3391.55502798033</v>
      </c>
    </row>
    <row r="7847" customFormat="false" ht="15" hidden="false" customHeight="false" outlineLevel="0" collapsed="false">
      <c r="A7847" s="0" t="n">
        <v>7843</v>
      </c>
      <c r="B7847" s="0" t="n">
        <v>11</v>
      </c>
      <c r="C7847" s="19" t="n">
        <v>0</v>
      </c>
      <c r="D7847" s="19" t="n">
        <v>1</v>
      </c>
      <c r="E7847" s="20" t="n">
        <f aca="false">Parametres!$B$5*C7847</f>
        <v>0</v>
      </c>
      <c r="F7847" s="20" t="n">
        <f aca="false">Parametres!$B$6*D7847</f>
        <v>200</v>
      </c>
      <c r="G7847" s="20" t="n">
        <f aca="false">E7847+F7847</f>
        <v>200</v>
      </c>
      <c r="H7847" s="20" t="n">
        <f aca="false">IF(G7847&lt;Parametres!$B$8*Parametres!$B$7,0,MIN(G7847,Parametres!$B$7))</f>
        <v>200</v>
      </c>
      <c r="I7847" s="20" t="n">
        <f aca="false">G7847-H7847</f>
        <v>0</v>
      </c>
      <c r="J7847" s="21" t="n">
        <f aca="false">H7847*1000/Parametres!$B$9</f>
        <v>3391.55502798033</v>
      </c>
    </row>
    <row r="7848" customFormat="false" ht="15" hidden="false" customHeight="false" outlineLevel="0" collapsed="false">
      <c r="A7848" s="0" t="n">
        <v>7844</v>
      </c>
      <c r="B7848" s="0" t="n">
        <v>11</v>
      </c>
      <c r="C7848" s="19" t="n">
        <v>0</v>
      </c>
      <c r="D7848" s="19" t="n">
        <v>1</v>
      </c>
      <c r="E7848" s="20" t="n">
        <f aca="false">Parametres!$B$5*C7848</f>
        <v>0</v>
      </c>
      <c r="F7848" s="20" t="n">
        <f aca="false">Parametres!$B$6*D7848</f>
        <v>200</v>
      </c>
      <c r="G7848" s="20" t="n">
        <f aca="false">E7848+F7848</f>
        <v>200</v>
      </c>
      <c r="H7848" s="20" t="n">
        <f aca="false">IF(G7848&lt;Parametres!$B$8*Parametres!$B$7,0,MIN(G7848,Parametres!$B$7))</f>
        <v>200</v>
      </c>
      <c r="I7848" s="20" t="n">
        <f aca="false">G7848-H7848</f>
        <v>0</v>
      </c>
      <c r="J7848" s="21" t="n">
        <f aca="false">H7848*1000/Parametres!$B$9</f>
        <v>3391.55502798033</v>
      </c>
    </row>
    <row r="7849" customFormat="false" ht="15" hidden="false" customHeight="false" outlineLevel="0" collapsed="false">
      <c r="A7849" s="0" t="n">
        <v>7845</v>
      </c>
      <c r="B7849" s="0" t="n">
        <v>11</v>
      </c>
      <c r="C7849" s="19" t="n">
        <v>0</v>
      </c>
      <c r="D7849" s="19" t="n">
        <v>1</v>
      </c>
      <c r="E7849" s="20" t="n">
        <f aca="false">Parametres!$B$5*C7849</f>
        <v>0</v>
      </c>
      <c r="F7849" s="20" t="n">
        <f aca="false">Parametres!$B$6*D7849</f>
        <v>200</v>
      </c>
      <c r="G7849" s="20" t="n">
        <f aca="false">E7849+F7849</f>
        <v>200</v>
      </c>
      <c r="H7849" s="20" t="n">
        <f aca="false">IF(G7849&lt;Parametres!$B$8*Parametres!$B$7,0,MIN(G7849,Parametres!$B$7))</f>
        <v>200</v>
      </c>
      <c r="I7849" s="20" t="n">
        <f aca="false">G7849-H7849</f>
        <v>0</v>
      </c>
      <c r="J7849" s="21" t="n">
        <f aca="false">H7849*1000/Parametres!$B$9</f>
        <v>3391.55502798033</v>
      </c>
    </row>
    <row r="7850" customFormat="false" ht="15" hidden="false" customHeight="false" outlineLevel="0" collapsed="false">
      <c r="A7850" s="0" t="n">
        <v>7846</v>
      </c>
      <c r="B7850" s="0" t="n">
        <v>11</v>
      </c>
      <c r="C7850" s="19" t="n">
        <v>0</v>
      </c>
      <c r="D7850" s="19" t="n">
        <v>0.9671</v>
      </c>
      <c r="E7850" s="20" t="n">
        <f aca="false">Parametres!$B$5*C7850</f>
        <v>0</v>
      </c>
      <c r="F7850" s="20" t="n">
        <f aca="false">Parametres!$B$6*D7850</f>
        <v>193.42</v>
      </c>
      <c r="G7850" s="20" t="n">
        <f aca="false">E7850+F7850</f>
        <v>193.42</v>
      </c>
      <c r="H7850" s="20" t="n">
        <f aca="false">IF(G7850&lt;Parametres!$B$8*Parametres!$B$7,0,MIN(G7850,Parametres!$B$7))</f>
        <v>193.42</v>
      </c>
      <c r="I7850" s="20" t="n">
        <f aca="false">G7850-H7850</f>
        <v>0</v>
      </c>
      <c r="J7850" s="21" t="n">
        <f aca="false">H7850*1000/Parametres!$B$9</f>
        <v>3279.97286755978</v>
      </c>
    </row>
    <row r="7851" customFormat="false" ht="15" hidden="false" customHeight="false" outlineLevel="0" collapsed="false">
      <c r="A7851" s="0" t="n">
        <v>7847</v>
      </c>
      <c r="B7851" s="0" t="n">
        <v>11</v>
      </c>
      <c r="C7851" s="19" t="n">
        <v>0</v>
      </c>
      <c r="D7851" s="19" t="n">
        <v>0.5614</v>
      </c>
      <c r="E7851" s="20" t="n">
        <f aca="false">Parametres!$B$5*C7851</f>
        <v>0</v>
      </c>
      <c r="F7851" s="20" t="n">
        <f aca="false">Parametres!$B$6*D7851</f>
        <v>112.28</v>
      </c>
      <c r="G7851" s="20" t="n">
        <f aca="false">E7851+F7851</f>
        <v>112.28</v>
      </c>
      <c r="H7851" s="20" t="n">
        <f aca="false">IF(G7851&lt;Parametres!$B$8*Parametres!$B$7,0,MIN(G7851,Parametres!$B$7))</f>
        <v>112.28</v>
      </c>
      <c r="I7851" s="20" t="n">
        <f aca="false">G7851-H7851</f>
        <v>0</v>
      </c>
      <c r="J7851" s="21" t="n">
        <f aca="false">H7851*1000/Parametres!$B$9</f>
        <v>1904.01899270816</v>
      </c>
    </row>
    <row r="7852" customFormat="false" ht="15" hidden="false" customHeight="false" outlineLevel="0" collapsed="false">
      <c r="A7852" s="0" t="n">
        <v>7848</v>
      </c>
      <c r="B7852" s="0" t="n">
        <v>11</v>
      </c>
      <c r="C7852" s="19" t="n">
        <v>0</v>
      </c>
      <c r="D7852" s="19" t="n">
        <v>0.4918</v>
      </c>
      <c r="E7852" s="20" t="n">
        <f aca="false">Parametres!$B$5*C7852</f>
        <v>0</v>
      </c>
      <c r="F7852" s="20" t="n">
        <f aca="false">Parametres!$B$6*D7852</f>
        <v>98.36</v>
      </c>
      <c r="G7852" s="20" t="n">
        <f aca="false">E7852+F7852</f>
        <v>98.36</v>
      </c>
      <c r="H7852" s="20" t="n">
        <f aca="false">IF(G7852&lt;Parametres!$B$8*Parametres!$B$7,0,MIN(G7852,Parametres!$B$7))</f>
        <v>98.36</v>
      </c>
      <c r="I7852" s="20" t="n">
        <f aca="false">G7852-H7852</f>
        <v>0</v>
      </c>
      <c r="J7852" s="21" t="n">
        <f aca="false">H7852*1000/Parametres!$B$9</f>
        <v>1667.96676276073</v>
      </c>
    </row>
    <row r="7853" customFormat="false" ht="15" hidden="false" customHeight="false" outlineLevel="0" collapsed="false">
      <c r="A7853" s="0" t="n">
        <v>7849</v>
      </c>
      <c r="B7853" s="0" t="n">
        <v>11</v>
      </c>
      <c r="C7853" s="19" t="n">
        <v>0</v>
      </c>
      <c r="D7853" s="19" t="n">
        <v>0.4208</v>
      </c>
      <c r="E7853" s="20" t="n">
        <f aca="false">Parametres!$B$5*C7853</f>
        <v>0</v>
      </c>
      <c r="F7853" s="20" t="n">
        <f aca="false">Parametres!$B$6*D7853</f>
        <v>84.16</v>
      </c>
      <c r="G7853" s="20" t="n">
        <f aca="false">E7853+F7853</f>
        <v>84.16</v>
      </c>
      <c r="H7853" s="20" t="n">
        <f aca="false">IF(G7853&lt;Parametres!$B$8*Parametres!$B$7,0,MIN(G7853,Parametres!$B$7))</f>
        <v>84.16</v>
      </c>
      <c r="I7853" s="20" t="n">
        <f aca="false">G7853-H7853</f>
        <v>0</v>
      </c>
      <c r="J7853" s="21" t="n">
        <f aca="false">H7853*1000/Parametres!$B$9</f>
        <v>1427.16635577412</v>
      </c>
    </row>
    <row r="7854" customFormat="false" ht="15" hidden="false" customHeight="false" outlineLevel="0" collapsed="false">
      <c r="A7854" s="0" t="n">
        <v>7850</v>
      </c>
      <c r="B7854" s="0" t="n">
        <v>11</v>
      </c>
      <c r="C7854" s="19" t="n">
        <v>0</v>
      </c>
      <c r="D7854" s="19" t="n">
        <v>0.3003</v>
      </c>
      <c r="E7854" s="20" t="n">
        <f aca="false">Parametres!$B$5*C7854</f>
        <v>0</v>
      </c>
      <c r="F7854" s="20" t="n">
        <f aca="false">Parametres!$B$6*D7854</f>
        <v>60.06</v>
      </c>
      <c r="G7854" s="20" t="n">
        <f aca="false">E7854+F7854</f>
        <v>60.06</v>
      </c>
      <c r="H7854" s="20" t="n">
        <f aca="false">IF(G7854&lt;Parametres!$B$8*Parametres!$B$7,0,MIN(G7854,Parametres!$B$7))</f>
        <v>60.06</v>
      </c>
      <c r="I7854" s="20" t="n">
        <f aca="false">G7854-H7854</f>
        <v>0</v>
      </c>
      <c r="J7854" s="21" t="n">
        <f aca="false">H7854*1000/Parametres!$B$9</f>
        <v>1018.48397490249</v>
      </c>
    </row>
    <row r="7855" customFormat="false" ht="15" hidden="false" customHeight="false" outlineLevel="0" collapsed="false">
      <c r="A7855" s="0" t="n">
        <v>7851</v>
      </c>
      <c r="B7855" s="0" t="n">
        <v>11</v>
      </c>
      <c r="C7855" s="19" t="n">
        <v>0</v>
      </c>
      <c r="D7855" s="19" t="n">
        <v>0.1814</v>
      </c>
      <c r="E7855" s="20" t="n">
        <f aca="false">Parametres!$B$5*C7855</f>
        <v>0</v>
      </c>
      <c r="F7855" s="20" t="n">
        <f aca="false">Parametres!$B$6*D7855</f>
        <v>36.28</v>
      </c>
      <c r="G7855" s="20" t="n">
        <f aca="false">E7855+F7855</f>
        <v>36.28</v>
      </c>
      <c r="H7855" s="20" t="n">
        <f aca="false">IF(G7855&lt;Parametres!$B$8*Parametres!$B$7,0,MIN(G7855,Parametres!$B$7))</f>
        <v>36.28</v>
      </c>
      <c r="I7855" s="20" t="n">
        <f aca="false">G7855-H7855</f>
        <v>0</v>
      </c>
      <c r="J7855" s="21" t="n">
        <f aca="false">H7855*1000/Parametres!$B$9</f>
        <v>615.228082075632</v>
      </c>
    </row>
    <row r="7856" customFormat="false" ht="15" hidden="false" customHeight="false" outlineLevel="0" collapsed="false">
      <c r="A7856" s="0" t="n">
        <v>7852</v>
      </c>
      <c r="B7856" s="0" t="n">
        <v>11</v>
      </c>
      <c r="C7856" s="19" t="n">
        <v>0</v>
      </c>
      <c r="D7856" s="19" t="n">
        <v>0.2823</v>
      </c>
      <c r="E7856" s="20" t="n">
        <f aca="false">Parametres!$B$5*C7856</f>
        <v>0</v>
      </c>
      <c r="F7856" s="20" t="n">
        <f aca="false">Parametres!$B$6*D7856</f>
        <v>56.46</v>
      </c>
      <c r="G7856" s="20" t="n">
        <f aca="false">E7856+F7856</f>
        <v>56.46</v>
      </c>
      <c r="H7856" s="20" t="n">
        <f aca="false">IF(G7856&lt;Parametres!$B$8*Parametres!$B$7,0,MIN(G7856,Parametres!$B$7))</f>
        <v>56.46</v>
      </c>
      <c r="I7856" s="20" t="n">
        <f aca="false">G7856-H7856</f>
        <v>0</v>
      </c>
      <c r="J7856" s="21" t="n">
        <f aca="false">H7856*1000/Parametres!$B$9</f>
        <v>957.435984398847</v>
      </c>
    </row>
    <row r="7857" customFormat="false" ht="15" hidden="false" customHeight="false" outlineLevel="0" collapsed="false">
      <c r="A7857" s="0" t="n">
        <v>7853</v>
      </c>
      <c r="B7857" s="0" t="n">
        <v>11</v>
      </c>
      <c r="C7857" s="19" t="n">
        <v>0</v>
      </c>
      <c r="D7857" s="19" t="n">
        <v>0.2307</v>
      </c>
      <c r="E7857" s="20" t="n">
        <f aca="false">Parametres!$B$5*C7857</f>
        <v>0</v>
      </c>
      <c r="F7857" s="20" t="n">
        <f aca="false">Parametres!$B$6*D7857</f>
        <v>46.14</v>
      </c>
      <c r="G7857" s="20" t="n">
        <f aca="false">E7857+F7857</f>
        <v>46.14</v>
      </c>
      <c r="H7857" s="20" t="n">
        <f aca="false">IF(G7857&lt;Parametres!$B$8*Parametres!$B$7,0,MIN(G7857,Parametres!$B$7))</f>
        <v>46.14</v>
      </c>
      <c r="I7857" s="20" t="n">
        <f aca="false">G7857-H7857</f>
        <v>0</v>
      </c>
      <c r="J7857" s="21" t="n">
        <f aca="false">H7857*1000/Parametres!$B$9</f>
        <v>782.431744955062</v>
      </c>
    </row>
    <row r="7858" customFormat="false" ht="15" hidden="false" customHeight="false" outlineLevel="0" collapsed="false">
      <c r="A7858" s="0" t="n">
        <v>7854</v>
      </c>
      <c r="B7858" s="0" t="n">
        <v>11</v>
      </c>
      <c r="C7858" s="19" t="n">
        <v>0</v>
      </c>
      <c r="D7858" s="19" t="n">
        <v>0.2169</v>
      </c>
      <c r="E7858" s="20" t="n">
        <f aca="false">Parametres!$B$5*C7858</f>
        <v>0</v>
      </c>
      <c r="F7858" s="20" t="n">
        <f aca="false">Parametres!$B$6*D7858</f>
        <v>43.38</v>
      </c>
      <c r="G7858" s="20" t="n">
        <f aca="false">E7858+F7858</f>
        <v>43.38</v>
      </c>
      <c r="H7858" s="20" t="n">
        <f aca="false">IF(G7858&lt;Parametres!$B$8*Parametres!$B$7,0,MIN(G7858,Parametres!$B$7))</f>
        <v>43.38</v>
      </c>
      <c r="I7858" s="20" t="n">
        <f aca="false">G7858-H7858</f>
        <v>0</v>
      </c>
      <c r="J7858" s="21" t="n">
        <f aca="false">H7858*1000/Parametres!$B$9</f>
        <v>735.628285568933</v>
      </c>
    </row>
    <row r="7859" customFormat="false" ht="15" hidden="false" customHeight="false" outlineLevel="0" collapsed="false">
      <c r="A7859" s="0" t="n">
        <v>7855</v>
      </c>
      <c r="B7859" s="0" t="n">
        <v>11</v>
      </c>
      <c r="C7859" s="19" t="n">
        <v>0</v>
      </c>
      <c r="D7859" s="19" t="n">
        <v>0.4459</v>
      </c>
      <c r="E7859" s="20" t="n">
        <f aca="false">Parametres!$B$5*C7859</f>
        <v>0</v>
      </c>
      <c r="F7859" s="20" t="n">
        <f aca="false">Parametres!$B$6*D7859</f>
        <v>89.18</v>
      </c>
      <c r="G7859" s="20" t="n">
        <f aca="false">E7859+F7859</f>
        <v>89.18</v>
      </c>
      <c r="H7859" s="20" t="n">
        <f aca="false">IF(G7859&lt;Parametres!$B$8*Parametres!$B$7,0,MIN(G7859,Parametres!$B$7))</f>
        <v>89.18</v>
      </c>
      <c r="I7859" s="20" t="n">
        <f aca="false">G7859-H7859</f>
        <v>0</v>
      </c>
      <c r="J7859" s="21" t="n">
        <f aca="false">H7859*1000/Parametres!$B$9</f>
        <v>1512.29438697643</v>
      </c>
    </row>
    <row r="7860" customFormat="false" ht="15" hidden="false" customHeight="false" outlineLevel="0" collapsed="false">
      <c r="A7860" s="0" t="n">
        <v>7856</v>
      </c>
      <c r="B7860" s="0" t="n">
        <v>11</v>
      </c>
      <c r="C7860" s="19" t="n">
        <v>0.1376</v>
      </c>
      <c r="D7860" s="19" t="n">
        <v>0.4699</v>
      </c>
      <c r="E7860" s="20" t="n">
        <f aca="false">Parametres!$B$5*C7860</f>
        <v>41.28</v>
      </c>
      <c r="F7860" s="20" t="n">
        <f aca="false">Parametres!$B$6*D7860</f>
        <v>93.98</v>
      </c>
      <c r="G7860" s="20" t="n">
        <f aca="false">E7860+F7860</f>
        <v>135.26</v>
      </c>
      <c r="H7860" s="20" t="n">
        <f aca="false">IF(G7860&lt;Parametres!$B$8*Parametres!$B$7,0,MIN(G7860,Parametres!$B$7))</f>
        <v>135.26</v>
      </c>
      <c r="I7860" s="20" t="n">
        <f aca="false">G7860-H7860</f>
        <v>0</v>
      </c>
      <c r="J7860" s="21" t="n">
        <f aca="false">H7860*1000/Parametres!$B$9</f>
        <v>2293.7086654231</v>
      </c>
    </row>
    <row r="7861" customFormat="false" ht="15" hidden="false" customHeight="false" outlineLevel="0" collapsed="false">
      <c r="A7861" s="0" t="n">
        <v>7857</v>
      </c>
      <c r="B7861" s="0" t="n">
        <v>11</v>
      </c>
      <c r="C7861" s="19" t="n">
        <v>0.3423</v>
      </c>
      <c r="D7861" s="19" t="n">
        <v>0.4531</v>
      </c>
      <c r="E7861" s="20" t="n">
        <f aca="false">Parametres!$B$5*C7861</f>
        <v>102.69</v>
      </c>
      <c r="F7861" s="20" t="n">
        <f aca="false">Parametres!$B$6*D7861</f>
        <v>90.62</v>
      </c>
      <c r="G7861" s="20" t="n">
        <f aca="false">E7861+F7861</f>
        <v>193.31</v>
      </c>
      <c r="H7861" s="20" t="n">
        <f aca="false">IF(G7861&lt;Parametres!$B$8*Parametres!$B$7,0,MIN(G7861,Parametres!$B$7))</f>
        <v>193.31</v>
      </c>
      <c r="I7861" s="20" t="n">
        <f aca="false">G7861-H7861</f>
        <v>0</v>
      </c>
      <c r="J7861" s="21" t="n">
        <f aca="false">H7861*1000/Parametres!$B$9</f>
        <v>3278.10751229439</v>
      </c>
    </row>
    <row r="7862" customFormat="false" ht="15" hidden="false" customHeight="false" outlineLevel="0" collapsed="false">
      <c r="A7862" s="0" t="n">
        <v>7858</v>
      </c>
      <c r="B7862" s="0" t="n">
        <v>11</v>
      </c>
      <c r="C7862" s="19" t="n">
        <v>0.5797</v>
      </c>
      <c r="D7862" s="19" t="n">
        <v>0.5602</v>
      </c>
      <c r="E7862" s="20" t="n">
        <f aca="false">Parametres!$B$5*C7862</f>
        <v>173.91</v>
      </c>
      <c r="F7862" s="20" t="n">
        <f aca="false">Parametres!$B$6*D7862</f>
        <v>112.04</v>
      </c>
      <c r="G7862" s="20" t="n">
        <f aca="false">E7862+F7862</f>
        <v>285.95</v>
      </c>
      <c r="H7862" s="20" t="n">
        <f aca="false">IF(G7862&lt;Parametres!$B$8*Parametres!$B$7,0,MIN(G7862,Parametres!$B$7))</f>
        <v>250</v>
      </c>
      <c r="I7862" s="20" t="n">
        <f aca="false">G7862-H7862</f>
        <v>35.95</v>
      </c>
      <c r="J7862" s="21" t="n">
        <f aca="false">H7862*1000/Parametres!$B$9</f>
        <v>4239.44378497541</v>
      </c>
    </row>
    <row r="7863" customFormat="false" ht="15" hidden="false" customHeight="false" outlineLevel="0" collapsed="false">
      <c r="A7863" s="0" t="n">
        <v>7859</v>
      </c>
      <c r="B7863" s="0" t="n">
        <v>11</v>
      </c>
      <c r="C7863" s="19" t="n">
        <v>0.712</v>
      </c>
      <c r="D7863" s="19" t="n">
        <v>1</v>
      </c>
      <c r="E7863" s="20" t="n">
        <f aca="false">Parametres!$B$5*C7863</f>
        <v>213.6</v>
      </c>
      <c r="F7863" s="20" t="n">
        <f aca="false">Parametres!$B$6*D7863</f>
        <v>200</v>
      </c>
      <c r="G7863" s="20" t="n">
        <f aca="false">E7863+F7863</f>
        <v>413.6</v>
      </c>
      <c r="H7863" s="20" t="n">
        <f aca="false">IF(G7863&lt;Parametres!$B$8*Parametres!$B$7,0,MIN(G7863,Parametres!$B$7))</f>
        <v>250</v>
      </c>
      <c r="I7863" s="20" t="n">
        <f aca="false">G7863-H7863</f>
        <v>163.6</v>
      </c>
      <c r="J7863" s="21" t="n">
        <f aca="false">H7863*1000/Parametres!$B$9</f>
        <v>4239.44378497541</v>
      </c>
    </row>
    <row r="7864" customFormat="false" ht="15" hidden="false" customHeight="false" outlineLevel="0" collapsed="false">
      <c r="A7864" s="0" t="n">
        <v>7860</v>
      </c>
      <c r="B7864" s="0" t="n">
        <v>11</v>
      </c>
      <c r="C7864" s="19" t="n">
        <v>0.768</v>
      </c>
      <c r="D7864" s="19" t="n">
        <v>1</v>
      </c>
      <c r="E7864" s="20" t="n">
        <f aca="false">Parametres!$B$5*C7864</f>
        <v>230.4</v>
      </c>
      <c r="F7864" s="20" t="n">
        <f aca="false">Parametres!$B$6*D7864</f>
        <v>200</v>
      </c>
      <c r="G7864" s="20" t="n">
        <f aca="false">E7864+F7864</f>
        <v>430.4</v>
      </c>
      <c r="H7864" s="20" t="n">
        <f aca="false">IF(G7864&lt;Parametres!$B$8*Parametres!$B$7,0,MIN(G7864,Parametres!$B$7))</f>
        <v>250</v>
      </c>
      <c r="I7864" s="20" t="n">
        <f aca="false">G7864-H7864</f>
        <v>180.4</v>
      </c>
      <c r="J7864" s="21" t="n">
        <f aca="false">H7864*1000/Parametres!$B$9</f>
        <v>4239.44378497541</v>
      </c>
    </row>
    <row r="7865" customFormat="false" ht="15" hidden="false" customHeight="false" outlineLevel="0" collapsed="false">
      <c r="A7865" s="0" t="n">
        <v>7861</v>
      </c>
      <c r="B7865" s="0" t="n">
        <v>11</v>
      </c>
      <c r="C7865" s="19" t="n">
        <v>0.7203</v>
      </c>
      <c r="D7865" s="19" t="n">
        <v>1</v>
      </c>
      <c r="E7865" s="20" t="n">
        <f aca="false">Parametres!$B$5*C7865</f>
        <v>216.09</v>
      </c>
      <c r="F7865" s="20" t="n">
        <f aca="false">Parametres!$B$6*D7865</f>
        <v>200</v>
      </c>
      <c r="G7865" s="20" t="n">
        <f aca="false">E7865+F7865</f>
        <v>416.09</v>
      </c>
      <c r="H7865" s="20" t="n">
        <f aca="false">IF(G7865&lt;Parametres!$B$8*Parametres!$B$7,0,MIN(G7865,Parametres!$B$7))</f>
        <v>250</v>
      </c>
      <c r="I7865" s="20" t="n">
        <f aca="false">G7865-H7865</f>
        <v>166.09</v>
      </c>
      <c r="J7865" s="21" t="n">
        <f aca="false">H7865*1000/Parametres!$B$9</f>
        <v>4239.44378497541</v>
      </c>
    </row>
    <row r="7866" customFormat="false" ht="15" hidden="false" customHeight="false" outlineLevel="0" collapsed="false">
      <c r="A7866" s="0" t="n">
        <v>7862</v>
      </c>
      <c r="B7866" s="0" t="n">
        <v>11</v>
      </c>
      <c r="C7866" s="19" t="n">
        <v>0.6638</v>
      </c>
      <c r="D7866" s="19" t="n">
        <v>1</v>
      </c>
      <c r="E7866" s="20" t="n">
        <f aca="false">Parametres!$B$5*C7866</f>
        <v>199.14</v>
      </c>
      <c r="F7866" s="20" t="n">
        <f aca="false">Parametres!$B$6*D7866</f>
        <v>200</v>
      </c>
      <c r="G7866" s="20" t="n">
        <f aca="false">E7866+F7866</f>
        <v>399.14</v>
      </c>
      <c r="H7866" s="20" t="n">
        <f aca="false">IF(G7866&lt;Parametres!$B$8*Parametres!$B$7,0,MIN(G7866,Parametres!$B$7))</f>
        <v>250</v>
      </c>
      <c r="I7866" s="20" t="n">
        <f aca="false">G7866-H7866</f>
        <v>149.14</v>
      </c>
      <c r="J7866" s="21" t="n">
        <f aca="false">H7866*1000/Parametres!$B$9</f>
        <v>4239.44378497541</v>
      </c>
    </row>
    <row r="7867" customFormat="false" ht="15" hidden="false" customHeight="false" outlineLevel="0" collapsed="false">
      <c r="A7867" s="0" t="n">
        <v>7863</v>
      </c>
      <c r="B7867" s="0" t="n">
        <v>11</v>
      </c>
      <c r="C7867" s="19" t="n">
        <v>0.5478</v>
      </c>
      <c r="D7867" s="19" t="n">
        <v>1</v>
      </c>
      <c r="E7867" s="20" t="n">
        <f aca="false">Parametres!$B$5*C7867</f>
        <v>164.34</v>
      </c>
      <c r="F7867" s="20" t="n">
        <f aca="false">Parametres!$B$6*D7867</f>
        <v>200</v>
      </c>
      <c r="G7867" s="20" t="n">
        <f aca="false">E7867+F7867</f>
        <v>364.34</v>
      </c>
      <c r="H7867" s="20" t="n">
        <f aca="false">IF(G7867&lt;Parametres!$B$8*Parametres!$B$7,0,MIN(G7867,Parametres!$B$7))</f>
        <v>250</v>
      </c>
      <c r="I7867" s="20" t="n">
        <f aca="false">G7867-H7867</f>
        <v>114.34</v>
      </c>
      <c r="J7867" s="21" t="n">
        <f aca="false">H7867*1000/Parametres!$B$9</f>
        <v>4239.44378497541</v>
      </c>
    </row>
    <row r="7868" customFormat="false" ht="15" hidden="false" customHeight="false" outlineLevel="0" collapsed="false">
      <c r="A7868" s="0" t="n">
        <v>7864</v>
      </c>
      <c r="B7868" s="0" t="n">
        <v>11</v>
      </c>
      <c r="C7868" s="19" t="n">
        <v>0.3411</v>
      </c>
      <c r="D7868" s="19" t="n">
        <v>1</v>
      </c>
      <c r="E7868" s="20" t="n">
        <f aca="false">Parametres!$B$5*C7868</f>
        <v>102.33</v>
      </c>
      <c r="F7868" s="20" t="n">
        <f aca="false">Parametres!$B$6*D7868</f>
        <v>200</v>
      </c>
      <c r="G7868" s="20" t="n">
        <f aca="false">E7868+F7868</f>
        <v>302.33</v>
      </c>
      <c r="H7868" s="20" t="n">
        <f aca="false">IF(G7868&lt;Parametres!$B$8*Parametres!$B$7,0,MIN(G7868,Parametres!$B$7))</f>
        <v>250</v>
      </c>
      <c r="I7868" s="20" t="n">
        <f aca="false">G7868-H7868</f>
        <v>52.33</v>
      </c>
      <c r="J7868" s="21" t="n">
        <f aca="false">H7868*1000/Parametres!$B$9</f>
        <v>4239.44378497541</v>
      </c>
    </row>
    <row r="7869" customFormat="false" ht="15" hidden="false" customHeight="false" outlineLevel="0" collapsed="false">
      <c r="A7869" s="0" t="n">
        <v>7865</v>
      </c>
      <c r="B7869" s="0" t="n">
        <v>11</v>
      </c>
      <c r="C7869" s="19" t="n">
        <v>0.1334</v>
      </c>
      <c r="D7869" s="19" t="n">
        <v>1</v>
      </c>
      <c r="E7869" s="20" t="n">
        <f aca="false">Parametres!$B$5*C7869</f>
        <v>40.02</v>
      </c>
      <c r="F7869" s="20" t="n">
        <f aca="false">Parametres!$B$6*D7869</f>
        <v>200</v>
      </c>
      <c r="G7869" s="20" t="n">
        <f aca="false">E7869+F7869</f>
        <v>240.02</v>
      </c>
      <c r="H7869" s="20" t="n">
        <f aca="false">IF(G7869&lt;Parametres!$B$8*Parametres!$B$7,0,MIN(G7869,Parametres!$B$7))</f>
        <v>240.02</v>
      </c>
      <c r="I7869" s="20" t="n">
        <f aca="false">G7869-H7869</f>
        <v>0</v>
      </c>
      <c r="J7869" s="21" t="n">
        <f aca="false">H7869*1000/Parametres!$B$9</f>
        <v>4070.20518907919</v>
      </c>
    </row>
    <row r="7870" customFormat="false" ht="15" hidden="false" customHeight="false" outlineLevel="0" collapsed="false">
      <c r="A7870" s="0" t="n">
        <v>7866</v>
      </c>
      <c r="B7870" s="0" t="n">
        <v>11</v>
      </c>
      <c r="C7870" s="19" t="n">
        <v>0</v>
      </c>
      <c r="D7870" s="19" t="n">
        <v>0.9008</v>
      </c>
      <c r="E7870" s="20" t="n">
        <f aca="false">Parametres!$B$5*C7870</f>
        <v>0</v>
      </c>
      <c r="F7870" s="20" t="n">
        <f aca="false">Parametres!$B$6*D7870</f>
        <v>180.16</v>
      </c>
      <c r="G7870" s="20" t="n">
        <f aca="false">E7870+F7870</f>
        <v>180.16</v>
      </c>
      <c r="H7870" s="20" t="n">
        <f aca="false">IF(G7870&lt;Parametres!$B$8*Parametres!$B$7,0,MIN(G7870,Parametres!$B$7))</f>
        <v>180.16</v>
      </c>
      <c r="I7870" s="20" t="n">
        <f aca="false">G7870-H7870</f>
        <v>0</v>
      </c>
      <c r="J7870" s="21" t="n">
        <f aca="false">H7870*1000/Parametres!$B$9</f>
        <v>3055.11276920468</v>
      </c>
    </row>
    <row r="7871" customFormat="false" ht="15" hidden="false" customHeight="false" outlineLevel="0" collapsed="false">
      <c r="A7871" s="0" t="n">
        <v>7867</v>
      </c>
      <c r="B7871" s="0" t="n">
        <v>11</v>
      </c>
      <c r="C7871" s="19" t="n">
        <v>0</v>
      </c>
      <c r="D7871" s="19" t="n">
        <v>0.8348</v>
      </c>
      <c r="E7871" s="20" t="n">
        <f aca="false">Parametres!$B$5*C7871</f>
        <v>0</v>
      </c>
      <c r="F7871" s="20" t="n">
        <f aca="false">Parametres!$B$6*D7871</f>
        <v>166.96</v>
      </c>
      <c r="G7871" s="20" t="n">
        <f aca="false">E7871+F7871</f>
        <v>166.96</v>
      </c>
      <c r="H7871" s="20" t="n">
        <f aca="false">IF(G7871&lt;Parametres!$B$8*Parametres!$B$7,0,MIN(G7871,Parametres!$B$7))</f>
        <v>166.96</v>
      </c>
      <c r="I7871" s="20" t="n">
        <f aca="false">G7871-H7871</f>
        <v>0</v>
      </c>
      <c r="J7871" s="21" t="n">
        <f aca="false">H7871*1000/Parametres!$B$9</f>
        <v>2831.27013735798</v>
      </c>
    </row>
    <row r="7872" customFormat="false" ht="15" hidden="false" customHeight="false" outlineLevel="0" collapsed="false">
      <c r="A7872" s="0" t="n">
        <v>7868</v>
      </c>
      <c r="B7872" s="0" t="n">
        <v>11</v>
      </c>
      <c r="C7872" s="19" t="n">
        <v>0</v>
      </c>
      <c r="D7872" s="19" t="n">
        <v>0.6653</v>
      </c>
      <c r="E7872" s="20" t="n">
        <f aca="false">Parametres!$B$5*C7872</f>
        <v>0</v>
      </c>
      <c r="F7872" s="20" t="n">
        <f aca="false">Parametres!$B$6*D7872</f>
        <v>133.06</v>
      </c>
      <c r="G7872" s="20" t="n">
        <f aca="false">E7872+F7872</f>
        <v>133.06</v>
      </c>
      <c r="H7872" s="20" t="n">
        <f aca="false">IF(G7872&lt;Parametres!$B$8*Parametres!$B$7,0,MIN(G7872,Parametres!$B$7))</f>
        <v>133.06</v>
      </c>
      <c r="I7872" s="20" t="n">
        <f aca="false">G7872-H7872</f>
        <v>0</v>
      </c>
      <c r="J7872" s="21" t="n">
        <f aca="false">H7872*1000/Parametres!$B$9</f>
        <v>2256.40156011531</v>
      </c>
    </row>
    <row r="7873" customFormat="false" ht="15" hidden="false" customHeight="false" outlineLevel="0" collapsed="false">
      <c r="A7873" s="0" t="n">
        <v>7869</v>
      </c>
      <c r="B7873" s="0" t="n">
        <v>11</v>
      </c>
      <c r="C7873" s="19" t="n">
        <v>0</v>
      </c>
      <c r="D7873" s="19" t="n">
        <v>1</v>
      </c>
      <c r="E7873" s="20" t="n">
        <f aca="false">Parametres!$B$5*C7873</f>
        <v>0</v>
      </c>
      <c r="F7873" s="20" t="n">
        <f aca="false">Parametres!$B$6*D7873</f>
        <v>200</v>
      </c>
      <c r="G7873" s="20" t="n">
        <f aca="false">E7873+F7873</f>
        <v>200</v>
      </c>
      <c r="H7873" s="20" t="n">
        <f aca="false">IF(G7873&lt;Parametres!$B$8*Parametres!$B$7,0,MIN(G7873,Parametres!$B$7))</f>
        <v>200</v>
      </c>
      <c r="I7873" s="20" t="n">
        <f aca="false">G7873-H7873</f>
        <v>0</v>
      </c>
      <c r="J7873" s="21" t="n">
        <f aca="false">H7873*1000/Parametres!$B$9</f>
        <v>3391.55502798033</v>
      </c>
    </row>
    <row r="7874" customFormat="false" ht="15" hidden="false" customHeight="false" outlineLevel="0" collapsed="false">
      <c r="A7874" s="0" t="n">
        <v>7870</v>
      </c>
      <c r="B7874" s="0" t="n">
        <v>11</v>
      </c>
      <c r="C7874" s="19" t="n">
        <v>0</v>
      </c>
      <c r="D7874" s="19" t="n">
        <v>1</v>
      </c>
      <c r="E7874" s="20" t="n">
        <f aca="false">Parametres!$B$5*C7874</f>
        <v>0</v>
      </c>
      <c r="F7874" s="20" t="n">
        <f aca="false">Parametres!$B$6*D7874</f>
        <v>200</v>
      </c>
      <c r="G7874" s="20" t="n">
        <f aca="false">E7874+F7874</f>
        <v>200</v>
      </c>
      <c r="H7874" s="20" t="n">
        <f aca="false">IF(G7874&lt;Parametres!$B$8*Parametres!$B$7,0,MIN(G7874,Parametres!$B$7))</f>
        <v>200</v>
      </c>
      <c r="I7874" s="20" t="n">
        <f aca="false">G7874-H7874</f>
        <v>0</v>
      </c>
      <c r="J7874" s="21" t="n">
        <f aca="false">H7874*1000/Parametres!$B$9</f>
        <v>3391.55502798033</v>
      </c>
    </row>
    <row r="7875" customFormat="false" ht="15" hidden="false" customHeight="false" outlineLevel="0" collapsed="false">
      <c r="A7875" s="0" t="n">
        <v>7871</v>
      </c>
      <c r="B7875" s="0" t="n">
        <v>11</v>
      </c>
      <c r="C7875" s="19" t="n">
        <v>0</v>
      </c>
      <c r="D7875" s="19" t="n">
        <v>0.7493</v>
      </c>
      <c r="E7875" s="20" t="n">
        <f aca="false">Parametres!$B$5*C7875</f>
        <v>0</v>
      </c>
      <c r="F7875" s="20" t="n">
        <f aca="false">Parametres!$B$6*D7875</f>
        <v>149.86</v>
      </c>
      <c r="G7875" s="20" t="n">
        <f aca="false">E7875+F7875</f>
        <v>149.86</v>
      </c>
      <c r="H7875" s="20" t="n">
        <f aca="false">IF(G7875&lt;Parametres!$B$8*Parametres!$B$7,0,MIN(G7875,Parametres!$B$7))</f>
        <v>149.86</v>
      </c>
      <c r="I7875" s="20" t="n">
        <f aca="false">G7875-H7875</f>
        <v>0</v>
      </c>
      <c r="J7875" s="21" t="n">
        <f aca="false">H7875*1000/Parametres!$B$9</f>
        <v>2541.29218246566</v>
      </c>
    </row>
    <row r="7876" customFormat="false" ht="15" hidden="false" customHeight="false" outlineLevel="0" collapsed="false">
      <c r="A7876" s="0" t="n">
        <v>7872</v>
      </c>
      <c r="B7876" s="0" t="n">
        <v>11</v>
      </c>
      <c r="C7876" s="19" t="n">
        <v>0</v>
      </c>
      <c r="D7876" s="19" t="n">
        <v>0.7541</v>
      </c>
      <c r="E7876" s="20" t="n">
        <f aca="false">Parametres!$B$5*C7876</f>
        <v>0</v>
      </c>
      <c r="F7876" s="20" t="n">
        <f aca="false">Parametres!$B$6*D7876</f>
        <v>150.82</v>
      </c>
      <c r="G7876" s="20" t="n">
        <f aca="false">E7876+F7876</f>
        <v>150.82</v>
      </c>
      <c r="H7876" s="20" t="n">
        <f aca="false">IF(G7876&lt;Parametres!$B$8*Parametres!$B$7,0,MIN(G7876,Parametres!$B$7))</f>
        <v>150.82</v>
      </c>
      <c r="I7876" s="20" t="n">
        <f aca="false">G7876-H7876</f>
        <v>0</v>
      </c>
      <c r="J7876" s="21" t="n">
        <f aca="false">H7876*1000/Parametres!$B$9</f>
        <v>2557.57164659997</v>
      </c>
    </row>
    <row r="7877" customFormat="false" ht="15" hidden="false" customHeight="false" outlineLevel="0" collapsed="false">
      <c r="A7877" s="0" t="n">
        <v>7873</v>
      </c>
      <c r="B7877" s="0" t="n">
        <v>11</v>
      </c>
      <c r="C7877" s="19" t="n">
        <v>0</v>
      </c>
      <c r="D7877" s="19" t="n">
        <v>0.7363</v>
      </c>
      <c r="E7877" s="20" t="n">
        <f aca="false">Parametres!$B$5*C7877</f>
        <v>0</v>
      </c>
      <c r="F7877" s="20" t="n">
        <f aca="false">Parametres!$B$6*D7877</f>
        <v>147.26</v>
      </c>
      <c r="G7877" s="20" t="n">
        <f aca="false">E7877+F7877</f>
        <v>147.26</v>
      </c>
      <c r="H7877" s="20" t="n">
        <f aca="false">IF(G7877&lt;Parametres!$B$8*Parametres!$B$7,0,MIN(G7877,Parametres!$B$7))</f>
        <v>147.26</v>
      </c>
      <c r="I7877" s="20" t="n">
        <f aca="false">G7877-H7877</f>
        <v>0</v>
      </c>
      <c r="J7877" s="21" t="n">
        <f aca="false">H7877*1000/Parametres!$B$9</f>
        <v>2497.20196710192</v>
      </c>
    </row>
    <row r="7878" customFormat="false" ht="15" hidden="false" customHeight="false" outlineLevel="0" collapsed="false">
      <c r="A7878" s="0" t="n">
        <v>7874</v>
      </c>
      <c r="B7878" s="0" t="n">
        <v>11</v>
      </c>
      <c r="C7878" s="19" t="n">
        <v>0</v>
      </c>
      <c r="D7878" s="19" t="n">
        <v>0.5492</v>
      </c>
      <c r="E7878" s="20" t="n">
        <f aca="false">Parametres!$B$5*C7878</f>
        <v>0</v>
      </c>
      <c r="F7878" s="20" t="n">
        <f aca="false">Parametres!$B$6*D7878</f>
        <v>109.84</v>
      </c>
      <c r="G7878" s="20" t="n">
        <f aca="false">E7878+F7878</f>
        <v>109.84</v>
      </c>
      <c r="H7878" s="20" t="n">
        <f aca="false">IF(G7878&lt;Parametres!$B$8*Parametres!$B$7,0,MIN(G7878,Parametres!$B$7))</f>
        <v>109.84</v>
      </c>
      <c r="I7878" s="20" t="n">
        <f aca="false">G7878-H7878</f>
        <v>0</v>
      </c>
      <c r="J7878" s="21" t="n">
        <f aca="false">H7878*1000/Parametres!$B$9</f>
        <v>1862.6420213668</v>
      </c>
    </row>
    <row r="7879" customFormat="false" ht="15" hidden="false" customHeight="false" outlineLevel="0" collapsed="false">
      <c r="A7879" s="0" t="n">
        <v>7875</v>
      </c>
      <c r="B7879" s="0" t="n">
        <v>11</v>
      </c>
      <c r="C7879" s="19" t="n">
        <v>0</v>
      </c>
      <c r="D7879" s="19" t="n">
        <v>0.534</v>
      </c>
      <c r="E7879" s="20" t="n">
        <f aca="false">Parametres!$B$5*C7879</f>
        <v>0</v>
      </c>
      <c r="F7879" s="20" t="n">
        <f aca="false">Parametres!$B$6*D7879</f>
        <v>106.8</v>
      </c>
      <c r="G7879" s="20" t="n">
        <f aca="false">E7879+F7879</f>
        <v>106.8</v>
      </c>
      <c r="H7879" s="20" t="n">
        <f aca="false">IF(G7879&lt;Parametres!$B$8*Parametres!$B$7,0,MIN(G7879,Parametres!$B$7))</f>
        <v>106.8</v>
      </c>
      <c r="I7879" s="20" t="n">
        <f aca="false">G7879-H7879</f>
        <v>0</v>
      </c>
      <c r="J7879" s="21" t="n">
        <f aca="false">H7879*1000/Parametres!$B$9</f>
        <v>1811.0903849415</v>
      </c>
    </row>
    <row r="7880" customFormat="false" ht="15" hidden="false" customHeight="false" outlineLevel="0" collapsed="false">
      <c r="A7880" s="0" t="n">
        <v>7876</v>
      </c>
      <c r="B7880" s="0" t="n">
        <v>11</v>
      </c>
      <c r="C7880" s="19" t="n">
        <v>0</v>
      </c>
      <c r="D7880" s="19" t="n">
        <v>0.8505</v>
      </c>
      <c r="E7880" s="20" t="n">
        <f aca="false">Parametres!$B$5*C7880</f>
        <v>0</v>
      </c>
      <c r="F7880" s="20" t="n">
        <f aca="false">Parametres!$B$6*D7880</f>
        <v>170.1</v>
      </c>
      <c r="G7880" s="20" t="n">
        <f aca="false">E7880+F7880</f>
        <v>170.1</v>
      </c>
      <c r="H7880" s="20" t="n">
        <f aca="false">IF(G7880&lt;Parametres!$B$8*Parametres!$B$7,0,MIN(G7880,Parametres!$B$7))</f>
        <v>170.1</v>
      </c>
      <c r="I7880" s="20" t="n">
        <f aca="false">G7880-H7880</f>
        <v>0</v>
      </c>
      <c r="J7880" s="21" t="n">
        <f aca="false">H7880*1000/Parametres!$B$9</f>
        <v>2884.51755129727</v>
      </c>
    </row>
    <row r="7881" customFormat="false" ht="15" hidden="false" customHeight="false" outlineLevel="0" collapsed="false">
      <c r="A7881" s="0" t="n">
        <v>7877</v>
      </c>
      <c r="B7881" s="0" t="n">
        <v>11</v>
      </c>
      <c r="C7881" s="19" t="n">
        <v>0</v>
      </c>
      <c r="D7881" s="19" t="n">
        <v>0.7938</v>
      </c>
      <c r="E7881" s="20" t="n">
        <f aca="false">Parametres!$B$5*C7881</f>
        <v>0</v>
      </c>
      <c r="F7881" s="20" t="n">
        <f aca="false">Parametres!$B$6*D7881</f>
        <v>158.76</v>
      </c>
      <c r="G7881" s="20" t="n">
        <f aca="false">E7881+F7881</f>
        <v>158.76</v>
      </c>
      <c r="H7881" s="20" t="n">
        <f aca="false">IF(G7881&lt;Parametres!$B$8*Parametres!$B$7,0,MIN(G7881,Parametres!$B$7))</f>
        <v>158.76</v>
      </c>
      <c r="I7881" s="20" t="n">
        <f aca="false">G7881-H7881</f>
        <v>0</v>
      </c>
      <c r="J7881" s="21" t="n">
        <f aca="false">H7881*1000/Parametres!$B$9</f>
        <v>2692.21638121079</v>
      </c>
    </row>
    <row r="7882" customFormat="false" ht="15" hidden="false" customHeight="false" outlineLevel="0" collapsed="false">
      <c r="A7882" s="0" t="n">
        <v>7878</v>
      </c>
      <c r="B7882" s="0" t="n">
        <v>11</v>
      </c>
      <c r="C7882" s="19" t="n">
        <v>0</v>
      </c>
      <c r="D7882" s="19" t="n">
        <v>1</v>
      </c>
      <c r="E7882" s="20" t="n">
        <f aca="false">Parametres!$B$5*C7882</f>
        <v>0</v>
      </c>
      <c r="F7882" s="20" t="n">
        <f aca="false">Parametres!$B$6*D7882</f>
        <v>200</v>
      </c>
      <c r="G7882" s="20" t="n">
        <f aca="false">E7882+F7882</f>
        <v>200</v>
      </c>
      <c r="H7882" s="20" t="n">
        <f aca="false">IF(G7882&lt;Parametres!$B$8*Parametres!$B$7,0,MIN(G7882,Parametres!$B$7))</f>
        <v>200</v>
      </c>
      <c r="I7882" s="20" t="n">
        <f aca="false">G7882-H7882</f>
        <v>0</v>
      </c>
      <c r="J7882" s="21" t="n">
        <f aca="false">H7882*1000/Parametres!$B$9</f>
        <v>3391.55502798033</v>
      </c>
    </row>
    <row r="7883" customFormat="false" ht="15" hidden="false" customHeight="false" outlineLevel="0" collapsed="false">
      <c r="A7883" s="0" t="n">
        <v>7879</v>
      </c>
      <c r="B7883" s="0" t="n">
        <v>11</v>
      </c>
      <c r="C7883" s="19" t="n">
        <v>0</v>
      </c>
      <c r="D7883" s="19" t="n">
        <v>1</v>
      </c>
      <c r="E7883" s="20" t="n">
        <f aca="false">Parametres!$B$5*C7883</f>
        <v>0</v>
      </c>
      <c r="F7883" s="20" t="n">
        <f aca="false">Parametres!$B$6*D7883</f>
        <v>200</v>
      </c>
      <c r="G7883" s="20" t="n">
        <f aca="false">E7883+F7883</f>
        <v>200</v>
      </c>
      <c r="H7883" s="20" t="n">
        <f aca="false">IF(G7883&lt;Parametres!$B$8*Parametres!$B$7,0,MIN(G7883,Parametres!$B$7))</f>
        <v>200</v>
      </c>
      <c r="I7883" s="20" t="n">
        <f aca="false">G7883-H7883</f>
        <v>0</v>
      </c>
      <c r="J7883" s="21" t="n">
        <f aca="false">H7883*1000/Parametres!$B$9</f>
        <v>3391.55502798033</v>
      </c>
    </row>
    <row r="7884" customFormat="false" ht="15" hidden="false" customHeight="false" outlineLevel="0" collapsed="false">
      <c r="A7884" s="0" t="n">
        <v>7880</v>
      </c>
      <c r="B7884" s="0" t="n">
        <v>11</v>
      </c>
      <c r="C7884" s="19" t="n">
        <v>0.1301</v>
      </c>
      <c r="D7884" s="19" t="n">
        <v>1</v>
      </c>
      <c r="E7884" s="20" t="n">
        <f aca="false">Parametres!$B$5*C7884</f>
        <v>39.03</v>
      </c>
      <c r="F7884" s="20" t="n">
        <f aca="false">Parametres!$B$6*D7884</f>
        <v>200</v>
      </c>
      <c r="G7884" s="20" t="n">
        <f aca="false">E7884+F7884</f>
        <v>239.03</v>
      </c>
      <c r="H7884" s="20" t="n">
        <f aca="false">IF(G7884&lt;Parametres!$B$8*Parametres!$B$7,0,MIN(G7884,Parametres!$B$7))</f>
        <v>239.03</v>
      </c>
      <c r="I7884" s="20" t="n">
        <f aca="false">G7884-H7884</f>
        <v>0</v>
      </c>
      <c r="J7884" s="21" t="n">
        <f aca="false">H7884*1000/Parametres!$B$9</f>
        <v>4053.41699169069</v>
      </c>
    </row>
    <row r="7885" customFormat="false" ht="15" hidden="false" customHeight="false" outlineLevel="0" collapsed="false">
      <c r="A7885" s="0" t="n">
        <v>7881</v>
      </c>
      <c r="B7885" s="0" t="n">
        <v>11</v>
      </c>
      <c r="C7885" s="19" t="n">
        <v>0.3264</v>
      </c>
      <c r="D7885" s="19" t="n">
        <v>1</v>
      </c>
      <c r="E7885" s="20" t="n">
        <f aca="false">Parametres!$B$5*C7885</f>
        <v>97.92</v>
      </c>
      <c r="F7885" s="20" t="n">
        <f aca="false">Parametres!$B$6*D7885</f>
        <v>200</v>
      </c>
      <c r="G7885" s="20" t="n">
        <f aca="false">E7885+F7885</f>
        <v>297.92</v>
      </c>
      <c r="H7885" s="20" t="n">
        <f aca="false">IF(G7885&lt;Parametres!$B$8*Parametres!$B$7,0,MIN(G7885,Parametres!$B$7))</f>
        <v>250</v>
      </c>
      <c r="I7885" s="20" t="n">
        <f aca="false">G7885-H7885</f>
        <v>47.92</v>
      </c>
      <c r="J7885" s="21" t="n">
        <f aca="false">H7885*1000/Parametres!$B$9</f>
        <v>4239.44378497541</v>
      </c>
    </row>
    <row r="7886" customFormat="false" ht="15" hidden="false" customHeight="false" outlineLevel="0" collapsed="false">
      <c r="A7886" s="0" t="n">
        <v>7882</v>
      </c>
      <c r="B7886" s="0" t="n">
        <v>11</v>
      </c>
      <c r="C7886" s="19" t="n">
        <v>0.5055</v>
      </c>
      <c r="D7886" s="19" t="n">
        <v>1</v>
      </c>
      <c r="E7886" s="20" t="n">
        <f aca="false">Parametres!$B$5*C7886</f>
        <v>151.65</v>
      </c>
      <c r="F7886" s="20" t="n">
        <f aca="false">Parametres!$B$6*D7886</f>
        <v>200</v>
      </c>
      <c r="G7886" s="20" t="n">
        <f aca="false">E7886+F7886</f>
        <v>351.65</v>
      </c>
      <c r="H7886" s="20" t="n">
        <f aca="false">IF(G7886&lt;Parametres!$B$8*Parametres!$B$7,0,MIN(G7886,Parametres!$B$7))</f>
        <v>250</v>
      </c>
      <c r="I7886" s="20" t="n">
        <f aca="false">G7886-H7886</f>
        <v>101.65</v>
      </c>
      <c r="J7886" s="21" t="n">
        <f aca="false">H7886*1000/Parametres!$B$9</f>
        <v>4239.44378497541</v>
      </c>
    </row>
    <row r="7887" customFormat="false" ht="15" hidden="false" customHeight="false" outlineLevel="0" collapsed="false">
      <c r="A7887" s="0" t="n">
        <v>7883</v>
      </c>
      <c r="B7887" s="0" t="n">
        <v>11</v>
      </c>
      <c r="C7887" s="19" t="n">
        <v>0.6136</v>
      </c>
      <c r="D7887" s="19" t="n">
        <v>1</v>
      </c>
      <c r="E7887" s="20" t="n">
        <f aca="false">Parametres!$B$5*C7887</f>
        <v>184.08</v>
      </c>
      <c r="F7887" s="20" t="n">
        <f aca="false">Parametres!$B$6*D7887</f>
        <v>200</v>
      </c>
      <c r="G7887" s="20" t="n">
        <f aca="false">E7887+F7887</f>
        <v>384.08</v>
      </c>
      <c r="H7887" s="20" t="n">
        <f aca="false">IF(G7887&lt;Parametres!$B$8*Parametres!$B$7,0,MIN(G7887,Parametres!$B$7))</f>
        <v>250</v>
      </c>
      <c r="I7887" s="20" t="n">
        <f aca="false">G7887-H7887</f>
        <v>134.08</v>
      </c>
      <c r="J7887" s="21" t="n">
        <f aca="false">H7887*1000/Parametres!$B$9</f>
        <v>4239.44378497541</v>
      </c>
    </row>
    <row r="7888" customFormat="false" ht="15" hidden="false" customHeight="false" outlineLevel="0" collapsed="false">
      <c r="A7888" s="0" t="n">
        <v>7884</v>
      </c>
      <c r="B7888" s="0" t="n">
        <v>11</v>
      </c>
      <c r="C7888" s="19" t="n">
        <v>0.7476</v>
      </c>
      <c r="D7888" s="19" t="n">
        <v>1</v>
      </c>
      <c r="E7888" s="20" t="n">
        <f aca="false">Parametres!$B$5*C7888</f>
        <v>224.28</v>
      </c>
      <c r="F7888" s="20" t="n">
        <f aca="false">Parametres!$B$6*D7888</f>
        <v>200</v>
      </c>
      <c r="G7888" s="20" t="n">
        <f aca="false">E7888+F7888</f>
        <v>424.28</v>
      </c>
      <c r="H7888" s="20" t="n">
        <f aca="false">IF(G7888&lt;Parametres!$B$8*Parametres!$B$7,0,MIN(G7888,Parametres!$B$7))</f>
        <v>250</v>
      </c>
      <c r="I7888" s="20" t="n">
        <f aca="false">G7888-H7888</f>
        <v>174.28</v>
      </c>
      <c r="J7888" s="21" t="n">
        <f aca="false">H7888*1000/Parametres!$B$9</f>
        <v>4239.44378497541</v>
      </c>
    </row>
    <row r="7889" customFormat="false" ht="15" hidden="false" customHeight="false" outlineLevel="0" collapsed="false">
      <c r="A7889" s="0" t="n">
        <v>7885</v>
      </c>
      <c r="B7889" s="0" t="n">
        <v>11</v>
      </c>
      <c r="C7889" s="19" t="n">
        <v>0.7271</v>
      </c>
      <c r="D7889" s="19" t="n">
        <v>1</v>
      </c>
      <c r="E7889" s="20" t="n">
        <f aca="false">Parametres!$B$5*C7889</f>
        <v>218.13</v>
      </c>
      <c r="F7889" s="20" t="n">
        <f aca="false">Parametres!$B$6*D7889</f>
        <v>200</v>
      </c>
      <c r="G7889" s="20" t="n">
        <f aca="false">E7889+F7889</f>
        <v>418.13</v>
      </c>
      <c r="H7889" s="20" t="n">
        <f aca="false">IF(G7889&lt;Parametres!$B$8*Parametres!$B$7,0,MIN(G7889,Parametres!$B$7))</f>
        <v>250</v>
      </c>
      <c r="I7889" s="20" t="n">
        <f aca="false">G7889-H7889</f>
        <v>168.13</v>
      </c>
      <c r="J7889" s="21" t="n">
        <f aca="false">H7889*1000/Parametres!$B$9</f>
        <v>4239.44378497541</v>
      </c>
    </row>
    <row r="7890" customFormat="false" ht="15" hidden="false" customHeight="false" outlineLevel="0" collapsed="false">
      <c r="A7890" s="0" t="n">
        <v>7886</v>
      </c>
      <c r="B7890" s="0" t="n">
        <v>11</v>
      </c>
      <c r="C7890" s="19" t="n">
        <v>0.6068</v>
      </c>
      <c r="D7890" s="19" t="n">
        <v>1</v>
      </c>
      <c r="E7890" s="20" t="n">
        <f aca="false">Parametres!$B$5*C7890</f>
        <v>182.04</v>
      </c>
      <c r="F7890" s="20" t="n">
        <f aca="false">Parametres!$B$6*D7890</f>
        <v>200</v>
      </c>
      <c r="G7890" s="20" t="n">
        <f aca="false">E7890+F7890</f>
        <v>382.04</v>
      </c>
      <c r="H7890" s="20" t="n">
        <f aca="false">IF(G7890&lt;Parametres!$B$8*Parametres!$B$7,0,MIN(G7890,Parametres!$B$7))</f>
        <v>250</v>
      </c>
      <c r="I7890" s="20" t="n">
        <f aca="false">G7890-H7890</f>
        <v>132.04</v>
      </c>
      <c r="J7890" s="21" t="n">
        <f aca="false">H7890*1000/Parametres!$B$9</f>
        <v>4239.44378497541</v>
      </c>
    </row>
    <row r="7891" customFormat="false" ht="15" hidden="false" customHeight="false" outlineLevel="0" collapsed="false">
      <c r="A7891" s="0" t="n">
        <v>7887</v>
      </c>
      <c r="B7891" s="0" t="n">
        <v>11</v>
      </c>
      <c r="C7891" s="19" t="n">
        <v>0.4842</v>
      </c>
      <c r="D7891" s="19" t="n">
        <v>1</v>
      </c>
      <c r="E7891" s="20" t="n">
        <f aca="false">Parametres!$B$5*C7891</f>
        <v>145.26</v>
      </c>
      <c r="F7891" s="20" t="n">
        <f aca="false">Parametres!$B$6*D7891</f>
        <v>200</v>
      </c>
      <c r="G7891" s="20" t="n">
        <f aca="false">E7891+F7891</f>
        <v>345.26</v>
      </c>
      <c r="H7891" s="20" t="n">
        <f aca="false">IF(G7891&lt;Parametres!$B$8*Parametres!$B$7,0,MIN(G7891,Parametres!$B$7))</f>
        <v>250</v>
      </c>
      <c r="I7891" s="20" t="n">
        <f aca="false">G7891-H7891</f>
        <v>95.26</v>
      </c>
      <c r="J7891" s="21" t="n">
        <f aca="false">H7891*1000/Parametres!$B$9</f>
        <v>4239.44378497541</v>
      </c>
    </row>
    <row r="7892" customFormat="false" ht="15" hidden="false" customHeight="false" outlineLevel="0" collapsed="false">
      <c r="A7892" s="0" t="n">
        <v>7888</v>
      </c>
      <c r="B7892" s="0" t="n">
        <v>11</v>
      </c>
      <c r="C7892" s="19" t="n">
        <v>0.3214</v>
      </c>
      <c r="D7892" s="19" t="n">
        <v>1</v>
      </c>
      <c r="E7892" s="20" t="n">
        <f aca="false">Parametres!$B$5*C7892</f>
        <v>96.42</v>
      </c>
      <c r="F7892" s="20" t="n">
        <f aca="false">Parametres!$B$6*D7892</f>
        <v>200</v>
      </c>
      <c r="G7892" s="20" t="n">
        <f aca="false">E7892+F7892</f>
        <v>296.42</v>
      </c>
      <c r="H7892" s="20" t="n">
        <f aca="false">IF(G7892&lt;Parametres!$B$8*Parametres!$B$7,0,MIN(G7892,Parametres!$B$7))</f>
        <v>250</v>
      </c>
      <c r="I7892" s="20" t="n">
        <f aca="false">G7892-H7892</f>
        <v>46.42</v>
      </c>
      <c r="J7892" s="21" t="n">
        <f aca="false">H7892*1000/Parametres!$B$9</f>
        <v>4239.44378497541</v>
      </c>
    </row>
    <row r="7893" customFormat="false" ht="15" hidden="false" customHeight="false" outlineLevel="0" collapsed="false">
      <c r="A7893" s="0" t="n">
        <v>7889</v>
      </c>
      <c r="B7893" s="0" t="n">
        <v>11</v>
      </c>
      <c r="C7893" s="19" t="n">
        <v>0.1368</v>
      </c>
      <c r="D7893" s="19" t="n">
        <v>1</v>
      </c>
      <c r="E7893" s="20" t="n">
        <f aca="false">Parametres!$B$5*C7893</f>
        <v>41.04</v>
      </c>
      <c r="F7893" s="20" t="n">
        <f aca="false">Parametres!$B$6*D7893</f>
        <v>200</v>
      </c>
      <c r="G7893" s="20" t="n">
        <f aca="false">E7893+F7893</f>
        <v>241.04</v>
      </c>
      <c r="H7893" s="20" t="n">
        <f aca="false">IF(G7893&lt;Parametres!$B$8*Parametres!$B$7,0,MIN(G7893,Parametres!$B$7))</f>
        <v>241.04</v>
      </c>
      <c r="I7893" s="20" t="n">
        <f aca="false">G7893-H7893</f>
        <v>0</v>
      </c>
      <c r="J7893" s="21" t="n">
        <f aca="false">H7893*1000/Parametres!$B$9</f>
        <v>4087.50211972189</v>
      </c>
    </row>
    <row r="7894" customFormat="false" ht="15" hidden="false" customHeight="false" outlineLevel="0" collapsed="false">
      <c r="A7894" s="0" t="n">
        <v>7890</v>
      </c>
      <c r="B7894" s="0" t="n">
        <v>11</v>
      </c>
      <c r="C7894" s="19" t="n">
        <v>0</v>
      </c>
      <c r="D7894" s="19" t="n">
        <v>1</v>
      </c>
      <c r="E7894" s="20" t="n">
        <f aca="false">Parametres!$B$5*C7894</f>
        <v>0</v>
      </c>
      <c r="F7894" s="20" t="n">
        <f aca="false">Parametres!$B$6*D7894</f>
        <v>200</v>
      </c>
      <c r="G7894" s="20" t="n">
        <f aca="false">E7894+F7894</f>
        <v>200</v>
      </c>
      <c r="H7894" s="20" t="n">
        <f aca="false">IF(G7894&lt;Parametres!$B$8*Parametres!$B$7,0,MIN(G7894,Parametres!$B$7))</f>
        <v>200</v>
      </c>
      <c r="I7894" s="20" t="n">
        <f aca="false">G7894-H7894</f>
        <v>0</v>
      </c>
      <c r="J7894" s="21" t="n">
        <f aca="false">H7894*1000/Parametres!$B$9</f>
        <v>3391.55502798033</v>
      </c>
    </row>
    <row r="7895" customFormat="false" ht="15" hidden="false" customHeight="false" outlineLevel="0" collapsed="false">
      <c r="A7895" s="0" t="n">
        <v>7891</v>
      </c>
      <c r="B7895" s="0" t="n">
        <v>11</v>
      </c>
      <c r="C7895" s="19" t="n">
        <v>0</v>
      </c>
      <c r="D7895" s="19" t="n">
        <v>1</v>
      </c>
      <c r="E7895" s="20" t="n">
        <f aca="false">Parametres!$B$5*C7895</f>
        <v>0</v>
      </c>
      <c r="F7895" s="20" t="n">
        <f aca="false">Parametres!$B$6*D7895</f>
        <v>200</v>
      </c>
      <c r="G7895" s="20" t="n">
        <f aca="false">E7895+F7895</f>
        <v>200</v>
      </c>
      <c r="H7895" s="20" t="n">
        <f aca="false">IF(G7895&lt;Parametres!$B$8*Parametres!$B$7,0,MIN(G7895,Parametres!$B$7))</f>
        <v>200</v>
      </c>
      <c r="I7895" s="20" t="n">
        <f aca="false">G7895-H7895</f>
        <v>0</v>
      </c>
      <c r="J7895" s="21" t="n">
        <f aca="false">H7895*1000/Parametres!$B$9</f>
        <v>3391.55502798033</v>
      </c>
    </row>
    <row r="7896" customFormat="false" ht="15" hidden="false" customHeight="false" outlineLevel="0" collapsed="false">
      <c r="A7896" s="0" t="n">
        <v>7892</v>
      </c>
      <c r="B7896" s="0" t="n">
        <v>11</v>
      </c>
      <c r="C7896" s="19" t="n">
        <v>0</v>
      </c>
      <c r="D7896" s="19" t="n">
        <v>1</v>
      </c>
      <c r="E7896" s="20" t="n">
        <f aca="false">Parametres!$B$5*C7896</f>
        <v>0</v>
      </c>
      <c r="F7896" s="20" t="n">
        <f aca="false">Parametres!$B$6*D7896</f>
        <v>200</v>
      </c>
      <c r="G7896" s="20" t="n">
        <f aca="false">E7896+F7896</f>
        <v>200</v>
      </c>
      <c r="H7896" s="20" t="n">
        <f aca="false">IF(G7896&lt;Parametres!$B$8*Parametres!$B$7,0,MIN(G7896,Parametres!$B$7))</f>
        <v>200</v>
      </c>
      <c r="I7896" s="20" t="n">
        <f aca="false">G7896-H7896</f>
        <v>0</v>
      </c>
      <c r="J7896" s="21" t="n">
        <f aca="false">H7896*1000/Parametres!$B$9</f>
        <v>3391.55502798033</v>
      </c>
    </row>
    <row r="7897" customFormat="false" ht="15" hidden="false" customHeight="false" outlineLevel="0" collapsed="false">
      <c r="A7897" s="0" t="n">
        <v>7893</v>
      </c>
      <c r="B7897" s="0" t="n">
        <v>11</v>
      </c>
      <c r="C7897" s="19" t="n">
        <v>0</v>
      </c>
      <c r="D7897" s="19" t="n">
        <v>1</v>
      </c>
      <c r="E7897" s="20" t="n">
        <f aca="false">Parametres!$B$5*C7897</f>
        <v>0</v>
      </c>
      <c r="F7897" s="20" t="n">
        <f aca="false">Parametres!$B$6*D7897</f>
        <v>200</v>
      </c>
      <c r="G7897" s="20" t="n">
        <f aca="false">E7897+F7897</f>
        <v>200</v>
      </c>
      <c r="H7897" s="20" t="n">
        <f aca="false">IF(G7897&lt;Parametres!$B$8*Parametres!$B$7,0,MIN(G7897,Parametres!$B$7))</f>
        <v>200</v>
      </c>
      <c r="I7897" s="20" t="n">
        <f aca="false">G7897-H7897</f>
        <v>0</v>
      </c>
      <c r="J7897" s="21" t="n">
        <f aca="false">H7897*1000/Parametres!$B$9</f>
        <v>3391.55502798033</v>
      </c>
    </row>
    <row r="7898" customFormat="false" ht="15" hidden="false" customHeight="false" outlineLevel="0" collapsed="false">
      <c r="A7898" s="0" t="n">
        <v>7894</v>
      </c>
      <c r="B7898" s="0" t="n">
        <v>11</v>
      </c>
      <c r="C7898" s="19" t="n">
        <v>0</v>
      </c>
      <c r="D7898" s="19" t="n">
        <v>1</v>
      </c>
      <c r="E7898" s="20" t="n">
        <f aca="false">Parametres!$B$5*C7898</f>
        <v>0</v>
      </c>
      <c r="F7898" s="20" t="n">
        <f aca="false">Parametres!$B$6*D7898</f>
        <v>200</v>
      </c>
      <c r="G7898" s="20" t="n">
        <f aca="false">E7898+F7898</f>
        <v>200</v>
      </c>
      <c r="H7898" s="20" t="n">
        <f aca="false">IF(G7898&lt;Parametres!$B$8*Parametres!$B$7,0,MIN(G7898,Parametres!$B$7))</f>
        <v>200</v>
      </c>
      <c r="I7898" s="20" t="n">
        <f aca="false">G7898-H7898</f>
        <v>0</v>
      </c>
      <c r="J7898" s="21" t="n">
        <f aca="false">H7898*1000/Parametres!$B$9</f>
        <v>3391.55502798033</v>
      </c>
    </row>
    <row r="7899" customFormat="false" ht="15" hidden="false" customHeight="false" outlineLevel="0" collapsed="false">
      <c r="A7899" s="0" t="n">
        <v>7895</v>
      </c>
      <c r="B7899" s="0" t="n">
        <v>11</v>
      </c>
      <c r="C7899" s="19" t="n">
        <v>0</v>
      </c>
      <c r="D7899" s="19" t="n">
        <v>1</v>
      </c>
      <c r="E7899" s="20" t="n">
        <f aca="false">Parametres!$B$5*C7899</f>
        <v>0</v>
      </c>
      <c r="F7899" s="20" t="n">
        <f aca="false">Parametres!$B$6*D7899</f>
        <v>200</v>
      </c>
      <c r="G7899" s="20" t="n">
        <f aca="false">E7899+F7899</f>
        <v>200</v>
      </c>
      <c r="H7899" s="20" t="n">
        <f aca="false">IF(G7899&lt;Parametres!$B$8*Parametres!$B$7,0,MIN(G7899,Parametres!$B$7))</f>
        <v>200</v>
      </c>
      <c r="I7899" s="20" t="n">
        <f aca="false">G7899-H7899</f>
        <v>0</v>
      </c>
      <c r="J7899" s="21" t="n">
        <f aca="false">H7899*1000/Parametres!$B$9</f>
        <v>3391.55502798033</v>
      </c>
    </row>
    <row r="7900" customFormat="false" ht="15" hidden="false" customHeight="false" outlineLevel="0" collapsed="false">
      <c r="A7900" s="0" t="n">
        <v>7896</v>
      </c>
      <c r="B7900" s="0" t="n">
        <v>11</v>
      </c>
      <c r="C7900" s="19" t="n">
        <v>0</v>
      </c>
      <c r="D7900" s="19" t="n">
        <v>1</v>
      </c>
      <c r="E7900" s="20" t="n">
        <f aca="false">Parametres!$B$5*C7900</f>
        <v>0</v>
      </c>
      <c r="F7900" s="20" t="n">
        <f aca="false">Parametres!$B$6*D7900</f>
        <v>200</v>
      </c>
      <c r="G7900" s="20" t="n">
        <f aca="false">E7900+F7900</f>
        <v>200</v>
      </c>
      <c r="H7900" s="20" t="n">
        <f aca="false">IF(G7900&lt;Parametres!$B$8*Parametres!$B$7,0,MIN(G7900,Parametres!$B$7))</f>
        <v>200</v>
      </c>
      <c r="I7900" s="20" t="n">
        <f aca="false">G7900-H7900</f>
        <v>0</v>
      </c>
      <c r="J7900" s="21" t="n">
        <f aca="false">H7900*1000/Parametres!$B$9</f>
        <v>3391.55502798033</v>
      </c>
    </row>
    <row r="7901" customFormat="false" ht="15" hidden="false" customHeight="false" outlineLevel="0" collapsed="false">
      <c r="A7901" s="0" t="n">
        <v>7897</v>
      </c>
      <c r="B7901" s="0" t="n">
        <v>11</v>
      </c>
      <c r="C7901" s="19" t="n">
        <v>0</v>
      </c>
      <c r="D7901" s="19" t="n">
        <v>1</v>
      </c>
      <c r="E7901" s="20" t="n">
        <f aca="false">Parametres!$B$5*C7901</f>
        <v>0</v>
      </c>
      <c r="F7901" s="20" t="n">
        <f aca="false">Parametres!$B$6*D7901</f>
        <v>200</v>
      </c>
      <c r="G7901" s="20" t="n">
        <f aca="false">E7901+F7901</f>
        <v>200</v>
      </c>
      <c r="H7901" s="20" t="n">
        <f aca="false">IF(G7901&lt;Parametres!$B$8*Parametres!$B$7,0,MIN(G7901,Parametres!$B$7))</f>
        <v>200</v>
      </c>
      <c r="I7901" s="20" t="n">
        <f aca="false">G7901-H7901</f>
        <v>0</v>
      </c>
      <c r="J7901" s="21" t="n">
        <f aca="false">H7901*1000/Parametres!$B$9</f>
        <v>3391.55502798033</v>
      </c>
    </row>
    <row r="7902" customFormat="false" ht="15" hidden="false" customHeight="false" outlineLevel="0" collapsed="false">
      <c r="A7902" s="0" t="n">
        <v>7898</v>
      </c>
      <c r="B7902" s="0" t="n">
        <v>11</v>
      </c>
      <c r="C7902" s="19" t="n">
        <v>0</v>
      </c>
      <c r="D7902" s="19" t="n">
        <v>0.9427</v>
      </c>
      <c r="E7902" s="20" t="n">
        <f aca="false">Parametres!$B$5*C7902</f>
        <v>0</v>
      </c>
      <c r="F7902" s="20" t="n">
        <f aca="false">Parametres!$B$6*D7902</f>
        <v>188.54</v>
      </c>
      <c r="G7902" s="20" t="n">
        <f aca="false">E7902+F7902</f>
        <v>188.54</v>
      </c>
      <c r="H7902" s="20" t="n">
        <f aca="false">IF(G7902&lt;Parametres!$B$8*Parametres!$B$7,0,MIN(G7902,Parametres!$B$7))</f>
        <v>188.54</v>
      </c>
      <c r="I7902" s="20" t="n">
        <f aca="false">G7902-H7902</f>
        <v>0</v>
      </c>
      <c r="J7902" s="21" t="n">
        <f aca="false">H7902*1000/Parametres!$B$9</f>
        <v>3197.21892487706</v>
      </c>
    </row>
    <row r="7903" customFormat="false" ht="15" hidden="false" customHeight="false" outlineLevel="0" collapsed="false">
      <c r="A7903" s="0" t="n">
        <v>7899</v>
      </c>
      <c r="B7903" s="0" t="n">
        <v>11</v>
      </c>
      <c r="C7903" s="19" t="n">
        <v>0</v>
      </c>
      <c r="D7903" s="19" t="n">
        <v>0.7297</v>
      </c>
      <c r="E7903" s="20" t="n">
        <f aca="false">Parametres!$B$5*C7903</f>
        <v>0</v>
      </c>
      <c r="F7903" s="20" t="n">
        <f aca="false">Parametres!$B$6*D7903</f>
        <v>145.94</v>
      </c>
      <c r="G7903" s="20" t="n">
        <f aca="false">E7903+F7903</f>
        <v>145.94</v>
      </c>
      <c r="H7903" s="20" t="n">
        <f aca="false">IF(G7903&lt;Parametres!$B$8*Parametres!$B$7,0,MIN(G7903,Parametres!$B$7))</f>
        <v>145.94</v>
      </c>
      <c r="I7903" s="20" t="n">
        <f aca="false">G7903-H7903</f>
        <v>0</v>
      </c>
      <c r="J7903" s="21" t="n">
        <f aca="false">H7903*1000/Parametres!$B$9</f>
        <v>2474.81770391725</v>
      </c>
    </row>
    <row r="7904" customFormat="false" ht="15" hidden="false" customHeight="false" outlineLevel="0" collapsed="false">
      <c r="A7904" s="0" t="n">
        <v>7900</v>
      </c>
      <c r="B7904" s="0" t="n">
        <v>11</v>
      </c>
      <c r="C7904" s="19" t="n">
        <v>0</v>
      </c>
      <c r="D7904" s="19" t="n">
        <v>1</v>
      </c>
      <c r="E7904" s="20" t="n">
        <f aca="false">Parametres!$B$5*C7904</f>
        <v>0</v>
      </c>
      <c r="F7904" s="20" t="n">
        <f aca="false">Parametres!$B$6*D7904</f>
        <v>200</v>
      </c>
      <c r="G7904" s="20" t="n">
        <f aca="false">E7904+F7904</f>
        <v>200</v>
      </c>
      <c r="H7904" s="20" t="n">
        <f aca="false">IF(G7904&lt;Parametres!$B$8*Parametres!$B$7,0,MIN(G7904,Parametres!$B$7))</f>
        <v>200</v>
      </c>
      <c r="I7904" s="20" t="n">
        <f aca="false">G7904-H7904</f>
        <v>0</v>
      </c>
      <c r="J7904" s="21" t="n">
        <f aca="false">H7904*1000/Parametres!$B$9</f>
        <v>3391.55502798033</v>
      </c>
    </row>
    <row r="7905" customFormat="false" ht="15" hidden="false" customHeight="false" outlineLevel="0" collapsed="false">
      <c r="A7905" s="0" t="n">
        <v>7901</v>
      </c>
      <c r="B7905" s="0" t="n">
        <v>11</v>
      </c>
      <c r="C7905" s="19" t="n">
        <v>0</v>
      </c>
      <c r="D7905" s="19" t="n">
        <v>1</v>
      </c>
      <c r="E7905" s="20" t="n">
        <f aca="false">Parametres!$B$5*C7905</f>
        <v>0</v>
      </c>
      <c r="F7905" s="20" t="n">
        <f aca="false">Parametres!$B$6*D7905</f>
        <v>200</v>
      </c>
      <c r="G7905" s="20" t="n">
        <f aca="false">E7905+F7905</f>
        <v>200</v>
      </c>
      <c r="H7905" s="20" t="n">
        <f aca="false">IF(G7905&lt;Parametres!$B$8*Parametres!$B$7,0,MIN(G7905,Parametres!$B$7))</f>
        <v>200</v>
      </c>
      <c r="I7905" s="20" t="n">
        <f aca="false">G7905-H7905</f>
        <v>0</v>
      </c>
      <c r="J7905" s="21" t="n">
        <f aca="false">H7905*1000/Parametres!$B$9</f>
        <v>3391.55502798033</v>
      </c>
    </row>
    <row r="7906" customFormat="false" ht="15" hidden="false" customHeight="false" outlineLevel="0" collapsed="false">
      <c r="A7906" s="0" t="n">
        <v>7902</v>
      </c>
      <c r="B7906" s="0" t="n">
        <v>11</v>
      </c>
      <c r="C7906" s="19" t="n">
        <v>0</v>
      </c>
      <c r="D7906" s="19" t="n">
        <v>1</v>
      </c>
      <c r="E7906" s="20" t="n">
        <f aca="false">Parametres!$B$5*C7906</f>
        <v>0</v>
      </c>
      <c r="F7906" s="20" t="n">
        <f aca="false">Parametres!$B$6*D7906</f>
        <v>200</v>
      </c>
      <c r="G7906" s="20" t="n">
        <f aca="false">E7906+F7906</f>
        <v>200</v>
      </c>
      <c r="H7906" s="20" t="n">
        <f aca="false">IF(G7906&lt;Parametres!$B$8*Parametres!$B$7,0,MIN(G7906,Parametres!$B$7))</f>
        <v>200</v>
      </c>
      <c r="I7906" s="20" t="n">
        <f aca="false">G7906-H7906</f>
        <v>0</v>
      </c>
      <c r="J7906" s="21" t="n">
        <f aca="false">H7906*1000/Parametres!$B$9</f>
        <v>3391.55502798033</v>
      </c>
    </row>
    <row r="7907" customFormat="false" ht="15" hidden="false" customHeight="false" outlineLevel="0" collapsed="false">
      <c r="A7907" s="0" t="n">
        <v>7903</v>
      </c>
      <c r="B7907" s="0" t="n">
        <v>11</v>
      </c>
      <c r="C7907" s="19" t="n">
        <v>0</v>
      </c>
      <c r="D7907" s="19" t="n">
        <v>1</v>
      </c>
      <c r="E7907" s="20" t="n">
        <f aca="false">Parametres!$B$5*C7907</f>
        <v>0</v>
      </c>
      <c r="F7907" s="20" t="n">
        <f aca="false">Parametres!$B$6*D7907</f>
        <v>200</v>
      </c>
      <c r="G7907" s="20" t="n">
        <f aca="false">E7907+F7907</f>
        <v>200</v>
      </c>
      <c r="H7907" s="20" t="n">
        <f aca="false">IF(G7907&lt;Parametres!$B$8*Parametres!$B$7,0,MIN(G7907,Parametres!$B$7))</f>
        <v>200</v>
      </c>
      <c r="I7907" s="20" t="n">
        <f aca="false">G7907-H7907</f>
        <v>0</v>
      </c>
      <c r="J7907" s="21" t="n">
        <f aca="false">H7907*1000/Parametres!$B$9</f>
        <v>3391.55502798033</v>
      </c>
    </row>
    <row r="7908" customFormat="false" ht="15" hidden="false" customHeight="false" outlineLevel="0" collapsed="false">
      <c r="A7908" s="0" t="n">
        <v>7904</v>
      </c>
      <c r="B7908" s="0" t="n">
        <v>11</v>
      </c>
      <c r="C7908" s="19" t="n">
        <v>0.1474</v>
      </c>
      <c r="D7908" s="19" t="n">
        <v>1</v>
      </c>
      <c r="E7908" s="20" t="n">
        <f aca="false">Parametres!$B$5*C7908</f>
        <v>44.22</v>
      </c>
      <c r="F7908" s="20" t="n">
        <f aca="false">Parametres!$B$6*D7908</f>
        <v>200</v>
      </c>
      <c r="G7908" s="20" t="n">
        <f aca="false">E7908+F7908</f>
        <v>244.22</v>
      </c>
      <c r="H7908" s="20" t="n">
        <f aca="false">IF(G7908&lt;Parametres!$B$8*Parametres!$B$7,0,MIN(G7908,Parametres!$B$7))</f>
        <v>244.22</v>
      </c>
      <c r="I7908" s="20" t="n">
        <f aca="false">G7908-H7908</f>
        <v>0</v>
      </c>
      <c r="J7908" s="21" t="n">
        <f aca="false">H7908*1000/Parametres!$B$9</f>
        <v>4141.42784466678</v>
      </c>
    </row>
    <row r="7909" customFormat="false" ht="15" hidden="false" customHeight="false" outlineLevel="0" collapsed="false">
      <c r="A7909" s="0" t="n">
        <v>7905</v>
      </c>
      <c r="B7909" s="0" t="n">
        <v>11</v>
      </c>
      <c r="C7909" s="19" t="n">
        <v>0.397</v>
      </c>
      <c r="D7909" s="19" t="n">
        <v>1</v>
      </c>
      <c r="E7909" s="20" t="n">
        <f aca="false">Parametres!$B$5*C7909</f>
        <v>119.1</v>
      </c>
      <c r="F7909" s="20" t="n">
        <f aca="false">Parametres!$B$6*D7909</f>
        <v>200</v>
      </c>
      <c r="G7909" s="20" t="n">
        <f aca="false">E7909+F7909</f>
        <v>319.1</v>
      </c>
      <c r="H7909" s="20" t="n">
        <f aca="false">IF(G7909&lt;Parametres!$B$8*Parametres!$B$7,0,MIN(G7909,Parametres!$B$7))</f>
        <v>250</v>
      </c>
      <c r="I7909" s="20" t="n">
        <f aca="false">G7909-H7909</f>
        <v>69.1</v>
      </c>
      <c r="J7909" s="21" t="n">
        <f aca="false">H7909*1000/Parametres!$B$9</f>
        <v>4239.44378497541</v>
      </c>
    </row>
    <row r="7910" customFormat="false" ht="15" hidden="false" customHeight="false" outlineLevel="0" collapsed="false">
      <c r="A7910" s="0" t="n">
        <v>7906</v>
      </c>
      <c r="B7910" s="0" t="n">
        <v>11</v>
      </c>
      <c r="C7910" s="19" t="n">
        <v>0.6123</v>
      </c>
      <c r="D7910" s="19" t="n">
        <v>1</v>
      </c>
      <c r="E7910" s="20" t="n">
        <f aca="false">Parametres!$B$5*C7910</f>
        <v>183.69</v>
      </c>
      <c r="F7910" s="20" t="n">
        <f aca="false">Parametres!$B$6*D7910</f>
        <v>200</v>
      </c>
      <c r="G7910" s="20" t="n">
        <f aca="false">E7910+F7910</f>
        <v>383.69</v>
      </c>
      <c r="H7910" s="20" t="n">
        <f aca="false">IF(G7910&lt;Parametres!$B$8*Parametres!$B$7,0,MIN(G7910,Parametres!$B$7))</f>
        <v>250</v>
      </c>
      <c r="I7910" s="20" t="n">
        <f aca="false">G7910-H7910</f>
        <v>133.69</v>
      </c>
      <c r="J7910" s="21" t="n">
        <f aca="false">H7910*1000/Parametres!$B$9</f>
        <v>4239.44378497541</v>
      </c>
    </row>
    <row r="7911" customFormat="false" ht="15" hidden="false" customHeight="false" outlineLevel="0" collapsed="false">
      <c r="A7911" s="0" t="n">
        <v>7907</v>
      </c>
      <c r="B7911" s="0" t="n">
        <v>11</v>
      </c>
      <c r="C7911" s="19" t="n">
        <v>0.7859</v>
      </c>
      <c r="D7911" s="19" t="n">
        <v>1</v>
      </c>
      <c r="E7911" s="20" t="n">
        <f aca="false">Parametres!$B$5*C7911</f>
        <v>235.77</v>
      </c>
      <c r="F7911" s="20" t="n">
        <f aca="false">Parametres!$B$6*D7911</f>
        <v>200</v>
      </c>
      <c r="G7911" s="20" t="n">
        <f aca="false">E7911+F7911</f>
        <v>435.77</v>
      </c>
      <c r="H7911" s="20" t="n">
        <f aca="false">IF(G7911&lt;Parametres!$B$8*Parametres!$B$7,0,MIN(G7911,Parametres!$B$7))</f>
        <v>250</v>
      </c>
      <c r="I7911" s="20" t="n">
        <f aca="false">G7911-H7911</f>
        <v>185.77</v>
      </c>
      <c r="J7911" s="21" t="n">
        <f aca="false">H7911*1000/Parametres!$B$9</f>
        <v>4239.44378497541</v>
      </c>
    </row>
    <row r="7912" customFormat="false" ht="15" hidden="false" customHeight="false" outlineLevel="0" collapsed="false">
      <c r="A7912" s="0" t="n">
        <v>7908</v>
      </c>
      <c r="B7912" s="0" t="n">
        <v>11</v>
      </c>
      <c r="C7912" s="19" t="n">
        <v>0.8369</v>
      </c>
      <c r="D7912" s="19" t="n">
        <v>1</v>
      </c>
      <c r="E7912" s="20" t="n">
        <f aca="false">Parametres!$B$5*C7912</f>
        <v>251.07</v>
      </c>
      <c r="F7912" s="20" t="n">
        <f aca="false">Parametres!$B$6*D7912</f>
        <v>200</v>
      </c>
      <c r="G7912" s="20" t="n">
        <f aca="false">E7912+F7912</f>
        <v>451.07</v>
      </c>
      <c r="H7912" s="20" t="n">
        <f aca="false">IF(G7912&lt;Parametres!$B$8*Parametres!$B$7,0,MIN(G7912,Parametres!$B$7))</f>
        <v>250</v>
      </c>
      <c r="I7912" s="20" t="n">
        <f aca="false">G7912-H7912</f>
        <v>201.07</v>
      </c>
      <c r="J7912" s="21" t="n">
        <f aca="false">H7912*1000/Parametres!$B$9</f>
        <v>4239.44378497541</v>
      </c>
    </row>
    <row r="7913" customFormat="false" ht="15" hidden="false" customHeight="false" outlineLevel="0" collapsed="false">
      <c r="A7913" s="0" t="n">
        <v>7909</v>
      </c>
      <c r="B7913" s="0" t="n">
        <v>11</v>
      </c>
      <c r="C7913" s="19" t="n">
        <v>0.9436</v>
      </c>
      <c r="D7913" s="19" t="n">
        <v>1</v>
      </c>
      <c r="E7913" s="20" t="n">
        <f aca="false">Parametres!$B$5*C7913</f>
        <v>283.08</v>
      </c>
      <c r="F7913" s="20" t="n">
        <f aca="false">Parametres!$B$6*D7913</f>
        <v>200</v>
      </c>
      <c r="G7913" s="20" t="n">
        <f aca="false">E7913+F7913</f>
        <v>483.08</v>
      </c>
      <c r="H7913" s="20" t="n">
        <f aca="false">IF(G7913&lt;Parametres!$B$8*Parametres!$B$7,0,MIN(G7913,Parametres!$B$7))</f>
        <v>250</v>
      </c>
      <c r="I7913" s="20" t="n">
        <f aca="false">G7913-H7913</f>
        <v>233.08</v>
      </c>
      <c r="J7913" s="21" t="n">
        <f aca="false">H7913*1000/Parametres!$B$9</f>
        <v>4239.44378497541</v>
      </c>
    </row>
    <row r="7914" customFormat="false" ht="15" hidden="false" customHeight="false" outlineLevel="0" collapsed="false">
      <c r="A7914" s="0" t="n">
        <v>7910</v>
      </c>
      <c r="B7914" s="0" t="n">
        <v>11</v>
      </c>
      <c r="C7914" s="19" t="n">
        <v>0.7933</v>
      </c>
      <c r="D7914" s="19" t="n">
        <v>1</v>
      </c>
      <c r="E7914" s="20" t="n">
        <f aca="false">Parametres!$B$5*C7914</f>
        <v>237.99</v>
      </c>
      <c r="F7914" s="20" t="n">
        <f aca="false">Parametres!$B$6*D7914</f>
        <v>200</v>
      </c>
      <c r="G7914" s="20" t="n">
        <f aca="false">E7914+F7914</f>
        <v>437.99</v>
      </c>
      <c r="H7914" s="20" t="n">
        <f aca="false">IF(G7914&lt;Parametres!$B$8*Parametres!$B$7,0,MIN(G7914,Parametres!$B$7))</f>
        <v>250</v>
      </c>
      <c r="I7914" s="20" t="n">
        <f aca="false">G7914-H7914</f>
        <v>187.99</v>
      </c>
      <c r="J7914" s="21" t="n">
        <f aca="false">H7914*1000/Parametres!$B$9</f>
        <v>4239.44378497541</v>
      </c>
    </row>
    <row r="7915" customFormat="false" ht="15" hidden="false" customHeight="false" outlineLevel="0" collapsed="false">
      <c r="A7915" s="0" t="n">
        <v>7911</v>
      </c>
      <c r="B7915" s="0" t="n">
        <v>11</v>
      </c>
      <c r="C7915" s="19" t="n">
        <v>0.5879</v>
      </c>
      <c r="D7915" s="19" t="n">
        <v>1</v>
      </c>
      <c r="E7915" s="20" t="n">
        <f aca="false">Parametres!$B$5*C7915</f>
        <v>176.37</v>
      </c>
      <c r="F7915" s="20" t="n">
        <f aca="false">Parametres!$B$6*D7915</f>
        <v>200</v>
      </c>
      <c r="G7915" s="20" t="n">
        <f aca="false">E7915+F7915</f>
        <v>376.37</v>
      </c>
      <c r="H7915" s="20" t="n">
        <f aca="false">IF(G7915&lt;Parametres!$B$8*Parametres!$B$7,0,MIN(G7915,Parametres!$B$7))</f>
        <v>250</v>
      </c>
      <c r="I7915" s="20" t="n">
        <f aca="false">G7915-H7915</f>
        <v>126.37</v>
      </c>
      <c r="J7915" s="21" t="n">
        <f aca="false">H7915*1000/Parametres!$B$9</f>
        <v>4239.44378497541</v>
      </c>
    </row>
    <row r="7916" customFormat="false" ht="15" hidden="false" customHeight="false" outlineLevel="0" collapsed="false">
      <c r="A7916" s="0" t="n">
        <v>7912</v>
      </c>
      <c r="B7916" s="0" t="n">
        <v>11</v>
      </c>
      <c r="C7916" s="19" t="n">
        <v>0.3852</v>
      </c>
      <c r="D7916" s="19" t="n">
        <v>1</v>
      </c>
      <c r="E7916" s="20" t="n">
        <f aca="false">Parametres!$B$5*C7916</f>
        <v>115.56</v>
      </c>
      <c r="F7916" s="20" t="n">
        <f aca="false">Parametres!$B$6*D7916</f>
        <v>200</v>
      </c>
      <c r="G7916" s="20" t="n">
        <f aca="false">E7916+F7916</f>
        <v>315.56</v>
      </c>
      <c r="H7916" s="20" t="n">
        <f aca="false">IF(G7916&lt;Parametres!$B$8*Parametres!$B$7,0,MIN(G7916,Parametres!$B$7))</f>
        <v>250</v>
      </c>
      <c r="I7916" s="20" t="n">
        <f aca="false">G7916-H7916</f>
        <v>65.56</v>
      </c>
      <c r="J7916" s="21" t="n">
        <f aca="false">H7916*1000/Parametres!$B$9</f>
        <v>4239.44378497541</v>
      </c>
    </row>
    <row r="7917" customFormat="false" ht="15" hidden="false" customHeight="false" outlineLevel="0" collapsed="false">
      <c r="A7917" s="0" t="n">
        <v>7913</v>
      </c>
      <c r="B7917" s="0" t="n">
        <v>11</v>
      </c>
      <c r="C7917" s="19" t="n">
        <v>0.1474</v>
      </c>
      <c r="D7917" s="19" t="n">
        <v>1</v>
      </c>
      <c r="E7917" s="20" t="n">
        <f aca="false">Parametres!$B$5*C7917</f>
        <v>44.22</v>
      </c>
      <c r="F7917" s="20" t="n">
        <f aca="false">Parametres!$B$6*D7917</f>
        <v>200</v>
      </c>
      <c r="G7917" s="20" t="n">
        <f aca="false">E7917+F7917</f>
        <v>244.22</v>
      </c>
      <c r="H7917" s="20" t="n">
        <f aca="false">IF(G7917&lt;Parametres!$B$8*Parametres!$B$7,0,MIN(G7917,Parametres!$B$7))</f>
        <v>244.22</v>
      </c>
      <c r="I7917" s="20" t="n">
        <f aca="false">G7917-H7917</f>
        <v>0</v>
      </c>
      <c r="J7917" s="21" t="n">
        <f aca="false">H7917*1000/Parametres!$B$9</f>
        <v>4141.42784466678</v>
      </c>
    </row>
    <row r="7918" customFormat="false" ht="15" hidden="false" customHeight="false" outlineLevel="0" collapsed="false">
      <c r="A7918" s="0" t="n">
        <v>7914</v>
      </c>
      <c r="B7918" s="0" t="n">
        <v>11</v>
      </c>
      <c r="C7918" s="19" t="n">
        <v>0</v>
      </c>
      <c r="D7918" s="19" t="n">
        <v>1</v>
      </c>
      <c r="E7918" s="20" t="n">
        <f aca="false">Parametres!$B$5*C7918</f>
        <v>0</v>
      </c>
      <c r="F7918" s="20" t="n">
        <f aca="false">Parametres!$B$6*D7918</f>
        <v>200</v>
      </c>
      <c r="G7918" s="20" t="n">
        <f aca="false">E7918+F7918</f>
        <v>200</v>
      </c>
      <c r="H7918" s="20" t="n">
        <f aca="false">IF(G7918&lt;Parametres!$B$8*Parametres!$B$7,0,MIN(G7918,Parametres!$B$7))</f>
        <v>200</v>
      </c>
      <c r="I7918" s="20" t="n">
        <f aca="false">G7918-H7918</f>
        <v>0</v>
      </c>
      <c r="J7918" s="21" t="n">
        <f aca="false">H7918*1000/Parametres!$B$9</f>
        <v>3391.55502798033</v>
      </c>
    </row>
    <row r="7919" customFormat="false" ht="15" hidden="false" customHeight="false" outlineLevel="0" collapsed="false">
      <c r="A7919" s="0" t="n">
        <v>7915</v>
      </c>
      <c r="B7919" s="0" t="n">
        <v>11</v>
      </c>
      <c r="C7919" s="19" t="n">
        <v>0</v>
      </c>
      <c r="D7919" s="19" t="n">
        <v>1</v>
      </c>
      <c r="E7919" s="20" t="n">
        <f aca="false">Parametres!$B$5*C7919</f>
        <v>0</v>
      </c>
      <c r="F7919" s="20" t="n">
        <f aca="false">Parametres!$B$6*D7919</f>
        <v>200</v>
      </c>
      <c r="G7919" s="20" t="n">
        <f aca="false">E7919+F7919</f>
        <v>200</v>
      </c>
      <c r="H7919" s="20" t="n">
        <f aca="false">IF(G7919&lt;Parametres!$B$8*Parametres!$B$7,0,MIN(G7919,Parametres!$B$7))</f>
        <v>200</v>
      </c>
      <c r="I7919" s="20" t="n">
        <f aca="false">G7919-H7919</f>
        <v>0</v>
      </c>
      <c r="J7919" s="21" t="n">
        <f aca="false">H7919*1000/Parametres!$B$9</f>
        <v>3391.55502798033</v>
      </c>
    </row>
    <row r="7920" customFormat="false" ht="15" hidden="false" customHeight="false" outlineLevel="0" collapsed="false">
      <c r="A7920" s="0" t="n">
        <v>7916</v>
      </c>
      <c r="B7920" s="0" t="n">
        <v>11</v>
      </c>
      <c r="C7920" s="19" t="n">
        <v>0</v>
      </c>
      <c r="D7920" s="19" t="n">
        <v>1</v>
      </c>
      <c r="E7920" s="20" t="n">
        <f aca="false">Parametres!$B$5*C7920</f>
        <v>0</v>
      </c>
      <c r="F7920" s="20" t="n">
        <f aca="false">Parametres!$B$6*D7920</f>
        <v>200</v>
      </c>
      <c r="G7920" s="20" t="n">
        <f aca="false">E7920+F7920</f>
        <v>200</v>
      </c>
      <c r="H7920" s="20" t="n">
        <f aca="false">IF(G7920&lt;Parametres!$B$8*Parametres!$B$7,0,MIN(G7920,Parametres!$B$7))</f>
        <v>200</v>
      </c>
      <c r="I7920" s="20" t="n">
        <f aca="false">G7920-H7920</f>
        <v>0</v>
      </c>
      <c r="J7920" s="21" t="n">
        <f aca="false">H7920*1000/Parametres!$B$9</f>
        <v>3391.55502798033</v>
      </c>
    </row>
    <row r="7921" customFormat="false" ht="15" hidden="false" customHeight="false" outlineLevel="0" collapsed="false">
      <c r="A7921" s="0" t="n">
        <v>7917</v>
      </c>
      <c r="B7921" s="0" t="n">
        <v>11</v>
      </c>
      <c r="C7921" s="19" t="n">
        <v>0</v>
      </c>
      <c r="D7921" s="19" t="n">
        <v>1</v>
      </c>
      <c r="E7921" s="20" t="n">
        <f aca="false">Parametres!$B$5*C7921</f>
        <v>0</v>
      </c>
      <c r="F7921" s="20" t="n">
        <f aca="false">Parametres!$B$6*D7921</f>
        <v>200</v>
      </c>
      <c r="G7921" s="20" t="n">
        <f aca="false">E7921+F7921</f>
        <v>200</v>
      </c>
      <c r="H7921" s="20" t="n">
        <f aca="false">IF(G7921&lt;Parametres!$B$8*Parametres!$B$7,0,MIN(G7921,Parametres!$B$7))</f>
        <v>200</v>
      </c>
      <c r="I7921" s="20" t="n">
        <f aca="false">G7921-H7921</f>
        <v>0</v>
      </c>
      <c r="J7921" s="21" t="n">
        <f aca="false">H7921*1000/Parametres!$B$9</f>
        <v>3391.55502798033</v>
      </c>
    </row>
    <row r="7922" customFormat="false" ht="15" hidden="false" customHeight="false" outlineLevel="0" collapsed="false">
      <c r="A7922" s="0" t="n">
        <v>7918</v>
      </c>
      <c r="B7922" s="0" t="n">
        <v>11</v>
      </c>
      <c r="C7922" s="19" t="n">
        <v>0</v>
      </c>
      <c r="D7922" s="19" t="n">
        <v>1</v>
      </c>
      <c r="E7922" s="20" t="n">
        <f aca="false">Parametres!$B$5*C7922</f>
        <v>0</v>
      </c>
      <c r="F7922" s="20" t="n">
        <f aca="false">Parametres!$B$6*D7922</f>
        <v>200</v>
      </c>
      <c r="G7922" s="20" t="n">
        <f aca="false">E7922+F7922</f>
        <v>200</v>
      </c>
      <c r="H7922" s="20" t="n">
        <f aca="false">IF(G7922&lt;Parametres!$B$8*Parametres!$B$7,0,MIN(G7922,Parametres!$B$7))</f>
        <v>200</v>
      </c>
      <c r="I7922" s="20" t="n">
        <f aca="false">G7922-H7922</f>
        <v>0</v>
      </c>
      <c r="J7922" s="21" t="n">
        <f aca="false">H7922*1000/Parametres!$B$9</f>
        <v>3391.55502798033</v>
      </c>
    </row>
    <row r="7923" customFormat="false" ht="15" hidden="false" customHeight="false" outlineLevel="0" collapsed="false">
      <c r="A7923" s="0" t="n">
        <v>7919</v>
      </c>
      <c r="B7923" s="0" t="n">
        <v>11</v>
      </c>
      <c r="C7923" s="19" t="n">
        <v>0</v>
      </c>
      <c r="D7923" s="19" t="n">
        <v>1</v>
      </c>
      <c r="E7923" s="20" t="n">
        <f aca="false">Parametres!$B$5*C7923</f>
        <v>0</v>
      </c>
      <c r="F7923" s="20" t="n">
        <f aca="false">Parametres!$B$6*D7923</f>
        <v>200</v>
      </c>
      <c r="G7923" s="20" t="n">
        <f aca="false">E7923+F7923</f>
        <v>200</v>
      </c>
      <c r="H7923" s="20" t="n">
        <f aca="false">IF(G7923&lt;Parametres!$B$8*Parametres!$B$7,0,MIN(G7923,Parametres!$B$7))</f>
        <v>200</v>
      </c>
      <c r="I7923" s="20" t="n">
        <f aca="false">G7923-H7923</f>
        <v>0</v>
      </c>
      <c r="J7923" s="21" t="n">
        <f aca="false">H7923*1000/Parametres!$B$9</f>
        <v>3391.55502798033</v>
      </c>
    </row>
    <row r="7924" customFormat="false" ht="15" hidden="false" customHeight="false" outlineLevel="0" collapsed="false">
      <c r="A7924" s="0" t="n">
        <v>7920</v>
      </c>
      <c r="B7924" s="0" t="n">
        <v>11</v>
      </c>
      <c r="C7924" s="19" t="n">
        <v>0</v>
      </c>
      <c r="D7924" s="19" t="n">
        <v>1</v>
      </c>
      <c r="E7924" s="20" t="n">
        <f aca="false">Parametres!$B$5*C7924</f>
        <v>0</v>
      </c>
      <c r="F7924" s="20" t="n">
        <f aca="false">Parametres!$B$6*D7924</f>
        <v>200</v>
      </c>
      <c r="G7924" s="20" t="n">
        <f aca="false">E7924+F7924</f>
        <v>200</v>
      </c>
      <c r="H7924" s="20" t="n">
        <f aca="false">IF(G7924&lt;Parametres!$B$8*Parametres!$B$7,0,MIN(G7924,Parametres!$B$7))</f>
        <v>200</v>
      </c>
      <c r="I7924" s="20" t="n">
        <f aca="false">G7924-H7924</f>
        <v>0</v>
      </c>
      <c r="J7924" s="21" t="n">
        <f aca="false">H7924*1000/Parametres!$B$9</f>
        <v>3391.55502798033</v>
      </c>
    </row>
    <row r="7925" customFormat="false" ht="15" hidden="false" customHeight="false" outlineLevel="0" collapsed="false">
      <c r="A7925" s="0" t="n">
        <v>7921</v>
      </c>
      <c r="B7925" s="0" t="n">
        <v>11</v>
      </c>
      <c r="C7925" s="19" t="n">
        <v>0</v>
      </c>
      <c r="D7925" s="19" t="n">
        <v>1</v>
      </c>
      <c r="E7925" s="20" t="n">
        <f aca="false">Parametres!$B$5*C7925</f>
        <v>0</v>
      </c>
      <c r="F7925" s="20" t="n">
        <f aca="false">Parametres!$B$6*D7925</f>
        <v>200</v>
      </c>
      <c r="G7925" s="20" t="n">
        <f aca="false">E7925+F7925</f>
        <v>200</v>
      </c>
      <c r="H7925" s="20" t="n">
        <f aca="false">IF(G7925&lt;Parametres!$B$8*Parametres!$B$7,0,MIN(G7925,Parametres!$B$7))</f>
        <v>200</v>
      </c>
      <c r="I7925" s="20" t="n">
        <f aca="false">G7925-H7925</f>
        <v>0</v>
      </c>
      <c r="J7925" s="21" t="n">
        <f aca="false">H7925*1000/Parametres!$B$9</f>
        <v>3391.55502798033</v>
      </c>
    </row>
    <row r="7926" customFormat="false" ht="15" hidden="false" customHeight="false" outlineLevel="0" collapsed="false">
      <c r="A7926" s="0" t="n">
        <v>7922</v>
      </c>
      <c r="B7926" s="0" t="n">
        <v>11</v>
      </c>
      <c r="C7926" s="19" t="n">
        <v>0</v>
      </c>
      <c r="D7926" s="19" t="n">
        <v>0.5715</v>
      </c>
      <c r="E7926" s="20" t="n">
        <f aca="false">Parametres!$B$5*C7926</f>
        <v>0</v>
      </c>
      <c r="F7926" s="20" t="n">
        <f aca="false">Parametres!$B$6*D7926</f>
        <v>114.3</v>
      </c>
      <c r="G7926" s="20" t="n">
        <f aca="false">E7926+F7926</f>
        <v>114.3</v>
      </c>
      <c r="H7926" s="20" t="n">
        <f aca="false">IF(G7926&lt;Parametres!$B$8*Parametres!$B$7,0,MIN(G7926,Parametres!$B$7))</f>
        <v>114.3</v>
      </c>
      <c r="I7926" s="20" t="n">
        <f aca="false">G7926-H7926</f>
        <v>0</v>
      </c>
      <c r="J7926" s="21" t="n">
        <f aca="false">H7926*1000/Parametres!$B$9</f>
        <v>1938.27369849076</v>
      </c>
    </row>
    <row r="7927" customFormat="false" ht="15" hidden="false" customHeight="false" outlineLevel="0" collapsed="false">
      <c r="A7927" s="0" t="n">
        <v>7923</v>
      </c>
      <c r="B7927" s="0" t="n">
        <v>11</v>
      </c>
      <c r="C7927" s="19" t="n">
        <v>0</v>
      </c>
      <c r="D7927" s="19" t="n">
        <v>0.4555</v>
      </c>
      <c r="E7927" s="20" t="n">
        <f aca="false">Parametres!$B$5*C7927</f>
        <v>0</v>
      </c>
      <c r="F7927" s="20" t="n">
        <f aca="false">Parametres!$B$6*D7927</f>
        <v>91.1</v>
      </c>
      <c r="G7927" s="20" t="n">
        <f aca="false">E7927+F7927</f>
        <v>91.1</v>
      </c>
      <c r="H7927" s="20" t="n">
        <f aca="false">IF(G7927&lt;Parametres!$B$8*Parametres!$B$7,0,MIN(G7927,Parametres!$B$7))</f>
        <v>91.1</v>
      </c>
      <c r="I7927" s="20" t="n">
        <f aca="false">G7927-H7927</f>
        <v>0</v>
      </c>
      <c r="J7927" s="21" t="n">
        <f aca="false">H7927*1000/Parametres!$B$9</f>
        <v>1544.85331524504</v>
      </c>
    </row>
    <row r="7928" customFormat="false" ht="15" hidden="false" customHeight="false" outlineLevel="0" collapsed="false">
      <c r="A7928" s="0" t="n">
        <v>7924</v>
      </c>
      <c r="B7928" s="0" t="n">
        <v>11</v>
      </c>
      <c r="C7928" s="19" t="n">
        <v>0</v>
      </c>
      <c r="D7928" s="19" t="n">
        <v>0.6665</v>
      </c>
      <c r="E7928" s="20" t="n">
        <f aca="false">Parametres!$B$5*C7928</f>
        <v>0</v>
      </c>
      <c r="F7928" s="20" t="n">
        <f aca="false">Parametres!$B$6*D7928</f>
        <v>133.3</v>
      </c>
      <c r="G7928" s="20" t="n">
        <f aca="false">E7928+F7928</f>
        <v>133.3</v>
      </c>
      <c r="H7928" s="20" t="n">
        <f aca="false">IF(G7928&lt;Parametres!$B$8*Parametres!$B$7,0,MIN(G7928,Parametres!$B$7))</f>
        <v>133.3</v>
      </c>
      <c r="I7928" s="20" t="n">
        <f aca="false">G7928-H7928</f>
        <v>0</v>
      </c>
      <c r="J7928" s="21" t="n">
        <f aca="false">H7928*1000/Parametres!$B$9</f>
        <v>2260.47142614889</v>
      </c>
    </row>
    <row r="7929" customFormat="false" ht="15" hidden="false" customHeight="false" outlineLevel="0" collapsed="false">
      <c r="A7929" s="0" t="n">
        <v>7925</v>
      </c>
      <c r="B7929" s="0" t="n">
        <v>11</v>
      </c>
      <c r="C7929" s="19" t="n">
        <v>0</v>
      </c>
      <c r="D7929" s="19" t="n">
        <v>0.8533</v>
      </c>
      <c r="E7929" s="20" t="n">
        <f aca="false">Parametres!$B$5*C7929</f>
        <v>0</v>
      </c>
      <c r="F7929" s="20" t="n">
        <f aca="false">Parametres!$B$6*D7929</f>
        <v>170.66</v>
      </c>
      <c r="G7929" s="20" t="n">
        <f aca="false">E7929+F7929</f>
        <v>170.66</v>
      </c>
      <c r="H7929" s="20" t="n">
        <f aca="false">IF(G7929&lt;Parametres!$B$8*Parametres!$B$7,0,MIN(G7929,Parametres!$B$7))</f>
        <v>170.66</v>
      </c>
      <c r="I7929" s="20" t="n">
        <f aca="false">G7929-H7929</f>
        <v>0</v>
      </c>
      <c r="J7929" s="21" t="n">
        <f aca="false">H7929*1000/Parametres!$B$9</f>
        <v>2894.01390537561</v>
      </c>
    </row>
    <row r="7930" customFormat="false" ht="15" hidden="false" customHeight="false" outlineLevel="0" collapsed="false">
      <c r="A7930" s="0" t="n">
        <v>7926</v>
      </c>
      <c r="B7930" s="0" t="n">
        <v>11</v>
      </c>
      <c r="C7930" s="19" t="n">
        <v>0</v>
      </c>
      <c r="D7930" s="19" t="n">
        <v>0.7996</v>
      </c>
      <c r="E7930" s="20" t="n">
        <f aca="false">Parametres!$B$5*C7930</f>
        <v>0</v>
      </c>
      <c r="F7930" s="20" t="n">
        <f aca="false">Parametres!$B$6*D7930</f>
        <v>159.92</v>
      </c>
      <c r="G7930" s="20" t="n">
        <f aca="false">E7930+F7930</f>
        <v>159.92</v>
      </c>
      <c r="H7930" s="20" t="n">
        <f aca="false">IF(G7930&lt;Parametres!$B$8*Parametres!$B$7,0,MIN(G7930,Parametres!$B$7))</f>
        <v>159.92</v>
      </c>
      <c r="I7930" s="20" t="n">
        <f aca="false">G7930-H7930</f>
        <v>0</v>
      </c>
      <c r="J7930" s="21" t="n">
        <f aca="false">H7930*1000/Parametres!$B$9</f>
        <v>2711.88740037307</v>
      </c>
    </row>
    <row r="7931" customFormat="false" ht="15" hidden="false" customHeight="false" outlineLevel="0" collapsed="false">
      <c r="A7931" s="0" t="n">
        <v>7927</v>
      </c>
      <c r="B7931" s="0" t="n">
        <v>11</v>
      </c>
      <c r="C7931" s="19" t="n">
        <v>0</v>
      </c>
      <c r="D7931" s="19" t="n">
        <v>0.6921</v>
      </c>
      <c r="E7931" s="20" t="n">
        <f aca="false">Parametres!$B$5*C7931</f>
        <v>0</v>
      </c>
      <c r="F7931" s="20" t="n">
        <f aca="false">Parametres!$B$6*D7931</f>
        <v>138.42</v>
      </c>
      <c r="G7931" s="20" t="n">
        <f aca="false">E7931+F7931</f>
        <v>138.42</v>
      </c>
      <c r="H7931" s="20" t="n">
        <f aca="false">IF(G7931&lt;Parametres!$B$8*Parametres!$B$7,0,MIN(G7931,Parametres!$B$7))</f>
        <v>138.42</v>
      </c>
      <c r="I7931" s="20" t="n">
        <f aca="false">G7931-H7931</f>
        <v>0</v>
      </c>
      <c r="J7931" s="21" t="n">
        <f aca="false">H7931*1000/Parametres!$B$9</f>
        <v>2347.29523486519</v>
      </c>
    </row>
    <row r="7932" customFormat="false" ht="15" hidden="false" customHeight="false" outlineLevel="0" collapsed="false">
      <c r="A7932" s="0" t="n">
        <v>7928</v>
      </c>
      <c r="B7932" s="0" t="n">
        <v>11</v>
      </c>
      <c r="C7932" s="19" t="n">
        <v>0.1602</v>
      </c>
      <c r="D7932" s="19" t="n">
        <v>0.7547</v>
      </c>
      <c r="E7932" s="20" t="n">
        <f aca="false">Parametres!$B$5*C7932</f>
        <v>48.06</v>
      </c>
      <c r="F7932" s="20" t="n">
        <f aca="false">Parametres!$B$6*D7932</f>
        <v>150.94</v>
      </c>
      <c r="G7932" s="20" t="n">
        <f aca="false">E7932+F7932</f>
        <v>199</v>
      </c>
      <c r="H7932" s="20" t="n">
        <f aca="false">IF(G7932&lt;Parametres!$B$8*Parametres!$B$7,0,MIN(G7932,Parametres!$B$7))</f>
        <v>199</v>
      </c>
      <c r="I7932" s="20" t="n">
        <f aca="false">G7932-H7932</f>
        <v>0</v>
      </c>
      <c r="J7932" s="21" t="n">
        <f aca="false">H7932*1000/Parametres!$B$9</f>
        <v>3374.59725284043</v>
      </c>
    </row>
    <row r="7933" customFormat="false" ht="15" hidden="false" customHeight="false" outlineLevel="0" collapsed="false">
      <c r="A7933" s="0" t="n">
        <v>7929</v>
      </c>
      <c r="B7933" s="0" t="n">
        <v>11</v>
      </c>
      <c r="C7933" s="19" t="n">
        <v>0.3932</v>
      </c>
      <c r="D7933" s="19" t="n">
        <v>0.8016</v>
      </c>
      <c r="E7933" s="20" t="n">
        <f aca="false">Parametres!$B$5*C7933</f>
        <v>117.96</v>
      </c>
      <c r="F7933" s="20" t="n">
        <f aca="false">Parametres!$B$6*D7933</f>
        <v>160.32</v>
      </c>
      <c r="G7933" s="20" t="n">
        <f aca="false">E7933+F7933</f>
        <v>278.28</v>
      </c>
      <c r="H7933" s="20" t="n">
        <f aca="false">IF(G7933&lt;Parametres!$B$8*Parametres!$B$7,0,MIN(G7933,Parametres!$B$7))</f>
        <v>250</v>
      </c>
      <c r="I7933" s="20" t="n">
        <f aca="false">G7933-H7933</f>
        <v>28.28</v>
      </c>
      <c r="J7933" s="21" t="n">
        <f aca="false">H7933*1000/Parametres!$B$9</f>
        <v>4239.44378497541</v>
      </c>
    </row>
    <row r="7934" customFormat="false" ht="15" hidden="false" customHeight="false" outlineLevel="0" collapsed="false">
      <c r="A7934" s="0" t="n">
        <v>7930</v>
      </c>
      <c r="B7934" s="0" t="n">
        <v>11</v>
      </c>
      <c r="C7934" s="19" t="n">
        <v>0.6043</v>
      </c>
      <c r="D7934" s="19" t="n">
        <v>0.7763</v>
      </c>
      <c r="E7934" s="20" t="n">
        <f aca="false">Parametres!$B$5*C7934</f>
        <v>181.29</v>
      </c>
      <c r="F7934" s="20" t="n">
        <f aca="false">Parametres!$B$6*D7934</f>
        <v>155.26</v>
      </c>
      <c r="G7934" s="20" t="n">
        <f aca="false">E7934+F7934</f>
        <v>336.55</v>
      </c>
      <c r="H7934" s="20" t="n">
        <f aca="false">IF(G7934&lt;Parametres!$B$8*Parametres!$B$7,0,MIN(G7934,Parametres!$B$7))</f>
        <v>250</v>
      </c>
      <c r="I7934" s="20" t="n">
        <f aca="false">G7934-H7934</f>
        <v>86.55</v>
      </c>
      <c r="J7934" s="21" t="n">
        <f aca="false">H7934*1000/Parametres!$B$9</f>
        <v>4239.44378497541</v>
      </c>
    </row>
    <row r="7935" customFormat="false" ht="15" hidden="false" customHeight="false" outlineLevel="0" collapsed="false">
      <c r="A7935" s="0" t="n">
        <v>7931</v>
      </c>
      <c r="B7935" s="0" t="n">
        <v>11</v>
      </c>
      <c r="C7935" s="19" t="n">
        <v>0.7901</v>
      </c>
      <c r="D7935" s="19" t="n">
        <v>0.8979</v>
      </c>
      <c r="E7935" s="20" t="n">
        <f aca="false">Parametres!$B$5*C7935</f>
        <v>237.03</v>
      </c>
      <c r="F7935" s="20" t="n">
        <f aca="false">Parametres!$B$6*D7935</f>
        <v>179.58</v>
      </c>
      <c r="G7935" s="20" t="n">
        <f aca="false">E7935+F7935</f>
        <v>416.61</v>
      </c>
      <c r="H7935" s="20" t="n">
        <f aca="false">IF(G7935&lt;Parametres!$B$8*Parametres!$B$7,0,MIN(G7935,Parametres!$B$7))</f>
        <v>250</v>
      </c>
      <c r="I7935" s="20" t="n">
        <f aca="false">G7935-H7935</f>
        <v>166.61</v>
      </c>
      <c r="J7935" s="21" t="n">
        <f aca="false">H7935*1000/Parametres!$B$9</f>
        <v>4239.44378497541</v>
      </c>
    </row>
    <row r="7936" customFormat="false" ht="15" hidden="false" customHeight="false" outlineLevel="0" collapsed="false">
      <c r="A7936" s="0" t="n">
        <v>7932</v>
      </c>
      <c r="B7936" s="0" t="n">
        <v>11</v>
      </c>
      <c r="C7936" s="19" t="n">
        <v>0.8561</v>
      </c>
      <c r="D7936" s="19" t="n">
        <v>1</v>
      </c>
      <c r="E7936" s="20" t="n">
        <f aca="false">Parametres!$B$5*C7936</f>
        <v>256.83</v>
      </c>
      <c r="F7936" s="20" t="n">
        <f aca="false">Parametres!$B$6*D7936</f>
        <v>200</v>
      </c>
      <c r="G7936" s="20" t="n">
        <f aca="false">E7936+F7936</f>
        <v>456.83</v>
      </c>
      <c r="H7936" s="20" t="n">
        <f aca="false">IF(G7936&lt;Parametres!$B$8*Parametres!$B$7,0,MIN(G7936,Parametres!$B$7))</f>
        <v>250</v>
      </c>
      <c r="I7936" s="20" t="n">
        <f aca="false">G7936-H7936</f>
        <v>206.83</v>
      </c>
      <c r="J7936" s="21" t="n">
        <f aca="false">H7936*1000/Parametres!$B$9</f>
        <v>4239.44378497541</v>
      </c>
    </row>
    <row r="7937" customFormat="false" ht="15" hidden="false" customHeight="false" outlineLevel="0" collapsed="false">
      <c r="A7937" s="0" t="n">
        <v>7933</v>
      </c>
      <c r="B7937" s="0" t="n">
        <v>11</v>
      </c>
      <c r="C7937" s="19" t="n">
        <v>0.8708</v>
      </c>
      <c r="D7937" s="19" t="n">
        <v>1</v>
      </c>
      <c r="E7937" s="20" t="n">
        <f aca="false">Parametres!$B$5*C7937</f>
        <v>261.24</v>
      </c>
      <c r="F7937" s="20" t="n">
        <f aca="false">Parametres!$B$6*D7937</f>
        <v>200</v>
      </c>
      <c r="G7937" s="20" t="n">
        <f aca="false">E7937+F7937</f>
        <v>461.24</v>
      </c>
      <c r="H7937" s="20" t="n">
        <f aca="false">IF(G7937&lt;Parametres!$B$8*Parametres!$B$7,0,MIN(G7937,Parametres!$B$7))</f>
        <v>250</v>
      </c>
      <c r="I7937" s="20" t="n">
        <f aca="false">G7937-H7937</f>
        <v>211.24</v>
      </c>
      <c r="J7937" s="21" t="n">
        <f aca="false">H7937*1000/Parametres!$B$9</f>
        <v>4239.44378497541</v>
      </c>
    </row>
    <row r="7938" customFormat="false" ht="15" hidden="false" customHeight="false" outlineLevel="0" collapsed="false">
      <c r="A7938" s="0" t="n">
        <v>7934</v>
      </c>
      <c r="B7938" s="0" t="n">
        <v>11</v>
      </c>
      <c r="C7938" s="19" t="n">
        <v>0.8146</v>
      </c>
      <c r="D7938" s="19" t="n">
        <v>1</v>
      </c>
      <c r="E7938" s="20" t="n">
        <f aca="false">Parametres!$B$5*C7938</f>
        <v>244.38</v>
      </c>
      <c r="F7938" s="20" t="n">
        <f aca="false">Parametres!$B$6*D7938</f>
        <v>200</v>
      </c>
      <c r="G7938" s="20" t="n">
        <f aca="false">E7938+F7938</f>
        <v>444.38</v>
      </c>
      <c r="H7938" s="20" t="n">
        <f aca="false">IF(G7938&lt;Parametres!$B$8*Parametres!$B$7,0,MIN(G7938,Parametres!$B$7))</f>
        <v>250</v>
      </c>
      <c r="I7938" s="20" t="n">
        <f aca="false">G7938-H7938</f>
        <v>194.38</v>
      </c>
      <c r="J7938" s="21" t="n">
        <f aca="false">H7938*1000/Parametres!$B$9</f>
        <v>4239.44378497541</v>
      </c>
    </row>
    <row r="7939" customFormat="false" ht="15" hidden="false" customHeight="false" outlineLevel="0" collapsed="false">
      <c r="A7939" s="0" t="n">
        <v>7935</v>
      </c>
      <c r="B7939" s="0" t="n">
        <v>11</v>
      </c>
      <c r="C7939" s="19" t="n">
        <v>0.6161</v>
      </c>
      <c r="D7939" s="19" t="n">
        <v>1</v>
      </c>
      <c r="E7939" s="20" t="n">
        <f aca="false">Parametres!$B$5*C7939</f>
        <v>184.83</v>
      </c>
      <c r="F7939" s="20" t="n">
        <f aca="false">Parametres!$B$6*D7939</f>
        <v>200</v>
      </c>
      <c r="G7939" s="20" t="n">
        <f aca="false">E7939+F7939</f>
        <v>384.83</v>
      </c>
      <c r="H7939" s="20" t="n">
        <f aca="false">IF(G7939&lt;Parametres!$B$8*Parametres!$B$7,0,MIN(G7939,Parametres!$B$7))</f>
        <v>250</v>
      </c>
      <c r="I7939" s="20" t="n">
        <f aca="false">G7939-H7939</f>
        <v>134.83</v>
      </c>
      <c r="J7939" s="21" t="n">
        <f aca="false">H7939*1000/Parametres!$B$9</f>
        <v>4239.44378497541</v>
      </c>
    </row>
    <row r="7940" customFormat="false" ht="15" hidden="false" customHeight="false" outlineLevel="0" collapsed="false">
      <c r="A7940" s="0" t="n">
        <v>7936</v>
      </c>
      <c r="B7940" s="0" t="n">
        <v>11</v>
      </c>
      <c r="C7940" s="19" t="n">
        <v>0.4002</v>
      </c>
      <c r="D7940" s="19" t="n">
        <v>1</v>
      </c>
      <c r="E7940" s="20" t="n">
        <f aca="false">Parametres!$B$5*C7940</f>
        <v>120.06</v>
      </c>
      <c r="F7940" s="20" t="n">
        <f aca="false">Parametres!$B$6*D7940</f>
        <v>200</v>
      </c>
      <c r="G7940" s="20" t="n">
        <f aca="false">E7940+F7940</f>
        <v>320.06</v>
      </c>
      <c r="H7940" s="20" t="n">
        <f aca="false">IF(G7940&lt;Parametres!$B$8*Parametres!$B$7,0,MIN(G7940,Parametres!$B$7))</f>
        <v>250</v>
      </c>
      <c r="I7940" s="20" t="n">
        <f aca="false">G7940-H7940</f>
        <v>70.06</v>
      </c>
      <c r="J7940" s="21" t="n">
        <f aca="false">H7940*1000/Parametres!$B$9</f>
        <v>4239.44378497541</v>
      </c>
    </row>
    <row r="7941" customFormat="false" ht="15" hidden="false" customHeight="false" outlineLevel="0" collapsed="false">
      <c r="A7941" s="0" t="n">
        <v>7937</v>
      </c>
      <c r="B7941" s="0" t="n">
        <v>11</v>
      </c>
      <c r="C7941" s="19" t="n">
        <v>0.1628</v>
      </c>
      <c r="D7941" s="19" t="n">
        <v>1</v>
      </c>
      <c r="E7941" s="20" t="n">
        <f aca="false">Parametres!$B$5*C7941</f>
        <v>48.84</v>
      </c>
      <c r="F7941" s="20" t="n">
        <f aca="false">Parametres!$B$6*D7941</f>
        <v>200</v>
      </c>
      <c r="G7941" s="20" t="n">
        <f aca="false">E7941+F7941</f>
        <v>248.84</v>
      </c>
      <c r="H7941" s="20" t="n">
        <f aca="false">IF(G7941&lt;Parametres!$B$8*Parametres!$B$7,0,MIN(G7941,Parametres!$B$7))</f>
        <v>248.84</v>
      </c>
      <c r="I7941" s="20" t="n">
        <f aca="false">G7941-H7941</f>
        <v>0</v>
      </c>
      <c r="J7941" s="21" t="n">
        <f aca="false">H7941*1000/Parametres!$B$9</f>
        <v>4219.77276581313</v>
      </c>
    </row>
    <row r="7942" customFormat="false" ht="15" hidden="false" customHeight="false" outlineLevel="0" collapsed="false">
      <c r="A7942" s="0" t="n">
        <v>7938</v>
      </c>
      <c r="B7942" s="0" t="n">
        <v>11</v>
      </c>
      <c r="C7942" s="19" t="n">
        <v>0</v>
      </c>
      <c r="D7942" s="19" t="n">
        <v>1</v>
      </c>
      <c r="E7942" s="20" t="n">
        <f aca="false">Parametres!$B$5*C7942</f>
        <v>0</v>
      </c>
      <c r="F7942" s="20" t="n">
        <f aca="false">Parametres!$B$6*D7942</f>
        <v>200</v>
      </c>
      <c r="G7942" s="20" t="n">
        <f aca="false">E7942+F7942</f>
        <v>200</v>
      </c>
      <c r="H7942" s="20" t="n">
        <f aca="false">IF(G7942&lt;Parametres!$B$8*Parametres!$B$7,0,MIN(G7942,Parametres!$B$7))</f>
        <v>200</v>
      </c>
      <c r="I7942" s="20" t="n">
        <f aca="false">G7942-H7942</f>
        <v>0</v>
      </c>
      <c r="J7942" s="21" t="n">
        <f aca="false">H7942*1000/Parametres!$B$9</f>
        <v>3391.55502798033</v>
      </c>
    </row>
    <row r="7943" customFormat="false" ht="15" hidden="false" customHeight="false" outlineLevel="0" collapsed="false">
      <c r="A7943" s="0" t="n">
        <v>7939</v>
      </c>
      <c r="B7943" s="0" t="n">
        <v>11</v>
      </c>
      <c r="C7943" s="19" t="n">
        <v>0</v>
      </c>
      <c r="D7943" s="19" t="n">
        <v>1</v>
      </c>
      <c r="E7943" s="20" t="n">
        <f aca="false">Parametres!$B$5*C7943</f>
        <v>0</v>
      </c>
      <c r="F7943" s="20" t="n">
        <f aca="false">Parametres!$B$6*D7943</f>
        <v>200</v>
      </c>
      <c r="G7943" s="20" t="n">
        <f aca="false">E7943+F7943</f>
        <v>200</v>
      </c>
      <c r="H7943" s="20" t="n">
        <f aca="false">IF(G7943&lt;Parametres!$B$8*Parametres!$B$7,0,MIN(G7943,Parametres!$B$7))</f>
        <v>200</v>
      </c>
      <c r="I7943" s="20" t="n">
        <f aca="false">G7943-H7943</f>
        <v>0</v>
      </c>
      <c r="J7943" s="21" t="n">
        <f aca="false">H7943*1000/Parametres!$B$9</f>
        <v>3391.55502798033</v>
      </c>
    </row>
    <row r="7944" customFormat="false" ht="15" hidden="false" customHeight="false" outlineLevel="0" collapsed="false">
      <c r="A7944" s="0" t="n">
        <v>7940</v>
      </c>
      <c r="B7944" s="0" t="n">
        <v>11</v>
      </c>
      <c r="C7944" s="19" t="n">
        <v>0</v>
      </c>
      <c r="D7944" s="19" t="n">
        <v>1</v>
      </c>
      <c r="E7944" s="20" t="n">
        <f aca="false">Parametres!$B$5*C7944</f>
        <v>0</v>
      </c>
      <c r="F7944" s="20" t="n">
        <f aca="false">Parametres!$B$6*D7944</f>
        <v>200</v>
      </c>
      <c r="G7944" s="20" t="n">
        <f aca="false">E7944+F7944</f>
        <v>200</v>
      </c>
      <c r="H7944" s="20" t="n">
        <f aca="false">IF(G7944&lt;Parametres!$B$8*Parametres!$B$7,0,MIN(G7944,Parametres!$B$7))</f>
        <v>200</v>
      </c>
      <c r="I7944" s="20" t="n">
        <f aca="false">G7944-H7944</f>
        <v>0</v>
      </c>
      <c r="J7944" s="21" t="n">
        <f aca="false">H7944*1000/Parametres!$B$9</f>
        <v>3391.55502798033</v>
      </c>
    </row>
    <row r="7945" customFormat="false" ht="15" hidden="false" customHeight="false" outlineLevel="0" collapsed="false">
      <c r="A7945" s="0" t="n">
        <v>7941</v>
      </c>
      <c r="B7945" s="0" t="n">
        <v>11</v>
      </c>
      <c r="C7945" s="19" t="n">
        <v>0</v>
      </c>
      <c r="D7945" s="19" t="n">
        <v>1</v>
      </c>
      <c r="E7945" s="20" t="n">
        <f aca="false">Parametres!$B$5*C7945</f>
        <v>0</v>
      </c>
      <c r="F7945" s="20" t="n">
        <f aca="false">Parametres!$B$6*D7945</f>
        <v>200</v>
      </c>
      <c r="G7945" s="20" t="n">
        <f aca="false">E7945+F7945</f>
        <v>200</v>
      </c>
      <c r="H7945" s="20" t="n">
        <f aca="false">IF(G7945&lt;Parametres!$B$8*Parametres!$B$7,0,MIN(G7945,Parametres!$B$7))</f>
        <v>200</v>
      </c>
      <c r="I7945" s="20" t="n">
        <f aca="false">G7945-H7945</f>
        <v>0</v>
      </c>
      <c r="J7945" s="21" t="n">
        <f aca="false">H7945*1000/Parametres!$B$9</f>
        <v>3391.55502798033</v>
      </c>
    </row>
    <row r="7946" customFormat="false" ht="15" hidden="false" customHeight="false" outlineLevel="0" collapsed="false">
      <c r="A7946" s="0" t="n">
        <v>7942</v>
      </c>
      <c r="B7946" s="0" t="n">
        <v>11</v>
      </c>
      <c r="C7946" s="19" t="n">
        <v>0</v>
      </c>
      <c r="D7946" s="19" t="n">
        <v>1</v>
      </c>
      <c r="E7946" s="20" t="n">
        <f aca="false">Parametres!$B$5*C7946</f>
        <v>0</v>
      </c>
      <c r="F7946" s="20" t="n">
        <f aca="false">Parametres!$B$6*D7946</f>
        <v>200</v>
      </c>
      <c r="G7946" s="20" t="n">
        <f aca="false">E7946+F7946</f>
        <v>200</v>
      </c>
      <c r="H7946" s="20" t="n">
        <f aca="false">IF(G7946&lt;Parametres!$B$8*Parametres!$B$7,0,MIN(G7946,Parametres!$B$7))</f>
        <v>200</v>
      </c>
      <c r="I7946" s="20" t="n">
        <f aca="false">G7946-H7946</f>
        <v>0</v>
      </c>
      <c r="J7946" s="21" t="n">
        <f aca="false">H7946*1000/Parametres!$B$9</f>
        <v>3391.55502798033</v>
      </c>
    </row>
    <row r="7947" customFormat="false" ht="15" hidden="false" customHeight="false" outlineLevel="0" collapsed="false">
      <c r="A7947" s="0" t="n">
        <v>7943</v>
      </c>
      <c r="B7947" s="0" t="n">
        <v>11</v>
      </c>
      <c r="C7947" s="19" t="n">
        <v>0</v>
      </c>
      <c r="D7947" s="19" t="n">
        <v>1</v>
      </c>
      <c r="E7947" s="20" t="n">
        <f aca="false">Parametres!$B$5*C7947</f>
        <v>0</v>
      </c>
      <c r="F7947" s="20" t="n">
        <f aca="false">Parametres!$B$6*D7947</f>
        <v>200</v>
      </c>
      <c r="G7947" s="20" t="n">
        <f aca="false">E7947+F7947</f>
        <v>200</v>
      </c>
      <c r="H7947" s="20" t="n">
        <f aca="false">IF(G7947&lt;Parametres!$B$8*Parametres!$B$7,0,MIN(G7947,Parametres!$B$7))</f>
        <v>200</v>
      </c>
      <c r="I7947" s="20" t="n">
        <f aca="false">G7947-H7947</f>
        <v>0</v>
      </c>
      <c r="J7947" s="21" t="n">
        <f aca="false">H7947*1000/Parametres!$B$9</f>
        <v>3391.55502798033</v>
      </c>
    </row>
    <row r="7948" customFormat="false" ht="15" hidden="false" customHeight="false" outlineLevel="0" collapsed="false">
      <c r="A7948" s="0" t="n">
        <v>7944</v>
      </c>
      <c r="B7948" s="0" t="n">
        <v>11</v>
      </c>
      <c r="C7948" s="19" t="n">
        <v>0</v>
      </c>
      <c r="D7948" s="19" t="n">
        <v>1</v>
      </c>
      <c r="E7948" s="20" t="n">
        <f aca="false">Parametres!$B$5*C7948</f>
        <v>0</v>
      </c>
      <c r="F7948" s="20" t="n">
        <f aca="false">Parametres!$B$6*D7948</f>
        <v>200</v>
      </c>
      <c r="G7948" s="20" t="n">
        <f aca="false">E7948+F7948</f>
        <v>200</v>
      </c>
      <c r="H7948" s="20" t="n">
        <f aca="false">IF(G7948&lt;Parametres!$B$8*Parametres!$B$7,0,MIN(G7948,Parametres!$B$7))</f>
        <v>200</v>
      </c>
      <c r="I7948" s="20" t="n">
        <f aca="false">G7948-H7948</f>
        <v>0</v>
      </c>
      <c r="J7948" s="21" t="n">
        <f aca="false">H7948*1000/Parametres!$B$9</f>
        <v>3391.55502798033</v>
      </c>
    </row>
    <row r="7949" customFormat="false" ht="15" hidden="false" customHeight="false" outlineLevel="0" collapsed="false">
      <c r="A7949" s="0" t="n">
        <v>7945</v>
      </c>
      <c r="B7949" s="0" t="n">
        <v>11</v>
      </c>
      <c r="C7949" s="19" t="n">
        <v>0</v>
      </c>
      <c r="D7949" s="19" t="n">
        <v>1</v>
      </c>
      <c r="E7949" s="20" t="n">
        <f aca="false">Parametres!$B$5*C7949</f>
        <v>0</v>
      </c>
      <c r="F7949" s="20" t="n">
        <f aca="false">Parametres!$B$6*D7949</f>
        <v>200</v>
      </c>
      <c r="G7949" s="20" t="n">
        <f aca="false">E7949+F7949</f>
        <v>200</v>
      </c>
      <c r="H7949" s="20" t="n">
        <f aca="false">IF(G7949&lt;Parametres!$B$8*Parametres!$B$7,0,MIN(G7949,Parametres!$B$7))</f>
        <v>200</v>
      </c>
      <c r="I7949" s="20" t="n">
        <f aca="false">G7949-H7949</f>
        <v>0</v>
      </c>
      <c r="J7949" s="21" t="n">
        <f aca="false">H7949*1000/Parametres!$B$9</f>
        <v>3391.55502798033</v>
      </c>
    </row>
    <row r="7950" customFormat="false" ht="15" hidden="false" customHeight="false" outlineLevel="0" collapsed="false">
      <c r="A7950" s="0" t="n">
        <v>7946</v>
      </c>
      <c r="B7950" s="0" t="n">
        <v>11</v>
      </c>
      <c r="C7950" s="19" t="n">
        <v>0</v>
      </c>
      <c r="D7950" s="19" t="n">
        <v>0.8161</v>
      </c>
      <c r="E7950" s="20" t="n">
        <f aca="false">Parametres!$B$5*C7950</f>
        <v>0</v>
      </c>
      <c r="F7950" s="20" t="n">
        <f aca="false">Parametres!$B$6*D7950</f>
        <v>163.22</v>
      </c>
      <c r="G7950" s="20" t="n">
        <f aca="false">E7950+F7950</f>
        <v>163.22</v>
      </c>
      <c r="H7950" s="20" t="n">
        <f aca="false">IF(G7950&lt;Parametres!$B$8*Parametres!$B$7,0,MIN(G7950,Parametres!$B$7))</f>
        <v>163.22</v>
      </c>
      <c r="I7950" s="20" t="n">
        <f aca="false">G7950-H7950</f>
        <v>0</v>
      </c>
      <c r="J7950" s="21" t="n">
        <f aca="false">H7950*1000/Parametres!$B$9</f>
        <v>2767.84805833475</v>
      </c>
    </row>
    <row r="7951" customFormat="false" ht="15" hidden="false" customHeight="false" outlineLevel="0" collapsed="false">
      <c r="A7951" s="0" t="n">
        <v>7947</v>
      </c>
      <c r="B7951" s="0" t="n">
        <v>11</v>
      </c>
      <c r="C7951" s="19" t="n">
        <v>0</v>
      </c>
      <c r="D7951" s="19" t="n">
        <v>0.7682</v>
      </c>
      <c r="E7951" s="20" t="n">
        <f aca="false">Parametres!$B$5*C7951</f>
        <v>0</v>
      </c>
      <c r="F7951" s="20" t="n">
        <f aca="false">Parametres!$B$6*D7951</f>
        <v>153.64</v>
      </c>
      <c r="G7951" s="20" t="n">
        <f aca="false">E7951+F7951</f>
        <v>153.64</v>
      </c>
      <c r="H7951" s="20" t="n">
        <f aca="false">IF(G7951&lt;Parametres!$B$8*Parametres!$B$7,0,MIN(G7951,Parametres!$B$7))</f>
        <v>153.64</v>
      </c>
      <c r="I7951" s="20" t="n">
        <f aca="false">G7951-H7951</f>
        <v>0</v>
      </c>
      <c r="J7951" s="21" t="n">
        <f aca="false">H7951*1000/Parametres!$B$9</f>
        <v>2605.39257249449</v>
      </c>
    </row>
    <row r="7952" customFormat="false" ht="15" hidden="false" customHeight="false" outlineLevel="0" collapsed="false">
      <c r="A7952" s="0" t="n">
        <v>7948</v>
      </c>
      <c r="B7952" s="0" t="n">
        <v>11</v>
      </c>
      <c r="C7952" s="19" t="n">
        <v>0</v>
      </c>
      <c r="D7952" s="19" t="n">
        <v>0.8029</v>
      </c>
      <c r="E7952" s="20" t="n">
        <f aca="false">Parametres!$B$5*C7952</f>
        <v>0</v>
      </c>
      <c r="F7952" s="20" t="n">
        <f aca="false">Parametres!$B$6*D7952</f>
        <v>160.58</v>
      </c>
      <c r="G7952" s="20" t="n">
        <f aca="false">E7952+F7952</f>
        <v>160.58</v>
      </c>
      <c r="H7952" s="20" t="n">
        <f aca="false">IF(G7952&lt;Parametres!$B$8*Parametres!$B$7,0,MIN(G7952,Parametres!$B$7))</f>
        <v>160.58</v>
      </c>
      <c r="I7952" s="20" t="n">
        <f aca="false">G7952-H7952</f>
        <v>0</v>
      </c>
      <c r="J7952" s="21" t="n">
        <f aca="false">H7952*1000/Parametres!$B$9</f>
        <v>2723.07953196541</v>
      </c>
    </row>
    <row r="7953" customFormat="false" ht="15" hidden="false" customHeight="false" outlineLevel="0" collapsed="false">
      <c r="A7953" s="0" t="n">
        <v>7949</v>
      </c>
      <c r="B7953" s="0" t="n">
        <v>11</v>
      </c>
      <c r="C7953" s="19" t="n">
        <v>0</v>
      </c>
      <c r="D7953" s="19" t="n">
        <v>0.9357</v>
      </c>
      <c r="E7953" s="20" t="n">
        <f aca="false">Parametres!$B$5*C7953</f>
        <v>0</v>
      </c>
      <c r="F7953" s="20" t="n">
        <f aca="false">Parametres!$B$6*D7953</f>
        <v>187.14</v>
      </c>
      <c r="G7953" s="20" t="n">
        <f aca="false">E7953+F7953</f>
        <v>187.14</v>
      </c>
      <c r="H7953" s="20" t="n">
        <f aca="false">IF(G7953&lt;Parametres!$B$8*Parametres!$B$7,0,MIN(G7953,Parametres!$B$7))</f>
        <v>187.14</v>
      </c>
      <c r="I7953" s="20" t="n">
        <f aca="false">G7953-H7953</f>
        <v>0</v>
      </c>
      <c r="J7953" s="21" t="n">
        <f aca="false">H7953*1000/Parametres!$B$9</f>
        <v>3173.47803968119</v>
      </c>
    </row>
    <row r="7954" customFormat="false" ht="15" hidden="false" customHeight="false" outlineLevel="0" collapsed="false">
      <c r="A7954" s="0" t="n">
        <v>7950</v>
      </c>
      <c r="B7954" s="0" t="n">
        <v>11</v>
      </c>
      <c r="C7954" s="19" t="n">
        <v>0</v>
      </c>
      <c r="D7954" s="19" t="n">
        <v>0.6047</v>
      </c>
      <c r="E7954" s="20" t="n">
        <f aca="false">Parametres!$B$5*C7954</f>
        <v>0</v>
      </c>
      <c r="F7954" s="20" t="n">
        <f aca="false">Parametres!$B$6*D7954</f>
        <v>120.94</v>
      </c>
      <c r="G7954" s="20" t="n">
        <f aca="false">E7954+F7954</f>
        <v>120.94</v>
      </c>
      <c r="H7954" s="20" t="n">
        <f aca="false">IF(G7954&lt;Parametres!$B$8*Parametres!$B$7,0,MIN(G7954,Parametres!$B$7))</f>
        <v>120.94</v>
      </c>
      <c r="I7954" s="20" t="n">
        <f aca="false">G7954-H7954</f>
        <v>0</v>
      </c>
      <c r="J7954" s="21" t="n">
        <f aca="false">H7954*1000/Parametres!$B$9</f>
        <v>2050.87332541971</v>
      </c>
    </row>
    <row r="7955" customFormat="false" ht="15" hidden="false" customHeight="false" outlineLevel="0" collapsed="false">
      <c r="A7955" s="0" t="n">
        <v>7951</v>
      </c>
      <c r="B7955" s="0" t="n">
        <v>11</v>
      </c>
      <c r="C7955" s="19" t="n">
        <v>0</v>
      </c>
      <c r="D7955" s="19" t="n">
        <v>0.7596</v>
      </c>
      <c r="E7955" s="20" t="n">
        <f aca="false">Parametres!$B$5*C7955</f>
        <v>0</v>
      </c>
      <c r="F7955" s="20" t="n">
        <f aca="false">Parametres!$B$6*D7955</f>
        <v>151.92</v>
      </c>
      <c r="G7955" s="20" t="n">
        <f aca="false">E7955+F7955</f>
        <v>151.92</v>
      </c>
      <c r="H7955" s="20" t="n">
        <f aca="false">IF(G7955&lt;Parametres!$B$8*Parametres!$B$7,0,MIN(G7955,Parametres!$B$7))</f>
        <v>151.92</v>
      </c>
      <c r="I7955" s="20" t="n">
        <f aca="false">G7955-H7955</f>
        <v>0</v>
      </c>
      <c r="J7955" s="21" t="n">
        <f aca="false">H7955*1000/Parametres!$B$9</f>
        <v>2576.22519925386</v>
      </c>
    </row>
    <row r="7956" customFormat="false" ht="15" hidden="false" customHeight="false" outlineLevel="0" collapsed="false">
      <c r="A7956" s="0" t="n">
        <v>7952</v>
      </c>
      <c r="B7956" s="0" t="n">
        <v>11</v>
      </c>
      <c r="C7956" s="19" t="n">
        <v>0.1323</v>
      </c>
      <c r="D7956" s="19" t="n">
        <v>0.7297</v>
      </c>
      <c r="E7956" s="20" t="n">
        <f aca="false">Parametres!$B$5*C7956</f>
        <v>39.69</v>
      </c>
      <c r="F7956" s="20" t="n">
        <f aca="false">Parametres!$B$6*D7956</f>
        <v>145.94</v>
      </c>
      <c r="G7956" s="20" t="n">
        <f aca="false">E7956+F7956</f>
        <v>185.63</v>
      </c>
      <c r="H7956" s="20" t="n">
        <f aca="false">IF(G7956&lt;Parametres!$B$8*Parametres!$B$7,0,MIN(G7956,Parametres!$B$7))</f>
        <v>185.63</v>
      </c>
      <c r="I7956" s="20" t="n">
        <f aca="false">G7956-H7956</f>
        <v>0</v>
      </c>
      <c r="J7956" s="21" t="n">
        <f aca="false">H7956*1000/Parametres!$B$9</f>
        <v>3147.87179921994</v>
      </c>
    </row>
    <row r="7957" customFormat="false" ht="15" hidden="false" customHeight="false" outlineLevel="0" collapsed="false">
      <c r="A7957" s="0" t="n">
        <v>7953</v>
      </c>
      <c r="B7957" s="0" t="n">
        <v>11</v>
      </c>
      <c r="C7957" s="19" t="n">
        <v>0.3401</v>
      </c>
      <c r="D7957" s="19" t="n">
        <v>1</v>
      </c>
      <c r="E7957" s="20" t="n">
        <f aca="false">Parametres!$B$5*C7957</f>
        <v>102.03</v>
      </c>
      <c r="F7957" s="20" t="n">
        <f aca="false">Parametres!$B$6*D7957</f>
        <v>200</v>
      </c>
      <c r="G7957" s="20" t="n">
        <f aca="false">E7957+F7957</f>
        <v>302.03</v>
      </c>
      <c r="H7957" s="20" t="n">
        <f aca="false">IF(G7957&lt;Parametres!$B$8*Parametres!$B$7,0,MIN(G7957,Parametres!$B$7))</f>
        <v>250</v>
      </c>
      <c r="I7957" s="20" t="n">
        <f aca="false">G7957-H7957</f>
        <v>52.03</v>
      </c>
      <c r="J7957" s="21" t="n">
        <f aca="false">H7957*1000/Parametres!$B$9</f>
        <v>4239.44378497541</v>
      </c>
    </row>
    <row r="7958" customFormat="false" ht="15" hidden="false" customHeight="false" outlineLevel="0" collapsed="false">
      <c r="A7958" s="0" t="n">
        <v>7954</v>
      </c>
      <c r="B7958" s="0" t="n">
        <v>11</v>
      </c>
      <c r="C7958" s="19" t="n">
        <v>0.5173</v>
      </c>
      <c r="D7958" s="19" t="n">
        <v>1</v>
      </c>
      <c r="E7958" s="20" t="n">
        <f aca="false">Parametres!$B$5*C7958</f>
        <v>155.19</v>
      </c>
      <c r="F7958" s="20" t="n">
        <f aca="false">Parametres!$B$6*D7958</f>
        <v>200</v>
      </c>
      <c r="G7958" s="20" t="n">
        <f aca="false">E7958+F7958</f>
        <v>355.19</v>
      </c>
      <c r="H7958" s="20" t="n">
        <f aca="false">IF(G7958&lt;Parametres!$B$8*Parametres!$B$7,0,MIN(G7958,Parametres!$B$7))</f>
        <v>250</v>
      </c>
      <c r="I7958" s="20" t="n">
        <f aca="false">G7958-H7958</f>
        <v>105.19</v>
      </c>
      <c r="J7958" s="21" t="n">
        <f aca="false">H7958*1000/Parametres!$B$9</f>
        <v>4239.44378497541</v>
      </c>
    </row>
    <row r="7959" customFormat="false" ht="15" hidden="false" customHeight="false" outlineLevel="0" collapsed="false">
      <c r="A7959" s="0" t="n">
        <v>7955</v>
      </c>
      <c r="B7959" s="0" t="n">
        <v>11</v>
      </c>
      <c r="C7959" s="19" t="n">
        <v>0.7123</v>
      </c>
      <c r="D7959" s="19" t="n">
        <v>1</v>
      </c>
      <c r="E7959" s="20" t="n">
        <f aca="false">Parametres!$B$5*C7959</f>
        <v>213.69</v>
      </c>
      <c r="F7959" s="20" t="n">
        <f aca="false">Parametres!$B$6*D7959</f>
        <v>200</v>
      </c>
      <c r="G7959" s="20" t="n">
        <f aca="false">E7959+F7959</f>
        <v>413.69</v>
      </c>
      <c r="H7959" s="20" t="n">
        <f aca="false">IF(G7959&lt;Parametres!$B$8*Parametres!$B$7,0,MIN(G7959,Parametres!$B$7))</f>
        <v>250</v>
      </c>
      <c r="I7959" s="20" t="n">
        <f aca="false">G7959-H7959</f>
        <v>163.69</v>
      </c>
      <c r="J7959" s="21" t="n">
        <f aca="false">H7959*1000/Parametres!$B$9</f>
        <v>4239.44378497541</v>
      </c>
    </row>
    <row r="7960" customFormat="false" ht="15" hidden="false" customHeight="false" outlineLevel="0" collapsed="false">
      <c r="A7960" s="0" t="n">
        <v>7956</v>
      </c>
      <c r="B7960" s="0" t="n">
        <v>11</v>
      </c>
      <c r="C7960" s="19" t="n">
        <v>0.7387</v>
      </c>
      <c r="D7960" s="19" t="n">
        <v>1</v>
      </c>
      <c r="E7960" s="20" t="n">
        <f aca="false">Parametres!$B$5*C7960</f>
        <v>221.61</v>
      </c>
      <c r="F7960" s="20" t="n">
        <f aca="false">Parametres!$B$6*D7960</f>
        <v>200</v>
      </c>
      <c r="G7960" s="20" t="n">
        <f aca="false">E7960+F7960</f>
        <v>421.61</v>
      </c>
      <c r="H7960" s="20" t="n">
        <f aca="false">IF(G7960&lt;Parametres!$B$8*Parametres!$B$7,0,MIN(G7960,Parametres!$B$7))</f>
        <v>250</v>
      </c>
      <c r="I7960" s="20" t="n">
        <f aca="false">G7960-H7960</f>
        <v>171.61</v>
      </c>
      <c r="J7960" s="21" t="n">
        <f aca="false">H7960*1000/Parametres!$B$9</f>
        <v>4239.44378497541</v>
      </c>
    </row>
    <row r="7961" customFormat="false" ht="15" hidden="false" customHeight="false" outlineLevel="0" collapsed="false">
      <c r="A7961" s="0" t="n">
        <v>7957</v>
      </c>
      <c r="B7961" s="0" t="n">
        <v>11</v>
      </c>
      <c r="C7961" s="19" t="n">
        <v>0.7737</v>
      </c>
      <c r="D7961" s="19" t="n">
        <v>1</v>
      </c>
      <c r="E7961" s="20" t="n">
        <f aca="false">Parametres!$B$5*C7961</f>
        <v>232.11</v>
      </c>
      <c r="F7961" s="20" t="n">
        <f aca="false">Parametres!$B$6*D7961</f>
        <v>200</v>
      </c>
      <c r="G7961" s="20" t="n">
        <f aca="false">E7961+F7961</f>
        <v>432.11</v>
      </c>
      <c r="H7961" s="20" t="n">
        <f aca="false">IF(G7961&lt;Parametres!$B$8*Parametres!$B$7,0,MIN(G7961,Parametres!$B$7))</f>
        <v>250</v>
      </c>
      <c r="I7961" s="20" t="n">
        <f aca="false">G7961-H7961</f>
        <v>182.11</v>
      </c>
      <c r="J7961" s="21" t="n">
        <f aca="false">H7961*1000/Parametres!$B$9</f>
        <v>4239.44378497541</v>
      </c>
    </row>
    <row r="7962" customFormat="false" ht="15" hidden="false" customHeight="false" outlineLevel="0" collapsed="false">
      <c r="A7962" s="0" t="n">
        <v>7958</v>
      </c>
      <c r="B7962" s="0" t="n">
        <v>11</v>
      </c>
      <c r="C7962" s="19" t="n">
        <v>0.6269</v>
      </c>
      <c r="D7962" s="19" t="n">
        <v>1</v>
      </c>
      <c r="E7962" s="20" t="n">
        <f aca="false">Parametres!$B$5*C7962</f>
        <v>188.07</v>
      </c>
      <c r="F7962" s="20" t="n">
        <f aca="false">Parametres!$B$6*D7962</f>
        <v>200</v>
      </c>
      <c r="G7962" s="20" t="n">
        <f aca="false">E7962+F7962</f>
        <v>388.07</v>
      </c>
      <c r="H7962" s="20" t="n">
        <f aca="false">IF(G7962&lt;Parametres!$B$8*Parametres!$B$7,0,MIN(G7962,Parametres!$B$7))</f>
        <v>250</v>
      </c>
      <c r="I7962" s="20" t="n">
        <f aca="false">G7962-H7962</f>
        <v>138.07</v>
      </c>
      <c r="J7962" s="21" t="n">
        <f aca="false">H7962*1000/Parametres!$B$9</f>
        <v>4239.44378497541</v>
      </c>
    </row>
    <row r="7963" customFormat="false" ht="15" hidden="false" customHeight="false" outlineLevel="0" collapsed="false">
      <c r="A7963" s="0" t="n">
        <v>7959</v>
      </c>
      <c r="B7963" s="0" t="n">
        <v>11</v>
      </c>
      <c r="C7963" s="19" t="n">
        <v>0.5338</v>
      </c>
      <c r="D7963" s="19" t="n">
        <v>1</v>
      </c>
      <c r="E7963" s="20" t="n">
        <f aca="false">Parametres!$B$5*C7963</f>
        <v>160.14</v>
      </c>
      <c r="F7963" s="20" t="n">
        <f aca="false">Parametres!$B$6*D7963</f>
        <v>200</v>
      </c>
      <c r="G7963" s="20" t="n">
        <f aca="false">E7963+F7963</f>
        <v>360.14</v>
      </c>
      <c r="H7963" s="20" t="n">
        <f aca="false">IF(G7963&lt;Parametres!$B$8*Parametres!$B$7,0,MIN(G7963,Parametres!$B$7))</f>
        <v>250</v>
      </c>
      <c r="I7963" s="20" t="n">
        <f aca="false">G7963-H7963</f>
        <v>110.14</v>
      </c>
      <c r="J7963" s="21" t="n">
        <f aca="false">H7963*1000/Parametres!$B$9</f>
        <v>4239.44378497541</v>
      </c>
    </row>
    <row r="7964" customFormat="false" ht="15" hidden="false" customHeight="false" outlineLevel="0" collapsed="false">
      <c r="A7964" s="0" t="n">
        <v>7960</v>
      </c>
      <c r="B7964" s="0" t="n">
        <v>11</v>
      </c>
      <c r="C7964" s="19" t="n">
        <v>0.3365</v>
      </c>
      <c r="D7964" s="19" t="n">
        <v>1</v>
      </c>
      <c r="E7964" s="20" t="n">
        <f aca="false">Parametres!$B$5*C7964</f>
        <v>100.95</v>
      </c>
      <c r="F7964" s="20" t="n">
        <f aca="false">Parametres!$B$6*D7964</f>
        <v>200</v>
      </c>
      <c r="G7964" s="20" t="n">
        <f aca="false">E7964+F7964</f>
        <v>300.95</v>
      </c>
      <c r="H7964" s="20" t="n">
        <f aca="false">IF(G7964&lt;Parametres!$B$8*Parametres!$B$7,0,MIN(G7964,Parametres!$B$7))</f>
        <v>250</v>
      </c>
      <c r="I7964" s="20" t="n">
        <f aca="false">G7964-H7964</f>
        <v>50.95</v>
      </c>
      <c r="J7964" s="21" t="n">
        <f aca="false">H7964*1000/Parametres!$B$9</f>
        <v>4239.44378497541</v>
      </c>
    </row>
    <row r="7965" customFormat="false" ht="15" hidden="false" customHeight="false" outlineLevel="0" collapsed="false">
      <c r="A7965" s="0" t="n">
        <v>7961</v>
      </c>
      <c r="B7965" s="0" t="n">
        <v>11</v>
      </c>
      <c r="C7965" s="19" t="n">
        <v>0.1319</v>
      </c>
      <c r="D7965" s="19" t="n">
        <v>1</v>
      </c>
      <c r="E7965" s="20" t="n">
        <f aca="false">Parametres!$B$5*C7965</f>
        <v>39.57</v>
      </c>
      <c r="F7965" s="20" t="n">
        <f aca="false">Parametres!$B$6*D7965</f>
        <v>200</v>
      </c>
      <c r="G7965" s="20" t="n">
        <f aca="false">E7965+F7965</f>
        <v>239.57</v>
      </c>
      <c r="H7965" s="20" t="n">
        <f aca="false">IF(G7965&lt;Parametres!$B$8*Parametres!$B$7,0,MIN(G7965,Parametres!$B$7))</f>
        <v>239.57</v>
      </c>
      <c r="I7965" s="20" t="n">
        <f aca="false">G7965-H7965</f>
        <v>0</v>
      </c>
      <c r="J7965" s="21" t="n">
        <f aca="false">H7965*1000/Parametres!$B$9</f>
        <v>4062.57419026624</v>
      </c>
    </row>
    <row r="7966" customFormat="false" ht="15" hidden="false" customHeight="false" outlineLevel="0" collapsed="false">
      <c r="A7966" s="0" t="n">
        <v>7962</v>
      </c>
      <c r="B7966" s="0" t="n">
        <v>11</v>
      </c>
      <c r="C7966" s="19" t="n">
        <v>0</v>
      </c>
      <c r="D7966" s="19" t="n">
        <v>0.9303</v>
      </c>
      <c r="E7966" s="20" t="n">
        <f aca="false">Parametres!$B$5*C7966</f>
        <v>0</v>
      </c>
      <c r="F7966" s="20" t="n">
        <f aca="false">Parametres!$B$6*D7966</f>
        <v>186.06</v>
      </c>
      <c r="G7966" s="20" t="n">
        <f aca="false">E7966+F7966</f>
        <v>186.06</v>
      </c>
      <c r="H7966" s="20" t="n">
        <f aca="false">IF(G7966&lt;Parametres!$B$8*Parametres!$B$7,0,MIN(G7966,Parametres!$B$7))</f>
        <v>186.06</v>
      </c>
      <c r="I7966" s="20" t="n">
        <f aca="false">G7966-H7966</f>
        <v>0</v>
      </c>
      <c r="J7966" s="21" t="n">
        <f aca="false">H7966*1000/Parametres!$B$9</f>
        <v>3155.1636425301</v>
      </c>
    </row>
    <row r="7967" customFormat="false" ht="15" hidden="false" customHeight="false" outlineLevel="0" collapsed="false">
      <c r="A7967" s="0" t="n">
        <v>7963</v>
      </c>
      <c r="B7967" s="0" t="n">
        <v>11</v>
      </c>
      <c r="C7967" s="19" t="n">
        <v>0</v>
      </c>
      <c r="D7967" s="19" t="n">
        <v>1</v>
      </c>
      <c r="E7967" s="20" t="n">
        <f aca="false">Parametres!$B$5*C7967</f>
        <v>0</v>
      </c>
      <c r="F7967" s="20" t="n">
        <f aca="false">Parametres!$B$6*D7967</f>
        <v>200</v>
      </c>
      <c r="G7967" s="20" t="n">
        <f aca="false">E7967+F7967</f>
        <v>200</v>
      </c>
      <c r="H7967" s="20" t="n">
        <f aca="false">IF(G7967&lt;Parametres!$B$8*Parametres!$B$7,0,MIN(G7967,Parametres!$B$7))</f>
        <v>200</v>
      </c>
      <c r="I7967" s="20" t="n">
        <f aca="false">G7967-H7967</f>
        <v>0</v>
      </c>
      <c r="J7967" s="21" t="n">
        <f aca="false">H7967*1000/Parametres!$B$9</f>
        <v>3391.55502798033</v>
      </c>
    </row>
    <row r="7968" customFormat="false" ht="15" hidden="false" customHeight="false" outlineLevel="0" collapsed="false">
      <c r="A7968" s="0" t="n">
        <v>7964</v>
      </c>
      <c r="B7968" s="0" t="n">
        <v>11</v>
      </c>
      <c r="C7968" s="19" t="n">
        <v>0</v>
      </c>
      <c r="D7968" s="19" t="n">
        <v>1</v>
      </c>
      <c r="E7968" s="20" t="n">
        <f aca="false">Parametres!$B$5*C7968</f>
        <v>0</v>
      </c>
      <c r="F7968" s="20" t="n">
        <f aca="false">Parametres!$B$6*D7968</f>
        <v>200</v>
      </c>
      <c r="G7968" s="20" t="n">
        <f aca="false">E7968+F7968</f>
        <v>200</v>
      </c>
      <c r="H7968" s="20" t="n">
        <f aca="false">IF(G7968&lt;Parametres!$B$8*Parametres!$B$7,0,MIN(G7968,Parametres!$B$7))</f>
        <v>200</v>
      </c>
      <c r="I7968" s="20" t="n">
        <f aca="false">G7968-H7968</f>
        <v>0</v>
      </c>
      <c r="J7968" s="21" t="n">
        <f aca="false">H7968*1000/Parametres!$B$9</f>
        <v>3391.55502798033</v>
      </c>
    </row>
    <row r="7969" customFormat="false" ht="15" hidden="false" customHeight="false" outlineLevel="0" collapsed="false">
      <c r="A7969" s="0" t="n">
        <v>7965</v>
      </c>
      <c r="B7969" s="0" t="n">
        <v>11</v>
      </c>
      <c r="C7969" s="19" t="n">
        <v>0</v>
      </c>
      <c r="D7969" s="19" t="n">
        <v>1</v>
      </c>
      <c r="E7969" s="20" t="n">
        <f aca="false">Parametres!$B$5*C7969</f>
        <v>0</v>
      </c>
      <c r="F7969" s="20" t="n">
        <f aca="false">Parametres!$B$6*D7969</f>
        <v>200</v>
      </c>
      <c r="G7969" s="20" t="n">
        <f aca="false">E7969+F7969</f>
        <v>200</v>
      </c>
      <c r="H7969" s="20" t="n">
        <f aca="false">IF(G7969&lt;Parametres!$B$8*Parametres!$B$7,0,MIN(G7969,Parametres!$B$7))</f>
        <v>200</v>
      </c>
      <c r="I7969" s="20" t="n">
        <f aca="false">G7969-H7969</f>
        <v>0</v>
      </c>
      <c r="J7969" s="21" t="n">
        <f aca="false">H7969*1000/Parametres!$B$9</f>
        <v>3391.55502798033</v>
      </c>
    </row>
    <row r="7970" customFormat="false" ht="15" hidden="false" customHeight="false" outlineLevel="0" collapsed="false">
      <c r="A7970" s="0" t="n">
        <v>7966</v>
      </c>
      <c r="B7970" s="0" t="n">
        <v>11</v>
      </c>
      <c r="C7970" s="19" t="n">
        <v>0</v>
      </c>
      <c r="D7970" s="19" t="n">
        <v>1</v>
      </c>
      <c r="E7970" s="20" t="n">
        <f aca="false">Parametres!$B$5*C7970</f>
        <v>0</v>
      </c>
      <c r="F7970" s="20" t="n">
        <f aca="false">Parametres!$B$6*D7970</f>
        <v>200</v>
      </c>
      <c r="G7970" s="20" t="n">
        <f aca="false">E7970+F7970</f>
        <v>200</v>
      </c>
      <c r="H7970" s="20" t="n">
        <f aca="false">IF(G7970&lt;Parametres!$B$8*Parametres!$B$7,0,MIN(G7970,Parametres!$B$7))</f>
        <v>200</v>
      </c>
      <c r="I7970" s="20" t="n">
        <f aca="false">G7970-H7970</f>
        <v>0</v>
      </c>
      <c r="J7970" s="21" t="n">
        <f aca="false">H7970*1000/Parametres!$B$9</f>
        <v>3391.55502798033</v>
      </c>
    </row>
    <row r="7971" customFormat="false" ht="15" hidden="false" customHeight="false" outlineLevel="0" collapsed="false">
      <c r="A7971" s="0" t="n">
        <v>7967</v>
      </c>
      <c r="B7971" s="0" t="n">
        <v>11</v>
      </c>
      <c r="C7971" s="19" t="n">
        <v>0</v>
      </c>
      <c r="D7971" s="19" t="n">
        <v>0.9562</v>
      </c>
      <c r="E7971" s="20" t="n">
        <f aca="false">Parametres!$B$5*C7971</f>
        <v>0</v>
      </c>
      <c r="F7971" s="20" t="n">
        <f aca="false">Parametres!$B$6*D7971</f>
        <v>191.24</v>
      </c>
      <c r="G7971" s="20" t="n">
        <f aca="false">E7971+F7971</f>
        <v>191.24</v>
      </c>
      <c r="H7971" s="20" t="n">
        <f aca="false">IF(G7971&lt;Parametres!$B$8*Parametres!$B$7,0,MIN(G7971,Parametres!$B$7))</f>
        <v>191.24</v>
      </c>
      <c r="I7971" s="20" t="n">
        <f aca="false">G7971-H7971</f>
        <v>0</v>
      </c>
      <c r="J7971" s="21" t="n">
        <f aca="false">H7971*1000/Parametres!$B$9</f>
        <v>3243.00491775479</v>
      </c>
    </row>
    <row r="7972" customFormat="false" ht="15" hidden="false" customHeight="false" outlineLevel="0" collapsed="false">
      <c r="A7972" s="0" t="n">
        <v>7968</v>
      </c>
      <c r="B7972" s="0" t="n">
        <v>11</v>
      </c>
      <c r="C7972" s="19" t="n">
        <v>0</v>
      </c>
      <c r="D7972" s="19" t="n">
        <v>0.7399</v>
      </c>
      <c r="E7972" s="20" t="n">
        <f aca="false">Parametres!$B$5*C7972</f>
        <v>0</v>
      </c>
      <c r="F7972" s="20" t="n">
        <f aca="false">Parametres!$B$6*D7972</f>
        <v>147.98</v>
      </c>
      <c r="G7972" s="20" t="n">
        <f aca="false">E7972+F7972</f>
        <v>147.98</v>
      </c>
      <c r="H7972" s="20" t="n">
        <f aca="false">IF(G7972&lt;Parametres!$B$8*Parametres!$B$7,0,MIN(G7972,Parametres!$B$7))</f>
        <v>147.98</v>
      </c>
      <c r="I7972" s="20" t="n">
        <f aca="false">G7972-H7972</f>
        <v>0</v>
      </c>
      <c r="J7972" s="21" t="n">
        <f aca="false">H7972*1000/Parametres!$B$9</f>
        <v>2509.41156520265</v>
      </c>
    </row>
    <row r="7973" customFormat="false" ht="15" hidden="false" customHeight="false" outlineLevel="0" collapsed="false">
      <c r="A7973" s="0" t="n">
        <v>7969</v>
      </c>
      <c r="B7973" s="0" t="n">
        <v>11</v>
      </c>
      <c r="C7973" s="19" t="n">
        <v>0</v>
      </c>
      <c r="D7973" s="19" t="n">
        <v>0.6746</v>
      </c>
      <c r="E7973" s="20" t="n">
        <f aca="false">Parametres!$B$5*C7973</f>
        <v>0</v>
      </c>
      <c r="F7973" s="20" t="n">
        <f aca="false">Parametres!$B$6*D7973</f>
        <v>134.92</v>
      </c>
      <c r="G7973" s="20" t="n">
        <f aca="false">E7973+F7973</f>
        <v>134.92</v>
      </c>
      <c r="H7973" s="20" t="n">
        <f aca="false">IF(G7973&lt;Parametres!$B$8*Parametres!$B$7,0,MIN(G7973,Parametres!$B$7))</f>
        <v>134.92</v>
      </c>
      <c r="I7973" s="20" t="n">
        <f aca="false">G7973-H7973</f>
        <v>0</v>
      </c>
      <c r="J7973" s="21" t="n">
        <f aca="false">H7973*1000/Parametres!$B$9</f>
        <v>2287.94302187553</v>
      </c>
    </row>
    <row r="7974" customFormat="false" ht="15" hidden="false" customHeight="false" outlineLevel="0" collapsed="false">
      <c r="A7974" s="0" t="n">
        <v>7970</v>
      </c>
      <c r="B7974" s="0" t="n">
        <v>11</v>
      </c>
      <c r="C7974" s="19" t="n">
        <v>0</v>
      </c>
      <c r="D7974" s="19" t="n">
        <v>0.4899</v>
      </c>
      <c r="E7974" s="20" t="n">
        <f aca="false">Parametres!$B$5*C7974</f>
        <v>0</v>
      </c>
      <c r="F7974" s="20" t="n">
        <f aca="false">Parametres!$B$6*D7974</f>
        <v>97.98</v>
      </c>
      <c r="G7974" s="20" t="n">
        <f aca="false">E7974+F7974</f>
        <v>97.98</v>
      </c>
      <c r="H7974" s="20" t="n">
        <f aca="false">IF(G7974&lt;Parametres!$B$8*Parametres!$B$7,0,MIN(G7974,Parametres!$B$7))</f>
        <v>97.98</v>
      </c>
      <c r="I7974" s="20" t="n">
        <f aca="false">G7974-H7974</f>
        <v>0</v>
      </c>
      <c r="J7974" s="21" t="n">
        <f aca="false">H7974*1000/Parametres!$B$9</f>
        <v>1661.52280820756</v>
      </c>
    </row>
    <row r="7975" customFormat="false" ht="15" hidden="false" customHeight="false" outlineLevel="0" collapsed="false">
      <c r="A7975" s="0" t="n">
        <v>7971</v>
      </c>
      <c r="B7975" s="0" t="n">
        <v>11</v>
      </c>
      <c r="C7975" s="19" t="n">
        <v>0</v>
      </c>
      <c r="D7975" s="19" t="n">
        <v>0.3899</v>
      </c>
      <c r="E7975" s="20" t="n">
        <f aca="false">Parametres!$B$5*C7975</f>
        <v>0</v>
      </c>
      <c r="F7975" s="20" t="n">
        <f aca="false">Parametres!$B$6*D7975</f>
        <v>77.98</v>
      </c>
      <c r="G7975" s="20" t="n">
        <f aca="false">E7975+F7975</f>
        <v>77.98</v>
      </c>
      <c r="H7975" s="20" t="n">
        <f aca="false">IF(G7975&lt;Parametres!$B$8*Parametres!$B$7,0,MIN(G7975,Parametres!$B$7))</f>
        <v>77.98</v>
      </c>
      <c r="I7975" s="20" t="n">
        <f aca="false">G7975-H7975</f>
        <v>0</v>
      </c>
      <c r="J7975" s="21" t="n">
        <f aca="false">H7975*1000/Parametres!$B$9</f>
        <v>1322.36730540953</v>
      </c>
    </row>
    <row r="7976" customFormat="false" ht="15" hidden="false" customHeight="false" outlineLevel="0" collapsed="false">
      <c r="A7976" s="0" t="n">
        <v>7972</v>
      </c>
      <c r="B7976" s="0" t="n">
        <v>11</v>
      </c>
      <c r="C7976" s="19" t="n">
        <v>0</v>
      </c>
      <c r="D7976" s="19" t="n">
        <v>0.2296</v>
      </c>
      <c r="E7976" s="20" t="n">
        <f aca="false">Parametres!$B$5*C7976</f>
        <v>0</v>
      </c>
      <c r="F7976" s="20" t="n">
        <f aca="false">Parametres!$B$6*D7976</f>
        <v>45.92</v>
      </c>
      <c r="G7976" s="20" t="n">
        <f aca="false">E7976+F7976</f>
        <v>45.92</v>
      </c>
      <c r="H7976" s="20" t="n">
        <f aca="false">IF(G7976&lt;Parametres!$B$8*Parametres!$B$7,0,MIN(G7976,Parametres!$B$7))</f>
        <v>45.92</v>
      </c>
      <c r="I7976" s="20" t="n">
        <f aca="false">G7976-H7976</f>
        <v>0</v>
      </c>
      <c r="J7976" s="21" t="n">
        <f aca="false">H7976*1000/Parametres!$B$9</f>
        <v>778.701034424284</v>
      </c>
    </row>
    <row r="7977" customFormat="false" ht="15" hidden="false" customHeight="false" outlineLevel="0" collapsed="false">
      <c r="A7977" s="0" t="n">
        <v>7973</v>
      </c>
      <c r="B7977" s="0" t="n">
        <v>11</v>
      </c>
      <c r="C7977" s="19" t="n">
        <v>0</v>
      </c>
      <c r="D7977" s="19" t="n">
        <v>0.3314</v>
      </c>
      <c r="E7977" s="20" t="n">
        <f aca="false">Parametres!$B$5*C7977</f>
        <v>0</v>
      </c>
      <c r="F7977" s="20" t="n">
        <f aca="false">Parametres!$B$6*D7977</f>
        <v>66.28</v>
      </c>
      <c r="G7977" s="20" t="n">
        <f aca="false">E7977+F7977</f>
        <v>66.28</v>
      </c>
      <c r="H7977" s="20" t="n">
        <f aca="false">IF(G7977&lt;Parametres!$B$8*Parametres!$B$7,0,MIN(G7977,Parametres!$B$7))</f>
        <v>66.28</v>
      </c>
      <c r="I7977" s="20" t="n">
        <f aca="false">G7977-H7977</f>
        <v>0</v>
      </c>
      <c r="J7977" s="21" t="n">
        <f aca="false">H7977*1000/Parametres!$B$9</f>
        <v>1123.96133627268</v>
      </c>
    </row>
    <row r="7978" customFormat="false" ht="15" hidden="false" customHeight="false" outlineLevel="0" collapsed="false">
      <c r="A7978" s="0" t="n">
        <v>7974</v>
      </c>
      <c r="B7978" s="0" t="n">
        <v>11</v>
      </c>
      <c r="C7978" s="19" t="n">
        <v>0</v>
      </c>
      <c r="D7978" s="19" t="n">
        <v>0.2976</v>
      </c>
      <c r="E7978" s="20" t="n">
        <f aca="false">Parametres!$B$5*C7978</f>
        <v>0</v>
      </c>
      <c r="F7978" s="20" t="n">
        <f aca="false">Parametres!$B$6*D7978</f>
        <v>59.52</v>
      </c>
      <c r="G7978" s="20" t="n">
        <f aca="false">E7978+F7978</f>
        <v>59.52</v>
      </c>
      <c r="H7978" s="20" t="n">
        <f aca="false">IF(G7978&lt;Parametres!$B$8*Parametres!$B$7,0,MIN(G7978,Parametres!$B$7))</f>
        <v>59.52</v>
      </c>
      <c r="I7978" s="20" t="n">
        <f aca="false">G7978-H7978</f>
        <v>0</v>
      </c>
      <c r="J7978" s="21" t="n">
        <f aca="false">H7978*1000/Parametres!$B$9</f>
        <v>1009.32677632695</v>
      </c>
    </row>
    <row r="7979" customFormat="false" ht="15" hidden="false" customHeight="false" outlineLevel="0" collapsed="false">
      <c r="A7979" s="0" t="n">
        <v>7975</v>
      </c>
      <c r="B7979" s="0" t="n">
        <v>11</v>
      </c>
      <c r="C7979" s="19" t="n">
        <v>0</v>
      </c>
      <c r="D7979" s="19" t="n">
        <v>0.2661</v>
      </c>
      <c r="E7979" s="20" t="n">
        <f aca="false">Parametres!$B$5*C7979</f>
        <v>0</v>
      </c>
      <c r="F7979" s="20" t="n">
        <f aca="false">Parametres!$B$6*D7979</f>
        <v>53.22</v>
      </c>
      <c r="G7979" s="20" t="n">
        <f aca="false">E7979+F7979</f>
        <v>53.22</v>
      </c>
      <c r="H7979" s="20" t="n">
        <f aca="false">IF(G7979&lt;Parametres!$B$8*Parametres!$B$7,0,MIN(G7979,Parametres!$B$7))</f>
        <v>53.22</v>
      </c>
      <c r="I7979" s="20" t="n">
        <f aca="false">G7979-H7979</f>
        <v>0</v>
      </c>
      <c r="J7979" s="21" t="n">
        <f aca="false">H7979*1000/Parametres!$B$9</f>
        <v>902.492792945566</v>
      </c>
    </row>
    <row r="7980" customFormat="false" ht="15" hidden="false" customHeight="false" outlineLevel="0" collapsed="false">
      <c r="A7980" s="0" t="n">
        <v>7976</v>
      </c>
      <c r="B7980" s="0" t="n">
        <v>11</v>
      </c>
      <c r="C7980" s="19" t="n">
        <v>0.1376</v>
      </c>
      <c r="D7980" s="19" t="n">
        <v>0.3325</v>
      </c>
      <c r="E7980" s="20" t="n">
        <f aca="false">Parametres!$B$5*C7980</f>
        <v>41.28</v>
      </c>
      <c r="F7980" s="20" t="n">
        <f aca="false">Parametres!$B$6*D7980</f>
        <v>66.5</v>
      </c>
      <c r="G7980" s="20" t="n">
        <f aca="false">E7980+F7980</f>
        <v>107.78</v>
      </c>
      <c r="H7980" s="20" t="n">
        <f aca="false">IF(G7980&lt;Parametres!$B$8*Parametres!$B$7,0,MIN(G7980,Parametres!$B$7))</f>
        <v>107.78</v>
      </c>
      <c r="I7980" s="20" t="n">
        <f aca="false">G7980-H7980</f>
        <v>0</v>
      </c>
      <c r="J7980" s="21" t="n">
        <f aca="false">H7980*1000/Parametres!$B$9</f>
        <v>1827.7090045786</v>
      </c>
    </row>
    <row r="7981" customFormat="false" ht="15" hidden="false" customHeight="false" outlineLevel="0" collapsed="false">
      <c r="A7981" s="0" t="n">
        <v>7977</v>
      </c>
      <c r="B7981" s="0" t="n">
        <v>11</v>
      </c>
      <c r="C7981" s="19" t="n">
        <v>0.3502</v>
      </c>
      <c r="D7981" s="19" t="n">
        <v>0.2089</v>
      </c>
      <c r="E7981" s="20" t="n">
        <f aca="false">Parametres!$B$5*C7981</f>
        <v>105.06</v>
      </c>
      <c r="F7981" s="20" t="n">
        <f aca="false">Parametres!$B$6*D7981</f>
        <v>41.78</v>
      </c>
      <c r="G7981" s="20" t="n">
        <f aca="false">E7981+F7981</f>
        <v>146.84</v>
      </c>
      <c r="H7981" s="20" t="n">
        <f aca="false">IF(G7981&lt;Parametres!$B$8*Parametres!$B$7,0,MIN(G7981,Parametres!$B$7))</f>
        <v>146.84</v>
      </c>
      <c r="I7981" s="20" t="n">
        <f aca="false">G7981-H7981</f>
        <v>0</v>
      </c>
      <c r="J7981" s="21" t="n">
        <f aca="false">H7981*1000/Parametres!$B$9</f>
        <v>2490.07970154316</v>
      </c>
    </row>
    <row r="7982" customFormat="false" ht="15" hidden="false" customHeight="false" outlineLevel="0" collapsed="false">
      <c r="A7982" s="0" t="n">
        <v>7978</v>
      </c>
      <c r="B7982" s="0" t="n">
        <v>11</v>
      </c>
      <c r="C7982" s="19" t="n">
        <v>0.5809</v>
      </c>
      <c r="D7982" s="19" t="n">
        <v>0.2542</v>
      </c>
      <c r="E7982" s="20" t="n">
        <f aca="false">Parametres!$B$5*C7982</f>
        <v>174.27</v>
      </c>
      <c r="F7982" s="20" t="n">
        <f aca="false">Parametres!$B$6*D7982</f>
        <v>50.84</v>
      </c>
      <c r="G7982" s="20" t="n">
        <f aca="false">E7982+F7982</f>
        <v>225.11</v>
      </c>
      <c r="H7982" s="20" t="n">
        <f aca="false">IF(G7982&lt;Parametres!$B$8*Parametres!$B$7,0,MIN(G7982,Parametres!$B$7))</f>
        <v>225.11</v>
      </c>
      <c r="I7982" s="20" t="n">
        <f aca="false">G7982-H7982</f>
        <v>0</v>
      </c>
      <c r="J7982" s="21" t="n">
        <f aca="false">H7982*1000/Parametres!$B$9</f>
        <v>3817.36476174326</v>
      </c>
    </row>
    <row r="7983" customFormat="false" ht="15" hidden="false" customHeight="false" outlineLevel="0" collapsed="false">
      <c r="A7983" s="0" t="n">
        <v>7979</v>
      </c>
      <c r="B7983" s="0" t="n">
        <v>11</v>
      </c>
      <c r="C7983" s="19" t="n">
        <v>0.7073</v>
      </c>
      <c r="D7983" s="19" t="n">
        <v>0.3404</v>
      </c>
      <c r="E7983" s="20" t="n">
        <f aca="false">Parametres!$B$5*C7983</f>
        <v>212.19</v>
      </c>
      <c r="F7983" s="20" t="n">
        <f aca="false">Parametres!$B$6*D7983</f>
        <v>68.08</v>
      </c>
      <c r="G7983" s="20" t="n">
        <f aca="false">E7983+F7983</f>
        <v>280.27</v>
      </c>
      <c r="H7983" s="20" t="n">
        <f aca="false">IF(G7983&lt;Parametres!$B$8*Parametres!$B$7,0,MIN(G7983,Parametres!$B$7))</f>
        <v>250</v>
      </c>
      <c r="I7983" s="20" t="n">
        <f aca="false">G7983-H7983</f>
        <v>30.27</v>
      </c>
      <c r="J7983" s="21" t="n">
        <f aca="false">H7983*1000/Parametres!$B$9</f>
        <v>4239.44378497541</v>
      </c>
    </row>
    <row r="7984" customFormat="false" ht="15" hidden="false" customHeight="false" outlineLevel="0" collapsed="false">
      <c r="A7984" s="0" t="n">
        <v>7980</v>
      </c>
      <c r="B7984" s="0" t="n">
        <v>11</v>
      </c>
      <c r="C7984" s="19" t="n">
        <v>0.7995</v>
      </c>
      <c r="D7984" s="19" t="n">
        <v>0.3635</v>
      </c>
      <c r="E7984" s="20" t="n">
        <f aca="false">Parametres!$B$5*C7984</f>
        <v>239.85</v>
      </c>
      <c r="F7984" s="20" t="n">
        <f aca="false">Parametres!$B$6*D7984</f>
        <v>72.7</v>
      </c>
      <c r="G7984" s="20" t="n">
        <f aca="false">E7984+F7984</f>
        <v>312.55</v>
      </c>
      <c r="H7984" s="20" t="n">
        <f aca="false">IF(G7984&lt;Parametres!$B$8*Parametres!$B$7,0,MIN(G7984,Parametres!$B$7))</f>
        <v>250</v>
      </c>
      <c r="I7984" s="20" t="n">
        <f aca="false">G7984-H7984</f>
        <v>62.55</v>
      </c>
      <c r="J7984" s="21" t="n">
        <f aca="false">H7984*1000/Parametres!$B$9</f>
        <v>4239.44378497541</v>
      </c>
    </row>
    <row r="7985" customFormat="false" ht="15" hidden="false" customHeight="false" outlineLevel="0" collapsed="false">
      <c r="A7985" s="0" t="n">
        <v>7981</v>
      </c>
      <c r="B7985" s="0" t="n">
        <v>11</v>
      </c>
      <c r="C7985" s="19" t="n">
        <v>0.8331</v>
      </c>
      <c r="D7985" s="19" t="n">
        <v>0.158</v>
      </c>
      <c r="E7985" s="20" t="n">
        <f aca="false">Parametres!$B$5*C7985</f>
        <v>249.93</v>
      </c>
      <c r="F7985" s="20" t="n">
        <f aca="false">Parametres!$B$6*D7985</f>
        <v>31.6</v>
      </c>
      <c r="G7985" s="20" t="n">
        <f aca="false">E7985+F7985</f>
        <v>281.53</v>
      </c>
      <c r="H7985" s="20" t="n">
        <f aca="false">IF(G7985&lt;Parametres!$B$8*Parametres!$B$7,0,MIN(G7985,Parametres!$B$7))</f>
        <v>250</v>
      </c>
      <c r="I7985" s="20" t="n">
        <f aca="false">G7985-H7985</f>
        <v>31.53</v>
      </c>
      <c r="J7985" s="21" t="n">
        <f aca="false">H7985*1000/Parametres!$B$9</f>
        <v>4239.44378497541</v>
      </c>
    </row>
    <row r="7986" customFormat="false" ht="15" hidden="false" customHeight="false" outlineLevel="0" collapsed="false">
      <c r="A7986" s="0" t="n">
        <v>7982</v>
      </c>
      <c r="B7986" s="0" t="n">
        <v>11</v>
      </c>
      <c r="C7986" s="19" t="n">
        <v>0.7439</v>
      </c>
      <c r="D7986" s="19" t="n">
        <v>0.2554</v>
      </c>
      <c r="E7986" s="20" t="n">
        <f aca="false">Parametres!$B$5*C7986</f>
        <v>223.17</v>
      </c>
      <c r="F7986" s="20" t="n">
        <f aca="false">Parametres!$B$6*D7986</f>
        <v>51.08</v>
      </c>
      <c r="G7986" s="20" t="n">
        <f aca="false">E7986+F7986</f>
        <v>274.25</v>
      </c>
      <c r="H7986" s="20" t="n">
        <f aca="false">IF(G7986&lt;Parametres!$B$8*Parametres!$B$7,0,MIN(G7986,Parametres!$B$7))</f>
        <v>250</v>
      </c>
      <c r="I7986" s="20" t="n">
        <f aca="false">G7986-H7986</f>
        <v>24.25</v>
      </c>
      <c r="J7986" s="21" t="n">
        <f aca="false">H7986*1000/Parametres!$B$9</f>
        <v>4239.44378497541</v>
      </c>
    </row>
    <row r="7987" customFormat="false" ht="15" hidden="false" customHeight="false" outlineLevel="0" collapsed="false">
      <c r="A7987" s="0" t="n">
        <v>7983</v>
      </c>
      <c r="B7987" s="0" t="n">
        <v>11</v>
      </c>
      <c r="C7987" s="19" t="n">
        <v>0.578</v>
      </c>
      <c r="D7987" s="19" t="n">
        <v>0.3652</v>
      </c>
      <c r="E7987" s="20" t="n">
        <f aca="false">Parametres!$B$5*C7987</f>
        <v>173.4</v>
      </c>
      <c r="F7987" s="20" t="n">
        <f aca="false">Parametres!$B$6*D7987</f>
        <v>73.04</v>
      </c>
      <c r="G7987" s="20" t="n">
        <f aca="false">E7987+F7987</f>
        <v>246.44</v>
      </c>
      <c r="H7987" s="20" t="n">
        <f aca="false">IF(G7987&lt;Parametres!$B$8*Parametres!$B$7,0,MIN(G7987,Parametres!$B$7))</f>
        <v>246.44</v>
      </c>
      <c r="I7987" s="20" t="n">
        <f aca="false">G7987-H7987</f>
        <v>0</v>
      </c>
      <c r="J7987" s="21" t="n">
        <f aca="false">H7987*1000/Parametres!$B$9</f>
        <v>4179.07410547736</v>
      </c>
    </row>
    <row r="7988" customFormat="false" ht="15" hidden="false" customHeight="false" outlineLevel="0" collapsed="false">
      <c r="A7988" s="0" t="n">
        <v>7984</v>
      </c>
      <c r="B7988" s="0" t="n">
        <v>11</v>
      </c>
      <c r="C7988" s="19" t="n">
        <v>0.3805</v>
      </c>
      <c r="D7988" s="19" t="n">
        <v>0.2582</v>
      </c>
      <c r="E7988" s="20" t="n">
        <f aca="false">Parametres!$B$5*C7988</f>
        <v>114.15</v>
      </c>
      <c r="F7988" s="20" t="n">
        <f aca="false">Parametres!$B$6*D7988</f>
        <v>51.64</v>
      </c>
      <c r="G7988" s="20" t="n">
        <f aca="false">E7988+F7988</f>
        <v>165.79</v>
      </c>
      <c r="H7988" s="20" t="n">
        <f aca="false">IF(G7988&lt;Parametres!$B$8*Parametres!$B$7,0,MIN(G7988,Parametres!$B$7))</f>
        <v>165.79</v>
      </c>
      <c r="I7988" s="20" t="n">
        <f aca="false">G7988-H7988</f>
        <v>0</v>
      </c>
      <c r="J7988" s="21" t="n">
        <f aca="false">H7988*1000/Parametres!$B$9</f>
        <v>2811.42954044429</v>
      </c>
    </row>
    <row r="7989" customFormat="false" ht="15" hidden="false" customHeight="false" outlineLevel="0" collapsed="false">
      <c r="A7989" s="0" t="n">
        <v>7985</v>
      </c>
      <c r="B7989" s="0" t="n">
        <v>11</v>
      </c>
      <c r="C7989" s="19" t="n">
        <v>0.144</v>
      </c>
      <c r="D7989" s="19" t="n">
        <v>0.4462</v>
      </c>
      <c r="E7989" s="20" t="n">
        <f aca="false">Parametres!$B$5*C7989</f>
        <v>43.2</v>
      </c>
      <c r="F7989" s="20" t="n">
        <f aca="false">Parametres!$B$6*D7989</f>
        <v>89.24</v>
      </c>
      <c r="G7989" s="20" t="n">
        <f aca="false">E7989+F7989</f>
        <v>132.44</v>
      </c>
      <c r="H7989" s="20" t="n">
        <f aca="false">IF(G7989&lt;Parametres!$B$8*Parametres!$B$7,0,MIN(G7989,Parametres!$B$7))</f>
        <v>132.44</v>
      </c>
      <c r="I7989" s="20" t="n">
        <f aca="false">G7989-H7989</f>
        <v>0</v>
      </c>
      <c r="J7989" s="21" t="n">
        <f aca="false">H7989*1000/Parametres!$B$9</f>
        <v>2245.88773952857</v>
      </c>
    </row>
    <row r="7990" customFormat="false" ht="15" hidden="false" customHeight="false" outlineLevel="0" collapsed="false">
      <c r="A7990" s="0" t="n">
        <v>7986</v>
      </c>
      <c r="B7990" s="0" t="n">
        <v>11</v>
      </c>
      <c r="C7990" s="19" t="n">
        <v>0</v>
      </c>
      <c r="D7990" s="19" t="n">
        <v>0.2876</v>
      </c>
      <c r="E7990" s="20" t="n">
        <f aca="false">Parametres!$B$5*C7990</f>
        <v>0</v>
      </c>
      <c r="F7990" s="20" t="n">
        <f aca="false">Parametres!$B$6*D7990</f>
        <v>57.52</v>
      </c>
      <c r="G7990" s="20" t="n">
        <f aca="false">E7990+F7990</f>
        <v>57.52</v>
      </c>
      <c r="H7990" s="20" t="n">
        <f aca="false">IF(G7990&lt;Parametres!$B$8*Parametres!$B$7,0,MIN(G7990,Parametres!$B$7))</f>
        <v>57.52</v>
      </c>
      <c r="I7990" s="20" t="n">
        <f aca="false">G7990-H7990</f>
        <v>0</v>
      </c>
      <c r="J7990" s="21" t="n">
        <f aca="false">H7990*1000/Parametres!$B$9</f>
        <v>975.411226047143</v>
      </c>
    </row>
    <row r="7991" customFormat="false" ht="15" hidden="false" customHeight="false" outlineLevel="0" collapsed="false">
      <c r="A7991" s="0" t="n">
        <v>7987</v>
      </c>
      <c r="B7991" s="0" t="n">
        <v>11</v>
      </c>
      <c r="C7991" s="19" t="n">
        <v>0</v>
      </c>
      <c r="D7991" s="19" t="n">
        <v>0.1933</v>
      </c>
      <c r="E7991" s="20" t="n">
        <f aca="false">Parametres!$B$5*C7991</f>
        <v>0</v>
      </c>
      <c r="F7991" s="20" t="n">
        <f aca="false">Parametres!$B$6*D7991</f>
        <v>38.66</v>
      </c>
      <c r="G7991" s="20" t="n">
        <f aca="false">E7991+F7991</f>
        <v>38.66</v>
      </c>
      <c r="H7991" s="20" t="n">
        <f aca="false">IF(G7991&lt;Parametres!$B$8*Parametres!$B$7,0,MIN(G7991,Parametres!$B$7))</f>
        <v>38.66</v>
      </c>
      <c r="I7991" s="20" t="n">
        <f aca="false">G7991-H7991</f>
        <v>0</v>
      </c>
      <c r="J7991" s="21" t="n">
        <f aca="false">H7991*1000/Parametres!$B$9</f>
        <v>655.587586908598</v>
      </c>
    </row>
    <row r="7992" customFormat="false" ht="15" hidden="false" customHeight="false" outlineLevel="0" collapsed="false">
      <c r="A7992" s="0" t="n">
        <v>7988</v>
      </c>
      <c r="B7992" s="0" t="n">
        <v>11</v>
      </c>
      <c r="C7992" s="19" t="n">
        <v>0</v>
      </c>
      <c r="D7992" s="19" t="n">
        <v>0.3066</v>
      </c>
      <c r="E7992" s="20" t="n">
        <f aca="false">Parametres!$B$5*C7992</f>
        <v>0</v>
      </c>
      <c r="F7992" s="20" t="n">
        <f aca="false">Parametres!$B$6*D7992</f>
        <v>61.32</v>
      </c>
      <c r="G7992" s="20" t="n">
        <f aca="false">E7992+F7992</f>
        <v>61.32</v>
      </c>
      <c r="H7992" s="20" t="n">
        <f aca="false">IF(G7992&lt;Parametres!$B$8*Parametres!$B$7,0,MIN(G7992,Parametres!$B$7))</f>
        <v>61.32</v>
      </c>
      <c r="I7992" s="20" t="n">
        <f aca="false">G7992-H7992</f>
        <v>0</v>
      </c>
      <c r="J7992" s="21" t="n">
        <f aca="false">H7992*1000/Parametres!$B$9</f>
        <v>1039.85077157877</v>
      </c>
    </row>
    <row r="7993" customFormat="false" ht="15" hidden="false" customHeight="false" outlineLevel="0" collapsed="false">
      <c r="A7993" s="0" t="n">
        <v>7989</v>
      </c>
      <c r="B7993" s="0" t="n">
        <v>11</v>
      </c>
      <c r="C7993" s="19" t="n">
        <v>0</v>
      </c>
      <c r="D7993" s="19" t="n">
        <v>0.3832</v>
      </c>
      <c r="E7993" s="20" t="n">
        <f aca="false">Parametres!$B$5*C7993</f>
        <v>0</v>
      </c>
      <c r="F7993" s="20" t="n">
        <f aca="false">Parametres!$B$6*D7993</f>
        <v>76.64</v>
      </c>
      <c r="G7993" s="20" t="n">
        <f aca="false">E7993+F7993</f>
        <v>76.64</v>
      </c>
      <c r="H7993" s="20" t="n">
        <f aca="false">IF(G7993&lt;Parametres!$B$8*Parametres!$B$7,0,MIN(G7993,Parametres!$B$7))</f>
        <v>76.64</v>
      </c>
      <c r="I7993" s="20" t="n">
        <f aca="false">G7993-H7993</f>
        <v>0</v>
      </c>
      <c r="J7993" s="21" t="n">
        <f aca="false">H7993*1000/Parametres!$B$9</f>
        <v>1299.64388672206</v>
      </c>
    </row>
    <row r="7994" customFormat="false" ht="15" hidden="false" customHeight="false" outlineLevel="0" collapsed="false">
      <c r="A7994" s="0" t="n">
        <v>7990</v>
      </c>
      <c r="B7994" s="0" t="n">
        <v>11</v>
      </c>
      <c r="C7994" s="19" t="n">
        <v>0</v>
      </c>
      <c r="D7994" s="19" t="n">
        <v>0.3101</v>
      </c>
      <c r="E7994" s="20" t="n">
        <f aca="false">Parametres!$B$5*C7994</f>
        <v>0</v>
      </c>
      <c r="F7994" s="20" t="n">
        <f aca="false">Parametres!$B$6*D7994</f>
        <v>62.02</v>
      </c>
      <c r="G7994" s="20" t="n">
        <f aca="false">E7994+F7994</f>
        <v>62.02</v>
      </c>
      <c r="H7994" s="20" t="n">
        <f aca="false">IF(G7994&lt;Parametres!$B$8*Parametres!$B$7,0,MIN(G7994,Parametres!$B$7))</f>
        <v>62.02</v>
      </c>
      <c r="I7994" s="20" t="n">
        <f aca="false">G7994-H7994</f>
        <v>0</v>
      </c>
      <c r="J7994" s="21" t="n">
        <f aca="false">H7994*1000/Parametres!$B$9</f>
        <v>1051.7212141767</v>
      </c>
    </row>
    <row r="7995" customFormat="false" ht="15" hidden="false" customHeight="false" outlineLevel="0" collapsed="false">
      <c r="A7995" s="0" t="n">
        <v>7991</v>
      </c>
      <c r="B7995" s="0" t="n">
        <v>11</v>
      </c>
      <c r="C7995" s="19" t="n">
        <v>0</v>
      </c>
      <c r="D7995" s="19" t="n">
        <v>0.3288</v>
      </c>
      <c r="E7995" s="20" t="n">
        <f aca="false">Parametres!$B$5*C7995</f>
        <v>0</v>
      </c>
      <c r="F7995" s="20" t="n">
        <f aca="false">Parametres!$B$6*D7995</f>
        <v>65.76</v>
      </c>
      <c r="G7995" s="20" t="n">
        <f aca="false">E7995+F7995</f>
        <v>65.76</v>
      </c>
      <c r="H7995" s="20" t="n">
        <f aca="false">IF(G7995&lt;Parametres!$B$8*Parametres!$B$7,0,MIN(G7995,Parametres!$B$7))</f>
        <v>65.76</v>
      </c>
      <c r="I7995" s="20" t="n">
        <f aca="false">G7995-H7995</f>
        <v>0</v>
      </c>
      <c r="J7995" s="21" t="n">
        <f aca="false">H7995*1000/Parametres!$B$9</f>
        <v>1115.14329319993</v>
      </c>
    </row>
    <row r="7996" customFormat="false" ht="15" hidden="false" customHeight="false" outlineLevel="0" collapsed="false">
      <c r="A7996" s="0" t="n">
        <v>7992</v>
      </c>
      <c r="B7996" s="0" t="n">
        <v>11</v>
      </c>
      <c r="C7996" s="19" t="n">
        <v>0</v>
      </c>
      <c r="D7996" s="19" t="n">
        <v>0.2197</v>
      </c>
      <c r="E7996" s="20" t="n">
        <f aca="false">Parametres!$B$5*C7996</f>
        <v>0</v>
      </c>
      <c r="F7996" s="20" t="n">
        <f aca="false">Parametres!$B$6*D7996</f>
        <v>43.94</v>
      </c>
      <c r="G7996" s="20" t="n">
        <f aca="false">E7996+F7996</f>
        <v>43.94</v>
      </c>
      <c r="H7996" s="20" t="n">
        <f aca="false">IF(G7996&lt;Parametres!$B$8*Parametres!$B$7,0,MIN(G7996,Parametres!$B$7))</f>
        <v>43.94</v>
      </c>
      <c r="I7996" s="20" t="n">
        <f aca="false">G7996-H7996</f>
        <v>0</v>
      </c>
      <c r="J7996" s="21" t="n">
        <f aca="false">H7996*1000/Parametres!$B$9</f>
        <v>745.124639647278</v>
      </c>
    </row>
    <row r="7997" customFormat="false" ht="15" hidden="false" customHeight="false" outlineLevel="0" collapsed="false">
      <c r="A7997" s="0" t="n">
        <v>7993</v>
      </c>
      <c r="B7997" s="0" t="n">
        <v>11</v>
      </c>
      <c r="C7997" s="19" t="n">
        <v>0</v>
      </c>
      <c r="D7997" s="19" t="n">
        <v>0.1217</v>
      </c>
      <c r="E7997" s="20" t="n">
        <f aca="false">Parametres!$B$5*C7997</f>
        <v>0</v>
      </c>
      <c r="F7997" s="20" t="n">
        <f aca="false">Parametres!$B$6*D7997</f>
        <v>24.34</v>
      </c>
      <c r="G7997" s="20" t="n">
        <f aca="false">E7997+F7997</f>
        <v>24.34</v>
      </c>
      <c r="H7997" s="20" t="n">
        <f aca="false">IF(G7997&lt;Parametres!$B$8*Parametres!$B$7,0,MIN(G7997,Parametres!$B$7))</f>
        <v>0</v>
      </c>
      <c r="I7997" s="20" t="n">
        <f aca="false">G7997-H7997</f>
        <v>24.34</v>
      </c>
      <c r="J7997" s="21" t="n">
        <f aca="false">H7997*1000/Parametres!$B$9</f>
        <v>0</v>
      </c>
    </row>
    <row r="7998" customFormat="false" ht="15" hidden="false" customHeight="false" outlineLevel="0" collapsed="false">
      <c r="A7998" s="0" t="n">
        <v>7994</v>
      </c>
      <c r="B7998" s="0" t="n">
        <v>11</v>
      </c>
      <c r="C7998" s="19" t="n">
        <v>0</v>
      </c>
      <c r="D7998" s="19" t="n">
        <v>0.0809</v>
      </c>
      <c r="E7998" s="20" t="n">
        <f aca="false">Parametres!$B$5*C7998</f>
        <v>0</v>
      </c>
      <c r="F7998" s="20" t="n">
        <f aca="false">Parametres!$B$6*D7998</f>
        <v>16.18</v>
      </c>
      <c r="G7998" s="20" t="n">
        <f aca="false">E7998+F7998</f>
        <v>16.18</v>
      </c>
      <c r="H7998" s="20" t="n">
        <f aca="false">IF(G7998&lt;Parametres!$B$8*Parametres!$B$7,0,MIN(G7998,Parametres!$B$7))</f>
        <v>0</v>
      </c>
      <c r="I7998" s="20" t="n">
        <f aca="false">G7998-H7998</f>
        <v>16.18</v>
      </c>
      <c r="J7998" s="21" t="n">
        <f aca="false">H7998*1000/Parametres!$B$9</f>
        <v>0</v>
      </c>
    </row>
    <row r="7999" customFormat="false" ht="15" hidden="false" customHeight="false" outlineLevel="0" collapsed="false">
      <c r="A7999" s="0" t="n">
        <v>7995</v>
      </c>
      <c r="B7999" s="0" t="n">
        <v>11</v>
      </c>
      <c r="C7999" s="19" t="n">
        <v>0</v>
      </c>
      <c r="D7999" s="19" t="n">
        <v>0.1322</v>
      </c>
      <c r="E7999" s="20" t="n">
        <f aca="false">Parametres!$B$5*C7999</f>
        <v>0</v>
      </c>
      <c r="F7999" s="20" t="n">
        <f aca="false">Parametres!$B$6*D7999</f>
        <v>26.44</v>
      </c>
      <c r="G7999" s="20" t="n">
        <f aca="false">E7999+F7999</f>
        <v>26.44</v>
      </c>
      <c r="H7999" s="20" t="n">
        <f aca="false">IF(G7999&lt;Parametres!$B$8*Parametres!$B$7,0,MIN(G7999,Parametres!$B$7))</f>
        <v>26.44</v>
      </c>
      <c r="I7999" s="20" t="n">
        <f aca="false">G7999-H7999</f>
        <v>0</v>
      </c>
      <c r="J7999" s="21" t="n">
        <f aca="false">H7999*1000/Parametres!$B$9</f>
        <v>448.363574699</v>
      </c>
    </row>
    <row r="8000" customFormat="false" ht="15" hidden="false" customHeight="false" outlineLevel="0" collapsed="false">
      <c r="A8000" s="0" t="n">
        <v>7996</v>
      </c>
      <c r="B8000" s="0" t="n">
        <v>11</v>
      </c>
      <c r="C8000" s="19" t="n">
        <v>0</v>
      </c>
      <c r="D8000" s="19" t="n">
        <v>0.1923</v>
      </c>
      <c r="E8000" s="20" t="n">
        <f aca="false">Parametres!$B$5*C8000</f>
        <v>0</v>
      </c>
      <c r="F8000" s="20" t="n">
        <f aca="false">Parametres!$B$6*D8000</f>
        <v>38.46</v>
      </c>
      <c r="G8000" s="20" t="n">
        <f aca="false">E8000+F8000</f>
        <v>38.46</v>
      </c>
      <c r="H8000" s="20" t="n">
        <f aca="false">IF(G8000&lt;Parametres!$B$8*Parametres!$B$7,0,MIN(G8000,Parametres!$B$7))</f>
        <v>38.46</v>
      </c>
      <c r="I8000" s="20" t="n">
        <f aca="false">G8000-H8000</f>
        <v>0</v>
      </c>
      <c r="J8000" s="21" t="n">
        <f aca="false">H8000*1000/Parametres!$B$9</f>
        <v>652.196031880617</v>
      </c>
    </row>
    <row r="8001" customFormat="false" ht="15" hidden="false" customHeight="false" outlineLevel="0" collapsed="false">
      <c r="A8001" s="0" t="n">
        <v>7997</v>
      </c>
      <c r="B8001" s="0" t="n">
        <v>11</v>
      </c>
      <c r="C8001" s="19" t="n">
        <v>0</v>
      </c>
      <c r="D8001" s="19" t="n">
        <v>0.208</v>
      </c>
      <c r="E8001" s="20" t="n">
        <f aca="false">Parametres!$B$5*C8001</f>
        <v>0</v>
      </c>
      <c r="F8001" s="20" t="n">
        <f aca="false">Parametres!$B$6*D8001</f>
        <v>41.6</v>
      </c>
      <c r="G8001" s="20" t="n">
        <f aca="false">E8001+F8001</f>
        <v>41.6</v>
      </c>
      <c r="H8001" s="20" t="n">
        <f aca="false">IF(G8001&lt;Parametres!$B$8*Parametres!$B$7,0,MIN(G8001,Parametres!$B$7))</f>
        <v>41.6</v>
      </c>
      <c r="I8001" s="20" t="n">
        <f aca="false">G8001-H8001</f>
        <v>0</v>
      </c>
      <c r="J8001" s="21" t="n">
        <f aca="false">H8001*1000/Parametres!$B$9</f>
        <v>705.443445819908</v>
      </c>
    </row>
    <row r="8002" customFormat="false" ht="15" hidden="false" customHeight="false" outlineLevel="0" collapsed="false">
      <c r="A8002" s="0" t="n">
        <v>7998</v>
      </c>
      <c r="B8002" s="0" t="n">
        <v>11</v>
      </c>
      <c r="C8002" s="19" t="n">
        <v>0</v>
      </c>
      <c r="D8002" s="19" t="n">
        <v>0.5071</v>
      </c>
      <c r="E8002" s="20" t="n">
        <f aca="false">Parametres!$B$5*C8002</f>
        <v>0</v>
      </c>
      <c r="F8002" s="20" t="n">
        <f aca="false">Parametres!$B$6*D8002</f>
        <v>101.42</v>
      </c>
      <c r="G8002" s="20" t="n">
        <f aca="false">E8002+F8002</f>
        <v>101.42</v>
      </c>
      <c r="H8002" s="20" t="n">
        <f aca="false">IF(G8002&lt;Parametres!$B$8*Parametres!$B$7,0,MIN(G8002,Parametres!$B$7))</f>
        <v>101.42</v>
      </c>
      <c r="I8002" s="20" t="n">
        <f aca="false">G8002-H8002</f>
        <v>0</v>
      </c>
      <c r="J8002" s="21" t="n">
        <f aca="false">H8002*1000/Parametres!$B$9</f>
        <v>1719.85755468882</v>
      </c>
    </row>
    <row r="8003" customFormat="false" ht="15" hidden="false" customHeight="false" outlineLevel="0" collapsed="false">
      <c r="A8003" s="0" t="n">
        <v>7999</v>
      </c>
      <c r="B8003" s="0" t="n">
        <v>11</v>
      </c>
      <c r="C8003" s="19" t="n">
        <v>0</v>
      </c>
      <c r="D8003" s="19" t="n">
        <v>0.6634</v>
      </c>
      <c r="E8003" s="20" t="n">
        <f aca="false">Parametres!$B$5*C8003</f>
        <v>0</v>
      </c>
      <c r="F8003" s="20" t="n">
        <f aca="false">Parametres!$B$6*D8003</f>
        <v>132.68</v>
      </c>
      <c r="G8003" s="20" t="n">
        <f aca="false">E8003+F8003</f>
        <v>132.68</v>
      </c>
      <c r="H8003" s="20" t="n">
        <f aca="false">IF(G8003&lt;Parametres!$B$8*Parametres!$B$7,0,MIN(G8003,Parametres!$B$7))</f>
        <v>132.68</v>
      </c>
      <c r="I8003" s="20" t="n">
        <f aca="false">G8003-H8003</f>
        <v>0</v>
      </c>
      <c r="J8003" s="21" t="n">
        <f aca="false">H8003*1000/Parametres!$B$9</f>
        <v>2249.95760556215</v>
      </c>
    </row>
    <row r="8004" customFormat="false" ht="15" hidden="false" customHeight="false" outlineLevel="0" collapsed="false">
      <c r="A8004" s="0" t="n">
        <v>8000</v>
      </c>
      <c r="B8004" s="0" t="n">
        <v>11</v>
      </c>
      <c r="C8004" s="19" t="n">
        <v>0.1091</v>
      </c>
      <c r="D8004" s="19" t="n">
        <v>0.6347</v>
      </c>
      <c r="E8004" s="20" t="n">
        <f aca="false">Parametres!$B$5*C8004</f>
        <v>32.73</v>
      </c>
      <c r="F8004" s="20" t="n">
        <f aca="false">Parametres!$B$6*D8004</f>
        <v>126.94</v>
      </c>
      <c r="G8004" s="20" t="n">
        <f aca="false">E8004+F8004</f>
        <v>159.67</v>
      </c>
      <c r="H8004" s="20" t="n">
        <f aca="false">IF(G8004&lt;Parametres!$B$8*Parametres!$B$7,0,MIN(G8004,Parametres!$B$7))</f>
        <v>159.67</v>
      </c>
      <c r="I8004" s="20" t="n">
        <f aca="false">G8004-H8004</f>
        <v>0</v>
      </c>
      <c r="J8004" s="21" t="n">
        <f aca="false">H8004*1000/Parametres!$B$9</f>
        <v>2707.6479565881</v>
      </c>
    </row>
    <row r="8005" customFormat="false" ht="15" hidden="false" customHeight="false" outlineLevel="0" collapsed="false">
      <c r="A8005" s="0" t="n">
        <v>8001</v>
      </c>
      <c r="B8005" s="0" t="n">
        <v>11</v>
      </c>
      <c r="C8005" s="19" t="n">
        <v>0.2733</v>
      </c>
      <c r="D8005" s="19" t="n">
        <v>0.8646</v>
      </c>
      <c r="E8005" s="20" t="n">
        <f aca="false">Parametres!$B$5*C8005</f>
        <v>81.99</v>
      </c>
      <c r="F8005" s="20" t="n">
        <f aca="false">Parametres!$B$6*D8005</f>
        <v>172.92</v>
      </c>
      <c r="G8005" s="20" t="n">
        <f aca="false">E8005+F8005</f>
        <v>254.91</v>
      </c>
      <c r="H8005" s="20" t="n">
        <f aca="false">IF(G8005&lt;Parametres!$B$8*Parametres!$B$7,0,MIN(G8005,Parametres!$B$7))</f>
        <v>250</v>
      </c>
      <c r="I8005" s="20" t="n">
        <f aca="false">G8005-H8005</f>
        <v>4.91000000000003</v>
      </c>
      <c r="J8005" s="21" t="n">
        <f aca="false">H8005*1000/Parametres!$B$9</f>
        <v>4239.44378497541</v>
      </c>
    </row>
    <row r="8006" customFormat="false" ht="15" hidden="false" customHeight="false" outlineLevel="0" collapsed="false">
      <c r="A8006" s="0" t="n">
        <v>8002</v>
      </c>
      <c r="B8006" s="0" t="n">
        <v>11</v>
      </c>
      <c r="C8006" s="19" t="n">
        <v>0.4378</v>
      </c>
      <c r="D8006" s="19" t="n">
        <v>1</v>
      </c>
      <c r="E8006" s="20" t="n">
        <f aca="false">Parametres!$B$5*C8006</f>
        <v>131.34</v>
      </c>
      <c r="F8006" s="20" t="n">
        <f aca="false">Parametres!$B$6*D8006</f>
        <v>200</v>
      </c>
      <c r="G8006" s="20" t="n">
        <f aca="false">E8006+F8006</f>
        <v>331.34</v>
      </c>
      <c r="H8006" s="20" t="n">
        <f aca="false">IF(G8006&lt;Parametres!$B$8*Parametres!$B$7,0,MIN(G8006,Parametres!$B$7))</f>
        <v>250</v>
      </c>
      <c r="I8006" s="20" t="n">
        <f aca="false">G8006-H8006</f>
        <v>81.34</v>
      </c>
      <c r="J8006" s="21" t="n">
        <f aca="false">H8006*1000/Parametres!$B$9</f>
        <v>4239.44378497541</v>
      </c>
    </row>
    <row r="8007" customFormat="false" ht="15" hidden="false" customHeight="false" outlineLevel="0" collapsed="false">
      <c r="A8007" s="0" t="n">
        <v>8003</v>
      </c>
      <c r="B8007" s="0" t="n">
        <v>11</v>
      </c>
      <c r="C8007" s="19" t="n">
        <v>0.5795</v>
      </c>
      <c r="D8007" s="19" t="n">
        <v>0.8639</v>
      </c>
      <c r="E8007" s="20" t="n">
        <f aca="false">Parametres!$B$5*C8007</f>
        <v>173.85</v>
      </c>
      <c r="F8007" s="20" t="n">
        <f aca="false">Parametres!$B$6*D8007</f>
        <v>172.78</v>
      </c>
      <c r="G8007" s="20" t="n">
        <f aca="false">E8007+F8007</f>
        <v>346.63</v>
      </c>
      <c r="H8007" s="20" t="n">
        <f aca="false">IF(G8007&lt;Parametres!$B$8*Parametres!$B$7,0,MIN(G8007,Parametres!$B$7))</f>
        <v>250</v>
      </c>
      <c r="I8007" s="20" t="n">
        <f aca="false">G8007-H8007</f>
        <v>96.63</v>
      </c>
      <c r="J8007" s="21" t="n">
        <f aca="false">H8007*1000/Parametres!$B$9</f>
        <v>4239.44378497541</v>
      </c>
    </row>
    <row r="8008" customFormat="false" ht="15" hidden="false" customHeight="false" outlineLevel="0" collapsed="false">
      <c r="A8008" s="0" t="n">
        <v>8004</v>
      </c>
      <c r="B8008" s="0" t="n">
        <v>11</v>
      </c>
      <c r="C8008" s="19" t="n">
        <v>0.6156</v>
      </c>
      <c r="D8008" s="19" t="n">
        <v>0.6955</v>
      </c>
      <c r="E8008" s="20" t="n">
        <f aca="false">Parametres!$B$5*C8008</f>
        <v>184.68</v>
      </c>
      <c r="F8008" s="20" t="n">
        <f aca="false">Parametres!$B$6*D8008</f>
        <v>139.1</v>
      </c>
      <c r="G8008" s="20" t="n">
        <f aca="false">E8008+F8008</f>
        <v>323.78</v>
      </c>
      <c r="H8008" s="20" t="n">
        <f aca="false">IF(G8008&lt;Parametres!$B$8*Parametres!$B$7,0,MIN(G8008,Parametres!$B$7))</f>
        <v>250</v>
      </c>
      <c r="I8008" s="20" t="n">
        <f aca="false">G8008-H8008</f>
        <v>73.78</v>
      </c>
      <c r="J8008" s="21" t="n">
        <f aca="false">H8008*1000/Parametres!$B$9</f>
        <v>4239.44378497541</v>
      </c>
    </row>
    <row r="8009" customFormat="false" ht="15" hidden="false" customHeight="false" outlineLevel="0" collapsed="false">
      <c r="A8009" s="0" t="n">
        <v>8005</v>
      </c>
      <c r="B8009" s="0" t="n">
        <v>11</v>
      </c>
      <c r="C8009" s="19" t="n">
        <v>0.5976</v>
      </c>
      <c r="D8009" s="19" t="n">
        <v>1</v>
      </c>
      <c r="E8009" s="20" t="n">
        <f aca="false">Parametres!$B$5*C8009</f>
        <v>179.28</v>
      </c>
      <c r="F8009" s="20" t="n">
        <f aca="false">Parametres!$B$6*D8009</f>
        <v>200</v>
      </c>
      <c r="G8009" s="20" t="n">
        <f aca="false">E8009+F8009</f>
        <v>379.28</v>
      </c>
      <c r="H8009" s="20" t="n">
        <f aca="false">IF(G8009&lt;Parametres!$B$8*Parametres!$B$7,0,MIN(G8009,Parametres!$B$7))</f>
        <v>250</v>
      </c>
      <c r="I8009" s="20" t="n">
        <f aca="false">G8009-H8009</f>
        <v>129.28</v>
      </c>
      <c r="J8009" s="21" t="n">
        <f aca="false">H8009*1000/Parametres!$B$9</f>
        <v>4239.44378497541</v>
      </c>
    </row>
    <row r="8010" customFormat="false" ht="15" hidden="false" customHeight="false" outlineLevel="0" collapsed="false">
      <c r="A8010" s="0" t="n">
        <v>8006</v>
      </c>
      <c r="B8010" s="0" t="n">
        <v>11</v>
      </c>
      <c r="C8010" s="19" t="n">
        <v>0.5405</v>
      </c>
      <c r="D8010" s="19" t="n">
        <v>0.8821</v>
      </c>
      <c r="E8010" s="20" t="n">
        <f aca="false">Parametres!$B$5*C8010</f>
        <v>162.15</v>
      </c>
      <c r="F8010" s="20" t="n">
        <f aca="false">Parametres!$B$6*D8010</f>
        <v>176.42</v>
      </c>
      <c r="G8010" s="20" t="n">
        <f aca="false">E8010+F8010</f>
        <v>338.57</v>
      </c>
      <c r="H8010" s="20" t="n">
        <f aca="false">IF(G8010&lt;Parametres!$B$8*Parametres!$B$7,0,MIN(G8010,Parametres!$B$7))</f>
        <v>250</v>
      </c>
      <c r="I8010" s="20" t="n">
        <f aca="false">G8010-H8010</f>
        <v>88.57</v>
      </c>
      <c r="J8010" s="21" t="n">
        <f aca="false">H8010*1000/Parametres!$B$9</f>
        <v>4239.44378497541</v>
      </c>
    </row>
    <row r="8011" customFormat="false" ht="15" hidden="false" customHeight="false" outlineLevel="0" collapsed="false">
      <c r="A8011" s="0" t="n">
        <v>8007</v>
      </c>
      <c r="B8011" s="0" t="n">
        <v>11</v>
      </c>
      <c r="C8011" s="19" t="n">
        <v>0.4468</v>
      </c>
      <c r="D8011" s="19" t="n">
        <v>0.925</v>
      </c>
      <c r="E8011" s="20" t="n">
        <f aca="false">Parametres!$B$5*C8011</f>
        <v>134.04</v>
      </c>
      <c r="F8011" s="20" t="n">
        <f aca="false">Parametres!$B$6*D8011</f>
        <v>185</v>
      </c>
      <c r="G8011" s="20" t="n">
        <f aca="false">E8011+F8011</f>
        <v>319.04</v>
      </c>
      <c r="H8011" s="20" t="n">
        <f aca="false">IF(G8011&lt;Parametres!$B$8*Parametres!$B$7,0,MIN(G8011,Parametres!$B$7))</f>
        <v>250</v>
      </c>
      <c r="I8011" s="20" t="n">
        <f aca="false">G8011-H8011</f>
        <v>69.04</v>
      </c>
      <c r="J8011" s="21" t="n">
        <f aca="false">H8011*1000/Parametres!$B$9</f>
        <v>4239.44378497541</v>
      </c>
    </row>
    <row r="8012" customFormat="false" ht="15" hidden="false" customHeight="false" outlineLevel="0" collapsed="false">
      <c r="A8012" s="0" t="n">
        <v>8008</v>
      </c>
      <c r="B8012" s="0" t="n">
        <v>11</v>
      </c>
      <c r="C8012" s="19" t="n">
        <v>0.2889</v>
      </c>
      <c r="D8012" s="19" t="n">
        <v>1</v>
      </c>
      <c r="E8012" s="20" t="n">
        <f aca="false">Parametres!$B$5*C8012</f>
        <v>86.67</v>
      </c>
      <c r="F8012" s="20" t="n">
        <f aca="false">Parametres!$B$6*D8012</f>
        <v>200</v>
      </c>
      <c r="G8012" s="20" t="n">
        <f aca="false">E8012+F8012</f>
        <v>286.67</v>
      </c>
      <c r="H8012" s="20" t="n">
        <f aca="false">IF(G8012&lt;Parametres!$B$8*Parametres!$B$7,0,MIN(G8012,Parametres!$B$7))</f>
        <v>250</v>
      </c>
      <c r="I8012" s="20" t="n">
        <f aca="false">G8012-H8012</f>
        <v>36.67</v>
      </c>
      <c r="J8012" s="21" t="n">
        <f aca="false">H8012*1000/Parametres!$B$9</f>
        <v>4239.44378497541</v>
      </c>
    </row>
    <row r="8013" customFormat="false" ht="15" hidden="false" customHeight="false" outlineLevel="0" collapsed="false">
      <c r="A8013" s="0" t="n">
        <v>8009</v>
      </c>
      <c r="B8013" s="0" t="n">
        <v>11</v>
      </c>
      <c r="C8013" s="19" t="n">
        <v>0.1033</v>
      </c>
      <c r="D8013" s="19" t="n">
        <v>1</v>
      </c>
      <c r="E8013" s="20" t="n">
        <f aca="false">Parametres!$B$5*C8013</f>
        <v>30.99</v>
      </c>
      <c r="F8013" s="20" t="n">
        <f aca="false">Parametres!$B$6*D8013</f>
        <v>200</v>
      </c>
      <c r="G8013" s="20" t="n">
        <f aca="false">E8013+F8013</f>
        <v>230.99</v>
      </c>
      <c r="H8013" s="20" t="n">
        <f aca="false">IF(G8013&lt;Parametres!$B$8*Parametres!$B$7,0,MIN(G8013,Parametres!$B$7))</f>
        <v>230.99</v>
      </c>
      <c r="I8013" s="20" t="n">
        <f aca="false">G8013-H8013</f>
        <v>0</v>
      </c>
      <c r="J8013" s="21" t="n">
        <f aca="false">H8013*1000/Parametres!$B$9</f>
        <v>3917.07647956588</v>
      </c>
    </row>
    <row r="8014" customFormat="false" ht="15" hidden="false" customHeight="false" outlineLevel="0" collapsed="false">
      <c r="A8014" s="0" t="n">
        <v>8010</v>
      </c>
      <c r="B8014" s="0" t="n">
        <v>11</v>
      </c>
      <c r="C8014" s="19" t="n">
        <v>0</v>
      </c>
      <c r="D8014" s="19" t="n">
        <v>1</v>
      </c>
      <c r="E8014" s="20" t="n">
        <f aca="false">Parametres!$B$5*C8014</f>
        <v>0</v>
      </c>
      <c r="F8014" s="20" t="n">
        <f aca="false">Parametres!$B$6*D8014</f>
        <v>200</v>
      </c>
      <c r="G8014" s="20" t="n">
        <f aca="false">E8014+F8014</f>
        <v>200</v>
      </c>
      <c r="H8014" s="20" t="n">
        <f aca="false">IF(G8014&lt;Parametres!$B$8*Parametres!$B$7,0,MIN(G8014,Parametres!$B$7))</f>
        <v>200</v>
      </c>
      <c r="I8014" s="20" t="n">
        <f aca="false">G8014-H8014</f>
        <v>0</v>
      </c>
      <c r="J8014" s="21" t="n">
        <f aca="false">H8014*1000/Parametres!$B$9</f>
        <v>3391.55502798033</v>
      </c>
    </row>
    <row r="8015" customFormat="false" ht="15" hidden="false" customHeight="false" outlineLevel="0" collapsed="false">
      <c r="A8015" s="0" t="n">
        <v>8011</v>
      </c>
      <c r="B8015" s="0" t="n">
        <v>11</v>
      </c>
      <c r="C8015" s="19" t="n">
        <v>0</v>
      </c>
      <c r="D8015" s="19" t="n">
        <v>0.8122</v>
      </c>
      <c r="E8015" s="20" t="n">
        <f aca="false">Parametres!$B$5*C8015</f>
        <v>0</v>
      </c>
      <c r="F8015" s="20" t="n">
        <f aca="false">Parametres!$B$6*D8015</f>
        <v>162.44</v>
      </c>
      <c r="G8015" s="20" t="n">
        <f aca="false">E8015+F8015</f>
        <v>162.44</v>
      </c>
      <c r="H8015" s="20" t="n">
        <f aca="false">IF(G8015&lt;Parametres!$B$8*Parametres!$B$7,0,MIN(G8015,Parametres!$B$7))</f>
        <v>162.44</v>
      </c>
      <c r="I8015" s="20" t="n">
        <f aca="false">G8015-H8015</f>
        <v>0</v>
      </c>
      <c r="J8015" s="21" t="n">
        <f aca="false">H8015*1000/Parametres!$B$9</f>
        <v>2754.62099372562</v>
      </c>
    </row>
    <row r="8016" customFormat="false" ht="15" hidden="false" customHeight="false" outlineLevel="0" collapsed="false">
      <c r="A8016" s="0" t="n">
        <v>8012</v>
      </c>
      <c r="B8016" s="0" t="n">
        <v>11</v>
      </c>
      <c r="C8016" s="19" t="n">
        <v>0</v>
      </c>
      <c r="D8016" s="19" t="n">
        <v>0.7459</v>
      </c>
      <c r="E8016" s="20" t="n">
        <f aca="false">Parametres!$B$5*C8016</f>
        <v>0</v>
      </c>
      <c r="F8016" s="20" t="n">
        <f aca="false">Parametres!$B$6*D8016</f>
        <v>149.18</v>
      </c>
      <c r="G8016" s="20" t="n">
        <f aca="false">E8016+F8016</f>
        <v>149.18</v>
      </c>
      <c r="H8016" s="20" t="n">
        <f aca="false">IF(G8016&lt;Parametres!$B$8*Parametres!$B$7,0,MIN(G8016,Parametres!$B$7))</f>
        <v>149.18</v>
      </c>
      <c r="I8016" s="20" t="n">
        <f aca="false">G8016-H8016</f>
        <v>0</v>
      </c>
      <c r="J8016" s="21" t="n">
        <f aca="false">H8016*1000/Parametres!$B$9</f>
        <v>2529.76089537053</v>
      </c>
    </row>
    <row r="8017" customFormat="false" ht="15" hidden="false" customHeight="false" outlineLevel="0" collapsed="false">
      <c r="A8017" s="0" t="n">
        <v>8013</v>
      </c>
      <c r="B8017" s="0" t="n">
        <v>11</v>
      </c>
      <c r="C8017" s="19" t="n">
        <v>0</v>
      </c>
      <c r="D8017" s="19" t="n">
        <v>0.8274</v>
      </c>
      <c r="E8017" s="20" t="n">
        <f aca="false">Parametres!$B$5*C8017</f>
        <v>0</v>
      </c>
      <c r="F8017" s="20" t="n">
        <f aca="false">Parametres!$B$6*D8017</f>
        <v>165.48</v>
      </c>
      <c r="G8017" s="20" t="n">
        <f aca="false">E8017+F8017</f>
        <v>165.48</v>
      </c>
      <c r="H8017" s="20" t="n">
        <f aca="false">IF(G8017&lt;Parametres!$B$8*Parametres!$B$7,0,MIN(G8017,Parametres!$B$7))</f>
        <v>165.48</v>
      </c>
      <c r="I8017" s="20" t="n">
        <f aca="false">G8017-H8017</f>
        <v>0</v>
      </c>
      <c r="J8017" s="21" t="n">
        <f aca="false">H8017*1000/Parametres!$B$9</f>
        <v>2806.17263015092</v>
      </c>
    </row>
    <row r="8018" customFormat="false" ht="15" hidden="false" customHeight="false" outlineLevel="0" collapsed="false">
      <c r="A8018" s="0" t="n">
        <v>8014</v>
      </c>
      <c r="B8018" s="0" t="n">
        <v>11</v>
      </c>
      <c r="C8018" s="19" t="n">
        <v>0</v>
      </c>
      <c r="D8018" s="19" t="n">
        <v>0.6557</v>
      </c>
      <c r="E8018" s="20" t="n">
        <f aca="false">Parametres!$B$5*C8018</f>
        <v>0</v>
      </c>
      <c r="F8018" s="20" t="n">
        <f aca="false">Parametres!$B$6*D8018</f>
        <v>131.14</v>
      </c>
      <c r="G8018" s="20" t="n">
        <f aca="false">E8018+F8018</f>
        <v>131.14</v>
      </c>
      <c r="H8018" s="20" t="n">
        <f aca="false">IF(G8018&lt;Parametres!$B$8*Parametres!$B$7,0,MIN(G8018,Parametres!$B$7))</f>
        <v>131.14</v>
      </c>
      <c r="I8018" s="20" t="n">
        <f aca="false">G8018-H8018</f>
        <v>0</v>
      </c>
      <c r="J8018" s="21" t="n">
        <f aca="false">H8018*1000/Parametres!$B$9</f>
        <v>2223.8426318467</v>
      </c>
    </row>
    <row r="8019" customFormat="false" ht="15" hidden="false" customHeight="false" outlineLevel="0" collapsed="false">
      <c r="A8019" s="0" t="n">
        <v>8015</v>
      </c>
      <c r="B8019" s="0" t="n">
        <v>11</v>
      </c>
      <c r="C8019" s="19" t="n">
        <v>0</v>
      </c>
      <c r="D8019" s="19" t="n">
        <v>0.303</v>
      </c>
      <c r="E8019" s="20" t="n">
        <f aca="false">Parametres!$B$5*C8019</f>
        <v>0</v>
      </c>
      <c r="F8019" s="20" t="n">
        <f aca="false">Parametres!$B$6*D8019</f>
        <v>60.6</v>
      </c>
      <c r="G8019" s="20" t="n">
        <f aca="false">E8019+F8019</f>
        <v>60.6</v>
      </c>
      <c r="H8019" s="20" t="n">
        <f aca="false">IF(G8019&lt;Parametres!$B$8*Parametres!$B$7,0,MIN(G8019,Parametres!$B$7))</f>
        <v>60.6</v>
      </c>
      <c r="I8019" s="20" t="n">
        <f aca="false">G8019-H8019</f>
        <v>0</v>
      </c>
      <c r="J8019" s="21" t="n">
        <f aca="false">H8019*1000/Parametres!$B$9</f>
        <v>1027.64117347804</v>
      </c>
    </row>
    <row r="8020" customFormat="false" ht="15" hidden="false" customHeight="false" outlineLevel="0" collapsed="false">
      <c r="A8020" s="0" t="n">
        <v>8016</v>
      </c>
      <c r="B8020" s="0" t="n">
        <v>11</v>
      </c>
      <c r="C8020" s="19" t="n">
        <v>0</v>
      </c>
      <c r="D8020" s="19" t="n">
        <v>0.2075</v>
      </c>
      <c r="E8020" s="20" t="n">
        <f aca="false">Parametres!$B$5*C8020</f>
        <v>0</v>
      </c>
      <c r="F8020" s="20" t="n">
        <f aca="false">Parametres!$B$6*D8020</f>
        <v>41.5</v>
      </c>
      <c r="G8020" s="20" t="n">
        <f aca="false">E8020+F8020</f>
        <v>41.5</v>
      </c>
      <c r="H8020" s="20" t="n">
        <f aca="false">IF(G8020&lt;Parametres!$B$8*Parametres!$B$7,0,MIN(G8020,Parametres!$B$7))</f>
        <v>41.5</v>
      </c>
      <c r="I8020" s="20" t="n">
        <f aca="false">G8020-H8020</f>
        <v>0</v>
      </c>
      <c r="J8020" s="21" t="n">
        <f aca="false">H8020*1000/Parametres!$B$9</f>
        <v>703.747668305918</v>
      </c>
    </row>
    <row r="8021" customFormat="false" ht="15" hidden="false" customHeight="false" outlineLevel="0" collapsed="false">
      <c r="A8021" s="0" t="n">
        <v>8017</v>
      </c>
      <c r="B8021" s="0" t="n">
        <v>12</v>
      </c>
      <c r="C8021" s="19" t="n">
        <v>0</v>
      </c>
      <c r="D8021" s="19" t="n">
        <v>0.2481</v>
      </c>
      <c r="E8021" s="20" t="n">
        <f aca="false">Parametres!$B$5*C8021</f>
        <v>0</v>
      </c>
      <c r="F8021" s="20" t="n">
        <f aca="false">Parametres!$B$6*D8021</f>
        <v>49.62</v>
      </c>
      <c r="G8021" s="20" t="n">
        <f aca="false">E8021+F8021</f>
        <v>49.62</v>
      </c>
      <c r="H8021" s="20" t="n">
        <f aca="false">IF(G8021&lt;Parametres!$B$8*Parametres!$B$7,0,MIN(G8021,Parametres!$B$7))</f>
        <v>49.62</v>
      </c>
      <c r="I8021" s="20" t="n">
        <f aca="false">G8021-H8021</f>
        <v>0</v>
      </c>
      <c r="J8021" s="21" t="n">
        <f aca="false">H8021*1000/Parametres!$B$9</f>
        <v>841.44480244192</v>
      </c>
    </row>
    <row r="8022" customFormat="false" ht="15" hidden="false" customHeight="false" outlineLevel="0" collapsed="false">
      <c r="A8022" s="0" t="n">
        <v>8018</v>
      </c>
      <c r="B8022" s="0" t="n">
        <v>12</v>
      </c>
      <c r="C8022" s="19" t="n">
        <v>0</v>
      </c>
      <c r="D8022" s="19" t="n">
        <v>0.283</v>
      </c>
      <c r="E8022" s="20" t="n">
        <f aca="false">Parametres!$B$5*C8022</f>
        <v>0</v>
      </c>
      <c r="F8022" s="20" t="n">
        <f aca="false">Parametres!$B$6*D8022</f>
        <v>56.6</v>
      </c>
      <c r="G8022" s="20" t="n">
        <f aca="false">E8022+F8022</f>
        <v>56.6</v>
      </c>
      <c r="H8022" s="20" t="n">
        <f aca="false">IF(G8022&lt;Parametres!$B$8*Parametres!$B$7,0,MIN(G8022,Parametres!$B$7))</f>
        <v>56.6</v>
      </c>
      <c r="I8022" s="20" t="n">
        <f aca="false">G8022-H8022</f>
        <v>0</v>
      </c>
      <c r="J8022" s="21" t="n">
        <f aca="false">H8022*1000/Parametres!$B$9</f>
        <v>959.810072918433</v>
      </c>
    </row>
    <row r="8023" customFormat="false" ht="15" hidden="false" customHeight="false" outlineLevel="0" collapsed="false">
      <c r="A8023" s="0" t="n">
        <v>8019</v>
      </c>
      <c r="B8023" s="0" t="n">
        <v>12</v>
      </c>
      <c r="C8023" s="19" t="n">
        <v>0</v>
      </c>
      <c r="D8023" s="19" t="n">
        <v>0.201</v>
      </c>
      <c r="E8023" s="20" t="n">
        <f aca="false">Parametres!$B$5*C8023</f>
        <v>0</v>
      </c>
      <c r="F8023" s="20" t="n">
        <f aca="false">Parametres!$B$6*D8023</f>
        <v>40.2</v>
      </c>
      <c r="G8023" s="20" t="n">
        <f aca="false">E8023+F8023</f>
        <v>40.2</v>
      </c>
      <c r="H8023" s="20" t="n">
        <f aca="false">IF(G8023&lt;Parametres!$B$8*Parametres!$B$7,0,MIN(G8023,Parametres!$B$7))</f>
        <v>40.2</v>
      </c>
      <c r="I8023" s="20" t="n">
        <f aca="false">G8023-H8023</f>
        <v>0</v>
      </c>
      <c r="J8023" s="21" t="n">
        <f aca="false">H8023*1000/Parametres!$B$9</f>
        <v>681.702560624046</v>
      </c>
    </row>
    <row r="8024" customFormat="false" ht="15" hidden="false" customHeight="false" outlineLevel="0" collapsed="false">
      <c r="A8024" s="0" t="n">
        <v>8020</v>
      </c>
      <c r="B8024" s="0" t="n">
        <v>12</v>
      </c>
      <c r="C8024" s="19" t="n">
        <v>0</v>
      </c>
      <c r="D8024" s="19" t="n">
        <v>0.2072</v>
      </c>
      <c r="E8024" s="20" t="n">
        <f aca="false">Parametres!$B$5*C8024</f>
        <v>0</v>
      </c>
      <c r="F8024" s="20" t="n">
        <f aca="false">Parametres!$B$6*D8024</f>
        <v>41.44</v>
      </c>
      <c r="G8024" s="20" t="n">
        <f aca="false">E8024+F8024</f>
        <v>41.44</v>
      </c>
      <c r="H8024" s="20" t="n">
        <f aca="false">IF(G8024&lt;Parametres!$B$8*Parametres!$B$7,0,MIN(G8024,Parametres!$B$7))</f>
        <v>41.44</v>
      </c>
      <c r="I8024" s="20" t="n">
        <f aca="false">G8024-H8024</f>
        <v>0</v>
      </c>
      <c r="J8024" s="21" t="n">
        <f aca="false">H8024*1000/Parametres!$B$9</f>
        <v>702.730201797524</v>
      </c>
    </row>
    <row r="8025" customFormat="false" ht="15" hidden="false" customHeight="false" outlineLevel="0" collapsed="false">
      <c r="A8025" s="0" t="n">
        <v>8021</v>
      </c>
      <c r="B8025" s="0" t="n">
        <v>12</v>
      </c>
      <c r="C8025" s="19" t="n">
        <v>0</v>
      </c>
      <c r="D8025" s="19" t="n">
        <v>0.1711</v>
      </c>
      <c r="E8025" s="20" t="n">
        <f aca="false">Parametres!$B$5*C8025</f>
        <v>0</v>
      </c>
      <c r="F8025" s="20" t="n">
        <f aca="false">Parametres!$B$6*D8025</f>
        <v>34.22</v>
      </c>
      <c r="G8025" s="20" t="n">
        <f aca="false">E8025+F8025</f>
        <v>34.22</v>
      </c>
      <c r="H8025" s="20" t="n">
        <f aca="false">IF(G8025&lt;Parametres!$B$8*Parametres!$B$7,0,MIN(G8025,Parametres!$B$7))</f>
        <v>34.22</v>
      </c>
      <c r="I8025" s="20" t="n">
        <f aca="false">G8025-H8025</f>
        <v>0</v>
      </c>
      <c r="J8025" s="21" t="n">
        <f aca="false">H8025*1000/Parametres!$B$9</f>
        <v>580.295065287434</v>
      </c>
    </row>
    <row r="8026" customFormat="false" ht="15" hidden="false" customHeight="false" outlineLevel="0" collapsed="false">
      <c r="A8026" s="0" t="n">
        <v>8022</v>
      </c>
      <c r="B8026" s="0" t="n">
        <v>12</v>
      </c>
      <c r="C8026" s="19" t="n">
        <v>0</v>
      </c>
      <c r="D8026" s="19" t="n">
        <v>0.2024</v>
      </c>
      <c r="E8026" s="20" t="n">
        <f aca="false">Parametres!$B$5*C8026</f>
        <v>0</v>
      </c>
      <c r="F8026" s="20" t="n">
        <f aca="false">Parametres!$B$6*D8026</f>
        <v>40.48</v>
      </c>
      <c r="G8026" s="20" t="n">
        <f aca="false">E8026+F8026</f>
        <v>40.48</v>
      </c>
      <c r="H8026" s="20" t="n">
        <f aca="false">IF(G8026&lt;Parametres!$B$8*Parametres!$B$7,0,MIN(G8026,Parametres!$B$7))</f>
        <v>40.48</v>
      </c>
      <c r="I8026" s="20" t="n">
        <f aca="false">G8026-H8026</f>
        <v>0</v>
      </c>
      <c r="J8026" s="21" t="n">
        <f aca="false">H8026*1000/Parametres!$B$9</f>
        <v>686.450737663219</v>
      </c>
    </row>
    <row r="8027" customFormat="false" ht="15" hidden="false" customHeight="false" outlineLevel="0" collapsed="false">
      <c r="A8027" s="0" t="n">
        <v>8023</v>
      </c>
      <c r="B8027" s="0" t="n">
        <v>12</v>
      </c>
      <c r="C8027" s="19" t="n">
        <v>0</v>
      </c>
      <c r="D8027" s="19" t="n">
        <v>0.1522</v>
      </c>
      <c r="E8027" s="20" t="n">
        <f aca="false">Parametres!$B$5*C8027</f>
        <v>0</v>
      </c>
      <c r="F8027" s="20" t="n">
        <f aca="false">Parametres!$B$6*D8027</f>
        <v>30.44</v>
      </c>
      <c r="G8027" s="20" t="n">
        <f aca="false">E8027+F8027</f>
        <v>30.44</v>
      </c>
      <c r="H8027" s="20" t="n">
        <f aca="false">IF(G8027&lt;Parametres!$B$8*Parametres!$B$7,0,MIN(G8027,Parametres!$B$7))</f>
        <v>30.44</v>
      </c>
      <c r="I8027" s="20" t="n">
        <f aca="false">G8027-H8027</f>
        <v>0</v>
      </c>
      <c r="J8027" s="21" t="n">
        <f aca="false">H8027*1000/Parametres!$B$9</f>
        <v>516.194675258606</v>
      </c>
    </row>
    <row r="8028" customFormat="false" ht="15" hidden="false" customHeight="false" outlineLevel="0" collapsed="false">
      <c r="A8028" s="0" t="n">
        <v>8024</v>
      </c>
      <c r="B8028" s="0" t="n">
        <v>12</v>
      </c>
      <c r="C8028" s="19" t="n">
        <v>0.1309</v>
      </c>
      <c r="D8028" s="19" t="n">
        <v>0.1719</v>
      </c>
      <c r="E8028" s="20" t="n">
        <f aca="false">Parametres!$B$5*C8028</f>
        <v>39.27</v>
      </c>
      <c r="F8028" s="20" t="n">
        <f aca="false">Parametres!$B$6*D8028</f>
        <v>34.38</v>
      </c>
      <c r="G8028" s="20" t="n">
        <f aca="false">E8028+F8028</f>
        <v>73.65</v>
      </c>
      <c r="H8028" s="20" t="n">
        <f aca="false">IF(G8028&lt;Parametres!$B$8*Parametres!$B$7,0,MIN(G8028,Parametres!$B$7))</f>
        <v>73.65</v>
      </c>
      <c r="I8028" s="20" t="n">
        <f aca="false">G8028-H8028</f>
        <v>0</v>
      </c>
      <c r="J8028" s="21" t="n">
        <f aca="false">H8028*1000/Parametres!$B$9</f>
        <v>1248.94013905376</v>
      </c>
    </row>
    <row r="8029" customFormat="false" ht="15" hidden="false" customHeight="false" outlineLevel="0" collapsed="false">
      <c r="A8029" s="0" t="n">
        <v>8025</v>
      </c>
      <c r="B8029" s="0" t="n">
        <v>12</v>
      </c>
      <c r="C8029" s="19" t="n">
        <v>0.3967</v>
      </c>
      <c r="D8029" s="19" t="n">
        <v>0.1397</v>
      </c>
      <c r="E8029" s="20" t="n">
        <f aca="false">Parametres!$B$5*C8029</f>
        <v>119.01</v>
      </c>
      <c r="F8029" s="20" t="n">
        <f aca="false">Parametres!$B$6*D8029</f>
        <v>27.94</v>
      </c>
      <c r="G8029" s="20" t="n">
        <f aca="false">E8029+F8029</f>
        <v>146.95</v>
      </c>
      <c r="H8029" s="20" t="n">
        <f aca="false">IF(G8029&lt;Parametres!$B$8*Parametres!$B$7,0,MIN(G8029,Parametres!$B$7))</f>
        <v>146.95</v>
      </c>
      <c r="I8029" s="20" t="n">
        <f aca="false">G8029-H8029</f>
        <v>0</v>
      </c>
      <c r="J8029" s="21" t="n">
        <f aca="false">H8029*1000/Parametres!$B$9</f>
        <v>2491.94505680855</v>
      </c>
    </row>
    <row r="8030" customFormat="false" ht="15" hidden="false" customHeight="false" outlineLevel="0" collapsed="false">
      <c r="A8030" s="0" t="n">
        <v>8026</v>
      </c>
      <c r="B8030" s="0" t="n">
        <v>12</v>
      </c>
      <c r="C8030" s="19" t="n">
        <v>0.5415</v>
      </c>
      <c r="D8030" s="19" t="n">
        <v>0.2641</v>
      </c>
      <c r="E8030" s="20" t="n">
        <f aca="false">Parametres!$B$5*C8030</f>
        <v>162.45</v>
      </c>
      <c r="F8030" s="20" t="n">
        <f aca="false">Parametres!$B$6*D8030</f>
        <v>52.82</v>
      </c>
      <c r="G8030" s="20" t="n">
        <f aca="false">E8030+F8030</f>
        <v>215.27</v>
      </c>
      <c r="H8030" s="20" t="n">
        <f aca="false">IF(G8030&lt;Parametres!$B$8*Parametres!$B$7,0,MIN(G8030,Parametres!$B$7))</f>
        <v>215.27</v>
      </c>
      <c r="I8030" s="20" t="n">
        <f aca="false">G8030-H8030</f>
        <v>0</v>
      </c>
      <c r="J8030" s="21" t="n">
        <f aca="false">H8030*1000/Parametres!$B$9</f>
        <v>3650.50025436663</v>
      </c>
    </row>
    <row r="8031" customFormat="false" ht="15" hidden="false" customHeight="false" outlineLevel="0" collapsed="false">
      <c r="A8031" s="0" t="n">
        <v>8027</v>
      </c>
      <c r="B8031" s="0" t="n">
        <v>12</v>
      </c>
      <c r="C8031" s="19" t="n">
        <v>0.7394</v>
      </c>
      <c r="D8031" s="19" t="n">
        <v>0.2517</v>
      </c>
      <c r="E8031" s="20" t="n">
        <f aca="false">Parametres!$B$5*C8031</f>
        <v>221.82</v>
      </c>
      <c r="F8031" s="20" t="n">
        <f aca="false">Parametres!$B$6*D8031</f>
        <v>50.34</v>
      </c>
      <c r="G8031" s="20" t="n">
        <f aca="false">E8031+F8031</f>
        <v>272.16</v>
      </c>
      <c r="H8031" s="20" t="n">
        <f aca="false">IF(G8031&lt;Parametres!$B$8*Parametres!$B$7,0,MIN(G8031,Parametres!$B$7))</f>
        <v>250</v>
      </c>
      <c r="I8031" s="20" t="n">
        <f aca="false">G8031-H8031</f>
        <v>22.16</v>
      </c>
      <c r="J8031" s="21" t="n">
        <f aca="false">H8031*1000/Parametres!$B$9</f>
        <v>4239.44378497541</v>
      </c>
    </row>
    <row r="8032" customFormat="false" ht="15" hidden="false" customHeight="false" outlineLevel="0" collapsed="false">
      <c r="A8032" s="0" t="n">
        <v>8028</v>
      </c>
      <c r="B8032" s="0" t="n">
        <v>12</v>
      </c>
      <c r="C8032" s="19" t="n">
        <v>0.829</v>
      </c>
      <c r="D8032" s="19" t="n">
        <v>0.3004</v>
      </c>
      <c r="E8032" s="20" t="n">
        <f aca="false">Parametres!$B$5*C8032</f>
        <v>248.7</v>
      </c>
      <c r="F8032" s="20" t="n">
        <f aca="false">Parametres!$B$6*D8032</f>
        <v>60.08</v>
      </c>
      <c r="G8032" s="20" t="n">
        <f aca="false">E8032+F8032</f>
        <v>308.78</v>
      </c>
      <c r="H8032" s="20" t="n">
        <f aca="false">IF(G8032&lt;Parametres!$B$8*Parametres!$B$7,0,MIN(G8032,Parametres!$B$7))</f>
        <v>250</v>
      </c>
      <c r="I8032" s="20" t="n">
        <f aca="false">G8032-H8032</f>
        <v>58.78</v>
      </c>
      <c r="J8032" s="21" t="n">
        <f aca="false">H8032*1000/Parametres!$B$9</f>
        <v>4239.44378497541</v>
      </c>
    </row>
    <row r="8033" customFormat="false" ht="15" hidden="false" customHeight="false" outlineLevel="0" collapsed="false">
      <c r="A8033" s="0" t="n">
        <v>8029</v>
      </c>
      <c r="B8033" s="0" t="n">
        <v>12</v>
      </c>
      <c r="C8033" s="19" t="n">
        <v>0.7721</v>
      </c>
      <c r="D8033" s="19" t="n">
        <v>0.2422</v>
      </c>
      <c r="E8033" s="20" t="n">
        <f aca="false">Parametres!$B$5*C8033</f>
        <v>231.63</v>
      </c>
      <c r="F8033" s="20" t="n">
        <f aca="false">Parametres!$B$6*D8033</f>
        <v>48.44</v>
      </c>
      <c r="G8033" s="20" t="n">
        <f aca="false">E8033+F8033</f>
        <v>280.07</v>
      </c>
      <c r="H8033" s="20" t="n">
        <f aca="false">IF(G8033&lt;Parametres!$B$8*Parametres!$B$7,0,MIN(G8033,Parametres!$B$7))</f>
        <v>250</v>
      </c>
      <c r="I8033" s="20" t="n">
        <f aca="false">G8033-H8033</f>
        <v>30.07</v>
      </c>
      <c r="J8033" s="21" t="n">
        <f aca="false">H8033*1000/Parametres!$B$9</f>
        <v>4239.44378497541</v>
      </c>
    </row>
    <row r="8034" customFormat="false" ht="15" hidden="false" customHeight="false" outlineLevel="0" collapsed="false">
      <c r="A8034" s="0" t="n">
        <v>8030</v>
      </c>
      <c r="B8034" s="0" t="n">
        <v>12</v>
      </c>
      <c r="C8034" s="19" t="n">
        <v>0.7653</v>
      </c>
      <c r="D8034" s="19" t="n">
        <v>0.1064</v>
      </c>
      <c r="E8034" s="20" t="n">
        <f aca="false">Parametres!$B$5*C8034</f>
        <v>229.59</v>
      </c>
      <c r="F8034" s="20" t="n">
        <f aca="false">Parametres!$B$6*D8034</f>
        <v>21.28</v>
      </c>
      <c r="G8034" s="20" t="n">
        <f aca="false">E8034+F8034</f>
        <v>250.87</v>
      </c>
      <c r="H8034" s="20" t="n">
        <f aca="false">IF(G8034&lt;Parametres!$B$8*Parametres!$B$7,0,MIN(G8034,Parametres!$B$7))</f>
        <v>250</v>
      </c>
      <c r="I8034" s="20" t="n">
        <f aca="false">G8034-H8034</f>
        <v>0.870000000000005</v>
      </c>
      <c r="J8034" s="21" t="n">
        <f aca="false">H8034*1000/Parametres!$B$9</f>
        <v>4239.44378497541</v>
      </c>
    </row>
    <row r="8035" customFormat="false" ht="15" hidden="false" customHeight="false" outlineLevel="0" collapsed="false">
      <c r="A8035" s="0" t="n">
        <v>8031</v>
      </c>
      <c r="B8035" s="0" t="n">
        <v>12</v>
      </c>
      <c r="C8035" s="19" t="n">
        <v>0.5425</v>
      </c>
      <c r="D8035" s="19" t="n">
        <v>0.1049</v>
      </c>
      <c r="E8035" s="20" t="n">
        <f aca="false">Parametres!$B$5*C8035</f>
        <v>162.75</v>
      </c>
      <c r="F8035" s="20" t="n">
        <f aca="false">Parametres!$B$6*D8035</f>
        <v>20.98</v>
      </c>
      <c r="G8035" s="20" t="n">
        <f aca="false">E8035+F8035</f>
        <v>183.73</v>
      </c>
      <c r="H8035" s="20" t="n">
        <f aca="false">IF(G8035&lt;Parametres!$B$8*Parametres!$B$7,0,MIN(G8035,Parametres!$B$7))</f>
        <v>183.73</v>
      </c>
      <c r="I8035" s="20" t="n">
        <f aca="false">G8035-H8035</f>
        <v>0</v>
      </c>
      <c r="J8035" s="21" t="n">
        <f aca="false">H8035*1000/Parametres!$B$9</f>
        <v>3115.65202645413</v>
      </c>
    </row>
    <row r="8036" customFormat="false" ht="15" hidden="false" customHeight="false" outlineLevel="0" collapsed="false">
      <c r="A8036" s="0" t="n">
        <v>8032</v>
      </c>
      <c r="B8036" s="0" t="n">
        <v>12</v>
      </c>
      <c r="C8036" s="19" t="n">
        <v>0.3454</v>
      </c>
      <c r="D8036" s="19" t="n">
        <v>0.0547</v>
      </c>
      <c r="E8036" s="20" t="n">
        <f aca="false">Parametres!$B$5*C8036</f>
        <v>103.62</v>
      </c>
      <c r="F8036" s="20" t="n">
        <f aca="false">Parametres!$B$6*D8036</f>
        <v>10.94</v>
      </c>
      <c r="G8036" s="20" t="n">
        <f aca="false">E8036+F8036</f>
        <v>114.56</v>
      </c>
      <c r="H8036" s="20" t="n">
        <f aca="false">IF(G8036&lt;Parametres!$B$8*Parametres!$B$7,0,MIN(G8036,Parametres!$B$7))</f>
        <v>114.56</v>
      </c>
      <c r="I8036" s="20" t="n">
        <f aca="false">G8036-H8036</f>
        <v>0</v>
      </c>
      <c r="J8036" s="21" t="n">
        <f aca="false">H8036*1000/Parametres!$B$9</f>
        <v>1942.68272002713</v>
      </c>
    </row>
    <row r="8037" customFormat="false" ht="15" hidden="false" customHeight="false" outlineLevel="0" collapsed="false">
      <c r="A8037" s="0" t="n">
        <v>8033</v>
      </c>
      <c r="B8037" s="0" t="n">
        <v>12</v>
      </c>
      <c r="C8037" s="19" t="n">
        <v>0.1325</v>
      </c>
      <c r="D8037" s="19" t="n">
        <v>0.0942</v>
      </c>
      <c r="E8037" s="20" t="n">
        <f aca="false">Parametres!$B$5*C8037</f>
        <v>39.75</v>
      </c>
      <c r="F8037" s="20" t="n">
        <f aca="false">Parametres!$B$6*D8037</f>
        <v>18.84</v>
      </c>
      <c r="G8037" s="20" t="n">
        <f aca="false">E8037+F8037</f>
        <v>58.59</v>
      </c>
      <c r="H8037" s="20" t="n">
        <f aca="false">IF(G8037&lt;Parametres!$B$8*Parametres!$B$7,0,MIN(G8037,Parametres!$B$7))</f>
        <v>58.59</v>
      </c>
      <c r="I8037" s="20" t="n">
        <f aca="false">G8037-H8037</f>
        <v>0</v>
      </c>
      <c r="J8037" s="21" t="n">
        <f aca="false">H8037*1000/Parametres!$B$9</f>
        <v>993.556045446837</v>
      </c>
    </row>
    <row r="8038" customFormat="false" ht="15" hidden="false" customHeight="false" outlineLevel="0" collapsed="false">
      <c r="A8038" s="0" t="n">
        <v>8034</v>
      </c>
      <c r="B8038" s="0" t="n">
        <v>12</v>
      </c>
      <c r="C8038" s="19" t="n">
        <v>0</v>
      </c>
      <c r="D8038" s="19" t="n">
        <v>0.1642</v>
      </c>
      <c r="E8038" s="20" t="n">
        <f aca="false">Parametres!$B$5*C8038</f>
        <v>0</v>
      </c>
      <c r="F8038" s="20" t="n">
        <f aca="false">Parametres!$B$6*D8038</f>
        <v>32.84</v>
      </c>
      <c r="G8038" s="20" t="n">
        <f aca="false">E8038+F8038</f>
        <v>32.84</v>
      </c>
      <c r="H8038" s="20" t="n">
        <f aca="false">IF(G8038&lt;Parametres!$B$8*Parametres!$B$7,0,MIN(G8038,Parametres!$B$7))</f>
        <v>32.84</v>
      </c>
      <c r="I8038" s="20" t="n">
        <f aca="false">G8038-H8038</f>
        <v>0</v>
      </c>
      <c r="J8038" s="21" t="n">
        <f aca="false">H8038*1000/Parametres!$B$9</f>
        <v>556.89333559437</v>
      </c>
    </row>
    <row r="8039" customFormat="false" ht="15" hidden="false" customHeight="false" outlineLevel="0" collapsed="false">
      <c r="A8039" s="0" t="n">
        <v>8035</v>
      </c>
      <c r="B8039" s="0" t="n">
        <v>12</v>
      </c>
      <c r="C8039" s="19" t="n">
        <v>0</v>
      </c>
      <c r="D8039" s="19" t="n">
        <v>0.1325</v>
      </c>
      <c r="E8039" s="20" t="n">
        <f aca="false">Parametres!$B$5*C8039</f>
        <v>0</v>
      </c>
      <c r="F8039" s="20" t="n">
        <f aca="false">Parametres!$B$6*D8039</f>
        <v>26.5</v>
      </c>
      <c r="G8039" s="20" t="n">
        <f aca="false">E8039+F8039</f>
        <v>26.5</v>
      </c>
      <c r="H8039" s="20" t="n">
        <f aca="false">IF(G8039&lt;Parametres!$B$8*Parametres!$B$7,0,MIN(G8039,Parametres!$B$7))</f>
        <v>26.5</v>
      </c>
      <c r="I8039" s="20" t="n">
        <f aca="false">G8039-H8039</f>
        <v>0</v>
      </c>
      <c r="J8039" s="21" t="n">
        <f aca="false">H8039*1000/Parametres!$B$9</f>
        <v>449.381041207394</v>
      </c>
    </row>
    <row r="8040" customFormat="false" ht="15" hidden="false" customHeight="false" outlineLevel="0" collapsed="false">
      <c r="A8040" s="0" t="n">
        <v>8036</v>
      </c>
      <c r="B8040" s="0" t="n">
        <v>12</v>
      </c>
      <c r="C8040" s="19" t="n">
        <v>0</v>
      </c>
      <c r="D8040" s="19" t="n">
        <v>0.0735</v>
      </c>
      <c r="E8040" s="20" t="n">
        <f aca="false">Parametres!$B$5*C8040</f>
        <v>0</v>
      </c>
      <c r="F8040" s="20" t="n">
        <f aca="false">Parametres!$B$6*D8040</f>
        <v>14.7</v>
      </c>
      <c r="G8040" s="20" t="n">
        <f aca="false">E8040+F8040</f>
        <v>14.7</v>
      </c>
      <c r="H8040" s="20" t="n">
        <f aca="false">IF(G8040&lt;Parametres!$B$8*Parametres!$B$7,0,MIN(G8040,Parametres!$B$7))</f>
        <v>0</v>
      </c>
      <c r="I8040" s="20" t="n">
        <f aca="false">G8040-H8040</f>
        <v>14.7</v>
      </c>
      <c r="J8040" s="21" t="n">
        <f aca="false">H8040*1000/Parametres!$B$9</f>
        <v>0</v>
      </c>
    </row>
    <row r="8041" customFormat="false" ht="15" hidden="false" customHeight="false" outlineLevel="0" collapsed="false">
      <c r="A8041" s="0" t="n">
        <v>8037</v>
      </c>
      <c r="B8041" s="0" t="n">
        <v>12</v>
      </c>
      <c r="C8041" s="19" t="n">
        <v>0</v>
      </c>
      <c r="D8041" s="19" t="n">
        <v>0.1014</v>
      </c>
      <c r="E8041" s="20" t="n">
        <f aca="false">Parametres!$B$5*C8041</f>
        <v>0</v>
      </c>
      <c r="F8041" s="20" t="n">
        <f aca="false">Parametres!$B$6*D8041</f>
        <v>20.28</v>
      </c>
      <c r="G8041" s="20" t="n">
        <f aca="false">E8041+F8041</f>
        <v>20.28</v>
      </c>
      <c r="H8041" s="20" t="n">
        <f aca="false">IF(G8041&lt;Parametres!$B$8*Parametres!$B$7,0,MIN(G8041,Parametres!$B$7))</f>
        <v>0</v>
      </c>
      <c r="I8041" s="20" t="n">
        <f aca="false">G8041-H8041</f>
        <v>20.28</v>
      </c>
      <c r="J8041" s="21" t="n">
        <f aca="false">H8041*1000/Parametres!$B$9</f>
        <v>0</v>
      </c>
    </row>
    <row r="8042" customFormat="false" ht="15" hidden="false" customHeight="false" outlineLevel="0" collapsed="false">
      <c r="A8042" s="0" t="n">
        <v>8038</v>
      </c>
      <c r="B8042" s="0" t="n">
        <v>12</v>
      </c>
      <c r="C8042" s="19" t="n">
        <v>0</v>
      </c>
      <c r="D8042" s="19" t="n">
        <v>0.072</v>
      </c>
      <c r="E8042" s="20" t="n">
        <f aca="false">Parametres!$B$5*C8042</f>
        <v>0</v>
      </c>
      <c r="F8042" s="20" t="n">
        <f aca="false">Parametres!$B$6*D8042</f>
        <v>14.4</v>
      </c>
      <c r="G8042" s="20" t="n">
        <f aca="false">E8042+F8042</f>
        <v>14.4</v>
      </c>
      <c r="H8042" s="20" t="n">
        <f aca="false">IF(G8042&lt;Parametres!$B$8*Parametres!$B$7,0,MIN(G8042,Parametres!$B$7))</f>
        <v>0</v>
      </c>
      <c r="I8042" s="20" t="n">
        <f aca="false">G8042-H8042</f>
        <v>14.4</v>
      </c>
      <c r="J8042" s="21" t="n">
        <f aca="false">H8042*1000/Parametres!$B$9</f>
        <v>0</v>
      </c>
    </row>
    <row r="8043" customFormat="false" ht="15" hidden="false" customHeight="false" outlineLevel="0" collapsed="false">
      <c r="A8043" s="0" t="n">
        <v>8039</v>
      </c>
      <c r="B8043" s="0" t="n">
        <v>12</v>
      </c>
      <c r="C8043" s="19" t="n">
        <v>0</v>
      </c>
      <c r="D8043" s="19" t="n">
        <v>0.0937</v>
      </c>
      <c r="E8043" s="20" t="n">
        <f aca="false">Parametres!$B$5*C8043</f>
        <v>0</v>
      </c>
      <c r="F8043" s="20" t="n">
        <f aca="false">Parametres!$B$6*D8043</f>
        <v>18.74</v>
      </c>
      <c r="G8043" s="20" t="n">
        <f aca="false">E8043+F8043</f>
        <v>18.74</v>
      </c>
      <c r="H8043" s="20" t="n">
        <f aca="false">IF(G8043&lt;Parametres!$B$8*Parametres!$B$7,0,MIN(G8043,Parametres!$B$7))</f>
        <v>0</v>
      </c>
      <c r="I8043" s="20" t="n">
        <f aca="false">G8043-H8043</f>
        <v>18.74</v>
      </c>
      <c r="J8043" s="21" t="n">
        <f aca="false">H8043*1000/Parametres!$B$9</f>
        <v>0</v>
      </c>
    </row>
    <row r="8044" customFormat="false" ht="15" hidden="false" customHeight="false" outlineLevel="0" collapsed="false">
      <c r="A8044" s="0" t="n">
        <v>8040</v>
      </c>
      <c r="B8044" s="0" t="n">
        <v>12</v>
      </c>
      <c r="C8044" s="19" t="n">
        <v>0</v>
      </c>
      <c r="D8044" s="19" t="n">
        <v>0.1231</v>
      </c>
      <c r="E8044" s="20" t="n">
        <f aca="false">Parametres!$B$5*C8044</f>
        <v>0</v>
      </c>
      <c r="F8044" s="20" t="n">
        <f aca="false">Parametres!$B$6*D8044</f>
        <v>24.62</v>
      </c>
      <c r="G8044" s="20" t="n">
        <f aca="false">E8044+F8044</f>
        <v>24.62</v>
      </c>
      <c r="H8044" s="20" t="n">
        <f aca="false">IF(G8044&lt;Parametres!$B$8*Parametres!$B$7,0,MIN(G8044,Parametres!$B$7))</f>
        <v>0</v>
      </c>
      <c r="I8044" s="20" t="n">
        <f aca="false">G8044-H8044</f>
        <v>24.62</v>
      </c>
      <c r="J8044" s="21" t="n">
        <f aca="false">H8044*1000/Parametres!$B$9</f>
        <v>0</v>
      </c>
    </row>
    <row r="8045" customFormat="false" ht="15" hidden="false" customHeight="false" outlineLevel="0" collapsed="false">
      <c r="A8045" s="0" t="n">
        <v>8041</v>
      </c>
      <c r="B8045" s="0" t="n">
        <v>12</v>
      </c>
      <c r="C8045" s="19" t="n">
        <v>0</v>
      </c>
      <c r="D8045" s="19" t="n">
        <v>0.0929</v>
      </c>
      <c r="E8045" s="20" t="n">
        <f aca="false">Parametres!$B$5*C8045</f>
        <v>0</v>
      </c>
      <c r="F8045" s="20" t="n">
        <f aca="false">Parametres!$B$6*D8045</f>
        <v>18.58</v>
      </c>
      <c r="G8045" s="20" t="n">
        <f aca="false">E8045+F8045</f>
        <v>18.58</v>
      </c>
      <c r="H8045" s="20" t="n">
        <f aca="false">IF(G8045&lt;Parametres!$B$8*Parametres!$B$7,0,MIN(G8045,Parametres!$B$7))</f>
        <v>0</v>
      </c>
      <c r="I8045" s="20" t="n">
        <f aca="false">G8045-H8045</f>
        <v>18.58</v>
      </c>
      <c r="J8045" s="21" t="n">
        <f aca="false">H8045*1000/Parametres!$B$9</f>
        <v>0</v>
      </c>
    </row>
    <row r="8046" customFormat="false" ht="15" hidden="false" customHeight="false" outlineLevel="0" collapsed="false">
      <c r="A8046" s="0" t="n">
        <v>8042</v>
      </c>
      <c r="B8046" s="0" t="n">
        <v>12</v>
      </c>
      <c r="C8046" s="19" t="n">
        <v>0</v>
      </c>
      <c r="D8046" s="19" t="n">
        <v>0.1734</v>
      </c>
      <c r="E8046" s="20" t="n">
        <f aca="false">Parametres!$B$5*C8046</f>
        <v>0</v>
      </c>
      <c r="F8046" s="20" t="n">
        <f aca="false">Parametres!$B$6*D8046</f>
        <v>34.68</v>
      </c>
      <c r="G8046" s="20" t="n">
        <f aca="false">E8046+F8046</f>
        <v>34.68</v>
      </c>
      <c r="H8046" s="20" t="n">
        <f aca="false">IF(G8046&lt;Parametres!$B$8*Parametres!$B$7,0,MIN(G8046,Parametres!$B$7))</f>
        <v>34.68</v>
      </c>
      <c r="I8046" s="20" t="n">
        <f aca="false">G8046-H8046</f>
        <v>0</v>
      </c>
      <c r="J8046" s="21" t="n">
        <f aca="false">H8046*1000/Parametres!$B$9</f>
        <v>588.095641851789</v>
      </c>
    </row>
    <row r="8047" customFormat="false" ht="15" hidden="false" customHeight="false" outlineLevel="0" collapsed="false">
      <c r="A8047" s="0" t="n">
        <v>8043</v>
      </c>
      <c r="B8047" s="0" t="n">
        <v>12</v>
      </c>
      <c r="C8047" s="19" t="n">
        <v>0</v>
      </c>
      <c r="D8047" s="19" t="n">
        <v>0.1798</v>
      </c>
      <c r="E8047" s="20" t="n">
        <f aca="false">Parametres!$B$5*C8047</f>
        <v>0</v>
      </c>
      <c r="F8047" s="20" t="n">
        <f aca="false">Parametres!$B$6*D8047</f>
        <v>35.96</v>
      </c>
      <c r="G8047" s="20" t="n">
        <f aca="false">E8047+F8047</f>
        <v>35.96</v>
      </c>
      <c r="H8047" s="20" t="n">
        <f aca="false">IF(G8047&lt;Parametres!$B$8*Parametres!$B$7,0,MIN(G8047,Parametres!$B$7))</f>
        <v>35.96</v>
      </c>
      <c r="I8047" s="20" t="n">
        <f aca="false">G8047-H8047</f>
        <v>0</v>
      </c>
      <c r="J8047" s="21" t="n">
        <f aca="false">H8047*1000/Parametres!$B$9</f>
        <v>609.801594030863</v>
      </c>
    </row>
    <row r="8048" customFormat="false" ht="15" hidden="false" customHeight="false" outlineLevel="0" collapsed="false">
      <c r="A8048" s="0" t="n">
        <v>8044</v>
      </c>
      <c r="B8048" s="0" t="n">
        <v>12</v>
      </c>
      <c r="C8048" s="19" t="n">
        <v>0</v>
      </c>
      <c r="D8048" s="19" t="n">
        <v>0.2237</v>
      </c>
      <c r="E8048" s="20" t="n">
        <f aca="false">Parametres!$B$5*C8048</f>
        <v>0</v>
      </c>
      <c r="F8048" s="20" t="n">
        <f aca="false">Parametres!$B$6*D8048</f>
        <v>44.74</v>
      </c>
      <c r="G8048" s="20" t="n">
        <f aca="false">E8048+F8048</f>
        <v>44.74</v>
      </c>
      <c r="H8048" s="20" t="n">
        <f aca="false">IF(G8048&lt;Parametres!$B$8*Parametres!$B$7,0,MIN(G8048,Parametres!$B$7))</f>
        <v>44.74</v>
      </c>
      <c r="I8048" s="20" t="n">
        <f aca="false">G8048-H8048</f>
        <v>0</v>
      </c>
      <c r="J8048" s="21" t="n">
        <f aca="false">H8048*1000/Parametres!$B$9</f>
        <v>758.6908597592</v>
      </c>
    </row>
    <row r="8049" customFormat="false" ht="15" hidden="false" customHeight="false" outlineLevel="0" collapsed="false">
      <c r="A8049" s="0" t="n">
        <v>8045</v>
      </c>
      <c r="B8049" s="0" t="n">
        <v>12</v>
      </c>
      <c r="C8049" s="19" t="n">
        <v>0</v>
      </c>
      <c r="D8049" s="19" t="n">
        <v>0.2242</v>
      </c>
      <c r="E8049" s="20" t="n">
        <f aca="false">Parametres!$B$5*C8049</f>
        <v>0</v>
      </c>
      <c r="F8049" s="20" t="n">
        <f aca="false">Parametres!$B$6*D8049</f>
        <v>44.84</v>
      </c>
      <c r="G8049" s="20" t="n">
        <f aca="false">E8049+F8049</f>
        <v>44.84</v>
      </c>
      <c r="H8049" s="20" t="n">
        <f aca="false">IF(G8049&lt;Parametres!$B$8*Parametres!$B$7,0,MIN(G8049,Parametres!$B$7))</f>
        <v>44.84</v>
      </c>
      <c r="I8049" s="20" t="n">
        <f aca="false">G8049-H8049</f>
        <v>0</v>
      </c>
      <c r="J8049" s="21" t="n">
        <f aca="false">H8049*1000/Parametres!$B$9</f>
        <v>760.38663727319</v>
      </c>
    </row>
    <row r="8050" customFormat="false" ht="15" hidden="false" customHeight="false" outlineLevel="0" collapsed="false">
      <c r="A8050" s="0" t="n">
        <v>8046</v>
      </c>
      <c r="B8050" s="0" t="n">
        <v>12</v>
      </c>
      <c r="C8050" s="19" t="n">
        <v>0</v>
      </c>
      <c r="D8050" s="19" t="n">
        <v>0.155</v>
      </c>
      <c r="E8050" s="20" t="n">
        <f aca="false">Parametres!$B$5*C8050</f>
        <v>0</v>
      </c>
      <c r="F8050" s="20" t="n">
        <f aca="false">Parametres!$B$6*D8050</f>
        <v>31</v>
      </c>
      <c r="G8050" s="20" t="n">
        <f aca="false">E8050+F8050</f>
        <v>31</v>
      </c>
      <c r="H8050" s="20" t="n">
        <f aca="false">IF(G8050&lt;Parametres!$B$8*Parametres!$B$7,0,MIN(G8050,Parametres!$B$7))</f>
        <v>31</v>
      </c>
      <c r="I8050" s="20" t="n">
        <f aca="false">G8050-H8050</f>
        <v>0</v>
      </c>
      <c r="J8050" s="21" t="n">
        <f aca="false">H8050*1000/Parametres!$B$9</f>
        <v>525.691029336951</v>
      </c>
    </row>
    <row r="8051" customFormat="false" ht="15" hidden="false" customHeight="false" outlineLevel="0" collapsed="false">
      <c r="A8051" s="0" t="n">
        <v>8047</v>
      </c>
      <c r="B8051" s="0" t="n">
        <v>12</v>
      </c>
      <c r="C8051" s="19" t="n">
        <v>0</v>
      </c>
      <c r="D8051" s="19" t="n">
        <v>0.1779</v>
      </c>
      <c r="E8051" s="20" t="n">
        <f aca="false">Parametres!$B$5*C8051</f>
        <v>0</v>
      </c>
      <c r="F8051" s="20" t="n">
        <f aca="false">Parametres!$B$6*D8051</f>
        <v>35.58</v>
      </c>
      <c r="G8051" s="20" t="n">
        <f aca="false">E8051+F8051</f>
        <v>35.58</v>
      </c>
      <c r="H8051" s="20" t="n">
        <f aca="false">IF(G8051&lt;Parametres!$B$8*Parametres!$B$7,0,MIN(G8051,Parametres!$B$7))</f>
        <v>35.58</v>
      </c>
      <c r="I8051" s="20" t="n">
        <f aca="false">G8051-H8051</f>
        <v>0</v>
      </c>
      <c r="J8051" s="21" t="n">
        <f aca="false">H8051*1000/Parametres!$B$9</f>
        <v>603.357639477701</v>
      </c>
    </row>
    <row r="8052" customFormat="false" ht="15" hidden="false" customHeight="false" outlineLevel="0" collapsed="false">
      <c r="A8052" s="0" t="n">
        <v>8048</v>
      </c>
      <c r="B8052" s="0" t="n">
        <v>12</v>
      </c>
      <c r="C8052" s="19" t="n">
        <v>0.1202</v>
      </c>
      <c r="D8052" s="19" t="n">
        <v>0.1735</v>
      </c>
      <c r="E8052" s="20" t="n">
        <f aca="false">Parametres!$B$5*C8052</f>
        <v>36.06</v>
      </c>
      <c r="F8052" s="20" t="n">
        <f aca="false">Parametres!$B$6*D8052</f>
        <v>34.7</v>
      </c>
      <c r="G8052" s="20" t="n">
        <f aca="false">E8052+F8052</f>
        <v>70.76</v>
      </c>
      <c r="H8052" s="20" t="n">
        <f aca="false">IF(G8052&lt;Parametres!$B$8*Parametres!$B$7,0,MIN(G8052,Parametres!$B$7))</f>
        <v>70.76</v>
      </c>
      <c r="I8052" s="20" t="n">
        <f aca="false">G8052-H8052</f>
        <v>0</v>
      </c>
      <c r="J8052" s="21" t="n">
        <f aca="false">H8052*1000/Parametres!$B$9</f>
        <v>1199.93216889944</v>
      </c>
    </row>
    <row r="8053" customFormat="false" ht="15" hidden="false" customHeight="false" outlineLevel="0" collapsed="false">
      <c r="A8053" s="0" t="n">
        <v>8049</v>
      </c>
      <c r="B8053" s="0" t="n">
        <v>12</v>
      </c>
      <c r="C8053" s="19" t="n">
        <v>0.3206</v>
      </c>
      <c r="D8053" s="19" t="n">
        <v>0.2895</v>
      </c>
      <c r="E8053" s="20" t="n">
        <f aca="false">Parametres!$B$5*C8053</f>
        <v>96.18</v>
      </c>
      <c r="F8053" s="20" t="n">
        <f aca="false">Parametres!$B$6*D8053</f>
        <v>57.9</v>
      </c>
      <c r="G8053" s="20" t="n">
        <f aca="false">E8053+F8053</f>
        <v>154.08</v>
      </c>
      <c r="H8053" s="20" t="n">
        <f aca="false">IF(G8053&lt;Parametres!$B$8*Parametres!$B$7,0,MIN(G8053,Parametres!$B$7))</f>
        <v>154.08</v>
      </c>
      <c r="I8053" s="20" t="n">
        <f aca="false">G8053-H8053</f>
        <v>0</v>
      </c>
      <c r="J8053" s="21" t="n">
        <f aca="false">H8053*1000/Parametres!$B$9</f>
        <v>2612.85399355605</v>
      </c>
    </row>
    <row r="8054" customFormat="false" ht="15" hidden="false" customHeight="false" outlineLevel="0" collapsed="false">
      <c r="A8054" s="0" t="n">
        <v>8050</v>
      </c>
      <c r="B8054" s="0" t="n">
        <v>12</v>
      </c>
      <c r="C8054" s="19" t="n">
        <v>0.5235</v>
      </c>
      <c r="D8054" s="19" t="n">
        <v>0.2506</v>
      </c>
      <c r="E8054" s="20" t="n">
        <f aca="false">Parametres!$B$5*C8054</f>
        <v>157.05</v>
      </c>
      <c r="F8054" s="20" t="n">
        <f aca="false">Parametres!$B$6*D8054</f>
        <v>50.12</v>
      </c>
      <c r="G8054" s="20" t="n">
        <f aca="false">E8054+F8054</f>
        <v>207.17</v>
      </c>
      <c r="H8054" s="20" t="n">
        <f aca="false">IF(G8054&lt;Parametres!$B$8*Parametres!$B$7,0,MIN(G8054,Parametres!$B$7))</f>
        <v>207.17</v>
      </c>
      <c r="I8054" s="20" t="n">
        <f aca="false">G8054-H8054</f>
        <v>0</v>
      </c>
      <c r="J8054" s="21" t="n">
        <f aca="false">H8054*1000/Parametres!$B$9</f>
        <v>3513.14227573342</v>
      </c>
    </row>
    <row r="8055" customFormat="false" ht="15" hidden="false" customHeight="false" outlineLevel="0" collapsed="false">
      <c r="A8055" s="0" t="n">
        <v>8051</v>
      </c>
      <c r="B8055" s="0" t="n">
        <v>12</v>
      </c>
      <c r="C8055" s="19" t="n">
        <v>0.6753</v>
      </c>
      <c r="D8055" s="19" t="n">
        <v>0.3091</v>
      </c>
      <c r="E8055" s="20" t="n">
        <f aca="false">Parametres!$B$5*C8055</f>
        <v>202.59</v>
      </c>
      <c r="F8055" s="20" t="n">
        <f aca="false">Parametres!$B$6*D8055</f>
        <v>61.82</v>
      </c>
      <c r="G8055" s="20" t="n">
        <f aca="false">E8055+F8055</f>
        <v>264.41</v>
      </c>
      <c r="H8055" s="20" t="n">
        <f aca="false">IF(G8055&lt;Parametres!$B$8*Parametres!$B$7,0,MIN(G8055,Parametres!$B$7))</f>
        <v>250</v>
      </c>
      <c r="I8055" s="20" t="n">
        <f aca="false">G8055-H8055</f>
        <v>14.41</v>
      </c>
      <c r="J8055" s="21" t="n">
        <f aca="false">H8055*1000/Parametres!$B$9</f>
        <v>4239.44378497541</v>
      </c>
    </row>
    <row r="8056" customFormat="false" ht="15" hidden="false" customHeight="false" outlineLevel="0" collapsed="false">
      <c r="A8056" s="0" t="n">
        <v>8052</v>
      </c>
      <c r="B8056" s="0" t="n">
        <v>12</v>
      </c>
      <c r="C8056" s="19" t="n">
        <v>0.7979</v>
      </c>
      <c r="D8056" s="19" t="n">
        <v>0.4341</v>
      </c>
      <c r="E8056" s="20" t="n">
        <f aca="false">Parametres!$B$5*C8056</f>
        <v>239.37</v>
      </c>
      <c r="F8056" s="20" t="n">
        <f aca="false">Parametres!$B$6*D8056</f>
        <v>86.82</v>
      </c>
      <c r="G8056" s="20" t="n">
        <f aca="false">E8056+F8056</f>
        <v>326.19</v>
      </c>
      <c r="H8056" s="20" t="n">
        <f aca="false">IF(G8056&lt;Parametres!$B$8*Parametres!$B$7,0,MIN(G8056,Parametres!$B$7))</f>
        <v>250</v>
      </c>
      <c r="I8056" s="20" t="n">
        <f aca="false">G8056-H8056</f>
        <v>76.19</v>
      </c>
      <c r="J8056" s="21" t="n">
        <f aca="false">H8056*1000/Parametres!$B$9</f>
        <v>4239.44378497541</v>
      </c>
    </row>
    <row r="8057" customFormat="false" ht="15" hidden="false" customHeight="false" outlineLevel="0" collapsed="false">
      <c r="A8057" s="0" t="n">
        <v>8053</v>
      </c>
      <c r="B8057" s="0" t="n">
        <v>12</v>
      </c>
      <c r="C8057" s="19" t="n">
        <v>0.7435</v>
      </c>
      <c r="D8057" s="19" t="n">
        <v>0.8208</v>
      </c>
      <c r="E8057" s="20" t="n">
        <f aca="false">Parametres!$B$5*C8057</f>
        <v>223.05</v>
      </c>
      <c r="F8057" s="20" t="n">
        <f aca="false">Parametres!$B$6*D8057</f>
        <v>164.16</v>
      </c>
      <c r="G8057" s="20" t="n">
        <f aca="false">E8057+F8057</f>
        <v>387.21</v>
      </c>
      <c r="H8057" s="20" t="n">
        <f aca="false">IF(G8057&lt;Parametres!$B$8*Parametres!$B$7,0,MIN(G8057,Parametres!$B$7))</f>
        <v>250</v>
      </c>
      <c r="I8057" s="20" t="n">
        <f aca="false">G8057-H8057</f>
        <v>137.21</v>
      </c>
      <c r="J8057" s="21" t="n">
        <f aca="false">H8057*1000/Parametres!$B$9</f>
        <v>4239.44378497541</v>
      </c>
    </row>
    <row r="8058" customFormat="false" ht="15" hidden="false" customHeight="false" outlineLevel="0" collapsed="false">
      <c r="A8058" s="0" t="n">
        <v>8054</v>
      </c>
      <c r="B8058" s="0" t="n">
        <v>12</v>
      </c>
      <c r="C8058" s="19" t="n">
        <v>0.65</v>
      </c>
      <c r="D8058" s="19" t="n">
        <v>0.7547</v>
      </c>
      <c r="E8058" s="20" t="n">
        <f aca="false">Parametres!$B$5*C8058</f>
        <v>195</v>
      </c>
      <c r="F8058" s="20" t="n">
        <f aca="false">Parametres!$B$6*D8058</f>
        <v>150.94</v>
      </c>
      <c r="G8058" s="20" t="n">
        <f aca="false">E8058+F8058</f>
        <v>345.94</v>
      </c>
      <c r="H8058" s="20" t="n">
        <f aca="false">IF(G8058&lt;Parametres!$B$8*Parametres!$B$7,0,MIN(G8058,Parametres!$B$7))</f>
        <v>250</v>
      </c>
      <c r="I8058" s="20" t="n">
        <f aca="false">G8058-H8058</f>
        <v>95.94</v>
      </c>
      <c r="J8058" s="21" t="n">
        <f aca="false">H8058*1000/Parametres!$B$9</f>
        <v>4239.44378497541</v>
      </c>
    </row>
    <row r="8059" customFormat="false" ht="15" hidden="false" customHeight="false" outlineLevel="0" collapsed="false">
      <c r="A8059" s="0" t="n">
        <v>8055</v>
      </c>
      <c r="B8059" s="0" t="n">
        <v>12</v>
      </c>
      <c r="C8059" s="19" t="n">
        <v>0.5302</v>
      </c>
      <c r="D8059" s="19" t="n">
        <v>0.8284</v>
      </c>
      <c r="E8059" s="20" t="n">
        <f aca="false">Parametres!$B$5*C8059</f>
        <v>159.06</v>
      </c>
      <c r="F8059" s="20" t="n">
        <f aca="false">Parametres!$B$6*D8059</f>
        <v>165.68</v>
      </c>
      <c r="G8059" s="20" t="n">
        <f aca="false">E8059+F8059</f>
        <v>324.74</v>
      </c>
      <c r="H8059" s="20" t="n">
        <f aca="false">IF(G8059&lt;Parametres!$B$8*Parametres!$B$7,0,MIN(G8059,Parametres!$B$7))</f>
        <v>250</v>
      </c>
      <c r="I8059" s="20" t="n">
        <f aca="false">G8059-H8059</f>
        <v>74.74</v>
      </c>
      <c r="J8059" s="21" t="n">
        <f aca="false">H8059*1000/Parametres!$B$9</f>
        <v>4239.44378497541</v>
      </c>
    </row>
    <row r="8060" customFormat="false" ht="15" hidden="false" customHeight="false" outlineLevel="0" collapsed="false">
      <c r="A8060" s="0" t="n">
        <v>8056</v>
      </c>
      <c r="B8060" s="0" t="n">
        <v>12</v>
      </c>
      <c r="C8060" s="19" t="n">
        <v>0.3657</v>
      </c>
      <c r="D8060" s="19" t="n">
        <v>0.6678</v>
      </c>
      <c r="E8060" s="20" t="n">
        <f aca="false">Parametres!$B$5*C8060</f>
        <v>109.71</v>
      </c>
      <c r="F8060" s="20" t="n">
        <f aca="false">Parametres!$B$6*D8060</f>
        <v>133.56</v>
      </c>
      <c r="G8060" s="20" t="n">
        <f aca="false">E8060+F8060</f>
        <v>243.27</v>
      </c>
      <c r="H8060" s="20" t="n">
        <f aca="false">IF(G8060&lt;Parametres!$B$8*Parametres!$B$7,0,MIN(G8060,Parametres!$B$7))</f>
        <v>243.27</v>
      </c>
      <c r="I8060" s="20" t="n">
        <f aca="false">G8060-H8060</f>
        <v>0</v>
      </c>
      <c r="J8060" s="21" t="n">
        <f aca="false">H8060*1000/Parametres!$B$9</f>
        <v>4125.31795828387</v>
      </c>
    </row>
    <row r="8061" customFormat="false" ht="15" hidden="false" customHeight="false" outlineLevel="0" collapsed="false">
      <c r="A8061" s="0" t="n">
        <v>8057</v>
      </c>
      <c r="B8061" s="0" t="n">
        <v>12</v>
      </c>
      <c r="C8061" s="19" t="n">
        <v>0.1238</v>
      </c>
      <c r="D8061" s="19" t="n">
        <v>0.4886</v>
      </c>
      <c r="E8061" s="20" t="n">
        <f aca="false">Parametres!$B$5*C8061</f>
        <v>37.14</v>
      </c>
      <c r="F8061" s="20" t="n">
        <f aca="false">Parametres!$B$6*D8061</f>
        <v>97.72</v>
      </c>
      <c r="G8061" s="20" t="n">
        <f aca="false">E8061+F8061</f>
        <v>134.86</v>
      </c>
      <c r="H8061" s="20" t="n">
        <f aca="false">IF(G8061&lt;Parametres!$B$8*Parametres!$B$7,0,MIN(G8061,Parametres!$B$7))</f>
        <v>134.86</v>
      </c>
      <c r="I8061" s="20" t="n">
        <f aca="false">G8061-H8061</f>
        <v>0</v>
      </c>
      <c r="J8061" s="21" t="n">
        <f aca="false">H8061*1000/Parametres!$B$9</f>
        <v>2286.92555536714</v>
      </c>
    </row>
    <row r="8062" customFormat="false" ht="15" hidden="false" customHeight="false" outlineLevel="0" collapsed="false">
      <c r="A8062" s="0" t="n">
        <v>8058</v>
      </c>
      <c r="B8062" s="0" t="n">
        <v>12</v>
      </c>
      <c r="C8062" s="19" t="n">
        <v>0</v>
      </c>
      <c r="D8062" s="19" t="n">
        <v>0.3941</v>
      </c>
      <c r="E8062" s="20" t="n">
        <f aca="false">Parametres!$B$5*C8062</f>
        <v>0</v>
      </c>
      <c r="F8062" s="20" t="n">
        <f aca="false">Parametres!$B$6*D8062</f>
        <v>78.82</v>
      </c>
      <c r="G8062" s="20" t="n">
        <f aca="false">E8062+F8062</f>
        <v>78.82</v>
      </c>
      <c r="H8062" s="20" t="n">
        <f aca="false">IF(G8062&lt;Parametres!$B$8*Parametres!$B$7,0,MIN(G8062,Parametres!$B$7))</f>
        <v>78.82</v>
      </c>
      <c r="I8062" s="20" t="n">
        <f aca="false">G8062-H8062</f>
        <v>0</v>
      </c>
      <c r="J8062" s="21" t="n">
        <f aca="false">H8062*1000/Parametres!$B$9</f>
        <v>1336.61183652705</v>
      </c>
    </row>
    <row r="8063" customFormat="false" ht="15" hidden="false" customHeight="false" outlineLevel="0" collapsed="false">
      <c r="A8063" s="0" t="n">
        <v>8059</v>
      </c>
      <c r="B8063" s="0" t="n">
        <v>12</v>
      </c>
      <c r="C8063" s="19" t="n">
        <v>0</v>
      </c>
      <c r="D8063" s="19" t="n">
        <v>0.5543</v>
      </c>
      <c r="E8063" s="20" t="n">
        <f aca="false">Parametres!$B$5*C8063</f>
        <v>0</v>
      </c>
      <c r="F8063" s="20" t="n">
        <f aca="false">Parametres!$B$6*D8063</f>
        <v>110.86</v>
      </c>
      <c r="G8063" s="20" t="n">
        <f aca="false">E8063+F8063</f>
        <v>110.86</v>
      </c>
      <c r="H8063" s="20" t="n">
        <f aca="false">IF(G8063&lt;Parametres!$B$8*Parametres!$B$7,0,MIN(G8063,Parametres!$B$7))</f>
        <v>110.86</v>
      </c>
      <c r="I8063" s="20" t="n">
        <f aca="false">G8063-H8063</f>
        <v>0</v>
      </c>
      <c r="J8063" s="21" t="n">
        <f aca="false">H8063*1000/Parametres!$B$9</f>
        <v>1879.9389520095</v>
      </c>
    </row>
    <row r="8064" customFormat="false" ht="15" hidden="false" customHeight="false" outlineLevel="0" collapsed="false">
      <c r="A8064" s="0" t="n">
        <v>8060</v>
      </c>
      <c r="B8064" s="0" t="n">
        <v>12</v>
      </c>
      <c r="C8064" s="19" t="n">
        <v>0</v>
      </c>
      <c r="D8064" s="19" t="n">
        <v>0.7117</v>
      </c>
      <c r="E8064" s="20" t="n">
        <f aca="false">Parametres!$B$5*C8064</f>
        <v>0</v>
      </c>
      <c r="F8064" s="20" t="n">
        <f aca="false">Parametres!$B$6*D8064</f>
        <v>142.34</v>
      </c>
      <c r="G8064" s="20" t="n">
        <f aca="false">E8064+F8064</f>
        <v>142.34</v>
      </c>
      <c r="H8064" s="20" t="n">
        <f aca="false">IF(G8064&lt;Parametres!$B$8*Parametres!$B$7,0,MIN(G8064,Parametres!$B$7))</f>
        <v>142.34</v>
      </c>
      <c r="I8064" s="20" t="n">
        <f aca="false">G8064-H8064</f>
        <v>0</v>
      </c>
      <c r="J8064" s="21" t="n">
        <f aca="false">H8064*1000/Parametres!$B$9</f>
        <v>2413.7697134136</v>
      </c>
    </row>
    <row r="8065" customFormat="false" ht="15" hidden="false" customHeight="false" outlineLevel="0" collapsed="false">
      <c r="A8065" s="0" t="n">
        <v>8061</v>
      </c>
      <c r="B8065" s="0" t="n">
        <v>12</v>
      </c>
      <c r="C8065" s="19" t="n">
        <v>0</v>
      </c>
      <c r="D8065" s="19" t="n">
        <v>0.6384</v>
      </c>
      <c r="E8065" s="20" t="n">
        <f aca="false">Parametres!$B$5*C8065</f>
        <v>0</v>
      </c>
      <c r="F8065" s="20" t="n">
        <f aca="false">Parametres!$B$6*D8065</f>
        <v>127.68</v>
      </c>
      <c r="G8065" s="20" t="n">
        <f aca="false">E8065+F8065</f>
        <v>127.68</v>
      </c>
      <c r="H8065" s="20" t="n">
        <f aca="false">IF(G8065&lt;Parametres!$B$8*Parametres!$B$7,0,MIN(G8065,Parametres!$B$7))</f>
        <v>127.68</v>
      </c>
      <c r="I8065" s="20" t="n">
        <f aca="false">G8065-H8065</f>
        <v>0</v>
      </c>
      <c r="J8065" s="21" t="n">
        <f aca="false">H8065*1000/Parametres!$B$9</f>
        <v>2165.16872986264</v>
      </c>
    </row>
    <row r="8066" customFormat="false" ht="15" hidden="false" customHeight="false" outlineLevel="0" collapsed="false">
      <c r="A8066" s="0" t="n">
        <v>8062</v>
      </c>
      <c r="B8066" s="0" t="n">
        <v>12</v>
      </c>
      <c r="C8066" s="19" t="n">
        <v>0</v>
      </c>
      <c r="D8066" s="19" t="n">
        <v>0.4293</v>
      </c>
      <c r="E8066" s="20" t="n">
        <f aca="false">Parametres!$B$5*C8066</f>
        <v>0</v>
      </c>
      <c r="F8066" s="20" t="n">
        <f aca="false">Parametres!$B$6*D8066</f>
        <v>85.86</v>
      </c>
      <c r="G8066" s="20" t="n">
        <f aca="false">E8066+F8066</f>
        <v>85.86</v>
      </c>
      <c r="H8066" s="20" t="n">
        <f aca="false">IF(G8066&lt;Parametres!$B$8*Parametres!$B$7,0,MIN(G8066,Parametres!$B$7))</f>
        <v>85.86</v>
      </c>
      <c r="I8066" s="20" t="n">
        <f aca="false">G8066-H8066</f>
        <v>0</v>
      </c>
      <c r="J8066" s="21" t="n">
        <f aca="false">H8066*1000/Parametres!$B$9</f>
        <v>1455.99457351196</v>
      </c>
    </row>
    <row r="8067" customFormat="false" ht="15" hidden="false" customHeight="false" outlineLevel="0" collapsed="false">
      <c r="A8067" s="0" t="n">
        <v>8063</v>
      </c>
      <c r="B8067" s="0" t="n">
        <v>12</v>
      </c>
      <c r="C8067" s="19" t="n">
        <v>0</v>
      </c>
      <c r="D8067" s="19" t="n">
        <v>0.5345</v>
      </c>
      <c r="E8067" s="20" t="n">
        <f aca="false">Parametres!$B$5*C8067</f>
        <v>0</v>
      </c>
      <c r="F8067" s="20" t="n">
        <f aca="false">Parametres!$B$6*D8067</f>
        <v>106.9</v>
      </c>
      <c r="G8067" s="20" t="n">
        <f aca="false">E8067+F8067</f>
        <v>106.9</v>
      </c>
      <c r="H8067" s="20" t="n">
        <f aca="false">IF(G8067&lt;Parametres!$B$8*Parametres!$B$7,0,MIN(G8067,Parametres!$B$7))</f>
        <v>106.9</v>
      </c>
      <c r="I8067" s="20" t="n">
        <f aca="false">G8067-H8067</f>
        <v>0</v>
      </c>
      <c r="J8067" s="21" t="n">
        <f aca="false">H8067*1000/Parametres!$B$9</f>
        <v>1812.78616245549</v>
      </c>
    </row>
    <row r="8068" customFormat="false" ht="15" hidden="false" customHeight="false" outlineLevel="0" collapsed="false">
      <c r="A8068" s="0" t="n">
        <v>8064</v>
      </c>
      <c r="B8068" s="0" t="n">
        <v>12</v>
      </c>
      <c r="C8068" s="19" t="n">
        <v>0</v>
      </c>
      <c r="D8068" s="19" t="n">
        <v>0.5004</v>
      </c>
      <c r="E8068" s="20" t="n">
        <f aca="false">Parametres!$B$5*C8068</f>
        <v>0</v>
      </c>
      <c r="F8068" s="20" t="n">
        <f aca="false">Parametres!$B$6*D8068</f>
        <v>100.08</v>
      </c>
      <c r="G8068" s="20" t="n">
        <f aca="false">E8068+F8068</f>
        <v>100.08</v>
      </c>
      <c r="H8068" s="20" t="n">
        <f aca="false">IF(G8068&lt;Parametres!$B$8*Parametres!$B$7,0,MIN(G8068,Parametres!$B$7))</f>
        <v>100.08</v>
      </c>
      <c r="I8068" s="20" t="n">
        <f aca="false">G8068-H8068</f>
        <v>0</v>
      </c>
      <c r="J8068" s="21" t="n">
        <f aca="false">H8068*1000/Parametres!$B$9</f>
        <v>1697.13413600136</v>
      </c>
    </row>
    <row r="8069" customFormat="false" ht="15" hidden="false" customHeight="false" outlineLevel="0" collapsed="false">
      <c r="A8069" s="0" t="n">
        <v>8065</v>
      </c>
      <c r="B8069" s="0" t="n">
        <v>12</v>
      </c>
      <c r="C8069" s="19" t="n">
        <v>0</v>
      </c>
      <c r="D8069" s="19" t="n">
        <v>0.4908</v>
      </c>
      <c r="E8069" s="20" t="n">
        <f aca="false">Parametres!$B$5*C8069</f>
        <v>0</v>
      </c>
      <c r="F8069" s="20" t="n">
        <f aca="false">Parametres!$B$6*D8069</f>
        <v>98.16</v>
      </c>
      <c r="G8069" s="20" t="n">
        <f aca="false">E8069+F8069</f>
        <v>98.16</v>
      </c>
      <c r="H8069" s="20" t="n">
        <f aca="false">IF(G8069&lt;Parametres!$B$8*Parametres!$B$7,0,MIN(G8069,Parametres!$B$7))</f>
        <v>98.16</v>
      </c>
      <c r="I8069" s="20" t="n">
        <f aca="false">G8069-H8069</f>
        <v>0</v>
      </c>
      <c r="J8069" s="21" t="n">
        <f aca="false">H8069*1000/Parametres!$B$9</f>
        <v>1664.57520773275</v>
      </c>
    </row>
    <row r="8070" customFormat="false" ht="15" hidden="false" customHeight="false" outlineLevel="0" collapsed="false">
      <c r="A8070" s="0" t="n">
        <v>8066</v>
      </c>
      <c r="B8070" s="0" t="n">
        <v>12</v>
      </c>
      <c r="C8070" s="19" t="n">
        <v>0</v>
      </c>
      <c r="D8070" s="19" t="n">
        <v>0.4983</v>
      </c>
      <c r="E8070" s="20" t="n">
        <f aca="false">Parametres!$B$5*C8070</f>
        <v>0</v>
      </c>
      <c r="F8070" s="20" t="n">
        <f aca="false">Parametres!$B$6*D8070</f>
        <v>99.66</v>
      </c>
      <c r="G8070" s="20" t="n">
        <f aca="false">E8070+F8070</f>
        <v>99.66</v>
      </c>
      <c r="H8070" s="20" t="n">
        <f aca="false">IF(G8070&lt;Parametres!$B$8*Parametres!$B$7,0,MIN(G8070,Parametres!$B$7))</f>
        <v>99.66</v>
      </c>
      <c r="I8070" s="20" t="n">
        <f aca="false">G8070-H8070</f>
        <v>0</v>
      </c>
      <c r="J8070" s="21" t="n">
        <f aca="false">H8070*1000/Parametres!$B$9</f>
        <v>1690.0118704426</v>
      </c>
    </row>
    <row r="8071" customFormat="false" ht="15" hidden="false" customHeight="false" outlineLevel="0" collapsed="false">
      <c r="A8071" s="0" t="n">
        <v>8067</v>
      </c>
      <c r="B8071" s="0" t="n">
        <v>12</v>
      </c>
      <c r="C8071" s="19" t="n">
        <v>0</v>
      </c>
      <c r="D8071" s="19" t="n">
        <v>0.6506</v>
      </c>
      <c r="E8071" s="20" t="n">
        <f aca="false">Parametres!$B$5*C8071</f>
        <v>0</v>
      </c>
      <c r="F8071" s="20" t="n">
        <f aca="false">Parametres!$B$6*D8071</f>
        <v>130.12</v>
      </c>
      <c r="G8071" s="20" t="n">
        <f aca="false">E8071+F8071</f>
        <v>130.12</v>
      </c>
      <c r="H8071" s="20" t="n">
        <f aca="false">IF(G8071&lt;Parametres!$B$8*Parametres!$B$7,0,MIN(G8071,Parametres!$B$7))</f>
        <v>130.12</v>
      </c>
      <c r="I8071" s="20" t="n">
        <f aca="false">G8071-H8071</f>
        <v>0</v>
      </c>
      <c r="J8071" s="21" t="n">
        <f aca="false">H8071*1000/Parametres!$B$9</f>
        <v>2206.545701204</v>
      </c>
    </row>
    <row r="8072" customFormat="false" ht="15" hidden="false" customHeight="false" outlineLevel="0" collapsed="false">
      <c r="A8072" s="0" t="n">
        <v>8068</v>
      </c>
      <c r="B8072" s="0" t="n">
        <v>12</v>
      </c>
      <c r="C8072" s="19" t="n">
        <v>0</v>
      </c>
      <c r="D8072" s="19" t="n">
        <v>0.6907</v>
      </c>
      <c r="E8072" s="20" t="n">
        <f aca="false">Parametres!$B$5*C8072</f>
        <v>0</v>
      </c>
      <c r="F8072" s="20" t="n">
        <f aca="false">Parametres!$B$6*D8072</f>
        <v>138.14</v>
      </c>
      <c r="G8072" s="20" t="n">
        <f aca="false">E8072+F8072</f>
        <v>138.14</v>
      </c>
      <c r="H8072" s="20" t="n">
        <f aca="false">IF(G8072&lt;Parametres!$B$8*Parametres!$B$7,0,MIN(G8072,Parametres!$B$7))</f>
        <v>138.14</v>
      </c>
      <c r="I8072" s="20" t="n">
        <f aca="false">G8072-H8072</f>
        <v>0</v>
      </c>
      <c r="J8072" s="21" t="n">
        <f aca="false">H8072*1000/Parametres!$B$9</f>
        <v>2342.54705782601</v>
      </c>
    </row>
    <row r="8073" customFormat="false" ht="15" hidden="false" customHeight="false" outlineLevel="0" collapsed="false">
      <c r="A8073" s="0" t="n">
        <v>8069</v>
      </c>
      <c r="B8073" s="0" t="n">
        <v>12</v>
      </c>
      <c r="C8073" s="19" t="n">
        <v>0</v>
      </c>
      <c r="D8073" s="19" t="n">
        <v>0.6472</v>
      </c>
      <c r="E8073" s="20" t="n">
        <f aca="false">Parametres!$B$5*C8073</f>
        <v>0</v>
      </c>
      <c r="F8073" s="20" t="n">
        <f aca="false">Parametres!$B$6*D8073</f>
        <v>129.44</v>
      </c>
      <c r="G8073" s="20" t="n">
        <f aca="false">E8073+F8073</f>
        <v>129.44</v>
      </c>
      <c r="H8073" s="20" t="n">
        <f aca="false">IF(G8073&lt;Parametres!$B$8*Parametres!$B$7,0,MIN(G8073,Parametres!$B$7))</f>
        <v>129.44</v>
      </c>
      <c r="I8073" s="20" t="n">
        <f aca="false">G8073-H8073</f>
        <v>0</v>
      </c>
      <c r="J8073" s="21" t="n">
        <f aca="false">H8073*1000/Parametres!$B$9</f>
        <v>2195.01441410887</v>
      </c>
    </row>
    <row r="8074" customFormat="false" ht="15" hidden="false" customHeight="false" outlineLevel="0" collapsed="false">
      <c r="A8074" s="0" t="n">
        <v>8070</v>
      </c>
      <c r="B8074" s="0" t="n">
        <v>12</v>
      </c>
      <c r="C8074" s="19" t="n">
        <v>0</v>
      </c>
      <c r="D8074" s="19" t="n">
        <v>0.5885</v>
      </c>
      <c r="E8074" s="20" t="n">
        <f aca="false">Parametres!$B$5*C8074</f>
        <v>0</v>
      </c>
      <c r="F8074" s="20" t="n">
        <f aca="false">Parametres!$B$6*D8074</f>
        <v>117.7</v>
      </c>
      <c r="G8074" s="20" t="n">
        <f aca="false">E8074+F8074</f>
        <v>117.7</v>
      </c>
      <c r="H8074" s="20" t="n">
        <f aca="false">IF(G8074&lt;Parametres!$B$8*Parametres!$B$7,0,MIN(G8074,Parametres!$B$7))</f>
        <v>117.7</v>
      </c>
      <c r="I8074" s="20" t="n">
        <f aca="false">G8074-H8074</f>
        <v>0</v>
      </c>
      <c r="J8074" s="21" t="n">
        <f aca="false">H8074*1000/Parametres!$B$9</f>
        <v>1995.93013396642</v>
      </c>
    </row>
    <row r="8075" customFormat="false" ht="15" hidden="false" customHeight="false" outlineLevel="0" collapsed="false">
      <c r="A8075" s="0" t="n">
        <v>8071</v>
      </c>
      <c r="B8075" s="0" t="n">
        <v>12</v>
      </c>
      <c r="C8075" s="19" t="n">
        <v>0</v>
      </c>
      <c r="D8075" s="19" t="n">
        <v>0.5818</v>
      </c>
      <c r="E8075" s="20" t="n">
        <f aca="false">Parametres!$B$5*C8075</f>
        <v>0</v>
      </c>
      <c r="F8075" s="20" t="n">
        <f aca="false">Parametres!$B$6*D8075</f>
        <v>116.36</v>
      </c>
      <c r="G8075" s="20" t="n">
        <f aca="false">E8075+F8075</f>
        <v>116.36</v>
      </c>
      <c r="H8075" s="20" t="n">
        <f aca="false">IF(G8075&lt;Parametres!$B$8*Parametres!$B$7,0,MIN(G8075,Parametres!$B$7))</f>
        <v>116.36</v>
      </c>
      <c r="I8075" s="20" t="n">
        <f aca="false">G8075-H8075</f>
        <v>0</v>
      </c>
      <c r="J8075" s="21" t="n">
        <f aca="false">H8075*1000/Parametres!$B$9</f>
        <v>1973.20671527896</v>
      </c>
    </row>
    <row r="8076" customFormat="false" ht="15" hidden="false" customHeight="false" outlineLevel="0" collapsed="false">
      <c r="A8076" s="0" t="n">
        <v>8072</v>
      </c>
      <c r="B8076" s="0" t="n">
        <v>12</v>
      </c>
      <c r="C8076" s="19" t="n">
        <v>0.1347</v>
      </c>
      <c r="D8076" s="19" t="n">
        <v>0.5908</v>
      </c>
      <c r="E8076" s="20" t="n">
        <f aca="false">Parametres!$B$5*C8076</f>
        <v>40.41</v>
      </c>
      <c r="F8076" s="20" t="n">
        <f aca="false">Parametres!$B$6*D8076</f>
        <v>118.16</v>
      </c>
      <c r="G8076" s="20" t="n">
        <f aca="false">E8076+F8076</f>
        <v>158.57</v>
      </c>
      <c r="H8076" s="20" t="n">
        <f aca="false">IF(G8076&lt;Parametres!$B$8*Parametres!$B$7,0,MIN(G8076,Parametres!$B$7))</f>
        <v>158.57</v>
      </c>
      <c r="I8076" s="20" t="n">
        <f aca="false">G8076-H8076</f>
        <v>0</v>
      </c>
      <c r="J8076" s="21" t="n">
        <f aca="false">H8076*1000/Parametres!$B$9</f>
        <v>2688.9944039342</v>
      </c>
    </row>
    <row r="8077" customFormat="false" ht="15" hidden="false" customHeight="false" outlineLevel="0" collapsed="false">
      <c r="A8077" s="0" t="n">
        <v>8073</v>
      </c>
      <c r="B8077" s="0" t="n">
        <v>12</v>
      </c>
      <c r="C8077" s="19" t="n">
        <v>0.3728</v>
      </c>
      <c r="D8077" s="19" t="n">
        <v>0.4951</v>
      </c>
      <c r="E8077" s="20" t="n">
        <f aca="false">Parametres!$B$5*C8077</f>
        <v>111.84</v>
      </c>
      <c r="F8077" s="20" t="n">
        <f aca="false">Parametres!$B$6*D8077</f>
        <v>99.02</v>
      </c>
      <c r="G8077" s="20" t="n">
        <f aca="false">E8077+F8077</f>
        <v>210.86</v>
      </c>
      <c r="H8077" s="20" t="n">
        <f aca="false">IF(G8077&lt;Parametres!$B$8*Parametres!$B$7,0,MIN(G8077,Parametres!$B$7))</f>
        <v>210.86</v>
      </c>
      <c r="I8077" s="20" t="n">
        <f aca="false">G8077-H8077</f>
        <v>0</v>
      </c>
      <c r="J8077" s="21" t="n">
        <f aca="false">H8077*1000/Parametres!$B$9</f>
        <v>3575.71646599966</v>
      </c>
    </row>
    <row r="8078" customFormat="false" ht="15" hidden="false" customHeight="false" outlineLevel="0" collapsed="false">
      <c r="A8078" s="0" t="n">
        <v>8074</v>
      </c>
      <c r="B8078" s="0" t="n">
        <v>12</v>
      </c>
      <c r="C8078" s="19" t="n">
        <v>0.5355</v>
      </c>
      <c r="D8078" s="19" t="n">
        <v>0.4209</v>
      </c>
      <c r="E8078" s="20" t="n">
        <f aca="false">Parametres!$B$5*C8078</f>
        <v>160.65</v>
      </c>
      <c r="F8078" s="20" t="n">
        <f aca="false">Parametres!$B$6*D8078</f>
        <v>84.18</v>
      </c>
      <c r="G8078" s="20" t="n">
        <f aca="false">E8078+F8078</f>
        <v>244.83</v>
      </c>
      <c r="H8078" s="20" t="n">
        <f aca="false">IF(G8078&lt;Parametres!$B$8*Parametres!$B$7,0,MIN(G8078,Parametres!$B$7))</f>
        <v>244.83</v>
      </c>
      <c r="I8078" s="20" t="n">
        <f aca="false">G8078-H8078</f>
        <v>0</v>
      </c>
      <c r="J8078" s="21" t="n">
        <f aca="false">H8078*1000/Parametres!$B$9</f>
        <v>4151.77208750212</v>
      </c>
    </row>
    <row r="8079" customFormat="false" ht="15" hidden="false" customHeight="false" outlineLevel="0" collapsed="false">
      <c r="A8079" s="0" t="n">
        <v>8075</v>
      </c>
      <c r="B8079" s="0" t="n">
        <v>12</v>
      </c>
      <c r="C8079" s="19" t="n">
        <v>0.7504</v>
      </c>
      <c r="D8079" s="19" t="n">
        <v>0.7964</v>
      </c>
      <c r="E8079" s="20" t="n">
        <f aca="false">Parametres!$B$5*C8079</f>
        <v>225.12</v>
      </c>
      <c r="F8079" s="20" t="n">
        <f aca="false">Parametres!$B$6*D8079</f>
        <v>159.28</v>
      </c>
      <c r="G8079" s="20" t="n">
        <f aca="false">E8079+F8079</f>
        <v>384.4</v>
      </c>
      <c r="H8079" s="20" t="n">
        <f aca="false">IF(G8079&lt;Parametres!$B$8*Parametres!$B$7,0,MIN(G8079,Parametres!$B$7))</f>
        <v>250</v>
      </c>
      <c r="I8079" s="20" t="n">
        <f aca="false">G8079-H8079</f>
        <v>134.4</v>
      </c>
      <c r="J8079" s="21" t="n">
        <f aca="false">H8079*1000/Parametres!$B$9</f>
        <v>4239.44378497541</v>
      </c>
    </row>
    <row r="8080" customFormat="false" ht="15" hidden="false" customHeight="false" outlineLevel="0" collapsed="false">
      <c r="A8080" s="0" t="n">
        <v>8076</v>
      </c>
      <c r="B8080" s="0" t="n">
        <v>12</v>
      </c>
      <c r="C8080" s="19" t="n">
        <v>0.7842</v>
      </c>
      <c r="D8080" s="19" t="n">
        <v>1</v>
      </c>
      <c r="E8080" s="20" t="n">
        <f aca="false">Parametres!$B$5*C8080</f>
        <v>235.26</v>
      </c>
      <c r="F8080" s="20" t="n">
        <f aca="false">Parametres!$B$6*D8080</f>
        <v>200</v>
      </c>
      <c r="G8080" s="20" t="n">
        <f aca="false">E8080+F8080</f>
        <v>435.26</v>
      </c>
      <c r="H8080" s="20" t="n">
        <f aca="false">IF(G8080&lt;Parametres!$B$8*Parametres!$B$7,0,MIN(G8080,Parametres!$B$7))</f>
        <v>250</v>
      </c>
      <c r="I8080" s="20" t="n">
        <f aca="false">G8080-H8080</f>
        <v>185.26</v>
      </c>
      <c r="J8080" s="21" t="n">
        <f aca="false">H8080*1000/Parametres!$B$9</f>
        <v>4239.44378497541</v>
      </c>
    </row>
    <row r="8081" customFormat="false" ht="15" hidden="false" customHeight="false" outlineLevel="0" collapsed="false">
      <c r="A8081" s="0" t="n">
        <v>8077</v>
      </c>
      <c r="B8081" s="0" t="n">
        <v>12</v>
      </c>
      <c r="C8081" s="19" t="n">
        <v>0.7311</v>
      </c>
      <c r="D8081" s="19" t="n">
        <v>1</v>
      </c>
      <c r="E8081" s="20" t="n">
        <f aca="false">Parametres!$B$5*C8081</f>
        <v>219.33</v>
      </c>
      <c r="F8081" s="20" t="n">
        <f aca="false">Parametres!$B$6*D8081</f>
        <v>200</v>
      </c>
      <c r="G8081" s="20" t="n">
        <f aca="false">E8081+F8081</f>
        <v>419.33</v>
      </c>
      <c r="H8081" s="20" t="n">
        <f aca="false">IF(G8081&lt;Parametres!$B$8*Parametres!$B$7,0,MIN(G8081,Parametres!$B$7))</f>
        <v>250</v>
      </c>
      <c r="I8081" s="20" t="n">
        <f aca="false">G8081-H8081</f>
        <v>169.33</v>
      </c>
      <c r="J8081" s="21" t="n">
        <f aca="false">H8081*1000/Parametres!$B$9</f>
        <v>4239.44378497541</v>
      </c>
    </row>
    <row r="8082" customFormat="false" ht="15" hidden="false" customHeight="false" outlineLevel="0" collapsed="false">
      <c r="A8082" s="0" t="n">
        <v>8078</v>
      </c>
      <c r="B8082" s="0" t="n">
        <v>12</v>
      </c>
      <c r="C8082" s="19" t="n">
        <v>0.7209</v>
      </c>
      <c r="D8082" s="19" t="n">
        <v>1</v>
      </c>
      <c r="E8082" s="20" t="n">
        <f aca="false">Parametres!$B$5*C8082</f>
        <v>216.27</v>
      </c>
      <c r="F8082" s="20" t="n">
        <f aca="false">Parametres!$B$6*D8082</f>
        <v>200</v>
      </c>
      <c r="G8082" s="20" t="n">
        <f aca="false">E8082+F8082</f>
        <v>416.27</v>
      </c>
      <c r="H8082" s="20" t="n">
        <f aca="false">IF(G8082&lt;Parametres!$B$8*Parametres!$B$7,0,MIN(G8082,Parametres!$B$7))</f>
        <v>250</v>
      </c>
      <c r="I8082" s="20" t="n">
        <f aca="false">G8082-H8082</f>
        <v>166.27</v>
      </c>
      <c r="J8082" s="21" t="n">
        <f aca="false">H8082*1000/Parametres!$B$9</f>
        <v>4239.44378497541</v>
      </c>
    </row>
    <row r="8083" customFormat="false" ht="15" hidden="false" customHeight="false" outlineLevel="0" collapsed="false">
      <c r="A8083" s="0" t="n">
        <v>8079</v>
      </c>
      <c r="B8083" s="0" t="n">
        <v>12</v>
      </c>
      <c r="C8083" s="19" t="n">
        <v>0.5414</v>
      </c>
      <c r="D8083" s="19" t="n">
        <v>1</v>
      </c>
      <c r="E8083" s="20" t="n">
        <f aca="false">Parametres!$B$5*C8083</f>
        <v>162.42</v>
      </c>
      <c r="F8083" s="20" t="n">
        <f aca="false">Parametres!$B$6*D8083</f>
        <v>200</v>
      </c>
      <c r="G8083" s="20" t="n">
        <f aca="false">E8083+F8083</f>
        <v>362.42</v>
      </c>
      <c r="H8083" s="20" t="n">
        <f aca="false">IF(G8083&lt;Parametres!$B$8*Parametres!$B$7,0,MIN(G8083,Parametres!$B$7))</f>
        <v>250</v>
      </c>
      <c r="I8083" s="20" t="n">
        <f aca="false">G8083-H8083</f>
        <v>112.42</v>
      </c>
      <c r="J8083" s="21" t="n">
        <f aca="false">H8083*1000/Parametres!$B$9</f>
        <v>4239.44378497541</v>
      </c>
    </row>
    <row r="8084" customFormat="false" ht="15" hidden="false" customHeight="false" outlineLevel="0" collapsed="false">
      <c r="A8084" s="0" t="n">
        <v>8080</v>
      </c>
      <c r="B8084" s="0" t="n">
        <v>12</v>
      </c>
      <c r="C8084" s="19" t="n">
        <v>0.348</v>
      </c>
      <c r="D8084" s="19" t="n">
        <v>1</v>
      </c>
      <c r="E8084" s="20" t="n">
        <f aca="false">Parametres!$B$5*C8084</f>
        <v>104.4</v>
      </c>
      <c r="F8084" s="20" t="n">
        <f aca="false">Parametres!$B$6*D8084</f>
        <v>200</v>
      </c>
      <c r="G8084" s="20" t="n">
        <f aca="false">E8084+F8084</f>
        <v>304.4</v>
      </c>
      <c r="H8084" s="20" t="n">
        <f aca="false">IF(G8084&lt;Parametres!$B$8*Parametres!$B$7,0,MIN(G8084,Parametres!$B$7))</f>
        <v>250</v>
      </c>
      <c r="I8084" s="20" t="n">
        <f aca="false">G8084-H8084</f>
        <v>54.4</v>
      </c>
      <c r="J8084" s="21" t="n">
        <f aca="false">H8084*1000/Parametres!$B$9</f>
        <v>4239.44378497541</v>
      </c>
    </row>
    <row r="8085" customFormat="false" ht="15" hidden="false" customHeight="false" outlineLevel="0" collapsed="false">
      <c r="A8085" s="0" t="n">
        <v>8081</v>
      </c>
      <c r="B8085" s="0" t="n">
        <v>12</v>
      </c>
      <c r="C8085" s="19" t="n">
        <v>0.1335</v>
      </c>
      <c r="D8085" s="19" t="n">
        <v>1</v>
      </c>
      <c r="E8085" s="20" t="n">
        <f aca="false">Parametres!$B$5*C8085</f>
        <v>40.05</v>
      </c>
      <c r="F8085" s="20" t="n">
        <f aca="false">Parametres!$B$6*D8085</f>
        <v>200</v>
      </c>
      <c r="G8085" s="20" t="n">
        <f aca="false">E8085+F8085</f>
        <v>240.05</v>
      </c>
      <c r="H8085" s="20" t="n">
        <f aca="false">IF(G8085&lt;Parametres!$B$8*Parametres!$B$7,0,MIN(G8085,Parametres!$B$7))</f>
        <v>240.05</v>
      </c>
      <c r="I8085" s="20" t="n">
        <f aca="false">G8085-H8085</f>
        <v>0</v>
      </c>
      <c r="J8085" s="21" t="n">
        <f aca="false">H8085*1000/Parametres!$B$9</f>
        <v>4070.71392233339</v>
      </c>
    </row>
    <row r="8086" customFormat="false" ht="15" hidden="false" customHeight="false" outlineLevel="0" collapsed="false">
      <c r="A8086" s="0" t="n">
        <v>8082</v>
      </c>
      <c r="B8086" s="0" t="n">
        <v>12</v>
      </c>
      <c r="C8086" s="19" t="n">
        <v>0</v>
      </c>
      <c r="D8086" s="19" t="n">
        <v>1</v>
      </c>
      <c r="E8086" s="20" t="n">
        <f aca="false">Parametres!$B$5*C8086</f>
        <v>0</v>
      </c>
      <c r="F8086" s="20" t="n">
        <f aca="false">Parametres!$B$6*D8086</f>
        <v>200</v>
      </c>
      <c r="G8086" s="20" t="n">
        <f aca="false">E8086+F8086</f>
        <v>200</v>
      </c>
      <c r="H8086" s="20" t="n">
        <f aca="false">IF(G8086&lt;Parametres!$B$8*Parametres!$B$7,0,MIN(G8086,Parametres!$B$7))</f>
        <v>200</v>
      </c>
      <c r="I8086" s="20" t="n">
        <f aca="false">G8086-H8086</f>
        <v>0</v>
      </c>
      <c r="J8086" s="21" t="n">
        <f aca="false">H8086*1000/Parametres!$B$9</f>
        <v>3391.55502798033</v>
      </c>
    </row>
    <row r="8087" customFormat="false" ht="15" hidden="false" customHeight="false" outlineLevel="0" collapsed="false">
      <c r="A8087" s="0" t="n">
        <v>8083</v>
      </c>
      <c r="B8087" s="0" t="n">
        <v>12</v>
      </c>
      <c r="C8087" s="19" t="n">
        <v>0</v>
      </c>
      <c r="D8087" s="19" t="n">
        <v>1</v>
      </c>
      <c r="E8087" s="20" t="n">
        <f aca="false">Parametres!$B$5*C8087</f>
        <v>0</v>
      </c>
      <c r="F8087" s="20" t="n">
        <f aca="false">Parametres!$B$6*D8087</f>
        <v>200</v>
      </c>
      <c r="G8087" s="20" t="n">
        <f aca="false">E8087+F8087</f>
        <v>200</v>
      </c>
      <c r="H8087" s="20" t="n">
        <f aca="false">IF(G8087&lt;Parametres!$B$8*Parametres!$B$7,0,MIN(G8087,Parametres!$B$7))</f>
        <v>200</v>
      </c>
      <c r="I8087" s="20" t="n">
        <f aca="false">G8087-H8087</f>
        <v>0</v>
      </c>
      <c r="J8087" s="21" t="n">
        <f aca="false">H8087*1000/Parametres!$B$9</f>
        <v>3391.55502798033</v>
      </c>
    </row>
    <row r="8088" customFormat="false" ht="15" hidden="false" customHeight="false" outlineLevel="0" collapsed="false">
      <c r="A8088" s="0" t="n">
        <v>8084</v>
      </c>
      <c r="B8088" s="0" t="n">
        <v>12</v>
      </c>
      <c r="C8088" s="19" t="n">
        <v>0</v>
      </c>
      <c r="D8088" s="19" t="n">
        <v>1</v>
      </c>
      <c r="E8088" s="20" t="n">
        <f aca="false">Parametres!$B$5*C8088</f>
        <v>0</v>
      </c>
      <c r="F8088" s="20" t="n">
        <f aca="false">Parametres!$B$6*D8088</f>
        <v>200</v>
      </c>
      <c r="G8088" s="20" t="n">
        <f aca="false">E8088+F8088</f>
        <v>200</v>
      </c>
      <c r="H8088" s="20" t="n">
        <f aca="false">IF(G8088&lt;Parametres!$B$8*Parametres!$B$7,0,MIN(G8088,Parametres!$B$7))</f>
        <v>200</v>
      </c>
      <c r="I8088" s="20" t="n">
        <f aca="false">G8088-H8088</f>
        <v>0</v>
      </c>
      <c r="J8088" s="21" t="n">
        <f aca="false">H8088*1000/Parametres!$B$9</f>
        <v>3391.55502798033</v>
      </c>
    </row>
    <row r="8089" customFormat="false" ht="15" hidden="false" customHeight="false" outlineLevel="0" collapsed="false">
      <c r="A8089" s="0" t="n">
        <v>8085</v>
      </c>
      <c r="B8089" s="0" t="n">
        <v>12</v>
      </c>
      <c r="C8089" s="19" t="n">
        <v>0</v>
      </c>
      <c r="D8089" s="19" t="n">
        <v>1</v>
      </c>
      <c r="E8089" s="20" t="n">
        <f aca="false">Parametres!$B$5*C8089</f>
        <v>0</v>
      </c>
      <c r="F8089" s="20" t="n">
        <f aca="false">Parametres!$B$6*D8089</f>
        <v>200</v>
      </c>
      <c r="G8089" s="20" t="n">
        <f aca="false">E8089+F8089</f>
        <v>200</v>
      </c>
      <c r="H8089" s="20" t="n">
        <f aca="false">IF(G8089&lt;Parametres!$B$8*Parametres!$B$7,0,MIN(G8089,Parametres!$B$7))</f>
        <v>200</v>
      </c>
      <c r="I8089" s="20" t="n">
        <f aca="false">G8089-H8089</f>
        <v>0</v>
      </c>
      <c r="J8089" s="21" t="n">
        <f aca="false">H8089*1000/Parametres!$B$9</f>
        <v>3391.55502798033</v>
      </c>
    </row>
    <row r="8090" customFormat="false" ht="15" hidden="false" customHeight="false" outlineLevel="0" collapsed="false">
      <c r="A8090" s="0" t="n">
        <v>8086</v>
      </c>
      <c r="B8090" s="0" t="n">
        <v>12</v>
      </c>
      <c r="C8090" s="19" t="n">
        <v>0</v>
      </c>
      <c r="D8090" s="19" t="n">
        <v>1</v>
      </c>
      <c r="E8090" s="20" t="n">
        <f aca="false">Parametres!$B$5*C8090</f>
        <v>0</v>
      </c>
      <c r="F8090" s="20" t="n">
        <f aca="false">Parametres!$B$6*D8090</f>
        <v>200</v>
      </c>
      <c r="G8090" s="20" t="n">
        <f aca="false">E8090+F8090</f>
        <v>200</v>
      </c>
      <c r="H8090" s="20" t="n">
        <f aca="false">IF(G8090&lt;Parametres!$B$8*Parametres!$B$7,0,MIN(G8090,Parametres!$B$7))</f>
        <v>200</v>
      </c>
      <c r="I8090" s="20" t="n">
        <f aca="false">G8090-H8090</f>
        <v>0</v>
      </c>
      <c r="J8090" s="21" t="n">
        <f aca="false">H8090*1000/Parametres!$B$9</f>
        <v>3391.55502798033</v>
      </c>
    </row>
    <row r="8091" customFormat="false" ht="15" hidden="false" customHeight="false" outlineLevel="0" collapsed="false">
      <c r="A8091" s="0" t="n">
        <v>8087</v>
      </c>
      <c r="B8091" s="0" t="n">
        <v>12</v>
      </c>
      <c r="C8091" s="19" t="n">
        <v>0</v>
      </c>
      <c r="D8091" s="19" t="n">
        <v>0.7003</v>
      </c>
      <c r="E8091" s="20" t="n">
        <f aca="false">Parametres!$B$5*C8091</f>
        <v>0</v>
      </c>
      <c r="F8091" s="20" t="n">
        <f aca="false">Parametres!$B$6*D8091</f>
        <v>140.06</v>
      </c>
      <c r="G8091" s="20" t="n">
        <f aca="false">E8091+F8091</f>
        <v>140.06</v>
      </c>
      <c r="H8091" s="20" t="n">
        <f aca="false">IF(G8091&lt;Parametres!$B$8*Parametres!$B$7,0,MIN(G8091,Parametres!$B$7))</f>
        <v>140.06</v>
      </c>
      <c r="I8091" s="20" t="n">
        <f aca="false">G8091-H8091</f>
        <v>0</v>
      </c>
      <c r="J8091" s="21" t="n">
        <f aca="false">H8091*1000/Parametres!$B$9</f>
        <v>2375.10598609462</v>
      </c>
    </row>
    <row r="8092" customFormat="false" ht="15" hidden="false" customHeight="false" outlineLevel="0" collapsed="false">
      <c r="A8092" s="0" t="n">
        <v>8088</v>
      </c>
      <c r="B8092" s="0" t="n">
        <v>12</v>
      </c>
      <c r="C8092" s="19" t="n">
        <v>0</v>
      </c>
      <c r="D8092" s="19" t="n">
        <v>0.4473</v>
      </c>
      <c r="E8092" s="20" t="n">
        <f aca="false">Parametres!$B$5*C8092</f>
        <v>0</v>
      </c>
      <c r="F8092" s="20" t="n">
        <f aca="false">Parametres!$B$6*D8092</f>
        <v>89.46</v>
      </c>
      <c r="G8092" s="20" t="n">
        <f aca="false">E8092+F8092</f>
        <v>89.46</v>
      </c>
      <c r="H8092" s="20" t="n">
        <f aca="false">IF(G8092&lt;Parametres!$B$8*Parametres!$B$7,0,MIN(G8092,Parametres!$B$7))</f>
        <v>89.46</v>
      </c>
      <c r="I8092" s="20" t="n">
        <f aca="false">G8092-H8092</f>
        <v>0</v>
      </c>
      <c r="J8092" s="21" t="n">
        <f aca="false">H8092*1000/Parametres!$B$9</f>
        <v>1517.0425640156</v>
      </c>
    </row>
    <row r="8093" customFormat="false" ht="15" hidden="false" customHeight="false" outlineLevel="0" collapsed="false">
      <c r="A8093" s="0" t="n">
        <v>8089</v>
      </c>
      <c r="B8093" s="0" t="n">
        <v>12</v>
      </c>
      <c r="C8093" s="19" t="n">
        <v>0</v>
      </c>
      <c r="D8093" s="19" t="n">
        <v>0.3623</v>
      </c>
      <c r="E8093" s="20" t="n">
        <f aca="false">Parametres!$B$5*C8093</f>
        <v>0</v>
      </c>
      <c r="F8093" s="20" t="n">
        <f aca="false">Parametres!$B$6*D8093</f>
        <v>72.46</v>
      </c>
      <c r="G8093" s="20" t="n">
        <f aca="false">E8093+F8093</f>
        <v>72.46</v>
      </c>
      <c r="H8093" s="20" t="n">
        <f aca="false">IF(G8093&lt;Parametres!$B$8*Parametres!$B$7,0,MIN(G8093,Parametres!$B$7))</f>
        <v>72.46</v>
      </c>
      <c r="I8093" s="20" t="n">
        <f aca="false">G8093-H8093</f>
        <v>0</v>
      </c>
      <c r="J8093" s="21" t="n">
        <f aca="false">H8093*1000/Parametres!$B$9</f>
        <v>1228.76038663727</v>
      </c>
    </row>
    <row r="8094" customFormat="false" ht="15" hidden="false" customHeight="false" outlineLevel="0" collapsed="false">
      <c r="A8094" s="0" t="n">
        <v>8090</v>
      </c>
      <c r="B8094" s="0" t="n">
        <v>12</v>
      </c>
      <c r="C8094" s="19" t="n">
        <v>0</v>
      </c>
      <c r="D8094" s="19" t="n">
        <v>0.2245</v>
      </c>
      <c r="E8094" s="20" t="n">
        <f aca="false">Parametres!$B$5*C8094</f>
        <v>0</v>
      </c>
      <c r="F8094" s="20" t="n">
        <f aca="false">Parametres!$B$6*D8094</f>
        <v>44.9</v>
      </c>
      <c r="G8094" s="20" t="n">
        <f aca="false">E8094+F8094</f>
        <v>44.9</v>
      </c>
      <c r="H8094" s="20" t="n">
        <f aca="false">IF(G8094&lt;Parametres!$B$8*Parametres!$B$7,0,MIN(G8094,Parametres!$B$7))</f>
        <v>44.9</v>
      </c>
      <c r="I8094" s="20" t="n">
        <f aca="false">G8094-H8094</f>
        <v>0</v>
      </c>
      <c r="J8094" s="21" t="n">
        <f aca="false">H8094*1000/Parametres!$B$9</f>
        <v>761.404103781584</v>
      </c>
    </row>
    <row r="8095" customFormat="false" ht="15" hidden="false" customHeight="false" outlineLevel="0" collapsed="false">
      <c r="A8095" s="0" t="n">
        <v>8091</v>
      </c>
      <c r="B8095" s="0" t="n">
        <v>12</v>
      </c>
      <c r="C8095" s="19" t="n">
        <v>0</v>
      </c>
      <c r="D8095" s="19" t="n">
        <v>0.0811</v>
      </c>
      <c r="E8095" s="20" t="n">
        <f aca="false">Parametres!$B$5*C8095</f>
        <v>0</v>
      </c>
      <c r="F8095" s="20" t="n">
        <f aca="false">Parametres!$B$6*D8095</f>
        <v>16.22</v>
      </c>
      <c r="G8095" s="20" t="n">
        <f aca="false">E8095+F8095</f>
        <v>16.22</v>
      </c>
      <c r="H8095" s="20" t="n">
        <f aca="false">IF(G8095&lt;Parametres!$B$8*Parametres!$B$7,0,MIN(G8095,Parametres!$B$7))</f>
        <v>0</v>
      </c>
      <c r="I8095" s="20" t="n">
        <f aca="false">G8095-H8095</f>
        <v>16.22</v>
      </c>
      <c r="J8095" s="21" t="n">
        <f aca="false">H8095*1000/Parametres!$B$9</f>
        <v>0</v>
      </c>
    </row>
    <row r="8096" customFormat="false" ht="15" hidden="false" customHeight="false" outlineLevel="0" collapsed="false">
      <c r="A8096" s="0" t="n">
        <v>8092</v>
      </c>
      <c r="B8096" s="0" t="n">
        <v>12</v>
      </c>
      <c r="C8096" s="19" t="n">
        <v>0</v>
      </c>
      <c r="D8096" s="19" t="n">
        <v>0.0426</v>
      </c>
      <c r="E8096" s="20" t="n">
        <f aca="false">Parametres!$B$5*C8096</f>
        <v>0</v>
      </c>
      <c r="F8096" s="20" t="n">
        <f aca="false">Parametres!$B$6*D8096</f>
        <v>8.52</v>
      </c>
      <c r="G8096" s="20" t="n">
        <f aca="false">E8096+F8096</f>
        <v>8.52</v>
      </c>
      <c r="H8096" s="20" t="n">
        <f aca="false">IF(G8096&lt;Parametres!$B$8*Parametres!$B$7,0,MIN(G8096,Parametres!$B$7))</f>
        <v>0</v>
      </c>
      <c r="I8096" s="20" t="n">
        <f aca="false">G8096-H8096</f>
        <v>8.52</v>
      </c>
      <c r="J8096" s="21" t="n">
        <f aca="false">H8096*1000/Parametres!$B$9</f>
        <v>0</v>
      </c>
    </row>
    <row r="8097" customFormat="false" ht="15" hidden="false" customHeight="false" outlineLevel="0" collapsed="false">
      <c r="A8097" s="0" t="n">
        <v>8093</v>
      </c>
      <c r="B8097" s="0" t="n">
        <v>12</v>
      </c>
      <c r="C8097" s="19" t="n">
        <v>0</v>
      </c>
      <c r="D8097" s="19" t="n">
        <v>0.035</v>
      </c>
      <c r="E8097" s="20" t="n">
        <f aca="false">Parametres!$B$5*C8097</f>
        <v>0</v>
      </c>
      <c r="F8097" s="20" t="n">
        <f aca="false">Parametres!$B$6*D8097</f>
        <v>7</v>
      </c>
      <c r="G8097" s="20" t="n">
        <f aca="false">E8097+F8097</f>
        <v>7</v>
      </c>
      <c r="H8097" s="20" t="n">
        <f aca="false">IF(G8097&lt;Parametres!$B$8*Parametres!$B$7,0,MIN(G8097,Parametres!$B$7))</f>
        <v>0</v>
      </c>
      <c r="I8097" s="20" t="n">
        <f aca="false">G8097-H8097</f>
        <v>7</v>
      </c>
      <c r="J8097" s="21" t="n">
        <f aca="false">H8097*1000/Parametres!$B$9</f>
        <v>0</v>
      </c>
    </row>
    <row r="8098" customFormat="false" ht="15" hidden="false" customHeight="false" outlineLevel="0" collapsed="false">
      <c r="A8098" s="0" t="n">
        <v>8094</v>
      </c>
      <c r="B8098" s="0" t="n">
        <v>12</v>
      </c>
      <c r="C8098" s="19" t="n">
        <v>0</v>
      </c>
      <c r="D8098" s="19" t="n">
        <v>0.0256</v>
      </c>
      <c r="E8098" s="20" t="n">
        <f aca="false">Parametres!$B$5*C8098</f>
        <v>0</v>
      </c>
      <c r="F8098" s="20" t="n">
        <f aca="false">Parametres!$B$6*D8098</f>
        <v>5.12</v>
      </c>
      <c r="G8098" s="20" t="n">
        <f aca="false">E8098+F8098</f>
        <v>5.12</v>
      </c>
      <c r="H8098" s="20" t="n">
        <f aca="false">IF(G8098&lt;Parametres!$B$8*Parametres!$B$7,0,MIN(G8098,Parametres!$B$7))</f>
        <v>0</v>
      </c>
      <c r="I8098" s="20" t="n">
        <f aca="false">G8098-H8098</f>
        <v>5.12</v>
      </c>
      <c r="J8098" s="21" t="n">
        <f aca="false">H8098*1000/Parametres!$B$9</f>
        <v>0</v>
      </c>
    </row>
    <row r="8099" customFormat="false" ht="15" hidden="false" customHeight="false" outlineLevel="0" collapsed="false">
      <c r="A8099" s="0" t="n">
        <v>8095</v>
      </c>
      <c r="B8099" s="0" t="n">
        <v>12</v>
      </c>
      <c r="C8099" s="19" t="n">
        <v>0</v>
      </c>
      <c r="D8099" s="19" t="n">
        <v>0.0247</v>
      </c>
      <c r="E8099" s="20" t="n">
        <f aca="false">Parametres!$B$5*C8099</f>
        <v>0</v>
      </c>
      <c r="F8099" s="20" t="n">
        <f aca="false">Parametres!$B$6*D8099</f>
        <v>4.94</v>
      </c>
      <c r="G8099" s="20" t="n">
        <f aca="false">E8099+F8099</f>
        <v>4.94</v>
      </c>
      <c r="H8099" s="20" t="n">
        <f aca="false">IF(G8099&lt;Parametres!$B$8*Parametres!$B$7,0,MIN(G8099,Parametres!$B$7))</f>
        <v>0</v>
      </c>
      <c r="I8099" s="20" t="n">
        <f aca="false">G8099-H8099</f>
        <v>4.94</v>
      </c>
      <c r="J8099" s="21" t="n">
        <f aca="false">H8099*1000/Parametres!$B$9</f>
        <v>0</v>
      </c>
    </row>
    <row r="8100" customFormat="false" ht="15" hidden="false" customHeight="false" outlineLevel="0" collapsed="false">
      <c r="A8100" s="0" t="n">
        <v>8096</v>
      </c>
      <c r="B8100" s="0" t="n">
        <v>12</v>
      </c>
      <c r="C8100" s="19" t="n">
        <v>0.1398</v>
      </c>
      <c r="D8100" s="19" t="n">
        <v>0.0162</v>
      </c>
      <c r="E8100" s="20" t="n">
        <f aca="false">Parametres!$B$5*C8100</f>
        <v>41.94</v>
      </c>
      <c r="F8100" s="20" t="n">
        <f aca="false">Parametres!$B$6*D8100</f>
        <v>3.24</v>
      </c>
      <c r="G8100" s="20" t="n">
        <f aca="false">E8100+F8100</f>
        <v>45.18</v>
      </c>
      <c r="H8100" s="20" t="n">
        <f aca="false">IF(G8100&lt;Parametres!$B$8*Parametres!$B$7,0,MIN(G8100,Parametres!$B$7))</f>
        <v>45.18</v>
      </c>
      <c r="I8100" s="20" t="n">
        <f aca="false">G8100-H8100</f>
        <v>0</v>
      </c>
      <c r="J8100" s="21" t="n">
        <f aca="false">H8100*1000/Parametres!$B$9</f>
        <v>766.152280820757</v>
      </c>
    </row>
    <row r="8101" customFormat="false" ht="15" hidden="false" customHeight="false" outlineLevel="0" collapsed="false">
      <c r="A8101" s="0" t="n">
        <v>8097</v>
      </c>
      <c r="B8101" s="0" t="n">
        <v>12</v>
      </c>
      <c r="C8101" s="19" t="n">
        <v>0.3938</v>
      </c>
      <c r="D8101" s="19" t="n">
        <v>0.0259</v>
      </c>
      <c r="E8101" s="20" t="n">
        <f aca="false">Parametres!$B$5*C8101</f>
        <v>118.14</v>
      </c>
      <c r="F8101" s="20" t="n">
        <f aca="false">Parametres!$B$6*D8101</f>
        <v>5.18</v>
      </c>
      <c r="G8101" s="20" t="n">
        <f aca="false">E8101+F8101</f>
        <v>123.32</v>
      </c>
      <c r="H8101" s="20" t="n">
        <f aca="false">IF(G8101&lt;Parametres!$B$8*Parametres!$B$7,0,MIN(G8101,Parametres!$B$7))</f>
        <v>123.32</v>
      </c>
      <c r="I8101" s="20" t="n">
        <f aca="false">G8101-H8101</f>
        <v>0</v>
      </c>
      <c r="J8101" s="21" t="n">
        <f aca="false">H8101*1000/Parametres!$B$9</f>
        <v>2091.23283025267</v>
      </c>
    </row>
    <row r="8102" customFormat="false" ht="15" hidden="false" customHeight="false" outlineLevel="0" collapsed="false">
      <c r="A8102" s="0" t="n">
        <v>8098</v>
      </c>
      <c r="B8102" s="0" t="n">
        <v>12</v>
      </c>
      <c r="C8102" s="19" t="n">
        <v>0.5938</v>
      </c>
      <c r="D8102" s="19" t="n">
        <v>0.0539</v>
      </c>
      <c r="E8102" s="20" t="n">
        <f aca="false">Parametres!$B$5*C8102</f>
        <v>178.14</v>
      </c>
      <c r="F8102" s="20" t="n">
        <f aca="false">Parametres!$B$6*D8102</f>
        <v>10.78</v>
      </c>
      <c r="G8102" s="20" t="n">
        <f aca="false">E8102+F8102</f>
        <v>188.92</v>
      </c>
      <c r="H8102" s="20" t="n">
        <f aca="false">IF(G8102&lt;Parametres!$B$8*Parametres!$B$7,0,MIN(G8102,Parametres!$B$7))</f>
        <v>188.92</v>
      </c>
      <c r="I8102" s="20" t="n">
        <f aca="false">G8102-H8102</f>
        <v>0</v>
      </c>
      <c r="J8102" s="21" t="n">
        <f aca="false">H8102*1000/Parametres!$B$9</f>
        <v>3203.66287943022</v>
      </c>
    </row>
    <row r="8103" customFormat="false" ht="15" hidden="false" customHeight="false" outlineLevel="0" collapsed="false">
      <c r="A8103" s="0" t="n">
        <v>8099</v>
      </c>
      <c r="B8103" s="0" t="n">
        <v>12</v>
      </c>
      <c r="C8103" s="19" t="n">
        <v>0.7725</v>
      </c>
      <c r="D8103" s="19" t="n">
        <v>0.1417</v>
      </c>
      <c r="E8103" s="20" t="n">
        <f aca="false">Parametres!$B$5*C8103</f>
        <v>231.75</v>
      </c>
      <c r="F8103" s="20" t="n">
        <f aca="false">Parametres!$B$6*D8103</f>
        <v>28.34</v>
      </c>
      <c r="G8103" s="20" t="n">
        <f aca="false">E8103+F8103</f>
        <v>260.09</v>
      </c>
      <c r="H8103" s="20" t="n">
        <f aca="false">IF(G8103&lt;Parametres!$B$8*Parametres!$B$7,0,MIN(G8103,Parametres!$B$7))</f>
        <v>250</v>
      </c>
      <c r="I8103" s="20" t="n">
        <f aca="false">G8103-H8103</f>
        <v>10.09</v>
      </c>
      <c r="J8103" s="21" t="n">
        <f aca="false">H8103*1000/Parametres!$B$9</f>
        <v>4239.44378497541</v>
      </c>
    </row>
    <row r="8104" customFormat="false" ht="15" hidden="false" customHeight="false" outlineLevel="0" collapsed="false">
      <c r="A8104" s="0" t="n">
        <v>8100</v>
      </c>
      <c r="B8104" s="0" t="n">
        <v>12</v>
      </c>
      <c r="C8104" s="19" t="n">
        <v>0.8291</v>
      </c>
      <c r="D8104" s="19" t="n">
        <v>0.2157</v>
      </c>
      <c r="E8104" s="20" t="n">
        <f aca="false">Parametres!$B$5*C8104</f>
        <v>248.73</v>
      </c>
      <c r="F8104" s="20" t="n">
        <f aca="false">Parametres!$B$6*D8104</f>
        <v>43.14</v>
      </c>
      <c r="G8104" s="20" t="n">
        <f aca="false">E8104+F8104</f>
        <v>291.87</v>
      </c>
      <c r="H8104" s="20" t="n">
        <f aca="false">IF(G8104&lt;Parametres!$B$8*Parametres!$B$7,0,MIN(G8104,Parametres!$B$7))</f>
        <v>250</v>
      </c>
      <c r="I8104" s="20" t="n">
        <f aca="false">G8104-H8104</f>
        <v>41.87</v>
      </c>
      <c r="J8104" s="21" t="n">
        <f aca="false">H8104*1000/Parametres!$B$9</f>
        <v>4239.44378497541</v>
      </c>
    </row>
    <row r="8105" customFormat="false" ht="15" hidden="false" customHeight="false" outlineLevel="0" collapsed="false">
      <c r="A8105" s="0" t="n">
        <v>8101</v>
      </c>
      <c r="B8105" s="0" t="n">
        <v>12</v>
      </c>
      <c r="C8105" s="19" t="n">
        <v>0.8352</v>
      </c>
      <c r="D8105" s="19" t="n">
        <v>0.2304</v>
      </c>
      <c r="E8105" s="20" t="n">
        <f aca="false">Parametres!$B$5*C8105</f>
        <v>250.56</v>
      </c>
      <c r="F8105" s="20" t="n">
        <f aca="false">Parametres!$B$6*D8105</f>
        <v>46.08</v>
      </c>
      <c r="G8105" s="20" t="n">
        <f aca="false">E8105+F8105</f>
        <v>296.64</v>
      </c>
      <c r="H8105" s="20" t="n">
        <f aca="false">IF(G8105&lt;Parametres!$B$8*Parametres!$B$7,0,MIN(G8105,Parametres!$B$7))</f>
        <v>250</v>
      </c>
      <c r="I8105" s="20" t="n">
        <f aca="false">G8105-H8105</f>
        <v>46.64</v>
      </c>
      <c r="J8105" s="21" t="n">
        <f aca="false">H8105*1000/Parametres!$B$9</f>
        <v>4239.44378497541</v>
      </c>
    </row>
    <row r="8106" customFormat="false" ht="15" hidden="false" customHeight="false" outlineLevel="0" collapsed="false">
      <c r="A8106" s="0" t="n">
        <v>8102</v>
      </c>
      <c r="B8106" s="0" t="n">
        <v>12</v>
      </c>
      <c r="C8106" s="19" t="n">
        <v>0.7643</v>
      </c>
      <c r="D8106" s="19" t="n">
        <v>0.3623</v>
      </c>
      <c r="E8106" s="20" t="n">
        <f aca="false">Parametres!$B$5*C8106</f>
        <v>229.29</v>
      </c>
      <c r="F8106" s="20" t="n">
        <f aca="false">Parametres!$B$6*D8106</f>
        <v>72.46</v>
      </c>
      <c r="G8106" s="20" t="n">
        <f aca="false">E8106+F8106</f>
        <v>301.75</v>
      </c>
      <c r="H8106" s="20" t="n">
        <f aca="false">IF(G8106&lt;Parametres!$B$8*Parametres!$B$7,0,MIN(G8106,Parametres!$B$7))</f>
        <v>250</v>
      </c>
      <c r="I8106" s="20" t="n">
        <f aca="false">G8106-H8106</f>
        <v>51.75</v>
      </c>
      <c r="J8106" s="21" t="n">
        <f aca="false">H8106*1000/Parametres!$B$9</f>
        <v>4239.44378497541</v>
      </c>
    </row>
    <row r="8107" customFormat="false" ht="15" hidden="false" customHeight="false" outlineLevel="0" collapsed="false">
      <c r="A8107" s="0" t="n">
        <v>8103</v>
      </c>
      <c r="B8107" s="0" t="n">
        <v>12</v>
      </c>
      <c r="C8107" s="19" t="n">
        <v>0.5934</v>
      </c>
      <c r="D8107" s="19" t="n">
        <v>0.2293</v>
      </c>
      <c r="E8107" s="20" t="n">
        <f aca="false">Parametres!$B$5*C8107</f>
        <v>178.02</v>
      </c>
      <c r="F8107" s="20" t="n">
        <f aca="false">Parametres!$B$6*D8107</f>
        <v>45.86</v>
      </c>
      <c r="G8107" s="20" t="n">
        <f aca="false">E8107+F8107</f>
        <v>223.88</v>
      </c>
      <c r="H8107" s="20" t="n">
        <f aca="false">IF(G8107&lt;Parametres!$B$8*Parametres!$B$7,0,MIN(G8107,Parametres!$B$7))</f>
        <v>223.88</v>
      </c>
      <c r="I8107" s="20" t="n">
        <f aca="false">G8107-H8107</f>
        <v>0</v>
      </c>
      <c r="J8107" s="21" t="n">
        <f aca="false">H8107*1000/Parametres!$B$9</f>
        <v>3796.50669832118</v>
      </c>
    </row>
    <row r="8108" customFormat="false" ht="15" hidden="false" customHeight="false" outlineLevel="0" collapsed="false">
      <c r="A8108" s="0" t="n">
        <v>8104</v>
      </c>
      <c r="B8108" s="0" t="n">
        <v>12</v>
      </c>
      <c r="C8108" s="19" t="n">
        <v>0.3619</v>
      </c>
      <c r="D8108" s="19" t="n">
        <v>0.0806</v>
      </c>
      <c r="E8108" s="20" t="n">
        <f aca="false">Parametres!$B$5*C8108</f>
        <v>108.57</v>
      </c>
      <c r="F8108" s="20" t="n">
        <f aca="false">Parametres!$B$6*D8108</f>
        <v>16.12</v>
      </c>
      <c r="G8108" s="20" t="n">
        <f aca="false">E8108+F8108</f>
        <v>124.69</v>
      </c>
      <c r="H8108" s="20" t="n">
        <f aca="false">IF(G8108&lt;Parametres!$B$8*Parametres!$B$7,0,MIN(G8108,Parametres!$B$7))</f>
        <v>124.69</v>
      </c>
      <c r="I8108" s="20" t="n">
        <f aca="false">G8108-H8108</f>
        <v>0</v>
      </c>
      <c r="J8108" s="21" t="n">
        <f aca="false">H8108*1000/Parametres!$B$9</f>
        <v>2114.46498219434</v>
      </c>
    </row>
    <row r="8109" customFormat="false" ht="15" hidden="false" customHeight="false" outlineLevel="0" collapsed="false">
      <c r="A8109" s="0" t="n">
        <v>8105</v>
      </c>
      <c r="B8109" s="0" t="n">
        <v>12</v>
      </c>
      <c r="C8109" s="19" t="n">
        <v>0.1419</v>
      </c>
      <c r="D8109" s="19" t="n">
        <v>0.1825</v>
      </c>
      <c r="E8109" s="20" t="n">
        <f aca="false">Parametres!$B$5*C8109</f>
        <v>42.57</v>
      </c>
      <c r="F8109" s="20" t="n">
        <f aca="false">Parametres!$B$6*D8109</f>
        <v>36.5</v>
      </c>
      <c r="G8109" s="20" t="n">
        <f aca="false">E8109+F8109</f>
        <v>79.07</v>
      </c>
      <c r="H8109" s="20" t="n">
        <f aca="false">IF(G8109&lt;Parametres!$B$8*Parametres!$B$7,0,MIN(G8109,Parametres!$B$7))</f>
        <v>79.07</v>
      </c>
      <c r="I8109" s="20" t="n">
        <f aca="false">G8109-H8109</f>
        <v>0</v>
      </c>
      <c r="J8109" s="21" t="n">
        <f aca="false">H8109*1000/Parametres!$B$9</f>
        <v>1340.85128031202</v>
      </c>
    </row>
    <row r="8110" customFormat="false" ht="15" hidden="false" customHeight="false" outlineLevel="0" collapsed="false">
      <c r="A8110" s="0" t="n">
        <v>8106</v>
      </c>
      <c r="B8110" s="0" t="n">
        <v>12</v>
      </c>
      <c r="C8110" s="19" t="n">
        <v>0</v>
      </c>
      <c r="D8110" s="19" t="n">
        <v>0.1814</v>
      </c>
      <c r="E8110" s="20" t="n">
        <f aca="false">Parametres!$B$5*C8110</f>
        <v>0</v>
      </c>
      <c r="F8110" s="20" t="n">
        <f aca="false">Parametres!$B$6*D8110</f>
        <v>36.28</v>
      </c>
      <c r="G8110" s="20" t="n">
        <f aca="false">E8110+F8110</f>
        <v>36.28</v>
      </c>
      <c r="H8110" s="20" t="n">
        <f aca="false">IF(G8110&lt;Parametres!$B$8*Parametres!$B$7,0,MIN(G8110,Parametres!$B$7))</f>
        <v>36.28</v>
      </c>
      <c r="I8110" s="20" t="n">
        <f aca="false">G8110-H8110</f>
        <v>0</v>
      </c>
      <c r="J8110" s="21" t="n">
        <f aca="false">H8110*1000/Parametres!$B$9</f>
        <v>615.228082075632</v>
      </c>
    </row>
    <row r="8111" customFormat="false" ht="15" hidden="false" customHeight="false" outlineLevel="0" collapsed="false">
      <c r="A8111" s="0" t="n">
        <v>8107</v>
      </c>
      <c r="B8111" s="0" t="n">
        <v>12</v>
      </c>
      <c r="C8111" s="19" t="n">
        <v>0</v>
      </c>
      <c r="D8111" s="19" t="n">
        <v>0.0923</v>
      </c>
      <c r="E8111" s="20" t="n">
        <f aca="false">Parametres!$B$5*C8111</f>
        <v>0</v>
      </c>
      <c r="F8111" s="20" t="n">
        <f aca="false">Parametres!$B$6*D8111</f>
        <v>18.46</v>
      </c>
      <c r="G8111" s="20" t="n">
        <f aca="false">E8111+F8111</f>
        <v>18.46</v>
      </c>
      <c r="H8111" s="20" t="n">
        <f aca="false">IF(G8111&lt;Parametres!$B$8*Parametres!$B$7,0,MIN(G8111,Parametres!$B$7))</f>
        <v>0</v>
      </c>
      <c r="I8111" s="20" t="n">
        <f aca="false">G8111-H8111</f>
        <v>18.46</v>
      </c>
      <c r="J8111" s="21" t="n">
        <f aca="false">H8111*1000/Parametres!$B$9</f>
        <v>0</v>
      </c>
    </row>
    <row r="8112" customFormat="false" ht="15" hidden="false" customHeight="false" outlineLevel="0" collapsed="false">
      <c r="A8112" s="0" t="n">
        <v>8108</v>
      </c>
      <c r="B8112" s="0" t="n">
        <v>12</v>
      </c>
      <c r="C8112" s="19" t="n">
        <v>0</v>
      </c>
      <c r="D8112" s="19" t="n">
        <v>0.1714</v>
      </c>
      <c r="E8112" s="20" t="n">
        <f aca="false">Parametres!$B$5*C8112</f>
        <v>0</v>
      </c>
      <c r="F8112" s="20" t="n">
        <f aca="false">Parametres!$B$6*D8112</f>
        <v>34.28</v>
      </c>
      <c r="G8112" s="20" t="n">
        <f aca="false">E8112+F8112</f>
        <v>34.28</v>
      </c>
      <c r="H8112" s="20" t="n">
        <f aca="false">IF(G8112&lt;Parametres!$B$8*Parametres!$B$7,0,MIN(G8112,Parametres!$B$7))</f>
        <v>34.28</v>
      </c>
      <c r="I8112" s="20" t="n">
        <f aca="false">G8112-H8112</f>
        <v>0</v>
      </c>
      <c r="J8112" s="21" t="n">
        <f aca="false">H8112*1000/Parametres!$B$9</f>
        <v>581.312531795828</v>
      </c>
    </row>
    <row r="8113" customFormat="false" ht="15" hidden="false" customHeight="false" outlineLevel="0" collapsed="false">
      <c r="A8113" s="0" t="n">
        <v>8109</v>
      </c>
      <c r="B8113" s="0" t="n">
        <v>12</v>
      </c>
      <c r="C8113" s="19" t="n">
        <v>0</v>
      </c>
      <c r="D8113" s="19" t="n">
        <v>0.286</v>
      </c>
      <c r="E8113" s="20" t="n">
        <f aca="false">Parametres!$B$5*C8113</f>
        <v>0</v>
      </c>
      <c r="F8113" s="20" t="n">
        <f aca="false">Parametres!$B$6*D8113</f>
        <v>57.2</v>
      </c>
      <c r="G8113" s="20" t="n">
        <f aca="false">E8113+F8113</f>
        <v>57.2</v>
      </c>
      <c r="H8113" s="20" t="n">
        <f aca="false">IF(G8113&lt;Parametres!$B$8*Parametres!$B$7,0,MIN(G8113,Parametres!$B$7))</f>
        <v>57.2</v>
      </c>
      <c r="I8113" s="20" t="n">
        <f aca="false">G8113-H8113</f>
        <v>0</v>
      </c>
      <c r="J8113" s="21" t="n">
        <f aca="false">H8113*1000/Parametres!$B$9</f>
        <v>969.984738002374</v>
      </c>
    </row>
    <row r="8114" customFormat="false" ht="15" hidden="false" customHeight="false" outlineLevel="0" collapsed="false">
      <c r="A8114" s="0" t="n">
        <v>8110</v>
      </c>
      <c r="B8114" s="0" t="n">
        <v>12</v>
      </c>
      <c r="C8114" s="19" t="n">
        <v>0</v>
      </c>
      <c r="D8114" s="19" t="n">
        <v>0.3078</v>
      </c>
      <c r="E8114" s="20" t="n">
        <f aca="false">Parametres!$B$5*C8114</f>
        <v>0</v>
      </c>
      <c r="F8114" s="20" t="n">
        <f aca="false">Parametres!$B$6*D8114</f>
        <v>61.56</v>
      </c>
      <c r="G8114" s="20" t="n">
        <f aca="false">E8114+F8114</f>
        <v>61.56</v>
      </c>
      <c r="H8114" s="20" t="n">
        <f aca="false">IF(G8114&lt;Parametres!$B$8*Parametres!$B$7,0,MIN(G8114,Parametres!$B$7))</f>
        <v>61.56</v>
      </c>
      <c r="I8114" s="20" t="n">
        <f aca="false">G8114-H8114</f>
        <v>0</v>
      </c>
      <c r="J8114" s="21" t="n">
        <f aca="false">H8114*1000/Parametres!$B$9</f>
        <v>1043.92063761235</v>
      </c>
    </row>
    <row r="8115" customFormat="false" ht="15" hidden="false" customHeight="false" outlineLevel="0" collapsed="false">
      <c r="A8115" s="0" t="n">
        <v>8111</v>
      </c>
      <c r="B8115" s="0" t="n">
        <v>12</v>
      </c>
      <c r="C8115" s="19" t="n">
        <v>0</v>
      </c>
      <c r="D8115" s="19" t="n">
        <v>0.2239</v>
      </c>
      <c r="E8115" s="20" t="n">
        <f aca="false">Parametres!$B$5*C8115</f>
        <v>0</v>
      </c>
      <c r="F8115" s="20" t="n">
        <f aca="false">Parametres!$B$6*D8115</f>
        <v>44.78</v>
      </c>
      <c r="G8115" s="20" t="n">
        <f aca="false">E8115+F8115</f>
        <v>44.78</v>
      </c>
      <c r="H8115" s="20" t="n">
        <f aca="false">IF(G8115&lt;Parametres!$B$8*Parametres!$B$7,0,MIN(G8115,Parametres!$B$7))</f>
        <v>44.78</v>
      </c>
      <c r="I8115" s="20" t="n">
        <f aca="false">G8115-H8115</f>
        <v>0</v>
      </c>
      <c r="J8115" s="21" t="n">
        <f aca="false">H8115*1000/Parametres!$B$9</f>
        <v>759.369170764796</v>
      </c>
    </row>
    <row r="8116" customFormat="false" ht="15" hidden="false" customHeight="false" outlineLevel="0" collapsed="false">
      <c r="A8116" s="0" t="n">
        <v>8112</v>
      </c>
      <c r="B8116" s="0" t="n">
        <v>12</v>
      </c>
      <c r="C8116" s="19" t="n">
        <v>0</v>
      </c>
      <c r="D8116" s="19" t="n">
        <v>0.4219</v>
      </c>
      <c r="E8116" s="20" t="n">
        <f aca="false">Parametres!$B$5*C8116</f>
        <v>0</v>
      </c>
      <c r="F8116" s="20" t="n">
        <f aca="false">Parametres!$B$6*D8116</f>
        <v>84.38</v>
      </c>
      <c r="G8116" s="20" t="n">
        <f aca="false">E8116+F8116</f>
        <v>84.38</v>
      </c>
      <c r="H8116" s="20" t="n">
        <f aca="false">IF(G8116&lt;Parametres!$B$8*Parametres!$B$7,0,MIN(G8116,Parametres!$B$7))</f>
        <v>84.38</v>
      </c>
      <c r="I8116" s="20" t="n">
        <f aca="false">G8116-H8116</f>
        <v>0</v>
      </c>
      <c r="J8116" s="21" t="n">
        <f aca="false">H8116*1000/Parametres!$B$9</f>
        <v>1430.8970663049</v>
      </c>
    </row>
    <row r="8117" customFormat="false" ht="15" hidden="false" customHeight="false" outlineLevel="0" collapsed="false">
      <c r="A8117" s="0" t="n">
        <v>8113</v>
      </c>
      <c r="B8117" s="0" t="n">
        <v>12</v>
      </c>
      <c r="C8117" s="19" t="n">
        <v>0</v>
      </c>
      <c r="D8117" s="19" t="n">
        <v>0.3107</v>
      </c>
      <c r="E8117" s="20" t="n">
        <f aca="false">Parametres!$B$5*C8117</f>
        <v>0</v>
      </c>
      <c r="F8117" s="20" t="n">
        <f aca="false">Parametres!$B$6*D8117</f>
        <v>62.14</v>
      </c>
      <c r="G8117" s="20" t="n">
        <f aca="false">E8117+F8117</f>
        <v>62.14</v>
      </c>
      <c r="H8117" s="20" t="n">
        <f aca="false">IF(G8117&lt;Parametres!$B$8*Parametres!$B$7,0,MIN(G8117,Parametres!$B$7))</f>
        <v>62.14</v>
      </c>
      <c r="I8117" s="20" t="n">
        <f aca="false">G8117-H8117</f>
        <v>0</v>
      </c>
      <c r="J8117" s="21" t="n">
        <f aca="false">H8117*1000/Parametres!$B$9</f>
        <v>1053.75614719349</v>
      </c>
    </row>
    <row r="8118" customFormat="false" ht="15" hidden="false" customHeight="false" outlineLevel="0" collapsed="false">
      <c r="A8118" s="0" t="n">
        <v>8114</v>
      </c>
      <c r="B8118" s="0" t="n">
        <v>12</v>
      </c>
      <c r="C8118" s="19" t="n">
        <v>0</v>
      </c>
      <c r="D8118" s="19" t="n">
        <v>0.2466</v>
      </c>
      <c r="E8118" s="20" t="n">
        <f aca="false">Parametres!$B$5*C8118</f>
        <v>0</v>
      </c>
      <c r="F8118" s="20" t="n">
        <f aca="false">Parametres!$B$6*D8118</f>
        <v>49.32</v>
      </c>
      <c r="G8118" s="20" t="n">
        <f aca="false">E8118+F8118</f>
        <v>49.32</v>
      </c>
      <c r="H8118" s="20" t="n">
        <f aca="false">IF(G8118&lt;Parametres!$B$8*Parametres!$B$7,0,MIN(G8118,Parametres!$B$7))</f>
        <v>49.32</v>
      </c>
      <c r="I8118" s="20" t="n">
        <f aca="false">G8118-H8118</f>
        <v>0</v>
      </c>
      <c r="J8118" s="21" t="n">
        <f aca="false">H8118*1000/Parametres!$B$9</f>
        <v>836.357469899949</v>
      </c>
    </row>
    <row r="8119" customFormat="false" ht="15" hidden="false" customHeight="false" outlineLevel="0" collapsed="false">
      <c r="A8119" s="0" t="n">
        <v>8115</v>
      </c>
      <c r="B8119" s="0" t="n">
        <v>12</v>
      </c>
      <c r="C8119" s="19" t="n">
        <v>0</v>
      </c>
      <c r="D8119" s="19" t="n">
        <v>0.1923</v>
      </c>
      <c r="E8119" s="20" t="n">
        <f aca="false">Parametres!$B$5*C8119</f>
        <v>0</v>
      </c>
      <c r="F8119" s="20" t="n">
        <f aca="false">Parametres!$B$6*D8119</f>
        <v>38.46</v>
      </c>
      <c r="G8119" s="20" t="n">
        <f aca="false">E8119+F8119</f>
        <v>38.46</v>
      </c>
      <c r="H8119" s="20" t="n">
        <f aca="false">IF(G8119&lt;Parametres!$B$8*Parametres!$B$7,0,MIN(G8119,Parametres!$B$7))</f>
        <v>38.46</v>
      </c>
      <c r="I8119" s="20" t="n">
        <f aca="false">G8119-H8119</f>
        <v>0</v>
      </c>
      <c r="J8119" s="21" t="n">
        <f aca="false">H8119*1000/Parametres!$B$9</f>
        <v>652.196031880617</v>
      </c>
    </row>
    <row r="8120" customFormat="false" ht="15" hidden="false" customHeight="false" outlineLevel="0" collapsed="false">
      <c r="A8120" s="0" t="n">
        <v>8116</v>
      </c>
      <c r="B8120" s="0" t="n">
        <v>12</v>
      </c>
      <c r="C8120" s="19" t="n">
        <v>0</v>
      </c>
      <c r="D8120" s="19" t="n">
        <v>0.1813</v>
      </c>
      <c r="E8120" s="20" t="n">
        <f aca="false">Parametres!$B$5*C8120</f>
        <v>0</v>
      </c>
      <c r="F8120" s="20" t="n">
        <f aca="false">Parametres!$B$6*D8120</f>
        <v>36.26</v>
      </c>
      <c r="G8120" s="20" t="n">
        <f aca="false">E8120+F8120</f>
        <v>36.26</v>
      </c>
      <c r="H8120" s="20" t="n">
        <f aca="false">IF(G8120&lt;Parametres!$B$8*Parametres!$B$7,0,MIN(G8120,Parametres!$B$7))</f>
        <v>36.26</v>
      </c>
      <c r="I8120" s="20" t="n">
        <f aca="false">G8120-H8120</f>
        <v>0</v>
      </c>
      <c r="J8120" s="21" t="n">
        <f aca="false">H8120*1000/Parametres!$B$9</f>
        <v>614.888926572834</v>
      </c>
    </row>
    <row r="8121" customFormat="false" ht="15" hidden="false" customHeight="false" outlineLevel="0" collapsed="false">
      <c r="A8121" s="0" t="n">
        <v>8117</v>
      </c>
      <c r="B8121" s="0" t="n">
        <v>12</v>
      </c>
      <c r="C8121" s="19" t="n">
        <v>0</v>
      </c>
      <c r="D8121" s="19" t="n">
        <v>0.0872</v>
      </c>
      <c r="E8121" s="20" t="n">
        <f aca="false">Parametres!$B$5*C8121</f>
        <v>0</v>
      </c>
      <c r="F8121" s="20" t="n">
        <f aca="false">Parametres!$B$6*D8121</f>
        <v>17.44</v>
      </c>
      <c r="G8121" s="20" t="n">
        <f aca="false">E8121+F8121</f>
        <v>17.44</v>
      </c>
      <c r="H8121" s="20" t="n">
        <f aca="false">IF(G8121&lt;Parametres!$B$8*Parametres!$B$7,0,MIN(G8121,Parametres!$B$7))</f>
        <v>0</v>
      </c>
      <c r="I8121" s="20" t="n">
        <f aca="false">G8121-H8121</f>
        <v>17.44</v>
      </c>
      <c r="J8121" s="21" t="n">
        <f aca="false">H8121*1000/Parametres!$B$9</f>
        <v>0</v>
      </c>
    </row>
    <row r="8122" customFormat="false" ht="15" hidden="false" customHeight="false" outlineLevel="0" collapsed="false">
      <c r="A8122" s="0" t="n">
        <v>8118</v>
      </c>
      <c r="B8122" s="0" t="n">
        <v>12</v>
      </c>
      <c r="C8122" s="19" t="n">
        <v>0</v>
      </c>
      <c r="D8122" s="19" t="n">
        <v>0.0673</v>
      </c>
      <c r="E8122" s="20" t="n">
        <f aca="false">Parametres!$B$5*C8122</f>
        <v>0</v>
      </c>
      <c r="F8122" s="20" t="n">
        <f aca="false">Parametres!$B$6*D8122</f>
        <v>13.46</v>
      </c>
      <c r="G8122" s="20" t="n">
        <f aca="false">E8122+F8122</f>
        <v>13.46</v>
      </c>
      <c r="H8122" s="20" t="n">
        <f aca="false">IF(G8122&lt;Parametres!$B$8*Parametres!$B$7,0,MIN(G8122,Parametres!$B$7))</f>
        <v>0</v>
      </c>
      <c r="I8122" s="20" t="n">
        <f aca="false">G8122-H8122</f>
        <v>13.46</v>
      </c>
      <c r="J8122" s="21" t="n">
        <f aca="false">H8122*1000/Parametres!$B$9</f>
        <v>0</v>
      </c>
    </row>
    <row r="8123" customFormat="false" ht="15" hidden="false" customHeight="false" outlineLevel="0" collapsed="false">
      <c r="A8123" s="0" t="n">
        <v>8119</v>
      </c>
      <c r="B8123" s="0" t="n">
        <v>12</v>
      </c>
      <c r="C8123" s="19" t="n">
        <v>0</v>
      </c>
      <c r="D8123" s="19" t="n">
        <v>0.0912</v>
      </c>
      <c r="E8123" s="20" t="n">
        <f aca="false">Parametres!$B$5*C8123</f>
        <v>0</v>
      </c>
      <c r="F8123" s="20" t="n">
        <f aca="false">Parametres!$B$6*D8123</f>
        <v>18.24</v>
      </c>
      <c r="G8123" s="20" t="n">
        <f aca="false">E8123+F8123</f>
        <v>18.24</v>
      </c>
      <c r="H8123" s="20" t="n">
        <f aca="false">IF(G8123&lt;Parametres!$B$8*Parametres!$B$7,0,MIN(G8123,Parametres!$B$7))</f>
        <v>0</v>
      </c>
      <c r="I8123" s="20" t="n">
        <f aca="false">G8123-H8123</f>
        <v>18.24</v>
      </c>
      <c r="J8123" s="21" t="n">
        <f aca="false">H8123*1000/Parametres!$B$9</f>
        <v>0</v>
      </c>
    </row>
    <row r="8124" customFormat="false" ht="15" hidden="false" customHeight="false" outlineLevel="0" collapsed="false">
      <c r="A8124" s="0" t="n">
        <v>8120</v>
      </c>
      <c r="B8124" s="0" t="n">
        <v>12</v>
      </c>
      <c r="C8124" s="19" t="n">
        <v>0.089</v>
      </c>
      <c r="D8124" s="19" t="n">
        <v>0.2199</v>
      </c>
      <c r="E8124" s="20" t="n">
        <f aca="false">Parametres!$B$5*C8124</f>
        <v>26.7</v>
      </c>
      <c r="F8124" s="20" t="n">
        <f aca="false">Parametres!$B$6*D8124</f>
        <v>43.98</v>
      </c>
      <c r="G8124" s="20" t="n">
        <f aca="false">E8124+F8124</f>
        <v>70.68</v>
      </c>
      <c r="H8124" s="20" t="n">
        <f aca="false">IF(G8124&lt;Parametres!$B$8*Parametres!$B$7,0,MIN(G8124,Parametres!$B$7))</f>
        <v>70.68</v>
      </c>
      <c r="I8124" s="20" t="n">
        <f aca="false">G8124-H8124</f>
        <v>0</v>
      </c>
      <c r="J8124" s="21" t="n">
        <f aca="false">H8124*1000/Parametres!$B$9</f>
        <v>1198.57554688825</v>
      </c>
    </row>
    <row r="8125" customFormat="false" ht="15" hidden="false" customHeight="false" outlineLevel="0" collapsed="false">
      <c r="A8125" s="0" t="n">
        <v>8121</v>
      </c>
      <c r="B8125" s="0" t="n">
        <v>12</v>
      </c>
      <c r="C8125" s="19" t="n">
        <v>0.2328</v>
      </c>
      <c r="D8125" s="19" t="n">
        <v>0.2201</v>
      </c>
      <c r="E8125" s="20" t="n">
        <f aca="false">Parametres!$B$5*C8125</f>
        <v>69.84</v>
      </c>
      <c r="F8125" s="20" t="n">
        <f aca="false">Parametres!$B$6*D8125</f>
        <v>44.02</v>
      </c>
      <c r="G8125" s="20" t="n">
        <f aca="false">E8125+F8125</f>
        <v>113.86</v>
      </c>
      <c r="H8125" s="20" t="n">
        <f aca="false">IF(G8125&lt;Parametres!$B$8*Parametres!$B$7,0,MIN(G8125,Parametres!$B$7))</f>
        <v>113.86</v>
      </c>
      <c r="I8125" s="20" t="n">
        <f aca="false">G8125-H8125</f>
        <v>0</v>
      </c>
      <c r="J8125" s="21" t="n">
        <f aca="false">H8125*1000/Parametres!$B$9</f>
        <v>1930.8122774292</v>
      </c>
    </row>
    <row r="8126" customFormat="false" ht="15" hidden="false" customHeight="false" outlineLevel="0" collapsed="false">
      <c r="A8126" s="0" t="n">
        <v>8122</v>
      </c>
      <c r="B8126" s="0" t="n">
        <v>12</v>
      </c>
      <c r="C8126" s="19" t="n">
        <v>0.3621</v>
      </c>
      <c r="D8126" s="19" t="n">
        <v>0.2268</v>
      </c>
      <c r="E8126" s="20" t="n">
        <f aca="false">Parametres!$B$5*C8126</f>
        <v>108.63</v>
      </c>
      <c r="F8126" s="20" t="n">
        <f aca="false">Parametres!$B$6*D8126</f>
        <v>45.36</v>
      </c>
      <c r="G8126" s="20" t="n">
        <f aca="false">E8126+F8126</f>
        <v>153.99</v>
      </c>
      <c r="H8126" s="20" t="n">
        <f aca="false">IF(G8126&lt;Parametres!$B$8*Parametres!$B$7,0,MIN(G8126,Parametres!$B$7))</f>
        <v>153.99</v>
      </c>
      <c r="I8126" s="20" t="n">
        <f aca="false">G8126-H8126</f>
        <v>0</v>
      </c>
      <c r="J8126" s="21" t="n">
        <f aca="false">H8126*1000/Parametres!$B$9</f>
        <v>2611.32779379345</v>
      </c>
    </row>
    <row r="8127" customFormat="false" ht="15" hidden="false" customHeight="false" outlineLevel="0" collapsed="false">
      <c r="A8127" s="0" t="n">
        <v>8123</v>
      </c>
      <c r="B8127" s="0" t="n">
        <v>12</v>
      </c>
      <c r="C8127" s="19" t="n">
        <v>0.4578</v>
      </c>
      <c r="D8127" s="19" t="n">
        <v>0.2856</v>
      </c>
      <c r="E8127" s="20" t="n">
        <f aca="false">Parametres!$B$5*C8127</f>
        <v>137.34</v>
      </c>
      <c r="F8127" s="20" t="n">
        <f aca="false">Parametres!$B$6*D8127</f>
        <v>57.12</v>
      </c>
      <c r="G8127" s="20" t="n">
        <f aca="false">E8127+F8127</f>
        <v>194.46</v>
      </c>
      <c r="H8127" s="20" t="n">
        <f aca="false">IF(G8127&lt;Parametres!$B$8*Parametres!$B$7,0,MIN(G8127,Parametres!$B$7))</f>
        <v>194.46</v>
      </c>
      <c r="I8127" s="20" t="n">
        <f aca="false">G8127-H8127</f>
        <v>0</v>
      </c>
      <c r="J8127" s="21" t="n">
        <f aca="false">H8127*1000/Parametres!$B$9</f>
        <v>3297.60895370527</v>
      </c>
    </row>
    <row r="8128" customFormat="false" ht="15" hidden="false" customHeight="false" outlineLevel="0" collapsed="false">
      <c r="A8128" s="0" t="n">
        <v>8124</v>
      </c>
      <c r="B8128" s="0" t="n">
        <v>12</v>
      </c>
      <c r="C8128" s="19" t="n">
        <v>0.5412</v>
      </c>
      <c r="D8128" s="19" t="n">
        <v>0.4421</v>
      </c>
      <c r="E8128" s="20" t="n">
        <f aca="false">Parametres!$B$5*C8128</f>
        <v>162.36</v>
      </c>
      <c r="F8128" s="20" t="n">
        <f aca="false">Parametres!$B$6*D8128</f>
        <v>88.42</v>
      </c>
      <c r="G8128" s="20" t="n">
        <f aca="false">E8128+F8128</f>
        <v>250.78</v>
      </c>
      <c r="H8128" s="20" t="n">
        <f aca="false">IF(G8128&lt;Parametres!$B$8*Parametres!$B$7,0,MIN(G8128,Parametres!$B$7))</f>
        <v>250</v>
      </c>
      <c r="I8128" s="20" t="n">
        <f aca="false">G8128-H8128</f>
        <v>0.78000000000003</v>
      </c>
      <c r="J8128" s="21" t="n">
        <f aca="false">H8128*1000/Parametres!$B$9</f>
        <v>4239.44378497541</v>
      </c>
    </row>
    <row r="8129" customFormat="false" ht="15" hidden="false" customHeight="false" outlineLevel="0" collapsed="false">
      <c r="A8129" s="0" t="n">
        <v>8125</v>
      </c>
      <c r="B8129" s="0" t="n">
        <v>12</v>
      </c>
      <c r="C8129" s="19" t="n">
        <v>0.444</v>
      </c>
      <c r="D8129" s="19" t="n">
        <v>0.7322</v>
      </c>
      <c r="E8129" s="20" t="n">
        <f aca="false">Parametres!$B$5*C8129</f>
        <v>133.2</v>
      </c>
      <c r="F8129" s="20" t="n">
        <f aca="false">Parametres!$B$6*D8129</f>
        <v>146.44</v>
      </c>
      <c r="G8129" s="20" t="n">
        <f aca="false">E8129+F8129</f>
        <v>279.64</v>
      </c>
      <c r="H8129" s="20" t="n">
        <f aca="false">IF(G8129&lt;Parametres!$B$8*Parametres!$B$7,0,MIN(G8129,Parametres!$B$7))</f>
        <v>250</v>
      </c>
      <c r="I8129" s="20" t="n">
        <f aca="false">G8129-H8129</f>
        <v>29.64</v>
      </c>
      <c r="J8129" s="21" t="n">
        <f aca="false">H8129*1000/Parametres!$B$9</f>
        <v>4239.44378497541</v>
      </c>
    </row>
    <row r="8130" customFormat="false" ht="15" hidden="false" customHeight="false" outlineLevel="0" collapsed="false">
      <c r="A8130" s="0" t="n">
        <v>8126</v>
      </c>
      <c r="B8130" s="0" t="n">
        <v>12</v>
      </c>
      <c r="C8130" s="19" t="n">
        <v>0.4644</v>
      </c>
      <c r="D8130" s="19" t="n">
        <v>0.6984</v>
      </c>
      <c r="E8130" s="20" t="n">
        <f aca="false">Parametres!$B$5*C8130</f>
        <v>139.32</v>
      </c>
      <c r="F8130" s="20" t="n">
        <f aca="false">Parametres!$B$6*D8130</f>
        <v>139.68</v>
      </c>
      <c r="G8130" s="20" t="n">
        <f aca="false">E8130+F8130</f>
        <v>279</v>
      </c>
      <c r="H8130" s="20" t="n">
        <f aca="false">IF(G8130&lt;Parametres!$B$8*Parametres!$B$7,0,MIN(G8130,Parametres!$B$7))</f>
        <v>250</v>
      </c>
      <c r="I8130" s="20" t="n">
        <f aca="false">G8130-H8130</f>
        <v>29</v>
      </c>
      <c r="J8130" s="21" t="n">
        <f aca="false">H8130*1000/Parametres!$B$9</f>
        <v>4239.44378497541</v>
      </c>
    </row>
    <row r="8131" customFormat="false" ht="15" hidden="false" customHeight="false" outlineLevel="0" collapsed="false">
      <c r="A8131" s="0" t="n">
        <v>8127</v>
      </c>
      <c r="B8131" s="0" t="n">
        <v>12</v>
      </c>
      <c r="C8131" s="19" t="n">
        <v>0.3684</v>
      </c>
      <c r="D8131" s="19" t="n">
        <v>0.4324</v>
      </c>
      <c r="E8131" s="20" t="n">
        <f aca="false">Parametres!$B$5*C8131</f>
        <v>110.52</v>
      </c>
      <c r="F8131" s="20" t="n">
        <f aca="false">Parametres!$B$6*D8131</f>
        <v>86.48</v>
      </c>
      <c r="G8131" s="20" t="n">
        <f aca="false">E8131+F8131</f>
        <v>197</v>
      </c>
      <c r="H8131" s="20" t="n">
        <f aca="false">IF(G8131&lt;Parametres!$B$8*Parametres!$B$7,0,MIN(G8131,Parametres!$B$7))</f>
        <v>197</v>
      </c>
      <c r="I8131" s="20" t="n">
        <f aca="false">G8131-H8131</f>
        <v>0</v>
      </c>
      <c r="J8131" s="21" t="n">
        <f aca="false">H8131*1000/Parametres!$B$9</f>
        <v>3340.68170256062</v>
      </c>
    </row>
    <row r="8132" customFormat="false" ht="15" hidden="false" customHeight="false" outlineLevel="0" collapsed="false">
      <c r="A8132" s="0" t="n">
        <v>8128</v>
      </c>
      <c r="B8132" s="0" t="n">
        <v>12</v>
      </c>
      <c r="C8132" s="19" t="n">
        <v>0.2153</v>
      </c>
      <c r="D8132" s="19" t="n">
        <v>0.1639</v>
      </c>
      <c r="E8132" s="20" t="n">
        <f aca="false">Parametres!$B$5*C8132</f>
        <v>64.59</v>
      </c>
      <c r="F8132" s="20" t="n">
        <f aca="false">Parametres!$B$6*D8132</f>
        <v>32.78</v>
      </c>
      <c r="G8132" s="20" t="n">
        <f aca="false">E8132+F8132</f>
        <v>97.37</v>
      </c>
      <c r="H8132" s="20" t="n">
        <f aca="false">IF(G8132&lt;Parametres!$B$8*Parametres!$B$7,0,MIN(G8132,Parametres!$B$7))</f>
        <v>97.37</v>
      </c>
      <c r="I8132" s="20" t="n">
        <f aca="false">G8132-H8132</f>
        <v>0</v>
      </c>
      <c r="J8132" s="21" t="n">
        <f aca="false">H8132*1000/Parametres!$B$9</f>
        <v>1651.17856537222</v>
      </c>
    </row>
    <row r="8133" customFormat="false" ht="15" hidden="false" customHeight="false" outlineLevel="0" collapsed="false">
      <c r="A8133" s="0" t="n">
        <v>8129</v>
      </c>
      <c r="B8133" s="0" t="n">
        <v>12</v>
      </c>
      <c r="C8133" s="19" t="n">
        <v>0.0856</v>
      </c>
      <c r="D8133" s="19" t="n">
        <v>0.3148</v>
      </c>
      <c r="E8133" s="20" t="n">
        <f aca="false">Parametres!$B$5*C8133</f>
        <v>25.68</v>
      </c>
      <c r="F8133" s="20" t="n">
        <f aca="false">Parametres!$B$6*D8133</f>
        <v>62.96</v>
      </c>
      <c r="G8133" s="20" t="n">
        <f aca="false">E8133+F8133</f>
        <v>88.64</v>
      </c>
      <c r="H8133" s="20" t="n">
        <f aca="false">IF(G8133&lt;Parametres!$B$8*Parametres!$B$7,0,MIN(G8133,Parametres!$B$7))</f>
        <v>88.64</v>
      </c>
      <c r="I8133" s="20" t="n">
        <f aca="false">G8133-H8133</f>
        <v>0</v>
      </c>
      <c r="J8133" s="21" t="n">
        <f aca="false">H8133*1000/Parametres!$B$9</f>
        <v>1503.13718840088</v>
      </c>
    </row>
    <row r="8134" customFormat="false" ht="15" hidden="false" customHeight="false" outlineLevel="0" collapsed="false">
      <c r="A8134" s="0" t="n">
        <v>8130</v>
      </c>
      <c r="B8134" s="0" t="n">
        <v>12</v>
      </c>
      <c r="C8134" s="19" t="n">
        <v>0</v>
      </c>
      <c r="D8134" s="19" t="n">
        <v>0.3485</v>
      </c>
      <c r="E8134" s="20" t="n">
        <f aca="false">Parametres!$B$5*C8134</f>
        <v>0</v>
      </c>
      <c r="F8134" s="20" t="n">
        <f aca="false">Parametres!$B$6*D8134</f>
        <v>69.7</v>
      </c>
      <c r="G8134" s="20" t="n">
        <f aca="false">E8134+F8134</f>
        <v>69.7</v>
      </c>
      <c r="H8134" s="20" t="n">
        <f aca="false">IF(G8134&lt;Parametres!$B$8*Parametres!$B$7,0,MIN(G8134,Parametres!$B$7))</f>
        <v>69.7</v>
      </c>
      <c r="I8134" s="20" t="n">
        <f aca="false">G8134-H8134</f>
        <v>0</v>
      </c>
      <c r="J8134" s="21" t="n">
        <f aca="false">H8134*1000/Parametres!$B$9</f>
        <v>1181.95692725114</v>
      </c>
    </row>
    <row r="8135" customFormat="false" ht="15" hidden="false" customHeight="false" outlineLevel="0" collapsed="false">
      <c r="A8135" s="0" t="n">
        <v>8131</v>
      </c>
      <c r="B8135" s="0" t="n">
        <v>12</v>
      </c>
      <c r="C8135" s="19" t="n">
        <v>0</v>
      </c>
      <c r="D8135" s="19" t="n">
        <v>0.4474</v>
      </c>
      <c r="E8135" s="20" t="n">
        <f aca="false">Parametres!$B$5*C8135</f>
        <v>0</v>
      </c>
      <c r="F8135" s="20" t="n">
        <f aca="false">Parametres!$B$6*D8135</f>
        <v>89.48</v>
      </c>
      <c r="G8135" s="20" t="n">
        <f aca="false">E8135+F8135</f>
        <v>89.48</v>
      </c>
      <c r="H8135" s="20" t="n">
        <f aca="false">IF(G8135&lt;Parametres!$B$8*Parametres!$B$7,0,MIN(G8135,Parametres!$B$7))</f>
        <v>89.48</v>
      </c>
      <c r="I8135" s="20" t="n">
        <f aca="false">G8135-H8135</f>
        <v>0</v>
      </c>
      <c r="J8135" s="21" t="n">
        <f aca="false">H8135*1000/Parametres!$B$9</f>
        <v>1517.3817195184</v>
      </c>
    </row>
    <row r="8136" customFormat="false" ht="15" hidden="false" customHeight="false" outlineLevel="0" collapsed="false">
      <c r="A8136" s="0" t="n">
        <v>8132</v>
      </c>
      <c r="B8136" s="0" t="n">
        <v>12</v>
      </c>
      <c r="C8136" s="19" t="n">
        <v>0</v>
      </c>
      <c r="D8136" s="19" t="n">
        <v>0.5467</v>
      </c>
      <c r="E8136" s="20" t="n">
        <f aca="false">Parametres!$B$5*C8136</f>
        <v>0</v>
      </c>
      <c r="F8136" s="20" t="n">
        <f aca="false">Parametres!$B$6*D8136</f>
        <v>109.34</v>
      </c>
      <c r="G8136" s="20" t="n">
        <f aca="false">E8136+F8136</f>
        <v>109.34</v>
      </c>
      <c r="H8136" s="20" t="n">
        <f aca="false">IF(G8136&lt;Parametres!$B$8*Parametres!$B$7,0,MIN(G8136,Parametres!$B$7))</f>
        <v>109.34</v>
      </c>
      <c r="I8136" s="20" t="n">
        <f aca="false">G8136-H8136</f>
        <v>0</v>
      </c>
      <c r="J8136" s="21" t="n">
        <f aca="false">H8136*1000/Parametres!$B$9</f>
        <v>1854.16313379685</v>
      </c>
    </row>
    <row r="8137" customFormat="false" ht="15" hidden="false" customHeight="false" outlineLevel="0" collapsed="false">
      <c r="A8137" s="0" t="n">
        <v>8133</v>
      </c>
      <c r="B8137" s="0" t="n">
        <v>12</v>
      </c>
      <c r="C8137" s="19" t="n">
        <v>0</v>
      </c>
      <c r="D8137" s="19" t="n">
        <v>0.5987</v>
      </c>
      <c r="E8137" s="20" t="n">
        <f aca="false">Parametres!$B$5*C8137</f>
        <v>0</v>
      </c>
      <c r="F8137" s="20" t="n">
        <f aca="false">Parametres!$B$6*D8137</f>
        <v>119.74</v>
      </c>
      <c r="G8137" s="20" t="n">
        <f aca="false">E8137+F8137</f>
        <v>119.74</v>
      </c>
      <c r="H8137" s="20" t="n">
        <f aca="false">IF(G8137&lt;Parametres!$B$8*Parametres!$B$7,0,MIN(G8137,Parametres!$B$7))</f>
        <v>119.74</v>
      </c>
      <c r="I8137" s="20" t="n">
        <f aca="false">G8137-H8137</f>
        <v>0</v>
      </c>
      <c r="J8137" s="21" t="n">
        <f aca="false">H8137*1000/Parametres!$B$9</f>
        <v>2030.52399525182</v>
      </c>
    </row>
    <row r="8138" customFormat="false" ht="15" hidden="false" customHeight="false" outlineLevel="0" collapsed="false">
      <c r="A8138" s="0" t="n">
        <v>8134</v>
      </c>
      <c r="B8138" s="0" t="n">
        <v>12</v>
      </c>
      <c r="C8138" s="19" t="n">
        <v>0</v>
      </c>
      <c r="D8138" s="19" t="n">
        <v>0.9492</v>
      </c>
      <c r="E8138" s="20" t="n">
        <f aca="false">Parametres!$B$5*C8138</f>
        <v>0</v>
      </c>
      <c r="F8138" s="20" t="n">
        <f aca="false">Parametres!$B$6*D8138</f>
        <v>189.84</v>
      </c>
      <c r="G8138" s="20" t="n">
        <f aca="false">E8138+F8138</f>
        <v>189.84</v>
      </c>
      <c r="H8138" s="20" t="n">
        <f aca="false">IF(G8138&lt;Parametres!$B$8*Parametres!$B$7,0,MIN(G8138,Parametres!$B$7))</f>
        <v>189.84</v>
      </c>
      <c r="I8138" s="20" t="n">
        <f aca="false">G8138-H8138</f>
        <v>0</v>
      </c>
      <c r="J8138" s="21" t="n">
        <f aca="false">H8138*1000/Parametres!$B$9</f>
        <v>3219.26403255893</v>
      </c>
    </row>
    <row r="8139" customFormat="false" ht="15" hidden="false" customHeight="false" outlineLevel="0" collapsed="false">
      <c r="A8139" s="0" t="n">
        <v>8135</v>
      </c>
      <c r="B8139" s="0" t="n">
        <v>12</v>
      </c>
      <c r="C8139" s="19" t="n">
        <v>0</v>
      </c>
      <c r="D8139" s="19" t="n">
        <v>0.9235</v>
      </c>
      <c r="E8139" s="20" t="n">
        <f aca="false">Parametres!$B$5*C8139</f>
        <v>0</v>
      </c>
      <c r="F8139" s="20" t="n">
        <f aca="false">Parametres!$B$6*D8139</f>
        <v>184.7</v>
      </c>
      <c r="G8139" s="20" t="n">
        <f aca="false">E8139+F8139</f>
        <v>184.7</v>
      </c>
      <c r="H8139" s="20" t="n">
        <f aca="false">IF(G8139&lt;Parametres!$B$8*Parametres!$B$7,0,MIN(G8139,Parametres!$B$7))</f>
        <v>184.7</v>
      </c>
      <c r="I8139" s="20" t="n">
        <f aca="false">G8139-H8139</f>
        <v>0</v>
      </c>
      <c r="J8139" s="21" t="n">
        <f aca="false">H8139*1000/Parametres!$B$9</f>
        <v>3132.10106833983</v>
      </c>
    </row>
    <row r="8140" customFormat="false" ht="15" hidden="false" customHeight="false" outlineLevel="0" collapsed="false">
      <c r="A8140" s="0" t="n">
        <v>8136</v>
      </c>
      <c r="B8140" s="0" t="n">
        <v>12</v>
      </c>
      <c r="C8140" s="19" t="n">
        <v>0</v>
      </c>
      <c r="D8140" s="19" t="n">
        <v>1</v>
      </c>
      <c r="E8140" s="20" t="n">
        <f aca="false">Parametres!$B$5*C8140</f>
        <v>0</v>
      </c>
      <c r="F8140" s="20" t="n">
        <f aca="false">Parametres!$B$6*D8140</f>
        <v>200</v>
      </c>
      <c r="G8140" s="20" t="n">
        <f aca="false">E8140+F8140</f>
        <v>200</v>
      </c>
      <c r="H8140" s="20" t="n">
        <f aca="false">IF(G8140&lt;Parametres!$B$8*Parametres!$B$7,0,MIN(G8140,Parametres!$B$7))</f>
        <v>200</v>
      </c>
      <c r="I8140" s="20" t="n">
        <f aca="false">G8140-H8140</f>
        <v>0</v>
      </c>
      <c r="J8140" s="21" t="n">
        <f aca="false">H8140*1000/Parametres!$B$9</f>
        <v>3391.55502798033</v>
      </c>
    </row>
    <row r="8141" customFormat="false" ht="15" hidden="false" customHeight="false" outlineLevel="0" collapsed="false">
      <c r="A8141" s="0" t="n">
        <v>8137</v>
      </c>
      <c r="B8141" s="0" t="n">
        <v>12</v>
      </c>
      <c r="C8141" s="19" t="n">
        <v>0</v>
      </c>
      <c r="D8141" s="19" t="n">
        <v>0.8631</v>
      </c>
      <c r="E8141" s="20" t="n">
        <f aca="false">Parametres!$B$5*C8141</f>
        <v>0</v>
      </c>
      <c r="F8141" s="20" t="n">
        <f aca="false">Parametres!$B$6*D8141</f>
        <v>172.62</v>
      </c>
      <c r="G8141" s="20" t="n">
        <f aca="false">E8141+F8141</f>
        <v>172.62</v>
      </c>
      <c r="H8141" s="20" t="n">
        <f aca="false">IF(G8141&lt;Parametres!$B$8*Parametres!$B$7,0,MIN(G8141,Parametres!$B$7))</f>
        <v>172.62</v>
      </c>
      <c r="I8141" s="20" t="n">
        <f aca="false">G8141-H8141</f>
        <v>0</v>
      </c>
      <c r="J8141" s="21" t="n">
        <f aca="false">H8141*1000/Parametres!$B$9</f>
        <v>2927.25114464982</v>
      </c>
    </row>
    <row r="8142" customFormat="false" ht="15" hidden="false" customHeight="false" outlineLevel="0" collapsed="false">
      <c r="A8142" s="0" t="n">
        <v>8138</v>
      </c>
      <c r="B8142" s="0" t="n">
        <v>12</v>
      </c>
      <c r="C8142" s="19" t="n">
        <v>0</v>
      </c>
      <c r="D8142" s="19" t="n">
        <v>0.8679</v>
      </c>
      <c r="E8142" s="20" t="n">
        <f aca="false">Parametres!$B$5*C8142</f>
        <v>0</v>
      </c>
      <c r="F8142" s="20" t="n">
        <f aca="false">Parametres!$B$6*D8142</f>
        <v>173.58</v>
      </c>
      <c r="G8142" s="20" t="n">
        <f aca="false">E8142+F8142</f>
        <v>173.58</v>
      </c>
      <c r="H8142" s="20" t="n">
        <f aca="false">IF(G8142&lt;Parametres!$B$8*Parametres!$B$7,0,MIN(G8142,Parametres!$B$7))</f>
        <v>173.58</v>
      </c>
      <c r="I8142" s="20" t="n">
        <f aca="false">G8142-H8142</f>
        <v>0</v>
      </c>
      <c r="J8142" s="21" t="n">
        <f aca="false">H8142*1000/Parametres!$B$9</f>
        <v>2943.53060878413</v>
      </c>
    </row>
    <row r="8143" customFormat="false" ht="15" hidden="false" customHeight="false" outlineLevel="0" collapsed="false">
      <c r="A8143" s="0" t="n">
        <v>8139</v>
      </c>
      <c r="B8143" s="0" t="n">
        <v>12</v>
      </c>
      <c r="C8143" s="19" t="n">
        <v>0</v>
      </c>
      <c r="D8143" s="19" t="n">
        <v>0.6779</v>
      </c>
      <c r="E8143" s="20" t="n">
        <f aca="false">Parametres!$B$5*C8143</f>
        <v>0</v>
      </c>
      <c r="F8143" s="20" t="n">
        <f aca="false">Parametres!$B$6*D8143</f>
        <v>135.58</v>
      </c>
      <c r="G8143" s="20" t="n">
        <f aca="false">E8143+F8143</f>
        <v>135.58</v>
      </c>
      <c r="H8143" s="20" t="n">
        <f aca="false">IF(G8143&lt;Parametres!$B$8*Parametres!$B$7,0,MIN(G8143,Parametres!$B$7))</f>
        <v>135.58</v>
      </c>
      <c r="I8143" s="20" t="n">
        <f aca="false">G8143-H8143</f>
        <v>0</v>
      </c>
      <c r="J8143" s="21" t="n">
        <f aca="false">H8143*1000/Parametres!$B$9</f>
        <v>2299.13515346786</v>
      </c>
    </row>
    <row r="8144" customFormat="false" ht="15" hidden="false" customHeight="false" outlineLevel="0" collapsed="false">
      <c r="A8144" s="0" t="n">
        <v>8140</v>
      </c>
      <c r="B8144" s="0" t="n">
        <v>12</v>
      </c>
      <c r="C8144" s="19" t="n">
        <v>0</v>
      </c>
      <c r="D8144" s="19" t="n">
        <v>0.5424</v>
      </c>
      <c r="E8144" s="20" t="n">
        <f aca="false">Parametres!$B$5*C8144</f>
        <v>0</v>
      </c>
      <c r="F8144" s="20" t="n">
        <f aca="false">Parametres!$B$6*D8144</f>
        <v>108.48</v>
      </c>
      <c r="G8144" s="20" t="n">
        <f aca="false">E8144+F8144</f>
        <v>108.48</v>
      </c>
      <c r="H8144" s="20" t="n">
        <f aca="false">IF(G8144&lt;Parametres!$B$8*Parametres!$B$7,0,MIN(G8144,Parametres!$B$7))</f>
        <v>108.48</v>
      </c>
      <c r="I8144" s="20" t="n">
        <f aca="false">G8144-H8144</f>
        <v>0</v>
      </c>
      <c r="J8144" s="21" t="n">
        <f aca="false">H8144*1000/Parametres!$B$9</f>
        <v>1839.57944717653</v>
      </c>
    </row>
    <row r="8145" customFormat="false" ht="15" hidden="false" customHeight="false" outlineLevel="0" collapsed="false">
      <c r="A8145" s="0" t="n">
        <v>8141</v>
      </c>
      <c r="B8145" s="0" t="n">
        <v>12</v>
      </c>
      <c r="C8145" s="19" t="n">
        <v>0</v>
      </c>
      <c r="D8145" s="19" t="n">
        <v>0.3218</v>
      </c>
      <c r="E8145" s="20" t="n">
        <f aca="false">Parametres!$B$5*C8145</f>
        <v>0</v>
      </c>
      <c r="F8145" s="20" t="n">
        <f aca="false">Parametres!$B$6*D8145</f>
        <v>64.36</v>
      </c>
      <c r="G8145" s="20" t="n">
        <f aca="false">E8145+F8145</f>
        <v>64.36</v>
      </c>
      <c r="H8145" s="20" t="n">
        <f aca="false">IF(G8145&lt;Parametres!$B$8*Parametres!$B$7,0,MIN(G8145,Parametres!$B$7))</f>
        <v>64.36</v>
      </c>
      <c r="I8145" s="20" t="n">
        <f aca="false">G8145-H8145</f>
        <v>0</v>
      </c>
      <c r="J8145" s="21" t="n">
        <f aca="false">H8145*1000/Parametres!$B$9</f>
        <v>1091.40240800407</v>
      </c>
    </row>
    <row r="8146" customFormat="false" ht="15" hidden="false" customHeight="false" outlineLevel="0" collapsed="false">
      <c r="A8146" s="0" t="n">
        <v>8142</v>
      </c>
      <c r="B8146" s="0" t="n">
        <v>12</v>
      </c>
      <c r="C8146" s="19" t="n">
        <v>0</v>
      </c>
      <c r="D8146" s="19" t="n">
        <v>0.3338</v>
      </c>
      <c r="E8146" s="20" t="n">
        <f aca="false">Parametres!$B$5*C8146</f>
        <v>0</v>
      </c>
      <c r="F8146" s="20" t="n">
        <f aca="false">Parametres!$B$6*D8146</f>
        <v>66.76</v>
      </c>
      <c r="G8146" s="20" t="n">
        <f aca="false">E8146+F8146</f>
        <v>66.76</v>
      </c>
      <c r="H8146" s="20" t="n">
        <f aca="false">IF(G8146&lt;Parametres!$B$8*Parametres!$B$7,0,MIN(G8146,Parametres!$B$7))</f>
        <v>66.76</v>
      </c>
      <c r="I8146" s="20" t="n">
        <f aca="false">G8146-H8146</f>
        <v>0</v>
      </c>
      <c r="J8146" s="21" t="n">
        <f aca="false">H8146*1000/Parametres!$B$9</f>
        <v>1132.10106833983</v>
      </c>
    </row>
    <row r="8147" customFormat="false" ht="15" hidden="false" customHeight="false" outlineLevel="0" collapsed="false">
      <c r="A8147" s="0" t="n">
        <v>8143</v>
      </c>
      <c r="B8147" s="0" t="n">
        <v>12</v>
      </c>
      <c r="C8147" s="19" t="n">
        <v>0</v>
      </c>
      <c r="D8147" s="19" t="n">
        <v>0.3467</v>
      </c>
      <c r="E8147" s="20" t="n">
        <f aca="false">Parametres!$B$5*C8147</f>
        <v>0</v>
      </c>
      <c r="F8147" s="20" t="n">
        <f aca="false">Parametres!$B$6*D8147</f>
        <v>69.34</v>
      </c>
      <c r="G8147" s="20" t="n">
        <f aca="false">E8147+F8147</f>
        <v>69.34</v>
      </c>
      <c r="H8147" s="20" t="n">
        <f aca="false">IF(G8147&lt;Parametres!$B$8*Parametres!$B$7,0,MIN(G8147,Parametres!$B$7))</f>
        <v>69.34</v>
      </c>
      <c r="I8147" s="20" t="n">
        <f aca="false">G8147-H8147</f>
        <v>0</v>
      </c>
      <c r="J8147" s="21" t="n">
        <f aca="false">H8147*1000/Parametres!$B$9</f>
        <v>1175.85212820078</v>
      </c>
    </row>
    <row r="8148" customFormat="false" ht="15" hidden="false" customHeight="false" outlineLevel="0" collapsed="false">
      <c r="A8148" s="0" t="n">
        <v>8144</v>
      </c>
      <c r="B8148" s="0" t="n">
        <v>12</v>
      </c>
      <c r="C8148" s="19" t="n">
        <v>0.1257</v>
      </c>
      <c r="D8148" s="19" t="n">
        <v>0.5403</v>
      </c>
      <c r="E8148" s="20" t="n">
        <f aca="false">Parametres!$B$5*C8148</f>
        <v>37.71</v>
      </c>
      <c r="F8148" s="20" t="n">
        <f aca="false">Parametres!$B$6*D8148</f>
        <v>108.06</v>
      </c>
      <c r="G8148" s="20" t="n">
        <f aca="false">E8148+F8148</f>
        <v>145.77</v>
      </c>
      <c r="H8148" s="20" t="n">
        <f aca="false">IF(G8148&lt;Parametres!$B$8*Parametres!$B$7,0,MIN(G8148,Parametres!$B$7))</f>
        <v>145.77</v>
      </c>
      <c r="I8148" s="20" t="n">
        <f aca="false">G8148-H8148</f>
        <v>0</v>
      </c>
      <c r="J8148" s="21" t="n">
        <f aca="false">H8148*1000/Parametres!$B$9</f>
        <v>2471.93488214346</v>
      </c>
    </row>
    <row r="8149" customFormat="false" ht="15" hidden="false" customHeight="false" outlineLevel="0" collapsed="false">
      <c r="A8149" s="0" t="n">
        <v>8145</v>
      </c>
      <c r="B8149" s="0" t="n">
        <v>12</v>
      </c>
      <c r="C8149" s="19" t="n">
        <v>0.3584</v>
      </c>
      <c r="D8149" s="19" t="n">
        <v>0.5174</v>
      </c>
      <c r="E8149" s="20" t="n">
        <f aca="false">Parametres!$B$5*C8149</f>
        <v>107.52</v>
      </c>
      <c r="F8149" s="20" t="n">
        <f aca="false">Parametres!$B$6*D8149</f>
        <v>103.48</v>
      </c>
      <c r="G8149" s="20" t="n">
        <f aca="false">E8149+F8149</f>
        <v>211</v>
      </c>
      <c r="H8149" s="20" t="n">
        <f aca="false">IF(G8149&lt;Parametres!$B$8*Parametres!$B$7,0,MIN(G8149,Parametres!$B$7))</f>
        <v>211</v>
      </c>
      <c r="I8149" s="20" t="n">
        <f aca="false">G8149-H8149</f>
        <v>0</v>
      </c>
      <c r="J8149" s="21" t="n">
        <f aca="false">H8149*1000/Parametres!$B$9</f>
        <v>3578.09055451925</v>
      </c>
    </row>
    <row r="8150" customFormat="false" ht="15" hidden="false" customHeight="false" outlineLevel="0" collapsed="false">
      <c r="A8150" s="0" t="n">
        <v>8146</v>
      </c>
      <c r="B8150" s="0" t="n">
        <v>12</v>
      </c>
      <c r="C8150" s="19" t="n">
        <v>0.518</v>
      </c>
      <c r="D8150" s="19" t="n">
        <v>0.4537</v>
      </c>
      <c r="E8150" s="20" t="n">
        <f aca="false">Parametres!$B$5*C8150</f>
        <v>155.4</v>
      </c>
      <c r="F8150" s="20" t="n">
        <f aca="false">Parametres!$B$6*D8150</f>
        <v>90.74</v>
      </c>
      <c r="G8150" s="20" t="n">
        <f aca="false">E8150+F8150</f>
        <v>246.14</v>
      </c>
      <c r="H8150" s="20" t="n">
        <f aca="false">IF(G8150&lt;Parametres!$B$8*Parametres!$B$7,0,MIN(G8150,Parametres!$B$7))</f>
        <v>246.14</v>
      </c>
      <c r="I8150" s="20" t="n">
        <f aca="false">G8150-H8150</f>
        <v>0</v>
      </c>
      <c r="J8150" s="21" t="n">
        <f aca="false">H8150*1000/Parametres!$B$9</f>
        <v>4173.98677293539</v>
      </c>
    </row>
    <row r="8151" customFormat="false" ht="15" hidden="false" customHeight="false" outlineLevel="0" collapsed="false">
      <c r="A8151" s="0" t="n">
        <v>8147</v>
      </c>
      <c r="B8151" s="0" t="n">
        <v>12</v>
      </c>
      <c r="C8151" s="19" t="n">
        <v>0.6952</v>
      </c>
      <c r="D8151" s="19" t="n">
        <v>0.4183</v>
      </c>
      <c r="E8151" s="20" t="n">
        <f aca="false">Parametres!$B$5*C8151</f>
        <v>208.56</v>
      </c>
      <c r="F8151" s="20" t="n">
        <f aca="false">Parametres!$B$6*D8151</f>
        <v>83.66</v>
      </c>
      <c r="G8151" s="20" t="n">
        <f aca="false">E8151+F8151</f>
        <v>292.22</v>
      </c>
      <c r="H8151" s="20" t="n">
        <f aca="false">IF(G8151&lt;Parametres!$B$8*Parametres!$B$7,0,MIN(G8151,Parametres!$B$7))</f>
        <v>250</v>
      </c>
      <c r="I8151" s="20" t="n">
        <f aca="false">G8151-H8151</f>
        <v>42.22</v>
      </c>
      <c r="J8151" s="21" t="n">
        <f aca="false">H8151*1000/Parametres!$B$9</f>
        <v>4239.44378497541</v>
      </c>
    </row>
    <row r="8152" customFormat="false" ht="15" hidden="false" customHeight="false" outlineLevel="0" collapsed="false">
      <c r="A8152" s="0" t="n">
        <v>8148</v>
      </c>
      <c r="B8152" s="0" t="n">
        <v>12</v>
      </c>
      <c r="C8152" s="19" t="n">
        <v>0.7486</v>
      </c>
      <c r="D8152" s="19" t="n">
        <v>0.3425</v>
      </c>
      <c r="E8152" s="20" t="n">
        <f aca="false">Parametres!$B$5*C8152</f>
        <v>224.58</v>
      </c>
      <c r="F8152" s="20" t="n">
        <f aca="false">Parametres!$B$6*D8152</f>
        <v>68.5</v>
      </c>
      <c r="G8152" s="20" t="n">
        <f aca="false">E8152+F8152</f>
        <v>293.08</v>
      </c>
      <c r="H8152" s="20" t="n">
        <f aca="false">IF(G8152&lt;Parametres!$B$8*Parametres!$B$7,0,MIN(G8152,Parametres!$B$7))</f>
        <v>250</v>
      </c>
      <c r="I8152" s="20" t="n">
        <f aca="false">G8152-H8152</f>
        <v>43.08</v>
      </c>
      <c r="J8152" s="21" t="n">
        <f aca="false">H8152*1000/Parametres!$B$9</f>
        <v>4239.44378497541</v>
      </c>
    </row>
    <row r="8153" customFormat="false" ht="15" hidden="false" customHeight="false" outlineLevel="0" collapsed="false">
      <c r="A8153" s="0" t="n">
        <v>8149</v>
      </c>
      <c r="B8153" s="0" t="n">
        <v>12</v>
      </c>
      <c r="C8153" s="19" t="n">
        <v>0.7363</v>
      </c>
      <c r="D8153" s="19" t="n">
        <v>0.5219</v>
      </c>
      <c r="E8153" s="20" t="n">
        <f aca="false">Parametres!$B$5*C8153</f>
        <v>220.89</v>
      </c>
      <c r="F8153" s="20" t="n">
        <f aca="false">Parametres!$B$6*D8153</f>
        <v>104.38</v>
      </c>
      <c r="G8153" s="20" t="n">
        <f aca="false">E8153+F8153</f>
        <v>325.27</v>
      </c>
      <c r="H8153" s="20" t="n">
        <f aca="false">IF(G8153&lt;Parametres!$B$8*Parametres!$B$7,0,MIN(G8153,Parametres!$B$7))</f>
        <v>250</v>
      </c>
      <c r="I8153" s="20" t="n">
        <f aca="false">G8153-H8153</f>
        <v>75.27</v>
      </c>
      <c r="J8153" s="21" t="n">
        <f aca="false">H8153*1000/Parametres!$B$9</f>
        <v>4239.44378497541</v>
      </c>
    </row>
    <row r="8154" customFormat="false" ht="15" hidden="false" customHeight="false" outlineLevel="0" collapsed="false">
      <c r="A8154" s="0" t="n">
        <v>8150</v>
      </c>
      <c r="B8154" s="0" t="n">
        <v>12</v>
      </c>
      <c r="C8154" s="19" t="n">
        <v>0.6839</v>
      </c>
      <c r="D8154" s="19" t="n">
        <v>0.7243</v>
      </c>
      <c r="E8154" s="20" t="n">
        <f aca="false">Parametres!$B$5*C8154</f>
        <v>205.17</v>
      </c>
      <c r="F8154" s="20" t="n">
        <f aca="false">Parametres!$B$6*D8154</f>
        <v>144.86</v>
      </c>
      <c r="G8154" s="20" t="n">
        <f aca="false">E8154+F8154</f>
        <v>350.03</v>
      </c>
      <c r="H8154" s="20" t="n">
        <f aca="false">IF(G8154&lt;Parametres!$B$8*Parametres!$B$7,0,MIN(G8154,Parametres!$B$7))</f>
        <v>250</v>
      </c>
      <c r="I8154" s="20" t="n">
        <f aca="false">G8154-H8154</f>
        <v>100.03</v>
      </c>
      <c r="J8154" s="21" t="n">
        <f aca="false">H8154*1000/Parametres!$B$9</f>
        <v>4239.44378497541</v>
      </c>
    </row>
    <row r="8155" customFormat="false" ht="15" hidden="false" customHeight="false" outlineLevel="0" collapsed="false">
      <c r="A8155" s="0" t="n">
        <v>8151</v>
      </c>
      <c r="B8155" s="0" t="n">
        <v>12</v>
      </c>
      <c r="C8155" s="19" t="n">
        <v>0.5357</v>
      </c>
      <c r="D8155" s="19" t="n">
        <v>0.3887</v>
      </c>
      <c r="E8155" s="20" t="n">
        <f aca="false">Parametres!$B$5*C8155</f>
        <v>160.71</v>
      </c>
      <c r="F8155" s="20" t="n">
        <f aca="false">Parametres!$B$6*D8155</f>
        <v>77.74</v>
      </c>
      <c r="G8155" s="20" t="n">
        <f aca="false">E8155+F8155</f>
        <v>238.45</v>
      </c>
      <c r="H8155" s="20" t="n">
        <f aca="false">IF(G8155&lt;Parametres!$B$8*Parametres!$B$7,0,MIN(G8155,Parametres!$B$7))</f>
        <v>238.45</v>
      </c>
      <c r="I8155" s="20" t="n">
        <f aca="false">G8155-H8155</f>
        <v>0</v>
      </c>
      <c r="J8155" s="21" t="n">
        <f aca="false">H8155*1000/Parametres!$B$9</f>
        <v>4043.58148210955</v>
      </c>
    </row>
    <row r="8156" customFormat="false" ht="15" hidden="false" customHeight="false" outlineLevel="0" collapsed="false">
      <c r="A8156" s="0" t="n">
        <v>8152</v>
      </c>
      <c r="B8156" s="0" t="n">
        <v>12</v>
      </c>
      <c r="C8156" s="19" t="n">
        <v>0.3471</v>
      </c>
      <c r="D8156" s="19" t="n">
        <v>0.55</v>
      </c>
      <c r="E8156" s="20" t="n">
        <f aca="false">Parametres!$B$5*C8156</f>
        <v>104.13</v>
      </c>
      <c r="F8156" s="20" t="n">
        <f aca="false">Parametres!$B$6*D8156</f>
        <v>110</v>
      </c>
      <c r="G8156" s="20" t="n">
        <f aca="false">E8156+F8156</f>
        <v>214.13</v>
      </c>
      <c r="H8156" s="20" t="n">
        <f aca="false">IF(G8156&lt;Parametres!$B$8*Parametres!$B$7,0,MIN(G8156,Parametres!$B$7))</f>
        <v>214.13</v>
      </c>
      <c r="I8156" s="20" t="n">
        <f aca="false">G8156-H8156</f>
        <v>0</v>
      </c>
      <c r="J8156" s="21" t="n">
        <f aca="false">H8156*1000/Parametres!$B$9</f>
        <v>3631.16839070714</v>
      </c>
    </row>
    <row r="8157" customFormat="false" ht="15" hidden="false" customHeight="false" outlineLevel="0" collapsed="false">
      <c r="A8157" s="0" t="n">
        <v>8153</v>
      </c>
      <c r="B8157" s="0" t="n">
        <v>12</v>
      </c>
      <c r="C8157" s="19" t="n">
        <v>0.1258</v>
      </c>
      <c r="D8157" s="19" t="n">
        <v>0.4224</v>
      </c>
      <c r="E8157" s="20" t="n">
        <f aca="false">Parametres!$B$5*C8157</f>
        <v>37.74</v>
      </c>
      <c r="F8157" s="20" t="n">
        <f aca="false">Parametres!$B$6*D8157</f>
        <v>84.48</v>
      </c>
      <c r="G8157" s="20" t="n">
        <f aca="false">E8157+F8157</f>
        <v>122.22</v>
      </c>
      <c r="H8157" s="20" t="n">
        <f aca="false">IF(G8157&lt;Parametres!$B$8*Parametres!$B$7,0,MIN(G8157,Parametres!$B$7))</f>
        <v>122.22</v>
      </c>
      <c r="I8157" s="20" t="n">
        <f aca="false">G8157-H8157</f>
        <v>0</v>
      </c>
      <c r="J8157" s="21" t="n">
        <f aca="false">H8157*1000/Parametres!$B$9</f>
        <v>2072.57927759878</v>
      </c>
    </row>
    <row r="8158" customFormat="false" ht="15" hidden="false" customHeight="false" outlineLevel="0" collapsed="false">
      <c r="A8158" s="0" t="n">
        <v>8154</v>
      </c>
      <c r="B8158" s="0" t="n">
        <v>12</v>
      </c>
      <c r="C8158" s="19" t="n">
        <v>0</v>
      </c>
      <c r="D8158" s="19" t="n">
        <v>0.4876</v>
      </c>
      <c r="E8158" s="20" t="n">
        <f aca="false">Parametres!$B$5*C8158</f>
        <v>0</v>
      </c>
      <c r="F8158" s="20" t="n">
        <f aca="false">Parametres!$B$6*D8158</f>
        <v>97.52</v>
      </c>
      <c r="G8158" s="20" t="n">
        <f aca="false">E8158+F8158</f>
        <v>97.52</v>
      </c>
      <c r="H8158" s="20" t="n">
        <f aca="false">IF(G8158&lt;Parametres!$B$8*Parametres!$B$7,0,MIN(G8158,Parametres!$B$7))</f>
        <v>97.52</v>
      </c>
      <c r="I8158" s="20" t="n">
        <f aca="false">G8158-H8158</f>
        <v>0</v>
      </c>
      <c r="J8158" s="21" t="n">
        <f aca="false">H8158*1000/Parametres!$B$9</f>
        <v>1653.72223164321</v>
      </c>
    </row>
    <row r="8159" customFormat="false" ht="15" hidden="false" customHeight="false" outlineLevel="0" collapsed="false">
      <c r="A8159" s="0" t="n">
        <v>8155</v>
      </c>
      <c r="B8159" s="0" t="n">
        <v>12</v>
      </c>
      <c r="C8159" s="19" t="n">
        <v>0</v>
      </c>
      <c r="D8159" s="19" t="n">
        <v>0.2992</v>
      </c>
      <c r="E8159" s="20" t="n">
        <f aca="false">Parametres!$B$5*C8159</f>
        <v>0</v>
      </c>
      <c r="F8159" s="20" t="n">
        <f aca="false">Parametres!$B$6*D8159</f>
        <v>59.84</v>
      </c>
      <c r="G8159" s="20" t="n">
        <f aca="false">E8159+F8159</f>
        <v>59.84</v>
      </c>
      <c r="H8159" s="20" t="n">
        <f aca="false">IF(G8159&lt;Parametres!$B$8*Parametres!$B$7,0,MIN(G8159,Parametres!$B$7))</f>
        <v>59.84</v>
      </c>
      <c r="I8159" s="20" t="n">
        <f aca="false">G8159-H8159</f>
        <v>0</v>
      </c>
      <c r="J8159" s="21" t="n">
        <f aca="false">H8159*1000/Parametres!$B$9</f>
        <v>1014.75326437171</v>
      </c>
    </row>
    <row r="8160" customFormat="false" ht="15" hidden="false" customHeight="false" outlineLevel="0" collapsed="false">
      <c r="A8160" s="0" t="n">
        <v>8156</v>
      </c>
      <c r="B8160" s="0" t="n">
        <v>12</v>
      </c>
      <c r="C8160" s="19" t="n">
        <v>0</v>
      </c>
      <c r="D8160" s="19" t="n">
        <v>0.4473</v>
      </c>
      <c r="E8160" s="20" t="n">
        <f aca="false">Parametres!$B$5*C8160</f>
        <v>0</v>
      </c>
      <c r="F8160" s="20" t="n">
        <f aca="false">Parametres!$B$6*D8160</f>
        <v>89.46</v>
      </c>
      <c r="G8160" s="20" t="n">
        <f aca="false">E8160+F8160</f>
        <v>89.46</v>
      </c>
      <c r="H8160" s="20" t="n">
        <f aca="false">IF(G8160&lt;Parametres!$B$8*Parametres!$B$7,0,MIN(G8160,Parametres!$B$7))</f>
        <v>89.46</v>
      </c>
      <c r="I8160" s="20" t="n">
        <f aca="false">G8160-H8160</f>
        <v>0</v>
      </c>
      <c r="J8160" s="21" t="n">
        <f aca="false">H8160*1000/Parametres!$B$9</f>
        <v>1517.0425640156</v>
      </c>
    </row>
    <row r="8161" customFormat="false" ht="15" hidden="false" customHeight="false" outlineLevel="0" collapsed="false">
      <c r="A8161" s="0" t="n">
        <v>8157</v>
      </c>
      <c r="B8161" s="0" t="n">
        <v>12</v>
      </c>
      <c r="C8161" s="19" t="n">
        <v>0</v>
      </c>
      <c r="D8161" s="19" t="n">
        <v>0.218</v>
      </c>
      <c r="E8161" s="20" t="n">
        <f aca="false">Parametres!$B$5*C8161</f>
        <v>0</v>
      </c>
      <c r="F8161" s="20" t="n">
        <f aca="false">Parametres!$B$6*D8161</f>
        <v>43.6</v>
      </c>
      <c r="G8161" s="20" t="n">
        <f aca="false">E8161+F8161</f>
        <v>43.6</v>
      </c>
      <c r="H8161" s="20" t="n">
        <f aca="false">IF(G8161&lt;Parametres!$B$8*Parametres!$B$7,0,MIN(G8161,Parametres!$B$7))</f>
        <v>43.6</v>
      </c>
      <c r="I8161" s="20" t="n">
        <f aca="false">G8161-H8161</f>
        <v>0</v>
      </c>
      <c r="J8161" s="21" t="n">
        <f aca="false">H8161*1000/Parametres!$B$9</f>
        <v>739.358996099712</v>
      </c>
    </row>
    <row r="8162" customFormat="false" ht="15" hidden="false" customHeight="false" outlineLevel="0" collapsed="false">
      <c r="A8162" s="0" t="n">
        <v>8158</v>
      </c>
      <c r="B8162" s="0" t="n">
        <v>12</v>
      </c>
      <c r="C8162" s="19" t="n">
        <v>0</v>
      </c>
      <c r="D8162" s="19" t="n">
        <v>0.1318</v>
      </c>
      <c r="E8162" s="20" t="n">
        <f aca="false">Parametres!$B$5*C8162</f>
        <v>0</v>
      </c>
      <c r="F8162" s="20" t="n">
        <f aca="false">Parametres!$B$6*D8162</f>
        <v>26.36</v>
      </c>
      <c r="G8162" s="20" t="n">
        <f aca="false">E8162+F8162</f>
        <v>26.36</v>
      </c>
      <c r="H8162" s="20" t="n">
        <f aca="false">IF(G8162&lt;Parametres!$B$8*Parametres!$B$7,0,MIN(G8162,Parametres!$B$7))</f>
        <v>26.36</v>
      </c>
      <c r="I8162" s="20" t="n">
        <f aca="false">G8162-H8162</f>
        <v>0</v>
      </c>
      <c r="J8162" s="21" t="n">
        <f aca="false">H8162*1000/Parametres!$B$9</f>
        <v>447.006952687807</v>
      </c>
    </row>
    <row r="8163" customFormat="false" ht="15" hidden="false" customHeight="false" outlineLevel="0" collapsed="false">
      <c r="A8163" s="0" t="n">
        <v>8159</v>
      </c>
      <c r="B8163" s="0" t="n">
        <v>12</v>
      </c>
      <c r="C8163" s="19" t="n">
        <v>0</v>
      </c>
      <c r="D8163" s="19" t="n">
        <v>0.1333</v>
      </c>
      <c r="E8163" s="20" t="n">
        <f aca="false">Parametres!$B$5*C8163</f>
        <v>0</v>
      </c>
      <c r="F8163" s="20" t="n">
        <f aca="false">Parametres!$B$6*D8163</f>
        <v>26.66</v>
      </c>
      <c r="G8163" s="20" t="n">
        <f aca="false">E8163+F8163</f>
        <v>26.66</v>
      </c>
      <c r="H8163" s="20" t="n">
        <f aca="false">IF(G8163&lt;Parametres!$B$8*Parametres!$B$7,0,MIN(G8163,Parametres!$B$7))</f>
        <v>26.66</v>
      </c>
      <c r="I8163" s="20" t="n">
        <f aca="false">G8163-H8163</f>
        <v>0</v>
      </c>
      <c r="J8163" s="21" t="n">
        <f aca="false">H8163*1000/Parametres!$B$9</f>
        <v>452.094285229778</v>
      </c>
    </row>
    <row r="8164" customFormat="false" ht="15" hidden="false" customHeight="false" outlineLevel="0" collapsed="false">
      <c r="A8164" s="0" t="n">
        <v>8160</v>
      </c>
      <c r="B8164" s="0" t="n">
        <v>12</v>
      </c>
      <c r="C8164" s="19" t="n">
        <v>0</v>
      </c>
      <c r="D8164" s="19" t="n">
        <v>0.0665</v>
      </c>
      <c r="E8164" s="20" t="n">
        <f aca="false">Parametres!$B$5*C8164</f>
        <v>0</v>
      </c>
      <c r="F8164" s="20" t="n">
        <f aca="false">Parametres!$B$6*D8164</f>
        <v>13.3</v>
      </c>
      <c r="G8164" s="20" t="n">
        <f aca="false">E8164+F8164</f>
        <v>13.3</v>
      </c>
      <c r="H8164" s="20" t="n">
        <f aca="false">IF(G8164&lt;Parametres!$B$8*Parametres!$B$7,0,MIN(G8164,Parametres!$B$7))</f>
        <v>0</v>
      </c>
      <c r="I8164" s="20" t="n">
        <f aca="false">G8164-H8164</f>
        <v>13.3</v>
      </c>
      <c r="J8164" s="21" t="n">
        <f aca="false">H8164*1000/Parametres!$B$9</f>
        <v>0</v>
      </c>
    </row>
    <row r="8165" customFormat="false" ht="15" hidden="false" customHeight="false" outlineLevel="0" collapsed="false">
      <c r="A8165" s="0" t="n">
        <v>8161</v>
      </c>
      <c r="B8165" s="0" t="n">
        <v>12</v>
      </c>
      <c r="C8165" s="19" t="n">
        <v>0</v>
      </c>
      <c r="D8165" s="19" t="n">
        <v>0.0731</v>
      </c>
      <c r="E8165" s="20" t="n">
        <f aca="false">Parametres!$B$5*C8165</f>
        <v>0</v>
      </c>
      <c r="F8165" s="20" t="n">
        <f aca="false">Parametres!$B$6*D8165</f>
        <v>14.62</v>
      </c>
      <c r="G8165" s="20" t="n">
        <f aca="false">E8165+F8165</f>
        <v>14.62</v>
      </c>
      <c r="H8165" s="20" t="n">
        <f aca="false">IF(G8165&lt;Parametres!$B$8*Parametres!$B$7,0,MIN(G8165,Parametres!$B$7))</f>
        <v>0</v>
      </c>
      <c r="I8165" s="20" t="n">
        <f aca="false">G8165-H8165</f>
        <v>14.62</v>
      </c>
      <c r="J8165" s="21" t="n">
        <f aca="false">H8165*1000/Parametres!$B$9</f>
        <v>0</v>
      </c>
    </row>
    <row r="8166" customFormat="false" ht="15" hidden="false" customHeight="false" outlineLevel="0" collapsed="false">
      <c r="A8166" s="0" t="n">
        <v>8162</v>
      </c>
      <c r="B8166" s="0" t="n">
        <v>12</v>
      </c>
      <c r="C8166" s="19" t="n">
        <v>0</v>
      </c>
      <c r="D8166" s="19" t="n">
        <v>0.0334</v>
      </c>
      <c r="E8166" s="20" t="n">
        <f aca="false">Parametres!$B$5*C8166</f>
        <v>0</v>
      </c>
      <c r="F8166" s="20" t="n">
        <f aca="false">Parametres!$B$6*D8166</f>
        <v>6.68</v>
      </c>
      <c r="G8166" s="20" t="n">
        <f aca="false">E8166+F8166</f>
        <v>6.68</v>
      </c>
      <c r="H8166" s="20" t="n">
        <f aca="false">IF(G8166&lt;Parametres!$B$8*Parametres!$B$7,0,MIN(G8166,Parametres!$B$7))</f>
        <v>0</v>
      </c>
      <c r="I8166" s="20" t="n">
        <f aca="false">G8166-H8166</f>
        <v>6.68</v>
      </c>
      <c r="J8166" s="21" t="n">
        <f aca="false">H8166*1000/Parametres!$B$9</f>
        <v>0</v>
      </c>
    </row>
    <row r="8167" customFormat="false" ht="15" hidden="false" customHeight="false" outlineLevel="0" collapsed="false">
      <c r="A8167" s="0" t="n">
        <v>8163</v>
      </c>
      <c r="B8167" s="0" t="n">
        <v>12</v>
      </c>
      <c r="C8167" s="19" t="n">
        <v>0</v>
      </c>
      <c r="D8167" s="19" t="n">
        <v>0.0413</v>
      </c>
      <c r="E8167" s="20" t="n">
        <f aca="false">Parametres!$B$5*C8167</f>
        <v>0</v>
      </c>
      <c r="F8167" s="20" t="n">
        <f aca="false">Parametres!$B$6*D8167</f>
        <v>8.26</v>
      </c>
      <c r="G8167" s="20" t="n">
        <f aca="false">E8167+F8167</f>
        <v>8.26</v>
      </c>
      <c r="H8167" s="20" t="n">
        <f aca="false">IF(G8167&lt;Parametres!$B$8*Parametres!$B$7,0,MIN(G8167,Parametres!$B$7))</f>
        <v>0</v>
      </c>
      <c r="I8167" s="20" t="n">
        <f aca="false">G8167-H8167</f>
        <v>8.26</v>
      </c>
      <c r="J8167" s="21" t="n">
        <f aca="false">H8167*1000/Parametres!$B$9</f>
        <v>0</v>
      </c>
    </row>
    <row r="8168" customFormat="false" ht="15" hidden="false" customHeight="false" outlineLevel="0" collapsed="false">
      <c r="A8168" s="0" t="n">
        <v>8164</v>
      </c>
      <c r="B8168" s="0" t="n">
        <v>12</v>
      </c>
      <c r="C8168" s="19" t="n">
        <v>0</v>
      </c>
      <c r="D8168" s="19" t="n">
        <v>0.072</v>
      </c>
      <c r="E8168" s="20" t="n">
        <f aca="false">Parametres!$B$5*C8168</f>
        <v>0</v>
      </c>
      <c r="F8168" s="20" t="n">
        <f aca="false">Parametres!$B$6*D8168</f>
        <v>14.4</v>
      </c>
      <c r="G8168" s="20" t="n">
        <f aca="false">E8168+F8168</f>
        <v>14.4</v>
      </c>
      <c r="H8168" s="20" t="n">
        <f aca="false">IF(G8168&lt;Parametres!$B$8*Parametres!$B$7,0,MIN(G8168,Parametres!$B$7))</f>
        <v>0</v>
      </c>
      <c r="I8168" s="20" t="n">
        <f aca="false">G8168-H8168</f>
        <v>14.4</v>
      </c>
      <c r="J8168" s="21" t="n">
        <f aca="false">H8168*1000/Parametres!$B$9</f>
        <v>0</v>
      </c>
    </row>
    <row r="8169" customFormat="false" ht="15" hidden="false" customHeight="false" outlineLevel="0" collapsed="false">
      <c r="A8169" s="0" t="n">
        <v>8165</v>
      </c>
      <c r="B8169" s="0" t="n">
        <v>12</v>
      </c>
      <c r="C8169" s="19" t="n">
        <v>0</v>
      </c>
      <c r="D8169" s="19" t="n">
        <v>0.0166</v>
      </c>
      <c r="E8169" s="20" t="n">
        <f aca="false">Parametres!$B$5*C8169</f>
        <v>0</v>
      </c>
      <c r="F8169" s="20" t="n">
        <f aca="false">Parametres!$B$6*D8169</f>
        <v>3.32</v>
      </c>
      <c r="G8169" s="20" t="n">
        <f aca="false">E8169+F8169</f>
        <v>3.32</v>
      </c>
      <c r="H8169" s="20" t="n">
        <f aca="false">IF(G8169&lt;Parametres!$B$8*Parametres!$B$7,0,MIN(G8169,Parametres!$B$7))</f>
        <v>0</v>
      </c>
      <c r="I8169" s="20" t="n">
        <f aca="false">G8169-H8169</f>
        <v>3.32</v>
      </c>
      <c r="J8169" s="21" t="n">
        <f aca="false">H8169*1000/Parametres!$B$9</f>
        <v>0</v>
      </c>
    </row>
    <row r="8170" customFormat="false" ht="15" hidden="false" customHeight="false" outlineLevel="0" collapsed="false">
      <c r="A8170" s="0" t="n">
        <v>8166</v>
      </c>
      <c r="B8170" s="0" t="n">
        <v>12</v>
      </c>
      <c r="C8170" s="19" t="n">
        <v>0</v>
      </c>
      <c r="D8170" s="19" t="n">
        <v>0.0291</v>
      </c>
      <c r="E8170" s="20" t="n">
        <f aca="false">Parametres!$B$5*C8170</f>
        <v>0</v>
      </c>
      <c r="F8170" s="20" t="n">
        <f aca="false">Parametres!$B$6*D8170</f>
        <v>5.82</v>
      </c>
      <c r="G8170" s="20" t="n">
        <f aca="false">E8170+F8170</f>
        <v>5.82</v>
      </c>
      <c r="H8170" s="20" t="n">
        <f aca="false">IF(G8170&lt;Parametres!$B$8*Parametres!$B$7,0,MIN(G8170,Parametres!$B$7))</f>
        <v>0</v>
      </c>
      <c r="I8170" s="20" t="n">
        <f aca="false">G8170-H8170</f>
        <v>5.82</v>
      </c>
      <c r="J8170" s="21" t="n">
        <f aca="false">H8170*1000/Parametres!$B$9</f>
        <v>0</v>
      </c>
    </row>
    <row r="8171" customFormat="false" ht="15" hidden="false" customHeight="false" outlineLevel="0" collapsed="false">
      <c r="A8171" s="0" t="n">
        <v>8167</v>
      </c>
      <c r="B8171" s="0" t="n">
        <v>12</v>
      </c>
      <c r="C8171" s="19" t="n">
        <v>0</v>
      </c>
      <c r="D8171" s="19" t="n">
        <v>0.0436</v>
      </c>
      <c r="E8171" s="20" t="n">
        <f aca="false">Parametres!$B$5*C8171</f>
        <v>0</v>
      </c>
      <c r="F8171" s="20" t="n">
        <f aca="false">Parametres!$B$6*D8171</f>
        <v>8.72</v>
      </c>
      <c r="G8171" s="20" t="n">
        <f aca="false">E8171+F8171</f>
        <v>8.72</v>
      </c>
      <c r="H8171" s="20" t="n">
        <f aca="false">IF(G8171&lt;Parametres!$B$8*Parametres!$B$7,0,MIN(G8171,Parametres!$B$7))</f>
        <v>0</v>
      </c>
      <c r="I8171" s="20" t="n">
        <f aca="false">G8171-H8171</f>
        <v>8.72</v>
      </c>
      <c r="J8171" s="21" t="n">
        <f aca="false">H8171*1000/Parametres!$B$9</f>
        <v>0</v>
      </c>
    </row>
    <row r="8172" customFormat="false" ht="15" hidden="false" customHeight="false" outlineLevel="0" collapsed="false">
      <c r="A8172" s="0" t="n">
        <v>8168</v>
      </c>
      <c r="B8172" s="0" t="n">
        <v>12</v>
      </c>
      <c r="C8172" s="19" t="n">
        <v>0.106</v>
      </c>
      <c r="D8172" s="19" t="n">
        <v>0.026</v>
      </c>
      <c r="E8172" s="20" t="n">
        <f aca="false">Parametres!$B$5*C8172</f>
        <v>31.8</v>
      </c>
      <c r="F8172" s="20" t="n">
        <f aca="false">Parametres!$B$6*D8172</f>
        <v>5.2</v>
      </c>
      <c r="G8172" s="20" t="n">
        <f aca="false">E8172+F8172</f>
        <v>37</v>
      </c>
      <c r="H8172" s="20" t="n">
        <f aca="false">IF(G8172&lt;Parametres!$B$8*Parametres!$B$7,0,MIN(G8172,Parametres!$B$7))</f>
        <v>37</v>
      </c>
      <c r="I8172" s="20" t="n">
        <f aca="false">G8172-H8172</f>
        <v>0</v>
      </c>
      <c r="J8172" s="21" t="n">
        <f aca="false">H8172*1000/Parametres!$B$9</f>
        <v>627.437680176361</v>
      </c>
    </row>
    <row r="8173" customFormat="false" ht="15" hidden="false" customHeight="false" outlineLevel="0" collapsed="false">
      <c r="A8173" s="0" t="n">
        <v>8169</v>
      </c>
      <c r="B8173" s="0" t="n">
        <v>12</v>
      </c>
      <c r="C8173" s="19" t="n">
        <v>0.2719</v>
      </c>
      <c r="D8173" s="19" t="n">
        <v>0.0328</v>
      </c>
      <c r="E8173" s="20" t="n">
        <f aca="false">Parametres!$B$5*C8173</f>
        <v>81.57</v>
      </c>
      <c r="F8173" s="20" t="n">
        <f aca="false">Parametres!$B$6*D8173</f>
        <v>6.56</v>
      </c>
      <c r="G8173" s="20" t="n">
        <f aca="false">E8173+F8173</f>
        <v>88.13</v>
      </c>
      <c r="H8173" s="20" t="n">
        <f aca="false">IF(G8173&lt;Parametres!$B$8*Parametres!$B$7,0,MIN(G8173,Parametres!$B$7))</f>
        <v>88.13</v>
      </c>
      <c r="I8173" s="20" t="n">
        <f aca="false">G8173-H8173</f>
        <v>0</v>
      </c>
      <c r="J8173" s="21" t="n">
        <f aca="false">H8173*1000/Parametres!$B$9</f>
        <v>1494.48872307953</v>
      </c>
    </row>
    <row r="8174" customFormat="false" ht="15" hidden="false" customHeight="false" outlineLevel="0" collapsed="false">
      <c r="A8174" s="0" t="n">
        <v>8170</v>
      </c>
      <c r="B8174" s="0" t="n">
        <v>12</v>
      </c>
      <c r="C8174" s="19" t="n">
        <v>0.452</v>
      </c>
      <c r="D8174" s="19" t="n">
        <v>0.0385</v>
      </c>
      <c r="E8174" s="20" t="n">
        <f aca="false">Parametres!$B$5*C8174</f>
        <v>135.6</v>
      </c>
      <c r="F8174" s="20" t="n">
        <f aca="false">Parametres!$B$6*D8174</f>
        <v>7.7</v>
      </c>
      <c r="G8174" s="20" t="n">
        <f aca="false">E8174+F8174</f>
        <v>143.3</v>
      </c>
      <c r="H8174" s="20" t="n">
        <f aca="false">IF(G8174&lt;Parametres!$B$8*Parametres!$B$7,0,MIN(G8174,Parametres!$B$7))</f>
        <v>143.3</v>
      </c>
      <c r="I8174" s="20" t="n">
        <f aca="false">G8174-H8174</f>
        <v>0</v>
      </c>
      <c r="J8174" s="21" t="n">
        <f aca="false">H8174*1000/Parametres!$B$9</f>
        <v>2430.04917754791</v>
      </c>
    </row>
    <row r="8175" customFormat="false" ht="15" hidden="false" customHeight="false" outlineLevel="0" collapsed="false">
      <c r="A8175" s="0" t="n">
        <v>8171</v>
      </c>
      <c r="B8175" s="0" t="n">
        <v>12</v>
      </c>
      <c r="C8175" s="19" t="n">
        <v>0.5982</v>
      </c>
      <c r="D8175" s="19" t="n">
        <v>0.1397</v>
      </c>
      <c r="E8175" s="20" t="n">
        <f aca="false">Parametres!$B$5*C8175</f>
        <v>179.46</v>
      </c>
      <c r="F8175" s="20" t="n">
        <f aca="false">Parametres!$B$6*D8175</f>
        <v>27.94</v>
      </c>
      <c r="G8175" s="20" t="n">
        <f aca="false">E8175+F8175</f>
        <v>207.4</v>
      </c>
      <c r="H8175" s="20" t="n">
        <f aca="false">IF(G8175&lt;Parametres!$B$8*Parametres!$B$7,0,MIN(G8175,Parametres!$B$7))</f>
        <v>207.4</v>
      </c>
      <c r="I8175" s="20" t="n">
        <f aca="false">G8175-H8175</f>
        <v>0</v>
      </c>
      <c r="J8175" s="21" t="n">
        <f aca="false">H8175*1000/Parametres!$B$9</f>
        <v>3517.0425640156</v>
      </c>
    </row>
    <row r="8176" customFormat="false" ht="15" hidden="false" customHeight="false" outlineLevel="0" collapsed="false">
      <c r="A8176" s="0" t="n">
        <v>8172</v>
      </c>
      <c r="B8176" s="0" t="n">
        <v>12</v>
      </c>
      <c r="C8176" s="19" t="n">
        <v>0.6177</v>
      </c>
      <c r="D8176" s="19" t="n">
        <v>0.1464</v>
      </c>
      <c r="E8176" s="20" t="n">
        <f aca="false">Parametres!$B$5*C8176</f>
        <v>185.31</v>
      </c>
      <c r="F8176" s="20" t="n">
        <f aca="false">Parametres!$B$6*D8176</f>
        <v>29.28</v>
      </c>
      <c r="G8176" s="20" t="n">
        <f aca="false">E8176+F8176</f>
        <v>214.59</v>
      </c>
      <c r="H8176" s="20" t="n">
        <f aca="false">IF(G8176&lt;Parametres!$B$8*Parametres!$B$7,0,MIN(G8176,Parametres!$B$7))</f>
        <v>214.59</v>
      </c>
      <c r="I8176" s="20" t="n">
        <f aca="false">G8176-H8176</f>
        <v>0</v>
      </c>
      <c r="J8176" s="21" t="n">
        <f aca="false">H8176*1000/Parametres!$B$9</f>
        <v>3638.96896727149</v>
      </c>
    </row>
    <row r="8177" customFormat="false" ht="15" hidden="false" customHeight="false" outlineLevel="0" collapsed="false">
      <c r="A8177" s="0" t="n">
        <v>8173</v>
      </c>
      <c r="B8177" s="0" t="n">
        <v>12</v>
      </c>
      <c r="C8177" s="19" t="n">
        <v>0.6215</v>
      </c>
      <c r="D8177" s="19" t="n">
        <v>0.2189</v>
      </c>
      <c r="E8177" s="20" t="n">
        <f aca="false">Parametres!$B$5*C8177</f>
        <v>186.45</v>
      </c>
      <c r="F8177" s="20" t="n">
        <f aca="false">Parametres!$B$6*D8177</f>
        <v>43.78</v>
      </c>
      <c r="G8177" s="20" t="n">
        <f aca="false">E8177+F8177</f>
        <v>230.23</v>
      </c>
      <c r="H8177" s="20" t="n">
        <f aca="false">IF(G8177&lt;Parametres!$B$8*Parametres!$B$7,0,MIN(G8177,Parametres!$B$7))</f>
        <v>230.23</v>
      </c>
      <c r="I8177" s="20" t="n">
        <f aca="false">G8177-H8177</f>
        <v>0</v>
      </c>
      <c r="J8177" s="21" t="n">
        <f aca="false">H8177*1000/Parametres!$B$9</f>
        <v>3904.18857045956</v>
      </c>
    </row>
    <row r="8178" customFormat="false" ht="15" hidden="false" customHeight="false" outlineLevel="0" collapsed="false">
      <c r="A8178" s="0" t="n">
        <v>8174</v>
      </c>
      <c r="B8178" s="0" t="n">
        <v>12</v>
      </c>
      <c r="C8178" s="19" t="n">
        <v>0.586</v>
      </c>
      <c r="D8178" s="19" t="n">
        <v>0.2053</v>
      </c>
      <c r="E8178" s="20" t="n">
        <f aca="false">Parametres!$B$5*C8178</f>
        <v>175.8</v>
      </c>
      <c r="F8178" s="20" t="n">
        <f aca="false">Parametres!$B$6*D8178</f>
        <v>41.06</v>
      </c>
      <c r="G8178" s="20" t="n">
        <f aca="false">E8178+F8178</f>
        <v>216.86</v>
      </c>
      <c r="H8178" s="20" t="n">
        <f aca="false">IF(G8178&lt;Parametres!$B$8*Parametres!$B$7,0,MIN(G8178,Parametres!$B$7))</f>
        <v>216.86</v>
      </c>
      <c r="I8178" s="20" t="n">
        <f aca="false">G8178-H8178</f>
        <v>0</v>
      </c>
      <c r="J8178" s="21" t="n">
        <f aca="false">H8178*1000/Parametres!$B$9</f>
        <v>3677.46311683907</v>
      </c>
    </row>
    <row r="8179" customFormat="false" ht="15" hidden="false" customHeight="false" outlineLevel="0" collapsed="false">
      <c r="A8179" s="0" t="n">
        <v>8175</v>
      </c>
      <c r="B8179" s="0" t="n">
        <v>12</v>
      </c>
      <c r="C8179" s="19" t="n">
        <v>0.461</v>
      </c>
      <c r="D8179" s="19" t="n">
        <v>0.2371</v>
      </c>
      <c r="E8179" s="20" t="n">
        <f aca="false">Parametres!$B$5*C8179</f>
        <v>138.3</v>
      </c>
      <c r="F8179" s="20" t="n">
        <f aca="false">Parametres!$B$6*D8179</f>
        <v>47.42</v>
      </c>
      <c r="G8179" s="20" t="n">
        <f aca="false">E8179+F8179</f>
        <v>185.72</v>
      </c>
      <c r="H8179" s="20" t="n">
        <f aca="false">IF(G8179&lt;Parametres!$B$8*Parametres!$B$7,0,MIN(G8179,Parametres!$B$7))</f>
        <v>185.72</v>
      </c>
      <c r="I8179" s="20" t="n">
        <f aca="false">G8179-H8179</f>
        <v>0</v>
      </c>
      <c r="J8179" s="21" t="n">
        <f aca="false">H8179*1000/Parametres!$B$9</f>
        <v>3149.39799898253</v>
      </c>
    </row>
    <row r="8180" customFormat="false" ht="15" hidden="false" customHeight="false" outlineLevel="0" collapsed="false">
      <c r="A8180" s="0" t="n">
        <v>8176</v>
      </c>
      <c r="B8180" s="0" t="n">
        <v>12</v>
      </c>
      <c r="C8180" s="19" t="n">
        <v>0.2821</v>
      </c>
      <c r="D8180" s="19" t="n">
        <v>0.2934</v>
      </c>
      <c r="E8180" s="20" t="n">
        <f aca="false">Parametres!$B$5*C8180</f>
        <v>84.63</v>
      </c>
      <c r="F8180" s="20" t="n">
        <f aca="false">Parametres!$B$6*D8180</f>
        <v>58.68</v>
      </c>
      <c r="G8180" s="20" t="n">
        <f aca="false">E8180+F8180</f>
        <v>143.31</v>
      </c>
      <c r="H8180" s="20" t="n">
        <f aca="false">IF(G8180&lt;Parametres!$B$8*Parametres!$B$7,0,MIN(G8180,Parametres!$B$7))</f>
        <v>143.31</v>
      </c>
      <c r="I8180" s="20" t="n">
        <f aca="false">G8180-H8180</f>
        <v>0</v>
      </c>
      <c r="J8180" s="21" t="n">
        <f aca="false">H8180*1000/Parametres!$B$9</f>
        <v>2430.2187552993</v>
      </c>
    </row>
    <row r="8181" customFormat="false" ht="15" hidden="false" customHeight="false" outlineLevel="0" collapsed="false">
      <c r="A8181" s="0" t="n">
        <v>8177</v>
      </c>
      <c r="B8181" s="0" t="n">
        <v>12</v>
      </c>
      <c r="C8181" s="19" t="n">
        <v>0.1037</v>
      </c>
      <c r="D8181" s="19" t="n">
        <v>0.2541</v>
      </c>
      <c r="E8181" s="20" t="n">
        <f aca="false">Parametres!$B$5*C8181</f>
        <v>31.11</v>
      </c>
      <c r="F8181" s="20" t="n">
        <f aca="false">Parametres!$B$6*D8181</f>
        <v>50.82</v>
      </c>
      <c r="G8181" s="20" t="n">
        <f aca="false">E8181+F8181</f>
        <v>81.93</v>
      </c>
      <c r="H8181" s="20" t="n">
        <f aca="false">IF(G8181&lt;Parametres!$B$8*Parametres!$B$7,0,MIN(G8181,Parametres!$B$7))</f>
        <v>81.93</v>
      </c>
      <c r="I8181" s="20" t="n">
        <f aca="false">G8181-H8181</f>
        <v>0</v>
      </c>
      <c r="J8181" s="21" t="n">
        <f aca="false">H8181*1000/Parametres!$B$9</f>
        <v>1389.35051721214</v>
      </c>
    </row>
    <row r="8182" customFormat="false" ht="15" hidden="false" customHeight="false" outlineLevel="0" collapsed="false">
      <c r="A8182" s="0" t="n">
        <v>8178</v>
      </c>
      <c r="B8182" s="0" t="n">
        <v>12</v>
      </c>
      <c r="C8182" s="19" t="n">
        <v>0</v>
      </c>
      <c r="D8182" s="19" t="n">
        <v>0.3375</v>
      </c>
      <c r="E8182" s="20" t="n">
        <f aca="false">Parametres!$B$5*C8182</f>
        <v>0</v>
      </c>
      <c r="F8182" s="20" t="n">
        <f aca="false">Parametres!$B$6*D8182</f>
        <v>67.5</v>
      </c>
      <c r="G8182" s="20" t="n">
        <f aca="false">E8182+F8182</f>
        <v>67.5</v>
      </c>
      <c r="H8182" s="20" t="n">
        <f aca="false">IF(G8182&lt;Parametres!$B$8*Parametres!$B$7,0,MIN(G8182,Parametres!$B$7))</f>
        <v>67.5</v>
      </c>
      <c r="I8182" s="20" t="n">
        <f aca="false">G8182-H8182</f>
        <v>0</v>
      </c>
      <c r="J8182" s="21" t="n">
        <f aca="false">H8182*1000/Parametres!$B$9</f>
        <v>1144.64982194336</v>
      </c>
    </row>
    <row r="8183" customFormat="false" ht="15" hidden="false" customHeight="false" outlineLevel="0" collapsed="false">
      <c r="A8183" s="0" t="n">
        <v>8179</v>
      </c>
      <c r="B8183" s="0" t="n">
        <v>12</v>
      </c>
      <c r="C8183" s="19" t="n">
        <v>0</v>
      </c>
      <c r="D8183" s="19" t="n">
        <v>0.2651</v>
      </c>
      <c r="E8183" s="20" t="n">
        <f aca="false">Parametres!$B$5*C8183</f>
        <v>0</v>
      </c>
      <c r="F8183" s="20" t="n">
        <f aca="false">Parametres!$B$6*D8183</f>
        <v>53.02</v>
      </c>
      <c r="G8183" s="20" t="n">
        <f aca="false">E8183+F8183</f>
        <v>53.02</v>
      </c>
      <c r="H8183" s="20" t="n">
        <f aca="false">IF(G8183&lt;Parametres!$B$8*Parametres!$B$7,0,MIN(G8183,Parametres!$B$7))</f>
        <v>53.02</v>
      </c>
      <c r="I8183" s="20" t="n">
        <f aca="false">G8183-H8183</f>
        <v>0</v>
      </c>
      <c r="J8183" s="21" t="n">
        <f aca="false">H8183*1000/Parametres!$B$9</f>
        <v>899.101237917585</v>
      </c>
    </row>
    <row r="8184" customFormat="false" ht="15" hidden="false" customHeight="false" outlineLevel="0" collapsed="false">
      <c r="A8184" s="0" t="n">
        <v>8180</v>
      </c>
      <c r="B8184" s="0" t="n">
        <v>12</v>
      </c>
      <c r="C8184" s="19" t="n">
        <v>0</v>
      </c>
      <c r="D8184" s="19" t="n">
        <v>0.2103</v>
      </c>
      <c r="E8184" s="20" t="n">
        <f aca="false">Parametres!$B$5*C8184</f>
        <v>0</v>
      </c>
      <c r="F8184" s="20" t="n">
        <f aca="false">Parametres!$B$6*D8184</f>
        <v>42.06</v>
      </c>
      <c r="G8184" s="20" t="n">
        <f aca="false">E8184+F8184</f>
        <v>42.06</v>
      </c>
      <c r="H8184" s="20" t="n">
        <f aca="false">IF(G8184&lt;Parametres!$B$8*Parametres!$B$7,0,MIN(G8184,Parametres!$B$7))</f>
        <v>42.06</v>
      </c>
      <c r="I8184" s="20" t="n">
        <f aca="false">G8184-H8184</f>
        <v>0</v>
      </c>
      <c r="J8184" s="21" t="n">
        <f aca="false">H8184*1000/Parametres!$B$9</f>
        <v>713.244022384263</v>
      </c>
    </row>
    <row r="8185" customFormat="false" ht="15" hidden="false" customHeight="false" outlineLevel="0" collapsed="false">
      <c r="A8185" s="0" t="n">
        <v>8181</v>
      </c>
      <c r="B8185" s="0" t="n">
        <v>12</v>
      </c>
      <c r="C8185" s="19" t="n">
        <v>0</v>
      </c>
      <c r="D8185" s="19" t="n">
        <v>0.1515</v>
      </c>
      <c r="E8185" s="20" t="n">
        <f aca="false">Parametres!$B$5*C8185</f>
        <v>0</v>
      </c>
      <c r="F8185" s="20" t="n">
        <f aca="false">Parametres!$B$6*D8185</f>
        <v>30.3</v>
      </c>
      <c r="G8185" s="20" t="n">
        <f aca="false">E8185+F8185</f>
        <v>30.3</v>
      </c>
      <c r="H8185" s="20" t="n">
        <f aca="false">IF(G8185&lt;Parametres!$B$8*Parametres!$B$7,0,MIN(G8185,Parametres!$B$7))</f>
        <v>30.3</v>
      </c>
      <c r="I8185" s="20" t="n">
        <f aca="false">G8185-H8185</f>
        <v>0</v>
      </c>
      <c r="J8185" s="21" t="n">
        <f aca="false">H8185*1000/Parametres!$B$9</f>
        <v>513.82058673902</v>
      </c>
    </row>
    <row r="8186" customFormat="false" ht="15" hidden="false" customHeight="false" outlineLevel="0" collapsed="false">
      <c r="A8186" s="0" t="n">
        <v>8182</v>
      </c>
      <c r="B8186" s="0" t="n">
        <v>12</v>
      </c>
      <c r="C8186" s="19" t="n">
        <v>0</v>
      </c>
      <c r="D8186" s="19" t="n">
        <v>0.1091</v>
      </c>
      <c r="E8186" s="20" t="n">
        <f aca="false">Parametres!$B$5*C8186</f>
        <v>0</v>
      </c>
      <c r="F8186" s="20" t="n">
        <f aca="false">Parametres!$B$6*D8186</f>
        <v>21.82</v>
      </c>
      <c r="G8186" s="20" t="n">
        <f aca="false">E8186+F8186</f>
        <v>21.82</v>
      </c>
      <c r="H8186" s="20" t="n">
        <f aca="false">IF(G8186&lt;Parametres!$B$8*Parametres!$B$7,0,MIN(G8186,Parametres!$B$7))</f>
        <v>0</v>
      </c>
      <c r="I8186" s="20" t="n">
        <f aca="false">G8186-H8186</f>
        <v>21.82</v>
      </c>
      <c r="J8186" s="21" t="n">
        <f aca="false">H8186*1000/Parametres!$B$9</f>
        <v>0</v>
      </c>
    </row>
    <row r="8187" customFormat="false" ht="15" hidden="false" customHeight="false" outlineLevel="0" collapsed="false">
      <c r="A8187" s="0" t="n">
        <v>8183</v>
      </c>
      <c r="B8187" s="0" t="n">
        <v>12</v>
      </c>
      <c r="C8187" s="19" t="n">
        <v>0</v>
      </c>
      <c r="D8187" s="19" t="n">
        <v>0.1168</v>
      </c>
      <c r="E8187" s="20" t="n">
        <f aca="false">Parametres!$B$5*C8187</f>
        <v>0</v>
      </c>
      <c r="F8187" s="20" t="n">
        <f aca="false">Parametres!$B$6*D8187</f>
        <v>23.36</v>
      </c>
      <c r="G8187" s="20" t="n">
        <f aca="false">E8187+F8187</f>
        <v>23.36</v>
      </c>
      <c r="H8187" s="20" t="n">
        <f aca="false">IF(G8187&lt;Parametres!$B$8*Parametres!$B$7,0,MIN(G8187,Parametres!$B$7))</f>
        <v>0</v>
      </c>
      <c r="I8187" s="20" t="n">
        <f aca="false">G8187-H8187</f>
        <v>23.36</v>
      </c>
      <c r="J8187" s="21" t="n">
        <f aca="false">H8187*1000/Parametres!$B$9</f>
        <v>0</v>
      </c>
    </row>
    <row r="8188" customFormat="false" ht="15" hidden="false" customHeight="false" outlineLevel="0" collapsed="false">
      <c r="A8188" s="0" t="n">
        <v>8184</v>
      </c>
      <c r="B8188" s="0" t="n">
        <v>12</v>
      </c>
      <c r="C8188" s="19" t="n">
        <v>0</v>
      </c>
      <c r="D8188" s="19" t="n">
        <v>0.1324</v>
      </c>
      <c r="E8188" s="20" t="n">
        <f aca="false">Parametres!$B$5*C8188</f>
        <v>0</v>
      </c>
      <c r="F8188" s="20" t="n">
        <f aca="false">Parametres!$B$6*D8188</f>
        <v>26.48</v>
      </c>
      <c r="G8188" s="20" t="n">
        <f aca="false">E8188+F8188</f>
        <v>26.48</v>
      </c>
      <c r="H8188" s="20" t="n">
        <f aca="false">IF(G8188&lt;Parametres!$B$8*Parametres!$B$7,0,MIN(G8188,Parametres!$B$7))</f>
        <v>26.48</v>
      </c>
      <c r="I8188" s="20" t="n">
        <f aca="false">G8188-H8188</f>
        <v>0</v>
      </c>
      <c r="J8188" s="21" t="n">
        <f aca="false">H8188*1000/Parametres!$B$9</f>
        <v>449.041885704596</v>
      </c>
    </row>
    <row r="8189" customFormat="false" ht="15" hidden="false" customHeight="false" outlineLevel="0" collapsed="false">
      <c r="A8189" s="0" t="n">
        <v>8185</v>
      </c>
      <c r="B8189" s="0" t="n">
        <v>12</v>
      </c>
      <c r="C8189" s="19" t="n">
        <v>0</v>
      </c>
      <c r="D8189" s="19" t="n">
        <v>0.0429</v>
      </c>
      <c r="E8189" s="20" t="n">
        <f aca="false">Parametres!$B$5*C8189</f>
        <v>0</v>
      </c>
      <c r="F8189" s="20" t="n">
        <f aca="false">Parametres!$B$6*D8189</f>
        <v>8.58</v>
      </c>
      <c r="G8189" s="20" t="n">
        <f aca="false">E8189+F8189</f>
        <v>8.58</v>
      </c>
      <c r="H8189" s="20" t="n">
        <f aca="false">IF(G8189&lt;Parametres!$B$8*Parametres!$B$7,0,MIN(G8189,Parametres!$B$7))</f>
        <v>0</v>
      </c>
      <c r="I8189" s="20" t="n">
        <f aca="false">G8189-H8189</f>
        <v>8.58</v>
      </c>
      <c r="J8189" s="21" t="n">
        <f aca="false">H8189*1000/Parametres!$B$9</f>
        <v>0</v>
      </c>
    </row>
    <row r="8190" customFormat="false" ht="15" hidden="false" customHeight="false" outlineLevel="0" collapsed="false">
      <c r="A8190" s="0" t="n">
        <v>8186</v>
      </c>
      <c r="B8190" s="0" t="n">
        <v>12</v>
      </c>
      <c r="C8190" s="19" t="n">
        <v>0</v>
      </c>
      <c r="D8190" s="19" t="n">
        <v>0.0167</v>
      </c>
      <c r="E8190" s="20" t="n">
        <f aca="false">Parametres!$B$5*C8190</f>
        <v>0</v>
      </c>
      <c r="F8190" s="20" t="n">
        <f aca="false">Parametres!$B$6*D8190</f>
        <v>3.34</v>
      </c>
      <c r="G8190" s="20" t="n">
        <f aca="false">E8190+F8190</f>
        <v>3.34</v>
      </c>
      <c r="H8190" s="20" t="n">
        <f aca="false">IF(G8190&lt;Parametres!$B$8*Parametres!$B$7,0,MIN(G8190,Parametres!$B$7))</f>
        <v>0</v>
      </c>
      <c r="I8190" s="20" t="n">
        <f aca="false">G8190-H8190</f>
        <v>3.34</v>
      </c>
      <c r="J8190" s="21" t="n">
        <f aca="false">H8190*1000/Parametres!$B$9</f>
        <v>0</v>
      </c>
    </row>
    <row r="8191" customFormat="false" ht="15" hidden="false" customHeight="false" outlineLevel="0" collapsed="false">
      <c r="A8191" s="0" t="n">
        <v>8187</v>
      </c>
      <c r="B8191" s="0" t="n">
        <v>12</v>
      </c>
      <c r="C8191" s="19" t="n">
        <v>0</v>
      </c>
      <c r="D8191" s="19" t="n">
        <v>0.0133</v>
      </c>
      <c r="E8191" s="20" t="n">
        <f aca="false">Parametres!$B$5*C8191</f>
        <v>0</v>
      </c>
      <c r="F8191" s="20" t="n">
        <f aca="false">Parametres!$B$6*D8191</f>
        <v>2.66</v>
      </c>
      <c r="G8191" s="20" t="n">
        <f aca="false">E8191+F8191</f>
        <v>2.66</v>
      </c>
      <c r="H8191" s="20" t="n">
        <f aca="false">IF(G8191&lt;Parametres!$B$8*Parametres!$B$7,0,MIN(G8191,Parametres!$B$7))</f>
        <v>0</v>
      </c>
      <c r="I8191" s="20" t="n">
        <f aca="false">G8191-H8191</f>
        <v>2.66</v>
      </c>
      <c r="J8191" s="21" t="n">
        <f aca="false">H8191*1000/Parametres!$B$9</f>
        <v>0</v>
      </c>
    </row>
    <row r="8192" customFormat="false" ht="15" hidden="false" customHeight="false" outlineLevel="0" collapsed="false">
      <c r="A8192" s="0" t="n">
        <v>8188</v>
      </c>
      <c r="B8192" s="0" t="n">
        <v>12</v>
      </c>
      <c r="C8192" s="19" t="n">
        <v>0</v>
      </c>
      <c r="D8192" s="19" t="n">
        <v>0.013</v>
      </c>
      <c r="E8192" s="20" t="n">
        <f aca="false">Parametres!$B$5*C8192</f>
        <v>0</v>
      </c>
      <c r="F8192" s="20" t="n">
        <f aca="false">Parametres!$B$6*D8192</f>
        <v>2.6</v>
      </c>
      <c r="G8192" s="20" t="n">
        <f aca="false">E8192+F8192</f>
        <v>2.6</v>
      </c>
      <c r="H8192" s="20" t="n">
        <f aca="false">IF(G8192&lt;Parametres!$B$8*Parametres!$B$7,0,MIN(G8192,Parametres!$B$7))</f>
        <v>0</v>
      </c>
      <c r="I8192" s="20" t="n">
        <f aca="false">G8192-H8192</f>
        <v>2.6</v>
      </c>
      <c r="J8192" s="21" t="n">
        <f aca="false">H8192*1000/Parametres!$B$9</f>
        <v>0</v>
      </c>
    </row>
    <row r="8193" customFormat="false" ht="15" hidden="false" customHeight="false" outlineLevel="0" collapsed="false">
      <c r="A8193" s="0" t="n">
        <v>8189</v>
      </c>
      <c r="B8193" s="0" t="n">
        <v>12</v>
      </c>
      <c r="C8193" s="19" t="n">
        <v>0</v>
      </c>
      <c r="D8193" s="19" t="n">
        <v>0.0022</v>
      </c>
      <c r="E8193" s="20" t="n">
        <f aca="false">Parametres!$B$5*C8193</f>
        <v>0</v>
      </c>
      <c r="F8193" s="20" t="n">
        <f aca="false">Parametres!$B$6*D8193</f>
        <v>0.44</v>
      </c>
      <c r="G8193" s="20" t="n">
        <f aca="false">E8193+F8193</f>
        <v>0.44</v>
      </c>
      <c r="H8193" s="20" t="n">
        <f aca="false">IF(G8193&lt;Parametres!$B$8*Parametres!$B$7,0,MIN(G8193,Parametres!$B$7))</f>
        <v>0</v>
      </c>
      <c r="I8193" s="20" t="n">
        <f aca="false">G8193-H8193</f>
        <v>0.44</v>
      </c>
      <c r="J8193" s="21" t="n">
        <f aca="false">H8193*1000/Parametres!$B$9</f>
        <v>0</v>
      </c>
    </row>
    <row r="8194" customFormat="false" ht="15" hidden="false" customHeight="false" outlineLevel="0" collapsed="false">
      <c r="A8194" s="0" t="n">
        <v>8190</v>
      </c>
      <c r="B8194" s="0" t="n">
        <v>12</v>
      </c>
      <c r="C8194" s="19" t="n">
        <v>0</v>
      </c>
      <c r="D8194" s="19" t="n">
        <v>0.0059</v>
      </c>
      <c r="E8194" s="20" t="n">
        <f aca="false">Parametres!$B$5*C8194</f>
        <v>0</v>
      </c>
      <c r="F8194" s="20" t="n">
        <f aca="false">Parametres!$B$6*D8194</f>
        <v>1.18</v>
      </c>
      <c r="G8194" s="20" t="n">
        <f aca="false">E8194+F8194</f>
        <v>1.18</v>
      </c>
      <c r="H8194" s="20" t="n">
        <f aca="false">IF(G8194&lt;Parametres!$B$8*Parametres!$B$7,0,MIN(G8194,Parametres!$B$7))</f>
        <v>0</v>
      </c>
      <c r="I8194" s="20" t="n">
        <f aca="false">G8194-H8194</f>
        <v>1.18</v>
      </c>
      <c r="J8194" s="21" t="n">
        <f aca="false">H8194*1000/Parametres!$B$9</f>
        <v>0</v>
      </c>
    </row>
    <row r="8195" customFormat="false" ht="15" hidden="false" customHeight="false" outlineLevel="0" collapsed="false">
      <c r="A8195" s="0" t="n">
        <v>8191</v>
      </c>
      <c r="B8195" s="0" t="n">
        <v>12</v>
      </c>
      <c r="C8195" s="19" t="n">
        <v>0</v>
      </c>
      <c r="D8195" s="19" t="n">
        <v>0.0324</v>
      </c>
      <c r="E8195" s="20" t="n">
        <f aca="false">Parametres!$B$5*C8195</f>
        <v>0</v>
      </c>
      <c r="F8195" s="20" t="n">
        <f aca="false">Parametres!$B$6*D8195</f>
        <v>6.48</v>
      </c>
      <c r="G8195" s="20" t="n">
        <f aca="false">E8195+F8195</f>
        <v>6.48</v>
      </c>
      <c r="H8195" s="20" t="n">
        <f aca="false">IF(G8195&lt;Parametres!$B$8*Parametres!$B$7,0,MIN(G8195,Parametres!$B$7))</f>
        <v>0</v>
      </c>
      <c r="I8195" s="20" t="n">
        <f aca="false">G8195-H8195</f>
        <v>6.48</v>
      </c>
      <c r="J8195" s="21" t="n">
        <f aca="false">H8195*1000/Parametres!$B$9</f>
        <v>0</v>
      </c>
    </row>
    <row r="8196" customFormat="false" ht="15" hidden="false" customHeight="false" outlineLevel="0" collapsed="false">
      <c r="A8196" s="0" t="n">
        <v>8192</v>
      </c>
      <c r="B8196" s="0" t="n">
        <v>12</v>
      </c>
      <c r="C8196" s="19" t="n">
        <v>0.1301</v>
      </c>
      <c r="D8196" s="19" t="n">
        <v>0.0326</v>
      </c>
      <c r="E8196" s="20" t="n">
        <f aca="false">Parametres!$B$5*C8196</f>
        <v>39.03</v>
      </c>
      <c r="F8196" s="20" t="n">
        <f aca="false">Parametres!$B$6*D8196</f>
        <v>6.52</v>
      </c>
      <c r="G8196" s="20" t="n">
        <f aca="false">E8196+F8196</f>
        <v>45.55</v>
      </c>
      <c r="H8196" s="20" t="n">
        <f aca="false">IF(G8196&lt;Parametres!$B$8*Parametres!$B$7,0,MIN(G8196,Parametres!$B$7))</f>
        <v>45.55</v>
      </c>
      <c r="I8196" s="20" t="n">
        <f aca="false">G8196-H8196</f>
        <v>0</v>
      </c>
      <c r="J8196" s="21" t="n">
        <f aca="false">H8196*1000/Parametres!$B$9</f>
        <v>772.42665762252</v>
      </c>
    </row>
    <row r="8197" customFormat="false" ht="15" hidden="false" customHeight="false" outlineLevel="0" collapsed="false">
      <c r="A8197" s="0" t="n">
        <v>8193</v>
      </c>
      <c r="B8197" s="0" t="n">
        <v>12</v>
      </c>
      <c r="C8197" s="19" t="n">
        <v>0.3411</v>
      </c>
      <c r="D8197" s="19" t="n">
        <v>0.0271</v>
      </c>
      <c r="E8197" s="20" t="n">
        <f aca="false">Parametres!$B$5*C8197</f>
        <v>102.33</v>
      </c>
      <c r="F8197" s="20" t="n">
        <f aca="false">Parametres!$B$6*D8197</f>
        <v>5.42</v>
      </c>
      <c r="G8197" s="20" t="n">
        <f aca="false">E8197+F8197</f>
        <v>107.75</v>
      </c>
      <c r="H8197" s="20" t="n">
        <f aca="false">IF(G8197&lt;Parametres!$B$8*Parametres!$B$7,0,MIN(G8197,Parametres!$B$7))</f>
        <v>107.75</v>
      </c>
      <c r="I8197" s="20" t="n">
        <f aca="false">G8197-H8197</f>
        <v>0</v>
      </c>
      <c r="J8197" s="21" t="n">
        <f aca="false">H8197*1000/Parametres!$B$9</f>
        <v>1827.2002713244</v>
      </c>
    </row>
    <row r="8198" customFormat="false" ht="15" hidden="false" customHeight="false" outlineLevel="0" collapsed="false">
      <c r="A8198" s="0" t="n">
        <v>8194</v>
      </c>
      <c r="B8198" s="0" t="n">
        <v>12</v>
      </c>
      <c r="C8198" s="19" t="n">
        <v>0.575</v>
      </c>
      <c r="D8198" s="19" t="n">
        <v>0.0145</v>
      </c>
      <c r="E8198" s="20" t="n">
        <f aca="false">Parametres!$B$5*C8198</f>
        <v>172.5</v>
      </c>
      <c r="F8198" s="20" t="n">
        <f aca="false">Parametres!$B$6*D8198</f>
        <v>2.9</v>
      </c>
      <c r="G8198" s="20" t="n">
        <f aca="false">E8198+F8198</f>
        <v>175.4</v>
      </c>
      <c r="H8198" s="20" t="n">
        <f aca="false">IF(G8198&lt;Parametres!$B$8*Parametres!$B$7,0,MIN(G8198,Parametres!$B$7))</f>
        <v>175.4</v>
      </c>
      <c r="I8198" s="20" t="n">
        <f aca="false">G8198-H8198</f>
        <v>0</v>
      </c>
      <c r="J8198" s="21" t="n">
        <f aca="false">H8198*1000/Parametres!$B$9</f>
        <v>2974.39375953875</v>
      </c>
    </row>
    <row r="8199" customFormat="false" ht="15" hidden="false" customHeight="false" outlineLevel="0" collapsed="false">
      <c r="A8199" s="0" t="n">
        <v>8195</v>
      </c>
      <c r="B8199" s="0" t="n">
        <v>12</v>
      </c>
      <c r="C8199" s="19" t="n">
        <v>0.6765</v>
      </c>
      <c r="D8199" s="19" t="n">
        <v>0.0127</v>
      </c>
      <c r="E8199" s="20" t="n">
        <f aca="false">Parametres!$B$5*C8199</f>
        <v>202.95</v>
      </c>
      <c r="F8199" s="20" t="n">
        <f aca="false">Parametres!$B$6*D8199</f>
        <v>2.54</v>
      </c>
      <c r="G8199" s="20" t="n">
        <f aca="false">E8199+F8199</f>
        <v>205.49</v>
      </c>
      <c r="H8199" s="20" t="n">
        <f aca="false">IF(G8199&lt;Parametres!$B$8*Parametres!$B$7,0,MIN(G8199,Parametres!$B$7))</f>
        <v>205.49</v>
      </c>
      <c r="I8199" s="20" t="n">
        <f aca="false">G8199-H8199</f>
        <v>0</v>
      </c>
      <c r="J8199" s="21" t="n">
        <f aca="false">H8199*1000/Parametres!$B$9</f>
        <v>3484.65321349839</v>
      </c>
    </row>
    <row r="8200" customFormat="false" ht="15" hidden="false" customHeight="false" outlineLevel="0" collapsed="false">
      <c r="A8200" s="0" t="n">
        <v>8196</v>
      </c>
      <c r="B8200" s="0" t="n">
        <v>12</v>
      </c>
      <c r="C8200" s="19" t="n">
        <v>0.8236</v>
      </c>
      <c r="D8200" s="19" t="n">
        <v>0.0076</v>
      </c>
      <c r="E8200" s="20" t="n">
        <f aca="false">Parametres!$B$5*C8200</f>
        <v>247.08</v>
      </c>
      <c r="F8200" s="20" t="n">
        <f aca="false">Parametres!$B$6*D8200</f>
        <v>1.52</v>
      </c>
      <c r="G8200" s="20" t="n">
        <f aca="false">E8200+F8200</f>
        <v>248.6</v>
      </c>
      <c r="H8200" s="20" t="n">
        <f aca="false">IF(G8200&lt;Parametres!$B$8*Parametres!$B$7,0,MIN(G8200,Parametres!$B$7))</f>
        <v>248.6</v>
      </c>
      <c r="I8200" s="20" t="n">
        <f aca="false">G8200-H8200</f>
        <v>0</v>
      </c>
      <c r="J8200" s="21" t="n">
        <f aca="false">H8200*1000/Parametres!$B$9</f>
        <v>4215.70289977955</v>
      </c>
    </row>
    <row r="8201" customFormat="false" ht="15" hidden="false" customHeight="false" outlineLevel="0" collapsed="false">
      <c r="A8201" s="0" t="n">
        <v>8197</v>
      </c>
      <c r="B8201" s="0" t="n">
        <v>12</v>
      </c>
      <c r="C8201" s="19" t="n">
        <v>0.7914</v>
      </c>
      <c r="D8201" s="19" t="n">
        <v>0.0087</v>
      </c>
      <c r="E8201" s="20" t="n">
        <f aca="false">Parametres!$B$5*C8201</f>
        <v>237.42</v>
      </c>
      <c r="F8201" s="20" t="n">
        <f aca="false">Parametres!$B$6*D8201</f>
        <v>1.74</v>
      </c>
      <c r="G8201" s="20" t="n">
        <f aca="false">E8201+F8201</f>
        <v>239.16</v>
      </c>
      <c r="H8201" s="20" t="n">
        <f aca="false">IF(G8201&lt;Parametres!$B$8*Parametres!$B$7,0,MIN(G8201,Parametres!$B$7))</f>
        <v>239.16</v>
      </c>
      <c r="I8201" s="20" t="n">
        <f aca="false">G8201-H8201</f>
        <v>0</v>
      </c>
      <c r="J8201" s="21" t="n">
        <f aca="false">H8201*1000/Parametres!$B$9</f>
        <v>4055.62150245888</v>
      </c>
    </row>
    <row r="8202" customFormat="false" ht="15" hidden="false" customHeight="false" outlineLevel="0" collapsed="false">
      <c r="A8202" s="0" t="n">
        <v>8198</v>
      </c>
      <c r="B8202" s="0" t="n">
        <v>12</v>
      </c>
      <c r="C8202" s="19" t="n">
        <v>0.7316</v>
      </c>
      <c r="D8202" s="19" t="n">
        <v>0.0121</v>
      </c>
      <c r="E8202" s="20" t="n">
        <f aca="false">Parametres!$B$5*C8202</f>
        <v>219.48</v>
      </c>
      <c r="F8202" s="20" t="n">
        <f aca="false">Parametres!$B$6*D8202</f>
        <v>2.42</v>
      </c>
      <c r="G8202" s="20" t="n">
        <f aca="false">E8202+F8202</f>
        <v>221.9</v>
      </c>
      <c r="H8202" s="20" t="n">
        <f aca="false">IF(G8202&lt;Parametres!$B$8*Parametres!$B$7,0,MIN(G8202,Parametres!$B$7))</f>
        <v>221.9</v>
      </c>
      <c r="I8202" s="20" t="n">
        <f aca="false">G8202-H8202</f>
        <v>0</v>
      </c>
      <c r="J8202" s="21" t="n">
        <f aca="false">H8202*1000/Parametres!$B$9</f>
        <v>3762.93030354418</v>
      </c>
    </row>
    <row r="8203" customFormat="false" ht="15" hidden="false" customHeight="false" outlineLevel="0" collapsed="false">
      <c r="A8203" s="0" t="n">
        <v>8199</v>
      </c>
      <c r="B8203" s="0" t="n">
        <v>12</v>
      </c>
      <c r="C8203" s="19" t="n">
        <v>0.5711</v>
      </c>
      <c r="D8203" s="19" t="n">
        <v>0.002</v>
      </c>
      <c r="E8203" s="20" t="n">
        <f aca="false">Parametres!$B$5*C8203</f>
        <v>171.33</v>
      </c>
      <c r="F8203" s="20" t="n">
        <f aca="false">Parametres!$B$6*D8203</f>
        <v>0.4</v>
      </c>
      <c r="G8203" s="20" t="n">
        <f aca="false">E8203+F8203</f>
        <v>171.73</v>
      </c>
      <c r="H8203" s="20" t="n">
        <f aca="false">IF(G8203&lt;Parametres!$B$8*Parametres!$B$7,0,MIN(G8203,Parametres!$B$7))</f>
        <v>171.73</v>
      </c>
      <c r="I8203" s="20" t="n">
        <f aca="false">G8203-H8203</f>
        <v>0</v>
      </c>
      <c r="J8203" s="21" t="n">
        <f aca="false">H8203*1000/Parametres!$B$9</f>
        <v>2912.15872477531</v>
      </c>
    </row>
    <row r="8204" customFormat="false" ht="15" hidden="false" customHeight="false" outlineLevel="0" collapsed="false">
      <c r="A8204" s="0" t="n">
        <v>8200</v>
      </c>
      <c r="B8204" s="0" t="n">
        <v>12</v>
      </c>
      <c r="C8204" s="19" t="n">
        <v>0.3381</v>
      </c>
      <c r="D8204" s="19" t="n">
        <v>0.0053</v>
      </c>
      <c r="E8204" s="20" t="n">
        <f aca="false">Parametres!$B$5*C8204</f>
        <v>101.43</v>
      </c>
      <c r="F8204" s="20" t="n">
        <f aca="false">Parametres!$B$6*D8204</f>
        <v>1.06</v>
      </c>
      <c r="G8204" s="20" t="n">
        <f aca="false">E8204+F8204</f>
        <v>102.49</v>
      </c>
      <c r="H8204" s="20" t="n">
        <f aca="false">IF(G8204&lt;Parametres!$B$8*Parametres!$B$7,0,MIN(G8204,Parametres!$B$7))</f>
        <v>102.49</v>
      </c>
      <c r="I8204" s="20" t="n">
        <f aca="false">G8204-H8204</f>
        <v>0</v>
      </c>
      <c r="J8204" s="21" t="n">
        <f aca="false">H8204*1000/Parametres!$B$9</f>
        <v>1738.00237408852</v>
      </c>
    </row>
    <row r="8205" customFormat="false" ht="15" hidden="false" customHeight="false" outlineLevel="0" collapsed="false">
      <c r="A8205" s="0" t="n">
        <v>8201</v>
      </c>
      <c r="B8205" s="0" t="n">
        <v>12</v>
      </c>
      <c r="C8205" s="19" t="n">
        <v>0.1231</v>
      </c>
      <c r="D8205" s="19" t="n">
        <v>0.0084</v>
      </c>
      <c r="E8205" s="20" t="n">
        <f aca="false">Parametres!$B$5*C8205</f>
        <v>36.93</v>
      </c>
      <c r="F8205" s="20" t="n">
        <f aca="false">Parametres!$B$6*D8205</f>
        <v>1.68</v>
      </c>
      <c r="G8205" s="20" t="n">
        <f aca="false">E8205+F8205</f>
        <v>38.61</v>
      </c>
      <c r="H8205" s="20" t="n">
        <f aca="false">IF(G8205&lt;Parametres!$B$8*Parametres!$B$7,0,MIN(G8205,Parametres!$B$7))</f>
        <v>38.61</v>
      </c>
      <c r="I8205" s="20" t="n">
        <f aca="false">G8205-H8205</f>
        <v>0</v>
      </c>
      <c r="J8205" s="21" t="n">
        <f aca="false">H8205*1000/Parametres!$B$9</f>
        <v>654.739698151603</v>
      </c>
    </row>
    <row r="8206" customFormat="false" ht="15" hidden="false" customHeight="false" outlineLevel="0" collapsed="false">
      <c r="A8206" s="0" t="n">
        <v>8202</v>
      </c>
      <c r="B8206" s="0" t="n">
        <v>12</v>
      </c>
      <c r="C8206" s="19" t="n">
        <v>0</v>
      </c>
      <c r="D8206" s="19" t="n">
        <v>0.0021</v>
      </c>
      <c r="E8206" s="20" t="n">
        <f aca="false">Parametres!$B$5*C8206</f>
        <v>0</v>
      </c>
      <c r="F8206" s="20" t="n">
        <f aca="false">Parametres!$B$6*D8206</f>
        <v>0.42</v>
      </c>
      <c r="G8206" s="20" t="n">
        <f aca="false">E8206+F8206</f>
        <v>0.42</v>
      </c>
      <c r="H8206" s="20" t="n">
        <f aca="false">IF(G8206&lt;Parametres!$B$8*Parametres!$B$7,0,MIN(G8206,Parametres!$B$7))</f>
        <v>0</v>
      </c>
      <c r="I8206" s="20" t="n">
        <f aca="false">G8206-H8206</f>
        <v>0.42</v>
      </c>
      <c r="J8206" s="21" t="n">
        <f aca="false">H8206*1000/Parametres!$B$9</f>
        <v>0</v>
      </c>
    </row>
    <row r="8207" customFormat="false" ht="15" hidden="false" customHeight="false" outlineLevel="0" collapsed="false">
      <c r="A8207" s="0" t="n">
        <v>8203</v>
      </c>
      <c r="B8207" s="0" t="n">
        <v>12</v>
      </c>
      <c r="C8207" s="19" t="n">
        <v>0</v>
      </c>
      <c r="D8207" s="19" t="n">
        <v>0.007</v>
      </c>
      <c r="E8207" s="20" t="n">
        <f aca="false">Parametres!$B$5*C8207</f>
        <v>0</v>
      </c>
      <c r="F8207" s="20" t="n">
        <f aca="false">Parametres!$B$6*D8207</f>
        <v>1.4</v>
      </c>
      <c r="G8207" s="20" t="n">
        <f aca="false">E8207+F8207</f>
        <v>1.4</v>
      </c>
      <c r="H8207" s="20" t="n">
        <f aca="false">IF(G8207&lt;Parametres!$B$8*Parametres!$B$7,0,MIN(G8207,Parametres!$B$7))</f>
        <v>0</v>
      </c>
      <c r="I8207" s="20" t="n">
        <f aca="false">G8207-H8207</f>
        <v>1.4</v>
      </c>
      <c r="J8207" s="21" t="n">
        <f aca="false">H8207*1000/Parametres!$B$9</f>
        <v>0</v>
      </c>
    </row>
    <row r="8208" customFormat="false" ht="15" hidden="false" customHeight="false" outlineLevel="0" collapsed="false">
      <c r="A8208" s="0" t="n">
        <v>8204</v>
      </c>
      <c r="B8208" s="0" t="n">
        <v>12</v>
      </c>
      <c r="C8208" s="19" t="n">
        <v>0</v>
      </c>
      <c r="D8208" s="19" t="n">
        <v>0.0234</v>
      </c>
      <c r="E8208" s="20" t="n">
        <f aca="false">Parametres!$B$5*C8208</f>
        <v>0</v>
      </c>
      <c r="F8208" s="20" t="n">
        <f aca="false">Parametres!$B$6*D8208</f>
        <v>4.68</v>
      </c>
      <c r="G8208" s="20" t="n">
        <f aca="false">E8208+F8208</f>
        <v>4.68</v>
      </c>
      <c r="H8208" s="20" t="n">
        <f aca="false">IF(G8208&lt;Parametres!$B$8*Parametres!$B$7,0,MIN(G8208,Parametres!$B$7))</f>
        <v>0</v>
      </c>
      <c r="I8208" s="20" t="n">
        <f aca="false">G8208-H8208</f>
        <v>4.68</v>
      </c>
      <c r="J8208" s="21" t="n">
        <f aca="false">H8208*1000/Parametres!$B$9</f>
        <v>0</v>
      </c>
    </row>
    <row r="8209" customFormat="false" ht="15" hidden="false" customHeight="false" outlineLevel="0" collapsed="false">
      <c r="A8209" s="0" t="n">
        <v>8205</v>
      </c>
      <c r="B8209" s="0" t="n">
        <v>12</v>
      </c>
      <c r="C8209" s="19" t="n">
        <v>0</v>
      </c>
      <c r="D8209" s="19" t="n">
        <v>0.0098</v>
      </c>
      <c r="E8209" s="20" t="n">
        <f aca="false">Parametres!$B$5*C8209</f>
        <v>0</v>
      </c>
      <c r="F8209" s="20" t="n">
        <f aca="false">Parametres!$B$6*D8209</f>
        <v>1.96</v>
      </c>
      <c r="G8209" s="20" t="n">
        <f aca="false">E8209+F8209</f>
        <v>1.96</v>
      </c>
      <c r="H8209" s="20" t="n">
        <f aca="false">IF(G8209&lt;Parametres!$B$8*Parametres!$B$7,0,MIN(G8209,Parametres!$B$7))</f>
        <v>0</v>
      </c>
      <c r="I8209" s="20" t="n">
        <f aca="false">G8209-H8209</f>
        <v>1.96</v>
      </c>
      <c r="J8209" s="21" t="n">
        <f aca="false">H8209*1000/Parametres!$B$9</f>
        <v>0</v>
      </c>
    </row>
    <row r="8210" customFormat="false" ht="15" hidden="false" customHeight="false" outlineLevel="0" collapsed="false">
      <c r="A8210" s="0" t="n">
        <v>8206</v>
      </c>
      <c r="B8210" s="0" t="n">
        <v>12</v>
      </c>
      <c r="C8210" s="19" t="n">
        <v>0</v>
      </c>
      <c r="D8210" s="19" t="n">
        <v>0.0123</v>
      </c>
      <c r="E8210" s="20" t="n">
        <f aca="false">Parametres!$B$5*C8210</f>
        <v>0</v>
      </c>
      <c r="F8210" s="20" t="n">
        <f aca="false">Parametres!$B$6*D8210</f>
        <v>2.46</v>
      </c>
      <c r="G8210" s="20" t="n">
        <f aca="false">E8210+F8210</f>
        <v>2.46</v>
      </c>
      <c r="H8210" s="20" t="n">
        <f aca="false">IF(G8210&lt;Parametres!$B$8*Parametres!$B$7,0,MIN(G8210,Parametres!$B$7))</f>
        <v>0</v>
      </c>
      <c r="I8210" s="20" t="n">
        <f aca="false">G8210-H8210</f>
        <v>2.46</v>
      </c>
      <c r="J8210" s="21" t="n">
        <f aca="false">H8210*1000/Parametres!$B$9</f>
        <v>0</v>
      </c>
    </row>
    <row r="8211" customFormat="false" ht="15" hidden="false" customHeight="false" outlineLevel="0" collapsed="false">
      <c r="A8211" s="0" t="n">
        <v>8207</v>
      </c>
      <c r="B8211" s="0" t="n">
        <v>12</v>
      </c>
      <c r="C8211" s="19" t="n">
        <v>0</v>
      </c>
      <c r="D8211" s="19" t="n">
        <v>0.0053</v>
      </c>
      <c r="E8211" s="20" t="n">
        <f aca="false">Parametres!$B$5*C8211</f>
        <v>0</v>
      </c>
      <c r="F8211" s="20" t="n">
        <f aca="false">Parametres!$B$6*D8211</f>
        <v>1.06</v>
      </c>
      <c r="G8211" s="20" t="n">
        <f aca="false">E8211+F8211</f>
        <v>1.06</v>
      </c>
      <c r="H8211" s="20" t="n">
        <f aca="false">IF(G8211&lt;Parametres!$B$8*Parametres!$B$7,0,MIN(G8211,Parametres!$B$7))</f>
        <v>0</v>
      </c>
      <c r="I8211" s="20" t="n">
        <f aca="false">G8211-H8211</f>
        <v>1.06</v>
      </c>
      <c r="J8211" s="21" t="n">
        <f aca="false">H8211*1000/Parametres!$B$9</f>
        <v>0</v>
      </c>
    </row>
    <row r="8212" customFormat="false" ht="15" hidden="false" customHeight="false" outlineLevel="0" collapsed="false">
      <c r="A8212" s="0" t="n">
        <v>8208</v>
      </c>
      <c r="B8212" s="0" t="n">
        <v>12</v>
      </c>
      <c r="C8212" s="19" t="n">
        <v>0</v>
      </c>
      <c r="D8212" s="19" t="n">
        <v>0.0021</v>
      </c>
      <c r="E8212" s="20" t="n">
        <f aca="false">Parametres!$B$5*C8212</f>
        <v>0</v>
      </c>
      <c r="F8212" s="20" t="n">
        <f aca="false">Parametres!$B$6*D8212</f>
        <v>0.42</v>
      </c>
      <c r="G8212" s="20" t="n">
        <f aca="false">E8212+F8212</f>
        <v>0.42</v>
      </c>
      <c r="H8212" s="20" t="n">
        <f aca="false">IF(G8212&lt;Parametres!$B$8*Parametres!$B$7,0,MIN(G8212,Parametres!$B$7))</f>
        <v>0</v>
      </c>
      <c r="I8212" s="20" t="n">
        <f aca="false">G8212-H8212</f>
        <v>0.42</v>
      </c>
      <c r="J8212" s="21" t="n">
        <f aca="false">H8212*1000/Parametres!$B$9</f>
        <v>0</v>
      </c>
    </row>
    <row r="8213" customFormat="false" ht="15" hidden="false" customHeight="false" outlineLevel="0" collapsed="false">
      <c r="A8213" s="0" t="n">
        <v>8209</v>
      </c>
      <c r="B8213" s="0" t="n">
        <v>12</v>
      </c>
      <c r="C8213" s="19" t="n">
        <v>0</v>
      </c>
      <c r="D8213" s="19" t="n">
        <v>0.0011</v>
      </c>
      <c r="E8213" s="20" t="n">
        <f aca="false">Parametres!$B$5*C8213</f>
        <v>0</v>
      </c>
      <c r="F8213" s="20" t="n">
        <f aca="false">Parametres!$B$6*D8213</f>
        <v>0.22</v>
      </c>
      <c r="G8213" s="20" t="n">
        <f aca="false">E8213+F8213</f>
        <v>0.22</v>
      </c>
      <c r="H8213" s="20" t="n">
        <f aca="false">IF(G8213&lt;Parametres!$B$8*Parametres!$B$7,0,MIN(G8213,Parametres!$B$7))</f>
        <v>0</v>
      </c>
      <c r="I8213" s="20" t="n">
        <f aca="false">G8213-H8213</f>
        <v>0.22</v>
      </c>
      <c r="J8213" s="21" t="n">
        <f aca="false">H8213*1000/Parametres!$B$9</f>
        <v>0</v>
      </c>
    </row>
    <row r="8214" customFormat="false" ht="15" hidden="false" customHeight="false" outlineLevel="0" collapsed="false">
      <c r="A8214" s="0" t="n">
        <v>8210</v>
      </c>
      <c r="B8214" s="0" t="n">
        <v>12</v>
      </c>
      <c r="C8214" s="19" t="n">
        <v>0</v>
      </c>
      <c r="D8214" s="19" t="n">
        <v>0</v>
      </c>
      <c r="E8214" s="20" t="n">
        <f aca="false">Parametres!$B$5*C8214</f>
        <v>0</v>
      </c>
      <c r="F8214" s="20" t="n">
        <f aca="false">Parametres!$B$6*D8214</f>
        <v>0</v>
      </c>
      <c r="G8214" s="20" t="n">
        <f aca="false">E8214+F8214</f>
        <v>0</v>
      </c>
      <c r="H8214" s="20" t="n">
        <f aca="false">IF(G8214&lt;Parametres!$B$8*Parametres!$B$7,0,MIN(G8214,Parametres!$B$7))</f>
        <v>0</v>
      </c>
      <c r="I8214" s="20" t="n">
        <f aca="false">G8214-H8214</f>
        <v>0</v>
      </c>
      <c r="J8214" s="21" t="n">
        <f aca="false">H8214*1000/Parametres!$B$9</f>
        <v>0</v>
      </c>
    </row>
    <row r="8215" customFormat="false" ht="15" hidden="false" customHeight="false" outlineLevel="0" collapsed="false">
      <c r="A8215" s="0" t="n">
        <v>8211</v>
      </c>
      <c r="B8215" s="0" t="n">
        <v>12</v>
      </c>
      <c r="C8215" s="19" t="n">
        <v>0</v>
      </c>
      <c r="D8215" s="19" t="n">
        <v>0</v>
      </c>
      <c r="E8215" s="20" t="n">
        <f aca="false">Parametres!$B$5*C8215</f>
        <v>0</v>
      </c>
      <c r="F8215" s="20" t="n">
        <f aca="false">Parametres!$B$6*D8215</f>
        <v>0</v>
      </c>
      <c r="G8215" s="20" t="n">
        <f aca="false">E8215+F8215</f>
        <v>0</v>
      </c>
      <c r="H8215" s="20" t="n">
        <f aca="false">IF(G8215&lt;Parametres!$B$8*Parametres!$B$7,0,MIN(G8215,Parametres!$B$7))</f>
        <v>0</v>
      </c>
      <c r="I8215" s="20" t="n">
        <f aca="false">G8215-H8215</f>
        <v>0</v>
      </c>
      <c r="J8215" s="21" t="n">
        <f aca="false">H8215*1000/Parametres!$B$9</f>
        <v>0</v>
      </c>
    </row>
    <row r="8216" customFormat="false" ht="15" hidden="false" customHeight="false" outlineLevel="0" collapsed="false">
      <c r="A8216" s="0" t="n">
        <v>8212</v>
      </c>
      <c r="B8216" s="0" t="n">
        <v>12</v>
      </c>
      <c r="C8216" s="19" t="n">
        <v>0</v>
      </c>
      <c r="D8216" s="19" t="n">
        <v>0</v>
      </c>
      <c r="E8216" s="20" t="n">
        <f aca="false">Parametres!$B$5*C8216</f>
        <v>0</v>
      </c>
      <c r="F8216" s="20" t="n">
        <f aca="false">Parametres!$B$6*D8216</f>
        <v>0</v>
      </c>
      <c r="G8216" s="20" t="n">
        <f aca="false">E8216+F8216</f>
        <v>0</v>
      </c>
      <c r="H8216" s="20" t="n">
        <f aca="false">IF(G8216&lt;Parametres!$B$8*Parametres!$B$7,0,MIN(G8216,Parametres!$B$7))</f>
        <v>0</v>
      </c>
      <c r="I8216" s="20" t="n">
        <f aca="false">G8216-H8216</f>
        <v>0</v>
      </c>
      <c r="J8216" s="21" t="n">
        <f aca="false">H8216*1000/Parametres!$B$9</f>
        <v>0</v>
      </c>
    </row>
    <row r="8217" customFormat="false" ht="15" hidden="false" customHeight="false" outlineLevel="0" collapsed="false">
      <c r="A8217" s="0" t="n">
        <v>8213</v>
      </c>
      <c r="B8217" s="0" t="n">
        <v>12</v>
      </c>
      <c r="C8217" s="19" t="n">
        <v>0</v>
      </c>
      <c r="D8217" s="19" t="n">
        <v>0</v>
      </c>
      <c r="E8217" s="20" t="n">
        <f aca="false">Parametres!$B$5*C8217</f>
        <v>0</v>
      </c>
      <c r="F8217" s="20" t="n">
        <f aca="false">Parametres!$B$6*D8217</f>
        <v>0</v>
      </c>
      <c r="G8217" s="20" t="n">
        <f aca="false">E8217+F8217</f>
        <v>0</v>
      </c>
      <c r="H8217" s="20" t="n">
        <f aca="false">IF(G8217&lt;Parametres!$B$8*Parametres!$B$7,0,MIN(G8217,Parametres!$B$7))</f>
        <v>0</v>
      </c>
      <c r="I8217" s="20" t="n">
        <f aca="false">G8217-H8217</f>
        <v>0</v>
      </c>
      <c r="J8217" s="21" t="n">
        <f aca="false">H8217*1000/Parametres!$B$9</f>
        <v>0</v>
      </c>
    </row>
    <row r="8218" customFormat="false" ht="15" hidden="false" customHeight="false" outlineLevel="0" collapsed="false">
      <c r="A8218" s="0" t="n">
        <v>8214</v>
      </c>
      <c r="B8218" s="0" t="n">
        <v>12</v>
      </c>
      <c r="C8218" s="19" t="n">
        <v>0</v>
      </c>
      <c r="D8218" s="19" t="n">
        <v>0</v>
      </c>
      <c r="E8218" s="20" t="n">
        <f aca="false">Parametres!$B$5*C8218</f>
        <v>0</v>
      </c>
      <c r="F8218" s="20" t="n">
        <f aca="false">Parametres!$B$6*D8218</f>
        <v>0</v>
      </c>
      <c r="G8218" s="20" t="n">
        <f aca="false">E8218+F8218</f>
        <v>0</v>
      </c>
      <c r="H8218" s="20" t="n">
        <f aca="false">IF(G8218&lt;Parametres!$B$8*Parametres!$B$7,0,MIN(G8218,Parametres!$B$7))</f>
        <v>0</v>
      </c>
      <c r="I8218" s="20" t="n">
        <f aca="false">G8218-H8218</f>
        <v>0</v>
      </c>
      <c r="J8218" s="21" t="n">
        <f aca="false">H8218*1000/Parametres!$B$9</f>
        <v>0</v>
      </c>
    </row>
    <row r="8219" customFormat="false" ht="15" hidden="false" customHeight="false" outlineLevel="0" collapsed="false">
      <c r="A8219" s="0" t="n">
        <v>8215</v>
      </c>
      <c r="B8219" s="0" t="n">
        <v>12</v>
      </c>
      <c r="C8219" s="19" t="n">
        <v>0</v>
      </c>
      <c r="D8219" s="19" t="n">
        <v>0</v>
      </c>
      <c r="E8219" s="20" t="n">
        <f aca="false">Parametres!$B$5*C8219</f>
        <v>0</v>
      </c>
      <c r="F8219" s="20" t="n">
        <f aca="false">Parametres!$B$6*D8219</f>
        <v>0</v>
      </c>
      <c r="G8219" s="20" t="n">
        <f aca="false">E8219+F8219</f>
        <v>0</v>
      </c>
      <c r="H8219" s="20" t="n">
        <f aca="false">IF(G8219&lt;Parametres!$B$8*Parametres!$B$7,0,MIN(G8219,Parametres!$B$7))</f>
        <v>0</v>
      </c>
      <c r="I8219" s="20" t="n">
        <f aca="false">G8219-H8219</f>
        <v>0</v>
      </c>
      <c r="J8219" s="21" t="n">
        <f aca="false">H8219*1000/Parametres!$B$9</f>
        <v>0</v>
      </c>
    </row>
    <row r="8220" customFormat="false" ht="15" hidden="false" customHeight="false" outlineLevel="0" collapsed="false">
      <c r="A8220" s="0" t="n">
        <v>8216</v>
      </c>
      <c r="B8220" s="0" t="n">
        <v>12</v>
      </c>
      <c r="C8220" s="19" t="n">
        <v>0.0962</v>
      </c>
      <c r="D8220" s="19" t="n">
        <v>0</v>
      </c>
      <c r="E8220" s="20" t="n">
        <f aca="false">Parametres!$B$5*C8220</f>
        <v>28.86</v>
      </c>
      <c r="F8220" s="20" t="n">
        <f aca="false">Parametres!$B$6*D8220</f>
        <v>0</v>
      </c>
      <c r="G8220" s="20" t="n">
        <f aca="false">E8220+F8220</f>
        <v>28.86</v>
      </c>
      <c r="H8220" s="20" t="n">
        <f aca="false">IF(G8220&lt;Parametres!$B$8*Parametres!$B$7,0,MIN(G8220,Parametres!$B$7))</f>
        <v>28.86</v>
      </c>
      <c r="I8220" s="20" t="n">
        <f aca="false">G8220-H8220</f>
        <v>0</v>
      </c>
      <c r="J8220" s="21" t="n">
        <f aca="false">H8220*1000/Parametres!$B$9</f>
        <v>489.401390537562</v>
      </c>
    </row>
    <row r="8221" customFormat="false" ht="15" hidden="false" customHeight="false" outlineLevel="0" collapsed="false">
      <c r="A8221" s="0" t="n">
        <v>8217</v>
      </c>
      <c r="B8221" s="0" t="n">
        <v>12</v>
      </c>
      <c r="C8221" s="19" t="n">
        <v>0.2643</v>
      </c>
      <c r="D8221" s="19" t="n">
        <v>0</v>
      </c>
      <c r="E8221" s="20" t="n">
        <f aca="false">Parametres!$B$5*C8221</f>
        <v>79.29</v>
      </c>
      <c r="F8221" s="20" t="n">
        <f aca="false">Parametres!$B$6*D8221</f>
        <v>0</v>
      </c>
      <c r="G8221" s="20" t="n">
        <f aca="false">E8221+F8221</f>
        <v>79.29</v>
      </c>
      <c r="H8221" s="20" t="n">
        <f aca="false">IF(G8221&lt;Parametres!$B$8*Parametres!$B$7,0,MIN(G8221,Parametres!$B$7))</f>
        <v>79.29</v>
      </c>
      <c r="I8221" s="20" t="n">
        <f aca="false">G8221-H8221</f>
        <v>0</v>
      </c>
      <c r="J8221" s="21" t="n">
        <f aca="false">H8221*1000/Parametres!$B$9</f>
        <v>1344.5819908428</v>
      </c>
    </row>
    <row r="8222" customFormat="false" ht="15" hidden="false" customHeight="false" outlineLevel="0" collapsed="false">
      <c r="A8222" s="0" t="n">
        <v>8218</v>
      </c>
      <c r="B8222" s="0" t="n">
        <v>12</v>
      </c>
      <c r="C8222" s="19" t="n">
        <v>0.434</v>
      </c>
      <c r="D8222" s="19" t="n">
        <v>0.0001</v>
      </c>
      <c r="E8222" s="20" t="n">
        <f aca="false">Parametres!$B$5*C8222</f>
        <v>130.2</v>
      </c>
      <c r="F8222" s="20" t="n">
        <f aca="false">Parametres!$B$6*D8222</f>
        <v>0.02</v>
      </c>
      <c r="G8222" s="20" t="n">
        <f aca="false">E8222+F8222</f>
        <v>130.22</v>
      </c>
      <c r="H8222" s="20" t="n">
        <f aca="false">IF(G8222&lt;Parametres!$B$8*Parametres!$B$7,0,MIN(G8222,Parametres!$B$7))</f>
        <v>130.22</v>
      </c>
      <c r="I8222" s="20" t="n">
        <f aca="false">G8222-H8222</f>
        <v>0</v>
      </c>
      <c r="J8222" s="21" t="n">
        <f aca="false">H8222*1000/Parametres!$B$9</f>
        <v>2208.24147871799</v>
      </c>
    </row>
    <row r="8223" customFormat="false" ht="15" hidden="false" customHeight="false" outlineLevel="0" collapsed="false">
      <c r="A8223" s="0" t="n">
        <v>8219</v>
      </c>
      <c r="B8223" s="0" t="n">
        <v>12</v>
      </c>
      <c r="C8223" s="19" t="n">
        <v>0.558</v>
      </c>
      <c r="D8223" s="19" t="n">
        <v>0</v>
      </c>
      <c r="E8223" s="20" t="n">
        <f aca="false">Parametres!$B$5*C8223</f>
        <v>167.4</v>
      </c>
      <c r="F8223" s="20" t="n">
        <f aca="false">Parametres!$B$6*D8223</f>
        <v>0</v>
      </c>
      <c r="G8223" s="20" t="n">
        <f aca="false">E8223+F8223</f>
        <v>167.4</v>
      </c>
      <c r="H8223" s="20" t="n">
        <f aca="false">IF(G8223&lt;Parametres!$B$8*Parametres!$B$7,0,MIN(G8223,Parametres!$B$7))</f>
        <v>167.4</v>
      </c>
      <c r="I8223" s="20" t="n">
        <f aca="false">G8223-H8223</f>
        <v>0</v>
      </c>
      <c r="J8223" s="21" t="n">
        <f aca="false">H8223*1000/Parametres!$B$9</f>
        <v>2838.73155841954</v>
      </c>
    </row>
    <row r="8224" customFormat="false" ht="15" hidden="false" customHeight="false" outlineLevel="0" collapsed="false">
      <c r="A8224" s="0" t="n">
        <v>8220</v>
      </c>
      <c r="B8224" s="0" t="n">
        <v>12</v>
      </c>
      <c r="C8224" s="19" t="n">
        <v>0.6084</v>
      </c>
      <c r="D8224" s="19" t="n">
        <v>0</v>
      </c>
      <c r="E8224" s="20" t="n">
        <f aca="false">Parametres!$B$5*C8224</f>
        <v>182.52</v>
      </c>
      <c r="F8224" s="20" t="n">
        <f aca="false">Parametres!$B$6*D8224</f>
        <v>0</v>
      </c>
      <c r="G8224" s="20" t="n">
        <f aca="false">E8224+F8224</f>
        <v>182.52</v>
      </c>
      <c r="H8224" s="20" t="n">
        <f aca="false">IF(G8224&lt;Parametres!$B$8*Parametres!$B$7,0,MIN(G8224,Parametres!$B$7))</f>
        <v>182.52</v>
      </c>
      <c r="I8224" s="20" t="n">
        <f aca="false">G8224-H8224</f>
        <v>0</v>
      </c>
      <c r="J8224" s="21" t="n">
        <f aca="false">H8224*1000/Parametres!$B$9</f>
        <v>3095.13311853485</v>
      </c>
    </row>
    <row r="8225" customFormat="false" ht="15" hidden="false" customHeight="false" outlineLevel="0" collapsed="false">
      <c r="A8225" s="0" t="n">
        <v>8221</v>
      </c>
      <c r="B8225" s="0" t="n">
        <v>12</v>
      </c>
      <c r="C8225" s="19" t="n">
        <v>0.6076</v>
      </c>
      <c r="D8225" s="19" t="n">
        <v>0</v>
      </c>
      <c r="E8225" s="20" t="n">
        <f aca="false">Parametres!$B$5*C8225</f>
        <v>182.28</v>
      </c>
      <c r="F8225" s="20" t="n">
        <f aca="false">Parametres!$B$6*D8225</f>
        <v>0</v>
      </c>
      <c r="G8225" s="20" t="n">
        <f aca="false">E8225+F8225</f>
        <v>182.28</v>
      </c>
      <c r="H8225" s="20" t="n">
        <f aca="false">IF(G8225&lt;Parametres!$B$8*Parametres!$B$7,0,MIN(G8225,Parametres!$B$7))</f>
        <v>182.28</v>
      </c>
      <c r="I8225" s="20" t="n">
        <f aca="false">G8225-H8225</f>
        <v>0</v>
      </c>
      <c r="J8225" s="21" t="n">
        <f aca="false">H8225*1000/Parametres!$B$9</f>
        <v>3091.06325250127</v>
      </c>
    </row>
    <row r="8226" customFormat="false" ht="15" hidden="false" customHeight="false" outlineLevel="0" collapsed="false">
      <c r="A8226" s="0" t="n">
        <v>8222</v>
      </c>
      <c r="B8226" s="0" t="n">
        <v>12</v>
      </c>
      <c r="C8226" s="19" t="n">
        <v>0.5811</v>
      </c>
      <c r="D8226" s="19" t="n">
        <v>0</v>
      </c>
      <c r="E8226" s="20" t="n">
        <f aca="false">Parametres!$B$5*C8226</f>
        <v>174.33</v>
      </c>
      <c r="F8226" s="20" t="n">
        <f aca="false">Parametres!$B$6*D8226</f>
        <v>0</v>
      </c>
      <c r="G8226" s="20" t="n">
        <f aca="false">E8226+F8226</f>
        <v>174.33</v>
      </c>
      <c r="H8226" s="20" t="n">
        <f aca="false">IF(G8226&lt;Parametres!$B$8*Parametres!$B$7,0,MIN(G8226,Parametres!$B$7))</f>
        <v>174.33</v>
      </c>
      <c r="I8226" s="20" t="n">
        <f aca="false">G8226-H8226</f>
        <v>0</v>
      </c>
      <c r="J8226" s="21" t="n">
        <f aca="false">H8226*1000/Parametres!$B$9</f>
        <v>2956.24894013905</v>
      </c>
    </row>
    <row r="8227" customFormat="false" ht="15" hidden="false" customHeight="false" outlineLevel="0" collapsed="false">
      <c r="A8227" s="0" t="n">
        <v>8223</v>
      </c>
      <c r="B8227" s="0" t="n">
        <v>12</v>
      </c>
      <c r="C8227" s="19" t="n">
        <v>0.4347</v>
      </c>
      <c r="D8227" s="19" t="n">
        <v>0</v>
      </c>
      <c r="E8227" s="20" t="n">
        <f aca="false">Parametres!$B$5*C8227</f>
        <v>130.41</v>
      </c>
      <c r="F8227" s="20" t="n">
        <f aca="false">Parametres!$B$6*D8227</f>
        <v>0</v>
      </c>
      <c r="G8227" s="20" t="n">
        <f aca="false">E8227+F8227</f>
        <v>130.41</v>
      </c>
      <c r="H8227" s="20" t="n">
        <f aca="false">IF(G8227&lt;Parametres!$B$8*Parametres!$B$7,0,MIN(G8227,Parametres!$B$7))</f>
        <v>130.41</v>
      </c>
      <c r="I8227" s="20" t="n">
        <f aca="false">G8227-H8227</f>
        <v>0</v>
      </c>
      <c r="J8227" s="21" t="n">
        <f aca="false">H8227*1000/Parametres!$B$9</f>
        <v>2211.46345599457</v>
      </c>
    </row>
    <row r="8228" customFormat="false" ht="15" hidden="false" customHeight="false" outlineLevel="0" collapsed="false">
      <c r="A8228" s="0" t="n">
        <v>8224</v>
      </c>
      <c r="B8228" s="0" t="n">
        <v>12</v>
      </c>
      <c r="C8228" s="19" t="n">
        <v>0.2601</v>
      </c>
      <c r="D8228" s="19" t="n">
        <v>0</v>
      </c>
      <c r="E8228" s="20" t="n">
        <f aca="false">Parametres!$B$5*C8228</f>
        <v>78.03</v>
      </c>
      <c r="F8228" s="20" t="n">
        <f aca="false">Parametres!$B$6*D8228</f>
        <v>0</v>
      </c>
      <c r="G8228" s="20" t="n">
        <f aca="false">E8228+F8228</f>
        <v>78.03</v>
      </c>
      <c r="H8228" s="20" t="n">
        <f aca="false">IF(G8228&lt;Parametres!$B$8*Parametres!$B$7,0,MIN(G8228,Parametres!$B$7))</f>
        <v>78.03</v>
      </c>
      <c r="I8228" s="20" t="n">
        <f aca="false">G8228-H8228</f>
        <v>0</v>
      </c>
      <c r="J8228" s="21" t="n">
        <f aca="false">H8228*1000/Parametres!$B$9</f>
        <v>1323.21519416653</v>
      </c>
    </row>
    <row r="8229" customFormat="false" ht="15" hidden="false" customHeight="false" outlineLevel="0" collapsed="false">
      <c r="A8229" s="0" t="n">
        <v>8225</v>
      </c>
      <c r="B8229" s="0" t="n">
        <v>12</v>
      </c>
      <c r="C8229" s="19" t="n">
        <v>0.0958</v>
      </c>
      <c r="D8229" s="19" t="n">
        <v>0.0015</v>
      </c>
      <c r="E8229" s="20" t="n">
        <f aca="false">Parametres!$B$5*C8229</f>
        <v>28.74</v>
      </c>
      <c r="F8229" s="20" t="n">
        <f aca="false">Parametres!$B$6*D8229</f>
        <v>0.3</v>
      </c>
      <c r="G8229" s="20" t="n">
        <f aca="false">E8229+F8229</f>
        <v>29.04</v>
      </c>
      <c r="H8229" s="20" t="n">
        <f aca="false">IF(G8229&lt;Parametres!$B$8*Parametres!$B$7,0,MIN(G8229,Parametres!$B$7))</f>
        <v>29.04</v>
      </c>
      <c r="I8229" s="20" t="n">
        <f aca="false">G8229-H8229</f>
        <v>0</v>
      </c>
      <c r="J8229" s="21" t="n">
        <f aca="false">H8229*1000/Parametres!$B$9</f>
        <v>492.453790062744</v>
      </c>
    </row>
    <row r="8230" customFormat="false" ht="15" hidden="false" customHeight="false" outlineLevel="0" collapsed="false">
      <c r="A8230" s="0" t="n">
        <v>8226</v>
      </c>
      <c r="B8230" s="0" t="n">
        <v>12</v>
      </c>
      <c r="C8230" s="19" t="n">
        <v>0</v>
      </c>
      <c r="D8230" s="19" t="n">
        <v>0.0006</v>
      </c>
      <c r="E8230" s="20" t="n">
        <f aca="false">Parametres!$B$5*C8230</f>
        <v>0</v>
      </c>
      <c r="F8230" s="20" t="n">
        <f aca="false">Parametres!$B$6*D8230</f>
        <v>0.12</v>
      </c>
      <c r="G8230" s="20" t="n">
        <f aca="false">E8230+F8230</f>
        <v>0.12</v>
      </c>
      <c r="H8230" s="20" t="n">
        <f aca="false">IF(G8230&lt;Parametres!$B$8*Parametres!$B$7,0,MIN(G8230,Parametres!$B$7))</f>
        <v>0</v>
      </c>
      <c r="I8230" s="20" t="n">
        <f aca="false">G8230-H8230</f>
        <v>0.12</v>
      </c>
      <c r="J8230" s="21" t="n">
        <f aca="false">H8230*1000/Parametres!$B$9</f>
        <v>0</v>
      </c>
    </row>
    <row r="8231" customFormat="false" ht="15" hidden="false" customHeight="false" outlineLevel="0" collapsed="false">
      <c r="A8231" s="0" t="n">
        <v>8227</v>
      </c>
      <c r="B8231" s="0" t="n">
        <v>12</v>
      </c>
      <c r="C8231" s="19" t="n">
        <v>0</v>
      </c>
      <c r="D8231" s="19" t="n">
        <v>0.0016</v>
      </c>
      <c r="E8231" s="20" t="n">
        <f aca="false">Parametres!$B$5*C8231</f>
        <v>0</v>
      </c>
      <c r="F8231" s="20" t="n">
        <f aca="false">Parametres!$B$6*D8231</f>
        <v>0.32</v>
      </c>
      <c r="G8231" s="20" t="n">
        <f aca="false">E8231+F8231</f>
        <v>0.32</v>
      </c>
      <c r="H8231" s="20" t="n">
        <f aca="false">IF(G8231&lt;Parametres!$B$8*Parametres!$B$7,0,MIN(G8231,Parametres!$B$7))</f>
        <v>0</v>
      </c>
      <c r="I8231" s="20" t="n">
        <f aca="false">G8231-H8231</f>
        <v>0.32</v>
      </c>
      <c r="J8231" s="21" t="n">
        <f aca="false">H8231*1000/Parametres!$B$9</f>
        <v>0</v>
      </c>
    </row>
    <row r="8232" customFormat="false" ht="15" hidden="false" customHeight="false" outlineLevel="0" collapsed="false">
      <c r="A8232" s="0" t="n">
        <v>8228</v>
      </c>
      <c r="B8232" s="0" t="n">
        <v>12</v>
      </c>
      <c r="C8232" s="19" t="n">
        <v>0</v>
      </c>
      <c r="D8232" s="19" t="n">
        <v>0.0015</v>
      </c>
      <c r="E8232" s="20" t="n">
        <f aca="false">Parametres!$B$5*C8232</f>
        <v>0</v>
      </c>
      <c r="F8232" s="20" t="n">
        <f aca="false">Parametres!$B$6*D8232</f>
        <v>0.3</v>
      </c>
      <c r="G8232" s="20" t="n">
        <f aca="false">E8232+F8232</f>
        <v>0.3</v>
      </c>
      <c r="H8232" s="20" t="n">
        <f aca="false">IF(G8232&lt;Parametres!$B$8*Parametres!$B$7,0,MIN(G8232,Parametres!$B$7))</f>
        <v>0</v>
      </c>
      <c r="I8232" s="20" t="n">
        <f aca="false">G8232-H8232</f>
        <v>0.3</v>
      </c>
      <c r="J8232" s="21" t="n">
        <f aca="false">H8232*1000/Parametres!$B$9</f>
        <v>0</v>
      </c>
    </row>
    <row r="8233" customFormat="false" ht="15" hidden="false" customHeight="false" outlineLevel="0" collapsed="false">
      <c r="A8233" s="0" t="n">
        <v>8229</v>
      </c>
      <c r="B8233" s="0" t="n">
        <v>12</v>
      </c>
      <c r="C8233" s="19" t="n">
        <v>0</v>
      </c>
      <c r="D8233" s="19" t="n">
        <v>0.0006</v>
      </c>
      <c r="E8233" s="20" t="n">
        <f aca="false">Parametres!$B$5*C8233</f>
        <v>0</v>
      </c>
      <c r="F8233" s="20" t="n">
        <f aca="false">Parametres!$B$6*D8233</f>
        <v>0.12</v>
      </c>
      <c r="G8233" s="20" t="n">
        <f aca="false">E8233+F8233</f>
        <v>0.12</v>
      </c>
      <c r="H8233" s="20" t="n">
        <f aca="false">IF(G8233&lt;Parametres!$B$8*Parametres!$B$7,0,MIN(G8233,Parametres!$B$7))</f>
        <v>0</v>
      </c>
      <c r="I8233" s="20" t="n">
        <f aca="false">G8233-H8233</f>
        <v>0.12</v>
      </c>
      <c r="J8233" s="21" t="n">
        <f aca="false">H8233*1000/Parametres!$B$9</f>
        <v>0</v>
      </c>
    </row>
    <row r="8234" customFormat="false" ht="15" hidden="false" customHeight="false" outlineLevel="0" collapsed="false">
      <c r="A8234" s="0" t="n">
        <v>8230</v>
      </c>
      <c r="B8234" s="0" t="n">
        <v>12</v>
      </c>
      <c r="C8234" s="19" t="n">
        <v>0</v>
      </c>
      <c r="D8234" s="19" t="n">
        <v>0.0002</v>
      </c>
      <c r="E8234" s="20" t="n">
        <f aca="false">Parametres!$B$5*C8234</f>
        <v>0</v>
      </c>
      <c r="F8234" s="20" t="n">
        <f aca="false">Parametres!$B$6*D8234</f>
        <v>0.04</v>
      </c>
      <c r="G8234" s="20" t="n">
        <f aca="false">E8234+F8234</f>
        <v>0.04</v>
      </c>
      <c r="H8234" s="20" t="n">
        <f aca="false">IF(G8234&lt;Parametres!$B$8*Parametres!$B$7,0,MIN(G8234,Parametres!$B$7))</f>
        <v>0</v>
      </c>
      <c r="I8234" s="20" t="n">
        <f aca="false">G8234-H8234</f>
        <v>0.04</v>
      </c>
      <c r="J8234" s="21" t="n">
        <f aca="false">H8234*1000/Parametres!$B$9</f>
        <v>0</v>
      </c>
    </row>
    <row r="8235" customFormat="false" ht="15" hidden="false" customHeight="false" outlineLevel="0" collapsed="false">
      <c r="A8235" s="0" t="n">
        <v>8231</v>
      </c>
      <c r="B8235" s="0" t="n">
        <v>12</v>
      </c>
      <c r="C8235" s="19" t="n">
        <v>0</v>
      </c>
      <c r="D8235" s="19" t="n">
        <v>0</v>
      </c>
      <c r="E8235" s="20" t="n">
        <f aca="false">Parametres!$B$5*C8235</f>
        <v>0</v>
      </c>
      <c r="F8235" s="20" t="n">
        <f aca="false">Parametres!$B$6*D8235</f>
        <v>0</v>
      </c>
      <c r="G8235" s="20" t="n">
        <f aca="false">E8235+F8235</f>
        <v>0</v>
      </c>
      <c r="H8235" s="20" t="n">
        <f aca="false">IF(G8235&lt;Parametres!$B$8*Parametres!$B$7,0,MIN(G8235,Parametres!$B$7))</f>
        <v>0</v>
      </c>
      <c r="I8235" s="20" t="n">
        <f aca="false">G8235-H8235</f>
        <v>0</v>
      </c>
      <c r="J8235" s="21" t="n">
        <f aca="false">H8235*1000/Parametres!$B$9</f>
        <v>0</v>
      </c>
    </row>
    <row r="8236" customFormat="false" ht="15" hidden="false" customHeight="false" outlineLevel="0" collapsed="false">
      <c r="A8236" s="0" t="n">
        <v>8232</v>
      </c>
      <c r="B8236" s="0" t="n">
        <v>12</v>
      </c>
      <c r="C8236" s="19" t="n">
        <v>0</v>
      </c>
      <c r="D8236" s="19" t="n">
        <v>0.0022</v>
      </c>
      <c r="E8236" s="20" t="n">
        <f aca="false">Parametres!$B$5*C8236</f>
        <v>0</v>
      </c>
      <c r="F8236" s="20" t="n">
        <f aca="false">Parametres!$B$6*D8236</f>
        <v>0.44</v>
      </c>
      <c r="G8236" s="20" t="n">
        <f aca="false">E8236+F8236</f>
        <v>0.44</v>
      </c>
      <c r="H8236" s="20" t="n">
        <f aca="false">IF(G8236&lt;Parametres!$B$8*Parametres!$B$7,0,MIN(G8236,Parametres!$B$7))</f>
        <v>0</v>
      </c>
      <c r="I8236" s="20" t="n">
        <f aca="false">G8236-H8236</f>
        <v>0.44</v>
      </c>
      <c r="J8236" s="21" t="n">
        <f aca="false">H8236*1000/Parametres!$B$9</f>
        <v>0</v>
      </c>
    </row>
    <row r="8237" customFormat="false" ht="15" hidden="false" customHeight="false" outlineLevel="0" collapsed="false">
      <c r="A8237" s="0" t="n">
        <v>8233</v>
      </c>
      <c r="B8237" s="0" t="n">
        <v>12</v>
      </c>
      <c r="C8237" s="19" t="n">
        <v>0</v>
      </c>
      <c r="D8237" s="19" t="n">
        <v>0.0025</v>
      </c>
      <c r="E8237" s="20" t="n">
        <f aca="false">Parametres!$B$5*C8237</f>
        <v>0</v>
      </c>
      <c r="F8237" s="20" t="n">
        <f aca="false">Parametres!$B$6*D8237</f>
        <v>0.5</v>
      </c>
      <c r="G8237" s="20" t="n">
        <f aca="false">E8237+F8237</f>
        <v>0.5</v>
      </c>
      <c r="H8237" s="20" t="n">
        <f aca="false">IF(G8237&lt;Parametres!$B$8*Parametres!$B$7,0,MIN(G8237,Parametres!$B$7))</f>
        <v>0</v>
      </c>
      <c r="I8237" s="20" t="n">
        <f aca="false">G8237-H8237</f>
        <v>0.5</v>
      </c>
      <c r="J8237" s="21" t="n">
        <f aca="false">H8237*1000/Parametres!$B$9</f>
        <v>0</v>
      </c>
    </row>
    <row r="8238" customFormat="false" ht="15" hidden="false" customHeight="false" outlineLevel="0" collapsed="false">
      <c r="A8238" s="0" t="n">
        <v>8234</v>
      </c>
      <c r="B8238" s="0" t="n">
        <v>12</v>
      </c>
      <c r="C8238" s="19" t="n">
        <v>0</v>
      </c>
      <c r="D8238" s="19" t="n">
        <v>0.005</v>
      </c>
      <c r="E8238" s="20" t="n">
        <f aca="false">Parametres!$B$5*C8238</f>
        <v>0</v>
      </c>
      <c r="F8238" s="20" t="n">
        <f aca="false">Parametres!$B$6*D8238</f>
        <v>1</v>
      </c>
      <c r="G8238" s="20" t="n">
        <f aca="false">E8238+F8238</f>
        <v>1</v>
      </c>
      <c r="H8238" s="20" t="n">
        <f aca="false">IF(G8238&lt;Parametres!$B$8*Parametres!$B$7,0,MIN(G8238,Parametres!$B$7))</f>
        <v>0</v>
      </c>
      <c r="I8238" s="20" t="n">
        <f aca="false">G8238-H8238</f>
        <v>1</v>
      </c>
      <c r="J8238" s="21" t="n">
        <f aca="false">H8238*1000/Parametres!$B$9</f>
        <v>0</v>
      </c>
    </row>
    <row r="8239" customFormat="false" ht="15" hidden="false" customHeight="false" outlineLevel="0" collapsed="false">
      <c r="A8239" s="0" t="n">
        <v>8235</v>
      </c>
      <c r="B8239" s="0" t="n">
        <v>12</v>
      </c>
      <c r="C8239" s="19" t="n">
        <v>0</v>
      </c>
      <c r="D8239" s="19" t="n">
        <v>0.0023</v>
      </c>
      <c r="E8239" s="20" t="n">
        <f aca="false">Parametres!$B$5*C8239</f>
        <v>0</v>
      </c>
      <c r="F8239" s="20" t="n">
        <f aca="false">Parametres!$B$6*D8239</f>
        <v>0.46</v>
      </c>
      <c r="G8239" s="20" t="n">
        <f aca="false">E8239+F8239</f>
        <v>0.46</v>
      </c>
      <c r="H8239" s="20" t="n">
        <f aca="false">IF(G8239&lt;Parametres!$B$8*Parametres!$B$7,0,MIN(G8239,Parametres!$B$7))</f>
        <v>0</v>
      </c>
      <c r="I8239" s="20" t="n">
        <f aca="false">G8239-H8239</f>
        <v>0.46</v>
      </c>
      <c r="J8239" s="21" t="n">
        <f aca="false">H8239*1000/Parametres!$B$9</f>
        <v>0</v>
      </c>
    </row>
    <row r="8240" customFormat="false" ht="15" hidden="false" customHeight="false" outlineLevel="0" collapsed="false">
      <c r="A8240" s="0" t="n">
        <v>8236</v>
      </c>
      <c r="B8240" s="0" t="n">
        <v>12</v>
      </c>
      <c r="C8240" s="19" t="n">
        <v>0</v>
      </c>
      <c r="D8240" s="19" t="n">
        <v>0.004</v>
      </c>
      <c r="E8240" s="20" t="n">
        <f aca="false">Parametres!$B$5*C8240</f>
        <v>0</v>
      </c>
      <c r="F8240" s="20" t="n">
        <f aca="false">Parametres!$B$6*D8240</f>
        <v>0.8</v>
      </c>
      <c r="G8240" s="20" t="n">
        <f aca="false">E8240+F8240</f>
        <v>0.8</v>
      </c>
      <c r="H8240" s="20" t="n">
        <f aca="false">IF(G8240&lt;Parametres!$B$8*Parametres!$B$7,0,MIN(G8240,Parametres!$B$7))</f>
        <v>0</v>
      </c>
      <c r="I8240" s="20" t="n">
        <f aca="false">G8240-H8240</f>
        <v>0.8</v>
      </c>
      <c r="J8240" s="21" t="n">
        <f aca="false">H8240*1000/Parametres!$B$9</f>
        <v>0</v>
      </c>
    </row>
    <row r="8241" customFormat="false" ht="15" hidden="false" customHeight="false" outlineLevel="0" collapsed="false">
      <c r="A8241" s="0" t="n">
        <v>8237</v>
      </c>
      <c r="B8241" s="0" t="n">
        <v>12</v>
      </c>
      <c r="C8241" s="19" t="n">
        <v>0</v>
      </c>
      <c r="D8241" s="19" t="n">
        <v>0.0039</v>
      </c>
      <c r="E8241" s="20" t="n">
        <f aca="false">Parametres!$B$5*C8241</f>
        <v>0</v>
      </c>
      <c r="F8241" s="20" t="n">
        <f aca="false">Parametres!$B$6*D8241</f>
        <v>0.78</v>
      </c>
      <c r="G8241" s="20" t="n">
        <f aca="false">E8241+F8241</f>
        <v>0.78</v>
      </c>
      <c r="H8241" s="20" t="n">
        <f aca="false">IF(G8241&lt;Parametres!$B$8*Parametres!$B$7,0,MIN(G8241,Parametres!$B$7))</f>
        <v>0</v>
      </c>
      <c r="I8241" s="20" t="n">
        <f aca="false">G8241-H8241</f>
        <v>0.78</v>
      </c>
      <c r="J8241" s="21" t="n">
        <f aca="false">H8241*1000/Parametres!$B$9</f>
        <v>0</v>
      </c>
    </row>
    <row r="8242" customFormat="false" ht="15" hidden="false" customHeight="false" outlineLevel="0" collapsed="false">
      <c r="A8242" s="0" t="n">
        <v>8238</v>
      </c>
      <c r="B8242" s="0" t="n">
        <v>12</v>
      </c>
      <c r="C8242" s="19" t="n">
        <v>0</v>
      </c>
      <c r="D8242" s="19" t="n">
        <v>0.0026</v>
      </c>
      <c r="E8242" s="20" t="n">
        <f aca="false">Parametres!$B$5*C8242</f>
        <v>0</v>
      </c>
      <c r="F8242" s="20" t="n">
        <f aca="false">Parametres!$B$6*D8242</f>
        <v>0.52</v>
      </c>
      <c r="G8242" s="20" t="n">
        <f aca="false">E8242+F8242</f>
        <v>0.52</v>
      </c>
      <c r="H8242" s="20" t="n">
        <f aca="false">IF(G8242&lt;Parametres!$B$8*Parametres!$B$7,0,MIN(G8242,Parametres!$B$7))</f>
        <v>0</v>
      </c>
      <c r="I8242" s="20" t="n">
        <f aca="false">G8242-H8242</f>
        <v>0.52</v>
      </c>
      <c r="J8242" s="21" t="n">
        <f aca="false">H8242*1000/Parametres!$B$9</f>
        <v>0</v>
      </c>
    </row>
    <row r="8243" customFormat="false" ht="15" hidden="false" customHeight="false" outlineLevel="0" collapsed="false">
      <c r="A8243" s="0" t="n">
        <v>8239</v>
      </c>
      <c r="B8243" s="0" t="n">
        <v>12</v>
      </c>
      <c r="C8243" s="19" t="n">
        <v>0</v>
      </c>
      <c r="D8243" s="19" t="n">
        <v>0.003</v>
      </c>
      <c r="E8243" s="20" t="n">
        <f aca="false">Parametres!$B$5*C8243</f>
        <v>0</v>
      </c>
      <c r="F8243" s="20" t="n">
        <f aca="false">Parametres!$B$6*D8243</f>
        <v>0.6</v>
      </c>
      <c r="G8243" s="20" t="n">
        <f aca="false">E8243+F8243</f>
        <v>0.6</v>
      </c>
      <c r="H8243" s="20" t="n">
        <f aca="false">IF(G8243&lt;Parametres!$B$8*Parametres!$B$7,0,MIN(G8243,Parametres!$B$7))</f>
        <v>0</v>
      </c>
      <c r="I8243" s="20" t="n">
        <f aca="false">G8243-H8243</f>
        <v>0.6</v>
      </c>
      <c r="J8243" s="21" t="n">
        <f aca="false">H8243*1000/Parametres!$B$9</f>
        <v>0</v>
      </c>
    </row>
    <row r="8244" customFormat="false" ht="15" hidden="false" customHeight="false" outlineLevel="0" collapsed="false">
      <c r="A8244" s="0" t="n">
        <v>8240</v>
      </c>
      <c r="B8244" s="0" t="n">
        <v>12</v>
      </c>
      <c r="C8244" s="19" t="n">
        <v>0.1126</v>
      </c>
      <c r="D8244" s="19" t="n">
        <v>0.0015</v>
      </c>
      <c r="E8244" s="20" t="n">
        <f aca="false">Parametres!$B$5*C8244</f>
        <v>33.78</v>
      </c>
      <c r="F8244" s="20" t="n">
        <f aca="false">Parametres!$B$6*D8244</f>
        <v>0.3</v>
      </c>
      <c r="G8244" s="20" t="n">
        <f aca="false">E8244+F8244</f>
        <v>34.08</v>
      </c>
      <c r="H8244" s="20" t="n">
        <f aca="false">IF(G8244&lt;Parametres!$B$8*Parametres!$B$7,0,MIN(G8244,Parametres!$B$7))</f>
        <v>34.08</v>
      </c>
      <c r="I8244" s="20" t="n">
        <f aca="false">G8244-H8244</f>
        <v>0</v>
      </c>
      <c r="J8244" s="21" t="n">
        <f aca="false">H8244*1000/Parametres!$B$9</f>
        <v>577.920976767848</v>
      </c>
    </row>
    <row r="8245" customFormat="false" ht="15" hidden="false" customHeight="false" outlineLevel="0" collapsed="false">
      <c r="A8245" s="0" t="n">
        <v>8241</v>
      </c>
      <c r="B8245" s="0" t="n">
        <v>12</v>
      </c>
      <c r="C8245" s="19" t="n">
        <v>0.3153</v>
      </c>
      <c r="D8245" s="19" t="n">
        <v>0.0099</v>
      </c>
      <c r="E8245" s="20" t="n">
        <f aca="false">Parametres!$B$5*C8245</f>
        <v>94.59</v>
      </c>
      <c r="F8245" s="20" t="n">
        <f aca="false">Parametres!$B$6*D8245</f>
        <v>1.98</v>
      </c>
      <c r="G8245" s="20" t="n">
        <f aca="false">E8245+F8245</f>
        <v>96.57</v>
      </c>
      <c r="H8245" s="20" t="n">
        <f aca="false">IF(G8245&lt;Parametres!$B$8*Parametres!$B$7,0,MIN(G8245,Parametres!$B$7))</f>
        <v>96.57</v>
      </c>
      <c r="I8245" s="20" t="n">
        <f aca="false">G8245-H8245</f>
        <v>0</v>
      </c>
      <c r="J8245" s="21" t="n">
        <f aca="false">H8245*1000/Parametres!$B$9</f>
        <v>1637.6123452603</v>
      </c>
    </row>
    <row r="8246" customFormat="false" ht="15" hidden="false" customHeight="false" outlineLevel="0" collapsed="false">
      <c r="A8246" s="0" t="n">
        <v>8242</v>
      </c>
      <c r="B8246" s="0" t="n">
        <v>12</v>
      </c>
      <c r="C8246" s="19" t="n">
        <v>0.4691</v>
      </c>
      <c r="D8246" s="19" t="n">
        <v>0.009</v>
      </c>
      <c r="E8246" s="20" t="n">
        <f aca="false">Parametres!$B$5*C8246</f>
        <v>140.73</v>
      </c>
      <c r="F8246" s="20" t="n">
        <f aca="false">Parametres!$B$6*D8246</f>
        <v>1.8</v>
      </c>
      <c r="G8246" s="20" t="n">
        <f aca="false">E8246+F8246</f>
        <v>142.53</v>
      </c>
      <c r="H8246" s="20" t="n">
        <f aca="false">IF(G8246&lt;Parametres!$B$8*Parametres!$B$7,0,MIN(G8246,Parametres!$B$7))</f>
        <v>142.53</v>
      </c>
      <c r="I8246" s="20" t="n">
        <f aca="false">G8246-H8246</f>
        <v>0</v>
      </c>
      <c r="J8246" s="21" t="n">
        <f aca="false">H8246*1000/Parametres!$B$9</f>
        <v>2416.99169069018</v>
      </c>
    </row>
    <row r="8247" customFormat="false" ht="15" hidden="false" customHeight="false" outlineLevel="0" collapsed="false">
      <c r="A8247" s="0" t="n">
        <v>8243</v>
      </c>
      <c r="B8247" s="0" t="n">
        <v>12</v>
      </c>
      <c r="C8247" s="19" t="n">
        <v>0.5933</v>
      </c>
      <c r="D8247" s="19" t="n">
        <v>0.0067</v>
      </c>
      <c r="E8247" s="20" t="n">
        <f aca="false">Parametres!$B$5*C8247</f>
        <v>177.99</v>
      </c>
      <c r="F8247" s="20" t="n">
        <f aca="false">Parametres!$B$6*D8247</f>
        <v>1.34</v>
      </c>
      <c r="G8247" s="20" t="n">
        <f aca="false">E8247+F8247</f>
        <v>179.33</v>
      </c>
      <c r="H8247" s="20" t="n">
        <f aca="false">IF(G8247&lt;Parametres!$B$8*Parametres!$B$7,0,MIN(G8247,Parametres!$B$7))</f>
        <v>179.33</v>
      </c>
      <c r="I8247" s="20" t="n">
        <f aca="false">G8247-H8247</f>
        <v>0</v>
      </c>
      <c r="J8247" s="21" t="n">
        <f aca="false">H8247*1000/Parametres!$B$9</f>
        <v>3041.03781583856</v>
      </c>
    </row>
    <row r="8248" customFormat="false" ht="15" hidden="false" customHeight="false" outlineLevel="0" collapsed="false">
      <c r="A8248" s="0" t="n">
        <v>8244</v>
      </c>
      <c r="B8248" s="0" t="n">
        <v>12</v>
      </c>
      <c r="C8248" s="19" t="n">
        <v>0.6834</v>
      </c>
      <c r="D8248" s="19" t="n">
        <v>0.0033</v>
      </c>
      <c r="E8248" s="20" t="n">
        <f aca="false">Parametres!$B$5*C8248</f>
        <v>205.02</v>
      </c>
      <c r="F8248" s="20" t="n">
        <f aca="false">Parametres!$B$6*D8248</f>
        <v>0.66</v>
      </c>
      <c r="G8248" s="20" t="n">
        <f aca="false">E8248+F8248</f>
        <v>205.68</v>
      </c>
      <c r="H8248" s="20" t="n">
        <f aca="false">IF(G8248&lt;Parametres!$B$8*Parametres!$B$7,0,MIN(G8248,Parametres!$B$7))</f>
        <v>205.68</v>
      </c>
      <c r="I8248" s="20" t="n">
        <f aca="false">G8248-H8248</f>
        <v>0</v>
      </c>
      <c r="J8248" s="21" t="n">
        <f aca="false">H8248*1000/Parametres!$B$9</f>
        <v>3487.87519077497</v>
      </c>
    </row>
    <row r="8249" customFormat="false" ht="15" hidden="false" customHeight="false" outlineLevel="0" collapsed="false">
      <c r="A8249" s="0" t="n">
        <v>8245</v>
      </c>
      <c r="B8249" s="0" t="n">
        <v>12</v>
      </c>
      <c r="C8249" s="19" t="n">
        <v>0.6508</v>
      </c>
      <c r="D8249" s="19" t="n">
        <v>0.0014</v>
      </c>
      <c r="E8249" s="20" t="n">
        <f aca="false">Parametres!$B$5*C8249</f>
        <v>195.24</v>
      </c>
      <c r="F8249" s="20" t="n">
        <f aca="false">Parametres!$B$6*D8249</f>
        <v>0.28</v>
      </c>
      <c r="G8249" s="20" t="n">
        <f aca="false">E8249+F8249</f>
        <v>195.52</v>
      </c>
      <c r="H8249" s="20" t="n">
        <f aca="false">IF(G8249&lt;Parametres!$B$8*Parametres!$B$7,0,MIN(G8249,Parametres!$B$7))</f>
        <v>195.52</v>
      </c>
      <c r="I8249" s="20" t="n">
        <f aca="false">G8249-H8249</f>
        <v>0</v>
      </c>
      <c r="J8249" s="21" t="n">
        <f aca="false">H8249*1000/Parametres!$B$9</f>
        <v>3315.58419535357</v>
      </c>
    </row>
    <row r="8250" customFormat="false" ht="15" hidden="false" customHeight="false" outlineLevel="0" collapsed="false">
      <c r="A8250" s="0" t="n">
        <v>8246</v>
      </c>
      <c r="B8250" s="0" t="n">
        <v>12</v>
      </c>
      <c r="C8250" s="19" t="n">
        <v>0.6055</v>
      </c>
      <c r="D8250" s="19" t="n">
        <v>0.0006</v>
      </c>
      <c r="E8250" s="20" t="n">
        <f aca="false">Parametres!$B$5*C8250</f>
        <v>181.65</v>
      </c>
      <c r="F8250" s="20" t="n">
        <f aca="false">Parametres!$B$6*D8250</f>
        <v>0.12</v>
      </c>
      <c r="G8250" s="20" t="n">
        <f aca="false">E8250+F8250</f>
        <v>181.77</v>
      </c>
      <c r="H8250" s="20" t="n">
        <f aca="false">IF(G8250&lt;Parametres!$B$8*Parametres!$B$7,0,MIN(G8250,Parametres!$B$7))</f>
        <v>181.77</v>
      </c>
      <c r="I8250" s="20" t="n">
        <f aca="false">G8250-H8250</f>
        <v>0</v>
      </c>
      <c r="J8250" s="21" t="n">
        <f aca="false">H8250*1000/Parametres!$B$9</f>
        <v>3082.41478717992</v>
      </c>
    </row>
    <row r="8251" customFormat="false" ht="15" hidden="false" customHeight="false" outlineLevel="0" collapsed="false">
      <c r="A8251" s="0" t="n">
        <v>8247</v>
      </c>
      <c r="B8251" s="0" t="n">
        <v>12</v>
      </c>
      <c r="C8251" s="19" t="n">
        <v>0.5278</v>
      </c>
      <c r="D8251" s="19" t="n">
        <v>0</v>
      </c>
      <c r="E8251" s="20" t="n">
        <f aca="false">Parametres!$B$5*C8251</f>
        <v>158.34</v>
      </c>
      <c r="F8251" s="20" t="n">
        <f aca="false">Parametres!$B$6*D8251</f>
        <v>0</v>
      </c>
      <c r="G8251" s="20" t="n">
        <f aca="false">E8251+F8251</f>
        <v>158.34</v>
      </c>
      <c r="H8251" s="20" t="n">
        <f aca="false">IF(G8251&lt;Parametres!$B$8*Parametres!$B$7,0,MIN(G8251,Parametres!$B$7))</f>
        <v>158.34</v>
      </c>
      <c r="I8251" s="20" t="n">
        <f aca="false">G8251-H8251</f>
        <v>0</v>
      </c>
      <c r="J8251" s="21" t="n">
        <f aca="false">H8251*1000/Parametres!$B$9</f>
        <v>2685.09411565203</v>
      </c>
    </row>
    <row r="8252" customFormat="false" ht="15" hidden="false" customHeight="false" outlineLevel="0" collapsed="false">
      <c r="A8252" s="0" t="n">
        <v>8248</v>
      </c>
      <c r="B8252" s="0" t="n">
        <v>12</v>
      </c>
      <c r="C8252" s="19" t="n">
        <v>0.3129</v>
      </c>
      <c r="D8252" s="19" t="n">
        <v>0</v>
      </c>
      <c r="E8252" s="20" t="n">
        <f aca="false">Parametres!$B$5*C8252</f>
        <v>93.87</v>
      </c>
      <c r="F8252" s="20" t="n">
        <f aca="false">Parametres!$B$6*D8252</f>
        <v>0</v>
      </c>
      <c r="G8252" s="20" t="n">
        <f aca="false">E8252+F8252</f>
        <v>93.87</v>
      </c>
      <c r="H8252" s="20" t="n">
        <f aca="false">IF(G8252&lt;Parametres!$B$8*Parametres!$B$7,0,MIN(G8252,Parametres!$B$7))</f>
        <v>93.87</v>
      </c>
      <c r="I8252" s="20" t="n">
        <f aca="false">G8252-H8252</f>
        <v>0</v>
      </c>
      <c r="J8252" s="21" t="n">
        <f aca="false">H8252*1000/Parametres!$B$9</f>
        <v>1591.82635238257</v>
      </c>
    </row>
    <row r="8253" customFormat="false" ht="15" hidden="false" customHeight="false" outlineLevel="0" collapsed="false">
      <c r="A8253" s="0" t="n">
        <v>8249</v>
      </c>
      <c r="B8253" s="0" t="n">
        <v>12</v>
      </c>
      <c r="C8253" s="19" t="n">
        <v>0.1081</v>
      </c>
      <c r="D8253" s="19" t="n">
        <v>0</v>
      </c>
      <c r="E8253" s="20" t="n">
        <f aca="false">Parametres!$B$5*C8253</f>
        <v>32.43</v>
      </c>
      <c r="F8253" s="20" t="n">
        <f aca="false">Parametres!$B$6*D8253</f>
        <v>0</v>
      </c>
      <c r="G8253" s="20" t="n">
        <f aca="false">E8253+F8253</f>
        <v>32.43</v>
      </c>
      <c r="H8253" s="20" t="n">
        <f aca="false">IF(G8253&lt;Parametres!$B$8*Parametres!$B$7,0,MIN(G8253,Parametres!$B$7))</f>
        <v>32.43</v>
      </c>
      <c r="I8253" s="20" t="n">
        <f aca="false">G8253-H8253</f>
        <v>0</v>
      </c>
      <c r="J8253" s="21" t="n">
        <f aca="false">H8253*1000/Parametres!$B$9</f>
        <v>549.94064778701</v>
      </c>
    </row>
    <row r="8254" customFormat="false" ht="15" hidden="false" customHeight="false" outlineLevel="0" collapsed="false">
      <c r="A8254" s="0" t="n">
        <v>8250</v>
      </c>
      <c r="B8254" s="0" t="n">
        <v>12</v>
      </c>
      <c r="C8254" s="19" t="n">
        <v>0</v>
      </c>
      <c r="D8254" s="19" t="n">
        <v>0.0005</v>
      </c>
      <c r="E8254" s="20" t="n">
        <f aca="false">Parametres!$B$5*C8254</f>
        <v>0</v>
      </c>
      <c r="F8254" s="20" t="n">
        <f aca="false">Parametres!$B$6*D8254</f>
        <v>0.1</v>
      </c>
      <c r="G8254" s="20" t="n">
        <f aca="false">E8254+F8254</f>
        <v>0.1</v>
      </c>
      <c r="H8254" s="20" t="n">
        <f aca="false">IF(G8254&lt;Parametres!$B$8*Parametres!$B$7,0,MIN(G8254,Parametres!$B$7))</f>
        <v>0</v>
      </c>
      <c r="I8254" s="20" t="n">
        <f aca="false">G8254-H8254</f>
        <v>0.1</v>
      </c>
      <c r="J8254" s="21" t="n">
        <f aca="false">H8254*1000/Parametres!$B$9</f>
        <v>0</v>
      </c>
    </row>
    <row r="8255" customFormat="false" ht="15" hidden="false" customHeight="false" outlineLevel="0" collapsed="false">
      <c r="A8255" s="0" t="n">
        <v>8251</v>
      </c>
      <c r="B8255" s="0" t="n">
        <v>12</v>
      </c>
      <c r="C8255" s="19" t="n">
        <v>0</v>
      </c>
      <c r="D8255" s="19" t="n">
        <v>0.0019</v>
      </c>
      <c r="E8255" s="20" t="n">
        <f aca="false">Parametres!$B$5*C8255</f>
        <v>0</v>
      </c>
      <c r="F8255" s="20" t="n">
        <f aca="false">Parametres!$B$6*D8255</f>
        <v>0.38</v>
      </c>
      <c r="G8255" s="20" t="n">
        <f aca="false">E8255+F8255</f>
        <v>0.38</v>
      </c>
      <c r="H8255" s="20" t="n">
        <f aca="false">IF(G8255&lt;Parametres!$B$8*Parametres!$B$7,0,MIN(G8255,Parametres!$B$7))</f>
        <v>0</v>
      </c>
      <c r="I8255" s="20" t="n">
        <f aca="false">G8255-H8255</f>
        <v>0.38</v>
      </c>
      <c r="J8255" s="21" t="n">
        <f aca="false">H8255*1000/Parametres!$B$9</f>
        <v>0</v>
      </c>
    </row>
    <row r="8256" customFormat="false" ht="15" hidden="false" customHeight="false" outlineLevel="0" collapsed="false">
      <c r="A8256" s="0" t="n">
        <v>8252</v>
      </c>
      <c r="B8256" s="0" t="n">
        <v>12</v>
      </c>
      <c r="C8256" s="19" t="n">
        <v>0</v>
      </c>
      <c r="D8256" s="19" t="n">
        <v>0.004</v>
      </c>
      <c r="E8256" s="20" t="n">
        <f aca="false">Parametres!$B$5*C8256</f>
        <v>0</v>
      </c>
      <c r="F8256" s="20" t="n">
        <f aca="false">Parametres!$B$6*D8256</f>
        <v>0.8</v>
      </c>
      <c r="G8256" s="20" t="n">
        <f aca="false">E8256+F8256</f>
        <v>0.8</v>
      </c>
      <c r="H8256" s="20" t="n">
        <f aca="false">IF(G8256&lt;Parametres!$B$8*Parametres!$B$7,0,MIN(G8256,Parametres!$B$7))</f>
        <v>0</v>
      </c>
      <c r="I8256" s="20" t="n">
        <f aca="false">G8256-H8256</f>
        <v>0.8</v>
      </c>
      <c r="J8256" s="21" t="n">
        <f aca="false">H8256*1000/Parametres!$B$9</f>
        <v>0</v>
      </c>
    </row>
    <row r="8257" customFormat="false" ht="15" hidden="false" customHeight="false" outlineLevel="0" collapsed="false">
      <c r="A8257" s="0" t="n">
        <v>8253</v>
      </c>
      <c r="B8257" s="0" t="n">
        <v>12</v>
      </c>
      <c r="C8257" s="19" t="n">
        <v>0</v>
      </c>
      <c r="D8257" s="19" t="n">
        <v>0.0113</v>
      </c>
      <c r="E8257" s="20" t="n">
        <f aca="false">Parametres!$B$5*C8257</f>
        <v>0</v>
      </c>
      <c r="F8257" s="20" t="n">
        <f aca="false">Parametres!$B$6*D8257</f>
        <v>2.26</v>
      </c>
      <c r="G8257" s="20" t="n">
        <f aca="false">E8257+F8257</f>
        <v>2.26</v>
      </c>
      <c r="H8257" s="20" t="n">
        <f aca="false">IF(G8257&lt;Parametres!$B$8*Parametres!$B$7,0,MIN(G8257,Parametres!$B$7))</f>
        <v>0</v>
      </c>
      <c r="I8257" s="20" t="n">
        <f aca="false">G8257-H8257</f>
        <v>2.26</v>
      </c>
      <c r="J8257" s="21" t="n">
        <f aca="false">H8257*1000/Parametres!$B$9</f>
        <v>0</v>
      </c>
    </row>
    <row r="8258" customFormat="false" ht="15" hidden="false" customHeight="false" outlineLevel="0" collapsed="false">
      <c r="A8258" s="0" t="n">
        <v>8254</v>
      </c>
      <c r="B8258" s="0" t="n">
        <v>12</v>
      </c>
      <c r="C8258" s="19" t="n">
        <v>0</v>
      </c>
      <c r="D8258" s="19" t="n">
        <v>0.0029</v>
      </c>
      <c r="E8258" s="20" t="n">
        <f aca="false">Parametres!$B$5*C8258</f>
        <v>0</v>
      </c>
      <c r="F8258" s="20" t="n">
        <f aca="false">Parametres!$B$6*D8258</f>
        <v>0.58</v>
      </c>
      <c r="G8258" s="20" t="n">
        <f aca="false">E8258+F8258</f>
        <v>0.58</v>
      </c>
      <c r="H8258" s="20" t="n">
        <f aca="false">IF(G8258&lt;Parametres!$B$8*Parametres!$B$7,0,MIN(G8258,Parametres!$B$7))</f>
        <v>0</v>
      </c>
      <c r="I8258" s="20" t="n">
        <f aca="false">G8258-H8258</f>
        <v>0.58</v>
      </c>
      <c r="J8258" s="21" t="n">
        <f aca="false">H8258*1000/Parametres!$B$9</f>
        <v>0</v>
      </c>
    </row>
    <row r="8259" customFormat="false" ht="15" hidden="false" customHeight="false" outlineLevel="0" collapsed="false">
      <c r="A8259" s="0" t="n">
        <v>8255</v>
      </c>
      <c r="B8259" s="0" t="n">
        <v>12</v>
      </c>
      <c r="C8259" s="19" t="n">
        <v>0</v>
      </c>
      <c r="D8259" s="19" t="n">
        <v>0.0083</v>
      </c>
      <c r="E8259" s="20" t="n">
        <f aca="false">Parametres!$B$5*C8259</f>
        <v>0</v>
      </c>
      <c r="F8259" s="20" t="n">
        <f aca="false">Parametres!$B$6*D8259</f>
        <v>1.66</v>
      </c>
      <c r="G8259" s="20" t="n">
        <f aca="false">E8259+F8259</f>
        <v>1.66</v>
      </c>
      <c r="H8259" s="20" t="n">
        <f aca="false">IF(G8259&lt;Parametres!$B$8*Parametres!$B$7,0,MIN(G8259,Parametres!$B$7))</f>
        <v>0</v>
      </c>
      <c r="I8259" s="20" t="n">
        <f aca="false">G8259-H8259</f>
        <v>1.66</v>
      </c>
      <c r="J8259" s="21" t="n">
        <f aca="false">H8259*1000/Parametres!$B$9</f>
        <v>0</v>
      </c>
    </row>
    <row r="8260" customFormat="false" ht="15" hidden="false" customHeight="false" outlineLevel="0" collapsed="false">
      <c r="A8260" s="0" t="n">
        <v>8256</v>
      </c>
      <c r="B8260" s="0" t="n">
        <v>12</v>
      </c>
      <c r="C8260" s="19" t="n">
        <v>0</v>
      </c>
      <c r="D8260" s="19" t="n">
        <v>0.0129</v>
      </c>
      <c r="E8260" s="20" t="n">
        <f aca="false">Parametres!$B$5*C8260</f>
        <v>0</v>
      </c>
      <c r="F8260" s="20" t="n">
        <f aca="false">Parametres!$B$6*D8260</f>
        <v>2.58</v>
      </c>
      <c r="G8260" s="20" t="n">
        <f aca="false">E8260+F8260</f>
        <v>2.58</v>
      </c>
      <c r="H8260" s="20" t="n">
        <f aca="false">IF(G8260&lt;Parametres!$B$8*Parametres!$B$7,0,MIN(G8260,Parametres!$B$7))</f>
        <v>0</v>
      </c>
      <c r="I8260" s="20" t="n">
        <f aca="false">G8260-H8260</f>
        <v>2.58</v>
      </c>
      <c r="J8260" s="21" t="n">
        <f aca="false">H8260*1000/Parametres!$B$9</f>
        <v>0</v>
      </c>
    </row>
    <row r="8261" customFormat="false" ht="15" hidden="false" customHeight="false" outlineLevel="0" collapsed="false">
      <c r="A8261" s="0" t="n">
        <v>8257</v>
      </c>
      <c r="B8261" s="0" t="n">
        <v>12</v>
      </c>
      <c r="C8261" s="19" t="n">
        <v>0</v>
      </c>
      <c r="D8261" s="19" t="n">
        <v>0.0127</v>
      </c>
      <c r="E8261" s="20" t="n">
        <f aca="false">Parametres!$B$5*C8261</f>
        <v>0</v>
      </c>
      <c r="F8261" s="20" t="n">
        <f aca="false">Parametres!$B$6*D8261</f>
        <v>2.54</v>
      </c>
      <c r="G8261" s="20" t="n">
        <f aca="false">E8261+F8261</f>
        <v>2.54</v>
      </c>
      <c r="H8261" s="20" t="n">
        <f aca="false">IF(G8261&lt;Parametres!$B$8*Parametres!$B$7,0,MIN(G8261,Parametres!$B$7))</f>
        <v>0</v>
      </c>
      <c r="I8261" s="20" t="n">
        <f aca="false">G8261-H8261</f>
        <v>2.54</v>
      </c>
      <c r="J8261" s="21" t="n">
        <f aca="false">H8261*1000/Parametres!$B$9</f>
        <v>0</v>
      </c>
    </row>
    <row r="8262" customFormat="false" ht="15" hidden="false" customHeight="false" outlineLevel="0" collapsed="false">
      <c r="A8262" s="0" t="n">
        <v>8258</v>
      </c>
      <c r="B8262" s="0" t="n">
        <v>12</v>
      </c>
      <c r="C8262" s="19" t="n">
        <v>0</v>
      </c>
      <c r="D8262" s="19" t="n">
        <v>0.0087</v>
      </c>
      <c r="E8262" s="20" t="n">
        <f aca="false">Parametres!$B$5*C8262</f>
        <v>0</v>
      </c>
      <c r="F8262" s="20" t="n">
        <f aca="false">Parametres!$B$6*D8262</f>
        <v>1.74</v>
      </c>
      <c r="G8262" s="20" t="n">
        <f aca="false">E8262+F8262</f>
        <v>1.74</v>
      </c>
      <c r="H8262" s="20" t="n">
        <f aca="false">IF(G8262&lt;Parametres!$B$8*Parametres!$B$7,0,MIN(G8262,Parametres!$B$7))</f>
        <v>0</v>
      </c>
      <c r="I8262" s="20" t="n">
        <f aca="false">G8262-H8262</f>
        <v>1.74</v>
      </c>
      <c r="J8262" s="21" t="n">
        <f aca="false">H8262*1000/Parametres!$B$9</f>
        <v>0</v>
      </c>
    </row>
    <row r="8263" customFormat="false" ht="15" hidden="false" customHeight="false" outlineLevel="0" collapsed="false">
      <c r="A8263" s="0" t="n">
        <v>8259</v>
      </c>
      <c r="B8263" s="0" t="n">
        <v>12</v>
      </c>
      <c r="C8263" s="19" t="n">
        <v>0</v>
      </c>
      <c r="D8263" s="19" t="n">
        <v>0.0117</v>
      </c>
      <c r="E8263" s="20" t="n">
        <f aca="false">Parametres!$B$5*C8263</f>
        <v>0</v>
      </c>
      <c r="F8263" s="20" t="n">
        <f aca="false">Parametres!$B$6*D8263</f>
        <v>2.34</v>
      </c>
      <c r="G8263" s="20" t="n">
        <f aca="false">E8263+F8263</f>
        <v>2.34</v>
      </c>
      <c r="H8263" s="20" t="n">
        <f aca="false">IF(G8263&lt;Parametres!$B$8*Parametres!$B$7,0,MIN(G8263,Parametres!$B$7))</f>
        <v>0</v>
      </c>
      <c r="I8263" s="20" t="n">
        <f aca="false">G8263-H8263</f>
        <v>2.34</v>
      </c>
      <c r="J8263" s="21" t="n">
        <f aca="false">H8263*1000/Parametres!$B$9</f>
        <v>0</v>
      </c>
    </row>
    <row r="8264" customFormat="false" ht="15" hidden="false" customHeight="false" outlineLevel="0" collapsed="false">
      <c r="A8264" s="0" t="n">
        <v>8260</v>
      </c>
      <c r="B8264" s="0" t="n">
        <v>12</v>
      </c>
      <c r="C8264" s="19" t="n">
        <v>0</v>
      </c>
      <c r="D8264" s="19" t="n">
        <v>0.0192</v>
      </c>
      <c r="E8264" s="20" t="n">
        <f aca="false">Parametres!$B$5*C8264</f>
        <v>0</v>
      </c>
      <c r="F8264" s="20" t="n">
        <f aca="false">Parametres!$B$6*D8264</f>
        <v>3.84</v>
      </c>
      <c r="G8264" s="20" t="n">
        <f aca="false">E8264+F8264</f>
        <v>3.84</v>
      </c>
      <c r="H8264" s="20" t="n">
        <f aca="false">IF(G8264&lt;Parametres!$B$8*Parametres!$B$7,0,MIN(G8264,Parametres!$B$7))</f>
        <v>0</v>
      </c>
      <c r="I8264" s="20" t="n">
        <f aca="false">G8264-H8264</f>
        <v>3.84</v>
      </c>
      <c r="J8264" s="21" t="n">
        <f aca="false">H8264*1000/Parametres!$B$9</f>
        <v>0</v>
      </c>
    </row>
    <row r="8265" customFormat="false" ht="15" hidden="false" customHeight="false" outlineLevel="0" collapsed="false">
      <c r="A8265" s="0" t="n">
        <v>8261</v>
      </c>
      <c r="B8265" s="0" t="n">
        <v>12</v>
      </c>
      <c r="C8265" s="19" t="n">
        <v>0</v>
      </c>
      <c r="D8265" s="19" t="n">
        <v>0.0046</v>
      </c>
      <c r="E8265" s="20" t="n">
        <f aca="false">Parametres!$B$5*C8265</f>
        <v>0</v>
      </c>
      <c r="F8265" s="20" t="n">
        <f aca="false">Parametres!$B$6*D8265</f>
        <v>0.92</v>
      </c>
      <c r="G8265" s="20" t="n">
        <f aca="false">E8265+F8265</f>
        <v>0.92</v>
      </c>
      <c r="H8265" s="20" t="n">
        <f aca="false">IF(G8265&lt;Parametres!$B$8*Parametres!$B$7,0,MIN(G8265,Parametres!$B$7))</f>
        <v>0</v>
      </c>
      <c r="I8265" s="20" t="n">
        <f aca="false">G8265-H8265</f>
        <v>0.92</v>
      </c>
      <c r="J8265" s="21" t="n">
        <f aca="false">H8265*1000/Parametres!$B$9</f>
        <v>0</v>
      </c>
    </row>
    <row r="8266" customFormat="false" ht="15" hidden="false" customHeight="false" outlineLevel="0" collapsed="false">
      <c r="A8266" s="0" t="n">
        <v>8262</v>
      </c>
      <c r="B8266" s="0" t="n">
        <v>12</v>
      </c>
      <c r="C8266" s="19" t="n">
        <v>0</v>
      </c>
      <c r="D8266" s="19" t="n">
        <v>0.0066</v>
      </c>
      <c r="E8266" s="20" t="n">
        <f aca="false">Parametres!$B$5*C8266</f>
        <v>0</v>
      </c>
      <c r="F8266" s="20" t="n">
        <f aca="false">Parametres!$B$6*D8266</f>
        <v>1.32</v>
      </c>
      <c r="G8266" s="20" t="n">
        <f aca="false">E8266+F8266</f>
        <v>1.32</v>
      </c>
      <c r="H8266" s="20" t="n">
        <f aca="false">IF(G8266&lt;Parametres!$B$8*Parametres!$B$7,0,MIN(G8266,Parametres!$B$7))</f>
        <v>0</v>
      </c>
      <c r="I8266" s="20" t="n">
        <f aca="false">G8266-H8266</f>
        <v>1.32</v>
      </c>
      <c r="J8266" s="21" t="n">
        <f aca="false">H8266*1000/Parametres!$B$9</f>
        <v>0</v>
      </c>
    </row>
    <row r="8267" customFormat="false" ht="15" hidden="false" customHeight="false" outlineLevel="0" collapsed="false">
      <c r="A8267" s="0" t="n">
        <v>8263</v>
      </c>
      <c r="B8267" s="0" t="n">
        <v>12</v>
      </c>
      <c r="C8267" s="19" t="n">
        <v>0</v>
      </c>
      <c r="D8267" s="19" t="n">
        <v>0.0122</v>
      </c>
      <c r="E8267" s="20" t="n">
        <f aca="false">Parametres!$B$5*C8267</f>
        <v>0</v>
      </c>
      <c r="F8267" s="20" t="n">
        <f aca="false">Parametres!$B$6*D8267</f>
        <v>2.44</v>
      </c>
      <c r="G8267" s="20" t="n">
        <f aca="false">E8267+F8267</f>
        <v>2.44</v>
      </c>
      <c r="H8267" s="20" t="n">
        <f aca="false">IF(G8267&lt;Parametres!$B$8*Parametres!$B$7,0,MIN(G8267,Parametres!$B$7))</f>
        <v>0</v>
      </c>
      <c r="I8267" s="20" t="n">
        <f aca="false">G8267-H8267</f>
        <v>2.44</v>
      </c>
      <c r="J8267" s="21" t="n">
        <f aca="false">H8267*1000/Parametres!$B$9</f>
        <v>0</v>
      </c>
    </row>
    <row r="8268" customFormat="false" ht="15" hidden="false" customHeight="false" outlineLevel="0" collapsed="false">
      <c r="A8268" s="0" t="n">
        <v>8264</v>
      </c>
      <c r="B8268" s="0" t="n">
        <v>12</v>
      </c>
      <c r="C8268" s="19" t="n">
        <v>0.1199</v>
      </c>
      <c r="D8268" s="19" t="n">
        <v>0.0224</v>
      </c>
      <c r="E8268" s="20" t="n">
        <f aca="false">Parametres!$B$5*C8268</f>
        <v>35.97</v>
      </c>
      <c r="F8268" s="20" t="n">
        <f aca="false">Parametres!$B$6*D8268</f>
        <v>4.48</v>
      </c>
      <c r="G8268" s="20" t="n">
        <f aca="false">E8268+F8268</f>
        <v>40.45</v>
      </c>
      <c r="H8268" s="20" t="n">
        <f aca="false">IF(G8268&lt;Parametres!$B$8*Parametres!$B$7,0,MIN(G8268,Parametres!$B$7))</f>
        <v>40.45</v>
      </c>
      <c r="I8268" s="20" t="n">
        <f aca="false">G8268-H8268</f>
        <v>0</v>
      </c>
      <c r="J8268" s="21" t="n">
        <f aca="false">H8268*1000/Parametres!$B$9</f>
        <v>685.942004409022</v>
      </c>
    </row>
    <row r="8269" customFormat="false" ht="15" hidden="false" customHeight="false" outlineLevel="0" collapsed="false">
      <c r="A8269" s="0" t="n">
        <v>8265</v>
      </c>
      <c r="B8269" s="0" t="n">
        <v>12</v>
      </c>
      <c r="C8269" s="19" t="n">
        <v>0.3361</v>
      </c>
      <c r="D8269" s="19" t="n">
        <v>0.0125</v>
      </c>
      <c r="E8269" s="20" t="n">
        <f aca="false">Parametres!$B$5*C8269</f>
        <v>100.83</v>
      </c>
      <c r="F8269" s="20" t="n">
        <f aca="false">Parametres!$B$6*D8269</f>
        <v>2.5</v>
      </c>
      <c r="G8269" s="20" t="n">
        <f aca="false">E8269+F8269</f>
        <v>103.33</v>
      </c>
      <c r="H8269" s="20" t="n">
        <f aca="false">IF(G8269&lt;Parametres!$B$8*Parametres!$B$7,0,MIN(G8269,Parametres!$B$7))</f>
        <v>103.33</v>
      </c>
      <c r="I8269" s="20" t="n">
        <f aca="false">G8269-H8269</f>
        <v>0</v>
      </c>
      <c r="J8269" s="21" t="n">
        <f aca="false">H8269*1000/Parametres!$B$9</f>
        <v>1752.24690520604</v>
      </c>
    </row>
    <row r="8270" customFormat="false" ht="15" hidden="false" customHeight="false" outlineLevel="0" collapsed="false">
      <c r="A8270" s="0" t="n">
        <v>8266</v>
      </c>
      <c r="B8270" s="0" t="n">
        <v>12</v>
      </c>
      <c r="C8270" s="19" t="n">
        <v>0.5393</v>
      </c>
      <c r="D8270" s="19" t="n">
        <v>0.0096</v>
      </c>
      <c r="E8270" s="20" t="n">
        <f aca="false">Parametres!$B$5*C8270</f>
        <v>161.79</v>
      </c>
      <c r="F8270" s="20" t="n">
        <f aca="false">Parametres!$B$6*D8270</f>
        <v>1.92</v>
      </c>
      <c r="G8270" s="20" t="n">
        <f aca="false">E8270+F8270</f>
        <v>163.71</v>
      </c>
      <c r="H8270" s="20" t="n">
        <f aca="false">IF(G8270&lt;Parametres!$B$8*Parametres!$B$7,0,MIN(G8270,Parametres!$B$7))</f>
        <v>163.71</v>
      </c>
      <c r="I8270" s="20" t="n">
        <f aca="false">G8270-H8270</f>
        <v>0</v>
      </c>
      <c r="J8270" s="21" t="n">
        <f aca="false">H8270*1000/Parametres!$B$9</f>
        <v>2776.1573681533</v>
      </c>
    </row>
    <row r="8271" customFormat="false" ht="15" hidden="false" customHeight="false" outlineLevel="0" collapsed="false">
      <c r="A8271" s="0" t="n">
        <v>8267</v>
      </c>
      <c r="B8271" s="0" t="n">
        <v>12</v>
      </c>
      <c r="C8271" s="19" t="n">
        <v>0.6729</v>
      </c>
      <c r="D8271" s="19" t="n">
        <v>0.0061</v>
      </c>
      <c r="E8271" s="20" t="n">
        <f aca="false">Parametres!$B$5*C8271</f>
        <v>201.87</v>
      </c>
      <c r="F8271" s="20" t="n">
        <f aca="false">Parametres!$B$6*D8271</f>
        <v>1.22</v>
      </c>
      <c r="G8271" s="20" t="n">
        <f aca="false">E8271+F8271</f>
        <v>203.09</v>
      </c>
      <c r="H8271" s="20" t="n">
        <f aca="false">IF(G8271&lt;Parametres!$B$8*Parametres!$B$7,0,MIN(G8271,Parametres!$B$7))</f>
        <v>203.09</v>
      </c>
      <c r="I8271" s="20" t="n">
        <f aca="false">G8271-H8271</f>
        <v>0</v>
      </c>
      <c r="J8271" s="21" t="n">
        <f aca="false">H8271*1000/Parametres!$B$9</f>
        <v>3443.95455316263</v>
      </c>
    </row>
    <row r="8272" customFormat="false" ht="15" hidden="false" customHeight="false" outlineLevel="0" collapsed="false">
      <c r="A8272" s="0" t="n">
        <v>8268</v>
      </c>
      <c r="B8272" s="0" t="n">
        <v>12</v>
      </c>
      <c r="C8272" s="19" t="n">
        <v>0.7197</v>
      </c>
      <c r="D8272" s="19" t="n">
        <v>0.015</v>
      </c>
      <c r="E8272" s="20" t="n">
        <f aca="false">Parametres!$B$5*C8272</f>
        <v>215.91</v>
      </c>
      <c r="F8272" s="20" t="n">
        <f aca="false">Parametres!$B$6*D8272</f>
        <v>3</v>
      </c>
      <c r="G8272" s="20" t="n">
        <f aca="false">E8272+F8272</f>
        <v>218.91</v>
      </c>
      <c r="H8272" s="20" t="n">
        <f aca="false">IF(G8272&lt;Parametres!$B$8*Parametres!$B$7,0,MIN(G8272,Parametres!$B$7))</f>
        <v>218.91</v>
      </c>
      <c r="I8272" s="20" t="n">
        <f aca="false">G8272-H8272</f>
        <v>0</v>
      </c>
      <c r="J8272" s="21" t="n">
        <f aca="false">H8272*1000/Parametres!$B$9</f>
        <v>3712.22655587587</v>
      </c>
    </row>
    <row r="8273" customFormat="false" ht="15" hidden="false" customHeight="false" outlineLevel="0" collapsed="false">
      <c r="A8273" s="0" t="n">
        <v>8269</v>
      </c>
      <c r="B8273" s="0" t="n">
        <v>12</v>
      </c>
      <c r="C8273" s="19" t="n">
        <v>0.7915</v>
      </c>
      <c r="D8273" s="19" t="n">
        <v>0.0911</v>
      </c>
      <c r="E8273" s="20" t="n">
        <f aca="false">Parametres!$B$5*C8273</f>
        <v>237.45</v>
      </c>
      <c r="F8273" s="20" t="n">
        <f aca="false">Parametres!$B$6*D8273</f>
        <v>18.22</v>
      </c>
      <c r="G8273" s="20" t="n">
        <f aca="false">E8273+F8273</f>
        <v>255.67</v>
      </c>
      <c r="H8273" s="20" t="n">
        <f aca="false">IF(G8273&lt;Parametres!$B$8*Parametres!$B$7,0,MIN(G8273,Parametres!$B$7))</f>
        <v>250</v>
      </c>
      <c r="I8273" s="20" t="n">
        <f aca="false">G8273-H8273</f>
        <v>5.66999999999999</v>
      </c>
      <c r="J8273" s="21" t="n">
        <f aca="false">H8273*1000/Parametres!$B$9</f>
        <v>4239.44378497541</v>
      </c>
    </row>
    <row r="8274" customFormat="false" ht="15" hidden="false" customHeight="false" outlineLevel="0" collapsed="false">
      <c r="A8274" s="0" t="n">
        <v>8270</v>
      </c>
      <c r="B8274" s="0" t="n">
        <v>12</v>
      </c>
      <c r="C8274" s="19" t="n">
        <v>0.7153</v>
      </c>
      <c r="D8274" s="19" t="n">
        <v>0.1382</v>
      </c>
      <c r="E8274" s="20" t="n">
        <f aca="false">Parametres!$B$5*C8274</f>
        <v>214.59</v>
      </c>
      <c r="F8274" s="20" t="n">
        <f aca="false">Parametres!$B$6*D8274</f>
        <v>27.64</v>
      </c>
      <c r="G8274" s="20" t="n">
        <f aca="false">E8274+F8274</f>
        <v>242.23</v>
      </c>
      <c r="H8274" s="20" t="n">
        <f aca="false">IF(G8274&lt;Parametres!$B$8*Parametres!$B$7,0,MIN(G8274,Parametres!$B$7))</f>
        <v>242.23</v>
      </c>
      <c r="I8274" s="20" t="n">
        <f aca="false">G8274-H8274</f>
        <v>0</v>
      </c>
      <c r="J8274" s="21" t="n">
        <f aca="false">H8274*1000/Parametres!$B$9</f>
        <v>4107.68187213838</v>
      </c>
    </row>
    <row r="8275" customFormat="false" ht="15" hidden="false" customHeight="false" outlineLevel="0" collapsed="false">
      <c r="A8275" s="0" t="n">
        <v>8271</v>
      </c>
      <c r="B8275" s="0" t="n">
        <v>12</v>
      </c>
      <c r="C8275" s="19" t="n">
        <v>0.5227</v>
      </c>
      <c r="D8275" s="19" t="n">
        <v>0.2181</v>
      </c>
      <c r="E8275" s="20" t="n">
        <f aca="false">Parametres!$B$5*C8275</f>
        <v>156.81</v>
      </c>
      <c r="F8275" s="20" t="n">
        <f aca="false">Parametres!$B$6*D8275</f>
        <v>43.62</v>
      </c>
      <c r="G8275" s="20" t="n">
        <f aca="false">E8275+F8275</f>
        <v>200.43</v>
      </c>
      <c r="H8275" s="20" t="n">
        <f aca="false">IF(G8275&lt;Parametres!$B$8*Parametres!$B$7,0,MIN(G8275,Parametres!$B$7))</f>
        <v>200.43</v>
      </c>
      <c r="I8275" s="20" t="n">
        <f aca="false">G8275-H8275</f>
        <v>0</v>
      </c>
      <c r="J8275" s="21" t="n">
        <f aca="false">H8275*1000/Parametres!$B$9</f>
        <v>3398.84687129049</v>
      </c>
    </row>
    <row r="8276" customFormat="false" ht="15" hidden="false" customHeight="false" outlineLevel="0" collapsed="false">
      <c r="A8276" s="0" t="n">
        <v>8272</v>
      </c>
      <c r="B8276" s="0" t="n">
        <v>12</v>
      </c>
      <c r="C8276" s="19" t="n">
        <v>0.3188</v>
      </c>
      <c r="D8276" s="19" t="n">
        <v>0.1283</v>
      </c>
      <c r="E8276" s="20" t="n">
        <f aca="false">Parametres!$B$5*C8276</f>
        <v>95.64</v>
      </c>
      <c r="F8276" s="20" t="n">
        <f aca="false">Parametres!$B$6*D8276</f>
        <v>25.66</v>
      </c>
      <c r="G8276" s="20" t="n">
        <f aca="false">E8276+F8276</f>
        <v>121.3</v>
      </c>
      <c r="H8276" s="20" t="n">
        <f aca="false">IF(G8276&lt;Parametres!$B$8*Parametres!$B$7,0,MIN(G8276,Parametres!$B$7))</f>
        <v>121.3</v>
      </c>
      <c r="I8276" s="20" t="n">
        <f aca="false">G8276-H8276</f>
        <v>0</v>
      </c>
      <c r="J8276" s="21" t="n">
        <f aca="false">H8276*1000/Parametres!$B$9</f>
        <v>2056.97812447007</v>
      </c>
    </row>
    <row r="8277" customFormat="false" ht="15" hidden="false" customHeight="false" outlineLevel="0" collapsed="false">
      <c r="A8277" s="0" t="n">
        <v>8273</v>
      </c>
      <c r="B8277" s="0" t="n">
        <v>12</v>
      </c>
      <c r="C8277" s="19" t="n">
        <v>0.1315</v>
      </c>
      <c r="D8277" s="19" t="n">
        <v>0.096</v>
      </c>
      <c r="E8277" s="20" t="n">
        <f aca="false">Parametres!$B$5*C8277</f>
        <v>39.45</v>
      </c>
      <c r="F8277" s="20" t="n">
        <f aca="false">Parametres!$B$6*D8277</f>
        <v>19.2</v>
      </c>
      <c r="G8277" s="20" t="n">
        <f aca="false">E8277+F8277</f>
        <v>58.65</v>
      </c>
      <c r="H8277" s="20" t="n">
        <f aca="false">IF(G8277&lt;Parametres!$B$8*Parametres!$B$7,0,MIN(G8277,Parametres!$B$7))</f>
        <v>58.65</v>
      </c>
      <c r="I8277" s="20" t="n">
        <f aca="false">G8277-H8277</f>
        <v>0</v>
      </c>
      <c r="J8277" s="21" t="n">
        <f aca="false">H8277*1000/Parametres!$B$9</f>
        <v>994.573511955232</v>
      </c>
    </row>
    <row r="8278" customFormat="false" ht="15" hidden="false" customHeight="false" outlineLevel="0" collapsed="false">
      <c r="A8278" s="0" t="n">
        <v>8274</v>
      </c>
      <c r="B8278" s="0" t="n">
        <v>12</v>
      </c>
      <c r="C8278" s="19" t="n">
        <v>0</v>
      </c>
      <c r="D8278" s="19" t="n">
        <v>0.1287</v>
      </c>
      <c r="E8278" s="20" t="n">
        <f aca="false">Parametres!$B$5*C8278</f>
        <v>0</v>
      </c>
      <c r="F8278" s="20" t="n">
        <f aca="false">Parametres!$B$6*D8278</f>
        <v>25.74</v>
      </c>
      <c r="G8278" s="20" t="n">
        <f aca="false">E8278+F8278</f>
        <v>25.74</v>
      </c>
      <c r="H8278" s="20" t="n">
        <f aca="false">IF(G8278&lt;Parametres!$B$8*Parametres!$B$7,0,MIN(G8278,Parametres!$B$7))</f>
        <v>25.74</v>
      </c>
      <c r="I8278" s="20" t="n">
        <f aca="false">G8278-H8278</f>
        <v>0</v>
      </c>
      <c r="J8278" s="21" t="n">
        <f aca="false">H8278*1000/Parametres!$B$9</f>
        <v>436.493132101068</v>
      </c>
    </row>
    <row r="8279" customFormat="false" ht="15" hidden="false" customHeight="false" outlineLevel="0" collapsed="false">
      <c r="A8279" s="0" t="n">
        <v>8275</v>
      </c>
      <c r="B8279" s="0" t="n">
        <v>12</v>
      </c>
      <c r="C8279" s="19" t="n">
        <v>0</v>
      </c>
      <c r="D8279" s="19" t="n">
        <v>0.111</v>
      </c>
      <c r="E8279" s="20" t="n">
        <f aca="false">Parametres!$B$5*C8279</f>
        <v>0</v>
      </c>
      <c r="F8279" s="20" t="n">
        <f aca="false">Parametres!$B$6*D8279</f>
        <v>22.2</v>
      </c>
      <c r="G8279" s="20" t="n">
        <f aca="false">E8279+F8279</f>
        <v>22.2</v>
      </c>
      <c r="H8279" s="20" t="n">
        <f aca="false">IF(G8279&lt;Parametres!$B$8*Parametres!$B$7,0,MIN(G8279,Parametres!$B$7))</f>
        <v>0</v>
      </c>
      <c r="I8279" s="20" t="n">
        <f aca="false">G8279-H8279</f>
        <v>22.2</v>
      </c>
      <c r="J8279" s="21" t="n">
        <f aca="false">H8279*1000/Parametres!$B$9</f>
        <v>0</v>
      </c>
    </row>
    <row r="8280" customFormat="false" ht="15" hidden="false" customHeight="false" outlineLevel="0" collapsed="false">
      <c r="A8280" s="0" t="n">
        <v>8276</v>
      </c>
      <c r="B8280" s="0" t="n">
        <v>12</v>
      </c>
      <c r="C8280" s="19" t="n">
        <v>0</v>
      </c>
      <c r="D8280" s="19" t="n">
        <v>0.0783</v>
      </c>
      <c r="E8280" s="20" t="n">
        <f aca="false">Parametres!$B$5*C8280</f>
        <v>0</v>
      </c>
      <c r="F8280" s="20" t="n">
        <f aca="false">Parametres!$B$6*D8280</f>
        <v>15.66</v>
      </c>
      <c r="G8280" s="20" t="n">
        <f aca="false">E8280+F8280</f>
        <v>15.66</v>
      </c>
      <c r="H8280" s="20" t="n">
        <f aca="false">IF(G8280&lt;Parametres!$B$8*Parametres!$B$7,0,MIN(G8280,Parametres!$B$7))</f>
        <v>0</v>
      </c>
      <c r="I8280" s="20" t="n">
        <f aca="false">G8280-H8280</f>
        <v>15.66</v>
      </c>
      <c r="J8280" s="21" t="n">
        <f aca="false">H8280*1000/Parametres!$B$9</f>
        <v>0</v>
      </c>
    </row>
    <row r="8281" customFormat="false" ht="15" hidden="false" customHeight="false" outlineLevel="0" collapsed="false">
      <c r="A8281" s="0" t="n">
        <v>8277</v>
      </c>
      <c r="B8281" s="0" t="n">
        <v>12</v>
      </c>
      <c r="C8281" s="19" t="n">
        <v>0</v>
      </c>
      <c r="D8281" s="19" t="n">
        <v>0.0535</v>
      </c>
      <c r="E8281" s="20" t="n">
        <f aca="false">Parametres!$B$5*C8281</f>
        <v>0</v>
      </c>
      <c r="F8281" s="20" t="n">
        <f aca="false">Parametres!$B$6*D8281</f>
        <v>10.7</v>
      </c>
      <c r="G8281" s="20" t="n">
        <f aca="false">E8281+F8281</f>
        <v>10.7</v>
      </c>
      <c r="H8281" s="20" t="n">
        <f aca="false">IF(G8281&lt;Parametres!$B$8*Parametres!$B$7,0,MIN(G8281,Parametres!$B$7))</f>
        <v>0</v>
      </c>
      <c r="I8281" s="20" t="n">
        <f aca="false">G8281-H8281</f>
        <v>10.7</v>
      </c>
      <c r="J8281" s="21" t="n">
        <f aca="false">H8281*1000/Parametres!$B$9</f>
        <v>0</v>
      </c>
    </row>
    <row r="8282" customFormat="false" ht="15" hidden="false" customHeight="false" outlineLevel="0" collapsed="false">
      <c r="A8282" s="0" t="n">
        <v>8278</v>
      </c>
      <c r="B8282" s="0" t="n">
        <v>12</v>
      </c>
      <c r="C8282" s="19" t="n">
        <v>0</v>
      </c>
      <c r="D8282" s="19" t="n">
        <v>0.0422</v>
      </c>
      <c r="E8282" s="20" t="n">
        <f aca="false">Parametres!$B$5*C8282</f>
        <v>0</v>
      </c>
      <c r="F8282" s="20" t="n">
        <f aca="false">Parametres!$B$6*D8282</f>
        <v>8.44</v>
      </c>
      <c r="G8282" s="20" t="n">
        <f aca="false">E8282+F8282</f>
        <v>8.44</v>
      </c>
      <c r="H8282" s="20" t="n">
        <f aca="false">IF(G8282&lt;Parametres!$B$8*Parametres!$B$7,0,MIN(G8282,Parametres!$B$7))</f>
        <v>0</v>
      </c>
      <c r="I8282" s="20" t="n">
        <f aca="false">G8282-H8282</f>
        <v>8.44</v>
      </c>
      <c r="J8282" s="21" t="n">
        <f aca="false">H8282*1000/Parametres!$B$9</f>
        <v>0</v>
      </c>
    </row>
    <row r="8283" customFormat="false" ht="15" hidden="false" customHeight="false" outlineLevel="0" collapsed="false">
      <c r="A8283" s="0" t="n">
        <v>8279</v>
      </c>
      <c r="B8283" s="0" t="n">
        <v>12</v>
      </c>
      <c r="C8283" s="19" t="n">
        <v>0</v>
      </c>
      <c r="D8283" s="19" t="n">
        <v>0.0538</v>
      </c>
      <c r="E8283" s="20" t="n">
        <f aca="false">Parametres!$B$5*C8283</f>
        <v>0</v>
      </c>
      <c r="F8283" s="20" t="n">
        <f aca="false">Parametres!$B$6*D8283</f>
        <v>10.76</v>
      </c>
      <c r="G8283" s="20" t="n">
        <f aca="false">E8283+F8283</f>
        <v>10.76</v>
      </c>
      <c r="H8283" s="20" t="n">
        <f aca="false">IF(G8283&lt;Parametres!$B$8*Parametres!$B$7,0,MIN(G8283,Parametres!$B$7))</f>
        <v>0</v>
      </c>
      <c r="I8283" s="20" t="n">
        <f aca="false">G8283-H8283</f>
        <v>10.76</v>
      </c>
      <c r="J8283" s="21" t="n">
        <f aca="false">H8283*1000/Parametres!$B$9</f>
        <v>0</v>
      </c>
    </row>
    <row r="8284" customFormat="false" ht="15" hidden="false" customHeight="false" outlineLevel="0" collapsed="false">
      <c r="A8284" s="0" t="n">
        <v>8280</v>
      </c>
      <c r="B8284" s="0" t="n">
        <v>12</v>
      </c>
      <c r="C8284" s="19" t="n">
        <v>0</v>
      </c>
      <c r="D8284" s="19" t="n">
        <v>0.0591</v>
      </c>
      <c r="E8284" s="20" t="n">
        <f aca="false">Parametres!$B$5*C8284</f>
        <v>0</v>
      </c>
      <c r="F8284" s="20" t="n">
        <f aca="false">Parametres!$B$6*D8284</f>
        <v>11.82</v>
      </c>
      <c r="G8284" s="20" t="n">
        <f aca="false">E8284+F8284</f>
        <v>11.82</v>
      </c>
      <c r="H8284" s="20" t="n">
        <f aca="false">IF(G8284&lt;Parametres!$B$8*Parametres!$B$7,0,MIN(G8284,Parametres!$B$7))</f>
        <v>0</v>
      </c>
      <c r="I8284" s="20" t="n">
        <f aca="false">G8284-H8284</f>
        <v>11.82</v>
      </c>
      <c r="J8284" s="21" t="n">
        <f aca="false">H8284*1000/Parametres!$B$9</f>
        <v>0</v>
      </c>
    </row>
    <row r="8285" customFormat="false" ht="15" hidden="false" customHeight="false" outlineLevel="0" collapsed="false">
      <c r="A8285" s="0" t="n">
        <v>8281</v>
      </c>
      <c r="B8285" s="0" t="n">
        <v>12</v>
      </c>
      <c r="C8285" s="19" t="n">
        <v>0</v>
      </c>
      <c r="D8285" s="19" t="n">
        <v>0.086</v>
      </c>
      <c r="E8285" s="20" t="n">
        <f aca="false">Parametres!$B$5*C8285</f>
        <v>0</v>
      </c>
      <c r="F8285" s="20" t="n">
        <f aca="false">Parametres!$B$6*D8285</f>
        <v>17.2</v>
      </c>
      <c r="G8285" s="20" t="n">
        <f aca="false">E8285+F8285</f>
        <v>17.2</v>
      </c>
      <c r="H8285" s="20" t="n">
        <f aca="false">IF(G8285&lt;Parametres!$B$8*Parametres!$B$7,0,MIN(G8285,Parametres!$B$7))</f>
        <v>0</v>
      </c>
      <c r="I8285" s="20" t="n">
        <f aca="false">G8285-H8285</f>
        <v>17.2</v>
      </c>
      <c r="J8285" s="21" t="n">
        <f aca="false">H8285*1000/Parametres!$B$9</f>
        <v>0</v>
      </c>
    </row>
    <row r="8286" customFormat="false" ht="15" hidden="false" customHeight="false" outlineLevel="0" collapsed="false">
      <c r="A8286" s="0" t="n">
        <v>8282</v>
      </c>
      <c r="B8286" s="0" t="n">
        <v>12</v>
      </c>
      <c r="C8286" s="19" t="n">
        <v>0</v>
      </c>
      <c r="D8286" s="19" t="n">
        <v>0.0769</v>
      </c>
      <c r="E8286" s="20" t="n">
        <f aca="false">Parametres!$B$5*C8286</f>
        <v>0</v>
      </c>
      <c r="F8286" s="20" t="n">
        <f aca="false">Parametres!$B$6*D8286</f>
        <v>15.38</v>
      </c>
      <c r="G8286" s="20" t="n">
        <f aca="false">E8286+F8286</f>
        <v>15.38</v>
      </c>
      <c r="H8286" s="20" t="n">
        <f aca="false">IF(G8286&lt;Parametres!$B$8*Parametres!$B$7,0,MIN(G8286,Parametres!$B$7))</f>
        <v>0</v>
      </c>
      <c r="I8286" s="20" t="n">
        <f aca="false">G8286-H8286</f>
        <v>15.38</v>
      </c>
      <c r="J8286" s="21" t="n">
        <f aca="false">H8286*1000/Parametres!$B$9</f>
        <v>0</v>
      </c>
    </row>
    <row r="8287" customFormat="false" ht="15" hidden="false" customHeight="false" outlineLevel="0" collapsed="false">
      <c r="A8287" s="0" t="n">
        <v>8283</v>
      </c>
      <c r="B8287" s="0" t="n">
        <v>12</v>
      </c>
      <c r="C8287" s="19" t="n">
        <v>0</v>
      </c>
      <c r="D8287" s="19" t="n">
        <v>0.1495</v>
      </c>
      <c r="E8287" s="20" t="n">
        <f aca="false">Parametres!$B$5*C8287</f>
        <v>0</v>
      </c>
      <c r="F8287" s="20" t="n">
        <f aca="false">Parametres!$B$6*D8287</f>
        <v>29.9</v>
      </c>
      <c r="G8287" s="20" t="n">
        <f aca="false">E8287+F8287</f>
        <v>29.9</v>
      </c>
      <c r="H8287" s="20" t="n">
        <f aca="false">IF(G8287&lt;Parametres!$B$8*Parametres!$B$7,0,MIN(G8287,Parametres!$B$7))</f>
        <v>29.9</v>
      </c>
      <c r="I8287" s="20" t="n">
        <f aca="false">G8287-H8287</f>
        <v>0</v>
      </c>
      <c r="J8287" s="21" t="n">
        <f aca="false">H8287*1000/Parametres!$B$9</f>
        <v>507.037476683059</v>
      </c>
    </row>
    <row r="8288" customFormat="false" ht="15" hidden="false" customHeight="false" outlineLevel="0" collapsed="false">
      <c r="A8288" s="0" t="n">
        <v>8284</v>
      </c>
      <c r="B8288" s="0" t="n">
        <v>12</v>
      </c>
      <c r="C8288" s="19" t="n">
        <v>0</v>
      </c>
      <c r="D8288" s="19" t="n">
        <v>0.035</v>
      </c>
      <c r="E8288" s="20" t="n">
        <f aca="false">Parametres!$B$5*C8288</f>
        <v>0</v>
      </c>
      <c r="F8288" s="20" t="n">
        <f aca="false">Parametres!$B$6*D8288</f>
        <v>7</v>
      </c>
      <c r="G8288" s="20" t="n">
        <f aca="false">E8288+F8288</f>
        <v>7</v>
      </c>
      <c r="H8288" s="20" t="n">
        <f aca="false">IF(G8288&lt;Parametres!$B$8*Parametres!$B$7,0,MIN(G8288,Parametres!$B$7))</f>
        <v>0</v>
      </c>
      <c r="I8288" s="20" t="n">
        <f aca="false">G8288-H8288</f>
        <v>7</v>
      </c>
      <c r="J8288" s="21" t="n">
        <f aca="false">H8288*1000/Parametres!$B$9</f>
        <v>0</v>
      </c>
    </row>
    <row r="8289" customFormat="false" ht="15" hidden="false" customHeight="false" outlineLevel="0" collapsed="false">
      <c r="A8289" s="0" t="n">
        <v>8285</v>
      </c>
      <c r="B8289" s="0" t="n">
        <v>12</v>
      </c>
      <c r="C8289" s="19" t="n">
        <v>0</v>
      </c>
      <c r="D8289" s="19" t="n">
        <v>0.029</v>
      </c>
      <c r="E8289" s="20" t="n">
        <f aca="false">Parametres!$B$5*C8289</f>
        <v>0</v>
      </c>
      <c r="F8289" s="20" t="n">
        <f aca="false">Parametres!$B$6*D8289</f>
        <v>5.8</v>
      </c>
      <c r="G8289" s="20" t="n">
        <f aca="false">E8289+F8289</f>
        <v>5.8</v>
      </c>
      <c r="H8289" s="20" t="n">
        <f aca="false">IF(G8289&lt;Parametres!$B$8*Parametres!$B$7,0,MIN(G8289,Parametres!$B$7))</f>
        <v>0</v>
      </c>
      <c r="I8289" s="20" t="n">
        <f aca="false">G8289-H8289</f>
        <v>5.8</v>
      </c>
      <c r="J8289" s="21" t="n">
        <f aca="false">H8289*1000/Parametres!$B$9</f>
        <v>0</v>
      </c>
    </row>
    <row r="8290" customFormat="false" ht="15" hidden="false" customHeight="false" outlineLevel="0" collapsed="false">
      <c r="A8290" s="0" t="n">
        <v>8286</v>
      </c>
      <c r="B8290" s="0" t="n">
        <v>12</v>
      </c>
      <c r="C8290" s="19" t="n">
        <v>0</v>
      </c>
      <c r="D8290" s="19" t="n">
        <v>0.077</v>
      </c>
      <c r="E8290" s="20" t="n">
        <f aca="false">Parametres!$B$5*C8290</f>
        <v>0</v>
      </c>
      <c r="F8290" s="20" t="n">
        <f aca="false">Parametres!$B$6*D8290</f>
        <v>15.4</v>
      </c>
      <c r="G8290" s="20" t="n">
        <f aca="false">E8290+F8290</f>
        <v>15.4</v>
      </c>
      <c r="H8290" s="20" t="n">
        <f aca="false">IF(G8290&lt;Parametres!$B$8*Parametres!$B$7,0,MIN(G8290,Parametres!$B$7))</f>
        <v>0</v>
      </c>
      <c r="I8290" s="20" t="n">
        <f aca="false">G8290-H8290</f>
        <v>15.4</v>
      </c>
      <c r="J8290" s="21" t="n">
        <f aca="false">H8290*1000/Parametres!$B$9</f>
        <v>0</v>
      </c>
    </row>
    <row r="8291" customFormat="false" ht="15" hidden="false" customHeight="false" outlineLevel="0" collapsed="false">
      <c r="A8291" s="0" t="n">
        <v>8287</v>
      </c>
      <c r="B8291" s="0" t="n">
        <v>12</v>
      </c>
      <c r="C8291" s="19" t="n">
        <v>0</v>
      </c>
      <c r="D8291" s="19" t="n">
        <v>0.07</v>
      </c>
      <c r="E8291" s="20" t="n">
        <f aca="false">Parametres!$B$5*C8291</f>
        <v>0</v>
      </c>
      <c r="F8291" s="20" t="n">
        <f aca="false">Parametres!$B$6*D8291</f>
        <v>14</v>
      </c>
      <c r="G8291" s="20" t="n">
        <f aca="false">E8291+F8291</f>
        <v>14</v>
      </c>
      <c r="H8291" s="20" t="n">
        <f aca="false">IF(G8291&lt;Parametres!$B$8*Parametres!$B$7,0,MIN(G8291,Parametres!$B$7))</f>
        <v>0</v>
      </c>
      <c r="I8291" s="20" t="n">
        <f aca="false">G8291-H8291</f>
        <v>14</v>
      </c>
      <c r="J8291" s="21" t="n">
        <f aca="false">H8291*1000/Parametres!$B$9</f>
        <v>0</v>
      </c>
    </row>
    <row r="8292" customFormat="false" ht="15" hidden="false" customHeight="false" outlineLevel="0" collapsed="false">
      <c r="A8292" s="0" t="n">
        <v>8288</v>
      </c>
      <c r="B8292" s="0" t="n">
        <v>12</v>
      </c>
      <c r="C8292" s="19" t="n">
        <v>0.1279</v>
      </c>
      <c r="D8292" s="19" t="n">
        <v>0.0452</v>
      </c>
      <c r="E8292" s="20" t="n">
        <f aca="false">Parametres!$B$5*C8292</f>
        <v>38.37</v>
      </c>
      <c r="F8292" s="20" t="n">
        <f aca="false">Parametres!$B$6*D8292</f>
        <v>9.04</v>
      </c>
      <c r="G8292" s="20" t="n">
        <f aca="false">E8292+F8292</f>
        <v>47.41</v>
      </c>
      <c r="H8292" s="20" t="n">
        <f aca="false">IF(G8292&lt;Parametres!$B$8*Parametres!$B$7,0,MIN(G8292,Parametres!$B$7))</f>
        <v>47.41</v>
      </c>
      <c r="I8292" s="20" t="n">
        <f aca="false">G8292-H8292</f>
        <v>0</v>
      </c>
      <c r="J8292" s="21" t="n">
        <f aca="false">H8292*1000/Parametres!$B$9</f>
        <v>803.968119382737</v>
      </c>
    </row>
    <row r="8293" customFormat="false" ht="15" hidden="false" customHeight="false" outlineLevel="0" collapsed="false">
      <c r="A8293" s="0" t="n">
        <v>8289</v>
      </c>
      <c r="B8293" s="0" t="n">
        <v>12</v>
      </c>
      <c r="C8293" s="19" t="n">
        <v>0.3521</v>
      </c>
      <c r="D8293" s="19" t="n">
        <v>0.0332</v>
      </c>
      <c r="E8293" s="20" t="n">
        <f aca="false">Parametres!$B$5*C8293</f>
        <v>105.63</v>
      </c>
      <c r="F8293" s="20" t="n">
        <f aca="false">Parametres!$B$6*D8293</f>
        <v>6.64</v>
      </c>
      <c r="G8293" s="20" t="n">
        <f aca="false">E8293+F8293</f>
        <v>112.27</v>
      </c>
      <c r="H8293" s="20" t="n">
        <f aca="false">IF(G8293&lt;Parametres!$B$8*Parametres!$B$7,0,MIN(G8293,Parametres!$B$7))</f>
        <v>112.27</v>
      </c>
      <c r="I8293" s="20" t="n">
        <f aca="false">G8293-H8293</f>
        <v>0</v>
      </c>
      <c r="J8293" s="21" t="n">
        <f aca="false">H8293*1000/Parametres!$B$9</f>
        <v>1903.84941495676</v>
      </c>
    </row>
    <row r="8294" customFormat="false" ht="15" hidden="false" customHeight="false" outlineLevel="0" collapsed="false">
      <c r="A8294" s="0" t="n">
        <v>8290</v>
      </c>
      <c r="B8294" s="0" t="n">
        <v>12</v>
      </c>
      <c r="C8294" s="19" t="n">
        <v>0.5702</v>
      </c>
      <c r="D8294" s="19" t="n">
        <v>0.0437</v>
      </c>
      <c r="E8294" s="20" t="n">
        <f aca="false">Parametres!$B$5*C8294</f>
        <v>171.06</v>
      </c>
      <c r="F8294" s="20" t="n">
        <f aca="false">Parametres!$B$6*D8294</f>
        <v>8.74</v>
      </c>
      <c r="G8294" s="20" t="n">
        <f aca="false">E8294+F8294</f>
        <v>179.8</v>
      </c>
      <c r="H8294" s="20" t="n">
        <f aca="false">IF(G8294&lt;Parametres!$B$8*Parametres!$B$7,0,MIN(G8294,Parametres!$B$7))</f>
        <v>179.8</v>
      </c>
      <c r="I8294" s="20" t="n">
        <f aca="false">G8294-H8294</f>
        <v>0</v>
      </c>
      <c r="J8294" s="21" t="n">
        <f aca="false">H8294*1000/Parametres!$B$9</f>
        <v>3049.00797015432</v>
      </c>
    </row>
    <row r="8295" customFormat="false" ht="15" hidden="false" customHeight="false" outlineLevel="0" collapsed="false">
      <c r="A8295" s="0" t="n">
        <v>8291</v>
      </c>
      <c r="B8295" s="0" t="n">
        <v>12</v>
      </c>
      <c r="C8295" s="19" t="n">
        <v>0.702</v>
      </c>
      <c r="D8295" s="19" t="n">
        <v>0.0788</v>
      </c>
      <c r="E8295" s="20" t="n">
        <f aca="false">Parametres!$B$5*C8295</f>
        <v>210.6</v>
      </c>
      <c r="F8295" s="20" t="n">
        <f aca="false">Parametres!$B$6*D8295</f>
        <v>15.76</v>
      </c>
      <c r="G8295" s="20" t="n">
        <f aca="false">E8295+F8295</f>
        <v>226.36</v>
      </c>
      <c r="H8295" s="20" t="n">
        <f aca="false">IF(G8295&lt;Parametres!$B$8*Parametres!$B$7,0,MIN(G8295,Parametres!$B$7))</f>
        <v>226.36</v>
      </c>
      <c r="I8295" s="20" t="n">
        <f aca="false">G8295-H8295</f>
        <v>0</v>
      </c>
      <c r="J8295" s="21" t="n">
        <f aca="false">H8295*1000/Parametres!$B$9</f>
        <v>3838.56198066814</v>
      </c>
    </row>
    <row r="8296" customFormat="false" ht="15" hidden="false" customHeight="false" outlineLevel="0" collapsed="false">
      <c r="A8296" s="0" t="n">
        <v>8292</v>
      </c>
      <c r="B8296" s="0" t="n">
        <v>12</v>
      </c>
      <c r="C8296" s="19" t="n">
        <v>0.7809</v>
      </c>
      <c r="D8296" s="19" t="n">
        <v>0.0572</v>
      </c>
      <c r="E8296" s="20" t="n">
        <f aca="false">Parametres!$B$5*C8296</f>
        <v>234.27</v>
      </c>
      <c r="F8296" s="20" t="n">
        <f aca="false">Parametres!$B$6*D8296</f>
        <v>11.44</v>
      </c>
      <c r="G8296" s="20" t="n">
        <f aca="false">E8296+F8296</f>
        <v>245.71</v>
      </c>
      <c r="H8296" s="20" t="n">
        <f aca="false">IF(G8296&lt;Parametres!$B$8*Parametres!$B$7,0,MIN(G8296,Parametres!$B$7))</f>
        <v>245.71</v>
      </c>
      <c r="I8296" s="20" t="n">
        <f aca="false">G8296-H8296</f>
        <v>0</v>
      </c>
      <c r="J8296" s="21" t="n">
        <f aca="false">H8296*1000/Parametres!$B$9</f>
        <v>4166.69492962523</v>
      </c>
    </row>
    <row r="8297" customFormat="false" ht="15" hidden="false" customHeight="false" outlineLevel="0" collapsed="false">
      <c r="A8297" s="0" t="n">
        <v>8293</v>
      </c>
      <c r="B8297" s="0" t="n">
        <v>12</v>
      </c>
      <c r="C8297" s="19" t="n">
        <v>0.7826</v>
      </c>
      <c r="D8297" s="19" t="n">
        <v>0.0838</v>
      </c>
      <c r="E8297" s="20" t="n">
        <f aca="false">Parametres!$B$5*C8297</f>
        <v>234.78</v>
      </c>
      <c r="F8297" s="20" t="n">
        <f aca="false">Parametres!$B$6*D8297</f>
        <v>16.76</v>
      </c>
      <c r="G8297" s="20" t="n">
        <f aca="false">E8297+F8297</f>
        <v>251.54</v>
      </c>
      <c r="H8297" s="20" t="n">
        <f aca="false">IF(G8297&lt;Parametres!$B$8*Parametres!$B$7,0,MIN(G8297,Parametres!$B$7))</f>
        <v>250</v>
      </c>
      <c r="I8297" s="20" t="n">
        <f aca="false">G8297-H8297</f>
        <v>1.53999999999999</v>
      </c>
      <c r="J8297" s="21" t="n">
        <f aca="false">H8297*1000/Parametres!$B$9</f>
        <v>4239.44378497541</v>
      </c>
    </row>
    <row r="8298" customFormat="false" ht="15" hidden="false" customHeight="false" outlineLevel="0" collapsed="false">
      <c r="A8298" s="0" t="n">
        <v>8294</v>
      </c>
      <c r="B8298" s="0" t="n">
        <v>12</v>
      </c>
      <c r="C8298" s="19" t="n">
        <v>0.6639</v>
      </c>
      <c r="D8298" s="19" t="n">
        <v>0.0515</v>
      </c>
      <c r="E8298" s="20" t="n">
        <f aca="false">Parametres!$B$5*C8298</f>
        <v>199.17</v>
      </c>
      <c r="F8298" s="20" t="n">
        <f aca="false">Parametres!$B$6*D8298</f>
        <v>10.3</v>
      </c>
      <c r="G8298" s="20" t="n">
        <f aca="false">E8298+F8298</f>
        <v>209.47</v>
      </c>
      <c r="H8298" s="20" t="n">
        <f aca="false">IF(G8298&lt;Parametres!$B$8*Parametres!$B$7,0,MIN(G8298,Parametres!$B$7))</f>
        <v>209.47</v>
      </c>
      <c r="I8298" s="20" t="n">
        <f aca="false">G8298-H8298</f>
        <v>0</v>
      </c>
      <c r="J8298" s="21" t="n">
        <f aca="false">H8298*1000/Parametres!$B$9</f>
        <v>3552.1451585552</v>
      </c>
    </row>
    <row r="8299" customFormat="false" ht="15" hidden="false" customHeight="false" outlineLevel="0" collapsed="false">
      <c r="A8299" s="0" t="n">
        <v>8295</v>
      </c>
      <c r="B8299" s="0" t="n">
        <v>12</v>
      </c>
      <c r="C8299" s="19" t="n">
        <v>0.543</v>
      </c>
      <c r="D8299" s="19" t="n">
        <v>0.0619</v>
      </c>
      <c r="E8299" s="20" t="n">
        <f aca="false">Parametres!$B$5*C8299</f>
        <v>162.9</v>
      </c>
      <c r="F8299" s="20" t="n">
        <f aca="false">Parametres!$B$6*D8299</f>
        <v>12.38</v>
      </c>
      <c r="G8299" s="20" t="n">
        <f aca="false">E8299+F8299</f>
        <v>175.28</v>
      </c>
      <c r="H8299" s="20" t="n">
        <f aca="false">IF(G8299&lt;Parametres!$B$8*Parametres!$B$7,0,MIN(G8299,Parametres!$B$7))</f>
        <v>175.28</v>
      </c>
      <c r="I8299" s="20" t="n">
        <f aca="false">G8299-H8299</f>
        <v>0</v>
      </c>
      <c r="J8299" s="21" t="n">
        <f aca="false">H8299*1000/Parametres!$B$9</f>
        <v>2972.35882652196</v>
      </c>
    </row>
    <row r="8300" customFormat="false" ht="15" hidden="false" customHeight="false" outlineLevel="0" collapsed="false">
      <c r="A8300" s="0" t="n">
        <v>8296</v>
      </c>
      <c r="B8300" s="0" t="n">
        <v>12</v>
      </c>
      <c r="C8300" s="19" t="n">
        <v>0.3382</v>
      </c>
      <c r="D8300" s="19" t="n">
        <v>0.0568</v>
      </c>
      <c r="E8300" s="20" t="n">
        <f aca="false">Parametres!$B$5*C8300</f>
        <v>101.46</v>
      </c>
      <c r="F8300" s="20" t="n">
        <f aca="false">Parametres!$B$6*D8300</f>
        <v>11.36</v>
      </c>
      <c r="G8300" s="20" t="n">
        <f aca="false">E8300+F8300</f>
        <v>112.82</v>
      </c>
      <c r="H8300" s="20" t="n">
        <f aca="false">IF(G8300&lt;Parametres!$B$8*Parametres!$B$7,0,MIN(G8300,Parametres!$B$7))</f>
        <v>112.82</v>
      </c>
      <c r="I8300" s="20" t="n">
        <f aca="false">G8300-H8300</f>
        <v>0</v>
      </c>
      <c r="J8300" s="21" t="n">
        <f aca="false">H8300*1000/Parametres!$B$9</f>
        <v>1913.1761912837</v>
      </c>
    </row>
    <row r="8301" customFormat="false" ht="15" hidden="false" customHeight="false" outlineLevel="0" collapsed="false">
      <c r="A8301" s="0" t="n">
        <v>8297</v>
      </c>
      <c r="B8301" s="0" t="n">
        <v>12</v>
      </c>
      <c r="C8301" s="19" t="n">
        <v>0.1297</v>
      </c>
      <c r="D8301" s="19" t="n">
        <v>0.0903</v>
      </c>
      <c r="E8301" s="20" t="n">
        <f aca="false">Parametres!$B$5*C8301</f>
        <v>38.91</v>
      </c>
      <c r="F8301" s="20" t="n">
        <f aca="false">Parametres!$B$6*D8301</f>
        <v>18.06</v>
      </c>
      <c r="G8301" s="20" t="n">
        <f aca="false">E8301+F8301</f>
        <v>56.97</v>
      </c>
      <c r="H8301" s="20" t="n">
        <f aca="false">IF(G8301&lt;Parametres!$B$8*Parametres!$B$7,0,MIN(G8301,Parametres!$B$7))</f>
        <v>56.97</v>
      </c>
      <c r="I8301" s="20" t="n">
        <f aca="false">G8301-H8301</f>
        <v>0</v>
      </c>
      <c r="J8301" s="21" t="n">
        <f aca="false">H8301*1000/Parametres!$B$9</f>
        <v>966.084449720197</v>
      </c>
    </row>
    <row r="8302" customFormat="false" ht="15" hidden="false" customHeight="false" outlineLevel="0" collapsed="false">
      <c r="A8302" s="0" t="n">
        <v>8298</v>
      </c>
      <c r="B8302" s="0" t="n">
        <v>12</v>
      </c>
      <c r="C8302" s="19" t="n">
        <v>0</v>
      </c>
      <c r="D8302" s="19" t="n">
        <v>0.1114</v>
      </c>
      <c r="E8302" s="20" t="n">
        <f aca="false">Parametres!$B$5*C8302</f>
        <v>0</v>
      </c>
      <c r="F8302" s="20" t="n">
        <f aca="false">Parametres!$B$6*D8302</f>
        <v>22.28</v>
      </c>
      <c r="G8302" s="20" t="n">
        <f aca="false">E8302+F8302</f>
        <v>22.28</v>
      </c>
      <c r="H8302" s="20" t="n">
        <f aca="false">IF(G8302&lt;Parametres!$B$8*Parametres!$B$7,0,MIN(G8302,Parametres!$B$7))</f>
        <v>0</v>
      </c>
      <c r="I8302" s="20" t="n">
        <f aca="false">G8302-H8302</f>
        <v>22.28</v>
      </c>
      <c r="J8302" s="21" t="n">
        <f aca="false">H8302*1000/Parametres!$B$9</f>
        <v>0</v>
      </c>
    </row>
    <row r="8303" customFormat="false" ht="15" hidden="false" customHeight="false" outlineLevel="0" collapsed="false">
      <c r="A8303" s="0" t="n">
        <v>8299</v>
      </c>
      <c r="B8303" s="0" t="n">
        <v>12</v>
      </c>
      <c r="C8303" s="19" t="n">
        <v>0</v>
      </c>
      <c r="D8303" s="19" t="n">
        <v>0.1898</v>
      </c>
      <c r="E8303" s="20" t="n">
        <f aca="false">Parametres!$B$5*C8303</f>
        <v>0</v>
      </c>
      <c r="F8303" s="20" t="n">
        <f aca="false">Parametres!$B$6*D8303</f>
        <v>37.96</v>
      </c>
      <c r="G8303" s="20" t="n">
        <f aca="false">E8303+F8303</f>
        <v>37.96</v>
      </c>
      <c r="H8303" s="20" t="n">
        <f aca="false">IF(G8303&lt;Parametres!$B$8*Parametres!$B$7,0,MIN(G8303,Parametres!$B$7))</f>
        <v>37.96</v>
      </c>
      <c r="I8303" s="20" t="n">
        <f aca="false">G8303-H8303</f>
        <v>0</v>
      </c>
      <c r="J8303" s="21" t="n">
        <f aca="false">H8303*1000/Parametres!$B$9</f>
        <v>643.717144310666</v>
      </c>
    </row>
    <row r="8304" customFormat="false" ht="15" hidden="false" customHeight="false" outlineLevel="0" collapsed="false">
      <c r="A8304" s="0" t="n">
        <v>8300</v>
      </c>
      <c r="B8304" s="0" t="n">
        <v>12</v>
      </c>
      <c r="C8304" s="19" t="n">
        <v>0</v>
      </c>
      <c r="D8304" s="19" t="n">
        <v>0.1244</v>
      </c>
      <c r="E8304" s="20" t="n">
        <f aca="false">Parametres!$B$5*C8304</f>
        <v>0</v>
      </c>
      <c r="F8304" s="20" t="n">
        <f aca="false">Parametres!$B$6*D8304</f>
        <v>24.88</v>
      </c>
      <c r="G8304" s="20" t="n">
        <f aca="false">E8304+F8304</f>
        <v>24.88</v>
      </c>
      <c r="H8304" s="20" t="n">
        <f aca="false">IF(G8304&lt;Parametres!$B$8*Parametres!$B$7,0,MIN(G8304,Parametres!$B$7))</f>
        <v>0</v>
      </c>
      <c r="I8304" s="20" t="n">
        <f aca="false">G8304-H8304</f>
        <v>24.88</v>
      </c>
      <c r="J8304" s="21" t="n">
        <f aca="false">H8304*1000/Parametres!$B$9</f>
        <v>0</v>
      </c>
    </row>
    <row r="8305" customFormat="false" ht="15" hidden="false" customHeight="false" outlineLevel="0" collapsed="false">
      <c r="A8305" s="0" t="n">
        <v>8301</v>
      </c>
      <c r="B8305" s="0" t="n">
        <v>12</v>
      </c>
      <c r="C8305" s="19" t="n">
        <v>0</v>
      </c>
      <c r="D8305" s="19" t="n">
        <v>0.0083</v>
      </c>
      <c r="E8305" s="20" t="n">
        <f aca="false">Parametres!$B$5*C8305</f>
        <v>0</v>
      </c>
      <c r="F8305" s="20" t="n">
        <f aca="false">Parametres!$B$6*D8305</f>
        <v>1.66</v>
      </c>
      <c r="G8305" s="20" t="n">
        <f aca="false">E8305+F8305</f>
        <v>1.66</v>
      </c>
      <c r="H8305" s="20" t="n">
        <f aca="false">IF(G8305&lt;Parametres!$B$8*Parametres!$B$7,0,MIN(G8305,Parametres!$B$7))</f>
        <v>0</v>
      </c>
      <c r="I8305" s="20" t="n">
        <f aca="false">G8305-H8305</f>
        <v>1.66</v>
      </c>
      <c r="J8305" s="21" t="n">
        <f aca="false">H8305*1000/Parametres!$B$9</f>
        <v>0</v>
      </c>
    </row>
    <row r="8306" customFormat="false" ht="15" hidden="false" customHeight="false" outlineLevel="0" collapsed="false">
      <c r="A8306" s="0" t="n">
        <v>8302</v>
      </c>
      <c r="B8306" s="0" t="n">
        <v>12</v>
      </c>
      <c r="C8306" s="19" t="n">
        <v>0</v>
      </c>
      <c r="D8306" s="19" t="n">
        <v>0.014</v>
      </c>
      <c r="E8306" s="20" t="n">
        <f aca="false">Parametres!$B$5*C8306</f>
        <v>0</v>
      </c>
      <c r="F8306" s="20" t="n">
        <f aca="false">Parametres!$B$6*D8306</f>
        <v>2.8</v>
      </c>
      <c r="G8306" s="20" t="n">
        <f aca="false">E8306+F8306</f>
        <v>2.8</v>
      </c>
      <c r="H8306" s="20" t="n">
        <f aca="false">IF(G8306&lt;Parametres!$B$8*Parametres!$B$7,0,MIN(G8306,Parametres!$B$7))</f>
        <v>0</v>
      </c>
      <c r="I8306" s="20" t="n">
        <f aca="false">G8306-H8306</f>
        <v>2.8</v>
      </c>
      <c r="J8306" s="21" t="n">
        <f aca="false">H8306*1000/Parametres!$B$9</f>
        <v>0</v>
      </c>
    </row>
    <row r="8307" customFormat="false" ht="15" hidden="false" customHeight="false" outlineLevel="0" collapsed="false">
      <c r="A8307" s="0" t="n">
        <v>8303</v>
      </c>
      <c r="B8307" s="0" t="n">
        <v>12</v>
      </c>
      <c r="C8307" s="19" t="n">
        <v>0</v>
      </c>
      <c r="D8307" s="19" t="n">
        <v>0.0165</v>
      </c>
      <c r="E8307" s="20" t="n">
        <f aca="false">Parametres!$B$5*C8307</f>
        <v>0</v>
      </c>
      <c r="F8307" s="20" t="n">
        <f aca="false">Parametres!$B$6*D8307</f>
        <v>3.3</v>
      </c>
      <c r="G8307" s="20" t="n">
        <f aca="false">E8307+F8307</f>
        <v>3.3</v>
      </c>
      <c r="H8307" s="20" t="n">
        <f aca="false">IF(G8307&lt;Parametres!$B$8*Parametres!$B$7,0,MIN(G8307,Parametres!$B$7))</f>
        <v>0</v>
      </c>
      <c r="I8307" s="20" t="n">
        <f aca="false">G8307-H8307</f>
        <v>3.3</v>
      </c>
      <c r="J8307" s="21" t="n">
        <f aca="false">H8307*1000/Parametres!$B$9</f>
        <v>0</v>
      </c>
    </row>
    <row r="8308" customFormat="false" ht="15" hidden="false" customHeight="false" outlineLevel="0" collapsed="false">
      <c r="A8308" s="0" t="n">
        <v>8304</v>
      </c>
      <c r="B8308" s="0" t="n">
        <v>12</v>
      </c>
      <c r="C8308" s="19" t="n">
        <v>0</v>
      </c>
      <c r="D8308" s="19" t="n">
        <v>0.0119</v>
      </c>
      <c r="E8308" s="20" t="n">
        <f aca="false">Parametres!$B$5*C8308</f>
        <v>0</v>
      </c>
      <c r="F8308" s="20" t="n">
        <f aca="false">Parametres!$B$6*D8308</f>
        <v>2.38</v>
      </c>
      <c r="G8308" s="20" t="n">
        <f aca="false">E8308+F8308</f>
        <v>2.38</v>
      </c>
      <c r="H8308" s="20" t="n">
        <f aca="false">IF(G8308&lt;Parametres!$B$8*Parametres!$B$7,0,MIN(G8308,Parametres!$B$7))</f>
        <v>0</v>
      </c>
      <c r="I8308" s="20" t="n">
        <f aca="false">G8308-H8308</f>
        <v>2.38</v>
      </c>
      <c r="J8308" s="21" t="n">
        <f aca="false">H8308*1000/Parametres!$B$9</f>
        <v>0</v>
      </c>
    </row>
    <row r="8309" customFormat="false" ht="15" hidden="false" customHeight="false" outlineLevel="0" collapsed="false">
      <c r="A8309" s="0" t="n">
        <v>8305</v>
      </c>
      <c r="B8309" s="0" t="n">
        <v>12</v>
      </c>
      <c r="C8309" s="19" t="n">
        <v>0</v>
      </c>
      <c r="D8309" s="19" t="n">
        <v>0.0049</v>
      </c>
      <c r="E8309" s="20" t="n">
        <f aca="false">Parametres!$B$5*C8309</f>
        <v>0</v>
      </c>
      <c r="F8309" s="20" t="n">
        <f aca="false">Parametres!$B$6*D8309</f>
        <v>0.98</v>
      </c>
      <c r="G8309" s="20" t="n">
        <f aca="false">E8309+F8309</f>
        <v>0.98</v>
      </c>
      <c r="H8309" s="20" t="n">
        <f aca="false">IF(G8309&lt;Parametres!$B$8*Parametres!$B$7,0,MIN(G8309,Parametres!$B$7))</f>
        <v>0</v>
      </c>
      <c r="I8309" s="20" t="n">
        <f aca="false">G8309-H8309</f>
        <v>0.98</v>
      </c>
      <c r="J8309" s="21" t="n">
        <f aca="false">H8309*1000/Parametres!$B$9</f>
        <v>0</v>
      </c>
    </row>
    <row r="8310" customFormat="false" ht="15" hidden="false" customHeight="false" outlineLevel="0" collapsed="false">
      <c r="A8310" s="0" t="n">
        <v>8306</v>
      </c>
      <c r="B8310" s="0" t="n">
        <v>12</v>
      </c>
      <c r="C8310" s="19" t="n">
        <v>0</v>
      </c>
      <c r="D8310" s="19" t="n">
        <v>0.0007</v>
      </c>
      <c r="E8310" s="20" t="n">
        <f aca="false">Parametres!$B$5*C8310</f>
        <v>0</v>
      </c>
      <c r="F8310" s="20" t="n">
        <f aca="false">Parametres!$B$6*D8310</f>
        <v>0.14</v>
      </c>
      <c r="G8310" s="20" t="n">
        <f aca="false">E8310+F8310</f>
        <v>0.14</v>
      </c>
      <c r="H8310" s="20" t="n">
        <f aca="false">IF(G8310&lt;Parametres!$B$8*Parametres!$B$7,0,MIN(G8310,Parametres!$B$7))</f>
        <v>0</v>
      </c>
      <c r="I8310" s="20" t="n">
        <f aca="false">G8310-H8310</f>
        <v>0.14</v>
      </c>
      <c r="J8310" s="21" t="n">
        <f aca="false">H8310*1000/Parametres!$B$9</f>
        <v>0</v>
      </c>
    </row>
    <row r="8311" customFormat="false" ht="15" hidden="false" customHeight="false" outlineLevel="0" collapsed="false">
      <c r="A8311" s="0" t="n">
        <v>8307</v>
      </c>
      <c r="B8311" s="0" t="n">
        <v>12</v>
      </c>
      <c r="C8311" s="19" t="n">
        <v>0</v>
      </c>
      <c r="D8311" s="19" t="n">
        <v>0.0004</v>
      </c>
      <c r="E8311" s="20" t="n">
        <f aca="false">Parametres!$B$5*C8311</f>
        <v>0</v>
      </c>
      <c r="F8311" s="20" t="n">
        <f aca="false">Parametres!$B$6*D8311</f>
        <v>0.08</v>
      </c>
      <c r="G8311" s="20" t="n">
        <f aca="false">E8311+F8311</f>
        <v>0.08</v>
      </c>
      <c r="H8311" s="20" t="n">
        <f aca="false">IF(G8311&lt;Parametres!$B$8*Parametres!$B$7,0,MIN(G8311,Parametres!$B$7))</f>
        <v>0</v>
      </c>
      <c r="I8311" s="20" t="n">
        <f aca="false">G8311-H8311</f>
        <v>0.08</v>
      </c>
      <c r="J8311" s="21" t="n">
        <f aca="false">H8311*1000/Parametres!$B$9</f>
        <v>0</v>
      </c>
    </row>
    <row r="8312" customFormat="false" ht="15" hidden="false" customHeight="false" outlineLevel="0" collapsed="false">
      <c r="A8312" s="0" t="n">
        <v>8308</v>
      </c>
      <c r="B8312" s="0" t="n">
        <v>12</v>
      </c>
      <c r="C8312" s="19" t="n">
        <v>0</v>
      </c>
      <c r="D8312" s="19" t="n">
        <v>0.001</v>
      </c>
      <c r="E8312" s="20" t="n">
        <f aca="false">Parametres!$B$5*C8312</f>
        <v>0</v>
      </c>
      <c r="F8312" s="20" t="n">
        <f aca="false">Parametres!$B$6*D8312</f>
        <v>0.2</v>
      </c>
      <c r="G8312" s="20" t="n">
        <f aca="false">E8312+F8312</f>
        <v>0.2</v>
      </c>
      <c r="H8312" s="20" t="n">
        <f aca="false">IF(G8312&lt;Parametres!$B$8*Parametres!$B$7,0,MIN(G8312,Parametres!$B$7))</f>
        <v>0</v>
      </c>
      <c r="I8312" s="20" t="n">
        <f aca="false">G8312-H8312</f>
        <v>0.2</v>
      </c>
      <c r="J8312" s="21" t="n">
        <f aca="false">H8312*1000/Parametres!$B$9</f>
        <v>0</v>
      </c>
    </row>
    <row r="8313" customFormat="false" ht="15" hidden="false" customHeight="false" outlineLevel="0" collapsed="false">
      <c r="A8313" s="0" t="n">
        <v>8309</v>
      </c>
      <c r="B8313" s="0" t="n">
        <v>12</v>
      </c>
      <c r="C8313" s="19" t="n">
        <v>0</v>
      </c>
      <c r="D8313" s="19" t="n">
        <v>0.0032</v>
      </c>
      <c r="E8313" s="20" t="n">
        <f aca="false">Parametres!$B$5*C8313</f>
        <v>0</v>
      </c>
      <c r="F8313" s="20" t="n">
        <f aca="false">Parametres!$B$6*D8313</f>
        <v>0.64</v>
      </c>
      <c r="G8313" s="20" t="n">
        <f aca="false">E8313+F8313</f>
        <v>0.64</v>
      </c>
      <c r="H8313" s="20" t="n">
        <f aca="false">IF(G8313&lt;Parametres!$B$8*Parametres!$B$7,0,MIN(G8313,Parametres!$B$7))</f>
        <v>0</v>
      </c>
      <c r="I8313" s="20" t="n">
        <f aca="false">G8313-H8313</f>
        <v>0.64</v>
      </c>
      <c r="J8313" s="21" t="n">
        <f aca="false">H8313*1000/Parametres!$B$9</f>
        <v>0</v>
      </c>
    </row>
    <row r="8314" customFormat="false" ht="15" hidden="false" customHeight="false" outlineLevel="0" collapsed="false">
      <c r="A8314" s="0" t="n">
        <v>8310</v>
      </c>
      <c r="B8314" s="0" t="n">
        <v>12</v>
      </c>
      <c r="C8314" s="19" t="n">
        <v>0</v>
      </c>
      <c r="D8314" s="19" t="n">
        <v>0.0016</v>
      </c>
      <c r="E8314" s="20" t="n">
        <f aca="false">Parametres!$B$5*C8314</f>
        <v>0</v>
      </c>
      <c r="F8314" s="20" t="n">
        <f aca="false">Parametres!$B$6*D8314</f>
        <v>0.32</v>
      </c>
      <c r="G8314" s="20" t="n">
        <f aca="false">E8314+F8314</f>
        <v>0.32</v>
      </c>
      <c r="H8314" s="20" t="n">
        <f aca="false">IF(G8314&lt;Parametres!$B$8*Parametres!$B$7,0,MIN(G8314,Parametres!$B$7))</f>
        <v>0</v>
      </c>
      <c r="I8314" s="20" t="n">
        <f aca="false">G8314-H8314</f>
        <v>0.32</v>
      </c>
      <c r="J8314" s="21" t="n">
        <f aca="false">H8314*1000/Parametres!$B$9</f>
        <v>0</v>
      </c>
    </row>
    <row r="8315" customFormat="false" ht="15" hidden="false" customHeight="false" outlineLevel="0" collapsed="false">
      <c r="A8315" s="0" t="n">
        <v>8311</v>
      </c>
      <c r="B8315" s="0" t="n">
        <v>12</v>
      </c>
      <c r="C8315" s="19" t="n">
        <v>0</v>
      </c>
      <c r="D8315" s="19" t="n">
        <v>0.0001</v>
      </c>
      <c r="E8315" s="20" t="n">
        <f aca="false">Parametres!$B$5*C8315</f>
        <v>0</v>
      </c>
      <c r="F8315" s="20" t="n">
        <f aca="false">Parametres!$B$6*D8315</f>
        <v>0.02</v>
      </c>
      <c r="G8315" s="20" t="n">
        <f aca="false">E8315+F8315</f>
        <v>0.02</v>
      </c>
      <c r="H8315" s="20" t="n">
        <f aca="false">IF(G8315&lt;Parametres!$B$8*Parametres!$B$7,0,MIN(G8315,Parametres!$B$7))</f>
        <v>0</v>
      </c>
      <c r="I8315" s="20" t="n">
        <f aca="false">G8315-H8315</f>
        <v>0.02</v>
      </c>
      <c r="J8315" s="21" t="n">
        <f aca="false">H8315*1000/Parametres!$B$9</f>
        <v>0</v>
      </c>
    </row>
    <row r="8316" customFormat="false" ht="15" hidden="false" customHeight="false" outlineLevel="0" collapsed="false">
      <c r="A8316" s="0" t="n">
        <v>8312</v>
      </c>
      <c r="B8316" s="0" t="n">
        <v>12</v>
      </c>
      <c r="C8316" s="19" t="n">
        <v>0.1055</v>
      </c>
      <c r="D8316" s="19" t="n">
        <v>0.0009</v>
      </c>
      <c r="E8316" s="20" t="n">
        <f aca="false">Parametres!$B$5*C8316</f>
        <v>31.65</v>
      </c>
      <c r="F8316" s="20" t="n">
        <f aca="false">Parametres!$B$6*D8316</f>
        <v>0.18</v>
      </c>
      <c r="G8316" s="20" t="n">
        <f aca="false">E8316+F8316</f>
        <v>31.83</v>
      </c>
      <c r="H8316" s="20" t="n">
        <f aca="false">IF(G8316&lt;Parametres!$B$8*Parametres!$B$7,0,MIN(G8316,Parametres!$B$7))</f>
        <v>31.83</v>
      </c>
      <c r="I8316" s="20" t="n">
        <f aca="false">G8316-H8316</f>
        <v>0</v>
      </c>
      <c r="J8316" s="21" t="n">
        <f aca="false">H8316*1000/Parametres!$B$9</f>
        <v>539.765982703069</v>
      </c>
    </row>
    <row r="8317" customFormat="false" ht="15" hidden="false" customHeight="false" outlineLevel="0" collapsed="false">
      <c r="A8317" s="0" t="n">
        <v>8313</v>
      </c>
      <c r="B8317" s="0" t="n">
        <v>12</v>
      </c>
      <c r="C8317" s="19" t="n">
        <v>0.3452</v>
      </c>
      <c r="D8317" s="19" t="n">
        <v>0.0065</v>
      </c>
      <c r="E8317" s="20" t="n">
        <f aca="false">Parametres!$B$5*C8317</f>
        <v>103.56</v>
      </c>
      <c r="F8317" s="20" t="n">
        <f aca="false">Parametres!$B$6*D8317</f>
        <v>1.3</v>
      </c>
      <c r="G8317" s="20" t="n">
        <f aca="false">E8317+F8317</f>
        <v>104.86</v>
      </c>
      <c r="H8317" s="20" t="n">
        <f aca="false">IF(G8317&lt;Parametres!$B$8*Parametres!$B$7,0,MIN(G8317,Parametres!$B$7))</f>
        <v>104.86</v>
      </c>
      <c r="I8317" s="20" t="n">
        <f aca="false">G8317-H8317</f>
        <v>0</v>
      </c>
      <c r="J8317" s="21" t="n">
        <f aca="false">H8317*1000/Parametres!$B$9</f>
        <v>1778.19230117009</v>
      </c>
    </row>
    <row r="8318" customFormat="false" ht="15" hidden="false" customHeight="false" outlineLevel="0" collapsed="false">
      <c r="A8318" s="0" t="n">
        <v>8314</v>
      </c>
      <c r="B8318" s="0" t="n">
        <v>12</v>
      </c>
      <c r="C8318" s="19" t="n">
        <v>0.5044</v>
      </c>
      <c r="D8318" s="19" t="n">
        <v>0.0111</v>
      </c>
      <c r="E8318" s="20" t="n">
        <f aca="false">Parametres!$B$5*C8318</f>
        <v>151.32</v>
      </c>
      <c r="F8318" s="20" t="n">
        <f aca="false">Parametres!$B$6*D8318</f>
        <v>2.22</v>
      </c>
      <c r="G8318" s="20" t="n">
        <f aca="false">E8318+F8318</f>
        <v>153.54</v>
      </c>
      <c r="H8318" s="20" t="n">
        <f aca="false">IF(G8318&lt;Parametres!$B$8*Parametres!$B$7,0,MIN(G8318,Parametres!$B$7))</f>
        <v>153.54</v>
      </c>
      <c r="I8318" s="20" t="n">
        <f aca="false">G8318-H8318</f>
        <v>0</v>
      </c>
      <c r="J8318" s="21" t="n">
        <f aca="false">H8318*1000/Parametres!$B$9</f>
        <v>2603.6967949805</v>
      </c>
    </row>
    <row r="8319" customFormat="false" ht="15" hidden="false" customHeight="false" outlineLevel="0" collapsed="false">
      <c r="A8319" s="0" t="n">
        <v>8315</v>
      </c>
      <c r="B8319" s="0" t="n">
        <v>12</v>
      </c>
      <c r="C8319" s="19" t="n">
        <v>0.6688</v>
      </c>
      <c r="D8319" s="19" t="n">
        <v>0.0016</v>
      </c>
      <c r="E8319" s="20" t="n">
        <f aca="false">Parametres!$B$5*C8319</f>
        <v>200.64</v>
      </c>
      <c r="F8319" s="20" t="n">
        <f aca="false">Parametres!$B$6*D8319</f>
        <v>0.32</v>
      </c>
      <c r="G8319" s="20" t="n">
        <f aca="false">E8319+F8319</f>
        <v>200.96</v>
      </c>
      <c r="H8319" s="20" t="n">
        <f aca="false">IF(G8319&lt;Parametres!$B$8*Parametres!$B$7,0,MIN(G8319,Parametres!$B$7))</f>
        <v>200.96</v>
      </c>
      <c r="I8319" s="20" t="n">
        <f aca="false">G8319-H8319</f>
        <v>0</v>
      </c>
      <c r="J8319" s="21" t="n">
        <f aca="false">H8319*1000/Parametres!$B$9</f>
        <v>3407.83449211463</v>
      </c>
    </row>
    <row r="8320" customFormat="false" ht="15" hidden="false" customHeight="false" outlineLevel="0" collapsed="false">
      <c r="A8320" s="0" t="n">
        <v>8316</v>
      </c>
      <c r="B8320" s="0" t="n">
        <v>12</v>
      </c>
      <c r="C8320" s="19" t="n">
        <v>0.7682</v>
      </c>
      <c r="D8320" s="19" t="n">
        <v>0.01</v>
      </c>
      <c r="E8320" s="20" t="n">
        <f aca="false">Parametres!$B$5*C8320</f>
        <v>230.46</v>
      </c>
      <c r="F8320" s="20" t="n">
        <f aca="false">Parametres!$B$6*D8320</f>
        <v>2</v>
      </c>
      <c r="G8320" s="20" t="n">
        <f aca="false">E8320+F8320</f>
        <v>232.46</v>
      </c>
      <c r="H8320" s="20" t="n">
        <f aca="false">IF(G8320&lt;Parametres!$B$8*Parametres!$B$7,0,MIN(G8320,Parametres!$B$7))</f>
        <v>232.46</v>
      </c>
      <c r="I8320" s="20" t="n">
        <f aca="false">G8320-H8320</f>
        <v>0</v>
      </c>
      <c r="J8320" s="21" t="n">
        <f aca="false">H8320*1000/Parametres!$B$9</f>
        <v>3942.00440902154</v>
      </c>
    </row>
    <row r="8321" customFormat="false" ht="15" hidden="false" customHeight="false" outlineLevel="0" collapsed="false">
      <c r="A8321" s="0" t="n">
        <v>8317</v>
      </c>
      <c r="B8321" s="0" t="n">
        <v>12</v>
      </c>
      <c r="C8321" s="19" t="n">
        <v>0.7561</v>
      </c>
      <c r="D8321" s="19" t="n">
        <v>0.0019</v>
      </c>
      <c r="E8321" s="20" t="n">
        <f aca="false">Parametres!$B$5*C8321</f>
        <v>226.83</v>
      </c>
      <c r="F8321" s="20" t="n">
        <f aca="false">Parametres!$B$6*D8321</f>
        <v>0.38</v>
      </c>
      <c r="G8321" s="20" t="n">
        <f aca="false">E8321+F8321</f>
        <v>227.21</v>
      </c>
      <c r="H8321" s="20" t="n">
        <f aca="false">IF(G8321&lt;Parametres!$B$8*Parametres!$B$7,0,MIN(G8321,Parametres!$B$7))</f>
        <v>227.21</v>
      </c>
      <c r="I8321" s="20" t="n">
        <f aca="false">G8321-H8321</f>
        <v>0</v>
      </c>
      <c r="J8321" s="21" t="n">
        <f aca="false">H8321*1000/Parametres!$B$9</f>
        <v>3852.97608953705</v>
      </c>
    </row>
    <row r="8322" customFormat="false" ht="15" hidden="false" customHeight="false" outlineLevel="0" collapsed="false">
      <c r="A8322" s="0" t="n">
        <v>8318</v>
      </c>
      <c r="B8322" s="0" t="n">
        <v>12</v>
      </c>
      <c r="C8322" s="19" t="n">
        <v>0.6722</v>
      </c>
      <c r="D8322" s="19" t="n">
        <v>0.0061</v>
      </c>
      <c r="E8322" s="20" t="n">
        <f aca="false">Parametres!$B$5*C8322</f>
        <v>201.66</v>
      </c>
      <c r="F8322" s="20" t="n">
        <f aca="false">Parametres!$B$6*D8322</f>
        <v>1.22</v>
      </c>
      <c r="G8322" s="20" t="n">
        <f aca="false">E8322+F8322</f>
        <v>202.88</v>
      </c>
      <c r="H8322" s="20" t="n">
        <f aca="false">IF(G8322&lt;Parametres!$B$8*Parametres!$B$7,0,MIN(G8322,Parametres!$B$7))</f>
        <v>202.88</v>
      </c>
      <c r="I8322" s="20" t="n">
        <f aca="false">G8322-H8322</f>
        <v>0</v>
      </c>
      <c r="J8322" s="21" t="n">
        <f aca="false">H8322*1000/Parametres!$B$9</f>
        <v>3440.39342038325</v>
      </c>
    </row>
    <row r="8323" customFormat="false" ht="15" hidden="false" customHeight="false" outlineLevel="0" collapsed="false">
      <c r="A8323" s="0" t="n">
        <v>8319</v>
      </c>
      <c r="B8323" s="0" t="n">
        <v>12</v>
      </c>
      <c r="C8323" s="19" t="n">
        <v>0.5452</v>
      </c>
      <c r="D8323" s="19" t="n">
        <v>0</v>
      </c>
      <c r="E8323" s="20" t="n">
        <f aca="false">Parametres!$B$5*C8323</f>
        <v>163.56</v>
      </c>
      <c r="F8323" s="20" t="n">
        <f aca="false">Parametres!$B$6*D8323</f>
        <v>0</v>
      </c>
      <c r="G8323" s="20" t="n">
        <f aca="false">E8323+F8323</f>
        <v>163.56</v>
      </c>
      <c r="H8323" s="20" t="n">
        <f aca="false">IF(G8323&lt;Parametres!$B$8*Parametres!$B$7,0,MIN(G8323,Parametres!$B$7))</f>
        <v>163.56</v>
      </c>
      <c r="I8323" s="20" t="n">
        <f aca="false">G8323-H8323</f>
        <v>0</v>
      </c>
      <c r="J8323" s="21" t="n">
        <f aca="false">H8323*1000/Parametres!$B$9</f>
        <v>2773.61370188231</v>
      </c>
    </row>
    <row r="8324" customFormat="false" ht="15" hidden="false" customHeight="false" outlineLevel="0" collapsed="false">
      <c r="A8324" s="0" t="n">
        <v>8320</v>
      </c>
      <c r="B8324" s="0" t="n">
        <v>12</v>
      </c>
      <c r="C8324" s="19" t="n">
        <v>0.3205</v>
      </c>
      <c r="D8324" s="19" t="n">
        <v>0</v>
      </c>
      <c r="E8324" s="20" t="n">
        <f aca="false">Parametres!$B$5*C8324</f>
        <v>96.15</v>
      </c>
      <c r="F8324" s="20" t="n">
        <f aca="false">Parametres!$B$6*D8324</f>
        <v>0</v>
      </c>
      <c r="G8324" s="20" t="n">
        <f aca="false">E8324+F8324</f>
        <v>96.15</v>
      </c>
      <c r="H8324" s="20" t="n">
        <f aca="false">IF(G8324&lt;Parametres!$B$8*Parametres!$B$7,0,MIN(G8324,Parametres!$B$7))</f>
        <v>96.15</v>
      </c>
      <c r="I8324" s="20" t="n">
        <f aca="false">G8324-H8324</f>
        <v>0</v>
      </c>
      <c r="J8324" s="21" t="n">
        <f aca="false">H8324*1000/Parametres!$B$9</f>
        <v>1630.49007970154</v>
      </c>
    </row>
    <row r="8325" customFormat="false" ht="15" hidden="false" customHeight="false" outlineLevel="0" collapsed="false">
      <c r="A8325" s="0" t="n">
        <v>8321</v>
      </c>
      <c r="B8325" s="0" t="n">
        <v>12</v>
      </c>
      <c r="C8325" s="19" t="n">
        <v>0.1178</v>
      </c>
      <c r="D8325" s="19" t="n">
        <v>0</v>
      </c>
      <c r="E8325" s="20" t="n">
        <f aca="false">Parametres!$B$5*C8325</f>
        <v>35.34</v>
      </c>
      <c r="F8325" s="20" t="n">
        <f aca="false">Parametres!$B$6*D8325</f>
        <v>0</v>
      </c>
      <c r="G8325" s="20" t="n">
        <f aca="false">E8325+F8325</f>
        <v>35.34</v>
      </c>
      <c r="H8325" s="20" t="n">
        <f aca="false">IF(G8325&lt;Parametres!$B$8*Parametres!$B$7,0,MIN(G8325,Parametres!$B$7))</f>
        <v>35.34</v>
      </c>
      <c r="I8325" s="20" t="n">
        <f aca="false">G8325-H8325</f>
        <v>0</v>
      </c>
      <c r="J8325" s="21" t="n">
        <f aca="false">H8325*1000/Parametres!$B$9</f>
        <v>599.287773444124</v>
      </c>
    </row>
    <row r="8326" customFormat="false" ht="15" hidden="false" customHeight="false" outlineLevel="0" collapsed="false">
      <c r="A8326" s="0" t="n">
        <v>8322</v>
      </c>
      <c r="B8326" s="0" t="n">
        <v>12</v>
      </c>
      <c r="C8326" s="19" t="n">
        <v>0</v>
      </c>
      <c r="D8326" s="19" t="n">
        <v>0</v>
      </c>
      <c r="E8326" s="20" t="n">
        <f aca="false">Parametres!$B$5*C8326</f>
        <v>0</v>
      </c>
      <c r="F8326" s="20" t="n">
        <f aca="false">Parametres!$B$6*D8326</f>
        <v>0</v>
      </c>
      <c r="G8326" s="20" t="n">
        <f aca="false">E8326+F8326</f>
        <v>0</v>
      </c>
      <c r="H8326" s="20" t="n">
        <f aca="false">IF(G8326&lt;Parametres!$B$8*Parametres!$B$7,0,MIN(G8326,Parametres!$B$7))</f>
        <v>0</v>
      </c>
      <c r="I8326" s="20" t="n">
        <f aca="false">G8326-H8326</f>
        <v>0</v>
      </c>
      <c r="J8326" s="21" t="n">
        <f aca="false">H8326*1000/Parametres!$B$9</f>
        <v>0</v>
      </c>
    </row>
    <row r="8327" customFormat="false" ht="15" hidden="false" customHeight="false" outlineLevel="0" collapsed="false">
      <c r="A8327" s="0" t="n">
        <v>8323</v>
      </c>
      <c r="B8327" s="0" t="n">
        <v>12</v>
      </c>
      <c r="C8327" s="19" t="n">
        <v>0</v>
      </c>
      <c r="D8327" s="19" t="n">
        <v>0</v>
      </c>
      <c r="E8327" s="20" t="n">
        <f aca="false">Parametres!$B$5*C8327</f>
        <v>0</v>
      </c>
      <c r="F8327" s="20" t="n">
        <f aca="false">Parametres!$B$6*D8327</f>
        <v>0</v>
      </c>
      <c r="G8327" s="20" t="n">
        <f aca="false">E8327+F8327</f>
        <v>0</v>
      </c>
      <c r="H8327" s="20" t="n">
        <f aca="false">IF(G8327&lt;Parametres!$B$8*Parametres!$B$7,0,MIN(G8327,Parametres!$B$7))</f>
        <v>0</v>
      </c>
      <c r="I8327" s="20" t="n">
        <f aca="false">G8327-H8327</f>
        <v>0</v>
      </c>
      <c r="J8327" s="21" t="n">
        <f aca="false">H8327*1000/Parametres!$B$9</f>
        <v>0</v>
      </c>
    </row>
    <row r="8328" customFormat="false" ht="15" hidden="false" customHeight="false" outlineLevel="0" collapsed="false">
      <c r="A8328" s="0" t="n">
        <v>8324</v>
      </c>
      <c r="B8328" s="0" t="n">
        <v>12</v>
      </c>
      <c r="C8328" s="19" t="n">
        <v>0</v>
      </c>
      <c r="D8328" s="19" t="n">
        <v>0</v>
      </c>
      <c r="E8328" s="20" t="n">
        <f aca="false">Parametres!$B$5*C8328</f>
        <v>0</v>
      </c>
      <c r="F8328" s="20" t="n">
        <f aca="false">Parametres!$B$6*D8328</f>
        <v>0</v>
      </c>
      <c r="G8328" s="20" t="n">
        <f aca="false">E8328+F8328</f>
        <v>0</v>
      </c>
      <c r="H8328" s="20" t="n">
        <f aca="false">IF(G8328&lt;Parametres!$B$8*Parametres!$B$7,0,MIN(G8328,Parametres!$B$7))</f>
        <v>0</v>
      </c>
      <c r="I8328" s="20" t="n">
        <f aca="false">G8328-H8328</f>
        <v>0</v>
      </c>
      <c r="J8328" s="21" t="n">
        <f aca="false">H8328*1000/Parametres!$B$9</f>
        <v>0</v>
      </c>
    </row>
    <row r="8329" customFormat="false" ht="15" hidden="false" customHeight="false" outlineLevel="0" collapsed="false">
      <c r="A8329" s="0" t="n">
        <v>8325</v>
      </c>
      <c r="B8329" s="0" t="n">
        <v>12</v>
      </c>
      <c r="C8329" s="19" t="n">
        <v>0</v>
      </c>
      <c r="D8329" s="19" t="n">
        <v>0.0001</v>
      </c>
      <c r="E8329" s="20" t="n">
        <f aca="false">Parametres!$B$5*C8329</f>
        <v>0</v>
      </c>
      <c r="F8329" s="20" t="n">
        <f aca="false">Parametres!$B$6*D8329</f>
        <v>0.02</v>
      </c>
      <c r="G8329" s="20" t="n">
        <f aca="false">E8329+F8329</f>
        <v>0.02</v>
      </c>
      <c r="H8329" s="20" t="n">
        <f aca="false">IF(G8329&lt;Parametres!$B$8*Parametres!$B$7,0,MIN(G8329,Parametres!$B$7))</f>
        <v>0</v>
      </c>
      <c r="I8329" s="20" t="n">
        <f aca="false">G8329-H8329</f>
        <v>0.02</v>
      </c>
      <c r="J8329" s="21" t="n">
        <f aca="false">H8329*1000/Parametres!$B$9</f>
        <v>0</v>
      </c>
    </row>
    <row r="8330" customFormat="false" ht="15" hidden="false" customHeight="false" outlineLevel="0" collapsed="false">
      <c r="A8330" s="0" t="n">
        <v>8326</v>
      </c>
      <c r="B8330" s="0" t="n">
        <v>12</v>
      </c>
      <c r="C8330" s="19" t="n">
        <v>0</v>
      </c>
      <c r="D8330" s="19" t="n">
        <v>0.0007</v>
      </c>
      <c r="E8330" s="20" t="n">
        <f aca="false">Parametres!$B$5*C8330</f>
        <v>0</v>
      </c>
      <c r="F8330" s="20" t="n">
        <f aca="false">Parametres!$B$6*D8330</f>
        <v>0.14</v>
      </c>
      <c r="G8330" s="20" t="n">
        <f aca="false">E8330+F8330</f>
        <v>0.14</v>
      </c>
      <c r="H8330" s="20" t="n">
        <f aca="false">IF(G8330&lt;Parametres!$B$8*Parametres!$B$7,0,MIN(G8330,Parametres!$B$7))</f>
        <v>0</v>
      </c>
      <c r="I8330" s="20" t="n">
        <f aca="false">G8330-H8330</f>
        <v>0.14</v>
      </c>
      <c r="J8330" s="21" t="n">
        <f aca="false">H8330*1000/Parametres!$B$9</f>
        <v>0</v>
      </c>
    </row>
    <row r="8331" customFormat="false" ht="15" hidden="false" customHeight="false" outlineLevel="0" collapsed="false">
      <c r="A8331" s="0" t="n">
        <v>8327</v>
      </c>
      <c r="B8331" s="0" t="n">
        <v>12</v>
      </c>
      <c r="C8331" s="19" t="n">
        <v>0</v>
      </c>
      <c r="D8331" s="19" t="n">
        <v>0</v>
      </c>
      <c r="E8331" s="20" t="n">
        <f aca="false">Parametres!$B$5*C8331</f>
        <v>0</v>
      </c>
      <c r="F8331" s="20" t="n">
        <f aca="false">Parametres!$B$6*D8331</f>
        <v>0</v>
      </c>
      <c r="G8331" s="20" t="n">
        <f aca="false">E8331+F8331</f>
        <v>0</v>
      </c>
      <c r="H8331" s="20" t="n">
        <f aca="false">IF(G8331&lt;Parametres!$B$8*Parametres!$B$7,0,MIN(G8331,Parametres!$B$7))</f>
        <v>0</v>
      </c>
      <c r="I8331" s="20" t="n">
        <f aca="false">G8331-H8331</f>
        <v>0</v>
      </c>
      <c r="J8331" s="21" t="n">
        <f aca="false">H8331*1000/Parametres!$B$9</f>
        <v>0</v>
      </c>
    </row>
    <row r="8332" customFormat="false" ht="15" hidden="false" customHeight="false" outlineLevel="0" collapsed="false">
      <c r="A8332" s="0" t="n">
        <v>8328</v>
      </c>
      <c r="B8332" s="0" t="n">
        <v>12</v>
      </c>
      <c r="C8332" s="19" t="n">
        <v>0</v>
      </c>
      <c r="D8332" s="19" t="n">
        <v>0</v>
      </c>
      <c r="E8332" s="20" t="n">
        <f aca="false">Parametres!$B$5*C8332</f>
        <v>0</v>
      </c>
      <c r="F8332" s="20" t="n">
        <f aca="false">Parametres!$B$6*D8332</f>
        <v>0</v>
      </c>
      <c r="G8332" s="20" t="n">
        <f aca="false">E8332+F8332</f>
        <v>0</v>
      </c>
      <c r="H8332" s="20" t="n">
        <f aca="false">IF(G8332&lt;Parametres!$B$8*Parametres!$B$7,0,MIN(G8332,Parametres!$B$7))</f>
        <v>0</v>
      </c>
      <c r="I8332" s="20" t="n">
        <f aca="false">G8332-H8332</f>
        <v>0</v>
      </c>
      <c r="J8332" s="21" t="n">
        <f aca="false">H8332*1000/Parametres!$B$9</f>
        <v>0</v>
      </c>
    </row>
    <row r="8333" customFormat="false" ht="15" hidden="false" customHeight="false" outlineLevel="0" collapsed="false">
      <c r="A8333" s="0" t="n">
        <v>8329</v>
      </c>
      <c r="B8333" s="0" t="n">
        <v>12</v>
      </c>
      <c r="C8333" s="19" t="n">
        <v>0</v>
      </c>
      <c r="D8333" s="19" t="n">
        <v>0.0001</v>
      </c>
      <c r="E8333" s="20" t="n">
        <f aca="false">Parametres!$B$5*C8333</f>
        <v>0</v>
      </c>
      <c r="F8333" s="20" t="n">
        <f aca="false">Parametres!$B$6*D8333</f>
        <v>0.02</v>
      </c>
      <c r="G8333" s="20" t="n">
        <f aca="false">E8333+F8333</f>
        <v>0.02</v>
      </c>
      <c r="H8333" s="20" t="n">
        <f aca="false">IF(G8333&lt;Parametres!$B$8*Parametres!$B$7,0,MIN(G8333,Parametres!$B$7))</f>
        <v>0</v>
      </c>
      <c r="I8333" s="20" t="n">
        <f aca="false">G8333-H8333</f>
        <v>0.02</v>
      </c>
      <c r="J8333" s="21" t="n">
        <f aca="false">H8333*1000/Parametres!$B$9</f>
        <v>0</v>
      </c>
    </row>
    <row r="8334" customFormat="false" ht="15" hidden="false" customHeight="false" outlineLevel="0" collapsed="false">
      <c r="A8334" s="0" t="n">
        <v>8330</v>
      </c>
      <c r="B8334" s="0" t="n">
        <v>12</v>
      </c>
      <c r="C8334" s="19" t="n">
        <v>0</v>
      </c>
      <c r="D8334" s="19" t="n">
        <v>0</v>
      </c>
      <c r="E8334" s="20" t="n">
        <f aca="false">Parametres!$B$5*C8334</f>
        <v>0</v>
      </c>
      <c r="F8334" s="20" t="n">
        <f aca="false">Parametres!$B$6*D8334</f>
        <v>0</v>
      </c>
      <c r="G8334" s="20" t="n">
        <f aca="false">E8334+F8334</f>
        <v>0</v>
      </c>
      <c r="H8334" s="20" t="n">
        <f aca="false">IF(G8334&lt;Parametres!$B$8*Parametres!$B$7,0,MIN(G8334,Parametres!$B$7))</f>
        <v>0</v>
      </c>
      <c r="I8334" s="20" t="n">
        <f aca="false">G8334-H8334</f>
        <v>0</v>
      </c>
      <c r="J8334" s="21" t="n">
        <f aca="false">H8334*1000/Parametres!$B$9</f>
        <v>0</v>
      </c>
    </row>
    <row r="8335" customFormat="false" ht="15" hidden="false" customHeight="false" outlineLevel="0" collapsed="false">
      <c r="A8335" s="0" t="n">
        <v>8331</v>
      </c>
      <c r="B8335" s="0" t="n">
        <v>12</v>
      </c>
      <c r="C8335" s="19" t="n">
        <v>0</v>
      </c>
      <c r="D8335" s="19" t="n">
        <v>0</v>
      </c>
      <c r="E8335" s="20" t="n">
        <f aca="false">Parametres!$B$5*C8335</f>
        <v>0</v>
      </c>
      <c r="F8335" s="20" t="n">
        <f aca="false">Parametres!$B$6*D8335</f>
        <v>0</v>
      </c>
      <c r="G8335" s="20" t="n">
        <f aca="false">E8335+F8335</f>
        <v>0</v>
      </c>
      <c r="H8335" s="20" t="n">
        <f aca="false">IF(G8335&lt;Parametres!$B$8*Parametres!$B$7,0,MIN(G8335,Parametres!$B$7))</f>
        <v>0</v>
      </c>
      <c r="I8335" s="20" t="n">
        <f aca="false">G8335-H8335</f>
        <v>0</v>
      </c>
      <c r="J8335" s="21" t="n">
        <f aca="false">H8335*1000/Parametres!$B$9</f>
        <v>0</v>
      </c>
    </row>
    <row r="8336" customFormat="false" ht="15" hidden="false" customHeight="false" outlineLevel="0" collapsed="false">
      <c r="A8336" s="0" t="n">
        <v>8332</v>
      </c>
      <c r="B8336" s="0" t="n">
        <v>12</v>
      </c>
      <c r="C8336" s="19" t="n">
        <v>0</v>
      </c>
      <c r="D8336" s="19" t="n">
        <v>0</v>
      </c>
      <c r="E8336" s="20" t="n">
        <f aca="false">Parametres!$B$5*C8336</f>
        <v>0</v>
      </c>
      <c r="F8336" s="20" t="n">
        <f aca="false">Parametres!$B$6*D8336</f>
        <v>0</v>
      </c>
      <c r="G8336" s="20" t="n">
        <f aca="false">E8336+F8336</f>
        <v>0</v>
      </c>
      <c r="H8336" s="20" t="n">
        <f aca="false">IF(G8336&lt;Parametres!$B$8*Parametres!$B$7,0,MIN(G8336,Parametres!$B$7))</f>
        <v>0</v>
      </c>
      <c r="I8336" s="20" t="n">
        <f aca="false">G8336-H8336</f>
        <v>0</v>
      </c>
      <c r="J8336" s="21" t="n">
        <f aca="false">H8336*1000/Parametres!$B$9</f>
        <v>0</v>
      </c>
    </row>
    <row r="8337" customFormat="false" ht="15" hidden="false" customHeight="false" outlineLevel="0" collapsed="false">
      <c r="A8337" s="0" t="n">
        <v>8333</v>
      </c>
      <c r="B8337" s="0" t="n">
        <v>12</v>
      </c>
      <c r="C8337" s="19" t="n">
        <v>0</v>
      </c>
      <c r="D8337" s="19" t="n">
        <v>0</v>
      </c>
      <c r="E8337" s="20" t="n">
        <f aca="false">Parametres!$B$5*C8337</f>
        <v>0</v>
      </c>
      <c r="F8337" s="20" t="n">
        <f aca="false">Parametres!$B$6*D8337</f>
        <v>0</v>
      </c>
      <c r="G8337" s="20" t="n">
        <f aca="false">E8337+F8337</f>
        <v>0</v>
      </c>
      <c r="H8337" s="20" t="n">
        <f aca="false">IF(G8337&lt;Parametres!$B$8*Parametres!$B$7,0,MIN(G8337,Parametres!$B$7))</f>
        <v>0</v>
      </c>
      <c r="I8337" s="20" t="n">
        <f aca="false">G8337-H8337</f>
        <v>0</v>
      </c>
      <c r="J8337" s="21" t="n">
        <f aca="false">H8337*1000/Parametres!$B$9</f>
        <v>0</v>
      </c>
    </row>
    <row r="8338" customFormat="false" ht="15" hidden="false" customHeight="false" outlineLevel="0" collapsed="false">
      <c r="A8338" s="0" t="n">
        <v>8334</v>
      </c>
      <c r="B8338" s="0" t="n">
        <v>12</v>
      </c>
      <c r="C8338" s="19" t="n">
        <v>0</v>
      </c>
      <c r="D8338" s="19" t="n">
        <v>0</v>
      </c>
      <c r="E8338" s="20" t="n">
        <f aca="false">Parametres!$B$5*C8338</f>
        <v>0</v>
      </c>
      <c r="F8338" s="20" t="n">
        <f aca="false">Parametres!$B$6*D8338</f>
        <v>0</v>
      </c>
      <c r="G8338" s="20" t="n">
        <f aca="false">E8338+F8338</f>
        <v>0</v>
      </c>
      <c r="H8338" s="20" t="n">
        <f aca="false">IF(G8338&lt;Parametres!$B$8*Parametres!$B$7,0,MIN(G8338,Parametres!$B$7))</f>
        <v>0</v>
      </c>
      <c r="I8338" s="20" t="n">
        <f aca="false">G8338-H8338</f>
        <v>0</v>
      </c>
      <c r="J8338" s="21" t="n">
        <f aca="false">H8338*1000/Parametres!$B$9</f>
        <v>0</v>
      </c>
    </row>
    <row r="8339" customFormat="false" ht="15" hidden="false" customHeight="false" outlineLevel="0" collapsed="false">
      <c r="A8339" s="0" t="n">
        <v>8335</v>
      </c>
      <c r="B8339" s="0" t="n">
        <v>12</v>
      </c>
      <c r="C8339" s="19" t="n">
        <v>0</v>
      </c>
      <c r="D8339" s="19" t="n">
        <v>0</v>
      </c>
      <c r="E8339" s="20" t="n">
        <f aca="false">Parametres!$B$5*C8339</f>
        <v>0</v>
      </c>
      <c r="F8339" s="20" t="n">
        <f aca="false">Parametres!$B$6*D8339</f>
        <v>0</v>
      </c>
      <c r="G8339" s="20" t="n">
        <f aca="false">E8339+F8339</f>
        <v>0</v>
      </c>
      <c r="H8339" s="20" t="n">
        <f aca="false">IF(G8339&lt;Parametres!$B$8*Parametres!$B$7,0,MIN(G8339,Parametres!$B$7))</f>
        <v>0</v>
      </c>
      <c r="I8339" s="20" t="n">
        <f aca="false">G8339-H8339</f>
        <v>0</v>
      </c>
      <c r="J8339" s="21" t="n">
        <f aca="false">H8339*1000/Parametres!$B$9</f>
        <v>0</v>
      </c>
    </row>
    <row r="8340" customFormat="false" ht="15" hidden="false" customHeight="false" outlineLevel="0" collapsed="false">
      <c r="A8340" s="0" t="n">
        <v>8336</v>
      </c>
      <c r="B8340" s="0" t="n">
        <v>12</v>
      </c>
      <c r="C8340" s="19" t="n">
        <v>0.1026</v>
      </c>
      <c r="D8340" s="19" t="n">
        <v>0.0009</v>
      </c>
      <c r="E8340" s="20" t="n">
        <f aca="false">Parametres!$B$5*C8340</f>
        <v>30.78</v>
      </c>
      <c r="F8340" s="20" t="n">
        <f aca="false">Parametres!$B$6*D8340</f>
        <v>0.18</v>
      </c>
      <c r="G8340" s="20" t="n">
        <f aca="false">E8340+F8340</f>
        <v>30.96</v>
      </c>
      <c r="H8340" s="20" t="n">
        <f aca="false">IF(G8340&lt;Parametres!$B$8*Parametres!$B$7,0,MIN(G8340,Parametres!$B$7))</f>
        <v>30.96</v>
      </c>
      <c r="I8340" s="20" t="n">
        <f aca="false">G8340-H8340</f>
        <v>0</v>
      </c>
      <c r="J8340" s="21" t="n">
        <f aca="false">H8340*1000/Parametres!$B$9</f>
        <v>525.012718331355</v>
      </c>
    </row>
    <row r="8341" customFormat="false" ht="15" hidden="false" customHeight="false" outlineLevel="0" collapsed="false">
      <c r="A8341" s="0" t="n">
        <v>8337</v>
      </c>
      <c r="B8341" s="0" t="n">
        <v>12</v>
      </c>
      <c r="C8341" s="19" t="n">
        <v>0.2793</v>
      </c>
      <c r="D8341" s="19" t="n">
        <v>0.0015</v>
      </c>
      <c r="E8341" s="20" t="n">
        <f aca="false">Parametres!$B$5*C8341</f>
        <v>83.79</v>
      </c>
      <c r="F8341" s="20" t="n">
        <f aca="false">Parametres!$B$6*D8341</f>
        <v>0.3</v>
      </c>
      <c r="G8341" s="20" t="n">
        <f aca="false">E8341+F8341</f>
        <v>84.09</v>
      </c>
      <c r="H8341" s="20" t="n">
        <f aca="false">IF(G8341&lt;Parametres!$B$8*Parametres!$B$7,0,MIN(G8341,Parametres!$B$7))</f>
        <v>84.09</v>
      </c>
      <c r="I8341" s="20" t="n">
        <f aca="false">G8341-H8341</f>
        <v>0</v>
      </c>
      <c r="J8341" s="21" t="n">
        <f aca="false">H8341*1000/Parametres!$B$9</f>
        <v>1425.97931151433</v>
      </c>
    </row>
    <row r="8342" customFormat="false" ht="15" hidden="false" customHeight="false" outlineLevel="0" collapsed="false">
      <c r="A8342" s="0" t="n">
        <v>8338</v>
      </c>
      <c r="B8342" s="0" t="n">
        <v>12</v>
      </c>
      <c r="C8342" s="19" t="n">
        <v>0.4199</v>
      </c>
      <c r="D8342" s="19" t="n">
        <v>0.011</v>
      </c>
      <c r="E8342" s="20" t="n">
        <f aca="false">Parametres!$B$5*C8342</f>
        <v>125.97</v>
      </c>
      <c r="F8342" s="20" t="n">
        <f aca="false">Parametres!$B$6*D8342</f>
        <v>2.2</v>
      </c>
      <c r="G8342" s="20" t="n">
        <f aca="false">E8342+F8342</f>
        <v>128.17</v>
      </c>
      <c r="H8342" s="20" t="n">
        <f aca="false">IF(G8342&lt;Parametres!$B$8*Parametres!$B$7,0,MIN(G8342,Parametres!$B$7))</f>
        <v>128.17</v>
      </c>
      <c r="I8342" s="20" t="n">
        <f aca="false">G8342-H8342</f>
        <v>0</v>
      </c>
      <c r="J8342" s="21" t="n">
        <f aca="false">H8342*1000/Parametres!$B$9</f>
        <v>2173.47803968119</v>
      </c>
    </row>
    <row r="8343" customFormat="false" ht="15" hidden="false" customHeight="false" outlineLevel="0" collapsed="false">
      <c r="A8343" s="0" t="n">
        <v>8339</v>
      </c>
      <c r="B8343" s="0" t="n">
        <v>12</v>
      </c>
      <c r="C8343" s="19" t="n">
        <v>0.5602</v>
      </c>
      <c r="D8343" s="19" t="n">
        <v>0.0142</v>
      </c>
      <c r="E8343" s="20" t="n">
        <f aca="false">Parametres!$B$5*C8343</f>
        <v>168.06</v>
      </c>
      <c r="F8343" s="20" t="n">
        <f aca="false">Parametres!$B$6*D8343</f>
        <v>2.84</v>
      </c>
      <c r="G8343" s="20" t="n">
        <f aca="false">E8343+F8343</f>
        <v>170.9</v>
      </c>
      <c r="H8343" s="20" t="n">
        <f aca="false">IF(G8343&lt;Parametres!$B$8*Parametres!$B$7,0,MIN(G8343,Parametres!$B$7))</f>
        <v>170.9</v>
      </c>
      <c r="I8343" s="20" t="n">
        <f aca="false">G8343-H8343</f>
        <v>0</v>
      </c>
      <c r="J8343" s="21" t="n">
        <f aca="false">H8343*1000/Parametres!$B$9</f>
        <v>2898.08377140919</v>
      </c>
    </row>
    <row r="8344" customFormat="false" ht="15" hidden="false" customHeight="false" outlineLevel="0" collapsed="false">
      <c r="A8344" s="0" t="n">
        <v>8340</v>
      </c>
      <c r="B8344" s="0" t="n">
        <v>12</v>
      </c>
      <c r="C8344" s="19" t="n">
        <v>0.6781</v>
      </c>
      <c r="D8344" s="19" t="n">
        <v>0.0196</v>
      </c>
      <c r="E8344" s="20" t="n">
        <f aca="false">Parametres!$B$5*C8344</f>
        <v>203.43</v>
      </c>
      <c r="F8344" s="20" t="n">
        <f aca="false">Parametres!$B$6*D8344</f>
        <v>3.92</v>
      </c>
      <c r="G8344" s="20" t="n">
        <f aca="false">E8344+F8344</f>
        <v>207.35</v>
      </c>
      <c r="H8344" s="20" t="n">
        <f aca="false">IF(G8344&lt;Parametres!$B$8*Parametres!$B$7,0,MIN(G8344,Parametres!$B$7))</f>
        <v>207.35</v>
      </c>
      <c r="I8344" s="20" t="n">
        <f aca="false">G8344-H8344</f>
        <v>0</v>
      </c>
      <c r="J8344" s="21" t="n">
        <f aca="false">H8344*1000/Parametres!$B$9</f>
        <v>3516.19467525861</v>
      </c>
    </row>
    <row r="8345" customFormat="false" ht="15" hidden="false" customHeight="false" outlineLevel="0" collapsed="false">
      <c r="A8345" s="0" t="n">
        <v>8341</v>
      </c>
      <c r="B8345" s="0" t="n">
        <v>12</v>
      </c>
      <c r="C8345" s="19" t="n">
        <v>0.6321</v>
      </c>
      <c r="D8345" s="19" t="n">
        <v>0.0455</v>
      </c>
      <c r="E8345" s="20" t="n">
        <f aca="false">Parametres!$B$5*C8345</f>
        <v>189.63</v>
      </c>
      <c r="F8345" s="20" t="n">
        <f aca="false">Parametres!$B$6*D8345</f>
        <v>9.1</v>
      </c>
      <c r="G8345" s="20" t="n">
        <f aca="false">E8345+F8345</f>
        <v>198.73</v>
      </c>
      <c r="H8345" s="20" t="n">
        <f aca="false">IF(G8345&lt;Parametres!$B$8*Parametres!$B$7,0,MIN(G8345,Parametres!$B$7))</f>
        <v>198.73</v>
      </c>
      <c r="I8345" s="20" t="n">
        <f aca="false">G8345-H8345</f>
        <v>0</v>
      </c>
      <c r="J8345" s="21" t="n">
        <f aca="false">H8345*1000/Parametres!$B$9</f>
        <v>3370.01865355265</v>
      </c>
    </row>
    <row r="8346" customFormat="false" ht="15" hidden="false" customHeight="false" outlineLevel="0" collapsed="false">
      <c r="A8346" s="0" t="n">
        <v>8342</v>
      </c>
      <c r="B8346" s="0" t="n">
        <v>12</v>
      </c>
      <c r="C8346" s="19" t="n">
        <v>0.5975</v>
      </c>
      <c r="D8346" s="19" t="n">
        <v>0.043</v>
      </c>
      <c r="E8346" s="20" t="n">
        <f aca="false">Parametres!$B$5*C8346</f>
        <v>179.25</v>
      </c>
      <c r="F8346" s="20" t="n">
        <f aca="false">Parametres!$B$6*D8346</f>
        <v>8.6</v>
      </c>
      <c r="G8346" s="20" t="n">
        <f aca="false">E8346+F8346</f>
        <v>187.85</v>
      </c>
      <c r="H8346" s="20" t="n">
        <f aca="false">IF(G8346&lt;Parametres!$B$8*Parametres!$B$7,0,MIN(G8346,Parametres!$B$7))</f>
        <v>187.85</v>
      </c>
      <c r="I8346" s="20" t="n">
        <f aca="false">G8346-H8346</f>
        <v>0</v>
      </c>
      <c r="J8346" s="21" t="n">
        <f aca="false">H8346*1000/Parametres!$B$9</f>
        <v>3185.51806003052</v>
      </c>
    </row>
    <row r="8347" customFormat="false" ht="15" hidden="false" customHeight="false" outlineLevel="0" collapsed="false">
      <c r="A8347" s="0" t="n">
        <v>8343</v>
      </c>
      <c r="B8347" s="0" t="n">
        <v>12</v>
      </c>
      <c r="C8347" s="19" t="n">
        <v>0.4609</v>
      </c>
      <c r="D8347" s="19" t="n">
        <v>0.0521</v>
      </c>
      <c r="E8347" s="20" t="n">
        <f aca="false">Parametres!$B$5*C8347</f>
        <v>138.27</v>
      </c>
      <c r="F8347" s="20" t="n">
        <f aca="false">Parametres!$B$6*D8347</f>
        <v>10.42</v>
      </c>
      <c r="G8347" s="20" t="n">
        <f aca="false">E8347+F8347</f>
        <v>148.69</v>
      </c>
      <c r="H8347" s="20" t="n">
        <f aca="false">IF(G8347&lt;Parametres!$B$8*Parametres!$B$7,0,MIN(G8347,Parametres!$B$7))</f>
        <v>148.69</v>
      </c>
      <c r="I8347" s="20" t="n">
        <f aca="false">G8347-H8347</f>
        <v>0</v>
      </c>
      <c r="J8347" s="21" t="n">
        <f aca="false">H8347*1000/Parametres!$B$9</f>
        <v>2521.45158555198</v>
      </c>
    </row>
    <row r="8348" customFormat="false" ht="15" hidden="false" customHeight="false" outlineLevel="0" collapsed="false">
      <c r="A8348" s="0" t="n">
        <v>8344</v>
      </c>
      <c r="B8348" s="0" t="n">
        <v>12</v>
      </c>
      <c r="C8348" s="19" t="n">
        <v>0.2892</v>
      </c>
      <c r="D8348" s="19" t="n">
        <v>0.0786</v>
      </c>
      <c r="E8348" s="20" t="n">
        <f aca="false">Parametres!$B$5*C8348</f>
        <v>86.76</v>
      </c>
      <c r="F8348" s="20" t="n">
        <f aca="false">Parametres!$B$6*D8348</f>
        <v>15.72</v>
      </c>
      <c r="G8348" s="20" t="n">
        <f aca="false">E8348+F8348</f>
        <v>102.48</v>
      </c>
      <c r="H8348" s="20" t="n">
        <f aca="false">IF(G8348&lt;Parametres!$B$8*Parametres!$B$7,0,MIN(G8348,Parametres!$B$7))</f>
        <v>102.48</v>
      </c>
      <c r="I8348" s="20" t="n">
        <f aca="false">G8348-H8348</f>
        <v>0</v>
      </c>
      <c r="J8348" s="21" t="n">
        <f aca="false">H8348*1000/Parametres!$B$9</f>
        <v>1737.83279633712</v>
      </c>
    </row>
    <row r="8349" customFormat="false" ht="15" hidden="false" customHeight="false" outlineLevel="0" collapsed="false">
      <c r="A8349" s="0" t="n">
        <v>8345</v>
      </c>
      <c r="B8349" s="0" t="n">
        <v>12</v>
      </c>
      <c r="C8349" s="19" t="n">
        <v>0.1011</v>
      </c>
      <c r="D8349" s="19" t="n">
        <v>0.0884</v>
      </c>
      <c r="E8349" s="20" t="n">
        <f aca="false">Parametres!$B$5*C8349</f>
        <v>30.33</v>
      </c>
      <c r="F8349" s="20" t="n">
        <f aca="false">Parametres!$B$6*D8349</f>
        <v>17.68</v>
      </c>
      <c r="G8349" s="20" t="n">
        <f aca="false">E8349+F8349</f>
        <v>48.01</v>
      </c>
      <c r="H8349" s="20" t="n">
        <f aca="false">IF(G8349&lt;Parametres!$B$8*Parametres!$B$7,0,MIN(G8349,Parametres!$B$7))</f>
        <v>48.01</v>
      </c>
      <c r="I8349" s="20" t="n">
        <f aca="false">G8349-H8349</f>
        <v>0</v>
      </c>
      <c r="J8349" s="21" t="n">
        <f aca="false">H8349*1000/Parametres!$B$9</f>
        <v>814.142784466678</v>
      </c>
    </row>
    <row r="8350" customFormat="false" ht="15" hidden="false" customHeight="false" outlineLevel="0" collapsed="false">
      <c r="A8350" s="0" t="n">
        <v>8346</v>
      </c>
      <c r="B8350" s="0" t="n">
        <v>12</v>
      </c>
      <c r="C8350" s="19" t="n">
        <v>0</v>
      </c>
      <c r="D8350" s="19" t="n">
        <v>0.0668</v>
      </c>
      <c r="E8350" s="20" t="n">
        <f aca="false">Parametres!$B$5*C8350</f>
        <v>0</v>
      </c>
      <c r="F8350" s="20" t="n">
        <f aca="false">Parametres!$B$6*D8350</f>
        <v>13.36</v>
      </c>
      <c r="G8350" s="20" t="n">
        <f aca="false">E8350+F8350</f>
        <v>13.36</v>
      </c>
      <c r="H8350" s="20" t="n">
        <f aca="false">IF(G8350&lt;Parametres!$B$8*Parametres!$B$7,0,MIN(G8350,Parametres!$B$7))</f>
        <v>0</v>
      </c>
      <c r="I8350" s="20" t="n">
        <f aca="false">G8350-H8350</f>
        <v>13.36</v>
      </c>
      <c r="J8350" s="21" t="n">
        <f aca="false">H8350*1000/Parametres!$B$9</f>
        <v>0</v>
      </c>
    </row>
    <row r="8351" customFormat="false" ht="15" hidden="false" customHeight="false" outlineLevel="0" collapsed="false">
      <c r="A8351" s="0" t="n">
        <v>8347</v>
      </c>
      <c r="B8351" s="0" t="n">
        <v>12</v>
      </c>
      <c r="C8351" s="19" t="n">
        <v>0</v>
      </c>
      <c r="D8351" s="19" t="n">
        <v>0.1793</v>
      </c>
      <c r="E8351" s="20" t="n">
        <f aca="false">Parametres!$B$5*C8351</f>
        <v>0</v>
      </c>
      <c r="F8351" s="20" t="n">
        <f aca="false">Parametres!$B$6*D8351</f>
        <v>35.86</v>
      </c>
      <c r="G8351" s="20" t="n">
        <f aca="false">E8351+F8351</f>
        <v>35.86</v>
      </c>
      <c r="H8351" s="20" t="n">
        <f aca="false">IF(G8351&lt;Parametres!$B$8*Parametres!$B$7,0,MIN(G8351,Parametres!$B$7))</f>
        <v>35.86</v>
      </c>
      <c r="I8351" s="20" t="n">
        <f aca="false">G8351-H8351</f>
        <v>0</v>
      </c>
      <c r="J8351" s="21" t="n">
        <f aca="false">H8351*1000/Parametres!$B$9</f>
        <v>608.105816516873</v>
      </c>
    </row>
    <row r="8352" customFormat="false" ht="15" hidden="false" customHeight="false" outlineLevel="0" collapsed="false">
      <c r="A8352" s="0" t="n">
        <v>8348</v>
      </c>
      <c r="B8352" s="0" t="n">
        <v>12</v>
      </c>
      <c r="C8352" s="19" t="n">
        <v>0</v>
      </c>
      <c r="D8352" s="19" t="n">
        <v>0.1706</v>
      </c>
      <c r="E8352" s="20" t="n">
        <f aca="false">Parametres!$B$5*C8352</f>
        <v>0</v>
      </c>
      <c r="F8352" s="20" t="n">
        <f aca="false">Parametres!$B$6*D8352</f>
        <v>34.12</v>
      </c>
      <c r="G8352" s="20" t="n">
        <f aca="false">E8352+F8352</f>
        <v>34.12</v>
      </c>
      <c r="H8352" s="20" t="n">
        <f aca="false">IF(G8352&lt;Parametres!$B$8*Parametres!$B$7,0,MIN(G8352,Parametres!$B$7))</f>
        <v>34.12</v>
      </c>
      <c r="I8352" s="20" t="n">
        <f aca="false">G8352-H8352</f>
        <v>0</v>
      </c>
      <c r="J8352" s="21" t="n">
        <f aca="false">H8352*1000/Parametres!$B$9</f>
        <v>578.599287773444</v>
      </c>
    </row>
    <row r="8353" customFormat="false" ht="15" hidden="false" customHeight="false" outlineLevel="0" collapsed="false">
      <c r="A8353" s="0" t="n">
        <v>8349</v>
      </c>
      <c r="B8353" s="0" t="n">
        <v>12</v>
      </c>
      <c r="C8353" s="19" t="n">
        <v>0</v>
      </c>
      <c r="D8353" s="19" t="n">
        <v>0.2408</v>
      </c>
      <c r="E8353" s="20" t="n">
        <f aca="false">Parametres!$B$5*C8353</f>
        <v>0</v>
      </c>
      <c r="F8353" s="20" t="n">
        <f aca="false">Parametres!$B$6*D8353</f>
        <v>48.16</v>
      </c>
      <c r="G8353" s="20" t="n">
        <f aca="false">E8353+F8353</f>
        <v>48.16</v>
      </c>
      <c r="H8353" s="20" t="n">
        <f aca="false">IF(G8353&lt;Parametres!$B$8*Parametres!$B$7,0,MIN(G8353,Parametres!$B$7))</f>
        <v>48.16</v>
      </c>
      <c r="I8353" s="20" t="n">
        <f aca="false">G8353-H8353</f>
        <v>0</v>
      </c>
      <c r="J8353" s="21" t="n">
        <f aca="false">H8353*1000/Parametres!$B$9</f>
        <v>816.686450737663</v>
      </c>
    </row>
    <row r="8354" customFormat="false" ht="15" hidden="false" customHeight="false" outlineLevel="0" collapsed="false">
      <c r="A8354" s="0" t="n">
        <v>8350</v>
      </c>
      <c r="B8354" s="0" t="n">
        <v>12</v>
      </c>
      <c r="C8354" s="19" t="n">
        <v>0</v>
      </c>
      <c r="D8354" s="19" t="n">
        <v>0.1742</v>
      </c>
      <c r="E8354" s="20" t="n">
        <f aca="false">Parametres!$B$5*C8354</f>
        <v>0</v>
      </c>
      <c r="F8354" s="20" t="n">
        <f aca="false">Parametres!$B$6*D8354</f>
        <v>34.84</v>
      </c>
      <c r="G8354" s="20" t="n">
        <f aca="false">E8354+F8354</f>
        <v>34.84</v>
      </c>
      <c r="H8354" s="20" t="n">
        <f aca="false">IF(G8354&lt;Parametres!$B$8*Parametres!$B$7,0,MIN(G8354,Parametres!$B$7))</f>
        <v>34.84</v>
      </c>
      <c r="I8354" s="20" t="n">
        <f aca="false">G8354-H8354</f>
        <v>0</v>
      </c>
      <c r="J8354" s="21" t="n">
        <f aca="false">H8354*1000/Parametres!$B$9</f>
        <v>590.808885874173</v>
      </c>
    </row>
    <row r="8355" customFormat="false" ht="15" hidden="false" customHeight="false" outlineLevel="0" collapsed="false">
      <c r="A8355" s="0" t="n">
        <v>8351</v>
      </c>
      <c r="B8355" s="0" t="n">
        <v>12</v>
      </c>
      <c r="C8355" s="19" t="n">
        <v>0</v>
      </c>
      <c r="D8355" s="19" t="n">
        <v>0.1785</v>
      </c>
      <c r="E8355" s="20" t="n">
        <f aca="false">Parametres!$B$5*C8355</f>
        <v>0</v>
      </c>
      <c r="F8355" s="20" t="n">
        <f aca="false">Parametres!$B$6*D8355</f>
        <v>35.7</v>
      </c>
      <c r="G8355" s="20" t="n">
        <f aca="false">E8355+F8355</f>
        <v>35.7</v>
      </c>
      <c r="H8355" s="20" t="n">
        <f aca="false">IF(G8355&lt;Parametres!$B$8*Parametres!$B$7,0,MIN(G8355,Parametres!$B$7))</f>
        <v>35.7</v>
      </c>
      <c r="I8355" s="20" t="n">
        <f aca="false">G8355-H8355</f>
        <v>0</v>
      </c>
      <c r="J8355" s="21" t="n">
        <f aca="false">H8355*1000/Parametres!$B$9</f>
        <v>605.392572494489</v>
      </c>
    </row>
    <row r="8356" customFormat="false" ht="15" hidden="false" customHeight="false" outlineLevel="0" collapsed="false">
      <c r="A8356" s="0" t="n">
        <v>8352</v>
      </c>
      <c r="B8356" s="0" t="n">
        <v>12</v>
      </c>
      <c r="C8356" s="19" t="n">
        <v>0</v>
      </c>
      <c r="D8356" s="19" t="n">
        <v>0.11</v>
      </c>
      <c r="E8356" s="20" t="n">
        <f aca="false">Parametres!$B$5*C8356</f>
        <v>0</v>
      </c>
      <c r="F8356" s="20" t="n">
        <f aca="false">Parametres!$B$6*D8356</f>
        <v>22</v>
      </c>
      <c r="G8356" s="20" t="n">
        <f aca="false">E8356+F8356</f>
        <v>22</v>
      </c>
      <c r="H8356" s="20" t="n">
        <f aca="false">IF(G8356&lt;Parametres!$B$8*Parametres!$B$7,0,MIN(G8356,Parametres!$B$7))</f>
        <v>0</v>
      </c>
      <c r="I8356" s="20" t="n">
        <f aca="false">G8356-H8356</f>
        <v>22</v>
      </c>
      <c r="J8356" s="21" t="n">
        <f aca="false">H8356*1000/Parametres!$B$9</f>
        <v>0</v>
      </c>
    </row>
    <row r="8357" customFormat="false" ht="15" hidden="false" customHeight="false" outlineLevel="0" collapsed="false">
      <c r="A8357" s="0" t="n">
        <v>8353</v>
      </c>
      <c r="B8357" s="0" t="n">
        <v>12</v>
      </c>
      <c r="C8357" s="19" t="n">
        <v>0</v>
      </c>
      <c r="D8357" s="19" t="n">
        <v>0.1881</v>
      </c>
      <c r="E8357" s="20" t="n">
        <f aca="false">Parametres!$B$5*C8357</f>
        <v>0</v>
      </c>
      <c r="F8357" s="20" t="n">
        <f aca="false">Parametres!$B$6*D8357</f>
        <v>37.62</v>
      </c>
      <c r="G8357" s="20" t="n">
        <f aca="false">E8357+F8357</f>
        <v>37.62</v>
      </c>
      <c r="H8357" s="20" t="n">
        <f aca="false">IF(G8357&lt;Parametres!$B$8*Parametres!$B$7,0,MIN(G8357,Parametres!$B$7))</f>
        <v>37.62</v>
      </c>
      <c r="I8357" s="20" t="n">
        <f aca="false">G8357-H8357</f>
        <v>0</v>
      </c>
      <c r="J8357" s="21" t="n">
        <f aca="false">H8357*1000/Parametres!$B$9</f>
        <v>637.9515007631</v>
      </c>
    </row>
    <row r="8358" customFormat="false" ht="15" hidden="false" customHeight="false" outlineLevel="0" collapsed="false">
      <c r="A8358" s="0" t="n">
        <v>8354</v>
      </c>
      <c r="B8358" s="0" t="n">
        <v>12</v>
      </c>
      <c r="C8358" s="19" t="n">
        <v>0</v>
      </c>
      <c r="D8358" s="19" t="n">
        <v>0.1659</v>
      </c>
      <c r="E8358" s="20" t="n">
        <f aca="false">Parametres!$B$5*C8358</f>
        <v>0</v>
      </c>
      <c r="F8358" s="20" t="n">
        <f aca="false">Parametres!$B$6*D8358</f>
        <v>33.18</v>
      </c>
      <c r="G8358" s="20" t="n">
        <f aca="false">E8358+F8358</f>
        <v>33.18</v>
      </c>
      <c r="H8358" s="20" t="n">
        <f aca="false">IF(G8358&lt;Parametres!$B$8*Parametres!$B$7,0,MIN(G8358,Parametres!$B$7))</f>
        <v>33.18</v>
      </c>
      <c r="I8358" s="20" t="n">
        <f aca="false">G8358-H8358</f>
        <v>0</v>
      </c>
      <c r="J8358" s="21" t="n">
        <f aca="false">H8358*1000/Parametres!$B$9</f>
        <v>562.658979141937</v>
      </c>
    </row>
    <row r="8359" customFormat="false" ht="15" hidden="false" customHeight="false" outlineLevel="0" collapsed="false">
      <c r="A8359" s="0" t="n">
        <v>8355</v>
      </c>
      <c r="B8359" s="0" t="n">
        <v>12</v>
      </c>
      <c r="C8359" s="19" t="n">
        <v>0</v>
      </c>
      <c r="D8359" s="19" t="n">
        <v>0.1554</v>
      </c>
      <c r="E8359" s="20" t="n">
        <f aca="false">Parametres!$B$5*C8359</f>
        <v>0</v>
      </c>
      <c r="F8359" s="20" t="n">
        <f aca="false">Parametres!$B$6*D8359</f>
        <v>31.08</v>
      </c>
      <c r="G8359" s="20" t="n">
        <f aca="false">E8359+F8359</f>
        <v>31.08</v>
      </c>
      <c r="H8359" s="20" t="n">
        <f aca="false">IF(G8359&lt;Parametres!$B$8*Parametres!$B$7,0,MIN(G8359,Parametres!$B$7))</f>
        <v>31.08</v>
      </c>
      <c r="I8359" s="20" t="n">
        <f aca="false">G8359-H8359</f>
        <v>0</v>
      </c>
      <c r="J8359" s="21" t="n">
        <f aca="false">H8359*1000/Parametres!$B$9</f>
        <v>527.047651348143</v>
      </c>
    </row>
    <row r="8360" customFormat="false" ht="15" hidden="false" customHeight="false" outlineLevel="0" collapsed="false">
      <c r="A8360" s="0" t="n">
        <v>8356</v>
      </c>
      <c r="B8360" s="0" t="n">
        <v>12</v>
      </c>
      <c r="C8360" s="19" t="n">
        <v>0</v>
      </c>
      <c r="D8360" s="19" t="n">
        <v>0.4367</v>
      </c>
      <c r="E8360" s="20" t="n">
        <f aca="false">Parametres!$B$5*C8360</f>
        <v>0</v>
      </c>
      <c r="F8360" s="20" t="n">
        <f aca="false">Parametres!$B$6*D8360</f>
        <v>87.34</v>
      </c>
      <c r="G8360" s="20" t="n">
        <f aca="false">E8360+F8360</f>
        <v>87.34</v>
      </c>
      <c r="H8360" s="20" t="n">
        <f aca="false">IF(G8360&lt;Parametres!$B$8*Parametres!$B$7,0,MIN(G8360,Parametres!$B$7))</f>
        <v>87.34</v>
      </c>
      <c r="I8360" s="20" t="n">
        <f aca="false">G8360-H8360</f>
        <v>0</v>
      </c>
      <c r="J8360" s="21" t="n">
        <f aca="false">H8360*1000/Parametres!$B$9</f>
        <v>1481.09208071901</v>
      </c>
    </row>
    <row r="8361" customFormat="false" ht="15" hidden="false" customHeight="false" outlineLevel="0" collapsed="false">
      <c r="A8361" s="0" t="n">
        <v>8357</v>
      </c>
      <c r="B8361" s="0" t="n">
        <v>12</v>
      </c>
      <c r="C8361" s="19" t="n">
        <v>0</v>
      </c>
      <c r="D8361" s="19" t="n">
        <v>0.2653</v>
      </c>
      <c r="E8361" s="20" t="n">
        <f aca="false">Parametres!$B$5*C8361</f>
        <v>0</v>
      </c>
      <c r="F8361" s="20" t="n">
        <f aca="false">Parametres!$B$6*D8361</f>
        <v>53.06</v>
      </c>
      <c r="G8361" s="20" t="n">
        <f aca="false">E8361+F8361</f>
        <v>53.06</v>
      </c>
      <c r="H8361" s="20" t="n">
        <f aca="false">IF(G8361&lt;Parametres!$B$8*Parametres!$B$7,0,MIN(G8361,Parametres!$B$7))</f>
        <v>53.06</v>
      </c>
      <c r="I8361" s="20" t="n">
        <f aca="false">G8361-H8361</f>
        <v>0</v>
      </c>
      <c r="J8361" s="21" t="n">
        <f aca="false">H8361*1000/Parametres!$B$9</f>
        <v>899.779548923181</v>
      </c>
    </row>
    <row r="8362" customFormat="false" ht="15" hidden="false" customHeight="false" outlineLevel="0" collapsed="false">
      <c r="A8362" s="0" t="n">
        <v>8358</v>
      </c>
      <c r="B8362" s="0" t="n">
        <v>12</v>
      </c>
      <c r="C8362" s="19" t="n">
        <v>0</v>
      </c>
      <c r="D8362" s="19" t="n">
        <v>0.2733</v>
      </c>
      <c r="E8362" s="20" t="n">
        <f aca="false">Parametres!$B$5*C8362</f>
        <v>0</v>
      </c>
      <c r="F8362" s="20" t="n">
        <f aca="false">Parametres!$B$6*D8362</f>
        <v>54.66</v>
      </c>
      <c r="G8362" s="20" t="n">
        <f aca="false">E8362+F8362</f>
        <v>54.66</v>
      </c>
      <c r="H8362" s="20" t="n">
        <f aca="false">IF(G8362&lt;Parametres!$B$8*Parametres!$B$7,0,MIN(G8362,Parametres!$B$7))</f>
        <v>54.66</v>
      </c>
      <c r="I8362" s="20" t="n">
        <f aca="false">G8362-H8362</f>
        <v>0</v>
      </c>
      <c r="J8362" s="21" t="n">
        <f aca="false">H8362*1000/Parametres!$B$9</f>
        <v>926.911989147024</v>
      </c>
    </row>
    <row r="8363" customFormat="false" ht="15" hidden="false" customHeight="false" outlineLevel="0" collapsed="false">
      <c r="A8363" s="0" t="n">
        <v>8359</v>
      </c>
      <c r="B8363" s="0" t="n">
        <v>12</v>
      </c>
      <c r="C8363" s="19" t="n">
        <v>0</v>
      </c>
      <c r="D8363" s="19" t="n">
        <v>0.2874</v>
      </c>
      <c r="E8363" s="20" t="n">
        <f aca="false">Parametres!$B$5*C8363</f>
        <v>0</v>
      </c>
      <c r="F8363" s="20" t="n">
        <f aca="false">Parametres!$B$6*D8363</f>
        <v>57.48</v>
      </c>
      <c r="G8363" s="20" t="n">
        <f aca="false">E8363+F8363</f>
        <v>57.48</v>
      </c>
      <c r="H8363" s="20" t="n">
        <f aca="false">IF(G8363&lt;Parametres!$B$8*Parametres!$B$7,0,MIN(G8363,Parametres!$B$7))</f>
        <v>57.48</v>
      </c>
      <c r="I8363" s="20" t="n">
        <f aca="false">G8363-H8363</f>
        <v>0</v>
      </c>
      <c r="J8363" s="21" t="n">
        <f aca="false">H8363*1000/Parametres!$B$9</f>
        <v>974.732915041547</v>
      </c>
    </row>
    <row r="8364" customFormat="false" ht="15" hidden="false" customHeight="false" outlineLevel="0" collapsed="false">
      <c r="A8364" s="0" t="n">
        <v>8360</v>
      </c>
      <c r="B8364" s="0" t="n">
        <v>12</v>
      </c>
      <c r="C8364" s="19" t="n">
        <v>0.1087</v>
      </c>
      <c r="D8364" s="19" t="n">
        <v>0.3262</v>
      </c>
      <c r="E8364" s="20" t="n">
        <f aca="false">Parametres!$B$5*C8364</f>
        <v>32.61</v>
      </c>
      <c r="F8364" s="20" t="n">
        <f aca="false">Parametres!$B$6*D8364</f>
        <v>65.24</v>
      </c>
      <c r="G8364" s="20" t="n">
        <f aca="false">E8364+F8364</f>
        <v>97.85</v>
      </c>
      <c r="H8364" s="20" t="n">
        <f aca="false">IF(G8364&lt;Parametres!$B$8*Parametres!$B$7,0,MIN(G8364,Parametres!$B$7))</f>
        <v>97.85</v>
      </c>
      <c r="I8364" s="20" t="n">
        <f aca="false">G8364-H8364</f>
        <v>0</v>
      </c>
      <c r="J8364" s="21" t="n">
        <f aca="false">H8364*1000/Parametres!$B$9</f>
        <v>1659.31829743938</v>
      </c>
    </row>
    <row r="8365" customFormat="false" ht="15" hidden="false" customHeight="false" outlineLevel="0" collapsed="false">
      <c r="A8365" s="0" t="n">
        <v>8361</v>
      </c>
      <c r="B8365" s="0" t="n">
        <v>12</v>
      </c>
      <c r="C8365" s="19" t="n">
        <v>0.2855</v>
      </c>
      <c r="D8365" s="19" t="n">
        <v>0.4086</v>
      </c>
      <c r="E8365" s="20" t="n">
        <f aca="false">Parametres!$B$5*C8365</f>
        <v>85.65</v>
      </c>
      <c r="F8365" s="20" t="n">
        <f aca="false">Parametres!$B$6*D8365</f>
        <v>81.72</v>
      </c>
      <c r="G8365" s="20" t="n">
        <f aca="false">E8365+F8365</f>
        <v>167.37</v>
      </c>
      <c r="H8365" s="20" t="n">
        <f aca="false">IF(G8365&lt;Parametres!$B$8*Parametres!$B$7,0,MIN(G8365,Parametres!$B$7))</f>
        <v>167.37</v>
      </c>
      <c r="I8365" s="20" t="n">
        <f aca="false">G8365-H8365</f>
        <v>0</v>
      </c>
      <c r="J8365" s="21" t="n">
        <f aca="false">H8365*1000/Parametres!$B$9</f>
        <v>2838.22282516534</v>
      </c>
    </row>
    <row r="8366" customFormat="false" ht="15" hidden="false" customHeight="false" outlineLevel="0" collapsed="false">
      <c r="A8366" s="0" t="n">
        <v>8362</v>
      </c>
      <c r="B8366" s="0" t="n">
        <v>12</v>
      </c>
      <c r="C8366" s="19" t="n">
        <v>0.4736</v>
      </c>
      <c r="D8366" s="19" t="n">
        <v>0.3277</v>
      </c>
      <c r="E8366" s="20" t="n">
        <f aca="false">Parametres!$B$5*C8366</f>
        <v>142.08</v>
      </c>
      <c r="F8366" s="20" t="n">
        <f aca="false">Parametres!$B$6*D8366</f>
        <v>65.54</v>
      </c>
      <c r="G8366" s="20" t="n">
        <f aca="false">E8366+F8366</f>
        <v>207.62</v>
      </c>
      <c r="H8366" s="20" t="n">
        <f aca="false">IF(G8366&lt;Parametres!$B$8*Parametres!$B$7,0,MIN(G8366,Parametres!$B$7))</f>
        <v>207.62</v>
      </c>
      <c r="I8366" s="20" t="n">
        <f aca="false">G8366-H8366</f>
        <v>0</v>
      </c>
      <c r="J8366" s="21" t="n">
        <f aca="false">H8366*1000/Parametres!$B$9</f>
        <v>3520.77327454638</v>
      </c>
    </row>
    <row r="8367" customFormat="false" ht="15" hidden="false" customHeight="false" outlineLevel="0" collapsed="false">
      <c r="A8367" s="0" t="n">
        <v>8363</v>
      </c>
      <c r="B8367" s="0" t="n">
        <v>12</v>
      </c>
      <c r="C8367" s="19" t="n">
        <v>0.6109</v>
      </c>
      <c r="D8367" s="19" t="n">
        <v>0.2848</v>
      </c>
      <c r="E8367" s="20" t="n">
        <f aca="false">Parametres!$B$5*C8367</f>
        <v>183.27</v>
      </c>
      <c r="F8367" s="20" t="n">
        <f aca="false">Parametres!$B$6*D8367</f>
        <v>56.96</v>
      </c>
      <c r="G8367" s="20" t="n">
        <f aca="false">E8367+F8367</f>
        <v>240.23</v>
      </c>
      <c r="H8367" s="20" t="n">
        <f aca="false">IF(G8367&lt;Parametres!$B$8*Parametres!$B$7,0,MIN(G8367,Parametres!$B$7))</f>
        <v>240.23</v>
      </c>
      <c r="I8367" s="20" t="n">
        <f aca="false">G8367-H8367</f>
        <v>0</v>
      </c>
      <c r="J8367" s="21" t="n">
        <f aca="false">H8367*1000/Parametres!$B$9</f>
        <v>4073.76632185857</v>
      </c>
    </row>
    <row r="8368" customFormat="false" ht="15" hidden="false" customHeight="false" outlineLevel="0" collapsed="false">
      <c r="A8368" s="0" t="n">
        <v>8364</v>
      </c>
      <c r="B8368" s="0" t="n">
        <v>12</v>
      </c>
      <c r="C8368" s="19" t="n">
        <v>0.7053</v>
      </c>
      <c r="D8368" s="19" t="n">
        <v>0.4142</v>
      </c>
      <c r="E8368" s="20" t="n">
        <f aca="false">Parametres!$B$5*C8368</f>
        <v>211.59</v>
      </c>
      <c r="F8368" s="20" t="n">
        <f aca="false">Parametres!$B$6*D8368</f>
        <v>82.84</v>
      </c>
      <c r="G8368" s="20" t="n">
        <f aca="false">E8368+F8368</f>
        <v>294.43</v>
      </c>
      <c r="H8368" s="20" t="n">
        <f aca="false">IF(G8368&lt;Parametres!$B$8*Parametres!$B$7,0,MIN(G8368,Parametres!$B$7))</f>
        <v>250</v>
      </c>
      <c r="I8368" s="20" t="n">
        <f aca="false">G8368-H8368</f>
        <v>44.43</v>
      </c>
      <c r="J8368" s="21" t="n">
        <f aca="false">H8368*1000/Parametres!$B$9</f>
        <v>4239.44378497541</v>
      </c>
    </row>
    <row r="8369" customFormat="false" ht="15" hidden="false" customHeight="false" outlineLevel="0" collapsed="false">
      <c r="A8369" s="0" t="n">
        <v>8365</v>
      </c>
      <c r="B8369" s="0" t="n">
        <v>12</v>
      </c>
      <c r="C8369" s="19" t="n">
        <v>0.6713</v>
      </c>
      <c r="D8369" s="19" t="n">
        <v>0.3861</v>
      </c>
      <c r="E8369" s="20" t="n">
        <f aca="false">Parametres!$B$5*C8369</f>
        <v>201.39</v>
      </c>
      <c r="F8369" s="20" t="n">
        <f aca="false">Parametres!$B$6*D8369</f>
        <v>77.22</v>
      </c>
      <c r="G8369" s="20" t="n">
        <f aca="false">E8369+F8369</f>
        <v>278.61</v>
      </c>
      <c r="H8369" s="20" t="n">
        <f aca="false">IF(G8369&lt;Parametres!$B$8*Parametres!$B$7,0,MIN(G8369,Parametres!$B$7))</f>
        <v>250</v>
      </c>
      <c r="I8369" s="20" t="n">
        <f aca="false">G8369-H8369</f>
        <v>28.61</v>
      </c>
      <c r="J8369" s="21" t="n">
        <f aca="false">H8369*1000/Parametres!$B$9</f>
        <v>4239.44378497541</v>
      </c>
    </row>
    <row r="8370" customFormat="false" ht="15" hidden="false" customHeight="false" outlineLevel="0" collapsed="false">
      <c r="A8370" s="0" t="n">
        <v>8366</v>
      </c>
      <c r="B8370" s="0" t="n">
        <v>12</v>
      </c>
      <c r="C8370" s="19" t="n">
        <v>0.5791</v>
      </c>
      <c r="D8370" s="19" t="n">
        <v>0.4777</v>
      </c>
      <c r="E8370" s="20" t="n">
        <f aca="false">Parametres!$B$5*C8370</f>
        <v>173.73</v>
      </c>
      <c r="F8370" s="20" t="n">
        <f aca="false">Parametres!$B$6*D8370</f>
        <v>95.54</v>
      </c>
      <c r="G8370" s="20" t="n">
        <f aca="false">E8370+F8370</f>
        <v>269.27</v>
      </c>
      <c r="H8370" s="20" t="n">
        <f aca="false">IF(G8370&lt;Parametres!$B$8*Parametres!$B$7,0,MIN(G8370,Parametres!$B$7))</f>
        <v>250</v>
      </c>
      <c r="I8370" s="20" t="n">
        <f aca="false">G8370-H8370</f>
        <v>19.27</v>
      </c>
      <c r="J8370" s="21" t="n">
        <f aca="false">H8370*1000/Parametres!$B$9</f>
        <v>4239.44378497541</v>
      </c>
    </row>
    <row r="8371" customFormat="false" ht="15" hidden="false" customHeight="false" outlineLevel="0" collapsed="false">
      <c r="A8371" s="0" t="n">
        <v>8367</v>
      </c>
      <c r="B8371" s="0" t="n">
        <v>12</v>
      </c>
      <c r="C8371" s="19" t="n">
        <v>0.4865</v>
      </c>
      <c r="D8371" s="19" t="n">
        <v>0.53</v>
      </c>
      <c r="E8371" s="20" t="n">
        <f aca="false">Parametres!$B$5*C8371</f>
        <v>145.95</v>
      </c>
      <c r="F8371" s="20" t="n">
        <f aca="false">Parametres!$B$6*D8371</f>
        <v>106</v>
      </c>
      <c r="G8371" s="20" t="n">
        <f aca="false">E8371+F8371</f>
        <v>251.95</v>
      </c>
      <c r="H8371" s="20" t="n">
        <f aca="false">IF(G8371&lt;Parametres!$B$8*Parametres!$B$7,0,MIN(G8371,Parametres!$B$7))</f>
        <v>250</v>
      </c>
      <c r="I8371" s="20" t="n">
        <f aca="false">G8371-H8371</f>
        <v>1.94999999999999</v>
      </c>
      <c r="J8371" s="21" t="n">
        <f aca="false">H8371*1000/Parametres!$B$9</f>
        <v>4239.44378497541</v>
      </c>
    </row>
    <row r="8372" customFormat="false" ht="15" hidden="false" customHeight="false" outlineLevel="0" collapsed="false">
      <c r="A8372" s="0" t="n">
        <v>8368</v>
      </c>
      <c r="B8372" s="0" t="n">
        <v>12</v>
      </c>
      <c r="C8372" s="19" t="n">
        <v>0.305</v>
      </c>
      <c r="D8372" s="19" t="n">
        <v>0.7911</v>
      </c>
      <c r="E8372" s="20" t="n">
        <f aca="false">Parametres!$B$5*C8372</f>
        <v>91.5</v>
      </c>
      <c r="F8372" s="20" t="n">
        <f aca="false">Parametres!$B$6*D8372</f>
        <v>158.22</v>
      </c>
      <c r="G8372" s="20" t="n">
        <f aca="false">E8372+F8372</f>
        <v>249.72</v>
      </c>
      <c r="H8372" s="20" t="n">
        <f aca="false">IF(G8372&lt;Parametres!$B$8*Parametres!$B$7,0,MIN(G8372,Parametres!$B$7))</f>
        <v>249.72</v>
      </c>
      <c r="I8372" s="20" t="n">
        <f aca="false">G8372-H8372</f>
        <v>0</v>
      </c>
      <c r="J8372" s="21" t="n">
        <f aca="false">H8372*1000/Parametres!$B$9</f>
        <v>4234.69560793624</v>
      </c>
    </row>
    <row r="8373" customFormat="false" ht="15" hidden="false" customHeight="false" outlineLevel="0" collapsed="false">
      <c r="A8373" s="0" t="n">
        <v>8369</v>
      </c>
      <c r="B8373" s="0" t="n">
        <v>12</v>
      </c>
      <c r="C8373" s="19" t="n">
        <v>0.1106</v>
      </c>
      <c r="D8373" s="19" t="n">
        <v>1</v>
      </c>
      <c r="E8373" s="20" t="n">
        <f aca="false">Parametres!$B$5*C8373</f>
        <v>33.18</v>
      </c>
      <c r="F8373" s="20" t="n">
        <f aca="false">Parametres!$B$6*D8373</f>
        <v>200</v>
      </c>
      <c r="G8373" s="20" t="n">
        <f aca="false">E8373+F8373</f>
        <v>233.18</v>
      </c>
      <c r="H8373" s="20" t="n">
        <f aca="false">IF(G8373&lt;Parametres!$B$8*Parametres!$B$7,0,MIN(G8373,Parametres!$B$7))</f>
        <v>233.18</v>
      </c>
      <c r="I8373" s="20" t="n">
        <f aca="false">G8373-H8373</f>
        <v>0</v>
      </c>
      <c r="J8373" s="21" t="n">
        <f aca="false">H8373*1000/Parametres!$B$9</f>
        <v>3954.21400712227</v>
      </c>
    </row>
    <row r="8374" customFormat="false" ht="15" hidden="false" customHeight="false" outlineLevel="0" collapsed="false">
      <c r="A8374" s="0" t="n">
        <v>8370</v>
      </c>
      <c r="B8374" s="0" t="n">
        <v>12</v>
      </c>
      <c r="C8374" s="19" t="n">
        <v>0</v>
      </c>
      <c r="D8374" s="19" t="n">
        <v>1</v>
      </c>
      <c r="E8374" s="20" t="n">
        <f aca="false">Parametres!$B$5*C8374</f>
        <v>0</v>
      </c>
      <c r="F8374" s="20" t="n">
        <f aca="false">Parametres!$B$6*D8374</f>
        <v>200</v>
      </c>
      <c r="G8374" s="20" t="n">
        <f aca="false">E8374+F8374</f>
        <v>200</v>
      </c>
      <c r="H8374" s="20" t="n">
        <f aca="false">IF(G8374&lt;Parametres!$B$8*Parametres!$B$7,0,MIN(G8374,Parametres!$B$7))</f>
        <v>200</v>
      </c>
      <c r="I8374" s="20" t="n">
        <f aca="false">G8374-H8374</f>
        <v>0</v>
      </c>
      <c r="J8374" s="21" t="n">
        <f aca="false">H8374*1000/Parametres!$B$9</f>
        <v>3391.55502798033</v>
      </c>
    </row>
    <row r="8375" customFormat="false" ht="15" hidden="false" customHeight="false" outlineLevel="0" collapsed="false">
      <c r="A8375" s="0" t="n">
        <v>8371</v>
      </c>
      <c r="B8375" s="0" t="n">
        <v>12</v>
      </c>
      <c r="C8375" s="19" t="n">
        <v>0</v>
      </c>
      <c r="D8375" s="19" t="n">
        <v>0.8772</v>
      </c>
      <c r="E8375" s="20" t="n">
        <f aca="false">Parametres!$B$5*C8375</f>
        <v>0</v>
      </c>
      <c r="F8375" s="20" t="n">
        <f aca="false">Parametres!$B$6*D8375</f>
        <v>175.44</v>
      </c>
      <c r="G8375" s="20" t="n">
        <f aca="false">E8375+F8375</f>
        <v>175.44</v>
      </c>
      <c r="H8375" s="20" t="n">
        <f aca="false">IF(G8375&lt;Parametres!$B$8*Parametres!$B$7,0,MIN(G8375,Parametres!$B$7))</f>
        <v>175.44</v>
      </c>
      <c r="I8375" s="20" t="n">
        <f aca="false">G8375-H8375</f>
        <v>0</v>
      </c>
      <c r="J8375" s="21" t="n">
        <f aca="false">H8375*1000/Parametres!$B$9</f>
        <v>2975.07207054434</v>
      </c>
    </row>
    <row r="8376" customFormat="false" ht="15" hidden="false" customHeight="false" outlineLevel="0" collapsed="false">
      <c r="A8376" s="0" t="n">
        <v>8372</v>
      </c>
      <c r="B8376" s="0" t="n">
        <v>12</v>
      </c>
      <c r="C8376" s="19" t="n">
        <v>0</v>
      </c>
      <c r="D8376" s="19" t="n">
        <v>0.9442</v>
      </c>
      <c r="E8376" s="20" t="n">
        <f aca="false">Parametres!$B$5*C8376</f>
        <v>0</v>
      </c>
      <c r="F8376" s="20" t="n">
        <f aca="false">Parametres!$B$6*D8376</f>
        <v>188.84</v>
      </c>
      <c r="G8376" s="20" t="n">
        <f aca="false">E8376+F8376</f>
        <v>188.84</v>
      </c>
      <c r="H8376" s="20" t="n">
        <f aca="false">IF(G8376&lt;Parametres!$B$8*Parametres!$B$7,0,MIN(G8376,Parametres!$B$7))</f>
        <v>188.84</v>
      </c>
      <c r="I8376" s="20" t="n">
        <f aca="false">G8376-H8376</f>
        <v>0</v>
      </c>
      <c r="J8376" s="21" t="n">
        <f aca="false">H8376*1000/Parametres!$B$9</f>
        <v>3202.30625741903</v>
      </c>
    </row>
    <row r="8377" customFormat="false" ht="15" hidden="false" customHeight="false" outlineLevel="0" collapsed="false">
      <c r="A8377" s="0" t="n">
        <v>8373</v>
      </c>
      <c r="B8377" s="0" t="n">
        <v>12</v>
      </c>
      <c r="C8377" s="19" t="n">
        <v>0</v>
      </c>
      <c r="D8377" s="19" t="n">
        <v>0.8695</v>
      </c>
      <c r="E8377" s="20" t="n">
        <f aca="false">Parametres!$B$5*C8377</f>
        <v>0</v>
      </c>
      <c r="F8377" s="20" t="n">
        <f aca="false">Parametres!$B$6*D8377</f>
        <v>173.9</v>
      </c>
      <c r="G8377" s="20" t="n">
        <f aca="false">E8377+F8377</f>
        <v>173.9</v>
      </c>
      <c r="H8377" s="20" t="n">
        <f aca="false">IF(G8377&lt;Parametres!$B$8*Parametres!$B$7,0,MIN(G8377,Parametres!$B$7))</f>
        <v>173.9</v>
      </c>
      <c r="I8377" s="20" t="n">
        <f aca="false">G8377-H8377</f>
        <v>0</v>
      </c>
      <c r="J8377" s="21" t="n">
        <f aca="false">H8377*1000/Parametres!$B$9</f>
        <v>2948.9570968289</v>
      </c>
    </row>
    <row r="8378" customFormat="false" ht="15" hidden="false" customHeight="false" outlineLevel="0" collapsed="false">
      <c r="A8378" s="0" t="n">
        <v>8374</v>
      </c>
      <c r="B8378" s="0" t="n">
        <v>12</v>
      </c>
      <c r="C8378" s="19" t="n">
        <v>0</v>
      </c>
      <c r="D8378" s="19" t="n">
        <v>1</v>
      </c>
      <c r="E8378" s="20" t="n">
        <f aca="false">Parametres!$B$5*C8378</f>
        <v>0</v>
      </c>
      <c r="F8378" s="20" t="n">
        <f aca="false">Parametres!$B$6*D8378</f>
        <v>200</v>
      </c>
      <c r="G8378" s="20" t="n">
        <f aca="false">E8378+F8378</f>
        <v>200</v>
      </c>
      <c r="H8378" s="20" t="n">
        <f aca="false">IF(G8378&lt;Parametres!$B$8*Parametres!$B$7,0,MIN(G8378,Parametres!$B$7))</f>
        <v>200</v>
      </c>
      <c r="I8378" s="20" t="n">
        <f aca="false">G8378-H8378</f>
        <v>0</v>
      </c>
      <c r="J8378" s="21" t="n">
        <f aca="false">H8378*1000/Parametres!$B$9</f>
        <v>3391.55502798033</v>
      </c>
    </row>
    <row r="8379" customFormat="false" ht="15" hidden="false" customHeight="false" outlineLevel="0" collapsed="false">
      <c r="A8379" s="0" t="n">
        <v>8375</v>
      </c>
      <c r="B8379" s="0" t="n">
        <v>12</v>
      </c>
      <c r="C8379" s="19" t="n">
        <v>0</v>
      </c>
      <c r="D8379" s="19" t="n">
        <v>1</v>
      </c>
      <c r="E8379" s="20" t="n">
        <f aca="false">Parametres!$B$5*C8379</f>
        <v>0</v>
      </c>
      <c r="F8379" s="20" t="n">
        <f aca="false">Parametres!$B$6*D8379</f>
        <v>200</v>
      </c>
      <c r="G8379" s="20" t="n">
        <f aca="false">E8379+F8379</f>
        <v>200</v>
      </c>
      <c r="H8379" s="20" t="n">
        <f aca="false">IF(G8379&lt;Parametres!$B$8*Parametres!$B$7,0,MIN(G8379,Parametres!$B$7))</f>
        <v>200</v>
      </c>
      <c r="I8379" s="20" t="n">
        <f aca="false">G8379-H8379</f>
        <v>0</v>
      </c>
      <c r="J8379" s="21" t="n">
        <f aca="false">H8379*1000/Parametres!$B$9</f>
        <v>3391.55502798033</v>
      </c>
    </row>
    <row r="8380" customFormat="false" ht="15" hidden="false" customHeight="false" outlineLevel="0" collapsed="false">
      <c r="A8380" s="0" t="n">
        <v>8376</v>
      </c>
      <c r="B8380" s="0" t="n">
        <v>12</v>
      </c>
      <c r="C8380" s="19" t="n">
        <v>0</v>
      </c>
      <c r="D8380" s="19" t="n">
        <v>1</v>
      </c>
      <c r="E8380" s="20" t="n">
        <f aca="false">Parametres!$B$5*C8380</f>
        <v>0</v>
      </c>
      <c r="F8380" s="20" t="n">
        <f aca="false">Parametres!$B$6*D8380</f>
        <v>200</v>
      </c>
      <c r="G8380" s="20" t="n">
        <f aca="false">E8380+F8380</f>
        <v>200</v>
      </c>
      <c r="H8380" s="20" t="n">
        <f aca="false">IF(G8380&lt;Parametres!$B$8*Parametres!$B$7,0,MIN(G8380,Parametres!$B$7))</f>
        <v>200</v>
      </c>
      <c r="I8380" s="20" t="n">
        <f aca="false">G8380-H8380</f>
        <v>0</v>
      </c>
      <c r="J8380" s="21" t="n">
        <f aca="false">H8380*1000/Parametres!$B$9</f>
        <v>3391.55502798033</v>
      </c>
    </row>
    <row r="8381" customFormat="false" ht="15" hidden="false" customHeight="false" outlineLevel="0" collapsed="false">
      <c r="A8381" s="0" t="n">
        <v>8377</v>
      </c>
      <c r="B8381" s="0" t="n">
        <v>12</v>
      </c>
      <c r="C8381" s="19" t="n">
        <v>0</v>
      </c>
      <c r="D8381" s="19" t="n">
        <v>0.78</v>
      </c>
      <c r="E8381" s="20" t="n">
        <f aca="false">Parametres!$B$5*C8381</f>
        <v>0</v>
      </c>
      <c r="F8381" s="20" t="n">
        <f aca="false">Parametres!$B$6*D8381</f>
        <v>156</v>
      </c>
      <c r="G8381" s="20" t="n">
        <f aca="false">E8381+F8381</f>
        <v>156</v>
      </c>
      <c r="H8381" s="20" t="n">
        <f aca="false">IF(G8381&lt;Parametres!$B$8*Parametres!$B$7,0,MIN(G8381,Parametres!$B$7))</f>
        <v>156</v>
      </c>
      <c r="I8381" s="20" t="n">
        <f aca="false">G8381-H8381</f>
        <v>0</v>
      </c>
      <c r="J8381" s="21" t="n">
        <f aca="false">H8381*1000/Parametres!$B$9</f>
        <v>2645.41292182466</v>
      </c>
    </row>
    <row r="8382" customFormat="false" ht="15" hidden="false" customHeight="false" outlineLevel="0" collapsed="false">
      <c r="A8382" s="0" t="n">
        <v>8378</v>
      </c>
      <c r="B8382" s="0" t="n">
        <v>12</v>
      </c>
      <c r="C8382" s="19" t="n">
        <v>0</v>
      </c>
      <c r="D8382" s="19" t="n">
        <v>1</v>
      </c>
      <c r="E8382" s="20" t="n">
        <f aca="false">Parametres!$B$5*C8382</f>
        <v>0</v>
      </c>
      <c r="F8382" s="20" t="n">
        <f aca="false">Parametres!$B$6*D8382</f>
        <v>200</v>
      </c>
      <c r="G8382" s="20" t="n">
        <f aca="false">E8382+F8382</f>
        <v>200</v>
      </c>
      <c r="H8382" s="20" t="n">
        <f aca="false">IF(G8382&lt;Parametres!$B$8*Parametres!$B$7,0,MIN(G8382,Parametres!$B$7))</f>
        <v>200</v>
      </c>
      <c r="I8382" s="20" t="n">
        <f aca="false">G8382-H8382</f>
        <v>0</v>
      </c>
      <c r="J8382" s="21" t="n">
        <f aca="false">H8382*1000/Parametres!$B$9</f>
        <v>3391.55502798033</v>
      </c>
    </row>
    <row r="8383" customFormat="false" ht="15" hidden="false" customHeight="false" outlineLevel="0" collapsed="false">
      <c r="A8383" s="0" t="n">
        <v>8379</v>
      </c>
      <c r="B8383" s="0" t="n">
        <v>12</v>
      </c>
      <c r="C8383" s="19" t="n">
        <v>0</v>
      </c>
      <c r="D8383" s="19" t="n">
        <v>1</v>
      </c>
      <c r="E8383" s="20" t="n">
        <f aca="false">Parametres!$B$5*C8383</f>
        <v>0</v>
      </c>
      <c r="F8383" s="20" t="n">
        <f aca="false">Parametres!$B$6*D8383</f>
        <v>200</v>
      </c>
      <c r="G8383" s="20" t="n">
        <f aca="false">E8383+F8383</f>
        <v>200</v>
      </c>
      <c r="H8383" s="20" t="n">
        <f aca="false">IF(G8383&lt;Parametres!$B$8*Parametres!$B$7,0,MIN(G8383,Parametres!$B$7))</f>
        <v>200</v>
      </c>
      <c r="I8383" s="20" t="n">
        <f aca="false">G8383-H8383</f>
        <v>0</v>
      </c>
      <c r="J8383" s="21" t="n">
        <f aca="false">H8383*1000/Parametres!$B$9</f>
        <v>3391.55502798033</v>
      </c>
    </row>
    <row r="8384" customFormat="false" ht="15" hidden="false" customHeight="false" outlineLevel="0" collapsed="false">
      <c r="A8384" s="0" t="n">
        <v>8380</v>
      </c>
      <c r="B8384" s="0" t="n">
        <v>12</v>
      </c>
      <c r="C8384" s="19" t="n">
        <v>0</v>
      </c>
      <c r="D8384" s="19" t="n">
        <v>1</v>
      </c>
      <c r="E8384" s="20" t="n">
        <f aca="false">Parametres!$B$5*C8384</f>
        <v>0</v>
      </c>
      <c r="F8384" s="20" t="n">
        <f aca="false">Parametres!$B$6*D8384</f>
        <v>200</v>
      </c>
      <c r="G8384" s="20" t="n">
        <f aca="false">E8384+F8384</f>
        <v>200</v>
      </c>
      <c r="H8384" s="20" t="n">
        <f aca="false">IF(G8384&lt;Parametres!$B$8*Parametres!$B$7,0,MIN(G8384,Parametres!$B$7))</f>
        <v>200</v>
      </c>
      <c r="I8384" s="20" t="n">
        <f aca="false">G8384-H8384</f>
        <v>0</v>
      </c>
      <c r="J8384" s="21" t="n">
        <f aca="false">H8384*1000/Parametres!$B$9</f>
        <v>3391.55502798033</v>
      </c>
    </row>
    <row r="8385" customFormat="false" ht="15" hidden="false" customHeight="false" outlineLevel="0" collapsed="false">
      <c r="A8385" s="0" t="n">
        <v>8381</v>
      </c>
      <c r="B8385" s="0" t="n">
        <v>12</v>
      </c>
      <c r="C8385" s="19" t="n">
        <v>0</v>
      </c>
      <c r="D8385" s="19" t="n">
        <v>0.9653</v>
      </c>
      <c r="E8385" s="20" t="n">
        <f aca="false">Parametres!$B$5*C8385</f>
        <v>0</v>
      </c>
      <c r="F8385" s="20" t="n">
        <f aca="false">Parametres!$B$6*D8385</f>
        <v>193.06</v>
      </c>
      <c r="G8385" s="20" t="n">
        <f aca="false">E8385+F8385</f>
        <v>193.06</v>
      </c>
      <c r="H8385" s="20" t="n">
        <f aca="false">IF(G8385&lt;Parametres!$B$8*Parametres!$B$7,0,MIN(G8385,Parametres!$B$7))</f>
        <v>193.06</v>
      </c>
      <c r="I8385" s="20" t="n">
        <f aca="false">G8385-H8385</f>
        <v>0</v>
      </c>
      <c r="J8385" s="21" t="n">
        <f aca="false">H8385*1000/Parametres!$B$9</f>
        <v>3273.86806850941</v>
      </c>
    </row>
    <row r="8386" customFormat="false" ht="15" hidden="false" customHeight="false" outlineLevel="0" collapsed="false">
      <c r="A8386" s="0" t="n">
        <v>8382</v>
      </c>
      <c r="B8386" s="0" t="n">
        <v>12</v>
      </c>
      <c r="C8386" s="19" t="n">
        <v>0</v>
      </c>
      <c r="D8386" s="19" t="n">
        <v>0.8164</v>
      </c>
      <c r="E8386" s="20" t="n">
        <f aca="false">Parametres!$B$5*C8386</f>
        <v>0</v>
      </c>
      <c r="F8386" s="20" t="n">
        <f aca="false">Parametres!$B$6*D8386</f>
        <v>163.28</v>
      </c>
      <c r="G8386" s="20" t="n">
        <f aca="false">E8386+F8386</f>
        <v>163.28</v>
      </c>
      <c r="H8386" s="20" t="n">
        <f aca="false">IF(G8386&lt;Parametres!$B$8*Parametres!$B$7,0,MIN(G8386,Parametres!$B$7))</f>
        <v>163.28</v>
      </c>
      <c r="I8386" s="20" t="n">
        <f aca="false">G8386-H8386</f>
        <v>0</v>
      </c>
      <c r="J8386" s="21" t="n">
        <f aca="false">H8386*1000/Parametres!$B$9</f>
        <v>2768.86552484314</v>
      </c>
    </row>
    <row r="8387" customFormat="false" ht="15" hidden="false" customHeight="false" outlineLevel="0" collapsed="false">
      <c r="A8387" s="0" t="n">
        <v>8383</v>
      </c>
      <c r="B8387" s="0" t="n">
        <v>12</v>
      </c>
      <c r="C8387" s="19" t="n">
        <v>0</v>
      </c>
      <c r="D8387" s="19" t="n">
        <v>1</v>
      </c>
      <c r="E8387" s="20" t="n">
        <f aca="false">Parametres!$B$5*C8387</f>
        <v>0</v>
      </c>
      <c r="F8387" s="20" t="n">
        <f aca="false">Parametres!$B$6*D8387</f>
        <v>200</v>
      </c>
      <c r="G8387" s="20" t="n">
        <f aca="false">E8387+F8387</f>
        <v>200</v>
      </c>
      <c r="H8387" s="20" t="n">
        <f aca="false">IF(G8387&lt;Parametres!$B$8*Parametres!$B$7,0,MIN(G8387,Parametres!$B$7))</f>
        <v>200</v>
      </c>
      <c r="I8387" s="20" t="n">
        <f aca="false">G8387-H8387</f>
        <v>0</v>
      </c>
      <c r="J8387" s="21" t="n">
        <f aca="false">H8387*1000/Parametres!$B$9</f>
        <v>3391.55502798033</v>
      </c>
    </row>
    <row r="8388" customFormat="false" ht="15" hidden="false" customHeight="false" outlineLevel="0" collapsed="false">
      <c r="A8388" s="0" t="n">
        <v>8384</v>
      </c>
      <c r="B8388" s="0" t="n">
        <v>12</v>
      </c>
      <c r="C8388" s="19" t="n">
        <v>0.1272</v>
      </c>
      <c r="D8388" s="19" t="n">
        <v>1</v>
      </c>
      <c r="E8388" s="20" t="n">
        <f aca="false">Parametres!$B$5*C8388</f>
        <v>38.16</v>
      </c>
      <c r="F8388" s="20" t="n">
        <f aca="false">Parametres!$B$6*D8388</f>
        <v>200</v>
      </c>
      <c r="G8388" s="20" t="n">
        <f aca="false">E8388+F8388</f>
        <v>238.16</v>
      </c>
      <c r="H8388" s="20" t="n">
        <f aca="false">IF(G8388&lt;Parametres!$B$8*Parametres!$B$7,0,MIN(G8388,Parametres!$B$7))</f>
        <v>238.16</v>
      </c>
      <c r="I8388" s="20" t="n">
        <f aca="false">G8388-H8388</f>
        <v>0</v>
      </c>
      <c r="J8388" s="21" t="n">
        <f aca="false">H8388*1000/Parametres!$B$9</f>
        <v>4038.66372731898</v>
      </c>
    </row>
    <row r="8389" customFormat="false" ht="15" hidden="false" customHeight="false" outlineLevel="0" collapsed="false">
      <c r="A8389" s="0" t="n">
        <v>8385</v>
      </c>
      <c r="B8389" s="0" t="n">
        <v>12</v>
      </c>
      <c r="C8389" s="19" t="n">
        <v>0.3585</v>
      </c>
      <c r="D8389" s="19" t="n">
        <v>1</v>
      </c>
      <c r="E8389" s="20" t="n">
        <f aca="false">Parametres!$B$5*C8389</f>
        <v>107.55</v>
      </c>
      <c r="F8389" s="20" t="n">
        <f aca="false">Parametres!$B$6*D8389</f>
        <v>200</v>
      </c>
      <c r="G8389" s="20" t="n">
        <f aca="false">E8389+F8389</f>
        <v>307.55</v>
      </c>
      <c r="H8389" s="20" t="n">
        <f aca="false">IF(G8389&lt;Parametres!$B$8*Parametres!$B$7,0,MIN(G8389,Parametres!$B$7))</f>
        <v>250</v>
      </c>
      <c r="I8389" s="20" t="n">
        <f aca="false">G8389-H8389</f>
        <v>57.55</v>
      </c>
      <c r="J8389" s="21" t="n">
        <f aca="false">H8389*1000/Parametres!$B$9</f>
        <v>4239.44378497541</v>
      </c>
    </row>
    <row r="8390" customFormat="false" ht="15" hidden="false" customHeight="false" outlineLevel="0" collapsed="false">
      <c r="A8390" s="0" t="n">
        <v>8386</v>
      </c>
      <c r="B8390" s="0" t="n">
        <v>12</v>
      </c>
      <c r="C8390" s="19" t="n">
        <v>0.5852</v>
      </c>
      <c r="D8390" s="19" t="n">
        <v>1</v>
      </c>
      <c r="E8390" s="20" t="n">
        <f aca="false">Parametres!$B$5*C8390</f>
        <v>175.56</v>
      </c>
      <c r="F8390" s="20" t="n">
        <f aca="false">Parametres!$B$6*D8390</f>
        <v>200</v>
      </c>
      <c r="G8390" s="20" t="n">
        <f aca="false">E8390+F8390</f>
        <v>375.56</v>
      </c>
      <c r="H8390" s="20" t="n">
        <f aca="false">IF(G8390&lt;Parametres!$B$8*Parametres!$B$7,0,MIN(G8390,Parametres!$B$7))</f>
        <v>250</v>
      </c>
      <c r="I8390" s="20" t="n">
        <f aca="false">G8390-H8390</f>
        <v>125.56</v>
      </c>
      <c r="J8390" s="21" t="n">
        <f aca="false">H8390*1000/Parametres!$B$9</f>
        <v>4239.44378497541</v>
      </c>
    </row>
    <row r="8391" customFormat="false" ht="15" hidden="false" customHeight="false" outlineLevel="0" collapsed="false">
      <c r="A8391" s="0" t="n">
        <v>8387</v>
      </c>
      <c r="B8391" s="0" t="n">
        <v>12</v>
      </c>
      <c r="C8391" s="19" t="n">
        <v>0.7079</v>
      </c>
      <c r="D8391" s="19" t="n">
        <v>1</v>
      </c>
      <c r="E8391" s="20" t="n">
        <f aca="false">Parametres!$B$5*C8391</f>
        <v>212.37</v>
      </c>
      <c r="F8391" s="20" t="n">
        <f aca="false">Parametres!$B$6*D8391</f>
        <v>200</v>
      </c>
      <c r="G8391" s="20" t="n">
        <f aca="false">E8391+F8391</f>
        <v>412.37</v>
      </c>
      <c r="H8391" s="20" t="n">
        <f aca="false">IF(G8391&lt;Parametres!$B$8*Parametres!$B$7,0,MIN(G8391,Parametres!$B$7))</f>
        <v>250</v>
      </c>
      <c r="I8391" s="20" t="n">
        <f aca="false">G8391-H8391</f>
        <v>162.37</v>
      </c>
      <c r="J8391" s="21" t="n">
        <f aca="false">H8391*1000/Parametres!$B$9</f>
        <v>4239.44378497541</v>
      </c>
    </row>
    <row r="8392" customFormat="false" ht="15" hidden="false" customHeight="false" outlineLevel="0" collapsed="false">
      <c r="A8392" s="0" t="n">
        <v>8388</v>
      </c>
      <c r="B8392" s="0" t="n">
        <v>12</v>
      </c>
      <c r="C8392" s="19" t="n">
        <v>0.7995</v>
      </c>
      <c r="D8392" s="19" t="n">
        <v>1</v>
      </c>
      <c r="E8392" s="20" t="n">
        <f aca="false">Parametres!$B$5*C8392</f>
        <v>239.85</v>
      </c>
      <c r="F8392" s="20" t="n">
        <f aca="false">Parametres!$B$6*D8392</f>
        <v>200</v>
      </c>
      <c r="G8392" s="20" t="n">
        <f aca="false">E8392+F8392</f>
        <v>439.85</v>
      </c>
      <c r="H8392" s="20" t="n">
        <f aca="false">IF(G8392&lt;Parametres!$B$8*Parametres!$B$7,0,MIN(G8392,Parametres!$B$7))</f>
        <v>250</v>
      </c>
      <c r="I8392" s="20" t="n">
        <f aca="false">G8392-H8392</f>
        <v>189.85</v>
      </c>
      <c r="J8392" s="21" t="n">
        <f aca="false">H8392*1000/Parametres!$B$9</f>
        <v>4239.44378497541</v>
      </c>
    </row>
    <row r="8393" customFormat="false" ht="15" hidden="false" customHeight="false" outlineLevel="0" collapsed="false">
      <c r="A8393" s="0" t="n">
        <v>8389</v>
      </c>
      <c r="B8393" s="0" t="n">
        <v>12</v>
      </c>
      <c r="C8393" s="19" t="n">
        <v>0.8072</v>
      </c>
      <c r="D8393" s="19" t="n">
        <v>1</v>
      </c>
      <c r="E8393" s="20" t="n">
        <f aca="false">Parametres!$B$5*C8393</f>
        <v>242.16</v>
      </c>
      <c r="F8393" s="20" t="n">
        <f aca="false">Parametres!$B$6*D8393</f>
        <v>200</v>
      </c>
      <c r="G8393" s="20" t="n">
        <f aca="false">E8393+F8393</f>
        <v>442.16</v>
      </c>
      <c r="H8393" s="20" t="n">
        <f aca="false">IF(G8393&lt;Parametres!$B$8*Parametres!$B$7,0,MIN(G8393,Parametres!$B$7))</f>
        <v>250</v>
      </c>
      <c r="I8393" s="20" t="n">
        <f aca="false">G8393-H8393</f>
        <v>192.16</v>
      </c>
      <c r="J8393" s="21" t="n">
        <f aca="false">H8393*1000/Parametres!$B$9</f>
        <v>4239.44378497541</v>
      </c>
    </row>
    <row r="8394" customFormat="false" ht="15" hidden="false" customHeight="false" outlineLevel="0" collapsed="false">
      <c r="A8394" s="0" t="n">
        <v>8390</v>
      </c>
      <c r="B8394" s="0" t="n">
        <v>12</v>
      </c>
      <c r="C8394" s="19" t="n">
        <v>0.7536</v>
      </c>
      <c r="D8394" s="19" t="n">
        <v>1</v>
      </c>
      <c r="E8394" s="20" t="n">
        <f aca="false">Parametres!$B$5*C8394</f>
        <v>226.08</v>
      </c>
      <c r="F8394" s="20" t="n">
        <f aca="false">Parametres!$B$6*D8394</f>
        <v>200</v>
      </c>
      <c r="G8394" s="20" t="n">
        <f aca="false">E8394+F8394</f>
        <v>426.08</v>
      </c>
      <c r="H8394" s="20" t="n">
        <f aca="false">IF(G8394&lt;Parametres!$B$8*Parametres!$B$7,0,MIN(G8394,Parametres!$B$7))</f>
        <v>250</v>
      </c>
      <c r="I8394" s="20" t="n">
        <f aca="false">G8394-H8394</f>
        <v>176.08</v>
      </c>
      <c r="J8394" s="21" t="n">
        <f aca="false">H8394*1000/Parametres!$B$9</f>
        <v>4239.44378497541</v>
      </c>
    </row>
    <row r="8395" customFormat="false" ht="15" hidden="false" customHeight="false" outlineLevel="0" collapsed="false">
      <c r="A8395" s="0" t="n">
        <v>8391</v>
      </c>
      <c r="B8395" s="0" t="n">
        <v>12</v>
      </c>
      <c r="C8395" s="19" t="n">
        <v>0.5467</v>
      </c>
      <c r="D8395" s="19" t="n">
        <v>1</v>
      </c>
      <c r="E8395" s="20" t="n">
        <f aca="false">Parametres!$B$5*C8395</f>
        <v>164.01</v>
      </c>
      <c r="F8395" s="20" t="n">
        <f aca="false">Parametres!$B$6*D8395</f>
        <v>200</v>
      </c>
      <c r="G8395" s="20" t="n">
        <f aca="false">E8395+F8395</f>
        <v>364.01</v>
      </c>
      <c r="H8395" s="20" t="n">
        <f aca="false">IF(G8395&lt;Parametres!$B$8*Parametres!$B$7,0,MIN(G8395,Parametres!$B$7))</f>
        <v>250</v>
      </c>
      <c r="I8395" s="20" t="n">
        <f aca="false">G8395-H8395</f>
        <v>114.01</v>
      </c>
      <c r="J8395" s="21" t="n">
        <f aca="false">H8395*1000/Parametres!$B$9</f>
        <v>4239.44378497541</v>
      </c>
    </row>
    <row r="8396" customFormat="false" ht="15" hidden="false" customHeight="false" outlineLevel="0" collapsed="false">
      <c r="A8396" s="0" t="n">
        <v>8392</v>
      </c>
      <c r="B8396" s="0" t="n">
        <v>12</v>
      </c>
      <c r="C8396" s="19" t="n">
        <v>0.3447</v>
      </c>
      <c r="D8396" s="19" t="n">
        <v>1</v>
      </c>
      <c r="E8396" s="20" t="n">
        <f aca="false">Parametres!$B$5*C8396</f>
        <v>103.41</v>
      </c>
      <c r="F8396" s="20" t="n">
        <f aca="false">Parametres!$B$6*D8396</f>
        <v>200</v>
      </c>
      <c r="G8396" s="20" t="n">
        <f aca="false">E8396+F8396</f>
        <v>303.41</v>
      </c>
      <c r="H8396" s="20" t="n">
        <f aca="false">IF(G8396&lt;Parametres!$B$8*Parametres!$B$7,0,MIN(G8396,Parametres!$B$7))</f>
        <v>250</v>
      </c>
      <c r="I8396" s="20" t="n">
        <f aca="false">G8396-H8396</f>
        <v>53.41</v>
      </c>
      <c r="J8396" s="21" t="n">
        <f aca="false">H8396*1000/Parametres!$B$9</f>
        <v>4239.44378497541</v>
      </c>
    </row>
    <row r="8397" customFormat="false" ht="15" hidden="false" customHeight="false" outlineLevel="0" collapsed="false">
      <c r="A8397" s="0" t="n">
        <v>8393</v>
      </c>
      <c r="B8397" s="0" t="n">
        <v>12</v>
      </c>
      <c r="C8397" s="19" t="n">
        <v>0.1245</v>
      </c>
      <c r="D8397" s="19" t="n">
        <v>1</v>
      </c>
      <c r="E8397" s="20" t="n">
        <f aca="false">Parametres!$B$5*C8397</f>
        <v>37.35</v>
      </c>
      <c r="F8397" s="20" t="n">
        <f aca="false">Parametres!$B$6*D8397</f>
        <v>200</v>
      </c>
      <c r="G8397" s="20" t="n">
        <f aca="false">E8397+F8397</f>
        <v>237.35</v>
      </c>
      <c r="H8397" s="20" t="n">
        <f aca="false">IF(G8397&lt;Parametres!$B$8*Parametres!$B$7,0,MIN(G8397,Parametres!$B$7))</f>
        <v>237.35</v>
      </c>
      <c r="I8397" s="20" t="n">
        <f aca="false">G8397-H8397</f>
        <v>0</v>
      </c>
      <c r="J8397" s="21" t="n">
        <f aca="false">H8397*1000/Parametres!$B$9</f>
        <v>4024.92792945566</v>
      </c>
    </row>
    <row r="8398" customFormat="false" ht="15" hidden="false" customHeight="false" outlineLevel="0" collapsed="false">
      <c r="A8398" s="0" t="n">
        <v>8394</v>
      </c>
      <c r="B8398" s="0" t="n">
        <v>12</v>
      </c>
      <c r="C8398" s="19" t="n">
        <v>0</v>
      </c>
      <c r="D8398" s="19" t="n">
        <v>1</v>
      </c>
      <c r="E8398" s="20" t="n">
        <f aca="false">Parametres!$B$5*C8398</f>
        <v>0</v>
      </c>
      <c r="F8398" s="20" t="n">
        <f aca="false">Parametres!$B$6*D8398</f>
        <v>200</v>
      </c>
      <c r="G8398" s="20" t="n">
        <f aca="false">E8398+F8398</f>
        <v>200</v>
      </c>
      <c r="H8398" s="20" t="n">
        <f aca="false">IF(G8398&lt;Parametres!$B$8*Parametres!$B$7,0,MIN(G8398,Parametres!$B$7))</f>
        <v>200</v>
      </c>
      <c r="I8398" s="20" t="n">
        <f aca="false">G8398-H8398</f>
        <v>0</v>
      </c>
      <c r="J8398" s="21" t="n">
        <f aca="false">H8398*1000/Parametres!$B$9</f>
        <v>3391.55502798033</v>
      </c>
    </row>
    <row r="8399" customFormat="false" ht="15" hidden="false" customHeight="false" outlineLevel="0" collapsed="false">
      <c r="A8399" s="0" t="n">
        <v>8395</v>
      </c>
      <c r="B8399" s="0" t="n">
        <v>12</v>
      </c>
      <c r="C8399" s="19" t="n">
        <v>0</v>
      </c>
      <c r="D8399" s="19" t="n">
        <v>1</v>
      </c>
      <c r="E8399" s="20" t="n">
        <f aca="false">Parametres!$B$5*C8399</f>
        <v>0</v>
      </c>
      <c r="F8399" s="20" t="n">
        <f aca="false">Parametres!$B$6*D8399</f>
        <v>200</v>
      </c>
      <c r="G8399" s="20" t="n">
        <f aca="false">E8399+F8399</f>
        <v>200</v>
      </c>
      <c r="H8399" s="20" t="n">
        <f aca="false">IF(G8399&lt;Parametres!$B$8*Parametres!$B$7,0,MIN(G8399,Parametres!$B$7))</f>
        <v>200</v>
      </c>
      <c r="I8399" s="20" t="n">
        <f aca="false">G8399-H8399</f>
        <v>0</v>
      </c>
      <c r="J8399" s="21" t="n">
        <f aca="false">H8399*1000/Parametres!$B$9</f>
        <v>3391.55502798033</v>
      </c>
    </row>
    <row r="8400" customFormat="false" ht="15" hidden="false" customHeight="false" outlineLevel="0" collapsed="false">
      <c r="A8400" s="0" t="n">
        <v>8396</v>
      </c>
      <c r="B8400" s="0" t="n">
        <v>12</v>
      </c>
      <c r="C8400" s="19" t="n">
        <v>0</v>
      </c>
      <c r="D8400" s="19" t="n">
        <v>1</v>
      </c>
      <c r="E8400" s="20" t="n">
        <f aca="false">Parametres!$B$5*C8400</f>
        <v>0</v>
      </c>
      <c r="F8400" s="20" t="n">
        <f aca="false">Parametres!$B$6*D8400</f>
        <v>200</v>
      </c>
      <c r="G8400" s="20" t="n">
        <f aca="false">E8400+F8400</f>
        <v>200</v>
      </c>
      <c r="H8400" s="20" t="n">
        <f aca="false">IF(G8400&lt;Parametres!$B$8*Parametres!$B$7,0,MIN(G8400,Parametres!$B$7))</f>
        <v>200</v>
      </c>
      <c r="I8400" s="20" t="n">
        <f aca="false">G8400-H8400</f>
        <v>0</v>
      </c>
      <c r="J8400" s="21" t="n">
        <f aca="false">H8400*1000/Parametres!$B$9</f>
        <v>3391.55502798033</v>
      </c>
    </row>
    <row r="8401" customFormat="false" ht="15" hidden="false" customHeight="false" outlineLevel="0" collapsed="false">
      <c r="A8401" s="0" t="n">
        <v>8397</v>
      </c>
      <c r="B8401" s="0" t="n">
        <v>12</v>
      </c>
      <c r="C8401" s="19" t="n">
        <v>0</v>
      </c>
      <c r="D8401" s="19" t="n">
        <v>1</v>
      </c>
      <c r="E8401" s="20" t="n">
        <f aca="false">Parametres!$B$5*C8401</f>
        <v>0</v>
      </c>
      <c r="F8401" s="20" t="n">
        <f aca="false">Parametres!$B$6*D8401</f>
        <v>200</v>
      </c>
      <c r="G8401" s="20" t="n">
        <f aca="false">E8401+F8401</f>
        <v>200</v>
      </c>
      <c r="H8401" s="20" t="n">
        <f aca="false">IF(G8401&lt;Parametres!$B$8*Parametres!$B$7,0,MIN(G8401,Parametres!$B$7))</f>
        <v>200</v>
      </c>
      <c r="I8401" s="20" t="n">
        <f aca="false">G8401-H8401</f>
        <v>0</v>
      </c>
      <c r="J8401" s="21" t="n">
        <f aca="false">H8401*1000/Parametres!$B$9</f>
        <v>3391.55502798033</v>
      </c>
    </row>
    <row r="8402" customFormat="false" ht="15" hidden="false" customHeight="false" outlineLevel="0" collapsed="false">
      <c r="A8402" s="0" t="n">
        <v>8398</v>
      </c>
      <c r="B8402" s="0" t="n">
        <v>12</v>
      </c>
      <c r="C8402" s="19" t="n">
        <v>0</v>
      </c>
      <c r="D8402" s="19" t="n">
        <v>1</v>
      </c>
      <c r="E8402" s="20" t="n">
        <f aca="false">Parametres!$B$5*C8402</f>
        <v>0</v>
      </c>
      <c r="F8402" s="20" t="n">
        <f aca="false">Parametres!$B$6*D8402</f>
        <v>200</v>
      </c>
      <c r="G8402" s="20" t="n">
        <f aca="false">E8402+F8402</f>
        <v>200</v>
      </c>
      <c r="H8402" s="20" t="n">
        <f aca="false">IF(G8402&lt;Parametres!$B$8*Parametres!$B$7,0,MIN(G8402,Parametres!$B$7))</f>
        <v>200</v>
      </c>
      <c r="I8402" s="20" t="n">
        <f aca="false">G8402-H8402</f>
        <v>0</v>
      </c>
      <c r="J8402" s="21" t="n">
        <f aca="false">H8402*1000/Parametres!$B$9</f>
        <v>3391.55502798033</v>
      </c>
    </row>
    <row r="8403" customFormat="false" ht="15" hidden="false" customHeight="false" outlineLevel="0" collapsed="false">
      <c r="A8403" s="0" t="n">
        <v>8399</v>
      </c>
      <c r="B8403" s="0" t="n">
        <v>12</v>
      </c>
      <c r="C8403" s="19" t="n">
        <v>0</v>
      </c>
      <c r="D8403" s="19" t="n">
        <v>1</v>
      </c>
      <c r="E8403" s="20" t="n">
        <f aca="false">Parametres!$B$5*C8403</f>
        <v>0</v>
      </c>
      <c r="F8403" s="20" t="n">
        <f aca="false">Parametres!$B$6*D8403</f>
        <v>200</v>
      </c>
      <c r="G8403" s="20" t="n">
        <f aca="false">E8403+F8403</f>
        <v>200</v>
      </c>
      <c r="H8403" s="20" t="n">
        <f aca="false">IF(G8403&lt;Parametres!$B$8*Parametres!$B$7,0,MIN(G8403,Parametres!$B$7))</f>
        <v>200</v>
      </c>
      <c r="I8403" s="20" t="n">
        <f aca="false">G8403-H8403</f>
        <v>0</v>
      </c>
      <c r="J8403" s="21" t="n">
        <f aca="false">H8403*1000/Parametres!$B$9</f>
        <v>3391.55502798033</v>
      </c>
    </row>
    <row r="8404" customFormat="false" ht="15" hidden="false" customHeight="false" outlineLevel="0" collapsed="false">
      <c r="A8404" s="0" t="n">
        <v>8400</v>
      </c>
      <c r="B8404" s="0" t="n">
        <v>12</v>
      </c>
      <c r="C8404" s="19" t="n">
        <v>0</v>
      </c>
      <c r="D8404" s="19" t="n">
        <v>0.699</v>
      </c>
      <c r="E8404" s="20" t="n">
        <f aca="false">Parametres!$B$5*C8404</f>
        <v>0</v>
      </c>
      <c r="F8404" s="20" t="n">
        <f aca="false">Parametres!$B$6*D8404</f>
        <v>139.8</v>
      </c>
      <c r="G8404" s="20" t="n">
        <f aca="false">E8404+F8404</f>
        <v>139.8</v>
      </c>
      <c r="H8404" s="20" t="n">
        <f aca="false">IF(G8404&lt;Parametres!$B$8*Parametres!$B$7,0,MIN(G8404,Parametres!$B$7))</f>
        <v>139.8</v>
      </c>
      <c r="I8404" s="20" t="n">
        <f aca="false">G8404-H8404</f>
        <v>0</v>
      </c>
      <c r="J8404" s="21" t="n">
        <f aca="false">H8404*1000/Parametres!$B$9</f>
        <v>2370.69696455825</v>
      </c>
    </row>
    <row r="8405" customFormat="false" ht="15" hidden="false" customHeight="false" outlineLevel="0" collapsed="false">
      <c r="A8405" s="0" t="n">
        <v>8401</v>
      </c>
      <c r="B8405" s="0" t="n">
        <v>12</v>
      </c>
      <c r="C8405" s="19" t="n">
        <v>0</v>
      </c>
      <c r="D8405" s="19" t="n">
        <v>0.3091</v>
      </c>
      <c r="E8405" s="20" t="n">
        <f aca="false">Parametres!$B$5*C8405</f>
        <v>0</v>
      </c>
      <c r="F8405" s="20" t="n">
        <f aca="false">Parametres!$B$6*D8405</f>
        <v>61.82</v>
      </c>
      <c r="G8405" s="20" t="n">
        <f aca="false">E8405+F8405</f>
        <v>61.82</v>
      </c>
      <c r="H8405" s="20" t="n">
        <f aca="false">IF(G8405&lt;Parametres!$B$8*Parametres!$B$7,0,MIN(G8405,Parametres!$B$7))</f>
        <v>61.82</v>
      </c>
      <c r="I8405" s="20" t="n">
        <f aca="false">G8405-H8405</f>
        <v>0</v>
      </c>
      <c r="J8405" s="21" t="n">
        <f aca="false">H8405*1000/Parametres!$B$9</f>
        <v>1048.32965914872</v>
      </c>
    </row>
    <row r="8406" customFormat="false" ht="15" hidden="false" customHeight="false" outlineLevel="0" collapsed="false">
      <c r="A8406" s="0" t="n">
        <v>8402</v>
      </c>
      <c r="B8406" s="0" t="n">
        <v>12</v>
      </c>
      <c r="C8406" s="19" t="n">
        <v>0</v>
      </c>
      <c r="D8406" s="19" t="n">
        <v>0.1072</v>
      </c>
      <c r="E8406" s="20" t="n">
        <f aca="false">Parametres!$B$5*C8406</f>
        <v>0</v>
      </c>
      <c r="F8406" s="20" t="n">
        <f aca="false">Parametres!$B$6*D8406</f>
        <v>21.44</v>
      </c>
      <c r="G8406" s="20" t="n">
        <f aca="false">E8406+F8406</f>
        <v>21.44</v>
      </c>
      <c r="H8406" s="20" t="n">
        <f aca="false">IF(G8406&lt;Parametres!$B$8*Parametres!$B$7,0,MIN(G8406,Parametres!$B$7))</f>
        <v>0</v>
      </c>
      <c r="I8406" s="20" t="n">
        <f aca="false">G8406-H8406</f>
        <v>21.44</v>
      </c>
      <c r="J8406" s="21" t="n">
        <f aca="false">H8406*1000/Parametres!$B$9</f>
        <v>0</v>
      </c>
    </row>
    <row r="8407" customFormat="false" ht="15" hidden="false" customHeight="false" outlineLevel="0" collapsed="false">
      <c r="A8407" s="0" t="n">
        <v>8403</v>
      </c>
      <c r="B8407" s="0" t="n">
        <v>12</v>
      </c>
      <c r="C8407" s="19" t="n">
        <v>0</v>
      </c>
      <c r="D8407" s="19" t="n">
        <v>0.164</v>
      </c>
      <c r="E8407" s="20" t="n">
        <f aca="false">Parametres!$B$5*C8407</f>
        <v>0</v>
      </c>
      <c r="F8407" s="20" t="n">
        <f aca="false">Parametres!$B$6*D8407</f>
        <v>32.8</v>
      </c>
      <c r="G8407" s="20" t="n">
        <f aca="false">E8407+F8407</f>
        <v>32.8</v>
      </c>
      <c r="H8407" s="20" t="n">
        <f aca="false">IF(G8407&lt;Parametres!$B$8*Parametres!$B$7,0,MIN(G8407,Parametres!$B$7))</f>
        <v>32.8</v>
      </c>
      <c r="I8407" s="20" t="n">
        <f aca="false">G8407-H8407</f>
        <v>0</v>
      </c>
      <c r="J8407" s="21" t="n">
        <f aca="false">H8407*1000/Parametres!$B$9</f>
        <v>556.215024588774</v>
      </c>
    </row>
    <row r="8408" customFormat="false" ht="15" hidden="false" customHeight="false" outlineLevel="0" collapsed="false">
      <c r="A8408" s="0" t="n">
        <v>8404</v>
      </c>
      <c r="B8408" s="0" t="n">
        <v>12</v>
      </c>
      <c r="C8408" s="19" t="n">
        <v>0</v>
      </c>
      <c r="D8408" s="19" t="n">
        <v>0.1974</v>
      </c>
      <c r="E8408" s="20" t="n">
        <f aca="false">Parametres!$B$5*C8408</f>
        <v>0</v>
      </c>
      <c r="F8408" s="20" t="n">
        <f aca="false">Parametres!$B$6*D8408</f>
        <v>39.48</v>
      </c>
      <c r="G8408" s="20" t="n">
        <f aca="false">E8408+F8408</f>
        <v>39.48</v>
      </c>
      <c r="H8408" s="20" t="n">
        <f aca="false">IF(G8408&lt;Parametres!$B$8*Parametres!$B$7,0,MIN(G8408,Parametres!$B$7))</f>
        <v>39.48</v>
      </c>
      <c r="I8408" s="20" t="n">
        <f aca="false">G8408-H8408</f>
        <v>0</v>
      </c>
      <c r="J8408" s="21" t="n">
        <f aca="false">H8408*1000/Parametres!$B$9</f>
        <v>669.492962523317</v>
      </c>
    </row>
    <row r="8409" customFormat="false" ht="15" hidden="false" customHeight="false" outlineLevel="0" collapsed="false">
      <c r="A8409" s="0" t="n">
        <v>8405</v>
      </c>
      <c r="B8409" s="0" t="n">
        <v>12</v>
      </c>
      <c r="C8409" s="19" t="n">
        <v>0</v>
      </c>
      <c r="D8409" s="19" t="n">
        <v>0.1381</v>
      </c>
      <c r="E8409" s="20" t="n">
        <f aca="false">Parametres!$B$5*C8409</f>
        <v>0</v>
      </c>
      <c r="F8409" s="20" t="n">
        <f aca="false">Parametres!$B$6*D8409</f>
        <v>27.62</v>
      </c>
      <c r="G8409" s="20" t="n">
        <f aca="false">E8409+F8409</f>
        <v>27.62</v>
      </c>
      <c r="H8409" s="20" t="n">
        <f aca="false">IF(G8409&lt;Parametres!$B$8*Parametres!$B$7,0,MIN(G8409,Parametres!$B$7))</f>
        <v>27.62</v>
      </c>
      <c r="I8409" s="20" t="n">
        <f aca="false">G8409-H8409</f>
        <v>0</v>
      </c>
      <c r="J8409" s="21" t="n">
        <f aca="false">H8409*1000/Parametres!$B$9</f>
        <v>468.373749364083</v>
      </c>
    </row>
    <row r="8410" customFormat="false" ht="15" hidden="false" customHeight="false" outlineLevel="0" collapsed="false">
      <c r="A8410" s="0" t="n">
        <v>8406</v>
      </c>
      <c r="B8410" s="0" t="n">
        <v>12</v>
      </c>
      <c r="C8410" s="19" t="n">
        <v>0</v>
      </c>
      <c r="D8410" s="19" t="n">
        <v>0.1988</v>
      </c>
      <c r="E8410" s="20" t="n">
        <f aca="false">Parametres!$B$5*C8410</f>
        <v>0</v>
      </c>
      <c r="F8410" s="20" t="n">
        <f aca="false">Parametres!$B$6*D8410</f>
        <v>39.76</v>
      </c>
      <c r="G8410" s="20" t="n">
        <f aca="false">E8410+F8410</f>
        <v>39.76</v>
      </c>
      <c r="H8410" s="20" t="n">
        <f aca="false">IF(G8410&lt;Parametres!$B$8*Parametres!$B$7,0,MIN(G8410,Parametres!$B$7))</f>
        <v>39.76</v>
      </c>
      <c r="I8410" s="20" t="n">
        <f aca="false">G8410-H8410</f>
        <v>0</v>
      </c>
      <c r="J8410" s="21" t="n">
        <f aca="false">H8410*1000/Parametres!$B$9</f>
        <v>674.241139562489</v>
      </c>
    </row>
    <row r="8411" customFormat="false" ht="15" hidden="false" customHeight="false" outlineLevel="0" collapsed="false">
      <c r="A8411" s="0" t="n">
        <v>8407</v>
      </c>
      <c r="B8411" s="0" t="n">
        <v>12</v>
      </c>
      <c r="C8411" s="19" t="n">
        <v>0</v>
      </c>
      <c r="D8411" s="19" t="n">
        <v>0.2252</v>
      </c>
      <c r="E8411" s="20" t="n">
        <f aca="false">Parametres!$B$5*C8411</f>
        <v>0</v>
      </c>
      <c r="F8411" s="20" t="n">
        <f aca="false">Parametres!$B$6*D8411</f>
        <v>45.04</v>
      </c>
      <c r="G8411" s="20" t="n">
        <f aca="false">E8411+F8411</f>
        <v>45.04</v>
      </c>
      <c r="H8411" s="20" t="n">
        <f aca="false">IF(G8411&lt;Parametres!$B$8*Parametres!$B$7,0,MIN(G8411,Parametres!$B$7))</f>
        <v>45.04</v>
      </c>
      <c r="I8411" s="20" t="n">
        <f aca="false">G8411-H8411</f>
        <v>0</v>
      </c>
      <c r="J8411" s="21" t="n">
        <f aca="false">H8411*1000/Parametres!$B$9</f>
        <v>763.77819230117</v>
      </c>
    </row>
    <row r="8412" customFormat="false" ht="15" hidden="false" customHeight="false" outlineLevel="0" collapsed="false">
      <c r="A8412" s="0" t="n">
        <v>8408</v>
      </c>
      <c r="B8412" s="0" t="n">
        <v>12</v>
      </c>
      <c r="C8412" s="19" t="n">
        <v>0.1093</v>
      </c>
      <c r="D8412" s="19" t="n">
        <v>0.2066</v>
      </c>
      <c r="E8412" s="20" t="n">
        <f aca="false">Parametres!$B$5*C8412</f>
        <v>32.79</v>
      </c>
      <c r="F8412" s="20" t="n">
        <f aca="false">Parametres!$B$6*D8412</f>
        <v>41.32</v>
      </c>
      <c r="G8412" s="20" t="n">
        <f aca="false">E8412+F8412</f>
        <v>74.11</v>
      </c>
      <c r="H8412" s="20" t="n">
        <f aca="false">IF(G8412&lt;Parametres!$B$8*Parametres!$B$7,0,MIN(G8412,Parametres!$B$7))</f>
        <v>74.11</v>
      </c>
      <c r="I8412" s="20" t="n">
        <f aca="false">G8412-H8412</f>
        <v>0</v>
      </c>
      <c r="J8412" s="21" t="n">
        <f aca="false">H8412*1000/Parametres!$B$9</f>
        <v>1256.74071561811</v>
      </c>
    </row>
    <row r="8413" customFormat="false" ht="15" hidden="false" customHeight="false" outlineLevel="0" collapsed="false">
      <c r="A8413" s="0" t="n">
        <v>8409</v>
      </c>
      <c r="B8413" s="0" t="n">
        <v>12</v>
      </c>
      <c r="C8413" s="19" t="n">
        <v>0.3185</v>
      </c>
      <c r="D8413" s="19" t="n">
        <v>0.3318</v>
      </c>
      <c r="E8413" s="20" t="n">
        <f aca="false">Parametres!$B$5*C8413</f>
        <v>95.55</v>
      </c>
      <c r="F8413" s="20" t="n">
        <f aca="false">Parametres!$B$6*D8413</f>
        <v>66.36</v>
      </c>
      <c r="G8413" s="20" t="n">
        <f aca="false">E8413+F8413</f>
        <v>161.91</v>
      </c>
      <c r="H8413" s="20" t="n">
        <f aca="false">IF(G8413&lt;Parametres!$B$8*Parametres!$B$7,0,MIN(G8413,Parametres!$B$7))</f>
        <v>161.91</v>
      </c>
      <c r="I8413" s="20" t="n">
        <f aca="false">G8413-H8413</f>
        <v>0</v>
      </c>
      <c r="J8413" s="21" t="n">
        <f aca="false">H8413*1000/Parametres!$B$9</f>
        <v>2745.63337290148</v>
      </c>
    </row>
    <row r="8414" customFormat="false" ht="15" hidden="false" customHeight="false" outlineLevel="0" collapsed="false">
      <c r="A8414" s="0" t="n">
        <v>8410</v>
      </c>
      <c r="B8414" s="0" t="n">
        <v>12</v>
      </c>
      <c r="C8414" s="19" t="n">
        <v>0.5098</v>
      </c>
      <c r="D8414" s="19" t="n">
        <v>0.2335</v>
      </c>
      <c r="E8414" s="20" t="n">
        <f aca="false">Parametres!$B$5*C8414</f>
        <v>152.94</v>
      </c>
      <c r="F8414" s="20" t="n">
        <f aca="false">Parametres!$B$6*D8414</f>
        <v>46.7</v>
      </c>
      <c r="G8414" s="20" t="n">
        <f aca="false">E8414+F8414</f>
        <v>199.64</v>
      </c>
      <c r="H8414" s="20" t="n">
        <f aca="false">IF(G8414&lt;Parametres!$B$8*Parametres!$B$7,0,MIN(G8414,Parametres!$B$7))</f>
        <v>199.64</v>
      </c>
      <c r="I8414" s="20" t="n">
        <f aca="false">G8414-H8414</f>
        <v>0</v>
      </c>
      <c r="J8414" s="21" t="n">
        <f aca="false">H8414*1000/Parametres!$B$9</f>
        <v>3385.45022892996</v>
      </c>
    </row>
    <row r="8415" customFormat="false" ht="15" hidden="false" customHeight="false" outlineLevel="0" collapsed="false">
      <c r="A8415" s="0" t="n">
        <v>8411</v>
      </c>
      <c r="B8415" s="0" t="n">
        <v>12</v>
      </c>
      <c r="C8415" s="19" t="n">
        <v>0.6322</v>
      </c>
      <c r="D8415" s="19" t="n">
        <v>0.1267</v>
      </c>
      <c r="E8415" s="20" t="n">
        <f aca="false">Parametres!$B$5*C8415</f>
        <v>189.66</v>
      </c>
      <c r="F8415" s="20" t="n">
        <f aca="false">Parametres!$B$6*D8415</f>
        <v>25.34</v>
      </c>
      <c r="G8415" s="20" t="n">
        <f aca="false">E8415+F8415</f>
        <v>215</v>
      </c>
      <c r="H8415" s="20" t="n">
        <f aca="false">IF(G8415&lt;Parametres!$B$8*Parametres!$B$7,0,MIN(G8415,Parametres!$B$7))</f>
        <v>215</v>
      </c>
      <c r="I8415" s="20" t="n">
        <f aca="false">G8415-H8415</f>
        <v>0</v>
      </c>
      <c r="J8415" s="21" t="n">
        <f aca="false">H8415*1000/Parametres!$B$9</f>
        <v>3645.92165507885</v>
      </c>
    </row>
    <row r="8416" customFormat="false" ht="15" hidden="false" customHeight="false" outlineLevel="0" collapsed="false">
      <c r="A8416" s="0" t="n">
        <v>8412</v>
      </c>
      <c r="B8416" s="0" t="n">
        <v>12</v>
      </c>
      <c r="C8416" s="19" t="n">
        <v>0.7584</v>
      </c>
      <c r="D8416" s="19" t="n">
        <v>0.0917</v>
      </c>
      <c r="E8416" s="20" t="n">
        <f aca="false">Parametres!$B$5*C8416</f>
        <v>227.52</v>
      </c>
      <c r="F8416" s="20" t="n">
        <f aca="false">Parametres!$B$6*D8416</f>
        <v>18.34</v>
      </c>
      <c r="G8416" s="20" t="n">
        <f aca="false">E8416+F8416</f>
        <v>245.86</v>
      </c>
      <c r="H8416" s="20" t="n">
        <f aca="false">IF(G8416&lt;Parametres!$B$8*Parametres!$B$7,0,MIN(G8416,Parametres!$B$7))</f>
        <v>245.86</v>
      </c>
      <c r="I8416" s="20" t="n">
        <f aca="false">G8416-H8416</f>
        <v>0</v>
      </c>
      <c r="J8416" s="21" t="n">
        <f aca="false">H8416*1000/Parametres!$B$9</f>
        <v>4169.23859589622</v>
      </c>
    </row>
    <row r="8417" customFormat="false" ht="15" hidden="false" customHeight="false" outlineLevel="0" collapsed="false">
      <c r="A8417" s="0" t="n">
        <v>8413</v>
      </c>
      <c r="B8417" s="0" t="n">
        <v>12</v>
      </c>
      <c r="C8417" s="19" t="n">
        <v>0.7006</v>
      </c>
      <c r="D8417" s="19" t="n">
        <v>0.0728</v>
      </c>
      <c r="E8417" s="20" t="n">
        <f aca="false">Parametres!$B$5*C8417</f>
        <v>210.18</v>
      </c>
      <c r="F8417" s="20" t="n">
        <f aca="false">Parametres!$B$6*D8417</f>
        <v>14.56</v>
      </c>
      <c r="G8417" s="20" t="n">
        <f aca="false">E8417+F8417</f>
        <v>224.74</v>
      </c>
      <c r="H8417" s="20" t="n">
        <f aca="false">IF(G8417&lt;Parametres!$B$8*Parametres!$B$7,0,MIN(G8417,Parametres!$B$7))</f>
        <v>224.74</v>
      </c>
      <c r="I8417" s="20" t="n">
        <f aca="false">G8417-H8417</f>
        <v>0</v>
      </c>
      <c r="J8417" s="21" t="n">
        <f aca="false">H8417*1000/Parametres!$B$9</f>
        <v>3811.0903849415</v>
      </c>
    </row>
    <row r="8418" customFormat="false" ht="15" hidden="false" customHeight="false" outlineLevel="0" collapsed="false">
      <c r="A8418" s="0" t="n">
        <v>8414</v>
      </c>
      <c r="B8418" s="0" t="n">
        <v>12</v>
      </c>
      <c r="C8418" s="19" t="n">
        <v>0.6439</v>
      </c>
      <c r="D8418" s="19" t="n">
        <v>0.1584</v>
      </c>
      <c r="E8418" s="20" t="n">
        <f aca="false">Parametres!$B$5*C8418</f>
        <v>193.17</v>
      </c>
      <c r="F8418" s="20" t="n">
        <f aca="false">Parametres!$B$6*D8418</f>
        <v>31.68</v>
      </c>
      <c r="G8418" s="20" t="n">
        <f aca="false">E8418+F8418</f>
        <v>224.85</v>
      </c>
      <c r="H8418" s="20" t="n">
        <f aca="false">IF(G8418&lt;Parametres!$B$8*Parametres!$B$7,0,MIN(G8418,Parametres!$B$7))</f>
        <v>224.85</v>
      </c>
      <c r="I8418" s="20" t="n">
        <f aca="false">G8418-H8418</f>
        <v>0</v>
      </c>
      <c r="J8418" s="21" t="n">
        <f aca="false">H8418*1000/Parametres!$B$9</f>
        <v>3812.95574020689</v>
      </c>
    </row>
    <row r="8419" customFormat="false" ht="15" hidden="false" customHeight="false" outlineLevel="0" collapsed="false">
      <c r="A8419" s="0" t="n">
        <v>8415</v>
      </c>
      <c r="B8419" s="0" t="n">
        <v>12</v>
      </c>
      <c r="C8419" s="19" t="n">
        <v>0.5194</v>
      </c>
      <c r="D8419" s="19" t="n">
        <v>0.2937</v>
      </c>
      <c r="E8419" s="20" t="n">
        <f aca="false">Parametres!$B$5*C8419</f>
        <v>155.82</v>
      </c>
      <c r="F8419" s="20" t="n">
        <f aca="false">Parametres!$B$6*D8419</f>
        <v>58.74</v>
      </c>
      <c r="G8419" s="20" t="n">
        <f aca="false">E8419+F8419</f>
        <v>214.56</v>
      </c>
      <c r="H8419" s="20" t="n">
        <f aca="false">IF(G8419&lt;Parametres!$B$8*Parametres!$B$7,0,MIN(G8419,Parametres!$B$7))</f>
        <v>214.56</v>
      </c>
      <c r="I8419" s="20" t="n">
        <f aca="false">G8419-H8419</f>
        <v>0</v>
      </c>
      <c r="J8419" s="21" t="n">
        <f aca="false">H8419*1000/Parametres!$B$9</f>
        <v>3638.4602340173</v>
      </c>
    </row>
    <row r="8420" customFormat="false" ht="15" hidden="false" customHeight="false" outlineLevel="0" collapsed="false">
      <c r="A8420" s="0" t="n">
        <v>8416</v>
      </c>
      <c r="B8420" s="0" t="n">
        <v>12</v>
      </c>
      <c r="C8420" s="19" t="n">
        <v>0.3298</v>
      </c>
      <c r="D8420" s="19" t="n">
        <v>0.1659</v>
      </c>
      <c r="E8420" s="20" t="n">
        <f aca="false">Parametres!$B$5*C8420</f>
        <v>98.94</v>
      </c>
      <c r="F8420" s="20" t="n">
        <f aca="false">Parametres!$B$6*D8420</f>
        <v>33.18</v>
      </c>
      <c r="G8420" s="20" t="n">
        <f aca="false">E8420+F8420</f>
        <v>132.12</v>
      </c>
      <c r="H8420" s="20" t="n">
        <f aca="false">IF(G8420&lt;Parametres!$B$8*Parametres!$B$7,0,MIN(G8420,Parametres!$B$7))</f>
        <v>132.12</v>
      </c>
      <c r="I8420" s="20" t="n">
        <f aca="false">G8420-H8420</f>
        <v>0</v>
      </c>
      <c r="J8420" s="21" t="n">
        <f aca="false">H8420*1000/Parametres!$B$9</f>
        <v>2240.46125148381</v>
      </c>
    </row>
    <row r="8421" customFormat="false" ht="15" hidden="false" customHeight="false" outlineLevel="0" collapsed="false">
      <c r="A8421" s="0" t="n">
        <v>8417</v>
      </c>
      <c r="B8421" s="0" t="n">
        <v>12</v>
      </c>
      <c r="C8421" s="19" t="n">
        <v>0.1124</v>
      </c>
      <c r="D8421" s="19" t="n">
        <v>0.1566</v>
      </c>
      <c r="E8421" s="20" t="n">
        <f aca="false">Parametres!$B$5*C8421</f>
        <v>33.72</v>
      </c>
      <c r="F8421" s="20" t="n">
        <f aca="false">Parametres!$B$6*D8421</f>
        <v>31.32</v>
      </c>
      <c r="G8421" s="20" t="n">
        <f aca="false">E8421+F8421</f>
        <v>65.04</v>
      </c>
      <c r="H8421" s="20" t="n">
        <f aca="false">IF(G8421&lt;Parametres!$B$8*Parametres!$B$7,0,MIN(G8421,Parametres!$B$7))</f>
        <v>65.04</v>
      </c>
      <c r="I8421" s="20" t="n">
        <f aca="false">G8421-H8421</f>
        <v>0</v>
      </c>
      <c r="J8421" s="21" t="n">
        <f aca="false">H8421*1000/Parametres!$B$9</f>
        <v>1102.9336950992</v>
      </c>
    </row>
    <row r="8422" customFormat="false" ht="15" hidden="false" customHeight="false" outlineLevel="0" collapsed="false">
      <c r="A8422" s="0" t="n">
        <v>8418</v>
      </c>
      <c r="B8422" s="0" t="n">
        <v>12</v>
      </c>
      <c r="C8422" s="19" t="n">
        <v>0</v>
      </c>
      <c r="D8422" s="19" t="n">
        <v>0.2726</v>
      </c>
      <c r="E8422" s="20" t="n">
        <f aca="false">Parametres!$B$5*C8422</f>
        <v>0</v>
      </c>
      <c r="F8422" s="20" t="n">
        <f aca="false">Parametres!$B$6*D8422</f>
        <v>54.52</v>
      </c>
      <c r="G8422" s="20" t="n">
        <f aca="false">E8422+F8422</f>
        <v>54.52</v>
      </c>
      <c r="H8422" s="20" t="n">
        <f aca="false">IF(G8422&lt;Parametres!$B$8*Parametres!$B$7,0,MIN(G8422,Parametres!$B$7))</f>
        <v>54.52</v>
      </c>
      <c r="I8422" s="20" t="n">
        <f aca="false">G8422-H8422</f>
        <v>0</v>
      </c>
      <c r="J8422" s="21" t="n">
        <f aca="false">H8422*1000/Parametres!$B$9</f>
        <v>924.537900627438</v>
      </c>
    </row>
    <row r="8423" customFormat="false" ht="15" hidden="false" customHeight="false" outlineLevel="0" collapsed="false">
      <c r="A8423" s="0" t="n">
        <v>8419</v>
      </c>
      <c r="B8423" s="0" t="n">
        <v>12</v>
      </c>
      <c r="C8423" s="19" t="n">
        <v>0</v>
      </c>
      <c r="D8423" s="19" t="n">
        <v>0.4297</v>
      </c>
      <c r="E8423" s="20" t="n">
        <f aca="false">Parametres!$B$5*C8423</f>
        <v>0</v>
      </c>
      <c r="F8423" s="20" t="n">
        <f aca="false">Parametres!$B$6*D8423</f>
        <v>85.94</v>
      </c>
      <c r="G8423" s="20" t="n">
        <f aca="false">E8423+F8423</f>
        <v>85.94</v>
      </c>
      <c r="H8423" s="20" t="n">
        <f aca="false">IF(G8423&lt;Parametres!$B$8*Parametres!$B$7,0,MIN(G8423,Parametres!$B$7))</f>
        <v>85.94</v>
      </c>
      <c r="I8423" s="20" t="n">
        <f aca="false">G8423-H8423</f>
        <v>0</v>
      </c>
      <c r="J8423" s="21" t="n">
        <f aca="false">H8423*1000/Parametres!$B$9</f>
        <v>1457.35119552315</v>
      </c>
    </row>
    <row r="8424" customFormat="false" ht="15" hidden="false" customHeight="false" outlineLevel="0" collapsed="false">
      <c r="A8424" s="0" t="n">
        <v>8420</v>
      </c>
      <c r="B8424" s="0" t="n">
        <v>12</v>
      </c>
      <c r="C8424" s="19" t="n">
        <v>0</v>
      </c>
      <c r="D8424" s="19" t="n">
        <v>0.2455</v>
      </c>
      <c r="E8424" s="20" t="n">
        <f aca="false">Parametres!$B$5*C8424</f>
        <v>0</v>
      </c>
      <c r="F8424" s="20" t="n">
        <f aca="false">Parametres!$B$6*D8424</f>
        <v>49.1</v>
      </c>
      <c r="G8424" s="20" t="n">
        <f aca="false">E8424+F8424</f>
        <v>49.1</v>
      </c>
      <c r="H8424" s="20" t="n">
        <f aca="false">IF(G8424&lt;Parametres!$B$8*Parametres!$B$7,0,MIN(G8424,Parametres!$B$7))</f>
        <v>49.1</v>
      </c>
      <c r="I8424" s="20" t="n">
        <f aca="false">G8424-H8424</f>
        <v>0</v>
      </c>
      <c r="J8424" s="21" t="n">
        <f aca="false">H8424*1000/Parametres!$B$9</f>
        <v>832.626759369171</v>
      </c>
    </row>
    <row r="8425" customFormat="false" ht="15" hidden="false" customHeight="false" outlineLevel="0" collapsed="false">
      <c r="A8425" s="0" t="n">
        <v>8421</v>
      </c>
      <c r="B8425" s="0" t="n">
        <v>12</v>
      </c>
      <c r="C8425" s="19" t="n">
        <v>0</v>
      </c>
      <c r="D8425" s="19" t="n">
        <v>0.353</v>
      </c>
      <c r="E8425" s="20" t="n">
        <f aca="false">Parametres!$B$5*C8425</f>
        <v>0</v>
      </c>
      <c r="F8425" s="20" t="n">
        <f aca="false">Parametres!$B$6*D8425</f>
        <v>70.6</v>
      </c>
      <c r="G8425" s="20" t="n">
        <f aca="false">E8425+F8425</f>
        <v>70.6</v>
      </c>
      <c r="H8425" s="20" t="n">
        <f aca="false">IF(G8425&lt;Parametres!$B$8*Parametres!$B$7,0,MIN(G8425,Parametres!$B$7))</f>
        <v>70.6</v>
      </c>
      <c r="I8425" s="20" t="n">
        <f aca="false">G8425-H8425</f>
        <v>0</v>
      </c>
      <c r="J8425" s="21" t="n">
        <f aca="false">H8425*1000/Parametres!$B$9</f>
        <v>1197.21892487706</v>
      </c>
    </row>
    <row r="8426" customFormat="false" ht="15" hidden="false" customHeight="false" outlineLevel="0" collapsed="false">
      <c r="A8426" s="0" t="n">
        <v>8422</v>
      </c>
      <c r="B8426" s="0" t="n">
        <v>12</v>
      </c>
      <c r="C8426" s="19" t="n">
        <v>0</v>
      </c>
      <c r="D8426" s="19" t="n">
        <v>0.3559</v>
      </c>
      <c r="E8426" s="20" t="n">
        <f aca="false">Parametres!$B$5*C8426</f>
        <v>0</v>
      </c>
      <c r="F8426" s="20" t="n">
        <f aca="false">Parametres!$B$6*D8426</f>
        <v>71.18</v>
      </c>
      <c r="G8426" s="20" t="n">
        <f aca="false">E8426+F8426</f>
        <v>71.18</v>
      </c>
      <c r="H8426" s="20" t="n">
        <f aca="false">IF(G8426&lt;Parametres!$B$8*Parametres!$B$7,0,MIN(G8426,Parametres!$B$7))</f>
        <v>71.18</v>
      </c>
      <c r="I8426" s="20" t="n">
        <f aca="false">G8426-H8426</f>
        <v>0</v>
      </c>
      <c r="J8426" s="21" t="n">
        <f aca="false">H8426*1000/Parametres!$B$9</f>
        <v>1207.0544344582</v>
      </c>
    </row>
    <row r="8427" customFormat="false" ht="15" hidden="false" customHeight="false" outlineLevel="0" collapsed="false">
      <c r="A8427" s="0" t="n">
        <v>8423</v>
      </c>
      <c r="B8427" s="0" t="n">
        <v>12</v>
      </c>
      <c r="C8427" s="19" t="n">
        <v>0</v>
      </c>
      <c r="D8427" s="19" t="n">
        <v>0.3204</v>
      </c>
      <c r="E8427" s="20" t="n">
        <f aca="false">Parametres!$B$5*C8427</f>
        <v>0</v>
      </c>
      <c r="F8427" s="20" t="n">
        <f aca="false">Parametres!$B$6*D8427</f>
        <v>64.08</v>
      </c>
      <c r="G8427" s="20" t="n">
        <f aca="false">E8427+F8427</f>
        <v>64.08</v>
      </c>
      <c r="H8427" s="20" t="n">
        <f aca="false">IF(G8427&lt;Parametres!$B$8*Parametres!$B$7,0,MIN(G8427,Parametres!$B$7))</f>
        <v>64.08</v>
      </c>
      <c r="I8427" s="20" t="n">
        <f aca="false">G8427-H8427</f>
        <v>0</v>
      </c>
      <c r="J8427" s="21" t="n">
        <f aca="false">H8427*1000/Parametres!$B$9</f>
        <v>1086.6542309649</v>
      </c>
    </row>
    <row r="8428" customFormat="false" ht="15" hidden="false" customHeight="false" outlineLevel="0" collapsed="false">
      <c r="A8428" s="0" t="n">
        <v>8424</v>
      </c>
      <c r="B8428" s="0" t="n">
        <v>12</v>
      </c>
      <c r="C8428" s="19" t="n">
        <v>0</v>
      </c>
      <c r="D8428" s="19" t="n">
        <v>0.3683</v>
      </c>
      <c r="E8428" s="20" t="n">
        <f aca="false">Parametres!$B$5*C8428</f>
        <v>0</v>
      </c>
      <c r="F8428" s="20" t="n">
        <f aca="false">Parametres!$B$6*D8428</f>
        <v>73.66</v>
      </c>
      <c r="G8428" s="20" t="n">
        <f aca="false">E8428+F8428</f>
        <v>73.66</v>
      </c>
      <c r="H8428" s="20" t="n">
        <f aca="false">IF(G8428&lt;Parametres!$B$8*Parametres!$B$7,0,MIN(G8428,Parametres!$B$7))</f>
        <v>73.66</v>
      </c>
      <c r="I8428" s="20" t="n">
        <f aca="false">G8428-H8428</f>
        <v>0</v>
      </c>
      <c r="J8428" s="21" t="n">
        <f aca="false">H8428*1000/Parametres!$B$9</f>
        <v>1249.10971680516</v>
      </c>
    </row>
    <row r="8429" customFormat="false" ht="15" hidden="false" customHeight="false" outlineLevel="0" collapsed="false">
      <c r="A8429" s="0" t="n">
        <v>8425</v>
      </c>
      <c r="B8429" s="0" t="n">
        <v>12</v>
      </c>
      <c r="C8429" s="19" t="n">
        <v>0</v>
      </c>
      <c r="D8429" s="19" t="n">
        <v>0.2128</v>
      </c>
      <c r="E8429" s="20" t="n">
        <f aca="false">Parametres!$B$5*C8429</f>
        <v>0</v>
      </c>
      <c r="F8429" s="20" t="n">
        <f aca="false">Parametres!$B$6*D8429</f>
        <v>42.56</v>
      </c>
      <c r="G8429" s="20" t="n">
        <f aca="false">E8429+F8429</f>
        <v>42.56</v>
      </c>
      <c r="H8429" s="20" t="n">
        <f aca="false">IF(G8429&lt;Parametres!$B$8*Parametres!$B$7,0,MIN(G8429,Parametres!$B$7))</f>
        <v>42.56</v>
      </c>
      <c r="I8429" s="20" t="n">
        <f aca="false">G8429-H8429</f>
        <v>0</v>
      </c>
      <c r="J8429" s="21" t="n">
        <f aca="false">H8429*1000/Parametres!$B$9</f>
        <v>721.722909954214</v>
      </c>
    </row>
    <row r="8430" customFormat="false" ht="15" hidden="false" customHeight="false" outlineLevel="0" collapsed="false">
      <c r="A8430" s="0" t="n">
        <v>8426</v>
      </c>
      <c r="B8430" s="0" t="n">
        <v>12</v>
      </c>
      <c r="C8430" s="19" t="n">
        <v>0</v>
      </c>
      <c r="D8430" s="19" t="n">
        <v>0.2031</v>
      </c>
      <c r="E8430" s="20" t="n">
        <f aca="false">Parametres!$B$5*C8430</f>
        <v>0</v>
      </c>
      <c r="F8430" s="20" t="n">
        <f aca="false">Parametres!$B$6*D8430</f>
        <v>40.62</v>
      </c>
      <c r="G8430" s="20" t="n">
        <f aca="false">E8430+F8430</f>
        <v>40.62</v>
      </c>
      <c r="H8430" s="20" t="n">
        <f aca="false">IF(G8430&lt;Parametres!$B$8*Parametres!$B$7,0,MIN(G8430,Parametres!$B$7))</f>
        <v>40.62</v>
      </c>
      <c r="I8430" s="20" t="n">
        <f aca="false">G8430-H8430</f>
        <v>0</v>
      </c>
      <c r="J8430" s="21" t="n">
        <f aca="false">H8430*1000/Parametres!$B$9</f>
        <v>688.824826182805</v>
      </c>
    </row>
    <row r="8431" customFormat="false" ht="15" hidden="false" customHeight="false" outlineLevel="0" collapsed="false">
      <c r="A8431" s="0" t="n">
        <v>8427</v>
      </c>
      <c r="B8431" s="0" t="n">
        <v>12</v>
      </c>
      <c r="C8431" s="19" t="n">
        <v>0</v>
      </c>
      <c r="D8431" s="19" t="n">
        <v>0.1466</v>
      </c>
      <c r="E8431" s="20" t="n">
        <f aca="false">Parametres!$B$5*C8431</f>
        <v>0</v>
      </c>
      <c r="F8431" s="20" t="n">
        <f aca="false">Parametres!$B$6*D8431</f>
        <v>29.32</v>
      </c>
      <c r="G8431" s="20" t="n">
        <f aca="false">E8431+F8431</f>
        <v>29.32</v>
      </c>
      <c r="H8431" s="20" t="n">
        <f aca="false">IF(G8431&lt;Parametres!$B$8*Parametres!$B$7,0,MIN(G8431,Parametres!$B$7))</f>
        <v>29.32</v>
      </c>
      <c r="I8431" s="20" t="n">
        <f aca="false">G8431-H8431</f>
        <v>0</v>
      </c>
      <c r="J8431" s="21" t="n">
        <f aca="false">H8431*1000/Parametres!$B$9</f>
        <v>497.201967101916</v>
      </c>
    </row>
    <row r="8432" customFormat="false" ht="15" hidden="false" customHeight="false" outlineLevel="0" collapsed="false">
      <c r="A8432" s="0" t="n">
        <v>8428</v>
      </c>
      <c r="B8432" s="0" t="n">
        <v>12</v>
      </c>
      <c r="C8432" s="19" t="n">
        <v>0</v>
      </c>
      <c r="D8432" s="19" t="n">
        <v>0.1496</v>
      </c>
      <c r="E8432" s="20" t="n">
        <f aca="false">Parametres!$B$5*C8432</f>
        <v>0</v>
      </c>
      <c r="F8432" s="20" t="n">
        <f aca="false">Parametres!$B$6*D8432</f>
        <v>29.92</v>
      </c>
      <c r="G8432" s="20" t="n">
        <f aca="false">E8432+F8432</f>
        <v>29.92</v>
      </c>
      <c r="H8432" s="20" t="n">
        <f aca="false">IF(G8432&lt;Parametres!$B$8*Parametres!$B$7,0,MIN(G8432,Parametres!$B$7))</f>
        <v>29.92</v>
      </c>
      <c r="I8432" s="20" t="n">
        <f aca="false">G8432-H8432</f>
        <v>0</v>
      </c>
      <c r="J8432" s="21" t="n">
        <f aca="false">H8432*1000/Parametres!$B$9</f>
        <v>507.376632185857</v>
      </c>
    </row>
    <row r="8433" customFormat="false" ht="15" hidden="false" customHeight="false" outlineLevel="0" collapsed="false">
      <c r="A8433" s="0" t="n">
        <v>8429</v>
      </c>
      <c r="B8433" s="0" t="n">
        <v>12</v>
      </c>
      <c r="C8433" s="19" t="n">
        <v>0</v>
      </c>
      <c r="D8433" s="19" t="n">
        <v>0.1213</v>
      </c>
      <c r="E8433" s="20" t="n">
        <f aca="false">Parametres!$B$5*C8433</f>
        <v>0</v>
      </c>
      <c r="F8433" s="20" t="n">
        <f aca="false">Parametres!$B$6*D8433</f>
        <v>24.26</v>
      </c>
      <c r="G8433" s="20" t="n">
        <f aca="false">E8433+F8433</f>
        <v>24.26</v>
      </c>
      <c r="H8433" s="20" t="n">
        <f aca="false">IF(G8433&lt;Parametres!$B$8*Parametres!$B$7,0,MIN(G8433,Parametres!$B$7))</f>
        <v>0</v>
      </c>
      <c r="I8433" s="20" t="n">
        <f aca="false">G8433-H8433</f>
        <v>24.26</v>
      </c>
      <c r="J8433" s="21" t="n">
        <f aca="false">H8433*1000/Parametres!$B$9</f>
        <v>0</v>
      </c>
    </row>
    <row r="8434" customFormat="false" ht="15" hidden="false" customHeight="false" outlineLevel="0" collapsed="false">
      <c r="A8434" s="0" t="n">
        <v>8430</v>
      </c>
      <c r="B8434" s="0" t="n">
        <v>12</v>
      </c>
      <c r="C8434" s="19" t="n">
        <v>0</v>
      </c>
      <c r="D8434" s="19" t="n">
        <v>0.1491</v>
      </c>
      <c r="E8434" s="20" t="n">
        <f aca="false">Parametres!$B$5*C8434</f>
        <v>0</v>
      </c>
      <c r="F8434" s="20" t="n">
        <f aca="false">Parametres!$B$6*D8434</f>
        <v>29.82</v>
      </c>
      <c r="G8434" s="20" t="n">
        <f aca="false">E8434+F8434</f>
        <v>29.82</v>
      </c>
      <c r="H8434" s="20" t="n">
        <f aca="false">IF(G8434&lt;Parametres!$B$8*Parametres!$B$7,0,MIN(G8434,Parametres!$B$7))</f>
        <v>29.82</v>
      </c>
      <c r="I8434" s="20" t="n">
        <f aca="false">G8434-H8434</f>
        <v>0</v>
      </c>
      <c r="J8434" s="21" t="n">
        <f aca="false">H8434*1000/Parametres!$B$9</f>
        <v>505.680854671867</v>
      </c>
    </row>
    <row r="8435" customFormat="false" ht="15" hidden="false" customHeight="false" outlineLevel="0" collapsed="false">
      <c r="A8435" s="0" t="n">
        <v>8431</v>
      </c>
      <c r="B8435" s="0" t="n">
        <v>12</v>
      </c>
      <c r="C8435" s="19" t="n">
        <v>0</v>
      </c>
      <c r="D8435" s="19" t="n">
        <v>0.271</v>
      </c>
      <c r="E8435" s="20" t="n">
        <f aca="false">Parametres!$B$5*C8435</f>
        <v>0</v>
      </c>
      <c r="F8435" s="20" t="n">
        <f aca="false">Parametres!$B$6*D8435</f>
        <v>54.2</v>
      </c>
      <c r="G8435" s="20" t="n">
        <f aca="false">E8435+F8435</f>
        <v>54.2</v>
      </c>
      <c r="H8435" s="20" t="n">
        <f aca="false">IF(G8435&lt;Parametres!$B$8*Parametres!$B$7,0,MIN(G8435,Parametres!$B$7))</f>
        <v>54.2</v>
      </c>
      <c r="I8435" s="20" t="n">
        <f aca="false">G8435-H8435</f>
        <v>0</v>
      </c>
      <c r="J8435" s="21" t="n">
        <f aca="false">H8435*1000/Parametres!$B$9</f>
        <v>919.111412582669</v>
      </c>
    </row>
    <row r="8436" customFormat="false" ht="15" hidden="false" customHeight="false" outlineLevel="0" collapsed="false">
      <c r="A8436" s="0" t="n">
        <v>8432</v>
      </c>
      <c r="B8436" s="0" t="n">
        <v>12</v>
      </c>
      <c r="C8436" s="19" t="n">
        <v>0.0899</v>
      </c>
      <c r="D8436" s="19" t="n">
        <v>0.2877</v>
      </c>
      <c r="E8436" s="20" t="n">
        <f aca="false">Parametres!$B$5*C8436</f>
        <v>26.97</v>
      </c>
      <c r="F8436" s="20" t="n">
        <f aca="false">Parametres!$B$6*D8436</f>
        <v>57.54</v>
      </c>
      <c r="G8436" s="20" t="n">
        <f aca="false">E8436+F8436</f>
        <v>84.51</v>
      </c>
      <c r="H8436" s="20" t="n">
        <f aca="false">IF(G8436&lt;Parametres!$B$8*Parametres!$B$7,0,MIN(G8436,Parametres!$B$7))</f>
        <v>84.51</v>
      </c>
      <c r="I8436" s="20" t="n">
        <f aca="false">G8436-H8436</f>
        <v>0</v>
      </c>
      <c r="J8436" s="21" t="n">
        <f aca="false">H8436*1000/Parametres!$B$9</f>
        <v>1433.10157707309</v>
      </c>
    </row>
    <row r="8437" customFormat="false" ht="15" hidden="false" customHeight="false" outlineLevel="0" collapsed="false">
      <c r="A8437" s="0" t="n">
        <v>8433</v>
      </c>
      <c r="B8437" s="0" t="n">
        <v>12</v>
      </c>
      <c r="C8437" s="19" t="n">
        <v>0.2341</v>
      </c>
      <c r="D8437" s="19" t="n">
        <v>0.2785</v>
      </c>
      <c r="E8437" s="20" t="n">
        <f aca="false">Parametres!$B$5*C8437</f>
        <v>70.23</v>
      </c>
      <c r="F8437" s="20" t="n">
        <f aca="false">Parametres!$B$6*D8437</f>
        <v>55.7</v>
      </c>
      <c r="G8437" s="20" t="n">
        <f aca="false">E8437+F8437</f>
        <v>125.93</v>
      </c>
      <c r="H8437" s="20" t="n">
        <f aca="false">IF(G8437&lt;Parametres!$B$8*Parametres!$B$7,0,MIN(G8437,Parametres!$B$7))</f>
        <v>125.93</v>
      </c>
      <c r="I8437" s="20" t="n">
        <f aca="false">G8437-H8437</f>
        <v>0</v>
      </c>
      <c r="J8437" s="21" t="n">
        <f aca="false">H8437*1000/Parametres!$B$9</f>
        <v>2135.49262336781</v>
      </c>
    </row>
    <row r="8438" customFormat="false" ht="15" hidden="false" customHeight="false" outlineLevel="0" collapsed="false">
      <c r="A8438" s="0" t="n">
        <v>8434</v>
      </c>
      <c r="B8438" s="0" t="n">
        <v>12</v>
      </c>
      <c r="C8438" s="19" t="n">
        <v>0.4111</v>
      </c>
      <c r="D8438" s="19" t="n">
        <v>0.2595</v>
      </c>
      <c r="E8438" s="20" t="n">
        <f aca="false">Parametres!$B$5*C8438</f>
        <v>123.33</v>
      </c>
      <c r="F8438" s="20" t="n">
        <f aca="false">Parametres!$B$6*D8438</f>
        <v>51.9</v>
      </c>
      <c r="G8438" s="20" t="n">
        <f aca="false">E8438+F8438</f>
        <v>175.23</v>
      </c>
      <c r="H8438" s="20" t="n">
        <f aca="false">IF(G8438&lt;Parametres!$B$8*Parametres!$B$7,0,MIN(G8438,Parametres!$B$7))</f>
        <v>175.23</v>
      </c>
      <c r="I8438" s="20" t="n">
        <f aca="false">G8438-H8438</f>
        <v>0</v>
      </c>
      <c r="J8438" s="21" t="n">
        <f aca="false">H8438*1000/Parametres!$B$9</f>
        <v>2971.51093776497</v>
      </c>
    </row>
    <row r="8439" customFormat="false" ht="15" hidden="false" customHeight="false" outlineLevel="0" collapsed="false">
      <c r="A8439" s="0" t="n">
        <v>8435</v>
      </c>
      <c r="B8439" s="0" t="n">
        <v>12</v>
      </c>
      <c r="C8439" s="19" t="n">
        <v>0.4939</v>
      </c>
      <c r="D8439" s="19" t="n">
        <v>0.264</v>
      </c>
      <c r="E8439" s="20" t="n">
        <f aca="false">Parametres!$B$5*C8439</f>
        <v>148.17</v>
      </c>
      <c r="F8439" s="20" t="n">
        <f aca="false">Parametres!$B$6*D8439</f>
        <v>52.8</v>
      </c>
      <c r="G8439" s="20" t="n">
        <f aca="false">E8439+F8439</f>
        <v>200.97</v>
      </c>
      <c r="H8439" s="20" t="n">
        <f aca="false">IF(G8439&lt;Parametres!$B$8*Parametres!$B$7,0,MIN(G8439,Parametres!$B$7))</f>
        <v>200.97</v>
      </c>
      <c r="I8439" s="20" t="n">
        <f aca="false">G8439-H8439</f>
        <v>0</v>
      </c>
      <c r="J8439" s="21" t="n">
        <f aca="false">H8439*1000/Parametres!$B$9</f>
        <v>3408.00406986603</v>
      </c>
    </row>
    <row r="8440" customFormat="false" ht="15" hidden="false" customHeight="false" outlineLevel="0" collapsed="false">
      <c r="A8440" s="0" t="n">
        <v>8436</v>
      </c>
      <c r="B8440" s="0" t="n">
        <v>12</v>
      </c>
      <c r="C8440" s="19" t="n">
        <v>0.5952</v>
      </c>
      <c r="D8440" s="19" t="n">
        <v>0.2602</v>
      </c>
      <c r="E8440" s="20" t="n">
        <f aca="false">Parametres!$B$5*C8440</f>
        <v>178.56</v>
      </c>
      <c r="F8440" s="20" t="n">
        <f aca="false">Parametres!$B$6*D8440</f>
        <v>52.04</v>
      </c>
      <c r="G8440" s="20" t="n">
        <f aca="false">E8440+F8440</f>
        <v>230.6</v>
      </c>
      <c r="H8440" s="20" t="n">
        <f aca="false">IF(G8440&lt;Parametres!$B$8*Parametres!$B$7,0,MIN(G8440,Parametres!$B$7))</f>
        <v>230.6</v>
      </c>
      <c r="I8440" s="20" t="n">
        <f aca="false">G8440-H8440</f>
        <v>0</v>
      </c>
      <c r="J8440" s="21" t="n">
        <f aca="false">H8440*1000/Parametres!$B$9</f>
        <v>3910.46294726132</v>
      </c>
    </row>
    <row r="8441" customFormat="false" ht="15" hidden="false" customHeight="false" outlineLevel="0" collapsed="false">
      <c r="A8441" s="0" t="n">
        <v>8437</v>
      </c>
      <c r="B8441" s="0" t="n">
        <v>12</v>
      </c>
      <c r="C8441" s="19" t="n">
        <v>0.5637</v>
      </c>
      <c r="D8441" s="19" t="n">
        <v>0.3874</v>
      </c>
      <c r="E8441" s="20" t="n">
        <f aca="false">Parametres!$B$5*C8441</f>
        <v>169.11</v>
      </c>
      <c r="F8441" s="20" t="n">
        <f aca="false">Parametres!$B$6*D8441</f>
        <v>77.48</v>
      </c>
      <c r="G8441" s="20" t="n">
        <f aca="false">E8441+F8441</f>
        <v>246.59</v>
      </c>
      <c r="H8441" s="20" t="n">
        <f aca="false">IF(G8441&lt;Parametres!$B$8*Parametres!$B$7,0,MIN(G8441,Parametres!$B$7))</f>
        <v>246.59</v>
      </c>
      <c r="I8441" s="20" t="n">
        <f aca="false">G8441-H8441</f>
        <v>0</v>
      </c>
      <c r="J8441" s="21" t="n">
        <f aca="false">H8441*1000/Parametres!$B$9</f>
        <v>4181.61777174835</v>
      </c>
    </row>
    <row r="8442" customFormat="false" ht="15" hidden="false" customHeight="false" outlineLevel="0" collapsed="false">
      <c r="A8442" s="0" t="n">
        <v>8438</v>
      </c>
      <c r="B8442" s="0" t="n">
        <v>12</v>
      </c>
      <c r="C8442" s="19" t="n">
        <v>0.4897</v>
      </c>
      <c r="D8442" s="19" t="n">
        <v>0.359</v>
      </c>
      <c r="E8442" s="20" t="n">
        <f aca="false">Parametres!$B$5*C8442</f>
        <v>146.91</v>
      </c>
      <c r="F8442" s="20" t="n">
        <f aca="false">Parametres!$B$6*D8442</f>
        <v>71.8</v>
      </c>
      <c r="G8442" s="20" t="n">
        <f aca="false">E8442+F8442</f>
        <v>218.71</v>
      </c>
      <c r="H8442" s="20" t="n">
        <f aca="false">IF(G8442&lt;Parametres!$B$8*Parametres!$B$7,0,MIN(G8442,Parametres!$B$7))</f>
        <v>218.71</v>
      </c>
      <c r="I8442" s="20" t="n">
        <f aca="false">G8442-H8442</f>
        <v>0</v>
      </c>
      <c r="J8442" s="21" t="n">
        <f aca="false">H8442*1000/Parametres!$B$9</f>
        <v>3708.83500084789</v>
      </c>
    </row>
    <row r="8443" customFormat="false" ht="15" hidden="false" customHeight="false" outlineLevel="0" collapsed="false">
      <c r="A8443" s="0" t="n">
        <v>8439</v>
      </c>
      <c r="B8443" s="0" t="n">
        <v>12</v>
      </c>
      <c r="C8443" s="19" t="n">
        <v>0.388</v>
      </c>
      <c r="D8443" s="19" t="n">
        <v>0.2058</v>
      </c>
      <c r="E8443" s="20" t="n">
        <f aca="false">Parametres!$B$5*C8443</f>
        <v>116.4</v>
      </c>
      <c r="F8443" s="20" t="n">
        <f aca="false">Parametres!$B$6*D8443</f>
        <v>41.16</v>
      </c>
      <c r="G8443" s="20" t="n">
        <f aca="false">E8443+F8443</f>
        <v>157.56</v>
      </c>
      <c r="H8443" s="20" t="n">
        <f aca="false">IF(G8443&lt;Parametres!$B$8*Parametres!$B$7,0,MIN(G8443,Parametres!$B$7))</f>
        <v>157.56</v>
      </c>
      <c r="I8443" s="20" t="n">
        <f aca="false">G8443-H8443</f>
        <v>0</v>
      </c>
      <c r="J8443" s="21" t="n">
        <f aca="false">H8443*1000/Parametres!$B$9</f>
        <v>2671.8670510429</v>
      </c>
    </row>
    <row r="8444" customFormat="false" ht="15" hidden="false" customHeight="false" outlineLevel="0" collapsed="false">
      <c r="A8444" s="0" t="n">
        <v>8440</v>
      </c>
      <c r="B8444" s="0" t="n">
        <v>12</v>
      </c>
      <c r="C8444" s="19" t="n">
        <v>0.2294</v>
      </c>
      <c r="D8444" s="19" t="n">
        <v>0.2221</v>
      </c>
      <c r="E8444" s="20" t="n">
        <f aca="false">Parametres!$B$5*C8444</f>
        <v>68.82</v>
      </c>
      <c r="F8444" s="20" t="n">
        <f aca="false">Parametres!$B$6*D8444</f>
        <v>44.42</v>
      </c>
      <c r="G8444" s="20" t="n">
        <f aca="false">E8444+F8444</f>
        <v>113.24</v>
      </c>
      <c r="H8444" s="20" t="n">
        <f aca="false">IF(G8444&lt;Parametres!$B$8*Parametres!$B$7,0,MIN(G8444,Parametres!$B$7))</f>
        <v>113.24</v>
      </c>
      <c r="I8444" s="20" t="n">
        <f aca="false">G8444-H8444</f>
        <v>0</v>
      </c>
      <c r="J8444" s="21" t="n">
        <f aca="false">H8444*1000/Parametres!$B$9</f>
        <v>1920.29845684246</v>
      </c>
    </row>
    <row r="8445" customFormat="false" ht="15" hidden="false" customHeight="false" outlineLevel="0" collapsed="false">
      <c r="A8445" s="0" t="n">
        <v>8441</v>
      </c>
      <c r="B8445" s="0" t="n">
        <v>12</v>
      </c>
      <c r="C8445" s="19" t="n">
        <v>0.0864</v>
      </c>
      <c r="D8445" s="19" t="n">
        <v>0.2456</v>
      </c>
      <c r="E8445" s="20" t="n">
        <f aca="false">Parametres!$B$5*C8445</f>
        <v>25.92</v>
      </c>
      <c r="F8445" s="20" t="n">
        <f aca="false">Parametres!$B$6*D8445</f>
        <v>49.12</v>
      </c>
      <c r="G8445" s="20" t="n">
        <f aca="false">E8445+F8445</f>
        <v>75.04</v>
      </c>
      <c r="H8445" s="20" t="n">
        <f aca="false">IF(G8445&lt;Parametres!$B$8*Parametres!$B$7,0,MIN(G8445,Parametres!$B$7))</f>
        <v>75.04</v>
      </c>
      <c r="I8445" s="20" t="n">
        <f aca="false">G8445-H8445</f>
        <v>0</v>
      </c>
      <c r="J8445" s="21" t="n">
        <f aca="false">H8445*1000/Parametres!$B$9</f>
        <v>1272.51144649822</v>
      </c>
    </row>
    <row r="8446" customFormat="false" ht="15" hidden="false" customHeight="false" outlineLevel="0" collapsed="false">
      <c r="A8446" s="0" t="n">
        <v>8442</v>
      </c>
      <c r="B8446" s="0" t="n">
        <v>12</v>
      </c>
      <c r="C8446" s="19" t="n">
        <v>0</v>
      </c>
      <c r="D8446" s="19" t="n">
        <v>0.2915</v>
      </c>
      <c r="E8446" s="20" t="n">
        <f aca="false">Parametres!$B$5*C8446</f>
        <v>0</v>
      </c>
      <c r="F8446" s="20" t="n">
        <f aca="false">Parametres!$B$6*D8446</f>
        <v>58.3</v>
      </c>
      <c r="G8446" s="20" t="n">
        <f aca="false">E8446+F8446</f>
        <v>58.3</v>
      </c>
      <c r="H8446" s="20" t="n">
        <f aca="false">IF(G8446&lt;Parametres!$B$8*Parametres!$B$7,0,MIN(G8446,Parametres!$B$7))</f>
        <v>58.3</v>
      </c>
      <c r="I8446" s="20" t="n">
        <f aca="false">G8446-H8446</f>
        <v>0</v>
      </c>
      <c r="J8446" s="21" t="n">
        <f aca="false">H8446*1000/Parametres!$B$9</f>
        <v>988.638290656266</v>
      </c>
    </row>
    <row r="8447" customFormat="false" ht="15" hidden="false" customHeight="false" outlineLevel="0" collapsed="false">
      <c r="A8447" s="0" t="n">
        <v>8443</v>
      </c>
      <c r="B8447" s="0" t="n">
        <v>12</v>
      </c>
      <c r="C8447" s="19" t="n">
        <v>0</v>
      </c>
      <c r="D8447" s="19" t="n">
        <v>0.3076</v>
      </c>
      <c r="E8447" s="20" t="n">
        <f aca="false">Parametres!$B$5*C8447</f>
        <v>0</v>
      </c>
      <c r="F8447" s="20" t="n">
        <f aca="false">Parametres!$B$6*D8447</f>
        <v>61.52</v>
      </c>
      <c r="G8447" s="20" t="n">
        <f aca="false">E8447+F8447</f>
        <v>61.52</v>
      </c>
      <c r="H8447" s="20" t="n">
        <f aca="false">IF(G8447&lt;Parametres!$B$8*Parametres!$B$7,0,MIN(G8447,Parametres!$B$7))</f>
        <v>61.52</v>
      </c>
      <c r="I8447" s="20" t="n">
        <f aca="false">G8447-H8447</f>
        <v>0</v>
      </c>
      <c r="J8447" s="21" t="n">
        <f aca="false">H8447*1000/Parametres!$B$9</f>
        <v>1043.24232660675</v>
      </c>
    </row>
    <row r="8448" customFormat="false" ht="15" hidden="false" customHeight="false" outlineLevel="0" collapsed="false">
      <c r="A8448" s="0" t="n">
        <v>8444</v>
      </c>
      <c r="B8448" s="0" t="n">
        <v>12</v>
      </c>
      <c r="C8448" s="19" t="n">
        <v>0</v>
      </c>
      <c r="D8448" s="19" t="n">
        <v>0.2119</v>
      </c>
      <c r="E8448" s="20" t="n">
        <f aca="false">Parametres!$B$5*C8448</f>
        <v>0</v>
      </c>
      <c r="F8448" s="20" t="n">
        <f aca="false">Parametres!$B$6*D8448</f>
        <v>42.38</v>
      </c>
      <c r="G8448" s="20" t="n">
        <f aca="false">E8448+F8448</f>
        <v>42.38</v>
      </c>
      <c r="H8448" s="20" t="n">
        <f aca="false">IF(G8448&lt;Parametres!$B$8*Parametres!$B$7,0,MIN(G8448,Parametres!$B$7))</f>
        <v>42.38</v>
      </c>
      <c r="I8448" s="20" t="n">
        <f aca="false">G8448-H8448</f>
        <v>0</v>
      </c>
      <c r="J8448" s="21" t="n">
        <f aca="false">H8448*1000/Parametres!$B$9</f>
        <v>718.670510429032</v>
      </c>
    </row>
    <row r="8449" customFormat="false" ht="15" hidden="false" customHeight="false" outlineLevel="0" collapsed="false">
      <c r="A8449" s="0" t="n">
        <v>8445</v>
      </c>
      <c r="B8449" s="0" t="n">
        <v>12</v>
      </c>
      <c r="C8449" s="19" t="n">
        <v>0</v>
      </c>
      <c r="D8449" s="19" t="n">
        <v>0.1836</v>
      </c>
      <c r="E8449" s="20" t="n">
        <f aca="false">Parametres!$B$5*C8449</f>
        <v>0</v>
      </c>
      <c r="F8449" s="20" t="n">
        <f aca="false">Parametres!$B$6*D8449</f>
        <v>36.72</v>
      </c>
      <c r="G8449" s="20" t="n">
        <f aca="false">E8449+F8449</f>
        <v>36.72</v>
      </c>
      <c r="H8449" s="20" t="n">
        <f aca="false">IF(G8449&lt;Parametres!$B$8*Parametres!$B$7,0,MIN(G8449,Parametres!$B$7))</f>
        <v>36.72</v>
      </c>
      <c r="I8449" s="20" t="n">
        <f aca="false">G8449-H8449</f>
        <v>0</v>
      </c>
      <c r="J8449" s="21" t="n">
        <f aca="false">H8449*1000/Parametres!$B$9</f>
        <v>622.689503137189</v>
      </c>
    </row>
    <row r="8450" customFormat="false" ht="15" hidden="false" customHeight="false" outlineLevel="0" collapsed="false">
      <c r="A8450" s="0" t="n">
        <v>8446</v>
      </c>
      <c r="B8450" s="0" t="n">
        <v>12</v>
      </c>
      <c r="C8450" s="19" t="n">
        <v>0</v>
      </c>
      <c r="D8450" s="19" t="n">
        <v>0.2219</v>
      </c>
      <c r="E8450" s="20" t="n">
        <f aca="false">Parametres!$B$5*C8450</f>
        <v>0</v>
      </c>
      <c r="F8450" s="20" t="n">
        <f aca="false">Parametres!$B$6*D8450</f>
        <v>44.38</v>
      </c>
      <c r="G8450" s="20" t="n">
        <f aca="false">E8450+F8450</f>
        <v>44.38</v>
      </c>
      <c r="H8450" s="20" t="n">
        <f aca="false">IF(G8450&lt;Parametres!$B$8*Parametres!$B$7,0,MIN(G8450,Parametres!$B$7))</f>
        <v>44.38</v>
      </c>
      <c r="I8450" s="20" t="n">
        <f aca="false">G8450-H8450</f>
        <v>0</v>
      </c>
      <c r="J8450" s="21" t="n">
        <f aca="false">H8450*1000/Parametres!$B$9</f>
        <v>752.586060708835</v>
      </c>
    </row>
    <row r="8451" customFormat="false" ht="15" hidden="false" customHeight="false" outlineLevel="0" collapsed="false">
      <c r="A8451" s="0" t="n">
        <v>8447</v>
      </c>
      <c r="B8451" s="0" t="n">
        <v>12</v>
      </c>
      <c r="C8451" s="19" t="n">
        <v>0</v>
      </c>
      <c r="D8451" s="19" t="n">
        <v>0.2701</v>
      </c>
      <c r="E8451" s="20" t="n">
        <f aca="false">Parametres!$B$5*C8451</f>
        <v>0</v>
      </c>
      <c r="F8451" s="20" t="n">
        <f aca="false">Parametres!$B$6*D8451</f>
        <v>54.02</v>
      </c>
      <c r="G8451" s="20" t="n">
        <f aca="false">E8451+F8451</f>
        <v>54.02</v>
      </c>
      <c r="H8451" s="20" t="n">
        <f aca="false">IF(G8451&lt;Parametres!$B$8*Parametres!$B$7,0,MIN(G8451,Parametres!$B$7))</f>
        <v>54.02</v>
      </c>
      <c r="I8451" s="20" t="n">
        <f aca="false">G8451-H8451</f>
        <v>0</v>
      </c>
      <c r="J8451" s="21" t="n">
        <f aca="false">H8451*1000/Parametres!$B$9</f>
        <v>916.059013057487</v>
      </c>
    </row>
    <row r="8452" customFormat="false" ht="15" hidden="false" customHeight="false" outlineLevel="0" collapsed="false">
      <c r="A8452" s="0" t="n">
        <v>8448</v>
      </c>
      <c r="B8452" s="0" t="n">
        <v>12</v>
      </c>
      <c r="C8452" s="19" t="n">
        <v>0</v>
      </c>
      <c r="D8452" s="19" t="n">
        <v>0.1296</v>
      </c>
      <c r="E8452" s="20" t="n">
        <f aca="false">Parametres!$B$5*C8452</f>
        <v>0</v>
      </c>
      <c r="F8452" s="20" t="n">
        <f aca="false">Parametres!$B$6*D8452</f>
        <v>25.92</v>
      </c>
      <c r="G8452" s="20" t="n">
        <f aca="false">E8452+F8452</f>
        <v>25.92</v>
      </c>
      <c r="H8452" s="20" t="n">
        <f aca="false">IF(G8452&lt;Parametres!$B$8*Parametres!$B$7,0,MIN(G8452,Parametres!$B$7))</f>
        <v>25.92</v>
      </c>
      <c r="I8452" s="20" t="n">
        <f aca="false">G8452-H8452</f>
        <v>0</v>
      </c>
      <c r="J8452" s="21" t="n">
        <f aca="false">H8452*1000/Parametres!$B$9</f>
        <v>439.545531626251</v>
      </c>
    </row>
    <row r="8453" customFormat="false" ht="15" hidden="false" customHeight="false" outlineLevel="0" collapsed="false">
      <c r="A8453" s="0" t="n">
        <v>8449</v>
      </c>
      <c r="B8453" s="0" t="n">
        <v>12</v>
      </c>
      <c r="C8453" s="19" t="n">
        <v>0</v>
      </c>
      <c r="D8453" s="19" t="n">
        <v>0.1613</v>
      </c>
      <c r="E8453" s="20" t="n">
        <f aca="false">Parametres!$B$5*C8453</f>
        <v>0</v>
      </c>
      <c r="F8453" s="20" t="n">
        <f aca="false">Parametres!$B$6*D8453</f>
        <v>32.26</v>
      </c>
      <c r="G8453" s="20" t="n">
        <f aca="false">E8453+F8453</f>
        <v>32.26</v>
      </c>
      <c r="H8453" s="20" t="n">
        <f aca="false">IF(G8453&lt;Parametres!$B$8*Parametres!$B$7,0,MIN(G8453,Parametres!$B$7))</f>
        <v>32.26</v>
      </c>
      <c r="I8453" s="20" t="n">
        <f aca="false">G8453-H8453</f>
        <v>0</v>
      </c>
      <c r="J8453" s="21" t="n">
        <f aca="false">H8453*1000/Parametres!$B$9</f>
        <v>547.057826013227</v>
      </c>
    </row>
    <row r="8454" customFormat="false" ht="15" hidden="false" customHeight="false" outlineLevel="0" collapsed="false">
      <c r="A8454" s="0" t="n">
        <v>8450</v>
      </c>
      <c r="B8454" s="0" t="n">
        <v>12</v>
      </c>
      <c r="C8454" s="19" t="n">
        <v>0</v>
      </c>
      <c r="D8454" s="19" t="n">
        <v>0.0913</v>
      </c>
      <c r="E8454" s="20" t="n">
        <f aca="false">Parametres!$B$5*C8454</f>
        <v>0</v>
      </c>
      <c r="F8454" s="20" t="n">
        <f aca="false">Parametres!$B$6*D8454</f>
        <v>18.26</v>
      </c>
      <c r="G8454" s="20" t="n">
        <f aca="false">E8454+F8454</f>
        <v>18.26</v>
      </c>
      <c r="H8454" s="20" t="n">
        <f aca="false">IF(G8454&lt;Parametres!$B$8*Parametres!$B$7,0,MIN(G8454,Parametres!$B$7))</f>
        <v>0</v>
      </c>
      <c r="I8454" s="20" t="n">
        <f aca="false">G8454-H8454</f>
        <v>18.26</v>
      </c>
      <c r="J8454" s="21" t="n">
        <f aca="false">H8454*1000/Parametres!$B$9</f>
        <v>0</v>
      </c>
    </row>
    <row r="8455" customFormat="false" ht="15" hidden="false" customHeight="false" outlineLevel="0" collapsed="false">
      <c r="A8455" s="0" t="n">
        <v>8451</v>
      </c>
      <c r="B8455" s="0" t="n">
        <v>12</v>
      </c>
      <c r="C8455" s="19" t="n">
        <v>0</v>
      </c>
      <c r="D8455" s="19" t="n">
        <v>0.0726</v>
      </c>
      <c r="E8455" s="20" t="n">
        <f aca="false">Parametres!$B$5*C8455</f>
        <v>0</v>
      </c>
      <c r="F8455" s="20" t="n">
        <f aca="false">Parametres!$B$6*D8455</f>
        <v>14.52</v>
      </c>
      <c r="G8455" s="20" t="n">
        <f aca="false">E8455+F8455</f>
        <v>14.52</v>
      </c>
      <c r="H8455" s="20" t="n">
        <f aca="false">IF(G8455&lt;Parametres!$B$8*Parametres!$B$7,0,MIN(G8455,Parametres!$B$7))</f>
        <v>0</v>
      </c>
      <c r="I8455" s="20" t="n">
        <f aca="false">G8455-H8455</f>
        <v>14.52</v>
      </c>
      <c r="J8455" s="21" t="n">
        <f aca="false">H8455*1000/Parametres!$B$9</f>
        <v>0</v>
      </c>
    </row>
    <row r="8456" customFormat="false" ht="15" hidden="false" customHeight="false" outlineLevel="0" collapsed="false">
      <c r="A8456" s="0" t="n">
        <v>8452</v>
      </c>
      <c r="B8456" s="0" t="n">
        <v>12</v>
      </c>
      <c r="C8456" s="19" t="n">
        <v>0</v>
      </c>
      <c r="D8456" s="19" t="n">
        <v>0.0994</v>
      </c>
      <c r="E8456" s="20" t="n">
        <f aca="false">Parametres!$B$5*C8456</f>
        <v>0</v>
      </c>
      <c r="F8456" s="20" t="n">
        <f aca="false">Parametres!$B$6*D8456</f>
        <v>19.88</v>
      </c>
      <c r="G8456" s="20" t="n">
        <f aca="false">E8456+F8456</f>
        <v>19.88</v>
      </c>
      <c r="H8456" s="20" t="n">
        <f aca="false">IF(G8456&lt;Parametres!$B$8*Parametres!$B$7,0,MIN(G8456,Parametres!$B$7))</f>
        <v>0</v>
      </c>
      <c r="I8456" s="20" t="n">
        <f aca="false">G8456-H8456</f>
        <v>19.88</v>
      </c>
      <c r="J8456" s="21" t="n">
        <f aca="false">H8456*1000/Parametres!$B$9</f>
        <v>0</v>
      </c>
    </row>
    <row r="8457" customFormat="false" ht="15" hidden="false" customHeight="false" outlineLevel="0" collapsed="false">
      <c r="A8457" s="0" t="n">
        <v>8453</v>
      </c>
      <c r="B8457" s="0" t="n">
        <v>12</v>
      </c>
      <c r="C8457" s="19" t="n">
        <v>0</v>
      </c>
      <c r="D8457" s="19" t="n">
        <v>0.1275</v>
      </c>
      <c r="E8457" s="20" t="n">
        <f aca="false">Parametres!$B$5*C8457</f>
        <v>0</v>
      </c>
      <c r="F8457" s="20" t="n">
        <f aca="false">Parametres!$B$6*D8457</f>
        <v>25.5</v>
      </c>
      <c r="G8457" s="20" t="n">
        <f aca="false">E8457+F8457</f>
        <v>25.5</v>
      </c>
      <c r="H8457" s="20" t="n">
        <f aca="false">IF(G8457&lt;Parametres!$B$8*Parametres!$B$7,0,MIN(G8457,Parametres!$B$7))</f>
        <v>25.5</v>
      </c>
      <c r="I8457" s="20" t="n">
        <f aca="false">G8457-H8457</f>
        <v>0</v>
      </c>
      <c r="J8457" s="21" t="n">
        <f aca="false">H8457*1000/Parametres!$B$9</f>
        <v>432.423266067492</v>
      </c>
    </row>
    <row r="8458" customFormat="false" ht="15" hidden="false" customHeight="false" outlineLevel="0" collapsed="false">
      <c r="A8458" s="0" t="n">
        <v>8454</v>
      </c>
      <c r="B8458" s="0" t="n">
        <v>12</v>
      </c>
      <c r="C8458" s="19" t="n">
        <v>0</v>
      </c>
      <c r="D8458" s="19" t="n">
        <v>0.1446</v>
      </c>
      <c r="E8458" s="20" t="n">
        <f aca="false">Parametres!$B$5*C8458</f>
        <v>0</v>
      </c>
      <c r="F8458" s="20" t="n">
        <f aca="false">Parametres!$B$6*D8458</f>
        <v>28.92</v>
      </c>
      <c r="G8458" s="20" t="n">
        <f aca="false">E8458+F8458</f>
        <v>28.92</v>
      </c>
      <c r="H8458" s="20" t="n">
        <f aca="false">IF(G8458&lt;Parametres!$B$8*Parametres!$B$7,0,MIN(G8458,Parametres!$B$7))</f>
        <v>28.92</v>
      </c>
      <c r="I8458" s="20" t="n">
        <f aca="false">G8458-H8458</f>
        <v>0</v>
      </c>
      <c r="J8458" s="21" t="n">
        <f aca="false">H8458*1000/Parametres!$B$9</f>
        <v>490.418857045956</v>
      </c>
    </row>
    <row r="8459" customFormat="false" ht="15" hidden="false" customHeight="false" outlineLevel="0" collapsed="false">
      <c r="A8459" s="0" t="n">
        <v>8455</v>
      </c>
      <c r="B8459" s="0" t="n">
        <v>12</v>
      </c>
      <c r="C8459" s="19" t="n">
        <v>0</v>
      </c>
      <c r="D8459" s="19" t="n">
        <v>0.169</v>
      </c>
      <c r="E8459" s="20" t="n">
        <f aca="false">Parametres!$B$5*C8459</f>
        <v>0</v>
      </c>
      <c r="F8459" s="20" t="n">
        <f aca="false">Parametres!$B$6*D8459</f>
        <v>33.8</v>
      </c>
      <c r="G8459" s="20" t="n">
        <f aca="false">E8459+F8459</f>
        <v>33.8</v>
      </c>
      <c r="H8459" s="20" t="n">
        <f aca="false">IF(G8459&lt;Parametres!$B$8*Parametres!$B$7,0,MIN(G8459,Parametres!$B$7))</f>
        <v>33.8</v>
      </c>
      <c r="I8459" s="20" t="n">
        <f aca="false">G8459-H8459</f>
        <v>0</v>
      </c>
      <c r="J8459" s="21" t="n">
        <f aca="false">H8459*1000/Parametres!$B$9</f>
        <v>573.172799728676</v>
      </c>
    </row>
    <row r="8460" customFormat="false" ht="15" hidden="false" customHeight="false" outlineLevel="0" collapsed="false">
      <c r="A8460" s="0" t="n">
        <v>8456</v>
      </c>
      <c r="B8460" s="0" t="n">
        <v>12</v>
      </c>
      <c r="C8460" s="19" t="n">
        <v>0.1205</v>
      </c>
      <c r="D8460" s="19" t="n">
        <v>0.2284</v>
      </c>
      <c r="E8460" s="20" t="n">
        <f aca="false">Parametres!$B$5*C8460</f>
        <v>36.15</v>
      </c>
      <c r="F8460" s="20" t="n">
        <f aca="false">Parametres!$B$6*D8460</f>
        <v>45.68</v>
      </c>
      <c r="G8460" s="20" t="n">
        <f aca="false">E8460+F8460</f>
        <v>81.83</v>
      </c>
      <c r="H8460" s="20" t="n">
        <f aca="false">IF(G8460&lt;Parametres!$B$8*Parametres!$B$7,0,MIN(G8460,Parametres!$B$7))</f>
        <v>81.83</v>
      </c>
      <c r="I8460" s="20" t="n">
        <f aca="false">G8460-H8460</f>
        <v>0</v>
      </c>
      <c r="J8460" s="21" t="n">
        <f aca="false">H8460*1000/Parametres!$B$9</f>
        <v>1387.65473969815</v>
      </c>
    </row>
    <row r="8461" customFormat="false" ht="15" hidden="false" customHeight="false" outlineLevel="0" collapsed="false">
      <c r="A8461" s="0" t="n">
        <v>8457</v>
      </c>
      <c r="B8461" s="0" t="n">
        <v>12</v>
      </c>
      <c r="C8461" s="19" t="n">
        <v>0.375</v>
      </c>
      <c r="D8461" s="19" t="n">
        <v>0.1856</v>
      </c>
      <c r="E8461" s="20" t="n">
        <f aca="false">Parametres!$B$5*C8461</f>
        <v>112.5</v>
      </c>
      <c r="F8461" s="20" t="n">
        <f aca="false">Parametres!$B$6*D8461</f>
        <v>37.12</v>
      </c>
      <c r="G8461" s="20" t="n">
        <f aca="false">E8461+F8461</f>
        <v>149.62</v>
      </c>
      <c r="H8461" s="20" t="n">
        <f aca="false">IF(G8461&lt;Parametres!$B$8*Parametres!$B$7,0,MIN(G8461,Parametres!$B$7))</f>
        <v>149.62</v>
      </c>
      <c r="I8461" s="20" t="n">
        <f aca="false">G8461-H8461</f>
        <v>0</v>
      </c>
      <c r="J8461" s="21" t="n">
        <f aca="false">H8461*1000/Parametres!$B$9</f>
        <v>2537.22231643208</v>
      </c>
    </row>
    <row r="8462" customFormat="false" ht="15" hidden="false" customHeight="false" outlineLevel="0" collapsed="false">
      <c r="A8462" s="0" t="n">
        <v>8458</v>
      </c>
      <c r="B8462" s="0" t="n">
        <v>12</v>
      </c>
      <c r="C8462" s="19" t="n">
        <v>0.5604</v>
      </c>
      <c r="D8462" s="19" t="n">
        <v>0.2092</v>
      </c>
      <c r="E8462" s="20" t="n">
        <f aca="false">Parametres!$B$5*C8462</f>
        <v>168.12</v>
      </c>
      <c r="F8462" s="20" t="n">
        <f aca="false">Parametres!$B$6*D8462</f>
        <v>41.84</v>
      </c>
      <c r="G8462" s="20" t="n">
        <f aca="false">E8462+F8462</f>
        <v>209.96</v>
      </c>
      <c r="H8462" s="20" t="n">
        <f aca="false">IF(G8462&lt;Parametres!$B$8*Parametres!$B$7,0,MIN(G8462,Parametres!$B$7))</f>
        <v>209.96</v>
      </c>
      <c r="I8462" s="20" t="n">
        <f aca="false">G8462-H8462</f>
        <v>0</v>
      </c>
      <c r="J8462" s="21" t="n">
        <f aca="false">H8462*1000/Parametres!$B$9</f>
        <v>3560.45446837375</v>
      </c>
    </row>
    <row r="8463" customFormat="false" ht="15" hidden="false" customHeight="false" outlineLevel="0" collapsed="false">
      <c r="A8463" s="0" t="n">
        <v>8459</v>
      </c>
      <c r="B8463" s="0" t="n">
        <v>12</v>
      </c>
      <c r="C8463" s="19" t="n">
        <v>0.6979</v>
      </c>
      <c r="D8463" s="19" t="n">
        <v>0.2501</v>
      </c>
      <c r="E8463" s="20" t="n">
        <f aca="false">Parametres!$B$5*C8463</f>
        <v>209.37</v>
      </c>
      <c r="F8463" s="20" t="n">
        <f aca="false">Parametres!$B$6*D8463</f>
        <v>50.02</v>
      </c>
      <c r="G8463" s="20" t="n">
        <f aca="false">E8463+F8463</f>
        <v>259.39</v>
      </c>
      <c r="H8463" s="20" t="n">
        <f aca="false">IF(G8463&lt;Parametres!$B$8*Parametres!$B$7,0,MIN(G8463,Parametres!$B$7))</f>
        <v>250</v>
      </c>
      <c r="I8463" s="20" t="n">
        <f aca="false">G8463-H8463</f>
        <v>9.38999999999999</v>
      </c>
      <c r="J8463" s="21" t="n">
        <f aca="false">H8463*1000/Parametres!$B$9</f>
        <v>4239.44378497541</v>
      </c>
    </row>
    <row r="8464" customFormat="false" ht="15" hidden="false" customHeight="false" outlineLevel="0" collapsed="false">
      <c r="A8464" s="0" t="n">
        <v>8460</v>
      </c>
      <c r="B8464" s="0" t="n">
        <v>12</v>
      </c>
      <c r="C8464" s="19" t="n">
        <v>0.8049</v>
      </c>
      <c r="D8464" s="19" t="n">
        <v>0.3132</v>
      </c>
      <c r="E8464" s="20" t="n">
        <f aca="false">Parametres!$B$5*C8464</f>
        <v>241.47</v>
      </c>
      <c r="F8464" s="20" t="n">
        <f aca="false">Parametres!$B$6*D8464</f>
        <v>62.64</v>
      </c>
      <c r="G8464" s="20" t="n">
        <f aca="false">E8464+F8464</f>
        <v>304.11</v>
      </c>
      <c r="H8464" s="20" t="n">
        <f aca="false">IF(G8464&lt;Parametres!$B$8*Parametres!$B$7,0,MIN(G8464,Parametres!$B$7))</f>
        <v>250</v>
      </c>
      <c r="I8464" s="20" t="n">
        <f aca="false">G8464-H8464</f>
        <v>54.11</v>
      </c>
      <c r="J8464" s="21" t="n">
        <f aca="false">H8464*1000/Parametres!$B$9</f>
        <v>4239.44378497541</v>
      </c>
    </row>
    <row r="8465" customFormat="false" ht="15" hidden="false" customHeight="false" outlineLevel="0" collapsed="false">
      <c r="A8465" s="0" t="n">
        <v>8461</v>
      </c>
      <c r="B8465" s="0" t="n">
        <v>12</v>
      </c>
      <c r="C8465" s="19" t="n">
        <v>0.8072</v>
      </c>
      <c r="D8465" s="19" t="n">
        <v>0.2859</v>
      </c>
      <c r="E8465" s="20" t="n">
        <f aca="false">Parametres!$B$5*C8465</f>
        <v>242.16</v>
      </c>
      <c r="F8465" s="20" t="n">
        <f aca="false">Parametres!$B$6*D8465</f>
        <v>57.18</v>
      </c>
      <c r="G8465" s="20" t="n">
        <f aca="false">E8465+F8465</f>
        <v>299.34</v>
      </c>
      <c r="H8465" s="20" t="n">
        <f aca="false">IF(G8465&lt;Parametres!$B$8*Parametres!$B$7,0,MIN(G8465,Parametres!$B$7))</f>
        <v>250</v>
      </c>
      <c r="I8465" s="20" t="n">
        <f aca="false">G8465-H8465</f>
        <v>49.34</v>
      </c>
      <c r="J8465" s="21" t="n">
        <f aca="false">H8465*1000/Parametres!$B$9</f>
        <v>4239.44378497541</v>
      </c>
    </row>
    <row r="8466" customFormat="false" ht="15" hidden="false" customHeight="false" outlineLevel="0" collapsed="false">
      <c r="A8466" s="0" t="n">
        <v>8462</v>
      </c>
      <c r="B8466" s="0" t="n">
        <v>12</v>
      </c>
      <c r="C8466" s="19" t="n">
        <v>0.7179</v>
      </c>
      <c r="D8466" s="19" t="n">
        <v>0.735</v>
      </c>
      <c r="E8466" s="20" t="n">
        <f aca="false">Parametres!$B$5*C8466</f>
        <v>215.37</v>
      </c>
      <c r="F8466" s="20" t="n">
        <f aca="false">Parametres!$B$6*D8466</f>
        <v>147</v>
      </c>
      <c r="G8466" s="20" t="n">
        <f aca="false">E8466+F8466</f>
        <v>362.37</v>
      </c>
      <c r="H8466" s="20" t="n">
        <f aca="false">IF(G8466&lt;Parametres!$B$8*Parametres!$B$7,0,MIN(G8466,Parametres!$B$7))</f>
        <v>250</v>
      </c>
      <c r="I8466" s="20" t="n">
        <f aca="false">G8466-H8466</f>
        <v>112.37</v>
      </c>
      <c r="J8466" s="21" t="n">
        <f aca="false">H8466*1000/Parametres!$B$9</f>
        <v>4239.44378497541</v>
      </c>
    </row>
    <row r="8467" customFormat="false" ht="15" hidden="false" customHeight="false" outlineLevel="0" collapsed="false">
      <c r="A8467" s="0" t="n">
        <v>8463</v>
      </c>
      <c r="B8467" s="0" t="n">
        <v>12</v>
      </c>
      <c r="C8467" s="19" t="n">
        <v>0.6036</v>
      </c>
      <c r="D8467" s="19" t="n">
        <v>0.9039</v>
      </c>
      <c r="E8467" s="20" t="n">
        <f aca="false">Parametres!$B$5*C8467</f>
        <v>181.08</v>
      </c>
      <c r="F8467" s="20" t="n">
        <f aca="false">Parametres!$B$6*D8467</f>
        <v>180.78</v>
      </c>
      <c r="G8467" s="20" t="n">
        <f aca="false">E8467+F8467</f>
        <v>361.86</v>
      </c>
      <c r="H8467" s="20" t="n">
        <f aca="false">IF(G8467&lt;Parametres!$B$8*Parametres!$B$7,0,MIN(G8467,Parametres!$B$7))</f>
        <v>250</v>
      </c>
      <c r="I8467" s="20" t="n">
        <f aca="false">G8467-H8467</f>
        <v>111.86</v>
      </c>
      <c r="J8467" s="21" t="n">
        <f aca="false">H8467*1000/Parametres!$B$9</f>
        <v>4239.44378497541</v>
      </c>
    </row>
    <row r="8468" customFormat="false" ht="15" hidden="false" customHeight="false" outlineLevel="0" collapsed="false">
      <c r="A8468" s="0" t="n">
        <v>8464</v>
      </c>
      <c r="B8468" s="0" t="n">
        <v>12</v>
      </c>
      <c r="C8468" s="19" t="n">
        <v>0.3733</v>
      </c>
      <c r="D8468" s="19" t="n">
        <v>1</v>
      </c>
      <c r="E8468" s="20" t="n">
        <f aca="false">Parametres!$B$5*C8468</f>
        <v>111.99</v>
      </c>
      <c r="F8468" s="20" t="n">
        <f aca="false">Parametres!$B$6*D8468</f>
        <v>200</v>
      </c>
      <c r="G8468" s="20" t="n">
        <f aca="false">E8468+F8468</f>
        <v>311.99</v>
      </c>
      <c r="H8468" s="20" t="n">
        <f aca="false">IF(G8468&lt;Parametres!$B$8*Parametres!$B$7,0,MIN(G8468,Parametres!$B$7))</f>
        <v>250</v>
      </c>
      <c r="I8468" s="20" t="n">
        <f aca="false">G8468-H8468</f>
        <v>61.99</v>
      </c>
      <c r="J8468" s="21" t="n">
        <f aca="false">H8468*1000/Parametres!$B$9</f>
        <v>4239.44378497541</v>
      </c>
    </row>
    <row r="8469" customFormat="false" ht="15" hidden="false" customHeight="false" outlineLevel="0" collapsed="false">
      <c r="A8469" s="0" t="n">
        <v>8465</v>
      </c>
      <c r="B8469" s="0" t="n">
        <v>12</v>
      </c>
      <c r="C8469" s="19" t="n">
        <v>0.1272</v>
      </c>
      <c r="D8469" s="19" t="n">
        <v>1</v>
      </c>
      <c r="E8469" s="20" t="n">
        <f aca="false">Parametres!$B$5*C8469</f>
        <v>38.16</v>
      </c>
      <c r="F8469" s="20" t="n">
        <f aca="false">Parametres!$B$6*D8469</f>
        <v>200</v>
      </c>
      <c r="G8469" s="20" t="n">
        <f aca="false">E8469+F8469</f>
        <v>238.16</v>
      </c>
      <c r="H8469" s="20" t="n">
        <f aca="false">IF(G8469&lt;Parametres!$B$8*Parametres!$B$7,0,MIN(G8469,Parametres!$B$7))</f>
        <v>238.16</v>
      </c>
      <c r="I8469" s="20" t="n">
        <f aca="false">G8469-H8469</f>
        <v>0</v>
      </c>
      <c r="J8469" s="21" t="n">
        <f aca="false">H8469*1000/Parametres!$B$9</f>
        <v>4038.66372731898</v>
      </c>
    </row>
    <row r="8470" customFormat="false" ht="15" hidden="false" customHeight="false" outlineLevel="0" collapsed="false">
      <c r="A8470" s="0" t="n">
        <v>8466</v>
      </c>
      <c r="B8470" s="0" t="n">
        <v>12</v>
      </c>
      <c r="C8470" s="19" t="n">
        <v>0</v>
      </c>
      <c r="D8470" s="19" t="n">
        <v>1</v>
      </c>
      <c r="E8470" s="20" t="n">
        <f aca="false">Parametres!$B$5*C8470</f>
        <v>0</v>
      </c>
      <c r="F8470" s="20" t="n">
        <f aca="false">Parametres!$B$6*D8470</f>
        <v>200</v>
      </c>
      <c r="G8470" s="20" t="n">
        <f aca="false">E8470+F8470</f>
        <v>200</v>
      </c>
      <c r="H8470" s="20" t="n">
        <f aca="false">IF(G8470&lt;Parametres!$B$8*Parametres!$B$7,0,MIN(G8470,Parametres!$B$7))</f>
        <v>200</v>
      </c>
      <c r="I8470" s="20" t="n">
        <f aca="false">G8470-H8470</f>
        <v>0</v>
      </c>
      <c r="J8470" s="21" t="n">
        <f aca="false">H8470*1000/Parametres!$B$9</f>
        <v>3391.55502798033</v>
      </c>
    </row>
    <row r="8471" customFormat="false" ht="15" hidden="false" customHeight="false" outlineLevel="0" collapsed="false">
      <c r="A8471" s="0" t="n">
        <v>8467</v>
      </c>
      <c r="B8471" s="0" t="n">
        <v>12</v>
      </c>
      <c r="C8471" s="19" t="n">
        <v>0</v>
      </c>
      <c r="D8471" s="19" t="n">
        <v>1</v>
      </c>
      <c r="E8471" s="20" t="n">
        <f aca="false">Parametres!$B$5*C8471</f>
        <v>0</v>
      </c>
      <c r="F8471" s="20" t="n">
        <f aca="false">Parametres!$B$6*D8471</f>
        <v>200</v>
      </c>
      <c r="G8471" s="20" t="n">
        <f aca="false">E8471+F8471</f>
        <v>200</v>
      </c>
      <c r="H8471" s="20" t="n">
        <f aca="false">IF(G8471&lt;Parametres!$B$8*Parametres!$B$7,0,MIN(G8471,Parametres!$B$7))</f>
        <v>200</v>
      </c>
      <c r="I8471" s="20" t="n">
        <f aca="false">G8471-H8471</f>
        <v>0</v>
      </c>
      <c r="J8471" s="21" t="n">
        <f aca="false">H8471*1000/Parametres!$B$9</f>
        <v>3391.55502798033</v>
      </c>
    </row>
    <row r="8472" customFormat="false" ht="15" hidden="false" customHeight="false" outlineLevel="0" collapsed="false">
      <c r="A8472" s="0" t="n">
        <v>8468</v>
      </c>
      <c r="B8472" s="0" t="n">
        <v>12</v>
      </c>
      <c r="C8472" s="19" t="n">
        <v>0</v>
      </c>
      <c r="D8472" s="19" t="n">
        <v>1</v>
      </c>
      <c r="E8472" s="20" t="n">
        <f aca="false">Parametres!$B$5*C8472</f>
        <v>0</v>
      </c>
      <c r="F8472" s="20" t="n">
        <f aca="false">Parametres!$B$6*D8472</f>
        <v>200</v>
      </c>
      <c r="G8472" s="20" t="n">
        <f aca="false">E8472+F8472</f>
        <v>200</v>
      </c>
      <c r="H8472" s="20" t="n">
        <f aca="false">IF(G8472&lt;Parametres!$B$8*Parametres!$B$7,0,MIN(G8472,Parametres!$B$7))</f>
        <v>200</v>
      </c>
      <c r="I8472" s="20" t="n">
        <f aca="false">G8472-H8472</f>
        <v>0</v>
      </c>
      <c r="J8472" s="21" t="n">
        <f aca="false">H8472*1000/Parametres!$B$9</f>
        <v>3391.55502798033</v>
      </c>
    </row>
    <row r="8473" customFormat="false" ht="15" hidden="false" customHeight="false" outlineLevel="0" collapsed="false">
      <c r="A8473" s="0" t="n">
        <v>8469</v>
      </c>
      <c r="B8473" s="0" t="n">
        <v>12</v>
      </c>
      <c r="C8473" s="19" t="n">
        <v>0</v>
      </c>
      <c r="D8473" s="19" t="n">
        <v>1</v>
      </c>
      <c r="E8473" s="20" t="n">
        <f aca="false">Parametres!$B$5*C8473</f>
        <v>0</v>
      </c>
      <c r="F8473" s="20" t="n">
        <f aca="false">Parametres!$B$6*D8473</f>
        <v>200</v>
      </c>
      <c r="G8473" s="20" t="n">
        <f aca="false">E8473+F8473</f>
        <v>200</v>
      </c>
      <c r="H8473" s="20" t="n">
        <f aca="false">IF(G8473&lt;Parametres!$B$8*Parametres!$B$7,0,MIN(G8473,Parametres!$B$7))</f>
        <v>200</v>
      </c>
      <c r="I8473" s="20" t="n">
        <f aca="false">G8473-H8473</f>
        <v>0</v>
      </c>
      <c r="J8473" s="21" t="n">
        <f aca="false">H8473*1000/Parametres!$B$9</f>
        <v>3391.55502798033</v>
      </c>
    </row>
    <row r="8474" customFormat="false" ht="15" hidden="false" customHeight="false" outlineLevel="0" collapsed="false">
      <c r="A8474" s="0" t="n">
        <v>8470</v>
      </c>
      <c r="B8474" s="0" t="n">
        <v>12</v>
      </c>
      <c r="C8474" s="19" t="n">
        <v>0</v>
      </c>
      <c r="D8474" s="19" t="n">
        <v>1</v>
      </c>
      <c r="E8474" s="20" t="n">
        <f aca="false">Parametres!$B$5*C8474</f>
        <v>0</v>
      </c>
      <c r="F8474" s="20" t="n">
        <f aca="false">Parametres!$B$6*D8474</f>
        <v>200</v>
      </c>
      <c r="G8474" s="20" t="n">
        <f aca="false">E8474+F8474</f>
        <v>200</v>
      </c>
      <c r="H8474" s="20" t="n">
        <f aca="false">IF(G8474&lt;Parametres!$B$8*Parametres!$B$7,0,MIN(G8474,Parametres!$B$7))</f>
        <v>200</v>
      </c>
      <c r="I8474" s="20" t="n">
        <f aca="false">G8474-H8474</f>
        <v>0</v>
      </c>
      <c r="J8474" s="21" t="n">
        <f aca="false">H8474*1000/Parametres!$B$9</f>
        <v>3391.55502798033</v>
      </c>
    </row>
    <row r="8475" customFormat="false" ht="15" hidden="false" customHeight="false" outlineLevel="0" collapsed="false">
      <c r="A8475" s="0" t="n">
        <v>8471</v>
      </c>
      <c r="B8475" s="0" t="n">
        <v>12</v>
      </c>
      <c r="C8475" s="19" t="n">
        <v>0</v>
      </c>
      <c r="D8475" s="19" t="n">
        <v>1</v>
      </c>
      <c r="E8475" s="20" t="n">
        <f aca="false">Parametres!$B$5*C8475</f>
        <v>0</v>
      </c>
      <c r="F8475" s="20" t="n">
        <f aca="false">Parametres!$B$6*D8475</f>
        <v>200</v>
      </c>
      <c r="G8475" s="20" t="n">
        <f aca="false">E8475+F8475</f>
        <v>200</v>
      </c>
      <c r="H8475" s="20" t="n">
        <f aca="false">IF(G8475&lt;Parametres!$B$8*Parametres!$B$7,0,MIN(G8475,Parametres!$B$7))</f>
        <v>200</v>
      </c>
      <c r="I8475" s="20" t="n">
        <f aca="false">G8475-H8475</f>
        <v>0</v>
      </c>
      <c r="J8475" s="21" t="n">
        <f aca="false">H8475*1000/Parametres!$B$9</f>
        <v>3391.55502798033</v>
      </c>
    </row>
    <row r="8476" customFormat="false" ht="15" hidden="false" customHeight="false" outlineLevel="0" collapsed="false">
      <c r="A8476" s="0" t="n">
        <v>8472</v>
      </c>
      <c r="B8476" s="0" t="n">
        <v>12</v>
      </c>
      <c r="C8476" s="19" t="n">
        <v>0</v>
      </c>
      <c r="D8476" s="19" t="n">
        <v>1</v>
      </c>
      <c r="E8476" s="20" t="n">
        <f aca="false">Parametres!$B$5*C8476</f>
        <v>0</v>
      </c>
      <c r="F8476" s="20" t="n">
        <f aca="false">Parametres!$B$6*D8476</f>
        <v>200</v>
      </c>
      <c r="G8476" s="20" t="n">
        <f aca="false">E8476+F8476</f>
        <v>200</v>
      </c>
      <c r="H8476" s="20" t="n">
        <f aca="false">IF(G8476&lt;Parametres!$B$8*Parametres!$B$7,0,MIN(G8476,Parametres!$B$7))</f>
        <v>200</v>
      </c>
      <c r="I8476" s="20" t="n">
        <f aca="false">G8476-H8476</f>
        <v>0</v>
      </c>
      <c r="J8476" s="21" t="n">
        <f aca="false">H8476*1000/Parametres!$B$9</f>
        <v>3391.55502798033</v>
      </c>
    </row>
    <row r="8477" customFormat="false" ht="15" hidden="false" customHeight="false" outlineLevel="0" collapsed="false">
      <c r="A8477" s="0" t="n">
        <v>8473</v>
      </c>
      <c r="B8477" s="0" t="n">
        <v>12</v>
      </c>
      <c r="C8477" s="19" t="n">
        <v>0</v>
      </c>
      <c r="D8477" s="19" t="n">
        <v>0.9864</v>
      </c>
      <c r="E8477" s="20" t="n">
        <f aca="false">Parametres!$B$5*C8477</f>
        <v>0</v>
      </c>
      <c r="F8477" s="20" t="n">
        <f aca="false">Parametres!$B$6*D8477</f>
        <v>197.28</v>
      </c>
      <c r="G8477" s="20" t="n">
        <f aca="false">E8477+F8477</f>
        <v>197.28</v>
      </c>
      <c r="H8477" s="20" t="n">
        <f aca="false">IF(G8477&lt;Parametres!$B$8*Parametres!$B$7,0,MIN(G8477,Parametres!$B$7))</f>
        <v>197.28</v>
      </c>
      <c r="I8477" s="20" t="n">
        <f aca="false">G8477-H8477</f>
        <v>0</v>
      </c>
      <c r="J8477" s="21" t="n">
        <f aca="false">H8477*1000/Parametres!$B$9</f>
        <v>3345.4298795998</v>
      </c>
    </row>
    <row r="8478" customFormat="false" ht="15" hidden="false" customHeight="false" outlineLevel="0" collapsed="false">
      <c r="A8478" s="0" t="n">
        <v>8474</v>
      </c>
      <c r="B8478" s="0" t="n">
        <v>12</v>
      </c>
      <c r="C8478" s="19" t="n">
        <v>0</v>
      </c>
      <c r="D8478" s="19" t="n">
        <v>0.7128</v>
      </c>
      <c r="E8478" s="20" t="n">
        <f aca="false">Parametres!$B$5*C8478</f>
        <v>0</v>
      </c>
      <c r="F8478" s="20" t="n">
        <f aca="false">Parametres!$B$6*D8478</f>
        <v>142.56</v>
      </c>
      <c r="G8478" s="20" t="n">
        <f aca="false">E8478+F8478</f>
        <v>142.56</v>
      </c>
      <c r="H8478" s="20" t="n">
        <f aca="false">IF(G8478&lt;Parametres!$B$8*Parametres!$B$7,0,MIN(G8478,Parametres!$B$7))</f>
        <v>142.56</v>
      </c>
      <c r="I8478" s="20" t="n">
        <f aca="false">G8478-H8478</f>
        <v>0</v>
      </c>
      <c r="J8478" s="21" t="n">
        <f aca="false">H8478*1000/Parametres!$B$9</f>
        <v>2417.50042394438</v>
      </c>
    </row>
    <row r="8479" customFormat="false" ht="15" hidden="false" customHeight="false" outlineLevel="0" collapsed="false">
      <c r="A8479" s="0" t="n">
        <v>8475</v>
      </c>
      <c r="B8479" s="0" t="n">
        <v>12</v>
      </c>
      <c r="C8479" s="19" t="n">
        <v>0</v>
      </c>
      <c r="D8479" s="19" t="n">
        <v>0.4337</v>
      </c>
      <c r="E8479" s="20" t="n">
        <f aca="false">Parametres!$B$5*C8479</f>
        <v>0</v>
      </c>
      <c r="F8479" s="20" t="n">
        <f aca="false">Parametres!$B$6*D8479</f>
        <v>86.74</v>
      </c>
      <c r="G8479" s="20" t="n">
        <f aca="false">E8479+F8479</f>
        <v>86.74</v>
      </c>
      <c r="H8479" s="20" t="n">
        <f aca="false">IF(G8479&lt;Parametres!$B$8*Parametres!$B$7,0,MIN(G8479,Parametres!$B$7))</f>
        <v>86.74</v>
      </c>
      <c r="I8479" s="20" t="n">
        <f aca="false">G8479-H8479</f>
        <v>0</v>
      </c>
      <c r="J8479" s="21" t="n">
        <f aca="false">H8479*1000/Parametres!$B$9</f>
        <v>1470.91741563507</v>
      </c>
    </row>
    <row r="8480" customFormat="false" ht="15" hidden="false" customHeight="false" outlineLevel="0" collapsed="false">
      <c r="A8480" s="0" t="n">
        <v>8476</v>
      </c>
      <c r="B8480" s="0" t="n">
        <v>12</v>
      </c>
      <c r="C8480" s="19" t="n">
        <v>0</v>
      </c>
      <c r="D8480" s="19" t="n">
        <v>0.494</v>
      </c>
      <c r="E8480" s="20" t="n">
        <f aca="false">Parametres!$B$5*C8480</f>
        <v>0</v>
      </c>
      <c r="F8480" s="20" t="n">
        <f aca="false">Parametres!$B$6*D8480</f>
        <v>98.8</v>
      </c>
      <c r="G8480" s="20" t="n">
        <f aca="false">E8480+F8480</f>
        <v>98.8</v>
      </c>
      <c r="H8480" s="20" t="n">
        <f aca="false">IF(G8480&lt;Parametres!$B$8*Parametres!$B$7,0,MIN(G8480,Parametres!$B$7))</f>
        <v>98.8</v>
      </c>
      <c r="I8480" s="20" t="n">
        <f aca="false">G8480-H8480</f>
        <v>0</v>
      </c>
      <c r="J8480" s="21" t="n">
        <f aca="false">H8480*1000/Parametres!$B$9</f>
        <v>1675.42818382228</v>
      </c>
    </row>
    <row r="8481" customFormat="false" ht="15" hidden="false" customHeight="false" outlineLevel="0" collapsed="false">
      <c r="A8481" s="0" t="n">
        <v>8477</v>
      </c>
      <c r="B8481" s="0" t="n">
        <v>12</v>
      </c>
      <c r="C8481" s="19" t="n">
        <v>0</v>
      </c>
      <c r="D8481" s="19" t="n">
        <v>0.6725</v>
      </c>
      <c r="E8481" s="20" t="n">
        <f aca="false">Parametres!$B$5*C8481</f>
        <v>0</v>
      </c>
      <c r="F8481" s="20" t="n">
        <f aca="false">Parametres!$B$6*D8481</f>
        <v>134.5</v>
      </c>
      <c r="G8481" s="20" t="n">
        <f aca="false">E8481+F8481</f>
        <v>134.5</v>
      </c>
      <c r="H8481" s="20" t="n">
        <f aca="false">IF(G8481&lt;Parametres!$B$8*Parametres!$B$7,0,MIN(G8481,Parametres!$B$7))</f>
        <v>134.5</v>
      </c>
      <c r="I8481" s="20" t="n">
        <f aca="false">G8481-H8481</f>
        <v>0</v>
      </c>
      <c r="J8481" s="21" t="n">
        <f aca="false">H8481*1000/Parametres!$B$9</f>
        <v>2280.82075631677</v>
      </c>
    </row>
    <row r="8482" customFormat="false" ht="15" hidden="false" customHeight="false" outlineLevel="0" collapsed="false">
      <c r="A8482" s="0" t="n">
        <v>8478</v>
      </c>
      <c r="B8482" s="0" t="n">
        <v>12</v>
      </c>
      <c r="C8482" s="19" t="n">
        <v>0</v>
      </c>
      <c r="D8482" s="19" t="n">
        <v>0.7948</v>
      </c>
      <c r="E8482" s="20" t="n">
        <f aca="false">Parametres!$B$5*C8482</f>
        <v>0</v>
      </c>
      <c r="F8482" s="20" t="n">
        <f aca="false">Parametres!$B$6*D8482</f>
        <v>158.96</v>
      </c>
      <c r="G8482" s="20" t="n">
        <f aca="false">E8482+F8482</f>
        <v>158.96</v>
      </c>
      <c r="H8482" s="20" t="n">
        <f aca="false">IF(G8482&lt;Parametres!$B$8*Parametres!$B$7,0,MIN(G8482,Parametres!$B$7))</f>
        <v>158.96</v>
      </c>
      <c r="I8482" s="20" t="n">
        <f aca="false">G8482-H8482</f>
        <v>0</v>
      </c>
      <c r="J8482" s="21" t="n">
        <f aca="false">H8482*1000/Parametres!$B$9</f>
        <v>2695.60793623877</v>
      </c>
    </row>
    <row r="8483" customFormat="false" ht="15" hidden="false" customHeight="false" outlineLevel="0" collapsed="false">
      <c r="A8483" s="0" t="n">
        <v>8479</v>
      </c>
      <c r="B8483" s="0" t="n">
        <v>12</v>
      </c>
      <c r="C8483" s="19" t="n">
        <v>0</v>
      </c>
      <c r="D8483" s="19" t="n">
        <v>0.6599</v>
      </c>
      <c r="E8483" s="20" t="n">
        <f aca="false">Parametres!$B$5*C8483</f>
        <v>0</v>
      </c>
      <c r="F8483" s="20" t="n">
        <f aca="false">Parametres!$B$6*D8483</f>
        <v>131.98</v>
      </c>
      <c r="G8483" s="20" t="n">
        <f aca="false">E8483+F8483</f>
        <v>131.98</v>
      </c>
      <c r="H8483" s="20" t="n">
        <f aca="false">IF(G8483&lt;Parametres!$B$8*Parametres!$B$7,0,MIN(G8483,Parametres!$B$7))</f>
        <v>131.98</v>
      </c>
      <c r="I8483" s="20" t="n">
        <f aca="false">G8483-H8483</f>
        <v>0</v>
      </c>
      <c r="J8483" s="21" t="n">
        <f aca="false">H8483*1000/Parametres!$B$9</f>
        <v>2238.08716296422</v>
      </c>
    </row>
    <row r="8484" customFormat="false" ht="15" hidden="false" customHeight="false" outlineLevel="0" collapsed="false">
      <c r="A8484" s="0" t="n">
        <v>8480</v>
      </c>
      <c r="B8484" s="0" t="n">
        <v>12</v>
      </c>
      <c r="C8484" s="19" t="n">
        <v>0.1268</v>
      </c>
      <c r="D8484" s="19" t="n">
        <v>0.7103</v>
      </c>
      <c r="E8484" s="20" t="n">
        <f aca="false">Parametres!$B$5*C8484</f>
        <v>38.04</v>
      </c>
      <c r="F8484" s="20" t="n">
        <f aca="false">Parametres!$B$6*D8484</f>
        <v>142.06</v>
      </c>
      <c r="G8484" s="20" t="n">
        <f aca="false">E8484+F8484</f>
        <v>180.1</v>
      </c>
      <c r="H8484" s="20" t="n">
        <f aca="false">IF(G8484&lt;Parametres!$B$8*Parametres!$B$7,0,MIN(G8484,Parametres!$B$7))</f>
        <v>180.1</v>
      </c>
      <c r="I8484" s="20" t="n">
        <f aca="false">G8484-H8484</f>
        <v>0</v>
      </c>
      <c r="J8484" s="21" t="n">
        <f aca="false">H8484*1000/Parametres!$B$9</f>
        <v>3054.09530269629</v>
      </c>
    </row>
    <row r="8485" customFormat="false" ht="15" hidden="false" customHeight="false" outlineLevel="0" collapsed="false">
      <c r="A8485" s="0" t="n">
        <v>8481</v>
      </c>
      <c r="B8485" s="0" t="n">
        <v>12</v>
      </c>
      <c r="C8485" s="19" t="n">
        <v>0.3349</v>
      </c>
      <c r="D8485" s="19" t="n">
        <v>0.9018</v>
      </c>
      <c r="E8485" s="20" t="n">
        <f aca="false">Parametres!$B$5*C8485</f>
        <v>100.47</v>
      </c>
      <c r="F8485" s="20" t="n">
        <f aca="false">Parametres!$B$6*D8485</f>
        <v>180.36</v>
      </c>
      <c r="G8485" s="20" t="n">
        <f aca="false">E8485+F8485</f>
        <v>280.83</v>
      </c>
      <c r="H8485" s="20" t="n">
        <f aca="false">IF(G8485&lt;Parametres!$B$8*Parametres!$B$7,0,MIN(G8485,Parametres!$B$7))</f>
        <v>250</v>
      </c>
      <c r="I8485" s="20" t="n">
        <f aca="false">G8485-H8485</f>
        <v>30.83</v>
      </c>
      <c r="J8485" s="21" t="n">
        <f aca="false">H8485*1000/Parametres!$B$9</f>
        <v>4239.44378497541</v>
      </c>
    </row>
    <row r="8486" customFormat="false" ht="15" hidden="false" customHeight="false" outlineLevel="0" collapsed="false">
      <c r="A8486" s="0" t="n">
        <v>8482</v>
      </c>
      <c r="B8486" s="0" t="n">
        <v>12</v>
      </c>
      <c r="C8486" s="19" t="n">
        <v>0.5446</v>
      </c>
      <c r="D8486" s="19" t="n">
        <v>1</v>
      </c>
      <c r="E8486" s="20" t="n">
        <f aca="false">Parametres!$B$5*C8486</f>
        <v>163.38</v>
      </c>
      <c r="F8486" s="20" t="n">
        <f aca="false">Parametres!$B$6*D8486</f>
        <v>200</v>
      </c>
      <c r="G8486" s="20" t="n">
        <f aca="false">E8486+F8486</f>
        <v>363.38</v>
      </c>
      <c r="H8486" s="20" t="n">
        <f aca="false">IF(G8486&lt;Parametres!$B$8*Parametres!$B$7,0,MIN(G8486,Parametres!$B$7))</f>
        <v>250</v>
      </c>
      <c r="I8486" s="20" t="n">
        <f aca="false">G8486-H8486</f>
        <v>113.38</v>
      </c>
      <c r="J8486" s="21" t="n">
        <f aca="false">H8486*1000/Parametres!$B$9</f>
        <v>4239.44378497541</v>
      </c>
    </row>
    <row r="8487" customFormat="false" ht="15" hidden="false" customHeight="false" outlineLevel="0" collapsed="false">
      <c r="A8487" s="0" t="n">
        <v>8483</v>
      </c>
      <c r="B8487" s="0" t="n">
        <v>12</v>
      </c>
      <c r="C8487" s="19" t="n">
        <v>0.7067</v>
      </c>
      <c r="D8487" s="19" t="n">
        <v>1</v>
      </c>
      <c r="E8487" s="20" t="n">
        <f aca="false">Parametres!$B$5*C8487</f>
        <v>212.01</v>
      </c>
      <c r="F8487" s="20" t="n">
        <f aca="false">Parametres!$B$6*D8487</f>
        <v>200</v>
      </c>
      <c r="G8487" s="20" t="n">
        <f aca="false">E8487+F8487</f>
        <v>412.01</v>
      </c>
      <c r="H8487" s="20" t="n">
        <f aca="false">IF(G8487&lt;Parametres!$B$8*Parametres!$B$7,0,MIN(G8487,Parametres!$B$7))</f>
        <v>250</v>
      </c>
      <c r="I8487" s="20" t="n">
        <f aca="false">G8487-H8487</f>
        <v>162.01</v>
      </c>
      <c r="J8487" s="21" t="n">
        <f aca="false">H8487*1000/Parametres!$B$9</f>
        <v>4239.44378497541</v>
      </c>
    </row>
    <row r="8488" customFormat="false" ht="15" hidden="false" customHeight="false" outlineLevel="0" collapsed="false">
      <c r="A8488" s="0" t="n">
        <v>8484</v>
      </c>
      <c r="B8488" s="0" t="n">
        <v>12</v>
      </c>
      <c r="C8488" s="19" t="n">
        <v>0.7564</v>
      </c>
      <c r="D8488" s="19" t="n">
        <v>1</v>
      </c>
      <c r="E8488" s="20" t="n">
        <f aca="false">Parametres!$B$5*C8488</f>
        <v>226.92</v>
      </c>
      <c r="F8488" s="20" t="n">
        <f aca="false">Parametres!$B$6*D8488</f>
        <v>200</v>
      </c>
      <c r="G8488" s="20" t="n">
        <f aca="false">E8488+F8488</f>
        <v>426.92</v>
      </c>
      <c r="H8488" s="20" t="n">
        <f aca="false">IF(G8488&lt;Parametres!$B$8*Parametres!$B$7,0,MIN(G8488,Parametres!$B$7))</f>
        <v>250</v>
      </c>
      <c r="I8488" s="20" t="n">
        <f aca="false">G8488-H8488</f>
        <v>176.92</v>
      </c>
      <c r="J8488" s="21" t="n">
        <f aca="false">H8488*1000/Parametres!$B$9</f>
        <v>4239.44378497541</v>
      </c>
    </row>
    <row r="8489" customFormat="false" ht="15" hidden="false" customHeight="false" outlineLevel="0" collapsed="false">
      <c r="A8489" s="0" t="n">
        <v>8485</v>
      </c>
      <c r="B8489" s="0" t="n">
        <v>12</v>
      </c>
      <c r="C8489" s="19" t="n">
        <v>0.7824</v>
      </c>
      <c r="D8489" s="19" t="n">
        <v>0.8376</v>
      </c>
      <c r="E8489" s="20" t="n">
        <f aca="false">Parametres!$B$5*C8489</f>
        <v>234.72</v>
      </c>
      <c r="F8489" s="20" t="n">
        <f aca="false">Parametres!$B$6*D8489</f>
        <v>167.52</v>
      </c>
      <c r="G8489" s="20" t="n">
        <f aca="false">E8489+F8489</f>
        <v>402.24</v>
      </c>
      <c r="H8489" s="20" t="n">
        <f aca="false">IF(G8489&lt;Parametres!$B$8*Parametres!$B$7,0,MIN(G8489,Parametres!$B$7))</f>
        <v>250</v>
      </c>
      <c r="I8489" s="20" t="n">
        <f aca="false">G8489-H8489</f>
        <v>152.24</v>
      </c>
      <c r="J8489" s="21" t="n">
        <f aca="false">H8489*1000/Parametres!$B$9</f>
        <v>4239.44378497541</v>
      </c>
    </row>
    <row r="8490" customFormat="false" ht="15" hidden="false" customHeight="false" outlineLevel="0" collapsed="false">
      <c r="A8490" s="0" t="n">
        <v>8486</v>
      </c>
      <c r="B8490" s="0" t="n">
        <v>12</v>
      </c>
      <c r="C8490" s="19" t="n">
        <v>0.6396</v>
      </c>
      <c r="D8490" s="19" t="n">
        <v>0.7783</v>
      </c>
      <c r="E8490" s="20" t="n">
        <f aca="false">Parametres!$B$5*C8490</f>
        <v>191.88</v>
      </c>
      <c r="F8490" s="20" t="n">
        <f aca="false">Parametres!$B$6*D8490</f>
        <v>155.66</v>
      </c>
      <c r="G8490" s="20" t="n">
        <f aca="false">E8490+F8490</f>
        <v>347.54</v>
      </c>
      <c r="H8490" s="20" t="n">
        <f aca="false">IF(G8490&lt;Parametres!$B$8*Parametres!$B$7,0,MIN(G8490,Parametres!$B$7))</f>
        <v>250</v>
      </c>
      <c r="I8490" s="20" t="n">
        <f aca="false">G8490-H8490</f>
        <v>97.54</v>
      </c>
      <c r="J8490" s="21" t="n">
        <f aca="false">H8490*1000/Parametres!$B$9</f>
        <v>4239.44378497541</v>
      </c>
    </row>
    <row r="8491" customFormat="false" ht="15" hidden="false" customHeight="false" outlineLevel="0" collapsed="false">
      <c r="A8491" s="0" t="n">
        <v>8487</v>
      </c>
      <c r="B8491" s="0" t="n">
        <v>12</v>
      </c>
      <c r="C8491" s="19" t="n">
        <v>0.5069</v>
      </c>
      <c r="D8491" s="19" t="n">
        <v>0.4808</v>
      </c>
      <c r="E8491" s="20" t="n">
        <f aca="false">Parametres!$B$5*C8491</f>
        <v>152.07</v>
      </c>
      <c r="F8491" s="20" t="n">
        <f aca="false">Parametres!$B$6*D8491</f>
        <v>96.16</v>
      </c>
      <c r="G8491" s="20" t="n">
        <f aca="false">E8491+F8491</f>
        <v>248.23</v>
      </c>
      <c r="H8491" s="20" t="n">
        <f aca="false">IF(G8491&lt;Parametres!$B$8*Parametres!$B$7,0,MIN(G8491,Parametres!$B$7))</f>
        <v>248.23</v>
      </c>
      <c r="I8491" s="20" t="n">
        <f aca="false">G8491-H8491</f>
        <v>0</v>
      </c>
      <c r="J8491" s="21" t="n">
        <f aca="false">H8491*1000/Parametres!$B$9</f>
        <v>4209.42852297779</v>
      </c>
    </row>
    <row r="8492" customFormat="false" ht="15" hidden="false" customHeight="false" outlineLevel="0" collapsed="false">
      <c r="A8492" s="0" t="n">
        <v>8488</v>
      </c>
      <c r="B8492" s="0" t="n">
        <v>12</v>
      </c>
      <c r="C8492" s="19" t="n">
        <v>0.343</v>
      </c>
      <c r="D8492" s="19" t="n">
        <v>0.9359</v>
      </c>
      <c r="E8492" s="20" t="n">
        <f aca="false">Parametres!$B$5*C8492</f>
        <v>102.9</v>
      </c>
      <c r="F8492" s="20" t="n">
        <f aca="false">Parametres!$B$6*D8492</f>
        <v>187.18</v>
      </c>
      <c r="G8492" s="20" t="n">
        <f aca="false">E8492+F8492</f>
        <v>290.08</v>
      </c>
      <c r="H8492" s="20" t="n">
        <f aca="false">IF(G8492&lt;Parametres!$B$8*Parametres!$B$7,0,MIN(G8492,Parametres!$B$7))</f>
        <v>250</v>
      </c>
      <c r="I8492" s="20" t="n">
        <f aca="false">G8492-H8492</f>
        <v>40.08</v>
      </c>
      <c r="J8492" s="21" t="n">
        <f aca="false">H8492*1000/Parametres!$B$9</f>
        <v>4239.44378497541</v>
      </c>
    </row>
    <row r="8493" customFormat="false" ht="15" hidden="false" customHeight="false" outlineLevel="0" collapsed="false">
      <c r="A8493" s="0" t="n">
        <v>8489</v>
      </c>
      <c r="B8493" s="0" t="n">
        <v>12</v>
      </c>
      <c r="C8493" s="19" t="n">
        <v>0.1161</v>
      </c>
      <c r="D8493" s="19" t="n">
        <v>0.7197</v>
      </c>
      <c r="E8493" s="20" t="n">
        <f aca="false">Parametres!$B$5*C8493</f>
        <v>34.83</v>
      </c>
      <c r="F8493" s="20" t="n">
        <f aca="false">Parametres!$B$6*D8493</f>
        <v>143.94</v>
      </c>
      <c r="G8493" s="20" t="n">
        <f aca="false">E8493+F8493</f>
        <v>178.77</v>
      </c>
      <c r="H8493" s="20" t="n">
        <f aca="false">IF(G8493&lt;Parametres!$B$8*Parametres!$B$7,0,MIN(G8493,Parametres!$B$7))</f>
        <v>178.77</v>
      </c>
      <c r="I8493" s="20" t="n">
        <f aca="false">G8493-H8493</f>
        <v>0</v>
      </c>
      <c r="J8493" s="21" t="n">
        <f aca="false">H8493*1000/Parametres!$B$9</f>
        <v>3031.54146176022</v>
      </c>
    </row>
    <row r="8494" customFormat="false" ht="15" hidden="false" customHeight="false" outlineLevel="0" collapsed="false">
      <c r="A8494" s="0" t="n">
        <v>8490</v>
      </c>
      <c r="B8494" s="0" t="n">
        <v>12</v>
      </c>
      <c r="C8494" s="19" t="n">
        <v>0</v>
      </c>
      <c r="D8494" s="19" t="n">
        <v>1</v>
      </c>
      <c r="E8494" s="20" t="n">
        <f aca="false">Parametres!$B$5*C8494</f>
        <v>0</v>
      </c>
      <c r="F8494" s="20" t="n">
        <f aca="false">Parametres!$B$6*D8494</f>
        <v>200</v>
      </c>
      <c r="G8494" s="20" t="n">
        <f aca="false">E8494+F8494</f>
        <v>200</v>
      </c>
      <c r="H8494" s="20" t="n">
        <f aca="false">IF(G8494&lt;Parametres!$B$8*Parametres!$B$7,0,MIN(G8494,Parametres!$B$7))</f>
        <v>200</v>
      </c>
      <c r="I8494" s="20" t="n">
        <f aca="false">G8494-H8494</f>
        <v>0</v>
      </c>
      <c r="J8494" s="21" t="n">
        <f aca="false">H8494*1000/Parametres!$B$9</f>
        <v>3391.55502798033</v>
      </c>
    </row>
    <row r="8495" customFormat="false" ht="15" hidden="false" customHeight="false" outlineLevel="0" collapsed="false">
      <c r="A8495" s="0" t="n">
        <v>8491</v>
      </c>
      <c r="B8495" s="0" t="n">
        <v>12</v>
      </c>
      <c r="C8495" s="19" t="n">
        <v>0</v>
      </c>
      <c r="D8495" s="19" t="n">
        <v>1</v>
      </c>
      <c r="E8495" s="20" t="n">
        <f aca="false">Parametres!$B$5*C8495</f>
        <v>0</v>
      </c>
      <c r="F8495" s="20" t="n">
        <f aca="false">Parametres!$B$6*D8495</f>
        <v>200</v>
      </c>
      <c r="G8495" s="20" t="n">
        <f aca="false">E8495+F8495</f>
        <v>200</v>
      </c>
      <c r="H8495" s="20" t="n">
        <f aca="false">IF(G8495&lt;Parametres!$B$8*Parametres!$B$7,0,MIN(G8495,Parametres!$B$7))</f>
        <v>200</v>
      </c>
      <c r="I8495" s="20" t="n">
        <f aca="false">G8495-H8495</f>
        <v>0</v>
      </c>
      <c r="J8495" s="21" t="n">
        <f aca="false">H8495*1000/Parametres!$B$9</f>
        <v>3391.55502798033</v>
      </c>
    </row>
    <row r="8496" customFormat="false" ht="15" hidden="false" customHeight="false" outlineLevel="0" collapsed="false">
      <c r="A8496" s="0" t="n">
        <v>8492</v>
      </c>
      <c r="B8496" s="0" t="n">
        <v>12</v>
      </c>
      <c r="C8496" s="19" t="n">
        <v>0</v>
      </c>
      <c r="D8496" s="19" t="n">
        <v>1</v>
      </c>
      <c r="E8496" s="20" t="n">
        <f aca="false">Parametres!$B$5*C8496</f>
        <v>0</v>
      </c>
      <c r="F8496" s="20" t="n">
        <f aca="false">Parametres!$B$6*D8496</f>
        <v>200</v>
      </c>
      <c r="G8496" s="20" t="n">
        <f aca="false">E8496+F8496</f>
        <v>200</v>
      </c>
      <c r="H8496" s="20" t="n">
        <f aca="false">IF(G8496&lt;Parametres!$B$8*Parametres!$B$7,0,MIN(G8496,Parametres!$B$7))</f>
        <v>200</v>
      </c>
      <c r="I8496" s="20" t="n">
        <f aca="false">G8496-H8496</f>
        <v>0</v>
      </c>
      <c r="J8496" s="21" t="n">
        <f aca="false">H8496*1000/Parametres!$B$9</f>
        <v>3391.55502798033</v>
      </c>
    </row>
    <row r="8497" customFormat="false" ht="15" hidden="false" customHeight="false" outlineLevel="0" collapsed="false">
      <c r="A8497" s="0" t="n">
        <v>8493</v>
      </c>
      <c r="B8497" s="0" t="n">
        <v>12</v>
      </c>
      <c r="C8497" s="19" t="n">
        <v>0</v>
      </c>
      <c r="D8497" s="19" t="n">
        <v>0.9004</v>
      </c>
      <c r="E8497" s="20" t="n">
        <f aca="false">Parametres!$B$5*C8497</f>
        <v>0</v>
      </c>
      <c r="F8497" s="20" t="n">
        <f aca="false">Parametres!$B$6*D8497</f>
        <v>180.08</v>
      </c>
      <c r="G8497" s="20" t="n">
        <f aca="false">E8497+F8497</f>
        <v>180.08</v>
      </c>
      <c r="H8497" s="20" t="n">
        <f aca="false">IF(G8497&lt;Parametres!$B$8*Parametres!$B$7,0,MIN(G8497,Parametres!$B$7))</f>
        <v>180.08</v>
      </c>
      <c r="I8497" s="20" t="n">
        <f aca="false">G8497-H8497</f>
        <v>0</v>
      </c>
      <c r="J8497" s="21" t="n">
        <f aca="false">H8497*1000/Parametres!$B$9</f>
        <v>3053.75614719349</v>
      </c>
    </row>
    <row r="8498" customFormat="false" ht="15" hidden="false" customHeight="false" outlineLevel="0" collapsed="false">
      <c r="A8498" s="0" t="n">
        <v>8494</v>
      </c>
      <c r="B8498" s="0" t="n">
        <v>12</v>
      </c>
      <c r="C8498" s="19" t="n">
        <v>0</v>
      </c>
      <c r="D8498" s="19" t="n">
        <v>0.9627</v>
      </c>
      <c r="E8498" s="20" t="n">
        <f aca="false">Parametres!$B$5*C8498</f>
        <v>0</v>
      </c>
      <c r="F8498" s="20" t="n">
        <f aca="false">Parametres!$B$6*D8498</f>
        <v>192.54</v>
      </c>
      <c r="G8498" s="20" t="n">
        <f aca="false">E8498+F8498</f>
        <v>192.54</v>
      </c>
      <c r="H8498" s="20" t="n">
        <f aca="false">IF(G8498&lt;Parametres!$B$8*Parametres!$B$7,0,MIN(G8498,Parametres!$B$7))</f>
        <v>192.54</v>
      </c>
      <c r="I8498" s="20" t="n">
        <f aca="false">G8498-H8498</f>
        <v>0</v>
      </c>
      <c r="J8498" s="21" t="n">
        <f aca="false">H8498*1000/Parametres!$B$9</f>
        <v>3265.05002543666</v>
      </c>
    </row>
    <row r="8499" customFormat="false" ht="15" hidden="false" customHeight="false" outlineLevel="0" collapsed="false">
      <c r="A8499" s="0" t="n">
        <v>8495</v>
      </c>
      <c r="B8499" s="0" t="n">
        <v>12</v>
      </c>
      <c r="C8499" s="19" t="n">
        <v>0</v>
      </c>
      <c r="D8499" s="19" t="n">
        <v>1</v>
      </c>
      <c r="E8499" s="20" t="n">
        <f aca="false">Parametres!$B$5*C8499</f>
        <v>0</v>
      </c>
      <c r="F8499" s="20" t="n">
        <f aca="false">Parametres!$B$6*D8499</f>
        <v>200</v>
      </c>
      <c r="G8499" s="20" t="n">
        <f aca="false">E8499+F8499</f>
        <v>200</v>
      </c>
      <c r="H8499" s="20" t="n">
        <f aca="false">IF(G8499&lt;Parametres!$B$8*Parametres!$B$7,0,MIN(G8499,Parametres!$B$7))</f>
        <v>200</v>
      </c>
      <c r="I8499" s="20" t="n">
        <f aca="false">G8499-H8499</f>
        <v>0</v>
      </c>
      <c r="J8499" s="21" t="n">
        <f aca="false">H8499*1000/Parametres!$B$9</f>
        <v>3391.55502798033</v>
      </c>
    </row>
    <row r="8500" customFormat="false" ht="15" hidden="false" customHeight="false" outlineLevel="0" collapsed="false">
      <c r="A8500" s="0" t="n">
        <v>8496</v>
      </c>
      <c r="B8500" s="0" t="n">
        <v>12</v>
      </c>
      <c r="C8500" s="19" t="n">
        <v>0</v>
      </c>
      <c r="D8500" s="19" t="n">
        <v>0.7562</v>
      </c>
      <c r="E8500" s="20" t="n">
        <f aca="false">Parametres!$B$5*C8500</f>
        <v>0</v>
      </c>
      <c r="F8500" s="20" t="n">
        <f aca="false">Parametres!$B$6*D8500</f>
        <v>151.24</v>
      </c>
      <c r="G8500" s="20" t="n">
        <f aca="false">E8500+F8500</f>
        <v>151.24</v>
      </c>
      <c r="H8500" s="20" t="n">
        <f aca="false">IF(G8500&lt;Parametres!$B$8*Parametres!$B$7,0,MIN(G8500,Parametres!$B$7))</f>
        <v>151.24</v>
      </c>
      <c r="I8500" s="20" t="n">
        <f aca="false">G8500-H8500</f>
        <v>0</v>
      </c>
      <c r="J8500" s="21" t="n">
        <f aca="false">H8500*1000/Parametres!$B$9</f>
        <v>2564.69391215872</v>
      </c>
    </row>
    <row r="8501" customFormat="false" ht="15" hidden="false" customHeight="false" outlineLevel="0" collapsed="false">
      <c r="A8501" s="0" t="n">
        <v>8497</v>
      </c>
      <c r="B8501" s="0" t="n">
        <v>12</v>
      </c>
      <c r="C8501" s="19" t="n">
        <v>0</v>
      </c>
      <c r="D8501" s="19" t="n">
        <v>0.5663</v>
      </c>
      <c r="E8501" s="20" t="n">
        <f aca="false">Parametres!$B$5*C8501</f>
        <v>0</v>
      </c>
      <c r="F8501" s="20" t="n">
        <f aca="false">Parametres!$B$6*D8501</f>
        <v>113.26</v>
      </c>
      <c r="G8501" s="20" t="n">
        <f aca="false">E8501+F8501</f>
        <v>113.26</v>
      </c>
      <c r="H8501" s="20" t="n">
        <f aca="false">IF(G8501&lt;Parametres!$B$8*Parametres!$B$7,0,MIN(G8501,Parametres!$B$7))</f>
        <v>113.26</v>
      </c>
      <c r="I8501" s="20" t="n">
        <f aca="false">G8501-H8501</f>
        <v>0</v>
      </c>
      <c r="J8501" s="21" t="n">
        <f aca="false">H8501*1000/Parametres!$B$9</f>
        <v>1920.63761234526</v>
      </c>
    </row>
    <row r="8502" customFormat="false" ht="15" hidden="false" customHeight="false" outlineLevel="0" collapsed="false">
      <c r="A8502" s="0" t="n">
        <v>8498</v>
      </c>
      <c r="B8502" s="0" t="n">
        <v>12</v>
      </c>
      <c r="C8502" s="19" t="n">
        <v>0</v>
      </c>
      <c r="D8502" s="19" t="n">
        <v>0.3038</v>
      </c>
      <c r="E8502" s="20" t="n">
        <f aca="false">Parametres!$B$5*C8502</f>
        <v>0</v>
      </c>
      <c r="F8502" s="20" t="n">
        <f aca="false">Parametres!$B$6*D8502</f>
        <v>60.76</v>
      </c>
      <c r="G8502" s="20" t="n">
        <f aca="false">E8502+F8502</f>
        <v>60.76</v>
      </c>
      <c r="H8502" s="20" t="n">
        <f aca="false">IF(G8502&lt;Parametres!$B$8*Parametres!$B$7,0,MIN(G8502,Parametres!$B$7))</f>
        <v>60.76</v>
      </c>
      <c r="I8502" s="20" t="n">
        <f aca="false">G8502-H8502</f>
        <v>0</v>
      </c>
      <c r="J8502" s="21" t="n">
        <f aca="false">H8502*1000/Parametres!$B$9</f>
        <v>1030.35441750042</v>
      </c>
    </row>
    <row r="8503" customFormat="false" ht="15" hidden="false" customHeight="false" outlineLevel="0" collapsed="false">
      <c r="A8503" s="0" t="n">
        <v>8499</v>
      </c>
      <c r="B8503" s="0" t="n">
        <v>12</v>
      </c>
      <c r="C8503" s="19" t="n">
        <v>0</v>
      </c>
      <c r="D8503" s="19" t="n">
        <v>0.3097</v>
      </c>
      <c r="E8503" s="20" t="n">
        <f aca="false">Parametres!$B$5*C8503</f>
        <v>0</v>
      </c>
      <c r="F8503" s="20" t="n">
        <f aca="false">Parametres!$B$6*D8503</f>
        <v>61.94</v>
      </c>
      <c r="G8503" s="20" t="n">
        <f aca="false">E8503+F8503</f>
        <v>61.94</v>
      </c>
      <c r="H8503" s="20" t="n">
        <f aca="false">IF(G8503&lt;Parametres!$B$8*Parametres!$B$7,0,MIN(G8503,Parametres!$B$7))</f>
        <v>61.94</v>
      </c>
      <c r="I8503" s="20" t="n">
        <f aca="false">G8503-H8503</f>
        <v>0</v>
      </c>
      <c r="J8503" s="21" t="n">
        <f aca="false">H8503*1000/Parametres!$B$9</f>
        <v>1050.36459216551</v>
      </c>
    </row>
    <row r="8504" customFormat="false" ht="15" hidden="false" customHeight="false" outlineLevel="0" collapsed="false">
      <c r="A8504" s="0" t="n">
        <v>8500</v>
      </c>
      <c r="B8504" s="0" t="n">
        <v>12</v>
      </c>
      <c r="C8504" s="19" t="n">
        <v>0</v>
      </c>
      <c r="D8504" s="19" t="n">
        <v>0.201</v>
      </c>
      <c r="E8504" s="20" t="n">
        <f aca="false">Parametres!$B$5*C8504</f>
        <v>0</v>
      </c>
      <c r="F8504" s="20" t="n">
        <f aca="false">Parametres!$B$6*D8504</f>
        <v>40.2</v>
      </c>
      <c r="G8504" s="20" t="n">
        <f aca="false">E8504+F8504</f>
        <v>40.2</v>
      </c>
      <c r="H8504" s="20" t="n">
        <f aca="false">IF(G8504&lt;Parametres!$B$8*Parametres!$B$7,0,MIN(G8504,Parametres!$B$7))</f>
        <v>40.2</v>
      </c>
      <c r="I8504" s="20" t="n">
        <f aca="false">G8504-H8504</f>
        <v>0</v>
      </c>
      <c r="J8504" s="21" t="n">
        <f aca="false">H8504*1000/Parametres!$B$9</f>
        <v>681.702560624046</v>
      </c>
    </row>
    <row r="8505" customFormat="false" ht="15" hidden="false" customHeight="false" outlineLevel="0" collapsed="false">
      <c r="A8505" s="0" t="n">
        <v>8501</v>
      </c>
      <c r="B8505" s="0" t="n">
        <v>12</v>
      </c>
      <c r="C8505" s="19" t="n">
        <v>0</v>
      </c>
      <c r="D8505" s="19" t="n">
        <v>0.178</v>
      </c>
      <c r="E8505" s="20" t="n">
        <f aca="false">Parametres!$B$5*C8505</f>
        <v>0</v>
      </c>
      <c r="F8505" s="20" t="n">
        <f aca="false">Parametres!$B$6*D8505</f>
        <v>35.6</v>
      </c>
      <c r="G8505" s="20" t="n">
        <f aca="false">E8505+F8505</f>
        <v>35.6</v>
      </c>
      <c r="H8505" s="20" t="n">
        <f aca="false">IF(G8505&lt;Parametres!$B$8*Parametres!$B$7,0,MIN(G8505,Parametres!$B$7))</f>
        <v>35.6</v>
      </c>
      <c r="I8505" s="20" t="n">
        <f aca="false">G8505-H8505</f>
        <v>0</v>
      </c>
      <c r="J8505" s="21" t="n">
        <f aca="false">H8505*1000/Parametres!$B$9</f>
        <v>603.696794980499</v>
      </c>
    </row>
    <row r="8506" customFormat="false" ht="15" hidden="false" customHeight="false" outlineLevel="0" collapsed="false">
      <c r="A8506" s="0" t="n">
        <v>8502</v>
      </c>
      <c r="B8506" s="0" t="n">
        <v>12</v>
      </c>
      <c r="C8506" s="19" t="n">
        <v>0</v>
      </c>
      <c r="D8506" s="19" t="n">
        <v>0.1327</v>
      </c>
      <c r="E8506" s="20" t="n">
        <f aca="false">Parametres!$B$5*C8506</f>
        <v>0</v>
      </c>
      <c r="F8506" s="20" t="n">
        <f aca="false">Parametres!$B$6*D8506</f>
        <v>26.54</v>
      </c>
      <c r="G8506" s="20" t="n">
        <f aca="false">E8506+F8506</f>
        <v>26.54</v>
      </c>
      <c r="H8506" s="20" t="n">
        <f aca="false">IF(G8506&lt;Parametres!$B$8*Parametres!$B$7,0,MIN(G8506,Parametres!$B$7))</f>
        <v>26.54</v>
      </c>
      <c r="I8506" s="20" t="n">
        <f aca="false">G8506-H8506</f>
        <v>0</v>
      </c>
      <c r="J8506" s="21" t="n">
        <f aca="false">H8506*1000/Parametres!$B$9</f>
        <v>450.05935221299</v>
      </c>
    </row>
    <row r="8507" customFormat="false" ht="15" hidden="false" customHeight="false" outlineLevel="0" collapsed="false">
      <c r="A8507" s="0" t="n">
        <v>8503</v>
      </c>
      <c r="B8507" s="0" t="n">
        <v>12</v>
      </c>
      <c r="C8507" s="19" t="n">
        <v>0</v>
      </c>
      <c r="D8507" s="19" t="n">
        <v>0.0837</v>
      </c>
      <c r="E8507" s="20" t="n">
        <f aca="false">Parametres!$B$5*C8507</f>
        <v>0</v>
      </c>
      <c r="F8507" s="20" t="n">
        <f aca="false">Parametres!$B$6*D8507</f>
        <v>16.74</v>
      </c>
      <c r="G8507" s="20" t="n">
        <f aca="false">E8507+F8507</f>
        <v>16.74</v>
      </c>
      <c r="H8507" s="20" t="n">
        <f aca="false">IF(G8507&lt;Parametres!$B$8*Parametres!$B$7,0,MIN(G8507,Parametres!$B$7))</f>
        <v>0</v>
      </c>
      <c r="I8507" s="20" t="n">
        <f aca="false">G8507-H8507</f>
        <v>16.74</v>
      </c>
      <c r="J8507" s="21" t="n">
        <f aca="false">H8507*1000/Parametres!$B$9</f>
        <v>0</v>
      </c>
    </row>
    <row r="8508" customFormat="false" ht="15" hidden="false" customHeight="false" outlineLevel="0" collapsed="false">
      <c r="A8508" s="0" t="n">
        <v>8504</v>
      </c>
      <c r="B8508" s="0" t="n">
        <v>12</v>
      </c>
      <c r="C8508" s="19" t="n">
        <v>0.13</v>
      </c>
      <c r="D8508" s="19" t="n">
        <v>0.092</v>
      </c>
      <c r="E8508" s="20" t="n">
        <f aca="false">Parametres!$B$5*C8508</f>
        <v>39</v>
      </c>
      <c r="F8508" s="20" t="n">
        <f aca="false">Parametres!$B$6*D8508</f>
        <v>18.4</v>
      </c>
      <c r="G8508" s="20" t="n">
        <f aca="false">E8508+F8508</f>
        <v>57.4</v>
      </c>
      <c r="H8508" s="20" t="n">
        <f aca="false">IF(G8508&lt;Parametres!$B$8*Parametres!$B$7,0,MIN(G8508,Parametres!$B$7))</f>
        <v>57.4</v>
      </c>
      <c r="I8508" s="20" t="n">
        <f aca="false">G8508-H8508</f>
        <v>0</v>
      </c>
      <c r="J8508" s="21" t="n">
        <f aca="false">H8508*1000/Parametres!$B$9</f>
        <v>973.376293030354</v>
      </c>
    </row>
    <row r="8509" customFormat="false" ht="15" hidden="false" customHeight="false" outlineLevel="0" collapsed="false">
      <c r="A8509" s="0" t="n">
        <v>8505</v>
      </c>
      <c r="B8509" s="0" t="n">
        <v>12</v>
      </c>
      <c r="C8509" s="19" t="n">
        <v>0.3533</v>
      </c>
      <c r="D8509" s="19" t="n">
        <v>0.0946</v>
      </c>
      <c r="E8509" s="20" t="n">
        <f aca="false">Parametres!$B$5*C8509</f>
        <v>105.99</v>
      </c>
      <c r="F8509" s="20" t="n">
        <f aca="false">Parametres!$B$6*D8509</f>
        <v>18.92</v>
      </c>
      <c r="G8509" s="20" t="n">
        <f aca="false">E8509+F8509</f>
        <v>124.91</v>
      </c>
      <c r="H8509" s="20" t="n">
        <f aca="false">IF(G8509&lt;Parametres!$B$8*Parametres!$B$7,0,MIN(G8509,Parametres!$B$7))</f>
        <v>124.91</v>
      </c>
      <c r="I8509" s="20" t="n">
        <f aca="false">G8509-H8509</f>
        <v>0</v>
      </c>
      <c r="J8509" s="21" t="n">
        <f aca="false">H8509*1000/Parametres!$B$9</f>
        <v>2118.19569272511</v>
      </c>
    </row>
    <row r="8510" customFormat="false" ht="15" hidden="false" customHeight="false" outlineLevel="0" collapsed="false">
      <c r="A8510" s="0" t="n">
        <v>8506</v>
      </c>
      <c r="B8510" s="0" t="n">
        <v>12</v>
      </c>
      <c r="C8510" s="19" t="n">
        <v>0.5692</v>
      </c>
      <c r="D8510" s="19" t="n">
        <v>0.2127</v>
      </c>
      <c r="E8510" s="20" t="n">
        <f aca="false">Parametres!$B$5*C8510</f>
        <v>170.76</v>
      </c>
      <c r="F8510" s="20" t="n">
        <f aca="false">Parametres!$B$6*D8510</f>
        <v>42.54</v>
      </c>
      <c r="G8510" s="20" t="n">
        <f aca="false">E8510+F8510</f>
        <v>213.3</v>
      </c>
      <c r="H8510" s="20" t="n">
        <f aca="false">IF(G8510&lt;Parametres!$B$8*Parametres!$B$7,0,MIN(G8510,Parametres!$B$7))</f>
        <v>213.3</v>
      </c>
      <c r="I8510" s="20" t="n">
        <f aca="false">G8510-H8510</f>
        <v>0</v>
      </c>
      <c r="J8510" s="21" t="n">
        <f aca="false">H8510*1000/Parametres!$B$9</f>
        <v>3617.09343734102</v>
      </c>
    </row>
    <row r="8511" customFormat="false" ht="15" hidden="false" customHeight="false" outlineLevel="0" collapsed="false">
      <c r="A8511" s="0" t="n">
        <v>8507</v>
      </c>
      <c r="B8511" s="0" t="n">
        <v>12</v>
      </c>
      <c r="C8511" s="19" t="n">
        <v>0.6732</v>
      </c>
      <c r="D8511" s="19" t="n">
        <v>0.2467</v>
      </c>
      <c r="E8511" s="20" t="n">
        <f aca="false">Parametres!$B$5*C8511</f>
        <v>201.96</v>
      </c>
      <c r="F8511" s="20" t="n">
        <f aca="false">Parametres!$B$6*D8511</f>
        <v>49.34</v>
      </c>
      <c r="G8511" s="20" t="n">
        <f aca="false">E8511+F8511</f>
        <v>251.3</v>
      </c>
      <c r="H8511" s="20" t="n">
        <f aca="false">IF(G8511&lt;Parametres!$B$8*Parametres!$B$7,0,MIN(G8511,Parametres!$B$7))</f>
        <v>250</v>
      </c>
      <c r="I8511" s="20" t="n">
        <f aca="false">G8511-H8511</f>
        <v>1.30000000000001</v>
      </c>
      <c r="J8511" s="21" t="n">
        <f aca="false">H8511*1000/Parametres!$B$9</f>
        <v>4239.44378497541</v>
      </c>
    </row>
    <row r="8512" customFormat="false" ht="15" hidden="false" customHeight="false" outlineLevel="0" collapsed="false">
      <c r="A8512" s="0" t="n">
        <v>8508</v>
      </c>
      <c r="B8512" s="0" t="n">
        <v>12</v>
      </c>
      <c r="C8512" s="19" t="n">
        <v>0.8858</v>
      </c>
      <c r="D8512" s="19" t="n">
        <v>0.1266</v>
      </c>
      <c r="E8512" s="20" t="n">
        <f aca="false">Parametres!$B$5*C8512</f>
        <v>265.74</v>
      </c>
      <c r="F8512" s="20" t="n">
        <f aca="false">Parametres!$B$6*D8512</f>
        <v>25.32</v>
      </c>
      <c r="G8512" s="20" t="n">
        <f aca="false">E8512+F8512</f>
        <v>291.06</v>
      </c>
      <c r="H8512" s="20" t="n">
        <f aca="false">IF(G8512&lt;Parametres!$B$8*Parametres!$B$7,0,MIN(G8512,Parametres!$B$7))</f>
        <v>250</v>
      </c>
      <c r="I8512" s="20" t="n">
        <f aca="false">G8512-H8512</f>
        <v>41.06</v>
      </c>
      <c r="J8512" s="21" t="n">
        <f aca="false">H8512*1000/Parametres!$B$9</f>
        <v>4239.44378497541</v>
      </c>
    </row>
    <row r="8513" customFormat="false" ht="15" hidden="false" customHeight="false" outlineLevel="0" collapsed="false">
      <c r="A8513" s="0" t="n">
        <v>8509</v>
      </c>
      <c r="B8513" s="0" t="n">
        <v>12</v>
      </c>
      <c r="C8513" s="19" t="n">
        <v>0.8152</v>
      </c>
      <c r="D8513" s="19" t="n">
        <v>0.2263</v>
      </c>
      <c r="E8513" s="20" t="n">
        <f aca="false">Parametres!$B$5*C8513</f>
        <v>244.56</v>
      </c>
      <c r="F8513" s="20" t="n">
        <f aca="false">Parametres!$B$6*D8513</f>
        <v>45.26</v>
      </c>
      <c r="G8513" s="20" t="n">
        <f aca="false">E8513+F8513</f>
        <v>289.82</v>
      </c>
      <c r="H8513" s="20" t="n">
        <f aca="false">IF(G8513&lt;Parametres!$B$8*Parametres!$B$7,0,MIN(G8513,Parametres!$B$7))</f>
        <v>250</v>
      </c>
      <c r="I8513" s="20" t="n">
        <f aca="false">G8513-H8513</f>
        <v>39.82</v>
      </c>
      <c r="J8513" s="21" t="n">
        <f aca="false">H8513*1000/Parametres!$B$9</f>
        <v>4239.44378497541</v>
      </c>
    </row>
    <row r="8514" customFormat="false" ht="15" hidden="false" customHeight="false" outlineLevel="0" collapsed="false">
      <c r="A8514" s="0" t="n">
        <v>8510</v>
      </c>
      <c r="B8514" s="0" t="n">
        <v>12</v>
      </c>
      <c r="C8514" s="19" t="n">
        <v>0.725</v>
      </c>
      <c r="D8514" s="19" t="n">
        <v>0.2237</v>
      </c>
      <c r="E8514" s="20" t="n">
        <f aca="false">Parametres!$B$5*C8514</f>
        <v>217.5</v>
      </c>
      <c r="F8514" s="20" t="n">
        <f aca="false">Parametres!$B$6*D8514</f>
        <v>44.74</v>
      </c>
      <c r="G8514" s="20" t="n">
        <f aca="false">E8514+F8514</f>
        <v>262.24</v>
      </c>
      <c r="H8514" s="20" t="n">
        <f aca="false">IF(G8514&lt;Parametres!$B$8*Parametres!$B$7,0,MIN(G8514,Parametres!$B$7))</f>
        <v>250</v>
      </c>
      <c r="I8514" s="20" t="n">
        <f aca="false">G8514-H8514</f>
        <v>12.24</v>
      </c>
      <c r="J8514" s="21" t="n">
        <f aca="false">H8514*1000/Parametres!$B$9</f>
        <v>4239.44378497541</v>
      </c>
    </row>
    <row r="8515" customFormat="false" ht="15" hidden="false" customHeight="false" outlineLevel="0" collapsed="false">
      <c r="A8515" s="0" t="n">
        <v>8511</v>
      </c>
      <c r="B8515" s="0" t="n">
        <v>12</v>
      </c>
      <c r="C8515" s="19" t="n">
        <v>0.5723</v>
      </c>
      <c r="D8515" s="19" t="n">
        <v>0.2781</v>
      </c>
      <c r="E8515" s="20" t="n">
        <f aca="false">Parametres!$B$5*C8515</f>
        <v>171.69</v>
      </c>
      <c r="F8515" s="20" t="n">
        <f aca="false">Parametres!$B$6*D8515</f>
        <v>55.62</v>
      </c>
      <c r="G8515" s="20" t="n">
        <f aca="false">E8515+F8515</f>
        <v>227.31</v>
      </c>
      <c r="H8515" s="20" t="n">
        <f aca="false">IF(G8515&lt;Parametres!$B$8*Parametres!$B$7,0,MIN(G8515,Parametres!$B$7))</f>
        <v>227.31</v>
      </c>
      <c r="I8515" s="20" t="n">
        <f aca="false">G8515-H8515</f>
        <v>0</v>
      </c>
      <c r="J8515" s="21" t="n">
        <f aca="false">H8515*1000/Parametres!$B$9</f>
        <v>3854.67186705104</v>
      </c>
    </row>
    <row r="8516" customFormat="false" ht="15" hidden="false" customHeight="false" outlineLevel="0" collapsed="false">
      <c r="A8516" s="0" t="n">
        <v>8512</v>
      </c>
      <c r="B8516" s="0" t="n">
        <v>12</v>
      </c>
      <c r="C8516" s="19" t="n">
        <v>0.3405</v>
      </c>
      <c r="D8516" s="19" t="n">
        <v>0.4218</v>
      </c>
      <c r="E8516" s="20" t="n">
        <f aca="false">Parametres!$B$5*C8516</f>
        <v>102.15</v>
      </c>
      <c r="F8516" s="20" t="n">
        <f aca="false">Parametres!$B$6*D8516</f>
        <v>84.36</v>
      </c>
      <c r="G8516" s="20" t="n">
        <f aca="false">E8516+F8516</f>
        <v>186.51</v>
      </c>
      <c r="H8516" s="20" t="n">
        <f aca="false">IF(G8516&lt;Parametres!$B$8*Parametres!$B$7,0,MIN(G8516,Parametres!$B$7))</f>
        <v>186.51</v>
      </c>
      <c r="I8516" s="20" t="n">
        <f aca="false">G8516-H8516</f>
        <v>0</v>
      </c>
      <c r="J8516" s="21" t="n">
        <f aca="false">H8516*1000/Parametres!$B$9</f>
        <v>3162.79464134306</v>
      </c>
    </row>
    <row r="8517" customFormat="false" ht="15" hidden="false" customHeight="false" outlineLevel="0" collapsed="false">
      <c r="A8517" s="0" t="n">
        <v>8513</v>
      </c>
      <c r="B8517" s="0" t="n">
        <v>12</v>
      </c>
      <c r="C8517" s="19" t="n">
        <v>0.1313</v>
      </c>
      <c r="D8517" s="19" t="n">
        <v>0.1984</v>
      </c>
      <c r="E8517" s="20" t="n">
        <f aca="false">Parametres!$B$5*C8517</f>
        <v>39.39</v>
      </c>
      <c r="F8517" s="20" t="n">
        <f aca="false">Parametres!$B$6*D8517</f>
        <v>39.68</v>
      </c>
      <c r="G8517" s="20" t="n">
        <f aca="false">E8517+F8517</f>
        <v>79.07</v>
      </c>
      <c r="H8517" s="20" t="n">
        <f aca="false">IF(G8517&lt;Parametres!$B$8*Parametres!$B$7,0,MIN(G8517,Parametres!$B$7))</f>
        <v>79.07</v>
      </c>
      <c r="I8517" s="20" t="n">
        <f aca="false">G8517-H8517</f>
        <v>0</v>
      </c>
      <c r="J8517" s="21" t="n">
        <f aca="false">H8517*1000/Parametres!$B$9</f>
        <v>1340.85128031202</v>
      </c>
    </row>
    <row r="8518" customFormat="false" ht="15" hidden="false" customHeight="false" outlineLevel="0" collapsed="false">
      <c r="A8518" s="0" t="n">
        <v>8514</v>
      </c>
      <c r="B8518" s="0" t="n">
        <v>12</v>
      </c>
      <c r="C8518" s="19" t="n">
        <v>0</v>
      </c>
      <c r="D8518" s="19" t="n">
        <v>0.0953</v>
      </c>
      <c r="E8518" s="20" t="n">
        <f aca="false">Parametres!$B$5*C8518</f>
        <v>0</v>
      </c>
      <c r="F8518" s="20" t="n">
        <f aca="false">Parametres!$B$6*D8518</f>
        <v>19.06</v>
      </c>
      <c r="G8518" s="20" t="n">
        <f aca="false">E8518+F8518</f>
        <v>19.06</v>
      </c>
      <c r="H8518" s="20" t="n">
        <f aca="false">IF(G8518&lt;Parametres!$B$8*Parametres!$B$7,0,MIN(G8518,Parametres!$B$7))</f>
        <v>0</v>
      </c>
      <c r="I8518" s="20" t="n">
        <f aca="false">G8518-H8518</f>
        <v>19.06</v>
      </c>
      <c r="J8518" s="21" t="n">
        <f aca="false">H8518*1000/Parametres!$B$9</f>
        <v>0</v>
      </c>
    </row>
    <row r="8519" customFormat="false" ht="15" hidden="false" customHeight="false" outlineLevel="0" collapsed="false">
      <c r="A8519" s="0" t="n">
        <v>8515</v>
      </c>
      <c r="B8519" s="0" t="n">
        <v>12</v>
      </c>
      <c r="C8519" s="19" t="n">
        <v>0</v>
      </c>
      <c r="D8519" s="19" t="n">
        <v>0.0325</v>
      </c>
      <c r="E8519" s="20" t="n">
        <f aca="false">Parametres!$B$5*C8519</f>
        <v>0</v>
      </c>
      <c r="F8519" s="20" t="n">
        <f aca="false">Parametres!$B$6*D8519</f>
        <v>6.5</v>
      </c>
      <c r="G8519" s="20" t="n">
        <f aca="false">E8519+F8519</f>
        <v>6.5</v>
      </c>
      <c r="H8519" s="20" t="n">
        <f aca="false">IF(G8519&lt;Parametres!$B$8*Parametres!$B$7,0,MIN(G8519,Parametres!$B$7))</f>
        <v>0</v>
      </c>
      <c r="I8519" s="20" t="n">
        <f aca="false">G8519-H8519</f>
        <v>6.5</v>
      </c>
      <c r="J8519" s="21" t="n">
        <f aca="false">H8519*1000/Parametres!$B$9</f>
        <v>0</v>
      </c>
    </row>
    <row r="8520" customFormat="false" ht="15" hidden="false" customHeight="false" outlineLevel="0" collapsed="false">
      <c r="A8520" s="0" t="n">
        <v>8516</v>
      </c>
      <c r="B8520" s="0" t="n">
        <v>12</v>
      </c>
      <c r="C8520" s="19" t="n">
        <v>0</v>
      </c>
      <c r="D8520" s="19" t="n">
        <v>0.0386</v>
      </c>
      <c r="E8520" s="20" t="n">
        <f aca="false">Parametres!$B$5*C8520</f>
        <v>0</v>
      </c>
      <c r="F8520" s="20" t="n">
        <f aca="false">Parametres!$B$6*D8520</f>
        <v>7.72</v>
      </c>
      <c r="G8520" s="20" t="n">
        <f aca="false">E8520+F8520</f>
        <v>7.72</v>
      </c>
      <c r="H8520" s="20" t="n">
        <f aca="false">IF(G8520&lt;Parametres!$B$8*Parametres!$B$7,0,MIN(G8520,Parametres!$B$7))</f>
        <v>0</v>
      </c>
      <c r="I8520" s="20" t="n">
        <f aca="false">G8520-H8520</f>
        <v>7.72</v>
      </c>
      <c r="J8520" s="21" t="n">
        <f aca="false">H8520*1000/Parametres!$B$9</f>
        <v>0</v>
      </c>
    </row>
    <row r="8521" customFormat="false" ht="15" hidden="false" customHeight="false" outlineLevel="0" collapsed="false">
      <c r="A8521" s="0" t="n">
        <v>8517</v>
      </c>
      <c r="B8521" s="0" t="n">
        <v>12</v>
      </c>
      <c r="C8521" s="19" t="n">
        <v>0</v>
      </c>
      <c r="D8521" s="19" t="n">
        <v>0.0224</v>
      </c>
      <c r="E8521" s="20" t="n">
        <f aca="false">Parametres!$B$5*C8521</f>
        <v>0</v>
      </c>
      <c r="F8521" s="20" t="n">
        <f aca="false">Parametres!$B$6*D8521</f>
        <v>4.48</v>
      </c>
      <c r="G8521" s="20" t="n">
        <f aca="false">E8521+F8521</f>
        <v>4.48</v>
      </c>
      <c r="H8521" s="20" t="n">
        <f aca="false">IF(G8521&lt;Parametres!$B$8*Parametres!$B$7,0,MIN(G8521,Parametres!$B$7))</f>
        <v>0</v>
      </c>
      <c r="I8521" s="20" t="n">
        <f aca="false">G8521-H8521</f>
        <v>4.48</v>
      </c>
      <c r="J8521" s="21" t="n">
        <f aca="false">H8521*1000/Parametres!$B$9</f>
        <v>0</v>
      </c>
    </row>
    <row r="8522" customFormat="false" ht="15" hidden="false" customHeight="false" outlineLevel="0" collapsed="false">
      <c r="A8522" s="0" t="n">
        <v>8518</v>
      </c>
      <c r="B8522" s="0" t="n">
        <v>12</v>
      </c>
      <c r="C8522" s="19" t="n">
        <v>0</v>
      </c>
      <c r="D8522" s="19" t="n">
        <v>0.0314</v>
      </c>
      <c r="E8522" s="20" t="n">
        <f aca="false">Parametres!$B$5*C8522</f>
        <v>0</v>
      </c>
      <c r="F8522" s="20" t="n">
        <f aca="false">Parametres!$B$6*D8522</f>
        <v>6.28</v>
      </c>
      <c r="G8522" s="20" t="n">
        <f aca="false">E8522+F8522</f>
        <v>6.28</v>
      </c>
      <c r="H8522" s="20" t="n">
        <f aca="false">IF(G8522&lt;Parametres!$B$8*Parametres!$B$7,0,MIN(G8522,Parametres!$B$7))</f>
        <v>0</v>
      </c>
      <c r="I8522" s="20" t="n">
        <f aca="false">G8522-H8522</f>
        <v>6.28</v>
      </c>
      <c r="J8522" s="21" t="n">
        <f aca="false">H8522*1000/Parametres!$B$9</f>
        <v>0</v>
      </c>
    </row>
    <row r="8523" customFormat="false" ht="15" hidden="false" customHeight="false" outlineLevel="0" collapsed="false">
      <c r="A8523" s="0" t="n">
        <v>8519</v>
      </c>
      <c r="B8523" s="0" t="n">
        <v>12</v>
      </c>
      <c r="C8523" s="19" t="n">
        <v>0</v>
      </c>
      <c r="D8523" s="19" t="n">
        <v>0.0418</v>
      </c>
      <c r="E8523" s="20" t="n">
        <f aca="false">Parametres!$B$5*C8523</f>
        <v>0</v>
      </c>
      <c r="F8523" s="20" t="n">
        <f aca="false">Parametres!$B$6*D8523</f>
        <v>8.36</v>
      </c>
      <c r="G8523" s="20" t="n">
        <f aca="false">E8523+F8523</f>
        <v>8.36</v>
      </c>
      <c r="H8523" s="20" t="n">
        <f aca="false">IF(G8523&lt;Parametres!$B$8*Parametres!$B$7,0,MIN(G8523,Parametres!$B$7))</f>
        <v>0</v>
      </c>
      <c r="I8523" s="20" t="n">
        <f aca="false">G8523-H8523</f>
        <v>8.36</v>
      </c>
      <c r="J8523" s="21" t="n">
        <f aca="false">H8523*1000/Parametres!$B$9</f>
        <v>0</v>
      </c>
    </row>
    <row r="8524" customFormat="false" ht="15" hidden="false" customHeight="false" outlineLevel="0" collapsed="false">
      <c r="A8524" s="0" t="n">
        <v>8520</v>
      </c>
      <c r="B8524" s="0" t="n">
        <v>12</v>
      </c>
      <c r="C8524" s="19" t="n">
        <v>0</v>
      </c>
      <c r="D8524" s="19" t="n">
        <v>0.0205</v>
      </c>
      <c r="E8524" s="20" t="n">
        <f aca="false">Parametres!$B$5*C8524</f>
        <v>0</v>
      </c>
      <c r="F8524" s="20" t="n">
        <f aca="false">Parametres!$B$6*D8524</f>
        <v>4.1</v>
      </c>
      <c r="G8524" s="20" t="n">
        <f aca="false">E8524+F8524</f>
        <v>4.1</v>
      </c>
      <c r="H8524" s="20" t="n">
        <f aca="false">IF(G8524&lt;Parametres!$B$8*Parametres!$B$7,0,MIN(G8524,Parametres!$B$7))</f>
        <v>0</v>
      </c>
      <c r="I8524" s="20" t="n">
        <f aca="false">G8524-H8524</f>
        <v>4.1</v>
      </c>
      <c r="J8524" s="21" t="n">
        <f aca="false">H8524*1000/Parametres!$B$9</f>
        <v>0</v>
      </c>
    </row>
    <row r="8525" customFormat="false" ht="15" hidden="false" customHeight="false" outlineLevel="0" collapsed="false">
      <c r="A8525" s="0" t="n">
        <v>8521</v>
      </c>
      <c r="B8525" s="0" t="n">
        <v>12</v>
      </c>
      <c r="C8525" s="19" t="n">
        <v>0</v>
      </c>
      <c r="D8525" s="19" t="n">
        <v>0.0137</v>
      </c>
      <c r="E8525" s="20" t="n">
        <f aca="false">Parametres!$B$5*C8525</f>
        <v>0</v>
      </c>
      <c r="F8525" s="20" t="n">
        <f aca="false">Parametres!$B$6*D8525</f>
        <v>2.74</v>
      </c>
      <c r="G8525" s="20" t="n">
        <f aca="false">E8525+F8525</f>
        <v>2.74</v>
      </c>
      <c r="H8525" s="20" t="n">
        <f aca="false">IF(G8525&lt;Parametres!$B$8*Parametres!$B$7,0,MIN(G8525,Parametres!$B$7))</f>
        <v>0</v>
      </c>
      <c r="I8525" s="20" t="n">
        <f aca="false">G8525-H8525</f>
        <v>2.74</v>
      </c>
      <c r="J8525" s="21" t="n">
        <f aca="false">H8525*1000/Parametres!$B$9</f>
        <v>0</v>
      </c>
    </row>
    <row r="8526" customFormat="false" ht="15" hidden="false" customHeight="false" outlineLevel="0" collapsed="false">
      <c r="A8526" s="0" t="n">
        <v>8522</v>
      </c>
      <c r="B8526" s="0" t="n">
        <v>12</v>
      </c>
      <c r="C8526" s="19" t="n">
        <v>0</v>
      </c>
      <c r="D8526" s="19" t="n">
        <v>0.0245</v>
      </c>
      <c r="E8526" s="20" t="n">
        <f aca="false">Parametres!$B$5*C8526</f>
        <v>0</v>
      </c>
      <c r="F8526" s="20" t="n">
        <f aca="false">Parametres!$B$6*D8526</f>
        <v>4.9</v>
      </c>
      <c r="G8526" s="20" t="n">
        <f aca="false">E8526+F8526</f>
        <v>4.9</v>
      </c>
      <c r="H8526" s="20" t="n">
        <f aca="false">IF(G8526&lt;Parametres!$B$8*Parametres!$B$7,0,MIN(G8526,Parametres!$B$7))</f>
        <v>0</v>
      </c>
      <c r="I8526" s="20" t="n">
        <f aca="false">G8526-H8526</f>
        <v>4.9</v>
      </c>
      <c r="J8526" s="21" t="n">
        <f aca="false">H8526*1000/Parametres!$B$9</f>
        <v>0</v>
      </c>
    </row>
    <row r="8527" customFormat="false" ht="15" hidden="false" customHeight="false" outlineLevel="0" collapsed="false">
      <c r="A8527" s="0" t="n">
        <v>8523</v>
      </c>
      <c r="B8527" s="0" t="n">
        <v>12</v>
      </c>
      <c r="C8527" s="19" t="n">
        <v>0</v>
      </c>
      <c r="D8527" s="19" t="n">
        <v>0.0606</v>
      </c>
      <c r="E8527" s="20" t="n">
        <f aca="false">Parametres!$B$5*C8527</f>
        <v>0</v>
      </c>
      <c r="F8527" s="20" t="n">
        <f aca="false">Parametres!$B$6*D8527</f>
        <v>12.12</v>
      </c>
      <c r="G8527" s="20" t="n">
        <f aca="false">E8527+F8527</f>
        <v>12.12</v>
      </c>
      <c r="H8527" s="20" t="n">
        <f aca="false">IF(G8527&lt;Parametres!$B$8*Parametres!$B$7,0,MIN(G8527,Parametres!$B$7))</f>
        <v>0</v>
      </c>
      <c r="I8527" s="20" t="n">
        <f aca="false">G8527-H8527</f>
        <v>12.12</v>
      </c>
      <c r="J8527" s="21" t="n">
        <f aca="false">H8527*1000/Parametres!$B$9</f>
        <v>0</v>
      </c>
    </row>
    <row r="8528" customFormat="false" ht="15" hidden="false" customHeight="false" outlineLevel="0" collapsed="false">
      <c r="A8528" s="0" t="n">
        <v>8524</v>
      </c>
      <c r="B8528" s="0" t="n">
        <v>12</v>
      </c>
      <c r="C8528" s="19" t="n">
        <v>0</v>
      </c>
      <c r="D8528" s="19" t="n">
        <v>0.1222</v>
      </c>
      <c r="E8528" s="20" t="n">
        <f aca="false">Parametres!$B$5*C8528</f>
        <v>0</v>
      </c>
      <c r="F8528" s="20" t="n">
        <f aca="false">Parametres!$B$6*D8528</f>
        <v>24.44</v>
      </c>
      <c r="G8528" s="20" t="n">
        <f aca="false">E8528+F8528</f>
        <v>24.44</v>
      </c>
      <c r="H8528" s="20" t="n">
        <f aca="false">IF(G8528&lt;Parametres!$B$8*Parametres!$B$7,0,MIN(G8528,Parametres!$B$7))</f>
        <v>0</v>
      </c>
      <c r="I8528" s="20" t="n">
        <f aca="false">G8528-H8528</f>
        <v>24.44</v>
      </c>
      <c r="J8528" s="21" t="n">
        <f aca="false">H8528*1000/Parametres!$B$9</f>
        <v>0</v>
      </c>
    </row>
    <row r="8529" customFormat="false" ht="15" hidden="false" customHeight="false" outlineLevel="0" collapsed="false">
      <c r="A8529" s="0" t="n">
        <v>8525</v>
      </c>
      <c r="B8529" s="0" t="n">
        <v>12</v>
      </c>
      <c r="C8529" s="19" t="n">
        <v>0</v>
      </c>
      <c r="D8529" s="19" t="n">
        <v>0.1237</v>
      </c>
      <c r="E8529" s="20" t="n">
        <f aca="false">Parametres!$B$5*C8529</f>
        <v>0</v>
      </c>
      <c r="F8529" s="20" t="n">
        <f aca="false">Parametres!$B$6*D8529</f>
        <v>24.74</v>
      </c>
      <c r="G8529" s="20" t="n">
        <f aca="false">E8529+F8529</f>
        <v>24.74</v>
      </c>
      <c r="H8529" s="20" t="n">
        <f aca="false">IF(G8529&lt;Parametres!$B$8*Parametres!$B$7,0,MIN(G8529,Parametres!$B$7))</f>
        <v>0</v>
      </c>
      <c r="I8529" s="20" t="n">
        <f aca="false">G8529-H8529</f>
        <v>24.74</v>
      </c>
      <c r="J8529" s="21" t="n">
        <f aca="false">H8529*1000/Parametres!$B$9</f>
        <v>0</v>
      </c>
    </row>
    <row r="8530" customFormat="false" ht="15" hidden="false" customHeight="false" outlineLevel="0" collapsed="false">
      <c r="A8530" s="0" t="n">
        <v>8526</v>
      </c>
      <c r="B8530" s="0" t="n">
        <v>12</v>
      </c>
      <c r="C8530" s="19" t="n">
        <v>0</v>
      </c>
      <c r="D8530" s="19" t="n">
        <v>0.1702</v>
      </c>
      <c r="E8530" s="20" t="n">
        <f aca="false">Parametres!$B$5*C8530</f>
        <v>0</v>
      </c>
      <c r="F8530" s="20" t="n">
        <f aca="false">Parametres!$B$6*D8530</f>
        <v>34.04</v>
      </c>
      <c r="G8530" s="20" t="n">
        <f aca="false">E8530+F8530</f>
        <v>34.04</v>
      </c>
      <c r="H8530" s="20" t="n">
        <f aca="false">IF(G8530&lt;Parametres!$B$8*Parametres!$B$7,0,MIN(G8530,Parametres!$B$7))</f>
        <v>34.04</v>
      </c>
      <c r="I8530" s="20" t="n">
        <f aca="false">G8530-H8530</f>
        <v>0</v>
      </c>
      <c r="J8530" s="21" t="n">
        <f aca="false">H8530*1000/Parametres!$B$9</f>
        <v>577.242665762252</v>
      </c>
    </row>
    <row r="8531" customFormat="false" ht="15" hidden="false" customHeight="false" outlineLevel="0" collapsed="false">
      <c r="A8531" s="0" t="n">
        <v>8527</v>
      </c>
      <c r="B8531" s="0" t="n">
        <v>12</v>
      </c>
      <c r="C8531" s="19" t="n">
        <v>0</v>
      </c>
      <c r="D8531" s="19" t="n">
        <v>0.2565</v>
      </c>
      <c r="E8531" s="20" t="n">
        <f aca="false">Parametres!$B$5*C8531</f>
        <v>0</v>
      </c>
      <c r="F8531" s="20" t="n">
        <f aca="false">Parametres!$B$6*D8531</f>
        <v>51.3</v>
      </c>
      <c r="G8531" s="20" t="n">
        <f aca="false">E8531+F8531</f>
        <v>51.3</v>
      </c>
      <c r="H8531" s="20" t="n">
        <f aca="false">IF(G8531&lt;Parametres!$B$8*Parametres!$B$7,0,MIN(G8531,Parametres!$B$7))</f>
        <v>51.3</v>
      </c>
      <c r="I8531" s="20" t="n">
        <f aca="false">G8531-H8531</f>
        <v>0</v>
      </c>
      <c r="J8531" s="21" t="n">
        <f aca="false">H8531*1000/Parametres!$B$9</f>
        <v>869.933864676955</v>
      </c>
    </row>
    <row r="8532" customFormat="false" ht="15" hidden="false" customHeight="false" outlineLevel="0" collapsed="false">
      <c r="A8532" s="0" t="n">
        <v>8528</v>
      </c>
      <c r="B8532" s="0" t="n">
        <v>12</v>
      </c>
      <c r="C8532" s="19" t="n">
        <v>0.1124</v>
      </c>
      <c r="D8532" s="19" t="n">
        <v>0.3851</v>
      </c>
      <c r="E8532" s="20" t="n">
        <f aca="false">Parametres!$B$5*C8532</f>
        <v>33.72</v>
      </c>
      <c r="F8532" s="20" t="n">
        <f aca="false">Parametres!$B$6*D8532</f>
        <v>77.02</v>
      </c>
      <c r="G8532" s="20" t="n">
        <f aca="false">E8532+F8532</f>
        <v>110.74</v>
      </c>
      <c r="H8532" s="20" t="n">
        <f aca="false">IF(G8532&lt;Parametres!$B$8*Parametres!$B$7,0,MIN(G8532,Parametres!$B$7))</f>
        <v>110.74</v>
      </c>
      <c r="I8532" s="20" t="n">
        <f aca="false">G8532-H8532</f>
        <v>0</v>
      </c>
      <c r="J8532" s="21" t="n">
        <f aca="false">H8532*1000/Parametres!$B$9</f>
        <v>1877.90401899271</v>
      </c>
    </row>
    <row r="8533" customFormat="false" ht="15" hidden="false" customHeight="false" outlineLevel="0" collapsed="false">
      <c r="A8533" s="0" t="n">
        <v>8529</v>
      </c>
      <c r="B8533" s="0" t="n">
        <v>12</v>
      </c>
      <c r="C8533" s="19" t="n">
        <v>0.3182</v>
      </c>
      <c r="D8533" s="19" t="n">
        <v>0.3938</v>
      </c>
      <c r="E8533" s="20" t="n">
        <f aca="false">Parametres!$B$5*C8533</f>
        <v>95.46</v>
      </c>
      <c r="F8533" s="20" t="n">
        <f aca="false">Parametres!$B$6*D8533</f>
        <v>78.76</v>
      </c>
      <c r="G8533" s="20" t="n">
        <f aca="false">E8533+F8533</f>
        <v>174.22</v>
      </c>
      <c r="H8533" s="20" t="n">
        <f aca="false">IF(G8533&lt;Parametres!$B$8*Parametres!$B$7,0,MIN(G8533,Parametres!$B$7))</f>
        <v>174.22</v>
      </c>
      <c r="I8533" s="20" t="n">
        <f aca="false">G8533-H8533</f>
        <v>0</v>
      </c>
      <c r="J8533" s="21" t="n">
        <f aca="false">H8533*1000/Parametres!$B$9</f>
        <v>2954.38358487366</v>
      </c>
    </row>
    <row r="8534" customFormat="false" ht="15" hidden="false" customHeight="false" outlineLevel="0" collapsed="false">
      <c r="A8534" s="0" t="n">
        <v>8530</v>
      </c>
      <c r="B8534" s="0" t="n">
        <v>12</v>
      </c>
      <c r="C8534" s="19" t="n">
        <v>0.4905</v>
      </c>
      <c r="D8534" s="19" t="n">
        <v>0.5841</v>
      </c>
      <c r="E8534" s="20" t="n">
        <f aca="false">Parametres!$B$5*C8534</f>
        <v>147.15</v>
      </c>
      <c r="F8534" s="20" t="n">
        <f aca="false">Parametres!$B$6*D8534</f>
        <v>116.82</v>
      </c>
      <c r="G8534" s="20" t="n">
        <f aca="false">E8534+F8534</f>
        <v>263.97</v>
      </c>
      <c r="H8534" s="20" t="n">
        <f aca="false">IF(G8534&lt;Parametres!$B$8*Parametres!$B$7,0,MIN(G8534,Parametres!$B$7))</f>
        <v>250</v>
      </c>
      <c r="I8534" s="20" t="n">
        <f aca="false">G8534-H8534</f>
        <v>13.97</v>
      </c>
      <c r="J8534" s="21" t="n">
        <f aca="false">H8534*1000/Parametres!$B$9</f>
        <v>4239.44378497541</v>
      </c>
    </row>
    <row r="8535" customFormat="false" ht="15" hidden="false" customHeight="false" outlineLevel="0" collapsed="false">
      <c r="A8535" s="0" t="n">
        <v>8531</v>
      </c>
      <c r="B8535" s="0" t="n">
        <v>12</v>
      </c>
      <c r="C8535" s="19" t="n">
        <v>0.6422</v>
      </c>
      <c r="D8535" s="19" t="n">
        <v>0.5972</v>
      </c>
      <c r="E8535" s="20" t="n">
        <f aca="false">Parametres!$B$5*C8535</f>
        <v>192.66</v>
      </c>
      <c r="F8535" s="20" t="n">
        <f aca="false">Parametres!$B$6*D8535</f>
        <v>119.44</v>
      </c>
      <c r="G8535" s="20" t="n">
        <f aca="false">E8535+F8535</f>
        <v>312.1</v>
      </c>
      <c r="H8535" s="20" t="n">
        <f aca="false">IF(G8535&lt;Parametres!$B$8*Parametres!$B$7,0,MIN(G8535,Parametres!$B$7))</f>
        <v>250</v>
      </c>
      <c r="I8535" s="20" t="n">
        <f aca="false">G8535-H8535</f>
        <v>62.1</v>
      </c>
      <c r="J8535" s="21" t="n">
        <f aca="false">H8535*1000/Parametres!$B$9</f>
        <v>4239.44378497541</v>
      </c>
    </row>
    <row r="8536" customFormat="false" ht="15" hidden="false" customHeight="false" outlineLevel="0" collapsed="false">
      <c r="A8536" s="0" t="n">
        <v>8532</v>
      </c>
      <c r="B8536" s="0" t="n">
        <v>12</v>
      </c>
      <c r="C8536" s="19" t="n">
        <v>0.7396</v>
      </c>
      <c r="D8536" s="19" t="n">
        <v>0.4947</v>
      </c>
      <c r="E8536" s="20" t="n">
        <f aca="false">Parametres!$B$5*C8536</f>
        <v>221.88</v>
      </c>
      <c r="F8536" s="20" t="n">
        <f aca="false">Parametres!$B$6*D8536</f>
        <v>98.94</v>
      </c>
      <c r="G8536" s="20" t="n">
        <f aca="false">E8536+F8536</f>
        <v>320.82</v>
      </c>
      <c r="H8536" s="20" t="n">
        <f aca="false">IF(G8536&lt;Parametres!$B$8*Parametres!$B$7,0,MIN(G8536,Parametres!$B$7))</f>
        <v>250</v>
      </c>
      <c r="I8536" s="20" t="n">
        <f aca="false">G8536-H8536</f>
        <v>70.8200000000001</v>
      </c>
      <c r="J8536" s="21" t="n">
        <f aca="false">H8536*1000/Parametres!$B$9</f>
        <v>4239.44378497541</v>
      </c>
    </row>
    <row r="8537" customFormat="false" ht="15" hidden="false" customHeight="false" outlineLevel="0" collapsed="false">
      <c r="A8537" s="0" t="n">
        <v>8533</v>
      </c>
      <c r="B8537" s="0" t="n">
        <v>12</v>
      </c>
      <c r="C8537" s="19" t="n">
        <v>0.6583</v>
      </c>
      <c r="D8537" s="19" t="n">
        <v>1</v>
      </c>
      <c r="E8537" s="20" t="n">
        <f aca="false">Parametres!$B$5*C8537</f>
        <v>197.49</v>
      </c>
      <c r="F8537" s="20" t="n">
        <f aca="false">Parametres!$B$6*D8537</f>
        <v>200</v>
      </c>
      <c r="G8537" s="20" t="n">
        <f aca="false">E8537+F8537</f>
        <v>397.49</v>
      </c>
      <c r="H8537" s="20" t="n">
        <f aca="false">IF(G8537&lt;Parametres!$B$8*Parametres!$B$7,0,MIN(G8537,Parametres!$B$7))</f>
        <v>250</v>
      </c>
      <c r="I8537" s="20" t="n">
        <f aca="false">G8537-H8537</f>
        <v>147.49</v>
      </c>
      <c r="J8537" s="21" t="n">
        <f aca="false">H8537*1000/Parametres!$B$9</f>
        <v>4239.44378497541</v>
      </c>
    </row>
    <row r="8538" customFormat="false" ht="15" hidden="false" customHeight="false" outlineLevel="0" collapsed="false">
      <c r="A8538" s="0" t="n">
        <v>8534</v>
      </c>
      <c r="B8538" s="0" t="n">
        <v>12</v>
      </c>
      <c r="C8538" s="19" t="n">
        <v>0.6076</v>
      </c>
      <c r="D8538" s="19" t="n">
        <v>0.9211</v>
      </c>
      <c r="E8538" s="20" t="n">
        <f aca="false">Parametres!$B$5*C8538</f>
        <v>182.28</v>
      </c>
      <c r="F8538" s="20" t="n">
        <f aca="false">Parametres!$B$6*D8538</f>
        <v>184.22</v>
      </c>
      <c r="G8538" s="20" t="n">
        <f aca="false">E8538+F8538</f>
        <v>366.5</v>
      </c>
      <c r="H8538" s="20" t="n">
        <f aca="false">IF(G8538&lt;Parametres!$B$8*Parametres!$B$7,0,MIN(G8538,Parametres!$B$7))</f>
        <v>250</v>
      </c>
      <c r="I8538" s="20" t="n">
        <f aca="false">G8538-H8538</f>
        <v>116.5</v>
      </c>
      <c r="J8538" s="21" t="n">
        <f aca="false">H8538*1000/Parametres!$B$9</f>
        <v>4239.44378497541</v>
      </c>
    </row>
    <row r="8539" customFormat="false" ht="15" hidden="false" customHeight="false" outlineLevel="0" collapsed="false">
      <c r="A8539" s="0" t="n">
        <v>8535</v>
      </c>
      <c r="B8539" s="0" t="n">
        <v>12</v>
      </c>
      <c r="C8539" s="19" t="n">
        <v>0.4609</v>
      </c>
      <c r="D8539" s="19" t="n">
        <v>0.7769</v>
      </c>
      <c r="E8539" s="20" t="n">
        <f aca="false">Parametres!$B$5*C8539</f>
        <v>138.27</v>
      </c>
      <c r="F8539" s="20" t="n">
        <f aca="false">Parametres!$B$6*D8539</f>
        <v>155.38</v>
      </c>
      <c r="G8539" s="20" t="n">
        <f aca="false">E8539+F8539</f>
        <v>293.65</v>
      </c>
      <c r="H8539" s="20" t="n">
        <f aca="false">IF(G8539&lt;Parametres!$B$8*Parametres!$B$7,0,MIN(G8539,Parametres!$B$7))</f>
        <v>250</v>
      </c>
      <c r="I8539" s="20" t="n">
        <f aca="false">G8539-H8539</f>
        <v>43.65</v>
      </c>
      <c r="J8539" s="21" t="n">
        <f aca="false">H8539*1000/Parametres!$B$9</f>
        <v>4239.44378497541</v>
      </c>
    </row>
    <row r="8540" customFormat="false" ht="15" hidden="false" customHeight="false" outlineLevel="0" collapsed="false">
      <c r="A8540" s="0" t="n">
        <v>8536</v>
      </c>
      <c r="B8540" s="0" t="n">
        <v>12</v>
      </c>
      <c r="C8540" s="19" t="n">
        <v>0.2992</v>
      </c>
      <c r="D8540" s="19" t="n">
        <v>0.7869</v>
      </c>
      <c r="E8540" s="20" t="n">
        <f aca="false">Parametres!$B$5*C8540</f>
        <v>89.76</v>
      </c>
      <c r="F8540" s="20" t="n">
        <f aca="false">Parametres!$B$6*D8540</f>
        <v>157.38</v>
      </c>
      <c r="G8540" s="20" t="n">
        <f aca="false">E8540+F8540</f>
        <v>247.14</v>
      </c>
      <c r="H8540" s="20" t="n">
        <f aca="false">IF(G8540&lt;Parametres!$B$8*Parametres!$B$7,0,MIN(G8540,Parametres!$B$7))</f>
        <v>247.14</v>
      </c>
      <c r="I8540" s="20" t="n">
        <f aca="false">G8540-H8540</f>
        <v>0</v>
      </c>
      <c r="J8540" s="21" t="n">
        <f aca="false">H8540*1000/Parametres!$B$9</f>
        <v>4190.94454807529</v>
      </c>
    </row>
    <row r="8541" customFormat="false" ht="15" hidden="false" customHeight="false" outlineLevel="0" collapsed="false">
      <c r="A8541" s="0" t="n">
        <v>8537</v>
      </c>
      <c r="B8541" s="0" t="n">
        <v>12</v>
      </c>
      <c r="C8541" s="19" t="n">
        <v>0.107</v>
      </c>
      <c r="D8541" s="19" t="n">
        <v>0.6811</v>
      </c>
      <c r="E8541" s="20" t="n">
        <f aca="false">Parametres!$B$5*C8541</f>
        <v>32.1</v>
      </c>
      <c r="F8541" s="20" t="n">
        <f aca="false">Parametres!$B$6*D8541</f>
        <v>136.22</v>
      </c>
      <c r="G8541" s="20" t="n">
        <f aca="false">E8541+F8541</f>
        <v>168.32</v>
      </c>
      <c r="H8541" s="20" t="n">
        <f aca="false">IF(G8541&lt;Parametres!$B$8*Parametres!$B$7,0,MIN(G8541,Parametres!$B$7))</f>
        <v>168.32</v>
      </c>
      <c r="I8541" s="20" t="n">
        <f aca="false">G8541-H8541</f>
        <v>0</v>
      </c>
      <c r="J8541" s="21" t="n">
        <f aca="false">H8541*1000/Parametres!$B$9</f>
        <v>2854.33271154825</v>
      </c>
    </row>
    <row r="8542" customFormat="false" ht="15" hidden="false" customHeight="false" outlineLevel="0" collapsed="false">
      <c r="A8542" s="0" t="n">
        <v>8538</v>
      </c>
      <c r="B8542" s="0" t="n">
        <v>12</v>
      </c>
      <c r="C8542" s="19" t="n">
        <v>0</v>
      </c>
      <c r="D8542" s="19" t="n">
        <v>0.8029</v>
      </c>
      <c r="E8542" s="20" t="n">
        <f aca="false">Parametres!$B$5*C8542</f>
        <v>0</v>
      </c>
      <c r="F8542" s="20" t="n">
        <f aca="false">Parametres!$B$6*D8542</f>
        <v>160.58</v>
      </c>
      <c r="G8542" s="20" t="n">
        <f aca="false">E8542+F8542</f>
        <v>160.58</v>
      </c>
      <c r="H8542" s="20" t="n">
        <f aca="false">IF(G8542&lt;Parametres!$B$8*Parametres!$B$7,0,MIN(G8542,Parametres!$B$7))</f>
        <v>160.58</v>
      </c>
      <c r="I8542" s="20" t="n">
        <f aca="false">G8542-H8542</f>
        <v>0</v>
      </c>
      <c r="J8542" s="21" t="n">
        <f aca="false">H8542*1000/Parametres!$B$9</f>
        <v>2723.07953196541</v>
      </c>
    </row>
    <row r="8543" customFormat="false" ht="15" hidden="false" customHeight="false" outlineLevel="0" collapsed="false">
      <c r="A8543" s="0" t="n">
        <v>8539</v>
      </c>
      <c r="B8543" s="0" t="n">
        <v>12</v>
      </c>
      <c r="C8543" s="19" t="n">
        <v>0</v>
      </c>
      <c r="D8543" s="19" t="n">
        <v>0.6885</v>
      </c>
      <c r="E8543" s="20" t="n">
        <f aca="false">Parametres!$B$5*C8543</f>
        <v>0</v>
      </c>
      <c r="F8543" s="20" t="n">
        <f aca="false">Parametres!$B$6*D8543</f>
        <v>137.7</v>
      </c>
      <c r="G8543" s="20" t="n">
        <f aca="false">E8543+F8543</f>
        <v>137.7</v>
      </c>
      <c r="H8543" s="20" t="n">
        <f aca="false">IF(G8543&lt;Parametres!$B$8*Parametres!$B$7,0,MIN(G8543,Parametres!$B$7))</f>
        <v>137.7</v>
      </c>
      <c r="I8543" s="20" t="n">
        <f aca="false">G8543-H8543</f>
        <v>0</v>
      </c>
      <c r="J8543" s="21" t="n">
        <f aca="false">H8543*1000/Parametres!$B$9</f>
        <v>2335.08563676446</v>
      </c>
    </row>
    <row r="8544" customFormat="false" ht="15" hidden="false" customHeight="false" outlineLevel="0" collapsed="false">
      <c r="A8544" s="0" t="n">
        <v>8540</v>
      </c>
      <c r="B8544" s="0" t="n">
        <v>12</v>
      </c>
      <c r="C8544" s="19" t="n">
        <v>0</v>
      </c>
      <c r="D8544" s="19" t="n">
        <v>0.4341</v>
      </c>
      <c r="E8544" s="20" t="n">
        <f aca="false">Parametres!$B$5*C8544</f>
        <v>0</v>
      </c>
      <c r="F8544" s="20" t="n">
        <f aca="false">Parametres!$B$6*D8544</f>
        <v>86.82</v>
      </c>
      <c r="G8544" s="20" t="n">
        <f aca="false">E8544+F8544</f>
        <v>86.82</v>
      </c>
      <c r="H8544" s="20" t="n">
        <f aca="false">IF(G8544&lt;Parametres!$B$8*Parametres!$B$7,0,MIN(G8544,Parametres!$B$7))</f>
        <v>86.82</v>
      </c>
      <c r="I8544" s="20" t="n">
        <f aca="false">G8544-H8544</f>
        <v>0</v>
      </c>
      <c r="J8544" s="21" t="n">
        <f aca="false">H8544*1000/Parametres!$B$9</f>
        <v>1472.27403764626</v>
      </c>
    </row>
    <row r="8545" customFormat="false" ht="15" hidden="false" customHeight="false" outlineLevel="0" collapsed="false">
      <c r="A8545" s="0" t="n">
        <v>8541</v>
      </c>
      <c r="B8545" s="0" t="n">
        <v>12</v>
      </c>
      <c r="C8545" s="19" t="n">
        <v>0</v>
      </c>
      <c r="D8545" s="19" t="n">
        <v>0.433</v>
      </c>
      <c r="E8545" s="20" t="n">
        <f aca="false">Parametres!$B$5*C8545</f>
        <v>0</v>
      </c>
      <c r="F8545" s="20" t="n">
        <f aca="false">Parametres!$B$6*D8545</f>
        <v>86.6</v>
      </c>
      <c r="G8545" s="20" t="n">
        <f aca="false">E8545+F8545</f>
        <v>86.6</v>
      </c>
      <c r="H8545" s="20" t="n">
        <f aca="false">IF(G8545&lt;Parametres!$B$8*Parametres!$B$7,0,MIN(G8545,Parametres!$B$7))</f>
        <v>86.6</v>
      </c>
      <c r="I8545" s="20" t="n">
        <f aca="false">G8545-H8545</f>
        <v>0</v>
      </c>
      <c r="J8545" s="21" t="n">
        <f aca="false">H8545*1000/Parametres!$B$9</f>
        <v>1468.54332711548</v>
      </c>
    </row>
    <row r="8546" customFormat="false" ht="15" hidden="false" customHeight="false" outlineLevel="0" collapsed="false">
      <c r="A8546" s="0" t="n">
        <v>8542</v>
      </c>
      <c r="B8546" s="0" t="n">
        <v>12</v>
      </c>
      <c r="C8546" s="19" t="n">
        <v>0</v>
      </c>
      <c r="D8546" s="19" t="n">
        <v>0.2812</v>
      </c>
      <c r="E8546" s="20" t="n">
        <f aca="false">Parametres!$B$5*C8546</f>
        <v>0</v>
      </c>
      <c r="F8546" s="20" t="n">
        <f aca="false">Parametres!$B$6*D8546</f>
        <v>56.24</v>
      </c>
      <c r="G8546" s="20" t="n">
        <f aca="false">E8546+F8546</f>
        <v>56.24</v>
      </c>
      <c r="H8546" s="20" t="n">
        <f aca="false">IF(G8546&lt;Parametres!$B$8*Parametres!$B$7,0,MIN(G8546,Parametres!$B$7))</f>
        <v>56.24</v>
      </c>
      <c r="I8546" s="20" t="n">
        <f aca="false">G8546-H8546</f>
        <v>0</v>
      </c>
      <c r="J8546" s="21" t="n">
        <f aca="false">H8546*1000/Parametres!$B$9</f>
        <v>953.705273868069</v>
      </c>
    </row>
    <row r="8547" customFormat="false" ht="15" hidden="false" customHeight="false" outlineLevel="0" collapsed="false">
      <c r="A8547" s="0" t="n">
        <v>8543</v>
      </c>
      <c r="B8547" s="0" t="n">
        <v>12</v>
      </c>
      <c r="C8547" s="19" t="n">
        <v>0</v>
      </c>
      <c r="D8547" s="19" t="n">
        <v>0.2262</v>
      </c>
      <c r="E8547" s="20" t="n">
        <f aca="false">Parametres!$B$5*C8547</f>
        <v>0</v>
      </c>
      <c r="F8547" s="20" t="n">
        <f aca="false">Parametres!$B$6*D8547</f>
        <v>45.24</v>
      </c>
      <c r="G8547" s="20" t="n">
        <f aca="false">E8547+F8547</f>
        <v>45.24</v>
      </c>
      <c r="H8547" s="20" t="n">
        <f aca="false">IF(G8547&lt;Parametres!$B$8*Parametres!$B$7,0,MIN(G8547,Parametres!$B$7))</f>
        <v>45.24</v>
      </c>
      <c r="I8547" s="20" t="n">
        <f aca="false">G8547-H8547</f>
        <v>0</v>
      </c>
      <c r="J8547" s="21" t="n">
        <f aca="false">H8547*1000/Parametres!$B$9</f>
        <v>767.169747329151</v>
      </c>
    </row>
    <row r="8548" customFormat="false" ht="15" hidden="false" customHeight="false" outlineLevel="0" collapsed="false">
      <c r="A8548" s="0" t="n">
        <v>8544</v>
      </c>
      <c r="B8548" s="0" t="n">
        <v>12</v>
      </c>
      <c r="C8548" s="19" t="n">
        <v>0</v>
      </c>
      <c r="D8548" s="19" t="n">
        <v>0.1414</v>
      </c>
      <c r="E8548" s="20" t="n">
        <f aca="false">Parametres!$B$5*C8548</f>
        <v>0</v>
      </c>
      <c r="F8548" s="20" t="n">
        <f aca="false">Parametres!$B$6*D8548</f>
        <v>28.28</v>
      </c>
      <c r="G8548" s="20" t="n">
        <f aca="false">E8548+F8548</f>
        <v>28.28</v>
      </c>
      <c r="H8548" s="20" t="n">
        <f aca="false">IF(G8548&lt;Parametres!$B$8*Parametres!$B$7,0,MIN(G8548,Parametres!$B$7))</f>
        <v>28.28</v>
      </c>
      <c r="I8548" s="20" t="n">
        <f aca="false">G8548-H8548</f>
        <v>0</v>
      </c>
      <c r="J8548" s="21" t="n">
        <f aca="false">H8548*1000/Parametres!$B$9</f>
        <v>479.565880956419</v>
      </c>
    </row>
    <row r="8549" customFormat="false" ht="15" hidden="false" customHeight="false" outlineLevel="0" collapsed="false">
      <c r="A8549" s="0" t="n">
        <v>8545</v>
      </c>
      <c r="B8549" s="0" t="n">
        <v>12</v>
      </c>
      <c r="C8549" s="19" t="n">
        <v>0</v>
      </c>
      <c r="D8549" s="19" t="n">
        <v>0.0643</v>
      </c>
      <c r="E8549" s="20" t="n">
        <f aca="false">Parametres!$B$5*C8549</f>
        <v>0</v>
      </c>
      <c r="F8549" s="20" t="n">
        <f aca="false">Parametres!$B$6*D8549</f>
        <v>12.86</v>
      </c>
      <c r="G8549" s="20" t="n">
        <f aca="false">E8549+F8549</f>
        <v>12.86</v>
      </c>
      <c r="H8549" s="20" t="n">
        <f aca="false">IF(G8549&lt;Parametres!$B$8*Parametres!$B$7,0,MIN(G8549,Parametres!$B$7))</f>
        <v>0</v>
      </c>
      <c r="I8549" s="20" t="n">
        <f aca="false">G8549-H8549</f>
        <v>12.86</v>
      </c>
      <c r="J8549" s="21" t="n">
        <f aca="false">H8549*1000/Parametres!$B$9</f>
        <v>0</v>
      </c>
    </row>
    <row r="8550" customFormat="false" ht="15" hidden="false" customHeight="false" outlineLevel="0" collapsed="false">
      <c r="A8550" s="0" t="n">
        <v>8546</v>
      </c>
      <c r="B8550" s="0" t="n">
        <v>12</v>
      </c>
      <c r="C8550" s="19" t="n">
        <v>0</v>
      </c>
      <c r="D8550" s="19" t="n">
        <v>0.0943</v>
      </c>
      <c r="E8550" s="20" t="n">
        <f aca="false">Parametres!$B$5*C8550</f>
        <v>0</v>
      </c>
      <c r="F8550" s="20" t="n">
        <f aca="false">Parametres!$B$6*D8550</f>
        <v>18.86</v>
      </c>
      <c r="G8550" s="20" t="n">
        <f aca="false">E8550+F8550</f>
        <v>18.86</v>
      </c>
      <c r="H8550" s="20" t="n">
        <f aca="false">IF(G8550&lt;Parametres!$B$8*Parametres!$B$7,0,MIN(G8550,Parametres!$B$7))</f>
        <v>0</v>
      </c>
      <c r="I8550" s="20" t="n">
        <f aca="false">G8550-H8550</f>
        <v>18.86</v>
      </c>
      <c r="J8550" s="21" t="n">
        <f aca="false">H8550*1000/Parametres!$B$9</f>
        <v>0</v>
      </c>
    </row>
    <row r="8551" customFormat="false" ht="15" hidden="false" customHeight="false" outlineLevel="0" collapsed="false">
      <c r="A8551" s="0" t="n">
        <v>8547</v>
      </c>
      <c r="B8551" s="0" t="n">
        <v>12</v>
      </c>
      <c r="C8551" s="19" t="n">
        <v>0</v>
      </c>
      <c r="D8551" s="19" t="n">
        <v>0.1101</v>
      </c>
      <c r="E8551" s="20" t="n">
        <f aca="false">Parametres!$B$5*C8551</f>
        <v>0</v>
      </c>
      <c r="F8551" s="20" t="n">
        <f aca="false">Parametres!$B$6*D8551</f>
        <v>22.02</v>
      </c>
      <c r="G8551" s="20" t="n">
        <f aca="false">E8551+F8551</f>
        <v>22.02</v>
      </c>
      <c r="H8551" s="20" t="n">
        <f aca="false">IF(G8551&lt;Parametres!$B$8*Parametres!$B$7,0,MIN(G8551,Parametres!$B$7))</f>
        <v>0</v>
      </c>
      <c r="I8551" s="20" t="n">
        <f aca="false">G8551-H8551</f>
        <v>22.02</v>
      </c>
      <c r="J8551" s="21" t="n">
        <f aca="false">H8551*1000/Parametres!$B$9</f>
        <v>0</v>
      </c>
    </row>
    <row r="8552" customFormat="false" ht="15" hidden="false" customHeight="false" outlineLevel="0" collapsed="false">
      <c r="A8552" s="0" t="n">
        <v>8548</v>
      </c>
      <c r="B8552" s="0" t="n">
        <v>12</v>
      </c>
      <c r="C8552" s="19" t="n">
        <v>0</v>
      </c>
      <c r="D8552" s="19" t="n">
        <v>0.0869</v>
      </c>
      <c r="E8552" s="20" t="n">
        <f aca="false">Parametres!$B$5*C8552</f>
        <v>0</v>
      </c>
      <c r="F8552" s="20" t="n">
        <f aca="false">Parametres!$B$6*D8552</f>
        <v>17.38</v>
      </c>
      <c r="G8552" s="20" t="n">
        <f aca="false">E8552+F8552</f>
        <v>17.38</v>
      </c>
      <c r="H8552" s="20" t="n">
        <f aca="false">IF(G8552&lt;Parametres!$B$8*Parametres!$B$7,0,MIN(G8552,Parametres!$B$7))</f>
        <v>0</v>
      </c>
      <c r="I8552" s="20" t="n">
        <f aca="false">G8552-H8552</f>
        <v>17.38</v>
      </c>
      <c r="J8552" s="21" t="n">
        <f aca="false">H8552*1000/Parametres!$B$9</f>
        <v>0</v>
      </c>
    </row>
    <row r="8553" customFormat="false" ht="15" hidden="false" customHeight="false" outlineLevel="0" collapsed="false">
      <c r="A8553" s="0" t="n">
        <v>8549</v>
      </c>
      <c r="B8553" s="0" t="n">
        <v>12</v>
      </c>
      <c r="C8553" s="19" t="n">
        <v>0</v>
      </c>
      <c r="D8553" s="19" t="n">
        <v>0.0832</v>
      </c>
      <c r="E8553" s="20" t="n">
        <f aca="false">Parametres!$B$5*C8553</f>
        <v>0</v>
      </c>
      <c r="F8553" s="20" t="n">
        <f aca="false">Parametres!$B$6*D8553</f>
        <v>16.64</v>
      </c>
      <c r="G8553" s="20" t="n">
        <f aca="false">E8553+F8553</f>
        <v>16.64</v>
      </c>
      <c r="H8553" s="20" t="n">
        <f aca="false">IF(G8553&lt;Parametres!$B$8*Parametres!$B$7,0,MIN(G8553,Parametres!$B$7))</f>
        <v>0</v>
      </c>
      <c r="I8553" s="20" t="n">
        <f aca="false">G8553-H8553</f>
        <v>16.64</v>
      </c>
      <c r="J8553" s="21" t="n">
        <f aca="false">H8553*1000/Parametres!$B$9</f>
        <v>0</v>
      </c>
    </row>
    <row r="8554" customFormat="false" ht="15" hidden="false" customHeight="false" outlineLevel="0" collapsed="false">
      <c r="A8554" s="0" t="n">
        <v>8550</v>
      </c>
      <c r="B8554" s="0" t="n">
        <v>12</v>
      </c>
      <c r="C8554" s="19" t="n">
        <v>0</v>
      </c>
      <c r="D8554" s="19" t="n">
        <v>0.0424</v>
      </c>
      <c r="E8554" s="20" t="n">
        <f aca="false">Parametres!$B$5*C8554</f>
        <v>0</v>
      </c>
      <c r="F8554" s="20" t="n">
        <f aca="false">Parametres!$B$6*D8554</f>
        <v>8.48</v>
      </c>
      <c r="G8554" s="20" t="n">
        <f aca="false">E8554+F8554</f>
        <v>8.48</v>
      </c>
      <c r="H8554" s="20" t="n">
        <f aca="false">IF(G8554&lt;Parametres!$B$8*Parametres!$B$7,0,MIN(G8554,Parametres!$B$7))</f>
        <v>0</v>
      </c>
      <c r="I8554" s="20" t="n">
        <f aca="false">G8554-H8554</f>
        <v>8.48</v>
      </c>
      <c r="J8554" s="21" t="n">
        <f aca="false">H8554*1000/Parametres!$B$9</f>
        <v>0</v>
      </c>
    </row>
    <row r="8555" customFormat="false" ht="15" hidden="false" customHeight="false" outlineLevel="0" collapsed="false">
      <c r="A8555" s="0" t="n">
        <v>8551</v>
      </c>
      <c r="B8555" s="0" t="n">
        <v>12</v>
      </c>
      <c r="C8555" s="19" t="n">
        <v>0</v>
      </c>
      <c r="D8555" s="19" t="n">
        <v>0.0226</v>
      </c>
      <c r="E8555" s="20" t="n">
        <f aca="false">Parametres!$B$5*C8555</f>
        <v>0</v>
      </c>
      <c r="F8555" s="20" t="n">
        <f aca="false">Parametres!$B$6*D8555</f>
        <v>4.52</v>
      </c>
      <c r="G8555" s="20" t="n">
        <f aca="false">E8555+F8555</f>
        <v>4.52</v>
      </c>
      <c r="H8555" s="20" t="n">
        <f aca="false">IF(G8555&lt;Parametres!$B$8*Parametres!$B$7,0,MIN(G8555,Parametres!$B$7))</f>
        <v>0</v>
      </c>
      <c r="I8555" s="20" t="n">
        <f aca="false">G8555-H8555</f>
        <v>4.52</v>
      </c>
      <c r="J8555" s="21" t="n">
        <f aca="false">H8555*1000/Parametres!$B$9</f>
        <v>0</v>
      </c>
    </row>
    <row r="8556" customFormat="false" ht="15" hidden="false" customHeight="false" outlineLevel="0" collapsed="false">
      <c r="A8556" s="0" t="n">
        <v>8552</v>
      </c>
      <c r="B8556" s="0" t="n">
        <v>12</v>
      </c>
      <c r="C8556" s="19" t="n">
        <v>0.1255</v>
      </c>
      <c r="D8556" s="19" t="n">
        <v>0.0251</v>
      </c>
      <c r="E8556" s="20" t="n">
        <f aca="false">Parametres!$B$5*C8556</f>
        <v>37.65</v>
      </c>
      <c r="F8556" s="20" t="n">
        <f aca="false">Parametres!$B$6*D8556</f>
        <v>5.02</v>
      </c>
      <c r="G8556" s="20" t="n">
        <f aca="false">E8556+F8556</f>
        <v>42.67</v>
      </c>
      <c r="H8556" s="20" t="n">
        <f aca="false">IF(G8556&lt;Parametres!$B$8*Parametres!$B$7,0,MIN(G8556,Parametres!$B$7))</f>
        <v>42.67</v>
      </c>
      <c r="I8556" s="20" t="n">
        <f aca="false">G8556-H8556</f>
        <v>0</v>
      </c>
      <c r="J8556" s="21" t="n">
        <f aca="false">H8556*1000/Parametres!$B$9</f>
        <v>723.588265219603</v>
      </c>
    </row>
    <row r="8557" customFormat="false" ht="15" hidden="false" customHeight="false" outlineLevel="0" collapsed="false">
      <c r="A8557" s="0" t="n">
        <v>8553</v>
      </c>
      <c r="B8557" s="0" t="n">
        <v>12</v>
      </c>
      <c r="C8557" s="19" t="n">
        <v>0.3498</v>
      </c>
      <c r="D8557" s="19" t="n">
        <v>0.0522</v>
      </c>
      <c r="E8557" s="20" t="n">
        <f aca="false">Parametres!$B$5*C8557</f>
        <v>104.94</v>
      </c>
      <c r="F8557" s="20" t="n">
        <f aca="false">Parametres!$B$6*D8557</f>
        <v>10.44</v>
      </c>
      <c r="G8557" s="20" t="n">
        <f aca="false">E8557+F8557</f>
        <v>115.38</v>
      </c>
      <c r="H8557" s="20" t="n">
        <f aca="false">IF(G8557&lt;Parametres!$B$8*Parametres!$B$7,0,MIN(G8557,Parametres!$B$7))</f>
        <v>115.38</v>
      </c>
      <c r="I8557" s="20" t="n">
        <f aca="false">G8557-H8557</f>
        <v>0</v>
      </c>
      <c r="J8557" s="21" t="n">
        <f aca="false">H8557*1000/Parametres!$B$9</f>
        <v>1956.58809564185</v>
      </c>
    </row>
    <row r="8558" customFormat="false" ht="15" hidden="false" customHeight="false" outlineLevel="0" collapsed="false">
      <c r="A8558" s="0" t="n">
        <v>8554</v>
      </c>
      <c r="B8558" s="0" t="n">
        <v>12</v>
      </c>
      <c r="C8558" s="19" t="n">
        <v>0.5546</v>
      </c>
      <c r="D8558" s="19" t="n">
        <v>0.042</v>
      </c>
      <c r="E8558" s="20" t="n">
        <f aca="false">Parametres!$B$5*C8558</f>
        <v>166.38</v>
      </c>
      <c r="F8558" s="20" t="n">
        <f aca="false">Parametres!$B$6*D8558</f>
        <v>8.4</v>
      </c>
      <c r="G8558" s="20" t="n">
        <f aca="false">E8558+F8558</f>
        <v>174.78</v>
      </c>
      <c r="H8558" s="20" t="n">
        <f aca="false">IF(G8558&lt;Parametres!$B$8*Parametres!$B$7,0,MIN(G8558,Parametres!$B$7))</f>
        <v>174.78</v>
      </c>
      <c r="I8558" s="20" t="n">
        <f aca="false">G8558-H8558</f>
        <v>0</v>
      </c>
      <c r="J8558" s="21" t="n">
        <f aca="false">H8558*1000/Parametres!$B$9</f>
        <v>2963.87993895201</v>
      </c>
    </row>
    <row r="8559" customFormat="false" ht="15" hidden="false" customHeight="false" outlineLevel="0" collapsed="false">
      <c r="A8559" s="0" t="n">
        <v>8555</v>
      </c>
      <c r="B8559" s="0" t="n">
        <v>12</v>
      </c>
      <c r="C8559" s="19" t="n">
        <v>0.7577</v>
      </c>
      <c r="D8559" s="19" t="n">
        <v>0.0401</v>
      </c>
      <c r="E8559" s="20" t="n">
        <f aca="false">Parametres!$B$5*C8559</f>
        <v>227.31</v>
      </c>
      <c r="F8559" s="20" t="n">
        <f aca="false">Parametres!$B$6*D8559</f>
        <v>8.02</v>
      </c>
      <c r="G8559" s="20" t="n">
        <f aca="false">E8559+F8559</f>
        <v>235.33</v>
      </c>
      <c r="H8559" s="20" t="n">
        <f aca="false">IF(G8559&lt;Parametres!$B$8*Parametres!$B$7,0,MIN(G8559,Parametres!$B$7))</f>
        <v>235.33</v>
      </c>
      <c r="I8559" s="20" t="n">
        <f aca="false">G8559-H8559</f>
        <v>0</v>
      </c>
      <c r="J8559" s="21" t="n">
        <f aca="false">H8559*1000/Parametres!$B$9</f>
        <v>3990.67322367305</v>
      </c>
    </row>
    <row r="8560" customFormat="false" ht="15" hidden="false" customHeight="false" outlineLevel="0" collapsed="false">
      <c r="A8560" s="0" t="n">
        <v>8556</v>
      </c>
      <c r="B8560" s="0" t="n">
        <v>12</v>
      </c>
      <c r="C8560" s="19" t="n">
        <v>0.7768</v>
      </c>
      <c r="D8560" s="19" t="n">
        <v>0.0167</v>
      </c>
      <c r="E8560" s="20" t="n">
        <f aca="false">Parametres!$B$5*C8560</f>
        <v>233.04</v>
      </c>
      <c r="F8560" s="20" t="n">
        <f aca="false">Parametres!$B$6*D8560</f>
        <v>3.34</v>
      </c>
      <c r="G8560" s="20" t="n">
        <f aca="false">E8560+F8560</f>
        <v>236.38</v>
      </c>
      <c r="H8560" s="20" t="n">
        <f aca="false">IF(G8560&lt;Parametres!$B$8*Parametres!$B$7,0,MIN(G8560,Parametres!$B$7))</f>
        <v>236.38</v>
      </c>
      <c r="I8560" s="20" t="n">
        <f aca="false">G8560-H8560</f>
        <v>0</v>
      </c>
      <c r="J8560" s="21" t="n">
        <f aca="false">H8560*1000/Parametres!$B$9</f>
        <v>4008.47888756995</v>
      </c>
    </row>
    <row r="8561" customFormat="false" ht="15" hidden="false" customHeight="false" outlineLevel="0" collapsed="false">
      <c r="A8561" s="0" t="n">
        <v>8557</v>
      </c>
      <c r="B8561" s="0" t="n">
        <v>12</v>
      </c>
      <c r="C8561" s="19" t="n">
        <v>0.751</v>
      </c>
      <c r="D8561" s="19" t="n">
        <v>0.0241</v>
      </c>
      <c r="E8561" s="20" t="n">
        <f aca="false">Parametres!$B$5*C8561</f>
        <v>225.3</v>
      </c>
      <c r="F8561" s="20" t="n">
        <f aca="false">Parametres!$B$6*D8561</f>
        <v>4.82</v>
      </c>
      <c r="G8561" s="20" t="n">
        <f aca="false">E8561+F8561</f>
        <v>230.12</v>
      </c>
      <c r="H8561" s="20" t="n">
        <f aca="false">IF(G8561&lt;Parametres!$B$8*Parametres!$B$7,0,MIN(G8561,Parametres!$B$7))</f>
        <v>230.12</v>
      </c>
      <c r="I8561" s="20" t="n">
        <f aca="false">G8561-H8561</f>
        <v>0</v>
      </c>
      <c r="J8561" s="21" t="n">
        <f aca="false">H8561*1000/Parametres!$B$9</f>
        <v>3902.32321519417</v>
      </c>
    </row>
    <row r="8562" customFormat="false" ht="15" hidden="false" customHeight="false" outlineLevel="0" collapsed="false">
      <c r="A8562" s="0" t="n">
        <v>8558</v>
      </c>
      <c r="B8562" s="0" t="n">
        <v>12</v>
      </c>
      <c r="C8562" s="19" t="n">
        <v>0.7139</v>
      </c>
      <c r="D8562" s="19" t="n">
        <v>0.0128</v>
      </c>
      <c r="E8562" s="20" t="n">
        <f aca="false">Parametres!$B$5*C8562</f>
        <v>214.17</v>
      </c>
      <c r="F8562" s="20" t="n">
        <f aca="false">Parametres!$B$6*D8562</f>
        <v>2.56</v>
      </c>
      <c r="G8562" s="20" t="n">
        <f aca="false">E8562+F8562</f>
        <v>216.73</v>
      </c>
      <c r="H8562" s="20" t="n">
        <f aca="false">IF(G8562&lt;Parametres!$B$8*Parametres!$B$7,0,MIN(G8562,Parametres!$B$7))</f>
        <v>216.73</v>
      </c>
      <c r="I8562" s="20" t="n">
        <f aca="false">G8562-H8562</f>
        <v>0</v>
      </c>
      <c r="J8562" s="21" t="n">
        <f aca="false">H8562*1000/Parametres!$B$9</f>
        <v>3675.25860607088</v>
      </c>
    </row>
    <row r="8563" customFormat="false" ht="15" hidden="false" customHeight="false" outlineLevel="0" collapsed="false">
      <c r="A8563" s="0" t="n">
        <v>8559</v>
      </c>
      <c r="B8563" s="0" t="n">
        <v>12</v>
      </c>
      <c r="C8563" s="19" t="n">
        <v>0.5632</v>
      </c>
      <c r="D8563" s="19" t="n">
        <v>0.0058</v>
      </c>
      <c r="E8563" s="20" t="n">
        <f aca="false">Parametres!$B$5*C8563</f>
        <v>168.96</v>
      </c>
      <c r="F8563" s="20" t="n">
        <f aca="false">Parametres!$B$6*D8563</f>
        <v>1.16</v>
      </c>
      <c r="G8563" s="20" t="n">
        <f aca="false">E8563+F8563</f>
        <v>170.12</v>
      </c>
      <c r="H8563" s="20" t="n">
        <f aca="false">IF(G8563&lt;Parametres!$B$8*Parametres!$B$7,0,MIN(G8563,Parametres!$B$7))</f>
        <v>170.12</v>
      </c>
      <c r="I8563" s="20" t="n">
        <f aca="false">G8563-H8563</f>
        <v>0</v>
      </c>
      <c r="J8563" s="21" t="n">
        <f aca="false">H8563*1000/Parametres!$B$9</f>
        <v>2884.85670680007</v>
      </c>
    </row>
    <row r="8564" customFormat="false" ht="15" hidden="false" customHeight="false" outlineLevel="0" collapsed="false">
      <c r="A8564" s="0" t="n">
        <v>8560</v>
      </c>
      <c r="B8564" s="0" t="n">
        <v>12</v>
      </c>
      <c r="C8564" s="19" t="n">
        <v>0.368</v>
      </c>
      <c r="D8564" s="19" t="n">
        <v>0.0007</v>
      </c>
      <c r="E8564" s="20" t="n">
        <f aca="false">Parametres!$B$5*C8564</f>
        <v>110.4</v>
      </c>
      <c r="F8564" s="20" t="n">
        <f aca="false">Parametres!$B$6*D8564</f>
        <v>0.14</v>
      </c>
      <c r="G8564" s="20" t="n">
        <f aca="false">E8564+F8564</f>
        <v>110.54</v>
      </c>
      <c r="H8564" s="20" t="n">
        <f aca="false">IF(G8564&lt;Parametres!$B$8*Parametres!$B$7,0,MIN(G8564,Parametres!$B$7))</f>
        <v>110.54</v>
      </c>
      <c r="I8564" s="20" t="n">
        <f aca="false">G8564-H8564</f>
        <v>0</v>
      </c>
      <c r="J8564" s="21" t="n">
        <f aca="false">H8564*1000/Parametres!$B$9</f>
        <v>1874.51246396473</v>
      </c>
    </row>
    <row r="8565" customFormat="false" ht="15" hidden="false" customHeight="false" outlineLevel="0" collapsed="false">
      <c r="A8565" s="0" t="n">
        <v>8561</v>
      </c>
      <c r="B8565" s="0" t="n">
        <v>12</v>
      </c>
      <c r="C8565" s="19" t="n">
        <v>0.1329</v>
      </c>
      <c r="D8565" s="19" t="n">
        <v>0.0006</v>
      </c>
      <c r="E8565" s="20" t="n">
        <f aca="false">Parametres!$B$5*C8565</f>
        <v>39.87</v>
      </c>
      <c r="F8565" s="20" t="n">
        <f aca="false">Parametres!$B$6*D8565</f>
        <v>0.12</v>
      </c>
      <c r="G8565" s="20" t="n">
        <f aca="false">E8565+F8565</f>
        <v>39.99</v>
      </c>
      <c r="H8565" s="20" t="n">
        <f aca="false">IF(G8565&lt;Parametres!$B$8*Parametres!$B$7,0,MIN(G8565,Parametres!$B$7))</f>
        <v>39.99</v>
      </c>
      <c r="I8565" s="20" t="n">
        <f aca="false">G8565-H8565</f>
        <v>0</v>
      </c>
      <c r="J8565" s="21" t="n">
        <f aca="false">H8565*1000/Parametres!$B$9</f>
        <v>678.141427844667</v>
      </c>
    </row>
    <row r="8566" customFormat="false" ht="15" hidden="false" customHeight="false" outlineLevel="0" collapsed="false">
      <c r="A8566" s="0" t="n">
        <v>8562</v>
      </c>
      <c r="B8566" s="0" t="n">
        <v>12</v>
      </c>
      <c r="C8566" s="19" t="n">
        <v>0</v>
      </c>
      <c r="D8566" s="19" t="n">
        <v>0.0081</v>
      </c>
      <c r="E8566" s="20" t="n">
        <f aca="false">Parametres!$B$5*C8566</f>
        <v>0</v>
      </c>
      <c r="F8566" s="20" t="n">
        <f aca="false">Parametres!$B$6*D8566</f>
        <v>1.62</v>
      </c>
      <c r="G8566" s="20" t="n">
        <f aca="false">E8566+F8566</f>
        <v>1.62</v>
      </c>
      <c r="H8566" s="20" t="n">
        <f aca="false">IF(G8566&lt;Parametres!$B$8*Parametres!$B$7,0,MIN(G8566,Parametres!$B$7))</f>
        <v>0</v>
      </c>
      <c r="I8566" s="20" t="n">
        <f aca="false">G8566-H8566</f>
        <v>1.62</v>
      </c>
      <c r="J8566" s="21" t="n">
        <f aca="false">H8566*1000/Parametres!$B$9</f>
        <v>0</v>
      </c>
    </row>
    <row r="8567" customFormat="false" ht="15" hidden="false" customHeight="false" outlineLevel="0" collapsed="false">
      <c r="A8567" s="0" t="n">
        <v>8563</v>
      </c>
      <c r="B8567" s="0" t="n">
        <v>12</v>
      </c>
      <c r="C8567" s="19" t="n">
        <v>0</v>
      </c>
      <c r="D8567" s="19" t="n">
        <v>0.0183</v>
      </c>
      <c r="E8567" s="20" t="n">
        <f aca="false">Parametres!$B$5*C8567</f>
        <v>0</v>
      </c>
      <c r="F8567" s="20" t="n">
        <f aca="false">Parametres!$B$6*D8567</f>
        <v>3.66</v>
      </c>
      <c r="G8567" s="20" t="n">
        <f aca="false">E8567+F8567</f>
        <v>3.66</v>
      </c>
      <c r="H8567" s="20" t="n">
        <f aca="false">IF(G8567&lt;Parametres!$B$8*Parametres!$B$7,0,MIN(G8567,Parametres!$B$7))</f>
        <v>0</v>
      </c>
      <c r="I8567" s="20" t="n">
        <f aca="false">G8567-H8567</f>
        <v>3.66</v>
      </c>
      <c r="J8567" s="21" t="n">
        <f aca="false">H8567*1000/Parametres!$B$9</f>
        <v>0</v>
      </c>
    </row>
    <row r="8568" customFormat="false" ht="15" hidden="false" customHeight="false" outlineLevel="0" collapsed="false">
      <c r="A8568" s="0" t="n">
        <v>8564</v>
      </c>
      <c r="B8568" s="0" t="n">
        <v>12</v>
      </c>
      <c r="C8568" s="19" t="n">
        <v>0</v>
      </c>
      <c r="D8568" s="19" t="n">
        <v>0.0041</v>
      </c>
      <c r="E8568" s="20" t="n">
        <f aca="false">Parametres!$B$5*C8568</f>
        <v>0</v>
      </c>
      <c r="F8568" s="20" t="n">
        <f aca="false">Parametres!$B$6*D8568</f>
        <v>0.82</v>
      </c>
      <c r="G8568" s="20" t="n">
        <f aca="false">E8568+F8568</f>
        <v>0.82</v>
      </c>
      <c r="H8568" s="20" t="n">
        <f aca="false">IF(G8568&lt;Parametres!$B$8*Parametres!$B$7,0,MIN(G8568,Parametres!$B$7))</f>
        <v>0</v>
      </c>
      <c r="I8568" s="20" t="n">
        <f aca="false">G8568-H8568</f>
        <v>0.82</v>
      </c>
      <c r="J8568" s="21" t="n">
        <f aca="false">H8568*1000/Parametres!$B$9</f>
        <v>0</v>
      </c>
    </row>
    <row r="8569" customFormat="false" ht="15" hidden="false" customHeight="false" outlineLevel="0" collapsed="false">
      <c r="A8569" s="0" t="n">
        <v>8565</v>
      </c>
      <c r="B8569" s="0" t="n">
        <v>12</v>
      </c>
      <c r="C8569" s="19" t="n">
        <v>0</v>
      </c>
      <c r="D8569" s="19" t="n">
        <v>0.0189</v>
      </c>
      <c r="E8569" s="20" t="n">
        <f aca="false">Parametres!$B$5*C8569</f>
        <v>0</v>
      </c>
      <c r="F8569" s="20" t="n">
        <f aca="false">Parametres!$B$6*D8569</f>
        <v>3.78</v>
      </c>
      <c r="G8569" s="20" t="n">
        <f aca="false">E8569+F8569</f>
        <v>3.78</v>
      </c>
      <c r="H8569" s="20" t="n">
        <f aca="false">IF(G8569&lt;Parametres!$B$8*Parametres!$B$7,0,MIN(G8569,Parametres!$B$7))</f>
        <v>0</v>
      </c>
      <c r="I8569" s="20" t="n">
        <f aca="false">G8569-H8569</f>
        <v>3.78</v>
      </c>
      <c r="J8569" s="21" t="n">
        <f aca="false">H8569*1000/Parametres!$B$9</f>
        <v>0</v>
      </c>
    </row>
    <row r="8570" customFormat="false" ht="15" hidden="false" customHeight="false" outlineLevel="0" collapsed="false">
      <c r="A8570" s="0" t="n">
        <v>8566</v>
      </c>
      <c r="B8570" s="0" t="n">
        <v>12</v>
      </c>
      <c r="C8570" s="19" t="n">
        <v>0</v>
      </c>
      <c r="D8570" s="19" t="n">
        <v>0.0105</v>
      </c>
      <c r="E8570" s="20" t="n">
        <f aca="false">Parametres!$B$5*C8570</f>
        <v>0</v>
      </c>
      <c r="F8570" s="20" t="n">
        <f aca="false">Parametres!$B$6*D8570</f>
        <v>2.1</v>
      </c>
      <c r="G8570" s="20" t="n">
        <f aca="false">E8570+F8570</f>
        <v>2.1</v>
      </c>
      <c r="H8570" s="20" t="n">
        <f aca="false">IF(G8570&lt;Parametres!$B$8*Parametres!$B$7,0,MIN(G8570,Parametres!$B$7))</f>
        <v>0</v>
      </c>
      <c r="I8570" s="20" t="n">
        <f aca="false">G8570-H8570</f>
        <v>2.1</v>
      </c>
      <c r="J8570" s="21" t="n">
        <f aca="false">H8570*1000/Parametres!$B$9</f>
        <v>0</v>
      </c>
    </row>
    <row r="8571" customFormat="false" ht="15" hidden="false" customHeight="false" outlineLevel="0" collapsed="false">
      <c r="A8571" s="0" t="n">
        <v>8567</v>
      </c>
      <c r="B8571" s="0" t="n">
        <v>12</v>
      </c>
      <c r="C8571" s="19" t="n">
        <v>0</v>
      </c>
      <c r="D8571" s="19" t="n">
        <v>0.0133</v>
      </c>
      <c r="E8571" s="20" t="n">
        <f aca="false">Parametres!$B$5*C8571</f>
        <v>0</v>
      </c>
      <c r="F8571" s="20" t="n">
        <f aca="false">Parametres!$B$6*D8571</f>
        <v>2.66</v>
      </c>
      <c r="G8571" s="20" t="n">
        <f aca="false">E8571+F8571</f>
        <v>2.66</v>
      </c>
      <c r="H8571" s="20" t="n">
        <f aca="false">IF(G8571&lt;Parametres!$B$8*Parametres!$B$7,0,MIN(G8571,Parametres!$B$7))</f>
        <v>0</v>
      </c>
      <c r="I8571" s="20" t="n">
        <f aca="false">G8571-H8571</f>
        <v>2.66</v>
      </c>
      <c r="J8571" s="21" t="n">
        <f aca="false">H8571*1000/Parametres!$B$9</f>
        <v>0</v>
      </c>
    </row>
    <row r="8572" customFormat="false" ht="15" hidden="false" customHeight="false" outlineLevel="0" collapsed="false">
      <c r="A8572" s="0" t="n">
        <v>8568</v>
      </c>
      <c r="B8572" s="0" t="n">
        <v>12</v>
      </c>
      <c r="C8572" s="19" t="n">
        <v>0</v>
      </c>
      <c r="D8572" s="19" t="n">
        <v>0.0146</v>
      </c>
      <c r="E8572" s="20" t="n">
        <f aca="false">Parametres!$B$5*C8572</f>
        <v>0</v>
      </c>
      <c r="F8572" s="20" t="n">
        <f aca="false">Parametres!$B$6*D8572</f>
        <v>2.92</v>
      </c>
      <c r="G8572" s="20" t="n">
        <f aca="false">E8572+F8572</f>
        <v>2.92</v>
      </c>
      <c r="H8572" s="20" t="n">
        <f aca="false">IF(G8572&lt;Parametres!$B$8*Parametres!$B$7,0,MIN(G8572,Parametres!$B$7))</f>
        <v>0</v>
      </c>
      <c r="I8572" s="20" t="n">
        <f aca="false">G8572-H8572</f>
        <v>2.92</v>
      </c>
      <c r="J8572" s="21" t="n">
        <f aca="false">H8572*1000/Parametres!$B$9</f>
        <v>0</v>
      </c>
    </row>
    <row r="8573" customFormat="false" ht="15" hidden="false" customHeight="false" outlineLevel="0" collapsed="false">
      <c r="A8573" s="0" t="n">
        <v>8569</v>
      </c>
      <c r="B8573" s="0" t="n">
        <v>12</v>
      </c>
      <c r="C8573" s="19" t="n">
        <v>0</v>
      </c>
      <c r="D8573" s="19" t="n">
        <v>0.0622</v>
      </c>
      <c r="E8573" s="20" t="n">
        <f aca="false">Parametres!$B$5*C8573</f>
        <v>0</v>
      </c>
      <c r="F8573" s="20" t="n">
        <f aca="false">Parametres!$B$6*D8573</f>
        <v>12.44</v>
      </c>
      <c r="G8573" s="20" t="n">
        <f aca="false">E8573+F8573</f>
        <v>12.44</v>
      </c>
      <c r="H8573" s="20" t="n">
        <f aca="false">IF(G8573&lt;Parametres!$B$8*Parametres!$B$7,0,MIN(G8573,Parametres!$B$7))</f>
        <v>0</v>
      </c>
      <c r="I8573" s="20" t="n">
        <f aca="false">G8573-H8573</f>
        <v>12.44</v>
      </c>
      <c r="J8573" s="21" t="n">
        <f aca="false">H8573*1000/Parametres!$B$9</f>
        <v>0</v>
      </c>
    </row>
    <row r="8574" customFormat="false" ht="15" hidden="false" customHeight="false" outlineLevel="0" collapsed="false">
      <c r="A8574" s="0" t="n">
        <v>8570</v>
      </c>
      <c r="B8574" s="0" t="n">
        <v>12</v>
      </c>
      <c r="C8574" s="19" t="n">
        <v>0</v>
      </c>
      <c r="D8574" s="19" t="n">
        <v>0.0256</v>
      </c>
      <c r="E8574" s="20" t="n">
        <f aca="false">Parametres!$B$5*C8574</f>
        <v>0</v>
      </c>
      <c r="F8574" s="20" t="n">
        <f aca="false">Parametres!$B$6*D8574</f>
        <v>5.12</v>
      </c>
      <c r="G8574" s="20" t="n">
        <f aca="false">E8574+F8574</f>
        <v>5.12</v>
      </c>
      <c r="H8574" s="20" t="n">
        <f aca="false">IF(G8574&lt;Parametres!$B$8*Parametres!$B$7,0,MIN(G8574,Parametres!$B$7))</f>
        <v>0</v>
      </c>
      <c r="I8574" s="20" t="n">
        <f aca="false">G8574-H8574</f>
        <v>5.12</v>
      </c>
      <c r="J8574" s="21" t="n">
        <f aca="false">H8574*1000/Parametres!$B$9</f>
        <v>0</v>
      </c>
    </row>
    <row r="8575" customFormat="false" ht="15" hidden="false" customHeight="false" outlineLevel="0" collapsed="false">
      <c r="A8575" s="0" t="n">
        <v>8571</v>
      </c>
      <c r="B8575" s="0" t="n">
        <v>12</v>
      </c>
      <c r="C8575" s="19" t="n">
        <v>0</v>
      </c>
      <c r="D8575" s="19" t="n">
        <v>0.0321</v>
      </c>
      <c r="E8575" s="20" t="n">
        <f aca="false">Parametres!$B$5*C8575</f>
        <v>0</v>
      </c>
      <c r="F8575" s="20" t="n">
        <f aca="false">Parametres!$B$6*D8575</f>
        <v>6.42</v>
      </c>
      <c r="G8575" s="20" t="n">
        <f aca="false">E8575+F8575</f>
        <v>6.42</v>
      </c>
      <c r="H8575" s="20" t="n">
        <f aca="false">IF(G8575&lt;Parametres!$B$8*Parametres!$B$7,0,MIN(G8575,Parametres!$B$7))</f>
        <v>0</v>
      </c>
      <c r="I8575" s="20" t="n">
        <f aca="false">G8575-H8575</f>
        <v>6.42</v>
      </c>
      <c r="J8575" s="21" t="n">
        <f aca="false">H8575*1000/Parametres!$B$9</f>
        <v>0</v>
      </c>
    </row>
    <row r="8576" customFormat="false" ht="15" hidden="false" customHeight="false" outlineLevel="0" collapsed="false">
      <c r="A8576" s="0" t="n">
        <v>8572</v>
      </c>
      <c r="B8576" s="0" t="n">
        <v>12</v>
      </c>
      <c r="C8576" s="19" t="n">
        <v>0</v>
      </c>
      <c r="D8576" s="19" t="n">
        <v>0.0288</v>
      </c>
      <c r="E8576" s="20" t="n">
        <f aca="false">Parametres!$B$5*C8576</f>
        <v>0</v>
      </c>
      <c r="F8576" s="20" t="n">
        <f aca="false">Parametres!$B$6*D8576</f>
        <v>5.76</v>
      </c>
      <c r="G8576" s="20" t="n">
        <f aca="false">E8576+F8576</f>
        <v>5.76</v>
      </c>
      <c r="H8576" s="20" t="n">
        <f aca="false">IF(G8576&lt;Parametres!$B$8*Parametres!$B$7,0,MIN(G8576,Parametres!$B$7))</f>
        <v>0</v>
      </c>
      <c r="I8576" s="20" t="n">
        <f aca="false">G8576-H8576</f>
        <v>5.76</v>
      </c>
      <c r="J8576" s="21" t="n">
        <f aca="false">H8576*1000/Parametres!$B$9</f>
        <v>0</v>
      </c>
    </row>
    <row r="8577" customFormat="false" ht="15" hidden="false" customHeight="false" outlineLevel="0" collapsed="false">
      <c r="A8577" s="0" t="n">
        <v>8573</v>
      </c>
      <c r="B8577" s="0" t="n">
        <v>12</v>
      </c>
      <c r="C8577" s="19" t="n">
        <v>0</v>
      </c>
      <c r="D8577" s="19" t="n">
        <v>0.0195</v>
      </c>
      <c r="E8577" s="20" t="n">
        <f aca="false">Parametres!$B$5*C8577</f>
        <v>0</v>
      </c>
      <c r="F8577" s="20" t="n">
        <f aca="false">Parametres!$B$6*D8577</f>
        <v>3.9</v>
      </c>
      <c r="G8577" s="20" t="n">
        <f aca="false">E8577+F8577</f>
        <v>3.9</v>
      </c>
      <c r="H8577" s="20" t="n">
        <f aca="false">IF(G8577&lt;Parametres!$B$8*Parametres!$B$7,0,MIN(G8577,Parametres!$B$7))</f>
        <v>0</v>
      </c>
      <c r="I8577" s="20" t="n">
        <f aca="false">G8577-H8577</f>
        <v>3.9</v>
      </c>
      <c r="J8577" s="21" t="n">
        <f aca="false">H8577*1000/Parametres!$B$9</f>
        <v>0</v>
      </c>
    </row>
    <row r="8578" customFormat="false" ht="15" hidden="false" customHeight="false" outlineLevel="0" collapsed="false">
      <c r="A8578" s="0" t="n">
        <v>8574</v>
      </c>
      <c r="B8578" s="0" t="n">
        <v>12</v>
      </c>
      <c r="C8578" s="19" t="n">
        <v>0</v>
      </c>
      <c r="D8578" s="19" t="n">
        <v>0.0275</v>
      </c>
      <c r="E8578" s="20" t="n">
        <f aca="false">Parametres!$B$5*C8578</f>
        <v>0</v>
      </c>
      <c r="F8578" s="20" t="n">
        <f aca="false">Parametres!$B$6*D8578</f>
        <v>5.5</v>
      </c>
      <c r="G8578" s="20" t="n">
        <f aca="false">E8578+F8578</f>
        <v>5.5</v>
      </c>
      <c r="H8578" s="20" t="n">
        <f aca="false">IF(G8578&lt;Parametres!$B$8*Parametres!$B$7,0,MIN(G8578,Parametres!$B$7))</f>
        <v>0</v>
      </c>
      <c r="I8578" s="20" t="n">
        <f aca="false">G8578-H8578</f>
        <v>5.5</v>
      </c>
      <c r="J8578" s="21" t="n">
        <f aca="false">H8578*1000/Parametres!$B$9</f>
        <v>0</v>
      </c>
    </row>
    <row r="8579" customFormat="false" ht="15" hidden="false" customHeight="false" outlineLevel="0" collapsed="false">
      <c r="A8579" s="0" t="n">
        <v>8575</v>
      </c>
      <c r="B8579" s="0" t="n">
        <v>12</v>
      </c>
      <c r="C8579" s="19" t="n">
        <v>0</v>
      </c>
      <c r="D8579" s="19" t="n">
        <v>0.0125</v>
      </c>
      <c r="E8579" s="20" t="n">
        <f aca="false">Parametres!$B$5*C8579</f>
        <v>0</v>
      </c>
      <c r="F8579" s="20" t="n">
        <f aca="false">Parametres!$B$6*D8579</f>
        <v>2.5</v>
      </c>
      <c r="G8579" s="20" t="n">
        <f aca="false">E8579+F8579</f>
        <v>2.5</v>
      </c>
      <c r="H8579" s="20" t="n">
        <f aca="false">IF(G8579&lt;Parametres!$B$8*Parametres!$B$7,0,MIN(G8579,Parametres!$B$7))</f>
        <v>0</v>
      </c>
      <c r="I8579" s="20" t="n">
        <f aca="false">G8579-H8579</f>
        <v>2.5</v>
      </c>
      <c r="J8579" s="21" t="n">
        <f aca="false">H8579*1000/Parametres!$B$9</f>
        <v>0</v>
      </c>
    </row>
    <row r="8580" customFormat="false" ht="15" hidden="false" customHeight="false" outlineLevel="0" collapsed="false">
      <c r="A8580" s="0" t="n">
        <v>8576</v>
      </c>
      <c r="B8580" s="0" t="n">
        <v>12</v>
      </c>
      <c r="C8580" s="19" t="n">
        <v>0.0984</v>
      </c>
      <c r="D8580" s="19" t="n">
        <v>0.0562</v>
      </c>
      <c r="E8580" s="20" t="n">
        <f aca="false">Parametres!$B$5*C8580</f>
        <v>29.52</v>
      </c>
      <c r="F8580" s="20" t="n">
        <f aca="false">Parametres!$B$6*D8580</f>
        <v>11.24</v>
      </c>
      <c r="G8580" s="20" t="n">
        <f aca="false">E8580+F8580</f>
        <v>40.76</v>
      </c>
      <c r="H8580" s="20" t="n">
        <f aca="false">IF(G8580&lt;Parametres!$B$8*Parametres!$B$7,0,MIN(G8580,Parametres!$B$7))</f>
        <v>40.76</v>
      </c>
      <c r="I8580" s="20" t="n">
        <f aca="false">G8580-H8580</f>
        <v>0</v>
      </c>
      <c r="J8580" s="21" t="n">
        <f aca="false">H8580*1000/Parametres!$B$9</f>
        <v>691.198914702391</v>
      </c>
    </row>
    <row r="8581" customFormat="false" ht="15" hidden="false" customHeight="false" outlineLevel="0" collapsed="false">
      <c r="A8581" s="0" t="n">
        <v>8577</v>
      </c>
      <c r="B8581" s="0" t="n">
        <v>12</v>
      </c>
      <c r="C8581" s="19" t="n">
        <v>0.2664</v>
      </c>
      <c r="D8581" s="19" t="n">
        <v>0.1</v>
      </c>
      <c r="E8581" s="20" t="n">
        <f aca="false">Parametres!$B$5*C8581</f>
        <v>79.92</v>
      </c>
      <c r="F8581" s="20" t="n">
        <f aca="false">Parametres!$B$6*D8581</f>
        <v>20</v>
      </c>
      <c r="G8581" s="20" t="n">
        <f aca="false">E8581+F8581</f>
        <v>99.92</v>
      </c>
      <c r="H8581" s="20" t="n">
        <f aca="false">IF(G8581&lt;Parametres!$B$8*Parametres!$B$7,0,MIN(G8581,Parametres!$B$7))</f>
        <v>99.92</v>
      </c>
      <c r="I8581" s="20" t="n">
        <f aca="false">G8581-H8581</f>
        <v>0</v>
      </c>
      <c r="J8581" s="21" t="n">
        <f aca="false">H8581*1000/Parametres!$B$9</f>
        <v>1694.42089197897</v>
      </c>
    </row>
    <row r="8582" customFormat="false" ht="15" hidden="false" customHeight="false" outlineLevel="0" collapsed="false">
      <c r="A8582" s="0" t="n">
        <v>8578</v>
      </c>
      <c r="B8582" s="0" t="n">
        <v>12</v>
      </c>
      <c r="C8582" s="19" t="n">
        <v>0.4129</v>
      </c>
      <c r="D8582" s="19" t="n">
        <v>0.0508</v>
      </c>
      <c r="E8582" s="20" t="n">
        <f aca="false">Parametres!$B$5*C8582</f>
        <v>123.87</v>
      </c>
      <c r="F8582" s="20" t="n">
        <f aca="false">Parametres!$B$6*D8582</f>
        <v>10.16</v>
      </c>
      <c r="G8582" s="20" t="n">
        <f aca="false">E8582+F8582</f>
        <v>134.03</v>
      </c>
      <c r="H8582" s="20" t="n">
        <f aca="false">IF(G8582&lt;Parametres!$B$8*Parametres!$B$7,0,MIN(G8582,Parametres!$B$7))</f>
        <v>134.03</v>
      </c>
      <c r="I8582" s="20" t="n">
        <f aca="false">G8582-H8582</f>
        <v>0</v>
      </c>
      <c r="J8582" s="21" t="n">
        <f aca="false">H8582*1000/Parametres!$B$9</f>
        <v>2272.85060200102</v>
      </c>
    </row>
    <row r="8583" customFormat="false" ht="15" hidden="false" customHeight="false" outlineLevel="0" collapsed="false">
      <c r="A8583" s="0" t="n">
        <v>8579</v>
      </c>
      <c r="B8583" s="0" t="n">
        <v>12</v>
      </c>
      <c r="C8583" s="19" t="n">
        <v>0.572</v>
      </c>
      <c r="D8583" s="19" t="n">
        <v>0.067</v>
      </c>
      <c r="E8583" s="20" t="n">
        <f aca="false">Parametres!$B$5*C8583</f>
        <v>171.6</v>
      </c>
      <c r="F8583" s="20" t="n">
        <f aca="false">Parametres!$B$6*D8583</f>
        <v>13.4</v>
      </c>
      <c r="G8583" s="20" t="n">
        <f aca="false">E8583+F8583</f>
        <v>185</v>
      </c>
      <c r="H8583" s="20" t="n">
        <f aca="false">IF(G8583&lt;Parametres!$B$8*Parametres!$B$7,0,MIN(G8583,Parametres!$B$7))</f>
        <v>185</v>
      </c>
      <c r="I8583" s="20" t="n">
        <f aca="false">G8583-H8583</f>
        <v>0</v>
      </c>
      <c r="J8583" s="21" t="n">
        <f aca="false">H8583*1000/Parametres!$B$9</f>
        <v>3137.1884008818</v>
      </c>
    </row>
    <row r="8584" customFormat="false" ht="15" hidden="false" customHeight="false" outlineLevel="0" collapsed="false">
      <c r="A8584" s="0" t="n">
        <v>8580</v>
      </c>
      <c r="B8584" s="0" t="n">
        <v>12</v>
      </c>
      <c r="C8584" s="19" t="n">
        <v>0.6265</v>
      </c>
      <c r="D8584" s="19" t="n">
        <v>0.0431</v>
      </c>
      <c r="E8584" s="20" t="n">
        <f aca="false">Parametres!$B$5*C8584</f>
        <v>187.95</v>
      </c>
      <c r="F8584" s="20" t="n">
        <f aca="false">Parametres!$B$6*D8584</f>
        <v>8.62</v>
      </c>
      <c r="G8584" s="20" t="n">
        <f aca="false">E8584+F8584</f>
        <v>196.57</v>
      </c>
      <c r="H8584" s="20" t="n">
        <f aca="false">IF(G8584&lt;Parametres!$B$8*Parametres!$B$7,0,MIN(G8584,Parametres!$B$7))</f>
        <v>196.57</v>
      </c>
      <c r="I8584" s="20" t="n">
        <f aca="false">G8584-H8584</f>
        <v>0</v>
      </c>
      <c r="J8584" s="21" t="n">
        <f aca="false">H8584*1000/Parametres!$B$9</f>
        <v>3333.38985925047</v>
      </c>
    </row>
    <row r="8585" customFormat="false" ht="15" hidden="false" customHeight="false" outlineLevel="0" collapsed="false">
      <c r="A8585" s="0" t="n">
        <v>8581</v>
      </c>
      <c r="B8585" s="0" t="n">
        <v>12</v>
      </c>
      <c r="C8585" s="19" t="n">
        <v>0.5812</v>
      </c>
      <c r="D8585" s="19" t="n">
        <v>0.065</v>
      </c>
      <c r="E8585" s="20" t="n">
        <f aca="false">Parametres!$B$5*C8585</f>
        <v>174.36</v>
      </c>
      <c r="F8585" s="20" t="n">
        <f aca="false">Parametres!$B$6*D8585</f>
        <v>13</v>
      </c>
      <c r="G8585" s="20" t="n">
        <f aca="false">E8585+F8585</f>
        <v>187.36</v>
      </c>
      <c r="H8585" s="20" t="n">
        <f aca="false">IF(G8585&lt;Parametres!$B$8*Parametres!$B$7,0,MIN(G8585,Parametres!$B$7))</f>
        <v>187.36</v>
      </c>
      <c r="I8585" s="20" t="n">
        <f aca="false">G8585-H8585</f>
        <v>0</v>
      </c>
      <c r="J8585" s="21" t="n">
        <f aca="false">H8585*1000/Parametres!$B$9</f>
        <v>3177.20875021197</v>
      </c>
    </row>
    <row r="8586" customFormat="false" ht="15" hidden="false" customHeight="false" outlineLevel="0" collapsed="false">
      <c r="A8586" s="0" t="n">
        <v>8582</v>
      </c>
      <c r="B8586" s="0" t="n">
        <v>12</v>
      </c>
      <c r="C8586" s="19" t="n">
        <v>0.5515</v>
      </c>
      <c r="D8586" s="19" t="n">
        <v>0.0677</v>
      </c>
      <c r="E8586" s="20" t="n">
        <f aca="false">Parametres!$B$5*C8586</f>
        <v>165.45</v>
      </c>
      <c r="F8586" s="20" t="n">
        <f aca="false">Parametres!$B$6*D8586</f>
        <v>13.54</v>
      </c>
      <c r="G8586" s="20" t="n">
        <f aca="false">E8586+F8586</f>
        <v>178.99</v>
      </c>
      <c r="H8586" s="20" t="n">
        <f aca="false">IF(G8586&lt;Parametres!$B$8*Parametres!$B$7,0,MIN(G8586,Parametres!$B$7))</f>
        <v>178.99</v>
      </c>
      <c r="I8586" s="20" t="n">
        <f aca="false">G8586-H8586</f>
        <v>0</v>
      </c>
      <c r="J8586" s="21" t="n">
        <f aca="false">H8586*1000/Parametres!$B$9</f>
        <v>3035.272172291</v>
      </c>
    </row>
    <row r="8587" customFormat="false" ht="15" hidden="false" customHeight="false" outlineLevel="0" collapsed="false">
      <c r="A8587" s="0" t="n">
        <v>8583</v>
      </c>
      <c r="B8587" s="0" t="n">
        <v>12</v>
      </c>
      <c r="C8587" s="19" t="n">
        <v>0.4563</v>
      </c>
      <c r="D8587" s="19" t="n">
        <v>0.1833</v>
      </c>
      <c r="E8587" s="20" t="n">
        <f aca="false">Parametres!$B$5*C8587</f>
        <v>136.89</v>
      </c>
      <c r="F8587" s="20" t="n">
        <f aca="false">Parametres!$B$6*D8587</f>
        <v>36.66</v>
      </c>
      <c r="G8587" s="20" t="n">
        <f aca="false">E8587+F8587</f>
        <v>173.55</v>
      </c>
      <c r="H8587" s="20" t="n">
        <f aca="false">IF(G8587&lt;Parametres!$B$8*Parametres!$B$7,0,MIN(G8587,Parametres!$B$7))</f>
        <v>173.55</v>
      </c>
      <c r="I8587" s="20" t="n">
        <f aca="false">G8587-H8587</f>
        <v>0</v>
      </c>
      <c r="J8587" s="21" t="n">
        <f aca="false">H8587*1000/Parametres!$B$9</f>
        <v>2943.02187552993</v>
      </c>
    </row>
    <row r="8588" customFormat="false" ht="15" hidden="false" customHeight="false" outlineLevel="0" collapsed="false">
      <c r="A8588" s="0" t="n">
        <v>8584</v>
      </c>
      <c r="B8588" s="0" t="n">
        <v>12</v>
      </c>
      <c r="C8588" s="19" t="n">
        <v>0.2706</v>
      </c>
      <c r="D8588" s="19" t="n">
        <v>0.3833</v>
      </c>
      <c r="E8588" s="20" t="n">
        <f aca="false">Parametres!$B$5*C8588</f>
        <v>81.18</v>
      </c>
      <c r="F8588" s="20" t="n">
        <f aca="false">Parametres!$B$6*D8588</f>
        <v>76.66</v>
      </c>
      <c r="G8588" s="20" t="n">
        <f aca="false">E8588+F8588</f>
        <v>157.84</v>
      </c>
      <c r="H8588" s="20" t="n">
        <f aca="false">IF(G8588&lt;Parametres!$B$8*Parametres!$B$7,0,MIN(G8588,Parametres!$B$7))</f>
        <v>157.84</v>
      </c>
      <c r="I8588" s="20" t="n">
        <f aca="false">G8588-H8588</f>
        <v>0</v>
      </c>
      <c r="J8588" s="21" t="n">
        <f aca="false">H8588*1000/Parametres!$B$9</f>
        <v>2676.61522808208</v>
      </c>
    </row>
    <row r="8589" customFormat="false" ht="15" hidden="false" customHeight="false" outlineLevel="0" collapsed="false">
      <c r="A8589" s="0" t="n">
        <v>8585</v>
      </c>
      <c r="B8589" s="0" t="n">
        <v>12</v>
      </c>
      <c r="C8589" s="19" t="n">
        <v>0.1033</v>
      </c>
      <c r="D8589" s="19" t="n">
        <v>0.2562</v>
      </c>
      <c r="E8589" s="20" t="n">
        <f aca="false">Parametres!$B$5*C8589</f>
        <v>30.99</v>
      </c>
      <c r="F8589" s="20" t="n">
        <f aca="false">Parametres!$B$6*D8589</f>
        <v>51.24</v>
      </c>
      <c r="G8589" s="20" t="n">
        <f aca="false">E8589+F8589</f>
        <v>82.23</v>
      </c>
      <c r="H8589" s="20" t="n">
        <f aca="false">IF(G8589&lt;Parametres!$B$8*Parametres!$B$7,0,MIN(G8589,Parametres!$B$7))</f>
        <v>82.23</v>
      </c>
      <c r="I8589" s="20" t="n">
        <f aca="false">G8589-H8589</f>
        <v>0</v>
      </c>
      <c r="J8589" s="21" t="n">
        <f aca="false">H8589*1000/Parametres!$B$9</f>
        <v>1394.43784975411</v>
      </c>
    </row>
    <row r="8590" customFormat="false" ht="15" hidden="false" customHeight="false" outlineLevel="0" collapsed="false">
      <c r="A8590" s="0" t="n">
        <v>8586</v>
      </c>
      <c r="B8590" s="0" t="n">
        <v>12</v>
      </c>
      <c r="C8590" s="19" t="n">
        <v>0</v>
      </c>
      <c r="D8590" s="19" t="n">
        <v>0.2539</v>
      </c>
      <c r="E8590" s="20" t="n">
        <f aca="false">Parametres!$B$5*C8590</f>
        <v>0</v>
      </c>
      <c r="F8590" s="20" t="n">
        <f aca="false">Parametres!$B$6*D8590</f>
        <v>50.78</v>
      </c>
      <c r="G8590" s="20" t="n">
        <f aca="false">E8590+F8590</f>
        <v>50.78</v>
      </c>
      <c r="H8590" s="20" t="n">
        <f aca="false">IF(G8590&lt;Parametres!$B$8*Parametres!$B$7,0,MIN(G8590,Parametres!$B$7))</f>
        <v>50.78</v>
      </c>
      <c r="I8590" s="20" t="n">
        <f aca="false">G8590-H8590</f>
        <v>0</v>
      </c>
      <c r="J8590" s="21" t="n">
        <f aca="false">H8590*1000/Parametres!$B$9</f>
        <v>861.115821604206</v>
      </c>
    </row>
    <row r="8591" customFormat="false" ht="15" hidden="false" customHeight="false" outlineLevel="0" collapsed="false">
      <c r="A8591" s="0" t="n">
        <v>8587</v>
      </c>
      <c r="B8591" s="0" t="n">
        <v>12</v>
      </c>
      <c r="C8591" s="19" t="n">
        <v>0</v>
      </c>
      <c r="D8591" s="19" t="n">
        <v>0.1478</v>
      </c>
      <c r="E8591" s="20" t="n">
        <f aca="false">Parametres!$B$5*C8591</f>
        <v>0</v>
      </c>
      <c r="F8591" s="20" t="n">
        <f aca="false">Parametres!$B$6*D8591</f>
        <v>29.56</v>
      </c>
      <c r="G8591" s="20" t="n">
        <f aca="false">E8591+F8591</f>
        <v>29.56</v>
      </c>
      <c r="H8591" s="20" t="n">
        <f aca="false">IF(G8591&lt;Parametres!$B$8*Parametres!$B$7,0,MIN(G8591,Parametres!$B$7))</f>
        <v>29.56</v>
      </c>
      <c r="I8591" s="20" t="n">
        <f aca="false">G8591-H8591</f>
        <v>0</v>
      </c>
      <c r="J8591" s="21" t="n">
        <f aca="false">H8591*1000/Parametres!$B$9</f>
        <v>501.271833135493</v>
      </c>
    </row>
    <row r="8592" customFormat="false" ht="15" hidden="false" customHeight="false" outlineLevel="0" collapsed="false">
      <c r="A8592" s="0" t="n">
        <v>8588</v>
      </c>
      <c r="B8592" s="0" t="n">
        <v>12</v>
      </c>
      <c r="C8592" s="19" t="n">
        <v>0</v>
      </c>
      <c r="D8592" s="19" t="n">
        <v>0.202</v>
      </c>
      <c r="E8592" s="20" t="n">
        <f aca="false">Parametres!$B$5*C8592</f>
        <v>0</v>
      </c>
      <c r="F8592" s="20" t="n">
        <f aca="false">Parametres!$B$6*D8592</f>
        <v>40.4</v>
      </c>
      <c r="G8592" s="20" t="n">
        <f aca="false">E8592+F8592</f>
        <v>40.4</v>
      </c>
      <c r="H8592" s="20" t="n">
        <f aca="false">IF(G8592&lt;Parametres!$B$8*Parametres!$B$7,0,MIN(G8592,Parametres!$B$7))</f>
        <v>40.4</v>
      </c>
      <c r="I8592" s="20" t="n">
        <f aca="false">G8592-H8592</f>
        <v>0</v>
      </c>
      <c r="J8592" s="21" t="n">
        <f aca="false">H8592*1000/Parametres!$B$9</f>
        <v>685.094115652027</v>
      </c>
    </row>
    <row r="8593" customFormat="false" ht="15" hidden="false" customHeight="false" outlineLevel="0" collapsed="false">
      <c r="A8593" s="0" t="n">
        <v>8589</v>
      </c>
      <c r="B8593" s="0" t="n">
        <v>12</v>
      </c>
      <c r="C8593" s="19" t="n">
        <v>0</v>
      </c>
      <c r="D8593" s="19" t="n">
        <v>0.2089</v>
      </c>
      <c r="E8593" s="20" t="n">
        <f aca="false">Parametres!$B$5*C8593</f>
        <v>0</v>
      </c>
      <c r="F8593" s="20" t="n">
        <f aca="false">Parametres!$B$6*D8593</f>
        <v>41.78</v>
      </c>
      <c r="G8593" s="20" t="n">
        <f aca="false">E8593+F8593</f>
        <v>41.78</v>
      </c>
      <c r="H8593" s="20" t="n">
        <f aca="false">IF(G8593&lt;Parametres!$B$8*Parametres!$B$7,0,MIN(G8593,Parametres!$B$7))</f>
        <v>41.78</v>
      </c>
      <c r="I8593" s="20" t="n">
        <f aca="false">G8593-H8593</f>
        <v>0</v>
      </c>
      <c r="J8593" s="21" t="n">
        <f aca="false">H8593*1000/Parametres!$B$9</f>
        <v>708.495845345091</v>
      </c>
    </row>
    <row r="8594" customFormat="false" ht="15" hidden="false" customHeight="false" outlineLevel="0" collapsed="false">
      <c r="A8594" s="0" t="n">
        <v>8590</v>
      </c>
      <c r="B8594" s="0" t="n">
        <v>12</v>
      </c>
      <c r="C8594" s="19" t="n">
        <v>0</v>
      </c>
      <c r="D8594" s="19" t="n">
        <v>0.3004</v>
      </c>
      <c r="E8594" s="20" t="n">
        <f aca="false">Parametres!$B$5*C8594</f>
        <v>0</v>
      </c>
      <c r="F8594" s="20" t="n">
        <f aca="false">Parametres!$B$6*D8594</f>
        <v>60.08</v>
      </c>
      <c r="G8594" s="20" t="n">
        <f aca="false">E8594+F8594</f>
        <v>60.08</v>
      </c>
      <c r="H8594" s="20" t="n">
        <f aca="false">IF(G8594&lt;Parametres!$B$8*Parametres!$B$7,0,MIN(G8594,Parametres!$B$7))</f>
        <v>60.08</v>
      </c>
      <c r="I8594" s="20" t="n">
        <f aca="false">G8594-H8594</f>
        <v>0</v>
      </c>
      <c r="J8594" s="21" t="n">
        <f aca="false">H8594*1000/Parametres!$B$9</f>
        <v>1018.82313040529</v>
      </c>
    </row>
    <row r="8595" customFormat="false" ht="15" hidden="false" customHeight="false" outlineLevel="0" collapsed="false">
      <c r="A8595" s="0" t="n">
        <v>8591</v>
      </c>
      <c r="B8595" s="0" t="n">
        <v>12</v>
      </c>
      <c r="C8595" s="19" t="n">
        <v>0</v>
      </c>
      <c r="D8595" s="19" t="n">
        <v>0.4683</v>
      </c>
      <c r="E8595" s="20" t="n">
        <f aca="false">Parametres!$B$5*C8595</f>
        <v>0</v>
      </c>
      <c r="F8595" s="20" t="n">
        <f aca="false">Parametres!$B$6*D8595</f>
        <v>93.66</v>
      </c>
      <c r="G8595" s="20" t="n">
        <f aca="false">E8595+F8595</f>
        <v>93.66</v>
      </c>
      <c r="H8595" s="20" t="n">
        <f aca="false">IF(G8595&lt;Parametres!$B$8*Parametres!$B$7,0,MIN(G8595,Parametres!$B$7))</f>
        <v>93.66</v>
      </c>
      <c r="I8595" s="20" t="n">
        <f aca="false">G8595-H8595</f>
        <v>0</v>
      </c>
      <c r="J8595" s="21" t="n">
        <f aca="false">H8595*1000/Parametres!$B$9</f>
        <v>1588.26521960319</v>
      </c>
    </row>
    <row r="8596" customFormat="false" ht="15" hidden="false" customHeight="false" outlineLevel="0" collapsed="false">
      <c r="A8596" s="0" t="n">
        <v>8592</v>
      </c>
      <c r="B8596" s="0" t="n">
        <v>12</v>
      </c>
      <c r="C8596" s="19" t="n">
        <v>0</v>
      </c>
      <c r="D8596" s="19" t="n">
        <v>0.3744</v>
      </c>
      <c r="E8596" s="20" t="n">
        <f aca="false">Parametres!$B$5*C8596</f>
        <v>0</v>
      </c>
      <c r="F8596" s="20" t="n">
        <f aca="false">Parametres!$B$6*D8596</f>
        <v>74.88</v>
      </c>
      <c r="G8596" s="20" t="n">
        <f aca="false">E8596+F8596</f>
        <v>74.88</v>
      </c>
      <c r="H8596" s="20" t="n">
        <f aca="false">IF(G8596&lt;Parametres!$B$8*Parametres!$B$7,0,MIN(G8596,Parametres!$B$7))</f>
        <v>74.88</v>
      </c>
      <c r="I8596" s="20" t="n">
        <f aca="false">G8596-H8596</f>
        <v>0</v>
      </c>
      <c r="J8596" s="21" t="n">
        <f aca="false">H8596*1000/Parametres!$B$9</f>
        <v>1269.79820247584</v>
      </c>
    </row>
    <row r="8597" customFormat="false" ht="15" hidden="false" customHeight="false" outlineLevel="0" collapsed="false">
      <c r="A8597" s="0" t="n">
        <v>8593</v>
      </c>
      <c r="B8597" s="0" t="n">
        <v>12</v>
      </c>
      <c r="C8597" s="19" t="n">
        <v>0</v>
      </c>
      <c r="D8597" s="19" t="n">
        <v>0.3803</v>
      </c>
      <c r="E8597" s="20" t="n">
        <f aca="false">Parametres!$B$5*C8597</f>
        <v>0</v>
      </c>
      <c r="F8597" s="20" t="n">
        <f aca="false">Parametres!$B$6*D8597</f>
        <v>76.06</v>
      </c>
      <c r="G8597" s="20" t="n">
        <f aca="false">E8597+F8597</f>
        <v>76.06</v>
      </c>
      <c r="H8597" s="20" t="n">
        <f aca="false">IF(G8597&lt;Parametres!$B$8*Parametres!$B$7,0,MIN(G8597,Parametres!$B$7))</f>
        <v>76.06</v>
      </c>
      <c r="I8597" s="20" t="n">
        <f aca="false">G8597-H8597</f>
        <v>0</v>
      </c>
      <c r="J8597" s="21" t="n">
        <f aca="false">H8597*1000/Parametres!$B$9</f>
        <v>1289.80837714092</v>
      </c>
    </row>
    <row r="8598" customFormat="false" ht="15" hidden="false" customHeight="false" outlineLevel="0" collapsed="false">
      <c r="A8598" s="0" t="n">
        <v>8594</v>
      </c>
      <c r="B8598" s="0" t="n">
        <v>12</v>
      </c>
      <c r="C8598" s="19" t="n">
        <v>0</v>
      </c>
      <c r="D8598" s="19" t="n">
        <v>0.1498</v>
      </c>
      <c r="E8598" s="20" t="n">
        <f aca="false">Parametres!$B$5*C8598</f>
        <v>0</v>
      </c>
      <c r="F8598" s="20" t="n">
        <f aca="false">Parametres!$B$6*D8598</f>
        <v>29.96</v>
      </c>
      <c r="G8598" s="20" t="n">
        <f aca="false">E8598+F8598</f>
        <v>29.96</v>
      </c>
      <c r="H8598" s="20" t="n">
        <f aca="false">IF(G8598&lt;Parametres!$B$8*Parametres!$B$7,0,MIN(G8598,Parametres!$B$7))</f>
        <v>29.96</v>
      </c>
      <c r="I8598" s="20" t="n">
        <f aca="false">G8598-H8598</f>
        <v>0</v>
      </c>
      <c r="J8598" s="21" t="n">
        <f aca="false">H8598*1000/Parametres!$B$9</f>
        <v>508.054943191453</v>
      </c>
    </row>
    <row r="8599" customFormat="false" ht="15" hidden="false" customHeight="false" outlineLevel="0" collapsed="false">
      <c r="A8599" s="0" t="n">
        <v>8595</v>
      </c>
      <c r="B8599" s="0" t="n">
        <v>12</v>
      </c>
      <c r="C8599" s="19" t="n">
        <v>0</v>
      </c>
      <c r="D8599" s="19" t="n">
        <v>0.1675</v>
      </c>
      <c r="E8599" s="20" t="n">
        <f aca="false">Parametres!$B$5*C8599</f>
        <v>0</v>
      </c>
      <c r="F8599" s="20" t="n">
        <f aca="false">Parametres!$B$6*D8599</f>
        <v>33.5</v>
      </c>
      <c r="G8599" s="20" t="n">
        <f aca="false">E8599+F8599</f>
        <v>33.5</v>
      </c>
      <c r="H8599" s="20" t="n">
        <f aca="false">IF(G8599&lt;Parametres!$B$8*Parametres!$B$7,0,MIN(G8599,Parametres!$B$7))</f>
        <v>33.5</v>
      </c>
      <c r="I8599" s="20" t="n">
        <f aca="false">G8599-H8599</f>
        <v>0</v>
      </c>
      <c r="J8599" s="21" t="n">
        <f aca="false">H8599*1000/Parametres!$B$9</f>
        <v>568.085467186705</v>
      </c>
    </row>
    <row r="8600" customFormat="false" ht="15" hidden="false" customHeight="false" outlineLevel="0" collapsed="false">
      <c r="A8600" s="0" t="n">
        <v>8596</v>
      </c>
      <c r="B8600" s="0" t="n">
        <v>12</v>
      </c>
      <c r="C8600" s="19" t="n">
        <v>0</v>
      </c>
      <c r="D8600" s="19" t="n">
        <v>0.1578</v>
      </c>
      <c r="E8600" s="20" t="n">
        <f aca="false">Parametres!$B$5*C8600</f>
        <v>0</v>
      </c>
      <c r="F8600" s="20" t="n">
        <f aca="false">Parametres!$B$6*D8600</f>
        <v>31.56</v>
      </c>
      <c r="G8600" s="20" t="n">
        <f aca="false">E8600+F8600</f>
        <v>31.56</v>
      </c>
      <c r="H8600" s="20" t="n">
        <f aca="false">IF(G8600&lt;Parametres!$B$8*Parametres!$B$7,0,MIN(G8600,Parametres!$B$7))</f>
        <v>31.56</v>
      </c>
      <c r="I8600" s="20" t="n">
        <f aca="false">G8600-H8600</f>
        <v>0</v>
      </c>
      <c r="J8600" s="21" t="n">
        <f aca="false">H8600*1000/Parametres!$B$9</f>
        <v>535.187383415296</v>
      </c>
    </row>
    <row r="8601" customFormat="false" ht="15" hidden="false" customHeight="false" outlineLevel="0" collapsed="false">
      <c r="A8601" s="0" t="n">
        <v>8597</v>
      </c>
      <c r="B8601" s="0" t="n">
        <v>12</v>
      </c>
      <c r="C8601" s="19" t="n">
        <v>0</v>
      </c>
      <c r="D8601" s="19" t="n">
        <v>0.181</v>
      </c>
      <c r="E8601" s="20" t="n">
        <f aca="false">Parametres!$B$5*C8601</f>
        <v>0</v>
      </c>
      <c r="F8601" s="20" t="n">
        <f aca="false">Parametres!$B$6*D8601</f>
        <v>36.2</v>
      </c>
      <c r="G8601" s="20" t="n">
        <f aca="false">E8601+F8601</f>
        <v>36.2</v>
      </c>
      <c r="H8601" s="20" t="n">
        <f aca="false">IF(G8601&lt;Parametres!$B$8*Parametres!$B$7,0,MIN(G8601,Parametres!$B$7))</f>
        <v>36.2</v>
      </c>
      <c r="I8601" s="20" t="n">
        <f aca="false">G8601-H8601</f>
        <v>0</v>
      </c>
      <c r="J8601" s="21" t="n">
        <f aca="false">H8601*1000/Parametres!$B$9</f>
        <v>613.87146006444</v>
      </c>
    </row>
    <row r="8602" customFormat="false" ht="15" hidden="false" customHeight="false" outlineLevel="0" collapsed="false">
      <c r="A8602" s="0" t="n">
        <v>8598</v>
      </c>
      <c r="B8602" s="0" t="n">
        <v>12</v>
      </c>
      <c r="C8602" s="19" t="n">
        <v>0</v>
      </c>
      <c r="D8602" s="19" t="n">
        <v>0.1571</v>
      </c>
      <c r="E8602" s="20" t="n">
        <f aca="false">Parametres!$B$5*C8602</f>
        <v>0</v>
      </c>
      <c r="F8602" s="20" t="n">
        <f aca="false">Parametres!$B$6*D8602</f>
        <v>31.42</v>
      </c>
      <c r="G8602" s="20" t="n">
        <f aca="false">E8602+F8602</f>
        <v>31.42</v>
      </c>
      <c r="H8602" s="20" t="n">
        <f aca="false">IF(G8602&lt;Parametres!$B$8*Parametres!$B$7,0,MIN(G8602,Parametres!$B$7))</f>
        <v>31.42</v>
      </c>
      <c r="I8602" s="20" t="n">
        <f aca="false">G8602-H8602</f>
        <v>0</v>
      </c>
      <c r="J8602" s="21" t="n">
        <f aca="false">H8602*1000/Parametres!$B$9</f>
        <v>532.81329489571</v>
      </c>
    </row>
    <row r="8603" customFormat="false" ht="15" hidden="false" customHeight="false" outlineLevel="0" collapsed="false">
      <c r="A8603" s="0" t="n">
        <v>8599</v>
      </c>
      <c r="B8603" s="0" t="n">
        <v>12</v>
      </c>
      <c r="C8603" s="19" t="n">
        <v>0</v>
      </c>
      <c r="D8603" s="19" t="n">
        <v>0.4111</v>
      </c>
      <c r="E8603" s="20" t="n">
        <f aca="false">Parametres!$B$5*C8603</f>
        <v>0</v>
      </c>
      <c r="F8603" s="20" t="n">
        <f aca="false">Parametres!$B$6*D8603</f>
        <v>82.22</v>
      </c>
      <c r="G8603" s="20" t="n">
        <f aca="false">E8603+F8603</f>
        <v>82.22</v>
      </c>
      <c r="H8603" s="20" t="n">
        <f aca="false">IF(G8603&lt;Parametres!$B$8*Parametres!$B$7,0,MIN(G8603,Parametres!$B$7))</f>
        <v>82.22</v>
      </c>
      <c r="I8603" s="20" t="n">
        <f aca="false">G8603-H8603</f>
        <v>0</v>
      </c>
      <c r="J8603" s="21" t="n">
        <f aca="false">H8603*1000/Parametres!$B$9</f>
        <v>1394.26827200271</v>
      </c>
    </row>
    <row r="8604" customFormat="false" ht="15" hidden="false" customHeight="false" outlineLevel="0" collapsed="false">
      <c r="A8604" s="0" t="n">
        <v>8600</v>
      </c>
      <c r="B8604" s="0" t="n">
        <v>12</v>
      </c>
      <c r="C8604" s="19" t="n">
        <v>0.1262</v>
      </c>
      <c r="D8604" s="19" t="n">
        <v>0.3317</v>
      </c>
      <c r="E8604" s="20" t="n">
        <f aca="false">Parametres!$B$5*C8604</f>
        <v>37.86</v>
      </c>
      <c r="F8604" s="20" t="n">
        <f aca="false">Parametres!$B$6*D8604</f>
        <v>66.34</v>
      </c>
      <c r="G8604" s="20" t="n">
        <f aca="false">E8604+F8604</f>
        <v>104.2</v>
      </c>
      <c r="H8604" s="20" t="n">
        <f aca="false">IF(G8604&lt;Parametres!$B$8*Parametres!$B$7,0,MIN(G8604,Parametres!$B$7))</f>
        <v>104.2</v>
      </c>
      <c r="I8604" s="20" t="n">
        <f aca="false">G8604-H8604</f>
        <v>0</v>
      </c>
      <c r="J8604" s="21" t="n">
        <f aca="false">H8604*1000/Parametres!$B$9</f>
        <v>1767.00016957775</v>
      </c>
    </row>
    <row r="8605" customFormat="false" ht="15" hidden="false" customHeight="false" outlineLevel="0" collapsed="false">
      <c r="A8605" s="0" t="n">
        <v>8601</v>
      </c>
      <c r="B8605" s="0" t="n">
        <v>12</v>
      </c>
      <c r="C8605" s="19" t="n">
        <v>0.3623</v>
      </c>
      <c r="D8605" s="19" t="n">
        <v>0.3189</v>
      </c>
      <c r="E8605" s="20" t="n">
        <f aca="false">Parametres!$B$5*C8605</f>
        <v>108.69</v>
      </c>
      <c r="F8605" s="20" t="n">
        <f aca="false">Parametres!$B$6*D8605</f>
        <v>63.78</v>
      </c>
      <c r="G8605" s="20" t="n">
        <f aca="false">E8605+F8605</f>
        <v>172.47</v>
      </c>
      <c r="H8605" s="20" t="n">
        <f aca="false">IF(G8605&lt;Parametres!$B$8*Parametres!$B$7,0,MIN(G8605,Parametres!$B$7))</f>
        <v>172.47</v>
      </c>
      <c r="I8605" s="20" t="n">
        <f aca="false">G8605-H8605</f>
        <v>0</v>
      </c>
      <c r="J8605" s="21" t="n">
        <f aca="false">H8605*1000/Parametres!$B$9</f>
        <v>2924.70747837884</v>
      </c>
    </row>
    <row r="8606" customFormat="false" ht="15" hidden="false" customHeight="false" outlineLevel="0" collapsed="false">
      <c r="A8606" s="0" t="n">
        <v>8602</v>
      </c>
      <c r="B8606" s="0" t="n">
        <v>12</v>
      </c>
      <c r="C8606" s="19" t="n">
        <v>0.583</v>
      </c>
      <c r="D8606" s="19" t="n">
        <v>0.3121</v>
      </c>
      <c r="E8606" s="20" t="n">
        <f aca="false">Parametres!$B$5*C8606</f>
        <v>174.9</v>
      </c>
      <c r="F8606" s="20" t="n">
        <f aca="false">Parametres!$B$6*D8606</f>
        <v>62.42</v>
      </c>
      <c r="G8606" s="20" t="n">
        <f aca="false">E8606+F8606</f>
        <v>237.32</v>
      </c>
      <c r="H8606" s="20" t="n">
        <f aca="false">IF(G8606&lt;Parametres!$B$8*Parametres!$B$7,0,MIN(G8606,Parametres!$B$7))</f>
        <v>237.32</v>
      </c>
      <c r="I8606" s="20" t="n">
        <f aca="false">G8606-H8606</f>
        <v>0</v>
      </c>
      <c r="J8606" s="21" t="n">
        <f aca="false">H8606*1000/Parametres!$B$9</f>
        <v>4024.41919620146</v>
      </c>
    </row>
    <row r="8607" customFormat="false" ht="15" hidden="false" customHeight="false" outlineLevel="0" collapsed="false">
      <c r="A8607" s="0" t="n">
        <v>8603</v>
      </c>
      <c r="B8607" s="0" t="n">
        <v>12</v>
      </c>
      <c r="C8607" s="19" t="n">
        <v>0.6695</v>
      </c>
      <c r="D8607" s="19" t="n">
        <v>0.5298</v>
      </c>
      <c r="E8607" s="20" t="n">
        <f aca="false">Parametres!$B$5*C8607</f>
        <v>200.85</v>
      </c>
      <c r="F8607" s="20" t="n">
        <f aca="false">Parametres!$B$6*D8607</f>
        <v>105.96</v>
      </c>
      <c r="G8607" s="20" t="n">
        <f aca="false">E8607+F8607</f>
        <v>306.81</v>
      </c>
      <c r="H8607" s="20" t="n">
        <f aca="false">IF(G8607&lt;Parametres!$B$8*Parametres!$B$7,0,MIN(G8607,Parametres!$B$7))</f>
        <v>250</v>
      </c>
      <c r="I8607" s="20" t="n">
        <f aca="false">G8607-H8607</f>
        <v>56.81</v>
      </c>
      <c r="J8607" s="21" t="n">
        <f aca="false">H8607*1000/Parametres!$B$9</f>
        <v>4239.44378497541</v>
      </c>
    </row>
    <row r="8608" customFormat="false" ht="15" hidden="false" customHeight="false" outlineLevel="0" collapsed="false">
      <c r="A8608" s="0" t="n">
        <v>8604</v>
      </c>
      <c r="B8608" s="0" t="n">
        <v>12</v>
      </c>
      <c r="C8608" s="19" t="n">
        <v>0.7417</v>
      </c>
      <c r="D8608" s="19" t="n">
        <v>0.7223</v>
      </c>
      <c r="E8608" s="20" t="n">
        <f aca="false">Parametres!$B$5*C8608</f>
        <v>222.51</v>
      </c>
      <c r="F8608" s="20" t="n">
        <f aca="false">Parametres!$B$6*D8608</f>
        <v>144.46</v>
      </c>
      <c r="G8608" s="20" t="n">
        <f aca="false">E8608+F8608</f>
        <v>366.97</v>
      </c>
      <c r="H8608" s="20" t="n">
        <f aca="false">IF(G8608&lt;Parametres!$B$8*Parametres!$B$7,0,MIN(G8608,Parametres!$B$7))</f>
        <v>250</v>
      </c>
      <c r="I8608" s="20" t="n">
        <f aca="false">G8608-H8608</f>
        <v>116.97</v>
      </c>
      <c r="J8608" s="21" t="n">
        <f aca="false">H8608*1000/Parametres!$B$9</f>
        <v>4239.44378497541</v>
      </c>
    </row>
    <row r="8609" customFormat="false" ht="15" hidden="false" customHeight="false" outlineLevel="0" collapsed="false">
      <c r="A8609" s="0" t="n">
        <v>8605</v>
      </c>
      <c r="B8609" s="0" t="n">
        <v>12</v>
      </c>
      <c r="C8609" s="19" t="n">
        <v>0.7575</v>
      </c>
      <c r="D8609" s="19" t="n">
        <v>0.9419</v>
      </c>
      <c r="E8609" s="20" t="n">
        <f aca="false">Parametres!$B$5*C8609</f>
        <v>227.25</v>
      </c>
      <c r="F8609" s="20" t="n">
        <f aca="false">Parametres!$B$6*D8609</f>
        <v>188.38</v>
      </c>
      <c r="G8609" s="20" t="n">
        <f aca="false">E8609+F8609</f>
        <v>415.63</v>
      </c>
      <c r="H8609" s="20" t="n">
        <f aca="false">IF(G8609&lt;Parametres!$B$8*Parametres!$B$7,0,MIN(G8609,Parametres!$B$7))</f>
        <v>250</v>
      </c>
      <c r="I8609" s="20" t="n">
        <f aca="false">G8609-H8609</f>
        <v>165.63</v>
      </c>
      <c r="J8609" s="21" t="n">
        <f aca="false">H8609*1000/Parametres!$B$9</f>
        <v>4239.44378497541</v>
      </c>
    </row>
    <row r="8610" customFormat="false" ht="15" hidden="false" customHeight="false" outlineLevel="0" collapsed="false">
      <c r="A8610" s="0" t="n">
        <v>8606</v>
      </c>
      <c r="B8610" s="0" t="n">
        <v>12</v>
      </c>
      <c r="C8610" s="19" t="n">
        <v>0.7332</v>
      </c>
      <c r="D8610" s="19" t="n">
        <v>0.7364</v>
      </c>
      <c r="E8610" s="20" t="n">
        <f aca="false">Parametres!$B$5*C8610</f>
        <v>219.96</v>
      </c>
      <c r="F8610" s="20" t="n">
        <f aca="false">Parametres!$B$6*D8610</f>
        <v>147.28</v>
      </c>
      <c r="G8610" s="20" t="n">
        <f aca="false">E8610+F8610</f>
        <v>367.24</v>
      </c>
      <c r="H8610" s="20" t="n">
        <f aca="false">IF(G8610&lt;Parametres!$B$8*Parametres!$B$7,0,MIN(G8610,Parametres!$B$7))</f>
        <v>250</v>
      </c>
      <c r="I8610" s="20" t="n">
        <f aca="false">G8610-H8610</f>
        <v>117.24</v>
      </c>
      <c r="J8610" s="21" t="n">
        <f aca="false">H8610*1000/Parametres!$B$9</f>
        <v>4239.44378497541</v>
      </c>
    </row>
    <row r="8611" customFormat="false" ht="15" hidden="false" customHeight="false" outlineLevel="0" collapsed="false">
      <c r="A8611" s="0" t="n">
        <v>8607</v>
      </c>
      <c r="B8611" s="0" t="n">
        <v>12</v>
      </c>
      <c r="C8611" s="19" t="n">
        <v>0.5267</v>
      </c>
      <c r="D8611" s="19" t="n">
        <v>1</v>
      </c>
      <c r="E8611" s="20" t="n">
        <f aca="false">Parametres!$B$5*C8611</f>
        <v>158.01</v>
      </c>
      <c r="F8611" s="20" t="n">
        <f aca="false">Parametres!$B$6*D8611</f>
        <v>200</v>
      </c>
      <c r="G8611" s="20" t="n">
        <f aca="false">E8611+F8611</f>
        <v>358.01</v>
      </c>
      <c r="H8611" s="20" t="n">
        <f aca="false">IF(G8611&lt;Parametres!$B$8*Parametres!$B$7,0,MIN(G8611,Parametres!$B$7))</f>
        <v>250</v>
      </c>
      <c r="I8611" s="20" t="n">
        <f aca="false">G8611-H8611</f>
        <v>108.01</v>
      </c>
      <c r="J8611" s="21" t="n">
        <f aca="false">H8611*1000/Parametres!$B$9</f>
        <v>4239.44378497541</v>
      </c>
    </row>
    <row r="8612" customFormat="false" ht="15" hidden="false" customHeight="false" outlineLevel="0" collapsed="false">
      <c r="A8612" s="0" t="n">
        <v>8608</v>
      </c>
      <c r="B8612" s="0" t="n">
        <v>12</v>
      </c>
      <c r="C8612" s="19" t="n">
        <v>0.3482</v>
      </c>
      <c r="D8612" s="19" t="n">
        <v>1</v>
      </c>
      <c r="E8612" s="20" t="n">
        <f aca="false">Parametres!$B$5*C8612</f>
        <v>104.46</v>
      </c>
      <c r="F8612" s="20" t="n">
        <f aca="false">Parametres!$B$6*D8612</f>
        <v>200</v>
      </c>
      <c r="G8612" s="20" t="n">
        <f aca="false">E8612+F8612</f>
        <v>304.46</v>
      </c>
      <c r="H8612" s="20" t="n">
        <f aca="false">IF(G8612&lt;Parametres!$B$8*Parametres!$B$7,0,MIN(G8612,Parametres!$B$7))</f>
        <v>250</v>
      </c>
      <c r="I8612" s="20" t="n">
        <f aca="false">G8612-H8612</f>
        <v>54.46</v>
      </c>
      <c r="J8612" s="21" t="n">
        <f aca="false">H8612*1000/Parametres!$B$9</f>
        <v>4239.44378497541</v>
      </c>
    </row>
    <row r="8613" customFormat="false" ht="15" hidden="false" customHeight="false" outlineLevel="0" collapsed="false">
      <c r="A8613" s="0" t="n">
        <v>8609</v>
      </c>
      <c r="B8613" s="0" t="n">
        <v>12</v>
      </c>
      <c r="C8613" s="19" t="n">
        <v>0.1137</v>
      </c>
      <c r="D8613" s="19" t="n">
        <v>0.9902</v>
      </c>
      <c r="E8613" s="20" t="n">
        <f aca="false">Parametres!$B$5*C8613</f>
        <v>34.11</v>
      </c>
      <c r="F8613" s="20" t="n">
        <f aca="false">Parametres!$B$6*D8613</f>
        <v>198.04</v>
      </c>
      <c r="G8613" s="20" t="n">
        <f aca="false">E8613+F8613</f>
        <v>232.15</v>
      </c>
      <c r="H8613" s="20" t="n">
        <f aca="false">IF(G8613&lt;Parametres!$B$8*Parametres!$B$7,0,MIN(G8613,Parametres!$B$7))</f>
        <v>232.15</v>
      </c>
      <c r="I8613" s="20" t="n">
        <f aca="false">G8613-H8613</f>
        <v>0</v>
      </c>
      <c r="J8613" s="21" t="n">
        <f aca="false">H8613*1000/Parametres!$B$9</f>
        <v>3936.74749872817</v>
      </c>
    </row>
    <row r="8614" customFormat="false" ht="15" hidden="false" customHeight="false" outlineLevel="0" collapsed="false">
      <c r="A8614" s="0" t="n">
        <v>8610</v>
      </c>
      <c r="B8614" s="0" t="n">
        <v>12</v>
      </c>
      <c r="C8614" s="19" t="n">
        <v>0</v>
      </c>
      <c r="D8614" s="19" t="n">
        <v>0.3992</v>
      </c>
      <c r="E8614" s="20" t="n">
        <f aca="false">Parametres!$B$5*C8614</f>
        <v>0</v>
      </c>
      <c r="F8614" s="20" t="n">
        <f aca="false">Parametres!$B$6*D8614</f>
        <v>79.84</v>
      </c>
      <c r="G8614" s="20" t="n">
        <f aca="false">E8614+F8614</f>
        <v>79.84</v>
      </c>
      <c r="H8614" s="20" t="n">
        <f aca="false">IF(G8614&lt;Parametres!$B$8*Parametres!$B$7,0,MIN(G8614,Parametres!$B$7))</f>
        <v>79.84</v>
      </c>
      <c r="I8614" s="20" t="n">
        <f aca="false">G8614-H8614</f>
        <v>0</v>
      </c>
      <c r="J8614" s="21" t="n">
        <f aca="false">H8614*1000/Parametres!$B$9</f>
        <v>1353.90876716975</v>
      </c>
    </row>
    <row r="8615" customFormat="false" ht="15" hidden="false" customHeight="false" outlineLevel="0" collapsed="false">
      <c r="A8615" s="0" t="n">
        <v>8611</v>
      </c>
      <c r="B8615" s="0" t="n">
        <v>12</v>
      </c>
      <c r="C8615" s="19" t="n">
        <v>0</v>
      </c>
      <c r="D8615" s="19" t="n">
        <v>0.504</v>
      </c>
      <c r="E8615" s="20" t="n">
        <f aca="false">Parametres!$B$5*C8615</f>
        <v>0</v>
      </c>
      <c r="F8615" s="20" t="n">
        <f aca="false">Parametres!$B$6*D8615</f>
        <v>100.8</v>
      </c>
      <c r="G8615" s="20" t="n">
        <f aca="false">E8615+F8615</f>
        <v>100.8</v>
      </c>
      <c r="H8615" s="20" t="n">
        <f aca="false">IF(G8615&lt;Parametres!$B$8*Parametres!$B$7,0,MIN(G8615,Parametres!$B$7))</f>
        <v>100.8</v>
      </c>
      <c r="I8615" s="20" t="n">
        <f aca="false">G8615-H8615</f>
        <v>0</v>
      </c>
      <c r="J8615" s="21" t="n">
        <f aca="false">H8615*1000/Parametres!$B$9</f>
        <v>1709.34373410209</v>
      </c>
    </row>
    <row r="8616" customFormat="false" ht="15" hidden="false" customHeight="false" outlineLevel="0" collapsed="false">
      <c r="A8616" s="0" t="n">
        <v>8612</v>
      </c>
      <c r="B8616" s="0" t="n">
        <v>12</v>
      </c>
      <c r="C8616" s="19" t="n">
        <v>0</v>
      </c>
      <c r="D8616" s="19" t="n">
        <v>0.4566</v>
      </c>
      <c r="E8616" s="20" t="n">
        <f aca="false">Parametres!$B$5*C8616</f>
        <v>0</v>
      </c>
      <c r="F8616" s="20" t="n">
        <f aca="false">Parametres!$B$6*D8616</f>
        <v>91.32</v>
      </c>
      <c r="G8616" s="20" t="n">
        <f aca="false">E8616+F8616</f>
        <v>91.32</v>
      </c>
      <c r="H8616" s="20" t="n">
        <f aca="false">IF(G8616&lt;Parametres!$B$8*Parametres!$B$7,0,MIN(G8616,Parametres!$B$7))</f>
        <v>91.32</v>
      </c>
      <c r="I8616" s="20" t="n">
        <f aca="false">G8616-H8616</f>
        <v>0</v>
      </c>
      <c r="J8616" s="21" t="n">
        <f aca="false">H8616*1000/Parametres!$B$9</f>
        <v>1548.58402577582</v>
      </c>
    </row>
    <row r="8617" customFormat="false" ht="15" hidden="false" customHeight="false" outlineLevel="0" collapsed="false">
      <c r="A8617" s="0" t="n">
        <v>8613</v>
      </c>
      <c r="B8617" s="0" t="n">
        <v>12</v>
      </c>
      <c r="C8617" s="19" t="n">
        <v>0</v>
      </c>
      <c r="D8617" s="19" t="n">
        <v>0.1596</v>
      </c>
      <c r="E8617" s="20" t="n">
        <f aca="false">Parametres!$B$5*C8617</f>
        <v>0</v>
      </c>
      <c r="F8617" s="20" t="n">
        <f aca="false">Parametres!$B$6*D8617</f>
        <v>31.92</v>
      </c>
      <c r="G8617" s="20" t="n">
        <f aca="false">E8617+F8617</f>
        <v>31.92</v>
      </c>
      <c r="H8617" s="20" t="n">
        <f aca="false">IF(G8617&lt;Parametres!$B$8*Parametres!$B$7,0,MIN(G8617,Parametres!$B$7))</f>
        <v>31.92</v>
      </c>
      <c r="I8617" s="20" t="n">
        <f aca="false">G8617-H8617</f>
        <v>0</v>
      </c>
      <c r="J8617" s="21" t="n">
        <f aca="false">H8617*1000/Parametres!$B$9</f>
        <v>541.29218246566</v>
      </c>
    </row>
    <row r="8618" customFormat="false" ht="15" hidden="false" customHeight="false" outlineLevel="0" collapsed="false">
      <c r="A8618" s="0" t="n">
        <v>8614</v>
      </c>
      <c r="B8618" s="0" t="n">
        <v>12</v>
      </c>
      <c r="C8618" s="19" t="n">
        <v>0</v>
      </c>
      <c r="D8618" s="19" t="n">
        <v>0.2342</v>
      </c>
      <c r="E8618" s="20" t="n">
        <f aca="false">Parametres!$B$5*C8618</f>
        <v>0</v>
      </c>
      <c r="F8618" s="20" t="n">
        <f aca="false">Parametres!$B$6*D8618</f>
        <v>46.84</v>
      </c>
      <c r="G8618" s="20" t="n">
        <f aca="false">E8618+F8618</f>
        <v>46.84</v>
      </c>
      <c r="H8618" s="20" t="n">
        <f aca="false">IF(G8618&lt;Parametres!$B$8*Parametres!$B$7,0,MIN(G8618,Parametres!$B$7))</f>
        <v>46.84</v>
      </c>
      <c r="I8618" s="20" t="n">
        <f aca="false">G8618-H8618</f>
        <v>0</v>
      </c>
      <c r="J8618" s="21" t="n">
        <f aca="false">H8618*1000/Parametres!$B$9</f>
        <v>794.302187552993</v>
      </c>
    </row>
    <row r="8619" customFormat="false" ht="15" hidden="false" customHeight="false" outlineLevel="0" collapsed="false">
      <c r="A8619" s="0" t="n">
        <v>8615</v>
      </c>
      <c r="B8619" s="0" t="n">
        <v>12</v>
      </c>
      <c r="C8619" s="19" t="n">
        <v>0</v>
      </c>
      <c r="D8619" s="19" t="n">
        <v>0.3225</v>
      </c>
      <c r="E8619" s="20" t="n">
        <f aca="false">Parametres!$B$5*C8619</f>
        <v>0</v>
      </c>
      <c r="F8619" s="20" t="n">
        <f aca="false">Parametres!$B$6*D8619</f>
        <v>64.5</v>
      </c>
      <c r="G8619" s="20" t="n">
        <f aca="false">E8619+F8619</f>
        <v>64.5</v>
      </c>
      <c r="H8619" s="20" t="n">
        <f aca="false">IF(G8619&lt;Parametres!$B$8*Parametres!$B$7,0,MIN(G8619,Parametres!$B$7))</f>
        <v>64.5</v>
      </c>
      <c r="I8619" s="20" t="n">
        <f aca="false">G8619-H8619</f>
        <v>0</v>
      </c>
      <c r="J8619" s="21" t="n">
        <f aca="false">H8619*1000/Parametres!$B$9</f>
        <v>1093.77649652366</v>
      </c>
    </row>
    <row r="8620" customFormat="false" ht="15" hidden="false" customHeight="false" outlineLevel="0" collapsed="false">
      <c r="A8620" s="0" t="n">
        <v>8616</v>
      </c>
      <c r="B8620" s="0" t="n">
        <v>12</v>
      </c>
      <c r="C8620" s="19" t="n">
        <v>0</v>
      </c>
      <c r="D8620" s="19" t="n">
        <v>0.1332</v>
      </c>
      <c r="E8620" s="20" t="n">
        <f aca="false">Parametres!$B$5*C8620</f>
        <v>0</v>
      </c>
      <c r="F8620" s="20" t="n">
        <f aca="false">Parametres!$B$6*D8620</f>
        <v>26.64</v>
      </c>
      <c r="G8620" s="20" t="n">
        <f aca="false">E8620+F8620</f>
        <v>26.64</v>
      </c>
      <c r="H8620" s="20" t="n">
        <f aca="false">IF(G8620&lt;Parametres!$B$8*Parametres!$B$7,0,MIN(G8620,Parametres!$B$7))</f>
        <v>26.64</v>
      </c>
      <c r="I8620" s="20" t="n">
        <f aca="false">G8620-H8620</f>
        <v>0</v>
      </c>
      <c r="J8620" s="21" t="n">
        <f aca="false">H8620*1000/Parametres!$B$9</f>
        <v>451.75512972698</v>
      </c>
    </row>
    <row r="8621" customFormat="false" ht="15" hidden="false" customHeight="false" outlineLevel="0" collapsed="false">
      <c r="A8621" s="0" t="n">
        <v>8617</v>
      </c>
      <c r="B8621" s="0" t="n">
        <v>12</v>
      </c>
      <c r="C8621" s="19" t="n">
        <v>0</v>
      </c>
      <c r="D8621" s="19" t="n">
        <v>0.1605</v>
      </c>
      <c r="E8621" s="20" t="n">
        <f aca="false">Parametres!$B$5*C8621</f>
        <v>0</v>
      </c>
      <c r="F8621" s="20" t="n">
        <f aca="false">Parametres!$B$6*D8621</f>
        <v>32.1</v>
      </c>
      <c r="G8621" s="20" t="n">
        <f aca="false">E8621+F8621</f>
        <v>32.1</v>
      </c>
      <c r="H8621" s="20" t="n">
        <f aca="false">IF(G8621&lt;Parametres!$B$8*Parametres!$B$7,0,MIN(G8621,Parametres!$B$7))</f>
        <v>32.1</v>
      </c>
      <c r="I8621" s="20" t="n">
        <f aca="false">G8621-H8621</f>
        <v>0</v>
      </c>
      <c r="J8621" s="21" t="n">
        <f aca="false">H8621*1000/Parametres!$B$9</f>
        <v>544.344581990843</v>
      </c>
    </row>
    <row r="8622" customFormat="false" ht="15" hidden="false" customHeight="false" outlineLevel="0" collapsed="false">
      <c r="A8622" s="0" t="n">
        <v>8618</v>
      </c>
      <c r="B8622" s="0" t="n">
        <v>12</v>
      </c>
      <c r="C8622" s="19" t="n">
        <v>0</v>
      </c>
      <c r="D8622" s="19" t="n">
        <v>0.1859</v>
      </c>
      <c r="E8622" s="20" t="n">
        <f aca="false">Parametres!$B$5*C8622</f>
        <v>0</v>
      </c>
      <c r="F8622" s="20" t="n">
        <f aca="false">Parametres!$B$6*D8622</f>
        <v>37.18</v>
      </c>
      <c r="G8622" s="20" t="n">
        <f aca="false">E8622+F8622</f>
        <v>37.18</v>
      </c>
      <c r="H8622" s="20" t="n">
        <f aca="false">IF(G8622&lt;Parametres!$B$8*Parametres!$B$7,0,MIN(G8622,Parametres!$B$7))</f>
        <v>37.18</v>
      </c>
      <c r="I8622" s="20" t="n">
        <f aca="false">G8622-H8622</f>
        <v>0</v>
      </c>
      <c r="J8622" s="21" t="n">
        <f aca="false">H8622*1000/Parametres!$B$9</f>
        <v>630.490079701543</v>
      </c>
    </row>
    <row r="8623" customFormat="false" ht="15" hidden="false" customHeight="false" outlineLevel="0" collapsed="false">
      <c r="A8623" s="0" t="n">
        <v>8619</v>
      </c>
      <c r="B8623" s="0" t="n">
        <v>12</v>
      </c>
      <c r="C8623" s="19" t="n">
        <v>0</v>
      </c>
      <c r="D8623" s="19" t="n">
        <v>0.1198</v>
      </c>
      <c r="E8623" s="20" t="n">
        <f aca="false">Parametres!$B$5*C8623</f>
        <v>0</v>
      </c>
      <c r="F8623" s="20" t="n">
        <f aca="false">Parametres!$B$6*D8623</f>
        <v>23.96</v>
      </c>
      <c r="G8623" s="20" t="n">
        <f aca="false">E8623+F8623</f>
        <v>23.96</v>
      </c>
      <c r="H8623" s="20" t="n">
        <f aca="false">IF(G8623&lt;Parametres!$B$8*Parametres!$B$7,0,MIN(G8623,Parametres!$B$7))</f>
        <v>0</v>
      </c>
      <c r="I8623" s="20" t="n">
        <f aca="false">G8623-H8623</f>
        <v>23.96</v>
      </c>
      <c r="J8623" s="21" t="n">
        <f aca="false">H8623*1000/Parametres!$B$9</f>
        <v>0</v>
      </c>
    </row>
    <row r="8624" customFormat="false" ht="15" hidden="false" customHeight="false" outlineLevel="0" collapsed="false">
      <c r="A8624" s="0" t="n">
        <v>8620</v>
      </c>
      <c r="B8624" s="0" t="n">
        <v>12</v>
      </c>
      <c r="C8624" s="19" t="n">
        <v>0</v>
      </c>
      <c r="D8624" s="19" t="n">
        <v>0.0905</v>
      </c>
      <c r="E8624" s="20" t="n">
        <f aca="false">Parametres!$B$5*C8624</f>
        <v>0</v>
      </c>
      <c r="F8624" s="20" t="n">
        <f aca="false">Parametres!$B$6*D8624</f>
        <v>18.1</v>
      </c>
      <c r="G8624" s="20" t="n">
        <f aca="false">E8624+F8624</f>
        <v>18.1</v>
      </c>
      <c r="H8624" s="20" t="n">
        <f aca="false">IF(G8624&lt;Parametres!$B$8*Parametres!$B$7,0,MIN(G8624,Parametres!$B$7))</f>
        <v>0</v>
      </c>
      <c r="I8624" s="20" t="n">
        <f aca="false">G8624-H8624</f>
        <v>18.1</v>
      </c>
      <c r="J8624" s="21" t="n">
        <f aca="false">H8624*1000/Parametres!$B$9</f>
        <v>0</v>
      </c>
    </row>
    <row r="8625" customFormat="false" ht="15" hidden="false" customHeight="false" outlineLevel="0" collapsed="false">
      <c r="A8625" s="0" t="n">
        <v>8621</v>
      </c>
      <c r="B8625" s="0" t="n">
        <v>12</v>
      </c>
      <c r="C8625" s="19" t="n">
        <v>0</v>
      </c>
      <c r="D8625" s="19" t="n">
        <v>0.0763</v>
      </c>
      <c r="E8625" s="20" t="n">
        <f aca="false">Parametres!$B$5*C8625</f>
        <v>0</v>
      </c>
      <c r="F8625" s="20" t="n">
        <f aca="false">Parametres!$B$6*D8625</f>
        <v>15.26</v>
      </c>
      <c r="G8625" s="20" t="n">
        <f aca="false">E8625+F8625</f>
        <v>15.26</v>
      </c>
      <c r="H8625" s="20" t="n">
        <f aca="false">IF(G8625&lt;Parametres!$B$8*Parametres!$B$7,0,MIN(G8625,Parametres!$B$7))</f>
        <v>0</v>
      </c>
      <c r="I8625" s="20" t="n">
        <f aca="false">G8625-H8625</f>
        <v>15.26</v>
      </c>
      <c r="J8625" s="21" t="n">
        <f aca="false">H8625*1000/Parametres!$B$9</f>
        <v>0</v>
      </c>
    </row>
    <row r="8626" customFormat="false" ht="15" hidden="false" customHeight="false" outlineLevel="0" collapsed="false">
      <c r="A8626" s="0" t="n">
        <v>8622</v>
      </c>
      <c r="B8626" s="0" t="n">
        <v>12</v>
      </c>
      <c r="C8626" s="19" t="n">
        <v>0</v>
      </c>
      <c r="D8626" s="19" t="n">
        <v>0.1441</v>
      </c>
      <c r="E8626" s="20" t="n">
        <f aca="false">Parametres!$B$5*C8626</f>
        <v>0</v>
      </c>
      <c r="F8626" s="20" t="n">
        <f aca="false">Parametres!$B$6*D8626</f>
        <v>28.82</v>
      </c>
      <c r="G8626" s="20" t="n">
        <f aca="false">E8626+F8626</f>
        <v>28.82</v>
      </c>
      <c r="H8626" s="20" t="n">
        <f aca="false">IF(G8626&lt;Parametres!$B$8*Parametres!$B$7,0,MIN(G8626,Parametres!$B$7))</f>
        <v>28.82</v>
      </c>
      <c r="I8626" s="20" t="n">
        <f aca="false">G8626-H8626</f>
        <v>0</v>
      </c>
      <c r="J8626" s="21" t="n">
        <f aca="false">H8626*1000/Parametres!$B$9</f>
        <v>488.723079531965</v>
      </c>
    </row>
    <row r="8627" customFormat="false" ht="15" hidden="false" customHeight="false" outlineLevel="0" collapsed="false">
      <c r="A8627" s="0" t="n">
        <v>8623</v>
      </c>
      <c r="B8627" s="0" t="n">
        <v>12</v>
      </c>
      <c r="C8627" s="19" t="n">
        <v>0</v>
      </c>
      <c r="D8627" s="19" t="n">
        <v>0.1254</v>
      </c>
      <c r="E8627" s="20" t="n">
        <f aca="false">Parametres!$B$5*C8627</f>
        <v>0</v>
      </c>
      <c r="F8627" s="20" t="n">
        <f aca="false">Parametres!$B$6*D8627</f>
        <v>25.08</v>
      </c>
      <c r="G8627" s="20" t="n">
        <f aca="false">E8627+F8627</f>
        <v>25.08</v>
      </c>
      <c r="H8627" s="20" t="n">
        <f aca="false">IF(G8627&lt;Parametres!$B$8*Parametres!$B$7,0,MIN(G8627,Parametres!$B$7))</f>
        <v>25.08</v>
      </c>
      <c r="I8627" s="20" t="n">
        <f aca="false">G8627-H8627</f>
        <v>0</v>
      </c>
      <c r="J8627" s="21" t="n">
        <f aca="false">H8627*1000/Parametres!$B$9</f>
        <v>425.301000508733</v>
      </c>
    </row>
    <row r="8628" customFormat="false" ht="15" hidden="false" customHeight="false" outlineLevel="0" collapsed="false">
      <c r="A8628" s="0" t="n">
        <v>8624</v>
      </c>
      <c r="B8628" s="0" t="n">
        <v>12</v>
      </c>
      <c r="C8628" s="19" t="n">
        <v>0.1067</v>
      </c>
      <c r="D8628" s="19" t="n">
        <v>0.1415</v>
      </c>
      <c r="E8628" s="20" t="n">
        <f aca="false">Parametres!$B$5*C8628</f>
        <v>32.01</v>
      </c>
      <c r="F8628" s="20" t="n">
        <f aca="false">Parametres!$B$6*D8628</f>
        <v>28.3</v>
      </c>
      <c r="G8628" s="20" t="n">
        <f aca="false">E8628+F8628</f>
        <v>60.31</v>
      </c>
      <c r="H8628" s="20" t="n">
        <f aca="false">IF(G8628&lt;Parametres!$B$8*Parametres!$B$7,0,MIN(G8628,Parametres!$B$7))</f>
        <v>60.31</v>
      </c>
      <c r="I8628" s="20" t="n">
        <f aca="false">G8628-H8628</f>
        <v>0</v>
      </c>
      <c r="J8628" s="21" t="n">
        <f aca="false">H8628*1000/Parametres!$B$9</f>
        <v>1022.72341868747</v>
      </c>
    </row>
    <row r="8629" customFormat="false" ht="15" hidden="false" customHeight="false" outlineLevel="0" collapsed="false">
      <c r="A8629" s="0" t="n">
        <v>8625</v>
      </c>
      <c r="B8629" s="0" t="n">
        <v>12</v>
      </c>
      <c r="C8629" s="19" t="n">
        <v>0.3034</v>
      </c>
      <c r="D8629" s="19" t="n">
        <v>0.1429</v>
      </c>
      <c r="E8629" s="20" t="n">
        <f aca="false">Parametres!$B$5*C8629</f>
        <v>91.02</v>
      </c>
      <c r="F8629" s="20" t="n">
        <f aca="false">Parametres!$B$6*D8629</f>
        <v>28.58</v>
      </c>
      <c r="G8629" s="20" t="n">
        <f aca="false">E8629+F8629</f>
        <v>119.6</v>
      </c>
      <c r="H8629" s="20" t="n">
        <f aca="false">IF(G8629&lt;Parametres!$B$8*Parametres!$B$7,0,MIN(G8629,Parametres!$B$7))</f>
        <v>119.6</v>
      </c>
      <c r="I8629" s="20" t="n">
        <f aca="false">G8629-H8629</f>
        <v>0</v>
      </c>
      <c r="J8629" s="21" t="n">
        <f aca="false">H8629*1000/Parametres!$B$9</f>
        <v>2028.14990673224</v>
      </c>
    </row>
    <row r="8630" customFormat="false" ht="15" hidden="false" customHeight="false" outlineLevel="0" collapsed="false">
      <c r="A8630" s="0" t="n">
        <v>8626</v>
      </c>
      <c r="B8630" s="0" t="n">
        <v>12</v>
      </c>
      <c r="C8630" s="19" t="n">
        <v>0.466</v>
      </c>
      <c r="D8630" s="19" t="n">
        <v>0.1145</v>
      </c>
      <c r="E8630" s="20" t="n">
        <f aca="false">Parametres!$B$5*C8630</f>
        <v>139.8</v>
      </c>
      <c r="F8630" s="20" t="n">
        <f aca="false">Parametres!$B$6*D8630</f>
        <v>22.9</v>
      </c>
      <c r="G8630" s="20" t="n">
        <f aca="false">E8630+F8630</f>
        <v>162.7</v>
      </c>
      <c r="H8630" s="20" t="n">
        <f aca="false">IF(G8630&lt;Parametres!$B$8*Parametres!$B$7,0,MIN(G8630,Parametres!$B$7))</f>
        <v>162.7</v>
      </c>
      <c r="I8630" s="20" t="n">
        <f aca="false">G8630-H8630</f>
        <v>0</v>
      </c>
      <c r="J8630" s="21" t="n">
        <f aca="false">H8630*1000/Parametres!$B$9</f>
        <v>2759.030015262</v>
      </c>
    </row>
    <row r="8631" customFormat="false" ht="15" hidden="false" customHeight="false" outlineLevel="0" collapsed="false">
      <c r="A8631" s="0" t="n">
        <v>8627</v>
      </c>
      <c r="B8631" s="0" t="n">
        <v>12</v>
      </c>
      <c r="C8631" s="19" t="n">
        <v>0.6185</v>
      </c>
      <c r="D8631" s="19" t="n">
        <v>0.1584</v>
      </c>
      <c r="E8631" s="20" t="n">
        <f aca="false">Parametres!$B$5*C8631</f>
        <v>185.55</v>
      </c>
      <c r="F8631" s="20" t="n">
        <f aca="false">Parametres!$B$6*D8631</f>
        <v>31.68</v>
      </c>
      <c r="G8631" s="20" t="n">
        <f aca="false">E8631+F8631</f>
        <v>217.23</v>
      </c>
      <c r="H8631" s="20" t="n">
        <f aca="false">IF(G8631&lt;Parametres!$B$8*Parametres!$B$7,0,MIN(G8631,Parametres!$B$7))</f>
        <v>217.23</v>
      </c>
      <c r="I8631" s="20" t="n">
        <f aca="false">G8631-H8631</f>
        <v>0</v>
      </c>
      <c r="J8631" s="21" t="n">
        <f aca="false">H8631*1000/Parametres!$B$9</f>
        <v>3683.73749364084</v>
      </c>
    </row>
    <row r="8632" customFormat="false" ht="15" hidden="false" customHeight="false" outlineLevel="0" collapsed="false">
      <c r="A8632" s="0" t="n">
        <v>8628</v>
      </c>
      <c r="B8632" s="0" t="n">
        <v>12</v>
      </c>
      <c r="C8632" s="19" t="n">
        <v>0.6973</v>
      </c>
      <c r="D8632" s="19" t="n">
        <v>0.0907</v>
      </c>
      <c r="E8632" s="20" t="n">
        <f aca="false">Parametres!$B$5*C8632</f>
        <v>209.19</v>
      </c>
      <c r="F8632" s="20" t="n">
        <f aca="false">Parametres!$B$6*D8632</f>
        <v>18.14</v>
      </c>
      <c r="G8632" s="20" t="n">
        <f aca="false">E8632+F8632</f>
        <v>227.33</v>
      </c>
      <c r="H8632" s="20" t="n">
        <f aca="false">IF(G8632&lt;Parametres!$B$8*Parametres!$B$7,0,MIN(G8632,Parametres!$B$7))</f>
        <v>227.33</v>
      </c>
      <c r="I8632" s="20" t="n">
        <f aca="false">G8632-H8632</f>
        <v>0</v>
      </c>
      <c r="J8632" s="21" t="n">
        <f aca="false">H8632*1000/Parametres!$B$9</f>
        <v>3855.01102255384</v>
      </c>
    </row>
    <row r="8633" customFormat="false" ht="15" hidden="false" customHeight="false" outlineLevel="0" collapsed="false">
      <c r="A8633" s="0" t="n">
        <v>8629</v>
      </c>
      <c r="B8633" s="0" t="n">
        <v>12</v>
      </c>
      <c r="C8633" s="19" t="n">
        <v>0.6891</v>
      </c>
      <c r="D8633" s="19" t="n">
        <v>0.0392</v>
      </c>
      <c r="E8633" s="20" t="n">
        <f aca="false">Parametres!$B$5*C8633</f>
        <v>206.73</v>
      </c>
      <c r="F8633" s="20" t="n">
        <f aca="false">Parametres!$B$6*D8633</f>
        <v>7.84</v>
      </c>
      <c r="G8633" s="20" t="n">
        <f aca="false">E8633+F8633</f>
        <v>214.57</v>
      </c>
      <c r="H8633" s="20" t="n">
        <f aca="false">IF(G8633&lt;Parametres!$B$8*Parametres!$B$7,0,MIN(G8633,Parametres!$B$7))</f>
        <v>214.57</v>
      </c>
      <c r="I8633" s="20" t="n">
        <f aca="false">G8633-H8633</f>
        <v>0</v>
      </c>
      <c r="J8633" s="21" t="n">
        <f aca="false">H8633*1000/Parametres!$B$9</f>
        <v>3638.6298117687</v>
      </c>
    </row>
    <row r="8634" customFormat="false" ht="15" hidden="false" customHeight="false" outlineLevel="0" collapsed="false">
      <c r="A8634" s="0" t="n">
        <v>8630</v>
      </c>
      <c r="B8634" s="0" t="n">
        <v>12</v>
      </c>
      <c r="C8634" s="19" t="n">
        <v>0.5777</v>
      </c>
      <c r="D8634" s="19" t="n">
        <v>0.0122</v>
      </c>
      <c r="E8634" s="20" t="n">
        <f aca="false">Parametres!$B$5*C8634</f>
        <v>173.31</v>
      </c>
      <c r="F8634" s="20" t="n">
        <f aca="false">Parametres!$B$6*D8634</f>
        <v>2.44</v>
      </c>
      <c r="G8634" s="20" t="n">
        <f aca="false">E8634+F8634</f>
        <v>175.75</v>
      </c>
      <c r="H8634" s="20" t="n">
        <f aca="false">IF(G8634&lt;Parametres!$B$8*Parametres!$B$7,0,MIN(G8634,Parametres!$B$7))</f>
        <v>175.75</v>
      </c>
      <c r="I8634" s="20" t="n">
        <f aca="false">G8634-H8634</f>
        <v>0</v>
      </c>
      <c r="J8634" s="21" t="n">
        <f aca="false">H8634*1000/Parametres!$B$9</f>
        <v>2980.32898083771</v>
      </c>
    </row>
    <row r="8635" customFormat="false" ht="15" hidden="false" customHeight="false" outlineLevel="0" collapsed="false">
      <c r="A8635" s="0" t="n">
        <v>8631</v>
      </c>
      <c r="B8635" s="0" t="n">
        <v>12</v>
      </c>
      <c r="C8635" s="19" t="n">
        <v>0.441</v>
      </c>
      <c r="D8635" s="19" t="n">
        <v>0.0263</v>
      </c>
      <c r="E8635" s="20" t="n">
        <f aca="false">Parametres!$B$5*C8635</f>
        <v>132.3</v>
      </c>
      <c r="F8635" s="20" t="n">
        <f aca="false">Parametres!$B$6*D8635</f>
        <v>5.26</v>
      </c>
      <c r="G8635" s="20" t="n">
        <f aca="false">E8635+F8635</f>
        <v>137.56</v>
      </c>
      <c r="H8635" s="20" t="n">
        <f aca="false">IF(G8635&lt;Parametres!$B$8*Parametres!$B$7,0,MIN(G8635,Parametres!$B$7))</f>
        <v>137.56</v>
      </c>
      <c r="I8635" s="20" t="n">
        <f aca="false">G8635-H8635</f>
        <v>0</v>
      </c>
      <c r="J8635" s="21" t="n">
        <f aca="false">H8635*1000/Parametres!$B$9</f>
        <v>2332.71154824487</v>
      </c>
    </row>
    <row r="8636" customFormat="false" ht="15" hidden="false" customHeight="false" outlineLevel="0" collapsed="false">
      <c r="A8636" s="0" t="n">
        <v>8632</v>
      </c>
      <c r="B8636" s="0" t="n">
        <v>12</v>
      </c>
      <c r="C8636" s="19" t="n">
        <v>0.2998</v>
      </c>
      <c r="D8636" s="19" t="n">
        <v>0.1194</v>
      </c>
      <c r="E8636" s="20" t="n">
        <f aca="false">Parametres!$B$5*C8636</f>
        <v>89.94</v>
      </c>
      <c r="F8636" s="20" t="n">
        <f aca="false">Parametres!$B$6*D8636</f>
        <v>23.88</v>
      </c>
      <c r="G8636" s="20" t="n">
        <f aca="false">E8636+F8636</f>
        <v>113.82</v>
      </c>
      <c r="H8636" s="20" t="n">
        <f aca="false">IF(G8636&lt;Parametres!$B$8*Parametres!$B$7,0,MIN(G8636,Parametres!$B$7))</f>
        <v>113.82</v>
      </c>
      <c r="I8636" s="20" t="n">
        <f aca="false">G8636-H8636</f>
        <v>0</v>
      </c>
      <c r="J8636" s="21" t="n">
        <f aca="false">H8636*1000/Parametres!$B$9</f>
        <v>1930.13396642361</v>
      </c>
    </row>
    <row r="8637" customFormat="false" ht="15" hidden="false" customHeight="false" outlineLevel="0" collapsed="false">
      <c r="A8637" s="0" t="n">
        <v>8633</v>
      </c>
      <c r="B8637" s="0" t="n">
        <v>12</v>
      </c>
      <c r="C8637" s="19" t="n">
        <v>0.1081</v>
      </c>
      <c r="D8637" s="19" t="n">
        <v>0.1602</v>
      </c>
      <c r="E8637" s="20" t="n">
        <f aca="false">Parametres!$B$5*C8637</f>
        <v>32.43</v>
      </c>
      <c r="F8637" s="20" t="n">
        <f aca="false">Parametres!$B$6*D8637</f>
        <v>32.04</v>
      </c>
      <c r="G8637" s="20" t="n">
        <f aca="false">E8637+F8637</f>
        <v>64.47</v>
      </c>
      <c r="H8637" s="20" t="n">
        <f aca="false">IF(G8637&lt;Parametres!$B$8*Parametres!$B$7,0,MIN(G8637,Parametres!$B$7))</f>
        <v>64.47</v>
      </c>
      <c r="I8637" s="20" t="n">
        <f aca="false">G8637-H8637</f>
        <v>0</v>
      </c>
      <c r="J8637" s="21" t="n">
        <f aca="false">H8637*1000/Parametres!$B$9</f>
        <v>1093.26776326946</v>
      </c>
    </row>
    <row r="8638" customFormat="false" ht="15" hidden="false" customHeight="false" outlineLevel="0" collapsed="false">
      <c r="A8638" s="0" t="n">
        <v>8634</v>
      </c>
      <c r="B8638" s="0" t="n">
        <v>12</v>
      </c>
      <c r="C8638" s="19" t="n">
        <v>0</v>
      </c>
      <c r="D8638" s="19" t="n">
        <v>0.16</v>
      </c>
      <c r="E8638" s="20" t="n">
        <f aca="false">Parametres!$B$5*C8638</f>
        <v>0</v>
      </c>
      <c r="F8638" s="20" t="n">
        <f aca="false">Parametres!$B$6*D8638</f>
        <v>32</v>
      </c>
      <c r="G8638" s="20" t="n">
        <f aca="false">E8638+F8638</f>
        <v>32</v>
      </c>
      <c r="H8638" s="20" t="n">
        <f aca="false">IF(G8638&lt;Parametres!$B$8*Parametres!$B$7,0,MIN(G8638,Parametres!$B$7))</f>
        <v>32</v>
      </c>
      <c r="I8638" s="20" t="n">
        <f aca="false">G8638-H8638</f>
        <v>0</v>
      </c>
      <c r="J8638" s="21" t="n">
        <f aca="false">H8638*1000/Parametres!$B$9</f>
        <v>542.648804476853</v>
      </c>
    </row>
    <row r="8639" customFormat="false" ht="15" hidden="false" customHeight="false" outlineLevel="0" collapsed="false">
      <c r="A8639" s="0" t="n">
        <v>8635</v>
      </c>
      <c r="B8639" s="0" t="n">
        <v>12</v>
      </c>
      <c r="C8639" s="19" t="n">
        <v>0</v>
      </c>
      <c r="D8639" s="19" t="n">
        <v>0.1645</v>
      </c>
      <c r="E8639" s="20" t="n">
        <f aca="false">Parametres!$B$5*C8639</f>
        <v>0</v>
      </c>
      <c r="F8639" s="20" t="n">
        <f aca="false">Parametres!$B$6*D8639</f>
        <v>32.9</v>
      </c>
      <c r="G8639" s="20" t="n">
        <f aca="false">E8639+F8639</f>
        <v>32.9</v>
      </c>
      <c r="H8639" s="20" t="n">
        <f aca="false">IF(G8639&lt;Parametres!$B$8*Parametres!$B$7,0,MIN(G8639,Parametres!$B$7))</f>
        <v>32.9</v>
      </c>
      <c r="I8639" s="20" t="n">
        <f aca="false">G8639-H8639</f>
        <v>0</v>
      </c>
      <c r="J8639" s="21" t="n">
        <f aca="false">H8639*1000/Parametres!$B$9</f>
        <v>557.910802102764</v>
      </c>
    </row>
    <row r="8640" customFormat="false" ht="15" hidden="false" customHeight="false" outlineLevel="0" collapsed="false">
      <c r="A8640" s="0" t="n">
        <v>8636</v>
      </c>
      <c r="B8640" s="0" t="n">
        <v>12</v>
      </c>
      <c r="C8640" s="19" t="n">
        <v>0</v>
      </c>
      <c r="D8640" s="19" t="n">
        <v>0.2003</v>
      </c>
      <c r="E8640" s="20" t="n">
        <f aca="false">Parametres!$B$5*C8640</f>
        <v>0</v>
      </c>
      <c r="F8640" s="20" t="n">
        <f aca="false">Parametres!$B$6*D8640</f>
        <v>40.06</v>
      </c>
      <c r="G8640" s="20" t="n">
        <f aca="false">E8640+F8640</f>
        <v>40.06</v>
      </c>
      <c r="H8640" s="20" t="n">
        <f aca="false">IF(G8640&lt;Parametres!$B$8*Parametres!$B$7,0,MIN(G8640,Parametres!$B$7))</f>
        <v>40.06</v>
      </c>
      <c r="I8640" s="20" t="n">
        <f aca="false">G8640-H8640</f>
        <v>0</v>
      </c>
      <c r="J8640" s="21" t="n">
        <f aca="false">H8640*1000/Parametres!$B$9</f>
        <v>679.32847210446</v>
      </c>
    </row>
    <row r="8641" customFormat="false" ht="15" hidden="false" customHeight="false" outlineLevel="0" collapsed="false">
      <c r="A8641" s="0" t="n">
        <v>8637</v>
      </c>
      <c r="B8641" s="0" t="n">
        <v>12</v>
      </c>
      <c r="C8641" s="19" t="n">
        <v>0</v>
      </c>
      <c r="D8641" s="19" t="n">
        <v>0.1751</v>
      </c>
      <c r="E8641" s="20" t="n">
        <f aca="false">Parametres!$B$5*C8641</f>
        <v>0</v>
      </c>
      <c r="F8641" s="20" t="n">
        <f aca="false">Parametres!$B$6*D8641</f>
        <v>35.02</v>
      </c>
      <c r="G8641" s="20" t="n">
        <f aca="false">E8641+F8641</f>
        <v>35.02</v>
      </c>
      <c r="H8641" s="20" t="n">
        <f aca="false">IF(G8641&lt;Parametres!$B$8*Parametres!$B$7,0,MIN(G8641,Parametres!$B$7))</f>
        <v>35.02</v>
      </c>
      <c r="I8641" s="20" t="n">
        <f aca="false">G8641-H8641</f>
        <v>0</v>
      </c>
      <c r="J8641" s="21" t="n">
        <f aca="false">H8641*1000/Parametres!$B$9</f>
        <v>593.861285399356</v>
      </c>
    </row>
    <row r="8642" customFormat="false" ht="15" hidden="false" customHeight="false" outlineLevel="0" collapsed="false">
      <c r="A8642" s="0" t="n">
        <v>8638</v>
      </c>
      <c r="B8642" s="0" t="n">
        <v>12</v>
      </c>
      <c r="C8642" s="19" t="n">
        <v>0</v>
      </c>
      <c r="D8642" s="19" t="n">
        <v>0.1101</v>
      </c>
      <c r="E8642" s="20" t="n">
        <f aca="false">Parametres!$B$5*C8642</f>
        <v>0</v>
      </c>
      <c r="F8642" s="20" t="n">
        <f aca="false">Parametres!$B$6*D8642</f>
        <v>22.02</v>
      </c>
      <c r="G8642" s="20" t="n">
        <f aca="false">E8642+F8642</f>
        <v>22.02</v>
      </c>
      <c r="H8642" s="20" t="n">
        <f aca="false">IF(G8642&lt;Parametres!$B$8*Parametres!$B$7,0,MIN(G8642,Parametres!$B$7))</f>
        <v>0</v>
      </c>
      <c r="I8642" s="20" t="n">
        <f aca="false">G8642-H8642</f>
        <v>22.02</v>
      </c>
      <c r="J8642" s="21" t="n">
        <f aca="false">H8642*1000/Parametres!$B$9</f>
        <v>0</v>
      </c>
    </row>
    <row r="8643" customFormat="false" ht="15" hidden="false" customHeight="false" outlineLevel="0" collapsed="false">
      <c r="A8643" s="0" t="n">
        <v>8639</v>
      </c>
      <c r="B8643" s="0" t="n">
        <v>12</v>
      </c>
      <c r="C8643" s="19" t="n">
        <v>0</v>
      </c>
      <c r="D8643" s="19" t="n">
        <v>0.1806</v>
      </c>
      <c r="E8643" s="20" t="n">
        <f aca="false">Parametres!$B$5*C8643</f>
        <v>0</v>
      </c>
      <c r="F8643" s="20" t="n">
        <f aca="false">Parametres!$B$6*D8643</f>
        <v>36.12</v>
      </c>
      <c r="G8643" s="20" t="n">
        <f aca="false">E8643+F8643</f>
        <v>36.12</v>
      </c>
      <c r="H8643" s="20" t="n">
        <f aca="false">IF(G8643&lt;Parametres!$B$8*Parametres!$B$7,0,MIN(G8643,Parametres!$B$7))</f>
        <v>36.12</v>
      </c>
      <c r="I8643" s="20" t="n">
        <f aca="false">G8643-H8643</f>
        <v>0</v>
      </c>
      <c r="J8643" s="21" t="n">
        <f aca="false">H8643*1000/Parametres!$B$9</f>
        <v>612.514838053248</v>
      </c>
    </row>
    <row r="8644" customFormat="false" ht="15" hidden="false" customHeight="false" outlineLevel="0" collapsed="false">
      <c r="A8644" s="0" t="n">
        <v>8640</v>
      </c>
      <c r="B8644" s="0" t="n">
        <v>12</v>
      </c>
      <c r="C8644" s="19" t="n">
        <v>0</v>
      </c>
      <c r="D8644" s="19" t="n">
        <v>0.1631</v>
      </c>
      <c r="E8644" s="20" t="n">
        <f aca="false">Parametres!$B$5*C8644</f>
        <v>0</v>
      </c>
      <c r="F8644" s="20" t="n">
        <f aca="false">Parametres!$B$6*D8644</f>
        <v>32.62</v>
      </c>
      <c r="G8644" s="20" t="n">
        <f aca="false">E8644+F8644</f>
        <v>32.62</v>
      </c>
      <c r="H8644" s="20" t="n">
        <f aca="false">IF(G8644&lt;Parametres!$B$8*Parametres!$B$7,0,MIN(G8644,Parametres!$B$7))</f>
        <v>32.62</v>
      </c>
      <c r="I8644" s="20" t="n">
        <f aca="false">G8644-H8644</f>
        <v>0</v>
      </c>
      <c r="J8644" s="21" t="n">
        <f aca="false">H8644*1000/Parametres!$B$9</f>
        <v>553.162625063592</v>
      </c>
    </row>
    <row r="8645" customFormat="false" ht="15" hidden="false" customHeight="false" outlineLevel="0" collapsed="false">
      <c r="A8645" s="0" t="n">
        <v>8641</v>
      </c>
      <c r="B8645" s="0" t="n">
        <v>12</v>
      </c>
      <c r="C8645" s="19" t="n">
        <v>0</v>
      </c>
      <c r="D8645" s="19" t="n">
        <v>0.1341</v>
      </c>
      <c r="E8645" s="20" t="n">
        <f aca="false">Parametres!$B$5*C8645</f>
        <v>0</v>
      </c>
      <c r="F8645" s="20" t="n">
        <f aca="false">Parametres!$B$6*D8645</f>
        <v>26.82</v>
      </c>
      <c r="G8645" s="20" t="n">
        <f aca="false">E8645+F8645</f>
        <v>26.82</v>
      </c>
      <c r="H8645" s="20" t="n">
        <f aca="false">IF(G8645&lt;Parametres!$B$8*Parametres!$B$7,0,MIN(G8645,Parametres!$B$7))</f>
        <v>26.82</v>
      </c>
      <c r="I8645" s="20" t="n">
        <f aca="false">G8645-H8645</f>
        <v>0</v>
      </c>
      <c r="J8645" s="21" t="n">
        <f aca="false">H8645*1000/Parametres!$B$9</f>
        <v>454.807529252162</v>
      </c>
    </row>
    <row r="8646" customFormat="false" ht="15" hidden="false" customHeight="false" outlineLevel="0" collapsed="false">
      <c r="A8646" s="0" t="n">
        <v>8642</v>
      </c>
      <c r="B8646" s="0" t="n">
        <v>12</v>
      </c>
      <c r="C8646" s="19" t="n">
        <v>0</v>
      </c>
      <c r="D8646" s="19" t="n">
        <v>0.158</v>
      </c>
      <c r="E8646" s="20" t="n">
        <f aca="false">Parametres!$B$5*C8646</f>
        <v>0</v>
      </c>
      <c r="F8646" s="20" t="n">
        <f aca="false">Parametres!$B$6*D8646</f>
        <v>31.6</v>
      </c>
      <c r="G8646" s="20" t="n">
        <f aca="false">E8646+F8646</f>
        <v>31.6</v>
      </c>
      <c r="H8646" s="20" t="n">
        <f aca="false">IF(G8646&lt;Parametres!$B$8*Parametres!$B$7,0,MIN(G8646,Parametres!$B$7))</f>
        <v>31.6</v>
      </c>
      <c r="I8646" s="20" t="n">
        <f aca="false">G8646-H8646</f>
        <v>0</v>
      </c>
      <c r="J8646" s="21" t="n">
        <f aca="false">H8646*1000/Parametres!$B$9</f>
        <v>535.865694420892</v>
      </c>
    </row>
    <row r="8647" customFormat="false" ht="15" hidden="false" customHeight="false" outlineLevel="0" collapsed="false">
      <c r="A8647" s="0" t="n">
        <v>8643</v>
      </c>
      <c r="B8647" s="0" t="n">
        <v>12</v>
      </c>
      <c r="C8647" s="19" t="n">
        <v>0</v>
      </c>
      <c r="D8647" s="19" t="n">
        <v>0.2468</v>
      </c>
      <c r="E8647" s="20" t="n">
        <f aca="false">Parametres!$B$5*C8647</f>
        <v>0</v>
      </c>
      <c r="F8647" s="20" t="n">
        <f aca="false">Parametres!$B$6*D8647</f>
        <v>49.36</v>
      </c>
      <c r="G8647" s="20" t="n">
        <f aca="false">E8647+F8647</f>
        <v>49.36</v>
      </c>
      <c r="H8647" s="20" t="n">
        <f aca="false">IF(G8647&lt;Parametres!$B$8*Parametres!$B$7,0,MIN(G8647,Parametres!$B$7))</f>
        <v>49.36</v>
      </c>
      <c r="I8647" s="20" t="n">
        <f aca="false">G8647-H8647</f>
        <v>0</v>
      </c>
      <c r="J8647" s="21" t="n">
        <f aca="false">H8647*1000/Parametres!$B$9</f>
        <v>837.035780905545</v>
      </c>
    </row>
    <row r="8648" customFormat="false" ht="15" hidden="false" customHeight="false" outlineLevel="0" collapsed="false">
      <c r="A8648" s="0" t="n">
        <v>8644</v>
      </c>
      <c r="B8648" s="0" t="n">
        <v>12</v>
      </c>
      <c r="C8648" s="19" t="n">
        <v>0</v>
      </c>
      <c r="D8648" s="19" t="n">
        <v>0.2422</v>
      </c>
      <c r="E8648" s="20" t="n">
        <f aca="false">Parametres!$B$5*C8648</f>
        <v>0</v>
      </c>
      <c r="F8648" s="20" t="n">
        <f aca="false">Parametres!$B$6*D8648</f>
        <v>48.44</v>
      </c>
      <c r="G8648" s="20" t="n">
        <f aca="false">E8648+F8648</f>
        <v>48.44</v>
      </c>
      <c r="H8648" s="20" t="n">
        <f aca="false">IF(G8648&lt;Parametres!$B$8*Parametres!$B$7,0,MIN(G8648,Parametres!$B$7))</f>
        <v>48.44</v>
      </c>
      <c r="I8648" s="20" t="n">
        <f aca="false">G8648-H8648</f>
        <v>0</v>
      </c>
      <c r="J8648" s="21" t="n">
        <f aca="false">H8648*1000/Parametres!$B$9</f>
        <v>821.434627776836</v>
      </c>
    </row>
    <row r="8649" customFormat="false" ht="15" hidden="false" customHeight="false" outlineLevel="0" collapsed="false">
      <c r="A8649" s="0" t="n">
        <v>8645</v>
      </c>
      <c r="B8649" s="0" t="n">
        <v>12</v>
      </c>
      <c r="C8649" s="19" t="n">
        <v>0</v>
      </c>
      <c r="D8649" s="19" t="n">
        <v>0.2963</v>
      </c>
      <c r="E8649" s="20" t="n">
        <f aca="false">Parametres!$B$5*C8649</f>
        <v>0</v>
      </c>
      <c r="F8649" s="20" t="n">
        <f aca="false">Parametres!$B$6*D8649</f>
        <v>59.26</v>
      </c>
      <c r="G8649" s="20" t="n">
        <f aca="false">E8649+F8649</f>
        <v>59.26</v>
      </c>
      <c r="H8649" s="20" t="n">
        <f aca="false">IF(G8649&lt;Parametres!$B$8*Parametres!$B$7,0,MIN(G8649,Parametres!$B$7))</f>
        <v>59.26</v>
      </c>
      <c r="I8649" s="20" t="n">
        <f aca="false">G8649-H8649</f>
        <v>0</v>
      </c>
      <c r="J8649" s="21" t="n">
        <f aca="false">H8649*1000/Parametres!$B$9</f>
        <v>1004.91775479057</v>
      </c>
    </row>
    <row r="8650" customFormat="false" ht="15" hidden="false" customHeight="false" outlineLevel="0" collapsed="false">
      <c r="A8650" s="0" t="n">
        <v>8646</v>
      </c>
      <c r="B8650" s="0" t="n">
        <v>12</v>
      </c>
      <c r="C8650" s="19" t="n">
        <v>0</v>
      </c>
      <c r="D8650" s="19" t="n">
        <v>0.2575</v>
      </c>
      <c r="E8650" s="20" t="n">
        <f aca="false">Parametres!$B$5*C8650</f>
        <v>0</v>
      </c>
      <c r="F8650" s="20" t="n">
        <f aca="false">Parametres!$B$6*D8650</f>
        <v>51.5</v>
      </c>
      <c r="G8650" s="20" t="n">
        <f aca="false">E8650+F8650</f>
        <v>51.5</v>
      </c>
      <c r="H8650" s="20" t="n">
        <f aca="false">IF(G8650&lt;Parametres!$B$8*Parametres!$B$7,0,MIN(G8650,Parametres!$B$7))</f>
        <v>51.5</v>
      </c>
      <c r="I8650" s="20" t="n">
        <f aca="false">G8650-H8650</f>
        <v>0</v>
      </c>
      <c r="J8650" s="21" t="n">
        <f aca="false">H8650*1000/Parametres!$B$9</f>
        <v>873.325419704935</v>
      </c>
    </row>
    <row r="8651" customFormat="false" ht="15" hidden="false" customHeight="false" outlineLevel="0" collapsed="false">
      <c r="A8651" s="0" t="n">
        <v>8647</v>
      </c>
      <c r="B8651" s="0" t="n">
        <v>12</v>
      </c>
      <c r="C8651" s="19" t="n">
        <v>0</v>
      </c>
      <c r="D8651" s="19" t="n">
        <v>0.2372</v>
      </c>
      <c r="E8651" s="20" t="n">
        <f aca="false">Parametres!$B$5*C8651</f>
        <v>0</v>
      </c>
      <c r="F8651" s="20" t="n">
        <f aca="false">Parametres!$B$6*D8651</f>
        <v>47.44</v>
      </c>
      <c r="G8651" s="20" t="n">
        <f aca="false">E8651+F8651</f>
        <v>47.44</v>
      </c>
      <c r="H8651" s="20" t="n">
        <f aca="false">IF(G8651&lt;Parametres!$B$8*Parametres!$B$7,0,MIN(G8651,Parametres!$B$7))</f>
        <v>47.44</v>
      </c>
      <c r="I8651" s="20" t="n">
        <f aca="false">G8651-H8651</f>
        <v>0</v>
      </c>
      <c r="J8651" s="21" t="n">
        <f aca="false">H8651*1000/Parametres!$B$9</f>
        <v>804.476852636934</v>
      </c>
    </row>
    <row r="8652" customFormat="false" ht="15" hidden="false" customHeight="false" outlineLevel="0" collapsed="false">
      <c r="A8652" s="0" t="n">
        <v>8648</v>
      </c>
      <c r="B8652" s="0" t="n">
        <v>12</v>
      </c>
      <c r="C8652" s="19" t="n">
        <v>0.1226</v>
      </c>
      <c r="D8652" s="19" t="n">
        <v>0.3273</v>
      </c>
      <c r="E8652" s="20" t="n">
        <f aca="false">Parametres!$B$5*C8652</f>
        <v>36.78</v>
      </c>
      <c r="F8652" s="20" t="n">
        <f aca="false">Parametres!$B$6*D8652</f>
        <v>65.46</v>
      </c>
      <c r="G8652" s="20" t="n">
        <f aca="false">E8652+F8652</f>
        <v>102.24</v>
      </c>
      <c r="H8652" s="20" t="n">
        <f aca="false">IF(G8652&lt;Parametres!$B$8*Parametres!$B$7,0,MIN(G8652,Parametres!$B$7))</f>
        <v>102.24</v>
      </c>
      <c r="I8652" s="20" t="n">
        <f aca="false">G8652-H8652</f>
        <v>0</v>
      </c>
      <c r="J8652" s="21" t="n">
        <f aca="false">H8652*1000/Parametres!$B$9</f>
        <v>1733.76293030354</v>
      </c>
    </row>
    <row r="8653" customFormat="false" ht="15" hidden="false" customHeight="false" outlineLevel="0" collapsed="false">
      <c r="A8653" s="0" t="n">
        <v>8649</v>
      </c>
      <c r="B8653" s="0" t="n">
        <v>12</v>
      </c>
      <c r="C8653" s="19" t="n">
        <v>0.3593</v>
      </c>
      <c r="D8653" s="19" t="n">
        <v>0.4761</v>
      </c>
      <c r="E8653" s="20" t="n">
        <f aca="false">Parametres!$B$5*C8653</f>
        <v>107.79</v>
      </c>
      <c r="F8653" s="20" t="n">
        <f aca="false">Parametres!$B$6*D8653</f>
        <v>95.22</v>
      </c>
      <c r="G8653" s="20" t="n">
        <f aca="false">E8653+F8653</f>
        <v>203.01</v>
      </c>
      <c r="H8653" s="20" t="n">
        <f aca="false">IF(G8653&lt;Parametres!$B$8*Parametres!$B$7,0,MIN(G8653,Parametres!$B$7))</f>
        <v>203.01</v>
      </c>
      <c r="I8653" s="20" t="n">
        <f aca="false">G8653-H8653</f>
        <v>0</v>
      </c>
      <c r="J8653" s="21" t="n">
        <f aca="false">H8653*1000/Parametres!$B$9</f>
        <v>3442.59793115143</v>
      </c>
    </row>
    <row r="8654" customFormat="false" ht="15" hidden="false" customHeight="false" outlineLevel="0" collapsed="false">
      <c r="A8654" s="0" t="n">
        <v>8650</v>
      </c>
      <c r="B8654" s="0" t="n">
        <v>12</v>
      </c>
      <c r="C8654" s="19" t="n">
        <v>0.5572</v>
      </c>
      <c r="D8654" s="19" t="n">
        <v>0.6079</v>
      </c>
      <c r="E8654" s="20" t="n">
        <f aca="false">Parametres!$B$5*C8654</f>
        <v>167.16</v>
      </c>
      <c r="F8654" s="20" t="n">
        <f aca="false">Parametres!$B$6*D8654</f>
        <v>121.58</v>
      </c>
      <c r="G8654" s="20" t="n">
        <f aca="false">E8654+F8654</f>
        <v>288.74</v>
      </c>
      <c r="H8654" s="20" t="n">
        <f aca="false">IF(G8654&lt;Parametres!$B$8*Parametres!$B$7,0,MIN(G8654,Parametres!$B$7))</f>
        <v>250</v>
      </c>
      <c r="I8654" s="20" t="n">
        <f aca="false">G8654-H8654</f>
        <v>38.74</v>
      </c>
      <c r="J8654" s="21" t="n">
        <f aca="false">H8654*1000/Parametres!$B$9</f>
        <v>4239.44378497541</v>
      </c>
    </row>
    <row r="8655" customFormat="false" ht="15" hidden="false" customHeight="false" outlineLevel="0" collapsed="false">
      <c r="A8655" s="0" t="n">
        <v>8651</v>
      </c>
      <c r="B8655" s="0" t="n">
        <v>12</v>
      </c>
      <c r="C8655" s="19" t="n">
        <v>0.6749</v>
      </c>
      <c r="D8655" s="19" t="n">
        <v>0.897</v>
      </c>
      <c r="E8655" s="20" t="n">
        <f aca="false">Parametres!$B$5*C8655</f>
        <v>202.47</v>
      </c>
      <c r="F8655" s="20" t="n">
        <f aca="false">Parametres!$B$6*D8655</f>
        <v>179.4</v>
      </c>
      <c r="G8655" s="20" t="n">
        <f aca="false">E8655+F8655</f>
        <v>381.87</v>
      </c>
      <c r="H8655" s="20" t="n">
        <f aca="false">IF(G8655&lt;Parametres!$B$8*Parametres!$B$7,0,MIN(G8655,Parametres!$B$7))</f>
        <v>250</v>
      </c>
      <c r="I8655" s="20" t="n">
        <f aca="false">G8655-H8655</f>
        <v>131.87</v>
      </c>
      <c r="J8655" s="21" t="n">
        <f aca="false">H8655*1000/Parametres!$B$9</f>
        <v>4239.44378497541</v>
      </c>
    </row>
    <row r="8656" customFormat="false" ht="15" hidden="false" customHeight="false" outlineLevel="0" collapsed="false">
      <c r="A8656" s="0" t="n">
        <v>8652</v>
      </c>
      <c r="B8656" s="0" t="n">
        <v>12</v>
      </c>
      <c r="C8656" s="19" t="n">
        <v>0.7695</v>
      </c>
      <c r="D8656" s="19" t="n">
        <v>0.8545</v>
      </c>
      <c r="E8656" s="20" t="n">
        <f aca="false">Parametres!$B$5*C8656</f>
        <v>230.85</v>
      </c>
      <c r="F8656" s="20" t="n">
        <f aca="false">Parametres!$B$6*D8656</f>
        <v>170.9</v>
      </c>
      <c r="G8656" s="20" t="n">
        <f aca="false">E8656+F8656</f>
        <v>401.75</v>
      </c>
      <c r="H8656" s="20" t="n">
        <f aca="false">IF(G8656&lt;Parametres!$B$8*Parametres!$B$7,0,MIN(G8656,Parametres!$B$7))</f>
        <v>250</v>
      </c>
      <c r="I8656" s="20" t="n">
        <f aca="false">G8656-H8656</f>
        <v>151.75</v>
      </c>
      <c r="J8656" s="21" t="n">
        <f aca="false">H8656*1000/Parametres!$B$9</f>
        <v>4239.44378497541</v>
      </c>
    </row>
    <row r="8657" customFormat="false" ht="15" hidden="false" customHeight="false" outlineLevel="0" collapsed="false">
      <c r="A8657" s="0" t="n">
        <v>8653</v>
      </c>
      <c r="B8657" s="0" t="n">
        <v>12</v>
      </c>
      <c r="C8657" s="19" t="n">
        <v>0.8098</v>
      </c>
      <c r="D8657" s="19" t="n">
        <v>0.6278</v>
      </c>
      <c r="E8657" s="20" t="n">
        <f aca="false">Parametres!$B$5*C8657</f>
        <v>242.94</v>
      </c>
      <c r="F8657" s="20" t="n">
        <f aca="false">Parametres!$B$6*D8657</f>
        <v>125.56</v>
      </c>
      <c r="G8657" s="20" t="n">
        <f aca="false">E8657+F8657</f>
        <v>368.5</v>
      </c>
      <c r="H8657" s="20" t="n">
        <f aca="false">IF(G8657&lt;Parametres!$B$8*Parametres!$B$7,0,MIN(G8657,Parametres!$B$7))</f>
        <v>250</v>
      </c>
      <c r="I8657" s="20" t="n">
        <f aca="false">G8657-H8657</f>
        <v>118.5</v>
      </c>
      <c r="J8657" s="21" t="n">
        <f aca="false">H8657*1000/Parametres!$B$9</f>
        <v>4239.44378497541</v>
      </c>
    </row>
    <row r="8658" customFormat="false" ht="15" hidden="false" customHeight="false" outlineLevel="0" collapsed="false">
      <c r="A8658" s="0" t="n">
        <v>8654</v>
      </c>
      <c r="B8658" s="0" t="n">
        <v>12</v>
      </c>
      <c r="C8658" s="19" t="n">
        <v>0.7328</v>
      </c>
      <c r="D8658" s="19" t="n">
        <v>0.4363</v>
      </c>
      <c r="E8658" s="20" t="n">
        <f aca="false">Parametres!$B$5*C8658</f>
        <v>219.84</v>
      </c>
      <c r="F8658" s="20" t="n">
        <f aca="false">Parametres!$B$6*D8658</f>
        <v>87.26</v>
      </c>
      <c r="G8658" s="20" t="n">
        <f aca="false">E8658+F8658</f>
        <v>307.1</v>
      </c>
      <c r="H8658" s="20" t="n">
        <f aca="false">IF(G8658&lt;Parametres!$B$8*Parametres!$B$7,0,MIN(G8658,Parametres!$B$7))</f>
        <v>250</v>
      </c>
      <c r="I8658" s="20" t="n">
        <f aca="false">G8658-H8658</f>
        <v>57.1</v>
      </c>
      <c r="J8658" s="21" t="n">
        <f aca="false">H8658*1000/Parametres!$B$9</f>
        <v>4239.44378497541</v>
      </c>
    </row>
    <row r="8659" customFormat="false" ht="15" hidden="false" customHeight="false" outlineLevel="0" collapsed="false">
      <c r="A8659" s="0" t="n">
        <v>8655</v>
      </c>
      <c r="B8659" s="0" t="n">
        <v>12</v>
      </c>
      <c r="C8659" s="19" t="n">
        <v>0.5671</v>
      </c>
      <c r="D8659" s="19" t="n">
        <v>0.5342</v>
      </c>
      <c r="E8659" s="20" t="n">
        <f aca="false">Parametres!$B$5*C8659</f>
        <v>170.13</v>
      </c>
      <c r="F8659" s="20" t="n">
        <f aca="false">Parametres!$B$6*D8659</f>
        <v>106.84</v>
      </c>
      <c r="G8659" s="20" t="n">
        <f aca="false">E8659+F8659</f>
        <v>276.97</v>
      </c>
      <c r="H8659" s="20" t="n">
        <f aca="false">IF(G8659&lt;Parametres!$B$8*Parametres!$B$7,0,MIN(G8659,Parametres!$B$7))</f>
        <v>250</v>
      </c>
      <c r="I8659" s="20" t="n">
        <f aca="false">G8659-H8659</f>
        <v>26.97</v>
      </c>
      <c r="J8659" s="21" t="n">
        <f aca="false">H8659*1000/Parametres!$B$9</f>
        <v>4239.44378497541</v>
      </c>
    </row>
    <row r="8660" customFormat="false" ht="15" hidden="false" customHeight="false" outlineLevel="0" collapsed="false">
      <c r="A8660" s="0" t="n">
        <v>8656</v>
      </c>
      <c r="B8660" s="0" t="n">
        <v>12</v>
      </c>
      <c r="C8660" s="19" t="n">
        <v>0.3423</v>
      </c>
      <c r="D8660" s="19" t="n">
        <v>0.3049</v>
      </c>
      <c r="E8660" s="20" t="n">
        <f aca="false">Parametres!$B$5*C8660</f>
        <v>102.69</v>
      </c>
      <c r="F8660" s="20" t="n">
        <f aca="false">Parametres!$B$6*D8660</f>
        <v>60.98</v>
      </c>
      <c r="G8660" s="20" t="n">
        <f aca="false">E8660+F8660</f>
        <v>163.67</v>
      </c>
      <c r="H8660" s="20" t="n">
        <f aca="false">IF(G8660&lt;Parametres!$B$8*Parametres!$B$7,0,MIN(G8660,Parametres!$B$7))</f>
        <v>163.67</v>
      </c>
      <c r="I8660" s="20" t="n">
        <f aca="false">G8660-H8660</f>
        <v>0</v>
      </c>
      <c r="J8660" s="21" t="n">
        <f aca="false">H8660*1000/Parametres!$B$9</f>
        <v>2775.4790571477</v>
      </c>
    </row>
    <row r="8661" customFormat="false" ht="15" hidden="false" customHeight="false" outlineLevel="0" collapsed="false">
      <c r="A8661" s="0" t="n">
        <v>8657</v>
      </c>
      <c r="B8661" s="0" t="n">
        <v>12</v>
      </c>
      <c r="C8661" s="19" t="n">
        <v>0.1194</v>
      </c>
      <c r="D8661" s="19" t="n">
        <v>0.4013</v>
      </c>
      <c r="E8661" s="20" t="n">
        <f aca="false">Parametres!$B$5*C8661</f>
        <v>35.82</v>
      </c>
      <c r="F8661" s="20" t="n">
        <f aca="false">Parametres!$B$6*D8661</f>
        <v>80.26</v>
      </c>
      <c r="G8661" s="20" t="n">
        <f aca="false">E8661+F8661</f>
        <v>116.08</v>
      </c>
      <c r="H8661" s="20" t="n">
        <f aca="false">IF(G8661&lt;Parametres!$B$8*Parametres!$B$7,0,MIN(G8661,Parametres!$B$7))</f>
        <v>116.08</v>
      </c>
      <c r="I8661" s="20" t="n">
        <f aca="false">G8661-H8661</f>
        <v>0</v>
      </c>
      <c r="J8661" s="21" t="n">
        <f aca="false">H8661*1000/Parametres!$B$9</f>
        <v>1968.45853823978</v>
      </c>
    </row>
    <row r="8662" customFormat="false" ht="15" hidden="false" customHeight="false" outlineLevel="0" collapsed="false">
      <c r="A8662" s="0" t="n">
        <v>8658</v>
      </c>
      <c r="B8662" s="0" t="n">
        <v>12</v>
      </c>
      <c r="C8662" s="19" t="n">
        <v>0</v>
      </c>
      <c r="D8662" s="19" t="n">
        <v>0.4389</v>
      </c>
      <c r="E8662" s="20" t="n">
        <f aca="false">Parametres!$B$5*C8662</f>
        <v>0</v>
      </c>
      <c r="F8662" s="20" t="n">
        <f aca="false">Parametres!$B$6*D8662</f>
        <v>87.78</v>
      </c>
      <c r="G8662" s="20" t="n">
        <f aca="false">E8662+F8662</f>
        <v>87.78</v>
      </c>
      <c r="H8662" s="20" t="n">
        <f aca="false">IF(G8662&lt;Parametres!$B$8*Parametres!$B$7,0,MIN(G8662,Parametres!$B$7))</f>
        <v>87.78</v>
      </c>
      <c r="I8662" s="20" t="n">
        <f aca="false">G8662-H8662</f>
        <v>0</v>
      </c>
      <c r="J8662" s="21" t="n">
        <f aca="false">H8662*1000/Parametres!$B$9</f>
        <v>1488.55350178057</v>
      </c>
    </row>
    <row r="8663" customFormat="false" ht="15" hidden="false" customHeight="false" outlineLevel="0" collapsed="false">
      <c r="A8663" s="0" t="n">
        <v>8659</v>
      </c>
      <c r="B8663" s="0" t="n">
        <v>12</v>
      </c>
      <c r="C8663" s="19" t="n">
        <v>0</v>
      </c>
      <c r="D8663" s="19" t="n">
        <v>0.573</v>
      </c>
      <c r="E8663" s="20" t="n">
        <f aca="false">Parametres!$B$5*C8663</f>
        <v>0</v>
      </c>
      <c r="F8663" s="20" t="n">
        <f aca="false">Parametres!$B$6*D8663</f>
        <v>114.6</v>
      </c>
      <c r="G8663" s="20" t="n">
        <f aca="false">E8663+F8663</f>
        <v>114.6</v>
      </c>
      <c r="H8663" s="20" t="n">
        <f aca="false">IF(G8663&lt;Parametres!$B$8*Parametres!$B$7,0,MIN(G8663,Parametres!$B$7))</f>
        <v>114.6</v>
      </c>
      <c r="I8663" s="20" t="n">
        <f aca="false">G8663-H8663</f>
        <v>0</v>
      </c>
      <c r="J8663" s="21" t="n">
        <f aca="false">H8663*1000/Parametres!$B$9</f>
        <v>1943.36103103273</v>
      </c>
    </row>
    <row r="8664" customFormat="false" ht="15" hidden="false" customHeight="false" outlineLevel="0" collapsed="false">
      <c r="A8664" s="0" t="n">
        <v>8660</v>
      </c>
      <c r="B8664" s="0" t="n">
        <v>12</v>
      </c>
      <c r="C8664" s="19" t="n">
        <v>0</v>
      </c>
      <c r="D8664" s="19" t="n">
        <v>0.4279</v>
      </c>
      <c r="E8664" s="20" t="n">
        <f aca="false">Parametres!$B$5*C8664</f>
        <v>0</v>
      </c>
      <c r="F8664" s="20" t="n">
        <f aca="false">Parametres!$B$6*D8664</f>
        <v>85.58</v>
      </c>
      <c r="G8664" s="20" t="n">
        <f aca="false">E8664+F8664</f>
        <v>85.58</v>
      </c>
      <c r="H8664" s="20" t="n">
        <f aca="false">IF(G8664&lt;Parametres!$B$8*Parametres!$B$7,0,MIN(G8664,Parametres!$B$7))</f>
        <v>85.58</v>
      </c>
      <c r="I8664" s="20" t="n">
        <f aca="false">G8664-H8664</f>
        <v>0</v>
      </c>
      <c r="J8664" s="21" t="n">
        <f aca="false">H8664*1000/Parametres!$B$9</f>
        <v>1451.24639647278</v>
      </c>
    </row>
    <row r="8665" customFormat="false" ht="15" hidden="false" customHeight="false" outlineLevel="0" collapsed="false">
      <c r="A8665" s="0" t="n">
        <v>8661</v>
      </c>
      <c r="B8665" s="0" t="n">
        <v>12</v>
      </c>
      <c r="C8665" s="19" t="n">
        <v>0</v>
      </c>
      <c r="D8665" s="19" t="n">
        <v>0.2806</v>
      </c>
      <c r="E8665" s="20" t="n">
        <f aca="false">Parametres!$B$5*C8665</f>
        <v>0</v>
      </c>
      <c r="F8665" s="20" t="n">
        <f aca="false">Parametres!$B$6*D8665</f>
        <v>56.12</v>
      </c>
      <c r="G8665" s="20" t="n">
        <f aca="false">E8665+F8665</f>
        <v>56.12</v>
      </c>
      <c r="H8665" s="20" t="n">
        <f aca="false">IF(G8665&lt;Parametres!$B$8*Parametres!$B$7,0,MIN(G8665,Parametres!$B$7))</f>
        <v>56.12</v>
      </c>
      <c r="I8665" s="20" t="n">
        <f aca="false">G8665-H8665</f>
        <v>0</v>
      </c>
      <c r="J8665" s="21" t="n">
        <f aca="false">H8665*1000/Parametres!$B$9</f>
        <v>951.670340851281</v>
      </c>
    </row>
    <row r="8666" customFormat="false" ht="15" hidden="false" customHeight="false" outlineLevel="0" collapsed="false">
      <c r="A8666" s="0" t="n">
        <v>8662</v>
      </c>
      <c r="B8666" s="0" t="n">
        <v>12</v>
      </c>
      <c r="C8666" s="19" t="n">
        <v>0</v>
      </c>
      <c r="D8666" s="19" t="n">
        <v>0.3192</v>
      </c>
      <c r="E8666" s="20" t="n">
        <f aca="false">Parametres!$B$5*C8666</f>
        <v>0</v>
      </c>
      <c r="F8666" s="20" t="n">
        <f aca="false">Parametres!$B$6*D8666</f>
        <v>63.84</v>
      </c>
      <c r="G8666" s="20" t="n">
        <f aca="false">E8666+F8666</f>
        <v>63.84</v>
      </c>
      <c r="H8666" s="20" t="n">
        <f aca="false">IF(G8666&lt;Parametres!$B$8*Parametres!$B$7,0,MIN(G8666,Parametres!$B$7))</f>
        <v>63.84</v>
      </c>
      <c r="I8666" s="20" t="n">
        <f aca="false">G8666-H8666</f>
        <v>0</v>
      </c>
      <c r="J8666" s="21" t="n">
        <f aca="false">H8666*1000/Parametres!$B$9</f>
        <v>1082.58436493132</v>
      </c>
    </row>
    <row r="8667" customFormat="false" ht="15" hidden="false" customHeight="false" outlineLevel="0" collapsed="false">
      <c r="A8667" s="0" t="n">
        <v>8663</v>
      </c>
      <c r="B8667" s="0" t="n">
        <v>12</v>
      </c>
      <c r="C8667" s="19" t="n">
        <v>0</v>
      </c>
      <c r="D8667" s="19" t="n">
        <v>0.2083</v>
      </c>
      <c r="E8667" s="20" t="n">
        <f aca="false">Parametres!$B$5*C8667</f>
        <v>0</v>
      </c>
      <c r="F8667" s="20" t="n">
        <f aca="false">Parametres!$B$6*D8667</f>
        <v>41.66</v>
      </c>
      <c r="G8667" s="20" t="n">
        <f aca="false">E8667+F8667</f>
        <v>41.66</v>
      </c>
      <c r="H8667" s="20" t="n">
        <f aca="false">IF(G8667&lt;Parametres!$B$8*Parametres!$B$7,0,MIN(G8667,Parametres!$B$7))</f>
        <v>41.66</v>
      </c>
      <c r="I8667" s="20" t="n">
        <f aca="false">G8667-H8667</f>
        <v>0</v>
      </c>
      <c r="J8667" s="21" t="n">
        <f aca="false">H8667*1000/Parametres!$B$9</f>
        <v>706.460912328303</v>
      </c>
    </row>
    <row r="8668" customFormat="false" ht="15" hidden="false" customHeight="false" outlineLevel="0" collapsed="false">
      <c r="A8668" s="0" t="n">
        <v>8664</v>
      </c>
      <c r="B8668" s="0" t="n">
        <v>12</v>
      </c>
      <c r="C8668" s="19" t="n">
        <v>0</v>
      </c>
      <c r="D8668" s="19" t="n">
        <v>0.1669</v>
      </c>
      <c r="E8668" s="20" t="n">
        <f aca="false">Parametres!$B$5*C8668</f>
        <v>0</v>
      </c>
      <c r="F8668" s="20" t="n">
        <f aca="false">Parametres!$B$6*D8668</f>
        <v>33.38</v>
      </c>
      <c r="G8668" s="20" t="n">
        <f aca="false">E8668+F8668</f>
        <v>33.38</v>
      </c>
      <c r="H8668" s="20" t="n">
        <f aca="false">IF(G8668&lt;Parametres!$B$8*Parametres!$B$7,0,MIN(G8668,Parametres!$B$7))</f>
        <v>33.38</v>
      </c>
      <c r="I8668" s="20" t="n">
        <f aca="false">G8668-H8668</f>
        <v>0</v>
      </c>
      <c r="J8668" s="21" t="n">
        <f aca="false">H8668*1000/Parametres!$B$9</f>
        <v>566.050534169917</v>
      </c>
    </row>
    <row r="8669" customFormat="false" ht="15" hidden="false" customHeight="false" outlineLevel="0" collapsed="false">
      <c r="A8669" s="0" t="n">
        <v>8665</v>
      </c>
      <c r="B8669" s="0" t="n">
        <v>12</v>
      </c>
      <c r="C8669" s="19" t="n">
        <v>0</v>
      </c>
      <c r="D8669" s="19" t="n">
        <v>0.1519</v>
      </c>
      <c r="E8669" s="20" t="n">
        <f aca="false">Parametres!$B$5*C8669</f>
        <v>0</v>
      </c>
      <c r="F8669" s="20" t="n">
        <f aca="false">Parametres!$B$6*D8669</f>
        <v>30.38</v>
      </c>
      <c r="G8669" s="20" t="n">
        <f aca="false">E8669+F8669</f>
        <v>30.38</v>
      </c>
      <c r="H8669" s="20" t="n">
        <f aca="false">IF(G8669&lt;Parametres!$B$8*Parametres!$B$7,0,MIN(G8669,Parametres!$B$7))</f>
        <v>30.38</v>
      </c>
      <c r="I8669" s="20" t="n">
        <f aca="false">G8669-H8669</f>
        <v>0</v>
      </c>
      <c r="J8669" s="21" t="n">
        <f aca="false">H8669*1000/Parametres!$B$9</f>
        <v>515.177208750212</v>
      </c>
    </row>
    <row r="8670" customFormat="false" ht="15" hidden="false" customHeight="false" outlineLevel="0" collapsed="false">
      <c r="A8670" s="0" t="n">
        <v>8666</v>
      </c>
      <c r="B8670" s="0" t="n">
        <v>12</v>
      </c>
      <c r="C8670" s="19" t="n">
        <v>0</v>
      </c>
      <c r="D8670" s="19" t="n">
        <v>0.1273</v>
      </c>
      <c r="E8670" s="20" t="n">
        <f aca="false">Parametres!$B$5*C8670</f>
        <v>0</v>
      </c>
      <c r="F8670" s="20" t="n">
        <f aca="false">Parametres!$B$6*D8670</f>
        <v>25.46</v>
      </c>
      <c r="G8670" s="20" t="n">
        <f aca="false">E8670+F8670</f>
        <v>25.46</v>
      </c>
      <c r="H8670" s="20" t="n">
        <f aca="false">IF(G8670&lt;Parametres!$B$8*Parametres!$B$7,0,MIN(G8670,Parametres!$B$7))</f>
        <v>25.46</v>
      </c>
      <c r="I8670" s="20" t="n">
        <f aca="false">G8670-H8670</f>
        <v>0</v>
      </c>
      <c r="J8670" s="21" t="n">
        <f aca="false">H8670*1000/Parametres!$B$9</f>
        <v>431.744955061896</v>
      </c>
    </row>
    <row r="8671" customFormat="false" ht="15" hidden="false" customHeight="false" outlineLevel="0" collapsed="false">
      <c r="A8671" s="0" t="n">
        <v>8667</v>
      </c>
      <c r="B8671" s="0" t="n">
        <v>12</v>
      </c>
      <c r="C8671" s="19" t="n">
        <v>0</v>
      </c>
      <c r="D8671" s="19" t="n">
        <v>0.1253</v>
      </c>
      <c r="E8671" s="20" t="n">
        <f aca="false">Parametres!$B$5*C8671</f>
        <v>0</v>
      </c>
      <c r="F8671" s="20" t="n">
        <f aca="false">Parametres!$B$6*D8671</f>
        <v>25.06</v>
      </c>
      <c r="G8671" s="20" t="n">
        <f aca="false">E8671+F8671</f>
        <v>25.06</v>
      </c>
      <c r="H8671" s="20" t="n">
        <f aca="false">IF(G8671&lt;Parametres!$B$8*Parametres!$B$7,0,MIN(G8671,Parametres!$B$7))</f>
        <v>25.06</v>
      </c>
      <c r="I8671" s="20" t="n">
        <f aca="false">G8671-H8671</f>
        <v>0</v>
      </c>
      <c r="J8671" s="21" t="n">
        <f aca="false">H8671*1000/Parametres!$B$9</f>
        <v>424.961845005935</v>
      </c>
    </row>
    <row r="8672" customFormat="false" ht="15" hidden="false" customHeight="false" outlineLevel="0" collapsed="false">
      <c r="A8672" s="0" t="n">
        <v>8668</v>
      </c>
      <c r="B8672" s="0" t="n">
        <v>12</v>
      </c>
      <c r="C8672" s="19" t="n">
        <v>0</v>
      </c>
      <c r="D8672" s="19" t="n">
        <v>0.137</v>
      </c>
      <c r="E8672" s="20" t="n">
        <f aca="false">Parametres!$B$5*C8672</f>
        <v>0</v>
      </c>
      <c r="F8672" s="20" t="n">
        <f aca="false">Parametres!$B$6*D8672</f>
        <v>27.4</v>
      </c>
      <c r="G8672" s="20" t="n">
        <f aca="false">E8672+F8672</f>
        <v>27.4</v>
      </c>
      <c r="H8672" s="20" t="n">
        <f aca="false">IF(G8672&lt;Parametres!$B$8*Parametres!$B$7,0,MIN(G8672,Parametres!$B$7))</f>
        <v>27.4</v>
      </c>
      <c r="I8672" s="20" t="n">
        <f aca="false">G8672-H8672</f>
        <v>0</v>
      </c>
      <c r="J8672" s="21" t="n">
        <f aca="false">H8672*1000/Parametres!$B$9</f>
        <v>464.643038833305</v>
      </c>
    </row>
    <row r="8673" customFormat="false" ht="15" hidden="false" customHeight="false" outlineLevel="0" collapsed="false">
      <c r="A8673" s="0" t="n">
        <v>8669</v>
      </c>
      <c r="B8673" s="0" t="n">
        <v>12</v>
      </c>
      <c r="C8673" s="19" t="n">
        <v>0</v>
      </c>
      <c r="D8673" s="19" t="n">
        <v>0.1201</v>
      </c>
      <c r="E8673" s="20" t="n">
        <f aca="false">Parametres!$B$5*C8673</f>
        <v>0</v>
      </c>
      <c r="F8673" s="20" t="n">
        <f aca="false">Parametres!$B$6*D8673</f>
        <v>24.02</v>
      </c>
      <c r="G8673" s="20" t="n">
        <f aca="false">E8673+F8673</f>
        <v>24.02</v>
      </c>
      <c r="H8673" s="20" t="n">
        <f aca="false">IF(G8673&lt;Parametres!$B$8*Parametres!$B$7,0,MIN(G8673,Parametres!$B$7))</f>
        <v>0</v>
      </c>
      <c r="I8673" s="20" t="n">
        <f aca="false">G8673-H8673</f>
        <v>24.02</v>
      </c>
      <c r="J8673" s="21" t="n">
        <f aca="false">H8673*1000/Parametres!$B$9</f>
        <v>0</v>
      </c>
    </row>
    <row r="8674" customFormat="false" ht="15" hidden="false" customHeight="false" outlineLevel="0" collapsed="false">
      <c r="A8674" s="0" t="n">
        <v>8670</v>
      </c>
      <c r="B8674" s="0" t="n">
        <v>12</v>
      </c>
      <c r="C8674" s="19" t="n">
        <v>0</v>
      </c>
      <c r="D8674" s="19" t="n">
        <v>0.1261</v>
      </c>
      <c r="E8674" s="20" t="n">
        <f aca="false">Parametres!$B$5*C8674</f>
        <v>0</v>
      </c>
      <c r="F8674" s="20" t="n">
        <f aca="false">Parametres!$B$6*D8674</f>
        <v>25.22</v>
      </c>
      <c r="G8674" s="20" t="n">
        <f aca="false">E8674+F8674</f>
        <v>25.22</v>
      </c>
      <c r="H8674" s="20" t="n">
        <f aca="false">IF(G8674&lt;Parametres!$B$8*Parametres!$B$7,0,MIN(G8674,Parametres!$B$7))</f>
        <v>25.22</v>
      </c>
      <c r="I8674" s="20" t="n">
        <f aca="false">G8674-H8674</f>
        <v>0</v>
      </c>
      <c r="J8674" s="21" t="n">
        <f aca="false">H8674*1000/Parametres!$B$9</f>
        <v>427.67508902832</v>
      </c>
    </row>
    <row r="8675" customFormat="false" ht="15" hidden="false" customHeight="false" outlineLevel="0" collapsed="false">
      <c r="A8675" s="0" t="n">
        <v>8671</v>
      </c>
      <c r="B8675" s="0" t="n">
        <v>12</v>
      </c>
      <c r="C8675" s="19" t="n">
        <v>0</v>
      </c>
      <c r="D8675" s="19" t="n">
        <v>0.1637</v>
      </c>
      <c r="E8675" s="20" t="n">
        <f aca="false">Parametres!$B$5*C8675</f>
        <v>0</v>
      </c>
      <c r="F8675" s="20" t="n">
        <f aca="false">Parametres!$B$6*D8675</f>
        <v>32.74</v>
      </c>
      <c r="G8675" s="20" t="n">
        <f aca="false">E8675+F8675</f>
        <v>32.74</v>
      </c>
      <c r="H8675" s="20" t="n">
        <f aca="false">IF(G8675&lt;Parametres!$B$8*Parametres!$B$7,0,MIN(G8675,Parametres!$B$7))</f>
        <v>32.74</v>
      </c>
      <c r="I8675" s="20" t="n">
        <f aca="false">G8675-H8675</f>
        <v>0</v>
      </c>
      <c r="J8675" s="21" t="n">
        <f aca="false">H8675*1000/Parametres!$B$9</f>
        <v>555.19755808038</v>
      </c>
    </row>
    <row r="8676" customFormat="false" ht="15" hidden="false" customHeight="false" outlineLevel="0" collapsed="false">
      <c r="A8676" s="0" t="n">
        <v>8672</v>
      </c>
      <c r="B8676" s="0" t="n">
        <v>12</v>
      </c>
      <c r="C8676" s="19" t="n">
        <v>0.1282</v>
      </c>
      <c r="D8676" s="19" t="n">
        <v>0.0835</v>
      </c>
      <c r="E8676" s="20" t="n">
        <f aca="false">Parametres!$B$5*C8676</f>
        <v>38.46</v>
      </c>
      <c r="F8676" s="20" t="n">
        <f aca="false">Parametres!$B$6*D8676</f>
        <v>16.7</v>
      </c>
      <c r="G8676" s="20" t="n">
        <f aca="false">E8676+F8676</f>
        <v>55.16</v>
      </c>
      <c r="H8676" s="20" t="n">
        <f aca="false">IF(G8676&lt;Parametres!$B$8*Parametres!$B$7,0,MIN(G8676,Parametres!$B$7))</f>
        <v>55.16</v>
      </c>
      <c r="I8676" s="20" t="n">
        <f aca="false">G8676-H8676</f>
        <v>0</v>
      </c>
      <c r="J8676" s="21" t="n">
        <f aca="false">H8676*1000/Parametres!$B$9</f>
        <v>935.390876716975</v>
      </c>
    </row>
    <row r="8677" customFormat="false" ht="15" hidden="false" customHeight="false" outlineLevel="0" collapsed="false">
      <c r="A8677" s="0" t="n">
        <v>8673</v>
      </c>
      <c r="B8677" s="0" t="n">
        <v>12</v>
      </c>
      <c r="C8677" s="19" t="n">
        <v>0.3511</v>
      </c>
      <c r="D8677" s="19" t="n">
        <v>0.1596</v>
      </c>
      <c r="E8677" s="20" t="n">
        <f aca="false">Parametres!$B$5*C8677</f>
        <v>105.33</v>
      </c>
      <c r="F8677" s="20" t="n">
        <f aca="false">Parametres!$B$6*D8677</f>
        <v>31.92</v>
      </c>
      <c r="G8677" s="20" t="n">
        <f aca="false">E8677+F8677</f>
        <v>137.25</v>
      </c>
      <c r="H8677" s="20" t="n">
        <f aca="false">IF(G8677&lt;Parametres!$B$8*Parametres!$B$7,0,MIN(G8677,Parametres!$B$7))</f>
        <v>137.25</v>
      </c>
      <c r="I8677" s="20" t="n">
        <f aca="false">G8677-H8677</f>
        <v>0</v>
      </c>
      <c r="J8677" s="21" t="n">
        <f aca="false">H8677*1000/Parametres!$B$9</f>
        <v>2327.4546379515</v>
      </c>
    </row>
    <row r="8678" customFormat="false" ht="15" hidden="false" customHeight="false" outlineLevel="0" collapsed="false">
      <c r="A8678" s="0" t="n">
        <v>8674</v>
      </c>
      <c r="B8678" s="0" t="n">
        <v>12</v>
      </c>
      <c r="C8678" s="19" t="n">
        <v>0.5743</v>
      </c>
      <c r="D8678" s="19" t="n">
        <v>0.2079</v>
      </c>
      <c r="E8678" s="20" t="n">
        <f aca="false">Parametres!$B$5*C8678</f>
        <v>172.29</v>
      </c>
      <c r="F8678" s="20" t="n">
        <f aca="false">Parametres!$B$6*D8678</f>
        <v>41.58</v>
      </c>
      <c r="G8678" s="20" t="n">
        <f aca="false">E8678+F8678</f>
        <v>213.87</v>
      </c>
      <c r="H8678" s="20" t="n">
        <f aca="false">IF(G8678&lt;Parametres!$B$8*Parametres!$B$7,0,MIN(G8678,Parametres!$B$7))</f>
        <v>213.87</v>
      </c>
      <c r="I8678" s="20" t="n">
        <f aca="false">G8678-H8678</f>
        <v>0</v>
      </c>
      <c r="J8678" s="21" t="n">
        <f aca="false">H8678*1000/Parametres!$B$9</f>
        <v>3626.75936917077</v>
      </c>
    </row>
    <row r="8679" customFormat="false" ht="15" hidden="false" customHeight="false" outlineLevel="0" collapsed="false">
      <c r="A8679" s="0" t="n">
        <v>8675</v>
      </c>
      <c r="B8679" s="0" t="n">
        <v>12</v>
      </c>
      <c r="C8679" s="19" t="n">
        <v>0.6921</v>
      </c>
      <c r="D8679" s="19" t="n">
        <v>0.1755</v>
      </c>
      <c r="E8679" s="20" t="n">
        <f aca="false">Parametres!$B$5*C8679</f>
        <v>207.63</v>
      </c>
      <c r="F8679" s="20" t="n">
        <f aca="false">Parametres!$B$6*D8679</f>
        <v>35.1</v>
      </c>
      <c r="G8679" s="20" t="n">
        <f aca="false">E8679+F8679</f>
        <v>242.73</v>
      </c>
      <c r="H8679" s="20" t="n">
        <f aca="false">IF(G8679&lt;Parametres!$B$8*Parametres!$B$7,0,MIN(G8679,Parametres!$B$7))</f>
        <v>242.73</v>
      </c>
      <c r="I8679" s="20" t="n">
        <f aca="false">G8679-H8679</f>
        <v>0</v>
      </c>
      <c r="J8679" s="21" t="n">
        <f aca="false">H8679*1000/Parametres!$B$9</f>
        <v>4116.16075970833</v>
      </c>
    </row>
    <row r="8680" customFormat="false" ht="15" hidden="false" customHeight="false" outlineLevel="0" collapsed="false">
      <c r="A8680" s="0" t="n">
        <v>8676</v>
      </c>
      <c r="B8680" s="0" t="n">
        <v>12</v>
      </c>
      <c r="C8680" s="19" t="n">
        <v>0.7823</v>
      </c>
      <c r="D8680" s="19" t="n">
        <v>0.1854</v>
      </c>
      <c r="E8680" s="20" t="n">
        <f aca="false">Parametres!$B$5*C8680</f>
        <v>234.69</v>
      </c>
      <c r="F8680" s="20" t="n">
        <f aca="false">Parametres!$B$6*D8680</f>
        <v>37.08</v>
      </c>
      <c r="G8680" s="20" t="n">
        <f aca="false">E8680+F8680</f>
        <v>271.77</v>
      </c>
      <c r="H8680" s="20" t="n">
        <f aca="false">IF(G8680&lt;Parametres!$B$8*Parametres!$B$7,0,MIN(G8680,Parametres!$B$7))</f>
        <v>250</v>
      </c>
      <c r="I8680" s="20" t="n">
        <f aca="false">G8680-H8680</f>
        <v>21.77</v>
      </c>
      <c r="J8680" s="21" t="n">
        <f aca="false">H8680*1000/Parametres!$B$9</f>
        <v>4239.44378497541</v>
      </c>
    </row>
    <row r="8681" customFormat="false" ht="15" hidden="false" customHeight="false" outlineLevel="0" collapsed="false">
      <c r="A8681" s="0" t="n">
        <v>8677</v>
      </c>
      <c r="B8681" s="0" t="n">
        <v>12</v>
      </c>
      <c r="C8681" s="19" t="n">
        <v>0.7939</v>
      </c>
      <c r="D8681" s="19" t="n">
        <v>0.3032</v>
      </c>
      <c r="E8681" s="20" t="n">
        <f aca="false">Parametres!$B$5*C8681</f>
        <v>238.17</v>
      </c>
      <c r="F8681" s="20" t="n">
        <f aca="false">Parametres!$B$6*D8681</f>
        <v>60.64</v>
      </c>
      <c r="G8681" s="20" t="n">
        <f aca="false">E8681+F8681</f>
        <v>298.81</v>
      </c>
      <c r="H8681" s="20" t="n">
        <f aca="false">IF(G8681&lt;Parametres!$B$8*Parametres!$B$7,0,MIN(G8681,Parametres!$B$7))</f>
        <v>250</v>
      </c>
      <c r="I8681" s="20" t="n">
        <f aca="false">G8681-H8681</f>
        <v>48.81</v>
      </c>
      <c r="J8681" s="21" t="n">
        <f aca="false">H8681*1000/Parametres!$B$9</f>
        <v>4239.44378497541</v>
      </c>
    </row>
    <row r="8682" customFormat="false" ht="15" hidden="false" customHeight="false" outlineLevel="0" collapsed="false">
      <c r="A8682" s="0" t="n">
        <v>8678</v>
      </c>
      <c r="B8682" s="0" t="n">
        <v>12</v>
      </c>
      <c r="C8682" s="19" t="n">
        <v>0.735</v>
      </c>
      <c r="D8682" s="19" t="n">
        <v>0.3117</v>
      </c>
      <c r="E8682" s="20" t="n">
        <f aca="false">Parametres!$B$5*C8682</f>
        <v>220.5</v>
      </c>
      <c r="F8682" s="20" t="n">
        <f aca="false">Parametres!$B$6*D8682</f>
        <v>62.34</v>
      </c>
      <c r="G8682" s="20" t="n">
        <f aca="false">E8682+F8682</f>
        <v>282.84</v>
      </c>
      <c r="H8682" s="20" t="n">
        <f aca="false">IF(G8682&lt;Parametres!$B$8*Parametres!$B$7,0,MIN(G8682,Parametres!$B$7))</f>
        <v>250</v>
      </c>
      <c r="I8682" s="20" t="n">
        <f aca="false">G8682-H8682</f>
        <v>32.84</v>
      </c>
      <c r="J8682" s="21" t="n">
        <f aca="false">H8682*1000/Parametres!$B$9</f>
        <v>4239.44378497541</v>
      </c>
    </row>
    <row r="8683" customFormat="false" ht="15" hidden="false" customHeight="false" outlineLevel="0" collapsed="false">
      <c r="A8683" s="0" t="n">
        <v>8679</v>
      </c>
      <c r="B8683" s="0" t="n">
        <v>12</v>
      </c>
      <c r="C8683" s="19" t="n">
        <v>0.5771</v>
      </c>
      <c r="D8683" s="19" t="n">
        <v>0.3647</v>
      </c>
      <c r="E8683" s="20" t="n">
        <f aca="false">Parametres!$B$5*C8683</f>
        <v>173.13</v>
      </c>
      <c r="F8683" s="20" t="n">
        <f aca="false">Parametres!$B$6*D8683</f>
        <v>72.94</v>
      </c>
      <c r="G8683" s="20" t="n">
        <f aca="false">E8683+F8683</f>
        <v>246.07</v>
      </c>
      <c r="H8683" s="20" t="n">
        <f aca="false">IF(G8683&lt;Parametres!$B$8*Parametres!$B$7,0,MIN(G8683,Parametres!$B$7))</f>
        <v>246.07</v>
      </c>
      <c r="I8683" s="20" t="n">
        <f aca="false">G8683-H8683</f>
        <v>0</v>
      </c>
      <c r="J8683" s="21" t="n">
        <f aca="false">H8683*1000/Parametres!$B$9</f>
        <v>4172.7997286756</v>
      </c>
    </row>
    <row r="8684" customFormat="false" ht="15" hidden="false" customHeight="false" outlineLevel="0" collapsed="false">
      <c r="A8684" s="0" t="n">
        <v>8680</v>
      </c>
      <c r="B8684" s="0" t="n">
        <v>12</v>
      </c>
      <c r="C8684" s="19" t="n">
        <v>0.3562</v>
      </c>
      <c r="D8684" s="19" t="n">
        <v>0.5102</v>
      </c>
      <c r="E8684" s="20" t="n">
        <f aca="false">Parametres!$B$5*C8684</f>
        <v>106.86</v>
      </c>
      <c r="F8684" s="20" t="n">
        <f aca="false">Parametres!$B$6*D8684</f>
        <v>102.04</v>
      </c>
      <c r="G8684" s="20" t="n">
        <f aca="false">E8684+F8684</f>
        <v>208.9</v>
      </c>
      <c r="H8684" s="20" t="n">
        <f aca="false">IF(G8684&lt;Parametres!$B$8*Parametres!$B$7,0,MIN(G8684,Parametres!$B$7))</f>
        <v>208.9</v>
      </c>
      <c r="I8684" s="20" t="n">
        <f aca="false">G8684-H8684</f>
        <v>0</v>
      </c>
      <c r="J8684" s="21" t="n">
        <f aca="false">H8684*1000/Parametres!$B$9</f>
        <v>3542.47922672545</v>
      </c>
    </row>
    <row r="8685" customFormat="false" ht="15" hidden="false" customHeight="false" outlineLevel="0" collapsed="false">
      <c r="A8685" s="0" t="n">
        <v>8681</v>
      </c>
      <c r="B8685" s="0" t="n">
        <v>12</v>
      </c>
      <c r="C8685" s="19" t="n">
        <v>0.1267</v>
      </c>
      <c r="D8685" s="19" t="n">
        <v>0.741</v>
      </c>
      <c r="E8685" s="20" t="n">
        <f aca="false">Parametres!$B$5*C8685</f>
        <v>38.01</v>
      </c>
      <c r="F8685" s="20" t="n">
        <f aca="false">Parametres!$B$6*D8685</f>
        <v>148.2</v>
      </c>
      <c r="G8685" s="20" t="n">
        <f aca="false">E8685+F8685</f>
        <v>186.21</v>
      </c>
      <c r="H8685" s="20" t="n">
        <f aca="false">IF(G8685&lt;Parametres!$B$8*Parametres!$B$7,0,MIN(G8685,Parametres!$B$7))</f>
        <v>186.21</v>
      </c>
      <c r="I8685" s="20" t="n">
        <f aca="false">G8685-H8685</f>
        <v>0</v>
      </c>
      <c r="J8685" s="21" t="n">
        <f aca="false">H8685*1000/Parametres!$B$9</f>
        <v>3157.70730880108</v>
      </c>
    </row>
    <row r="8686" customFormat="false" ht="15" hidden="false" customHeight="false" outlineLevel="0" collapsed="false">
      <c r="A8686" s="0" t="n">
        <v>8682</v>
      </c>
      <c r="B8686" s="0" t="n">
        <v>12</v>
      </c>
      <c r="C8686" s="19" t="n">
        <v>0</v>
      </c>
      <c r="D8686" s="19" t="n">
        <v>0.715</v>
      </c>
      <c r="E8686" s="20" t="n">
        <f aca="false">Parametres!$B$5*C8686</f>
        <v>0</v>
      </c>
      <c r="F8686" s="20" t="n">
        <f aca="false">Parametres!$B$6*D8686</f>
        <v>143</v>
      </c>
      <c r="G8686" s="20" t="n">
        <f aca="false">E8686+F8686</f>
        <v>143</v>
      </c>
      <c r="H8686" s="20" t="n">
        <f aca="false">IF(G8686&lt;Parametres!$B$8*Parametres!$B$7,0,MIN(G8686,Parametres!$B$7))</f>
        <v>143</v>
      </c>
      <c r="I8686" s="20" t="n">
        <f aca="false">G8686-H8686</f>
        <v>0</v>
      </c>
      <c r="J8686" s="21" t="n">
        <f aca="false">H8686*1000/Parametres!$B$9</f>
        <v>2424.96184500594</v>
      </c>
    </row>
    <row r="8687" customFormat="false" ht="15" hidden="false" customHeight="false" outlineLevel="0" collapsed="false">
      <c r="A8687" s="0" t="n">
        <v>8683</v>
      </c>
      <c r="B8687" s="0" t="n">
        <v>12</v>
      </c>
      <c r="C8687" s="19" t="n">
        <v>0</v>
      </c>
      <c r="D8687" s="19" t="n">
        <v>0.6809</v>
      </c>
      <c r="E8687" s="20" t="n">
        <f aca="false">Parametres!$B$5*C8687</f>
        <v>0</v>
      </c>
      <c r="F8687" s="20" t="n">
        <f aca="false">Parametres!$B$6*D8687</f>
        <v>136.18</v>
      </c>
      <c r="G8687" s="20" t="n">
        <f aca="false">E8687+F8687</f>
        <v>136.18</v>
      </c>
      <c r="H8687" s="20" t="n">
        <f aca="false">IF(G8687&lt;Parametres!$B$8*Parametres!$B$7,0,MIN(G8687,Parametres!$B$7))</f>
        <v>136.18</v>
      </c>
      <c r="I8687" s="20" t="n">
        <f aca="false">G8687-H8687</f>
        <v>0</v>
      </c>
      <c r="J8687" s="21" t="n">
        <f aca="false">H8687*1000/Parametres!$B$9</f>
        <v>2309.30981855181</v>
      </c>
    </row>
    <row r="8688" customFormat="false" ht="15" hidden="false" customHeight="false" outlineLevel="0" collapsed="false">
      <c r="A8688" s="0" t="n">
        <v>8684</v>
      </c>
      <c r="B8688" s="0" t="n">
        <v>12</v>
      </c>
      <c r="C8688" s="19" t="n">
        <v>0</v>
      </c>
      <c r="D8688" s="19" t="n">
        <v>0.5371</v>
      </c>
      <c r="E8688" s="20" t="n">
        <f aca="false">Parametres!$B$5*C8688</f>
        <v>0</v>
      </c>
      <c r="F8688" s="20" t="n">
        <f aca="false">Parametres!$B$6*D8688</f>
        <v>107.42</v>
      </c>
      <c r="G8688" s="20" t="n">
        <f aca="false">E8688+F8688</f>
        <v>107.42</v>
      </c>
      <c r="H8688" s="20" t="n">
        <f aca="false">IF(G8688&lt;Parametres!$B$8*Parametres!$B$7,0,MIN(G8688,Parametres!$B$7))</f>
        <v>107.42</v>
      </c>
      <c r="I8688" s="20" t="n">
        <f aca="false">G8688-H8688</f>
        <v>0</v>
      </c>
      <c r="J8688" s="21" t="n">
        <f aca="false">H8688*1000/Parametres!$B$9</f>
        <v>1821.60420552823</v>
      </c>
    </row>
    <row r="8689" customFormat="false" ht="15" hidden="false" customHeight="false" outlineLevel="0" collapsed="false">
      <c r="A8689" s="0" t="n">
        <v>8685</v>
      </c>
      <c r="B8689" s="0" t="n">
        <v>12</v>
      </c>
      <c r="C8689" s="19" t="n">
        <v>0</v>
      </c>
      <c r="D8689" s="19" t="n">
        <v>0.4647</v>
      </c>
      <c r="E8689" s="20" t="n">
        <f aca="false">Parametres!$B$5*C8689</f>
        <v>0</v>
      </c>
      <c r="F8689" s="20" t="n">
        <f aca="false">Parametres!$B$6*D8689</f>
        <v>92.94</v>
      </c>
      <c r="G8689" s="20" t="n">
        <f aca="false">E8689+F8689</f>
        <v>92.94</v>
      </c>
      <c r="H8689" s="20" t="n">
        <f aca="false">IF(G8689&lt;Parametres!$B$8*Parametres!$B$7,0,MIN(G8689,Parametres!$B$7))</f>
        <v>92.94</v>
      </c>
      <c r="I8689" s="20" t="n">
        <f aca="false">G8689-H8689</f>
        <v>0</v>
      </c>
      <c r="J8689" s="21" t="n">
        <f aca="false">H8689*1000/Parametres!$B$9</f>
        <v>1576.05562150246</v>
      </c>
    </row>
    <row r="8690" customFormat="false" ht="15" hidden="false" customHeight="false" outlineLevel="0" collapsed="false">
      <c r="A8690" s="0" t="n">
        <v>8686</v>
      </c>
      <c r="B8690" s="0" t="n">
        <v>12</v>
      </c>
      <c r="C8690" s="19" t="n">
        <v>0</v>
      </c>
      <c r="D8690" s="19" t="n">
        <v>0.5228</v>
      </c>
      <c r="E8690" s="20" t="n">
        <f aca="false">Parametres!$B$5*C8690</f>
        <v>0</v>
      </c>
      <c r="F8690" s="20" t="n">
        <f aca="false">Parametres!$B$6*D8690</f>
        <v>104.56</v>
      </c>
      <c r="G8690" s="20" t="n">
        <f aca="false">E8690+F8690</f>
        <v>104.56</v>
      </c>
      <c r="H8690" s="20" t="n">
        <f aca="false">IF(G8690&lt;Parametres!$B$8*Parametres!$B$7,0,MIN(G8690,Parametres!$B$7))</f>
        <v>104.56</v>
      </c>
      <c r="I8690" s="20" t="n">
        <f aca="false">G8690-H8690</f>
        <v>0</v>
      </c>
      <c r="J8690" s="21" t="n">
        <f aca="false">H8690*1000/Parametres!$B$9</f>
        <v>1773.10496862812</v>
      </c>
    </row>
    <row r="8691" customFormat="false" ht="15" hidden="false" customHeight="false" outlineLevel="0" collapsed="false">
      <c r="A8691" s="0" t="n">
        <v>8687</v>
      </c>
      <c r="B8691" s="0" t="n">
        <v>12</v>
      </c>
      <c r="C8691" s="19" t="n">
        <v>0</v>
      </c>
      <c r="D8691" s="19" t="n">
        <v>0.5083</v>
      </c>
      <c r="E8691" s="20" t="n">
        <f aca="false">Parametres!$B$5*C8691</f>
        <v>0</v>
      </c>
      <c r="F8691" s="20" t="n">
        <f aca="false">Parametres!$B$6*D8691</f>
        <v>101.66</v>
      </c>
      <c r="G8691" s="20" t="n">
        <f aca="false">E8691+F8691</f>
        <v>101.66</v>
      </c>
      <c r="H8691" s="20" t="n">
        <f aca="false">IF(G8691&lt;Parametres!$B$8*Parametres!$B$7,0,MIN(G8691,Parametres!$B$7))</f>
        <v>101.66</v>
      </c>
      <c r="I8691" s="20" t="n">
        <f aca="false">G8691-H8691</f>
        <v>0</v>
      </c>
      <c r="J8691" s="21" t="n">
        <f aca="false">H8691*1000/Parametres!$B$9</f>
        <v>1723.9274207224</v>
      </c>
    </row>
    <row r="8692" customFormat="false" ht="15" hidden="false" customHeight="false" outlineLevel="0" collapsed="false">
      <c r="A8692" s="0" t="n">
        <v>8688</v>
      </c>
      <c r="B8692" s="0" t="n">
        <v>12</v>
      </c>
      <c r="C8692" s="19" t="n">
        <v>0</v>
      </c>
      <c r="D8692" s="19" t="n">
        <v>0.3565</v>
      </c>
      <c r="E8692" s="20" t="n">
        <f aca="false">Parametres!$B$5*C8692</f>
        <v>0</v>
      </c>
      <c r="F8692" s="20" t="n">
        <f aca="false">Parametres!$B$6*D8692</f>
        <v>71.3</v>
      </c>
      <c r="G8692" s="20" t="n">
        <f aca="false">E8692+F8692</f>
        <v>71.3</v>
      </c>
      <c r="H8692" s="20" t="n">
        <f aca="false">IF(G8692&lt;Parametres!$B$8*Parametres!$B$7,0,MIN(G8692,Parametres!$B$7))</f>
        <v>71.3</v>
      </c>
      <c r="I8692" s="20" t="n">
        <f aca="false">G8692-H8692</f>
        <v>0</v>
      </c>
      <c r="J8692" s="21" t="n">
        <f aca="false">H8692*1000/Parametres!$B$9</f>
        <v>1209.08936747499</v>
      </c>
    </row>
    <row r="8693" customFormat="false" ht="15" hidden="false" customHeight="false" outlineLevel="0" collapsed="false">
      <c r="A8693" s="0" t="n">
        <v>8689</v>
      </c>
      <c r="B8693" s="0" t="n">
        <v>12</v>
      </c>
      <c r="C8693" s="19" t="n">
        <v>0</v>
      </c>
      <c r="D8693" s="19" t="n">
        <v>0.4049</v>
      </c>
      <c r="E8693" s="20" t="n">
        <f aca="false">Parametres!$B$5*C8693</f>
        <v>0</v>
      </c>
      <c r="F8693" s="20" t="n">
        <f aca="false">Parametres!$B$6*D8693</f>
        <v>80.98</v>
      </c>
      <c r="G8693" s="20" t="n">
        <f aca="false">E8693+F8693</f>
        <v>80.98</v>
      </c>
      <c r="H8693" s="20" t="n">
        <f aca="false">IF(G8693&lt;Parametres!$B$8*Parametres!$B$7,0,MIN(G8693,Parametres!$B$7))</f>
        <v>80.98</v>
      </c>
      <c r="I8693" s="20" t="n">
        <f aca="false">G8693-H8693</f>
        <v>0</v>
      </c>
      <c r="J8693" s="21" t="n">
        <f aca="false">H8693*1000/Parametres!$B$9</f>
        <v>1373.24063082924</v>
      </c>
    </row>
    <row r="8694" customFormat="false" ht="15" hidden="false" customHeight="false" outlineLevel="0" collapsed="false">
      <c r="A8694" s="0" t="n">
        <v>8690</v>
      </c>
      <c r="B8694" s="0" t="n">
        <v>12</v>
      </c>
      <c r="C8694" s="19" t="n">
        <v>0</v>
      </c>
      <c r="D8694" s="19" t="n">
        <v>0.2997</v>
      </c>
      <c r="E8694" s="20" t="n">
        <f aca="false">Parametres!$B$5*C8694</f>
        <v>0</v>
      </c>
      <c r="F8694" s="20" t="n">
        <f aca="false">Parametres!$B$6*D8694</f>
        <v>59.94</v>
      </c>
      <c r="G8694" s="20" t="n">
        <f aca="false">E8694+F8694</f>
        <v>59.94</v>
      </c>
      <c r="H8694" s="20" t="n">
        <f aca="false">IF(G8694&lt;Parametres!$B$8*Parametres!$B$7,0,MIN(G8694,Parametres!$B$7))</f>
        <v>59.94</v>
      </c>
      <c r="I8694" s="20" t="n">
        <f aca="false">G8694-H8694</f>
        <v>0</v>
      </c>
      <c r="J8694" s="21" t="n">
        <f aca="false">H8694*1000/Parametres!$B$9</f>
        <v>1016.4490418857</v>
      </c>
    </row>
    <row r="8695" customFormat="false" ht="15" hidden="false" customHeight="false" outlineLevel="0" collapsed="false">
      <c r="A8695" s="0" t="n">
        <v>8691</v>
      </c>
      <c r="B8695" s="0" t="n">
        <v>12</v>
      </c>
      <c r="C8695" s="19" t="n">
        <v>0</v>
      </c>
      <c r="D8695" s="19" t="n">
        <v>0.2138</v>
      </c>
      <c r="E8695" s="20" t="n">
        <f aca="false">Parametres!$B$5*C8695</f>
        <v>0</v>
      </c>
      <c r="F8695" s="20" t="n">
        <f aca="false">Parametres!$B$6*D8695</f>
        <v>42.76</v>
      </c>
      <c r="G8695" s="20" t="n">
        <f aca="false">E8695+F8695</f>
        <v>42.76</v>
      </c>
      <c r="H8695" s="20" t="n">
        <f aca="false">IF(G8695&lt;Parametres!$B$8*Parametres!$B$7,0,MIN(G8695,Parametres!$B$7))</f>
        <v>42.76</v>
      </c>
      <c r="I8695" s="20" t="n">
        <f aca="false">G8695-H8695</f>
        <v>0</v>
      </c>
      <c r="J8695" s="21" t="n">
        <f aca="false">H8695*1000/Parametres!$B$9</f>
        <v>725.114464982194</v>
      </c>
    </row>
    <row r="8696" customFormat="false" ht="15" hidden="false" customHeight="false" outlineLevel="0" collapsed="false">
      <c r="A8696" s="0" t="n">
        <v>8692</v>
      </c>
      <c r="B8696" s="0" t="n">
        <v>12</v>
      </c>
      <c r="C8696" s="19" t="n">
        <v>0</v>
      </c>
      <c r="D8696" s="19" t="n">
        <v>0.1609</v>
      </c>
      <c r="E8696" s="20" t="n">
        <f aca="false">Parametres!$B$5*C8696</f>
        <v>0</v>
      </c>
      <c r="F8696" s="20" t="n">
        <f aca="false">Parametres!$B$6*D8696</f>
        <v>32.18</v>
      </c>
      <c r="G8696" s="20" t="n">
        <f aca="false">E8696+F8696</f>
        <v>32.18</v>
      </c>
      <c r="H8696" s="20" t="n">
        <f aca="false">IF(G8696&lt;Parametres!$B$8*Parametres!$B$7,0,MIN(G8696,Parametres!$B$7))</f>
        <v>32.18</v>
      </c>
      <c r="I8696" s="20" t="n">
        <f aca="false">G8696-H8696</f>
        <v>0</v>
      </c>
      <c r="J8696" s="21" t="n">
        <f aca="false">H8696*1000/Parametres!$B$9</f>
        <v>545.701204002035</v>
      </c>
    </row>
    <row r="8697" customFormat="false" ht="15" hidden="false" customHeight="false" outlineLevel="0" collapsed="false">
      <c r="A8697" s="0" t="n">
        <v>8693</v>
      </c>
      <c r="B8697" s="0" t="n">
        <v>12</v>
      </c>
      <c r="C8697" s="19" t="n">
        <v>0</v>
      </c>
      <c r="D8697" s="19" t="n">
        <v>0.0883</v>
      </c>
      <c r="E8697" s="20" t="n">
        <f aca="false">Parametres!$B$5*C8697</f>
        <v>0</v>
      </c>
      <c r="F8697" s="20" t="n">
        <f aca="false">Parametres!$B$6*D8697</f>
        <v>17.66</v>
      </c>
      <c r="G8697" s="20" t="n">
        <f aca="false">E8697+F8697</f>
        <v>17.66</v>
      </c>
      <c r="H8697" s="20" t="n">
        <f aca="false">IF(G8697&lt;Parametres!$B$8*Parametres!$B$7,0,MIN(G8697,Parametres!$B$7))</f>
        <v>0</v>
      </c>
      <c r="I8697" s="20" t="n">
        <f aca="false">G8697-H8697</f>
        <v>17.66</v>
      </c>
      <c r="J8697" s="21" t="n">
        <f aca="false">H8697*1000/Parametres!$B$9</f>
        <v>0</v>
      </c>
    </row>
    <row r="8698" customFormat="false" ht="15" hidden="false" customHeight="false" outlineLevel="0" collapsed="false">
      <c r="A8698" s="0" t="n">
        <v>8694</v>
      </c>
      <c r="B8698" s="0" t="n">
        <v>12</v>
      </c>
      <c r="C8698" s="19" t="n">
        <v>0</v>
      </c>
      <c r="D8698" s="19" t="n">
        <v>0.1644</v>
      </c>
      <c r="E8698" s="20" t="n">
        <f aca="false">Parametres!$B$5*C8698</f>
        <v>0</v>
      </c>
      <c r="F8698" s="20" t="n">
        <f aca="false">Parametres!$B$6*D8698</f>
        <v>32.88</v>
      </c>
      <c r="G8698" s="20" t="n">
        <f aca="false">E8698+F8698</f>
        <v>32.88</v>
      </c>
      <c r="H8698" s="20" t="n">
        <f aca="false">IF(G8698&lt;Parametres!$B$8*Parametres!$B$7,0,MIN(G8698,Parametres!$B$7))</f>
        <v>32.88</v>
      </c>
      <c r="I8698" s="20" t="n">
        <f aca="false">G8698-H8698</f>
        <v>0</v>
      </c>
      <c r="J8698" s="21" t="n">
        <f aca="false">H8698*1000/Parametres!$B$9</f>
        <v>557.571646599966</v>
      </c>
    </row>
    <row r="8699" customFormat="false" ht="15" hidden="false" customHeight="false" outlineLevel="0" collapsed="false">
      <c r="A8699" s="0" t="n">
        <v>8695</v>
      </c>
      <c r="B8699" s="0" t="n">
        <v>12</v>
      </c>
      <c r="C8699" s="19" t="n">
        <v>0</v>
      </c>
      <c r="D8699" s="19" t="n">
        <v>0.0749</v>
      </c>
      <c r="E8699" s="20" t="n">
        <f aca="false">Parametres!$B$5*C8699</f>
        <v>0</v>
      </c>
      <c r="F8699" s="20" t="n">
        <f aca="false">Parametres!$B$6*D8699</f>
        <v>14.98</v>
      </c>
      <c r="G8699" s="20" t="n">
        <f aca="false">E8699+F8699</f>
        <v>14.98</v>
      </c>
      <c r="H8699" s="20" t="n">
        <f aca="false">IF(G8699&lt;Parametres!$B$8*Parametres!$B$7,0,MIN(G8699,Parametres!$B$7))</f>
        <v>0</v>
      </c>
      <c r="I8699" s="20" t="n">
        <f aca="false">G8699-H8699</f>
        <v>14.98</v>
      </c>
      <c r="J8699" s="21" t="n">
        <f aca="false">H8699*1000/Parametres!$B$9</f>
        <v>0</v>
      </c>
    </row>
    <row r="8700" customFormat="false" ht="15" hidden="false" customHeight="false" outlineLevel="0" collapsed="false">
      <c r="A8700" s="0" t="n">
        <v>8696</v>
      </c>
      <c r="B8700" s="0" t="n">
        <v>12</v>
      </c>
      <c r="C8700" s="19" t="n">
        <v>0.1032</v>
      </c>
      <c r="D8700" s="19" t="n">
        <v>0.0817</v>
      </c>
      <c r="E8700" s="20" t="n">
        <f aca="false">Parametres!$B$5*C8700</f>
        <v>30.96</v>
      </c>
      <c r="F8700" s="20" t="n">
        <f aca="false">Parametres!$B$6*D8700</f>
        <v>16.34</v>
      </c>
      <c r="G8700" s="20" t="n">
        <f aca="false">E8700+F8700</f>
        <v>47.3</v>
      </c>
      <c r="H8700" s="20" t="n">
        <f aca="false">IF(G8700&lt;Parametres!$B$8*Parametres!$B$7,0,MIN(G8700,Parametres!$B$7))</f>
        <v>47.3</v>
      </c>
      <c r="I8700" s="20" t="n">
        <f aca="false">G8700-H8700</f>
        <v>0</v>
      </c>
      <c r="J8700" s="21" t="n">
        <f aca="false">H8700*1000/Parametres!$B$9</f>
        <v>802.102764117348</v>
      </c>
    </row>
    <row r="8701" customFormat="false" ht="15" hidden="false" customHeight="false" outlineLevel="0" collapsed="false">
      <c r="A8701" s="0" t="n">
        <v>8697</v>
      </c>
      <c r="B8701" s="0" t="n">
        <v>12</v>
      </c>
      <c r="C8701" s="19" t="n">
        <v>0.3106</v>
      </c>
      <c r="D8701" s="19" t="n">
        <v>0.1101</v>
      </c>
      <c r="E8701" s="20" t="n">
        <f aca="false">Parametres!$B$5*C8701</f>
        <v>93.18</v>
      </c>
      <c r="F8701" s="20" t="n">
        <f aca="false">Parametres!$B$6*D8701</f>
        <v>22.02</v>
      </c>
      <c r="G8701" s="20" t="n">
        <f aca="false">E8701+F8701</f>
        <v>115.2</v>
      </c>
      <c r="H8701" s="20" t="n">
        <f aca="false">IF(G8701&lt;Parametres!$B$8*Parametres!$B$7,0,MIN(G8701,Parametres!$B$7))</f>
        <v>115.2</v>
      </c>
      <c r="I8701" s="20" t="n">
        <f aca="false">G8701-H8701</f>
        <v>0</v>
      </c>
      <c r="J8701" s="21" t="n">
        <f aca="false">H8701*1000/Parametres!$B$9</f>
        <v>1953.53569611667</v>
      </c>
    </row>
    <row r="8702" customFormat="false" ht="15" hidden="false" customHeight="false" outlineLevel="0" collapsed="false">
      <c r="A8702" s="0" t="n">
        <v>8698</v>
      </c>
      <c r="B8702" s="0" t="n">
        <v>12</v>
      </c>
      <c r="C8702" s="19" t="n">
        <v>0.4715</v>
      </c>
      <c r="D8702" s="19" t="n">
        <v>0.0735</v>
      </c>
      <c r="E8702" s="20" t="n">
        <f aca="false">Parametres!$B$5*C8702</f>
        <v>141.45</v>
      </c>
      <c r="F8702" s="20" t="n">
        <f aca="false">Parametres!$B$6*D8702</f>
        <v>14.7</v>
      </c>
      <c r="G8702" s="20" t="n">
        <f aca="false">E8702+F8702</f>
        <v>156.15</v>
      </c>
      <c r="H8702" s="20" t="n">
        <f aca="false">IF(G8702&lt;Parametres!$B$8*Parametres!$B$7,0,MIN(G8702,Parametres!$B$7))</f>
        <v>156.15</v>
      </c>
      <c r="I8702" s="20" t="n">
        <f aca="false">G8702-H8702</f>
        <v>0</v>
      </c>
      <c r="J8702" s="21" t="n">
        <f aca="false">H8702*1000/Parametres!$B$9</f>
        <v>2647.95658809564</v>
      </c>
    </row>
    <row r="8703" customFormat="false" ht="15" hidden="false" customHeight="false" outlineLevel="0" collapsed="false">
      <c r="A8703" s="0" t="n">
        <v>8699</v>
      </c>
      <c r="B8703" s="0" t="n">
        <v>12</v>
      </c>
      <c r="C8703" s="19" t="n">
        <v>0.5355</v>
      </c>
      <c r="D8703" s="19" t="n">
        <v>0.1326</v>
      </c>
      <c r="E8703" s="20" t="n">
        <f aca="false">Parametres!$B$5*C8703</f>
        <v>160.65</v>
      </c>
      <c r="F8703" s="20" t="n">
        <f aca="false">Parametres!$B$6*D8703</f>
        <v>26.52</v>
      </c>
      <c r="G8703" s="20" t="n">
        <f aca="false">E8703+F8703</f>
        <v>187.17</v>
      </c>
      <c r="H8703" s="20" t="n">
        <f aca="false">IF(G8703&lt;Parametres!$B$8*Parametres!$B$7,0,MIN(G8703,Parametres!$B$7))</f>
        <v>187.17</v>
      </c>
      <c r="I8703" s="20" t="n">
        <f aca="false">G8703-H8703</f>
        <v>0</v>
      </c>
      <c r="J8703" s="21" t="n">
        <f aca="false">H8703*1000/Parametres!$B$9</f>
        <v>3173.98677293539</v>
      </c>
    </row>
    <row r="8704" customFormat="false" ht="15" hidden="false" customHeight="false" outlineLevel="0" collapsed="false">
      <c r="A8704" s="0" t="n">
        <v>8700</v>
      </c>
      <c r="B8704" s="0" t="n">
        <v>12</v>
      </c>
      <c r="C8704" s="19" t="n">
        <v>0.6459</v>
      </c>
      <c r="D8704" s="19" t="n">
        <v>0.2343</v>
      </c>
      <c r="E8704" s="20" t="n">
        <f aca="false">Parametres!$B$5*C8704</f>
        <v>193.77</v>
      </c>
      <c r="F8704" s="20" t="n">
        <f aca="false">Parametres!$B$6*D8704</f>
        <v>46.86</v>
      </c>
      <c r="G8704" s="20" t="n">
        <f aca="false">E8704+F8704</f>
        <v>240.63</v>
      </c>
      <c r="H8704" s="20" t="n">
        <f aca="false">IF(G8704&lt;Parametres!$B$8*Parametres!$B$7,0,MIN(G8704,Parametres!$B$7))</f>
        <v>240.63</v>
      </c>
      <c r="I8704" s="20" t="n">
        <f aca="false">G8704-H8704</f>
        <v>0</v>
      </c>
      <c r="J8704" s="21" t="n">
        <f aca="false">H8704*1000/Parametres!$B$9</f>
        <v>4080.54943191453</v>
      </c>
    </row>
    <row r="8705" customFormat="false" ht="15" hidden="false" customHeight="false" outlineLevel="0" collapsed="false">
      <c r="A8705" s="0" t="n">
        <v>8701</v>
      </c>
      <c r="B8705" s="0" t="n">
        <v>12</v>
      </c>
      <c r="C8705" s="19" t="n">
        <v>0.6642</v>
      </c>
      <c r="D8705" s="19" t="n">
        <v>0.3525</v>
      </c>
      <c r="E8705" s="20" t="n">
        <f aca="false">Parametres!$B$5*C8705</f>
        <v>199.26</v>
      </c>
      <c r="F8705" s="20" t="n">
        <f aca="false">Parametres!$B$6*D8705</f>
        <v>70.5</v>
      </c>
      <c r="G8705" s="20" t="n">
        <f aca="false">E8705+F8705</f>
        <v>269.76</v>
      </c>
      <c r="H8705" s="20" t="n">
        <f aca="false">IF(G8705&lt;Parametres!$B$8*Parametres!$B$7,0,MIN(G8705,Parametres!$B$7))</f>
        <v>250</v>
      </c>
      <c r="I8705" s="20" t="n">
        <f aca="false">G8705-H8705</f>
        <v>19.76</v>
      </c>
      <c r="J8705" s="21" t="n">
        <f aca="false">H8705*1000/Parametres!$B$9</f>
        <v>4239.44378497541</v>
      </c>
    </row>
    <row r="8706" customFormat="false" ht="15" hidden="false" customHeight="false" outlineLevel="0" collapsed="false">
      <c r="A8706" s="0" t="n">
        <v>8702</v>
      </c>
      <c r="B8706" s="0" t="n">
        <v>12</v>
      </c>
      <c r="C8706" s="19" t="n">
        <v>0.617</v>
      </c>
      <c r="D8706" s="19" t="n">
        <v>0.3525</v>
      </c>
      <c r="E8706" s="20" t="n">
        <f aca="false">Parametres!$B$5*C8706</f>
        <v>185.1</v>
      </c>
      <c r="F8706" s="20" t="n">
        <f aca="false">Parametres!$B$6*D8706</f>
        <v>70.5</v>
      </c>
      <c r="G8706" s="20" t="n">
        <f aca="false">E8706+F8706</f>
        <v>255.6</v>
      </c>
      <c r="H8706" s="20" t="n">
        <f aca="false">IF(G8706&lt;Parametres!$B$8*Parametres!$B$7,0,MIN(G8706,Parametres!$B$7))</f>
        <v>250</v>
      </c>
      <c r="I8706" s="20" t="n">
        <f aca="false">G8706-H8706</f>
        <v>5.59999999999999</v>
      </c>
      <c r="J8706" s="21" t="n">
        <f aca="false">H8706*1000/Parametres!$B$9</f>
        <v>4239.44378497541</v>
      </c>
    </row>
    <row r="8707" customFormat="false" ht="15" hidden="false" customHeight="false" outlineLevel="0" collapsed="false">
      <c r="A8707" s="0" t="n">
        <v>8703</v>
      </c>
      <c r="B8707" s="0" t="n">
        <v>12</v>
      </c>
      <c r="C8707" s="19" t="n">
        <v>0.4563</v>
      </c>
      <c r="D8707" s="19" t="n">
        <v>0.5545</v>
      </c>
      <c r="E8707" s="20" t="n">
        <f aca="false">Parametres!$B$5*C8707</f>
        <v>136.89</v>
      </c>
      <c r="F8707" s="20" t="n">
        <f aca="false">Parametres!$B$6*D8707</f>
        <v>110.9</v>
      </c>
      <c r="G8707" s="20" t="n">
        <f aca="false">E8707+F8707</f>
        <v>247.79</v>
      </c>
      <c r="H8707" s="20" t="n">
        <f aca="false">IF(G8707&lt;Parametres!$B$8*Parametres!$B$7,0,MIN(G8707,Parametres!$B$7))</f>
        <v>247.79</v>
      </c>
      <c r="I8707" s="20" t="n">
        <f aca="false">G8707-H8707</f>
        <v>0</v>
      </c>
      <c r="J8707" s="21" t="n">
        <f aca="false">H8707*1000/Parametres!$B$9</f>
        <v>4201.96710191623</v>
      </c>
    </row>
    <row r="8708" customFormat="false" ht="15" hidden="false" customHeight="false" outlineLevel="0" collapsed="false">
      <c r="A8708" s="0" t="n">
        <v>8704</v>
      </c>
      <c r="B8708" s="0" t="n">
        <v>12</v>
      </c>
      <c r="C8708" s="19" t="n">
        <v>0.2972</v>
      </c>
      <c r="D8708" s="19" t="n">
        <v>0.2452</v>
      </c>
      <c r="E8708" s="20" t="n">
        <f aca="false">Parametres!$B$5*C8708</f>
        <v>89.16</v>
      </c>
      <c r="F8708" s="20" t="n">
        <f aca="false">Parametres!$B$6*D8708</f>
        <v>49.04</v>
      </c>
      <c r="G8708" s="20" t="n">
        <f aca="false">E8708+F8708</f>
        <v>138.2</v>
      </c>
      <c r="H8708" s="20" t="n">
        <f aca="false">IF(G8708&lt;Parametres!$B$8*Parametres!$B$7,0,MIN(G8708,Parametres!$B$7))</f>
        <v>138.2</v>
      </c>
      <c r="I8708" s="20" t="n">
        <f aca="false">G8708-H8708</f>
        <v>0</v>
      </c>
      <c r="J8708" s="21" t="n">
        <f aca="false">H8708*1000/Parametres!$B$9</f>
        <v>2343.56452433441</v>
      </c>
    </row>
    <row r="8709" customFormat="false" ht="15" hidden="false" customHeight="false" outlineLevel="0" collapsed="false">
      <c r="A8709" s="0" t="n">
        <v>8705</v>
      </c>
      <c r="B8709" s="0" t="n">
        <v>12</v>
      </c>
      <c r="C8709" s="19" t="n">
        <v>0.0959</v>
      </c>
      <c r="D8709" s="19" t="n">
        <v>0.4601</v>
      </c>
      <c r="E8709" s="20" t="n">
        <f aca="false">Parametres!$B$5*C8709</f>
        <v>28.77</v>
      </c>
      <c r="F8709" s="20" t="n">
        <f aca="false">Parametres!$B$6*D8709</f>
        <v>92.02</v>
      </c>
      <c r="G8709" s="20" t="n">
        <f aca="false">E8709+F8709</f>
        <v>120.79</v>
      </c>
      <c r="H8709" s="20" t="n">
        <f aca="false">IF(G8709&lt;Parametres!$B$8*Parametres!$B$7,0,MIN(G8709,Parametres!$B$7))</f>
        <v>120.79</v>
      </c>
      <c r="I8709" s="20" t="n">
        <f aca="false">G8709-H8709</f>
        <v>0</v>
      </c>
      <c r="J8709" s="21" t="n">
        <f aca="false">H8709*1000/Parametres!$B$9</f>
        <v>2048.32965914872</v>
      </c>
    </row>
    <row r="8710" customFormat="false" ht="15" hidden="false" customHeight="false" outlineLevel="0" collapsed="false">
      <c r="A8710" s="0" t="n">
        <v>8706</v>
      </c>
      <c r="B8710" s="0" t="n">
        <v>12</v>
      </c>
      <c r="C8710" s="19" t="n">
        <v>0</v>
      </c>
      <c r="D8710" s="19" t="n">
        <v>0.4899</v>
      </c>
      <c r="E8710" s="20" t="n">
        <f aca="false">Parametres!$B$5*C8710</f>
        <v>0</v>
      </c>
      <c r="F8710" s="20" t="n">
        <f aca="false">Parametres!$B$6*D8710</f>
        <v>97.98</v>
      </c>
      <c r="G8710" s="20" t="n">
        <f aca="false">E8710+F8710</f>
        <v>97.98</v>
      </c>
      <c r="H8710" s="20" t="n">
        <f aca="false">IF(G8710&lt;Parametres!$B$8*Parametres!$B$7,0,MIN(G8710,Parametres!$B$7))</f>
        <v>97.98</v>
      </c>
      <c r="I8710" s="20" t="n">
        <f aca="false">G8710-H8710</f>
        <v>0</v>
      </c>
      <c r="J8710" s="21" t="n">
        <f aca="false">H8710*1000/Parametres!$B$9</f>
        <v>1661.52280820756</v>
      </c>
    </row>
    <row r="8711" customFormat="false" ht="15" hidden="false" customHeight="false" outlineLevel="0" collapsed="false">
      <c r="A8711" s="0" t="n">
        <v>8707</v>
      </c>
      <c r="B8711" s="0" t="n">
        <v>12</v>
      </c>
      <c r="C8711" s="19" t="n">
        <v>0</v>
      </c>
      <c r="D8711" s="19" t="n">
        <v>0.5053</v>
      </c>
      <c r="E8711" s="20" t="n">
        <f aca="false">Parametres!$B$5*C8711</f>
        <v>0</v>
      </c>
      <c r="F8711" s="20" t="n">
        <f aca="false">Parametres!$B$6*D8711</f>
        <v>101.06</v>
      </c>
      <c r="G8711" s="20" t="n">
        <f aca="false">E8711+F8711</f>
        <v>101.06</v>
      </c>
      <c r="H8711" s="20" t="n">
        <f aca="false">IF(G8711&lt;Parametres!$B$8*Parametres!$B$7,0,MIN(G8711,Parametres!$B$7))</f>
        <v>101.06</v>
      </c>
      <c r="I8711" s="20" t="n">
        <f aca="false">G8711-H8711</f>
        <v>0</v>
      </c>
      <c r="J8711" s="21" t="n">
        <f aca="false">H8711*1000/Parametres!$B$9</f>
        <v>1713.75275563846</v>
      </c>
    </row>
    <row r="8712" customFormat="false" ht="15" hidden="false" customHeight="false" outlineLevel="0" collapsed="false">
      <c r="A8712" s="0" t="n">
        <v>8708</v>
      </c>
      <c r="B8712" s="0" t="n">
        <v>12</v>
      </c>
      <c r="C8712" s="19" t="n">
        <v>0</v>
      </c>
      <c r="D8712" s="19" t="n">
        <v>0.4157</v>
      </c>
      <c r="E8712" s="20" t="n">
        <f aca="false">Parametres!$B$5*C8712</f>
        <v>0</v>
      </c>
      <c r="F8712" s="20" t="n">
        <f aca="false">Parametres!$B$6*D8712</f>
        <v>83.14</v>
      </c>
      <c r="G8712" s="20" t="n">
        <f aca="false">E8712+F8712</f>
        <v>83.14</v>
      </c>
      <c r="H8712" s="20" t="n">
        <f aca="false">IF(G8712&lt;Parametres!$B$8*Parametres!$B$7,0,MIN(G8712,Parametres!$B$7))</f>
        <v>83.14</v>
      </c>
      <c r="I8712" s="20" t="n">
        <f aca="false">G8712-H8712</f>
        <v>0</v>
      </c>
      <c r="J8712" s="21" t="n">
        <f aca="false">H8712*1000/Parametres!$B$9</f>
        <v>1409.86942513142</v>
      </c>
    </row>
    <row r="8713" customFormat="false" ht="15" hidden="false" customHeight="false" outlineLevel="0" collapsed="false">
      <c r="A8713" s="0" t="n">
        <v>8709</v>
      </c>
      <c r="B8713" s="0" t="n">
        <v>12</v>
      </c>
      <c r="C8713" s="19" t="n">
        <v>0</v>
      </c>
      <c r="D8713" s="19" t="n">
        <v>0.4793</v>
      </c>
      <c r="E8713" s="20" t="n">
        <f aca="false">Parametres!$B$5*C8713</f>
        <v>0</v>
      </c>
      <c r="F8713" s="20" t="n">
        <f aca="false">Parametres!$B$6*D8713</f>
        <v>95.86</v>
      </c>
      <c r="G8713" s="20" t="n">
        <f aca="false">E8713+F8713</f>
        <v>95.86</v>
      </c>
      <c r="H8713" s="20" t="n">
        <f aca="false">IF(G8713&lt;Parametres!$B$8*Parametres!$B$7,0,MIN(G8713,Parametres!$B$7))</f>
        <v>95.86</v>
      </c>
      <c r="I8713" s="20" t="n">
        <f aca="false">G8713-H8713</f>
        <v>0</v>
      </c>
      <c r="J8713" s="21" t="n">
        <f aca="false">H8713*1000/Parametres!$B$9</f>
        <v>1625.57232491097</v>
      </c>
    </row>
    <row r="8714" customFormat="false" ht="15" hidden="false" customHeight="false" outlineLevel="0" collapsed="false">
      <c r="A8714" s="0" t="n">
        <v>8710</v>
      </c>
      <c r="B8714" s="0" t="n">
        <v>12</v>
      </c>
      <c r="C8714" s="19" t="n">
        <v>0</v>
      </c>
      <c r="D8714" s="19" t="n">
        <v>0.3167</v>
      </c>
      <c r="E8714" s="20" t="n">
        <f aca="false">Parametres!$B$5*C8714</f>
        <v>0</v>
      </c>
      <c r="F8714" s="20" t="n">
        <f aca="false">Parametres!$B$6*D8714</f>
        <v>63.34</v>
      </c>
      <c r="G8714" s="20" t="n">
        <f aca="false">E8714+F8714</f>
        <v>63.34</v>
      </c>
      <c r="H8714" s="20" t="n">
        <f aca="false">IF(G8714&lt;Parametres!$B$8*Parametres!$B$7,0,MIN(G8714,Parametres!$B$7))</f>
        <v>63.34</v>
      </c>
      <c r="I8714" s="20" t="n">
        <f aca="false">G8714-H8714</f>
        <v>0</v>
      </c>
      <c r="J8714" s="21" t="n">
        <f aca="false">H8714*1000/Parametres!$B$9</f>
        <v>1074.10547736137</v>
      </c>
    </row>
    <row r="8715" customFormat="false" ht="15" hidden="false" customHeight="false" outlineLevel="0" collapsed="false">
      <c r="A8715" s="0" t="n">
        <v>8711</v>
      </c>
      <c r="B8715" s="0" t="n">
        <v>12</v>
      </c>
      <c r="C8715" s="19" t="n">
        <v>0</v>
      </c>
      <c r="D8715" s="19" t="n">
        <v>0.2631</v>
      </c>
      <c r="E8715" s="20" t="n">
        <f aca="false">Parametres!$B$5*C8715</f>
        <v>0</v>
      </c>
      <c r="F8715" s="20" t="n">
        <f aca="false">Parametres!$B$6*D8715</f>
        <v>52.62</v>
      </c>
      <c r="G8715" s="20" t="n">
        <f aca="false">E8715+F8715</f>
        <v>52.62</v>
      </c>
      <c r="H8715" s="20" t="n">
        <f aca="false">IF(G8715&lt;Parametres!$B$8*Parametres!$B$7,0,MIN(G8715,Parametres!$B$7))</f>
        <v>52.62</v>
      </c>
      <c r="I8715" s="20" t="n">
        <f aca="false">G8715-H8715</f>
        <v>0</v>
      </c>
      <c r="J8715" s="21" t="n">
        <f aca="false">H8715*1000/Parametres!$B$9</f>
        <v>892.318127861625</v>
      </c>
    </row>
    <row r="8716" customFormat="false" ht="15" hidden="false" customHeight="false" outlineLevel="0" collapsed="false">
      <c r="A8716" s="0" t="n">
        <v>8712</v>
      </c>
      <c r="B8716" s="0" t="n">
        <v>12</v>
      </c>
      <c r="C8716" s="19" t="n">
        <v>0</v>
      </c>
      <c r="D8716" s="19" t="n">
        <v>0.2379</v>
      </c>
      <c r="E8716" s="20" t="n">
        <f aca="false">Parametres!$B$5*C8716</f>
        <v>0</v>
      </c>
      <c r="F8716" s="20" t="n">
        <f aca="false">Parametres!$B$6*D8716</f>
        <v>47.58</v>
      </c>
      <c r="G8716" s="20" t="n">
        <f aca="false">E8716+F8716</f>
        <v>47.58</v>
      </c>
      <c r="H8716" s="20" t="n">
        <f aca="false">IF(G8716&lt;Parametres!$B$8*Parametres!$B$7,0,MIN(G8716,Parametres!$B$7))</f>
        <v>47.58</v>
      </c>
      <c r="I8716" s="20" t="n">
        <f aca="false">G8716-H8716</f>
        <v>0</v>
      </c>
      <c r="J8716" s="21" t="n">
        <f aca="false">H8716*1000/Parametres!$B$9</f>
        <v>806.85094115652</v>
      </c>
    </row>
    <row r="8717" customFormat="false" ht="15" hidden="false" customHeight="false" outlineLevel="0" collapsed="false">
      <c r="A8717" s="0" t="n">
        <v>8713</v>
      </c>
      <c r="B8717" s="0" t="n">
        <v>12</v>
      </c>
      <c r="C8717" s="19" t="n">
        <v>0</v>
      </c>
      <c r="D8717" s="19" t="n">
        <v>0.2724</v>
      </c>
      <c r="E8717" s="20" t="n">
        <f aca="false">Parametres!$B$5*C8717</f>
        <v>0</v>
      </c>
      <c r="F8717" s="20" t="n">
        <f aca="false">Parametres!$B$6*D8717</f>
        <v>54.48</v>
      </c>
      <c r="G8717" s="20" t="n">
        <f aca="false">E8717+F8717</f>
        <v>54.48</v>
      </c>
      <c r="H8717" s="20" t="n">
        <f aca="false">IF(G8717&lt;Parametres!$B$8*Parametres!$B$7,0,MIN(G8717,Parametres!$B$7))</f>
        <v>54.48</v>
      </c>
      <c r="I8717" s="20" t="n">
        <f aca="false">G8717-H8717</f>
        <v>0</v>
      </c>
      <c r="J8717" s="21" t="n">
        <f aca="false">H8717*1000/Parametres!$B$9</f>
        <v>923.859589621842</v>
      </c>
    </row>
    <row r="8718" customFormat="false" ht="15" hidden="false" customHeight="false" outlineLevel="0" collapsed="false">
      <c r="A8718" s="0" t="n">
        <v>8714</v>
      </c>
      <c r="B8718" s="0" t="n">
        <v>12</v>
      </c>
      <c r="C8718" s="19" t="n">
        <v>0</v>
      </c>
      <c r="D8718" s="19" t="n">
        <v>0.1227</v>
      </c>
      <c r="E8718" s="20" t="n">
        <f aca="false">Parametres!$B$5*C8718</f>
        <v>0</v>
      </c>
      <c r="F8718" s="20" t="n">
        <f aca="false">Parametres!$B$6*D8718</f>
        <v>24.54</v>
      </c>
      <c r="G8718" s="20" t="n">
        <f aca="false">E8718+F8718</f>
        <v>24.54</v>
      </c>
      <c r="H8718" s="20" t="n">
        <f aca="false">IF(G8718&lt;Parametres!$B$8*Parametres!$B$7,0,MIN(G8718,Parametres!$B$7))</f>
        <v>0</v>
      </c>
      <c r="I8718" s="20" t="n">
        <f aca="false">G8718-H8718</f>
        <v>24.54</v>
      </c>
      <c r="J8718" s="21" t="n">
        <f aca="false">H8718*1000/Parametres!$B$9</f>
        <v>0</v>
      </c>
    </row>
    <row r="8719" customFormat="false" ht="15" hidden="false" customHeight="false" outlineLevel="0" collapsed="false">
      <c r="A8719" s="0" t="n">
        <v>8715</v>
      </c>
      <c r="B8719" s="0" t="n">
        <v>12</v>
      </c>
      <c r="C8719" s="19" t="n">
        <v>0</v>
      </c>
      <c r="D8719" s="19" t="n">
        <v>0.1158</v>
      </c>
      <c r="E8719" s="20" t="n">
        <f aca="false">Parametres!$B$5*C8719</f>
        <v>0</v>
      </c>
      <c r="F8719" s="20" t="n">
        <f aca="false">Parametres!$B$6*D8719</f>
        <v>23.16</v>
      </c>
      <c r="G8719" s="20" t="n">
        <f aca="false">E8719+F8719</f>
        <v>23.16</v>
      </c>
      <c r="H8719" s="20" t="n">
        <f aca="false">IF(G8719&lt;Parametres!$B$8*Parametres!$B$7,0,MIN(G8719,Parametres!$B$7))</f>
        <v>0</v>
      </c>
      <c r="I8719" s="20" t="n">
        <f aca="false">G8719-H8719</f>
        <v>23.16</v>
      </c>
      <c r="J8719" s="21" t="n">
        <f aca="false">H8719*1000/Parametres!$B$9</f>
        <v>0</v>
      </c>
    </row>
    <row r="8720" customFormat="false" ht="15" hidden="false" customHeight="false" outlineLevel="0" collapsed="false">
      <c r="A8720" s="0" t="n">
        <v>8716</v>
      </c>
      <c r="B8720" s="0" t="n">
        <v>12</v>
      </c>
      <c r="C8720" s="19" t="n">
        <v>0</v>
      </c>
      <c r="D8720" s="19" t="n">
        <v>0.1119</v>
      </c>
      <c r="E8720" s="20" t="n">
        <f aca="false">Parametres!$B$5*C8720</f>
        <v>0</v>
      </c>
      <c r="F8720" s="20" t="n">
        <f aca="false">Parametres!$B$6*D8720</f>
        <v>22.38</v>
      </c>
      <c r="G8720" s="20" t="n">
        <f aca="false">E8720+F8720</f>
        <v>22.38</v>
      </c>
      <c r="H8720" s="20" t="n">
        <f aca="false">IF(G8720&lt;Parametres!$B$8*Parametres!$B$7,0,MIN(G8720,Parametres!$B$7))</f>
        <v>0</v>
      </c>
      <c r="I8720" s="20" t="n">
        <f aca="false">G8720-H8720</f>
        <v>22.38</v>
      </c>
      <c r="J8720" s="21" t="n">
        <f aca="false">H8720*1000/Parametres!$B$9</f>
        <v>0</v>
      </c>
    </row>
    <row r="8721" customFormat="false" ht="15" hidden="false" customHeight="false" outlineLevel="0" collapsed="false">
      <c r="A8721" s="0" t="n">
        <v>8717</v>
      </c>
      <c r="B8721" s="0" t="n">
        <v>12</v>
      </c>
      <c r="C8721" s="19" t="n">
        <v>0</v>
      </c>
      <c r="D8721" s="19" t="n">
        <v>0.1615</v>
      </c>
      <c r="E8721" s="20" t="n">
        <f aca="false">Parametres!$B$5*C8721</f>
        <v>0</v>
      </c>
      <c r="F8721" s="20" t="n">
        <f aca="false">Parametres!$B$6*D8721</f>
        <v>32.3</v>
      </c>
      <c r="G8721" s="20" t="n">
        <f aca="false">E8721+F8721</f>
        <v>32.3</v>
      </c>
      <c r="H8721" s="20" t="n">
        <f aca="false">IF(G8721&lt;Parametres!$B$8*Parametres!$B$7,0,MIN(G8721,Parametres!$B$7))</f>
        <v>32.3</v>
      </c>
      <c r="I8721" s="20" t="n">
        <f aca="false">G8721-H8721</f>
        <v>0</v>
      </c>
      <c r="J8721" s="21" t="n">
        <f aca="false">H8721*1000/Parametres!$B$9</f>
        <v>547.736137018823</v>
      </c>
    </row>
    <row r="8722" customFormat="false" ht="15" hidden="false" customHeight="false" outlineLevel="0" collapsed="false">
      <c r="A8722" s="0" t="n">
        <v>8718</v>
      </c>
      <c r="B8722" s="0" t="n">
        <v>12</v>
      </c>
      <c r="C8722" s="19" t="n">
        <v>0</v>
      </c>
      <c r="D8722" s="19" t="n">
        <v>0.129</v>
      </c>
      <c r="E8722" s="20" t="n">
        <f aca="false">Parametres!$B$5*C8722</f>
        <v>0</v>
      </c>
      <c r="F8722" s="20" t="n">
        <f aca="false">Parametres!$B$6*D8722</f>
        <v>25.8</v>
      </c>
      <c r="G8722" s="20" t="n">
        <f aca="false">E8722+F8722</f>
        <v>25.8</v>
      </c>
      <c r="H8722" s="20" t="n">
        <f aca="false">IF(G8722&lt;Parametres!$B$8*Parametres!$B$7,0,MIN(G8722,Parametres!$B$7))</f>
        <v>25.8</v>
      </c>
      <c r="I8722" s="20" t="n">
        <f aca="false">G8722-H8722</f>
        <v>0</v>
      </c>
      <c r="J8722" s="21" t="n">
        <f aca="false">H8722*1000/Parametres!$B$9</f>
        <v>437.510598609462</v>
      </c>
    </row>
    <row r="8723" customFormat="false" ht="15" hidden="false" customHeight="false" outlineLevel="0" collapsed="false">
      <c r="A8723" s="0" t="n">
        <v>8719</v>
      </c>
      <c r="B8723" s="0" t="n">
        <v>12</v>
      </c>
      <c r="C8723" s="19" t="n">
        <v>0</v>
      </c>
      <c r="D8723" s="19" t="n">
        <v>0.0864</v>
      </c>
      <c r="E8723" s="20" t="n">
        <f aca="false">Parametres!$B$5*C8723</f>
        <v>0</v>
      </c>
      <c r="F8723" s="20" t="n">
        <f aca="false">Parametres!$B$6*D8723</f>
        <v>17.28</v>
      </c>
      <c r="G8723" s="20" t="n">
        <f aca="false">E8723+F8723</f>
        <v>17.28</v>
      </c>
      <c r="H8723" s="20" t="n">
        <f aca="false">IF(G8723&lt;Parametres!$B$8*Parametres!$B$7,0,MIN(G8723,Parametres!$B$7))</f>
        <v>0</v>
      </c>
      <c r="I8723" s="20" t="n">
        <f aca="false">G8723-H8723</f>
        <v>17.28</v>
      </c>
      <c r="J8723" s="21" t="n">
        <f aca="false">H8723*1000/Parametres!$B$9</f>
        <v>0</v>
      </c>
    </row>
    <row r="8724" customFormat="false" ht="15" hidden="false" customHeight="false" outlineLevel="0" collapsed="false">
      <c r="A8724" s="0" t="n">
        <v>8720</v>
      </c>
      <c r="B8724" s="0" t="n">
        <v>12</v>
      </c>
      <c r="C8724" s="19" t="n">
        <v>0.1169</v>
      </c>
      <c r="D8724" s="19" t="n">
        <v>0.0945</v>
      </c>
      <c r="E8724" s="20" t="n">
        <f aca="false">Parametres!$B$5*C8724</f>
        <v>35.07</v>
      </c>
      <c r="F8724" s="20" t="n">
        <f aca="false">Parametres!$B$6*D8724</f>
        <v>18.9</v>
      </c>
      <c r="G8724" s="20" t="n">
        <f aca="false">E8724+F8724</f>
        <v>53.97</v>
      </c>
      <c r="H8724" s="20" t="n">
        <f aca="false">IF(G8724&lt;Parametres!$B$8*Parametres!$B$7,0,MIN(G8724,Parametres!$B$7))</f>
        <v>53.97</v>
      </c>
      <c r="I8724" s="20" t="n">
        <f aca="false">G8724-H8724</f>
        <v>0</v>
      </c>
      <c r="J8724" s="21" t="n">
        <f aca="false">H8724*1000/Parametres!$B$9</f>
        <v>915.211124300492</v>
      </c>
    </row>
    <row r="8725" customFormat="false" ht="15" hidden="false" customHeight="false" outlineLevel="0" collapsed="false">
      <c r="A8725" s="0" t="n">
        <v>8721</v>
      </c>
      <c r="B8725" s="0" t="n">
        <v>12</v>
      </c>
      <c r="C8725" s="19" t="n">
        <v>0.3207</v>
      </c>
      <c r="D8725" s="19" t="n">
        <v>0.1086</v>
      </c>
      <c r="E8725" s="20" t="n">
        <f aca="false">Parametres!$B$5*C8725</f>
        <v>96.21</v>
      </c>
      <c r="F8725" s="20" t="n">
        <f aca="false">Parametres!$B$6*D8725</f>
        <v>21.72</v>
      </c>
      <c r="G8725" s="20" t="n">
        <f aca="false">E8725+F8725</f>
        <v>117.93</v>
      </c>
      <c r="H8725" s="20" t="n">
        <f aca="false">IF(G8725&lt;Parametres!$B$8*Parametres!$B$7,0,MIN(G8725,Parametres!$B$7))</f>
        <v>117.93</v>
      </c>
      <c r="I8725" s="20" t="n">
        <f aca="false">G8725-H8725</f>
        <v>0</v>
      </c>
      <c r="J8725" s="21" t="n">
        <f aca="false">H8725*1000/Parametres!$B$9</f>
        <v>1999.8304222486</v>
      </c>
    </row>
    <row r="8726" customFormat="false" ht="15" hidden="false" customHeight="false" outlineLevel="0" collapsed="false">
      <c r="A8726" s="0" t="n">
        <v>8722</v>
      </c>
      <c r="B8726" s="0" t="n">
        <v>12</v>
      </c>
      <c r="C8726" s="19" t="n">
        <v>0.5019</v>
      </c>
      <c r="D8726" s="19" t="n">
        <v>0.0957</v>
      </c>
      <c r="E8726" s="20" t="n">
        <f aca="false">Parametres!$B$5*C8726</f>
        <v>150.57</v>
      </c>
      <c r="F8726" s="20" t="n">
        <f aca="false">Parametres!$B$6*D8726</f>
        <v>19.14</v>
      </c>
      <c r="G8726" s="20" t="n">
        <f aca="false">E8726+F8726</f>
        <v>169.71</v>
      </c>
      <c r="H8726" s="20" t="n">
        <f aca="false">IF(G8726&lt;Parametres!$B$8*Parametres!$B$7,0,MIN(G8726,Parametres!$B$7))</f>
        <v>169.71</v>
      </c>
      <c r="I8726" s="20" t="n">
        <f aca="false">G8726-H8726</f>
        <v>0</v>
      </c>
      <c r="J8726" s="21" t="n">
        <f aca="false">H8726*1000/Parametres!$B$9</f>
        <v>2877.90401899271</v>
      </c>
    </row>
    <row r="8727" customFormat="false" ht="15" hidden="false" customHeight="false" outlineLevel="0" collapsed="false">
      <c r="A8727" s="0" t="n">
        <v>8723</v>
      </c>
      <c r="B8727" s="0" t="n">
        <v>12</v>
      </c>
      <c r="C8727" s="19" t="n">
        <v>0.7054</v>
      </c>
      <c r="D8727" s="19" t="n">
        <v>0.0934</v>
      </c>
      <c r="E8727" s="20" t="n">
        <f aca="false">Parametres!$B$5*C8727</f>
        <v>211.62</v>
      </c>
      <c r="F8727" s="20" t="n">
        <f aca="false">Parametres!$B$6*D8727</f>
        <v>18.68</v>
      </c>
      <c r="G8727" s="20" t="n">
        <f aca="false">E8727+F8727</f>
        <v>230.3</v>
      </c>
      <c r="H8727" s="20" t="n">
        <f aca="false">IF(G8727&lt;Parametres!$B$8*Parametres!$B$7,0,MIN(G8727,Parametres!$B$7))</f>
        <v>230.3</v>
      </c>
      <c r="I8727" s="20" t="n">
        <f aca="false">G8727-H8727</f>
        <v>0</v>
      </c>
      <c r="J8727" s="21" t="n">
        <f aca="false">H8727*1000/Parametres!$B$9</f>
        <v>3905.37561471935</v>
      </c>
    </row>
    <row r="8728" customFormat="false" ht="15" hidden="false" customHeight="false" outlineLevel="0" collapsed="false">
      <c r="A8728" s="0" t="n">
        <v>8724</v>
      </c>
      <c r="B8728" s="0" t="n">
        <v>12</v>
      </c>
      <c r="C8728" s="19" t="n">
        <v>0.7096</v>
      </c>
      <c r="D8728" s="19" t="n">
        <v>0.1664</v>
      </c>
      <c r="E8728" s="20" t="n">
        <f aca="false">Parametres!$B$5*C8728</f>
        <v>212.88</v>
      </c>
      <c r="F8728" s="20" t="n">
        <f aca="false">Parametres!$B$6*D8728</f>
        <v>33.28</v>
      </c>
      <c r="G8728" s="20" t="n">
        <f aca="false">E8728+F8728</f>
        <v>246.16</v>
      </c>
      <c r="H8728" s="20" t="n">
        <f aca="false">IF(G8728&lt;Parametres!$B$8*Parametres!$B$7,0,MIN(G8728,Parametres!$B$7))</f>
        <v>246.16</v>
      </c>
      <c r="I8728" s="20" t="n">
        <f aca="false">G8728-H8728</f>
        <v>0</v>
      </c>
      <c r="J8728" s="21" t="n">
        <f aca="false">H8728*1000/Parametres!$B$9</f>
        <v>4174.32592843819</v>
      </c>
    </row>
    <row r="8729" customFormat="false" ht="15" hidden="false" customHeight="false" outlineLevel="0" collapsed="false">
      <c r="A8729" s="0" t="n">
        <v>8725</v>
      </c>
      <c r="B8729" s="0" t="n">
        <v>12</v>
      </c>
      <c r="C8729" s="19" t="n">
        <v>0.7442</v>
      </c>
      <c r="D8729" s="19" t="n">
        <v>0.2069</v>
      </c>
      <c r="E8729" s="20" t="n">
        <f aca="false">Parametres!$B$5*C8729</f>
        <v>223.26</v>
      </c>
      <c r="F8729" s="20" t="n">
        <f aca="false">Parametres!$B$6*D8729</f>
        <v>41.38</v>
      </c>
      <c r="G8729" s="20" t="n">
        <f aca="false">E8729+F8729</f>
        <v>264.64</v>
      </c>
      <c r="H8729" s="20" t="n">
        <f aca="false">IF(G8729&lt;Parametres!$B$8*Parametres!$B$7,0,MIN(G8729,Parametres!$B$7))</f>
        <v>250</v>
      </c>
      <c r="I8729" s="20" t="n">
        <f aca="false">G8729-H8729</f>
        <v>14.64</v>
      </c>
      <c r="J8729" s="21" t="n">
        <f aca="false">H8729*1000/Parametres!$B$9</f>
        <v>4239.44378497541</v>
      </c>
    </row>
    <row r="8730" customFormat="false" ht="15" hidden="false" customHeight="false" outlineLevel="0" collapsed="false">
      <c r="A8730" s="0" t="n">
        <v>8726</v>
      </c>
      <c r="B8730" s="0" t="n">
        <v>12</v>
      </c>
      <c r="C8730" s="19" t="n">
        <v>0.6467</v>
      </c>
      <c r="D8730" s="19" t="n">
        <v>0.3043</v>
      </c>
      <c r="E8730" s="20" t="n">
        <f aca="false">Parametres!$B$5*C8730</f>
        <v>194.01</v>
      </c>
      <c r="F8730" s="20" t="n">
        <f aca="false">Parametres!$B$6*D8730</f>
        <v>60.86</v>
      </c>
      <c r="G8730" s="20" t="n">
        <f aca="false">E8730+F8730</f>
        <v>254.87</v>
      </c>
      <c r="H8730" s="20" t="n">
        <f aca="false">IF(G8730&lt;Parametres!$B$8*Parametres!$B$7,0,MIN(G8730,Parametres!$B$7))</f>
        <v>250</v>
      </c>
      <c r="I8730" s="20" t="n">
        <f aca="false">G8730-H8730</f>
        <v>4.87</v>
      </c>
      <c r="J8730" s="21" t="n">
        <f aca="false">H8730*1000/Parametres!$B$9</f>
        <v>4239.44378497541</v>
      </c>
    </row>
    <row r="8731" customFormat="false" ht="15" hidden="false" customHeight="false" outlineLevel="0" collapsed="false">
      <c r="A8731" s="0" t="n">
        <v>8727</v>
      </c>
      <c r="B8731" s="0" t="n">
        <v>12</v>
      </c>
      <c r="C8731" s="19" t="n">
        <v>0.4853</v>
      </c>
      <c r="D8731" s="19" t="n">
        <v>0.1904</v>
      </c>
      <c r="E8731" s="20" t="n">
        <f aca="false">Parametres!$B$5*C8731</f>
        <v>145.59</v>
      </c>
      <c r="F8731" s="20" t="n">
        <f aca="false">Parametres!$B$6*D8731</f>
        <v>38.08</v>
      </c>
      <c r="G8731" s="20" t="n">
        <f aca="false">E8731+F8731</f>
        <v>183.67</v>
      </c>
      <c r="H8731" s="20" t="n">
        <f aca="false">IF(G8731&lt;Parametres!$B$8*Parametres!$B$7,0,MIN(G8731,Parametres!$B$7))</f>
        <v>183.67</v>
      </c>
      <c r="I8731" s="20" t="n">
        <f aca="false">G8731-H8731</f>
        <v>0</v>
      </c>
      <c r="J8731" s="21" t="n">
        <f aca="false">H8731*1000/Parametres!$B$9</f>
        <v>3114.63455994574</v>
      </c>
    </row>
    <row r="8732" customFormat="false" ht="15" hidden="false" customHeight="false" outlineLevel="0" collapsed="false">
      <c r="A8732" s="0" t="n">
        <v>8728</v>
      </c>
      <c r="B8732" s="0" t="n">
        <v>12</v>
      </c>
      <c r="C8732" s="19" t="n">
        <v>0.3002</v>
      </c>
      <c r="D8732" s="19" t="n">
        <v>0.1801</v>
      </c>
      <c r="E8732" s="20" t="n">
        <f aca="false">Parametres!$B$5*C8732</f>
        <v>90.06</v>
      </c>
      <c r="F8732" s="20" t="n">
        <f aca="false">Parametres!$B$6*D8732</f>
        <v>36.02</v>
      </c>
      <c r="G8732" s="20" t="n">
        <f aca="false">E8732+F8732</f>
        <v>126.08</v>
      </c>
      <c r="H8732" s="20" t="n">
        <f aca="false">IF(G8732&lt;Parametres!$B$8*Parametres!$B$7,0,MIN(G8732,Parametres!$B$7))</f>
        <v>126.08</v>
      </c>
      <c r="I8732" s="20" t="n">
        <f aca="false">G8732-H8732</f>
        <v>0</v>
      </c>
      <c r="J8732" s="21" t="n">
        <f aca="false">H8732*1000/Parametres!$B$9</f>
        <v>2138.0362896388</v>
      </c>
    </row>
    <row r="8733" customFormat="false" ht="15" hidden="false" customHeight="false" outlineLevel="0" collapsed="false">
      <c r="A8733" s="0" t="n">
        <v>8729</v>
      </c>
      <c r="B8733" s="0" t="n">
        <v>12</v>
      </c>
      <c r="C8733" s="19" t="n">
        <v>0.1116</v>
      </c>
      <c r="D8733" s="19" t="n">
        <v>0.0949</v>
      </c>
      <c r="E8733" s="20" t="n">
        <f aca="false">Parametres!$B$5*C8733</f>
        <v>33.48</v>
      </c>
      <c r="F8733" s="20" t="n">
        <f aca="false">Parametres!$B$6*D8733</f>
        <v>18.98</v>
      </c>
      <c r="G8733" s="20" t="n">
        <f aca="false">E8733+F8733</f>
        <v>52.46</v>
      </c>
      <c r="H8733" s="20" t="n">
        <f aca="false">IF(G8733&lt;Parametres!$B$8*Parametres!$B$7,0,MIN(G8733,Parametres!$B$7))</f>
        <v>52.46</v>
      </c>
      <c r="I8733" s="20" t="n">
        <f aca="false">G8733-H8733</f>
        <v>0</v>
      </c>
      <c r="J8733" s="21" t="n">
        <f aca="false">H8733*1000/Parametres!$B$9</f>
        <v>889.60488383924</v>
      </c>
    </row>
    <row r="8734" customFormat="false" ht="15" hidden="false" customHeight="false" outlineLevel="0" collapsed="false">
      <c r="A8734" s="0" t="n">
        <v>8730</v>
      </c>
      <c r="B8734" s="0" t="n">
        <v>12</v>
      </c>
      <c r="C8734" s="19" t="n">
        <v>0</v>
      </c>
      <c r="D8734" s="19" t="n">
        <v>0.1432</v>
      </c>
      <c r="E8734" s="20" t="n">
        <f aca="false">Parametres!$B$5*C8734</f>
        <v>0</v>
      </c>
      <c r="F8734" s="20" t="n">
        <f aca="false">Parametres!$B$6*D8734</f>
        <v>28.64</v>
      </c>
      <c r="G8734" s="20" t="n">
        <f aca="false">E8734+F8734</f>
        <v>28.64</v>
      </c>
      <c r="H8734" s="20" t="n">
        <f aca="false">IF(G8734&lt;Parametres!$B$8*Parametres!$B$7,0,MIN(G8734,Parametres!$B$7))</f>
        <v>28.64</v>
      </c>
      <c r="I8734" s="20" t="n">
        <f aca="false">G8734-H8734</f>
        <v>0</v>
      </c>
      <c r="J8734" s="21" t="n">
        <f aca="false">H8734*1000/Parametres!$B$9</f>
        <v>485.670680006783</v>
      </c>
    </row>
    <row r="8735" customFormat="false" ht="15" hidden="false" customHeight="false" outlineLevel="0" collapsed="false">
      <c r="A8735" s="0" t="n">
        <v>8731</v>
      </c>
      <c r="B8735" s="0" t="n">
        <v>12</v>
      </c>
      <c r="C8735" s="19" t="n">
        <v>0</v>
      </c>
      <c r="D8735" s="19" t="n">
        <v>0.2225</v>
      </c>
      <c r="E8735" s="20" t="n">
        <f aca="false">Parametres!$B$5*C8735</f>
        <v>0</v>
      </c>
      <c r="F8735" s="20" t="n">
        <f aca="false">Parametres!$B$6*D8735</f>
        <v>44.5</v>
      </c>
      <c r="G8735" s="20" t="n">
        <f aca="false">E8735+F8735</f>
        <v>44.5</v>
      </c>
      <c r="H8735" s="20" t="n">
        <f aca="false">IF(G8735&lt;Parametres!$B$8*Parametres!$B$7,0,MIN(G8735,Parametres!$B$7))</f>
        <v>44.5</v>
      </c>
      <c r="I8735" s="20" t="n">
        <f aca="false">G8735-H8735</f>
        <v>0</v>
      </c>
      <c r="J8735" s="21" t="n">
        <f aca="false">H8735*1000/Parametres!$B$9</f>
        <v>754.620993725623</v>
      </c>
    </row>
    <row r="8736" customFormat="false" ht="15" hidden="false" customHeight="false" outlineLevel="0" collapsed="false">
      <c r="A8736" s="0" t="n">
        <v>8732</v>
      </c>
      <c r="B8736" s="0" t="n">
        <v>12</v>
      </c>
      <c r="C8736" s="19" t="n">
        <v>0</v>
      </c>
      <c r="D8736" s="19" t="n">
        <v>0.5544</v>
      </c>
      <c r="E8736" s="20" t="n">
        <f aca="false">Parametres!$B$5*C8736</f>
        <v>0</v>
      </c>
      <c r="F8736" s="20" t="n">
        <f aca="false">Parametres!$B$6*D8736</f>
        <v>110.88</v>
      </c>
      <c r="G8736" s="20" t="n">
        <f aca="false">E8736+F8736</f>
        <v>110.88</v>
      </c>
      <c r="H8736" s="20" t="n">
        <f aca="false">IF(G8736&lt;Parametres!$B$8*Parametres!$B$7,0,MIN(G8736,Parametres!$B$7))</f>
        <v>110.88</v>
      </c>
      <c r="I8736" s="20" t="n">
        <f aca="false">G8736-H8736</f>
        <v>0</v>
      </c>
      <c r="J8736" s="21" t="n">
        <f aca="false">H8736*1000/Parametres!$B$9</f>
        <v>1880.27810751229</v>
      </c>
    </row>
    <row r="8737" customFormat="false" ht="15" hidden="false" customHeight="false" outlineLevel="0" collapsed="false">
      <c r="A8737" s="0" t="n">
        <v>8733</v>
      </c>
      <c r="B8737" s="0" t="n">
        <v>12</v>
      </c>
      <c r="C8737" s="19" t="n">
        <v>0</v>
      </c>
      <c r="D8737" s="19" t="n">
        <v>0.5696</v>
      </c>
      <c r="E8737" s="20" t="n">
        <f aca="false">Parametres!$B$5*C8737</f>
        <v>0</v>
      </c>
      <c r="F8737" s="20" t="n">
        <f aca="false">Parametres!$B$6*D8737</f>
        <v>113.92</v>
      </c>
      <c r="G8737" s="20" t="n">
        <f aca="false">E8737+F8737</f>
        <v>113.92</v>
      </c>
      <c r="H8737" s="20" t="n">
        <f aca="false">IF(G8737&lt;Parametres!$B$8*Parametres!$B$7,0,MIN(G8737,Parametres!$B$7))</f>
        <v>113.92</v>
      </c>
      <c r="I8737" s="20" t="n">
        <f aca="false">G8737-H8737</f>
        <v>0</v>
      </c>
      <c r="J8737" s="21" t="n">
        <f aca="false">H8737*1000/Parametres!$B$9</f>
        <v>1931.8297439376</v>
      </c>
    </row>
    <row r="8738" customFormat="false" ht="15" hidden="false" customHeight="false" outlineLevel="0" collapsed="false">
      <c r="A8738" s="0" t="n">
        <v>8734</v>
      </c>
      <c r="B8738" s="0" t="n">
        <v>12</v>
      </c>
      <c r="C8738" s="19" t="n">
        <v>0</v>
      </c>
      <c r="D8738" s="19" t="n">
        <v>0.4498</v>
      </c>
      <c r="E8738" s="20" t="n">
        <f aca="false">Parametres!$B$5*C8738</f>
        <v>0</v>
      </c>
      <c r="F8738" s="20" t="n">
        <f aca="false">Parametres!$B$6*D8738</f>
        <v>89.96</v>
      </c>
      <c r="G8738" s="20" t="n">
        <f aca="false">E8738+F8738</f>
        <v>89.96</v>
      </c>
      <c r="H8738" s="20" t="n">
        <f aca="false">IF(G8738&lt;Parametres!$B$8*Parametres!$B$7,0,MIN(G8738,Parametres!$B$7))</f>
        <v>89.96</v>
      </c>
      <c r="I8738" s="20" t="n">
        <f aca="false">G8738-H8738</f>
        <v>0</v>
      </c>
      <c r="J8738" s="21" t="n">
        <f aca="false">H8738*1000/Parametres!$B$9</f>
        <v>1525.52145158555</v>
      </c>
    </row>
    <row r="8739" customFormat="false" ht="15" hidden="false" customHeight="false" outlineLevel="0" collapsed="false">
      <c r="A8739" s="0" t="n">
        <v>8735</v>
      </c>
      <c r="B8739" s="0" t="n">
        <v>12</v>
      </c>
      <c r="C8739" s="19" t="n">
        <v>0</v>
      </c>
      <c r="D8739" s="19" t="n">
        <v>0.6851</v>
      </c>
      <c r="E8739" s="20" t="n">
        <f aca="false">Parametres!$B$5*C8739</f>
        <v>0</v>
      </c>
      <c r="F8739" s="20" t="n">
        <f aca="false">Parametres!$B$6*D8739</f>
        <v>137.02</v>
      </c>
      <c r="G8739" s="20" t="n">
        <f aca="false">E8739+F8739</f>
        <v>137.02</v>
      </c>
      <c r="H8739" s="20" t="n">
        <f aca="false">IF(G8739&lt;Parametres!$B$8*Parametres!$B$7,0,MIN(G8739,Parametres!$B$7))</f>
        <v>137.02</v>
      </c>
      <c r="I8739" s="20" t="n">
        <f aca="false">G8739-H8739</f>
        <v>0</v>
      </c>
      <c r="J8739" s="21" t="n">
        <f aca="false">H8739*1000/Parametres!$B$9</f>
        <v>2323.55434966932</v>
      </c>
    </row>
    <row r="8740" customFormat="false" ht="15" hidden="false" customHeight="false" outlineLevel="0" collapsed="false">
      <c r="A8740" s="0" t="n">
        <v>8736</v>
      </c>
      <c r="B8740" s="0" t="n">
        <v>12</v>
      </c>
      <c r="C8740" s="19" t="n">
        <v>0</v>
      </c>
      <c r="D8740" s="19" t="n">
        <v>0.8948</v>
      </c>
      <c r="E8740" s="20" t="n">
        <f aca="false">Parametres!$B$5*C8740</f>
        <v>0</v>
      </c>
      <c r="F8740" s="20" t="n">
        <f aca="false">Parametres!$B$6*D8740</f>
        <v>178.96</v>
      </c>
      <c r="G8740" s="20" t="n">
        <f aca="false">E8740+F8740</f>
        <v>178.96</v>
      </c>
      <c r="H8740" s="20" t="n">
        <f aca="false">IF(G8740&lt;Parametres!$B$8*Parametres!$B$7,0,MIN(G8740,Parametres!$B$7))</f>
        <v>178.96</v>
      </c>
      <c r="I8740" s="20" t="n">
        <f aca="false">G8740-H8740</f>
        <v>0</v>
      </c>
      <c r="J8740" s="21" t="n">
        <f aca="false">H8740*1000/Parametres!$B$9</f>
        <v>3034.7634390368</v>
      </c>
    </row>
    <row r="8741" customFormat="false" ht="15" hidden="false" customHeight="false" outlineLevel="0" collapsed="false">
      <c r="A8741" s="0" t="n">
        <v>8737</v>
      </c>
      <c r="B8741" s="0" t="n">
        <v>12</v>
      </c>
      <c r="C8741" s="19" t="n">
        <v>0</v>
      </c>
      <c r="D8741" s="19" t="n">
        <v>0.5594</v>
      </c>
      <c r="E8741" s="20" t="n">
        <f aca="false">Parametres!$B$5*C8741</f>
        <v>0</v>
      </c>
      <c r="F8741" s="20" t="n">
        <f aca="false">Parametres!$B$6*D8741</f>
        <v>111.88</v>
      </c>
      <c r="G8741" s="20" t="n">
        <f aca="false">E8741+F8741</f>
        <v>111.88</v>
      </c>
      <c r="H8741" s="20" t="n">
        <f aca="false">IF(G8741&lt;Parametres!$B$8*Parametres!$B$7,0,MIN(G8741,Parametres!$B$7))</f>
        <v>111.88</v>
      </c>
      <c r="I8741" s="20" t="n">
        <f aca="false">G8741-H8741</f>
        <v>0</v>
      </c>
      <c r="J8741" s="21" t="n">
        <f aca="false">H8741*1000/Parametres!$B$9</f>
        <v>1897.2358826522</v>
      </c>
    </row>
    <row r="8742" customFormat="false" ht="15" hidden="false" customHeight="false" outlineLevel="0" collapsed="false">
      <c r="A8742" s="0" t="n">
        <v>8738</v>
      </c>
      <c r="B8742" s="0" t="n">
        <v>12</v>
      </c>
      <c r="C8742" s="19" t="n">
        <v>0</v>
      </c>
      <c r="D8742" s="19" t="n">
        <v>0.4269</v>
      </c>
      <c r="E8742" s="20" t="n">
        <f aca="false">Parametres!$B$5*C8742</f>
        <v>0</v>
      </c>
      <c r="F8742" s="20" t="n">
        <f aca="false">Parametres!$B$6*D8742</f>
        <v>85.38</v>
      </c>
      <c r="G8742" s="20" t="n">
        <f aca="false">E8742+F8742</f>
        <v>85.38</v>
      </c>
      <c r="H8742" s="20" t="n">
        <f aca="false">IF(G8742&lt;Parametres!$B$8*Parametres!$B$7,0,MIN(G8742,Parametres!$B$7))</f>
        <v>85.38</v>
      </c>
      <c r="I8742" s="20" t="n">
        <f aca="false">G8742-H8742</f>
        <v>0</v>
      </c>
      <c r="J8742" s="21" t="n">
        <f aca="false">H8742*1000/Parametres!$B$9</f>
        <v>1447.8548414448</v>
      </c>
    </row>
    <row r="8743" customFormat="false" ht="15" hidden="false" customHeight="false" outlineLevel="0" collapsed="false">
      <c r="A8743" s="0" t="n">
        <v>8739</v>
      </c>
      <c r="B8743" s="0" t="n">
        <v>12</v>
      </c>
      <c r="C8743" s="19" t="n">
        <v>0</v>
      </c>
      <c r="D8743" s="19" t="n">
        <v>0.2348</v>
      </c>
      <c r="E8743" s="20" t="n">
        <f aca="false">Parametres!$B$5*C8743</f>
        <v>0</v>
      </c>
      <c r="F8743" s="20" t="n">
        <f aca="false">Parametres!$B$6*D8743</f>
        <v>46.96</v>
      </c>
      <c r="G8743" s="20" t="n">
        <f aca="false">E8743+F8743</f>
        <v>46.96</v>
      </c>
      <c r="H8743" s="20" t="n">
        <f aca="false">IF(G8743&lt;Parametres!$B$8*Parametres!$B$7,0,MIN(G8743,Parametres!$B$7))</f>
        <v>46.96</v>
      </c>
      <c r="I8743" s="20" t="n">
        <f aca="false">G8743-H8743</f>
        <v>0</v>
      </c>
      <c r="J8743" s="21" t="n">
        <f aca="false">H8743*1000/Parametres!$B$9</f>
        <v>796.337120569781</v>
      </c>
    </row>
    <row r="8744" customFormat="false" ht="15" hidden="false" customHeight="false" outlineLevel="0" collapsed="false">
      <c r="A8744" s="0" t="n">
        <v>8740</v>
      </c>
      <c r="B8744" s="0" t="n">
        <v>12</v>
      </c>
      <c r="C8744" s="19" t="n">
        <v>0</v>
      </c>
      <c r="D8744" s="19" t="n">
        <v>0.1359</v>
      </c>
      <c r="E8744" s="20" t="n">
        <f aca="false">Parametres!$B$5*C8744</f>
        <v>0</v>
      </c>
      <c r="F8744" s="20" t="n">
        <f aca="false">Parametres!$B$6*D8744</f>
        <v>27.18</v>
      </c>
      <c r="G8744" s="20" t="n">
        <f aca="false">E8744+F8744</f>
        <v>27.18</v>
      </c>
      <c r="H8744" s="20" t="n">
        <f aca="false">IF(G8744&lt;Parametres!$B$8*Parametres!$B$7,0,MIN(G8744,Parametres!$B$7))</f>
        <v>27.18</v>
      </c>
      <c r="I8744" s="20" t="n">
        <f aca="false">G8744-H8744</f>
        <v>0</v>
      </c>
      <c r="J8744" s="21" t="n">
        <f aca="false">H8744*1000/Parametres!$B$9</f>
        <v>460.912328302527</v>
      </c>
    </row>
    <row r="8745" customFormat="false" ht="15" hidden="false" customHeight="false" outlineLevel="0" collapsed="false">
      <c r="A8745" s="0" t="n">
        <v>8741</v>
      </c>
      <c r="B8745" s="0" t="n">
        <v>12</v>
      </c>
      <c r="C8745" s="19" t="n">
        <v>0</v>
      </c>
      <c r="D8745" s="19" t="n">
        <v>0.0596</v>
      </c>
      <c r="E8745" s="20" t="n">
        <f aca="false">Parametres!$B$5*C8745</f>
        <v>0</v>
      </c>
      <c r="F8745" s="20" t="n">
        <f aca="false">Parametres!$B$6*D8745</f>
        <v>11.92</v>
      </c>
      <c r="G8745" s="20" t="n">
        <f aca="false">E8745+F8745</f>
        <v>11.92</v>
      </c>
      <c r="H8745" s="20" t="n">
        <f aca="false">IF(G8745&lt;Parametres!$B$8*Parametres!$B$7,0,MIN(G8745,Parametres!$B$7))</f>
        <v>0</v>
      </c>
      <c r="I8745" s="20" t="n">
        <f aca="false">G8745-H8745</f>
        <v>11.92</v>
      </c>
      <c r="J8745" s="21" t="n">
        <f aca="false">H8745*1000/Parametres!$B$9</f>
        <v>0</v>
      </c>
    </row>
    <row r="8746" customFormat="false" ht="15" hidden="false" customHeight="false" outlineLevel="0" collapsed="false">
      <c r="A8746" s="0" t="n">
        <v>8742</v>
      </c>
      <c r="B8746" s="0" t="n">
        <v>12</v>
      </c>
      <c r="C8746" s="19" t="n">
        <v>0</v>
      </c>
      <c r="D8746" s="19" t="n">
        <v>0.034</v>
      </c>
      <c r="E8746" s="20" t="n">
        <f aca="false">Parametres!$B$5*C8746</f>
        <v>0</v>
      </c>
      <c r="F8746" s="20" t="n">
        <f aca="false">Parametres!$B$6*D8746</f>
        <v>6.8</v>
      </c>
      <c r="G8746" s="20" t="n">
        <f aca="false">E8746+F8746</f>
        <v>6.8</v>
      </c>
      <c r="H8746" s="20" t="n">
        <f aca="false">IF(G8746&lt;Parametres!$B$8*Parametres!$B$7,0,MIN(G8746,Parametres!$B$7))</f>
        <v>0</v>
      </c>
      <c r="I8746" s="20" t="n">
        <f aca="false">G8746-H8746</f>
        <v>6.8</v>
      </c>
      <c r="J8746" s="21" t="n">
        <f aca="false">H8746*1000/Parametres!$B$9</f>
        <v>0</v>
      </c>
    </row>
    <row r="8747" customFormat="false" ht="15" hidden="false" customHeight="false" outlineLevel="0" collapsed="false">
      <c r="A8747" s="0" t="n">
        <v>8743</v>
      </c>
      <c r="B8747" s="0" t="n">
        <v>12</v>
      </c>
      <c r="C8747" s="19" t="n">
        <v>0</v>
      </c>
      <c r="D8747" s="19" t="n">
        <v>0.0617</v>
      </c>
      <c r="E8747" s="20" t="n">
        <f aca="false">Parametres!$B$5*C8747</f>
        <v>0</v>
      </c>
      <c r="F8747" s="20" t="n">
        <f aca="false">Parametres!$B$6*D8747</f>
        <v>12.34</v>
      </c>
      <c r="G8747" s="20" t="n">
        <f aca="false">E8747+F8747</f>
        <v>12.34</v>
      </c>
      <c r="H8747" s="20" t="n">
        <f aca="false">IF(G8747&lt;Parametres!$B$8*Parametres!$B$7,0,MIN(G8747,Parametres!$B$7))</f>
        <v>0</v>
      </c>
      <c r="I8747" s="20" t="n">
        <f aca="false">G8747-H8747</f>
        <v>12.34</v>
      </c>
      <c r="J8747" s="21" t="n">
        <f aca="false">H8747*1000/Parametres!$B$9</f>
        <v>0</v>
      </c>
    </row>
    <row r="8748" customFormat="false" ht="15" hidden="false" customHeight="false" outlineLevel="0" collapsed="false">
      <c r="A8748" s="0" t="n">
        <v>8744</v>
      </c>
      <c r="B8748" s="0" t="n">
        <v>12</v>
      </c>
      <c r="C8748" s="19" t="n">
        <v>0.1155</v>
      </c>
      <c r="D8748" s="19" t="n">
        <v>0.0998</v>
      </c>
      <c r="E8748" s="20" t="n">
        <f aca="false">Parametres!$B$5*C8748</f>
        <v>34.65</v>
      </c>
      <c r="F8748" s="20" t="n">
        <f aca="false">Parametres!$B$6*D8748</f>
        <v>19.96</v>
      </c>
      <c r="G8748" s="20" t="n">
        <f aca="false">E8748+F8748</f>
        <v>54.61</v>
      </c>
      <c r="H8748" s="20" t="n">
        <f aca="false">IF(G8748&lt;Parametres!$B$8*Parametres!$B$7,0,MIN(G8748,Parametres!$B$7))</f>
        <v>54.61</v>
      </c>
      <c r="I8748" s="20" t="n">
        <f aca="false">G8748-H8748</f>
        <v>0</v>
      </c>
      <c r="J8748" s="21" t="n">
        <f aca="false">H8748*1000/Parametres!$B$9</f>
        <v>926.064100390029</v>
      </c>
    </row>
    <row r="8749" customFormat="false" ht="15" hidden="false" customHeight="false" outlineLevel="0" collapsed="false">
      <c r="A8749" s="0" t="n">
        <v>8745</v>
      </c>
      <c r="B8749" s="0" t="n">
        <v>12</v>
      </c>
      <c r="C8749" s="19" t="n">
        <v>0.3319</v>
      </c>
      <c r="D8749" s="19" t="n">
        <v>0.1884</v>
      </c>
      <c r="E8749" s="20" t="n">
        <f aca="false">Parametres!$B$5*C8749</f>
        <v>99.57</v>
      </c>
      <c r="F8749" s="20" t="n">
        <f aca="false">Parametres!$B$6*D8749</f>
        <v>37.68</v>
      </c>
      <c r="G8749" s="20" t="n">
        <f aca="false">E8749+F8749</f>
        <v>137.25</v>
      </c>
      <c r="H8749" s="20" t="n">
        <f aca="false">IF(G8749&lt;Parametres!$B$8*Parametres!$B$7,0,MIN(G8749,Parametres!$B$7))</f>
        <v>137.25</v>
      </c>
      <c r="I8749" s="20" t="n">
        <f aca="false">G8749-H8749</f>
        <v>0</v>
      </c>
      <c r="J8749" s="21" t="n">
        <f aca="false">H8749*1000/Parametres!$B$9</f>
        <v>2327.4546379515</v>
      </c>
    </row>
    <row r="8750" customFormat="false" ht="15" hidden="false" customHeight="false" outlineLevel="0" collapsed="false">
      <c r="A8750" s="0" t="n">
        <v>8746</v>
      </c>
      <c r="B8750" s="0" t="n">
        <v>12</v>
      </c>
      <c r="C8750" s="19" t="n">
        <v>0.4878</v>
      </c>
      <c r="D8750" s="19" t="n">
        <v>0.1334</v>
      </c>
      <c r="E8750" s="20" t="n">
        <f aca="false">Parametres!$B$5*C8750</f>
        <v>146.34</v>
      </c>
      <c r="F8750" s="20" t="n">
        <f aca="false">Parametres!$B$6*D8750</f>
        <v>26.68</v>
      </c>
      <c r="G8750" s="20" t="n">
        <f aca="false">E8750+F8750</f>
        <v>173.02</v>
      </c>
      <c r="H8750" s="20" t="n">
        <f aca="false">IF(G8750&lt;Parametres!$B$8*Parametres!$B$7,0,MIN(G8750,Parametres!$B$7))</f>
        <v>173.02</v>
      </c>
      <c r="I8750" s="20" t="n">
        <f aca="false">G8750-H8750</f>
        <v>0</v>
      </c>
      <c r="J8750" s="21" t="n">
        <f aca="false">H8750*1000/Parametres!$B$9</f>
        <v>2934.03425470578</v>
      </c>
    </row>
    <row r="8751" customFormat="false" ht="15" hidden="false" customHeight="false" outlineLevel="0" collapsed="false">
      <c r="A8751" s="0" t="n">
        <v>8747</v>
      </c>
      <c r="B8751" s="0" t="n">
        <v>12</v>
      </c>
      <c r="C8751" s="19" t="n">
        <v>0.6672</v>
      </c>
      <c r="D8751" s="19" t="n">
        <v>0.1745</v>
      </c>
      <c r="E8751" s="20" t="n">
        <f aca="false">Parametres!$B$5*C8751</f>
        <v>200.16</v>
      </c>
      <c r="F8751" s="20" t="n">
        <f aca="false">Parametres!$B$6*D8751</f>
        <v>34.9</v>
      </c>
      <c r="G8751" s="20" t="n">
        <f aca="false">E8751+F8751</f>
        <v>235.06</v>
      </c>
      <c r="H8751" s="20" t="n">
        <f aca="false">IF(G8751&lt;Parametres!$B$8*Parametres!$B$7,0,MIN(G8751,Parametres!$B$7))</f>
        <v>235.06</v>
      </c>
      <c r="I8751" s="20" t="n">
        <f aca="false">G8751-H8751</f>
        <v>0</v>
      </c>
      <c r="J8751" s="21" t="n">
        <f aca="false">H8751*1000/Parametres!$B$9</f>
        <v>3986.09462438528</v>
      </c>
    </row>
    <row r="8752" customFormat="false" ht="15" hidden="false" customHeight="false" outlineLevel="0" collapsed="false">
      <c r="A8752" s="0" t="n">
        <v>8748</v>
      </c>
      <c r="B8752" s="0" t="n">
        <v>12</v>
      </c>
      <c r="C8752" s="19" t="n">
        <v>0.7368</v>
      </c>
      <c r="D8752" s="19" t="n">
        <v>0.2154</v>
      </c>
      <c r="E8752" s="20" t="n">
        <f aca="false">Parametres!$B$5*C8752</f>
        <v>221.04</v>
      </c>
      <c r="F8752" s="20" t="n">
        <f aca="false">Parametres!$B$6*D8752</f>
        <v>43.08</v>
      </c>
      <c r="G8752" s="20" t="n">
        <f aca="false">E8752+F8752</f>
        <v>264.12</v>
      </c>
      <c r="H8752" s="20" t="n">
        <f aca="false">IF(G8752&lt;Parametres!$B$8*Parametres!$B$7,0,MIN(G8752,Parametres!$B$7))</f>
        <v>250</v>
      </c>
      <c r="I8752" s="20" t="n">
        <f aca="false">G8752-H8752</f>
        <v>14.12</v>
      </c>
      <c r="J8752" s="21" t="n">
        <f aca="false">H8752*1000/Parametres!$B$9</f>
        <v>4239.44378497541</v>
      </c>
    </row>
    <row r="8753" customFormat="false" ht="15" hidden="false" customHeight="false" outlineLevel="0" collapsed="false">
      <c r="A8753" s="0" t="n">
        <v>8749</v>
      </c>
      <c r="B8753" s="0" t="n">
        <v>12</v>
      </c>
      <c r="C8753" s="19" t="n">
        <v>0.7349</v>
      </c>
      <c r="D8753" s="19" t="n">
        <v>0.1728</v>
      </c>
      <c r="E8753" s="20" t="n">
        <f aca="false">Parametres!$B$5*C8753</f>
        <v>220.47</v>
      </c>
      <c r="F8753" s="20" t="n">
        <f aca="false">Parametres!$B$6*D8753</f>
        <v>34.56</v>
      </c>
      <c r="G8753" s="20" t="n">
        <f aca="false">E8753+F8753</f>
        <v>255.03</v>
      </c>
      <c r="H8753" s="20" t="n">
        <f aca="false">IF(G8753&lt;Parametres!$B$8*Parametres!$B$7,0,MIN(G8753,Parametres!$B$7))</f>
        <v>250</v>
      </c>
      <c r="I8753" s="20" t="n">
        <f aca="false">G8753-H8753</f>
        <v>5.03</v>
      </c>
      <c r="J8753" s="21" t="n">
        <f aca="false">H8753*1000/Parametres!$B$9</f>
        <v>4239.44378497541</v>
      </c>
    </row>
    <row r="8754" customFormat="false" ht="15" hidden="false" customHeight="false" outlineLevel="0" collapsed="false">
      <c r="A8754" s="0" t="n">
        <v>8750</v>
      </c>
      <c r="B8754" s="0" t="n">
        <v>12</v>
      </c>
      <c r="C8754" s="19" t="n">
        <v>0.6809</v>
      </c>
      <c r="D8754" s="19" t="n">
        <v>0.2976</v>
      </c>
      <c r="E8754" s="20" t="n">
        <f aca="false">Parametres!$B$5*C8754</f>
        <v>204.27</v>
      </c>
      <c r="F8754" s="20" t="n">
        <f aca="false">Parametres!$B$6*D8754</f>
        <v>59.52</v>
      </c>
      <c r="G8754" s="20" t="n">
        <f aca="false">E8754+F8754</f>
        <v>263.79</v>
      </c>
      <c r="H8754" s="20" t="n">
        <f aca="false">IF(G8754&lt;Parametres!$B$8*Parametres!$B$7,0,MIN(G8754,Parametres!$B$7))</f>
        <v>250</v>
      </c>
      <c r="I8754" s="20" t="n">
        <f aca="false">G8754-H8754</f>
        <v>13.79</v>
      </c>
      <c r="J8754" s="21" t="n">
        <f aca="false">H8754*1000/Parametres!$B$9</f>
        <v>4239.44378497541</v>
      </c>
    </row>
    <row r="8755" customFormat="false" ht="15" hidden="false" customHeight="false" outlineLevel="0" collapsed="false">
      <c r="A8755" s="0" t="n">
        <v>8751</v>
      </c>
      <c r="B8755" s="0" t="n">
        <v>12</v>
      </c>
      <c r="C8755" s="19" t="n">
        <v>0.5493</v>
      </c>
      <c r="D8755" s="19" t="n">
        <v>0.4961</v>
      </c>
      <c r="E8755" s="20" t="n">
        <f aca="false">Parametres!$B$5*C8755</f>
        <v>164.79</v>
      </c>
      <c r="F8755" s="20" t="n">
        <f aca="false">Parametres!$B$6*D8755</f>
        <v>99.22</v>
      </c>
      <c r="G8755" s="20" t="n">
        <f aca="false">E8755+F8755</f>
        <v>264.01</v>
      </c>
      <c r="H8755" s="20" t="n">
        <f aca="false">IF(G8755&lt;Parametres!$B$8*Parametres!$B$7,0,MIN(G8755,Parametres!$B$7))</f>
        <v>250</v>
      </c>
      <c r="I8755" s="20" t="n">
        <f aca="false">G8755-H8755</f>
        <v>14.01</v>
      </c>
      <c r="J8755" s="21" t="n">
        <f aca="false">H8755*1000/Parametres!$B$9</f>
        <v>4239.44378497541</v>
      </c>
    </row>
    <row r="8756" customFormat="false" ht="15" hidden="false" customHeight="false" outlineLevel="0" collapsed="false">
      <c r="A8756" s="0" t="n">
        <v>8752</v>
      </c>
      <c r="B8756" s="0" t="n">
        <v>12</v>
      </c>
      <c r="C8756" s="19" t="n">
        <v>0.3142</v>
      </c>
      <c r="D8756" s="19" t="n">
        <v>0.5222</v>
      </c>
      <c r="E8756" s="20" t="n">
        <f aca="false">Parametres!$B$5*C8756</f>
        <v>94.26</v>
      </c>
      <c r="F8756" s="20" t="n">
        <f aca="false">Parametres!$B$6*D8756</f>
        <v>104.44</v>
      </c>
      <c r="G8756" s="20" t="n">
        <f aca="false">E8756+F8756</f>
        <v>198.7</v>
      </c>
      <c r="H8756" s="20" t="n">
        <f aca="false">IF(G8756&lt;Parametres!$B$8*Parametres!$B$7,0,MIN(G8756,Parametres!$B$7))</f>
        <v>198.7</v>
      </c>
      <c r="I8756" s="20" t="n">
        <f aca="false">G8756-H8756</f>
        <v>0</v>
      </c>
      <c r="J8756" s="21" t="n">
        <f aca="false">H8756*1000/Parametres!$B$9</f>
        <v>3369.50992029846</v>
      </c>
    </row>
    <row r="8757" customFormat="false" ht="15" hidden="false" customHeight="false" outlineLevel="0" collapsed="false">
      <c r="A8757" s="0" t="n">
        <v>8753</v>
      </c>
      <c r="B8757" s="0" t="n">
        <v>12</v>
      </c>
      <c r="C8757" s="19" t="n">
        <v>0.116</v>
      </c>
      <c r="D8757" s="19" t="n">
        <v>0.6976</v>
      </c>
      <c r="E8757" s="20" t="n">
        <f aca="false">Parametres!$B$5*C8757</f>
        <v>34.8</v>
      </c>
      <c r="F8757" s="20" t="n">
        <f aca="false">Parametres!$B$6*D8757</f>
        <v>139.52</v>
      </c>
      <c r="G8757" s="20" t="n">
        <f aca="false">E8757+F8757</f>
        <v>174.32</v>
      </c>
      <c r="H8757" s="20" t="n">
        <f aca="false">IF(G8757&lt;Parametres!$B$8*Parametres!$B$7,0,MIN(G8757,Parametres!$B$7))</f>
        <v>174.32</v>
      </c>
      <c r="I8757" s="20" t="n">
        <f aca="false">G8757-H8757</f>
        <v>0</v>
      </c>
      <c r="J8757" s="21" t="n">
        <f aca="false">H8757*1000/Parametres!$B$9</f>
        <v>2956.07936238766</v>
      </c>
    </row>
    <row r="8758" customFormat="false" ht="15" hidden="false" customHeight="false" outlineLevel="0" collapsed="false">
      <c r="A8758" s="0" t="n">
        <v>8754</v>
      </c>
      <c r="B8758" s="0" t="n">
        <v>12</v>
      </c>
      <c r="C8758" s="19" t="n">
        <v>0</v>
      </c>
      <c r="D8758" s="19" t="n">
        <v>0.6718</v>
      </c>
      <c r="E8758" s="20" t="n">
        <f aca="false">Parametres!$B$5*C8758</f>
        <v>0</v>
      </c>
      <c r="F8758" s="20" t="n">
        <f aca="false">Parametres!$B$6*D8758</f>
        <v>134.36</v>
      </c>
      <c r="G8758" s="20" t="n">
        <f aca="false">E8758+F8758</f>
        <v>134.36</v>
      </c>
      <c r="H8758" s="20" t="n">
        <f aca="false">IF(G8758&lt;Parametres!$B$8*Parametres!$B$7,0,MIN(G8758,Parametres!$B$7))</f>
        <v>134.36</v>
      </c>
      <c r="I8758" s="20" t="n">
        <f aca="false">G8758-H8758</f>
        <v>0</v>
      </c>
      <c r="J8758" s="21" t="n">
        <f aca="false">H8758*1000/Parametres!$B$9</f>
        <v>2278.44666779718</v>
      </c>
    </row>
    <row r="8759" customFormat="false" ht="15" hidden="false" customHeight="false" outlineLevel="0" collapsed="false">
      <c r="A8759" s="0" t="n">
        <v>8755</v>
      </c>
      <c r="B8759" s="0" t="n">
        <v>12</v>
      </c>
      <c r="C8759" s="19" t="n">
        <v>0</v>
      </c>
      <c r="D8759" s="19" t="n">
        <v>0.9356</v>
      </c>
      <c r="E8759" s="20" t="n">
        <f aca="false">Parametres!$B$5*C8759</f>
        <v>0</v>
      </c>
      <c r="F8759" s="20" t="n">
        <f aca="false">Parametres!$B$6*D8759</f>
        <v>187.12</v>
      </c>
      <c r="G8759" s="20" t="n">
        <f aca="false">E8759+F8759</f>
        <v>187.12</v>
      </c>
      <c r="H8759" s="20" t="n">
        <f aca="false">IF(G8759&lt;Parametres!$B$8*Parametres!$B$7,0,MIN(G8759,Parametres!$B$7))</f>
        <v>187.12</v>
      </c>
      <c r="I8759" s="20" t="n">
        <f aca="false">G8759-H8759</f>
        <v>0</v>
      </c>
      <c r="J8759" s="21" t="n">
        <f aca="false">H8759*1000/Parametres!$B$9</f>
        <v>3173.1388841784</v>
      </c>
    </row>
    <row r="8760" customFormat="false" ht="15" hidden="false" customHeight="false" outlineLevel="0" collapsed="false">
      <c r="A8760" s="0" t="n">
        <v>8756</v>
      </c>
      <c r="B8760" s="0" t="n">
        <v>12</v>
      </c>
      <c r="C8760" s="19" t="n">
        <v>0</v>
      </c>
      <c r="D8760" s="19" t="n">
        <v>1</v>
      </c>
      <c r="E8760" s="20" t="n">
        <f aca="false">Parametres!$B$5*C8760</f>
        <v>0</v>
      </c>
      <c r="F8760" s="20" t="n">
        <f aca="false">Parametres!$B$6*D8760</f>
        <v>200</v>
      </c>
      <c r="G8760" s="20" t="n">
        <f aca="false">E8760+F8760</f>
        <v>200</v>
      </c>
      <c r="H8760" s="20" t="n">
        <f aca="false">IF(G8760&lt;Parametres!$B$8*Parametres!$B$7,0,MIN(G8760,Parametres!$B$7))</f>
        <v>200</v>
      </c>
      <c r="I8760" s="20" t="n">
        <f aca="false">G8760-H8760</f>
        <v>0</v>
      </c>
      <c r="J8760" s="21" t="n">
        <f aca="false">H8760*1000/Parametres!$B$9</f>
        <v>3391.55502798033</v>
      </c>
    </row>
    <row r="8761" customFormat="false" ht="15" hidden="false" customHeight="false" outlineLevel="0" collapsed="false">
      <c r="A8761" s="0" t="n">
        <v>8757</v>
      </c>
      <c r="B8761" s="0" t="n">
        <v>12</v>
      </c>
      <c r="C8761" s="19" t="n">
        <v>0</v>
      </c>
      <c r="D8761" s="19" t="n">
        <v>0.757</v>
      </c>
      <c r="E8761" s="20" t="n">
        <f aca="false">Parametres!$B$5*C8761</f>
        <v>0</v>
      </c>
      <c r="F8761" s="20" t="n">
        <f aca="false">Parametres!$B$6*D8761</f>
        <v>151.4</v>
      </c>
      <c r="G8761" s="20" t="n">
        <f aca="false">E8761+F8761</f>
        <v>151.4</v>
      </c>
      <c r="H8761" s="20" t="n">
        <f aca="false">IF(G8761&lt;Parametres!$B$8*Parametres!$B$7,0,MIN(G8761,Parametres!$B$7))</f>
        <v>151.4</v>
      </c>
      <c r="I8761" s="20" t="n">
        <f aca="false">G8761-H8761</f>
        <v>0</v>
      </c>
      <c r="J8761" s="21" t="n">
        <f aca="false">H8761*1000/Parametres!$B$9</f>
        <v>2567.40715618111</v>
      </c>
    </row>
    <row r="8762" customFormat="false" ht="15" hidden="false" customHeight="false" outlineLevel="0" collapsed="false">
      <c r="A8762" s="0" t="n">
        <v>8758</v>
      </c>
      <c r="B8762" s="0" t="n">
        <v>12</v>
      </c>
      <c r="C8762" s="19" t="n">
        <v>0</v>
      </c>
      <c r="D8762" s="19" t="n">
        <v>0.5485</v>
      </c>
      <c r="E8762" s="20" t="n">
        <f aca="false">Parametres!$B$5*C8762</f>
        <v>0</v>
      </c>
      <c r="F8762" s="20" t="n">
        <f aca="false">Parametres!$B$6*D8762</f>
        <v>109.7</v>
      </c>
      <c r="G8762" s="20" t="n">
        <f aca="false">E8762+F8762</f>
        <v>109.7</v>
      </c>
      <c r="H8762" s="20" t="n">
        <f aca="false">IF(G8762&lt;Parametres!$B$8*Parametres!$B$7,0,MIN(G8762,Parametres!$B$7))</f>
        <v>109.7</v>
      </c>
      <c r="I8762" s="20" t="n">
        <f aca="false">G8762-H8762</f>
        <v>0</v>
      </c>
      <c r="J8762" s="21" t="n">
        <f aca="false">H8762*1000/Parametres!$B$9</f>
        <v>1860.26793284721</v>
      </c>
    </row>
    <row r="8763" customFormat="false" ht="15" hidden="false" customHeight="false" outlineLevel="0" collapsed="false">
      <c r="A8763" s="0" t="n">
        <v>8759</v>
      </c>
      <c r="B8763" s="0" t="n">
        <v>12</v>
      </c>
      <c r="C8763" s="19" t="n">
        <v>0</v>
      </c>
      <c r="D8763" s="19" t="n">
        <v>0.6472</v>
      </c>
      <c r="E8763" s="20" t="n">
        <f aca="false">Parametres!$B$5*C8763</f>
        <v>0</v>
      </c>
      <c r="F8763" s="20" t="n">
        <f aca="false">Parametres!$B$6*D8763</f>
        <v>129.44</v>
      </c>
      <c r="G8763" s="20" t="n">
        <f aca="false">E8763+F8763</f>
        <v>129.44</v>
      </c>
      <c r="H8763" s="20" t="n">
        <f aca="false">IF(G8763&lt;Parametres!$B$8*Parametres!$B$7,0,MIN(G8763,Parametres!$B$7))</f>
        <v>129.44</v>
      </c>
      <c r="I8763" s="20" t="n">
        <f aca="false">G8763-H8763</f>
        <v>0</v>
      </c>
      <c r="J8763" s="21" t="n">
        <f aca="false">H8763*1000/Parametres!$B$9</f>
        <v>2195.01441410887</v>
      </c>
    </row>
    <row r="8764" customFormat="false" ht="15" hidden="false" customHeight="false" outlineLevel="0" collapsed="false">
      <c r="A8764" s="0" t="n">
        <v>8760</v>
      </c>
      <c r="B8764" s="0" t="n">
        <v>12</v>
      </c>
      <c r="C8764" s="19" t="n">
        <v>0</v>
      </c>
      <c r="D8764" s="19" t="n">
        <v>0.6094</v>
      </c>
      <c r="E8764" s="20" t="n">
        <f aca="false">Parametres!$B$5*C8764</f>
        <v>0</v>
      </c>
      <c r="F8764" s="20" t="n">
        <f aca="false">Parametres!$B$6*D8764</f>
        <v>121.88</v>
      </c>
      <c r="G8764" s="20" t="n">
        <f aca="false">E8764+F8764</f>
        <v>121.88</v>
      </c>
      <c r="H8764" s="20" t="n">
        <f aca="false">IF(G8764&lt;Parametres!$B$8*Parametres!$B$7,0,MIN(G8764,Parametres!$B$7))</f>
        <v>121.88</v>
      </c>
      <c r="I8764" s="20" t="n">
        <f aca="false">G8764-H8764</f>
        <v>0</v>
      </c>
      <c r="J8764" s="21" t="n">
        <f aca="false">H8764*1000/Parametres!$B$9</f>
        <v>2066.81363405121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3" t="s">
        <v>66</v>
      </c>
      <c r="B4" s="3" t="s">
        <v>21</v>
      </c>
      <c r="C4" s="3" t="s">
        <v>22</v>
      </c>
    </row>
    <row r="5" customFormat="false" ht="15" hidden="false" customHeight="false" outlineLevel="0" collapsed="false">
      <c r="A5" s="6" t="s">
        <v>67</v>
      </c>
      <c r="B5" s="22" t="n">
        <f aca="false">SUM(Profils_horaires!G5:G8764)</f>
        <v>1576800.1</v>
      </c>
      <c r="C5" s="6" t="s">
        <v>68</v>
      </c>
    </row>
    <row r="6" customFormat="false" ht="15" hidden="false" customHeight="false" outlineLevel="0" collapsed="false">
      <c r="A6" s="6" t="s">
        <v>69</v>
      </c>
      <c r="B6" s="22" t="n">
        <f aca="false">SUM(Profils_horaires!H5:H8764)</f>
        <v>1256942.19</v>
      </c>
      <c r="C6" s="6" t="s">
        <v>68</v>
      </c>
    </row>
    <row r="7" customFormat="false" ht="15" hidden="false" customHeight="false" outlineLevel="0" collapsed="false">
      <c r="A7" s="6" t="s">
        <v>70</v>
      </c>
      <c r="B7" s="22" t="n">
        <f aca="false">SUM(Profils_horaires!I5:I8764)</f>
        <v>319857.91</v>
      </c>
      <c r="C7" s="6" t="s">
        <v>68</v>
      </c>
    </row>
    <row r="8" customFormat="false" ht="15" hidden="false" customHeight="false" outlineLevel="0" collapsed="false">
      <c r="A8" s="6" t="s">
        <v>71</v>
      </c>
      <c r="B8" s="23" t="n">
        <f aca="false">B6/Parametres!B7</f>
        <v>5027.76876</v>
      </c>
      <c r="C8" s="6" t="s">
        <v>72</v>
      </c>
    </row>
    <row r="9" customFormat="false" ht="15" hidden="false" customHeight="false" outlineLevel="0" collapsed="false">
      <c r="A9" s="6" t="s">
        <v>73</v>
      </c>
      <c r="B9" s="24" t="n">
        <f aca="false">B7/B5</f>
        <v>0.20285254294441</v>
      </c>
      <c r="C9" s="6" t="s">
        <v>74</v>
      </c>
    </row>
    <row r="10" customFormat="false" ht="15" hidden="false" customHeight="false" outlineLevel="0" collapsed="false">
      <c r="A10" s="6" t="s">
        <v>75</v>
      </c>
      <c r="B10" s="25" t="n">
        <f aca="false">B5/((Parametres!B5+Parametres!B6)*8760)</f>
        <v>0.36000002283105</v>
      </c>
      <c r="C10" s="6" t="s">
        <v>47</v>
      </c>
    </row>
    <row r="11" customFormat="false" ht="15" hidden="false" customHeight="false" outlineLevel="0" collapsed="false">
      <c r="A11" s="6" t="s">
        <v>76</v>
      </c>
      <c r="B11" s="26" t="n">
        <f aca="false">(Parametres!B5+Parametres!B6)/Parametres!B7</f>
        <v>2</v>
      </c>
      <c r="C11" s="6" t="s">
        <v>77</v>
      </c>
    </row>
    <row r="12" customFormat="false" ht="15" hidden="false" customHeight="false" outlineLevel="0" collapsed="false">
      <c r="A12" s="6" t="s">
        <v>78</v>
      </c>
      <c r="B12" s="22" t="n">
        <f aca="false">COUNTIF(Profils_horaires!H5:H8764,"&gt;0")</f>
        <v>6888</v>
      </c>
      <c r="C12" s="6" t="s">
        <v>72</v>
      </c>
    </row>
    <row r="13" customFormat="false" ht="15" hidden="false" customHeight="false" outlineLevel="0" collapsed="false">
      <c r="A13" s="6" t="s">
        <v>79</v>
      </c>
      <c r="B13" s="22" t="n">
        <f aca="false">COUNTIF(Profils_horaires!H5:H8764,"&gt;="&amp;(Parametres!B7-0.000001))</f>
        <v>2485</v>
      </c>
      <c r="C13" s="6" t="s">
        <v>72</v>
      </c>
    </row>
    <row r="14" customFormat="false" ht="15" hidden="false" customHeight="false" outlineLevel="0" collapsed="false">
      <c r="A14" s="6" t="s">
        <v>80</v>
      </c>
      <c r="B14" s="22" t="n">
        <f aca="false">SUM(Profils_horaires!J5:J8764)/1000</f>
        <v>21314.9430218755</v>
      </c>
      <c r="C14" s="6" t="s">
        <v>81</v>
      </c>
    </row>
    <row r="15" customFormat="false" ht="15" hidden="false" customHeight="false" outlineLevel="0" collapsed="false">
      <c r="A15" s="6" t="s">
        <v>82</v>
      </c>
      <c r="B15" s="27" t="n">
        <f aca="false">(SUM(Profils_horaires!E5:E8764)*Parametres!B10+SUM(Profils_horaires!F5:F8764)*Parametres!B11)/B6</f>
        <v>32.6162957422887</v>
      </c>
      <c r="C15" s="6" t="s">
        <v>37</v>
      </c>
    </row>
    <row r="17" customFormat="false" ht="15" hidden="false" customHeight="false" outlineLevel="0" collapsed="false">
      <c r="A17" s="28" t="s">
        <v>83</v>
      </c>
      <c r="B17" s="29"/>
      <c r="C17" s="29"/>
      <c r="D17" s="29"/>
    </row>
    <row r="18" customFormat="false" ht="15" hidden="false" customHeight="false" outlineLevel="0" collapsed="false">
      <c r="A18" s="3" t="s">
        <v>84</v>
      </c>
      <c r="B18" s="3" t="s">
        <v>85</v>
      </c>
      <c r="C18" s="3" t="s">
        <v>86</v>
      </c>
      <c r="D18" s="3" t="s">
        <v>87</v>
      </c>
    </row>
    <row r="19" customFormat="false" ht="15" hidden="false" customHeight="false" outlineLevel="0" collapsed="false">
      <c r="A19" s="30" t="s">
        <v>88</v>
      </c>
      <c r="B19" s="22" t="n">
        <f aca="false">B8</f>
        <v>5027.76876</v>
      </c>
      <c r="C19" s="31" t="n">
        <f aca="false">B15</f>
        <v>32.6162957422887</v>
      </c>
      <c r="D19" s="32" t="n">
        <f aca="false">C19*Parametres!B9/1000+Parametres!B12*(Parametres!B16+Parametres!B13)/(B19/Parametres!B9)</f>
        <v>4.83497138389537</v>
      </c>
    </row>
    <row r="20" customFormat="false" ht="15" hidden="false" customHeight="false" outlineLevel="0" collapsed="false">
      <c r="A20" s="30" t="s">
        <v>89</v>
      </c>
      <c r="B20" s="7" t="n">
        <v>5000</v>
      </c>
      <c r="C20" s="11" t="n">
        <v>30</v>
      </c>
      <c r="D20" s="32" t="n">
        <f aca="false">C20*Parametres!B9/1000+Parametres!B12*(Parametres!B16+Parametres!B13)/(B20/Parametres!B9)</f>
        <v>4.69685866400542</v>
      </c>
    </row>
    <row r="21" customFormat="false" ht="15" hidden="false" customHeight="false" outlineLevel="0" collapsed="false">
      <c r="A21" s="33" t="s">
        <v>90</v>
      </c>
    </row>
    <row r="23" customFormat="false" ht="15" hidden="false" customHeight="false" outlineLevel="0" collapsed="false">
      <c r="A23" s="28" t="s">
        <v>91</v>
      </c>
      <c r="B23" s="29"/>
      <c r="C23" s="29"/>
      <c r="D23" s="29"/>
      <c r="E23" s="29"/>
      <c r="F23" s="29"/>
      <c r="G23" s="29"/>
    </row>
    <row r="24" customFormat="false" ht="23.85" hidden="false" customHeight="false" outlineLevel="0" collapsed="false">
      <c r="A24" s="3" t="s">
        <v>55</v>
      </c>
      <c r="B24" s="3" t="s">
        <v>60</v>
      </c>
      <c r="C24" s="3" t="s">
        <v>61</v>
      </c>
      <c r="D24" s="3" t="s">
        <v>62</v>
      </c>
      <c r="E24" s="3" t="s">
        <v>92</v>
      </c>
      <c r="F24" s="3" t="s">
        <v>93</v>
      </c>
      <c r="G24" s="3" t="s">
        <v>94</v>
      </c>
    </row>
    <row r="25" customFormat="false" ht="15" hidden="false" customHeight="false" outlineLevel="0" collapsed="false">
      <c r="A25" s="16" t="n">
        <v>1</v>
      </c>
      <c r="B25" s="22" t="n">
        <f aca="false">SUMIF(Profils_horaires!$B$5:$B$8764,A25,Profils_horaires!$G$5:$G$8764)</f>
        <v>59866.23</v>
      </c>
      <c r="C25" s="22" t="n">
        <f aca="false">SUMIF(Profils_horaires!$B$5:$B$8764,A25,Profils_horaires!$H$5:$H$8764)</f>
        <v>56791.82</v>
      </c>
      <c r="D25" s="22" t="n">
        <f aca="false">SUMIF(Profils_horaires!$B$5:$B$8764,A25,Profils_horaires!$I$5:$I$8764)</f>
        <v>3074.41</v>
      </c>
      <c r="E25" s="31" t="n">
        <f aca="false">SUMIF(Profils_horaires!$B$5:$B$8764,A25,Profils_horaires!$J$5:$J$8764)/1000</f>
        <v>963.062913345769</v>
      </c>
      <c r="F25" s="22" t="n">
        <f aca="false">C25/Parametres!$B$7</f>
        <v>227.16728</v>
      </c>
      <c r="G25" s="25" t="n">
        <f aca="false">IFERROR(D25/B25,0)</f>
        <v>0.05135466188534</v>
      </c>
    </row>
    <row r="26" customFormat="false" ht="15" hidden="false" customHeight="false" outlineLevel="0" collapsed="false">
      <c r="A26" s="16" t="n">
        <v>2</v>
      </c>
      <c r="B26" s="22" t="n">
        <f aca="false">SUMIF(Profils_horaires!$B$5:$B$8764,A26,Profils_horaires!$G$5:$G$8764)</f>
        <v>71565.74</v>
      </c>
      <c r="C26" s="22" t="n">
        <f aca="false">SUMIF(Profils_horaires!$B$5:$B$8764,A26,Profils_horaires!$H$5:$H$8764)</f>
        <v>65390.69</v>
      </c>
      <c r="D26" s="22" t="n">
        <f aca="false">SUMIF(Profils_horaires!$B$5:$B$8764,A26,Profils_horaires!$I$5:$I$8764)</f>
        <v>6175.05</v>
      </c>
      <c r="E26" s="31" t="n">
        <f aca="false">SUMIF(Profils_horaires!$B$5:$B$8764,A26,Profils_horaires!$J$5:$J$8764)/1000</f>
        <v>1108.88061726302</v>
      </c>
      <c r="F26" s="22" t="n">
        <f aca="false">C26/Parametres!$B$7</f>
        <v>261.56276</v>
      </c>
      <c r="G26" s="25" t="n">
        <f aca="false">IFERROR(D26/B26,0)</f>
        <v>0.0862850017340699</v>
      </c>
    </row>
    <row r="27" customFormat="false" ht="15" hidden="false" customHeight="false" outlineLevel="0" collapsed="false">
      <c r="A27" s="16" t="n">
        <v>3</v>
      </c>
      <c r="B27" s="22" t="n">
        <f aca="false">SUMIF(Profils_horaires!$B$5:$B$8764,A27,Profils_horaires!$G$5:$G$8764)</f>
        <v>102978.59</v>
      </c>
      <c r="C27" s="22" t="n">
        <f aca="false">SUMIF(Profils_horaires!$B$5:$B$8764,A27,Profils_horaires!$H$5:$H$8764)</f>
        <v>86267.63</v>
      </c>
      <c r="D27" s="22" t="n">
        <f aca="false">SUMIF(Profils_horaires!$B$5:$B$8764,A27,Profils_horaires!$I$5:$I$8764)</f>
        <v>16710.96</v>
      </c>
      <c r="E27" s="31" t="n">
        <f aca="false">SUMIF(Profils_horaires!$B$5:$B$8764,A27,Profils_horaires!$J$5:$J$8764)/1000</f>
        <v>1462.90707139223</v>
      </c>
      <c r="F27" s="22" t="n">
        <f aca="false">C27/Parametres!$B$7</f>
        <v>345.07052</v>
      </c>
      <c r="G27" s="25" t="n">
        <f aca="false">IFERROR(D27/B27,0)</f>
        <v>0.162276061460931</v>
      </c>
    </row>
    <row r="28" customFormat="false" ht="15" hidden="false" customHeight="false" outlineLevel="0" collapsed="false">
      <c r="A28" s="16" t="n">
        <v>4</v>
      </c>
      <c r="B28" s="22" t="n">
        <f aca="false">SUMIF(Profils_horaires!$B$5:$B$8764,A28,Profils_horaires!$G$5:$G$8764)</f>
        <v>140041.38</v>
      </c>
      <c r="C28" s="22" t="n">
        <f aca="false">SUMIF(Profils_horaires!$B$5:$B$8764,A28,Profils_horaires!$H$5:$H$8764)</f>
        <v>108715.55</v>
      </c>
      <c r="D28" s="22" t="n">
        <f aca="false">SUMIF(Profils_horaires!$B$5:$B$8764,A28,Profils_horaires!$I$5:$I$8764)</f>
        <v>31325.83</v>
      </c>
      <c r="E28" s="31" t="n">
        <f aca="false">SUMIF(Profils_horaires!$B$5:$B$8764,A28,Profils_horaires!$J$5:$J$8764)/1000</f>
        <v>1843.57385111073</v>
      </c>
      <c r="F28" s="22" t="n">
        <f aca="false">C28/Parametres!$B$7</f>
        <v>434.8622</v>
      </c>
      <c r="G28" s="25" t="n">
        <f aca="false">IFERROR(D28/B28,0)</f>
        <v>0.223689812254064</v>
      </c>
    </row>
    <row r="29" customFormat="false" ht="15" hidden="false" customHeight="false" outlineLevel="0" collapsed="false">
      <c r="A29" s="16" t="n">
        <v>5</v>
      </c>
      <c r="B29" s="22" t="n">
        <f aca="false">SUMIF(Profils_horaires!$B$5:$B$8764,A29,Profils_horaires!$G$5:$G$8764)</f>
        <v>181468.24</v>
      </c>
      <c r="C29" s="22" t="n">
        <f aca="false">SUMIF(Profils_horaires!$B$5:$B$8764,A29,Profils_horaires!$H$5:$H$8764)</f>
        <v>134071.97</v>
      </c>
      <c r="D29" s="22" t="n">
        <f aca="false">SUMIF(Profils_horaires!$B$5:$B$8764,A29,Profils_horaires!$I$5:$I$8764)</f>
        <v>47396.27</v>
      </c>
      <c r="E29" s="31" t="n">
        <f aca="false">SUMIF(Profils_horaires!$B$5:$B$8764,A29,Profils_horaires!$J$5:$J$8764)/1000</f>
        <v>2273.56231982364</v>
      </c>
      <c r="F29" s="22" t="n">
        <f aca="false">C29/Parametres!$B$7</f>
        <v>536.28788</v>
      </c>
      <c r="G29" s="25" t="n">
        <f aca="false">IFERROR(D29/B29,0)</f>
        <v>0.261182177112645</v>
      </c>
    </row>
    <row r="30" customFormat="false" ht="15" hidden="false" customHeight="false" outlineLevel="0" collapsed="false">
      <c r="A30" s="16" t="n">
        <v>6</v>
      </c>
      <c r="B30" s="22" t="n">
        <f aca="false">SUMIF(Profils_horaires!$B$5:$B$8764,A30,Profils_horaires!$G$5:$G$8764)</f>
        <v>164782.82</v>
      </c>
      <c r="C30" s="22" t="n">
        <f aca="false">SUMIF(Profils_horaires!$B$5:$B$8764,A30,Profils_horaires!$H$5:$H$8764)</f>
        <v>123290.03</v>
      </c>
      <c r="D30" s="22" t="n">
        <f aca="false">SUMIF(Profils_horaires!$B$5:$B$8764,A30,Profils_horaires!$I$5:$I$8764)</f>
        <v>41492.79</v>
      </c>
      <c r="E30" s="31" t="n">
        <f aca="false">SUMIF(Profils_horaires!$B$5:$B$8764,A30,Profils_horaires!$J$5:$J$8764)/1000</f>
        <v>2090.72460573173</v>
      </c>
      <c r="F30" s="22" t="n">
        <f aca="false">C30/Parametres!$B$7</f>
        <v>493.16012</v>
      </c>
      <c r="G30" s="25" t="n">
        <f aca="false">IFERROR(D30/B30,0)</f>
        <v>0.251802888189436</v>
      </c>
    </row>
    <row r="31" customFormat="false" ht="15" hidden="false" customHeight="false" outlineLevel="0" collapsed="false">
      <c r="A31" s="16" t="n">
        <v>7</v>
      </c>
      <c r="B31" s="22" t="n">
        <f aca="false">SUMIF(Profils_horaires!$B$5:$B$8764,A31,Profils_horaires!$G$5:$G$8764)</f>
        <v>167474.89</v>
      </c>
      <c r="C31" s="22" t="n">
        <f aca="false">SUMIF(Profils_horaires!$B$5:$B$8764,A31,Profils_horaires!$H$5:$H$8764)</f>
        <v>126435.58</v>
      </c>
      <c r="D31" s="22" t="n">
        <f aca="false">SUMIF(Profils_horaires!$B$5:$B$8764,A31,Profils_horaires!$I$5:$I$8764)</f>
        <v>41039.31</v>
      </c>
      <c r="E31" s="31" t="n">
        <f aca="false">SUMIF(Profils_horaires!$B$5:$B$8764,A31,Profils_horaires!$J$5:$J$8764)/1000</f>
        <v>2144.06613532305</v>
      </c>
      <c r="F31" s="22" t="n">
        <f aca="false">C31/Parametres!$B$7</f>
        <v>505.74232</v>
      </c>
      <c r="G31" s="25" t="n">
        <f aca="false">IFERROR(D31/B31,0)</f>
        <v>0.245047541156767</v>
      </c>
    </row>
    <row r="32" customFormat="false" ht="15" hidden="false" customHeight="false" outlineLevel="0" collapsed="false">
      <c r="A32" s="16" t="n">
        <v>8</v>
      </c>
      <c r="B32" s="22" t="n">
        <f aca="false">SUMIF(Profils_horaires!$B$5:$B$8764,A32,Profils_horaires!$G$5:$G$8764)</f>
        <v>190704.94</v>
      </c>
      <c r="C32" s="22" t="n">
        <f aca="false">SUMIF(Profils_horaires!$B$5:$B$8764,A32,Profils_horaires!$H$5:$H$8764)</f>
        <v>139626.01</v>
      </c>
      <c r="D32" s="22" t="n">
        <f aca="false">SUMIF(Profils_horaires!$B$5:$B$8764,A32,Profils_horaires!$I$5:$I$8764)</f>
        <v>51078.93</v>
      </c>
      <c r="E32" s="31" t="n">
        <f aca="false">SUMIF(Profils_horaires!$B$5:$B$8764,A32,Profils_horaires!$J$5:$J$8764)/1000</f>
        <v>2367.74648126166</v>
      </c>
      <c r="F32" s="22" t="n">
        <f aca="false">C32/Parametres!$B$7</f>
        <v>558.50404</v>
      </c>
      <c r="G32" s="25" t="n">
        <f aca="false">IFERROR(D32/B32,0)</f>
        <v>0.267842720802094</v>
      </c>
    </row>
    <row r="33" customFormat="false" ht="15" hidden="false" customHeight="false" outlineLevel="0" collapsed="false">
      <c r="A33" s="16" t="n">
        <v>9</v>
      </c>
      <c r="B33" s="22" t="n">
        <f aca="false">SUMIF(Profils_horaires!$B$5:$B$8764,A33,Profils_horaires!$G$5:$G$8764)</f>
        <v>129326.38</v>
      </c>
      <c r="C33" s="22" t="n">
        <f aca="false">SUMIF(Profils_horaires!$B$5:$B$8764,A33,Profils_horaires!$H$5:$H$8764)</f>
        <v>102833.79</v>
      </c>
      <c r="D33" s="22" t="n">
        <f aca="false">SUMIF(Profils_horaires!$B$5:$B$8764,A33,Profils_horaires!$I$5:$I$8764)</f>
        <v>26492.59</v>
      </c>
      <c r="E33" s="31" t="n">
        <f aca="false">SUMIF(Profils_horaires!$B$5:$B$8764,A33,Profils_horaires!$J$5:$J$8764)/1000</f>
        <v>1743.83228760387</v>
      </c>
      <c r="F33" s="22" t="n">
        <f aca="false">C33/Parametres!$B$7</f>
        <v>411.33516</v>
      </c>
      <c r="G33" s="25" t="n">
        <f aca="false">IFERROR(D33/B33,0)</f>
        <v>0.204850626763078</v>
      </c>
    </row>
    <row r="34" customFormat="false" ht="15" hidden="false" customHeight="false" outlineLevel="0" collapsed="false">
      <c r="A34" s="16" t="n">
        <v>10</v>
      </c>
      <c r="B34" s="22" t="n">
        <f aca="false">SUMIF(Profils_horaires!$B$5:$B$8764,A34,Profils_horaires!$G$5:$G$8764)</f>
        <v>154467.91</v>
      </c>
      <c r="C34" s="22" t="n">
        <f aca="false">SUMIF(Profils_horaires!$B$5:$B$8764,A34,Profils_horaires!$H$5:$H$8764)</f>
        <v>125004.69</v>
      </c>
      <c r="D34" s="22" t="n">
        <f aca="false">SUMIF(Profils_horaires!$B$5:$B$8764,A34,Profils_horaires!$I$5:$I$8764)</f>
        <v>29463.22</v>
      </c>
      <c r="E34" s="31" t="n">
        <f aca="false">SUMIF(Profils_horaires!$B$5:$B$8764,A34,Profils_horaires!$J$5:$J$8764)/1000</f>
        <v>2119.80142445311</v>
      </c>
      <c r="F34" s="22" t="n">
        <f aca="false">C34/Parametres!$B$7</f>
        <v>500.01876</v>
      </c>
      <c r="G34" s="25" t="n">
        <f aca="false">IFERROR(D34/B34,0)</f>
        <v>0.190740070219115</v>
      </c>
    </row>
    <row r="35" customFormat="false" ht="15" hidden="false" customHeight="false" outlineLevel="0" collapsed="false">
      <c r="A35" s="16" t="n">
        <v>11</v>
      </c>
      <c r="B35" s="22" t="n">
        <f aca="false">SUMIF(Profils_horaires!$B$5:$B$8764,A35,Profils_horaires!$G$5:$G$8764)</f>
        <v>127233.66</v>
      </c>
      <c r="C35" s="22" t="n">
        <f aca="false">SUMIF(Profils_horaires!$B$5:$B$8764,A35,Profils_horaires!$H$5:$H$8764)</f>
        <v>108973.61</v>
      </c>
      <c r="D35" s="22" t="n">
        <f aca="false">SUMIF(Profils_horaires!$B$5:$B$8764,A35,Profils_horaires!$I$5:$I$8764)</f>
        <v>18260.05</v>
      </c>
      <c r="E35" s="31" t="n">
        <f aca="false">SUMIF(Profils_horaires!$B$5:$B$8764,A35,Profils_horaires!$J$5:$J$8764)/1000</f>
        <v>1847.94997456334</v>
      </c>
      <c r="F35" s="22" t="n">
        <f aca="false">C35/Parametres!$B$7</f>
        <v>435.89444</v>
      </c>
      <c r="G35" s="25" t="n">
        <f aca="false">IFERROR(D35/B35,0)</f>
        <v>0.143515874651409</v>
      </c>
    </row>
    <row r="36" customFormat="false" ht="15" hidden="false" customHeight="false" outlineLevel="0" collapsed="false">
      <c r="A36" s="16" t="n">
        <v>12</v>
      </c>
      <c r="B36" s="22" t="n">
        <f aca="false">SUMIF(Profils_horaires!$B$5:$B$8764,A36,Profils_horaires!$G$5:$G$8764)</f>
        <v>86889.32</v>
      </c>
      <c r="C36" s="22" t="n">
        <f aca="false">SUMIF(Profils_horaires!$B$5:$B$8764,A36,Profils_horaires!$H$5:$H$8764)</f>
        <v>79540.82</v>
      </c>
      <c r="D36" s="22" t="n">
        <f aca="false">SUMIF(Profils_horaires!$B$5:$B$8764,A36,Profils_horaires!$I$5:$I$8764)</f>
        <v>7348.5</v>
      </c>
      <c r="E36" s="31" t="n">
        <f aca="false">SUMIF(Profils_horaires!$B$5:$B$8764,A36,Profils_horaires!$J$5:$J$8764)/1000</f>
        <v>1348.83534000339</v>
      </c>
      <c r="F36" s="22" t="n">
        <f aca="false">C36/Parametres!$B$7</f>
        <v>318.16328</v>
      </c>
      <c r="G36" s="25" t="n">
        <f aca="false">IFERROR(D36/B36,0)</f>
        <v>0.0845731097907085</v>
      </c>
    </row>
    <row r="37" customFormat="false" ht="15" hidden="false" customHeight="false" outlineLevel="0" collapsed="false">
      <c r="A37" s="34" t="s">
        <v>95</v>
      </c>
      <c r="B37" s="23" t="n">
        <f aca="false">SUM(B25:B36)</f>
        <v>1576800.1</v>
      </c>
      <c r="C37" s="23" t="n">
        <f aca="false">SUM(C25:C36)</f>
        <v>1256942.19</v>
      </c>
      <c r="D37" s="23" t="n">
        <f aca="false">SUM(D25:D36)</f>
        <v>319857.91</v>
      </c>
      <c r="E37" s="27" t="n">
        <f aca="false">SUM(E25:E36)</f>
        <v>21314.9430218755</v>
      </c>
      <c r="F37" s="23" t="n">
        <f aca="false">SUM(F25:F36)</f>
        <v>5027.76876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31.5" hidden="false" customHeight="true" outlineLevel="0" collapsed="false">
      <c r="A4" s="3" t="s">
        <v>98</v>
      </c>
      <c r="B4" s="3" t="s">
        <v>85</v>
      </c>
      <c r="C4" s="3" t="s">
        <v>73</v>
      </c>
      <c r="D4" s="3" t="s">
        <v>99</v>
      </c>
    </row>
    <row r="5" customFormat="false" ht="15" hidden="false" customHeight="false" outlineLevel="0" collapsed="false">
      <c r="A5" s="35" t="n">
        <v>0.8</v>
      </c>
      <c r="B5" s="36" t="n">
        <v>2450.12722873411</v>
      </c>
      <c r="C5" s="37" t="n">
        <v>0.0288371905385451</v>
      </c>
      <c r="D5" s="38" t="n">
        <v>26.7720301340801</v>
      </c>
    </row>
    <row r="6" customFormat="false" ht="15" hidden="false" customHeight="false" outlineLevel="0" collapsed="false">
      <c r="A6" s="39" t="n">
        <v>1</v>
      </c>
      <c r="B6" s="40" t="n">
        <v>3086.01002215272</v>
      </c>
      <c r="C6" s="41" t="n">
        <v>0.021432641377243</v>
      </c>
      <c r="D6" s="42" t="n">
        <v>26.5694535699541</v>
      </c>
    </row>
    <row r="7" customFormat="false" ht="15" hidden="false" customHeight="false" outlineLevel="0" collapsed="false">
      <c r="A7" s="35" t="n">
        <v>1.2</v>
      </c>
      <c r="B7" s="36" t="n">
        <v>3604.60085431394</v>
      </c>
      <c r="C7" s="37" t="n">
        <v>0.04749047271004</v>
      </c>
      <c r="D7" s="38" t="n">
        <v>27.2963148977356</v>
      </c>
    </row>
    <row r="8" customFormat="false" ht="15" hidden="false" customHeight="false" outlineLevel="0" collapsed="false">
      <c r="A8" s="39" t="n">
        <v>1.5</v>
      </c>
      <c r="B8" s="40" t="n">
        <v>4239.63097221209</v>
      </c>
      <c r="C8" s="41" t="n">
        <v>0.103747891888193</v>
      </c>
      <c r="D8" s="42" t="n">
        <v>29.0096946659081</v>
      </c>
    </row>
    <row r="9" customFormat="false" ht="15" hidden="false" customHeight="false" outlineLevel="0" collapsed="false">
      <c r="A9" s="35" t="n">
        <v>1.8</v>
      </c>
      <c r="B9" s="36" t="n">
        <v>4748.99001914298</v>
      </c>
      <c r="C9" s="37" t="n">
        <v>0.163391746444454</v>
      </c>
      <c r="D9" s="38" t="n">
        <v>31.0778669580431</v>
      </c>
    </row>
    <row r="10" customFormat="false" ht="15" hidden="false" customHeight="false" outlineLevel="0" collapsed="false">
      <c r="A10" s="39" t="n">
        <v>2.2</v>
      </c>
      <c r="B10" s="40" t="n">
        <v>5273.71037820289</v>
      </c>
      <c r="C10" s="41" t="n">
        <v>0.239871549657117</v>
      </c>
      <c r="D10" s="42" t="n">
        <v>34.2047452483482</v>
      </c>
    </row>
    <row r="11" customFormat="false" ht="15" hidden="false" customHeight="false" outlineLevel="0" collapsed="false">
      <c r="A11" s="35" t="n">
        <v>2.6</v>
      </c>
      <c r="B11" s="36" t="n">
        <v>5652.52003654591</v>
      </c>
      <c r="C11" s="37" t="n">
        <v>0.310614482527184</v>
      </c>
      <c r="D11" s="38" t="n">
        <v>37.7147464532068</v>
      </c>
    </row>
    <row r="12" customFormat="false" ht="15" hidden="false" customHeight="false" outlineLevel="0" collapsed="false">
      <c r="A12" s="39" t="n">
        <v>3</v>
      </c>
      <c r="B12" s="40" t="n">
        <v>5840.76411127516</v>
      </c>
      <c r="C12" s="41" t="n">
        <v>0.382635283350757</v>
      </c>
      <c r="D12" s="42" t="n">
        <v>42.114489699242</v>
      </c>
    </row>
    <row r="14" customFormat="false" ht="15" hidden="false" customHeight="false" outlineLevel="0" collapsed="false">
      <c r="A14" s="33" t="s">
        <v>100</v>
      </c>
    </row>
    <row r="15" customFormat="false" ht="15" hidden="false" customHeight="false" outlineLevel="0" collapsed="false">
      <c r="A15" s="3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2026-10-21T11:06:23Z</dcterms:created>
  <dc:creator>openpyxl</dc:creator>
  <dc:description/>
  <dc:language>en-US</dc:language>
  <cp:lastModifiedBy/>
  <dcterms:modified xsi:type="dcterms:W3CDTF">2026-10-21T11:07:09Z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