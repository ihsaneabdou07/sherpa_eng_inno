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Bases de donnees projet inno\"/>
    </mc:Choice>
  </mc:AlternateContent>
  <xr:revisionPtr revIDLastSave="0" documentId="8_{EA6625B4-BE2C-42DF-83CF-A9F00186F83A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Elec. cap. by sub-tech" sheetId="23" r:id="rId1"/>
    <sheet name="Power plants" sheetId="11" r:id="rId2"/>
    <sheet name="Cost of RE power plants" sheetId="19" r:id="rId3"/>
    <sheet name="FF reserves" sheetId="8" r:id="rId4"/>
    <sheet name="RE supply potential" sheetId="15" r:id="rId5"/>
    <sheet name="Green Hydrogen export deman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5" l="1"/>
  <c r="F5" i="15"/>
  <c r="E9" i="15"/>
  <c r="F9" i="15" s="1"/>
  <c r="F6" i="15"/>
  <c r="AK4" i="4"/>
  <c r="Q4" i="4"/>
  <c r="L4" i="4" l="1"/>
  <c r="M4" i="4" s="1"/>
  <c r="N4" i="4" s="1"/>
  <c r="O4" i="4" s="1"/>
  <c r="P4" i="4" s="1"/>
  <c r="R4" i="4"/>
  <c r="S4" i="4" l="1"/>
  <c r="T4" i="4" l="1"/>
  <c r="U4" i="4" l="1"/>
  <c r="V4" i="4" l="1"/>
  <c r="W4" i="4" l="1"/>
  <c r="X4" i="4" l="1"/>
  <c r="Y4" i="4" l="1"/>
  <c r="Z4" i="4" l="1"/>
  <c r="AA4" i="4" l="1"/>
  <c r="AB4" i="4" l="1"/>
  <c r="AC4" i="4" l="1"/>
  <c r="AD4" i="4" l="1"/>
  <c r="AE4" i="4" l="1"/>
  <c r="AF4" i="4" l="1"/>
  <c r="AG4" i="4" l="1"/>
  <c r="AH4" i="4" l="1"/>
  <c r="AI4" i="4" l="1"/>
  <c r="AJ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Naomi Tan</author>
  </authors>
  <commentList>
    <comment ref="B8" authorId="0" shapeId="0" xr:uid="{5A009D09-F096-4713-B39E-4D9C7ECBB215}">
      <text>
        <r>
          <rPr>
            <b/>
            <sz val="9"/>
            <color rgb="FF000000"/>
            <rFont val="Tahoma"/>
            <family val="2"/>
          </rPr>
          <t>Naomi Tan: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 med hydro and small hydro are 70% and 40% of the costs of large hydro.</t>
        </r>
      </text>
    </comment>
  </commentList>
</comments>
</file>

<file path=xl/sharedStrings.xml><?xml version="1.0" encoding="utf-8"?>
<sst xmlns="http://schemas.openxmlformats.org/spreadsheetml/2006/main" count="400" uniqueCount="105">
  <si>
    <t>Source</t>
  </si>
  <si>
    <t>Fuel</t>
  </si>
  <si>
    <t>Coal</t>
  </si>
  <si>
    <t>Nuclear</t>
  </si>
  <si>
    <t>Biomass</t>
  </si>
  <si>
    <t>Oil</t>
  </si>
  <si>
    <t>Vietnam Energy Outlook Report 2019. https://ens.dk/sites/ens.dk/files/Globalcooperation/vietnam_energy_outlook_report_2019.pdf</t>
  </si>
  <si>
    <t>Crude oil</t>
  </si>
  <si>
    <t>Estimated Fossil Fuel Reserves</t>
  </si>
  <si>
    <t>Natural gas</t>
  </si>
  <si>
    <t>Unit</t>
  </si>
  <si>
    <t>million tonnes</t>
  </si>
  <si>
    <t>billion barrels</t>
  </si>
  <si>
    <t>BP Statistical Review of World Energy. https://www.bp.com/en/global/corporate/energy-economics/statistical-review-of-world-energy/downloads.html</t>
  </si>
  <si>
    <t>Proven reserves</t>
  </si>
  <si>
    <t>Geothermal</t>
  </si>
  <si>
    <t>Hydro (small)</t>
  </si>
  <si>
    <t>Hydro (med)</t>
  </si>
  <si>
    <t>Hydro (large)</t>
  </si>
  <si>
    <t>Solar PV</t>
  </si>
  <si>
    <t>Wind (onshore)</t>
  </si>
  <si>
    <t>Wind (offshore)</t>
  </si>
  <si>
    <t>Technology</t>
  </si>
  <si>
    <t>Operational life (yrs)</t>
  </si>
  <si>
    <t>Techno-economic parameters of electricity generation technologies</t>
  </si>
  <si>
    <t>Average capacity factor</t>
  </si>
  <si>
    <t>Biomass Power Plant</t>
  </si>
  <si>
    <t>Coal Power Plant</t>
  </si>
  <si>
    <t>Geothermal Power Plant</t>
  </si>
  <si>
    <t>Light Fuel Oil Power Plant</t>
  </si>
  <si>
    <t>Oil Fired Gas Turbine (SCGT)</t>
  </si>
  <si>
    <t>Gas Power Plant (CCGT)</t>
  </si>
  <si>
    <t>Gas Power Plant (SCGT)</t>
  </si>
  <si>
    <t>Solar PV (Utility)</t>
  </si>
  <si>
    <t>CSP with Storage</t>
  </si>
  <si>
    <t>Large Hydropower Plant (Dam) (&gt;100MW)</t>
  </si>
  <si>
    <t>Medium Hydropower Plant (10-100MW)</t>
  </si>
  <si>
    <t>Small Hydropower Plant (&lt;10MW)</t>
  </si>
  <si>
    <t>Onshore Wind</t>
  </si>
  <si>
    <t>Offshore Wind</t>
  </si>
  <si>
    <t>Nuclear Power Plant</t>
  </si>
  <si>
    <t>Light Fuel Oil Standalone Generator (1kW)</t>
  </si>
  <si>
    <t>Solar PV (Distributed with Storage)</t>
  </si>
  <si>
    <t>Power plant</t>
  </si>
  <si>
    <t>Off-grid</t>
  </si>
  <si>
    <t>GW</t>
  </si>
  <si>
    <t>Hydro (off-grid)</t>
  </si>
  <si>
    <t>Sub-tech</t>
  </si>
  <si>
    <t>Grid connection</t>
  </si>
  <si>
    <t>Solar photovoltaic</t>
  </si>
  <si>
    <t>On-grid</t>
  </si>
  <si>
    <t>Solar thermal energy</t>
  </si>
  <si>
    <t>Onshore wind energy</t>
  </si>
  <si>
    <t>Offshore wind energy</t>
  </si>
  <si>
    <t>Pumped storage</t>
  </si>
  <si>
    <t>Marine energy</t>
  </si>
  <si>
    <t>Solid biofuels</t>
  </si>
  <si>
    <t>Renewable municipal waste</t>
  </si>
  <si>
    <t>Liquid biofuels</t>
  </si>
  <si>
    <t>Biogas</t>
  </si>
  <si>
    <t>Geothermal energy</t>
  </si>
  <si>
    <t>Coal and peat</t>
  </si>
  <si>
    <t>Fossil fuels n.e.s.</t>
  </si>
  <si>
    <t>Other non-renewable energy</t>
  </si>
  <si>
    <t>..</t>
  </si>
  <si>
    <t>raw data</t>
  </si>
  <si>
    <t>raw + processed data</t>
  </si>
  <si>
    <t>raw + modelled data</t>
  </si>
  <si>
    <t>Capital cost (USD/kW) in 2020</t>
  </si>
  <si>
    <t>Fixed cost (USD/kw/yr) in 2020</t>
  </si>
  <si>
    <t>Capital Cost of Renewable Energy Power Plants (2011 USD/kW)</t>
  </si>
  <si>
    <t xml:space="preserve">CSP </t>
  </si>
  <si>
    <t xml:space="preserve">Solar PV </t>
  </si>
  <si>
    <t>raw + processed + modelled data</t>
  </si>
  <si>
    <t>*Assume the price of less advanced techs plateaus after 2040</t>
  </si>
  <si>
    <t>*Assume the price of more advanced techs plateaus after 2030</t>
  </si>
  <si>
    <t>Installed electricity capacity (GW) by technology and grid connection</t>
  </si>
  <si>
    <t>Large Hydropower</t>
  </si>
  <si>
    <t>Mediumhydropower</t>
  </si>
  <si>
    <t>Small Hydropower</t>
  </si>
  <si>
    <t>.</t>
  </si>
  <si>
    <t>s</t>
  </si>
  <si>
    <t>IRENA. (2023). Planning and prospects for renewable power: North Africa.</t>
  </si>
  <si>
    <r>
      <t xml:space="preserve">IRENA. (2023). </t>
    </r>
    <r>
      <rPr>
        <i/>
        <sz val="12"/>
        <color theme="1"/>
        <rFont val="Times New Roman"/>
        <family val="1"/>
      </rPr>
      <t>Planning and prospects for renewable power: North Africa</t>
    </r>
    <r>
      <rPr>
        <sz val="12"/>
        <color theme="1"/>
        <rFont val="Times New Roman"/>
        <family val="1"/>
      </rPr>
      <t>.</t>
    </r>
  </si>
  <si>
    <r>
      <t xml:space="preserve">Harland, N. (2022). </t>
    </r>
    <r>
      <rPr>
        <i/>
        <sz val="12"/>
        <color theme="1"/>
        <rFont val="Times New Roman"/>
        <family val="1"/>
      </rPr>
      <t>Modelling the Feasibility of Energy Security and Decarbonisation in Morocco using OSeMOSYS (Open Source Energy Modelling System)</t>
    </r>
    <r>
      <rPr>
        <sz val="12"/>
        <color theme="1"/>
        <rFont val="Times New Roman"/>
        <family val="1"/>
      </rPr>
      <t>.</t>
    </r>
  </si>
  <si>
    <t>Harland, N. (2022). Modelling the Feasibility of Energy Security and Decarbonisation in Morocco using OSeMOSYS (Open Source Energy Modelling System).</t>
  </si>
  <si>
    <r>
      <t xml:space="preserve">Harland, N. (2022). </t>
    </r>
    <r>
      <rPr>
        <i/>
        <sz val="12"/>
        <color rgb="FF000000"/>
        <rFont val="Times New Roman"/>
        <family val="1"/>
      </rPr>
      <t>Modelling the Feasibility of Energy Security and Decarbonisation in Morocco using OSeMOSYS (Open Source Energy Modelling System)</t>
    </r>
    <r>
      <rPr>
        <sz val="12"/>
        <color rgb="FF000000"/>
        <rFont val="Times New Roman"/>
        <family val="1"/>
      </rPr>
      <t>.</t>
    </r>
  </si>
  <si>
    <t>Estimated  Energy  Potential (PJ)</t>
  </si>
  <si>
    <t>billion meter cube</t>
  </si>
  <si>
    <r>
      <t xml:space="preserve">MEM. (2023). </t>
    </r>
    <r>
      <rPr>
        <i/>
        <sz val="12"/>
        <color theme="1"/>
        <rFont val="Times New Roman"/>
        <family val="1"/>
      </rPr>
      <t>Renewable Energies</t>
    </r>
    <r>
      <rPr>
        <sz val="12"/>
        <color theme="1"/>
        <rFont val="Times New Roman"/>
        <family val="1"/>
      </rPr>
      <t>. https://www.mem.gov.ma/en/Pages/secteur.aspx?e=2 then calculated using: Richardson, E. (2023b). OSeMOSYS ResidualCapacity calculator. https://doi.org/10.5281/zenodo.8066821</t>
    </r>
  </si>
  <si>
    <r>
      <t xml:space="preserve">IEA. (2021b, June 30). </t>
    </r>
    <r>
      <rPr>
        <i/>
        <sz val="12"/>
        <color theme="1"/>
        <rFont val="Times New Roman"/>
        <family val="1"/>
      </rPr>
      <t>Hydropower Data Explorer - Morocco</t>
    </r>
    <r>
      <rPr>
        <sz val="12"/>
        <color theme="1"/>
        <rFont val="Times New Roman"/>
        <family val="1"/>
      </rPr>
      <t>.</t>
    </r>
  </si>
  <si>
    <r>
      <t xml:space="preserve">Richardson. (2023a). </t>
    </r>
    <r>
      <rPr>
        <i/>
        <sz val="12"/>
        <color theme="1"/>
        <rFont val="Times New Roman"/>
        <family val="1"/>
      </rPr>
      <t>Starter Data Kit Scenario Constraints</t>
    </r>
    <r>
      <rPr>
        <sz val="12"/>
        <color theme="1"/>
        <rFont val="Times New Roman"/>
        <family val="1"/>
      </rPr>
      <t>. https://docs.google.com/spreadsheets/d/1S_iWLzMMdUjahwrYNgFUejUBhIR1bg94/edit#gid=823935327</t>
    </r>
  </si>
  <si>
    <r>
      <t xml:space="preserve">International Renewable Energy Agency. (2019). </t>
    </r>
    <r>
      <rPr>
        <i/>
        <sz val="12"/>
        <color theme="1"/>
        <rFont val="Times New Roman"/>
        <family val="1"/>
      </rPr>
      <t>Energy Profile- Morocco</t>
    </r>
    <r>
      <rPr>
        <sz val="12"/>
        <color theme="1"/>
        <rFont val="Times New Roman"/>
        <family val="1"/>
      </rPr>
      <t>. https://www.irena.org/-/media/Files/IRENA/Agency/Statistics/Statistical_Profiles/Africa/Morocco_Africa_RE_SP.pdf</t>
    </r>
  </si>
  <si>
    <t>Data shared by ONEE (2023)</t>
  </si>
  <si>
    <r>
      <t xml:space="preserve">Marocco, P., Novo, R., Lanzini, A., Mattiazzo, G., &amp; Santarelli, M. (2023). Towards 100% renewable energy systems: The role of hydrogen and batteries. </t>
    </r>
    <r>
      <rPr>
        <i/>
        <sz val="12"/>
        <color theme="1"/>
        <rFont val="Times New Roman"/>
        <family val="1"/>
      </rPr>
      <t>Journal of Energy Storage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57</t>
    </r>
    <r>
      <rPr>
        <sz val="12"/>
        <color theme="1"/>
        <rFont val="Times New Roman"/>
        <family val="1"/>
      </rPr>
      <t>. https://doi.org/10.1016/j.est.2022.106306</t>
    </r>
  </si>
  <si>
    <t>PEM Fuel Cell</t>
  </si>
  <si>
    <t>PEM Electrolyzer</t>
  </si>
  <si>
    <r>
      <t xml:space="preserve">Marocco, P., Novo, R., Lanzini, A., Mattiazzo, G., &amp; Santarelli, M. (2023). Towards 100% renewable energy systems: The role of hydrogen and batteries. </t>
    </r>
    <r>
      <rPr>
        <i/>
        <sz val="12"/>
        <color theme="1"/>
        <rFont val="Times New Roman"/>
        <family val="1"/>
      </rPr>
      <t>Journal of Energy Storage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57</t>
    </r>
    <r>
      <rPr>
        <sz val="12"/>
        <color theme="1"/>
        <rFont val="Times New Roman"/>
        <family val="1"/>
      </rPr>
      <t>. https://doi.org/10.1016/j.est.2022.106307</t>
    </r>
    <r>
      <rPr>
        <sz val="12"/>
        <color theme="1"/>
        <rFont val="Calibri"/>
        <family val="2"/>
        <scheme val="minor"/>
      </rPr>
      <t/>
    </r>
  </si>
  <si>
    <t>Lithium-Ion Battery</t>
  </si>
  <si>
    <t xml:space="preserve">Marocco, P., Novo, R., Lanzini, A., Mattiazzo, G., &amp; Santarelli, M. (2023). Towards 100% renewable energy systems: The role of hydrogen and batteries. Journal of Energy Storage, 57. https://doi.org/10.1016/j.est.2022.106307 and Data shared by ONEE (2023) and </t>
  </si>
  <si>
    <t>Lithium Ion Battery</t>
  </si>
  <si>
    <t>Green Hydrogen Exports Demand (TWh/y)</t>
  </si>
  <si>
    <r>
      <t xml:space="preserve">Royaume du Maroc. (2021b). </t>
    </r>
    <r>
      <rPr>
        <i/>
        <sz val="12"/>
        <color theme="1"/>
        <rFont val="Times New Roman"/>
        <family val="1"/>
      </rPr>
      <t>Feuille de route de l’hydrogène vert: Vecteur de Transition Énergétique et de Croissance Durable</t>
    </r>
    <r>
      <rPr>
        <sz val="12"/>
        <color theme="1"/>
        <rFont val="Times New Roman"/>
        <family val="1"/>
      </rPr>
      <t>.</t>
    </r>
  </si>
  <si>
    <t>MEM. (2022). Renewable Energies . https://www.mem.gov.ma/Pages/secteur.aspx?e=2</t>
  </si>
  <si>
    <t>Note: '…' represents unknown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</si>
</sst>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Fill="0" applyBorder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0" borderId="0" xfId="0" applyFont="1"/>
    <xf numFmtId="0" fontId="7" fillId="3" borderId="2" xfId="3" applyBorder="1"/>
    <xf numFmtId="0" fontId="7" fillId="3" borderId="0" xfId="3" applyBorder="1"/>
    <xf numFmtId="0" fontId="8" fillId="0" borderId="12" xfId="0" applyFont="1" applyBorder="1"/>
    <xf numFmtId="0" fontId="7" fillId="3" borderId="0" xfId="3"/>
    <xf numFmtId="0" fontId="8" fillId="0" borderId="0" xfId="0" applyFont="1"/>
    <xf numFmtId="0" fontId="8" fillId="0" borderId="2" xfId="0" applyFont="1" applyBorder="1"/>
    <xf numFmtId="0" fontId="6" fillId="2" borderId="0" xfId="2"/>
    <xf numFmtId="0" fontId="9" fillId="0" borderId="0" xfId="0" applyFont="1" applyAlignment="1">
      <alignment horizontal="justify" vertical="center"/>
    </xf>
    <xf numFmtId="0" fontId="7" fillId="3" borderId="12" xfId="3" applyBorder="1"/>
    <xf numFmtId="0" fontId="6" fillId="2" borderId="0" xfId="2" applyAlignment="1"/>
    <xf numFmtId="0" fontId="0" fillId="0" borderId="7" xfId="0" applyBorder="1" applyAlignment="1">
      <alignment wrapText="1"/>
    </xf>
    <xf numFmtId="0" fontId="0" fillId="0" borderId="15" xfId="0" applyBorder="1"/>
    <xf numFmtId="0" fontId="9" fillId="0" borderId="1" xfId="0" applyFont="1" applyBorder="1" applyAlignment="1">
      <alignment horizontal="justify" vertical="center"/>
    </xf>
    <xf numFmtId="0" fontId="8" fillId="0" borderId="1" xfId="0" applyFont="1" applyBorder="1"/>
    <xf numFmtId="0" fontId="0" fillId="4" borderId="0" xfId="0" applyFill="1"/>
  </cellXfs>
  <cellStyles count="4">
    <cellStyle name="Insatisfaisant" xfId="3" builtinId="27"/>
    <cellStyle name="Normal" xfId="0" builtinId="0"/>
    <cellStyle name="Normal 2 2" xfId="1" xr:uid="{F7E13060-779E-42DC-9A8B-8E91BD3AB1B9}"/>
    <cellStyle name="Satisfaisant" xfId="2" builtinId="26"/>
  </cellStyles>
  <dxfs count="0"/>
  <tableStyles count="0" defaultTableStyle="TableStyleMedium2" defaultPivotStyle="PivotStyleLight16"/>
  <colors>
    <mruColors>
      <color rgb="FF00B0AC"/>
      <color rgb="FF00E3DE"/>
      <color rgb="FF66FFFF"/>
      <color rgb="FFCC66FF"/>
      <color rgb="FF3E5F27"/>
      <color rgb="FFE9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'Elec. cap. by sub-tech'!$B$4:$C$4</c:f>
              <c:strCache>
                <c:ptCount val="2"/>
                <c:pt idx="0">
                  <c:v>Solar photovoltaic</c:v>
                </c:pt>
                <c:pt idx="1">
                  <c:v>On-grid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sub-tech'!$D$4:$J$4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F-4290-938A-B08B3A17DE1D}"/>
            </c:ext>
          </c:extLst>
        </c:ser>
        <c:ser>
          <c:idx val="1"/>
          <c:order val="1"/>
          <c:tx>
            <c:strRef>
              <c:f>'Elec. cap. by sub-tech'!$B$5:$C$5</c:f>
              <c:strCache>
                <c:ptCount val="2"/>
                <c:pt idx="0">
                  <c:v>Solar photovoltaic</c:v>
                </c:pt>
                <c:pt idx="1">
                  <c:v>Off-grid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sub-tech'!$D$5:$J$5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0.10500000000000001</c:v>
                </c:pt>
                <c:pt idx="4">
                  <c:v>0.10500000000000001</c:v>
                </c:pt>
                <c:pt idx="5">
                  <c:v>0.22500000000000001</c:v>
                </c:pt>
                <c:pt idx="6">
                  <c:v>0.2278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F-4290-938A-B08B3A17DE1D}"/>
            </c:ext>
          </c:extLst>
        </c:ser>
        <c:ser>
          <c:idx val="2"/>
          <c:order val="2"/>
          <c:tx>
            <c:strRef>
              <c:f>'Elec. cap. by sub-tech'!$B$8:$C$8</c:f>
              <c:strCache>
                <c:ptCount val="2"/>
                <c:pt idx="0">
                  <c:v>Onshore wind energy</c:v>
                </c:pt>
                <c:pt idx="1">
                  <c:v>On-grid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sub-tech'!$D$8:$J$8</c:f>
              <c:numCache>
                <c:formatCode>General</c:formatCode>
                <c:ptCount val="7"/>
                <c:pt idx="0">
                  <c:v>0.86186999999999991</c:v>
                </c:pt>
                <c:pt idx="1">
                  <c:v>0.86186999999999991</c:v>
                </c:pt>
                <c:pt idx="2">
                  <c:v>0.96974000000000005</c:v>
                </c:pt>
                <c:pt idx="3">
                  <c:v>0.96974000000000005</c:v>
                </c:pt>
                <c:pt idx="4">
                  <c:v>1.2897400000000001</c:v>
                </c:pt>
                <c:pt idx="5">
                  <c:v>1.4997400000000001</c:v>
                </c:pt>
                <c:pt idx="6">
                  <c:v>1.5357400000000001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AF-4290-938A-B08B3A17DE1D}"/>
            </c:ext>
          </c:extLst>
        </c:ser>
        <c:ser>
          <c:idx val="3"/>
          <c:order val="3"/>
          <c:tx>
            <c:strRef>
              <c:f>'Elec. cap. by sub-tech'!$B$9:$C$9</c:f>
              <c:strCache>
                <c:ptCount val="2"/>
                <c:pt idx="0">
                  <c:v>Onshore wind energy</c:v>
                </c:pt>
                <c:pt idx="1">
                  <c:v>Off-grid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sub-tech'!$D$9:$J$9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AF-4290-938A-B08B3A17DE1D}"/>
            </c:ext>
          </c:extLst>
        </c:ser>
        <c:ser>
          <c:idx val="4"/>
          <c:order val="4"/>
          <c:tx>
            <c:strRef>
              <c:f>'Elec. cap. by sub-tech'!$B$10:$C$10</c:f>
              <c:strCache>
                <c:ptCount val="2"/>
                <c:pt idx="0">
                  <c:v>Offshore wind energy</c:v>
                </c:pt>
                <c:pt idx="1">
                  <c:v>On-grid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sub-tech'!$D$10:$J$10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AF-4290-938A-B08B3A17DE1D}"/>
            </c:ext>
          </c:extLst>
        </c:ser>
        <c:ser>
          <c:idx val="5"/>
          <c:order val="5"/>
          <c:tx>
            <c:strRef>
              <c:f>'Elec. cap. by sub-tech'!$B$12:$C$12</c:f>
              <c:strCache>
                <c:ptCount val="2"/>
                <c:pt idx="0">
                  <c:v>Large Hydropower</c:v>
                </c:pt>
                <c:pt idx="1">
                  <c:v>On-grid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sub-tech'!$D$12:$J$12</c:f>
              <c:numCache>
                <c:formatCode>General</c:formatCode>
                <c:ptCount val="7"/>
                <c:pt idx="0">
                  <c:v>1.1299999999999999</c:v>
                </c:pt>
                <c:pt idx="1">
                  <c:v>1.1299999999999999</c:v>
                </c:pt>
                <c:pt idx="2">
                  <c:v>1.1299999999999999</c:v>
                </c:pt>
                <c:pt idx="3">
                  <c:v>1.1299999999999999</c:v>
                </c:pt>
                <c:pt idx="4">
                  <c:v>1.1299999999999999</c:v>
                </c:pt>
                <c:pt idx="5">
                  <c:v>1.31</c:v>
                </c:pt>
                <c:pt idx="6">
                  <c:v>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AF-4290-938A-B08B3A17DE1D}"/>
            </c:ext>
          </c:extLst>
        </c:ser>
        <c:ser>
          <c:idx val="6"/>
          <c:order val="6"/>
          <c:tx>
            <c:strRef>
              <c:f>'Elec. cap. by sub-tech'!$B$13:$C$13</c:f>
              <c:strCache>
                <c:ptCount val="2"/>
                <c:pt idx="0">
                  <c:v>Mediumhydropower</c:v>
                </c:pt>
                <c:pt idx="1">
                  <c:v>On-grid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sub-tech'!$D$13:$J$13</c:f>
              <c:numCache>
                <c:formatCode>General</c:formatCode>
                <c:ptCount val="7"/>
                <c:pt idx="0">
                  <c:v>0.45300000000000001</c:v>
                </c:pt>
                <c:pt idx="1">
                  <c:v>0.45300000000000001</c:v>
                </c:pt>
                <c:pt idx="2">
                  <c:v>0.45300000000000001</c:v>
                </c:pt>
                <c:pt idx="3">
                  <c:v>0.45300000000000001</c:v>
                </c:pt>
                <c:pt idx="4">
                  <c:v>0.45300000000000001</c:v>
                </c:pt>
                <c:pt idx="5">
                  <c:v>0.45300000000000001</c:v>
                </c:pt>
                <c:pt idx="6">
                  <c:v>0.45300000000000001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AF-4290-938A-B08B3A17DE1D}"/>
            </c:ext>
          </c:extLst>
        </c:ser>
        <c:ser>
          <c:idx val="7"/>
          <c:order val="7"/>
          <c:tx>
            <c:strRef>
              <c:f>'Elec. cap. by sub-tech'!$B$19:$C$19</c:f>
              <c:strCache>
                <c:ptCount val="2"/>
                <c:pt idx="0">
                  <c:v>Solid biofuels</c:v>
                </c:pt>
                <c:pt idx="1">
                  <c:v>On-grid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sub-tech'!$D$19:$J$19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AF-4290-938A-B08B3A17DE1D}"/>
            </c:ext>
          </c:extLst>
        </c:ser>
        <c:ser>
          <c:idx val="8"/>
          <c:order val="8"/>
          <c:tx>
            <c:strRef>
              <c:f>'Elec. cap. by sub-tech'!$B$20:$C$20</c:f>
              <c:strCache>
                <c:ptCount val="2"/>
                <c:pt idx="0">
                  <c:v>Solid biofuels</c:v>
                </c:pt>
                <c:pt idx="1">
                  <c:v>Off-grid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sub-tech'!$D$20:$J$20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AF-4290-938A-B08B3A17DE1D}"/>
            </c:ext>
          </c:extLst>
        </c:ser>
        <c:ser>
          <c:idx val="9"/>
          <c:order val="9"/>
          <c:tx>
            <c:strRef>
              <c:f>'Elec. cap. by sub-tech'!$B$21:$C$21</c:f>
              <c:strCache>
                <c:ptCount val="2"/>
                <c:pt idx="0">
                  <c:v>Renewable municipal waste</c:v>
                </c:pt>
                <c:pt idx="1">
                  <c:v>On-grid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sub-tech'!$D$21:$J$21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AF-4290-938A-B08B3A17DE1D}"/>
            </c:ext>
          </c:extLst>
        </c:ser>
        <c:ser>
          <c:idx val="10"/>
          <c:order val="10"/>
          <c:tx>
            <c:strRef>
              <c:f>'Elec. cap. by sub-tech'!$B$25:$C$25</c:f>
              <c:strCache>
                <c:ptCount val="2"/>
                <c:pt idx="0">
                  <c:v>Biogas</c:v>
                </c:pt>
                <c:pt idx="1">
                  <c:v>On-grid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sub-tech'!$D$25:$J$25</c:f>
              <c:numCache>
                <c:formatCode>General</c:formatCode>
                <c:ptCount val="7"/>
                <c:pt idx="0">
                  <c:v>0.19270000000000001</c:v>
                </c:pt>
                <c:pt idx="1">
                  <c:v>0.19270000000000001</c:v>
                </c:pt>
                <c:pt idx="2">
                  <c:v>0.19470000000000001</c:v>
                </c:pt>
                <c:pt idx="3">
                  <c:v>0.19470000000000001</c:v>
                </c:pt>
                <c:pt idx="4">
                  <c:v>0.19470000000000001</c:v>
                </c:pt>
                <c:pt idx="5">
                  <c:v>0.19470000000000001</c:v>
                </c:pt>
                <c:pt idx="6">
                  <c:v>0.19470000000000001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AF-4290-938A-B08B3A17DE1D}"/>
            </c:ext>
          </c:extLst>
        </c:ser>
        <c:ser>
          <c:idx val="11"/>
          <c:order val="11"/>
          <c:tx>
            <c:strRef>
              <c:f>'Elec. cap. by sub-tech'!$B$26:$C$26</c:f>
              <c:strCache>
                <c:ptCount val="2"/>
                <c:pt idx="0">
                  <c:v>Biogas</c:v>
                </c:pt>
                <c:pt idx="1">
                  <c:v>Off-grid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sub-tech'!$D$26:$J$26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AF-4290-938A-B08B3A17DE1D}"/>
            </c:ext>
          </c:extLst>
        </c:ser>
        <c:ser>
          <c:idx val="12"/>
          <c:order val="12"/>
          <c:tx>
            <c:strRef>
              <c:f>'Elec. cap. by sub-tech'!$B$29:$C$29</c:f>
              <c:strCache>
                <c:ptCount val="2"/>
                <c:pt idx="0">
                  <c:v>Coal and peat</c:v>
                </c:pt>
                <c:pt idx="1">
                  <c:v>On-grid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sub-tech'!$D$29:$J$29</c:f>
              <c:numCache>
                <c:formatCode>General</c:formatCode>
                <c:ptCount val="7"/>
                <c:pt idx="0">
                  <c:v>2.3180000000000001</c:v>
                </c:pt>
                <c:pt idx="1">
                  <c:v>2.3180000000000001</c:v>
                </c:pt>
                <c:pt idx="2">
                  <c:v>4.2190000000000003</c:v>
                </c:pt>
                <c:pt idx="3">
                  <c:v>4.2190000000000003</c:v>
                </c:pt>
                <c:pt idx="4">
                  <c:v>4.2190000000000003</c:v>
                </c:pt>
                <c:pt idx="5">
                  <c:v>5.5389999999999997</c:v>
                </c:pt>
                <c:pt idx="6">
                  <c:v>5.5389999999999997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AF-4290-938A-B08B3A17DE1D}"/>
            </c:ext>
          </c:extLst>
        </c:ser>
        <c:ser>
          <c:idx val="13"/>
          <c:order val="13"/>
          <c:tx>
            <c:strRef>
              <c:f>'Elec. cap. by sub-tech'!$B$31:$C$31</c:f>
              <c:strCache>
                <c:ptCount val="2"/>
                <c:pt idx="0">
                  <c:v>Oil</c:v>
                </c:pt>
                <c:pt idx="1">
                  <c:v>On-grid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sub-tech'!$D$31:$J$31</c:f>
              <c:numCache>
                <c:formatCode>General</c:formatCode>
                <c:ptCount val="7"/>
                <c:pt idx="0">
                  <c:v>0.33800000000000002</c:v>
                </c:pt>
                <c:pt idx="1">
                  <c:v>0.33800000000000002</c:v>
                </c:pt>
                <c:pt idx="2">
                  <c:v>0.33800000000000002</c:v>
                </c:pt>
                <c:pt idx="3">
                  <c:v>0.33800000000000002</c:v>
                </c:pt>
                <c:pt idx="4">
                  <c:v>0.33800000000000002</c:v>
                </c:pt>
                <c:pt idx="5">
                  <c:v>0.33800000000000002</c:v>
                </c:pt>
                <c:pt idx="6">
                  <c:v>0.33800000000000002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AF-4290-938A-B08B3A17DE1D}"/>
            </c:ext>
          </c:extLst>
        </c:ser>
        <c:ser>
          <c:idx val="14"/>
          <c:order val="14"/>
          <c:tx>
            <c:strRef>
              <c:f>'Elec. cap. by sub-tech'!$B$33:$C$33</c:f>
              <c:strCache>
                <c:ptCount val="2"/>
                <c:pt idx="0">
                  <c:v>Natural gas</c:v>
                </c:pt>
                <c:pt idx="1">
                  <c:v>On-grid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sub-tech'!$D$33:$J$33</c:f>
              <c:numCache>
                <c:formatCode>General</c:formatCode>
                <c:ptCount val="7"/>
                <c:pt idx="0">
                  <c:v>3.6419999999999995</c:v>
                </c:pt>
                <c:pt idx="1">
                  <c:v>3.6419999999999995</c:v>
                </c:pt>
                <c:pt idx="2">
                  <c:v>3.6419999999999995</c:v>
                </c:pt>
                <c:pt idx="3">
                  <c:v>3.6419999999999995</c:v>
                </c:pt>
                <c:pt idx="4">
                  <c:v>3.6419999999999995</c:v>
                </c:pt>
                <c:pt idx="5">
                  <c:v>3.6419999999999995</c:v>
                </c:pt>
                <c:pt idx="6">
                  <c:v>3.6419999999999995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AF-4290-938A-B08B3A17DE1D}"/>
            </c:ext>
          </c:extLst>
        </c:ser>
        <c:ser>
          <c:idx val="15"/>
          <c:order val="15"/>
          <c:tx>
            <c:strRef>
              <c:f>'Elec. cap. by sub-tech'!$B$39:$C$39</c:f>
              <c:strCache>
                <c:ptCount val="2"/>
                <c:pt idx="0">
                  <c:v>Other non-renewable energy</c:v>
                </c:pt>
                <c:pt idx="1">
                  <c:v>On-grid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'Elec. cap. by sub-tech'!$D$3:$J$3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'Elec. cap. by sub-tech'!$D$39:$J$39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AF-4290-938A-B08B3A17D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4155256"/>
        <c:axId val="904155584"/>
      </c:barChart>
      <c:catAx>
        <c:axId val="90415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04155584"/>
        <c:crosses val="autoZero"/>
        <c:auto val="1"/>
        <c:lblAlgn val="ctr"/>
        <c:lblOffset val="100"/>
        <c:noMultiLvlLbl val="0"/>
      </c:catAx>
      <c:valAx>
        <c:axId val="9041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0415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Capital Cost of Renewable Energy Power Plants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'Cost of RE power plants'!$B$5</c:f>
              <c:strCache>
                <c:ptCount val="1"/>
                <c:pt idx="0">
                  <c:v>Biomass Power Plant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plants'!$C$5:$AL$5</c:f>
              <c:numCache>
                <c:formatCode>General</c:formatCode>
                <c:ptCount val="36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2500</c:v>
                </c:pt>
                <c:pt idx="25">
                  <c:v>2500</c:v>
                </c:pt>
                <c:pt idx="26">
                  <c:v>2500</c:v>
                </c:pt>
                <c:pt idx="27">
                  <c:v>2500</c:v>
                </c:pt>
                <c:pt idx="28">
                  <c:v>2500</c:v>
                </c:pt>
                <c:pt idx="29">
                  <c:v>2500</c:v>
                </c:pt>
                <c:pt idx="30">
                  <c:v>2500</c:v>
                </c:pt>
                <c:pt idx="31">
                  <c:v>2500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B8-48DC-82BE-BB91BC5ED31D}"/>
            </c:ext>
          </c:extLst>
        </c:ser>
        <c:ser>
          <c:idx val="2"/>
          <c:order val="1"/>
          <c:tx>
            <c:strRef>
              <c:f>'Cost of RE power plants'!$B$6</c:f>
              <c:strCache>
                <c:ptCount val="1"/>
                <c:pt idx="0">
                  <c:v>Solar PV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plants'!$C$6:$AL$6</c:f>
              <c:numCache>
                <c:formatCode>General</c:formatCode>
                <c:ptCount val="36"/>
                <c:pt idx="0">
                  <c:v>2165</c:v>
                </c:pt>
                <c:pt idx="1">
                  <c:v>2007.6</c:v>
                </c:pt>
                <c:pt idx="2">
                  <c:v>1850.2</c:v>
                </c:pt>
                <c:pt idx="3">
                  <c:v>1692.8</c:v>
                </c:pt>
                <c:pt idx="4">
                  <c:v>1535.4</c:v>
                </c:pt>
                <c:pt idx="5">
                  <c:v>1378</c:v>
                </c:pt>
                <c:pt idx="6">
                  <c:v>1299.2</c:v>
                </c:pt>
                <c:pt idx="7">
                  <c:v>1220.4000000000001</c:v>
                </c:pt>
                <c:pt idx="8">
                  <c:v>1141.5999999999999</c:v>
                </c:pt>
                <c:pt idx="9">
                  <c:v>1062.8</c:v>
                </c:pt>
                <c:pt idx="10">
                  <c:v>984</c:v>
                </c:pt>
                <c:pt idx="11">
                  <c:v>964.4</c:v>
                </c:pt>
                <c:pt idx="12">
                  <c:v>944.8</c:v>
                </c:pt>
                <c:pt idx="13">
                  <c:v>925.2</c:v>
                </c:pt>
                <c:pt idx="14">
                  <c:v>905.6</c:v>
                </c:pt>
                <c:pt idx="15">
                  <c:v>886</c:v>
                </c:pt>
                <c:pt idx="16">
                  <c:v>868.8</c:v>
                </c:pt>
                <c:pt idx="17">
                  <c:v>851.6</c:v>
                </c:pt>
                <c:pt idx="18">
                  <c:v>834.4</c:v>
                </c:pt>
                <c:pt idx="19">
                  <c:v>817.2</c:v>
                </c:pt>
                <c:pt idx="20">
                  <c:v>800</c:v>
                </c:pt>
                <c:pt idx="21">
                  <c:v>784.6</c:v>
                </c:pt>
                <c:pt idx="22">
                  <c:v>769.2</c:v>
                </c:pt>
                <c:pt idx="23">
                  <c:v>753.8</c:v>
                </c:pt>
                <c:pt idx="24">
                  <c:v>738.4</c:v>
                </c:pt>
                <c:pt idx="25">
                  <c:v>723</c:v>
                </c:pt>
                <c:pt idx="26">
                  <c:v>723</c:v>
                </c:pt>
                <c:pt idx="27">
                  <c:v>723</c:v>
                </c:pt>
                <c:pt idx="28">
                  <c:v>723</c:v>
                </c:pt>
                <c:pt idx="29">
                  <c:v>723</c:v>
                </c:pt>
                <c:pt idx="30">
                  <c:v>723</c:v>
                </c:pt>
                <c:pt idx="31">
                  <c:v>723</c:v>
                </c:pt>
                <c:pt idx="32">
                  <c:v>723</c:v>
                </c:pt>
                <c:pt idx="33">
                  <c:v>723</c:v>
                </c:pt>
                <c:pt idx="34">
                  <c:v>723</c:v>
                </c:pt>
                <c:pt idx="35">
                  <c:v>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B8-48DC-82BE-BB91BC5ED31D}"/>
            </c:ext>
          </c:extLst>
        </c:ser>
        <c:ser>
          <c:idx val="3"/>
          <c:order val="2"/>
          <c:tx>
            <c:strRef>
              <c:f>'Cost of RE power plants'!$B$7</c:f>
              <c:strCache>
                <c:ptCount val="1"/>
                <c:pt idx="0">
                  <c:v>CSP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plants'!$C$7:$AL$7</c:f>
              <c:numCache>
                <c:formatCode>General</c:formatCode>
                <c:ptCount val="36"/>
                <c:pt idx="0">
                  <c:v>6051</c:v>
                </c:pt>
                <c:pt idx="1">
                  <c:v>5652.4</c:v>
                </c:pt>
                <c:pt idx="2">
                  <c:v>5253.8</c:v>
                </c:pt>
                <c:pt idx="3">
                  <c:v>4855.2</c:v>
                </c:pt>
                <c:pt idx="4">
                  <c:v>4456.6000000000004</c:v>
                </c:pt>
                <c:pt idx="5">
                  <c:v>4058</c:v>
                </c:pt>
                <c:pt idx="6">
                  <c:v>3900.2</c:v>
                </c:pt>
                <c:pt idx="7">
                  <c:v>3742.4</c:v>
                </c:pt>
                <c:pt idx="8">
                  <c:v>3584.6</c:v>
                </c:pt>
                <c:pt idx="9">
                  <c:v>3426.8</c:v>
                </c:pt>
                <c:pt idx="10">
                  <c:v>3269</c:v>
                </c:pt>
                <c:pt idx="11">
                  <c:v>3142</c:v>
                </c:pt>
                <c:pt idx="12">
                  <c:v>3015</c:v>
                </c:pt>
                <c:pt idx="13">
                  <c:v>2888</c:v>
                </c:pt>
                <c:pt idx="14">
                  <c:v>2761</c:v>
                </c:pt>
                <c:pt idx="15">
                  <c:v>2634</c:v>
                </c:pt>
                <c:pt idx="16">
                  <c:v>2626.8</c:v>
                </c:pt>
                <c:pt idx="17">
                  <c:v>2619.6</c:v>
                </c:pt>
                <c:pt idx="18">
                  <c:v>2612.4</c:v>
                </c:pt>
                <c:pt idx="19">
                  <c:v>2605.1999999999998</c:v>
                </c:pt>
                <c:pt idx="20">
                  <c:v>2598</c:v>
                </c:pt>
                <c:pt idx="21">
                  <c:v>2590.8000000000002</c:v>
                </c:pt>
                <c:pt idx="22">
                  <c:v>2583.6</c:v>
                </c:pt>
                <c:pt idx="23">
                  <c:v>2576.4</c:v>
                </c:pt>
                <c:pt idx="24">
                  <c:v>2569.1999999999998</c:v>
                </c:pt>
                <c:pt idx="25">
                  <c:v>2562</c:v>
                </c:pt>
                <c:pt idx="26">
                  <c:v>2562</c:v>
                </c:pt>
                <c:pt idx="27">
                  <c:v>2562</c:v>
                </c:pt>
                <c:pt idx="28">
                  <c:v>2562</c:v>
                </c:pt>
                <c:pt idx="29">
                  <c:v>2562</c:v>
                </c:pt>
                <c:pt idx="30">
                  <c:v>2562</c:v>
                </c:pt>
                <c:pt idx="31">
                  <c:v>2562</c:v>
                </c:pt>
                <c:pt idx="32">
                  <c:v>2562</c:v>
                </c:pt>
                <c:pt idx="33">
                  <c:v>2562</c:v>
                </c:pt>
                <c:pt idx="34">
                  <c:v>2562</c:v>
                </c:pt>
                <c:pt idx="35">
                  <c:v>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8-48DC-82BE-BB91BC5ED31D}"/>
            </c:ext>
          </c:extLst>
        </c:ser>
        <c:ser>
          <c:idx val="4"/>
          <c:order val="3"/>
          <c:tx>
            <c:strRef>
              <c:f>'Cost of RE power plants'!$B$8</c:f>
              <c:strCache>
                <c:ptCount val="1"/>
                <c:pt idx="0">
                  <c:v>Large Hydropower Plant (Dam) (&gt;100MW)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plants'!$C$8:$AL$8</c:f>
              <c:numCache>
                <c:formatCode>General</c:formatCode>
                <c:ptCount val="36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B8-48DC-82BE-BB91BC5ED31D}"/>
            </c:ext>
          </c:extLst>
        </c:ser>
        <c:ser>
          <c:idx val="5"/>
          <c:order val="4"/>
          <c:tx>
            <c:strRef>
              <c:f>'Cost of RE power plants'!$B$9</c:f>
              <c:strCache>
                <c:ptCount val="1"/>
                <c:pt idx="0">
                  <c:v>Medium Hydropower Plant (10-100MW)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plants'!$C$9:$AL$9</c:f>
              <c:numCache>
                <c:formatCode>General</c:formatCode>
                <c:ptCount val="36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2500</c:v>
                </c:pt>
                <c:pt idx="25">
                  <c:v>2500</c:v>
                </c:pt>
                <c:pt idx="26">
                  <c:v>2500</c:v>
                </c:pt>
                <c:pt idx="27">
                  <c:v>2500</c:v>
                </c:pt>
                <c:pt idx="28">
                  <c:v>2500</c:v>
                </c:pt>
                <c:pt idx="29">
                  <c:v>2500</c:v>
                </c:pt>
                <c:pt idx="30">
                  <c:v>2500</c:v>
                </c:pt>
                <c:pt idx="31">
                  <c:v>2500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B8-48DC-82BE-BB91BC5ED31D}"/>
            </c:ext>
          </c:extLst>
        </c:ser>
        <c:ser>
          <c:idx val="6"/>
          <c:order val="5"/>
          <c:tx>
            <c:strRef>
              <c:f>'Cost of RE power plants'!$B$10</c:f>
              <c:strCache>
                <c:ptCount val="1"/>
                <c:pt idx="0">
                  <c:v>Small Hydropower Plant (&lt;10MW)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plants'!$C$10:$AL$10</c:f>
              <c:numCache>
                <c:formatCode>General</c:formatCode>
                <c:ptCount val="36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B8-48DC-82BE-BB91BC5ED31D}"/>
            </c:ext>
          </c:extLst>
        </c:ser>
        <c:ser>
          <c:idx val="7"/>
          <c:order val="6"/>
          <c:tx>
            <c:strRef>
              <c:f>'Cost of RE power plants'!$B$11</c:f>
              <c:strCache>
                <c:ptCount val="1"/>
                <c:pt idx="0">
                  <c:v>Onshore Wind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plants'!$C$11:$AL$11</c:f>
              <c:numCache>
                <c:formatCode>General</c:formatCode>
                <c:ptCount val="36"/>
                <c:pt idx="0">
                  <c:v>1985</c:v>
                </c:pt>
                <c:pt idx="1">
                  <c:v>1885.8</c:v>
                </c:pt>
                <c:pt idx="2">
                  <c:v>1786.6</c:v>
                </c:pt>
                <c:pt idx="3">
                  <c:v>1687.4</c:v>
                </c:pt>
                <c:pt idx="4">
                  <c:v>1588.2</c:v>
                </c:pt>
                <c:pt idx="5">
                  <c:v>1489</c:v>
                </c:pt>
                <c:pt idx="6">
                  <c:v>1429.4</c:v>
                </c:pt>
                <c:pt idx="7">
                  <c:v>1369.8</c:v>
                </c:pt>
                <c:pt idx="8">
                  <c:v>1310.2</c:v>
                </c:pt>
                <c:pt idx="9">
                  <c:v>1250.5999999999999</c:v>
                </c:pt>
                <c:pt idx="10">
                  <c:v>1191</c:v>
                </c:pt>
                <c:pt idx="11">
                  <c:v>1170.2</c:v>
                </c:pt>
                <c:pt idx="12">
                  <c:v>1149.4000000000001</c:v>
                </c:pt>
                <c:pt idx="13">
                  <c:v>1128.5999999999999</c:v>
                </c:pt>
                <c:pt idx="14">
                  <c:v>1107.8</c:v>
                </c:pt>
                <c:pt idx="15">
                  <c:v>1087</c:v>
                </c:pt>
                <c:pt idx="16">
                  <c:v>1056.2</c:v>
                </c:pt>
                <c:pt idx="17">
                  <c:v>1025.4000000000001</c:v>
                </c:pt>
                <c:pt idx="18">
                  <c:v>994.6</c:v>
                </c:pt>
                <c:pt idx="19">
                  <c:v>963.8</c:v>
                </c:pt>
                <c:pt idx="20">
                  <c:v>933</c:v>
                </c:pt>
                <c:pt idx="21">
                  <c:v>933</c:v>
                </c:pt>
                <c:pt idx="22">
                  <c:v>933</c:v>
                </c:pt>
                <c:pt idx="23">
                  <c:v>933</c:v>
                </c:pt>
                <c:pt idx="24">
                  <c:v>933</c:v>
                </c:pt>
                <c:pt idx="25">
                  <c:v>933</c:v>
                </c:pt>
                <c:pt idx="26">
                  <c:v>933</c:v>
                </c:pt>
                <c:pt idx="27">
                  <c:v>933</c:v>
                </c:pt>
                <c:pt idx="28">
                  <c:v>933</c:v>
                </c:pt>
                <c:pt idx="29">
                  <c:v>933</c:v>
                </c:pt>
                <c:pt idx="30">
                  <c:v>933</c:v>
                </c:pt>
                <c:pt idx="31">
                  <c:v>933</c:v>
                </c:pt>
                <c:pt idx="32">
                  <c:v>933</c:v>
                </c:pt>
                <c:pt idx="33">
                  <c:v>933</c:v>
                </c:pt>
                <c:pt idx="34">
                  <c:v>933</c:v>
                </c:pt>
                <c:pt idx="35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B8-48DC-82BE-BB91BC5ED31D}"/>
            </c:ext>
          </c:extLst>
        </c:ser>
        <c:ser>
          <c:idx val="8"/>
          <c:order val="7"/>
          <c:tx>
            <c:strRef>
              <c:f>'Cost of RE power plants'!$B$12</c:f>
              <c:strCache>
                <c:ptCount val="1"/>
                <c:pt idx="0">
                  <c:v>Offshore Wind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plants'!$C$12:$AL$12</c:f>
              <c:numCache>
                <c:formatCode>General</c:formatCode>
                <c:ptCount val="36"/>
                <c:pt idx="0">
                  <c:v>5000</c:v>
                </c:pt>
                <c:pt idx="1">
                  <c:v>4000</c:v>
                </c:pt>
                <c:pt idx="2">
                  <c:v>4500</c:v>
                </c:pt>
                <c:pt idx="3">
                  <c:v>4353</c:v>
                </c:pt>
                <c:pt idx="4">
                  <c:v>4162.7</c:v>
                </c:pt>
                <c:pt idx="5">
                  <c:v>3972.4</c:v>
                </c:pt>
                <c:pt idx="6">
                  <c:v>3782.1</c:v>
                </c:pt>
                <c:pt idx="7">
                  <c:v>3591.8</c:v>
                </c:pt>
                <c:pt idx="8">
                  <c:v>3401.5</c:v>
                </c:pt>
                <c:pt idx="9">
                  <c:v>3211.2</c:v>
                </c:pt>
                <c:pt idx="10">
                  <c:v>3020.9</c:v>
                </c:pt>
                <c:pt idx="11">
                  <c:v>2830.6</c:v>
                </c:pt>
                <c:pt idx="12">
                  <c:v>2640.3</c:v>
                </c:pt>
                <c:pt idx="13">
                  <c:v>2450</c:v>
                </c:pt>
                <c:pt idx="14">
                  <c:v>2259.6999999999998</c:v>
                </c:pt>
                <c:pt idx="15">
                  <c:v>2450</c:v>
                </c:pt>
                <c:pt idx="16">
                  <c:v>2432.5</c:v>
                </c:pt>
                <c:pt idx="17">
                  <c:v>2415</c:v>
                </c:pt>
                <c:pt idx="18">
                  <c:v>2397.5</c:v>
                </c:pt>
                <c:pt idx="19">
                  <c:v>2380</c:v>
                </c:pt>
                <c:pt idx="20">
                  <c:v>2362.5</c:v>
                </c:pt>
                <c:pt idx="21">
                  <c:v>2345</c:v>
                </c:pt>
                <c:pt idx="22">
                  <c:v>2327.5</c:v>
                </c:pt>
                <c:pt idx="23">
                  <c:v>2310</c:v>
                </c:pt>
                <c:pt idx="24">
                  <c:v>2292.5</c:v>
                </c:pt>
                <c:pt idx="25">
                  <c:v>2275</c:v>
                </c:pt>
                <c:pt idx="26">
                  <c:v>2257.5</c:v>
                </c:pt>
                <c:pt idx="27">
                  <c:v>2240</c:v>
                </c:pt>
                <c:pt idx="28">
                  <c:v>2222.5</c:v>
                </c:pt>
                <c:pt idx="29">
                  <c:v>2205</c:v>
                </c:pt>
                <c:pt idx="30">
                  <c:v>2187.5</c:v>
                </c:pt>
                <c:pt idx="31">
                  <c:v>2170</c:v>
                </c:pt>
                <c:pt idx="32">
                  <c:v>2152.5</c:v>
                </c:pt>
                <c:pt idx="33">
                  <c:v>2135</c:v>
                </c:pt>
                <c:pt idx="34">
                  <c:v>2117.5</c:v>
                </c:pt>
                <c:pt idx="35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B8-48DC-82BE-BB91BC5ED31D}"/>
            </c:ext>
          </c:extLst>
        </c:ser>
        <c:ser>
          <c:idx val="9"/>
          <c:order val="8"/>
          <c:tx>
            <c:strRef>
              <c:f>'Cost of RE power plants'!$B$13</c:f>
              <c:strCache>
                <c:ptCount val="1"/>
                <c:pt idx="0">
                  <c:v>Geothermal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'Cost of RE power plants'!$C$4:$AL$4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'Cost of RE power plants'!$C$13:$AL$13</c:f>
              <c:numCache>
                <c:formatCode>General</c:formatCode>
                <c:ptCount val="36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4000</c:v>
                </c:pt>
                <c:pt idx="21">
                  <c:v>4000</c:v>
                </c:pt>
                <c:pt idx="22">
                  <c:v>4000</c:v>
                </c:pt>
                <c:pt idx="23">
                  <c:v>4000</c:v>
                </c:pt>
                <c:pt idx="24">
                  <c:v>4000</c:v>
                </c:pt>
                <c:pt idx="25">
                  <c:v>4000</c:v>
                </c:pt>
                <c:pt idx="26">
                  <c:v>4000</c:v>
                </c:pt>
                <c:pt idx="27">
                  <c:v>4000</c:v>
                </c:pt>
                <c:pt idx="28">
                  <c:v>4000</c:v>
                </c:pt>
                <c:pt idx="29">
                  <c:v>4000</c:v>
                </c:pt>
                <c:pt idx="30">
                  <c:v>4000</c:v>
                </c:pt>
                <c:pt idx="31">
                  <c:v>4000</c:v>
                </c:pt>
                <c:pt idx="32">
                  <c:v>4000</c:v>
                </c:pt>
                <c:pt idx="33">
                  <c:v>4000</c:v>
                </c:pt>
                <c:pt idx="34">
                  <c:v>4000</c:v>
                </c:pt>
                <c:pt idx="3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B8-48DC-82BE-BB91BC5ED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486832"/>
        <c:axId val="971490440"/>
      </c:lineChart>
      <c:catAx>
        <c:axId val="97148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71490440"/>
        <c:crosses val="autoZero"/>
        <c:auto val="1"/>
        <c:lblAlgn val="ctr"/>
        <c:lblOffset val="100"/>
        <c:noMultiLvlLbl val="0"/>
      </c:catAx>
      <c:valAx>
        <c:axId val="97149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USD/kW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7148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549274</xdr:colOff>
      <xdr:row>4</xdr:row>
      <xdr:rowOff>9525</xdr:rowOff>
    </xdr:from>
    <xdr:to>
      <xdr:col>25</xdr:col>
      <xdr:colOff>358775</xdr:colOff>
      <xdr:row>29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632CD-974B-33D8-5F91-D46F7682F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26</xdr:row>
      <xdr:rowOff>106362</xdr:rowOff>
    </xdr:from>
    <xdr:to>
      <xdr:col>15</xdr:col>
      <xdr:colOff>577850</xdr:colOff>
      <xdr:row>52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036EC-C396-9AB8-3E97-83C466945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3D3B-FE7D-42D4-A98D-01B15BCE3F56}">
  <dimension ref="A1:O40"/>
  <sheetViews>
    <sheetView workbookViewId="0">
      <selection activeCell="M3" sqref="M3"/>
    </sheetView>
  </sheetViews>
  <sheetFormatPr baseColWidth="10" defaultColWidth="8.85546875" defaultRowHeight="15" x14ac:dyDescent="0.25"/>
  <cols>
    <col min="2" max="2" width="26.140625" bestFit="1" customWidth="1"/>
    <col min="3" max="3" width="14.42578125" bestFit="1" customWidth="1"/>
  </cols>
  <sheetData>
    <row r="1" spans="1:15" ht="15.75" x14ac:dyDescent="0.25">
      <c r="A1" s="23" t="s">
        <v>76</v>
      </c>
    </row>
    <row r="2" spans="1:15" x14ac:dyDescent="0.25">
      <c r="A2" s="16" t="s">
        <v>65</v>
      </c>
      <c r="O2" s="31" t="s">
        <v>104</v>
      </c>
    </row>
    <row r="3" spans="1:15" x14ac:dyDescent="0.25">
      <c r="A3" s="7" t="s">
        <v>0</v>
      </c>
      <c r="B3" s="15" t="s">
        <v>47</v>
      </c>
      <c r="C3" s="4" t="s">
        <v>48</v>
      </c>
      <c r="D3" s="11">
        <v>2015</v>
      </c>
      <c r="E3" s="11">
        <v>2016</v>
      </c>
      <c r="F3" s="11">
        <v>2017</v>
      </c>
      <c r="G3" s="11">
        <v>2018</v>
      </c>
      <c r="H3" s="11">
        <v>2019</v>
      </c>
      <c r="I3" s="11">
        <v>2020</v>
      </c>
      <c r="J3" s="11">
        <v>2021</v>
      </c>
      <c r="K3" s="12">
        <v>2022</v>
      </c>
    </row>
    <row r="4" spans="1:15" x14ac:dyDescent="0.25">
      <c r="A4" s="8" t="s">
        <v>103</v>
      </c>
      <c r="B4" s="13" t="s">
        <v>49</v>
      </c>
      <c r="C4" s="1" t="s">
        <v>50</v>
      </c>
      <c r="D4" s="10" t="s">
        <v>64</v>
      </c>
      <c r="E4" s="11" t="s">
        <v>64</v>
      </c>
      <c r="F4" s="11" t="s">
        <v>64</v>
      </c>
      <c r="G4" s="11" t="s">
        <v>64</v>
      </c>
      <c r="H4" s="11" t="s">
        <v>64</v>
      </c>
      <c r="I4" s="11" t="s">
        <v>64</v>
      </c>
      <c r="J4" s="11" t="s">
        <v>64</v>
      </c>
      <c r="K4" s="12" t="s">
        <v>64</v>
      </c>
    </row>
    <row r="5" spans="1:15" x14ac:dyDescent="0.25">
      <c r="A5" s="8"/>
      <c r="B5" s="13" t="s">
        <v>49</v>
      </c>
      <c r="C5" s="1" t="s">
        <v>44</v>
      </c>
      <c r="D5" s="13">
        <v>0</v>
      </c>
      <c r="E5">
        <v>0</v>
      </c>
      <c r="F5">
        <v>0</v>
      </c>
      <c r="G5">
        <v>0.10500000000000001</v>
      </c>
      <c r="H5">
        <v>0.10500000000000001</v>
      </c>
      <c r="I5">
        <v>0.22500000000000001</v>
      </c>
      <c r="J5">
        <v>0.2278</v>
      </c>
      <c r="K5" s="1">
        <v>0.23499</v>
      </c>
    </row>
    <row r="6" spans="1:15" x14ac:dyDescent="0.25">
      <c r="A6" s="8"/>
      <c r="B6" s="13" t="s">
        <v>51</v>
      </c>
      <c r="C6" s="1" t="s">
        <v>50</v>
      </c>
      <c r="D6" s="13">
        <v>0.69</v>
      </c>
      <c r="E6">
        <v>0.69</v>
      </c>
      <c r="F6">
        <v>0.69</v>
      </c>
      <c r="G6">
        <v>0.69</v>
      </c>
      <c r="H6">
        <v>0.69</v>
      </c>
      <c r="I6">
        <v>0.69</v>
      </c>
      <c r="J6">
        <v>0.69</v>
      </c>
      <c r="K6" s="1">
        <v>0.69</v>
      </c>
    </row>
    <row r="7" spans="1:15" x14ac:dyDescent="0.25">
      <c r="A7" s="8"/>
      <c r="B7" s="13" t="s">
        <v>51</v>
      </c>
      <c r="C7" s="1" t="s">
        <v>44</v>
      </c>
      <c r="D7" s="13">
        <v>0</v>
      </c>
      <c r="E7">
        <v>0.16</v>
      </c>
      <c r="F7">
        <v>0.16</v>
      </c>
      <c r="G7">
        <v>0.58199999999999996</v>
      </c>
      <c r="H7">
        <v>0.58199999999999996</v>
      </c>
      <c r="I7">
        <v>0.58199999999999996</v>
      </c>
      <c r="J7">
        <v>0.58199999999999996</v>
      </c>
      <c r="K7" s="1">
        <v>0.58199999999999996</v>
      </c>
    </row>
    <row r="8" spans="1:15" x14ac:dyDescent="0.25">
      <c r="A8" s="8"/>
      <c r="B8" s="13" t="s">
        <v>52</v>
      </c>
      <c r="C8" s="1" t="s">
        <v>50</v>
      </c>
      <c r="D8" s="13">
        <v>0.86186999999999991</v>
      </c>
      <c r="E8">
        <v>0.86186999999999991</v>
      </c>
      <c r="F8">
        <v>0.96974000000000005</v>
      </c>
      <c r="G8">
        <v>0.96974000000000005</v>
      </c>
      <c r="H8">
        <v>1.2897400000000001</v>
      </c>
      <c r="I8">
        <v>1.4997400000000001</v>
      </c>
      <c r="J8">
        <v>1.5357400000000001</v>
      </c>
      <c r="K8" s="1">
        <v>2.0477400000000001</v>
      </c>
    </row>
    <row r="9" spans="1:15" x14ac:dyDescent="0.25">
      <c r="A9" s="8"/>
      <c r="B9" s="13" t="s">
        <v>52</v>
      </c>
      <c r="C9" s="1" t="s">
        <v>44</v>
      </c>
      <c r="D9" s="13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s="1"/>
    </row>
    <row r="10" spans="1:15" x14ac:dyDescent="0.25">
      <c r="A10" s="8"/>
      <c r="B10" s="13" t="s">
        <v>53</v>
      </c>
      <c r="C10" s="1" t="s">
        <v>50</v>
      </c>
      <c r="D10" s="13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s="1"/>
    </row>
    <row r="11" spans="1:15" x14ac:dyDescent="0.25">
      <c r="A11" s="8"/>
      <c r="B11" s="13" t="s">
        <v>53</v>
      </c>
      <c r="C11" s="1" t="s">
        <v>44</v>
      </c>
      <c r="D11" s="13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s="1"/>
    </row>
    <row r="12" spans="1:15" x14ac:dyDescent="0.25">
      <c r="A12" s="8"/>
      <c r="B12" s="13" t="s">
        <v>77</v>
      </c>
      <c r="C12" s="1" t="s">
        <v>50</v>
      </c>
      <c r="D12" s="13">
        <v>1.1299999999999999</v>
      </c>
      <c r="E12">
        <v>1.1299999999999999</v>
      </c>
      <c r="F12">
        <v>1.1299999999999999</v>
      </c>
      <c r="G12">
        <v>1.1299999999999999</v>
      </c>
      <c r="H12">
        <v>1.1299999999999999</v>
      </c>
      <c r="I12">
        <v>1.31</v>
      </c>
      <c r="J12">
        <v>1.31</v>
      </c>
      <c r="K12" s="1">
        <v>1.6600000000000001</v>
      </c>
    </row>
    <row r="13" spans="1:15" x14ac:dyDescent="0.25">
      <c r="A13" s="8"/>
      <c r="B13" s="13" t="s">
        <v>78</v>
      </c>
      <c r="C13" s="1" t="s">
        <v>50</v>
      </c>
      <c r="D13" s="13">
        <v>0.45300000000000001</v>
      </c>
      <c r="E13">
        <v>0.45300000000000001</v>
      </c>
      <c r="F13">
        <v>0.45300000000000001</v>
      </c>
      <c r="G13">
        <v>0.45300000000000001</v>
      </c>
      <c r="H13">
        <v>0.45300000000000001</v>
      </c>
      <c r="I13">
        <v>0.45300000000000001</v>
      </c>
      <c r="J13">
        <v>0.45300000000000001</v>
      </c>
      <c r="K13" s="1">
        <v>0.45300000000000001</v>
      </c>
    </row>
    <row r="14" spans="1:15" x14ac:dyDescent="0.25">
      <c r="A14" s="8"/>
      <c r="B14" s="13" t="s">
        <v>79</v>
      </c>
      <c r="C14" s="1" t="s">
        <v>50</v>
      </c>
      <c r="D14" s="13">
        <v>1.4499999999999999E-2</v>
      </c>
      <c r="E14">
        <v>1.4499999999999999E-2</v>
      </c>
      <c r="F14">
        <v>1.4499999999999999E-2</v>
      </c>
      <c r="G14">
        <v>1.4499999999999999E-2</v>
      </c>
      <c r="H14">
        <v>1.4499999999999999E-2</v>
      </c>
      <c r="I14">
        <v>1.4499999999999999E-2</v>
      </c>
      <c r="J14">
        <v>3.0030000000000001E-2</v>
      </c>
      <c r="K14" s="1">
        <v>4.8729999999999996E-2</v>
      </c>
    </row>
    <row r="15" spans="1:15" x14ac:dyDescent="0.25">
      <c r="A15" s="8"/>
      <c r="B15" s="13" t="s">
        <v>54</v>
      </c>
      <c r="C15" s="1" t="s">
        <v>50</v>
      </c>
      <c r="D15" s="13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s="1"/>
    </row>
    <row r="16" spans="1:15" x14ac:dyDescent="0.25">
      <c r="A16" s="8"/>
      <c r="B16" s="13" t="s">
        <v>54</v>
      </c>
      <c r="C16" s="1" t="s">
        <v>44</v>
      </c>
      <c r="D16" s="13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s="1"/>
    </row>
    <row r="17" spans="1:11" x14ac:dyDescent="0.25">
      <c r="A17" s="8"/>
      <c r="B17" s="13" t="s">
        <v>55</v>
      </c>
      <c r="C17" s="1" t="s">
        <v>50</v>
      </c>
      <c r="D17" s="13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s="1"/>
    </row>
    <row r="18" spans="1:11" x14ac:dyDescent="0.25">
      <c r="A18" s="8"/>
      <c r="B18" s="13" t="s">
        <v>55</v>
      </c>
      <c r="C18" s="1" t="s">
        <v>44</v>
      </c>
      <c r="D18" s="13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s="1"/>
    </row>
    <row r="19" spans="1:11" x14ac:dyDescent="0.25">
      <c r="A19" s="8"/>
      <c r="B19" s="13" t="s">
        <v>56</v>
      </c>
      <c r="C19" s="1" t="s">
        <v>50</v>
      </c>
      <c r="D19" s="19" t="s">
        <v>64</v>
      </c>
      <c r="E19" s="21" t="s">
        <v>64</v>
      </c>
      <c r="F19" s="21" t="s">
        <v>64</v>
      </c>
      <c r="G19" s="21" t="s">
        <v>64</v>
      </c>
      <c r="H19" s="21" t="s">
        <v>64</v>
      </c>
      <c r="I19" s="21" t="s">
        <v>64</v>
      </c>
      <c r="J19" s="21" t="s">
        <v>64</v>
      </c>
      <c r="K19" s="22" t="s">
        <v>64</v>
      </c>
    </row>
    <row r="20" spans="1:11" x14ac:dyDescent="0.25">
      <c r="A20" s="8"/>
      <c r="B20" s="13" t="s">
        <v>56</v>
      </c>
      <c r="C20" s="1" t="s">
        <v>44</v>
      </c>
      <c r="D20" s="19" t="s">
        <v>64</v>
      </c>
      <c r="E20" s="21" t="s">
        <v>64</v>
      </c>
      <c r="F20" s="21" t="s">
        <v>64</v>
      </c>
      <c r="G20" s="21" t="s">
        <v>64</v>
      </c>
      <c r="H20" s="21" t="s">
        <v>64</v>
      </c>
      <c r="I20" s="21" t="s">
        <v>64</v>
      </c>
      <c r="J20" s="21" t="s">
        <v>64</v>
      </c>
      <c r="K20" s="22" t="s">
        <v>64</v>
      </c>
    </row>
    <row r="21" spans="1:11" x14ac:dyDescent="0.25">
      <c r="A21" s="8"/>
      <c r="B21" s="13" t="s">
        <v>57</v>
      </c>
      <c r="C21" s="1" t="s">
        <v>50</v>
      </c>
      <c r="D21" s="19" t="s">
        <v>64</v>
      </c>
      <c r="E21" s="21" t="s">
        <v>64</v>
      </c>
      <c r="F21" s="21" t="s">
        <v>64</v>
      </c>
      <c r="G21" s="21" t="s">
        <v>64</v>
      </c>
      <c r="H21" s="21" t="s">
        <v>64</v>
      </c>
      <c r="I21" s="21" t="s">
        <v>64</v>
      </c>
      <c r="J21" s="21" t="s">
        <v>64</v>
      </c>
      <c r="K21" s="1"/>
    </row>
    <row r="22" spans="1:11" x14ac:dyDescent="0.25">
      <c r="A22" s="8"/>
      <c r="B22" s="13" t="s">
        <v>57</v>
      </c>
      <c r="C22" s="1" t="s">
        <v>44</v>
      </c>
      <c r="D22" s="13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s="1"/>
    </row>
    <row r="23" spans="1:11" x14ac:dyDescent="0.25">
      <c r="A23" s="8"/>
      <c r="B23" s="13" t="s">
        <v>58</v>
      </c>
      <c r="C23" s="1" t="s">
        <v>50</v>
      </c>
      <c r="D23" s="1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s="1"/>
    </row>
    <row r="24" spans="1:11" x14ac:dyDescent="0.25">
      <c r="A24" s="8"/>
      <c r="B24" s="13" t="s">
        <v>58</v>
      </c>
      <c r="C24" s="1" t="s">
        <v>44</v>
      </c>
      <c r="D24" s="13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s="1"/>
    </row>
    <row r="25" spans="1:11" x14ac:dyDescent="0.25">
      <c r="A25" s="8"/>
      <c r="B25" s="13" t="s">
        <v>59</v>
      </c>
      <c r="C25" s="1" t="s">
        <v>50</v>
      </c>
      <c r="D25" s="13">
        <v>0.19270000000000001</v>
      </c>
      <c r="E25">
        <v>0.19270000000000001</v>
      </c>
      <c r="F25">
        <v>0.19470000000000001</v>
      </c>
      <c r="G25">
        <v>0.19470000000000001</v>
      </c>
      <c r="H25">
        <v>0.19470000000000001</v>
      </c>
      <c r="I25">
        <v>0.19470000000000001</v>
      </c>
      <c r="J25">
        <v>0.19470000000000001</v>
      </c>
      <c r="K25" s="1">
        <v>0.2147</v>
      </c>
    </row>
    <row r="26" spans="1:11" x14ac:dyDescent="0.25">
      <c r="A26" s="8"/>
      <c r="B26" s="13" t="s">
        <v>59</v>
      </c>
      <c r="C26" s="1" t="s">
        <v>44</v>
      </c>
      <c r="D26" s="13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s="1" t="s">
        <v>64</v>
      </c>
    </row>
    <row r="27" spans="1:11" x14ac:dyDescent="0.25">
      <c r="A27" s="8"/>
      <c r="B27" s="13" t="s">
        <v>60</v>
      </c>
      <c r="C27" s="1" t="s">
        <v>50</v>
      </c>
      <c r="D27" s="13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s="1"/>
    </row>
    <row r="28" spans="1:11" x14ac:dyDescent="0.25">
      <c r="A28" s="8"/>
      <c r="B28" s="13" t="s">
        <v>60</v>
      </c>
      <c r="C28" s="1" t="s">
        <v>44</v>
      </c>
      <c r="D28" s="13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s="1"/>
    </row>
    <row r="29" spans="1:11" x14ac:dyDescent="0.25">
      <c r="A29" s="8"/>
      <c r="B29" s="13" t="s">
        <v>61</v>
      </c>
      <c r="C29" s="1" t="s">
        <v>50</v>
      </c>
      <c r="D29" s="13">
        <v>2.3180000000000001</v>
      </c>
      <c r="E29">
        <v>2.3180000000000001</v>
      </c>
      <c r="F29">
        <v>4.2190000000000003</v>
      </c>
      <c r="G29">
        <v>4.2190000000000003</v>
      </c>
      <c r="H29">
        <v>4.2190000000000003</v>
      </c>
      <c r="I29">
        <v>5.5389999999999997</v>
      </c>
      <c r="J29">
        <v>5.5389999999999997</v>
      </c>
      <c r="K29" s="1">
        <v>5.5389999999999997</v>
      </c>
    </row>
    <row r="30" spans="1:11" x14ac:dyDescent="0.25">
      <c r="A30" s="8"/>
      <c r="B30" s="13" t="s">
        <v>61</v>
      </c>
      <c r="C30" s="1" t="s">
        <v>44</v>
      </c>
      <c r="D30" s="13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s="1"/>
    </row>
    <row r="31" spans="1:11" x14ac:dyDescent="0.25">
      <c r="A31" s="8"/>
      <c r="B31" s="13" t="s">
        <v>5</v>
      </c>
      <c r="C31" s="1" t="s">
        <v>50</v>
      </c>
      <c r="D31" s="13">
        <v>0.33800000000000002</v>
      </c>
      <c r="E31">
        <v>0.33800000000000002</v>
      </c>
      <c r="F31">
        <v>0.33800000000000002</v>
      </c>
      <c r="G31">
        <v>0.33800000000000002</v>
      </c>
      <c r="H31">
        <v>0.33800000000000002</v>
      </c>
      <c r="I31">
        <v>0.33800000000000002</v>
      </c>
      <c r="J31">
        <v>0.33800000000000002</v>
      </c>
      <c r="K31" s="1">
        <v>0.33800000000000002</v>
      </c>
    </row>
    <row r="32" spans="1:11" x14ac:dyDescent="0.25">
      <c r="A32" s="8"/>
      <c r="B32" s="13" t="s">
        <v>5</v>
      </c>
      <c r="C32" s="1" t="s">
        <v>44</v>
      </c>
      <c r="D32" s="13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s="1"/>
    </row>
    <row r="33" spans="1:11" x14ac:dyDescent="0.25">
      <c r="A33" s="8"/>
      <c r="B33" s="13" t="s">
        <v>9</v>
      </c>
      <c r="C33" s="1" t="s">
        <v>50</v>
      </c>
      <c r="D33" s="13">
        <v>3.6419999999999995</v>
      </c>
      <c r="E33">
        <v>3.6419999999999995</v>
      </c>
      <c r="F33">
        <v>3.6419999999999995</v>
      </c>
      <c r="G33">
        <v>3.6419999999999995</v>
      </c>
      <c r="H33">
        <v>3.6419999999999995</v>
      </c>
      <c r="I33">
        <v>3.6419999999999995</v>
      </c>
      <c r="J33">
        <v>3.6419999999999995</v>
      </c>
      <c r="K33" s="1">
        <v>3.6419999999999995</v>
      </c>
    </row>
    <row r="34" spans="1:11" x14ac:dyDescent="0.25">
      <c r="A34" s="8"/>
      <c r="B34" s="13" t="s">
        <v>9</v>
      </c>
      <c r="C34" s="1" t="s">
        <v>44</v>
      </c>
      <c r="D34" s="13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s="1"/>
    </row>
    <row r="35" spans="1:11" x14ac:dyDescent="0.25">
      <c r="A35" s="8"/>
      <c r="B35" s="13" t="s">
        <v>3</v>
      </c>
      <c r="C35" s="1" t="s">
        <v>50</v>
      </c>
      <c r="D35" s="13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s="1"/>
    </row>
    <row r="36" spans="1:11" x14ac:dyDescent="0.25">
      <c r="A36" s="8"/>
      <c r="B36" s="13" t="s">
        <v>3</v>
      </c>
      <c r="C36" s="1" t="s">
        <v>44</v>
      </c>
      <c r="D36" s="13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s="1"/>
    </row>
    <row r="37" spans="1:11" x14ac:dyDescent="0.25">
      <c r="A37" s="8"/>
      <c r="B37" s="13" t="s">
        <v>62</v>
      </c>
      <c r="C37" s="1" t="s">
        <v>50</v>
      </c>
      <c r="D37" s="13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s="1"/>
    </row>
    <row r="38" spans="1:11" x14ac:dyDescent="0.25">
      <c r="A38" s="8"/>
      <c r="B38" s="13" t="s">
        <v>62</v>
      </c>
      <c r="C38" s="1" t="s">
        <v>44</v>
      </c>
      <c r="D38" s="13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s="1"/>
    </row>
    <row r="39" spans="1:11" x14ac:dyDescent="0.25">
      <c r="A39" s="8"/>
      <c r="B39" s="13" t="s">
        <v>63</v>
      </c>
      <c r="C39" s="1" t="s">
        <v>50</v>
      </c>
      <c r="D39" s="19" t="s">
        <v>64</v>
      </c>
      <c r="E39" s="21" t="s">
        <v>64</v>
      </c>
      <c r="F39" s="21" t="s">
        <v>64</v>
      </c>
      <c r="G39" s="21" t="s">
        <v>64</v>
      </c>
      <c r="H39" s="21" t="s">
        <v>64</v>
      </c>
      <c r="I39" s="21" t="s">
        <v>64</v>
      </c>
      <c r="J39" s="21" t="s">
        <v>64</v>
      </c>
      <c r="K39" s="22" t="s">
        <v>64</v>
      </c>
    </row>
    <row r="40" spans="1:11" x14ac:dyDescent="0.25">
      <c r="A40" s="9"/>
      <c r="B40" s="14" t="s">
        <v>63</v>
      </c>
      <c r="C40" s="3" t="s">
        <v>44</v>
      </c>
      <c r="D40" s="14" t="s">
        <v>64</v>
      </c>
      <c r="E40" s="2" t="s">
        <v>64</v>
      </c>
      <c r="F40" s="2" t="s">
        <v>64</v>
      </c>
      <c r="G40" s="2" t="s">
        <v>64</v>
      </c>
      <c r="H40" s="2" t="s">
        <v>64</v>
      </c>
      <c r="I40" s="2" t="s">
        <v>64</v>
      </c>
      <c r="J40" s="2" t="s">
        <v>64</v>
      </c>
      <c r="K40" s="3" t="s">
        <v>80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20D5-7A0C-40A7-A798-58651C3B2FAB}">
  <dimension ref="A1:F23"/>
  <sheetViews>
    <sheetView tabSelected="1" topLeftCell="A10" workbookViewId="0">
      <selection activeCell="F31" sqref="F31"/>
    </sheetView>
  </sheetViews>
  <sheetFormatPr baseColWidth="10" defaultColWidth="8.85546875" defaultRowHeight="15" x14ac:dyDescent="0.25"/>
  <cols>
    <col min="1" max="1" width="24.85546875" customWidth="1"/>
    <col min="2" max="2" width="37.28515625" customWidth="1"/>
    <col min="3" max="3" width="26.42578125" customWidth="1"/>
    <col min="4" max="4" width="15.42578125" customWidth="1"/>
    <col min="5" max="5" width="10.7109375" customWidth="1"/>
    <col min="6" max="6" width="20.28515625" bestFit="1" customWidth="1"/>
  </cols>
  <sheetData>
    <row r="1" spans="1:6" ht="15.75" x14ac:dyDescent="0.25">
      <c r="A1" s="26" t="s">
        <v>24</v>
      </c>
    </row>
    <row r="2" spans="1:6" x14ac:dyDescent="0.25">
      <c r="A2" s="16" t="s">
        <v>65</v>
      </c>
    </row>
    <row r="3" spans="1:6" x14ac:dyDescent="0.25">
      <c r="A3" s="7" t="s">
        <v>0</v>
      </c>
      <c r="B3" s="4" t="s">
        <v>22</v>
      </c>
      <c r="C3" s="5" t="s">
        <v>68</v>
      </c>
      <c r="D3" s="5" t="s">
        <v>69</v>
      </c>
      <c r="E3" s="4" t="s">
        <v>23</v>
      </c>
      <c r="F3" s="4" t="s">
        <v>25</v>
      </c>
    </row>
    <row r="4" spans="1:6" ht="15.75" x14ac:dyDescent="0.25">
      <c r="A4" s="28" t="s">
        <v>84</v>
      </c>
      <c r="B4" s="12" t="s">
        <v>26</v>
      </c>
      <c r="C4" s="11">
        <v>2500</v>
      </c>
      <c r="D4" s="11">
        <v>75</v>
      </c>
      <c r="E4" s="11">
        <v>30</v>
      </c>
      <c r="F4" s="12">
        <v>0.5</v>
      </c>
    </row>
    <row r="5" spans="1:6" ht="15.75" x14ac:dyDescent="0.25">
      <c r="A5" s="8" t="s">
        <v>84</v>
      </c>
      <c r="B5" s="1" t="s">
        <v>27</v>
      </c>
      <c r="C5">
        <v>2500</v>
      </c>
      <c r="D5">
        <v>78</v>
      </c>
      <c r="E5">
        <v>35</v>
      </c>
      <c r="F5" s="1">
        <v>0.85</v>
      </c>
    </row>
    <row r="6" spans="1:6" ht="15.75" x14ac:dyDescent="0.25">
      <c r="A6" s="8" t="s">
        <v>84</v>
      </c>
      <c r="B6" s="1" t="s">
        <v>28</v>
      </c>
      <c r="C6">
        <v>4000</v>
      </c>
      <c r="D6">
        <v>120</v>
      </c>
      <c r="E6">
        <v>25</v>
      </c>
      <c r="F6" s="1">
        <v>0.79400000000000004</v>
      </c>
    </row>
    <row r="7" spans="1:6" ht="15.75" x14ac:dyDescent="0.25">
      <c r="A7" s="8" t="s">
        <v>84</v>
      </c>
      <c r="B7" s="1" t="s">
        <v>29</v>
      </c>
      <c r="C7">
        <v>1200</v>
      </c>
      <c r="D7">
        <v>35</v>
      </c>
      <c r="E7">
        <v>25</v>
      </c>
      <c r="F7" s="1">
        <v>0.8</v>
      </c>
    </row>
    <row r="8" spans="1:6" ht="15.75" x14ac:dyDescent="0.25">
      <c r="A8" s="8" t="s">
        <v>84</v>
      </c>
      <c r="B8" s="1" t="s">
        <v>30</v>
      </c>
      <c r="C8">
        <v>1450</v>
      </c>
      <c r="D8">
        <v>45</v>
      </c>
      <c r="E8">
        <v>25</v>
      </c>
      <c r="F8" s="1">
        <v>0.8</v>
      </c>
    </row>
    <row r="9" spans="1:6" ht="15.75" x14ac:dyDescent="0.25">
      <c r="A9" s="8" t="s">
        <v>84</v>
      </c>
      <c r="B9" s="1" t="s">
        <v>31</v>
      </c>
      <c r="C9">
        <v>700</v>
      </c>
      <c r="D9">
        <v>35</v>
      </c>
      <c r="E9">
        <v>30</v>
      </c>
      <c r="F9" s="1">
        <v>0.85</v>
      </c>
    </row>
    <row r="10" spans="1:6" ht="15.75" x14ac:dyDescent="0.25">
      <c r="A10" s="8" t="s">
        <v>84</v>
      </c>
      <c r="B10" s="1" t="s">
        <v>32</v>
      </c>
      <c r="C10">
        <v>1200</v>
      </c>
      <c r="D10">
        <v>20</v>
      </c>
      <c r="E10">
        <v>25</v>
      </c>
      <c r="F10" s="1">
        <v>0.85</v>
      </c>
    </row>
    <row r="11" spans="1:6" ht="15.75" x14ac:dyDescent="0.25">
      <c r="A11" s="8" t="s">
        <v>83</v>
      </c>
      <c r="B11" s="1" t="s">
        <v>33</v>
      </c>
      <c r="C11">
        <v>2165</v>
      </c>
      <c r="D11">
        <v>28.145</v>
      </c>
      <c r="E11">
        <v>24</v>
      </c>
      <c r="F11" s="1">
        <v>0.35</v>
      </c>
    </row>
    <row r="12" spans="1:6" ht="15.75" x14ac:dyDescent="0.25">
      <c r="A12" s="8" t="s">
        <v>84</v>
      </c>
      <c r="B12" s="1" t="s">
        <v>34</v>
      </c>
      <c r="C12">
        <v>6051</v>
      </c>
      <c r="D12">
        <v>60.51</v>
      </c>
      <c r="E12">
        <v>30</v>
      </c>
      <c r="F12" s="1">
        <v>0.45200000000000001</v>
      </c>
    </row>
    <row r="13" spans="1:6" x14ac:dyDescent="0.25">
      <c r="A13" s="8" t="s">
        <v>85</v>
      </c>
      <c r="B13" s="1" t="s">
        <v>35</v>
      </c>
      <c r="C13">
        <v>3000</v>
      </c>
      <c r="D13">
        <v>90</v>
      </c>
      <c r="E13">
        <v>50</v>
      </c>
      <c r="F13" s="1">
        <v>0.22</v>
      </c>
    </row>
    <row r="14" spans="1:6" ht="15.75" x14ac:dyDescent="0.25">
      <c r="A14" s="8" t="s">
        <v>86</v>
      </c>
      <c r="B14" s="1" t="s">
        <v>36</v>
      </c>
      <c r="C14">
        <v>2500</v>
      </c>
      <c r="D14">
        <v>75</v>
      </c>
      <c r="E14">
        <v>50</v>
      </c>
      <c r="F14" s="1">
        <v>0.22</v>
      </c>
    </row>
    <row r="15" spans="1:6" x14ac:dyDescent="0.25">
      <c r="A15" s="8" t="s">
        <v>82</v>
      </c>
      <c r="B15" s="1" t="s">
        <v>37</v>
      </c>
      <c r="C15">
        <v>3000</v>
      </c>
      <c r="D15">
        <v>90</v>
      </c>
      <c r="E15">
        <v>50</v>
      </c>
      <c r="F15" s="1">
        <v>0.22</v>
      </c>
    </row>
    <row r="16" spans="1:6" ht="15.75" x14ac:dyDescent="0.25">
      <c r="A16" s="8" t="s">
        <v>86</v>
      </c>
      <c r="B16" s="1" t="s">
        <v>38</v>
      </c>
      <c r="C16">
        <v>1985</v>
      </c>
      <c r="D16">
        <v>79.400000000000006</v>
      </c>
      <c r="E16">
        <v>25</v>
      </c>
      <c r="F16" s="1">
        <v>0.44</v>
      </c>
    </row>
    <row r="17" spans="1:6" ht="15.75" x14ac:dyDescent="0.25">
      <c r="A17" s="8" t="s">
        <v>86</v>
      </c>
      <c r="B17" s="1" t="s">
        <v>39</v>
      </c>
      <c r="C17">
        <v>5000</v>
      </c>
      <c r="D17">
        <v>200</v>
      </c>
      <c r="E17">
        <v>25</v>
      </c>
      <c r="F17" s="1">
        <v>0.34</v>
      </c>
    </row>
    <row r="18" spans="1:6" x14ac:dyDescent="0.25">
      <c r="A18" s="8" t="s">
        <v>93</v>
      </c>
      <c r="B18" s="1" t="s">
        <v>40</v>
      </c>
      <c r="C18">
        <v>5124</v>
      </c>
      <c r="D18">
        <v>122</v>
      </c>
      <c r="E18">
        <v>50</v>
      </c>
      <c r="F18" s="1">
        <v>0.85</v>
      </c>
    </row>
    <row r="19" spans="1:6" ht="15.75" x14ac:dyDescent="0.25">
      <c r="A19" s="8" t="s">
        <v>86</v>
      </c>
      <c r="B19" s="1" t="s">
        <v>41</v>
      </c>
      <c r="C19" s="13">
        <v>1500</v>
      </c>
      <c r="D19">
        <v>23</v>
      </c>
      <c r="E19">
        <v>10</v>
      </c>
      <c r="F19" s="1">
        <v>0.8</v>
      </c>
    </row>
    <row r="20" spans="1:6" ht="15.75" x14ac:dyDescent="0.25">
      <c r="A20" s="8" t="s">
        <v>86</v>
      </c>
      <c r="B20" s="2" t="s">
        <v>42</v>
      </c>
      <c r="C20" s="13">
        <v>2319.9</v>
      </c>
      <c r="D20">
        <v>79.400000000000006</v>
      </c>
      <c r="E20">
        <v>24</v>
      </c>
      <c r="F20" s="1">
        <v>0.23</v>
      </c>
    </row>
    <row r="21" spans="1:6" x14ac:dyDescent="0.25">
      <c r="A21" s="8" t="s">
        <v>99</v>
      </c>
      <c r="B21" t="s">
        <v>96</v>
      </c>
      <c r="C21" s="13">
        <v>1430</v>
      </c>
      <c r="D21">
        <v>40</v>
      </c>
      <c r="E21">
        <v>20</v>
      </c>
      <c r="F21" s="1">
        <v>1</v>
      </c>
    </row>
    <row r="22" spans="1:6" ht="165" x14ac:dyDescent="0.25">
      <c r="A22" s="27" t="s">
        <v>99</v>
      </c>
      <c r="B22" s="1" t="s">
        <v>95</v>
      </c>
      <c r="C22" s="13">
        <v>1670</v>
      </c>
      <c r="D22">
        <v>20</v>
      </c>
      <c r="E22">
        <v>20</v>
      </c>
      <c r="F22" s="1">
        <v>1</v>
      </c>
    </row>
    <row r="23" spans="1:6" x14ac:dyDescent="0.25">
      <c r="A23" s="9" t="s">
        <v>93</v>
      </c>
      <c r="B23" s="3" t="s">
        <v>100</v>
      </c>
      <c r="C23" s="2">
        <v>1600</v>
      </c>
      <c r="D23" s="2">
        <v>20</v>
      </c>
      <c r="E23" s="2">
        <v>15</v>
      </c>
      <c r="F2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BD72-7034-46F5-BE97-8E11652387B8}">
  <dimension ref="A2:AL16"/>
  <sheetViews>
    <sheetView workbookViewId="0">
      <selection activeCell="AR15" sqref="AR15"/>
    </sheetView>
  </sheetViews>
  <sheetFormatPr baseColWidth="10" defaultColWidth="8.85546875" defaultRowHeight="15" x14ac:dyDescent="0.25"/>
  <cols>
    <col min="1" max="1" width="40.42578125" customWidth="1"/>
    <col min="2" max="2" width="17.42578125" customWidth="1"/>
  </cols>
  <sheetData>
    <row r="2" spans="1:38" ht="15.75" x14ac:dyDescent="0.25">
      <c r="A2" s="23" t="s">
        <v>70</v>
      </c>
    </row>
    <row r="3" spans="1:38" x14ac:dyDescent="0.25">
      <c r="A3" s="16" t="s">
        <v>73</v>
      </c>
      <c r="R3" t="s">
        <v>75</v>
      </c>
      <c r="AB3" t="s">
        <v>74</v>
      </c>
    </row>
    <row r="4" spans="1:38" x14ac:dyDescent="0.25">
      <c r="A4" s="7" t="s">
        <v>0</v>
      </c>
      <c r="B4" s="7" t="s">
        <v>43</v>
      </c>
      <c r="C4" s="7">
        <v>2015</v>
      </c>
      <c r="D4" s="7">
        <v>2016</v>
      </c>
      <c r="E4" s="7">
        <v>2017</v>
      </c>
      <c r="F4" s="7">
        <v>2018</v>
      </c>
      <c r="G4" s="7">
        <v>2019</v>
      </c>
      <c r="H4" s="7">
        <v>2020</v>
      </c>
      <c r="I4" s="7">
        <v>2021</v>
      </c>
      <c r="J4" s="7">
        <v>2022</v>
      </c>
      <c r="K4" s="7">
        <v>2023</v>
      </c>
      <c r="L4" s="7">
        <v>2024</v>
      </c>
      <c r="M4" s="7">
        <v>2025</v>
      </c>
      <c r="N4" s="7">
        <v>2026</v>
      </c>
      <c r="O4" s="7">
        <v>2027</v>
      </c>
      <c r="P4" s="7">
        <v>2028</v>
      </c>
      <c r="Q4" s="7">
        <v>2029</v>
      </c>
      <c r="R4" s="7">
        <v>2030</v>
      </c>
      <c r="S4" s="7">
        <v>2031</v>
      </c>
      <c r="T4" s="7">
        <v>2032</v>
      </c>
      <c r="U4" s="7">
        <v>2033</v>
      </c>
      <c r="V4" s="7">
        <v>2034</v>
      </c>
      <c r="W4" s="7">
        <v>2035</v>
      </c>
      <c r="X4" s="7">
        <v>2036</v>
      </c>
      <c r="Y4" s="7">
        <v>2037</v>
      </c>
      <c r="Z4" s="7">
        <v>2038</v>
      </c>
      <c r="AA4" s="7">
        <v>2039</v>
      </c>
      <c r="AB4" s="7">
        <v>2040</v>
      </c>
      <c r="AC4" s="7">
        <v>2041</v>
      </c>
      <c r="AD4" s="7">
        <v>2042</v>
      </c>
      <c r="AE4" s="7">
        <v>2043</v>
      </c>
      <c r="AF4" s="7">
        <v>2044</v>
      </c>
      <c r="AG4" s="7">
        <v>2045</v>
      </c>
      <c r="AH4" s="7">
        <v>2046</v>
      </c>
      <c r="AI4" s="7">
        <v>2047</v>
      </c>
      <c r="AJ4" s="7">
        <v>2048</v>
      </c>
      <c r="AK4" s="7">
        <v>2049</v>
      </c>
      <c r="AL4" s="7">
        <v>2050</v>
      </c>
    </row>
    <row r="5" spans="1:38" ht="78.75" x14ac:dyDescent="0.25">
      <c r="A5" s="29" t="s">
        <v>84</v>
      </c>
      <c r="B5" s="7" t="s">
        <v>26</v>
      </c>
      <c r="C5" s="7">
        <v>2500</v>
      </c>
      <c r="D5" s="7">
        <v>2500</v>
      </c>
      <c r="E5" s="7">
        <v>2500</v>
      </c>
      <c r="F5" s="7">
        <v>2500</v>
      </c>
      <c r="G5" s="7">
        <v>2500</v>
      </c>
      <c r="H5" s="7">
        <v>2500</v>
      </c>
      <c r="I5" s="7">
        <v>2500</v>
      </c>
      <c r="J5" s="7">
        <v>2500</v>
      </c>
      <c r="K5" s="7">
        <v>2500</v>
      </c>
      <c r="L5" s="7">
        <v>2500</v>
      </c>
      <c r="M5" s="7">
        <v>2500</v>
      </c>
      <c r="N5" s="7">
        <v>2500</v>
      </c>
      <c r="O5" s="7">
        <v>2500</v>
      </c>
      <c r="P5" s="7">
        <v>2500</v>
      </c>
      <c r="Q5" s="7">
        <v>2500</v>
      </c>
      <c r="R5" s="7">
        <v>2500</v>
      </c>
      <c r="S5" s="7">
        <v>2500</v>
      </c>
      <c r="T5" s="7">
        <v>2500</v>
      </c>
      <c r="U5" s="7">
        <v>2500</v>
      </c>
      <c r="V5" s="7">
        <v>2500</v>
      </c>
      <c r="W5" s="7">
        <v>2500</v>
      </c>
      <c r="X5" s="7">
        <v>2500</v>
      </c>
      <c r="Y5" s="7">
        <v>2500</v>
      </c>
      <c r="Z5" s="7">
        <v>2500</v>
      </c>
      <c r="AA5" s="7">
        <v>2500</v>
      </c>
      <c r="AB5" s="7">
        <v>2500</v>
      </c>
      <c r="AC5" s="7">
        <v>2500</v>
      </c>
      <c r="AD5" s="7">
        <v>2500</v>
      </c>
      <c r="AE5" s="7">
        <v>2500</v>
      </c>
      <c r="AF5" s="7">
        <v>2500</v>
      </c>
      <c r="AG5" s="7">
        <v>2500</v>
      </c>
      <c r="AH5" s="7">
        <v>2500</v>
      </c>
      <c r="AI5" s="7">
        <v>2500</v>
      </c>
      <c r="AJ5" s="7">
        <v>2500</v>
      </c>
      <c r="AK5" s="7">
        <v>2500</v>
      </c>
      <c r="AL5" s="7">
        <v>2500</v>
      </c>
    </row>
    <row r="6" spans="1:38" ht="78.75" x14ac:dyDescent="0.25">
      <c r="A6" s="29" t="s">
        <v>84</v>
      </c>
      <c r="B6" s="7" t="s">
        <v>72</v>
      </c>
      <c r="C6" s="7">
        <v>2165</v>
      </c>
      <c r="D6" s="7">
        <v>2007.6</v>
      </c>
      <c r="E6" s="7">
        <v>1850.2</v>
      </c>
      <c r="F6" s="7">
        <v>1692.8</v>
      </c>
      <c r="G6" s="7">
        <v>1535.4</v>
      </c>
      <c r="H6" s="7">
        <v>1378</v>
      </c>
      <c r="I6" s="7">
        <v>1299.2</v>
      </c>
      <c r="J6" s="7">
        <v>1220.4000000000001</v>
      </c>
      <c r="K6" s="7">
        <v>1141.5999999999999</v>
      </c>
      <c r="L6" s="7">
        <v>1062.8</v>
      </c>
      <c r="M6" s="7">
        <v>984</v>
      </c>
      <c r="N6" s="7">
        <v>964.4</v>
      </c>
      <c r="O6" s="7">
        <v>944.8</v>
      </c>
      <c r="P6" s="7">
        <v>925.2</v>
      </c>
      <c r="Q6" s="7">
        <v>905.6</v>
      </c>
      <c r="R6" s="7">
        <v>886</v>
      </c>
      <c r="S6" s="7">
        <v>868.8</v>
      </c>
      <c r="T6" s="7">
        <v>851.6</v>
      </c>
      <c r="U6" s="7">
        <v>834.4</v>
      </c>
      <c r="V6" s="7">
        <v>817.2</v>
      </c>
      <c r="W6" s="7">
        <v>800</v>
      </c>
      <c r="X6" s="7">
        <v>784.6</v>
      </c>
      <c r="Y6" s="7">
        <v>769.2</v>
      </c>
      <c r="Z6" s="7">
        <v>753.8</v>
      </c>
      <c r="AA6" s="7">
        <v>738.4</v>
      </c>
      <c r="AB6" s="7">
        <v>723</v>
      </c>
      <c r="AC6" s="7">
        <v>723</v>
      </c>
      <c r="AD6" s="7">
        <v>723</v>
      </c>
      <c r="AE6" s="7">
        <v>723</v>
      </c>
      <c r="AF6" s="7">
        <v>723</v>
      </c>
      <c r="AG6" s="7">
        <v>723</v>
      </c>
      <c r="AH6" s="7">
        <v>723</v>
      </c>
      <c r="AI6" s="7">
        <v>723</v>
      </c>
      <c r="AJ6" s="7">
        <v>723</v>
      </c>
      <c r="AK6" s="7">
        <v>723</v>
      </c>
      <c r="AL6" s="7">
        <v>723</v>
      </c>
    </row>
    <row r="7" spans="1:38" ht="78.75" x14ac:dyDescent="0.25">
      <c r="A7" s="29" t="s">
        <v>84</v>
      </c>
      <c r="B7" s="7" t="s">
        <v>71</v>
      </c>
      <c r="C7" s="7">
        <v>6051</v>
      </c>
      <c r="D7" s="7">
        <v>5652.4</v>
      </c>
      <c r="E7" s="7">
        <v>5253.8</v>
      </c>
      <c r="F7" s="7">
        <v>4855.2</v>
      </c>
      <c r="G7" s="7">
        <v>4456.6000000000004</v>
      </c>
      <c r="H7" s="7">
        <v>4058</v>
      </c>
      <c r="I7" s="7">
        <v>3900.2</v>
      </c>
      <c r="J7" s="7">
        <v>3742.4</v>
      </c>
      <c r="K7" s="7">
        <v>3584.6</v>
      </c>
      <c r="L7" s="7">
        <v>3426.8</v>
      </c>
      <c r="M7" s="7">
        <v>3269</v>
      </c>
      <c r="N7" s="7">
        <v>3142</v>
      </c>
      <c r="O7" s="7">
        <v>3015</v>
      </c>
      <c r="P7" s="7">
        <v>2888</v>
      </c>
      <c r="Q7" s="7">
        <v>2761</v>
      </c>
      <c r="R7" s="7">
        <v>2634</v>
      </c>
      <c r="S7" s="7">
        <v>2626.8</v>
      </c>
      <c r="T7" s="7">
        <v>2619.6</v>
      </c>
      <c r="U7" s="7">
        <v>2612.4</v>
      </c>
      <c r="V7" s="7">
        <v>2605.1999999999998</v>
      </c>
      <c r="W7" s="7">
        <v>2598</v>
      </c>
      <c r="X7" s="7">
        <v>2590.8000000000002</v>
      </c>
      <c r="Y7" s="7">
        <v>2583.6</v>
      </c>
      <c r="Z7" s="7">
        <v>2576.4</v>
      </c>
      <c r="AA7" s="7">
        <v>2569.1999999999998</v>
      </c>
      <c r="AB7" s="7">
        <v>2562</v>
      </c>
      <c r="AC7" s="7">
        <v>2562</v>
      </c>
      <c r="AD7" s="7">
        <v>2562</v>
      </c>
      <c r="AE7" s="7">
        <v>2562</v>
      </c>
      <c r="AF7" s="7">
        <v>2562</v>
      </c>
      <c r="AG7" s="7">
        <v>2562</v>
      </c>
      <c r="AH7" s="7">
        <v>2562</v>
      </c>
      <c r="AI7" s="7">
        <v>2562</v>
      </c>
      <c r="AJ7" s="7">
        <v>2562</v>
      </c>
      <c r="AK7" s="7">
        <v>2562</v>
      </c>
      <c r="AL7" s="7">
        <v>2562</v>
      </c>
    </row>
    <row r="8" spans="1:38" ht="78.75" x14ac:dyDescent="0.25">
      <c r="A8" s="29" t="s">
        <v>84</v>
      </c>
      <c r="B8" s="7" t="s">
        <v>35</v>
      </c>
      <c r="C8" s="7">
        <v>3000</v>
      </c>
      <c r="D8" s="7">
        <v>3000</v>
      </c>
      <c r="E8" s="7">
        <v>3000</v>
      </c>
      <c r="F8" s="7">
        <v>3000</v>
      </c>
      <c r="G8" s="7">
        <v>3000</v>
      </c>
      <c r="H8" s="7">
        <v>3000</v>
      </c>
      <c r="I8" s="7">
        <v>3000</v>
      </c>
      <c r="J8" s="7">
        <v>3000</v>
      </c>
      <c r="K8" s="7">
        <v>3000</v>
      </c>
      <c r="L8" s="7">
        <v>3000</v>
      </c>
      <c r="M8" s="7">
        <v>3000</v>
      </c>
      <c r="N8" s="7">
        <v>3000</v>
      </c>
      <c r="O8" s="7">
        <v>3000</v>
      </c>
      <c r="P8" s="7">
        <v>3000</v>
      </c>
      <c r="Q8" s="7">
        <v>3000</v>
      </c>
      <c r="R8" s="7">
        <v>3000</v>
      </c>
      <c r="S8" s="7">
        <v>3000</v>
      </c>
      <c r="T8" s="7">
        <v>3000</v>
      </c>
      <c r="U8" s="7">
        <v>3000</v>
      </c>
      <c r="V8" s="7">
        <v>3000</v>
      </c>
      <c r="W8" s="7">
        <v>3000</v>
      </c>
      <c r="X8" s="7">
        <v>3000</v>
      </c>
      <c r="Y8" s="7">
        <v>3000</v>
      </c>
      <c r="Z8" s="7">
        <v>3000</v>
      </c>
      <c r="AA8" s="7">
        <v>3000</v>
      </c>
      <c r="AB8" s="7">
        <v>3000</v>
      </c>
      <c r="AC8" s="7">
        <v>3000</v>
      </c>
      <c r="AD8" s="7">
        <v>3000</v>
      </c>
      <c r="AE8" s="7">
        <v>3000</v>
      </c>
      <c r="AF8" s="7">
        <v>3000</v>
      </c>
      <c r="AG8" s="7">
        <v>3000</v>
      </c>
      <c r="AH8" s="7">
        <v>3000</v>
      </c>
      <c r="AI8" s="7">
        <v>3000</v>
      </c>
      <c r="AJ8" s="7">
        <v>3000</v>
      </c>
      <c r="AK8" s="7">
        <v>3000</v>
      </c>
      <c r="AL8" s="7">
        <v>3000</v>
      </c>
    </row>
    <row r="9" spans="1:38" ht="78.75" x14ac:dyDescent="0.25">
      <c r="A9" s="29" t="s">
        <v>84</v>
      </c>
      <c r="B9" s="7" t="s">
        <v>36</v>
      </c>
      <c r="C9" s="7">
        <v>2500</v>
      </c>
      <c r="D9" s="7">
        <v>2500</v>
      </c>
      <c r="E9" s="7">
        <v>2500</v>
      </c>
      <c r="F9" s="7">
        <v>2500</v>
      </c>
      <c r="G9" s="7">
        <v>2500</v>
      </c>
      <c r="H9" s="7">
        <v>2500</v>
      </c>
      <c r="I9" s="7">
        <v>2500</v>
      </c>
      <c r="J9" s="7">
        <v>2500</v>
      </c>
      <c r="K9" s="7">
        <v>2500</v>
      </c>
      <c r="L9" s="7">
        <v>2500</v>
      </c>
      <c r="M9" s="7">
        <v>2500</v>
      </c>
      <c r="N9" s="7">
        <v>2500</v>
      </c>
      <c r="O9" s="7">
        <v>2500</v>
      </c>
      <c r="P9" s="7">
        <v>2500</v>
      </c>
      <c r="Q9" s="7">
        <v>2500</v>
      </c>
      <c r="R9" s="7">
        <v>2500</v>
      </c>
      <c r="S9" s="7">
        <v>2500</v>
      </c>
      <c r="T9" s="7">
        <v>2500</v>
      </c>
      <c r="U9" s="7">
        <v>2500</v>
      </c>
      <c r="V9" s="7">
        <v>2500</v>
      </c>
      <c r="W9" s="7">
        <v>2500</v>
      </c>
      <c r="X9" s="7">
        <v>2500</v>
      </c>
      <c r="Y9" s="7">
        <v>2500</v>
      </c>
      <c r="Z9" s="7">
        <v>2500</v>
      </c>
      <c r="AA9" s="7">
        <v>2500</v>
      </c>
      <c r="AB9" s="7">
        <v>2500</v>
      </c>
      <c r="AC9" s="7">
        <v>2500</v>
      </c>
      <c r="AD9" s="7">
        <v>2500</v>
      </c>
      <c r="AE9" s="7">
        <v>2500</v>
      </c>
      <c r="AF9" s="7">
        <v>2500</v>
      </c>
      <c r="AG9" s="7">
        <v>2500</v>
      </c>
      <c r="AH9" s="7">
        <v>2500</v>
      </c>
      <c r="AI9" s="7">
        <v>2500</v>
      </c>
      <c r="AJ9" s="7">
        <v>2500</v>
      </c>
      <c r="AK9" s="7">
        <v>2500</v>
      </c>
      <c r="AL9" s="7">
        <v>2500</v>
      </c>
    </row>
    <row r="10" spans="1:38" ht="78.75" x14ac:dyDescent="0.25">
      <c r="A10" s="29" t="s">
        <v>84</v>
      </c>
      <c r="B10" s="7" t="s">
        <v>37</v>
      </c>
      <c r="C10" s="7">
        <v>3000</v>
      </c>
      <c r="D10" s="7">
        <v>3000</v>
      </c>
      <c r="E10" s="7">
        <v>3000</v>
      </c>
      <c r="F10" s="7">
        <v>3000</v>
      </c>
      <c r="G10" s="7">
        <v>3000</v>
      </c>
      <c r="H10" s="7">
        <v>3000</v>
      </c>
      <c r="I10" s="7">
        <v>3000</v>
      </c>
      <c r="J10" s="7">
        <v>3000</v>
      </c>
      <c r="K10" s="7">
        <v>3000</v>
      </c>
      <c r="L10" s="7">
        <v>3000</v>
      </c>
      <c r="M10" s="7">
        <v>3000</v>
      </c>
      <c r="N10" s="7">
        <v>3000</v>
      </c>
      <c r="O10" s="7">
        <v>3000</v>
      </c>
      <c r="P10" s="7">
        <v>3000</v>
      </c>
      <c r="Q10" s="7">
        <v>3000</v>
      </c>
      <c r="R10" s="7">
        <v>3000</v>
      </c>
      <c r="S10" s="7">
        <v>3000</v>
      </c>
      <c r="T10" s="7">
        <v>3000</v>
      </c>
      <c r="U10" s="7">
        <v>3000</v>
      </c>
      <c r="V10" s="7">
        <v>3000</v>
      </c>
      <c r="W10" s="7">
        <v>3000</v>
      </c>
      <c r="X10" s="7">
        <v>3000</v>
      </c>
      <c r="Y10" s="7">
        <v>3000</v>
      </c>
      <c r="Z10" s="7">
        <v>3000</v>
      </c>
      <c r="AA10" s="7">
        <v>3000</v>
      </c>
      <c r="AB10" s="7">
        <v>3000</v>
      </c>
      <c r="AC10" s="7">
        <v>3000</v>
      </c>
      <c r="AD10" s="7">
        <v>3000</v>
      </c>
      <c r="AE10" s="7">
        <v>3000</v>
      </c>
      <c r="AF10" s="7">
        <v>3000</v>
      </c>
      <c r="AG10" s="7">
        <v>3000</v>
      </c>
      <c r="AH10" s="7">
        <v>3000</v>
      </c>
      <c r="AI10" s="7">
        <v>3000</v>
      </c>
      <c r="AJ10" s="7">
        <v>3000</v>
      </c>
      <c r="AK10" s="7">
        <v>3000</v>
      </c>
      <c r="AL10" s="7">
        <v>3000</v>
      </c>
    </row>
    <row r="11" spans="1:38" ht="78.75" x14ac:dyDescent="0.25">
      <c r="A11" s="29" t="s">
        <v>84</v>
      </c>
      <c r="B11" s="7" t="s">
        <v>38</v>
      </c>
      <c r="C11" s="7">
        <v>1985</v>
      </c>
      <c r="D11" s="7">
        <v>1885.8</v>
      </c>
      <c r="E11" s="7">
        <v>1786.6</v>
      </c>
      <c r="F11" s="7">
        <v>1687.4</v>
      </c>
      <c r="G11" s="7">
        <v>1588.2</v>
      </c>
      <c r="H11" s="7">
        <v>1489</v>
      </c>
      <c r="I11" s="7">
        <v>1429.4</v>
      </c>
      <c r="J11" s="7">
        <v>1369.8</v>
      </c>
      <c r="K11" s="7">
        <v>1310.2</v>
      </c>
      <c r="L11" s="7">
        <v>1250.5999999999999</v>
      </c>
      <c r="M11" s="7">
        <v>1191</v>
      </c>
      <c r="N11" s="7">
        <v>1170.2</v>
      </c>
      <c r="O11" s="7">
        <v>1149.4000000000001</v>
      </c>
      <c r="P11" s="7">
        <v>1128.5999999999999</v>
      </c>
      <c r="Q11" s="7">
        <v>1107.8</v>
      </c>
      <c r="R11" s="7">
        <v>1087</v>
      </c>
      <c r="S11" s="7">
        <v>1056.2</v>
      </c>
      <c r="T11" s="7">
        <v>1025.4000000000001</v>
      </c>
      <c r="U11" s="7">
        <v>994.6</v>
      </c>
      <c r="V11" s="7">
        <v>963.8</v>
      </c>
      <c r="W11" s="7">
        <v>933</v>
      </c>
      <c r="X11" s="7">
        <v>933</v>
      </c>
      <c r="Y11" s="7">
        <v>933</v>
      </c>
      <c r="Z11" s="7">
        <v>933</v>
      </c>
      <c r="AA11" s="7">
        <v>933</v>
      </c>
      <c r="AB11" s="7">
        <v>933</v>
      </c>
      <c r="AC11" s="7">
        <v>933</v>
      </c>
      <c r="AD11" s="7">
        <v>933</v>
      </c>
      <c r="AE11" s="7">
        <v>933</v>
      </c>
      <c r="AF11" s="7">
        <v>933</v>
      </c>
      <c r="AG11" s="7">
        <v>933</v>
      </c>
      <c r="AH11" s="7">
        <v>933</v>
      </c>
      <c r="AI11" s="7">
        <v>933</v>
      </c>
      <c r="AJ11" s="7">
        <v>933</v>
      </c>
      <c r="AK11" s="7">
        <v>933</v>
      </c>
      <c r="AL11" s="7">
        <v>933</v>
      </c>
    </row>
    <row r="12" spans="1:38" ht="78.75" x14ac:dyDescent="0.25">
      <c r="A12" s="29" t="s">
        <v>84</v>
      </c>
      <c r="B12" s="7" t="s">
        <v>39</v>
      </c>
      <c r="C12" s="7">
        <v>5000</v>
      </c>
      <c r="D12" s="7">
        <v>4000</v>
      </c>
      <c r="E12" s="7">
        <v>4500</v>
      </c>
      <c r="F12" s="7">
        <v>4353</v>
      </c>
      <c r="G12" s="7">
        <v>4162.7</v>
      </c>
      <c r="H12" s="7">
        <v>3972.4</v>
      </c>
      <c r="I12" s="7">
        <v>3782.1</v>
      </c>
      <c r="J12" s="7">
        <v>3591.8</v>
      </c>
      <c r="K12" s="7">
        <v>3401.5</v>
      </c>
      <c r="L12" s="7">
        <v>3211.2</v>
      </c>
      <c r="M12" s="7">
        <v>3020.9</v>
      </c>
      <c r="N12" s="7">
        <v>2830.6</v>
      </c>
      <c r="O12" s="7">
        <v>2640.3</v>
      </c>
      <c r="P12" s="7">
        <v>2450</v>
      </c>
      <c r="Q12" s="7">
        <v>2259.6999999999998</v>
      </c>
      <c r="R12" s="7">
        <v>2450</v>
      </c>
      <c r="S12" s="7">
        <v>2432.5</v>
      </c>
      <c r="T12" s="7">
        <v>2415</v>
      </c>
      <c r="U12" s="7">
        <v>2397.5</v>
      </c>
      <c r="V12" s="7">
        <v>2380</v>
      </c>
      <c r="W12" s="7">
        <v>2362.5</v>
      </c>
      <c r="X12" s="7">
        <v>2345</v>
      </c>
      <c r="Y12" s="7">
        <v>2327.5</v>
      </c>
      <c r="Z12" s="7">
        <v>2310</v>
      </c>
      <c r="AA12" s="7">
        <v>2292.5</v>
      </c>
      <c r="AB12" s="7">
        <v>2275</v>
      </c>
      <c r="AC12" s="7">
        <v>2257.5</v>
      </c>
      <c r="AD12" s="7">
        <v>2240</v>
      </c>
      <c r="AE12" s="7">
        <v>2222.5</v>
      </c>
      <c r="AF12" s="7">
        <v>2205</v>
      </c>
      <c r="AG12" s="7">
        <v>2187.5</v>
      </c>
      <c r="AH12" s="7">
        <v>2170</v>
      </c>
      <c r="AI12" s="7">
        <v>2152.5</v>
      </c>
      <c r="AJ12" s="7">
        <v>2135</v>
      </c>
      <c r="AK12" s="7">
        <v>2117.5</v>
      </c>
      <c r="AL12" s="7">
        <v>2100</v>
      </c>
    </row>
    <row r="13" spans="1:38" ht="78.75" x14ac:dyDescent="0.25">
      <c r="A13" s="29" t="s">
        <v>84</v>
      </c>
      <c r="B13" s="7" t="s">
        <v>15</v>
      </c>
      <c r="C13" s="7">
        <v>4000</v>
      </c>
      <c r="D13" s="7">
        <v>4000</v>
      </c>
      <c r="E13" s="7">
        <v>4000</v>
      </c>
      <c r="F13" s="7">
        <v>4000</v>
      </c>
      <c r="G13" s="7">
        <v>4000</v>
      </c>
      <c r="H13" s="7">
        <v>4000</v>
      </c>
      <c r="I13" s="7">
        <v>4000</v>
      </c>
      <c r="J13" s="7">
        <v>4000</v>
      </c>
      <c r="K13" s="7">
        <v>4000</v>
      </c>
      <c r="L13" s="7">
        <v>4000</v>
      </c>
      <c r="M13" s="7">
        <v>4000</v>
      </c>
      <c r="N13" s="7">
        <v>4000</v>
      </c>
      <c r="O13" s="7">
        <v>4000</v>
      </c>
      <c r="P13" s="7">
        <v>4000</v>
      </c>
      <c r="Q13" s="7">
        <v>4000</v>
      </c>
      <c r="R13" s="7">
        <v>4000</v>
      </c>
      <c r="S13" s="7">
        <v>4000</v>
      </c>
      <c r="T13" s="7">
        <v>4000</v>
      </c>
      <c r="U13" s="7">
        <v>4000</v>
      </c>
      <c r="V13" s="7">
        <v>4000</v>
      </c>
      <c r="W13" s="7">
        <v>4000</v>
      </c>
      <c r="X13" s="7">
        <v>4000</v>
      </c>
      <c r="Y13" s="7">
        <v>4000</v>
      </c>
      <c r="Z13" s="7">
        <v>4000</v>
      </c>
      <c r="AA13" s="7">
        <v>4000</v>
      </c>
      <c r="AB13" s="7">
        <v>4000</v>
      </c>
      <c r="AC13" s="7">
        <v>4000</v>
      </c>
      <c r="AD13" s="7">
        <v>4000</v>
      </c>
      <c r="AE13" s="7">
        <v>4000</v>
      </c>
      <c r="AF13" s="7">
        <v>4000</v>
      </c>
      <c r="AG13" s="7">
        <v>4000</v>
      </c>
      <c r="AH13" s="7">
        <v>4000</v>
      </c>
      <c r="AI13" s="7">
        <v>4000</v>
      </c>
      <c r="AJ13" s="7">
        <v>4000</v>
      </c>
      <c r="AK13" s="7">
        <v>4000</v>
      </c>
      <c r="AL13" s="7">
        <v>4000</v>
      </c>
    </row>
    <row r="14" spans="1:38" ht="94.5" x14ac:dyDescent="0.25">
      <c r="A14" s="29" t="s">
        <v>94</v>
      </c>
      <c r="B14" s="7" t="s">
        <v>96</v>
      </c>
      <c r="C14" s="7"/>
      <c r="D14" s="7"/>
      <c r="E14" s="7"/>
      <c r="F14" s="7"/>
      <c r="G14" s="7"/>
      <c r="H14" s="7"/>
      <c r="I14" s="7">
        <v>1430</v>
      </c>
      <c r="J14" s="7">
        <v>1392.326</v>
      </c>
      <c r="K14" s="7">
        <v>1355.6590000000001</v>
      </c>
      <c r="L14" s="7">
        <v>1318.992</v>
      </c>
      <c r="M14" s="7">
        <v>1282.325</v>
      </c>
      <c r="N14" s="7">
        <v>1245.6579999999999</v>
      </c>
      <c r="O14" s="7">
        <v>1208.991</v>
      </c>
      <c r="P14" s="7">
        <v>1172.3240000000001</v>
      </c>
      <c r="Q14" s="7">
        <v>1135.6569999999999</v>
      </c>
      <c r="R14" s="7">
        <v>1100</v>
      </c>
      <c r="S14" s="7">
        <v>1075</v>
      </c>
      <c r="T14" s="7">
        <v>1050</v>
      </c>
      <c r="U14" s="7">
        <v>1025</v>
      </c>
      <c r="V14" s="7">
        <v>1000</v>
      </c>
      <c r="W14" s="7">
        <v>975</v>
      </c>
      <c r="X14" s="7">
        <v>950</v>
      </c>
      <c r="Y14" s="7">
        <v>925</v>
      </c>
      <c r="Z14" s="7">
        <v>900</v>
      </c>
      <c r="AA14" s="7">
        <v>875</v>
      </c>
      <c r="AB14" s="7">
        <v>850</v>
      </c>
      <c r="AC14" s="7">
        <v>825</v>
      </c>
      <c r="AD14" s="7">
        <v>800</v>
      </c>
      <c r="AE14" s="7">
        <v>775</v>
      </c>
      <c r="AF14" s="7">
        <v>750</v>
      </c>
      <c r="AG14" s="7">
        <v>725</v>
      </c>
      <c r="AH14" s="7">
        <v>700</v>
      </c>
      <c r="AI14" s="7">
        <v>675</v>
      </c>
      <c r="AJ14" s="7">
        <v>650</v>
      </c>
      <c r="AK14" s="7">
        <v>625</v>
      </c>
      <c r="AL14" s="7">
        <v>600</v>
      </c>
    </row>
    <row r="15" spans="1:38" ht="94.5" x14ac:dyDescent="0.25">
      <c r="A15" s="29" t="s">
        <v>97</v>
      </c>
      <c r="B15" s="7" t="s">
        <v>95</v>
      </c>
      <c r="C15" s="7"/>
      <c r="D15" s="7"/>
      <c r="E15" s="7"/>
      <c r="F15" s="7"/>
      <c r="G15" s="7"/>
      <c r="H15" s="7"/>
      <c r="I15" s="30">
        <v>1670</v>
      </c>
      <c r="J15" s="30">
        <v>1581.884</v>
      </c>
      <c r="K15" s="30">
        <v>1494.106</v>
      </c>
      <c r="L15" s="30">
        <v>1406.328</v>
      </c>
      <c r="M15" s="30">
        <v>1318.55</v>
      </c>
      <c r="N15" s="30">
        <v>1230.7719999999999</v>
      </c>
      <c r="O15" s="30">
        <v>1142.9939999999999</v>
      </c>
      <c r="P15" s="30">
        <v>1055.2159999999999</v>
      </c>
      <c r="Q15" s="30">
        <v>967.43799999999999</v>
      </c>
      <c r="R15" s="30">
        <v>880</v>
      </c>
      <c r="S15" s="30">
        <v>863.5</v>
      </c>
      <c r="T15" s="30">
        <v>847</v>
      </c>
      <c r="U15" s="30">
        <v>830.5</v>
      </c>
      <c r="V15" s="30">
        <v>814</v>
      </c>
      <c r="W15" s="30">
        <v>797.5</v>
      </c>
      <c r="X15" s="30">
        <v>781</v>
      </c>
      <c r="Y15" s="30">
        <v>764.5</v>
      </c>
      <c r="Z15" s="30">
        <v>748</v>
      </c>
      <c r="AA15" s="30">
        <v>731.5</v>
      </c>
      <c r="AB15" s="30">
        <v>715</v>
      </c>
      <c r="AC15" s="30">
        <v>698.5</v>
      </c>
      <c r="AD15" s="30">
        <v>682</v>
      </c>
      <c r="AE15" s="30">
        <v>665.5</v>
      </c>
      <c r="AF15" s="30">
        <v>649</v>
      </c>
      <c r="AG15" s="30">
        <v>632.5</v>
      </c>
      <c r="AH15" s="30">
        <v>616</v>
      </c>
      <c r="AI15" s="30">
        <v>599.5</v>
      </c>
      <c r="AJ15" s="30">
        <v>583</v>
      </c>
      <c r="AK15" s="30">
        <v>566.5</v>
      </c>
      <c r="AL15" s="30">
        <v>550</v>
      </c>
    </row>
    <row r="16" spans="1:38" ht="15.75" x14ac:dyDescent="0.25">
      <c r="A16" s="29" t="s">
        <v>93</v>
      </c>
      <c r="B16" s="7" t="s">
        <v>98</v>
      </c>
      <c r="C16" s="7"/>
      <c r="D16" s="7"/>
      <c r="E16" s="7"/>
      <c r="F16" s="7"/>
      <c r="G16" s="7"/>
      <c r="H16" s="7"/>
      <c r="I16" s="7">
        <v>1600</v>
      </c>
      <c r="J16" s="7">
        <v>1477.039999999979</v>
      </c>
      <c r="K16" s="7">
        <v>1362.75</v>
      </c>
      <c r="L16" s="7">
        <v>1248.4599999999919</v>
      </c>
      <c r="M16" s="7">
        <v>1134.1699999999837</v>
      </c>
      <c r="N16" s="7">
        <v>1019.8799999999756</v>
      </c>
      <c r="O16" s="7">
        <v>905.58999999999651</v>
      </c>
      <c r="P16" s="7">
        <v>800</v>
      </c>
      <c r="Q16" s="7">
        <v>780</v>
      </c>
      <c r="R16" s="7">
        <v>760</v>
      </c>
      <c r="S16" s="7">
        <v>740</v>
      </c>
      <c r="T16" s="7">
        <v>720</v>
      </c>
      <c r="U16" s="7">
        <v>700</v>
      </c>
      <c r="V16" s="7">
        <v>680</v>
      </c>
      <c r="W16" s="7">
        <v>660</v>
      </c>
      <c r="X16" s="7">
        <v>640</v>
      </c>
      <c r="Y16" s="7">
        <v>620</v>
      </c>
      <c r="Z16" s="7">
        <v>600</v>
      </c>
      <c r="AA16" s="7">
        <v>580</v>
      </c>
      <c r="AB16" s="7">
        <v>560</v>
      </c>
      <c r="AC16" s="7">
        <v>540</v>
      </c>
      <c r="AD16" s="7">
        <v>520</v>
      </c>
      <c r="AE16" s="7">
        <v>500</v>
      </c>
      <c r="AF16" s="7">
        <v>480</v>
      </c>
      <c r="AG16" s="7">
        <v>460</v>
      </c>
      <c r="AH16" s="7">
        <v>440</v>
      </c>
      <c r="AI16" s="7">
        <v>420</v>
      </c>
      <c r="AJ16" s="7">
        <v>400</v>
      </c>
      <c r="AK16" s="7">
        <v>400</v>
      </c>
      <c r="AL16" s="7">
        <v>400</v>
      </c>
    </row>
  </sheetData>
  <phoneticPr fontId="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4D17-BDF6-47FF-9CCF-533CD28351DB}">
  <dimension ref="A1:D6"/>
  <sheetViews>
    <sheetView workbookViewId="0">
      <selection activeCell="C15" sqref="C15"/>
    </sheetView>
  </sheetViews>
  <sheetFormatPr baseColWidth="10" defaultColWidth="8.85546875" defaultRowHeight="15" x14ac:dyDescent="0.25"/>
  <cols>
    <col min="1" max="1" width="48.42578125" customWidth="1"/>
    <col min="2" max="2" width="10.140625" bestFit="1" customWidth="1"/>
    <col min="3" max="3" width="17.28515625" bestFit="1" customWidth="1"/>
    <col min="4" max="4" width="14.140625" bestFit="1" customWidth="1"/>
  </cols>
  <sheetData>
    <row r="1" spans="1:4" x14ac:dyDescent="0.25">
      <c r="A1" s="6" t="s">
        <v>8</v>
      </c>
    </row>
    <row r="2" spans="1:4" s="16" customFormat="1" x14ac:dyDescent="0.25">
      <c r="A2" s="16" t="s">
        <v>65</v>
      </c>
    </row>
    <row r="3" spans="1:4" x14ac:dyDescent="0.25">
      <c r="A3" s="15" t="s">
        <v>0</v>
      </c>
      <c r="B3" s="5" t="s">
        <v>1</v>
      </c>
      <c r="C3" s="4" t="s">
        <v>10</v>
      </c>
      <c r="D3" s="4" t="s">
        <v>14</v>
      </c>
    </row>
    <row r="4" spans="1:4" ht="15.75" x14ac:dyDescent="0.25">
      <c r="A4" s="25" t="s">
        <v>13</v>
      </c>
      <c r="B4" s="18" t="s">
        <v>2</v>
      </c>
      <c r="C4" s="17" t="s">
        <v>11</v>
      </c>
      <c r="D4" s="17">
        <v>3360</v>
      </c>
    </row>
    <row r="5" spans="1:4" ht="15.75" x14ac:dyDescent="0.25">
      <c r="A5" s="20"/>
      <c r="B5" s="18" t="s">
        <v>7</v>
      </c>
      <c r="C5" s="17" t="s">
        <v>12</v>
      </c>
      <c r="D5" s="17">
        <v>0</v>
      </c>
    </row>
    <row r="6" spans="1:4" ht="63" x14ac:dyDescent="0.25">
      <c r="A6" s="24" t="s">
        <v>92</v>
      </c>
      <c r="B6" s="2" t="s">
        <v>9</v>
      </c>
      <c r="C6" s="3" t="s">
        <v>88</v>
      </c>
      <c r="D6" s="3">
        <v>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CD56-B744-4EFB-BA66-AD2325EAD2E5}">
  <dimension ref="A1:Q25"/>
  <sheetViews>
    <sheetView workbookViewId="0">
      <selection activeCell="B10" sqref="B10"/>
    </sheetView>
  </sheetViews>
  <sheetFormatPr baseColWidth="10" defaultColWidth="8.85546875" defaultRowHeight="15" x14ac:dyDescent="0.25"/>
  <cols>
    <col min="1" max="1" width="39.7109375" customWidth="1"/>
    <col min="2" max="2" width="14.140625" bestFit="1" customWidth="1"/>
  </cols>
  <sheetData>
    <row r="1" spans="1:6" ht="15.75" x14ac:dyDescent="0.25">
      <c r="A1" s="23" t="s">
        <v>87</v>
      </c>
    </row>
    <row r="2" spans="1:6" x14ac:dyDescent="0.25">
      <c r="A2" s="16" t="s">
        <v>66</v>
      </c>
    </row>
    <row r="3" spans="1:6" x14ac:dyDescent="0.25">
      <c r="A3" s="7" t="s">
        <v>0</v>
      </c>
      <c r="B3" s="15" t="s">
        <v>1</v>
      </c>
      <c r="C3" s="4" t="s">
        <v>10</v>
      </c>
      <c r="D3" s="5">
        <v>2020</v>
      </c>
      <c r="E3" s="5">
        <v>2030</v>
      </c>
      <c r="F3" s="4">
        <v>2050</v>
      </c>
    </row>
    <row r="4" spans="1:6" ht="94.5" x14ac:dyDescent="0.25">
      <c r="A4" s="24" t="s">
        <v>89</v>
      </c>
      <c r="B4" s="13" t="s">
        <v>4</v>
      </c>
      <c r="C4" s="1" t="s">
        <v>45</v>
      </c>
      <c r="D4">
        <v>0.1948</v>
      </c>
      <c r="E4">
        <v>0.5</v>
      </c>
      <c r="F4" s="1">
        <v>0.5</v>
      </c>
    </row>
    <row r="5" spans="1:6" ht="78.75" x14ac:dyDescent="0.25">
      <c r="A5" s="24" t="s">
        <v>84</v>
      </c>
      <c r="B5" s="13" t="s">
        <v>15</v>
      </c>
      <c r="C5" s="1" t="s">
        <v>45</v>
      </c>
      <c r="D5">
        <v>0</v>
      </c>
      <c r="E5">
        <v>0</v>
      </c>
      <c r="F5" s="1">
        <f>D5</f>
        <v>0</v>
      </c>
    </row>
    <row r="6" spans="1:6" ht="31.5" x14ac:dyDescent="0.25">
      <c r="A6" s="24" t="s">
        <v>90</v>
      </c>
      <c r="B6" s="13" t="s">
        <v>18</v>
      </c>
      <c r="C6" s="1" t="s">
        <v>45</v>
      </c>
      <c r="D6">
        <v>1.31</v>
      </c>
      <c r="E6">
        <v>0.1</v>
      </c>
      <c r="F6" s="1">
        <f>E6</f>
        <v>0.1</v>
      </c>
    </row>
    <row r="7" spans="1:6" ht="31.5" x14ac:dyDescent="0.25">
      <c r="A7" s="24" t="s">
        <v>90</v>
      </c>
      <c r="B7" s="13" t="s">
        <v>17</v>
      </c>
      <c r="C7" s="1" t="s">
        <v>45</v>
      </c>
      <c r="D7">
        <v>0.45300000000000001</v>
      </c>
      <c r="E7">
        <v>0.40400000000000003</v>
      </c>
      <c r="F7" s="1">
        <v>0.28899999999999998</v>
      </c>
    </row>
    <row r="8" spans="1:6" ht="31.5" x14ac:dyDescent="0.25">
      <c r="A8" s="24" t="s">
        <v>90</v>
      </c>
      <c r="B8" s="13" t="s">
        <v>16</v>
      </c>
      <c r="C8" s="1" t="s">
        <v>45</v>
      </c>
      <c r="D8">
        <v>1.4500000000000001E-2</v>
      </c>
      <c r="E8">
        <v>0.14713000000000001</v>
      </c>
      <c r="F8" s="1">
        <v>0.13993</v>
      </c>
    </row>
    <row r="9" spans="1:6" ht="31.5" x14ac:dyDescent="0.25">
      <c r="A9" s="24" t="s">
        <v>90</v>
      </c>
      <c r="B9" t="s">
        <v>46</v>
      </c>
      <c r="C9" s="1" t="s">
        <v>45</v>
      </c>
      <c r="D9">
        <v>0.03</v>
      </c>
      <c r="E9">
        <f t="shared" ref="E9:F9" si="0">D9</f>
        <v>0.03</v>
      </c>
      <c r="F9" s="1">
        <f t="shared" si="0"/>
        <v>0.03</v>
      </c>
    </row>
    <row r="10" spans="1:6" ht="78.75" x14ac:dyDescent="0.25">
      <c r="A10" s="24" t="s">
        <v>91</v>
      </c>
      <c r="B10" s="13" t="s">
        <v>19</v>
      </c>
      <c r="C10" s="1" t="s">
        <v>45</v>
      </c>
      <c r="D10">
        <v>0.22500000000000001</v>
      </c>
      <c r="E10">
        <v>1.22499</v>
      </c>
      <c r="F10" s="1">
        <f t="shared" ref="F10" si="1">E10</f>
        <v>1.22499</v>
      </c>
    </row>
    <row r="11" spans="1:6" ht="78.75" x14ac:dyDescent="0.25">
      <c r="A11" s="24" t="s">
        <v>91</v>
      </c>
      <c r="B11" s="13" t="s">
        <v>20</v>
      </c>
      <c r="C11" s="1" t="s">
        <v>45</v>
      </c>
      <c r="D11">
        <v>17.031199999999998</v>
      </c>
      <c r="E11">
        <v>18.439832899999999</v>
      </c>
      <c r="F11" s="1">
        <v>33.476332999999997</v>
      </c>
    </row>
    <row r="12" spans="1:6" ht="78.75" x14ac:dyDescent="0.25">
      <c r="A12" s="24" t="s">
        <v>91</v>
      </c>
      <c r="B12" s="14" t="s">
        <v>21</v>
      </c>
      <c r="C12" s="3" t="s">
        <v>45</v>
      </c>
      <c r="D12" s="2">
        <v>0</v>
      </c>
      <c r="E12" s="2">
        <v>46.099582300000002</v>
      </c>
      <c r="F12" s="3">
        <v>83.690833299999994</v>
      </c>
    </row>
    <row r="13" spans="1:6" x14ac:dyDescent="0.25">
      <c r="B13" s="13"/>
      <c r="C13" s="1"/>
    </row>
    <row r="14" spans="1:6" x14ac:dyDescent="0.25">
      <c r="A14" s="6"/>
    </row>
    <row r="15" spans="1:6" x14ac:dyDescent="0.25">
      <c r="A15" s="16"/>
    </row>
    <row r="17" spans="12:17" x14ac:dyDescent="0.25">
      <c r="L17" t="s">
        <v>81</v>
      </c>
    </row>
    <row r="25" spans="12:17" x14ac:dyDescent="0.25">
      <c r="Q25" t="s">
        <v>81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DC6F-876B-4FF8-9CDC-F57A029F7CD6}">
  <dimension ref="A1:AK5"/>
  <sheetViews>
    <sheetView workbookViewId="0">
      <selection activeCell="J24" sqref="J24"/>
    </sheetView>
  </sheetViews>
  <sheetFormatPr baseColWidth="10" defaultColWidth="8.85546875" defaultRowHeight="15" x14ac:dyDescent="0.25"/>
  <cols>
    <col min="1" max="1" width="19.7109375" customWidth="1"/>
    <col min="2" max="2" width="8.7109375" customWidth="1"/>
    <col min="3" max="3" width="9.85546875" bestFit="1" customWidth="1"/>
  </cols>
  <sheetData>
    <row r="1" spans="1:37" ht="15.75" x14ac:dyDescent="0.25">
      <c r="A1" s="23" t="s">
        <v>101</v>
      </c>
      <c r="C1" s="6"/>
    </row>
    <row r="2" spans="1:37" x14ac:dyDescent="0.25">
      <c r="A2" s="16" t="s">
        <v>67</v>
      </c>
      <c r="C2" s="6"/>
    </row>
    <row r="3" spans="1:37" x14ac:dyDescent="0.25">
      <c r="A3" s="7" t="s">
        <v>0</v>
      </c>
      <c r="B3" s="5">
        <v>2015</v>
      </c>
      <c r="C3" s="5">
        <v>2016</v>
      </c>
      <c r="D3" s="5">
        <v>2017</v>
      </c>
      <c r="E3" s="5">
        <v>2018</v>
      </c>
      <c r="F3" s="5">
        <v>2019</v>
      </c>
      <c r="G3" s="5">
        <v>2020</v>
      </c>
      <c r="H3" s="5">
        <v>2021</v>
      </c>
      <c r="I3" s="5">
        <v>2022</v>
      </c>
      <c r="J3" s="5">
        <v>2023</v>
      </c>
      <c r="K3" s="5">
        <v>2024</v>
      </c>
      <c r="L3" s="5">
        <v>2025</v>
      </c>
      <c r="M3" s="5">
        <v>2026</v>
      </c>
      <c r="N3" s="5">
        <v>2027</v>
      </c>
      <c r="O3" s="5">
        <v>2028</v>
      </c>
      <c r="P3" s="5">
        <v>2029</v>
      </c>
      <c r="Q3" s="5">
        <v>2030</v>
      </c>
      <c r="R3" s="5">
        <v>2031</v>
      </c>
      <c r="S3" s="5">
        <v>2032</v>
      </c>
      <c r="T3" s="5">
        <v>2033</v>
      </c>
      <c r="U3" s="5">
        <v>2034</v>
      </c>
      <c r="V3" s="5">
        <v>2035</v>
      </c>
      <c r="W3" s="5">
        <v>2036</v>
      </c>
      <c r="X3" s="5">
        <v>2037</v>
      </c>
      <c r="Y3" s="5">
        <v>2038</v>
      </c>
      <c r="Z3" s="5">
        <v>2039</v>
      </c>
      <c r="AA3" s="5">
        <v>2040</v>
      </c>
      <c r="AB3" s="5">
        <v>2041</v>
      </c>
      <c r="AC3" s="5">
        <v>2042</v>
      </c>
      <c r="AD3" s="5">
        <v>2043</v>
      </c>
      <c r="AE3" s="5">
        <v>2044</v>
      </c>
      <c r="AF3" s="5">
        <v>2045</v>
      </c>
      <c r="AG3" s="5">
        <v>2046</v>
      </c>
      <c r="AH3" s="5">
        <v>2047</v>
      </c>
      <c r="AI3" s="5">
        <v>2048</v>
      </c>
      <c r="AJ3" s="5">
        <v>2049</v>
      </c>
      <c r="AK3" s="4">
        <v>2050</v>
      </c>
    </row>
    <row r="4" spans="1:37" hidden="1" x14ac:dyDescent="0.25">
      <c r="A4" s="7" t="s">
        <v>6</v>
      </c>
      <c r="B4" s="15"/>
      <c r="C4" s="5"/>
      <c r="D4" s="5"/>
      <c r="E4" s="5"/>
      <c r="F4" s="5"/>
      <c r="G4" s="5"/>
      <c r="H4" s="5"/>
      <c r="I4" s="5"/>
      <c r="J4" s="5"/>
      <c r="K4" s="5"/>
      <c r="L4" s="5" t="e">
        <f>AVERAGE(#REF!)</f>
        <v>#REF!</v>
      </c>
      <c r="M4" s="5" t="e">
        <f>(($Q$4-$L$4)/5)+L4</f>
        <v>#REF!</v>
      </c>
      <c r="N4" s="5" t="e">
        <f>(($Q$4-$L$4)/5)+M4</f>
        <v>#REF!</v>
      </c>
      <c r="O4" s="5" t="e">
        <f t="shared" ref="O4" si="0">(($Q$4-$L$4)/5)+N4</f>
        <v>#REF!</v>
      </c>
      <c r="P4" s="5" t="e">
        <f>(($Q$4-$L$4)/5)+O4</f>
        <v>#REF!</v>
      </c>
      <c r="Q4" s="5" t="e">
        <f>AVERAGE(#REF!)</f>
        <v>#REF!</v>
      </c>
      <c r="R4" s="5" t="e">
        <f>(($AK$4-$Q$4)/20)+Q4</f>
        <v>#REF!</v>
      </c>
      <c r="S4" s="5" t="e">
        <f t="shared" ref="S4:AJ4" si="1">(($AK$4-$Q$4)/20)+R4</f>
        <v>#REF!</v>
      </c>
      <c r="T4" s="5" t="e">
        <f t="shared" si="1"/>
        <v>#REF!</v>
      </c>
      <c r="U4" s="5" t="e">
        <f t="shared" si="1"/>
        <v>#REF!</v>
      </c>
      <c r="V4" s="5" t="e">
        <f t="shared" si="1"/>
        <v>#REF!</v>
      </c>
      <c r="W4" s="5" t="e">
        <f t="shared" si="1"/>
        <v>#REF!</v>
      </c>
      <c r="X4" s="5" t="e">
        <f t="shared" si="1"/>
        <v>#REF!</v>
      </c>
      <c r="Y4" s="5" t="e">
        <f t="shared" si="1"/>
        <v>#REF!</v>
      </c>
      <c r="Z4" s="5" t="e">
        <f t="shared" si="1"/>
        <v>#REF!</v>
      </c>
      <c r="AA4" s="5" t="e">
        <f t="shared" si="1"/>
        <v>#REF!</v>
      </c>
      <c r="AB4" s="5" t="e">
        <f t="shared" si="1"/>
        <v>#REF!</v>
      </c>
      <c r="AC4" s="5" t="e">
        <f t="shared" si="1"/>
        <v>#REF!</v>
      </c>
      <c r="AD4" s="5" t="e">
        <f t="shared" si="1"/>
        <v>#REF!</v>
      </c>
      <c r="AE4" s="5" t="e">
        <f t="shared" si="1"/>
        <v>#REF!</v>
      </c>
      <c r="AF4" s="5" t="e">
        <f t="shared" si="1"/>
        <v>#REF!</v>
      </c>
      <c r="AG4" s="5" t="e">
        <f t="shared" si="1"/>
        <v>#REF!</v>
      </c>
      <c r="AH4" s="5" t="e">
        <f t="shared" si="1"/>
        <v>#REF!</v>
      </c>
      <c r="AI4" s="5" t="e">
        <f t="shared" si="1"/>
        <v>#REF!</v>
      </c>
      <c r="AJ4" s="5" t="e">
        <f t="shared" si="1"/>
        <v>#REF!</v>
      </c>
      <c r="AK4" s="4" t="e">
        <f>AVERAGE(#REF!)</f>
        <v>#REF!</v>
      </c>
    </row>
    <row r="5" spans="1:37" ht="141.75" x14ac:dyDescent="0.25">
      <c r="A5" s="29" t="s">
        <v>102</v>
      </c>
      <c r="B5" s="7">
        <v>0</v>
      </c>
      <c r="C5" s="7"/>
      <c r="D5" s="7"/>
      <c r="E5" s="7"/>
      <c r="F5" s="7"/>
      <c r="G5" s="7"/>
      <c r="H5" s="7"/>
      <c r="I5" s="7"/>
      <c r="J5" s="7">
        <v>6.24</v>
      </c>
      <c r="K5" s="7">
        <v>15.664285714285715</v>
      </c>
      <c r="L5" s="7">
        <v>25.088571428571427</v>
      </c>
      <c r="M5" s="7">
        <v>34.512857142857143</v>
      </c>
      <c r="N5" s="7">
        <v>43.937142857142859</v>
      </c>
      <c r="O5" s="7">
        <v>53.361428571428576</v>
      </c>
      <c r="P5" s="7">
        <v>62.785714285714292</v>
      </c>
      <c r="Q5" s="7">
        <v>72.209999999999994</v>
      </c>
      <c r="R5" s="7">
        <v>77.113</v>
      </c>
      <c r="S5" s="7">
        <v>82.016000000000005</v>
      </c>
      <c r="T5" s="7">
        <v>86.919000000000011</v>
      </c>
      <c r="U5" s="7">
        <v>91.822000000000017</v>
      </c>
      <c r="V5" s="7">
        <v>96.725000000000023</v>
      </c>
      <c r="W5" s="7">
        <v>101.62800000000003</v>
      </c>
      <c r="X5" s="7">
        <v>106.53100000000003</v>
      </c>
      <c r="Y5" s="7">
        <v>111.43400000000004</v>
      </c>
      <c r="Z5" s="7">
        <v>116.33700000000005</v>
      </c>
      <c r="AA5" s="7">
        <v>121.24</v>
      </c>
      <c r="AB5" s="7">
        <v>125.83099999999999</v>
      </c>
      <c r="AC5" s="7">
        <v>130.422</v>
      </c>
      <c r="AD5" s="7">
        <v>135.01300000000001</v>
      </c>
      <c r="AE5" s="7">
        <v>139.60400000000001</v>
      </c>
      <c r="AF5" s="7">
        <v>144.19500000000002</v>
      </c>
      <c r="AG5" s="7">
        <v>148.78600000000003</v>
      </c>
      <c r="AH5" s="7">
        <v>153.37700000000004</v>
      </c>
      <c r="AI5" s="7">
        <v>157.96800000000005</v>
      </c>
      <c r="AJ5" s="7">
        <v>162.55900000000005</v>
      </c>
      <c r="AK5" s="7">
        <v>167.15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Elec. cap. by sub-tech</vt:lpstr>
      <vt:lpstr>Power plants</vt:lpstr>
      <vt:lpstr>Cost of RE power plants</vt:lpstr>
      <vt:lpstr>FF reserves</vt:lpstr>
      <vt:lpstr>RE supply potential</vt:lpstr>
      <vt:lpstr>Green Hydrogen export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Tan</dc:creator>
  <cp:lastModifiedBy>Zhour Meskour</cp:lastModifiedBy>
  <dcterms:created xsi:type="dcterms:W3CDTF">2015-06-05T18:17:20Z</dcterms:created>
  <dcterms:modified xsi:type="dcterms:W3CDTF">2026-10-18T17:45:21Z</dcterms:modified>
</cp:coreProperties>
</file>