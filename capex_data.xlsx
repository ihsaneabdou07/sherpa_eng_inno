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_moi" sheetId="1" state="visible" r:id="rId3"/>
    <sheet name="Parametres" sheetId="2" state="visible" r:id="rId4"/>
    <sheet name="Capex_Electrolyseurs" sheetId="3" state="visible" r:id="rId5"/>
    <sheet name="Capex_Synthese" sheetId="4" state="visible" r:id="rId6"/>
    <sheet name="Cout_CO2" sheetId="5" state="visible" r:id="rId7"/>
    <sheet name="Benchmarks_Projets" sheetId="6" state="visible" r:id="rId8"/>
    <sheet name="Dimensionnement" sheetId="7" state="visible" r:id="rId9"/>
    <sheet name="Scenarios_CAPEX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<sst xmlns="http://schemas.openxmlformats.org/spreadsheetml/2006/main" count="344" uniqueCount="278">
  <si>
    <t xml:space="preserve">CAPEX e-fuels — données et dimensionnement (Sherpa Engineering, prototype Maroc)</t>
  </si>
  <si>
    <t xml:space="preserve">Fichier compagnon de efuels_maroc_base_donnees.xlsx — mêmes hypothèses par défaut.</t>
  </si>
  <si>
    <t xml:space="preserve">Élément</t>
  </si>
  <si>
    <t xml:space="preserve">Description</t>
  </si>
  <si>
    <t xml:space="preserve">Objet</t>
  </si>
  <si>
    <t xml:space="preserve">Données de CAPEX (électrolyseurs, synthèse, captage CO2) tirées de l'article [ART] et dimensionnement budgétaire d'une usine e-fuel au Maroc (électrolyse, synthèse, CO2, ENR équivalente, eau).</t>
  </si>
  <si>
    <t xml:space="preserve">Format</t>
  </si>
  <si>
    <t xml:space="preserve">Livré en .xlsx. Le format .xlsb (binaire Excel) ne peut pas être généré ici : ouvrir le fichier dans Excel puis Fichier &gt; Enregistrer sous &gt; « Classeur Excel binaire (*.xlsb) » (même contenu, formules conservées).</t>
  </si>
  <si>
    <t xml:space="preserve">Source [ART]</t>
  </si>
  <si>
    <t xml:space="preserve">Colelli et al. (2026), Energy Conversion and Management, doi:10.1016/j.enconman.2025.120529 (Table 4, Table 2, §4.4, Table 5, §2.4).</t>
  </si>
  <si>
    <t xml:space="preserve">[HYP]</t>
  </si>
  <si>
    <t xml:space="preserve">Hypothèse Sherpa non issue de l'article (fond jaune) : facteur de localisation Maroc, coûts indirects, imprévus, CAPEX FT, CAPEX ENR, part capitalistique du captage CO2. À valider par devis.</t>
  </si>
  <si>
    <t xml:space="preserve">Code couleur</t>
  </si>
  <si>
    <t xml:space="preserve">Bleu = entrée modifiable · noir = formule · vert = lien inter-feuilles · fond jaune = hypothèse clé.</t>
  </si>
  <si>
    <t xml:space="preserve">Portée</t>
  </si>
  <si>
    <t xml:space="preserve">Estimation de classe 5 (ordre de grandeur, ±30–50 %). Exclut : terrain, raccordement réseau, stockage H2/batteries, transport/stockage du produit, financement intercalaire, taxes.</t>
  </si>
  <si>
    <t xml:space="preserve">Feuilles</t>
  </si>
  <si>
    <t xml:space="preserve">Parametres · Capex_Electrolyseurs · Capex_Synthese · Cout_CO2 · Benchmarks_Projets · Dimensionnement · Scenarios_CAPEX · Sources</t>
  </si>
  <si>
    <t xml:space="preserve">Utilisation</t>
  </si>
  <si>
    <t xml:space="preserve">1) Régler Parametres (technologie, heures, WACC, facteur Maroc, tonnage cible). 2) Lire Dimensionnement (6 produits à la même capacité). 3) Tester Scenarios_CAPEX. 4) Comparer aux Benchmarks_Projets.</t>
  </si>
  <si>
    <t xml:space="preserve">Paramètres généraux de dimensionnement</t>
  </si>
  <si>
    <t xml:space="preserve">Bleu = entrée · jaune = hypothèse clé à valider · noir = formule.</t>
  </si>
  <si>
    <t xml:space="preserve">Paramètre</t>
  </si>
  <si>
    <t xml:space="preserve">Valeur</t>
  </si>
  <si>
    <t xml:space="preserve">Unité</t>
  </si>
  <si>
    <t xml:space="preserve">Source / note</t>
  </si>
  <si>
    <t xml:space="preserve">Technologie d'électrolyse</t>
  </si>
  <si>
    <t xml:space="preserve">PEM</t>
  </si>
  <si>
    <t xml:space="preserve">AEL / PEM / SOEC</t>
  </si>
  <si>
    <t xml:space="preserve">[ART] PEM = la plus utilisée dans les projets</t>
  </si>
  <si>
    <t xml:space="preserve">Heures pleine charge électrolyseur</t>
  </si>
  <si>
    <t xml:space="preserve">h/an</t>
  </si>
  <si>
    <t xml:space="preserve">[HYP] article : 3 000–4 000 h/an typiques ; sites Maroc à valider</t>
  </si>
  <si>
    <t xml:space="preserve">WACC</t>
  </si>
  <si>
    <t xml:space="preserve">%</t>
  </si>
  <si>
    <t xml:space="preserve">[HYP] plage 6–12 %</t>
  </si>
  <si>
    <t xml:space="preserve">Durée de vie / amortissement</t>
  </si>
  <si>
    <t xml:space="preserve">ans</t>
  </si>
  <si>
    <t xml:space="preserve">Facteur de recouvrement du capital (CRF)</t>
  </si>
  <si>
    <t xml:space="preserve">1/an</t>
  </si>
  <si>
    <t xml:space="preserve">[CALC]</t>
  </si>
  <si>
    <t xml:space="preserve">Taux de change €/USD</t>
  </si>
  <si>
    <t xml:space="preserve">€ par $</t>
  </si>
  <si>
    <t xml:space="preserve">Horizon CAPEX synthèse</t>
  </si>
  <si>
    <t xml:space="preserve">Proche terme</t>
  </si>
  <si>
    <t xml:space="preserve">Proche terme / Long terme</t>
  </si>
  <si>
    <t xml:space="preserve">[ART] Brynolf [100], Lester [248]</t>
  </si>
  <si>
    <t xml:space="preserve">Facteur de localisation CAPEX (Maroc vs Europe)</t>
  </si>
  <si>
    <t xml:space="preserve">x</t>
  </si>
  <si>
    <t xml:space="preserve">[HYP] 1,0 = niveau Europe/article ; benchmark Chine suggère &lt; 1 (voir Benchmarks_Projets) ; plage 0,5–1,2</t>
  </si>
  <si>
    <t xml:space="preserve">Coûts indirects (ingénierie, EPC, propriétaire)</t>
  </si>
  <si>
    <t xml:space="preserve">% du direct</t>
  </si>
  <si>
    <t xml:space="preserve">Imprévus</t>
  </si>
  <si>
    <t xml:space="preserve">% (direct + indirect)</t>
  </si>
  <si>
    <t xml:space="preserve">Taux d'utilisation de l'unité de synthèse</t>
  </si>
  <si>
    <t xml:space="preserve">Rendement matière</t>
  </si>
  <si>
    <t xml:space="preserve">Densité H2</t>
  </si>
  <si>
    <t xml:space="preserve">kg/Nm³</t>
  </si>
  <si>
    <t xml:space="preserve">Constante physique</t>
  </si>
  <si>
    <t xml:space="preserve">Part capitalistique du coût de captage CO2</t>
  </si>
  <si>
    <t xml:space="preserve">[HYP] sert à déduire un CAPEX implicite du coût $/t de l'article</t>
  </si>
  <si>
    <t xml:space="preserve">Type de source de CO2</t>
  </si>
  <si>
    <t xml:space="preserve">Point source</t>
  </si>
  <si>
    <t xml:space="preserve">Point source / DAC</t>
  </si>
  <si>
    <t xml:space="preserve">[ART] Table 2</t>
  </si>
  <si>
    <t xml:space="preserve">CAPEX PV</t>
  </si>
  <si>
    <t xml:space="preserve">€/kW</t>
  </si>
  <si>
    <t xml:space="preserve">[HYP] hors article</t>
  </si>
  <si>
    <t xml:space="preserve">CAPEX éolien terrestre</t>
  </si>
  <si>
    <t xml:space="preserve">Part PV dans la capacité ENR hybride</t>
  </si>
  <si>
    <t xml:space="preserve">Facteur de charge PV</t>
  </si>
  <si>
    <t xml:space="preserve">[HYP] Maroc sud, ordre de grandeur</t>
  </si>
  <si>
    <t xml:space="preserve">Facteur de charge éolien</t>
  </si>
  <si>
    <t xml:space="preserve">[HYP] côte atlantique sud, ordre de grandeur</t>
  </si>
  <si>
    <t xml:space="preserve">CAPEX ENR hybride (moyenne pondérée)</t>
  </si>
  <si>
    <t xml:space="preserve">Facteur de charge ENR hybride (moyenne pondérée)</t>
  </si>
  <si>
    <t xml:space="preserve">Eau stœchiométrique électrolyse</t>
  </si>
  <si>
    <t xml:space="preserve">L/kg H2</t>
  </si>
  <si>
    <t xml:space="preserve">[ART] §3.4</t>
  </si>
  <si>
    <t xml:space="preserve">Surconsommation d'eau</t>
  </si>
  <si>
    <t xml:space="preserve">Production annuelle cible</t>
  </si>
  <si>
    <t xml:space="preserve">t/an</t>
  </si>
  <si>
    <t xml:space="preserve">Entrée — même tonnage pour les 6 produits</t>
  </si>
  <si>
    <t xml:space="preserve">Produit sélectionné (interface modules)</t>
  </si>
  <si>
    <t xml:space="preserve">e-methanol</t>
  </si>
  <si>
    <t xml:space="preserve">—</t>
  </si>
  <si>
    <t xml:space="preserve">Sert au bloc « Interface » et aux scénarios</t>
  </si>
  <si>
    <t xml:space="preserve">Masse molaire H2</t>
  </si>
  <si>
    <t xml:space="preserve">g/mol</t>
  </si>
  <si>
    <t xml:space="preserve">Constante</t>
  </si>
  <si>
    <t xml:space="preserve">Masse molaire CO2</t>
  </si>
  <si>
    <t xml:space="preserve">Masse molaire N2</t>
  </si>
  <si>
    <t xml:space="preserve">Masse molaire méthanol</t>
  </si>
  <si>
    <t xml:space="preserve">Masse molaire DME</t>
  </si>
  <si>
    <t xml:space="preserve">Masse molaire NH3</t>
  </si>
  <si>
    <t xml:space="preserve">Masse molaire CH2 (hydrocarbures)</t>
  </si>
  <si>
    <t xml:space="preserve">Constante (approximation (CH2)n)</t>
  </si>
  <si>
    <t xml:space="preserve">CAPEX électrolyseur retenu</t>
  </si>
  <si>
    <t xml:space="preserve">[CALC] milieu de fourchette (Table 4)</t>
  </si>
  <si>
    <t xml:space="preserve">Consommation électrolyseur retenue</t>
  </si>
  <si>
    <t xml:space="preserve">kWh/kg H2</t>
  </si>
  <si>
    <t xml:space="preserve">[CALC] (article : 45–73 kWh/kg)</t>
  </si>
  <si>
    <t xml:space="preserve">Eau réelle par kg H2</t>
  </si>
  <si>
    <t xml:space="preserve">CAPEX et paramètres des électrolyseurs</t>
  </si>
  <si>
    <t xml:space="preserve">[ART] Table 4 (réfs [184]–[188]). Bleu = valeur de l'article ; jaune = [HYP].</t>
  </si>
  <si>
    <t xml:space="preserve">Technologie</t>
  </si>
  <si>
    <t xml:space="preserve">CAPEX min (€/kW)</t>
  </si>
  <si>
    <t xml:space="preserve">CAPEX max (€/kW)</t>
  </si>
  <si>
    <t xml:space="preserve">CAPEX base (€/kW)</t>
  </si>
  <si>
    <t xml:space="preserve">kWh/Nm³ min</t>
  </si>
  <si>
    <t xml:space="preserve">kWh/Nm³ max</t>
  </si>
  <si>
    <t xml:space="preserve">kWh/kg H2 base</t>
  </si>
  <si>
    <t xml:space="preserve">OPEX base (%/an)</t>
  </si>
  <si>
    <t xml:space="preserve">Vie min (kh)</t>
  </si>
  <si>
    <t xml:space="preserve">Vie max (kh)</t>
  </si>
  <si>
    <t xml:space="preserve">Vie min (ans à FLH)</t>
  </si>
  <si>
    <t xml:space="preserve">Vie max (ans à FLH)</t>
  </si>
  <si>
    <t xml:space="preserve">Note</t>
  </si>
  <si>
    <t xml:space="preserve">AEL</t>
  </si>
  <si>
    <t xml:space="preserve">[ART]</t>
  </si>
  <si>
    <t xml:space="preserve">SOEC</t>
  </si>
  <si>
    <t xml:space="preserve">CAPEX max 2 500 et OPEX 3–5 % = [HYP] ; hors coût de la vapeur ; durée de vie très courte</t>
  </si>
  <si>
    <t xml:space="preserve">Le remplacement des stacks dépend des heures de fonctionnement : à 5 000 h/an, un SOEC (8–20 kh) doit être remplacé tous les 1,6 à 4 ans → CAPEX de remplacement à ajouter dans une étude détaillée.</t>
  </si>
  <si>
    <t xml:space="preserve">Les OPEX (2–3 % AEL, 3–5 % PEM) sont exprimés en % du CAPEX par an (article).</t>
  </si>
  <si>
    <t xml:space="preserve">CAPEX de l'unité de conversion (synthèse) et données produits</t>
  </si>
  <si>
    <t xml:space="preserve">CAPEX en €/kW_fuel (puissance PCI du produit). [ART] §4.4 ; CAPEX FT = [HYP]. Stœchiométrie par formules.</t>
  </si>
  <si>
    <t xml:space="preserve">Produit</t>
  </si>
  <si>
    <t xml:space="preserve">PCI (MJ/kg)</t>
  </si>
  <si>
    <t xml:space="preserve">H2 (t/t)</t>
  </si>
  <si>
    <t xml:space="preserve">CO2 (t/t)</t>
  </si>
  <si>
    <t xml:space="preserve">N2 (t/t)</t>
  </si>
  <si>
    <t xml:space="preserve">Proche terme min</t>
  </si>
  <si>
    <t xml:space="preserve">Proche terme max</t>
  </si>
  <si>
    <t xml:space="preserve">Proche terme base</t>
  </si>
  <si>
    <t xml:space="preserve">Long terme min</t>
  </si>
  <si>
    <t xml:space="preserve">Long terme max</t>
  </si>
  <si>
    <t xml:space="preserve">Long terme base</t>
  </si>
  <si>
    <t xml:space="preserve">CAPEX retenu (€/kW_fuel)</t>
  </si>
  <si>
    <t xml:space="preserve">Baisse long terme</t>
  </si>
  <si>
    <t xml:space="preserve">[ART] §4.4.3 (réfs [100],[247],[248],[258])</t>
  </si>
  <si>
    <t xml:space="preserve">e-DME</t>
  </si>
  <si>
    <t xml:space="preserve">[ART] §4.4.4</t>
  </si>
  <si>
    <t xml:space="preserve">e-kerosene</t>
  </si>
  <si>
    <t xml:space="preserve">n.d.</t>
  </si>
  <si>
    <t xml:space="preserve">CAPEX FT = [HYP] (non chiffré dans l'article) ; mélange d'hydrocarbures</t>
  </si>
  <si>
    <t xml:space="preserve">e-diesel</t>
  </si>
  <si>
    <t xml:space="preserve">idem e-kérosène</t>
  </si>
  <si>
    <t xml:space="preserve">e-gasoline</t>
  </si>
  <si>
    <t xml:space="preserve">[ART] §4.4.5 (MTG)</t>
  </si>
  <si>
    <t xml:space="preserve">e-ammonia</t>
  </si>
  <si>
    <t xml:space="preserve">[ART] §4.4.6 ; ASU N2 supposé inclus</t>
  </si>
  <si>
    <t xml:space="preserve">Si le CAPEX long terme est « n.d. » (voie FT), le calcul reprend le CAPEX proche terme. Les CAPEX sont ceux de la conversion ; électrolyse et captage CO2 sont chiffrés séparément.</t>
  </si>
  <si>
    <t xml:space="preserve">Coût du captage de CO2 et CAPEX implicite</t>
  </si>
  <si>
    <t xml:space="preserve">[ART] Table 2 (réfs [163]–[167]) et Table 3 (TRL). CAPEX implicite = part capitalistique × coût / CRF [HYP].</t>
  </si>
  <si>
    <t xml:space="preserve">Méthode</t>
  </si>
  <si>
    <t xml:space="preserve">Coût min ($/t)</t>
  </si>
  <si>
    <t xml:space="preserve">Coût max ($/t)</t>
  </si>
  <si>
    <t xml:space="preserve">TRL</t>
  </si>
  <si>
    <t xml:space="preserve">Coût moyen (€/t)</t>
  </si>
  <si>
    <t xml:space="preserve">CAPEX implicite (€ par t/an)</t>
  </si>
  <si>
    <t xml:space="preserve">Type</t>
  </si>
  <si>
    <t xml:space="preserve">Absorption chimique (amines)</t>
  </si>
  <si>
    <t xml:space="preserve">Adsorption physique (PSA/TSA…)</t>
  </si>
  <si>
    <t xml:space="preserve">Séparation membranaire</t>
  </si>
  <si>
    <t xml:space="preserve">Captage cryogénique</t>
  </si>
  <si>
    <t xml:space="preserve">Direct Air Capture (DAC)</t>
  </si>
  <si>
    <t xml:space="preserve">DAC</t>
  </si>
  <si>
    <t xml:space="preserve">Coût retenu (type de source choisi)</t>
  </si>
  <si>
    <t xml:space="preserve">Point source = absorption chimique (référence mature, ligne 6). Le CAPEX implicite est une approximation pour budgéter ; remplacer par devis fournisseur.</t>
  </si>
  <si>
    <t xml:space="preserve">Le coût DAC ne descend pas sous ~235 $/t dans l'article ; 100–150 $/t seulement avec incitations fortes.</t>
  </si>
  <si>
    <t xml:space="preserve">Benchmarks de projets — intensités de CAPEX et d'électrolyse</t>
  </si>
  <si>
    <t xml:space="preserve">Données [ART] Table 5 et §2.4 ; réfs [76], [287], [288], [289] (titres/communiqués cités). Calculs = formules.</t>
  </si>
  <si>
    <t xml:space="preserve">Projet</t>
  </si>
  <si>
    <t xml:space="preserve">Électrolyse (MW)</t>
  </si>
  <si>
    <t xml:space="preserve">Capacité (kt/an)</t>
  </si>
  <si>
    <t xml:space="preserve">CAPEX / subvention (M)</t>
  </si>
  <si>
    <t xml:space="preserve">Devise</t>
  </si>
  <si>
    <t xml:space="preserve">Nature du montant</t>
  </si>
  <si>
    <t xml:space="preserve">MW par kt/an</t>
  </si>
  <si>
    <t xml:space="preserve">CAPEX par t/an (devise)</t>
  </si>
  <si>
    <t xml:space="preserve">MW/kt théorique (modèle)</t>
  </si>
  <si>
    <t xml:space="preserve">Écart modèle vs projet</t>
  </si>
  <si>
    <t xml:space="preserve">Shanxi Intl. Energy (Mongolie int.)</t>
  </si>
  <si>
    <t xml:space="preserve">USD</t>
  </si>
  <si>
    <t xml:space="preserve">CAPEX annoncé (10,7 Md¥ ≈ 1,48 Md$)</t>
  </si>
  <si>
    <t xml:space="preserve">[ART] §2.4 réf. [76] ; périmètre à vérifier (ENR incluse ?)</t>
  </si>
  <si>
    <t xml:space="preserve">Texas E-Fuels (HIF)</t>
  </si>
  <si>
    <t xml:space="preserve">CAPEX n.d.</t>
  </si>
  <si>
    <t xml:space="preserve">[ART] Table 5 ; réf. [287] « 1,8 GW » H2</t>
  </si>
  <si>
    <t xml:space="preserve">Arcadia eFuels</t>
  </si>
  <si>
    <t xml:space="preserve">[ART] Table 5 ; réf. [288] électrolyseur 280 MW (Plug Power)</t>
  </si>
  <si>
    <t xml:space="preserve">Herøya SAF (Nordic Electrofuel)</t>
  </si>
  <si>
    <t xml:space="preserve">EUR</t>
  </si>
  <si>
    <t xml:space="preserve">Subvention EU Innovation Fund (pas le CAPEX)</t>
  </si>
  <si>
    <t xml:space="preserve">[ART] réf. [289] ; ne pas assimiler à un CAPEX</t>
  </si>
  <si>
    <t xml:space="preserve">Heures de fonctionnement pour le calcul théorique (h/an)</t>
  </si>
  <si>
    <t xml:space="preserve">MW/kt théorique = intensité H2 × kWh/kg ÷ heures. Un projet qui annonce moins de MW par kt/an fonctionne probablement avec plus d'heures ou un rendement meilleur. Ici les trois projets sont à 2,9–3,3 MW par kt/an.</t>
  </si>
  <si>
    <t xml:space="preserve">Comparaison avec le modèle (e-kérosène)</t>
  </si>
  <si>
    <t xml:space="preserve">CAPEX total modèle e-kérosène (M€ par kt/an)</t>
  </si>
  <si>
    <t xml:space="preserve">CAPEX Shanxi (M€ par kt/an) à partir de M$</t>
  </si>
  <si>
    <t xml:space="preserve">Rapport modèle / Shanxi</t>
  </si>
  <si>
    <t xml:space="preserve">Le CAPEX annoncé en Chine est plusieurs fois inférieur au modèle (basé sur coûts de l'article, niveau européen) : le périmètre (ENR incluse ou non, électrolyse chinoise) est à vérifier. Utiliser le facteur de localisation (Parametres) pour tester des niveaux de coût plus bas (ex. 0,4–0,6).</t>
  </si>
  <si>
    <t xml:space="preserve">Dimensionnement et CAPEX — 6 e-fuels à la même capacité</t>
  </si>
  <si>
    <t xml:space="preserve">Entrées : feuille Parametres (tonnage cible, technologie, WACC, facteur Maroc…). ENR équivalente simplifiée (sans stockage ni écrêtage).</t>
  </si>
  <si>
    <t xml:space="preserve">Production annuelle cible (t/an)</t>
  </si>
  <si>
    <t xml:space="preserve">Électrolyseur / heures / facteur Maroc</t>
  </si>
  <si>
    <t xml:space="preserve">Production (t/an)</t>
  </si>
  <si>
    <t xml:space="preserve">H2 (t/an)</t>
  </si>
  <si>
    <t xml:space="preserve">CO2 (t/an)</t>
  </si>
  <si>
    <t xml:space="preserve">N2 (t/an)</t>
  </si>
  <si>
    <t xml:space="preserve">Électrolyseur (MW)</t>
  </si>
  <si>
    <t xml:space="preserve">Électricité (GWh/an)</t>
  </si>
  <si>
    <t xml:space="preserve">Eau (m³/an)</t>
  </si>
  <si>
    <t xml:space="preserve">CAPEX électrolyseur (M€)</t>
  </si>
  <si>
    <t xml:space="preserve">CAPEX synthèse (M€)</t>
  </si>
  <si>
    <t xml:space="preserve">CAPEX captage CO2 (M€)</t>
  </si>
  <si>
    <t xml:space="preserve">CAPEX direct (M€)</t>
  </si>
  <si>
    <t xml:space="preserve">Indirects (M€)</t>
  </si>
  <si>
    <t xml:space="preserve">Imprévus (M€)</t>
  </si>
  <si>
    <t xml:space="preserve">CAPEX TOTAL (M€)</t>
  </si>
  <si>
    <t xml:space="preserve">CAPEX par kt/an (M€)</t>
  </si>
  <si>
    <t xml:space="preserve">Capacité ENR éq. (MW)</t>
  </si>
  <si>
    <t xml:space="preserve">CAPEX ENR (M€)</t>
  </si>
  <si>
    <t xml:space="preserve">CAPEX TOTAL + ENR (M€)</t>
  </si>
  <si>
    <t xml:space="preserve">Annuité CAPEX hors ENR (M€/an)</t>
  </si>
  <si>
    <t xml:space="preserve">Électricité = électrolyse seule (l'énergie de synthèse et de captage s'ajoute : +2 à +4 % pour les voies FT/méthanol point source, plus pour le DAC). Les colonnes CAPEX sont en M€.</t>
  </si>
  <si>
    <t xml:space="preserve">Le CAPEX de synthèse et de captage est multiplié par le facteur de localisation ; l'ENR est calculée sans écrêtage ni stockage (à remplacer par une simulation horaire).</t>
  </si>
  <si>
    <t xml:space="preserve">Interface vers les autres modules du prototype (produit sélectionné dans Parametres)</t>
  </si>
  <si>
    <t xml:space="preserve">Produit sélectionné</t>
  </si>
  <si>
    <t xml:space="preserve">Hydrogène à produire</t>
  </si>
  <si>
    <t xml:space="preserve">t/jour</t>
  </si>
  <si>
    <t xml:space="preserve">CO2 à fournir</t>
  </si>
  <si>
    <t xml:space="preserve">Azote</t>
  </si>
  <si>
    <t xml:space="preserve">Puissance électrolyseur</t>
  </si>
  <si>
    <t xml:space="preserve">MW</t>
  </si>
  <si>
    <t xml:space="preserve">Charge électrique moyenne (électrolyse)</t>
  </si>
  <si>
    <t xml:space="preserve">Capacité ENR équivalente (PV+éolien)</t>
  </si>
  <si>
    <t xml:space="preserve">Eau dessalée à fournir</t>
  </si>
  <si>
    <t xml:space="preserve">m³/jour</t>
  </si>
  <si>
    <t xml:space="preserve">CAPEX total hors ENR</t>
  </si>
  <si>
    <t xml:space="preserve">M€</t>
  </si>
  <si>
    <t xml:space="preserve">CAPEX total avec ENR</t>
  </si>
  <si>
    <t xml:space="preserve">CAPEX par kt/an (hors ENR)</t>
  </si>
  <si>
    <t xml:space="preserve">M€/(kt/an)</t>
  </si>
  <si>
    <t xml:space="preserve">Ces sorties alimentent : dessalement (eau), PV/éolien (MW), stockage (charge électrique moyenne, flexibilité), captage CO2 (t/jour).</t>
  </si>
  <si>
    <t xml:space="preserve">Scénarios de CAPEX total (M€, hors ENR) — produit sélectionné</t>
  </si>
  <si>
    <t xml:space="preserve">Grille : taille de l'usine (lignes) × CAPEX électrolyseur (colonnes). Formules liées au produit choisi dans Parametres.</t>
  </si>
  <si>
    <t xml:space="preserve">H2 (t/t produit)</t>
  </si>
  <si>
    <t xml:space="preserve">CAPEX synthèse + CO2 (M€ par t/an)</t>
  </si>
  <si>
    <t xml:space="preserve">t/an  \  CAPEX électrolyseur (€/kW)</t>
  </si>
  <si>
    <t xml:space="preserve">CAPEX électrolyseur de référence (milieu Table 4) : AEL 1 150 · PEM 1 750 · SOEC 2 250 €/kW. Colonne 500 €/kW = scénario « coût chinois » [HYP] à vérifier.</t>
  </si>
  <si>
    <t xml:space="preserve">Sensibilité du CAPEX total au facteur de localisation et à la taille (M€)</t>
  </si>
  <si>
    <t xml:space="preserve">t/an  \  facteur Maroc</t>
  </si>
  <si>
    <t xml:space="preserve">Pour chaque facteur, CAPEX total = (1+indirects)(1+imprévus) × facteur × (électrolyseur au milieu de Table 4 + synthèse + CO2).</t>
  </si>
  <si>
    <t xml:space="preserve">Sources</t>
  </si>
  <si>
    <t xml:space="preserve">Réf.</t>
  </si>
  <si>
    <t xml:space="preserve">Source</t>
  </si>
  <si>
    <t xml:space="preserve">Usage</t>
  </si>
  <si>
    <t xml:space="preserve">Colelli et al. (2026), Energy Conversion and Management, doi:10.1016/j.enconman.2025.120529</t>
  </si>
  <si>
    <t xml:space="preserve">Tables 2, 4, 5 ; §2.4, §3, §4.4</t>
  </si>
  <si>
    <t xml:space="preserve">[100]</t>
  </si>
  <si>
    <t xml:space="preserve">Brynolf et al. (2018), Electrofuels for the transport sector: a review of production costs</t>
  </si>
  <si>
    <t xml:space="preserve">CAPEX méthanol, DME, MTG</t>
  </si>
  <si>
    <t xml:space="preserve">[248]</t>
  </si>
  <si>
    <t xml:space="preserve">Lester et al. (2020), Analysis on electrofuels in future energy systems</t>
  </si>
  <si>
    <t xml:space="preserve">CAPEX ammoniac, efficacités</t>
  </si>
  <si>
    <t xml:space="preserve">[76]</t>
  </si>
  <si>
    <t xml:space="preserve">Hydrogen Insight (2024), Shanxi — 1,5 Md$ e-SAF</t>
  </si>
  <si>
    <t xml:space="preserve">Benchmark Chine</t>
  </si>
  <si>
    <t xml:space="preserve">[287]</t>
  </si>
  <si>
    <t xml:space="preserve">Hydrogen Insight (2023), HIF Global Texas — 1,8 GW H2</t>
  </si>
  <si>
    <t xml:space="preserve">Benchmark Texas</t>
  </si>
  <si>
    <t xml:space="preserve">[288]</t>
  </si>
  <si>
    <t xml:space="preserve">Plug Power (2023), Arcadia eFuels — 280 MW</t>
  </si>
  <si>
    <t xml:space="preserve">Benchmark Arcadia</t>
  </si>
  <si>
    <t xml:space="preserve">[289]</t>
  </si>
  <si>
    <t xml:space="preserve">NTB (2023), Nordic Electrofuel — subvention UE 40 M€</t>
  </si>
  <si>
    <t xml:space="preserve">Subvention Herøya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</si>
</sst>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0"/>
    <numFmt numFmtId="168" formatCode="0.0000"/>
    <numFmt numFmtId="169" formatCode="0.00"/>
    <numFmt numFmtId="170" formatCode="0%"/>
    <numFmt numFmtId="171" formatCode="0.00000"/>
    <numFmt numFmtId="172" formatCode="0.000"/>
    <numFmt numFmtId="173" formatCode="0.0"/>
    <numFmt numFmtId="174" formatCode="#,##0.0"/>
    <numFmt numFmtId="175" formatCode="0.0\x"/>
    <numFmt numFmtId="176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6F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</row>
    <row r="5" customFormat="false" ht="39.75" hidden="false" customHeight="true" outlineLevel="0" collapsed="false">
      <c r="A5" s="4" t="s">
        <v>4</v>
      </c>
      <c r="B5" s="4" t="s">
        <v>5</v>
      </c>
    </row>
    <row r="6" customFormat="false" ht="39.75" hidden="false" customHeight="true" outlineLevel="0" collapsed="false">
      <c r="A6" s="5" t="s">
        <v>6</v>
      </c>
      <c r="B6" s="5" t="s">
        <v>7</v>
      </c>
    </row>
    <row r="7" customFormat="false" ht="39.75" hidden="false" customHeight="true" outlineLevel="0" collapsed="false">
      <c r="A7" s="4" t="s">
        <v>8</v>
      </c>
      <c r="B7" s="4" t="s">
        <v>9</v>
      </c>
    </row>
    <row r="8" customFormat="false" ht="39.75" hidden="false" customHeight="true" outlineLevel="0" collapsed="false">
      <c r="A8" s="5" t="s">
        <v>10</v>
      </c>
      <c r="B8" s="5" t="s">
        <v>11</v>
      </c>
    </row>
    <row r="9" customFormat="false" ht="39.75" hidden="false" customHeight="true" outlineLevel="0" collapsed="false">
      <c r="A9" s="4" t="s">
        <v>12</v>
      </c>
      <c r="B9" s="4" t="s">
        <v>13</v>
      </c>
    </row>
    <row r="10" customFormat="false" ht="39.75" hidden="false" customHeight="true" outlineLevel="0" collapsed="false">
      <c r="A10" s="5" t="s">
        <v>14</v>
      </c>
      <c r="B10" s="5" t="s">
        <v>15</v>
      </c>
    </row>
    <row r="11" customFormat="false" ht="39.75" hidden="false" customHeight="true" outlineLevel="0" collapsed="false">
      <c r="A11" s="4" t="s">
        <v>16</v>
      </c>
      <c r="B11" s="4" t="s">
        <v>17</v>
      </c>
    </row>
    <row r="12" customFormat="false" ht="39.75" hidden="false" customHeight="true" outlineLevel="0" collapsed="false">
      <c r="A12" s="5" t="s">
        <v>18</v>
      </c>
      <c r="B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s">
        <v>25</v>
      </c>
    </row>
    <row r="6" customFormat="false" ht="15" hidden="false" customHeight="false" outlineLevel="0" collapsed="false">
      <c r="A6" s="6" t="s">
        <v>26</v>
      </c>
      <c r="B6" s="7" t="s">
        <v>27</v>
      </c>
      <c r="C6" s="6" t="s">
        <v>28</v>
      </c>
      <c r="D6" s="8" t="s">
        <v>29</v>
      </c>
    </row>
    <row r="7" customFormat="false" ht="15" hidden="false" customHeight="false" outlineLevel="0" collapsed="false">
      <c r="A7" s="6" t="s">
        <v>30</v>
      </c>
      <c r="B7" s="9" t="n">
        <v>5000</v>
      </c>
      <c r="C7" s="6" t="s">
        <v>31</v>
      </c>
      <c r="D7" s="8" t="s">
        <v>32</v>
      </c>
    </row>
    <row r="8" customFormat="false" ht="15" hidden="false" customHeight="false" outlineLevel="0" collapsed="false">
      <c r="A8" s="6" t="s">
        <v>33</v>
      </c>
      <c r="B8" s="10" t="n">
        <v>0.08</v>
      </c>
      <c r="C8" s="6" t="s">
        <v>34</v>
      </c>
      <c r="D8" s="8" t="s">
        <v>35</v>
      </c>
    </row>
    <row r="9" customFormat="false" ht="15" hidden="false" customHeight="false" outlineLevel="0" collapsed="false">
      <c r="A9" s="6" t="s">
        <v>36</v>
      </c>
      <c r="B9" s="11" t="n">
        <v>20</v>
      </c>
      <c r="C9" s="6" t="s">
        <v>37</v>
      </c>
      <c r="D9" s="8" t="s">
        <v>10</v>
      </c>
    </row>
    <row r="10" customFormat="false" ht="15" hidden="false" customHeight="false" outlineLevel="0" collapsed="false">
      <c r="A10" s="6" t="s">
        <v>38</v>
      </c>
      <c r="B10" s="12" t="n">
        <f aca="false">IF(B8=0,1/B9,B8*(1+B8)^B9/((1+B8)^B9-1))</f>
        <v>0.101852208823151</v>
      </c>
      <c r="C10" s="6" t="s">
        <v>39</v>
      </c>
      <c r="D10" s="8" t="s">
        <v>40</v>
      </c>
    </row>
    <row r="11" customFormat="false" ht="15" hidden="false" customHeight="false" outlineLevel="0" collapsed="false">
      <c r="A11" s="6" t="s">
        <v>41</v>
      </c>
      <c r="B11" s="13" t="n">
        <v>0.92</v>
      </c>
      <c r="C11" s="6" t="s">
        <v>42</v>
      </c>
      <c r="D11" s="8" t="s">
        <v>10</v>
      </c>
    </row>
    <row r="12" customFormat="false" ht="15" hidden="false" customHeight="false" outlineLevel="0" collapsed="false">
      <c r="A12" s="6" t="s">
        <v>43</v>
      </c>
      <c r="B12" s="7" t="s">
        <v>44</v>
      </c>
      <c r="C12" s="6" t="s">
        <v>45</v>
      </c>
      <c r="D12" s="8" t="s">
        <v>46</v>
      </c>
    </row>
    <row r="13" customFormat="false" ht="15" hidden="false" customHeight="false" outlineLevel="0" collapsed="false">
      <c r="A13" s="6" t="s">
        <v>47</v>
      </c>
      <c r="B13" s="13" t="n">
        <v>1</v>
      </c>
      <c r="C13" s="6" t="s">
        <v>48</v>
      </c>
      <c r="D13" s="8" t="s">
        <v>49</v>
      </c>
    </row>
    <row r="14" customFormat="false" ht="15" hidden="false" customHeight="false" outlineLevel="0" collapsed="false">
      <c r="A14" s="6" t="s">
        <v>50</v>
      </c>
      <c r="B14" s="14" t="n">
        <v>0.2</v>
      </c>
      <c r="C14" s="6" t="s">
        <v>51</v>
      </c>
      <c r="D14" s="8" t="s">
        <v>10</v>
      </c>
    </row>
    <row r="15" customFormat="false" ht="15" hidden="false" customHeight="false" outlineLevel="0" collapsed="false">
      <c r="A15" s="6" t="s">
        <v>52</v>
      </c>
      <c r="B15" s="14" t="n">
        <v>0.15</v>
      </c>
      <c r="C15" s="6" t="s">
        <v>53</v>
      </c>
      <c r="D15" s="8" t="s">
        <v>10</v>
      </c>
    </row>
    <row r="16" customFormat="false" ht="15" hidden="false" customHeight="false" outlineLevel="0" collapsed="false">
      <c r="A16" s="6" t="s">
        <v>54</v>
      </c>
      <c r="B16" s="14" t="n">
        <v>0.9</v>
      </c>
      <c r="C16" s="6" t="s">
        <v>34</v>
      </c>
      <c r="D16" s="8" t="s">
        <v>10</v>
      </c>
    </row>
    <row r="17" customFormat="false" ht="15" hidden="false" customHeight="false" outlineLevel="0" collapsed="false">
      <c r="A17" s="6" t="s">
        <v>55</v>
      </c>
      <c r="B17" s="14" t="n">
        <v>0.95</v>
      </c>
      <c r="C17" s="6" t="s">
        <v>34</v>
      </c>
      <c r="D17" s="8" t="s">
        <v>10</v>
      </c>
    </row>
    <row r="18" customFormat="false" ht="15" hidden="false" customHeight="false" outlineLevel="0" collapsed="false">
      <c r="A18" s="6" t="s">
        <v>56</v>
      </c>
      <c r="B18" s="15" t="n">
        <v>0.08988</v>
      </c>
      <c r="C18" s="6" t="s">
        <v>57</v>
      </c>
      <c r="D18" s="8" t="s">
        <v>58</v>
      </c>
    </row>
    <row r="19" customFormat="false" ht="15" hidden="false" customHeight="false" outlineLevel="0" collapsed="false">
      <c r="A19" s="6" t="s">
        <v>59</v>
      </c>
      <c r="B19" s="14" t="n">
        <v>0.6</v>
      </c>
      <c r="C19" s="6" t="s">
        <v>34</v>
      </c>
      <c r="D19" s="8" t="s">
        <v>60</v>
      </c>
    </row>
    <row r="20" customFormat="false" ht="15" hidden="false" customHeight="false" outlineLevel="0" collapsed="false">
      <c r="A20" s="6" t="s">
        <v>61</v>
      </c>
      <c r="B20" s="7" t="s">
        <v>62</v>
      </c>
      <c r="C20" s="6" t="s">
        <v>63</v>
      </c>
      <c r="D20" s="8" t="s">
        <v>64</v>
      </c>
    </row>
    <row r="21" customFormat="false" ht="15" hidden="false" customHeight="false" outlineLevel="0" collapsed="false">
      <c r="A21" s="6" t="s">
        <v>65</v>
      </c>
      <c r="B21" s="9" t="n">
        <v>650</v>
      </c>
      <c r="C21" s="6" t="s">
        <v>66</v>
      </c>
      <c r="D21" s="8" t="s">
        <v>67</v>
      </c>
    </row>
    <row r="22" customFormat="false" ht="15" hidden="false" customHeight="false" outlineLevel="0" collapsed="false">
      <c r="A22" s="6" t="s">
        <v>68</v>
      </c>
      <c r="B22" s="9" t="n">
        <v>1300</v>
      </c>
      <c r="C22" s="6" t="s">
        <v>66</v>
      </c>
      <c r="D22" s="8" t="s">
        <v>67</v>
      </c>
    </row>
    <row r="23" customFormat="false" ht="15" hidden="false" customHeight="false" outlineLevel="0" collapsed="false">
      <c r="A23" s="6" t="s">
        <v>69</v>
      </c>
      <c r="B23" s="14" t="n">
        <v>0.5</v>
      </c>
      <c r="C23" s="6" t="s">
        <v>34</v>
      </c>
      <c r="D23" s="8" t="s">
        <v>10</v>
      </c>
    </row>
    <row r="24" customFormat="false" ht="15" hidden="false" customHeight="false" outlineLevel="0" collapsed="false">
      <c r="A24" s="6" t="s">
        <v>70</v>
      </c>
      <c r="B24" s="14" t="n">
        <v>0.3</v>
      </c>
      <c r="C24" s="6" t="s">
        <v>34</v>
      </c>
      <c r="D24" s="8" t="s">
        <v>71</v>
      </c>
    </row>
    <row r="25" customFormat="false" ht="15" hidden="false" customHeight="false" outlineLevel="0" collapsed="false">
      <c r="A25" s="6" t="s">
        <v>72</v>
      </c>
      <c r="B25" s="14" t="n">
        <v>0.45</v>
      </c>
      <c r="C25" s="6" t="s">
        <v>34</v>
      </c>
      <c r="D25" s="8" t="s">
        <v>73</v>
      </c>
    </row>
    <row r="26" customFormat="false" ht="15" hidden="false" customHeight="false" outlineLevel="0" collapsed="false">
      <c r="A26" s="6" t="s">
        <v>74</v>
      </c>
      <c r="B26" s="16" t="n">
        <f aca="false">B23*B21+(1-B23)*B22</f>
        <v>975</v>
      </c>
      <c r="C26" s="6" t="s">
        <v>66</v>
      </c>
      <c r="D26" s="8" t="s">
        <v>40</v>
      </c>
    </row>
    <row r="27" customFormat="false" ht="15" hidden="false" customHeight="false" outlineLevel="0" collapsed="false">
      <c r="A27" s="6" t="s">
        <v>75</v>
      </c>
      <c r="B27" s="17" t="n">
        <f aca="false">B23*B24+(1-B23)*B25</f>
        <v>0.375</v>
      </c>
      <c r="C27" s="6" t="s">
        <v>34</v>
      </c>
      <c r="D27" s="8" t="s">
        <v>40</v>
      </c>
    </row>
    <row r="28" customFormat="false" ht="15" hidden="false" customHeight="false" outlineLevel="0" collapsed="false">
      <c r="A28" s="6" t="s">
        <v>76</v>
      </c>
      <c r="B28" s="18" t="n">
        <v>8.92</v>
      </c>
      <c r="C28" s="6" t="s">
        <v>77</v>
      </c>
      <c r="D28" s="8" t="s">
        <v>78</v>
      </c>
    </row>
    <row r="29" customFormat="false" ht="15" hidden="false" customHeight="false" outlineLevel="0" collapsed="false">
      <c r="A29" s="6" t="s">
        <v>79</v>
      </c>
      <c r="B29" s="19" t="n">
        <v>0.25</v>
      </c>
      <c r="C29" s="6" t="s">
        <v>34</v>
      </c>
      <c r="D29" s="8" t="s">
        <v>78</v>
      </c>
    </row>
    <row r="30" customFormat="false" ht="15" hidden="false" customHeight="false" outlineLevel="0" collapsed="false">
      <c r="A30" s="6" t="s">
        <v>80</v>
      </c>
      <c r="B30" s="9" t="n">
        <v>100000</v>
      </c>
      <c r="C30" s="6" t="s">
        <v>81</v>
      </c>
      <c r="D30" s="8" t="s">
        <v>82</v>
      </c>
    </row>
    <row r="31" customFormat="false" ht="15" hidden="false" customHeight="false" outlineLevel="0" collapsed="false">
      <c r="A31" s="6" t="s">
        <v>83</v>
      </c>
      <c r="B31" s="7" t="s">
        <v>84</v>
      </c>
      <c r="C31" s="6" t="s">
        <v>85</v>
      </c>
      <c r="D31" s="8" t="s">
        <v>86</v>
      </c>
    </row>
    <row r="32" customFormat="false" ht="15" hidden="false" customHeight="false" outlineLevel="0" collapsed="false">
      <c r="A32" s="6" t="s">
        <v>87</v>
      </c>
      <c r="B32" s="20" t="n">
        <v>2.016</v>
      </c>
      <c r="C32" s="6" t="s">
        <v>88</v>
      </c>
      <c r="D32" s="8" t="s">
        <v>89</v>
      </c>
    </row>
    <row r="33" customFormat="false" ht="15" hidden="false" customHeight="false" outlineLevel="0" collapsed="false">
      <c r="A33" s="6" t="s">
        <v>90</v>
      </c>
      <c r="B33" s="18" t="n">
        <v>44.01</v>
      </c>
      <c r="C33" s="6" t="s">
        <v>88</v>
      </c>
      <c r="D33" s="8" t="s">
        <v>89</v>
      </c>
    </row>
    <row r="34" customFormat="false" ht="15" hidden="false" customHeight="false" outlineLevel="0" collapsed="false">
      <c r="A34" s="6" t="s">
        <v>91</v>
      </c>
      <c r="B34" s="20" t="n">
        <v>28.014</v>
      </c>
      <c r="C34" s="6" t="s">
        <v>88</v>
      </c>
      <c r="D34" s="8" t="s">
        <v>89</v>
      </c>
    </row>
    <row r="35" customFormat="false" ht="15" hidden="false" customHeight="false" outlineLevel="0" collapsed="false">
      <c r="A35" s="6" t="s">
        <v>92</v>
      </c>
      <c r="B35" s="18" t="n">
        <v>32.04</v>
      </c>
      <c r="C35" s="6" t="s">
        <v>88</v>
      </c>
      <c r="D35" s="8" t="s">
        <v>89</v>
      </c>
    </row>
    <row r="36" customFormat="false" ht="15" hidden="false" customHeight="false" outlineLevel="0" collapsed="false">
      <c r="A36" s="6" t="s">
        <v>93</v>
      </c>
      <c r="B36" s="18" t="n">
        <v>46.07</v>
      </c>
      <c r="C36" s="6" t="s">
        <v>88</v>
      </c>
      <c r="D36" s="8" t="s">
        <v>89</v>
      </c>
    </row>
    <row r="37" customFormat="false" ht="15" hidden="false" customHeight="false" outlineLevel="0" collapsed="false">
      <c r="A37" s="6" t="s">
        <v>94</v>
      </c>
      <c r="B37" s="20" t="n">
        <v>17.031</v>
      </c>
      <c r="C37" s="6" t="s">
        <v>88</v>
      </c>
      <c r="D37" s="8" t="s">
        <v>89</v>
      </c>
    </row>
    <row r="38" customFormat="false" ht="15" hidden="false" customHeight="false" outlineLevel="0" collapsed="false">
      <c r="A38" s="6" t="s">
        <v>95</v>
      </c>
      <c r="B38" s="20" t="n">
        <v>14.027</v>
      </c>
      <c r="C38" s="6" t="s">
        <v>88</v>
      </c>
      <c r="D38" s="8" t="s">
        <v>96</v>
      </c>
    </row>
    <row r="39" customFormat="false" ht="15" hidden="false" customHeight="false" outlineLevel="0" collapsed="false">
      <c r="A39" s="6" t="s">
        <v>97</v>
      </c>
      <c r="B39" s="16" t="n">
        <f aca="false">INDEX(Capex_Electrolyseurs!$D$6:$D$8,MATCH(B6,Capex_Electrolyseurs!$A$6:$A$8,0))</f>
        <v>1750</v>
      </c>
      <c r="C39" s="6" t="s">
        <v>66</v>
      </c>
      <c r="D39" s="8" t="s">
        <v>98</v>
      </c>
    </row>
    <row r="40" customFormat="false" ht="15" hidden="false" customHeight="false" outlineLevel="0" collapsed="false">
      <c r="A40" s="6" t="s">
        <v>99</v>
      </c>
      <c r="B40" s="21" t="n">
        <f aca="false">INDEX(Capex_Electrolyseurs!$G$6:$G$8,MATCH(B6,Capex_Electrolyseurs!$A$6:$A$8,0))</f>
        <v>58.9675122385403</v>
      </c>
      <c r="C40" s="6" t="s">
        <v>100</v>
      </c>
      <c r="D40" s="8" t="s">
        <v>101</v>
      </c>
    </row>
    <row r="41" customFormat="false" ht="15" hidden="false" customHeight="false" outlineLevel="0" collapsed="false">
      <c r="A41" s="6" t="s">
        <v>102</v>
      </c>
      <c r="B41" s="22" t="n">
        <f aca="false">B28*(1+B29)</f>
        <v>11.15</v>
      </c>
      <c r="C41" s="6" t="s">
        <v>77</v>
      </c>
      <c r="D41" s="8" t="s">
        <v>40</v>
      </c>
    </row>
  </sheetData>
  <dataValidations count="4">
    <dataValidation allowBlank="false" errorStyle="stop" operator="between" showDropDown="false" showErrorMessage="false" showInputMessage="false" sqref="B6" type="list">
      <formula1>"AEL,PEM,SOEC"</formula1>
      <formula2>0</formula2>
    </dataValidation>
    <dataValidation allowBlank="false" errorStyle="stop" operator="between" showDropDown="false" showErrorMessage="false" showInputMessage="false" sqref="B12" type="list">
      <formula1>"Proche terme,Long terme"</formula1>
      <formula2>0</formula2>
    </dataValidation>
    <dataValidation allowBlank="false" errorStyle="stop" operator="between" showDropDown="false" showErrorMessage="false" showInputMessage="false" sqref="B20" type="list">
      <formula1>"Point source,DAC"</formula1>
      <formula2>0</formula2>
    </dataValidation>
    <dataValidation allowBlank="false" errorStyle="stop" operator="between" showDropDown="false" showErrorMessage="false" showInputMessage="false" sqref="B31" type="list">
      <formula1>"e-methanol,e-DME,e-kerosene,e-diesel,e-gasoline,e-ammonia"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5" customFormat="false" ht="43.5" hidden="false" customHeight="true" outlineLevel="0" collapsed="false">
      <c r="A5" s="3" t="s">
        <v>105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117</v>
      </c>
    </row>
    <row r="6" customFormat="false" ht="15" hidden="false" customHeight="false" outlineLevel="0" collapsed="false">
      <c r="A6" s="23" t="s">
        <v>118</v>
      </c>
      <c r="B6" s="24" t="n">
        <v>800</v>
      </c>
      <c r="C6" s="24" t="n">
        <v>1500</v>
      </c>
      <c r="D6" s="16" t="n">
        <f aca="false">AVERAGE(B6:C6)</f>
        <v>1150</v>
      </c>
      <c r="E6" s="25" t="n">
        <v>5</v>
      </c>
      <c r="F6" s="25" t="n">
        <v>5.9</v>
      </c>
      <c r="G6" s="21" t="n">
        <f aca="false">AVERAGE(E6:F6)/Parametres!$B$18</f>
        <v>60.636404094348</v>
      </c>
      <c r="H6" s="17" t="n">
        <f aca="false">AVERAGE(2,3)/100</f>
        <v>0.025</v>
      </c>
      <c r="I6" s="24" t="n">
        <v>55</v>
      </c>
      <c r="J6" s="24" t="n">
        <v>120</v>
      </c>
      <c r="K6" s="21" t="n">
        <f aca="false">I6*1000/Parametres!$B$7</f>
        <v>11</v>
      </c>
      <c r="L6" s="21" t="n">
        <f aca="false">J6*1000/Parametres!$B$7</f>
        <v>24</v>
      </c>
      <c r="M6" s="26" t="s">
        <v>119</v>
      </c>
    </row>
    <row r="7" customFormat="false" ht="15" hidden="false" customHeight="false" outlineLevel="0" collapsed="false">
      <c r="A7" s="23" t="s">
        <v>27</v>
      </c>
      <c r="B7" s="24" t="n">
        <v>1400</v>
      </c>
      <c r="C7" s="24" t="n">
        <v>2100</v>
      </c>
      <c r="D7" s="16" t="n">
        <f aca="false">AVERAGE(B7:C7)</f>
        <v>1750</v>
      </c>
      <c r="E7" s="25" t="n">
        <v>5</v>
      </c>
      <c r="F7" s="25" t="n">
        <v>5.6</v>
      </c>
      <c r="G7" s="21" t="n">
        <f aca="false">AVERAGE(E7:F7)/Parametres!$B$18</f>
        <v>58.9675122385403</v>
      </c>
      <c r="H7" s="17" t="n">
        <f aca="false">AVERAGE(3,5)/100</f>
        <v>0.04</v>
      </c>
      <c r="I7" s="24" t="n">
        <v>60</v>
      </c>
      <c r="J7" s="24" t="n">
        <v>100</v>
      </c>
      <c r="K7" s="21" t="n">
        <f aca="false">I7*1000/Parametres!$B$7</f>
        <v>12</v>
      </c>
      <c r="L7" s="21" t="n">
        <f aca="false">J7*1000/Parametres!$B$7</f>
        <v>20</v>
      </c>
      <c r="M7" s="26" t="s">
        <v>119</v>
      </c>
    </row>
    <row r="8" customFormat="false" ht="15" hidden="false" customHeight="false" outlineLevel="0" collapsed="false">
      <c r="A8" s="23" t="s">
        <v>120</v>
      </c>
      <c r="B8" s="24" t="n">
        <v>2000</v>
      </c>
      <c r="C8" s="9" t="n">
        <v>2500</v>
      </c>
      <c r="D8" s="16" t="n">
        <f aca="false">AVERAGE(B8:C8)</f>
        <v>2250</v>
      </c>
      <c r="E8" s="25" t="n">
        <v>3.7</v>
      </c>
      <c r="F8" s="25" t="n">
        <v>3.9</v>
      </c>
      <c r="G8" s="21" t="n">
        <f aca="false">AVERAGE(E8:F8)/Parametres!$B$18</f>
        <v>42.2785936804628</v>
      </c>
      <c r="H8" s="17" t="n">
        <f aca="false">AVERAGE(3,5)/100</f>
        <v>0.04</v>
      </c>
      <c r="I8" s="24" t="n">
        <v>8</v>
      </c>
      <c r="J8" s="24" t="n">
        <v>20</v>
      </c>
      <c r="K8" s="21" t="n">
        <f aca="false">I8*1000/Parametres!$B$7</f>
        <v>1.6</v>
      </c>
      <c r="L8" s="21" t="n">
        <f aca="false">J8*1000/Parametres!$B$7</f>
        <v>4</v>
      </c>
      <c r="M8" s="26" t="s">
        <v>121</v>
      </c>
    </row>
    <row r="10" customFormat="false" ht="15" hidden="false" customHeight="false" outlineLevel="0" collapsed="false">
      <c r="A10" s="27" t="s">
        <v>122</v>
      </c>
    </row>
    <row r="11" customFormat="false" ht="15" hidden="false" customHeight="false" outlineLevel="0" collapsed="false">
      <c r="A11" s="27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11" min="6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5" customFormat="false" ht="43.5" hidden="false" customHeight="true" outlineLevel="0" collapsed="false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134</v>
      </c>
      <c r="J5" s="3" t="s">
        <v>135</v>
      </c>
      <c r="K5" s="3" t="s">
        <v>136</v>
      </c>
      <c r="L5" s="3" t="s">
        <v>137</v>
      </c>
      <c r="M5" s="3" t="s">
        <v>138</v>
      </c>
      <c r="N5" s="3" t="s">
        <v>25</v>
      </c>
    </row>
    <row r="6" customFormat="false" ht="15" hidden="false" customHeight="false" outlineLevel="0" collapsed="false">
      <c r="A6" s="23" t="s">
        <v>84</v>
      </c>
      <c r="B6" s="25" t="n">
        <v>19.9</v>
      </c>
      <c r="C6" s="12" t="n">
        <f aca="false">3*Parametres!$B$32/Parametres!$B$35/Parametres!$B$17</f>
        <v>0.198698994677706</v>
      </c>
      <c r="D6" s="12" t="n">
        <f aca="false">Parametres!$B$33/Parametres!$B$35/Parametres!$B$17</f>
        <v>1.44589000591366</v>
      </c>
      <c r="E6" s="12" t="n">
        <v>0</v>
      </c>
      <c r="F6" s="24" t="n">
        <v>300</v>
      </c>
      <c r="G6" s="24" t="n">
        <v>1200</v>
      </c>
      <c r="H6" s="16" t="n">
        <f aca="false">AVERAGE(F6:G6)</f>
        <v>750</v>
      </c>
      <c r="I6" s="24" t="n">
        <v>200</v>
      </c>
      <c r="J6" s="24" t="n">
        <v>650</v>
      </c>
      <c r="K6" s="16" t="n">
        <f aca="false">IFERROR(AVERAGE(I6:J6),H6)</f>
        <v>425</v>
      </c>
      <c r="L6" s="28" t="n">
        <f aca="false">IF(Parametres!$B$12="Long terme",K6,H6)</f>
        <v>750</v>
      </c>
      <c r="M6" s="29" t="n">
        <f aca="false">IFERROR(1-K6/H6,"n.d.")</f>
        <v>0.433333333333333</v>
      </c>
      <c r="N6" s="26" t="s">
        <v>139</v>
      </c>
    </row>
    <row r="7" customFormat="false" ht="15" hidden="false" customHeight="false" outlineLevel="0" collapsed="false">
      <c r="A7" s="23" t="s">
        <v>140</v>
      </c>
      <c r="B7" s="25" t="n">
        <v>28.4</v>
      </c>
      <c r="C7" s="12" t="n">
        <f aca="false">6*Parametres!$B$32/Parametres!$B$36/Parametres!$B$17</f>
        <v>0.276375766853644</v>
      </c>
      <c r="D7" s="12" t="n">
        <f aca="false">2*Parametres!$B$33/Parametres!$B$36/Parametres!$B$17</f>
        <v>2.01112723201535</v>
      </c>
      <c r="E7" s="12" t="n">
        <v>0</v>
      </c>
      <c r="F7" s="24" t="n">
        <v>300</v>
      </c>
      <c r="G7" s="24" t="n">
        <v>1200</v>
      </c>
      <c r="H7" s="16" t="n">
        <f aca="false">AVERAGE(F7:G7)</f>
        <v>750</v>
      </c>
      <c r="I7" s="24" t="n">
        <v>200</v>
      </c>
      <c r="J7" s="24" t="n">
        <v>650</v>
      </c>
      <c r="K7" s="16" t="n">
        <f aca="false">IFERROR(AVERAGE(I7:J7),H7)</f>
        <v>425</v>
      </c>
      <c r="L7" s="28" t="n">
        <f aca="false">IF(Parametres!$B$12="Long terme",K7,H7)</f>
        <v>750</v>
      </c>
      <c r="M7" s="29" t="n">
        <f aca="false">IFERROR(1-K7/H7,"n.d.")</f>
        <v>0.433333333333333</v>
      </c>
      <c r="N7" s="26" t="s">
        <v>141</v>
      </c>
    </row>
    <row r="8" customFormat="false" ht="15" hidden="false" customHeight="false" outlineLevel="0" collapsed="false">
      <c r="A8" s="23" t="s">
        <v>142</v>
      </c>
      <c r="B8" s="25" t="n">
        <v>43.1</v>
      </c>
      <c r="C8" s="12" t="n">
        <f aca="false">3*Parametres!$B$32/Parametres!$B$38/Parametres!$B$17</f>
        <v>0.453861537711106</v>
      </c>
      <c r="D8" s="12" t="n">
        <f aca="false">Parametres!$B$33/Parametres!$B$38/Parametres!$B$17</f>
        <v>3.30265315387992</v>
      </c>
      <c r="E8" s="12" t="n">
        <v>0</v>
      </c>
      <c r="F8" s="9" t="n">
        <v>1000</v>
      </c>
      <c r="G8" s="9" t="n">
        <v>1800</v>
      </c>
      <c r="H8" s="16" t="n">
        <f aca="false">AVERAGE(F8:G8)</f>
        <v>1400</v>
      </c>
      <c r="I8" s="24" t="s">
        <v>143</v>
      </c>
      <c r="J8" s="24" t="s">
        <v>143</v>
      </c>
      <c r="K8" s="16" t="n">
        <f aca="false">IFERROR(AVERAGE(I8:J8),H8)</f>
        <v>1400</v>
      </c>
      <c r="L8" s="28" t="n">
        <f aca="false">IF(Parametres!$B$12="Long terme",K8,H8)</f>
        <v>1400</v>
      </c>
      <c r="M8" s="29" t="n">
        <f aca="false">IFERROR(1-K8/H8,"n.d.")</f>
        <v>0</v>
      </c>
      <c r="N8" s="26" t="s">
        <v>144</v>
      </c>
    </row>
    <row r="9" customFormat="false" ht="15" hidden="false" customHeight="false" outlineLevel="0" collapsed="false">
      <c r="A9" s="23" t="s">
        <v>145</v>
      </c>
      <c r="B9" s="25" t="n">
        <v>43</v>
      </c>
      <c r="C9" s="12" t="n">
        <f aca="false">3*Parametres!$B$32/Parametres!$B$38/Parametres!$B$17</f>
        <v>0.453861537711106</v>
      </c>
      <c r="D9" s="12" t="n">
        <f aca="false">Parametres!$B$33/Parametres!$B$38/Parametres!$B$17</f>
        <v>3.30265315387992</v>
      </c>
      <c r="E9" s="12" t="n">
        <v>0</v>
      </c>
      <c r="F9" s="9" t="n">
        <v>1000</v>
      </c>
      <c r="G9" s="9" t="n">
        <v>1800</v>
      </c>
      <c r="H9" s="16" t="n">
        <f aca="false">AVERAGE(F9:G9)</f>
        <v>1400</v>
      </c>
      <c r="I9" s="24" t="s">
        <v>143</v>
      </c>
      <c r="J9" s="24" t="s">
        <v>143</v>
      </c>
      <c r="K9" s="16" t="n">
        <f aca="false">IFERROR(AVERAGE(I9:J9),H9)</f>
        <v>1400</v>
      </c>
      <c r="L9" s="28" t="n">
        <f aca="false">IF(Parametres!$B$12="Long terme",K9,H9)</f>
        <v>1400</v>
      </c>
      <c r="M9" s="29" t="n">
        <f aca="false">IFERROR(1-K9/H9,"n.d.")</f>
        <v>0</v>
      </c>
      <c r="N9" s="26" t="s">
        <v>146</v>
      </c>
    </row>
    <row r="10" customFormat="false" ht="15" hidden="false" customHeight="false" outlineLevel="0" collapsed="false">
      <c r="A10" s="23" t="s">
        <v>147</v>
      </c>
      <c r="B10" s="25" t="n">
        <v>43.4</v>
      </c>
      <c r="C10" s="12" t="n">
        <f aca="false">3*Parametres!$B$32/Parametres!$B$38/Parametres!$B$17</f>
        <v>0.453861537711106</v>
      </c>
      <c r="D10" s="12" t="n">
        <f aca="false">Parametres!$B$33/Parametres!$B$38/Parametres!$B$17</f>
        <v>3.30265315387992</v>
      </c>
      <c r="E10" s="12" t="n">
        <v>0</v>
      </c>
      <c r="F10" s="24" t="n">
        <v>600</v>
      </c>
      <c r="G10" s="24" t="n">
        <v>600</v>
      </c>
      <c r="H10" s="16" t="n">
        <f aca="false">AVERAGE(F10:G10)</f>
        <v>600</v>
      </c>
      <c r="I10" s="24" t="n">
        <v>250</v>
      </c>
      <c r="J10" s="24" t="n">
        <v>370</v>
      </c>
      <c r="K10" s="16" t="n">
        <f aca="false">IFERROR(AVERAGE(I10:J10),H10)</f>
        <v>310</v>
      </c>
      <c r="L10" s="28" t="n">
        <f aca="false">IF(Parametres!$B$12="Long terme",K10,H10)</f>
        <v>600</v>
      </c>
      <c r="M10" s="29" t="n">
        <f aca="false">IFERROR(1-K10/H10,"n.d.")</f>
        <v>0.483333333333333</v>
      </c>
      <c r="N10" s="26" t="s">
        <v>148</v>
      </c>
    </row>
    <row r="11" customFormat="false" ht="15" hidden="false" customHeight="false" outlineLevel="0" collapsed="false">
      <c r="A11" s="23" t="s">
        <v>149</v>
      </c>
      <c r="B11" s="25" t="n">
        <v>18.6</v>
      </c>
      <c r="C11" s="12" t="n">
        <f aca="false">3*Parametres!$B$32/(2*Parametres!$B$37)/Parametres!$B$17</f>
        <v>0.186903757544292</v>
      </c>
      <c r="D11" s="12" t="n">
        <v>0</v>
      </c>
      <c r="E11" s="12" t="n">
        <f aca="false">Parametres!$B$34/(2*Parametres!$B$37)/Parametres!$B$17</f>
        <v>0.865727821403076</v>
      </c>
      <c r="F11" s="24" t="n">
        <v>1300</v>
      </c>
      <c r="G11" s="24" t="n">
        <v>2200</v>
      </c>
      <c r="H11" s="16" t="n">
        <f aca="false">AVERAGE(F11:G11)</f>
        <v>1750</v>
      </c>
      <c r="I11" s="24" t="n">
        <v>580</v>
      </c>
      <c r="J11" s="24" t="n">
        <v>1100</v>
      </c>
      <c r="K11" s="16" t="n">
        <f aca="false">IFERROR(AVERAGE(I11:J11),H11)</f>
        <v>840</v>
      </c>
      <c r="L11" s="28" t="n">
        <f aca="false">IF(Parametres!$B$12="Long terme",K11,H11)</f>
        <v>1750</v>
      </c>
      <c r="M11" s="29" t="n">
        <f aca="false">IFERROR(1-K11/H11,"n.d.")</f>
        <v>0.52</v>
      </c>
      <c r="N11" s="26" t="s">
        <v>150</v>
      </c>
    </row>
    <row r="12" customFormat="false" ht="15" hidden="false" customHeight="false" outlineLevel="0" collapsed="false">
      <c r="A12" s="27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5" customFormat="false" ht="39.75" hidden="false" customHeight="true" outlineLevel="0" collapsed="false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158</v>
      </c>
      <c r="F5" s="3" t="s">
        <v>159</v>
      </c>
      <c r="G5" s="3" t="s">
        <v>160</v>
      </c>
    </row>
    <row r="6" customFormat="false" ht="15" hidden="false" customHeight="false" outlineLevel="0" collapsed="false">
      <c r="A6" s="6" t="s">
        <v>161</v>
      </c>
      <c r="B6" s="24" t="n">
        <v>50</v>
      </c>
      <c r="C6" s="24" t="n">
        <v>100</v>
      </c>
      <c r="D6" s="24" t="n">
        <v>9</v>
      </c>
      <c r="E6" s="30" t="n">
        <f aca="false">AVERAGE(B6:C6)*Parametres!$B$11</f>
        <v>69</v>
      </c>
      <c r="F6" s="16" t="n">
        <f aca="false">Parametres!$B$19*E6/Parametres!$B$10</f>
        <v>406.471302668401</v>
      </c>
      <c r="G6" s="6" t="s">
        <v>62</v>
      </c>
    </row>
    <row r="7" customFormat="false" ht="15" hidden="false" customHeight="false" outlineLevel="0" collapsed="false">
      <c r="A7" s="6" t="s">
        <v>162</v>
      </c>
      <c r="B7" s="24" t="n">
        <v>30</v>
      </c>
      <c r="C7" s="24" t="n">
        <v>80</v>
      </c>
      <c r="D7" s="24" t="n">
        <v>7</v>
      </c>
      <c r="E7" s="30" t="n">
        <f aca="false">AVERAGE(B7:C7)*Parametres!$B$11</f>
        <v>50.6</v>
      </c>
      <c r="F7" s="16" t="n">
        <f aca="false">Parametres!$B$19*E7/Parametres!$B$10</f>
        <v>298.078955290161</v>
      </c>
      <c r="G7" s="6" t="s">
        <v>62</v>
      </c>
    </row>
    <row r="8" customFormat="false" ht="15" hidden="false" customHeight="false" outlineLevel="0" collapsed="false">
      <c r="A8" s="6" t="s">
        <v>163</v>
      </c>
      <c r="B8" s="24" t="n">
        <v>60</v>
      </c>
      <c r="C8" s="24" t="n">
        <v>120</v>
      </c>
      <c r="D8" s="24" t="n">
        <v>6</v>
      </c>
      <c r="E8" s="30" t="n">
        <f aca="false">AVERAGE(B8:C8)*Parametres!$B$11</f>
        <v>82.8</v>
      </c>
      <c r="F8" s="16" t="n">
        <f aca="false">Parametres!$B$19*E8/Parametres!$B$10</f>
        <v>487.765563202081</v>
      </c>
      <c r="G8" s="6" t="s">
        <v>62</v>
      </c>
    </row>
    <row r="9" customFormat="false" ht="15" hidden="false" customHeight="false" outlineLevel="0" collapsed="false">
      <c r="A9" s="6" t="s">
        <v>164</v>
      </c>
      <c r="B9" s="24" t="n">
        <v>70</v>
      </c>
      <c r="C9" s="24" t="n">
        <v>150</v>
      </c>
      <c r="D9" s="24" t="n">
        <v>5</v>
      </c>
      <c r="E9" s="30" t="n">
        <f aca="false">AVERAGE(B9:C9)*Parametres!$B$11</f>
        <v>101.2</v>
      </c>
      <c r="F9" s="16" t="n">
        <f aca="false">Parametres!$B$19*E9/Parametres!$B$10</f>
        <v>596.157910580321</v>
      </c>
      <c r="G9" s="6" t="s">
        <v>62</v>
      </c>
    </row>
    <row r="10" customFormat="false" ht="15" hidden="false" customHeight="false" outlineLevel="0" collapsed="false">
      <c r="A10" s="6" t="s">
        <v>165</v>
      </c>
      <c r="B10" s="24" t="n">
        <v>235</v>
      </c>
      <c r="C10" s="24" t="n">
        <v>600</v>
      </c>
      <c r="D10" s="24" t="n">
        <v>5</v>
      </c>
      <c r="E10" s="30" t="n">
        <f aca="false">AVERAGE(B10:C10)*Parametres!$B$11</f>
        <v>384.1</v>
      </c>
      <c r="F10" s="16" t="n">
        <f aca="false">Parametres!$B$19*E10/Parametres!$B$10</f>
        <v>2262.69025152076</v>
      </c>
      <c r="G10" s="6" t="s">
        <v>166</v>
      </c>
    </row>
    <row r="12" customFormat="false" ht="15" hidden="false" customHeight="false" outlineLevel="0" collapsed="false">
      <c r="A12" s="31" t="s">
        <v>167</v>
      </c>
      <c r="E12" s="32" t="n">
        <f aca="false">IF(Parametres!$B$20="DAC",E10,E6)</f>
        <v>69</v>
      </c>
      <c r="F12" s="28" t="n">
        <f aca="false">IF(Parametres!$B$20="DAC",F10,F6)</f>
        <v>406.471302668401</v>
      </c>
    </row>
    <row r="13" customFormat="false" ht="15" hidden="false" customHeight="false" outlineLevel="0" collapsed="false">
      <c r="A13" s="27" t="s">
        <v>168</v>
      </c>
    </row>
    <row r="14" customFormat="false" ht="15" hidden="false" customHeight="false" outlineLevel="0" collapsed="false">
      <c r="A14" s="27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10" min="9" style="0" width="20"/>
    <col collapsed="false" customWidth="true" hidden="false" outlineLevel="0" max="11" min="11" style="0" width="18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5" customFormat="false" ht="48" hidden="false" customHeight="true" outlineLevel="0" collapsed="false">
      <c r="A5" s="3" t="s">
        <v>172</v>
      </c>
      <c r="B5" s="3" t="s">
        <v>126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  <c r="L5" s="3" t="s">
        <v>25</v>
      </c>
    </row>
    <row r="6" customFormat="false" ht="15" hidden="false" customHeight="false" outlineLevel="0" collapsed="false">
      <c r="A6" s="23" t="s">
        <v>182</v>
      </c>
      <c r="B6" s="6" t="s">
        <v>142</v>
      </c>
      <c r="C6" s="24" t="n">
        <v>1000</v>
      </c>
      <c r="D6" s="24" t="n">
        <v>350</v>
      </c>
      <c r="E6" s="24" t="n">
        <v>1480</v>
      </c>
      <c r="F6" s="6" t="s">
        <v>183</v>
      </c>
      <c r="G6" s="6" t="s">
        <v>184</v>
      </c>
      <c r="H6" s="22" t="n">
        <f aca="false">IFERROR(C6/D6,"n.d.")</f>
        <v>2.85714285714286</v>
      </c>
      <c r="I6" s="16" t="n">
        <f aca="false">IFERROR(E6*1000000/(D6*1000),"n.d.")</f>
        <v>4228.57142857143</v>
      </c>
      <c r="J6" s="22" t="n">
        <f aca="false">Capex_Synthese!C8*1000000*Parametres!$B$40/$B$13/1000</f>
        <v>3.34538572244779</v>
      </c>
      <c r="K6" s="29" t="n">
        <f aca="false">IFERROR(J6/H6-1,"n.d.")</f>
        <v>0.170885002856728</v>
      </c>
      <c r="L6" s="8" t="s">
        <v>185</v>
      </c>
    </row>
    <row r="7" customFormat="false" ht="15" hidden="false" customHeight="false" outlineLevel="0" collapsed="false">
      <c r="A7" s="23" t="s">
        <v>186</v>
      </c>
      <c r="B7" s="6" t="s">
        <v>147</v>
      </c>
      <c r="C7" s="24" t="n">
        <v>1800</v>
      </c>
      <c r="D7" s="24" t="n">
        <v>630</v>
      </c>
      <c r="E7" s="24" t="s">
        <v>143</v>
      </c>
      <c r="F7" s="6" t="s">
        <v>85</v>
      </c>
      <c r="G7" s="6" t="s">
        <v>187</v>
      </c>
      <c r="H7" s="22" t="n">
        <f aca="false">IFERROR(C7/D7,"n.d.")</f>
        <v>2.85714285714286</v>
      </c>
      <c r="I7" s="16" t="str">
        <f aca="false">IFERROR(E7*1000000/(D7*1000),"n.d.")</f>
        <v>n.d.</v>
      </c>
      <c r="J7" s="22" t="n">
        <f aca="false">Capex_Synthese!C10*1000000*Parametres!$B$40/$B$13/1000</f>
        <v>3.34538572244779</v>
      </c>
      <c r="K7" s="29" t="n">
        <f aca="false">IFERROR(J7/H7-1,"n.d.")</f>
        <v>0.170885002856728</v>
      </c>
      <c r="L7" s="8" t="s">
        <v>188</v>
      </c>
    </row>
    <row r="8" customFormat="false" ht="15" hidden="false" customHeight="false" outlineLevel="0" collapsed="false">
      <c r="A8" s="23" t="s">
        <v>189</v>
      </c>
      <c r="B8" s="6" t="s">
        <v>142</v>
      </c>
      <c r="C8" s="24" t="n">
        <v>280</v>
      </c>
      <c r="D8" s="24" t="n">
        <v>85</v>
      </c>
      <c r="E8" s="24" t="s">
        <v>143</v>
      </c>
      <c r="F8" s="6" t="s">
        <v>85</v>
      </c>
      <c r="G8" s="6" t="s">
        <v>187</v>
      </c>
      <c r="H8" s="22" t="n">
        <f aca="false">IFERROR(C8/D8,"n.d.")</f>
        <v>3.29411764705882</v>
      </c>
      <c r="I8" s="16" t="str">
        <f aca="false">IFERROR(E8*1000000/(D8*1000),"n.d.")</f>
        <v>n.d.</v>
      </c>
      <c r="J8" s="22" t="n">
        <f aca="false">Capex_Synthese!C8*1000000*Parametres!$B$40/$B$13/1000</f>
        <v>3.34538572244779</v>
      </c>
      <c r="K8" s="29" t="n">
        <f aca="false">IFERROR(J8/H8-1,"n.d.")</f>
        <v>0.0155635228859377</v>
      </c>
      <c r="L8" s="8" t="s">
        <v>190</v>
      </c>
    </row>
    <row r="9" customFormat="false" ht="15" hidden="false" customHeight="false" outlineLevel="0" collapsed="false">
      <c r="A9" s="23" t="s">
        <v>191</v>
      </c>
      <c r="B9" s="6" t="s">
        <v>142</v>
      </c>
      <c r="C9" s="24" t="s">
        <v>143</v>
      </c>
      <c r="D9" s="24" t="n">
        <v>8</v>
      </c>
      <c r="E9" s="24" t="n">
        <v>40</v>
      </c>
      <c r="F9" s="6" t="s">
        <v>192</v>
      </c>
      <c r="G9" s="6" t="s">
        <v>193</v>
      </c>
      <c r="H9" s="22" t="str">
        <f aca="false">IFERROR(C9/D9,"n.d.")</f>
        <v>n.d.</v>
      </c>
      <c r="I9" s="16" t="n">
        <f aca="false">IFERROR(E9*1000000/(D9*1000),"n.d.")</f>
        <v>5000</v>
      </c>
      <c r="J9" s="22" t="n">
        <f aca="false">Capex_Synthese!C8*1000000*Parametres!$B$40/$B$13/1000</f>
        <v>3.34538572244779</v>
      </c>
      <c r="K9" s="29" t="str">
        <f aca="false">IFERROR(J9/H9-1,"n.d.")</f>
        <v>n.d.</v>
      </c>
      <c r="L9" s="8" t="s">
        <v>194</v>
      </c>
    </row>
    <row r="13" customFormat="false" ht="15" hidden="false" customHeight="false" outlineLevel="0" collapsed="false">
      <c r="A13" s="31" t="s">
        <v>195</v>
      </c>
      <c r="B13" s="9" t="n">
        <v>8000</v>
      </c>
    </row>
    <row r="14" customFormat="false" ht="15" hidden="false" customHeight="false" outlineLevel="0" collapsed="false">
      <c r="A14" s="27" t="s">
        <v>196</v>
      </c>
    </row>
    <row r="16" customFormat="false" ht="15" hidden="false" customHeight="false" outlineLevel="0" collapsed="false">
      <c r="A16" s="31" t="s">
        <v>197</v>
      </c>
    </row>
    <row r="17" customFormat="false" ht="15" hidden="false" customHeight="false" outlineLevel="0" collapsed="false">
      <c r="A17" s="33" t="s">
        <v>198</v>
      </c>
      <c r="B17" s="34" t="n">
        <f aca="false">INDEX(Dimensionnement!$P$9:$P$14,3)</f>
        <v>17.7129612126117</v>
      </c>
    </row>
    <row r="18" customFormat="false" ht="15" hidden="false" customHeight="false" outlineLevel="0" collapsed="false">
      <c r="A18" s="33" t="s">
        <v>199</v>
      </c>
      <c r="B18" s="21" t="n">
        <f aca="false">E6/D6*Parametres!$B$11</f>
        <v>3.89028571428571</v>
      </c>
    </row>
    <row r="19" customFormat="false" ht="15" hidden="false" customHeight="false" outlineLevel="0" collapsed="false">
      <c r="A19" s="33" t="s">
        <v>200</v>
      </c>
      <c r="B19" s="35" t="n">
        <f aca="false">B17/B18</f>
        <v>4.55312604613256</v>
      </c>
    </row>
    <row r="20" customFormat="false" ht="15" hidden="false" customHeight="false" outlineLevel="0" collapsed="false">
      <c r="A20" s="27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20" min="19" style="0" width="18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15" hidden="false" customHeight="false" outlineLevel="0" collapsed="false">
      <c r="A4" s="31" t="s">
        <v>204</v>
      </c>
      <c r="B4" s="36" t="n">
        <f aca="false">Parametres!$B$30</f>
        <v>100000</v>
      </c>
    </row>
    <row r="5" customFormat="false" ht="15" hidden="false" customHeight="false" outlineLevel="0" collapsed="false">
      <c r="A5" s="31" t="s">
        <v>205</v>
      </c>
      <c r="B5" s="37" t="str">
        <f aca="false">Parametres!$B$6</f>
        <v>PEM</v>
      </c>
      <c r="C5" s="36" t="n">
        <f aca="false">Parametres!$B$7</f>
        <v>5000</v>
      </c>
      <c r="D5" s="38" t="n">
        <f aca="false">Parametres!$B$13</f>
        <v>1</v>
      </c>
    </row>
    <row r="8" customFormat="false" ht="57.75" hidden="false" customHeight="true" outlineLevel="0" collapsed="false">
      <c r="A8" s="3" t="s">
        <v>126</v>
      </c>
      <c r="B8" s="3" t="s">
        <v>206</v>
      </c>
      <c r="C8" s="3" t="s">
        <v>207</v>
      </c>
      <c r="D8" s="3" t="s">
        <v>208</v>
      </c>
      <c r="E8" s="3" t="s">
        <v>209</v>
      </c>
      <c r="F8" s="3" t="s">
        <v>210</v>
      </c>
      <c r="G8" s="3" t="s">
        <v>211</v>
      </c>
      <c r="H8" s="3" t="s">
        <v>212</v>
      </c>
      <c r="I8" s="3" t="s">
        <v>213</v>
      </c>
      <c r="J8" s="3" t="s">
        <v>214</v>
      </c>
      <c r="K8" s="3" t="s">
        <v>215</v>
      </c>
      <c r="L8" s="3" t="s">
        <v>216</v>
      </c>
      <c r="M8" s="3" t="s">
        <v>217</v>
      </c>
      <c r="N8" s="3" t="s">
        <v>218</v>
      </c>
      <c r="O8" s="3" t="s">
        <v>219</v>
      </c>
      <c r="P8" s="3" t="s">
        <v>220</v>
      </c>
      <c r="Q8" s="3" t="s">
        <v>221</v>
      </c>
      <c r="R8" s="3" t="s">
        <v>222</v>
      </c>
      <c r="S8" s="3" t="s">
        <v>223</v>
      </c>
      <c r="T8" s="3" t="s">
        <v>224</v>
      </c>
    </row>
    <row r="9" customFormat="false" ht="15" hidden="false" customHeight="false" outlineLevel="0" collapsed="false">
      <c r="A9" s="39" t="str">
        <f aca="false">Capex_Synthese!A6</f>
        <v>e-methanol</v>
      </c>
      <c r="B9" s="16" t="n">
        <f aca="false">$B$4</f>
        <v>100000</v>
      </c>
      <c r="C9" s="16" t="n">
        <f aca="false">B9*Capex_Synthese!C6</f>
        <v>19869.8994677706</v>
      </c>
      <c r="D9" s="16" t="n">
        <f aca="false">B9*Capex_Synthese!D6</f>
        <v>144589.000591366</v>
      </c>
      <c r="E9" s="16" t="n">
        <f aca="false">B9*Capex_Synthese!E6</f>
        <v>0</v>
      </c>
      <c r="F9" s="30" t="n">
        <f aca="false">C9*1000*Parametres!$B$40/Parametres!$B$7/1000</f>
        <v>234.335708008865</v>
      </c>
      <c r="G9" s="30" t="n">
        <f aca="false">C9*1000*Parametres!$B$40/1000000</f>
        <v>1171.67854004433</v>
      </c>
      <c r="H9" s="16" t="n">
        <f aca="false">C9*1000*Parametres!$B$41/1000</f>
        <v>221549.379065642</v>
      </c>
      <c r="I9" s="30" t="n">
        <f aca="false">F9*1000*Parametres!$B$39*Parametres!$B$13/1000000</f>
        <v>410.087489015514</v>
      </c>
      <c r="J9" s="30" t="n">
        <f aca="false">(B9*Capex_Synthese!B6*1000/3.6/8760/Parametres!$B$16)*Capex_Synthese!L6*Parametres!$B$13/1000000</f>
        <v>52.5854050397429</v>
      </c>
      <c r="K9" s="30" t="n">
        <f aca="false">D9*Cout_CO2!$F$12*Parametres!$B$13/1000000</f>
        <v>58.7712794218947</v>
      </c>
      <c r="L9" s="30" t="n">
        <f aca="false">I9+J9+K9</f>
        <v>521.444173477151</v>
      </c>
      <c r="M9" s="30" t="n">
        <f aca="false">L9*Parametres!$B$14</f>
        <v>104.28883469543</v>
      </c>
      <c r="N9" s="30" t="n">
        <f aca="false">(L9+M9)*Parametres!$B$15</f>
        <v>93.8599512258872</v>
      </c>
      <c r="O9" s="32" t="n">
        <f aca="false">L9+M9+N9</f>
        <v>719.592959398469</v>
      </c>
      <c r="P9" s="21" t="n">
        <f aca="false">O9/(B9/1000)</f>
        <v>7.19592959398469</v>
      </c>
      <c r="Q9" s="16" t="n">
        <f aca="false">G9*1000/(Parametres!$B$27*8760)</f>
        <v>356.675354655807</v>
      </c>
      <c r="R9" s="30" t="n">
        <f aca="false">Q9*1000*Parametres!$B$26/1000000</f>
        <v>347.758470789412</v>
      </c>
      <c r="S9" s="32" t="n">
        <f aca="false">O9+R9</f>
        <v>1067.35143018788</v>
      </c>
      <c r="T9" s="30" t="n">
        <f aca="false">O9*Parametres!$B$10</f>
        <v>73.2921323683218</v>
      </c>
    </row>
    <row r="10" customFormat="false" ht="15" hidden="false" customHeight="false" outlineLevel="0" collapsed="false">
      <c r="A10" s="39" t="str">
        <f aca="false">Capex_Synthese!A7</f>
        <v>e-DME</v>
      </c>
      <c r="B10" s="16" t="n">
        <f aca="false">$B$4</f>
        <v>100000</v>
      </c>
      <c r="C10" s="16" t="n">
        <f aca="false">B10*Capex_Synthese!C7</f>
        <v>27637.5766853644</v>
      </c>
      <c r="D10" s="16" t="n">
        <f aca="false">B10*Capex_Synthese!D7</f>
        <v>201112.723201535</v>
      </c>
      <c r="E10" s="16" t="n">
        <f aca="false">B10*Capex_Synthese!E7</f>
        <v>0</v>
      </c>
      <c r="F10" s="30" t="n">
        <f aca="false">C10*1000*Parametres!$B$40/Parametres!$B$7/1000</f>
        <v>325.943828287564</v>
      </c>
      <c r="G10" s="30" t="n">
        <f aca="false">C10*1000*Parametres!$B$40/1000000</f>
        <v>1629.71914143782</v>
      </c>
      <c r="H10" s="16" t="n">
        <f aca="false">C10*1000*Parametres!$B$41/1000</f>
        <v>308158.980041813</v>
      </c>
      <c r="I10" s="30" t="n">
        <f aca="false">F10*1000*Parametres!$B$39*Parametres!$B$13/1000000</f>
        <v>570.401699503237</v>
      </c>
      <c r="J10" s="30" t="n">
        <f aca="false">(B10*Capex_Synthese!B7*1000/3.6/8760/Parametres!$B$16)*Capex_Synthese!L7*Parametres!$B$13/1000000</f>
        <v>75.0465076949095</v>
      </c>
      <c r="K10" s="30" t="n">
        <f aca="false">D10*Cout_CO2!$F$12*Parametres!$B$13/1000000</f>
        <v>81.7465505829176</v>
      </c>
      <c r="L10" s="30" t="n">
        <f aca="false">I10+J10+K10</f>
        <v>727.194757781064</v>
      </c>
      <c r="M10" s="30" t="n">
        <f aca="false">L10*Parametres!$B$14</f>
        <v>145.438951556213</v>
      </c>
      <c r="N10" s="30" t="n">
        <f aca="false">(L10+M10)*Parametres!$B$15</f>
        <v>130.895056400592</v>
      </c>
      <c r="O10" s="32" t="n">
        <f aca="false">L10+M10+N10</f>
        <v>1003.52876573787</v>
      </c>
      <c r="P10" s="21" t="n">
        <f aca="false">O10/(B10/1000)</f>
        <v>10.0352876573787</v>
      </c>
      <c r="Q10" s="16" t="n">
        <f aca="false">G10*1000/(Parametres!$B$27*8760)</f>
        <v>496.109327682746</v>
      </c>
      <c r="R10" s="30" t="n">
        <f aca="false">Q10*1000*Parametres!$B$26/1000000</f>
        <v>483.706594490677</v>
      </c>
      <c r="S10" s="32" t="n">
        <f aca="false">O10+R10</f>
        <v>1487.23536022855</v>
      </c>
      <c r="T10" s="30" t="n">
        <f aca="false">O10*Parametres!$B$10</f>
        <v>102.211621407972</v>
      </c>
    </row>
    <row r="11" customFormat="false" ht="15" hidden="false" customHeight="false" outlineLevel="0" collapsed="false">
      <c r="A11" s="39" t="str">
        <f aca="false">Capex_Synthese!A8</f>
        <v>e-kerosene</v>
      </c>
      <c r="B11" s="16" t="n">
        <f aca="false">$B$4</f>
        <v>100000</v>
      </c>
      <c r="C11" s="16" t="n">
        <f aca="false">B11*Capex_Synthese!C8</f>
        <v>45386.1537711106</v>
      </c>
      <c r="D11" s="16" t="n">
        <f aca="false">B11*Capex_Synthese!D8</f>
        <v>330265.315387992</v>
      </c>
      <c r="E11" s="16" t="n">
        <f aca="false">B11*Capex_Synthese!E8</f>
        <v>0</v>
      </c>
      <c r="F11" s="30" t="n">
        <f aca="false">C11*1000*Parametres!$B$40/Parametres!$B$7/1000</f>
        <v>535.261715591647</v>
      </c>
      <c r="G11" s="30" t="n">
        <f aca="false">C11*1000*Parametres!$B$40/1000000</f>
        <v>2676.30857795824</v>
      </c>
      <c r="H11" s="16" t="n">
        <f aca="false">C11*1000*Parametres!$B$41/1000</f>
        <v>506055.614547883</v>
      </c>
      <c r="I11" s="30" t="n">
        <f aca="false">F11*1000*Parametres!$B$39*Parametres!$B$13/1000000</f>
        <v>936.708002285383</v>
      </c>
      <c r="J11" s="30" t="n">
        <f aca="false">(B11*Capex_Synthese!B8*1000/3.6/8760/Parametres!$B$16)*Capex_Synthese!L8*Parametres!$B$13/1000000</f>
        <v>212.596538700039</v>
      </c>
      <c r="K11" s="30" t="n">
        <f aca="false">D11*Cout_CO2!$F$12*Parametres!$B$13/1000000</f>
        <v>134.243372971947</v>
      </c>
      <c r="L11" s="30" t="n">
        <f aca="false">I11+J11+K11</f>
        <v>1283.54791395737</v>
      </c>
      <c r="M11" s="30" t="n">
        <f aca="false">L11*Parametres!$B$14</f>
        <v>256.709582791474</v>
      </c>
      <c r="N11" s="30" t="n">
        <f aca="false">(L11+M11)*Parametres!$B$15</f>
        <v>231.038624512327</v>
      </c>
      <c r="O11" s="32" t="n">
        <f aca="false">L11+M11+N11</f>
        <v>1771.29612126117</v>
      </c>
      <c r="P11" s="21" t="n">
        <f aca="false">O11/(B11/1000)</f>
        <v>17.7129612126117</v>
      </c>
      <c r="Q11" s="16" t="n">
        <f aca="false">G11*1000/(Parametres!$B$27*8760)</f>
        <v>814.705807597636</v>
      </c>
      <c r="R11" s="30" t="n">
        <f aca="false">Q11*1000*Parametres!$B$26/1000000</f>
        <v>794.338162407695</v>
      </c>
      <c r="S11" s="32" t="n">
        <f aca="false">O11+R11</f>
        <v>2565.63428366887</v>
      </c>
      <c r="T11" s="30" t="n">
        <f aca="false">O11*Parametres!$B$10</f>
        <v>180.410422430329</v>
      </c>
    </row>
    <row r="12" customFormat="false" ht="15" hidden="false" customHeight="false" outlineLevel="0" collapsed="false">
      <c r="A12" s="39" t="str">
        <f aca="false">Capex_Synthese!A9</f>
        <v>e-diesel</v>
      </c>
      <c r="B12" s="16" t="n">
        <f aca="false">$B$4</f>
        <v>100000</v>
      </c>
      <c r="C12" s="16" t="n">
        <f aca="false">B12*Capex_Synthese!C9</f>
        <v>45386.1537711106</v>
      </c>
      <c r="D12" s="16" t="n">
        <f aca="false">B12*Capex_Synthese!D9</f>
        <v>330265.315387992</v>
      </c>
      <c r="E12" s="16" t="n">
        <f aca="false">B12*Capex_Synthese!E9</f>
        <v>0</v>
      </c>
      <c r="F12" s="30" t="n">
        <f aca="false">C12*1000*Parametres!$B$40/Parametres!$B$7/1000</f>
        <v>535.261715591647</v>
      </c>
      <c r="G12" s="30" t="n">
        <f aca="false">C12*1000*Parametres!$B$40/1000000</f>
        <v>2676.30857795824</v>
      </c>
      <c r="H12" s="16" t="n">
        <f aca="false">C12*1000*Parametres!$B$41/1000</f>
        <v>506055.614547883</v>
      </c>
      <c r="I12" s="30" t="n">
        <f aca="false">F12*1000*Parametres!$B$39*Parametres!$B$13/1000000</f>
        <v>936.708002285383</v>
      </c>
      <c r="J12" s="30" t="n">
        <f aca="false">(B12*Capex_Synthese!B9*1000/3.6/8760/Parametres!$B$16)*Capex_Synthese!L9*Parametres!$B$13/1000000</f>
        <v>212.103275269181</v>
      </c>
      <c r="K12" s="30" t="n">
        <f aca="false">D12*Cout_CO2!$F$12*Parametres!$B$13/1000000</f>
        <v>134.243372971947</v>
      </c>
      <c r="L12" s="30" t="n">
        <f aca="false">I12+J12+K12</f>
        <v>1283.05465052651</v>
      </c>
      <c r="M12" s="30" t="n">
        <f aca="false">L12*Parametres!$B$14</f>
        <v>256.610930105302</v>
      </c>
      <c r="N12" s="30" t="n">
        <f aca="false">(L12+M12)*Parametres!$B$15</f>
        <v>230.949837094772</v>
      </c>
      <c r="O12" s="32" t="n">
        <f aca="false">L12+M12+N12</f>
        <v>1770.61541772659</v>
      </c>
      <c r="P12" s="21" t="n">
        <f aca="false">O12/(B12/1000)</f>
        <v>17.7061541772659</v>
      </c>
      <c r="Q12" s="16" t="n">
        <f aca="false">G12*1000/(Parametres!$B$27*8760)</f>
        <v>814.705807597636</v>
      </c>
      <c r="R12" s="30" t="n">
        <f aca="false">Q12*1000*Parametres!$B$26/1000000</f>
        <v>794.338162407695</v>
      </c>
      <c r="S12" s="32" t="n">
        <f aca="false">O12+R12</f>
        <v>2564.95358013428</v>
      </c>
      <c r="T12" s="30" t="n">
        <f aca="false">O12*Parametres!$B$10</f>
        <v>180.341091271778</v>
      </c>
    </row>
    <row r="13" customFormat="false" ht="15" hidden="false" customHeight="false" outlineLevel="0" collapsed="false">
      <c r="A13" s="39" t="str">
        <f aca="false">Capex_Synthese!A10</f>
        <v>e-gasoline</v>
      </c>
      <c r="B13" s="16" t="n">
        <f aca="false">$B$4</f>
        <v>100000</v>
      </c>
      <c r="C13" s="16" t="n">
        <f aca="false">B13*Capex_Synthese!C10</f>
        <v>45386.1537711106</v>
      </c>
      <c r="D13" s="16" t="n">
        <f aca="false">B13*Capex_Synthese!D10</f>
        <v>330265.315387992</v>
      </c>
      <c r="E13" s="16" t="n">
        <f aca="false">B13*Capex_Synthese!E10</f>
        <v>0</v>
      </c>
      <c r="F13" s="30" t="n">
        <f aca="false">C13*1000*Parametres!$B$40/Parametres!$B$7/1000</f>
        <v>535.261715591647</v>
      </c>
      <c r="G13" s="30" t="n">
        <f aca="false">C13*1000*Parametres!$B$40/1000000</f>
        <v>2676.30857795824</v>
      </c>
      <c r="H13" s="16" t="n">
        <f aca="false">C13*1000*Parametres!$B$41/1000</f>
        <v>506055.614547883</v>
      </c>
      <c r="I13" s="30" t="n">
        <f aca="false">F13*1000*Parametres!$B$39*Parametres!$B$13/1000000</f>
        <v>936.708002285383</v>
      </c>
      <c r="J13" s="30" t="n">
        <f aca="false">(B13*Capex_Synthese!B10*1000/3.6/8760/Parametres!$B$16)*Capex_Synthese!L10*Parametres!$B$13/1000000</f>
        <v>91.7469981396922</v>
      </c>
      <c r="K13" s="30" t="n">
        <f aca="false">D13*Cout_CO2!$F$12*Parametres!$B$13/1000000</f>
        <v>134.243372971947</v>
      </c>
      <c r="L13" s="30" t="n">
        <f aca="false">I13+J13+K13</f>
        <v>1162.69837339702</v>
      </c>
      <c r="M13" s="30" t="n">
        <f aca="false">L13*Parametres!$B$14</f>
        <v>232.539674679404</v>
      </c>
      <c r="N13" s="30" t="n">
        <f aca="false">(L13+M13)*Parametres!$B$15</f>
        <v>209.285707211464</v>
      </c>
      <c r="O13" s="32" t="n">
        <f aca="false">L13+M13+N13</f>
        <v>1604.52375528789</v>
      </c>
      <c r="P13" s="21" t="n">
        <f aca="false">O13/(B13/1000)</f>
        <v>16.0452375528789</v>
      </c>
      <c r="Q13" s="16" t="n">
        <f aca="false">G13*1000/(Parametres!$B$27*8760)</f>
        <v>814.705807597636</v>
      </c>
      <c r="R13" s="30" t="n">
        <f aca="false">Q13*1000*Parametres!$B$26/1000000</f>
        <v>794.338162407695</v>
      </c>
      <c r="S13" s="32" t="n">
        <f aca="false">O13+R13</f>
        <v>2398.86191769559</v>
      </c>
      <c r="T13" s="30" t="n">
        <f aca="false">O13*Parametres!$B$10</f>
        <v>163.424288585288</v>
      </c>
    </row>
    <row r="14" customFormat="false" ht="15" hidden="false" customHeight="false" outlineLevel="0" collapsed="false">
      <c r="A14" s="39" t="str">
        <f aca="false">Capex_Synthese!A11</f>
        <v>e-ammonia</v>
      </c>
      <c r="B14" s="16" t="n">
        <f aca="false">$B$4</f>
        <v>100000</v>
      </c>
      <c r="C14" s="16" t="n">
        <f aca="false">B14*Capex_Synthese!C11</f>
        <v>18690.3757544292</v>
      </c>
      <c r="D14" s="16" t="n">
        <f aca="false">B14*Capex_Synthese!D11</f>
        <v>0</v>
      </c>
      <c r="E14" s="16" t="n">
        <f aca="false">B14*Capex_Synthese!E11</f>
        <v>86572.7821403076</v>
      </c>
      <c r="F14" s="30" t="n">
        <f aca="false">C14*1000*Parametres!$B$40/Parametres!$B$7/1000</f>
        <v>220.424992208444</v>
      </c>
      <c r="G14" s="30" t="n">
        <f aca="false">C14*1000*Parametres!$B$40/1000000</f>
        <v>1102.12496104222</v>
      </c>
      <c r="H14" s="16" t="n">
        <f aca="false">C14*1000*Parametres!$B$41/1000</f>
        <v>208397.689661886</v>
      </c>
      <c r="I14" s="30" t="n">
        <f aca="false">F14*1000*Parametres!$B$39*Parametres!$B$13/1000000</f>
        <v>385.743736364778</v>
      </c>
      <c r="J14" s="30" t="n">
        <f aca="false">(B14*Capex_Synthese!B11*1000/3.6/8760/Parametres!$B$16)*Capex_Synthese!L11*Parametres!$B$13/1000000</f>
        <v>114.683747674615</v>
      </c>
      <c r="K14" s="30" t="n">
        <f aca="false">D14*Cout_CO2!$F$12*Parametres!$B$13/1000000</f>
        <v>0</v>
      </c>
      <c r="L14" s="30" t="n">
        <f aca="false">I14+J14+K14</f>
        <v>500.427484039393</v>
      </c>
      <c r="M14" s="30" t="n">
        <f aca="false">L14*Parametres!$B$14</f>
        <v>100.085496807879</v>
      </c>
      <c r="N14" s="30" t="n">
        <f aca="false">(L14+M14)*Parametres!$B$15</f>
        <v>90.0769471270908</v>
      </c>
      <c r="O14" s="32" t="n">
        <f aca="false">L14+M14+N14</f>
        <v>690.589927974363</v>
      </c>
      <c r="P14" s="21" t="n">
        <f aca="false">O14/(B14/1000)</f>
        <v>6.90589927974362</v>
      </c>
      <c r="Q14" s="16" t="n">
        <f aca="false">G14*1000/(Parametres!$B$27*8760)</f>
        <v>335.50227124573</v>
      </c>
      <c r="R14" s="30" t="n">
        <f aca="false">Q14*1000*Parametres!$B$26/1000000</f>
        <v>327.114714464587</v>
      </c>
      <c r="S14" s="32" t="n">
        <f aca="false">O14+R14</f>
        <v>1017.70464243895</v>
      </c>
      <c r="T14" s="30" t="n">
        <f aca="false">O14*Parametres!$B$10</f>
        <v>70.3381095552093</v>
      </c>
    </row>
    <row r="15" customFormat="false" ht="15" hidden="false" customHeight="false" outlineLevel="0" collapsed="false">
      <c r="A15" s="27" t="s">
        <v>225</v>
      </c>
    </row>
    <row r="16" customFormat="false" ht="15" hidden="false" customHeight="false" outlineLevel="0" collapsed="false">
      <c r="A16" s="27" t="s">
        <v>226</v>
      </c>
    </row>
    <row r="18" customFormat="false" ht="15" hidden="false" customHeight="false" outlineLevel="0" collapsed="false">
      <c r="A18" s="40" t="s">
        <v>227</v>
      </c>
      <c r="B18" s="41"/>
      <c r="C18" s="41"/>
      <c r="D18" s="41"/>
      <c r="E18" s="41"/>
      <c r="F18" s="41"/>
    </row>
    <row r="19" customFormat="false" ht="15" hidden="false" customHeight="false" outlineLevel="0" collapsed="false">
      <c r="A19" s="31" t="s">
        <v>228</v>
      </c>
      <c r="B19" s="37" t="str">
        <f aca="false">Parametres!$B$31</f>
        <v>e-methanol</v>
      </c>
    </row>
    <row r="20" customFormat="false" ht="15" hidden="false" customHeight="false" outlineLevel="0" collapsed="false">
      <c r="A20" s="33" t="s">
        <v>229</v>
      </c>
      <c r="B20" s="32" t="n">
        <f aca="false">INDEX($C$9:$C$14,MATCH($B$19,$A$9:$A$14,0))/365</f>
        <v>54.438080733618</v>
      </c>
      <c r="C20" s="33" t="s">
        <v>230</v>
      </c>
    </row>
    <row r="21" customFormat="false" ht="15" hidden="false" customHeight="false" outlineLevel="0" collapsed="false">
      <c r="A21" s="33" t="s">
        <v>231</v>
      </c>
      <c r="B21" s="32" t="n">
        <f aca="false">INDEX($D$9:$D$14,MATCH($B$19,$A$9:$A$14,0))/365</f>
        <v>396.134248195524</v>
      </c>
      <c r="C21" s="33" t="s">
        <v>230</v>
      </c>
    </row>
    <row r="22" customFormat="false" ht="15" hidden="false" customHeight="false" outlineLevel="0" collapsed="false">
      <c r="A22" s="33" t="s">
        <v>232</v>
      </c>
      <c r="B22" s="32" t="n">
        <f aca="false">INDEX($E$9:$E$14,MATCH($B$19,$A$9:$A$14,0))/365</f>
        <v>0</v>
      </c>
      <c r="C22" s="33" t="s">
        <v>230</v>
      </c>
    </row>
    <row r="23" customFormat="false" ht="15" hidden="false" customHeight="false" outlineLevel="0" collapsed="false">
      <c r="A23" s="33" t="s">
        <v>233</v>
      </c>
      <c r="B23" s="32" t="n">
        <f aca="false">INDEX($F$9:$F$14,MATCH($B$19,$A$9:$A$14,0))</f>
        <v>234.335708008865</v>
      </c>
      <c r="C23" s="33" t="s">
        <v>234</v>
      </c>
    </row>
    <row r="24" customFormat="false" ht="15" hidden="false" customHeight="false" outlineLevel="0" collapsed="false">
      <c r="A24" s="33" t="s">
        <v>235</v>
      </c>
      <c r="B24" s="32" t="n">
        <f aca="false">INDEX($G$9:$G$14,MATCH($B$19,$A$9:$A$14,0))/8.76</f>
        <v>133.753257995928</v>
      </c>
      <c r="C24" s="33" t="s">
        <v>234</v>
      </c>
    </row>
    <row r="25" customFormat="false" ht="15" hidden="false" customHeight="false" outlineLevel="0" collapsed="false">
      <c r="A25" s="33" t="s">
        <v>236</v>
      </c>
      <c r="B25" s="28" t="n">
        <f aca="false">INDEX($Q$9:$Q$14,MATCH($B$19,$A$9:$A$14,0))</f>
        <v>356.675354655807</v>
      </c>
      <c r="C25" s="33" t="s">
        <v>234</v>
      </c>
    </row>
    <row r="26" customFormat="false" ht="15" hidden="false" customHeight="false" outlineLevel="0" collapsed="false">
      <c r="A26" s="33" t="s">
        <v>237</v>
      </c>
      <c r="B26" s="28" t="n">
        <f aca="false">INDEX($H$9:$H$14,MATCH($B$19,$A$9:$A$14,0))/365</f>
        <v>606.98460017984</v>
      </c>
      <c r="C26" s="33" t="s">
        <v>238</v>
      </c>
    </row>
    <row r="27" customFormat="false" ht="15" hidden="false" customHeight="false" outlineLevel="0" collapsed="false">
      <c r="A27" s="33" t="s">
        <v>239</v>
      </c>
      <c r="B27" s="32" t="n">
        <f aca="false">INDEX($O$9:$O$14,MATCH($B$19,$A$9:$A$14,0))</f>
        <v>719.592959398469</v>
      </c>
      <c r="C27" s="33" t="s">
        <v>240</v>
      </c>
    </row>
    <row r="28" customFormat="false" ht="15" hidden="false" customHeight="false" outlineLevel="0" collapsed="false">
      <c r="A28" s="33" t="s">
        <v>241</v>
      </c>
      <c r="B28" s="32" t="n">
        <f aca="false">INDEX($S$9:$S$14,MATCH($B$19,$A$9:$A$14,0))</f>
        <v>1067.35143018788</v>
      </c>
      <c r="C28" s="33" t="s">
        <v>240</v>
      </c>
    </row>
    <row r="29" customFormat="false" ht="15" hidden="false" customHeight="false" outlineLevel="0" collapsed="false">
      <c r="A29" s="33" t="s">
        <v>242</v>
      </c>
      <c r="B29" s="42" t="n">
        <f aca="false">INDEX($P$9:$P$14,MATCH($B$19,$A$9:$A$14,0))</f>
        <v>7.19592959398469</v>
      </c>
      <c r="C29" s="33" t="s">
        <v>243</v>
      </c>
    </row>
    <row r="31" customFormat="false" ht="15" hidden="false" customHeight="false" outlineLevel="0" collapsed="false">
      <c r="A31" s="27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1" t="s">
        <v>228</v>
      </c>
      <c r="B4" s="37" t="str">
        <f aca="false">Parametres!$B$31</f>
        <v>e-methanol</v>
      </c>
    </row>
    <row r="5" customFormat="false" ht="15" hidden="false" customHeight="false" outlineLevel="0" collapsed="false">
      <c r="A5" s="33" t="s">
        <v>247</v>
      </c>
      <c r="B5" s="43" t="n">
        <f aca="false">INDEX(Capex_Synthese!$C$6:$C$11,MATCH($B$4,Capex_Synthese!$A$6:$A$11,0))</f>
        <v>0.198698994677706</v>
      </c>
    </row>
    <row r="6" customFormat="false" ht="15" hidden="false" customHeight="false" outlineLevel="0" collapsed="false">
      <c r="A6" s="33" t="s">
        <v>248</v>
      </c>
      <c r="B6" s="44" t="n">
        <f aca="false">(INDEX(Dimensionnement!$J$9:$J$14,MATCH($B$4,Dimensionnement!$A$9:$A$14,0))+INDEX(Dimensionnement!$K$9:$K$14,MATCH($B$4,Dimensionnement!$A$9:$A$14,0)))/INDEX(Dimensionnement!$B$9:$B$14,MATCH($B$4,Dimensionnement!$A$9:$A$14,0))</f>
        <v>0.00111356684461638</v>
      </c>
    </row>
    <row r="8" customFormat="false" ht="15" hidden="false" customHeight="false" outlineLevel="0" collapsed="false">
      <c r="A8" s="31" t="s">
        <v>249</v>
      </c>
      <c r="B8" s="45" t="n">
        <v>500</v>
      </c>
      <c r="C8" s="45" t="n">
        <v>800</v>
      </c>
      <c r="D8" s="45" t="n">
        <v>1200</v>
      </c>
      <c r="E8" s="45" t="n">
        <v>1750</v>
      </c>
      <c r="F8" s="45" t="n">
        <v>2200</v>
      </c>
    </row>
    <row r="9" customFormat="false" ht="15" hidden="false" customHeight="false" outlineLevel="0" collapsed="false">
      <c r="A9" s="24" t="n">
        <v>10000</v>
      </c>
      <c r="B9" s="30" t="n">
        <f aca="false">(1+Parametres!$B$14)*(1+Parametres!$B$15)*(($A9*$B$5*1000*Parametres!$B$40/Parametres!$B$7/1000)*B$8*Parametres!$B$13/1000+$A9*$B$6)</f>
        <v>31.5363863083177</v>
      </c>
      <c r="C9" s="30" t="n">
        <f aca="false">(1+Parametres!$B$14)*(1+Parametres!$B$15)*(($A9*$B$5*1000*Parametres!$B$40/Parametres!$B$7/1000)*C$8*Parametres!$B$13/1000+$A9*$B$6)</f>
        <v>41.2378846198847</v>
      </c>
      <c r="D9" s="30" t="n">
        <f aca="false">(1+Parametres!$B$14)*(1+Parametres!$B$15)*(($A9*$B$5*1000*Parametres!$B$40/Parametres!$B$7/1000)*D$8*Parametres!$B$13/1000+$A9*$B$6)</f>
        <v>54.173215701974</v>
      </c>
      <c r="E9" s="30" t="n">
        <f aca="false">(1+Parametres!$B$14)*(1+Parametres!$B$15)*(($A9*$B$5*1000*Parametres!$B$40/Parametres!$B$7/1000)*E$8*Parametres!$B$13/1000+$A9*$B$6)</f>
        <v>71.9592959398469</v>
      </c>
      <c r="F9" s="30" t="n">
        <f aca="false">(1+Parametres!$B$14)*(1+Parametres!$B$15)*(($A9*$B$5*1000*Parametres!$B$40/Parametres!$B$7/1000)*F$8*Parametres!$B$13/1000+$A9*$B$6)</f>
        <v>86.5115434071974</v>
      </c>
    </row>
    <row r="10" customFormat="false" ht="15" hidden="false" customHeight="false" outlineLevel="0" collapsed="false">
      <c r="A10" s="24" t="n">
        <v>50000</v>
      </c>
      <c r="B10" s="30" t="n">
        <f aca="false">(1+Parametres!$B$14)*(1+Parametres!$B$15)*(($A10*$B$5*1000*Parametres!$B$40/Parametres!$B$7/1000)*B$8*Parametres!$B$13/1000+$A10*$B$6)</f>
        <v>157.681931541588</v>
      </c>
      <c r="C10" s="30" t="n">
        <f aca="false">(1+Parametres!$B$14)*(1+Parametres!$B$15)*(($A10*$B$5*1000*Parametres!$B$40/Parametres!$B$7/1000)*C$8*Parametres!$B$13/1000+$A10*$B$6)</f>
        <v>206.189423099423</v>
      </c>
      <c r="D10" s="30" t="n">
        <f aca="false">(1+Parametres!$B$14)*(1+Parametres!$B$15)*(($A10*$B$5*1000*Parametres!$B$40/Parametres!$B$7/1000)*D$8*Parametres!$B$13/1000+$A10*$B$6)</f>
        <v>270.86607850987</v>
      </c>
      <c r="E10" s="30" t="n">
        <f aca="false">(1+Parametres!$B$14)*(1+Parametres!$B$15)*(($A10*$B$5*1000*Parametres!$B$40/Parametres!$B$7/1000)*E$8*Parametres!$B$13/1000+$A10*$B$6)</f>
        <v>359.796479699234</v>
      </c>
      <c r="F10" s="30" t="n">
        <f aca="false">(1+Parametres!$B$14)*(1+Parametres!$B$15)*(($A10*$B$5*1000*Parametres!$B$40/Parametres!$B$7/1000)*F$8*Parametres!$B$13/1000+$A10*$B$6)</f>
        <v>432.557717035987</v>
      </c>
    </row>
    <row r="11" customFormat="false" ht="15" hidden="false" customHeight="false" outlineLevel="0" collapsed="false">
      <c r="A11" s="24" t="n">
        <v>100000</v>
      </c>
      <c r="B11" s="30" t="n">
        <f aca="false">(1+Parametres!$B$14)*(1+Parametres!$B$15)*(($A11*$B$5*1000*Parametres!$B$40/Parametres!$B$7/1000)*B$8*Parametres!$B$13/1000+$A11*$B$6)</f>
        <v>315.363863083177</v>
      </c>
      <c r="C11" s="30" t="n">
        <f aca="false">(1+Parametres!$B$14)*(1+Parametres!$B$15)*(($A11*$B$5*1000*Parametres!$B$40/Parametres!$B$7/1000)*C$8*Parametres!$B$13/1000+$A11*$B$6)</f>
        <v>412.378846198847</v>
      </c>
      <c r="D11" s="30" t="n">
        <f aca="false">(1+Parametres!$B$14)*(1+Parametres!$B$15)*(($A11*$B$5*1000*Parametres!$B$40/Parametres!$B$7/1000)*D$8*Parametres!$B$13/1000+$A11*$B$6)</f>
        <v>541.73215701974</v>
      </c>
      <c r="E11" s="30" t="n">
        <f aca="false">(1+Parametres!$B$14)*(1+Parametres!$B$15)*(($A11*$B$5*1000*Parametres!$B$40/Parametres!$B$7/1000)*E$8*Parametres!$B$13/1000+$A11*$B$6)</f>
        <v>719.592959398469</v>
      </c>
      <c r="F11" s="30" t="n">
        <f aca="false">(1+Parametres!$B$14)*(1+Parametres!$B$15)*(($A11*$B$5*1000*Parametres!$B$40/Parametres!$B$7/1000)*F$8*Parametres!$B$13/1000+$A11*$B$6)</f>
        <v>865.115434071974</v>
      </c>
    </row>
    <row r="12" customFormat="false" ht="15" hidden="false" customHeight="false" outlineLevel="0" collapsed="false">
      <c r="A12" s="24" t="n">
        <v>250000</v>
      </c>
      <c r="B12" s="30" t="n">
        <f aca="false">(1+Parametres!$B$14)*(1+Parametres!$B$15)*(($A12*$B$5*1000*Parametres!$B$40/Parametres!$B$7/1000)*B$8*Parametres!$B$13/1000+$A12*$B$6)</f>
        <v>788.409657707942</v>
      </c>
      <c r="C12" s="30" t="n">
        <f aca="false">(1+Parametres!$B$14)*(1+Parametres!$B$15)*(($A12*$B$5*1000*Parametres!$B$40/Parametres!$B$7/1000)*C$8*Parametres!$B$13/1000+$A12*$B$6)</f>
        <v>1030.94711549712</v>
      </c>
      <c r="D12" s="30" t="n">
        <f aca="false">(1+Parametres!$B$14)*(1+Parametres!$B$15)*(($A12*$B$5*1000*Parametres!$B$40/Parametres!$B$7/1000)*D$8*Parametres!$B$13/1000+$A12*$B$6)</f>
        <v>1354.33039254935</v>
      </c>
      <c r="E12" s="30" t="n">
        <f aca="false">(1+Parametres!$B$14)*(1+Parametres!$B$15)*(($A12*$B$5*1000*Parametres!$B$40/Parametres!$B$7/1000)*E$8*Parametres!$B$13/1000+$A12*$B$6)</f>
        <v>1798.98239849617</v>
      </c>
      <c r="F12" s="30" t="n">
        <f aca="false">(1+Parametres!$B$14)*(1+Parametres!$B$15)*(($A12*$B$5*1000*Parametres!$B$40/Parametres!$B$7/1000)*F$8*Parametres!$B$13/1000+$A12*$B$6)</f>
        <v>2162.78858517994</v>
      </c>
    </row>
    <row r="13" customFormat="false" ht="15" hidden="false" customHeight="false" outlineLevel="0" collapsed="false">
      <c r="A13" s="24" t="n">
        <v>500000</v>
      </c>
      <c r="B13" s="30" t="n">
        <f aca="false">(1+Parametres!$B$14)*(1+Parametres!$B$15)*(($A13*$B$5*1000*Parametres!$B$40/Parametres!$B$7/1000)*B$8*Parametres!$B$13/1000+$A13*$B$6)</f>
        <v>1576.81931541588</v>
      </c>
      <c r="C13" s="30" t="n">
        <f aca="false">(1+Parametres!$B$14)*(1+Parametres!$B$15)*(($A13*$B$5*1000*Parametres!$B$40/Parametres!$B$7/1000)*C$8*Parametres!$B$13/1000+$A13*$B$6)</f>
        <v>2061.89423099423</v>
      </c>
      <c r="D13" s="30" t="n">
        <f aca="false">(1+Parametres!$B$14)*(1+Parametres!$B$15)*(($A13*$B$5*1000*Parametres!$B$40/Parametres!$B$7/1000)*D$8*Parametres!$B$13/1000+$A13*$B$6)</f>
        <v>2708.6607850987</v>
      </c>
      <c r="E13" s="30" t="n">
        <f aca="false">(1+Parametres!$B$14)*(1+Parametres!$B$15)*(($A13*$B$5*1000*Parametres!$B$40/Parametres!$B$7/1000)*E$8*Parametres!$B$13/1000+$A13*$B$6)</f>
        <v>3597.96479699234</v>
      </c>
      <c r="F13" s="30" t="n">
        <f aca="false">(1+Parametres!$B$14)*(1+Parametres!$B$15)*(($A13*$B$5*1000*Parametres!$B$40/Parametres!$B$7/1000)*F$8*Parametres!$B$13/1000+$A13*$B$6)</f>
        <v>4325.57717035987</v>
      </c>
    </row>
    <row r="15" customFormat="false" ht="15" hidden="false" customHeight="false" outlineLevel="0" collapsed="false">
      <c r="A15" s="27" t="s">
        <v>250</v>
      </c>
    </row>
    <row r="17" customFormat="false" ht="15" hidden="false" customHeight="false" outlineLevel="0" collapsed="false">
      <c r="A17" s="40" t="s">
        <v>251</v>
      </c>
      <c r="B17" s="41"/>
      <c r="C17" s="41"/>
      <c r="D17" s="41"/>
      <c r="E17" s="41"/>
      <c r="F17" s="41"/>
    </row>
    <row r="18" customFormat="false" ht="15" hidden="false" customHeight="false" outlineLevel="0" collapsed="false">
      <c r="A18" s="31" t="s">
        <v>252</v>
      </c>
      <c r="B18" s="46" t="n">
        <v>0.5</v>
      </c>
      <c r="C18" s="46" t="n">
        <v>0.75</v>
      </c>
      <c r="D18" s="46" t="n">
        <v>1</v>
      </c>
      <c r="E18" s="46" t="n">
        <v>1.25</v>
      </c>
    </row>
    <row r="19" customFormat="false" ht="15" hidden="false" customHeight="false" outlineLevel="0" collapsed="false">
      <c r="A19" s="24" t="n">
        <v>10000</v>
      </c>
      <c r="B19" s="30" t="n">
        <f aca="false">(1+Parametres!$B$14)*(1+Parametres!$B$15)*B$18/Parametres!$B$13*(($A19*$B$5*1000*Parametres!$B$40/Parametres!$B$7/1000)*Parametres!$B$39/1000+$A19*$B$6)*Parametres!$B$13</f>
        <v>35.9796479699234</v>
      </c>
      <c r="C19" s="30" t="n">
        <f aca="false">(1+Parametres!$B$14)*(1+Parametres!$B$15)*C$18/Parametres!$B$13*(($A19*$B$5*1000*Parametres!$B$40/Parametres!$B$7/1000)*Parametres!$B$39/1000+$A19*$B$6)*Parametres!$B$13</f>
        <v>53.9694719548852</v>
      </c>
      <c r="D19" s="30" t="n">
        <f aca="false">(1+Parametres!$B$14)*(1+Parametres!$B$15)*D$18/Parametres!$B$13*(($A19*$B$5*1000*Parametres!$B$40/Parametres!$B$7/1000)*Parametres!$B$39/1000+$A19*$B$6)*Parametres!$B$13</f>
        <v>71.9592959398469</v>
      </c>
      <c r="E19" s="30" t="n">
        <f aca="false">(1+Parametres!$B$14)*(1+Parametres!$B$15)*E$18/Parametres!$B$13*(($A19*$B$5*1000*Parametres!$B$40/Parametres!$B$7/1000)*Parametres!$B$39/1000+$A19*$B$6)*Parametres!$B$13</f>
        <v>89.9491199248086</v>
      </c>
    </row>
    <row r="20" customFormat="false" ht="15" hidden="false" customHeight="false" outlineLevel="0" collapsed="false">
      <c r="A20" s="24" t="n">
        <v>50000</v>
      </c>
      <c r="B20" s="30" t="n">
        <f aca="false">(1+Parametres!$B$14)*(1+Parametres!$B$15)*B$18/Parametres!$B$13*(($A20*$B$5*1000*Parametres!$B$40/Parametres!$B$7/1000)*Parametres!$B$39/1000+$A20*$B$6)*Parametres!$B$13</f>
        <v>179.898239849617</v>
      </c>
      <c r="C20" s="30" t="n">
        <f aca="false">(1+Parametres!$B$14)*(1+Parametres!$B$15)*C$18/Parametres!$B$13*(($A20*$B$5*1000*Parametres!$B$40/Parametres!$B$7/1000)*Parametres!$B$39/1000+$A20*$B$6)*Parametres!$B$13</f>
        <v>269.847359774426</v>
      </c>
      <c r="D20" s="30" t="n">
        <f aca="false">(1+Parametres!$B$14)*(1+Parametres!$B$15)*D$18/Parametres!$B$13*(($A20*$B$5*1000*Parametres!$B$40/Parametres!$B$7/1000)*Parametres!$B$39/1000+$A20*$B$6)*Parametres!$B$13</f>
        <v>359.796479699234</v>
      </c>
      <c r="E20" s="30" t="n">
        <f aca="false">(1+Parametres!$B$14)*(1+Parametres!$B$15)*E$18/Parametres!$B$13*(($A20*$B$5*1000*Parametres!$B$40/Parametres!$B$7/1000)*Parametres!$B$39/1000+$A20*$B$6)*Parametres!$B$13</f>
        <v>449.745599624043</v>
      </c>
    </row>
    <row r="21" customFormat="false" ht="15" hidden="false" customHeight="false" outlineLevel="0" collapsed="false">
      <c r="A21" s="24" t="n">
        <v>100000</v>
      </c>
      <c r="B21" s="30" t="n">
        <f aca="false">(1+Parametres!$B$14)*(1+Parametres!$B$15)*B$18/Parametres!$B$13*(($A21*$B$5*1000*Parametres!$B$40/Parametres!$B$7/1000)*Parametres!$B$39/1000+$A21*$B$6)*Parametres!$B$13</f>
        <v>359.796479699234</v>
      </c>
      <c r="C21" s="30" t="n">
        <f aca="false">(1+Parametres!$B$14)*(1+Parametres!$B$15)*C$18/Parametres!$B$13*(($A21*$B$5*1000*Parametres!$B$40/Parametres!$B$7/1000)*Parametres!$B$39/1000+$A21*$B$6)*Parametres!$B$13</f>
        <v>539.694719548852</v>
      </c>
      <c r="D21" s="30" t="n">
        <f aca="false">(1+Parametres!$B$14)*(1+Parametres!$B$15)*D$18/Parametres!$B$13*(($A21*$B$5*1000*Parametres!$B$40/Parametres!$B$7/1000)*Parametres!$B$39/1000+$A21*$B$6)*Parametres!$B$13</f>
        <v>719.592959398469</v>
      </c>
      <c r="E21" s="30" t="n">
        <f aca="false">(1+Parametres!$B$14)*(1+Parametres!$B$15)*E$18/Parametres!$B$13*(($A21*$B$5*1000*Parametres!$B$40/Parametres!$B$7/1000)*Parametres!$B$39/1000+$A21*$B$6)*Parametres!$B$13</f>
        <v>899.491199248086</v>
      </c>
    </row>
    <row r="22" customFormat="false" ht="15" hidden="false" customHeight="false" outlineLevel="0" collapsed="false">
      <c r="A22" s="24" t="n">
        <v>250000</v>
      </c>
      <c r="B22" s="30" t="n">
        <f aca="false">(1+Parametres!$B$14)*(1+Parametres!$B$15)*B$18/Parametres!$B$13*(($A22*$B$5*1000*Parametres!$B$40/Parametres!$B$7/1000)*Parametres!$B$39/1000+$A22*$B$6)*Parametres!$B$13</f>
        <v>899.491199248086</v>
      </c>
      <c r="C22" s="30" t="n">
        <f aca="false">(1+Parametres!$B$14)*(1+Parametres!$B$15)*C$18/Parametres!$B$13*(($A22*$B$5*1000*Parametres!$B$40/Parametres!$B$7/1000)*Parametres!$B$39/1000+$A22*$B$6)*Parametres!$B$13</f>
        <v>1349.23679887213</v>
      </c>
      <c r="D22" s="30" t="n">
        <f aca="false">(1+Parametres!$B$14)*(1+Parametres!$B$15)*D$18/Parametres!$B$13*(($A22*$B$5*1000*Parametres!$B$40/Parametres!$B$7/1000)*Parametres!$B$39/1000+$A22*$B$6)*Parametres!$B$13</f>
        <v>1798.98239849617</v>
      </c>
      <c r="E22" s="30" t="n">
        <f aca="false">(1+Parametres!$B$14)*(1+Parametres!$B$15)*E$18/Parametres!$B$13*(($A22*$B$5*1000*Parametres!$B$40/Parametres!$B$7/1000)*Parametres!$B$39/1000+$A22*$B$6)*Parametres!$B$13</f>
        <v>2248.72799812022</v>
      </c>
    </row>
    <row r="23" customFormat="false" ht="15" hidden="false" customHeight="false" outlineLevel="0" collapsed="false">
      <c r="A23" s="24" t="n">
        <v>500000</v>
      </c>
      <c r="B23" s="30" t="n">
        <f aca="false">(1+Parametres!$B$14)*(1+Parametres!$B$15)*B$18/Parametres!$B$13*(($A23*$B$5*1000*Parametres!$B$40/Parametres!$B$7/1000)*Parametres!$B$39/1000+$A23*$B$6)*Parametres!$B$13</f>
        <v>1798.98239849617</v>
      </c>
      <c r="C23" s="30" t="n">
        <f aca="false">(1+Parametres!$B$14)*(1+Parametres!$B$15)*C$18/Parametres!$B$13*(($A23*$B$5*1000*Parametres!$B$40/Parametres!$B$7/1000)*Parametres!$B$39/1000+$A23*$B$6)*Parametres!$B$13</f>
        <v>2698.47359774426</v>
      </c>
      <c r="D23" s="30" t="n">
        <f aca="false">(1+Parametres!$B$14)*(1+Parametres!$B$15)*D$18/Parametres!$B$13*(($A23*$B$5*1000*Parametres!$B$40/Parametres!$B$7/1000)*Parametres!$B$39/1000+$A23*$B$6)*Parametres!$B$13</f>
        <v>3597.96479699234</v>
      </c>
      <c r="E23" s="30" t="n">
        <f aca="false">(1+Parametres!$B$14)*(1+Parametres!$B$15)*E$18/Parametres!$B$13*(($A23*$B$5*1000*Parametres!$B$40/Parametres!$B$7/1000)*Parametres!$B$39/1000+$A23*$B$6)*Parametres!$B$13</f>
        <v>4497.45599624043</v>
      </c>
    </row>
    <row r="25" customFormat="false" ht="15" hidden="false" customHeight="false" outlineLevel="0" collapsed="false">
      <c r="A25" s="27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254</v>
      </c>
    </row>
    <row r="4" customFormat="false" ht="31.5" hidden="false" customHeight="true" outlineLevel="0" collapsed="false">
      <c r="A4" s="3" t="s">
        <v>255</v>
      </c>
      <c r="B4" s="3" t="s">
        <v>256</v>
      </c>
      <c r="C4" s="3" t="s">
        <v>257</v>
      </c>
    </row>
    <row r="5" customFormat="false" ht="15" hidden="false" customHeight="false" outlineLevel="0" collapsed="false">
      <c r="A5" s="4" t="s">
        <v>119</v>
      </c>
      <c r="B5" s="4" t="s">
        <v>258</v>
      </c>
      <c r="C5" s="4" t="s">
        <v>259</v>
      </c>
    </row>
    <row r="6" customFormat="false" ht="15" hidden="false" customHeight="false" outlineLevel="0" collapsed="false">
      <c r="A6" s="5" t="s">
        <v>260</v>
      </c>
      <c r="B6" s="5" t="s">
        <v>261</v>
      </c>
      <c r="C6" s="5" t="s">
        <v>262</v>
      </c>
    </row>
    <row r="7" customFormat="false" ht="15" hidden="false" customHeight="false" outlineLevel="0" collapsed="false">
      <c r="A7" s="4" t="s">
        <v>263</v>
      </c>
      <c r="B7" s="4" t="s">
        <v>264</v>
      </c>
      <c r="C7" s="4" t="s">
        <v>265</v>
      </c>
    </row>
    <row r="8" customFormat="false" ht="15" hidden="false" customHeight="false" outlineLevel="0" collapsed="false">
      <c r="A8" s="5" t="s">
        <v>266</v>
      </c>
      <c r="B8" s="5" t="s">
        <v>267</v>
      </c>
      <c r="C8" s="5" t="s">
        <v>268</v>
      </c>
    </row>
    <row r="9" customFormat="false" ht="15" hidden="false" customHeight="false" outlineLevel="0" collapsed="false">
      <c r="A9" s="4" t="s">
        <v>269</v>
      </c>
      <c r="B9" s="4" t="s">
        <v>270</v>
      </c>
      <c r="C9" s="4" t="s">
        <v>271</v>
      </c>
    </row>
    <row r="10" customFormat="false" ht="15" hidden="false" customHeight="false" outlineLevel="0" collapsed="false">
      <c r="A10" s="5" t="s">
        <v>272</v>
      </c>
      <c r="B10" s="5" t="s">
        <v>273</v>
      </c>
      <c r="C10" s="5" t="s">
        <v>274</v>
      </c>
    </row>
    <row r="11" customFormat="false" ht="15" hidden="false" customHeight="false" outlineLevel="0" collapsed="false">
      <c r="A11" s="4" t="s">
        <v>275</v>
      </c>
      <c r="B11" s="4" t="s">
        <v>276</v>
      </c>
      <c r="C11" s="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2026-10-19T09:25:50Z</dcterms:created>
  <dc:creator>openpyxl</dc:creator>
  <dc:description/>
  <dc:language>en-US</dc:language>
  <cp:lastModifiedBy/>
  <dcterms:modified xsi:type="dcterms:W3CDTF">2026-10-19T09:25:50Z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